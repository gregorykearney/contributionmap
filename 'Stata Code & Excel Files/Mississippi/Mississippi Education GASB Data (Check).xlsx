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kearney/Documents/Spending Project/'Quant Analysis/Additional States/Mississippi/"/>
    </mc:Choice>
  </mc:AlternateContent>
  <xr:revisionPtr revIDLastSave="0" documentId="13_ncr:1_{7A7AE9FB-C94D-024C-ABE7-E66163ED920E}" xr6:coauthVersionLast="47" xr6:coauthVersionMax="47" xr10:uidLastSave="{00000000-0000-0000-0000-000000000000}"/>
  <bookViews>
    <workbookView xWindow="1280" yWindow="780" windowWidth="30620" windowHeight="18160" xr2:uid="{8CE9DD98-2242-824A-B622-BFA0C3CFD3F3}"/>
  </bookViews>
  <sheets>
    <sheet name="Summary" sheetId="15" r:id="rId1"/>
    <sheet name="GASB Data --&gt;" sheetId="10" r:id="rId2"/>
    <sheet name="2024" sheetId="1" r:id="rId3"/>
    <sheet name="2023" sheetId="2" r:id="rId4"/>
    <sheet name="2022" sheetId="3" r:id="rId5"/>
    <sheet name="2021" sheetId="4" r:id="rId6"/>
    <sheet name="2020" sheetId="5" r:id="rId7"/>
    <sheet name="2019" sheetId="6" r:id="rId8"/>
    <sheet name="2018" sheetId="11" r:id="rId9"/>
    <sheet name="2017" sheetId="12" r:id="rId10"/>
    <sheet name="2016" sheetId="13" r:id="rId11"/>
    <sheet name="2015" sheetId="14" r:id="rId12"/>
    <sheet name="NCES Data --&gt;" sheetId="9" r:id="rId13"/>
    <sheet name="LEAID Match" sheetId="8" r:id="rId14"/>
  </sheets>
  <definedNames>
    <definedName name="_xlnm._FilterDatabase" localSheetId="4" hidden="1">'2022'!$A$1:$D$863</definedName>
    <definedName name="_xlnm._FilterDatabase" localSheetId="13" hidden="1">'LEAID Match'!$A$1:$D$1</definedName>
    <definedName name="_xlnm._FilterDatabase" localSheetId="0" hidden="1">Summary!$B$1:$G$8627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5" l="1"/>
  <c r="A3" i="15" s="1"/>
  <c r="H4" i="15"/>
  <c r="A4" i="15" s="1"/>
  <c r="H5" i="15"/>
  <c r="A5" i="15" s="1"/>
  <c r="H6" i="15"/>
  <c r="A6" i="15" s="1"/>
  <c r="H7" i="15"/>
  <c r="A7" i="15" s="1"/>
  <c r="H8" i="15"/>
  <c r="A8" i="15" s="1"/>
  <c r="H9" i="15"/>
  <c r="A9" i="15" s="1"/>
  <c r="H10" i="15"/>
  <c r="A10" i="15" s="1"/>
  <c r="H11" i="15"/>
  <c r="A11" i="15" s="1"/>
  <c r="H12" i="15"/>
  <c r="A12" i="15" s="1"/>
  <c r="H13" i="15"/>
  <c r="A13" i="15" s="1"/>
  <c r="H14" i="15"/>
  <c r="A14" i="15" s="1"/>
  <c r="H15" i="15"/>
  <c r="A15" i="15" s="1"/>
  <c r="H16" i="15"/>
  <c r="A16" i="15" s="1"/>
  <c r="H17" i="15"/>
  <c r="A17" i="15" s="1"/>
  <c r="H18" i="15"/>
  <c r="A18" i="15" s="1"/>
  <c r="H19" i="15"/>
  <c r="A19" i="15" s="1"/>
  <c r="H20" i="15"/>
  <c r="A20" i="15" s="1"/>
  <c r="H21" i="15"/>
  <c r="A21" i="15" s="1"/>
  <c r="H22" i="15"/>
  <c r="A22" i="15" s="1"/>
  <c r="H23" i="15"/>
  <c r="A23" i="15" s="1"/>
  <c r="H24" i="15"/>
  <c r="A24" i="15" s="1"/>
  <c r="H25" i="15"/>
  <c r="A25" i="15" s="1"/>
  <c r="H26" i="15"/>
  <c r="A26" i="15" s="1"/>
  <c r="H27" i="15"/>
  <c r="A27" i="15" s="1"/>
  <c r="H28" i="15"/>
  <c r="A28" i="15" s="1"/>
  <c r="H29" i="15"/>
  <c r="A29" i="15" s="1"/>
  <c r="H30" i="15"/>
  <c r="A30" i="15" s="1"/>
  <c r="H31" i="15"/>
  <c r="A31" i="15" s="1"/>
  <c r="H32" i="15"/>
  <c r="A32" i="15" s="1"/>
  <c r="H33" i="15"/>
  <c r="A33" i="15" s="1"/>
  <c r="H34" i="15"/>
  <c r="A34" i="15" s="1"/>
  <c r="H35" i="15"/>
  <c r="A35" i="15" s="1"/>
  <c r="H36" i="15"/>
  <c r="A36" i="15" s="1"/>
  <c r="H37" i="15"/>
  <c r="A37" i="15" s="1"/>
  <c r="H38" i="15"/>
  <c r="A38" i="15" s="1"/>
  <c r="H39" i="15"/>
  <c r="A39" i="15" s="1"/>
  <c r="H40" i="15"/>
  <c r="A40" i="15" s="1"/>
  <c r="H41" i="15"/>
  <c r="A41" i="15" s="1"/>
  <c r="H42" i="15"/>
  <c r="A42" i="15" s="1"/>
  <c r="H43" i="15"/>
  <c r="A43" i="15" s="1"/>
  <c r="H44" i="15"/>
  <c r="A44" i="15" s="1"/>
  <c r="H45" i="15"/>
  <c r="A45" i="15" s="1"/>
  <c r="H46" i="15"/>
  <c r="A46" i="15" s="1"/>
  <c r="H47" i="15"/>
  <c r="A47" i="15" s="1"/>
  <c r="H48" i="15"/>
  <c r="A48" i="15" s="1"/>
  <c r="H49" i="15"/>
  <c r="A49" i="15" s="1"/>
  <c r="H50" i="15"/>
  <c r="A50" i="15" s="1"/>
  <c r="H51" i="15"/>
  <c r="A51" i="15" s="1"/>
  <c r="H52" i="15"/>
  <c r="A52" i="15" s="1"/>
  <c r="H53" i="15"/>
  <c r="A53" i="15" s="1"/>
  <c r="H54" i="15"/>
  <c r="A54" i="15" s="1"/>
  <c r="H55" i="15"/>
  <c r="A55" i="15" s="1"/>
  <c r="H56" i="15"/>
  <c r="A56" i="15" s="1"/>
  <c r="H57" i="15"/>
  <c r="A57" i="15" s="1"/>
  <c r="H58" i="15"/>
  <c r="A58" i="15" s="1"/>
  <c r="H59" i="15"/>
  <c r="A59" i="15" s="1"/>
  <c r="H60" i="15"/>
  <c r="A60" i="15" s="1"/>
  <c r="H61" i="15"/>
  <c r="A61" i="15" s="1"/>
  <c r="H62" i="15"/>
  <c r="A62" i="15" s="1"/>
  <c r="H63" i="15"/>
  <c r="A63" i="15" s="1"/>
  <c r="H64" i="15"/>
  <c r="A64" i="15" s="1"/>
  <c r="H65" i="15"/>
  <c r="A65" i="15" s="1"/>
  <c r="H66" i="15"/>
  <c r="A66" i="15" s="1"/>
  <c r="H67" i="15"/>
  <c r="A67" i="15" s="1"/>
  <c r="H68" i="15"/>
  <c r="A68" i="15" s="1"/>
  <c r="H69" i="15"/>
  <c r="A69" i="15" s="1"/>
  <c r="H70" i="15"/>
  <c r="A70" i="15" s="1"/>
  <c r="H71" i="15"/>
  <c r="A71" i="15" s="1"/>
  <c r="H72" i="15"/>
  <c r="A72" i="15" s="1"/>
  <c r="H73" i="15"/>
  <c r="A73" i="15" s="1"/>
  <c r="H74" i="15"/>
  <c r="A74" i="15" s="1"/>
  <c r="H75" i="15"/>
  <c r="A75" i="15" s="1"/>
  <c r="H76" i="15"/>
  <c r="A76" i="15" s="1"/>
  <c r="H77" i="15"/>
  <c r="A77" i="15" s="1"/>
  <c r="H78" i="15"/>
  <c r="A78" i="15" s="1"/>
  <c r="H79" i="15"/>
  <c r="A79" i="15" s="1"/>
  <c r="H80" i="15"/>
  <c r="A80" i="15" s="1"/>
  <c r="H81" i="15"/>
  <c r="A81" i="15" s="1"/>
  <c r="H82" i="15"/>
  <c r="A82" i="15" s="1"/>
  <c r="H83" i="15"/>
  <c r="A83" i="15" s="1"/>
  <c r="H84" i="15"/>
  <c r="A84" i="15" s="1"/>
  <c r="H85" i="15"/>
  <c r="A85" i="15" s="1"/>
  <c r="H86" i="15"/>
  <c r="A86" i="15" s="1"/>
  <c r="H87" i="15"/>
  <c r="A87" i="15" s="1"/>
  <c r="H88" i="15"/>
  <c r="A88" i="15" s="1"/>
  <c r="H89" i="15"/>
  <c r="A89" i="15" s="1"/>
  <c r="H90" i="15"/>
  <c r="A90" i="15" s="1"/>
  <c r="H91" i="15"/>
  <c r="A91" i="15" s="1"/>
  <c r="H92" i="15"/>
  <c r="A92" i="15" s="1"/>
  <c r="H93" i="15"/>
  <c r="A93" i="15" s="1"/>
  <c r="H94" i="15"/>
  <c r="A94" i="15" s="1"/>
  <c r="H95" i="15"/>
  <c r="A95" i="15" s="1"/>
  <c r="H96" i="15"/>
  <c r="A96" i="15" s="1"/>
  <c r="H97" i="15"/>
  <c r="A97" i="15" s="1"/>
  <c r="H98" i="15"/>
  <c r="A98" i="15" s="1"/>
  <c r="H99" i="15"/>
  <c r="A99" i="15" s="1"/>
  <c r="H100" i="15"/>
  <c r="A100" i="15" s="1"/>
  <c r="H101" i="15"/>
  <c r="A101" i="15" s="1"/>
  <c r="H102" i="15"/>
  <c r="A102" i="15" s="1"/>
  <c r="H103" i="15"/>
  <c r="A103" i="15" s="1"/>
  <c r="H104" i="15"/>
  <c r="A104" i="15" s="1"/>
  <c r="H105" i="15"/>
  <c r="A105" i="15" s="1"/>
  <c r="H106" i="15"/>
  <c r="A106" i="15" s="1"/>
  <c r="H107" i="15"/>
  <c r="A107" i="15" s="1"/>
  <c r="H108" i="15"/>
  <c r="A108" i="15" s="1"/>
  <c r="H109" i="15"/>
  <c r="A109" i="15" s="1"/>
  <c r="H110" i="15"/>
  <c r="A110" i="15" s="1"/>
  <c r="H111" i="15"/>
  <c r="A111" i="15" s="1"/>
  <c r="H112" i="15"/>
  <c r="A112" i="15" s="1"/>
  <c r="H113" i="15"/>
  <c r="A113" i="15" s="1"/>
  <c r="H114" i="15"/>
  <c r="A114" i="15" s="1"/>
  <c r="H115" i="15"/>
  <c r="A115" i="15" s="1"/>
  <c r="H116" i="15"/>
  <c r="A116" i="15" s="1"/>
  <c r="H117" i="15"/>
  <c r="A117" i="15" s="1"/>
  <c r="H118" i="15"/>
  <c r="A118" i="15" s="1"/>
  <c r="H119" i="15"/>
  <c r="A119" i="15" s="1"/>
  <c r="H120" i="15"/>
  <c r="A120" i="15" s="1"/>
  <c r="H121" i="15"/>
  <c r="A121" i="15" s="1"/>
  <c r="H122" i="15"/>
  <c r="A122" i="15" s="1"/>
  <c r="H123" i="15"/>
  <c r="A123" i="15" s="1"/>
  <c r="H124" i="15"/>
  <c r="A124" i="15" s="1"/>
  <c r="H125" i="15"/>
  <c r="A125" i="15" s="1"/>
  <c r="H126" i="15"/>
  <c r="A126" i="15" s="1"/>
  <c r="H127" i="15"/>
  <c r="A127" i="15" s="1"/>
  <c r="H128" i="15"/>
  <c r="A128" i="15" s="1"/>
  <c r="H129" i="15"/>
  <c r="A129" i="15" s="1"/>
  <c r="H130" i="15"/>
  <c r="A130" i="15" s="1"/>
  <c r="H131" i="15"/>
  <c r="A131" i="15" s="1"/>
  <c r="H132" i="15"/>
  <c r="A132" i="15" s="1"/>
  <c r="H133" i="15"/>
  <c r="A133" i="15" s="1"/>
  <c r="H134" i="15"/>
  <c r="A134" i="15" s="1"/>
  <c r="H135" i="15"/>
  <c r="A135" i="15" s="1"/>
  <c r="H136" i="15"/>
  <c r="A136" i="15" s="1"/>
  <c r="H137" i="15"/>
  <c r="A137" i="15" s="1"/>
  <c r="H138" i="15"/>
  <c r="A138" i="15" s="1"/>
  <c r="H139" i="15"/>
  <c r="A139" i="15" s="1"/>
  <c r="H140" i="15"/>
  <c r="A140" i="15" s="1"/>
  <c r="H141" i="15"/>
  <c r="A141" i="15" s="1"/>
  <c r="H142" i="15"/>
  <c r="A142" i="15" s="1"/>
  <c r="H143" i="15"/>
  <c r="A143" i="15" s="1"/>
  <c r="H144" i="15"/>
  <c r="A144" i="15" s="1"/>
  <c r="H145" i="15"/>
  <c r="A145" i="15" s="1"/>
  <c r="H146" i="15"/>
  <c r="A146" i="15" s="1"/>
  <c r="H147" i="15"/>
  <c r="A147" i="15" s="1"/>
  <c r="H148" i="15"/>
  <c r="A148" i="15" s="1"/>
  <c r="H149" i="15"/>
  <c r="A149" i="15" s="1"/>
  <c r="H150" i="15"/>
  <c r="A150" i="15" s="1"/>
  <c r="H151" i="15"/>
  <c r="A151" i="15" s="1"/>
  <c r="H152" i="15"/>
  <c r="A152" i="15" s="1"/>
  <c r="H153" i="15"/>
  <c r="A153" i="15" s="1"/>
  <c r="H154" i="15"/>
  <c r="A154" i="15" s="1"/>
  <c r="H155" i="15"/>
  <c r="A155" i="15" s="1"/>
  <c r="H156" i="15"/>
  <c r="A156" i="15" s="1"/>
  <c r="H157" i="15"/>
  <c r="A157" i="15" s="1"/>
  <c r="H158" i="15"/>
  <c r="A158" i="15" s="1"/>
  <c r="H159" i="15"/>
  <c r="A159" i="15" s="1"/>
  <c r="H160" i="15"/>
  <c r="A160" i="15" s="1"/>
  <c r="H161" i="15"/>
  <c r="A161" i="15" s="1"/>
  <c r="H162" i="15"/>
  <c r="A162" i="15" s="1"/>
  <c r="H163" i="15"/>
  <c r="A163" i="15" s="1"/>
  <c r="H164" i="15"/>
  <c r="A164" i="15" s="1"/>
  <c r="H165" i="15"/>
  <c r="A165" i="15" s="1"/>
  <c r="H166" i="15"/>
  <c r="A166" i="15" s="1"/>
  <c r="H167" i="15"/>
  <c r="A167" i="15" s="1"/>
  <c r="H168" i="15"/>
  <c r="A168" i="15" s="1"/>
  <c r="H169" i="15"/>
  <c r="A169" i="15" s="1"/>
  <c r="H170" i="15"/>
  <c r="A170" i="15" s="1"/>
  <c r="H171" i="15"/>
  <c r="A171" i="15" s="1"/>
  <c r="H172" i="15"/>
  <c r="A172" i="15" s="1"/>
  <c r="H173" i="15"/>
  <c r="A173" i="15" s="1"/>
  <c r="H174" i="15"/>
  <c r="A174" i="15" s="1"/>
  <c r="H175" i="15"/>
  <c r="A175" i="15" s="1"/>
  <c r="H176" i="15"/>
  <c r="A176" i="15" s="1"/>
  <c r="H177" i="15"/>
  <c r="A177" i="15" s="1"/>
  <c r="H178" i="15"/>
  <c r="A178" i="15" s="1"/>
  <c r="H179" i="15"/>
  <c r="A179" i="15" s="1"/>
  <c r="H180" i="15"/>
  <c r="A180" i="15" s="1"/>
  <c r="H181" i="15"/>
  <c r="A181" i="15" s="1"/>
  <c r="H182" i="15"/>
  <c r="A182" i="15" s="1"/>
  <c r="H183" i="15"/>
  <c r="A183" i="15" s="1"/>
  <c r="H184" i="15"/>
  <c r="A184" i="15" s="1"/>
  <c r="H185" i="15"/>
  <c r="A185" i="15" s="1"/>
  <c r="H186" i="15"/>
  <c r="A186" i="15" s="1"/>
  <c r="H187" i="15"/>
  <c r="A187" i="15" s="1"/>
  <c r="H188" i="15"/>
  <c r="A188" i="15" s="1"/>
  <c r="H189" i="15"/>
  <c r="A189" i="15" s="1"/>
  <c r="H190" i="15"/>
  <c r="A190" i="15" s="1"/>
  <c r="H191" i="15"/>
  <c r="A191" i="15" s="1"/>
  <c r="H192" i="15"/>
  <c r="A192" i="15" s="1"/>
  <c r="H193" i="15"/>
  <c r="A193" i="15" s="1"/>
  <c r="H194" i="15"/>
  <c r="A194" i="15" s="1"/>
  <c r="H195" i="15"/>
  <c r="A195" i="15" s="1"/>
  <c r="H196" i="15"/>
  <c r="A196" i="15" s="1"/>
  <c r="H197" i="15"/>
  <c r="A197" i="15" s="1"/>
  <c r="H198" i="15"/>
  <c r="A198" i="15" s="1"/>
  <c r="H199" i="15"/>
  <c r="A199" i="15" s="1"/>
  <c r="H200" i="15"/>
  <c r="A200" i="15" s="1"/>
  <c r="H201" i="15"/>
  <c r="A201" i="15" s="1"/>
  <c r="H202" i="15"/>
  <c r="A202" i="15" s="1"/>
  <c r="H203" i="15"/>
  <c r="A203" i="15" s="1"/>
  <c r="H204" i="15"/>
  <c r="A204" i="15" s="1"/>
  <c r="H205" i="15"/>
  <c r="A205" i="15" s="1"/>
  <c r="H206" i="15"/>
  <c r="A206" i="15" s="1"/>
  <c r="H207" i="15"/>
  <c r="A207" i="15" s="1"/>
  <c r="H208" i="15"/>
  <c r="A208" i="15" s="1"/>
  <c r="H209" i="15"/>
  <c r="A209" i="15" s="1"/>
  <c r="H210" i="15"/>
  <c r="A210" i="15" s="1"/>
  <c r="H211" i="15"/>
  <c r="A211" i="15" s="1"/>
  <c r="H212" i="15"/>
  <c r="A212" i="15" s="1"/>
  <c r="H213" i="15"/>
  <c r="A213" i="15" s="1"/>
  <c r="H214" i="15"/>
  <c r="A214" i="15" s="1"/>
  <c r="H215" i="15"/>
  <c r="A215" i="15" s="1"/>
  <c r="H216" i="15"/>
  <c r="A216" i="15" s="1"/>
  <c r="H217" i="15"/>
  <c r="A217" i="15" s="1"/>
  <c r="H218" i="15"/>
  <c r="A218" i="15" s="1"/>
  <c r="H219" i="15"/>
  <c r="A219" i="15" s="1"/>
  <c r="H220" i="15"/>
  <c r="A220" i="15" s="1"/>
  <c r="H221" i="15"/>
  <c r="A221" i="15" s="1"/>
  <c r="H222" i="15"/>
  <c r="A222" i="15" s="1"/>
  <c r="H223" i="15"/>
  <c r="A223" i="15" s="1"/>
  <c r="H224" i="15"/>
  <c r="A224" i="15" s="1"/>
  <c r="H225" i="15"/>
  <c r="A225" i="15" s="1"/>
  <c r="H226" i="15"/>
  <c r="A226" i="15" s="1"/>
  <c r="H227" i="15"/>
  <c r="A227" i="15" s="1"/>
  <c r="H228" i="15"/>
  <c r="A228" i="15" s="1"/>
  <c r="H229" i="15"/>
  <c r="A229" i="15" s="1"/>
  <c r="H230" i="15"/>
  <c r="A230" i="15" s="1"/>
  <c r="H231" i="15"/>
  <c r="A231" i="15" s="1"/>
  <c r="H232" i="15"/>
  <c r="A232" i="15" s="1"/>
  <c r="H233" i="15"/>
  <c r="A233" i="15" s="1"/>
  <c r="H234" i="15"/>
  <c r="A234" i="15" s="1"/>
  <c r="H235" i="15"/>
  <c r="A235" i="15" s="1"/>
  <c r="H236" i="15"/>
  <c r="A236" i="15" s="1"/>
  <c r="H237" i="15"/>
  <c r="A237" i="15" s="1"/>
  <c r="H238" i="15"/>
  <c r="A238" i="15" s="1"/>
  <c r="H239" i="15"/>
  <c r="A239" i="15" s="1"/>
  <c r="H240" i="15"/>
  <c r="A240" i="15" s="1"/>
  <c r="H241" i="15"/>
  <c r="A241" i="15" s="1"/>
  <c r="H242" i="15"/>
  <c r="A242" i="15" s="1"/>
  <c r="H243" i="15"/>
  <c r="A243" i="15" s="1"/>
  <c r="H244" i="15"/>
  <c r="A244" i="15" s="1"/>
  <c r="H245" i="15"/>
  <c r="A245" i="15" s="1"/>
  <c r="H246" i="15"/>
  <c r="A246" i="15" s="1"/>
  <c r="H247" i="15"/>
  <c r="A247" i="15" s="1"/>
  <c r="H248" i="15"/>
  <c r="A248" i="15" s="1"/>
  <c r="H249" i="15"/>
  <c r="A249" i="15" s="1"/>
  <c r="H250" i="15"/>
  <c r="A250" i="15" s="1"/>
  <c r="H251" i="15"/>
  <c r="A251" i="15" s="1"/>
  <c r="H252" i="15"/>
  <c r="A252" i="15" s="1"/>
  <c r="H253" i="15"/>
  <c r="A253" i="15" s="1"/>
  <c r="H254" i="15"/>
  <c r="A254" i="15" s="1"/>
  <c r="H255" i="15"/>
  <c r="A255" i="15" s="1"/>
  <c r="H256" i="15"/>
  <c r="A256" i="15" s="1"/>
  <c r="H257" i="15"/>
  <c r="A257" i="15" s="1"/>
  <c r="H258" i="15"/>
  <c r="A258" i="15" s="1"/>
  <c r="H259" i="15"/>
  <c r="A259" i="15" s="1"/>
  <c r="H260" i="15"/>
  <c r="A260" i="15" s="1"/>
  <c r="H261" i="15"/>
  <c r="A261" i="15" s="1"/>
  <c r="H262" i="15"/>
  <c r="A262" i="15" s="1"/>
  <c r="H263" i="15"/>
  <c r="A263" i="15" s="1"/>
  <c r="H264" i="15"/>
  <c r="A264" i="15" s="1"/>
  <c r="H265" i="15"/>
  <c r="A265" i="15" s="1"/>
  <c r="H266" i="15"/>
  <c r="A266" i="15" s="1"/>
  <c r="H267" i="15"/>
  <c r="A267" i="15" s="1"/>
  <c r="H268" i="15"/>
  <c r="A268" i="15" s="1"/>
  <c r="H269" i="15"/>
  <c r="A269" i="15" s="1"/>
  <c r="H270" i="15"/>
  <c r="A270" i="15" s="1"/>
  <c r="H271" i="15"/>
  <c r="A271" i="15" s="1"/>
  <c r="H272" i="15"/>
  <c r="A272" i="15" s="1"/>
  <c r="H273" i="15"/>
  <c r="A273" i="15" s="1"/>
  <c r="H274" i="15"/>
  <c r="A274" i="15" s="1"/>
  <c r="H275" i="15"/>
  <c r="A275" i="15" s="1"/>
  <c r="H276" i="15"/>
  <c r="A276" i="15" s="1"/>
  <c r="H277" i="15"/>
  <c r="A277" i="15" s="1"/>
  <c r="H278" i="15"/>
  <c r="A278" i="15" s="1"/>
  <c r="H279" i="15"/>
  <c r="A279" i="15" s="1"/>
  <c r="H280" i="15"/>
  <c r="A280" i="15" s="1"/>
  <c r="H281" i="15"/>
  <c r="A281" i="15" s="1"/>
  <c r="H282" i="15"/>
  <c r="A282" i="15" s="1"/>
  <c r="H283" i="15"/>
  <c r="A283" i="15" s="1"/>
  <c r="H284" i="15"/>
  <c r="A284" i="15" s="1"/>
  <c r="H285" i="15"/>
  <c r="A285" i="15" s="1"/>
  <c r="H286" i="15"/>
  <c r="A286" i="15" s="1"/>
  <c r="H287" i="15"/>
  <c r="A287" i="15" s="1"/>
  <c r="H288" i="15"/>
  <c r="A288" i="15" s="1"/>
  <c r="H289" i="15"/>
  <c r="A289" i="15" s="1"/>
  <c r="H290" i="15"/>
  <c r="A290" i="15" s="1"/>
  <c r="H291" i="15"/>
  <c r="A291" i="15" s="1"/>
  <c r="H292" i="15"/>
  <c r="A292" i="15" s="1"/>
  <c r="H293" i="15"/>
  <c r="A293" i="15" s="1"/>
  <c r="H294" i="15"/>
  <c r="A294" i="15" s="1"/>
  <c r="H295" i="15"/>
  <c r="A295" i="15" s="1"/>
  <c r="H296" i="15"/>
  <c r="A296" i="15" s="1"/>
  <c r="H297" i="15"/>
  <c r="A297" i="15" s="1"/>
  <c r="H298" i="15"/>
  <c r="A298" i="15" s="1"/>
  <c r="H299" i="15"/>
  <c r="A299" i="15" s="1"/>
  <c r="H300" i="15"/>
  <c r="A300" i="15" s="1"/>
  <c r="H301" i="15"/>
  <c r="A301" i="15" s="1"/>
  <c r="H302" i="15"/>
  <c r="A302" i="15" s="1"/>
  <c r="H303" i="15"/>
  <c r="A303" i="15" s="1"/>
  <c r="H304" i="15"/>
  <c r="A304" i="15" s="1"/>
  <c r="H305" i="15"/>
  <c r="A305" i="15" s="1"/>
  <c r="H306" i="15"/>
  <c r="A306" i="15" s="1"/>
  <c r="H307" i="15"/>
  <c r="A307" i="15" s="1"/>
  <c r="H308" i="15"/>
  <c r="A308" i="15" s="1"/>
  <c r="H309" i="15"/>
  <c r="A309" i="15" s="1"/>
  <c r="H310" i="15"/>
  <c r="A310" i="15" s="1"/>
  <c r="H311" i="15"/>
  <c r="A311" i="15" s="1"/>
  <c r="H312" i="15"/>
  <c r="A312" i="15" s="1"/>
  <c r="H313" i="15"/>
  <c r="A313" i="15" s="1"/>
  <c r="H314" i="15"/>
  <c r="A314" i="15" s="1"/>
  <c r="H315" i="15"/>
  <c r="A315" i="15" s="1"/>
  <c r="H316" i="15"/>
  <c r="A316" i="15" s="1"/>
  <c r="H317" i="15"/>
  <c r="A317" i="15" s="1"/>
  <c r="H318" i="15"/>
  <c r="A318" i="15" s="1"/>
  <c r="H319" i="15"/>
  <c r="A319" i="15" s="1"/>
  <c r="H320" i="15"/>
  <c r="A320" i="15" s="1"/>
  <c r="H321" i="15"/>
  <c r="A321" i="15" s="1"/>
  <c r="H322" i="15"/>
  <c r="A322" i="15" s="1"/>
  <c r="H323" i="15"/>
  <c r="A323" i="15" s="1"/>
  <c r="H324" i="15"/>
  <c r="A324" i="15" s="1"/>
  <c r="H325" i="15"/>
  <c r="A325" i="15" s="1"/>
  <c r="H326" i="15"/>
  <c r="A326" i="15" s="1"/>
  <c r="H327" i="15"/>
  <c r="A327" i="15" s="1"/>
  <c r="H328" i="15"/>
  <c r="A328" i="15" s="1"/>
  <c r="H329" i="15"/>
  <c r="A329" i="15" s="1"/>
  <c r="H330" i="15"/>
  <c r="A330" i="15" s="1"/>
  <c r="H331" i="15"/>
  <c r="A331" i="15" s="1"/>
  <c r="H332" i="15"/>
  <c r="A332" i="15" s="1"/>
  <c r="H333" i="15"/>
  <c r="A333" i="15" s="1"/>
  <c r="H334" i="15"/>
  <c r="A334" i="15" s="1"/>
  <c r="H335" i="15"/>
  <c r="A335" i="15" s="1"/>
  <c r="H336" i="15"/>
  <c r="A336" i="15" s="1"/>
  <c r="H337" i="15"/>
  <c r="A337" i="15" s="1"/>
  <c r="H338" i="15"/>
  <c r="A338" i="15" s="1"/>
  <c r="H339" i="15"/>
  <c r="A339" i="15" s="1"/>
  <c r="H340" i="15"/>
  <c r="A340" i="15" s="1"/>
  <c r="H341" i="15"/>
  <c r="A341" i="15" s="1"/>
  <c r="H342" i="15"/>
  <c r="A342" i="15" s="1"/>
  <c r="H343" i="15"/>
  <c r="A343" i="15" s="1"/>
  <c r="H344" i="15"/>
  <c r="A344" i="15" s="1"/>
  <c r="H345" i="15"/>
  <c r="A345" i="15" s="1"/>
  <c r="H346" i="15"/>
  <c r="A346" i="15" s="1"/>
  <c r="H347" i="15"/>
  <c r="A347" i="15" s="1"/>
  <c r="H348" i="15"/>
  <c r="A348" i="15" s="1"/>
  <c r="H349" i="15"/>
  <c r="A349" i="15" s="1"/>
  <c r="H350" i="15"/>
  <c r="A350" i="15" s="1"/>
  <c r="H351" i="15"/>
  <c r="A351" i="15" s="1"/>
  <c r="H352" i="15"/>
  <c r="A352" i="15" s="1"/>
  <c r="H353" i="15"/>
  <c r="A353" i="15" s="1"/>
  <c r="H354" i="15"/>
  <c r="A354" i="15" s="1"/>
  <c r="H355" i="15"/>
  <c r="A355" i="15" s="1"/>
  <c r="H356" i="15"/>
  <c r="A356" i="15" s="1"/>
  <c r="H357" i="15"/>
  <c r="A357" i="15" s="1"/>
  <c r="H358" i="15"/>
  <c r="A358" i="15" s="1"/>
  <c r="H359" i="15"/>
  <c r="A359" i="15" s="1"/>
  <c r="H360" i="15"/>
  <c r="A360" i="15" s="1"/>
  <c r="H361" i="15"/>
  <c r="A361" i="15" s="1"/>
  <c r="H362" i="15"/>
  <c r="A362" i="15" s="1"/>
  <c r="H363" i="15"/>
  <c r="A363" i="15" s="1"/>
  <c r="H364" i="15"/>
  <c r="A364" i="15" s="1"/>
  <c r="H365" i="15"/>
  <c r="A365" i="15" s="1"/>
  <c r="H366" i="15"/>
  <c r="A366" i="15" s="1"/>
  <c r="H367" i="15"/>
  <c r="A367" i="15" s="1"/>
  <c r="H368" i="15"/>
  <c r="A368" i="15" s="1"/>
  <c r="H369" i="15"/>
  <c r="A369" i="15" s="1"/>
  <c r="H370" i="15"/>
  <c r="A370" i="15" s="1"/>
  <c r="H371" i="15"/>
  <c r="A371" i="15" s="1"/>
  <c r="H372" i="15"/>
  <c r="A372" i="15" s="1"/>
  <c r="H373" i="15"/>
  <c r="A373" i="15" s="1"/>
  <c r="H374" i="15"/>
  <c r="A374" i="15" s="1"/>
  <c r="H375" i="15"/>
  <c r="A375" i="15" s="1"/>
  <c r="H376" i="15"/>
  <c r="A376" i="15" s="1"/>
  <c r="H377" i="15"/>
  <c r="A377" i="15" s="1"/>
  <c r="H378" i="15"/>
  <c r="A378" i="15" s="1"/>
  <c r="H379" i="15"/>
  <c r="A379" i="15" s="1"/>
  <c r="H380" i="15"/>
  <c r="A380" i="15" s="1"/>
  <c r="H381" i="15"/>
  <c r="A381" i="15" s="1"/>
  <c r="H382" i="15"/>
  <c r="A382" i="15" s="1"/>
  <c r="H383" i="15"/>
  <c r="A383" i="15" s="1"/>
  <c r="H384" i="15"/>
  <c r="A384" i="15" s="1"/>
  <c r="H385" i="15"/>
  <c r="A385" i="15" s="1"/>
  <c r="H386" i="15"/>
  <c r="A386" i="15" s="1"/>
  <c r="H387" i="15"/>
  <c r="A387" i="15" s="1"/>
  <c r="H388" i="15"/>
  <c r="A388" i="15" s="1"/>
  <c r="H389" i="15"/>
  <c r="A389" i="15" s="1"/>
  <c r="H390" i="15"/>
  <c r="A390" i="15" s="1"/>
  <c r="H391" i="15"/>
  <c r="A391" i="15" s="1"/>
  <c r="H392" i="15"/>
  <c r="A392" i="15" s="1"/>
  <c r="H393" i="15"/>
  <c r="A393" i="15" s="1"/>
  <c r="H394" i="15"/>
  <c r="A394" i="15" s="1"/>
  <c r="H395" i="15"/>
  <c r="A395" i="15" s="1"/>
  <c r="H396" i="15"/>
  <c r="A396" i="15" s="1"/>
  <c r="H397" i="15"/>
  <c r="A397" i="15" s="1"/>
  <c r="H398" i="15"/>
  <c r="A398" i="15" s="1"/>
  <c r="H399" i="15"/>
  <c r="A399" i="15" s="1"/>
  <c r="H400" i="15"/>
  <c r="A400" i="15" s="1"/>
  <c r="H401" i="15"/>
  <c r="A401" i="15" s="1"/>
  <c r="H402" i="15"/>
  <c r="A402" i="15" s="1"/>
  <c r="H403" i="15"/>
  <c r="A403" i="15" s="1"/>
  <c r="H404" i="15"/>
  <c r="A404" i="15" s="1"/>
  <c r="H405" i="15"/>
  <c r="A405" i="15" s="1"/>
  <c r="H406" i="15"/>
  <c r="A406" i="15" s="1"/>
  <c r="H407" i="15"/>
  <c r="A407" i="15" s="1"/>
  <c r="H408" i="15"/>
  <c r="A408" i="15" s="1"/>
  <c r="H409" i="15"/>
  <c r="A409" i="15" s="1"/>
  <c r="H410" i="15"/>
  <c r="A410" i="15" s="1"/>
  <c r="H411" i="15"/>
  <c r="A411" i="15" s="1"/>
  <c r="H412" i="15"/>
  <c r="A412" i="15" s="1"/>
  <c r="H413" i="15"/>
  <c r="A413" i="15" s="1"/>
  <c r="H414" i="15"/>
  <c r="A414" i="15" s="1"/>
  <c r="H415" i="15"/>
  <c r="A415" i="15" s="1"/>
  <c r="H416" i="15"/>
  <c r="A416" i="15" s="1"/>
  <c r="H417" i="15"/>
  <c r="A417" i="15" s="1"/>
  <c r="H418" i="15"/>
  <c r="A418" i="15" s="1"/>
  <c r="H419" i="15"/>
  <c r="A419" i="15" s="1"/>
  <c r="H420" i="15"/>
  <c r="A420" i="15" s="1"/>
  <c r="H421" i="15"/>
  <c r="A421" i="15" s="1"/>
  <c r="H422" i="15"/>
  <c r="A422" i="15" s="1"/>
  <c r="H423" i="15"/>
  <c r="A423" i="15" s="1"/>
  <c r="H424" i="15"/>
  <c r="A424" i="15" s="1"/>
  <c r="H425" i="15"/>
  <c r="A425" i="15" s="1"/>
  <c r="H426" i="15"/>
  <c r="A426" i="15" s="1"/>
  <c r="H427" i="15"/>
  <c r="A427" i="15" s="1"/>
  <c r="H428" i="15"/>
  <c r="A428" i="15" s="1"/>
  <c r="H429" i="15"/>
  <c r="A429" i="15" s="1"/>
  <c r="H430" i="15"/>
  <c r="A430" i="15" s="1"/>
  <c r="H431" i="15"/>
  <c r="A431" i="15" s="1"/>
  <c r="H432" i="15"/>
  <c r="A432" i="15" s="1"/>
  <c r="H433" i="15"/>
  <c r="A433" i="15" s="1"/>
  <c r="H434" i="15"/>
  <c r="A434" i="15" s="1"/>
  <c r="H435" i="15"/>
  <c r="A435" i="15" s="1"/>
  <c r="H436" i="15"/>
  <c r="A436" i="15" s="1"/>
  <c r="H437" i="15"/>
  <c r="A437" i="15" s="1"/>
  <c r="H438" i="15"/>
  <c r="A438" i="15" s="1"/>
  <c r="H439" i="15"/>
  <c r="A439" i="15" s="1"/>
  <c r="H440" i="15"/>
  <c r="A440" i="15" s="1"/>
  <c r="H441" i="15"/>
  <c r="A441" i="15" s="1"/>
  <c r="H442" i="15"/>
  <c r="A442" i="15" s="1"/>
  <c r="H443" i="15"/>
  <c r="A443" i="15" s="1"/>
  <c r="H444" i="15"/>
  <c r="A444" i="15" s="1"/>
  <c r="H445" i="15"/>
  <c r="A445" i="15" s="1"/>
  <c r="H446" i="15"/>
  <c r="A446" i="15" s="1"/>
  <c r="H447" i="15"/>
  <c r="A447" i="15" s="1"/>
  <c r="H448" i="15"/>
  <c r="A448" i="15" s="1"/>
  <c r="H449" i="15"/>
  <c r="A449" i="15" s="1"/>
  <c r="H450" i="15"/>
  <c r="A450" i="15" s="1"/>
  <c r="H451" i="15"/>
  <c r="A451" i="15" s="1"/>
  <c r="H452" i="15"/>
  <c r="A452" i="15" s="1"/>
  <c r="H453" i="15"/>
  <c r="A453" i="15" s="1"/>
  <c r="H454" i="15"/>
  <c r="A454" i="15" s="1"/>
  <c r="H455" i="15"/>
  <c r="A455" i="15" s="1"/>
  <c r="H456" i="15"/>
  <c r="A456" i="15" s="1"/>
  <c r="H457" i="15"/>
  <c r="A457" i="15" s="1"/>
  <c r="H458" i="15"/>
  <c r="A458" i="15" s="1"/>
  <c r="H459" i="15"/>
  <c r="A459" i="15" s="1"/>
  <c r="H460" i="15"/>
  <c r="A460" i="15" s="1"/>
  <c r="H461" i="15"/>
  <c r="A461" i="15" s="1"/>
  <c r="H462" i="15"/>
  <c r="A462" i="15" s="1"/>
  <c r="H463" i="15"/>
  <c r="A463" i="15" s="1"/>
  <c r="H464" i="15"/>
  <c r="A464" i="15" s="1"/>
  <c r="H465" i="15"/>
  <c r="A465" i="15" s="1"/>
  <c r="H466" i="15"/>
  <c r="A466" i="15" s="1"/>
  <c r="H467" i="15"/>
  <c r="A467" i="15" s="1"/>
  <c r="H468" i="15"/>
  <c r="A468" i="15" s="1"/>
  <c r="H469" i="15"/>
  <c r="A469" i="15" s="1"/>
  <c r="H470" i="15"/>
  <c r="A470" i="15" s="1"/>
  <c r="H471" i="15"/>
  <c r="A471" i="15" s="1"/>
  <c r="H472" i="15"/>
  <c r="A472" i="15" s="1"/>
  <c r="H473" i="15"/>
  <c r="A473" i="15" s="1"/>
  <c r="H474" i="15"/>
  <c r="A474" i="15" s="1"/>
  <c r="H475" i="15"/>
  <c r="A475" i="15" s="1"/>
  <c r="H476" i="15"/>
  <c r="A476" i="15" s="1"/>
  <c r="H477" i="15"/>
  <c r="A477" i="15" s="1"/>
  <c r="H478" i="15"/>
  <c r="A478" i="15" s="1"/>
  <c r="H479" i="15"/>
  <c r="A479" i="15" s="1"/>
  <c r="H480" i="15"/>
  <c r="A480" i="15" s="1"/>
  <c r="H481" i="15"/>
  <c r="A481" i="15" s="1"/>
  <c r="H482" i="15"/>
  <c r="A482" i="15" s="1"/>
  <c r="H483" i="15"/>
  <c r="A483" i="15" s="1"/>
  <c r="H484" i="15"/>
  <c r="A484" i="15" s="1"/>
  <c r="H485" i="15"/>
  <c r="A485" i="15" s="1"/>
  <c r="H486" i="15"/>
  <c r="A486" i="15" s="1"/>
  <c r="H487" i="15"/>
  <c r="A487" i="15" s="1"/>
  <c r="H488" i="15"/>
  <c r="A488" i="15" s="1"/>
  <c r="H489" i="15"/>
  <c r="A489" i="15" s="1"/>
  <c r="H490" i="15"/>
  <c r="A490" i="15" s="1"/>
  <c r="H491" i="15"/>
  <c r="A491" i="15" s="1"/>
  <c r="H492" i="15"/>
  <c r="A492" i="15" s="1"/>
  <c r="H493" i="15"/>
  <c r="A493" i="15" s="1"/>
  <c r="H494" i="15"/>
  <c r="A494" i="15" s="1"/>
  <c r="H495" i="15"/>
  <c r="A495" i="15" s="1"/>
  <c r="H496" i="15"/>
  <c r="A496" i="15" s="1"/>
  <c r="H497" i="15"/>
  <c r="A497" i="15" s="1"/>
  <c r="H498" i="15"/>
  <c r="A498" i="15" s="1"/>
  <c r="H499" i="15"/>
  <c r="A499" i="15" s="1"/>
  <c r="H500" i="15"/>
  <c r="A500" i="15" s="1"/>
  <c r="H501" i="15"/>
  <c r="A501" i="15" s="1"/>
  <c r="H502" i="15"/>
  <c r="A502" i="15" s="1"/>
  <c r="H503" i="15"/>
  <c r="A503" i="15" s="1"/>
  <c r="H504" i="15"/>
  <c r="A504" i="15" s="1"/>
  <c r="H505" i="15"/>
  <c r="A505" i="15" s="1"/>
  <c r="H506" i="15"/>
  <c r="A506" i="15" s="1"/>
  <c r="H507" i="15"/>
  <c r="A507" i="15" s="1"/>
  <c r="H508" i="15"/>
  <c r="A508" i="15" s="1"/>
  <c r="H509" i="15"/>
  <c r="A509" i="15" s="1"/>
  <c r="H510" i="15"/>
  <c r="A510" i="15" s="1"/>
  <c r="H511" i="15"/>
  <c r="A511" i="15" s="1"/>
  <c r="H512" i="15"/>
  <c r="A512" i="15" s="1"/>
  <c r="H513" i="15"/>
  <c r="A513" i="15" s="1"/>
  <c r="H514" i="15"/>
  <c r="A514" i="15" s="1"/>
  <c r="H515" i="15"/>
  <c r="A515" i="15" s="1"/>
  <c r="H516" i="15"/>
  <c r="A516" i="15" s="1"/>
  <c r="H517" i="15"/>
  <c r="A517" i="15" s="1"/>
  <c r="H518" i="15"/>
  <c r="A518" i="15" s="1"/>
  <c r="H519" i="15"/>
  <c r="A519" i="15" s="1"/>
  <c r="H520" i="15"/>
  <c r="A520" i="15" s="1"/>
  <c r="H521" i="15"/>
  <c r="A521" i="15" s="1"/>
  <c r="H522" i="15"/>
  <c r="A522" i="15" s="1"/>
  <c r="H523" i="15"/>
  <c r="A523" i="15" s="1"/>
  <c r="H524" i="15"/>
  <c r="A524" i="15" s="1"/>
  <c r="H525" i="15"/>
  <c r="A525" i="15" s="1"/>
  <c r="H526" i="15"/>
  <c r="A526" i="15" s="1"/>
  <c r="H527" i="15"/>
  <c r="A527" i="15" s="1"/>
  <c r="H528" i="15"/>
  <c r="A528" i="15" s="1"/>
  <c r="H529" i="15"/>
  <c r="A529" i="15" s="1"/>
  <c r="H530" i="15"/>
  <c r="A530" i="15" s="1"/>
  <c r="H531" i="15"/>
  <c r="A531" i="15" s="1"/>
  <c r="H532" i="15"/>
  <c r="A532" i="15" s="1"/>
  <c r="H533" i="15"/>
  <c r="A533" i="15" s="1"/>
  <c r="H534" i="15"/>
  <c r="A534" i="15" s="1"/>
  <c r="H535" i="15"/>
  <c r="A535" i="15" s="1"/>
  <c r="H536" i="15"/>
  <c r="A536" i="15" s="1"/>
  <c r="H537" i="15"/>
  <c r="A537" i="15" s="1"/>
  <c r="H538" i="15"/>
  <c r="A538" i="15" s="1"/>
  <c r="H539" i="15"/>
  <c r="A539" i="15" s="1"/>
  <c r="H540" i="15"/>
  <c r="A540" i="15" s="1"/>
  <c r="H541" i="15"/>
  <c r="A541" i="15" s="1"/>
  <c r="H542" i="15"/>
  <c r="A542" i="15" s="1"/>
  <c r="H543" i="15"/>
  <c r="A543" i="15" s="1"/>
  <c r="H544" i="15"/>
  <c r="A544" i="15" s="1"/>
  <c r="H545" i="15"/>
  <c r="A545" i="15" s="1"/>
  <c r="H546" i="15"/>
  <c r="A546" i="15" s="1"/>
  <c r="H547" i="15"/>
  <c r="A547" i="15" s="1"/>
  <c r="H548" i="15"/>
  <c r="A548" i="15" s="1"/>
  <c r="H549" i="15"/>
  <c r="A549" i="15" s="1"/>
  <c r="H550" i="15"/>
  <c r="A550" i="15" s="1"/>
  <c r="H551" i="15"/>
  <c r="A551" i="15" s="1"/>
  <c r="H552" i="15"/>
  <c r="A552" i="15" s="1"/>
  <c r="H553" i="15"/>
  <c r="A553" i="15" s="1"/>
  <c r="H554" i="15"/>
  <c r="A554" i="15" s="1"/>
  <c r="H555" i="15"/>
  <c r="A555" i="15" s="1"/>
  <c r="H556" i="15"/>
  <c r="A556" i="15" s="1"/>
  <c r="H557" i="15"/>
  <c r="A557" i="15" s="1"/>
  <c r="H558" i="15"/>
  <c r="A558" i="15" s="1"/>
  <c r="H559" i="15"/>
  <c r="A559" i="15" s="1"/>
  <c r="H560" i="15"/>
  <c r="A560" i="15" s="1"/>
  <c r="H561" i="15"/>
  <c r="A561" i="15" s="1"/>
  <c r="H562" i="15"/>
  <c r="A562" i="15" s="1"/>
  <c r="H563" i="15"/>
  <c r="A563" i="15" s="1"/>
  <c r="H564" i="15"/>
  <c r="A564" i="15" s="1"/>
  <c r="H565" i="15"/>
  <c r="A565" i="15" s="1"/>
  <c r="H566" i="15"/>
  <c r="A566" i="15" s="1"/>
  <c r="H567" i="15"/>
  <c r="A567" i="15" s="1"/>
  <c r="H568" i="15"/>
  <c r="A568" i="15" s="1"/>
  <c r="H569" i="15"/>
  <c r="A569" i="15" s="1"/>
  <c r="H570" i="15"/>
  <c r="A570" i="15" s="1"/>
  <c r="H571" i="15"/>
  <c r="A571" i="15" s="1"/>
  <c r="H572" i="15"/>
  <c r="A572" i="15" s="1"/>
  <c r="H573" i="15"/>
  <c r="A573" i="15" s="1"/>
  <c r="H574" i="15"/>
  <c r="A574" i="15" s="1"/>
  <c r="H575" i="15"/>
  <c r="A575" i="15" s="1"/>
  <c r="H576" i="15"/>
  <c r="A576" i="15" s="1"/>
  <c r="H577" i="15"/>
  <c r="A577" i="15" s="1"/>
  <c r="H578" i="15"/>
  <c r="A578" i="15" s="1"/>
  <c r="H579" i="15"/>
  <c r="A579" i="15" s="1"/>
  <c r="H580" i="15"/>
  <c r="A580" i="15" s="1"/>
  <c r="H581" i="15"/>
  <c r="A581" i="15" s="1"/>
  <c r="H582" i="15"/>
  <c r="A582" i="15" s="1"/>
  <c r="H583" i="15"/>
  <c r="A583" i="15" s="1"/>
  <c r="H584" i="15"/>
  <c r="A584" i="15" s="1"/>
  <c r="H585" i="15"/>
  <c r="A585" i="15" s="1"/>
  <c r="H586" i="15"/>
  <c r="A586" i="15" s="1"/>
  <c r="H587" i="15"/>
  <c r="A587" i="15" s="1"/>
  <c r="H588" i="15"/>
  <c r="A588" i="15" s="1"/>
  <c r="H589" i="15"/>
  <c r="A589" i="15" s="1"/>
  <c r="H590" i="15"/>
  <c r="A590" i="15" s="1"/>
  <c r="H591" i="15"/>
  <c r="A591" i="15" s="1"/>
  <c r="H592" i="15"/>
  <c r="A592" i="15" s="1"/>
  <c r="H593" i="15"/>
  <c r="A593" i="15" s="1"/>
  <c r="H594" i="15"/>
  <c r="A594" i="15" s="1"/>
  <c r="H595" i="15"/>
  <c r="A595" i="15" s="1"/>
  <c r="H596" i="15"/>
  <c r="A596" i="15" s="1"/>
  <c r="H597" i="15"/>
  <c r="A597" i="15" s="1"/>
  <c r="H598" i="15"/>
  <c r="A598" i="15" s="1"/>
  <c r="H599" i="15"/>
  <c r="A599" i="15" s="1"/>
  <c r="H600" i="15"/>
  <c r="A600" i="15" s="1"/>
  <c r="H601" i="15"/>
  <c r="A601" i="15" s="1"/>
  <c r="H602" i="15"/>
  <c r="A602" i="15" s="1"/>
  <c r="H603" i="15"/>
  <c r="A603" i="15" s="1"/>
  <c r="H604" i="15"/>
  <c r="A604" i="15" s="1"/>
  <c r="H605" i="15"/>
  <c r="A605" i="15" s="1"/>
  <c r="H606" i="15"/>
  <c r="A606" i="15" s="1"/>
  <c r="H607" i="15"/>
  <c r="A607" i="15" s="1"/>
  <c r="H608" i="15"/>
  <c r="A608" i="15" s="1"/>
  <c r="H609" i="15"/>
  <c r="A609" i="15" s="1"/>
  <c r="H610" i="15"/>
  <c r="A610" i="15" s="1"/>
  <c r="H611" i="15"/>
  <c r="A611" i="15" s="1"/>
  <c r="H612" i="15"/>
  <c r="A612" i="15" s="1"/>
  <c r="H613" i="15"/>
  <c r="A613" i="15" s="1"/>
  <c r="H614" i="15"/>
  <c r="A614" i="15" s="1"/>
  <c r="H615" i="15"/>
  <c r="A615" i="15" s="1"/>
  <c r="H616" i="15"/>
  <c r="A616" i="15" s="1"/>
  <c r="H617" i="15"/>
  <c r="A617" i="15" s="1"/>
  <c r="H618" i="15"/>
  <c r="A618" i="15" s="1"/>
  <c r="H619" i="15"/>
  <c r="A619" i="15" s="1"/>
  <c r="H620" i="15"/>
  <c r="A620" i="15" s="1"/>
  <c r="H621" i="15"/>
  <c r="A621" i="15" s="1"/>
  <c r="H622" i="15"/>
  <c r="A622" i="15" s="1"/>
  <c r="H623" i="15"/>
  <c r="A623" i="15" s="1"/>
  <c r="H624" i="15"/>
  <c r="A624" i="15" s="1"/>
  <c r="H625" i="15"/>
  <c r="A625" i="15" s="1"/>
  <c r="H626" i="15"/>
  <c r="A626" i="15" s="1"/>
  <c r="H627" i="15"/>
  <c r="A627" i="15" s="1"/>
  <c r="H628" i="15"/>
  <c r="A628" i="15" s="1"/>
  <c r="H629" i="15"/>
  <c r="A629" i="15" s="1"/>
  <c r="H630" i="15"/>
  <c r="A630" i="15" s="1"/>
  <c r="H631" i="15"/>
  <c r="A631" i="15" s="1"/>
  <c r="H632" i="15"/>
  <c r="A632" i="15" s="1"/>
  <c r="H633" i="15"/>
  <c r="A633" i="15" s="1"/>
  <c r="H634" i="15"/>
  <c r="A634" i="15" s="1"/>
  <c r="H635" i="15"/>
  <c r="A635" i="15" s="1"/>
  <c r="H636" i="15"/>
  <c r="A636" i="15" s="1"/>
  <c r="H637" i="15"/>
  <c r="A637" i="15" s="1"/>
  <c r="H638" i="15"/>
  <c r="A638" i="15" s="1"/>
  <c r="H639" i="15"/>
  <c r="A639" i="15" s="1"/>
  <c r="H640" i="15"/>
  <c r="A640" i="15" s="1"/>
  <c r="H641" i="15"/>
  <c r="A641" i="15" s="1"/>
  <c r="H642" i="15"/>
  <c r="A642" i="15" s="1"/>
  <c r="H643" i="15"/>
  <c r="A643" i="15" s="1"/>
  <c r="H644" i="15"/>
  <c r="A644" i="15" s="1"/>
  <c r="H645" i="15"/>
  <c r="A645" i="15" s="1"/>
  <c r="H646" i="15"/>
  <c r="A646" i="15" s="1"/>
  <c r="H647" i="15"/>
  <c r="A647" i="15" s="1"/>
  <c r="H648" i="15"/>
  <c r="A648" i="15" s="1"/>
  <c r="H649" i="15"/>
  <c r="A649" i="15" s="1"/>
  <c r="H650" i="15"/>
  <c r="A650" i="15" s="1"/>
  <c r="H651" i="15"/>
  <c r="A651" i="15" s="1"/>
  <c r="H652" i="15"/>
  <c r="A652" i="15" s="1"/>
  <c r="H653" i="15"/>
  <c r="A653" i="15" s="1"/>
  <c r="H654" i="15"/>
  <c r="A654" i="15" s="1"/>
  <c r="H655" i="15"/>
  <c r="A655" i="15" s="1"/>
  <c r="H656" i="15"/>
  <c r="A656" i="15" s="1"/>
  <c r="H657" i="15"/>
  <c r="A657" i="15" s="1"/>
  <c r="H658" i="15"/>
  <c r="A658" i="15" s="1"/>
  <c r="H659" i="15"/>
  <c r="A659" i="15" s="1"/>
  <c r="H660" i="15"/>
  <c r="A660" i="15" s="1"/>
  <c r="H661" i="15"/>
  <c r="A661" i="15" s="1"/>
  <c r="H662" i="15"/>
  <c r="A662" i="15" s="1"/>
  <c r="H663" i="15"/>
  <c r="A663" i="15" s="1"/>
  <c r="H664" i="15"/>
  <c r="A664" i="15" s="1"/>
  <c r="H665" i="15"/>
  <c r="A665" i="15" s="1"/>
  <c r="H666" i="15"/>
  <c r="A666" i="15" s="1"/>
  <c r="H667" i="15"/>
  <c r="A667" i="15" s="1"/>
  <c r="H668" i="15"/>
  <c r="A668" i="15" s="1"/>
  <c r="H669" i="15"/>
  <c r="A669" i="15" s="1"/>
  <c r="H670" i="15"/>
  <c r="A670" i="15" s="1"/>
  <c r="H671" i="15"/>
  <c r="A671" i="15" s="1"/>
  <c r="H672" i="15"/>
  <c r="A672" i="15" s="1"/>
  <c r="H673" i="15"/>
  <c r="A673" i="15" s="1"/>
  <c r="H674" i="15"/>
  <c r="A674" i="15" s="1"/>
  <c r="H675" i="15"/>
  <c r="A675" i="15" s="1"/>
  <c r="H676" i="15"/>
  <c r="A676" i="15" s="1"/>
  <c r="H677" i="15"/>
  <c r="A677" i="15" s="1"/>
  <c r="H678" i="15"/>
  <c r="A678" i="15" s="1"/>
  <c r="H679" i="15"/>
  <c r="A679" i="15" s="1"/>
  <c r="H680" i="15"/>
  <c r="A680" i="15" s="1"/>
  <c r="H681" i="15"/>
  <c r="A681" i="15" s="1"/>
  <c r="H682" i="15"/>
  <c r="A682" i="15" s="1"/>
  <c r="H683" i="15"/>
  <c r="A683" i="15" s="1"/>
  <c r="H684" i="15"/>
  <c r="A684" i="15" s="1"/>
  <c r="H685" i="15"/>
  <c r="A685" i="15" s="1"/>
  <c r="H686" i="15"/>
  <c r="A686" i="15" s="1"/>
  <c r="H687" i="15"/>
  <c r="A687" i="15" s="1"/>
  <c r="H688" i="15"/>
  <c r="A688" i="15" s="1"/>
  <c r="H689" i="15"/>
  <c r="A689" i="15" s="1"/>
  <c r="H690" i="15"/>
  <c r="A690" i="15" s="1"/>
  <c r="H691" i="15"/>
  <c r="A691" i="15" s="1"/>
  <c r="H692" i="15"/>
  <c r="A692" i="15" s="1"/>
  <c r="H693" i="15"/>
  <c r="A693" i="15" s="1"/>
  <c r="H694" i="15"/>
  <c r="A694" i="15" s="1"/>
  <c r="H695" i="15"/>
  <c r="A695" i="15" s="1"/>
  <c r="H696" i="15"/>
  <c r="A696" i="15" s="1"/>
  <c r="H697" i="15"/>
  <c r="A697" i="15" s="1"/>
  <c r="H698" i="15"/>
  <c r="A698" i="15" s="1"/>
  <c r="H699" i="15"/>
  <c r="A699" i="15" s="1"/>
  <c r="H700" i="15"/>
  <c r="A700" i="15" s="1"/>
  <c r="H701" i="15"/>
  <c r="A701" i="15" s="1"/>
  <c r="H702" i="15"/>
  <c r="A702" i="15" s="1"/>
  <c r="H703" i="15"/>
  <c r="A703" i="15" s="1"/>
  <c r="H704" i="15"/>
  <c r="A704" i="15" s="1"/>
  <c r="H705" i="15"/>
  <c r="A705" i="15" s="1"/>
  <c r="H706" i="15"/>
  <c r="A706" i="15" s="1"/>
  <c r="H707" i="15"/>
  <c r="A707" i="15" s="1"/>
  <c r="H708" i="15"/>
  <c r="A708" i="15" s="1"/>
  <c r="H709" i="15"/>
  <c r="A709" i="15" s="1"/>
  <c r="H710" i="15"/>
  <c r="A710" i="15" s="1"/>
  <c r="H711" i="15"/>
  <c r="A711" i="15" s="1"/>
  <c r="H712" i="15"/>
  <c r="A712" i="15" s="1"/>
  <c r="H713" i="15"/>
  <c r="A713" i="15" s="1"/>
  <c r="H714" i="15"/>
  <c r="A714" i="15" s="1"/>
  <c r="H715" i="15"/>
  <c r="A715" i="15" s="1"/>
  <c r="H716" i="15"/>
  <c r="A716" i="15" s="1"/>
  <c r="H717" i="15"/>
  <c r="A717" i="15" s="1"/>
  <c r="H718" i="15"/>
  <c r="A718" i="15" s="1"/>
  <c r="H719" i="15"/>
  <c r="A719" i="15" s="1"/>
  <c r="H720" i="15"/>
  <c r="A720" i="15" s="1"/>
  <c r="H721" i="15"/>
  <c r="A721" i="15" s="1"/>
  <c r="H722" i="15"/>
  <c r="A722" i="15" s="1"/>
  <c r="H723" i="15"/>
  <c r="A723" i="15" s="1"/>
  <c r="H724" i="15"/>
  <c r="A724" i="15" s="1"/>
  <c r="H725" i="15"/>
  <c r="A725" i="15" s="1"/>
  <c r="H726" i="15"/>
  <c r="A726" i="15" s="1"/>
  <c r="H727" i="15"/>
  <c r="A727" i="15" s="1"/>
  <c r="H728" i="15"/>
  <c r="A728" i="15" s="1"/>
  <c r="H729" i="15"/>
  <c r="A729" i="15" s="1"/>
  <c r="H730" i="15"/>
  <c r="A730" i="15" s="1"/>
  <c r="H731" i="15"/>
  <c r="A731" i="15" s="1"/>
  <c r="H732" i="15"/>
  <c r="A732" i="15" s="1"/>
  <c r="H733" i="15"/>
  <c r="A733" i="15" s="1"/>
  <c r="H734" i="15"/>
  <c r="A734" i="15" s="1"/>
  <c r="H735" i="15"/>
  <c r="A735" i="15" s="1"/>
  <c r="H736" i="15"/>
  <c r="A736" i="15" s="1"/>
  <c r="H737" i="15"/>
  <c r="A737" i="15" s="1"/>
  <c r="H738" i="15"/>
  <c r="A738" i="15" s="1"/>
  <c r="H739" i="15"/>
  <c r="A739" i="15" s="1"/>
  <c r="H740" i="15"/>
  <c r="A740" i="15" s="1"/>
  <c r="H741" i="15"/>
  <c r="A741" i="15" s="1"/>
  <c r="H742" i="15"/>
  <c r="A742" i="15" s="1"/>
  <c r="H743" i="15"/>
  <c r="A743" i="15" s="1"/>
  <c r="H744" i="15"/>
  <c r="A744" i="15" s="1"/>
  <c r="H745" i="15"/>
  <c r="A745" i="15" s="1"/>
  <c r="H746" i="15"/>
  <c r="A746" i="15" s="1"/>
  <c r="H747" i="15"/>
  <c r="A747" i="15" s="1"/>
  <c r="H748" i="15"/>
  <c r="A748" i="15" s="1"/>
  <c r="H749" i="15"/>
  <c r="A749" i="15" s="1"/>
  <c r="H750" i="15"/>
  <c r="A750" i="15" s="1"/>
  <c r="H751" i="15"/>
  <c r="A751" i="15" s="1"/>
  <c r="H752" i="15"/>
  <c r="A752" i="15" s="1"/>
  <c r="H753" i="15"/>
  <c r="A753" i="15" s="1"/>
  <c r="H754" i="15"/>
  <c r="A754" i="15" s="1"/>
  <c r="H755" i="15"/>
  <c r="A755" i="15" s="1"/>
  <c r="H756" i="15"/>
  <c r="A756" i="15" s="1"/>
  <c r="H757" i="15"/>
  <c r="A757" i="15" s="1"/>
  <c r="H758" i="15"/>
  <c r="A758" i="15" s="1"/>
  <c r="H759" i="15"/>
  <c r="A759" i="15" s="1"/>
  <c r="H760" i="15"/>
  <c r="A760" i="15" s="1"/>
  <c r="H761" i="15"/>
  <c r="A761" i="15" s="1"/>
  <c r="H762" i="15"/>
  <c r="A762" i="15" s="1"/>
  <c r="H763" i="15"/>
  <c r="A763" i="15" s="1"/>
  <c r="H764" i="15"/>
  <c r="A764" i="15" s="1"/>
  <c r="H765" i="15"/>
  <c r="A765" i="15" s="1"/>
  <c r="H766" i="15"/>
  <c r="A766" i="15" s="1"/>
  <c r="H767" i="15"/>
  <c r="A767" i="15" s="1"/>
  <c r="H768" i="15"/>
  <c r="A768" i="15" s="1"/>
  <c r="H769" i="15"/>
  <c r="A769" i="15" s="1"/>
  <c r="H770" i="15"/>
  <c r="A770" i="15" s="1"/>
  <c r="H771" i="15"/>
  <c r="A771" i="15" s="1"/>
  <c r="H772" i="15"/>
  <c r="A772" i="15" s="1"/>
  <c r="H773" i="15"/>
  <c r="A773" i="15" s="1"/>
  <c r="H774" i="15"/>
  <c r="A774" i="15" s="1"/>
  <c r="H775" i="15"/>
  <c r="A775" i="15" s="1"/>
  <c r="H776" i="15"/>
  <c r="A776" i="15" s="1"/>
  <c r="H777" i="15"/>
  <c r="A777" i="15" s="1"/>
  <c r="H778" i="15"/>
  <c r="A778" i="15" s="1"/>
  <c r="H779" i="15"/>
  <c r="A779" i="15" s="1"/>
  <c r="H780" i="15"/>
  <c r="A780" i="15" s="1"/>
  <c r="H781" i="15"/>
  <c r="A781" i="15" s="1"/>
  <c r="H782" i="15"/>
  <c r="A782" i="15" s="1"/>
  <c r="H783" i="15"/>
  <c r="A783" i="15" s="1"/>
  <c r="H784" i="15"/>
  <c r="A784" i="15" s="1"/>
  <c r="H785" i="15"/>
  <c r="A785" i="15" s="1"/>
  <c r="H786" i="15"/>
  <c r="A786" i="15" s="1"/>
  <c r="H787" i="15"/>
  <c r="A787" i="15" s="1"/>
  <c r="H788" i="15"/>
  <c r="A788" i="15" s="1"/>
  <c r="H789" i="15"/>
  <c r="A789" i="15" s="1"/>
  <c r="H790" i="15"/>
  <c r="A790" i="15" s="1"/>
  <c r="H791" i="15"/>
  <c r="A791" i="15" s="1"/>
  <c r="H792" i="15"/>
  <c r="A792" i="15" s="1"/>
  <c r="H793" i="15"/>
  <c r="A793" i="15" s="1"/>
  <c r="H794" i="15"/>
  <c r="A794" i="15" s="1"/>
  <c r="H795" i="15"/>
  <c r="A795" i="15" s="1"/>
  <c r="H796" i="15"/>
  <c r="A796" i="15" s="1"/>
  <c r="H797" i="15"/>
  <c r="A797" i="15" s="1"/>
  <c r="H798" i="15"/>
  <c r="A798" i="15" s="1"/>
  <c r="H799" i="15"/>
  <c r="A799" i="15" s="1"/>
  <c r="H800" i="15"/>
  <c r="A800" i="15" s="1"/>
  <c r="H801" i="15"/>
  <c r="A801" i="15" s="1"/>
  <c r="H802" i="15"/>
  <c r="A802" i="15" s="1"/>
  <c r="H803" i="15"/>
  <c r="A803" i="15" s="1"/>
  <c r="H804" i="15"/>
  <c r="A804" i="15" s="1"/>
  <c r="H805" i="15"/>
  <c r="A805" i="15" s="1"/>
  <c r="H806" i="15"/>
  <c r="A806" i="15" s="1"/>
  <c r="H807" i="15"/>
  <c r="A807" i="15" s="1"/>
  <c r="H808" i="15"/>
  <c r="A808" i="15" s="1"/>
  <c r="H809" i="15"/>
  <c r="A809" i="15" s="1"/>
  <c r="H810" i="15"/>
  <c r="A810" i="15" s="1"/>
  <c r="H811" i="15"/>
  <c r="A811" i="15" s="1"/>
  <c r="H812" i="15"/>
  <c r="A812" i="15" s="1"/>
  <c r="H813" i="15"/>
  <c r="A813" i="15" s="1"/>
  <c r="H814" i="15"/>
  <c r="A814" i="15" s="1"/>
  <c r="H815" i="15"/>
  <c r="A815" i="15" s="1"/>
  <c r="H816" i="15"/>
  <c r="A816" i="15" s="1"/>
  <c r="H817" i="15"/>
  <c r="A817" i="15" s="1"/>
  <c r="H818" i="15"/>
  <c r="A818" i="15" s="1"/>
  <c r="H819" i="15"/>
  <c r="A819" i="15" s="1"/>
  <c r="H820" i="15"/>
  <c r="A820" i="15" s="1"/>
  <c r="H821" i="15"/>
  <c r="A821" i="15" s="1"/>
  <c r="H822" i="15"/>
  <c r="A822" i="15" s="1"/>
  <c r="H823" i="15"/>
  <c r="A823" i="15" s="1"/>
  <c r="H824" i="15"/>
  <c r="A824" i="15" s="1"/>
  <c r="H825" i="15"/>
  <c r="A825" i="15" s="1"/>
  <c r="H826" i="15"/>
  <c r="A826" i="15" s="1"/>
  <c r="H827" i="15"/>
  <c r="A827" i="15" s="1"/>
  <c r="H828" i="15"/>
  <c r="A828" i="15" s="1"/>
  <c r="H829" i="15"/>
  <c r="A829" i="15" s="1"/>
  <c r="H830" i="15"/>
  <c r="A830" i="15" s="1"/>
  <c r="H831" i="15"/>
  <c r="A831" i="15" s="1"/>
  <c r="H832" i="15"/>
  <c r="A832" i="15" s="1"/>
  <c r="H833" i="15"/>
  <c r="A833" i="15" s="1"/>
  <c r="H834" i="15"/>
  <c r="A834" i="15" s="1"/>
  <c r="H835" i="15"/>
  <c r="A835" i="15" s="1"/>
  <c r="H836" i="15"/>
  <c r="A836" i="15" s="1"/>
  <c r="H837" i="15"/>
  <c r="A837" i="15" s="1"/>
  <c r="H838" i="15"/>
  <c r="A838" i="15" s="1"/>
  <c r="H839" i="15"/>
  <c r="A839" i="15" s="1"/>
  <c r="H840" i="15"/>
  <c r="A840" i="15" s="1"/>
  <c r="H841" i="15"/>
  <c r="A841" i="15" s="1"/>
  <c r="H842" i="15"/>
  <c r="A842" i="15" s="1"/>
  <c r="H843" i="15"/>
  <c r="A843" i="15" s="1"/>
  <c r="H844" i="15"/>
  <c r="A844" i="15" s="1"/>
  <c r="H845" i="15"/>
  <c r="A845" i="15" s="1"/>
  <c r="H846" i="15"/>
  <c r="A846" i="15" s="1"/>
  <c r="H847" i="15"/>
  <c r="A847" i="15" s="1"/>
  <c r="H848" i="15"/>
  <c r="A848" i="15" s="1"/>
  <c r="H849" i="15"/>
  <c r="A849" i="15" s="1"/>
  <c r="H850" i="15"/>
  <c r="A850" i="15" s="1"/>
  <c r="H851" i="15"/>
  <c r="A851" i="15" s="1"/>
  <c r="H852" i="15"/>
  <c r="A852" i="15" s="1"/>
  <c r="H853" i="15"/>
  <c r="A853" i="15" s="1"/>
  <c r="H854" i="15"/>
  <c r="A854" i="15" s="1"/>
  <c r="H855" i="15"/>
  <c r="A855" i="15" s="1"/>
  <c r="H856" i="15"/>
  <c r="A856" i="15" s="1"/>
  <c r="H857" i="15"/>
  <c r="A857" i="15" s="1"/>
  <c r="H858" i="15"/>
  <c r="A858" i="15" s="1"/>
  <c r="H859" i="15"/>
  <c r="A859" i="15" s="1"/>
  <c r="H860" i="15"/>
  <c r="A860" i="15" s="1"/>
  <c r="H861" i="15"/>
  <c r="A861" i="15" s="1"/>
  <c r="H862" i="15"/>
  <c r="A862" i="15" s="1"/>
  <c r="H863" i="15"/>
  <c r="A863" i="15" s="1"/>
  <c r="H864" i="15"/>
  <c r="A864" i="15" s="1"/>
  <c r="H865" i="15"/>
  <c r="A865" i="15" s="1"/>
  <c r="H866" i="15"/>
  <c r="A866" i="15" s="1"/>
  <c r="H867" i="15"/>
  <c r="A867" i="15" s="1"/>
  <c r="H868" i="15"/>
  <c r="A868" i="15" s="1"/>
  <c r="H869" i="15"/>
  <c r="A869" i="15" s="1"/>
  <c r="H870" i="15"/>
  <c r="A870" i="15" s="1"/>
  <c r="H871" i="15"/>
  <c r="A871" i="15" s="1"/>
  <c r="H872" i="15"/>
  <c r="A872" i="15" s="1"/>
  <c r="H873" i="15"/>
  <c r="A873" i="15" s="1"/>
  <c r="H874" i="15"/>
  <c r="A874" i="15" s="1"/>
  <c r="H875" i="15"/>
  <c r="A875" i="15" s="1"/>
  <c r="H876" i="15"/>
  <c r="A876" i="15" s="1"/>
  <c r="H877" i="15"/>
  <c r="A877" i="15" s="1"/>
  <c r="H878" i="15"/>
  <c r="A878" i="15" s="1"/>
  <c r="H879" i="15"/>
  <c r="A879" i="15" s="1"/>
  <c r="H880" i="15"/>
  <c r="A880" i="15" s="1"/>
  <c r="H881" i="15"/>
  <c r="A881" i="15" s="1"/>
  <c r="H882" i="15"/>
  <c r="A882" i="15" s="1"/>
  <c r="H883" i="15"/>
  <c r="A883" i="15" s="1"/>
  <c r="H884" i="15"/>
  <c r="A884" i="15" s="1"/>
  <c r="H885" i="15"/>
  <c r="A885" i="15" s="1"/>
  <c r="H886" i="15"/>
  <c r="A886" i="15" s="1"/>
  <c r="H887" i="15"/>
  <c r="A887" i="15" s="1"/>
  <c r="H888" i="15"/>
  <c r="A888" i="15" s="1"/>
  <c r="H889" i="15"/>
  <c r="A889" i="15" s="1"/>
  <c r="H890" i="15"/>
  <c r="A890" i="15" s="1"/>
  <c r="H891" i="15"/>
  <c r="A891" i="15" s="1"/>
  <c r="H892" i="15"/>
  <c r="A892" i="15" s="1"/>
  <c r="H893" i="15"/>
  <c r="A893" i="15" s="1"/>
  <c r="H894" i="15"/>
  <c r="A894" i="15" s="1"/>
  <c r="H895" i="15"/>
  <c r="A895" i="15" s="1"/>
  <c r="H896" i="15"/>
  <c r="A896" i="15" s="1"/>
  <c r="H897" i="15"/>
  <c r="A897" i="15" s="1"/>
  <c r="H898" i="15"/>
  <c r="A898" i="15" s="1"/>
  <c r="H899" i="15"/>
  <c r="A899" i="15" s="1"/>
  <c r="H900" i="15"/>
  <c r="A900" i="15" s="1"/>
  <c r="H901" i="15"/>
  <c r="A901" i="15" s="1"/>
  <c r="H902" i="15"/>
  <c r="A902" i="15" s="1"/>
  <c r="H903" i="15"/>
  <c r="A903" i="15" s="1"/>
  <c r="H904" i="15"/>
  <c r="A904" i="15" s="1"/>
  <c r="H905" i="15"/>
  <c r="A905" i="15" s="1"/>
  <c r="H906" i="15"/>
  <c r="A906" i="15" s="1"/>
  <c r="H907" i="15"/>
  <c r="A907" i="15" s="1"/>
  <c r="H908" i="15"/>
  <c r="A908" i="15" s="1"/>
  <c r="H909" i="15"/>
  <c r="A909" i="15" s="1"/>
  <c r="H910" i="15"/>
  <c r="A910" i="15" s="1"/>
  <c r="H911" i="15"/>
  <c r="A911" i="15" s="1"/>
  <c r="H912" i="15"/>
  <c r="A912" i="15" s="1"/>
  <c r="H913" i="15"/>
  <c r="A913" i="15" s="1"/>
  <c r="H914" i="15"/>
  <c r="A914" i="15" s="1"/>
  <c r="H915" i="15"/>
  <c r="A915" i="15" s="1"/>
  <c r="H916" i="15"/>
  <c r="A916" i="15" s="1"/>
  <c r="H917" i="15"/>
  <c r="A917" i="15" s="1"/>
  <c r="H918" i="15"/>
  <c r="A918" i="15" s="1"/>
  <c r="H919" i="15"/>
  <c r="A919" i="15" s="1"/>
  <c r="H920" i="15"/>
  <c r="A920" i="15" s="1"/>
  <c r="H921" i="15"/>
  <c r="A921" i="15" s="1"/>
  <c r="H922" i="15"/>
  <c r="A922" i="15" s="1"/>
  <c r="H923" i="15"/>
  <c r="A923" i="15" s="1"/>
  <c r="H924" i="15"/>
  <c r="A924" i="15" s="1"/>
  <c r="H925" i="15"/>
  <c r="A925" i="15" s="1"/>
  <c r="H926" i="15"/>
  <c r="A926" i="15" s="1"/>
  <c r="H927" i="15"/>
  <c r="A927" i="15" s="1"/>
  <c r="H928" i="15"/>
  <c r="A928" i="15" s="1"/>
  <c r="H929" i="15"/>
  <c r="A929" i="15" s="1"/>
  <c r="H930" i="15"/>
  <c r="A930" i="15" s="1"/>
  <c r="H931" i="15"/>
  <c r="A931" i="15" s="1"/>
  <c r="H932" i="15"/>
  <c r="A932" i="15" s="1"/>
  <c r="H933" i="15"/>
  <c r="A933" i="15" s="1"/>
  <c r="H934" i="15"/>
  <c r="A934" i="15" s="1"/>
  <c r="H935" i="15"/>
  <c r="A935" i="15" s="1"/>
  <c r="H936" i="15"/>
  <c r="A936" i="15" s="1"/>
  <c r="H937" i="15"/>
  <c r="A937" i="15" s="1"/>
  <c r="H938" i="15"/>
  <c r="A938" i="15" s="1"/>
  <c r="H939" i="15"/>
  <c r="A939" i="15" s="1"/>
  <c r="H940" i="15"/>
  <c r="A940" i="15" s="1"/>
  <c r="H941" i="15"/>
  <c r="A941" i="15" s="1"/>
  <c r="H942" i="15"/>
  <c r="A942" i="15" s="1"/>
  <c r="H943" i="15"/>
  <c r="A943" i="15" s="1"/>
  <c r="H944" i="15"/>
  <c r="A944" i="15" s="1"/>
  <c r="H945" i="15"/>
  <c r="A945" i="15" s="1"/>
  <c r="H946" i="15"/>
  <c r="A946" i="15" s="1"/>
  <c r="H947" i="15"/>
  <c r="A947" i="15" s="1"/>
  <c r="H948" i="15"/>
  <c r="A948" i="15" s="1"/>
  <c r="H949" i="15"/>
  <c r="A949" i="15" s="1"/>
  <c r="H950" i="15"/>
  <c r="A950" i="15" s="1"/>
  <c r="H951" i="15"/>
  <c r="A951" i="15" s="1"/>
  <c r="H952" i="15"/>
  <c r="A952" i="15" s="1"/>
  <c r="H953" i="15"/>
  <c r="A953" i="15" s="1"/>
  <c r="H954" i="15"/>
  <c r="A954" i="15" s="1"/>
  <c r="H955" i="15"/>
  <c r="A955" i="15" s="1"/>
  <c r="H956" i="15"/>
  <c r="A956" i="15" s="1"/>
  <c r="H957" i="15"/>
  <c r="A957" i="15" s="1"/>
  <c r="H958" i="15"/>
  <c r="A958" i="15" s="1"/>
  <c r="H959" i="15"/>
  <c r="A959" i="15" s="1"/>
  <c r="H960" i="15"/>
  <c r="A960" i="15" s="1"/>
  <c r="H961" i="15"/>
  <c r="A961" i="15" s="1"/>
  <c r="H962" i="15"/>
  <c r="A962" i="15" s="1"/>
  <c r="H963" i="15"/>
  <c r="A963" i="15" s="1"/>
  <c r="H964" i="15"/>
  <c r="A964" i="15" s="1"/>
  <c r="H965" i="15"/>
  <c r="A965" i="15" s="1"/>
  <c r="H966" i="15"/>
  <c r="A966" i="15" s="1"/>
  <c r="H967" i="15"/>
  <c r="A967" i="15" s="1"/>
  <c r="H968" i="15"/>
  <c r="A968" i="15" s="1"/>
  <c r="H969" i="15"/>
  <c r="A969" i="15" s="1"/>
  <c r="H970" i="15"/>
  <c r="A970" i="15" s="1"/>
  <c r="H971" i="15"/>
  <c r="A971" i="15" s="1"/>
  <c r="H972" i="15"/>
  <c r="A972" i="15" s="1"/>
  <c r="H973" i="15"/>
  <c r="A973" i="15" s="1"/>
  <c r="H974" i="15"/>
  <c r="A974" i="15" s="1"/>
  <c r="H975" i="15"/>
  <c r="A975" i="15" s="1"/>
  <c r="H976" i="15"/>
  <c r="A976" i="15" s="1"/>
  <c r="H977" i="15"/>
  <c r="A977" i="15" s="1"/>
  <c r="H978" i="15"/>
  <c r="A978" i="15" s="1"/>
  <c r="H979" i="15"/>
  <c r="A979" i="15" s="1"/>
  <c r="H980" i="15"/>
  <c r="A980" i="15" s="1"/>
  <c r="H981" i="15"/>
  <c r="A981" i="15" s="1"/>
  <c r="H982" i="15"/>
  <c r="A982" i="15" s="1"/>
  <c r="H983" i="15"/>
  <c r="A983" i="15" s="1"/>
  <c r="H984" i="15"/>
  <c r="A984" i="15" s="1"/>
  <c r="H985" i="15"/>
  <c r="A985" i="15" s="1"/>
  <c r="H986" i="15"/>
  <c r="A986" i="15" s="1"/>
  <c r="H987" i="15"/>
  <c r="A987" i="15" s="1"/>
  <c r="H988" i="15"/>
  <c r="A988" i="15" s="1"/>
  <c r="H989" i="15"/>
  <c r="A989" i="15" s="1"/>
  <c r="H990" i="15"/>
  <c r="A990" i="15" s="1"/>
  <c r="H991" i="15"/>
  <c r="A991" i="15" s="1"/>
  <c r="H992" i="15"/>
  <c r="A992" i="15" s="1"/>
  <c r="H993" i="15"/>
  <c r="A993" i="15" s="1"/>
  <c r="H994" i="15"/>
  <c r="A994" i="15" s="1"/>
  <c r="H995" i="15"/>
  <c r="A995" i="15" s="1"/>
  <c r="H996" i="15"/>
  <c r="A996" i="15" s="1"/>
  <c r="H997" i="15"/>
  <c r="A997" i="15" s="1"/>
  <c r="H998" i="15"/>
  <c r="A998" i="15" s="1"/>
  <c r="H999" i="15"/>
  <c r="A999" i="15" s="1"/>
  <c r="H1000" i="15"/>
  <c r="A1000" i="15" s="1"/>
  <c r="H1001" i="15"/>
  <c r="A1001" i="15" s="1"/>
  <c r="H1002" i="15"/>
  <c r="A1002" i="15" s="1"/>
  <c r="H1003" i="15"/>
  <c r="A1003" i="15" s="1"/>
  <c r="H1004" i="15"/>
  <c r="A1004" i="15" s="1"/>
  <c r="H1005" i="15"/>
  <c r="A1005" i="15" s="1"/>
  <c r="H1006" i="15"/>
  <c r="A1006" i="15" s="1"/>
  <c r="H1007" i="15"/>
  <c r="A1007" i="15" s="1"/>
  <c r="H1008" i="15"/>
  <c r="A1008" i="15" s="1"/>
  <c r="H1009" i="15"/>
  <c r="A1009" i="15" s="1"/>
  <c r="H1010" i="15"/>
  <c r="A1010" i="15" s="1"/>
  <c r="H1011" i="15"/>
  <c r="A1011" i="15" s="1"/>
  <c r="H1012" i="15"/>
  <c r="A1012" i="15" s="1"/>
  <c r="H1013" i="15"/>
  <c r="A1013" i="15" s="1"/>
  <c r="H1014" i="15"/>
  <c r="A1014" i="15" s="1"/>
  <c r="H1015" i="15"/>
  <c r="A1015" i="15" s="1"/>
  <c r="H1016" i="15"/>
  <c r="A1016" i="15" s="1"/>
  <c r="H1017" i="15"/>
  <c r="A1017" i="15" s="1"/>
  <c r="H1018" i="15"/>
  <c r="A1018" i="15" s="1"/>
  <c r="H1019" i="15"/>
  <c r="A1019" i="15" s="1"/>
  <c r="H1020" i="15"/>
  <c r="A1020" i="15" s="1"/>
  <c r="H1021" i="15"/>
  <c r="A1021" i="15" s="1"/>
  <c r="H1022" i="15"/>
  <c r="A1022" i="15" s="1"/>
  <c r="H1023" i="15"/>
  <c r="A1023" i="15" s="1"/>
  <c r="H1024" i="15"/>
  <c r="A1024" i="15" s="1"/>
  <c r="H1025" i="15"/>
  <c r="A1025" i="15" s="1"/>
  <c r="H1026" i="15"/>
  <c r="A1026" i="15" s="1"/>
  <c r="H1027" i="15"/>
  <c r="A1027" i="15" s="1"/>
  <c r="H1028" i="15"/>
  <c r="A1028" i="15" s="1"/>
  <c r="H1029" i="15"/>
  <c r="A1029" i="15" s="1"/>
  <c r="H1030" i="15"/>
  <c r="A1030" i="15" s="1"/>
  <c r="H1031" i="15"/>
  <c r="A1031" i="15" s="1"/>
  <c r="H1032" i="15"/>
  <c r="A1032" i="15" s="1"/>
  <c r="H1033" i="15"/>
  <c r="A1033" i="15" s="1"/>
  <c r="H1034" i="15"/>
  <c r="A1034" i="15" s="1"/>
  <c r="H1035" i="15"/>
  <c r="A1035" i="15" s="1"/>
  <c r="H1036" i="15"/>
  <c r="A1036" i="15" s="1"/>
  <c r="H1037" i="15"/>
  <c r="A1037" i="15" s="1"/>
  <c r="H1038" i="15"/>
  <c r="A1038" i="15" s="1"/>
  <c r="H1039" i="15"/>
  <c r="A1039" i="15" s="1"/>
  <c r="H1040" i="15"/>
  <c r="A1040" i="15" s="1"/>
  <c r="H1041" i="15"/>
  <c r="A1041" i="15" s="1"/>
  <c r="H1042" i="15"/>
  <c r="A1042" i="15" s="1"/>
  <c r="H1043" i="15"/>
  <c r="A1043" i="15" s="1"/>
  <c r="H1044" i="15"/>
  <c r="A1044" i="15" s="1"/>
  <c r="H1045" i="15"/>
  <c r="A1045" i="15" s="1"/>
  <c r="H1046" i="15"/>
  <c r="A1046" i="15" s="1"/>
  <c r="H1047" i="15"/>
  <c r="A1047" i="15" s="1"/>
  <c r="H1048" i="15"/>
  <c r="A1048" i="15" s="1"/>
  <c r="H1049" i="15"/>
  <c r="A1049" i="15" s="1"/>
  <c r="H1050" i="15"/>
  <c r="A1050" i="15" s="1"/>
  <c r="H1051" i="15"/>
  <c r="A1051" i="15" s="1"/>
  <c r="H1052" i="15"/>
  <c r="A1052" i="15" s="1"/>
  <c r="H1053" i="15"/>
  <c r="A1053" i="15" s="1"/>
  <c r="H1054" i="15"/>
  <c r="A1054" i="15" s="1"/>
  <c r="H1055" i="15"/>
  <c r="A1055" i="15" s="1"/>
  <c r="H1056" i="15"/>
  <c r="A1056" i="15" s="1"/>
  <c r="H1057" i="15"/>
  <c r="A1057" i="15" s="1"/>
  <c r="H1058" i="15"/>
  <c r="A1058" i="15" s="1"/>
  <c r="H1059" i="15"/>
  <c r="A1059" i="15" s="1"/>
  <c r="H1060" i="15"/>
  <c r="A1060" i="15" s="1"/>
  <c r="H1061" i="15"/>
  <c r="A1061" i="15" s="1"/>
  <c r="H1062" i="15"/>
  <c r="A1062" i="15" s="1"/>
  <c r="H1063" i="15"/>
  <c r="A1063" i="15" s="1"/>
  <c r="H1064" i="15"/>
  <c r="A1064" i="15" s="1"/>
  <c r="H1065" i="15"/>
  <c r="A1065" i="15" s="1"/>
  <c r="H1066" i="15"/>
  <c r="A1066" i="15" s="1"/>
  <c r="H1067" i="15"/>
  <c r="A1067" i="15" s="1"/>
  <c r="H1068" i="15"/>
  <c r="A1068" i="15" s="1"/>
  <c r="H1069" i="15"/>
  <c r="A1069" i="15" s="1"/>
  <c r="H1070" i="15"/>
  <c r="A1070" i="15" s="1"/>
  <c r="H1071" i="15"/>
  <c r="A1071" i="15" s="1"/>
  <c r="H1072" i="15"/>
  <c r="A1072" i="15" s="1"/>
  <c r="H1073" i="15"/>
  <c r="A1073" i="15" s="1"/>
  <c r="H1074" i="15"/>
  <c r="A1074" i="15" s="1"/>
  <c r="H1075" i="15"/>
  <c r="A1075" i="15" s="1"/>
  <c r="H1076" i="15"/>
  <c r="A1076" i="15" s="1"/>
  <c r="H1077" i="15"/>
  <c r="A1077" i="15" s="1"/>
  <c r="H1078" i="15"/>
  <c r="A1078" i="15" s="1"/>
  <c r="H1079" i="15"/>
  <c r="A1079" i="15" s="1"/>
  <c r="H1080" i="15"/>
  <c r="A1080" i="15" s="1"/>
  <c r="H1081" i="15"/>
  <c r="A1081" i="15" s="1"/>
  <c r="H1082" i="15"/>
  <c r="A1082" i="15" s="1"/>
  <c r="H1083" i="15"/>
  <c r="A1083" i="15" s="1"/>
  <c r="H1084" i="15"/>
  <c r="A1084" i="15" s="1"/>
  <c r="H1085" i="15"/>
  <c r="A1085" i="15" s="1"/>
  <c r="H1086" i="15"/>
  <c r="A1086" i="15" s="1"/>
  <c r="H1087" i="15"/>
  <c r="A1087" i="15" s="1"/>
  <c r="H1088" i="15"/>
  <c r="A1088" i="15" s="1"/>
  <c r="H1089" i="15"/>
  <c r="A1089" i="15" s="1"/>
  <c r="H1090" i="15"/>
  <c r="A1090" i="15" s="1"/>
  <c r="H1091" i="15"/>
  <c r="A1091" i="15" s="1"/>
  <c r="H1092" i="15"/>
  <c r="A1092" i="15" s="1"/>
  <c r="H1093" i="15"/>
  <c r="A1093" i="15" s="1"/>
  <c r="H1094" i="15"/>
  <c r="A1094" i="15" s="1"/>
  <c r="H1095" i="15"/>
  <c r="A1095" i="15" s="1"/>
  <c r="H1096" i="15"/>
  <c r="A1096" i="15" s="1"/>
  <c r="H1097" i="15"/>
  <c r="A1097" i="15" s="1"/>
  <c r="H1098" i="15"/>
  <c r="A1098" i="15" s="1"/>
  <c r="H1099" i="15"/>
  <c r="A1099" i="15" s="1"/>
  <c r="H1100" i="15"/>
  <c r="A1100" i="15" s="1"/>
  <c r="H1101" i="15"/>
  <c r="A1101" i="15" s="1"/>
  <c r="H1102" i="15"/>
  <c r="A1102" i="15" s="1"/>
  <c r="H1103" i="15"/>
  <c r="A1103" i="15" s="1"/>
  <c r="H1104" i="15"/>
  <c r="A1104" i="15" s="1"/>
  <c r="H1105" i="15"/>
  <c r="A1105" i="15" s="1"/>
  <c r="H1106" i="15"/>
  <c r="A1106" i="15" s="1"/>
  <c r="H1107" i="15"/>
  <c r="A1107" i="15" s="1"/>
  <c r="H1108" i="15"/>
  <c r="A1108" i="15" s="1"/>
  <c r="H1109" i="15"/>
  <c r="A1109" i="15" s="1"/>
  <c r="H1110" i="15"/>
  <c r="A1110" i="15" s="1"/>
  <c r="H1111" i="15"/>
  <c r="A1111" i="15" s="1"/>
  <c r="H1112" i="15"/>
  <c r="A1112" i="15" s="1"/>
  <c r="H1113" i="15"/>
  <c r="A1113" i="15" s="1"/>
  <c r="H1114" i="15"/>
  <c r="A1114" i="15" s="1"/>
  <c r="H1115" i="15"/>
  <c r="A1115" i="15" s="1"/>
  <c r="H1116" i="15"/>
  <c r="A1116" i="15" s="1"/>
  <c r="H1117" i="15"/>
  <c r="A1117" i="15" s="1"/>
  <c r="H1118" i="15"/>
  <c r="A1118" i="15" s="1"/>
  <c r="H1119" i="15"/>
  <c r="A1119" i="15" s="1"/>
  <c r="H1120" i="15"/>
  <c r="A1120" i="15" s="1"/>
  <c r="H1121" i="15"/>
  <c r="A1121" i="15" s="1"/>
  <c r="H1122" i="15"/>
  <c r="A1122" i="15" s="1"/>
  <c r="H1123" i="15"/>
  <c r="A1123" i="15" s="1"/>
  <c r="H1124" i="15"/>
  <c r="A1124" i="15" s="1"/>
  <c r="H1125" i="15"/>
  <c r="A1125" i="15" s="1"/>
  <c r="H1126" i="15"/>
  <c r="A1126" i="15" s="1"/>
  <c r="H1127" i="15"/>
  <c r="A1127" i="15" s="1"/>
  <c r="H1128" i="15"/>
  <c r="A1128" i="15" s="1"/>
  <c r="H1129" i="15"/>
  <c r="A1129" i="15" s="1"/>
  <c r="H1130" i="15"/>
  <c r="A1130" i="15" s="1"/>
  <c r="H1131" i="15"/>
  <c r="A1131" i="15" s="1"/>
  <c r="H1132" i="15"/>
  <c r="A1132" i="15" s="1"/>
  <c r="H1133" i="15"/>
  <c r="A1133" i="15" s="1"/>
  <c r="H1134" i="15"/>
  <c r="A1134" i="15" s="1"/>
  <c r="H1135" i="15"/>
  <c r="A1135" i="15" s="1"/>
  <c r="H1136" i="15"/>
  <c r="A1136" i="15" s="1"/>
  <c r="H1137" i="15"/>
  <c r="A1137" i="15" s="1"/>
  <c r="H1138" i="15"/>
  <c r="A1138" i="15" s="1"/>
  <c r="H1139" i="15"/>
  <c r="A1139" i="15" s="1"/>
  <c r="H1140" i="15"/>
  <c r="A1140" i="15" s="1"/>
  <c r="H1141" i="15"/>
  <c r="A1141" i="15" s="1"/>
  <c r="H1142" i="15"/>
  <c r="A1142" i="15" s="1"/>
  <c r="H1143" i="15"/>
  <c r="A1143" i="15" s="1"/>
  <c r="H1144" i="15"/>
  <c r="A1144" i="15" s="1"/>
  <c r="H1145" i="15"/>
  <c r="A1145" i="15" s="1"/>
  <c r="H1146" i="15"/>
  <c r="A1146" i="15" s="1"/>
  <c r="H1147" i="15"/>
  <c r="A1147" i="15" s="1"/>
  <c r="H1148" i="15"/>
  <c r="A1148" i="15" s="1"/>
  <c r="H1149" i="15"/>
  <c r="A1149" i="15" s="1"/>
  <c r="H1150" i="15"/>
  <c r="A1150" i="15" s="1"/>
  <c r="H1151" i="15"/>
  <c r="A1151" i="15" s="1"/>
  <c r="H1152" i="15"/>
  <c r="A1152" i="15" s="1"/>
  <c r="H1153" i="15"/>
  <c r="A1153" i="15" s="1"/>
  <c r="H1154" i="15"/>
  <c r="A1154" i="15" s="1"/>
  <c r="H1155" i="15"/>
  <c r="A1155" i="15" s="1"/>
  <c r="H1156" i="15"/>
  <c r="A1156" i="15" s="1"/>
  <c r="H1157" i="15"/>
  <c r="A1157" i="15" s="1"/>
  <c r="H1158" i="15"/>
  <c r="A1158" i="15" s="1"/>
  <c r="H1159" i="15"/>
  <c r="A1159" i="15" s="1"/>
  <c r="H1160" i="15"/>
  <c r="A1160" i="15" s="1"/>
  <c r="H1161" i="15"/>
  <c r="A1161" i="15" s="1"/>
  <c r="H1162" i="15"/>
  <c r="A1162" i="15" s="1"/>
  <c r="H1163" i="15"/>
  <c r="A1163" i="15" s="1"/>
  <c r="H1164" i="15"/>
  <c r="A1164" i="15" s="1"/>
  <c r="H1165" i="15"/>
  <c r="A1165" i="15" s="1"/>
  <c r="H1166" i="15"/>
  <c r="A1166" i="15" s="1"/>
  <c r="H1167" i="15"/>
  <c r="A1167" i="15" s="1"/>
  <c r="H1168" i="15"/>
  <c r="A1168" i="15" s="1"/>
  <c r="H1169" i="15"/>
  <c r="A1169" i="15" s="1"/>
  <c r="H1170" i="15"/>
  <c r="A1170" i="15" s="1"/>
  <c r="H1171" i="15"/>
  <c r="A1171" i="15" s="1"/>
  <c r="H1172" i="15"/>
  <c r="A1172" i="15" s="1"/>
  <c r="H1173" i="15"/>
  <c r="A1173" i="15" s="1"/>
  <c r="H1174" i="15"/>
  <c r="A1174" i="15" s="1"/>
  <c r="H1175" i="15"/>
  <c r="A1175" i="15" s="1"/>
  <c r="H1176" i="15"/>
  <c r="A1176" i="15" s="1"/>
  <c r="H1177" i="15"/>
  <c r="A1177" i="15" s="1"/>
  <c r="H1178" i="15"/>
  <c r="A1178" i="15" s="1"/>
  <c r="H1179" i="15"/>
  <c r="A1179" i="15" s="1"/>
  <c r="H1180" i="15"/>
  <c r="A1180" i="15" s="1"/>
  <c r="H1181" i="15"/>
  <c r="A1181" i="15" s="1"/>
  <c r="H1182" i="15"/>
  <c r="A1182" i="15" s="1"/>
  <c r="H1183" i="15"/>
  <c r="A1183" i="15" s="1"/>
  <c r="H1184" i="15"/>
  <c r="A1184" i="15" s="1"/>
  <c r="H1185" i="15"/>
  <c r="A1185" i="15" s="1"/>
  <c r="H1186" i="15"/>
  <c r="A1186" i="15" s="1"/>
  <c r="H1187" i="15"/>
  <c r="A1187" i="15" s="1"/>
  <c r="H1188" i="15"/>
  <c r="A1188" i="15" s="1"/>
  <c r="H1189" i="15"/>
  <c r="A1189" i="15" s="1"/>
  <c r="H1190" i="15"/>
  <c r="A1190" i="15" s="1"/>
  <c r="H1191" i="15"/>
  <c r="A1191" i="15" s="1"/>
  <c r="H1192" i="15"/>
  <c r="A1192" i="15" s="1"/>
  <c r="H1193" i="15"/>
  <c r="A1193" i="15" s="1"/>
  <c r="H1194" i="15"/>
  <c r="A1194" i="15" s="1"/>
  <c r="H1195" i="15"/>
  <c r="A1195" i="15" s="1"/>
  <c r="H1196" i="15"/>
  <c r="A1196" i="15" s="1"/>
  <c r="H1197" i="15"/>
  <c r="A1197" i="15" s="1"/>
  <c r="H1198" i="15"/>
  <c r="A1198" i="15" s="1"/>
  <c r="H1199" i="15"/>
  <c r="A1199" i="15" s="1"/>
  <c r="H1200" i="15"/>
  <c r="A1200" i="15" s="1"/>
  <c r="H1201" i="15"/>
  <c r="A1201" i="15" s="1"/>
  <c r="H1202" i="15"/>
  <c r="A1202" i="15" s="1"/>
  <c r="H1203" i="15"/>
  <c r="A1203" i="15" s="1"/>
  <c r="H1204" i="15"/>
  <c r="A1204" i="15" s="1"/>
  <c r="H1205" i="15"/>
  <c r="A1205" i="15" s="1"/>
  <c r="H1206" i="15"/>
  <c r="A1206" i="15" s="1"/>
  <c r="H1207" i="15"/>
  <c r="A1207" i="15" s="1"/>
  <c r="H1208" i="15"/>
  <c r="A1208" i="15" s="1"/>
  <c r="H1209" i="15"/>
  <c r="A1209" i="15" s="1"/>
  <c r="H1210" i="15"/>
  <c r="A1210" i="15" s="1"/>
  <c r="H1211" i="15"/>
  <c r="A1211" i="15" s="1"/>
  <c r="H1212" i="15"/>
  <c r="A1212" i="15" s="1"/>
  <c r="H1213" i="15"/>
  <c r="A1213" i="15" s="1"/>
  <c r="H1214" i="15"/>
  <c r="A1214" i="15" s="1"/>
  <c r="H1215" i="15"/>
  <c r="A1215" i="15" s="1"/>
  <c r="H1216" i="15"/>
  <c r="A1216" i="15" s="1"/>
  <c r="H1217" i="15"/>
  <c r="A1217" i="15" s="1"/>
  <c r="H1218" i="15"/>
  <c r="A1218" i="15" s="1"/>
  <c r="H1219" i="15"/>
  <c r="A1219" i="15" s="1"/>
  <c r="H1220" i="15"/>
  <c r="A1220" i="15" s="1"/>
  <c r="H1221" i="15"/>
  <c r="A1221" i="15" s="1"/>
  <c r="H1222" i="15"/>
  <c r="A1222" i="15" s="1"/>
  <c r="H1223" i="15"/>
  <c r="A1223" i="15" s="1"/>
  <c r="H1224" i="15"/>
  <c r="A1224" i="15" s="1"/>
  <c r="H1225" i="15"/>
  <c r="A1225" i="15" s="1"/>
  <c r="H1226" i="15"/>
  <c r="A1226" i="15" s="1"/>
  <c r="H1227" i="15"/>
  <c r="A1227" i="15" s="1"/>
  <c r="H1228" i="15"/>
  <c r="A1228" i="15" s="1"/>
  <c r="H1229" i="15"/>
  <c r="A1229" i="15" s="1"/>
  <c r="H1230" i="15"/>
  <c r="A1230" i="15" s="1"/>
  <c r="H1231" i="15"/>
  <c r="A1231" i="15" s="1"/>
  <c r="H1232" i="15"/>
  <c r="A1232" i="15" s="1"/>
  <c r="H1233" i="15"/>
  <c r="A1233" i="15" s="1"/>
  <c r="H1234" i="15"/>
  <c r="A1234" i="15" s="1"/>
  <c r="H1235" i="15"/>
  <c r="A1235" i="15" s="1"/>
  <c r="H1236" i="15"/>
  <c r="A1236" i="15" s="1"/>
  <c r="H1237" i="15"/>
  <c r="A1237" i="15" s="1"/>
  <c r="H1238" i="15"/>
  <c r="A1238" i="15" s="1"/>
  <c r="H1239" i="15"/>
  <c r="A1239" i="15" s="1"/>
  <c r="H1240" i="15"/>
  <c r="A1240" i="15" s="1"/>
  <c r="H1241" i="15"/>
  <c r="A1241" i="15" s="1"/>
  <c r="H1242" i="15"/>
  <c r="A1242" i="15" s="1"/>
  <c r="H1243" i="15"/>
  <c r="A1243" i="15" s="1"/>
  <c r="H1244" i="15"/>
  <c r="A1244" i="15" s="1"/>
  <c r="H1245" i="15"/>
  <c r="A1245" i="15" s="1"/>
  <c r="H1246" i="15"/>
  <c r="A1246" i="15" s="1"/>
  <c r="H1247" i="15"/>
  <c r="A1247" i="15" s="1"/>
  <c r="H1248" i="15"/>
  <c r="A1248" i="15" s="1"/>
  <c r="H1249" i="15"/>
  <c r="A1249" i="15" s="1"/>
  <c r="H1250" i="15"/>
  <c r="A1250" i="15" s="1"/>
  <c r="H1251" i="15"/>
  <c r="A1251" i="15" s="1"/>
  <c r="H1252" i="15"/>
  <c r="A1252" i="15" s="1"/>
  <c r="H1253" i="15"/>
  <c r="A1253" i="15" s="1"/>
  <c r="H1254" i="15"/>
  <c r="A1254" i="15" s="1"/>
  <c r="H1255" i="15"/>
  <c r="A1255" i="15" s="1"/>
  <c r="H1256" i="15"/>
  <c r="A1256" i="15" s="1"/>
  <c r="H1257" i="15"/>
  <c r="A1257" i="15" s="1"/>
  <c r="H1258" i="15"/>
  <c r="A1258" i="15" s="1"/>
  <c r="H1259" i="15"/>
  <c r="A1259" i="15" s="1"/>
  <c r="H1260" i="15"/>
  <c r="A1260" i="15" s="1"/>
  <c r="H1261" i="15"/>
  <c r="A1261" i="15" s="1"/>
  <c r="H1262" i="15"/>
  <c r="A1262" i="15" s="1"/>
  <c r="H1263" i="15"/>
  <c r="A1263" i="15" s="1"/>
  <c r="H1264" i="15"/>
  <c r="A1264" i="15" s="1"/>
  <c r="H1265" i="15"/>
  <c r="A1265" i="15" s="1"/>
  <c r="H1266" i="15"/>
  <c r="A1266" i="15" s="1"/>
  <c r="H1267" i="15"/>
  <c r="A1267" i="15" s="1"/>
  <c r="H1268" i="15"/>
  <c r="A1268" i="15" s="1"/>
  <c r="H1269" i="15"/>
  <c r="A1269" i="15" s="1"/>
  <c r="H1270" i="15"/>
  <c r="A1270" i="15" s="1"/>
  <c r="H1271" i="15"/>
  <c r="A1271" i="15" s="1"/>
  <c r="H1272" i="15"/>
  <c r="A1272" i="15" s="1"/>
  <c r="H1273" i="15"/>
  <c r="A1273" i="15" s="1"/>
  <c r="H1274" i="15"/>
  <c r="A1274" i="15" s="1"/>
  <c r="H1275" i="15"/>
  <c r="A1275" i="15" s="1"/>
  <c r="H1276" i="15"/>
  <c r="A1276" i="15" s="1"/>
  <c r="H1277" i="15"/>
  <c r="A1277" i="15" s="1"/>
  <c r="H1278" i="15"/>
  <c r="A1278" i="15" s="1"/>
  <c r="H1279" i="15"/>
  <c r="A1279" i="15" s="1"/>
  <c r="H1280" i="15"/>
  <c r="A1280" i="15" s="1"/>
  <c r="H1281" i="15"/>
  <c r="A1281" i="15" s="1"/>
  <c r="H1282" i="15"/>
  <c r="A1282" i="15" s="1"/>
  <c r="H1283" i="15"/>
  <c r="A1283" i="15" s="1"/>
  <c r="H1284" i="15"/>
  <c r="A1284" i="15" s="1"/>
  <c r="H1285" i="15"/>
  <c r="A1285" i="15" s="1"/>
  <c r="H1286" i="15"/>
  <c r="A1286" i="15" s="1"/>
  <c r="H1287" i="15"/>
  <c r="A1287" i="15" s="1"/>
  <c r="H1288" i="15"/>
  <c r="A1288" i="15" s="1"/>
  <c r="H1289" i="15"/>
  <c r="A1289" i="15" s="1"/>
  <c r="H1290" i="15"/>
  <c r="A1290" i="15" s="1"/>
  <c r="H1291" i="15"/>
  <c r="A1291" i="15" s="1"/>
  <c r="H1292" i="15"/>
  <c r="A1292" i="15" s="1"/>
  <c r="H1293" i="15"/>
  <c r="A1293" i="15" s="1"/>
  <c r="H1294" i="15"/>
  <c r="A1294" i="15" s="1"/>
  <c r="H1295" i="15"/>
  <c r="A1295" i="15" s="1"/>
  <c r="H1296" i="15"/>
  <c r="A1296" i="15" s="1"/>
  <c r="H1297" i="15"/>
  <c r="A1297" i="15" s="1"/>
  <c r="H1298" i="15"/>
  <c r="A1298" i="15" s="1"/>
  <c r="H1299" i="15"/>
  <c r="A1299" i="15" s="1"/>
  <c r="H1300" i="15"/>
  <c r="A1300" i="15" s="1"/>
  <c r="H1301" i="15"/>
  <c r="A1301" i="15" s="1"/>
  <c r="H1302" i="15"/>
  <c r="A1302" i="15" s="1"/>
  <c r="H1303" i="15"/>
  <c r="A1303" i="15" s="1"/>
  <c r="H1304" i="15"/>
  <c r="A1304" i="15" s="1"/>
  <c r="H1305" i="15"/>
  <c r="A1305" i="15" s="1"/>
  <c r="H1306" i="15"/>
  <c r="A1306" i="15" s="1"/>
  <c r="H1307" i="15"/>
  <c r="A1307" i="15" s="1"/>
  <c r="H1308" i="15"/>
  <c r="A1308" i="15" s="1"/>
  <c r="H1309" i="15"/>
  <c r="A1309" i="15" s="1"/>
  <c r="H1310" i="15"/>
  <c r="A1310" i="15" s="1"/>
  <c r="H1311" i="15"/>
  <c r="A1311" i="15" s="1"/>
  <c r="H1312" i="15"/>
  <c r="A1312" i="15" s="1"/>
  <c r="H1313" i="15"/>
  <c r="A1313" i="15" s="1"/>
  <c r="H1314" i="15"/>
  <c r="A1314" i="15" s="1"/>
  <c r="H1315" i="15"/>
  <c r="A1315" i="15" s="1"/>
  <c r="H1316" i="15"/>
  <c r="A1316" i="15" s="1"/>
  <c r="H1317" i="15"/>
  <c r="A1317" i="15" s="1"/>
  <c r="H1318" i="15"/>
  <c r="A1318" i="15" s="1"/>
  <c r="H1319" i="15"/>
  <c r="A1319" i="15" s="1"/>
  <c r="H1320" i="15"/>
  <c r="A1320" i="15" s="1"/>
  <c r="H1321" i="15"/>
  <c r="A1321" i="15" s="1"/>
  <c r="H1322" i="15"/>
  <c r="A1322" i="15" s="1"/>
  <c r="H1323" i="15"/>
  <c r="A1323" i="15" s="1"/>
  <c r="H1324" i="15"/>
  <c r="A1324" i="15" s="1"/>
  <c r="H1325" i="15"/>
  <c r="A1325" i="15" s="1"/>
  <c r="H1326" i="15"/>
  <c r="A1326" i="15" s="1"/>
  <c r="H1327" i="15"/>
  <c r="A1327" i="15" s="1"/>
  <c r="H1328" i="15"/>
  <c r="A1328" i="15" s="1"/>
  <c r="H1329" i="15"/>
  <c r="A1329" i="15" s="1"/>
  <c r="H1330" i="15"/>
  <c r="A1330" i="15" s="1"/>
  <c r="H1331" i="15"/>
  <c r="A1331" i="15" s="1"/>
  <c r="H1332" i="15"/>
  <c r="A1332" i="15" s="1"/>
  <c r="H1333" i="15"/>
  <c r="A1333" i="15" s="1"/>
  <c r="H1334" i="15"/>
  <c r="A1334" i="15" s="1"/>
  <c r="H1335" i="15"/>
  <c r="A1335" i="15" s="1"/>
  <c r="H1336" i="15"/>
  <c r="A1336" i="15" s="1"/>
  <c r="H1337" i="15"/>
  <c r="A1337" i="15" s="1"/>
  <c r="H1338" i="15"/>
  <c r="A1338" i="15" s="1"/>
  <c r="H1339" i="15"/>
  <c r="A1339" i="15" s="1"/>
  <c r="H1340" i="15"/>
  <c r="A1340" i="15" s="1"/>
  <c r="H1341" i="15"/>
  <c r="A1341" i="15" s="1"/>
  <c r="H1342" i="15"/>
  <c r="A1342" i="15" s="1"/>
  <c r="H1343" i="15"/>
  <c r="A1343" i="15" s="1"/>
  <c r="H1344" i="15"/>
  <c r="A1344" i="15" s="1"/>
  <c r="H1345" i="15"/>
  <c r="A1345" i="15" s="1"/>
  <c r="H1346" i="15"/>
  <c r="A1346" i="15" s="1"/>
  <c r="H1347" i="15"/>
  <c r="A1347" i="15" s="1"/>
  <c r="H1348" i="15"/>
  <c r="A1348" i="15" s="1"/>
  <c r="H1349" i="15"/>
  <c r="A1349" i="15" s="1"/>
  <c r="H1350" i="15"/>
  <c r="A1350" i="15" s="1"/>
  <c r="H1351" i="15"/>
  <c r="A1351" i="15" s="1"/>
  <c r="H1352" i="15"/>
  <c r="A1352" i="15" s="1"/>
  <c r="H1353" i="15"/>
  <c r="A1353" i="15" s="1"/>
  <c r="H1354" i="15"/>
  <c r="A1354" i="15" s="1"/>
  <c r="H1355" i="15"/>
  <c r="A1355" i="15" s="1"/>
  <c r="H1356" i="15"/>
  <c r="A1356" i="15" s="1"/>
  <c r="H1357" i="15"/>
  <c r="A1357" i="15" s="1"/>
  <c r="H1358" i="15"/>
  <c r="A1358" i="15" s="1"/>
  <c r="H1359" i="15"/>
  <c r="A1359" i="15" s="1"/>
  <c r="H1360" i="15"/>
  <c r="A1360" i="15" s="1"/>
  <c r="H1361" i="15"/>
  <c r="A1361" i="15" s="1"/>
  <c r="H1362" i="15"/>
  <c r="A1362" i="15" s="1"/>
  <c r="H1363" i="15"/>
  <c r="A1363" i="15" s="1"/>
  <c r="H1364" i="15"/>
  <c r="A1364" i="15" s="1"/>
  <c r="H1365" i="15"/>
  <c r="A1365" i="15" s="1"/>
  <c r="H1366" i="15"/>
  <c r="A1366" i="15" s="1"/>
  <c r="H1367" i="15"/>
  <c r="A1367" i="15" s="1"/>
  <c r="H1368" i="15"/>
  <c r="A1368" i="15" s="1"/>
  <c r="H1369" i="15"/>
  <c r="A1369" i="15" s="1"/>
  <c r="H1370" i="15"/>
  <c r="A1370" i="15" s="1"/>
  <c r="H1371" i="15"/>
  <c r="A1371" i="15" s="1"/>
  <c r="H1372" i="15"/>
  <c r="A1372" i="15" s="1"/>
  <c r="H1373" i="15"/>
  <c r="A1373" i="15" s="1"/>
  <c r="H1374" i="15"/>
  <c r="A1374" i="15" s="1"/>
  <c r="H1375" i="15"/>
  <c r="A1375" i="15" s="1"/>
  <c r="H1376" i="15"/>
  <c r="A1376" i="15" s="1"/>
  <c r="H1377" i="15"/>
  <c r="A1377" i="15" s="1"/>
  <c r="H1378" i="15"/>
  <c r="A1378" i="15" s="1"/>
  <c r="H1379" i="15"/>
  <c r="A1379" i="15" s="1"/>
  <c r="H1380" i="15"/>
  <c r="A1380" i="15" s="1"/>
  <c r="H1381" i="15"/>
  <c r="A1381" i="15" s="1"/>
  <c r="H1382" i="15"/>
  <c r="A1382" i="15" s="1"/>
  <c r="H1383" i="15"/>
  <c r="A1383" i="15" s="1"/>
  <c r="H1384" i="15"/>
  <c r="A1384" i="15" s="1"/>
  <c r="H1385" i="15"/>
  <c r="A1385" i="15" s="1"/>
  <c r="H1386" i="15"/>
  <c r="A1386" i="15" s="1"/>
  <c r="H1387" i="15"/>
  <c r="A1387" i="15" s="1"/>
  <c r="H1388" i="15"/>
  <c r="A1388" i="15" s="1"/>
  <c r="H1389" i="15"/>
  <c r="A1389" i="15" s="1"/>
  <c r="H1390" i="15"/>
  <c r="A1390" i="15" s="1"/>
  <c r="H1391" i="15"/>
  <c r="A1391" i="15" s="1"/>
  <c r="H1392" i="15"/>
  <c r="A1392" i="15" s="1"/>
  <c r="H1393" i="15"/>
  <c r="A1393" i="15" s="1"/>
  <c r="H1394" i="15"/>
  <c r="A1394" i="15" s="1"/>
  <c r="H1395" i="15"/>
  <c r="A1395" i="15" s="1"/>
  <c r="H1396" i="15"/>
  <c r="A1396" i="15" s="1"/>
  <c r="H1397" i="15"/>
  <c r="A1397" i="15" s="1"/>
  <c r="H1398" i="15"/>
  <c r="A1398" i="15" s="1"/>
  <c r="H1399" i="15"/>
  <c r="A1399" i="15" s="1"/>
  <c r="H1400" i="15"/>
  <c r="A1400" i="15" s="1"/>
  <c r="H1401" i="15"/>
  <c r="A1401" i="15" s="1"/>
  <c r="H1402" i="15"/>
  <c r="A1402" i="15" s="1"/>
  <c r="H1403" i="15"/>
  <c r="A1403" i="15" s="1"/>
  <c r="H1404" i="15"/>
  <c r="A1404" i="15" s="1"/>
  <c r="H1405" i="15"/>
  <c r="A1405" i="15" s="1"/>
  <c r="H1406" i="15"/>
  <c r="A1406" i="15" s="1"/>
  <c r="H1407" i="15"/>
  <c r="A1407" i="15" s="1"/>
  <c r="H1408" i="15"/>
  <c r="A1408" i="15" s="1"/>
  <c r="H1409" i="15"/>
  <c r="A1409" i="15" s="1"/>
  <c r="H1410" i="15"/>
  <c r="A1410" i="15" s="1"/>
  <c r="H1411" i="15"/>
  <c r="A1411" i="15" s="1"/>
  <c r="H1412" i="15"/>
  <c r="A1412" i="15" s="1"/>
  <c r="H1413" i="15"/>
  <c r="A1413" i="15" s="1"/>
  <c r="H1414" i="15"/>
  <c r="A1414" i="15" s="1"/>
  <c r="H1415" i="15"/>
  <c r="A1415" i="15" s="1"/>
  <c r="H1416" i="15"/>
  <c r="A1416" i="15" s="1"/>
  <c r="H1417" i="15"/>
  <c r="A1417" i="15" s="1"/>
  <c r="H1418" i="15"/>
  <c r="A1418" i="15" s="1"/>
  <c r="H1419" i="15"/>
  <c r="A1419" i="15" s="1"/>
  <c r="H1420" i="15"/>
  <c r="A1420" i="15" s="1"/>
  <c r="H1421" i="15"/>
  <c r="A1421" i="15" s="1"/>
  <c r="H1422" i="15"/>
  <c r="A1422" i="15" s="1"/>
  <c r="H1423" i="15"/>
  <c r="A1423" i="15" s="1"/>
  <c r="H1424" i="15"/>
  <c r="A1424" i="15" s="1"/>
  <c r="H1425" i="15"/>
  <c r="A1425" i="15" s="1"/>
  <c r="H1426" i="15"/>
  <c r="A1426" i="15" s="1"/>
  <c r="H1427" i="15"/>
  <c r="A1427" i="15" s="1"/>
  <c r="H1428" i="15"/>
  <c r="A1428" i="15" s="1"/>
  <c r="H1429" i="15"/>
  <c r="A1429" i="15" s="1"/>
  <c r="H1430" i="15"/>
  <c r="A1430" i="15" s="1"/>
  <c r="H1431" i="15"/>
  <c r="A1431" i="15" s="1"/>
  <c r="H1432" i="15"/>
  <c r="A1432" i="15" s="1"/>
  <c r="H1433" i="15"/>
  <c r="A1433" i="15" s="1"/>
  <c r="H1434" i="15"/>
  <c r="A1434" i="15" s="1"/>
  <c r="H1435" i="15"/>
  <c r="A1435" i="15" s="1"/>
  <c r="H1436" i="15"/>
  <c r="A1436" i="15" s="1"/>
  <c r="H1437" i="15"/>
  <c r="A1437" i="15" s="1"/>
  <c r="H1438" i="15"/>
  <c r="A1438" i="15" s="1"/>
  <c r="H1439" i="15"/>
  <c r="A1439" i="15" s="1"/>
  <c r="H1440" i="15"/>
  <c r="A1440" i="15" s="1"/>
  <c r="H1441" i="15"/>
  <c r="A1441" i="15" s="1"/>
  <c r="H1442" i="15"/>
  <c r="A1442" i="15" s="1"/>
  <c r="H1443" i="15"/>
  <c r="A1443" i="15" s="1"/>
  <c r="H1444" i="15"/>
  <c r="A1444" i="15" s="1"/>
  <c r="H1445" i="15"/>
  <c r="A1445" i="15" s="1"/>
  <c r="H1446" i="15"/>
  <c r="A1446" i="15" s="1"/>
  <c r="H1447" i="15"/>
  <c r="A1447" i="15" s="1"/>
  <c r="H1448" i="15"/>
  <c r="A1448" i="15" s="1"/>
  <c r="H1449" i="15"/>
  <c r="A1449" i="15" s="1"/>
  <c r="H1450" i="15"/>
  <c r="A1450" i="15" s="1"/>
  <c r="H1451" i="15"/>
  <c r="A1451" i="15" s="1"/>
  <c r="H1452" i="15"/>
  <c r="A1452" i="15" s="1"/>
  <c r="H1453" i="15"/>
  <c r="A1453" i="15" s="1"/>
  <c r="H1454" i="15"/>
  <c r="A1454" i="15" s="1"/>
  <c r="H1455" i="15"/>
  <c r="A1455" i="15" s="1"/>
  <c r="H1456" i="15"/>
  <c r="A1456" i="15" s="1"/>
  <c r="H1457" i="15"/>
  <c r="A1457" i="15" s="1"/>
  <c r="H1458" i="15"/>
  <c r="A1458" i="15" s="1"/>
  <c r="H1459" i="15"/>
  <c r="A1459" i="15" s="1"/>
  <c r="H1460" i="15"/>
  <c r="A1460" i="15" s="1"/>
  <c r="H1461" i="15"/>
  <c r="A1461" i="15" s="1"/>
  <c r="H1462" i="15"/>
  <c r="A1462" i="15" s="1"/>
  <c r="H1463" i="15"/>
  <c r="A1463" i="15" s="1"/>
  <c r="H1464" i="15"/>
  <c r="A1464" i="15" s="1"/>
  <c r="H1465" i="15"/>
  <c r="A1465" i="15" s="1"/>
  <c r="H1466" i="15"/>
  <c r="A1466" i="15" s="1"/>
  <c r="H1467" i="15"/>
  <c r="A1467" i="15" s="1"/>
  <c r="H1468" i="15"/>
  <c r="A1468" i="15" s="1"/>
  <c r="H1469" i="15"/>
  <c r="A1469" i="15" s="1"/>
  <c r="H1470" i="15"/>
  <c r="A1470" i="15" s="1"/>
  <c r="H1471" i="15"/>
  <c r="A1471" i="15" s="1"/>
  <c r="H1472" i="15"/>
  <c r="A1472" i="15" s="1"/>
  <c r="H1473" i="15"/>
  <c r="A1473" i="15" s="1"/>
  <c r="H1474" i="15"/>
  <c r="A1474" i="15" s="1"/>
  <c r="H1475" i="15"/>
  <c r="A1475" i="15" s="1"/>
  <c r="H1476" i="15"/>
  <c r="A1476" i="15" s="1"/>
  <c r="H1477" i="15"/>
  <c r="A1477" i="15" s="1"/>
  <c r="H1478" i="15"/>
  <c r="A1478" i="15" s="1"/>
  <c r="H1479" i="15"/>
  <c r="A1479" i="15" s="1"/>
  <c r="H1480" i="15"/>
  <c r="A1480" i="15" s="1"/>
  <c r="H1481" i="15"/>
  <c r="A1481" i="15" s="1"/>
  <c r="H1482" i="15"/>
  <c r="A1482" i="15" s="1"/>
  <c r="H1483" i="15"/>
  <c r="A1483" i="15" s="1"/>
  <c r="H1484" i="15"/>
  <c r="A1484" i="15" s="1"/>
  <c r="H1485" i="15"/>
  <c r="A1485" i="15" s="1"/>
  <c r="H1486" i="15"/>
  <c r="A1486" i="15" s="1"/>
  <c r="H1487" i="15"/>
  <c r="A1487" i="15" s="1"/>
  <c r="H1488" i="15"/>
  <c r="A1488" i="15" s="1"/>
  <c r="H1489" i="15"/>
  <c r="A1489" i="15" s="1"/>
  <c r="H1490" i="15"/>
  <c r="A1490" i="15" s="1"/>
  <c r="H1491" i="15"/>
  <c r="A1491" i="15" s="1"/>
  <c r="H1492" i="15"/>
  <c r="A1492" i="15" s="1"/>
  <c r="H1493" i="15"/>
  <c r="A1493" i="15" s="1"/>
  <c r="H1494" i="15"/>
  <c r="A1494" i="15" s="1"/>
  <c r="H1495" i="15"/>
  <c r="A1495" i="15" s="1"/>
  <c r="H1496" i="15"/>
  <c r="A1496" i="15" s="1"/>
  <c r="H1497" i="15"/>
  <c r="A1497" i="15" s="1"/>
  <c r="H1498" i="15"/>
  <c r="A1498" i="15" s="1"/>
  <c r="H1499" i="15"/>
  <c r="A1499" i="15" s="1"/>
  <c r="H1500" i="15"/>
  <c r="A1500" i="15" s="1"/>
  <c r="H1501" i="15"/>
  <c r="A1501" i="15" s="1"/>
  <c r="H1502" i="15"/>
  <c r="A1502" i="15" s="1"/>
  <c r="H1503" i="15"/>
  <c r="A1503" i="15" s="1"/>
  <c r="H1504" i="15"/>
  <c r="A1504" i="15" s="1"/>
  <c r="H1505" i="15"/>
  <c r="A1505" i="15" s="1"/>
  <c r="H1506" i="15"/>
  <c r="A1506" i="15" s="1"/>
  <c r="H1507" i="15"/>
  <c r="A1507" i="15" s="1"/>
  <c r="H1508" i="15"/>
  <c r="A1508" i="15" s="1"/>
  <c r="H1509" i="15"/>
  <c r="A1509" i="15" s="1"/>
  <c r="H1510" i="15"/>
  <c r="A1510" i="15" s="1"/>
  <c r="H1511" i="15"/>
  <c r="A1511" i="15" s="1"/>
  <c r="H1512" i="15"/>
  <c r="A1512" i="15" s="1"/>
  <c r="H1513" i="15"/>
  <c r="A1513" i="15" s="1"/>
  <c r="H1514" i="15"/>
  <c r="A1514" i="15" s="1"/>
  <c r="H1515" i="15"/>
  <c r="A1515" i="15" s="1"/>
  <c r="H1516" i="15"/>
  <c r="A1516" i="15" s="1"/>
  <c r="H1517" i="15"/>
  <c r="A1517" i="15" s="1"/>
  <c r="H1518" i="15"/>
  <c r="A1518" i="15" s="1"/>
  <c r="H1519" i="15"/>
  <c r="A1519" i="15" s="1"/>
  <c r="H1520" i="15"/>
  <c r="A1520" i="15" s="1"/>
  <c r="H1521" i="15"/>
  <c r="A1521" i="15" s="1"/>
  <c r="H1522" i="15"/>
  <c r="A1522" i="15" s="1"/>
  <c r="H1523" i="15"/>
  <c r="A1523" i="15" s="1"/>
  <c r="H1524" i="15"/>
  <c r="A1524" i="15" s="1"/>
  <c r="H1525" i="15"/>
  <c r="A1525" i="15" s="1"/>
  <c r="H1526" i="15"/>
  <c r="A1526" i="15" s="1"/>
  <c r="H1527" i="15"/>
  <c r="A1527" i="15" s="1"/>
  <c r="H1528" i="15"/>
  <c r="A1528" i="15" s="1"/>
  <c r="H1529" i="15"/>
  <c r="A1529" i="15" s="1"/>
  <c r="H1530" i="15"/>
  <c r="A1530" i="15" s="1"/>
  <c r="H1531" i="15"/>
  <c r="A1531" i="15" s="1"/>
  <c r="H1532" i="15"/>
  <c r="A1532" i="15" s="1"/>
  <c r="H1533" i="15"/>
  <c r="A1533" i="15" s="1"/>
  <c r="H1534" i="15"/>
  <c r="A1534" i="15" s="1"/>
  <c r="H1535" i="15"/>
  <c r="A1535" i="15" s="1"/>
  <c r="H1536" i="15"/>
  <c r="A1536" i="15" s="1"/>
  <c r="H1537" i="15"/>
  <c r="A1537" i="15" s="1"/>
  <c r="H1538" i="15"/>
  <c r="A1538" i="15" s="1"/>
  <c r="H1539" i="15"/>
  <c r="A1539" i="15" s="1"/>
  <c r="H1540" i="15"/>
  <c r="A1540" i="15" s="1"/>
  <c r="H1541" i="15"/>
  <c r="A1541" i="15" s="1"/>
  <c r="H1542" i="15"/>
  <c r="A1542" i="15" s="1"/>
  <c r="H1543" i="15"/>
  <c r="A1543" i="15" s="1"/>
  <c r="H1544" i="15"/>
  <c r="A1544" i="15" s="1"/>
  <c r="H1545" i="15"/>
  <c r="A1545" i="15" s="1"/>
  <c r="H1546" i="15"/>
  <c r="A1546" i="15" s="1"/>
  <c r="H1547" i="15"/>
  <c r="A1547" i="15" s="1"/>
  <c r="H1548" i="15"/>
  <c r="A1548" i="15" s="1"/>
  <c r="H1549" i="15"/>
  <c r="A1549" i="15" s="1"/>
  <c r="H1550" i="15"/>
  <c r="A1550" i="15" s="1"/>
  <c r="H1551" i="15"/>
  <c r="A1551" i="15" s="1"/>
  <c r="H1552" i="15"/>
  <c r="A1552" i="15" s="1"/>
  <c r="H1553" i="15"/>
  <c r="A1553" i="15" s="1"/>
  <c r="H1554" i="15"/>
  <c r="A1554" i="15" s="1"/>
  <c r="H1555" i="15"/>
  <c r="A1555" i="15" s="1"/>
  <c r="H1556" i="15"/>
  <c r="A1556" i="15" s="1"/>
  <c r="H1557" i="15"/>
  <c r="A1557" i="15" s="1"/>
  <c r="H1558" i="15"/>
  <c r="A1558" i="15" s="1"/>
  <c r="H1559" i="15"/>
  <c r="A1559" i="15" s="1"/>
  <c r="H1560" i="15"/>
  <c r="A1560" i="15" s="1"/>
  <c r="H1561" i="15"/>
  <c r="A1561" i="15" s="1"/>
  <c r="H1562" i="15"/>
  <c r="A1562" i="15" s="1"/>
  <c r="H1563" i="15"/>
  <c r="A1563" i="15" s="1"/>
  <c r="H1564" i="15"/>
  <c r="A1564" i="15" s="1"/>
  <c r="H1565" i="15"/>
  <c r="A1565" i="15" s="1"/>
  <c r="H1566" i="15"/>
  <c r="A1566" i="15" s="1"/>
  <c r="H1567" i="15"/>
  <c r="A1567" i="15" s="1"/>
  <c r="H1568" i="15"/>
  <c r="A1568" i="15" s="1"/>
  <c r="H1569" i="15"/>
  <c r="A1569" i="15" s="1"/>
  <c r="H1570" i="15"/>
  <c r="A1570" i="15" s="1"/>
  <c r="H1571" i="15"/>
  <c r="A1571" i="15" s="1"/>
  <c r="H1572" i="15"/>
  <c r="A1572" i="15" s="1"/>
  <c r="H1573" i="15"/>
  <c r="A1573" i="15" s="1"/>
  <c r="H1574" i="15"/>
  <c r="A1574" i="15" s="1"/>
  <c r="H1575" i="15"/>
  <c r="A1575" i="15" s="1"/>
  <c r="H1576" i="15"/>
  <c r="A1576" i="15" s="1"/>
  <c r="H1577" i="15"/>
  <c r="A1577" i="15" s="1"/>
  <c r="H1578" i="15"/>
  <c r="A1578" i="15" s="1"/>
  <c r="H1579" i="15"/>
  <c r="A1579" i="15" s="1"/>
  <c r="H1580" i="15"/>
  <c r="A1580" i="15" s="1"/>
  <c r="H1581" i="15"/>
  <c r="A1581" i="15" s="1"/>
  <c r="H1582" i="15"/>
  <c r="A1582" i="15" s="1"/>
  <c r="H1583" i="15"/>
  <c r="A1583" i="15" s="1"/>
  <c r="H1584" i="15"/>
  <c r="A1584" i="15" s="1"/>
  <c r="H1585" i="15"/>
  <c r="A1585" i="15" s="1"/>
  <c r="H1586" i="15"/>
  <c r="A1586" i="15" s="1"/>
  <c r="H1587" i="15"/>
  <c r="A1587" i="15" s="1"/>
  <c r="H1588" i="15"/>
  <c r="A1588" i="15" s="1"/>
  <c r="H1589" i="15"/>
  <c r="A1589" i="15" s="1"/>
  <c r="H1590" i="15"/>
  <c r="A1590" i="15" s="1"/>
  <c r="H1591" i="15"/>
  <c r="A1591" i="15" s="1"/>
  <c r="H1592" i="15"/>
  <c r="A1592" i="15" s="1"/>
  <c r="H1593" i="15"/>
  <c r="A1593" i="15" s="1"/>
  <c r="H1594" i="15"/>
  <c r="A1594" i="15" s="1"/>
  <c r="H1595" i="15"/>
  <c r="A1595" i="15" s="1"/>
  <c r="H1596" i="15"/>
  <c r="A1596" i="15" s="1"/>
  <c r="H1597" i="15"/>
  <c r="A1597" i="15" s="1"/>
  <c r="H1598" i="15"/>
  <c r="A1598" i="15" s="1"/>
  <c r="H1599" i="15"/>
  <c r="A1599" i="15" s="1"/>
  <c r="H1600" i="15"/>
  <c r="A1600" i="15" s="1"/>
  <c r="H1601" i="15"/>
  <c r="A1601" i="15" s="1"/>
  <c r="H1602" i="15"/>
  <c r="A1602" i="15" s="1"/>
  <c r="H1603" i="15"/>
  <c r="A1603" i="15" s="1"/>
  <c r="H1604" i="15"/>
  <c r="A1604" i="15" s="1"/>
  <c r="H1605" i="15"/>
  <c r="A1605" i="15" s="1"/>
  <c r="H1606" i="15"/>
  <c r="A1606" i="15" s="1"/>
  <c r="H1607" i="15"/>
  <c r="A1607" i="15" s="1"/>
  <c r="H1608" i="15"/>
  <c r="A1608" i="15" s="1"/>
  <c r="H1609" i="15"/>
  <c r="A1609" i="15" s="1"/>
  <c r="H1610" i="15"/>
  <c r="A1610" i="15" s="1"/>
  <c r="H1611" i="15"/>
  <c r="A1611" i="15" s="1"/>
  <c r="H1612" i="15"/>
  <c r="A1612" i="15" s="1"/>
  <c r="H1613" i="15"/>
  <c r="A1613" i="15" s="1"/>
  <c r="H1614" i="15"/>
  <c r="A1614" i="15" s="1"/>
  <c r="H1615" i="15"/>
  <c r="A1615" i="15" s="1"/>
  <c r="H1616" i="15"/>
  <c r="A1616" i="15" s="1"/>
  <c r="H1617" i="15"/>
  <c r="A1617" i="15" s="1"/>
  <c r="H1618" i="15"/>
  <c r="A1618" i="15" s="1"/>
  <c r="H1619" i="15"/>
  <c r="A1619" i="15" s="1"/>
  <c r="H1620" i="15"/>
  <c r="A1620" i="15" s="1"/>
  <c r="H1621" i="15"/>
  <c r="A1621" i="15" s="1"/>
  <c r="H1622" i="15"/>
  <c r="A1622" i="15" s="1"/>
  <c r="H1623" i="15"/>
  <c r="A1623" i="15" s="1"/>
  <c r="H1624" i="15"/>
  <c r="A1624" i="15" s="1"/>
  <c r="H1625" i="15"/>
  <c r="A1625" i="15" s="1"/>
  <c r="H1626" i="15"/>
  <c r="A1626" i="15" s="1"/>
  <c r="H1627" i="15"/>
  <c r="A1627" i="15" s="1"/>
  <c r="H1628" i="15"/>
  <c r="A1628" i="15" s="1"/>
  <c r="H1629" i="15"/>
  <c r="A1629" i="15" s="1"/>
  <c r="H1630" i="15"/>
  <c r="A1630" i="15" s="1"/>
  <c r="H1631" i="15"/>
  <c r="A1631" i="15" s="1"/>
  <c r="H1632" i="15"/>
  <c r="A1632" i="15" s="1"/>
  <c r="H1633" i="15"/>
  <c r="A1633" i="15" s="1"/>
  <c r="H1634" i="15"/>
  <c r="A1634" i="15" s="1"/>
  <c r="H1635" i="15"/>
  <c r="A1635" i="15" s="1"/>
  <c r="H1636" i="15"/>
  <c r="A1636" i="15" s="1"/>
  <c r="H1637" i="15"/>
  <c r="A1637" i="15" s="1"/>
  <c r="H1638" i="15"/>
  <c r="A1638" i="15" s="1"/>
  <c r="H1639" i="15"/>
  <c r="A1639" i="15" s="1"/>
  <c r="H1640" i="15"/>
  <c r="A1640" i="15" s="1"/>
  <c r="H1641" i="15"/>
  <c r="A1641" i="15" s="1"/>
  <c r="H1642" i="15"/>
  <c r="A1642" i="15" s="1"/>
  <c r="H1643" i="15"/>
  <c r="A1643" i="15" s="1"/>
  <c r="H1644" i="15"/>
  <c r="A1644" i="15" s="1"/>
  <c r="H1645" i="15"/>
  <c r="A1645" i="15" s="1"/>
  <c r="H1646" i="15"/>
  <c r="A1646" i="15" s="1"/>
  <c r="H1647" i="15"/>
  <c r="A1647" i="15" s="1"/>
  <c r="H1648" i="15"/>
  <c r="A1648" i="15" s="1"/>
  <c r="H1649" i="15"/>
  <c r="A1649" i="15" s="1"/>
  <c r="H1650" i="15"/>
  <c r="A1650" i="15" s="1"/>
  <c r="H1651" i="15"/>
  <c r="A1651" i="15" s="1"/>
  <c r="H1652" i="15"/>
  <c r="A1652" i="15" s="1"/>
  <c r="H1653" i="15"/>
  <c r="A1653" i="15" s="1"/>
  <c r="H1654" i="15"/>
  <c r="A1654" i="15" s="1"/>
  <c r="H1655" i="15"/>
  <c r="A1655" i="15" s="1"/>
  <c r="H1656" i="15"/>
  <c r="A1656" i="15" s="1"/>
  <c r="H1657" i="15"/>
  <c r="A1657" i="15" s="1"/>
  <c r="H1658" i="15"/>
  <c r="A1658" i="15" s="1"/>
  <c r="H1659" i="15"/>
  <c r="A1659" i="15" s="1"/>
  <c r="H1660" i="15"/>
  <c r="A1660" i="15" s="1"/>
  <c r="H1661" i="15"/>
  <c r="A1661" i="15" s="1"/>
  <c r="H1662" i="15"/>
  <c r="A1662" i="15" s="1"/>
  <c r="H1663" i="15"/>
  <c r="A1663" i="15" s="1"/>
  <c r="H1664" i="15"/>
  <c r="A1664" i="15" s="1"/>
  <c r="H1665" i="15"/>
  <c r="A1665" i="15" s="1"/>
  <c r="H1666" i="15"/>
  <c r="A1666" i="15" s="1"/>
  <c r="H1667" i="15"/>
  <c r="A1667" i="15" s="1"/>
  <c r="H1668" i="15"/>
  <c r="A1668" i="15" s="1"/>
  <c r="H1669" i="15"/>
  <c r="A1669" i="15" s="1"/>
  <c r="H1670" i="15"/>
  <c r="A1670" i="15" s="1"/>
  <c r="H1671" i="15"/>
  <c r="A1671" i="15" s="1"/>
  <c r="H1672" i="15"/>
  <c r="A1672" i="15" s="1"/>
  <c r="H1673" i="15"/>
  <c r="A1673" i="15" s="1"/>
  <c r="H1674" i="15"/>
  <c r="A1674" i="15" s="1"/>
  <c r="H1675" i="15"/>
  <c r="A1675" i="15" s="1"/>
  <c r="H1676" i="15"/>
  <c r="A1676" i="15" s="1"/>
  <c r="H1677" i="15"/>
  <c r="A1677" i="15" s="1"/>
  <c r="H1678" i="15"/>
  <c r="A1678" i="15" s="1"/>
  <c r="H1679" i="15"/>
  <c r="A1679" i="15" s="1"/>
  <c r="H1680" i="15"/>
  <c r="A1680" i="15" s="1"/>
  <c r="H1681" i="15"/>
  <c r="A1681" i="15" s="1"/>
  <c r="H1682" i="15"/>
  <c r="A1682" i="15" s="1"/>
  <c r="H1683" i="15"/>
  <c r="A1683" i="15" s="1"/>
  <c r="H1684" i="15"/>
  <c r="A1684" i="15" s="1"/>
  <c r="H1685" i="15"/>
  <c r="A1685" i="15" s="1"/>
  <c r="H1686" i="15"/>
  <c r="A1686" i="15" s="1"/>
  <c r="H1687" i="15"/>
  <c r="A1687" i="15" s="1"/>
  <c r="H1688" i="15"/>
  <c r="A1688" i="15" s="1"/>
  <c r="H1689" i="15"/>
  <c r="A1689" i="15" s="1"/>
  <c r="H1690" i="15"/>
  <c r="A1690" i="15" s="1"/>
  <c r="H1691" i="15"/>
  <c r="A1691" i="15" s="1"/>
  <c r="H1692" i="15"/>
  <c r="A1692" i="15" s="1"/>
  <c r="H1693" i="15"/>
  <c r="A1693" i="15" s="1"/>
  <c r="H1694" i="15"/>
  <c r="A1694" i="15" s="1"/>
  <c r="H1695" i="15"/>
  <c r="A1695" i="15" s="1"/>
  <c r="H1696" i="15"/>
  <c r="A1696" i="15" s="1"/>
  <c r="H1697" i="15"/>
  <c r="A1697" i="15" s="1"/>
  <c r="H1698" i="15"/>
  <c r="A1698" i="15" s="1"/>
  <c r="H1699" i="15"/>
  <c r="A1699" i="15" s="1"/>
  <c r="H1700" i="15"/>
  <c r="A1700" i="15" s="1"/>
  <c r="H1701" i="15"/>
  <c r="A1701" i="15" s="1"/>
  <c r="H1702" i="15"/>
  <c r="A1702" i="15" s="1"/>
  <c r="H1703" i="15"/>
  <c r="A1703" i="15" s="1"/>
  <c r="H1704" i="15"/>
  <c r="A1704" i="15" s="1"/>
  <c r="H1705" i="15"/>
  <c r="A1705" i="15" s="1"/>
  <c r="H1706" i="15"/>
  <c r="A1706" i="15" s="1"/>
  <c r="H1707" i="15"/>
  <c r="A1707" i="15" s="1"/>
  <c r="H1708" i="15"/>
  <c r="A1708" i="15" s="1"/>
  <c r="H1709" i="15"/>
  <c r="A1709" i="15" s="1"/>
  <c r="H1710" i="15"/>
  <c r="A1710" i="15" s="1"/>
  <c r="H1711" i="15"/>
  <c r="A1711" i="15" s="1"/>
  <c r="H1712" i="15"/>
  <c r="A1712" i="15" s="1"/>
  <c r="H1713" i="15"/>
  <c r="A1713" i="15" s="1"/>
  <c r="H1714" i="15"/>
  <c r="A1714" i="15" s="1"/>
  <c r="H1715" i="15"/>
  <c r="A1715" i="15" s="1"/>
  <c r="H1716" i="15"/>
  <c r="A1716" i="15" s="1"/>
  <c r="H1717" i="15"/>
  <c r="A1717" i="15" s="1"/>
  <c r="H1718" i="15"/>
  <c r="A1718" i="15" s="1"/>
  <c r="H1719" i="15"/>
  <c r="A1719" i="15" s="1"/>
  <c r="H1720" i="15"/>
  <c r="A1720" i="15" s="1"/>
  <c r="H1721" i="15"/>
  <c r="A1721" i="15" s="1"/>
  <c r="H1722" i="15"/>
  <c r="A1722" i="15" s="1"/>
  <c r="H1723" i="15"/>
  <c r="A1723" i="15" s="1"/>
  <c r="H1724" i="15"/>
  <c r="A1724" i="15" s="1"/>
  <c r="H1725" i="15"/>
  <c r="A1725" i="15" s="1"/>
  <c r="H1726" i="15"/>
  <c r="A1726" i="15" s="1"/>
  <c r="H1727" i="15"/>
  <c r="A1727" i="15" s="1"/>
  <c r="H1728" i="15"/>
  <c r="A1728" i="15" s="1"/>
  <c r="H1729" i="15"/>
  <c r="A1729" i="15" s="1"/>
  <c r="H1730" i="15"/>
  <c r="A1730" i="15" s="1"/>
  <c r="H1731" i="15"/>
  <c r="A1731" i="15" s="1"/>
  <c r="H1732" i="15"/>
  <c r="A1732" i="15" s="1"/>
  <c r="H1733" i="15"/>
  <c r="A1733" i="15" s="1"/>
  <c r="H1734" i="15"/>
  <c r="A1734" i="15" s="1"/>
  <c r="H1735" i="15"/>
  <c r="A1735" i="15" s="1"/>
  <c r="H1736" i="15"/>
  <c r="A1736" i="15" s="1"/>
  <c r="H1737" i="15"/>
  <c r="A1737" i="15" s="1"/>
  <c r="H1738" i="15"/>
  <c r="A1738" i="15" s="1"/>
  <c r="H1739" i="15"/>
  <c r="A1739" i="15" s="1"/>
  <c r="H1740" i="15"/>
  <c r="A1740" i="15" s="1"/>
  <c r="H1741" i="15"/>
  <c r="A1741" i="15" s="1"/>
  <c r="H1742" i="15"/>
  <c r="A1742" i="15" s="1"/>
  <c r="H1743" i="15"/>
  <c r="A1743" i="15" s="1"/>
  <c r="H1744" i="15"/>
  <c r="A1744" i="15" s="1"/>
  <c r="H1745" i="15"/>
  <c r="A1745" i="15" s="1"/>
  <c r="H1746" i="15"/>
  <c r="A1746" i="15" s="1"/>
  <c r="H1747" i="15"/>
  <c r="A1747" i="15" s="1"/>
  <c r="H1748" i="15"/>
  <c r="A1748" i="15" s="1"/>
  <c r="H1749" i="15"/>
  <c r="A1749" i="15" s="1"/>
  <c r="H1750" i="15"/>
  <c r="A1750" i="15" s="1"/>
  <c r="H1751" i="15"/>
  <c r="A1751" i="15" s="1"/>
  <c r="H1752" i="15"/>
  <c r="A1752" i="15" s="1"/>
  <c r="H1753" i="15"/>
  <c r="A1753" i="15" s="1"/>
  <c r="H1754" i="15"/>
  <c r="A1754" i="15" s="1"/>
  <c r="H1755" i="15"/>
  <c r="A1755" i="15" s="1"/>
  <c r="H1756" i="15"/>
  <c r="A1756" i="15" s="1"/>
  <c r="H1757" i="15"/>
  <c r="A1757" i="15" s="1"/>
  <c r="H1758" i="15"/>
  <c r="A1758" i="15" s="1"/>
  <c r="H1759" i="15"/>
  <c r="A1759" i="15" s="1"/>
  <c r="H1760" i="15"/>
  <c r="A1760" i="15" s="1"/>
  <c r="H1761" i="15"/>
  <c r="A1761" i="15" s="1"/>
  <c r="H1762" i="15"/>
  <c r="A1762" i="15" s="1"/>
  <c r="H1763" i="15"/>
  <c r="A1763" i="15" s="1"/>
  <c r="H1764" i="15"/>
  <c r="A1764" i="15" s="1"/>
  <c r="H1765" i="15"/>
  <c r="A1765" i="15" s="1"/>
  <c r="H1766" i="15"/>
  <c r="A1766" i="15" s="1"/>
  <c r="H1767" i="15"/>
  <c r="A1767" i="15" s="1"/>
  <c r="H1768" i="15"/>
  <c r="A1768" i="15" s="1"/>
  <c r="H1769" i="15"/>
  <c r="A1769" i="15" s="1"/>
  <c r="H1770" i="15"/>
  <c r="A1770" i="15" s="1"/>
  <c r="H1771" i="15"/>
  <c r="A1771" i="15" s="1"/>
  <c r="H1772" i="15"/>
  <c r="A1772" i="15" s="1"/>
  <c r="H1773" i="15"/>
  <c r="A1773" i="15" s="1"/>
  <c r="H1774" i="15"/>
  <c r="A1774" i="15" s="1"/>
  <c r="H1775" i="15"/>
  <c r="A1775" i="15" s="1"/>
  <c r="H1776" i="15"/>
  <c r="A1776" i="15" s="1"/>
  <c r="H1777" i="15"/>
  <c r="A1777" i="15" s="1"/>
  <c r="H1778" i="15"/>
  <c r="A1778" i="15" s="1"/>
  <c r="H1779" i="15"/>
  <c r="A1779" i="15" s="1"/>
  <c r="H1780" i="15"/>
  <c r="A1780" i="15" s="1"/>
  <c r="H1781" i="15"/>
  <c r="A1781" i="15" s="1"/>
  <c r="H1782" i="15"/>
  <c r="A1782" i="15" s="1"/>
  <c r="H1783" i="15"/>
  <c r="A1783" i="15" s="1"/>
  <c r="H1784" i="15"/>
  <c r="A1784" i="15" s="1"/>
  <c r="H1785" i="15"/>
  <c r="A1785" i="15" s="1"/>
  <c r="H1786" i="15"/>
  <c r="A1786" i="15" s="1"/>
  <c r="H1787" i="15"/>
  <c r="A1787" i="15" s="1"/>
  <c r="H1788" i="15"/>
  <c r="A1788" i="15" s="1"/>
  <c r="H1789" i="15"/>
  <c r="A1789" i="15" s="1"/>
  <c r="H1790" i="15"/>
  <c r="A1790" i="15" s="1"/>
  <c r="H1791" i="15"/>
  <c r="A1791" i="15" s="1"/>
  <c r="H1792" i="15"/>
  <c r="A1792" i="15" s="1"/>
  <c r="H1793" i="15"/>
  <c r="A1793" i="15" s="1"/>
  <c r="H1794" i="15"/>
  <c r="A1794" i="15" s="1"/>
  <c r="H1795" i="15"/>
  <c r="A1795" i="15" s="1"/>
  <c r="H1796" i="15"/>
  <c r="A1796" i="15" s="1"/>
  <c r="H1797" i="15"/>
  <c r="A1797" i="15" s="1"/>
  <c r="H1798" i="15"/>
  <c r="A1798" i="15" s="1"/>
  <c r="H1799" i="15"/>
  <c r="A1799" i="15" s="1"/>
  <c r="H1800" i="15"/>
  <c r="A1800" i="15" s="1"/>
  <c r="H1801" i="15"/>
  <c r="A1801" i="15" s="1"/>
  <c r="H1802" i="15"/>
  <c r="A1802" i="15" s="1"/>
  <c r="H1803" i="15"/>
  <c r="A1803" i="15" s="1"/>
  <c r="H1804" i="15"/>
  <c r="A1804" i="15" s="1"/>
  <c r="H1805" i="15"/>
  <c r="A1805" i="15" s="1"/>
  <c r="H1806" i="15"/>
  <c r="A1806" i="15" s="1"/>
  <c r="H1807" i="15"/>
  <c r="A1807" i="15" s="1"/>
  <c r="H1808" i="15"/>
  <c r="A1808" i="15" s="1"/>
  <c r="H1809" i="15"/>
  <c r="A1809" i="15" s="1"/>
  <c r="H1810" i="15"/>
  <c r="A1810" i="15" s="1"/>
  <c r="H1811" i="15"/>
  <c r="A1811" i="15" s="1"/>
  <c r="H1812" i="15"/>
  <c r="A1812" i="15" s="1"/>
  <c r="H1813" i="15"/>
  <c r="A1813" i="15" s="1"/>
  <c r="H1814" i="15"/>
  <c r="A1814" i="15" s="1"/>
  <c r="H1815" i="15"/>
  <c r="A1815" i="15" s="1"/>
  <c r="H1816" i="15"/>
  <c r="A1816" i="15" s="1"/>
  <c r="H1817" i="15"/>
  <c r="A1817" i="15" s="1"/>
  <c r="H1818" i="15"/>
  <c r="A1818" i="15" s="1"/>
  <c r="H1819" i="15"/>
  <c r="A1819" i="15" s="1"/>
  <c r="H1820" i="15"/>
  <c r="A1820" i="15" s="1"/>
  <c r="H1821" i="15"/>
  <c r="A1821" i="15" s="1"/>
  <c r="H1822" i="15"/>
  <c r="A1822" i="15" s="1"/>
  <c r="H1823" i="15"/>
  <c r="A1823" i="15" s="1"/>
  <c r="H1824" i="15"/>
  <c r="A1824" i="15" s="1"/>
  <c r="H1825" i="15"/>
  <c r="A1825" i="15" s="1"/>
  <c r="H1826" i="15"/>
  <c r="A1826" i="15" s="1"/>
  <c r="H1827" i="15"/>
  <c r="A1827" i="15" s="1"/>
  <c r="H1828" i="15"/>
  <c r="A1828" i="15" s="1"/>
  <c r="H1829" i="15"/>
  <c r="A1829" i="15" s="1"/>
  <c r="H1830" i="15"/>
  <c r="A1830" i="15" s="1"/>
  <c r="H1831" i="15"/>
  <c r="A1831" i="15" s="1"/>
  <c r="H1832" i="15"/>
  <c r="A1832" i="15" s="1"/>
  <c r="H1833" i="15"/>
  <c r="A1833" i="15" s="1"/>
  <c r="H1834" i="15"/>
  <c r="A1834" i="15" s="1"/>
  <c r="H1835" i="15"/>
  <c r="A1835" i="15" s="1"/>
  <c r="H1836" i="15"/>
  <c r="A1836" i="15" s="1"/>
  <c r="H1837" i="15"/>
  <c r="A1837" i="15" s="1"/>
  <c r="H1838" i="15"/>
  <c r="A1838" i="15" s="1"/>
  <c r="H1839" i="15"/>
  <c r="A1839" i="15" s="1"/>
  <c r="H1840" i="15"/>
  <c r="A1840" i="15" s="1"/>
  <c r="H1841" i="15"/>
  <c r="A1841" i="15" s="1"/>
  <c r="H1842" i="15"/>
  <c r="A1842" i="15" s="1"/>
  <c r="H1843" i="15"/>
  <c r="A1843" i="15" s="1"/>
  <c r="H1844" i="15"/>
  <c r="A1844" i="15" s="1"/>
  <c r="H1845" i="15"/>
  <c r="A1845" i="15" s="1"/>
  <c r="H1846" i="15"/>
  <c r="A1846" i="15" s="1"/>
  <c r="H1847" i="15"/>
  <c r="A1847" i="15" s="1"/>
  <c r="H1848" i="15"/>
  <c r="A1848" i="15" s="1"/>
  <c r="H1849" i="15"/>
  <c r="A1849" i="15" s="1"/>
  <c r="H1850" i="15"/>
  <c r="A1850" i="15" s="1"/>
  <c r="H1851" i="15"/>
  <c r="A1851" i="15" s="1"/>
  <c r="H1852" i="15"/>
  <c r="A1852" i="15" s="1"/>
  <c r="H1853" i="15"/>
  <c r="A1853" i="15" s="1"/>
  <c r="H1854" i="15"/>
  <c r="A1854" i="15" s="1"/>
  <c r="H1855" i="15"/>
  <c r="A1855" i="15" s="1"/>
  <c r="H1856" i="15"/>
  <c r="A1856" i="15" s="1"/>
  <c r="H1857" i="15"/>
  <c r="A1857" i="15" s="1"/>
  <c r="H1858" i="15"/>
  <c r="A1858" i="15" s="1"/>
  <c r="H1859" i="15"/>
  <c r="A1859" i="15" s="1"/>
  <c r="H1860" i="15"/>
  <c r="A1860" i="15" s="1"/>
  <c r="H1861" i="15"/>
  <c r="A1861" i="15" s="1"/>
  <c r="H1862" i="15"/>
  <c r="A1862" i="15" s="1"/>
  <c r="H1863" i="15"/>
  <c r="A1863" i="15" s="1"/>
  <c r="H1864" i="15"/>
  <c r="A1864" i="15" s="1"/>
  <c r="H1865" i="15"/>
  <c r="A1865" i="15" s="1"/>
  <c r="H1866" i="15"/>
  <c r="A1866" i="15" s="1"/>
  <c r="H1867" i="15"/>
  <c r="A1867" i="15" s="1"/>
  <c r="H1868" i="15"/>
  <c r="A1868" i="15" s="1"/>
  <c r="H1869" i="15"/>
  <c r="A1869" i="15" s="1"/>
  <c r="H1870" i="15"/>
  <c r="A1870" i="15" s="1"/>
  <c r="H1871" i="15"/>
  <c r="A1871" i="15" s="1"/>
  <c r="H1872" i="15"/>
  <c r="A1872" i="15" s="1"/>
  <c r="H1873" i="15"/>
  <c r="A1873" i="15" s="1"/>
  <c r="H1874" i="15"/>
  <c r="A1874" i="15" s="1"/>
  <c r="H1875" i="15"/>
  <c r="A1875" i="15" s="1"/>
  <c r="H1876" i="15"/>
  <c r="A1876" i="15" s="1"/>
  <c r="H1877" i="15"/>
  <c r="A1877" i="15" s="1"/>
  <c r="H1878" i="15"/>
  <c r="A1878" i="15" s="1"/>
  <c r="H1879" i="15"/>
  <c r="A1879" i="15" s="1"/>
  <c r="H1880" i="15"/>
  <c r="A1880" i="15" s="1"/>
  <c r="H1881" i="15"/>
  <c r="A1881" i="15" s="1"/>
  <c r="H1882" i="15"/>
  <c r="A1882" i="15" s="1"/>
  <c r="H1883" i="15"/>
  <c r="A1883" i="15" s="1"/>
  <c r="H1884" i="15"/>
  <c r="A1884" i="15" s="1"/>
  <c r="H1885" i="15"/>
  <c r="A1885" i="15" s="1"/>
  <c r="H1886" i="15"/>
  <c r="A1886" i="15" s="1"/>
  <c r="H1887" i="15"/>
  <c r="A1887" i="15" s="1"/>
  <c r="H1888" i="15"/>
  <c r="A1888" i="15" s="1"/>
  <c r="H1889" i="15"/>
  <c r="A1889" i="15" s="1"/>
  <c r="H1890" i="15"/>
  <c r="A1890" i="15" s="1"/>
  <c r="H1891" i="15"/>
  <c r="A1891" i="15" s="1"/>
  <c r="H1892" i="15"/>
  <c r="A1892" i="15" s="1"/>
  <c r="H1893" i="15"/>
  <c r="A1893" i="15" s="1"/>
  <c r="H1894" i="15"/>
  <c r="A1894" i="15" s="1"/>
  <c r="H1895" i="15"/>
  <c r="A1895" i="15" s="1"/>
  <c r="H1896" i="15"/>
  <c r="A1896" i="15" s="1"/>
  <c r="H1897" i="15"/>
  <c r="A1897" i="15" s="1"/>
  <c r="H1898" i="15"/>
  <c r="A1898" i="15" s="1"/>
  <c r="H1899" i="15"/>
  <c r="A1899" i="15" s="1"/>
  <c r="H1900" i="15"/>
  <c r="A1900" i="15" s="1"/>
  <c r="H1901" i="15"/>
  <c r="A1901" i="15" s="1"/>
  <c r="H1902" i="15"/>
  <c r="A1902" i="15" s="1"/>
  <c r="H1903" i="15"/>
  <c r="A1903" i="15" s="1"/>
  <c r="H1904" i="15"/>
  <c r="A1904" i="15" s="1"/>
  <c r="H1905" i="15"/>
  <c r="A1905" i="15" s="1"/>
  <c r="H1906" i="15"/>
  <c r="A1906" i="15" s="1"/>
  <c r="H1907" i="15"/>
  <c r="A1907" i="15" s="1"/>
  <c r="H1908" i="15"/>
  <c r="A1908" i="15" s="1"/>
  <c r="H1909" i="15"/>
  <c r="A1909" i="15" s="1"/>
  <c r="H1910" i="15"/>
  <c r="A1910" i="15" s="1"/>
  <c r="H1911" i="15"/>
  <c r="A1911" i="15" s="1"/>
  <c r="H1912" i="15"/>
  <c r="A1912" i="15" s="1"/>
  <c r="H1913" i="15"/>
  <c r="A1913" i="15" s="1"/>
  <c r="H1914" i="15"/>
  <c r="A1914" i="15" s="1"/>
  <c r="H1915" i="15"/>
  <c r="A1915" i="15" s="1"/>
  <c r="H1916" i="15"/>
  <c r="A1916" i="15" s="1"/>
  <c r="H1917" i="15"/>
  <c r="A1917" i="15" s="1"/>
  <c r="H1918" i="15"/>
  <c r="A1918" i="15" s="1"/>
  <c r="H1919" i="15"/>
  <c r="A1919" i="15" s="1"/>
  <c r="H1920" i="15"/>
  <c r="A1920" i="15" s="1"/>
  <c r="H1921" i="15"/>
  <c r="A1921" i="15" s="1"/>
  <c r="H1922" i="15"/>
  <c r="A1922" i="15" s="1"/>
  <c r="H1923" i="15"/>
  <c r="A1923" i="15" s="1"/>
  <c r="H1924" i="15"/>
  <c r="A1924" i="15" s="1"/>
  <c r="H1925" i="15"/>
  <c r="A1925" i="15" s="1"/>
  <c r="H1926" i="15"/>
  <c r="A1926" i="15" s="1"/>
  <c r="H1927" i="15"/>
  <c r="A1927" i="15" s="1"/>
  <c r="H1928" i="15"/>
  <c r="A1928" i="15" s="1"/>
  <c r="H1929" i="15"/>
  <c r="A1929" i="15" s="1"/>
  <c r="H1930" i="15"/>
  <c r="A1930" i="15" s="1"/>
  <c r="H1931" i="15"/>
  <c r="A1931" i="15" s="1"/>
  <c r="H1932" i="15"/>
  <c r="A1932" i="15" s="1"/>
  <c r="H1933" i="15"/>
  <c r="A1933" i="15" s="1"/>
  <c r="H1934" i="15"/>
  <c r="A1934" i="15" s="1"/>
  <c r="H1935" i="15"/>
  <c r="A1935" i="15" s="1"/>
  <c r="H1936" i="15"/>
  <c r="A1936" i="15" s="1"/>
  <c r="H1937" i="15"/>
  <c r="A1937" i="15" s="1"/>
  <c r="H1938" i="15"/>
  <c r="A1938" i="15" s="1"/>
  <c r="H1939" i="15"/>
  <c r="A1939" i="15" s="1"/>
  <c r="H1940" i="15"/>
  <c r="A1940" i="15" s="1"/>
  <c r="H1941" i="15"/>
  <c r="A1941" i="15" s="1"/>
  <c r="H1942" i="15"/>
  <c r="A1942" i="15" s="1"/>
  <c r="H1943" i="15"/>
  <c r="A1943" i="15" s="1"/>
  <c r="H1944" i="15"/>
  <c r="A1944" i="15" s="1"/>
  <c r="H1945" i="15"/>
  <c r="A1945" i="15" s="1"/>
  <c r="H1946" i="15"/>
  <c r="A1946" i="15" s="1"/>
  <c r="H1947" i="15"/>
  <c r="A1947" i="15" s="1"/>
  <c r="H1948" i="15"/>
  <c r="A1948" i="15" s="1"/>
  <c r="H1949" i="15"/>
  <c r="A1949" i="15" s="1"/>
  <c r="H1950" i="15"/>
  <c r="A1950" i="15" s="1"/>
  <c r="H1951" i="15"/>
  <c r="A1951" i="15" s="1"/>
  <c r="H1952" i="15"/>
  <c r="A1952" i="15" s="1"/>
  <c r="H1953" i="15"/>
  <c r="A1953" i="15" s="1"/>
  <c r="H1954" i="15"/>
  <c r="A1954" i="15" s="1"/>
  <c r="H1955" i="15"/>
  <c r="A1955" i="15" s="1"/>
  <c r="H1956" i="15"/>
  <c r="A1956" i="15" s="1"/>
  <c r="H1957" i="15"/>
  <c r="A1957" i="15" s="1"/>
  <c r="H1958" i="15"/>
  <c r="A1958" i="15" s="1"/>
  <c r="H1959" i="15"/>
  <c r="A1959" i="15" s="1"/>
  <c r="H1960" i="15"/>
  <c r="A1960" i="15" s="1"/>
  <c r="H1961" i="15"/>
  <c r="A1961" i="15" s="1"/>
  <c r="H1962" i="15"/>
  <c r="A1962" i="15" s="1"/>
  <c r="H1963" i="15"/>
  <c r="A1963" i="15" s="1"/>
  <c r="H1964" i="15"/>
  <c r="A1964" i="15" s="1"/>
  <c r="H1965" i="15"/>
  <c r="A1965" i="15" s="1"/>
  <c r="H1966" i="15"/>
  <c r="A1966" i="15" s="1"/>
  <c r="H1967" i="15"/>
  <c r="A1967" i="15" s="1"/>
  <c r="H1968" i="15"/>
  <c r="A1968" i="15" s="1"/>
  <c r="H1969" i="15"/>
  <c r="A1969" i="15" s="1"/>
  <c r="H1970" i="15"/>
  <c r="A1970" i="15" s="1"/>
  <c r="H1971" i="15"/>
  <c r="A1971" i="15" s="1"/>
  <c r="H1972" i="15"/>
  <c r="A1972" i="15" s="1"/>
  <c r="H1973" i="15"/>
  <c r="A1973" i="15" s="1"/>
  <c r="H1974" i="15"/>
  <c r="A1974" i="15" s="1"/>
  <c r="H1975" i="15"/>
  <c r="A1975" i="15" s="1"/>
  <c r="H1976" i="15"/>
  <c r="A1976" i="15" s="1"/>
  <c r="H1977" i="15"/>
  <c r="A1977" i="15" s="1"/>
  <c r="H1978" i="15"/>
  <c r="A1978" i="15" s="1"/>
  <c r="H1979" i="15"/>
  <c r="A1979" i="15" s="1"/>
  <c r="H1980" i="15"/>
  <c r="A1980" i="15" s="1"/>
  <c r="H1981" i="15"/>
  <c r="A1981" i="15" s="1"/>
  <c r="H1982" i="15"/>
  <c r="A1982" i="15" s="1"/>
  <c r="H1983" i="15"/>
  <c r="A1983" i="15" s="1"/>
  <c r="H1984" i="15"/>
  <c r="A1984" i="15" s="1"/>
  <c r="H1985" i="15"/>
  <c r="A1985" i="15" s="1"/>
  <c r="H1986" i="15"/>
  <c r="A1986" i="15" s="1"/>
  <c r="H1987" i="15"/>
  <c r="A1987" i="15" s="1"/>
  <c r="H1988" i="15"/>
  <c r="A1988" i="15" s="1"/>
  <c r="H1989" i="15"/>
  <c r="A1989" i="15" s="1"/>
  <c r="H1990" i="15"/>
  <c r="A1990" i="15" s="1"/>
  <c r="H1991" i="15"/>
  <c r="A1991" i="15" s="1"/>
  <c r="H1992" i="15"/>
  <c r="A1992" i="15" s="1"/>
  <c r="H1993" i="15"/>
  <c r="A1993" i="15" s="1"/>
  <c r="H1994" i="15"/>
  <c r="A1994" i="15" s="1"/>
  <c r="H1995" i="15"/>
  <c r="A1995" i="15" s="1"/>
  <c r="H1996" i="15"/>
  <c r="A1996" i="15" s="1"/>
  <c r="H1997" i="15"/>
  <c r="A1997" i="15" s="1"/>
  <c r="H1998" i="15"/>
  <c r="A1998" i="15" s="1"/>
  <c r="H1999" i="15"/>
  <c r="A1999" i="15" s="1"/>
  <c r="H2000" i="15"/>
  <c r="A2000" i="15" s="1"/>
  <c r="H2001" i="15"/>
  <c r="A2001" i="15" s="1"/>
  <c r="H2002" i="15"/>
  <c r="A2002" i="15" s="1"/>
  <c r="H2003" i="15"/>
  <c r="A2003" i="15" s="1"/>
  <c r="H2004" i="15"/>
  <c r="A2004" i="15" s="1"/>
  <c r="H2005" i="15"/>
  <c r="A2005" i="15" s="1"/>
  <c r="H2006" i="15"/>
  <c r="A2006" i="15" s="1"/>
  <c r="H2007" i="15"/>
  <c r="A2007" i="15" s="1"/>
  <c r="H2008" i="15"/>
  <c r="A2008" i="15" s="1"/>
  <c r="H2009" i="15"/>
  <c r="A2009" i="15" s="1"/>
  <c r="H2010" i="15"/>
  <c r="A2010" i="15" s="1"/>
  <c r="H2011" i="15"/>
  <c r="A2011" i="15" s="1"/>
  <c r="H2012" i="15"/>
  <c r="A2012" i="15" s="1"/>
  <c r="H2013" i="15"/>
  <c r="A2013" i="15" s="1"/>
  <c r="H2014" i="15"/>
  <c r="A2014" i="15" s="1"/>
  <c r="H2015" i="15"/>
  <c r="A2015" i="15" s="1"/>
  <c r="H2016" i="15"/>
  <c r="A2016" i="15" s="1"/>
  <c r="H2017" i="15"/>
  <c r="A2017" i="15" s="1"/>
  <c r="H2018" i="15"/>
  <c r="A2018" i="15" s="1"/>
  <c r="H2019" i="15"/>
  <c r="A2019" i="15" s="1"/>
  <c r="H2020" i="15"/>
  <c r="A2020" i="15" s="1"/>
  <c r="H2021" i="15"/>
  <c r="A2021" i="15" s="1"/>
  <c r="H2022" i="15"/>
  <c r="A2022" i="15" s="1"/>
  <c r="H2023" i="15"/>
  <c r="A2023" i="15" s="1"/>
  <c r="H2024" i="15"/>
  <c r="A2024" i="15" s="1"/>
  <c r="H2025" i="15"/>
  <c r="A2025" i="15" s="1"/>
  <c r="H2026" i="15"/>
  <c r="A2026" i="15" s="1"/>
  <c r="H2027" i="15"/>
  <c r="A2027" i="15" s="1"/>
  <c r="H2028" i="15"/>
  <c r="A2028" i="15" s="1"/>
  <c r="H2029" i="15"/>
  <c r="A2029" i="15" s="1"/>
  <c r="H2030" i="15"/>
  <c r="A2030" i="15" s="1"/>
  <c r="H2031" i="15"/>
  <c r="A2031" i="15" s="1"/>
  <c r="H2032" i="15"/>
  <c r="A2032" i="15" s="1"/>
  <c r="H2033" i="15"/>
  <c r="A2033" i="15" s="1"/>
  <c r="H2034" i="15"/>
  <c r="A2034" i="15" s="1"/>
  <c r="H2035" i="15"/>
  <c r="A2035" i="15" s="1"/>
  <c r="H2036" i="15"/>
  <c r="A2036" i="15" s="1"/>
  <c r="H2037" i="15"/>
  <c r="A2037" i="15" s="1"/>
  <c r="H2038" i="15"/>
  <c r="A2038" i="15" s="1"/>
  <c r="H2039" i="15"/>
  <c r="A2039" i="15" s="1"/>
  <c r="H2040" i="15"/>
  <c r="A2040" i="15" s="1"/>
  <c r="H2041" i="15"/>
  <c r="A2041" i="15" s="1"/>
  <c r="H2042" i="15"/>
  <c r="A2042" i="15" s="1"/>
  <c r="H2043" i="15"/>
  <c r="A2043" i="15" s="1"/>
  <c r="H2044" i="15"/>
  <c r="A2044" i="15" s="1"/>
  <c r="H2045" i="15"/>
  <c r="A2045" i="15" s="1"/>
  <c r="H2046" i="15"/>
  <c r="A2046" i="15" s="1"/>
  <c r="H2047" i="15"/>
  <c r="A2047" i="15" s="1"/>
  <c r="H2048" i="15"/>
  <c r="A2048" i="15" s="1"/>
  <c r="H2049" i="15"/>
  <c r="A2049" i="15" s="1"/>
  <c r="H2050" i="15"/>
  <c r="A2050" i="15" s="1"/>
  <c r="H2051" i="15"/>
  <c r="A2051" i="15" s="1"/>
  <c r="H2052" i="15"/>
  <c r="A2052" i="15" s="1"/>
  <c r="H2053" i="15"/>
  <c r="A2053" i="15" s="1"/>
  <c r="H2054" i="15"/>
  <c r="A2054" i="15" s="1"/>
  <c r="H2055" i="15"/>
  <c r="A2055" i="15" s="1"/>
  <c r="H2056" i="15"/>
  <c r="A2056" i="15" s="1"/>
  <c r="H2057" i="15"/>
  <c r="A2057" i="15" s="1"/>
  <c r="H2058" i="15"/>
  <c r="A2058" i="15" s="1"/>
  <c r="H2059" i="15"/>
  <c r="A2059" i="15" s="1"/>
  <c r="H2060" i="15"/>
  <c r="A2060" i="15" s="1"/>
  <c r="H2061" i="15"/>
  <c r="A2061" i="15" s="1"/>
  <c r="H2062" i="15"/>
  <c r="A2062" i="15" s="1"/>
  <c r="H2063" i="15"/>
  <c r="A2063" i="15" s="1"/>
  <c r="H2064" i="15"/>
  <c r="A2064" i="15" s="1"/>
  <c r="H2065" i="15"/>
  <c r="A2065" i="15" s="1"/>
  <c r="H2066" i="15"/>
  <c r="A2066" i="15" s="1"/>
  <c r="H2067" i="15"/>
  <c r="A2067" i="15" s="1"/>
  <c r="H2068" i="15"/>
  <c r="A2068" i="15" s="1"/>
  <c r="H2069" i="15"/>
  <c r="A2069" i="15" s="1"/>
  <c r="H2070" i="15"/>
  <c r="A2070" i="15" s="1"/>
  <c r="H2071" i="15"/>
  <c r="A2071" i="15" s="1"/>
  <c r="H2072" i="15"/>
  <c r="A2072" i="15" s="1"/>
  <c r="H2073" i="15"/>
  <c r="A2073" i="15" s="1"/>
  <c r="H2074" i="15"/>
  <c r="A2074" i="15" s="1"/>
  <c r="H2075" i="15"/>
  <c r="A2075" i="15" s="1"/>
  <c r="H2076" i="15"/>
  <c r="A2076" i="15" s="1"/>
  <c r="H2077" i="15"/>
  <c r="A2077" i="15" s="1"/>
  <c r="H2078" i="15"/>
  <c r="A2078" i="15" s="1"/>
  <c r="H2079" i="15"/>
  <c r="A2079" i="15" s="1"/>
  <c r="H2080" i="15"/>
  <c r="A2080" i="15" s="1"/>
  <c r="H2081" i="15"/>
  <c r="A2081" i="15" s="1"/>
  <c r="H2082" i="15"/>
  <c r="A2082" i="15" s="1"/>
  <c r="H2083" i="15"/>
  <c r="A2083" i="15" s="1"/>
  <c r="H2084" i="15"/>
  <c r="A2084" i="15" s="1"/>
  <c r="H2085" i="15"/>
  <c r="A2085" i="15" s="1"/>
  <c r="H2086" i="15"/>
  <c r="A2086" i="15" s="1"/>
  <c r="H2087" i="15"/>
  <c r="A2087" i="15" s="1"/>
  <c r="H2088" i="15"/>
  <c r="A2088" i="15" s="1"/>
  <c r="H2089" i="15"/>
  <c r="A2089" i="15" s="1"/>
  <c r="H2090" i="15"/>
  <c r="A2090" i="15" s="1"/>
  <c r="H2091" i="15"/>
  <c r="A2091" i="15" s="1"/>
  <c r="H2092" i="15"/>
  <c r="A2092" i="15" s="1"/>
  <c r="H2093" i="15"/>
  <c r="A2093" i="15" s="1"/>
  <c r="H2094" i="15"/>
  <c r="A2094" i="15" s="1"/>
  <c r="H2095" i="15"/>
  <c r="A2095" i="15" s="1"/>
  <c r="H2096" i="15"/>
  <c r="A2096" i="15" s="1"/>
  <c r="H2097" i="15"/>
  <c r="A2097" i="15" s="1"/>
  <c r="H2098" i="15"/>
  <c r="A2098" i="15" s="1"/>
  <c r="H2099" i="15"/>
  <c r="A2099" i="15" s="1"/>
  <c r="H2100" i="15"/>
  <c r="A2100" i="15" s="1"/>
  <c r="H2101" i="15"/>
  <c r="A2101" i="15" s="1"/>
  <c r="H2102" i="15"/>
  <c r="A2102" i="15" s="1"/>
  <c r="H2103" i="15"/>
  <c r="A2103" i="15" s="1"/>
  <c r="H2104" i="15"/>
  <c r="A2104" i="15" s="1"/>
  <c r="H2105" i="15"/>
  <c r="A2105" i="15" s="1"/>
  <c r="H2106" i="15"/>
  <c r="A2106" i="15" s="1"/>
  <c r="H2107" i="15"/>
  <c r="A2107" i="15" s="1"/>
  <c r="H2108" i="15"/>
  <c r="A2108" i="15" s="1"/>
  <c r="H2109" i="15"/>
  <c r="A2109" i="15" s="1"/>
  <c r="H2110" i="15"/>
  <c r="A2110" i="15" s="1"/>
  <c r="H2111" i="15"/>
  <c r="A2111" i="15" s="1"/>
  <c r="H2112" i="15"/>
  <c r="A2112" i="15" s="1"/>
  <c r="H2113" i="15"/>
  <c r="A2113" i="15" s="1"/>
  <c r="H2114" i="15"/>
  <c r="A2114" i="15" s="1"/>
  <c r="H2115" i="15"/>
  <c r="A2115" i="15" s="1"/>
  <c r="H2116" i="15"/>
  <c r="A2116" i="15" s="1"/>
  <c r="H2117" i="15"/>
  <c r="A2117" i="15" s="1"/>
  <c r="H2118" i="15"/>
  <c r="A2118" i="15" s="1"/>
  <c r="H2119" i="15"/>
  <c r="A2119" i="15" s="1"/>
  <c r="H2120" i="15"/>
  <c r="A2120" i="15" s="1"/>
  <c r="H2121" i="15"/>
  <c r="A2121" i="15" s="1"/>
  <c r="H2122" i="15"/>
  <c r="A2122" i="15" s="1"/>
  <c r="H2123" i="15"/>
  <c r="A2123" i="15" s="1"/>
  <c r="H2124" i="15"/>
  <c r="A2124" i="15" s="1"/>
  <c r="H2125" i="15"/>
  <c r="A2125" i="15" s="1"/>
  <c r="H2126" i="15"/>
  <c r="A2126" i="15" s="1"/>
  <c r="H2127" i="15"/>
  <c r="A2127" i="15" s="1"/>
  <c r="H2128" i="15"/>
  <c r="A2128" i="15" s="1"/>
  <c r="H2129" i="15"/>
  <c r="A2129" i="15" s="1"/>
  <c r="H2130" i="15"/>
  <c r="A2130" i="15" s="1"/>
  <c r="H2131" i="15"/>
  <c r="A2131" i="15" s="1"/>
  <c r="H2132" i="15"/>
  <c r="A2132" i="15" s="1"/>
  <c r="H2133" i="15"/>
  <c r="A2133" i="15" s="1"/>
  <c r="H2134" i="15"/>
  <c r="A2134" i="15" s="1"/>
  <c r="H2135" i="15"/>
  <c r="A2135" i="15" s="1"/>
  <c r="H2136" i="15"/>
  <c r="A2136" i="15" s="1"/>
  <c r="H2137" i="15"/>
  <c r="A2137" i="15" s="1"/>
  <c r="H2138" i="15"/>
  <c r="A2138" i="15" s="1"/>
  <c r="H2139" i="15"/>
  <c r="A2139" i="15" s="1"/>
  <c r="H2140" i="15"/>
  <c r="A2140" i="15" s="1"/>
  <c r="H2141" i="15"/>
  <c r="A2141" i="15" s="1"/>
  <c r="H2142" i="15"/>
  <c r="A2142" i="15" s="1"/>
  <c r="H2143" i="15"/>
  <c r="A2143" i="15" s="1"/>
  <c r="H2144" i="15"/>
  <c r="A2144" i="15" s="1"/>
  <c r="H2145" i="15"/>
  <c r="A2145" i="15" s="1"/>
  <c r="H2146" i="15"/>
  <c r="A2146" i="15" s="1"/>
  <c r="H2147" i="15"/>
  <c r="A2147" i="15" s="1"/>
  <c r="H2148" i="15"/>
  <c r="A2148" i="15" s="1"/>
  <c r="H2149" i="15"/>
  <c r="A2149" i="15" s="1"/>
  <c r="H2150" i="15"/>
  <c r="A2150" i="15" s="1"/>
  <c r="H2151" i="15"/>
  <c r="A2151" i="15" s="1"/>
  <c r="H2152" i="15"/>
  <c r="A2152" i="15" s="1"/>
  <c r="H2153" i="15"/>
  <c r="A2153" i="15" s="1"/>
  <c r="H2154" i="15"/>
  <c r="A2154" i="15" s="1"/>
  <c r="H2155" i="15"/>
  <c r="A2155" i="15" s="1"/>
  <c r="H2156" i="15"/>
  <c r="A2156" i="15" s="1"/>
  <c r="H2157" i="15"/>
  <c r="A2157" i="15" s="1"/>
  <c r="H2158" i="15"/>
  <c r="A2158" i="15" s="1"/>
  <c r="H2159" i="15"/>
  <c r="A2159" i="15" s="1"/>
  <c r="H2160" i="15"/>
  <c r="A2160" i="15" s="1"/>
  <c r="H2161" i="15"/>
  <c r="A2161" i="15" s="1"/>
  <c r="H2162" i="15"/>
  <c r="A2162" i="15" s="1"/>
  <c r="H2163" i="15"/>
  <c r="A2163" i="15" s="1"/>
  <c r="H2164" i="15"/>
  <c r="A2164" i="15" s="1"/>
  <c r="H2165" i="15"/>
  <c r="A2165" i="15" s="1"/>
  <c r="H2166" i="15"/>
  <c r="A2166" i="15" s="1"/>
  <c r="H2167" i="15"/>
  <c r="A2167" i="15" s="1"/>
  <c r="H2168" i="15"/>
  <c r="A2168" i="15" s="1"/>
  <c r="H2169" i="15"/>
  <c r="A2169" i="15" s="1"/>
  <c r="H2170" i="15"/>
  <c r="A2170" i="15" s="1"/>
  <c r="H2171" i="15"/>
  <c r="A2171" i="15" s="1"/>
  <c r="H2172" i="15"/>
  <c r="A2172" i="15" s="1"/>
  <c r="H2173" i="15"/>
  <c r="A2173" i="15" s="1"/>
  <c r="H2174" i="15"/>
  <c r="A2174" i="15" s="1"/>
  <c r="H2175" i="15"/>
  <c r="A2175" i="15" s="1"/>
  <c r="H2176" i="15"/>
  <c r="A2176" i="15" s="1"/>
  <c r="H2177" i="15"/>
  <c r="A2177" i="15" s="1"/>
  <c r="H2178" i="15"/>
  <c r="A2178" i="15" s="1"/>
  <c r="H2179" i="15"/>
  <c r="A2179" i="15" s="1"/>
  <c r="H2180" i="15"/>
  <c r="A2180" i="15" s="1"/>
  <c r="H2181" i="15"/>
  <c r="A2181" i="15" s="1"/>
  <c r="H2182" i="15"/>
  <c r="A2182" i="15" s="1"/>
  <c r="H2183" i="15"/>
  <c r="A2183" i="15" s="1"/>
  <c r="H2184" i="15"/>
  <c r="A2184" i="15" s="1"/>
  <c r="H2185" i="15"/>
  <c r="A2185" i="15" s="1"/>
  <c r="H2186" i="15"/>
  <c r="A2186" i="15" s="1"/>
  <c r="H2187" i="15"/>
  <c r="A2187" i="15" s="1"/>
  <c r="H2188" i="15"/>
  <c r="A2188" i="15" s="1"/>
  <c r="H2189" i="15"/>
  <c r="A2189" i="15" s="1"/>
  <c r="H2190" i="15"/>
  <c r="A2190" i="15" s="1"/>
  <c r="H2191" i="15"/>
  <c r="A2191" i="15" s="1"/>
  <c r="H2192" i="15"/>
  <c r="A2192" i="15" s="1"/>
  <c r="H2193" i="15"/>
  <c r="A2193" i="15" s="1"/>
  <c r="H2194" i="15"/>
  <c r="A2194" i="15" s="1"/>
  <c r="H2195" i="15"/>
  <c r="A2195" i="15" s="1"/>
  <c r="H2196" i="15"/>
  <c r="A2196" i="15" s="1"/>
  <c r="H2197" i="15"/>
  <c r="A2197" i="15" s="1"/>
  <c r="H2198" i="15"/>
  <c r="A2198" i="15" s="1"/>
  <c r="H2199" i="15"/>
  <c r="A2199" i="15" s="1"/>
  <c r="H2200" i="15"/>
  <c r="A2200" i="15" s="1"/>
  <c r="H2201" i="15"/>
  <c r="A2201" i="15" s="1"/>
  <c r="H2202" i="15"/>
  <c r="A2202" i="15" s="1"/>
  <c r="H2203" i="15"/>
  <c r="A2203" i="15" s="1"/>
  <c r="H2204" i="15"/>
  <c r="A2204" i="15" s="1"/>
  <c r="H2205" i="15"/>
  <c r="A2205" i="15" s="1"/>
  <c r="H2206" i="15"/>
  <c r="A2206" i="15" s="1"/>
  <c r="H2207" i="15"/>
  <c r="A2207" i="15" s="1"/>
  <c r="H2208" i="15"/>
  <c r="A2208" i="15" s="1"/>
  <c r="H2209" i="15"/>
  <c r="A2209" i="15" s="1"/>
  <c r="H2210" i="15"/>
  <c r="A2210" i="15" s="1"/>
  <c r="H2211" i="15"/>
  <c r="A2211" i="15" s="1"/>
  <c r="H2212" i="15"/>
  <c r="A2212" i="15" s="1"/>
  <c r="H2213" i="15"/>
  <c r="A2213" i="15" s="1"/>
  <c r="H2214" i="15"/>
  <c r="A2214" i="15" s="1"/>
  <c r="H2215" i="15"/>
  <c r="A2215" i="15" s="1"/>
  <c r="H2216" i="15"/>
  <c r="A2216" i="15" s="1"/>
  <c r="H2217" i="15"/>
  <c r="A2217" i="15" s="1"/>
  <c r="H2218" i="15"/>
  <c r="A2218" i="15" s="1"/>
  <c r="H2219" i="15"/>
  <c r="A2219" i="15" s="1"/>
  <c r="H2220" i="15"/>
  <c r="A2220" i="15" s="1"/>
  <c r="H2221" i="15"/>
  <c r="A2221" i="15" s="1"/>
  <c r="H2222" i="15"/>
  <c r="A2222" i="15" s="1"/>
  <c r="H2223" i="15"/>
  <c r="A2223" i="15" s="1"/>
  <c r="H2224" i="15"/>
  <c r="A2224" i="15" s="1"/>
  <c r="H2225" i="15"/>
  <c r="A2225" i="15" s="1"/>
  <c r="H2226" i="15"/>
  <c r="A2226" i="15" s="1"/>
  <c r="H2227" i="15"/>
  <c r="A2227" i="15" s="1"/>
  <c r="H2228" i="15"/>
  <c r="A2228" i="15" s="1"/>
  <c r="H2229" i="15"/>
  <c r="A2229" i="15" s="1"/>
  <c r="H2230" i="15"/>
  <c r="A2230" i="15" s="1"/>
  <c r="H2231" i="15"/>
  <c r="A2231" i="15" s="1"/>
  <c r="H2232" i="15"/>
  <c r="A2232" i="15" s="1"/>
  <c r="H2233" i="15"/>
  <c r="A2233" i="15" s="1"/>
  <c r="H2234" i="15"/>
  <c r="A2234" i="15" s="1"/>
  <c r="H2235" i="15"/>
  <c r="A2235" i="15" s="1"/>
  <c r="H2236" i="15"/>
  <c r="A2236" i="15" s="1"/>
  <c r="H2237" i="15"/>
  <c r="A2237" i="15" s="1"/>
  <c r="H2238" i="15"/>
  <c r="A2238" i="15" s="1"/>
  <c r="H2239" i="15"/>
  <c r="A2239" i="15" s="1"/>
  <c r="H2240" i="15"/>
  <c r="A2240" i="15" s="1"/>
  <c r="H2241" i="15"/>
  <c r="A2241" i="15" s="1"/>
  <c r="H2242" i="15"/>
  <c r="A2242" i="15" s="1"/>
  <c r="H2243" i="15"/>
  <c r="A2243" i="15" s="1"/>
  <c r="H2244" i="15"/>
  <c r="A2244" i="15" s="1"/>
  <c r="H2245" i="15"/>
  <c r="A2245" i="15" s="1"/>
  <c r="H2246" i="15"/>
  <c r="A2246" i="15" s="1"/>
  <c r="H2247" i="15"/>
  <c r="A2247" i="15" s="1"/>
  <c r="H2248" i="15"/>
  <c r="A2248" i="15" s="1"/>
  <c r="H2249" i="15"/>
  <c r="A2249" i="15" s="1"/>
  <c r="H2250" i="15"/>
  <c r="A2250" i="15" s="1"/>
  <c r="H2251" i="15"/>
  <c r="A2251" i="15" s="1"/>
  <c r="H2252" i="15"/>
  <c r="A2252" i="15" s="1"/>
  <c r="H2253" i="15"/>
  <c r="A2253" i="15" s="1"/>
  <c r="H2254" i="15"/>
  <c r="A2254" i="15" s="1"/>
  <c r="H2255" i="15"/>
  <c r="A2255" i="15" s="1"/>
  <c r="H2256" i="15"/>
  <c r="A2256" i="15" s="1"/>
  <c r="H2257" i="15"/>
  <c r="A2257" i="15" s="1"/>
  <c r="H2258" i="15"/>
  <c r="A2258" i="15" s="1"/>
  <c r="H2259" i="15"/>
  <c r="A2259" i="15" s="1"/>
  <c r="H2260" i="15"/>
  <c r="A2260" i="15" s="1"/>
  <c r="H2261" i="15"/>
  <c r="A2261" i="15" s="1"/>
  <c r="H2262" i="15"/>
  <c r="A2262" i="15" s="1"/>
  <c r="H2263" i="15"/>
  <c r="A2263" i="15" s="1"/>
  <c r="H2264" i="15"/>
  <c r="A2264" i="15" s="1"/>
  <c r="H2265" i="15"/>
  <c r="A2265" i="15" s="1"/>
  <c r="H2266" i="15"/>
  <c r="A2266" i="15" s="1"/>
  <c r="H2267" i="15"/>
  <c r="A2267" i="15" s="1"/>
  <c r="H2268" i="15"/>
  <c r="A2268" i="15" s="1"/>
  <c r="H2269" i="15"/>
  <c r="A2269" i="15" s="1"/>
  <c r="H2270" i="15"/>
  <c r="A2270" i="15" s="1"/>
  <c r="H2271" i="15"/>
  <c r="A2271" i="15" s="1"/>
  <c r="H2272" i="15"/>
  <c r="A2272" i="15" s="1"/>
  <c r="H2273" i="15"/>
  <c r="A2273" i="15" s="1"/>
  <c r="H2274" i="15"/>
  <c r="A2274" i="15" s="1"/>
  <c r="H2275" i="15"/>
  <c r="A2275" i="15" s="1"/>
  <c r="H2276" i="15"/>
  <c r="A2276" i="15" s="1"/>
  <c r="H2277" i="15"/>
  <c r="A2277" i="15" s="1"/>
  <c r="H2278" i="15"/>
  <c r="A2278" i="15" s="1"/>
  <c r="H2279" i="15"/>
  <c r="A2279" i="15" s="1"/>
  <c r="H2280" i="15"/>
  <c r="A2280" i="15" s="1"/>
  <c r="H2281" i="15"/>
  <c r="A2281" i="15" s="1"/>
  <c r="H2282" i="15"/>
  <c r="A2282" i="15" s="1"/>
  <c r="H2283" i="15"/>
  <c r="A2283" i="15" s="1"/>
  <c r="H2284" i="15"/>
  <c r="A2284" i="15" s="1"/>
  <c r="H2285" i="15"/>
  <c r="A2285" i="15" s="1"/>
  <c r="H2286" i="15"/>
  <c r="A2286" i="15" s="1"/>
  <c r="H2287" i="15"/>
  <c r="A2287" i="15" s="1"/>
  <c r="H2288" i="15"/>
  <c r="A2288" i="15" s="1"/>
  <c r="H2289" i="15"/>
  <c r="A2289" i="15" s="1"/>
  <c r="H2290" i="15"/>
  <c r="A2290" i="15" s="1"/>
  <c r="H2291" i="15"/>
  <c r="A2291" i="15" s="1"/>
  <c r="H2292" i="15"/>
  <c r="A2292" i="15" s="1"/>
  <c r="H2293" i="15"/>
  <c r="A2293" i="15" s="1"/>
  <c r="H2294" i="15"/>
  <c r="A2294" i="15" s="1"/>
  <c r="H2295" i="15"/>
  <c r="A2295" i="15" s="1"/>
  <c r="H2296" i="15"/>
  <c r="A2296" i="15" s="1"/>
  <c r="H2297" i="15"/>
  <c r="A2297" i="15" s="1"/>
  <c r="H2298" i="15"/>
  <c r="A2298" i="15" s="1"/>
  <c r="H2299" i="15"/>
  <c r="A2299" i="15" s="1"/>
  <c r="H2300" i="15"/>
  <c r="A2300" i="15" s="1"/>
  <c r="H2301" i="15"/>
  <c r="A2301" i="15" s="1"/>
  <c r="H2302" i="15"/>
  <c r="A2302" i="15" s="1"/>
  <c r="H2303" i="15"/>
  <c r="A2303" i="15" s="1"/>
  <c r="H2304" i="15"/>
  <c r="A2304" i="15" s="1"/>
  <c r="H2305" i="15"/>
  <c r="A2305" i="15" s="1"/>
  <c r="H2306" i="15"/>
  <c r="A2306" i="15" s="1"/>
  <c r="H2307" i="15"/>
  <c r="A2307" i="15" s="1"/>
  <c r="H2308" i="15"/>
  <c r="A2308" i="15" s="1"/>
  <c r="H2309" i="15"/>
  <c r="A2309" i="15" s="1"/>
  <c r="H2310" i="15"/>
  <c r="A2310" i="15" s="1"/>
  <c r="H2311" i="15"/>
  <c r="A2311" i="15" s="1"/>
  <c r="H2312" i="15"/>
  <c r="A2312" i="15" s="1"/>
  <c r="H2313" i="15"/>
  <c r="A2313" i="15" s="1"/>
  <c r="H2314" i="15"/>
  <c r="A2314" i="15" s="1"/>
  <c r="H2315" i="15"/>
  <c r="A2315" i="15" s="1"/>
  <c r="H2316" i="15"/>
  <c r="A2316" i="15" s="1"/>
  <c r="H2317" i="15"/>
  <c r="A2317" i="15" s="1"/>
  <c r="H2318" i="15"/>
  <c r="A2318" i="15" s="1"/>
  <c r="H2319" i="15"/>
  <c r="A2319" i="15" s="1"/>
  <c r="H2320" i="15"/>
  <c r="A2320" i="15" s="1"/>
  <c r="H2321" i="15"/>
  <c r="A2321" i="15" s="1"/>
  <c r="H2322" i="15"/>
  <c r="A2322" i="15" s="1"/>
  <c r="H2323" i="15"/>
  <c r="A2323" i="15" s="1"/>
  <c r="H2324" i="15"/>
  <c r="A2324" i="15" s="1"/>
  <c r="H2325" i="15"/>
  <c r="A2325" i="15" s="1"/>
  <c r="H2326" i="15"/>
  <c r="A2326" i="15" s="1"/>
  <c r="H2327" i="15"/>
  <c r="A2327" i="15" s="1"/>
  <c r="H2328" i="15"/>
  <c r="A2328" i="15" s="1"/>
  <c r="H2329" i="15"/>
  <c r="A2329" i="15" s="1"/>
  <c r="H2330" i="15"/>
  <c r="A2330" i="15" s="1"/>
  <c r="H2331" i="15"/>
  <c r="A2331" i="15" s="1"/>
  <c r="H2332" i="15"/>
  <c r="A2332" i="15" s="1"/>
  <c r="H2333" i="15"/>
  <c r="A2333" i="15" s="1"/>
  <c r="H2334" i="15"/>
  <c r="A2334" i="15" s="1"/>
  <c r="H2335" i="15"/>
  <c r="A2335" i="15" s="1"/>
  <c r="H2336" i="15"/>
  <c r="A2336" i="15" s="1"/>
  <c r="H2337" i="15"/>
  <c r="A2337" i="15" s="1"/>
  <c r="H2338" i="15"/>
  <c r="A2338" i="15" s="1"/>
  <c r="H2339" i="15"/>
  <c r="A2339" i="15" s="1"/>
  <c r="H2340" i="15"/>
  <c r="A2340" i="15" s="1"/>
  <c r="H2341" i="15"/>
  <c r="A2341" i="15" s="1"/>
  <c r="H2342" i="15"/>
  <c r="A2342" i="15" s="1"/>
  <c r="H2343" i="15"/>
  <c r="A2343" i="15" s="1"/>
  <c r="H2344" i="15"/>
  <c r="A2344" i="15" s="1"/>
  <c r="H2345" i="15"/>
  <c r="A2345" i="15" s="1"/>
  <c r="H2346" i="15"/>
  <c r="A2346" i="15" s="1"/>
  <c r="H2347" i="15"/>
  <c r="A2347" i="15" s="1"/>
  <c r="H2348" i="15"/>
  <c r="A2348" i="15" s="1"/>
  <c r="H2349" i="15"/>
  <c r="A2349" i="15" s="1"/>
  <c r="H2350" i="15"/>
  <c r="A2350" i="15" s="1"/>
  <c r="H2351" i="15"/>
  <c r="A2351" i="15" s="1"/>
  <c r="H2352" i="15"/>
  <c r="A2352" i="15" s="1"/>
  <c r="H2353" i="15"/>
  <c r="A2353" i="15" s="1"/>
  <c r="H2354" i="15"/>
  <c r="A2354" i="15" s="1"/>
  <c r="H2355" i="15"/>
  <c r="A2355" i="15" s="1"/>
  <c r="H2356" i="15"/>
  <c r="A2356" i="15" s="1"/>
  <c r="H2357" i="15"/>
  <c r="A2357" i="15" s="1"/>
  <c r="H2358" i="15"/>
  <c r="A2358" i="15" s="1"/>
  <c r="H2359" i="15"/>
  <c r="A2359" i="15" s="1"/>
  <c r="H2360" i="15"/>
  <c r="A2360" i="15" s="1"/>
  <c r="H2361" i="15"/>
  <c r="A2361" i="15" s="1"/>
  <c r="H2362" i="15"/>
  <c r="A2362" i="15" s="1"/>
  <c r="H2363" i="15"/>
  <c r="A2363" i="15" s="1"/>
  <c r="H2364" i="15"/>
  <c r="A2364" i="15" s="1"/>
  <c r="H2365" i="15"/>
  <c r="A2365" i="15" s="1"/>
  <c r="H2366" i="15"/>
  <c r="A2366" i="15" s="1"/>
  <c r="H2367" i="15"/>
  <c r="A2367" i="15" s="1"/>
  <c r="H2368" i="15"/>
  <c r="A2368" i="15" s="1"/>
  <c r="H2369" i="15"/>
  <c r="A2369" i="15" s="1"/>
  <c r="H2370" i="15"/>
  <c r="A2370" i="15" s="1"/>
  <c r="H2371" i="15"/>
  <c r="A2371" i="15" s="1"/>
  <c r="H2372" i="15"/>
  <c r="A2372" i="15" s="1"/>
  <c r="H2373" i="15"/>
  <c r="A2373" i="15" s="1"/>
  <c r="H2374" i="15"/>
  <c r="A2374" i="15" s="1"/>
  <c r="H2375" i="15"/>
  <c r="A2375" i="15" s="1"/>
  <c r="H2376" i="15"/>
  <c r="A2376" i="15" s="1"/>
  <c r="H2377" i="15"/>
  <c r="A2377" i="15" s="1"/>
  <c r="H2378" i="15"/>
  <c r="A2378" i="15" s="1"/>
  <c r="H2379" i="15"/>
  <c r="A2379" i="15" s="1"/>
  <c r="H2380" i="15"/>
  <c r="A2380" i="15" s="1"/>
  <c r="H2381" i="15"/>
  <c r="A2381" i="15" s="1"/>
  <c r="H2382" i="15"/>
  <c r="A2382" i="15" s="1"/>
  <c r="H2383" i="15"/>
  <c r="A2383" i="15" s="1"/>
  <c r="H2384" i="15"/>
  <c r="A2384" i="15" s="1"/>
  <c r="H2385" i="15"/>
  <c r="A2385" i="15" s="1"/>
  <c r="H2386" i="15"/>
  <c r="A2386" i="15" s="1"/>
  <c r="H2387" i="15"/>
  <c r="A2387" i="15" s="1"/>
  <c r="H2388" i="15"/>
  <c r="A2388" i="15" s="1"/>
  <c r="H2389" i="15"/>
  <c r="A2389" i="15" s="1"/>
  <c r="H2390" i="15"/>
  <c r="A2390" i="15" s="1"/>
  <c r="H2391" i="15"/>
  <c r="A2391" i="15" s="1"/>
  <c r="H2392" i="15"/>
  <c r="A2392" i="15" s="1"/>
  <c r="H2393" i="15"/>
  <c r="A2393" i="15" s="1"/>
  <c r="H2394" i="15"/>
  <c r="A2394" i="15" s="1"/>
  <c r="H2395" i="15"/>
  <c r="A2395" i="15" s="1"/>
  <c r="H2396" i="15"/>
  <c r="A2396" i="15" s="1"/>
  <c r="H2397" i="15"/>
  <c r="A2397" i="15" s="1"/>
  <c r="H2398" i="15"/>
  <c r="A2398" i="15" s="1"/>
  <c r="H2399" i="15"/>
  <c r="A2399" i="15" s="1"/>
  <c r="H2400" i="15"/>
  <c r="A2400" i="15" s="1"/>
  <c r="H2401" i="15"/>
  <c r="A2401" i="15" s="1"/>
  <c r="H2402" i="15"/>
  <c r="A2402" i="15" s="1"/>
  <c r="H2403" i="15"/>
  <c r="A2403" i="15" s="1"/>
  <c r="H2404" i="15"/>
  <c r="A2404" i="15" s="1"/>
  <c r="H2405" i="15"/>
  <c r="A2405" i="15" s="1"/>
  <c r="H2406" i="15"/>
  <c r="A2406" i="15" s="1"/>
  <c r="H2407" i="15"/>
  <c r="A2407" i="15" s="1"/>
  <c r="H2408" i="15"/>
  <c r="A2408" i="15" s="1"/>
  <c r="H2409" i="15"/>
  <c r="A2409" i="15" s="1"/>
  <c r="H2410" i="15"/>
  <c r="A2410" i="15" s="1"/>
  <c r="H2411" i="15"/>
  <c r="A2411" i="15" s="1"/>
  <c r="H2412" i="15"/>
  <c r="A2412" i="15" s="1"/>
  <c r="H2413" i="15"/>
  <c r="A2413" i="15" s="1"/>
  <c r="H2414" i="15"/>
  <c r="A2414" i="15" s="1"/>
  <c r="H2415" i="15"/>
  <c r="A2415" i="15" s="1"/>
  <c r="H2416" i="15"/>
  <c r="A2416" i="15" s="1"/>
  <c r="H2417" i="15"/>
  <c r="A2417" i="15" s="1"/>
  <c r="H2418" i="15"/>
  <c r="A2418" i="15" s="1"/>
  <c r="H2419" i="15"/>
  <c r="A2419" i="15" s="1"/>
  <c r="H2420" i="15"/>
  <c r="A2420" i="15" s="1"/>
  <c r="H2421" i="15"/>
  <c r="A2421" i="15" s="1"/>
  <c r="H2422" i="15"/>
  <c r="A2422" i="15" s="1"/>
  <c r="H2423" i="15"/>
  <c r="A2423" i="15" s="1"/>
  <c r="H2424" i="15"/>
  <c r="A2424" i="15" s="1"/>
  <c r="H2425" i="15"/>
  <c r="A2425" i="15" s="1"/>
  <c r="H2426" i="15"/>
  <c r="A2426" i="15" s="1"/>
  <c r="H2427" i="15"/>
  <c r="A2427" i="15" s="1"/>
  <c r="H2428" i="15"/>
  <c r="A2428" i="15" s="1"/>
  <c r="H2429" i="15"/>
  <c r="A2429" i="15" s="1"/>
  <c r="H2430" i="15"/>
  <c r="A2430" i="15" s="1"/>
  <c r="H2431" i="15"/>
  <c r="A2431" i="15" s="1"/>
  <c r="H2432" i="15"/>
  <c r="A2432" i="15" s="1"/>
  <c r="H2433" i="15"/>
  <c r="A2433" i="15" s="1"/>
  <c r="H2434" i="15"/>
  <c r="A2434" i="15" s="1"/>
  <c r="H2435" i="15"/>
  <c r="A2435" i="15" s="1"/>
  <c r="H2436" i="15"/>
  <c r="A2436" i="15" s="1"/>
  <c r="H2437" i="15"/>
  <c r="A2437" i="15" s="1"/>
  <c r="H2438" i="15"/>
  <c r="A2438" i="15" s="1"/>
  <c r="H2439" i="15"/>
  <c r="A2439" i="15" s="1"/>
  <c r="H2440" i="15"/>
  <c r="A2440" i="15" s="1"/>
  <c r="H2441" i="15"/>
  <c r="A2441" i="15" s="1"/>
  <c r="H2442" i="15"/>
  <c r="A2442" i="15" s="1"/>
  <c r="H2443" i="15"/>
  <c r="A2443" i="15" s="1"/>
  <c r="H2444" i="15"/>
  <c r="A2444" i="15" s="1"/>
  <c r="H2445" i="15"/>
  <c r="A2445" i="15" s="1"/>
  <c r="H2446" i="15"/>
  <c r="A2446" i="15" s="1"/>
  <c r="H2447" i="15"/>
  <c r="A2447" i="15" s="1"/>
  <c r="H2448" i="15"/>
  <c r="A2448" i="15" s="1"/>
  <c r="H2449" i="15"/>
  <c r="A2449" i="15" s="1"/>
  <c r="H2450" i="15"/>
  <c r="A2450" i="15" s="1"/>
  <c r="H2451" i="15"/>
  <c r="A2451" i="15" s="1"/>
  <c r="H2452" i="15"/>
  <c r="A2452" i="15" s="1"/>
  <c r="H2453" i="15"/>
  <c r="A2453" i="15" s="1"/>
  <c r="H2454" i="15"/>
  <c r="A2454" i="15" s="1"/>
  <c r="H2455" i="15"/>
  <c r="A2455" i="15" s="1"/>
  <c r="H2456" i="15"/>
  <c r="A2456" i="15" s="1"/>
  <c r="H2457" i="15"/>
  <c r="A2457" i="15" s="1"/>
  <c r="H2458" i="15"/>
  <c r="A2458" i="15" s="1"/>
  <c r="H2459" i="15"/>
  <c r="A2459" i="15" s="1"/>
  <c r="H2460" i="15"/>
  <c r="A2460" i="15" s="1"/>
  <c r="H2461" i="15"/>
  <c r="A2461" i="15" s="1"/>
  <c r="H2462" i="15"/>
  <c r="A2462" i="15" s="1"/>
  <c r="H2463" i="15"/>
  <c r="A2463" i="15" s="1"/>
  <c r="H2464" i="15"/>
  <c r="A2464" i="15" s="1"/>
  <c r="H2465" i="15"/>
  <c r="A2465" i="15" s="1"/>
  <c r="H2466" i="15"/>
  <c r="A2466" i="15" s="1"/>
  <c r="H2467" i="15"/>
  <c r="A2467" i="15" s="1"/>
  <c r="H2468" i="15"/>
  <c r="A2468" i="15" s="1"/>
  <c r="H2469" i="15"/>
  <c r="A2469" i="15" s="1"/>
  <c r="H2470" i="15"/>
  <c r="A2470" i="15" s="1"/>
  <c r="H2471" i="15"/>
  <c r="A2471" i="15" s="1"/>
  <c r="H2472" i="15"/>
  <c r="A2472" i="15" s="1"/>
  <c r="H2473" i="15"/>
  <c r="A2473" i="15" s="1"/>
  <c r="H2474" i="15"/>
  <c r="A2474" i="15" s="1"/>
  <c r="H2475" i="15"/>
  <c r="A2475" i="15" s="1"/>
  <c r="H2476" i="15"/>
  <c r="A2476" i="15" s="1"/>
  <c r="H2477" i="15"/>
  <c r="A2477" i="15" s="1"/>
  <c r="H2478" i="15"/>
  <c r="A2478" i="15" s="1"/>
  <c r="H2479" i="15"/>
  <c r="A2479" i="15" s="1"/>
  <c r="H2480" i="15"/>
  <c r="A2480" i="15" s="1"/>
  <c r="H2481" i="15"/>
  <c r="A2481" i="15" s="1"/>
  <c r="H2482" i="15"/>
  <c r="A2482" i="15" s="1"/>
  <c r="H2483" i="15"/>
  <c r="A2483" i="15" s="1"/>
  <c r="H2484" i="15"/>
  <c r="A2484" i="15" s="1"/>
  <c r="H2485" i="15"/>
  <c r="A2485" i="15" s="1"/>
  <c r="H2486" i="15"/>
  <c r="A2486" i="15" s="1"/>
  <c r="H2487" i="15"/>
  <c r="A2487" i="15" s="1"/>
  <c r="H2488" i="15"/>
  <c r="A2488" i="15" s="1"/>
  <c r="H2489" i="15"/>
  <c r="A2489" i="15" s="1"/>
  <c r="H2490" i="15"/>
  <c r="A2490" i="15" s="1"/>
  <c r="H2491" i="15"/>
  <c r="A2491" i="15" s="1"/>
  <c r="H2492" i="15"/>
  <c r="A2492" i="15" s="1"/>
  <c r="H2493" i="15"/>
  <c r="A2493" i="15" s="1"/>
  <c r="H2494" i="15"/>
  <c r="A2494" i="15" s="1"/>
  <c r="H2495" i="15"/>
  <c r="A2495" i="15" s="1"/>
  <c r="H2496" i="15"/>
  <c r="A2496" i="15" s="1"/>
  <c r="H2497" i="15"/>
  <c r="A2497" i="15" s="1"/>
  <c r="H2498" i="15"/>
  <c r="A2498" i="15" s="1"/>
  <c r="H2499" i="15"/>
  <c r="A2499" i="15" s="1"/>
  <c r="H2500" i="15"/>
  <c r="A2500" i="15" s="1"/>
  <c r="H2501" i="15"/>
  <c r="A2501" i="15" s="1"/>
  <c r="H2502" i="15"/>
  <c r="A2502" i="15" s="1"/>
  <c r="H2503" i="15"/>
  <c r="A2503" i="15" s="1"/>
  <c r="H2504" i="15"/>
  <c r="A2504" i="15" s="1"/>
  <c r="H2505" i="15"/>
  <c r="A2505" i="15" s="1"/>
  <c r="H2506" i="15"/>
  <c r="A2506" i="15" s="1"/>
  <c r="H2507" i="15"/>
  <c r="A2507" i="15" s="1"/>
  <c r="H2508" i="15"/>
  <c r="A2508" i="15" s="1"/>
  <c r="H2509" i="15"/>
  <c r="A2509" i="15" s="1"/>
  <c r="H2510" i="15"/>
  <c r="A2510" i="15" s="1"/>
  <c r="H2511" i="15"/>
  <c r="A2511" i="15" s="1"/>
  <c r="H2512" i="15"/>
  <c r="A2512" i="15" s="1"/>
  <c r="H2513" i="15"/>
  <c r="A2513" i="15" s="1"/>
  <c r="H2514" i="15"/>
  <c r="A2514" i="15" s="1"/>
  <c r="H2515" i="15"/>
  <c r="A2515" i="15" s="1"/>
  <c r="H2516" i="15"/>
  <c r="A2516" i="15" s="1"/>
  <c r="H2517" i="15"/>
  <c r="A2517" i="15" s="1"/>
  <c r="H2518" i="15"/>
  <c r="A2518" i="15" s="1"/>
  <c r="H2519" i="15"/>
  <c r="A2519" i="15" s="1"/>
  <c r="H2520" i="15"/>
  <c r="A2520" i="15" s="1"/>
  <c r="H2521" i="15"/>
  <c r="A2521" i="15" s="1"/>
  <c r="H2522" i="15"/>
  <c r="A2522" i="15" s="1"/>
  <c r="H2523" i="15"/>
  <c r="A2523" i="15" s="1"/>
  <c r="H2524" i="15"/>
  <c r="A2524" i="15" s="1"/>
  <c r="H2525" i="15"/>
  <c r="A2525" i="15" s="1"/>
  <c r="H2526" i="15"/>
  <c r="A2526" i="15" s="1"/>
  <c r="H2527" i="15"/>
  <c r="A2527" i="15" s="1"/>
  <c r="H2528" i="15"/>
  <c r="A2528" i="15" s="1"/>
  <c r="H2529" i="15"/>
  <c r="A2529" i="15" s="1"/>
  <c r="H2530" i="15"/>
  <c r="A2530" i="15" s="1"/>
  <c r="H2531" i="15"/>
  <c r="A2531" i="15" s="1"/>
  <c r="H2532" i="15"/>
  <c r="A2532" i="15" s="1"/>
  <c r="H2533" i="15"/>
  <c r="A2533" i="15" s="1"/>
  <c r="H2534" i="15"/>
  <c r="A2534" i="15" s="1"/>
  <c r="H2535" i="15"/>
  <c r="A2535" i="15" s="1"/>
  <c r="H2536" i="15"/>
  <c r="A2536" i="15" s="1"/>
  <c r="H2537" i="15"/>
  <c r="A2537" i="15" s="1"/>
  <c r="H2538" i="15"/>
  <c r="A2538" i="15" s="1"/>
  <c r="H2539" i="15"/>
  <c r="A2539" i="15" s="1"/>
  <c r="H2540" i="15"/>
  <c r="A2540" i="15" s="1"/>
  <c r="H2541" i="15"/>
  <c r="A2541" i="15" s="1"/>
  <c r="H2542" i="15"/>
  <c r="A2542" i="15" s="1"/>
  <c r="H2543" i="15"/>
  <c r="A2543" i="15" s="1"/>
  <c r="H2544" i="15"/>
  <c r="A2544" i="15" s="1"/>
  <c r="H2545" i="15"/>
  <c r="A2545" i="15" s="1"/>
  <c r="H2546" i="15"/>
  <c r="A2546" i="15" s="1"/>
  <c r="H2547" i="15"/>
  <c r="A2547" i="15" s="1"/>
  <c r="H2548" i="15"/>
  <c r="A2548" i="15" s="1"/>
  <c r="H2549" i="15"/>
  <c r="A2549" i="15" s="1"/>
  <c r="H2550" i="15"/>
  <c r="A2550" i="15" s="1"/>
  <c r="H2551" i="15"/>
  <c r="A2551" i="15" s="1"/>
  <c r="H2552" i="15"/>
  <c r="A2552" i="15" s="1"/>
  <c r="H2553" i="15"/>
  <c r="A2553" i="15" s="1"/>
  <c r="H2554" i="15"/>
  <c r="A2554" i="15" s="1"/>
  <c r="H2555" i="15"/>
  <c r="A2555" i="15" s="1"/>
  <c r="H2556" i="15"/>
  <c r="A2556" i="15" s="1"/>
  <c r="H2557" i="15"/>
  <c r="A2557" i="15" s="1"/>
  <c r="H2558" i="15"/>
  <c r="A2558" i="15" s="1"/>
  <c r="H2559" i="15"/>
  <c r="A2559" i="15" s="1"/>
  <c r="H2560" i="15"/>
  <c r="A2560" i="15" s="1"/>
  <c r="H2561" i="15"/>
  <c r="A2561" i="15" s="1"/>
  <c r="H2562" i="15"/>
  <c r="A2562" i="15" s="1"/>
  <c r="H2563" i="15"/>
  <c r="A2563" i="15" s="1"/>
  <c r="H2564" i="15"/>
  <c r="A2564" i="15" s="1"/>
  <c r="H2565" i="15"/>
  <c r="A2565" i="15" s="1"/>
  <c r="H2566" i="15"/>
  <c r="A2566" i="15" s="1"/>
  <c r="H2567" i="15"/>
  <c r="A2567" i="15" s="1"/>
  <c r="H2568" i="15"/>
  <c r="A2568" i="15" s="1"/>
  <c r="H2569" i="15"/>
  <c r="A2569" i="15" s="1"/>
  <c r="H2570" i="15"/>
  <c r="A2570" i="15" s="1"/>
  <c r="H2571" i="15"/>
  <c r="A2571" i="15" s="1"/>
  <c r="H2572" i="15"/>
  <c r="A2572" i="15" s="1"/>
  <c r="H2573" i="15"/>
  <c r="A2573" i="15" s="1"/>
  <c r="H2574" i="15"/>
  <c r="A2574" i="15" s="1"/>
  <c r="H2575" i="15"/>
  <c r="A2575" i="15" s="1"/>
  <c r="H2576" i="15"/>
  <c r="A2576" i="15" s="1"/>
  <c r="H2577" i="15"/>
  <c r="A2577" i="15" s="1"/>
  <c r="H2578" i="15"/>
  <c r="A2578" i="15" s="1"/>
  <c r="H2579" i="15"/>
  <c r="A2579" i="15" s="1"/>
  <c r="H2580" i="15"/>
  <c r="A2580" i="15" s="1"/>
  <c r="H2581" i="15"/>
  <c r="A2581" i="15" s="1"/>
  <c r="H2582" i="15"/>
  <c r="A2582" i="15" s="1"/>
  <c r="H2583" i="15"/>
  <c r="A2583" i="15" s="1"/>
  <c r="H2584" i="15"/>
  <c r="A2584" i="15" s="1"/>
  <c r="H2585" i="15"/>
  <c r="A2585" i="15" s="1"/>
  <c r="H2586" i="15"/>
  <c r="A2586" i="15" s="1"/>
  <c r="H2587" i="15"/>
  <c r="A2587" i="15" s="1"/>
  <c r="H2588" i="15"/>
  <c r="A2588" i="15" s="1"/>
  <c r="H2589" i="15"/>
  <c r="A2589" i="15" s="1"/>
  <c r="H2590" i="15"/>
  <c r="A2590" i="15" s="1"/>
  <c r="H2591" i="15"/>
  <c r="A2591" i="15" s="1"/>
  <c r="H2592" i="15"/>
  <c r="A2592" i="15" s="1"/>
  <c r="H2593" i="15"/>
  <c r="A2593" i="15" s="1"/>
  <c r="H2594" i="15"/>
  <c r="A2594" i="15" s="1"/>
  <c r="H2595" i="15"/>
  <c r="A2595" i="15" s="1"/>
  <c r="H2596" i="15"/>
  <c r="A2596" i="15" s="1"/>
  <c r="H2597" i="15"/>
  <c r="A2597" i="15" s="1"/>
  <c r="H2598" i="15"/>
  <c r="A2598" i="15" s="1"/>
  <c r="H2599" i="15"/>
  <c r="A2599" i="15" s="1"/>
  <c r="H2600" i="15"/>
  <c r="A2600" i="15" s="1"/>
  <c r="H2601" i="15"/>
  <c r="A2601" i="15" s="1"/>
  <c r="H2602" i="15"/>
  <c r="A2602" i="15" s="1"/>
  <c r="H2603" i="15"/>
  <c r="A2603" i="15" s="1"/>
  <c r="H2604" i="15"/>
  <c r="A2604" i="15" s="1"/>
  <c r="H2605" i="15"/>
  <c r="A2605" i="15" s="1"/>
  <c r="H2606" i="15"/>
  <c r="A2606" i="15" s="1"/>
  <c r="H2607" i="15"/>
  <c r="A2607" i="15" s="1"/>
  <c r="H2608" i="15"/>
  <c r="A2608" i="15" s="1"/>
  <c r="H2609" i="15"/>
  <c r="A2609" i="15" s="1"/>
  <c r="H2610" i="15"/>
  <c r="A2610" i="15" s="1"/>
  <c r="H2611" i="15"/>
  <c r="A2611" i="15" s="1"/>
  <c r="H2612" i="15"/>
  <c r="A2612" i="15" s="1"/>
  <c r="H2613" i="15"/>
  <c r="A2613" i="15" s="1"/>
  <c r="H2614" i="15"/>
  <c r="A2614" i="15" s="1"/>
  <c r="H2615" i="15"/>
  <c r="A2615" i="15" s="1"/>
  <c r="H2616" i="15"/>
  <c r="A2616" i="15" s="1"/>
  <c r="H2617" i="15"/>
  <c r="A2617" i="15" s="1"/>
  <c r="H2618" i="15"/>
  <c r="A2618" i="15" s="1"/>
  <c r="H2619" i="15"/>
  <c r="A2619" i="15" s="1"/>
  <c r="H2620" i="15"/>
  <c r="A2620" i="15" s="1"/>
  <c r="H2621" i="15"/>
  <c r="A2621" i="15" s="1"/>
  <c r="H2622" i="15"/>
  <c r="A2622" i="15" s="1"/>
  <c r="H2623" i="15"/>
  <c r="A2623" i="15" s="1"/>
  <c r="H2624" i="15"/>
  <c r="A2624" i="15" s="1"/>
  <c r="H2625" i="15"/>
  <c r="A2625" i="15" s="1"/>
  <c r="H2626" i="15"/>
  <c r="A2626" i="15" s="1"/>
  <c r="H2627" i="15"/>
  <c r="A2627" i="15" s="1"/>
  <c r="H2628" i="15"/>
  <c r="A2628" i="15" s="1"/>
  <c r="H2629" i="15"/>
  <c r="A2629" i="15" s="1"/>
  <c r="H2630" i="15"/>
  <c r="A2630" i="15" s="1"/>
  <c r="H2631" i="15"/>
  <c r="A2631" i="15" s="1"/>
  <c r="H2632" i="15"/>
  <c r="A2632" i="15" s="1"/>
  <c r="H2633" i="15"/>
  <c r="A2633" i="15" s="1"/>
  <c r="H2634" i="15"/>
  <c r="A2634" i="15" s="1"/>
  <c r="H2635" i="15"/>
  <c r="A2635" i="15" s="1"/>
  <c r="H2636" i="15"/>
  <c r="A2636" i="15" s="1"/>
  <c r="H2637" i="15"/>
  <c r="A2637" i="15" s="1"/>
  <c r="H2638" i="15"/>
  <c r="A2638" i="15" s="1"/>
  <c r="H2639" i="15"/>
  <c r="A2639" i="15" s="1"/>
  <c r="H2640" i="15"/>
  <c r="A2640" i="15" s="1"/>
  <c r="H2641" i="15"/>
  <c r="A2641" i="15" s="1"/>
  <c r="H2642" i="15"/>
  <c r="A2642" i="15" s="1"/>
  <c r="H2643" i="15"/>
  <c r="A2643" i="15" s="1"/>
  <c r="H2644" i="15"/>
  <c r="A2644" i="15" s="1"/>
  <c r="H2645" i="15"/>
  <c r="A2645" i="15" s="1"/>
  <c r="H2646" i="15"/>
  <c r="A2646" i="15" s="1"/>
  <c r="H2647" i="15"/>
  <c r="A2647" i="15" s="1"/>
  <c r="H2648" i="15"/>
  <c r="A2648" i="15" s="1"/>
  <c r="H2649" i="15"/>
  <c r="A2649" i="15" s="1"/>
  <c r="H2650" i="15"/>
  <c r="A2650" i="15" s="1"/>
  <c r="H2651" i="15"/>
  <c r="A2651" i="15" s="1"/>
  <c r="H2652" i="15"/>
  <c r="A2652" i="15" s="1"/>
  <c r="H2653" i="15"/>
  <c r="A2653" i="15" s="1"/>
  <c r="H2654" i="15"/>
  <c r="A2654" i="15" s="1"/>
  <c r="H2655" i="15"/>
  <c r="A2655" i="15" s="1"/>
  <c r="H2656" i="15"/>
  <c r="A2656" i="15" s="1"/>
  <c r="H2657" i="15"/>
  <c r="A2657" i="15" s="1"/>
  <c r="H2658" i="15"/>
  <c r="A2658" i="15" s="1"/>
  <c r="H2659" i="15"/>
  <c r="A2659" i="15" s="1"/>
  <c r="H2660" i="15"/>
  <c r="A2660" i="15" s="1"/>
  <c r="H2661" i="15"/>
  <c r="A2661" i="15" s="1"/>
  <c r="H2662" i="15"/>
  <c r="A2662" i="15" s="1"/>
  <c r="H2663" i="15"/>
  <c r="A2663" i="15" s="1"/>
  <c r="H2664" i="15"/>
  <c r="A2664" i="15" s="1"/>
  <c r="H2665" i="15"/>
  <c r="A2665" i="15" s="1"/>
  <c r="H2666" i="15"/>
  <c r="A2666" i="15" s="1"/>
  <c r="H2667" i="15"/>
  <c r="A2667" i="15" s="1"/>
  <c r="H2668" i="15"/>
  <c r="A2668" i="15" s="1"/>
  <c r="H2669" i="15"/>
  <c r="A2669" i="15" s="1"/>
  <c r="H2670" i="15"/>
  <c r="A2670" i="15" s="1"/>
  <c r="H2671" i="15"/>
  <c r="A2671" i="15" s="1"/>
  <c r="H2672" i="15"/>
  <c r="A2672" i="15" s="1"/>
  <c r="H2673" i="15"/>
  <c r="A2673" i="15" s="1"/>
  <c r="H2674" i="15"/>
  <c r="A2674" i="15" s="1"/>
  <c r="H2675" i="15"/>
  <c r="A2675" i="15" s="1"/>
  <c r="H2676" i="15"/>
  <c r="A2676" i="15" s="1"/>
  <c r="H2677" i="15"/>
  <c r="A2677" i="15" s="1"/>
  <c r="H2678" i="15"/>
  <c r="A2678" i="15" s="1"/>
  <c r="H2679" i="15"/>
  <c r="A2679" i="15" s="1"/>
  <c r="H2680" i="15"/>
  <c r="A2680" i="15" s="1"/>
  <c r="H2681" i="15"/>
  <c r="A2681" i="15" s="1"/>
  <c r="H2682" i="15"/>
  <c r="A2682" i="15" s="1"/>
  <c r="H2683" i="15"/>
  <c r="A2683" i="15" s="1"/>
  <c r="H2684" i="15"/>
  <c r="A2684" i="15" s="1"/>
  <c r="H2685" i="15"/>
  <c r="A2685" i="15" s="1"/>
  <c r="H2686" i="15"/>
  <c r="A2686" i="15" s="1"/>
  <c r="H2687" i="15"/>
  <c r="A2687" i="15" s="1"/>
  <c r="H2688" i="15"/>
  <c r="A2688" i="15" s="1"/>
  <c r="H2689" i="15"/>
  <c r="A2689" i="15" s="1"/>
  <c r="H2690" i="15"/>
  <c r="A2690" i="15" s="1"/>
  <c r="H2691" i="15"/>
  <c r="A2691" i="15" s="1"/>
  <c r="H2692" i="15"/>
  <c r="A2692" i="15" s="1"/>
  <c r="H2693" i="15"/>
  <c r="A2693" i="15" s="1"/>
  <c r="H2694" i="15"/>
  <c r="A2694" i="15" s="1"/>
  <c r="H2695" i="15"/>
  <c r="A2695" i="15" s="1"/>
  <c r="H2696" i="15"/>
  <c r="A2696" i="15" s="1"/>
  <c r="H2697" i="15"/>
  <c r="A2697" i="15" s="1"/>
  <c r="H2698" i="15"/>
  <c r="A2698" i="15" s="1"/>
  <c r="H2699" i="15"/>
  <c r="A2699" i="15" s="1"/>
  <c r="H2700" i="15"/>
  <c r="A2700" i="15" s="1"/>
  <c r="H2701" i="15"/>
  <c r="A2701" i="15" s="1"/>
  <c r="H2702" i="15"/>
  <c r="A2702" i="15" s="1"/>
  <c r="H2703" i="15"/>
  <c r="A2703" i="15" s="1"/>
  <c r="H2704" i="15"/>
  <c r="A2704" i="15" s="1"/>
  <c r="H2705" i="15"/>
  <c r="A2705" i="15" s="1"/>
  <c r="H2706" i="15"/>
  <c r="A2706" i="15" s="1"/>
  <c r="H2707" i="15"/>
  <c r="A2707" i="15" s="1"/>
  <c r="H2708" i="15"/>
  <c r="A2708" i="15" s="1"/>
  <c r="H2709" i="15"/>
  <c r="A2709" i="15" s="1"/>
  <c r="H2710" i="15"/>
  <c r="A2710" i="15" s="1"/>
  <c r="H2711" i="15"/>
  <c r="A2711" i="15" s="1"/>
  <c r="H2712" i="15"/>
  <c r="A2712" i="15" s="1"/>
  <c r="H2713" i="15"/>
  <c r="A2713" i="15" s="1"/>
  <c r="H2714" i="15"/>
  <c r="A2714" i="15" s="1"/>
  <c r="H2715" i="15"/>
  <c r="A2715" i="15" s="1"/>
  <c r="H2716" i="15"/>
  <c r="A2716" i="15" s="1"/>
  <c r="H2717" i="15"/>
  <c r="A2717" i="15" s="1"/>
  <c r="H2718" i="15"/>
  <c r="A2718" i="15" s="1"/>
  <c r="H2719" i="15"/>
  <c r="A2719" i="15" s="1"/>
  <c r="H2720" i="15"/>
  <c r="A2720" i="15" s="1"/>
  <c r="H2721" i="15"/>
  <c r="A2721" i="15" s="1"/>
  <c r="H2722" i="15"/>
  <c r="A2722" i="15" s="1"/>
  <c r="H2723" i="15"/>
  <c r="A2723" i="15" s="1"/>
  <c r="H2724" i="15"/>
  <c r="A2724" i="15" s="1"/>
  <c r="H2725" i="15"/>
  <c r="A2725" i="15" s="1"/>
  <c r="H2726" i="15"/>
  <c r="A2726" i="15" s="1"/>
  <c r="H2727" i="15"/>
  <c r="A2727" i="15" s="1"/>
  <c r="H2728" i="15"/>
  <c r="A2728" i="15" s="1"/>
  <c r="H2729" i="15"/>
  <c r="A2729" i="15" s="1"/>
  <c r="H2730" i="15"/>
  <c r="A2730" i="15" s="1"/>
  <c r="H2731" i="15"/>
  <c r="A2731" i="15" s="1"/>
  <c r="H2732" i="15"/>
  <c r="A2732" i="15" s="1"/>
  <c r="H2733" i="15"/>
  <c r="A2733" i="15" s="1"/>
  <c r="H2734" i="15"/>
  <c r="A2734" i="15" s="1"/>
  <c r="H2735" i="15"/>
  <c r="A2735" i="15" s="1"/>
  <c r="H2736" i="15"/>
  <c r="A2736" i="15" s="1"/>
  <c r="H2737" i="15"/>
  <c r="A2737" i="15" s="1"/>
  <c r="H2738" i="15"/>
  <c r="A2738" i="15" s="1"/>
  <c r="H2739" i="15"/>
  <c r="A2739" i="15" s="1"/>
  <c r="H2740" i="15"/>
  <c r="A2740" i="15" s="1"/>
  <c r="H2741" i="15"/>
  <c r="A2741" i="15" s="1"/>
  <c r="H2742" i="15"/>
  <c r="A2742" i="15" s="1"/>
  <c r="H2743" i="15"/>
  <c r="A2743" i="15" s="1"/>
  <c r="H2744" i="15"/>
  <c r="A2744" i="15" s="1"/>
  <c r="H2745" i="15"/>
  <c r="A2745" i="15" s="1"/>
  <c r="H2746" i="15"/>
  <c r="A2746" i="15" s="1"/>
  <c r="H2747" i="15"/>
  <c r="A2747" i="15" s="1"/>
  <c r="H2748" i="15"/>
  <c r="A2748" i="15" s="1"/>
  <c r="H2749" i="15"/>
  <c r="A2749" i="15" s="1"/>
  <c r="H2750" i="15"/>
  <c r="A2750" i="15" s="1"/>
  <c r="H2751" i="15"/>
  <c r="A2751" i="15" s="1"/>
  <c r="H2752" i="15"/>
  <c r="A2752" i="15" s="1"/>
  <c r="H2753" i="15"/>
  <c r="A2753" i="15" s="1"/>
  <c r="H2754" i="15"/>
  <c r="A2754" i="15" s="1"/>
  <c r="H2755" i="15"/>
  <c r="A2755" i="15" s="1"/>
  <c r="H2756" i="15"/>
  <c r="A2756" i="15" s="1"/>
  <c r="H2757" i="15"/>
  <c r="A2757" i="15" s="1"/>
  <c r="H2758" i="15"/>
  <c r="A2758" i="15" s="1"/>
  <c r="H2759" i="15"/>
  <c r="A2759" i="15" s="1"/>
  <c r="H2760" i="15"/>
  <c r="A2760" i="15" s="1"/>
  <c r="H2761" i="15"/>
  <c r="A2761" i="15" s="1"/>
  <c r="H2762" i="15"/>
  <c r="A2762" i="15" s="1"/>
  <c r="H2763" i="15"/>
  <c r="A2763" i="15" s="1"/>
  <c r="H2764" i="15"/>
  <c r="A2764" i="15" s="1"/>
  <c r="H2765" i="15"/>
  <c r="A2765" i="15" s="1"/>
  <c r="H2766" i="15"/>
  <c r="A2766" i="15" s="1"/>
  <c r="H2767" i="15"/>
  <c r="A2767" i="15" s="1"/>
  <c r="H2768" i="15"/>
  <c r="A2768" i="15" s="1"/>
  <c r="H2769" i="15"/>
  <c r="A2769" i="15" s="1"/>
  <c r="H2770" i="15"/>
  <c r="A2770" i="15" s="1"/>
  <c r="H2771" i="15"/>
  <c r="A2771" i="15" s="1"/>
  <c r="H2772" i="15"/>
  <c r="A2772" i="15" s="1"/>
  <c r="H2773" i="15"/>
  <c r="A2773" i="15" s="1"/>
  <c r="H2774" i="15"/>
  <c r="A2774" i="15" s="1"/>
  <c r="H2775" i="15"/>
  <c r="A2775" i="15" s="1"/>
  <c r="H2776" i="15"/>
  <c r="A2776" i="15" s="1"/>
  <c r="H2777" i="15"/>
  <c r="A2777" i="15" s="1"/>
  <c r="H2778" i="15"/>
  <c r="A2778" i="15" s="1"/>
  <c r="H2779" i="15"/>
  <c r="A2779" i="15" s="1"/>
  <c r="H2780" i="15"/>
  <c r="A2780" i="15" s="1"/>
  <c r="H2781" i="15"/>
  <c r="A2781" i="15" s="1"/>
  <c r="H2782" i="15"/>
  <c r="A2782" i="15" s="1"/>
  <c r="H2783" i="15"/>
  <c r="A2783" i="15" s="1"/>
  <c r="H2784" i="15"/>
  <c r="A2784" i="15" s="1"/>
  <c r="H2785" i="15"/>
  <c r="A2785" i="15" s="1"/>
  <c r="H2786" i="15"/>
  <c r="A2786" i="15" s="1"/>
  <c r="H2787" i="15"/>
  <c r="A2787" i="15" s="1"/>
  <c r="H2788" i="15"/>
  <c r="A2788" i="15" s="1"/>
  <c r="H2789" i="15"/>
  <c r="A2789" i="15" s="1"/>
  <c r="H2790" i="15"/>
  <c r="A2790" i="15" s="1"/>
  <c r="H2791" i="15"/>
  <c r="A2791" i="15" s="1"/>
  <c r="H2792" i="15"/>
  <c r="A2792" i="15" s="1"/>
  <c r="H2793" i="15"/>
  <c r="A2793" i="15" s="1"/>
  <c r="H2794" i="15"/>
  <c r="A2794" i="15" s="1"/>
  <c r="H2795" i="15"/>
  <c r="A2795" i="15" s="1"/>
  <c r="H2796" i="15"/>
  <c r="A2796" i="15" s="1"/>
  <c r="H2797" i="15"/>
  <c r="A2797" i="15" s="1"/>
  <c r="H2798" i="15"/>
  <c r="A2798" i="15" s="1"/>
  <c r="H2799" i="15"/>
  <c r="A2799" i="15" s="1"/>
  <c r="H2800" i="15"/>
  <c r="A2800" i="15" s="1"/>
  <c r="H2801" i="15"/>
  <c r="A2801" i="15" s="1"/>
  <c r="H2802" i="15"/>
  <c r="A2802" i="15" s="1"/>
  <c r="H2803" i="15"/>
  <c r="A2803" i="15" s="1"/>
  <c r="H2804" i="15"/>
  <c r="A2804" i="15" s="1"/>
  <c r="H2805" i="15"/>
  <c r="A2805" i="15" s="1"/>
  <c r="H2806" i="15"/>
  <c r="A2806" i="15" s="1"/>
  <c r="H2807" i="15"/>
  <c r="A2807" i="15" s="1"/>
  <c r="H2808" i="15"/>
  <c r="A2808" i="15" s="1"/>
  <c r="H2809" i="15"/>
  <c r="A2809" i="15" s="1"/>
  <c r="H2810" i="15"/>
  <c r="A2810" i="15" s="1"/>
  <c r="H2811" i="15"/>
  <c r="A2811" i="15" s="1"/>
  <c r="H2812" i="15"/>
  <c r="A2812" i="15" s="1"/>
  <c r="H2813" i="15"/>
  <c r="A2813" i="15" s="1"/>
  <c r="H2814" i="15"/>
  <c r="A2814" i="15" s="1"/>
  <c r="H2815" i="15"/>
  <c r="A2815" i="15" s="1"/>
  <c r="H2816" i="15"/>
  <c r="A2816" i="15" s="1"/>
  <c r="H2817" i="15"/>
  <c r="A2817" i="15" s="1"/>
  <c r="H2818" i="15"/>
  <c r="A2818" i="15" s="1"/>
  <c r="H2819" i="15"/>
  <c r="A2819" i="15" s="1"/>
  <c r="H2820" i="15"/>
  <c r="A2820" i="15" s="1"/>
  <c r="H2821" i="15"/>
  <c r="A2821" i="15" s="1"/>
  <c r="H2822" i="15"/>
  <c r="A2822" i="15" s="1"/>
  <c r="H2823" i="15"/>
  <c r="A2823" i="15" s="1"/>
  <c r="H2824" i="15"/>
  <c r="A2824" i="15" s="1"/>
  <c r="H2825" i="15"/>
  <c r="A2825" i="15" s="1"/>
  <c r="H2826" i="15"/>
  <c r="A2826" i="15" s="1"/>
  <c r="H2827" i="15"/>
  <c r="A2827" i="15" s="1"/>
  <c r="H2828" i="15"/>
  <c r="A2828" i="15" s="1"/>
  <c r="H2829" i="15"/>
  <c r="A2829" i="15" s="1"/>
  <c r="H2830" i="15"/>
  <c r="A2830" i="15" s="1"/>
  <c r="H2831" i="15"/>
  <c r="A2831" i="15" s="1"/>
  <c r="H2832" i="15"/>
  <c r="A2832" i="15" s="1"/>
  <c r="H2833" i="15"/>
  <c r="A2833" i="15" s="1"/>
  <c r="H2834" i="15"/>
  <c r="A2834" i="15" s="1"/>
  <c r="H2835" i="15"/>
  <c r="A2835" i="15" s="1"/>
  <c r="H2836" i="15"/>
  <c r="A2836" i="15" s="1"/>
  <c r="H2837" i="15"/>
  <c r="A2837" i="15" s="1"/>
  <c r="H2838" i="15"/>
  <c r="A2838" i="15" s="1"/>
  <c r="H2839" i="15"/>
  <c r="A2839" i="15" s="1"/>
  <c r="H2840" i="15"/>
  <c r="A2840" i="15" s="1"/>
  <c r="H2841" i="15"/>
  <c r="A2841" i="15" s="1"/>
  <c r="H2842" i="15"/>
  <c r="A2842" i="15" s="1"/>
  <c r="H2843" i="15"/>
  <c r="A2843" i="15" s="1"/>
  <c r="H2844" i="15"/>
  <c r="A2844" i="15" s="1"/>
  <c r="H2845" i="15"/>
  <c r="A2845" i="15" s="1"/>
  <c r="H2846" i="15"/>
  <c r="A2846" i="15" s="1"/>
  <c r="H2847" i="15"/>
  <c r="A2847" i="15" s="1"/>
  <c r="H2848" i="15"/>
  <c r="A2848" i="15" s="1"/>
  <c r="H2849" i="15"/>
  <c r="A2849" i="15" s="1"/>
  <c r="H2850" i="15"/>
  <c r="A2850" i="15" s="1"/>
  <c r="H2851" i="15"/>
  <c r="A2851" i="15" s="1"/>
  <c r="H2852" i="15"/>
  <c r="A2852" i="15" s="1"/>
  <c r="H2853" i="15"/>
  <c r="A2853" i="15" s="1"/>
  <c r="H2854" i="15"/>
  <c r="A2854" i="15" s="1"/>
  <c r="H2855" i="15"/>
  <c r="A2855" i="15" s="1"/>
  <c r="H2856" i="15"/>
  <c r="A2856" i="15" s="1"/>
  <c r="H2857" i="15"/>
  <c r="A2857" i="15" s="1"/>
  <c r="H2858" i="15"/>
  <c r="A2858" i="15" s="1"/>
  <c r="H2859" i="15"/>
  <c r="A2859" i="15" s="1"/>
  <c r="H2860" i="15"/>
  <c r="A2860" i="15" s="1"/>
  <c r="H2861" i="15"/>
  <c r="A2861" i="15" s="1"/>
  <c r="H2862" i="15"/>
  <c r="A2862" i="15" s="1"/>
  <c r="H2863" i="15"/>
  <c r="A2863" i="15" s="1"/>
  <c r="H2864" i="15"/>
  <c r="A2864" i="15" s="1"/>
  <c r="H2865" i="15"/>
  <c r="A2865" i="15" s="1"/>
  <c r="H2866" i="15"/>
  <c r="A2866" i="15" s="1"/>
  <c r="H2867" i="15"/>
  <c r="A2867" i="15" s="1"/>
  <c r="H2868" i="15"/>
  <c r="A2868" i="15" s="1"/>
  <c r="H2869" i="15"/>
  <c r="A2869" i="15" s="1"/>
  <c r="H2870" i="15"/>
  <c r="A2870" i="15" s="1"/>
  <c r="H2871" i="15"/>
  <c r="A2871" i="15" s="1"/>
  <c r="H2872" i="15"/>
  <c r="A2872" i="15" s="1"/>
  <c r="H2873" i="15"/>
  <c r="A2873" i="15" s="1"/>
  <c r="H2874" i="15"/>
  <c r="A2874" i="15" s="1"/>
  <c r="H2875" i="15"/>
  <c r="A2875" i="15" s="1"/>
  <c r="H2876" i="15"/>
  <c r="A2876" i="15" s="1"/>
  <c r="H2877" i="15"/>
  <c r="A2877" i="15" s="1"/>
  <c r="H2878" i="15"/>
  <c r="A2878" i="15" s="1"/>
  <c r="H2879" i="15"/>
  <c r="A2879" i="15" s="1"/>
  <c r="H2880" i="15"/>
  <c r="A2880" i="15" s="1"/>
  <c r="H2881" i="15"/>
  <c r="A2881" i="15" s="1"/>
  <c r="H2882" i="15"/>
  <c r="A2882" i="15" s="1"/>
  <c r="H2883" i="15"/>
  <c r="A2883" i="15" s="1"/>
  <c r="H2884" i="15"/>
  <c r="A2884" i="15" s="1"/>
  <c r="H2885" i="15"/>
  <c r="A2885" i="15" s="1"/>
  <c r="H2886" i="15"/>
  <c r="A2886" i="15" s="1"/>
  <c r="H2887" i="15"/>
  <c r="A2887" i="15" s="1"/>
  <c r="H2888" i="15"/>
  <c r="A2888" i="15" s="1"/>
  <c r="H2889" i="15"/>
  <c r="A2889" i="15" s="1"/>
  <c r="H2890" i="15"/>
  <c r="A2890" i="15" s="1"/>
  <c r="H2891" i="15"/>
  <c r="A2891" i="15" s="1"/>
  <c r="H2892" i="15"/>
  <c r="A2892" i="15" s="1"/>
  <c r="H2893" i="15"/>
  <c r="A2893" i="15" s="1"/>
  <c r="H2894" i="15"/>
  <c r="A2894" i="15" s="1"/>
  <c r="H2895" i="15"/>
  <c r="A2895" i="15" s="1"/>
  <c r="H2896" i="15"/>
  <c r="A2896" i="15" s="1"/>
  <c r="H2897" i="15"/>
  <c r="A2897" i="15" s="1"/>
  <c r="H2898" i="15"/>
  <c r="A2898" i="15" s="1"/>
  <c r="H2899" i="15"/>
  <c r="A2899" i="15" s="1"/>
  <c r="H2900" i="15"/>
  <c r="A2900" i="15" s="1"/>
  <c r="H2901" i="15"/>
  <c r="A2901" i="15" s="1"/>
  <c r="H2902" i="15"/>
  <c r="A2902" i="15" s="1"/>
  <c r="H2903" i="15"/>
  <c r="A2903" i="15" s="1"/>
  <c r="H2904" i="15"/>
  <c r="A2904" i="15" s="1"/>
  <c r="H2905" i="15"/>
  <c r="A2905" i="15" s="1"/>
  <c r="H2906" i="15"/>
  <c r="A2906" i="15" s="1"/>
  <c r="H2907" i="15"/>
  <c r="A2907" i="15" s="1"/>
  <c r="H2908" i="15"/>
  <c r="A2908" i="15" s="1"/>
  <c r="H2909" i="15"/>
  <c r="A2909" i="15" s="1"/>
  <c r="H2910" i="15"/>
  <c r="A2910" i="15" s="1"/>
  <c r="H2911" i="15"/>
  <c r="A2911" i="15" s="1"/>
  <c r="H2912" i="15"/>
  <c r="A2912" i="15" s="1"/>
  <c r="H2913" i="15"/>
  <c r="A2913" i="15" s="1"/>
  <c r="H2914" i="15"/>
  <c r="A2914" i="15" s="1"/>
  <c r="H2915" i="15"/>
  <c r="A2915" i="15" s="1"/>
  <c r="H2916" i="15"/>
  <c r="A2916" i="15" s="1"/>
  <c r="H2917" i="15"/>
  <c r="A2917" i="15" s="1"/>
  <c r="H2918" i="15"/>
  <c r="A2918" i="15" s="1"/>
  <c r="H2919" i="15"/>
  <c r="A2919" i="15" s="1"/>
  <c r="H2920" i="15"/>
  <c r="A2920" i="15" s="1"/>
  <c r="H2921" i="15"/>
  <c r="A2921" i="15" s="1"/>
  <c r="H2922" i="15"/>
  <c r="A2922" i="15" s="1"/>
  <c r="H2923" i="15"/>
  <c r="A2923" i="15" s="1"/>
  <c r="H2924" i="15"/>
  <c r="A2924" i="15" s="1"/>
  <c r="H2925" i="15"/>
  <c r="A2925" i="15" s="1"/>
  <c r="H2926" i="15"/>
  <c r="A2926" i="15" s="1"/>
  <c r="H2927" i="15"/>
  <c r="A2927" i="15" s="1"/>
  <c r="H2928" i="15"/>
  <c r="A2928" i="15" s="1"/>
  <c r="H2929" i="15"/>
  <c r="A2929" i="15" s="1"/>
  <c r="H2930" i="15"/>
  <c r="A2930" i="15" s="1"/>
  <c r="H2931" i="15"/>
  <c r="A2931" i="15" s="1"/>
  <c r="H2932" i="15"/>
  <c r="A2932" i="15" s="1"/>
  <c r="H2933" i="15"/>
  <c r="A2933" i="15" s="1"/>
  <c r="H2934" i="15"/>
  <c r="A2934" i="15" s="1"/>
  <c r="H2935" i="15"/>
  <c r="A2935" i="15" s="1"/>
  <c r="H2936" i="15"/>
  <c r="A2936" i="15" s="1"/>
  <c r="H2937" i="15"/>
  <c r="A2937" i="15" s="1"/>
  <c r="H2938" i="15"/>
  <c r="A2938" i="15" s="1"/>
  <c r="H2939" i="15"/>
  <c r="A2939" i="15" s="1"/>
  <c r="H2940" i="15"/>
  <c r="A2940" i="15" s="1"/>
  <c r="H2941" i="15"/>
  <c r="A2941" i="15" s="1"/>
  <c r="H2942" i="15"/>
  <c r="A2942" i="15" s="1"/>
  <c r="H2943" i="15"/>
  <c r="A2943" i="15" s="1"/>
  <c r="H2944" i="15"/>
  <c r="A2944" i="15" s="1"/>
  <c r="H2945" i="15"/>
  <c r="A2945" i="15" s="1"/>
  <c r="H2946" i="15"/>
  <c r="A2946" i="15" s="1"/>
  <c r="H2947" i="15"/>
  <c r="A2947" i="15" s="1"/>
  <c r="H2948" i="15"/>
  <c r="A2948" i="15" s="1"/>
  <c r="H2949" i="15"/>
  <c r="A2949" i="15" s="1"/>
  <c r="H2950" i="15"/>
  <c r="A2950" i="15" s="1"/>
  <c r="H2951" i="15"/>
  <c r="A2951" i="15" s="1"/>
  <c r="H2952" i="15"/>
  <c r="A2952" i="15" s="1"/>
  <c r="H2953" i="15"/>
  <c r="A2953" i="15" s="1"/>
  <c r="H2954" i="15"/>
  <c r="A2954" i="15" s="1"/>
  <c r="H2955" i="15"/>
  <c r="A2955" i="15" s="1"/>
  <c r="H2956" i="15"/>
  <c r="A2956" i="15" s="1"/>
  <c r="H2957" i="15"/>
  <c r="A2957" i="15" s="1"/>
  <c r="H2958" i="15"/>
  <c r="A2958" i="15" s="1"/>
  <c r="H2959" i="15"/>
  <c r="A2959" i="15" s="1"/>
  <c r="H2960" i="15"/>
  <c r="A2960" i="15" s="1"/>
  <c r="H2961" i="15"/>
  <c r="A2961" i="15" s="1"/>
  <c r="H2962" i="15"/>
  <c r="A2962" i="15" s="1"/>
  <c r="H2963" i="15"/>
  <c r="A2963" i="15" s="1"/>
  <c r="H2964" i="15"/>
  <c r="A2964" i="15" s="1"/>
  <c r="H2965" i="15"/>
  <c r="A2965" i="15" s="1"/>
  <c r="H2966" i="15"/>
  <c r="A2966" i="15" s="1"/>
  <c r="H2967" i="15"/>
  <c r="A2967" i="15" s="1"/>
  <c r="H2968" i="15"/>
  <c r="A2968" i="15" s="1"/>
  <c r="H2969" i="15"/>
  <c r="A2969" i="15" s="1"/>
  <c r="H2970" i="15"/>
  <c r="A2970" i="15" s="1"/>
  <c r="H2971" i="15"/>
  <c r="A2971" i="15" s="1"/>
  <c r="H2972" i="15"/>
  <c r="A2972" i="15" s="1"/>
  <c r="H2973" i="15"/>
  <c r="A2973" i="15" s="1"/>
  <c r="H2974" i="15"/>
  <c r="A2974" i="15" s="1"/>
  <c r="H2975" i="15"/>
  <c r="A2975" i="15" s="1"/>
  <c r="H2976" i="15"/>
  <c r="A2976" i="15" s="1"/>
  <c r="H2977" i="15"/>
  <c r="A2977" i="15" s="1"/>
  <c r="H2978" i="15"/>
  <c r="A2978" i="15" s="1"/>
  <c r="H2979" i="15"/>
  <c r="A2979" i="15" s="1"/>
  <c r="H2980" i="15"/>
  <c r="A2980" i="15" s="1"/>
  <c r="H2981" i="15"/>
  <c r="A2981" i="15" s="1"/>
  <c r="H2982" i="15"/>
  <c r="A2982" i="15" s="1"/>
  <c r="H2983" i="15"/>
  <c r="A2983" i="15" s="1"/>
  <c r="H2984" i="15"/>
  <c r="A2984" i="15" s="1"/>
  <c r="H2985" i="15"/>
  <c r="A2985" i="15" s="1"/>
  <c r="H2986" i="15"/>
  <c r="A2986" i="15" s="1"/>
  <c r="H2987" i="15"/>
  <c r="A2987" i="15" s="1"/>
  <c r="H2988" i="15"/>
  <c r="A2988" i="15" s="1"/>
  <c r="H2989" i="15"/>
  <c r="A2989" i="15" s="1"/>
  <c r="H2990" i="15"/>
  <c r="A2990" i="15" s="1"/>
  <c r="H2991" i="15"/>
  <c r="A2991" i="15" s="1"/>
  <c r="H2992" i="15"/>
  <c r="A2992" i="15" s="1"/>
  <c r="H2993" i="15"/>
  <c r="A2993" i="15" s="1"/>
  <c r="H2994" i="15"/>
  <c r="A2994" i="15" s="1"/>
  <c r="H2995" i="15"/>
  <c r="A2995" i="15" s="1"/>
  <c r="H2996" i="15"/>
  <c r="A2996" i="15" s="1"/>
  <c r="H2997" i="15"/>
  <c r="A2997" i="15" s="1"/>
  <c r="H2998" i="15"/>
  <c r="A2998" i="15" s="1"/>
  <c r="H2999" i="15"/>
  <c r="A2999" i="15" s="1"/>
  <c r="H3000" i="15"/>
  <c r="A3000" i="15" s="1"/>
  <c r="H3001" i="15"/>
  <c r="A3001" i="15" s="1"/>
  <c r="H3002" i="15"/>
  <c r="A3002" i="15" s="1"/>
  <c r="H3003" i="15"/>
  <c r="A3003" i="15" s="1"/>
  <c r="H3004" i="15"/>
  <c r="A3004" i="15" s="1"/>
  <c r="H3005" i="15"/>
  <c r="A3005" i="15" s="1"/>
  <c r="H3006" i="15"/>
  <c r="A3006" i="15" s="1"/>
  <c r="H3007" i="15"/>
  <c r="A3007" i="15" s="1"/>
  <c r="H3008" i="15"/>
  <c r="A3008" i="15" s="1"/>
  <c r="H3009" i="15"/>
  <c r="A3009" i="15" s="1"/>
  <c r="H3010" i="15"/>
  <c r="A3010" i="15" s="1"/>
  <c r="H3011" i="15"/>
  <c r="A3011" i="15" s="1"/>
  <c r="H3012" i="15"/>
  <c r="A3012" i="15" s="1"/>
  <c r="H3013" i="15"/>
  <c r="A3013" i="15" s="1"/>
  <c r="H3014" i="15"/>
  <c r="A3014" i="15" s="1"/>
  <c r="H3015" i="15"/>
  <c r="A3015" i="15" s="1"/>
  <c r="H3016" i="15"/>
  <c r="A3016" i="15" s="1"/>
  <c r="H3017" i="15"/>
  <c r="A3017" i="15" s="1"/>
  <c r="H3018" i="15"/>
  <c r="A3018" i="15" s="1"/>
  <c r="H3019" i="15"/>
  <c r="A3019" i="15" s="1"/>
  <c r="H3020" i="15"/>
  <c r="A3020" i="15" s="1"/>
  <c r="H3021" i="15"/>
  <c r="A3021" i="15" s="1"/>
  <c r="H3022" i="15"/>
  <c r="A3022" i="15" s="1"/>
  <c r="H3023" i="15"/>
  <c r="A3023" i="15" s="1"/>
  <c r="H3024" i="15"/>
  <c r="A3024" i="15" s="1"/>
  <c r="H3025" i="15"/>
  <c r="A3025" i="15" s="1"/>
  <c r="H3026" i="15"/>
  <c r="A3026" i="15" s="1"/>
  <c r="H3027" i="15"/>
  <c r="A3027" i="15" s="1"/>
  <c r="H3028" i="15"/>
  <c r="A3028" i="15" s="1"/>
  <c r="H3029" i="15"/>
  <c r="A3029" i="15" s="1"/>
  <c r="H3030" i="15"/>
  <c r="A3030" i="15" s="1"/>
  <c r="H3031" i="15"/>
  <c r="A3031" i="15" s="1"/>
  <c r="H3032" i="15"/>
  <c r="A3032" i="15" s="1"/>
  <c r="H3033" i="15"/>
  <c r="A3033" i="15" s="1"/>
  <c r="H3034" i="15"/>
  <c r="A3034" i="15" s="1"/>
  <c r="H3035" i="15"/>
  <c r="A3035" i="15" s="1"/>
  <c r="H3036" i="15"/>
  <c r="A3036" i="15" s="1"/>
  <c r="H3037" i="15"/>
  <c r="A3037" i="15" s="1"/>
  <c r="H3038" i="15"/>
  <c r="A3038" i="15" s="1"/>
  <c r="H3039" i="15"/>
  <c r="A3039" i="15" s="1"/>
  <c r="H3040" i="15"/>
  <c r="A3040" i="15" s="1"/>
  <c r="H3041" i="15"/>
  <c r="A3041" i="15" s="1"/>
  <c r="H3042" i="15"/>
  <c r="A3042" i="15" s="1"/>
  <c r="H3043" i="15"/>
  <c r="A3043" i="15" s="1"/>
  <c r="H3044" i="15"/>
  <c r="A3044" i="15" s="1"/>
  <c r="H3045" i="15"/>
  <c r="A3045" i="15" s="1"/>
  <c r="H3046" i="15"/>
  <c r="A3046" i="15" s="1"/>
  <c r="H3047" i="15"/>
  <c r="A3047" i="15" s="1"/>
  <c r="H3048" i="15"/>
  <c r="A3048" i="15" s="1"/>
  <c r="H3049" i="15"/>
  <c r="A3049" i="15" s="1"/>
  <c r="H3050" i="15"/>
  <c r="A3050" i="15" s="1"/>
  <c r="H3051" i="15"/>
  <c r="A3051" i="15" s="1"/>
  <c r="H3052" i="15"/>
  <c r="A3052" i="15" s="1"/>
  <c r="H3053" i="15"/>
  <c r="A3053" i="15" s="1"/>
  <c r="H3054" i="15"/>
  <c r="A3054" i="15" s="1"/>
  <c r="H3055" i="15"/>
  <c r="A3055" i="15" s="1"/>
  <c r="H3056" i="15"/>
  <c r="A3056" i="15" s="1"/>
  <c r="H3057" i="15"/>
  <c r="A3057" i="15" s="1"/>
  <c r="H3058" i="15"/>
  <c r="A3058" i="15" s="1"/>
  <c r="H3059" i="15"/>
  <c r="A3059" i="15" s="1"/>
  <c r="H3060" i="15"/>
  <c r="A3060" i="15" s="1"/>
  <c r="H3061" i="15"/>
  <c r="A3061" i="15" s="1"/>
  <c r="H3062" i="15"/>
  <c r="A3062" i="15" s="1"/>
  <c r="H3063" i="15"/>
  <c r="A3063" i="15" s="1"/>
  <c r="H3064" i="15"/>
  <c r="A3064" i="15" s="1"/>
  <c r="H3065" i="15"/>
  <c r="A3065" i="15" s="1"/>
  <c r="H3066" i="15"/>
  <c r="A3066" i="15" s="1"/>
  <c r="H3067" i="15"/>
  <c r="A3067" i="15" s="1"/>
  <c r="H3068" i="15"/>
  <c r="A3068" i="15" s="1"/>
  <c r="H3069" i="15"/>
  <c r="A3069" i="15" s="1"/>
  <c r="H3070" i="15"/>
  <c r="A3070" i="15" s="1"/>
  <c r="H3071" i="15"/>
  <c r="A3071" i="15" s="1"/>
  <c r="H3072" i="15"/>
  <c r="A3072" i="15" s="1"/>
  <c r="H3073" i="15"/>
  <c r="A3073" i="15" s="1"/>
  <c r="H3074" i="15"/>
  <c r="A3074" i="15" s="1"/>
  <c r="H3075" i="15"/>
  <c r="A3075" i="15" s="1"/>
  <c r="H3076" i="15"/>
  <c r="A3076" i="15" s="1"/>
  <c r="H3077" i="15"/>
  <c r="A3077" i="15" s="1"/>
  <c r="H3078" i="15"/>
  <c r="A3078" i="15" s="1"/>
  <c r="H3079" i="15"/>
  <c r="A3079" i="15" s="1"/>
  <c r="H3080" i="15"/>
  <c r="A3080" i="15" s="1"/>
  <c r="H3081" i="15"/>
  <c r="A3081" i="15" s="1"/>
  <c r="H3082" i="15"/>
  <c r="A3082" i="15" s="1"/>
  <c r="H3083" i="15"/>
  <c r="A3083" i="15" s="1"/>
  <c r="H3084" i="15"/>
  <c r="A3084" i="15" s="1"/>
  <c r="H3085" i="15"/>
  <c r="A3085" i="15" s="1"/>
  <c r="H3086" i="15"/>
  <c r="A3086" i="15" s="1"/>
  <c r="H3087" i="15"/>
  <c r="A3087" i="15" s="1"/>
  <c r="H3088" i="15"/>
  <c r="A3088" i="15" s="1"/>
  <c r="H3089" i="15"/>
  <c r="A3089" i="15" s="1"/>
  <c r="H3090" i="15"/>
  <c r="A3090" i="15" s="1"/>
  <c r="H3091" i="15"/>
  <c r="A3091" i="15" s="1"/>
  <c r="H3092" i="15"/>
  <c r="A3092" i="15" s="1"/>
  <c r="H3093" i="15"/>
  <c r="A3093" i="15" s="1"/>
  <c r="H3094" i="15"/>
  <c r="A3094" i="15" s="1"/>
  <c r="H3095" i="15"/>
  <c r="A3095" i="15" s="1"/>
  <c r="H3096" i="15"/>
  <c r="A3096" i="15" s="1"/>
  <c r="H3097" i="15"/>
  <c r="A3097" i="15" s="1"/>
  <c r="H3098" i="15"/>
  <c r="A3098" i="15" s="1"/>
  <c r="H3099" i="15"/>
  <c r="A3099" i="15" s="1"/>
  <c r="H3100" i="15"/>
  <c r="A3100" i="15" s="1"/>
  <c r="H3101" i="15"/>
  <c r="A3101" i="15" s="1"/>
  <c r="H3102" i="15"/>
  <c r="A3102" i="15" s="1"/>
  <c r="H3103" i="15"/>
  <c r="A3103" i="15" s="1"/>
  <c r="H3104" i="15"/>
  <c r="A3104" i="15" s="1"/>
  <c r="H3105" i="15"/>
  <c r="A3105" i="15" s="1"/>
  <c r="H3106" i="15"/>
  <c r="A3106" i="15" s="1"/>
  <c r="H3107" i="15"/>
  <c r="A3107" i="15" s="1"/>
  <c r="H3108" i="15"/>
  <c r="A3108" i="15" s="1"/>
  <c r="H3109" i="15"/>
  <c r="A3109" i="15" s="1"/>
  <c r="H3110" i="15"/>
  <c r="A3110" i="15" s="1"/>
  <c r="H3111" i="15"/>
  <c r="A3111" i="15" s="1"/>
  <c r="H3112" i="15"/>
  <c r="A3112" i="15" s="1"/>
  <c r="H3113" i="15"/>
  <c r="A3113" i="15" s="1"/>
  <c r="H3114" i="15"/>
  <c r="A3114" i="15" s="1"/>
  <c r="H3115" i="15"/>
  <c r="A3115" i="15" s="1"/>
  <c r="H3116" i="15"/>
  <c r="A3116" i="15" s="1"/>
  <c r="H3117" i="15"/>
  <c r="A3117" i="15" s="1"/>
  <c r="H3118" i="15"/>
  <c r="A3118" i="15" s="1"/>
  <c r="H3119" i="15"/>
  <c r="A3119" i="15" s="1"/>
  <c r="H3120" i="15"/>
  <c r="A3120" i="15" s="1"/>
  <c r="H3121" i="15"/>
  <c r="A3121" i="15" s="1"/>
  <c r="H3122" i="15"/>
  <c r="A3122" i="15" s="1"/>
  <c r="H3123" i="15"/>
  <c r="A3123" i="15" s="1"/>
  <c r="H3124" i="15"/>
  <c r="A3124" i="15" s="1"/>
  <c r="H3125" i="15"/>
  <c r="A3125" i="15" s="1"/>
  <c r="H3126" i="15"/>
  <c r="A3126" i="15" s="1"/>
  <c r="H3127" i="15"/>
  <c r="A3127" i="15" s="1"/>
  <c r="H3128" i="15"/>
  <c r="A3128" i="15" s="1"/>
  <c r="H3129" i="15"/>
  <c r="A3129" i="15" s="1"/>
  <c r="H3130" i="15"/>
  <c r="A3130" i="15" s="1"/>
  <c r="H3131" i="15"/>
  <c r="A3131" i="15" s="1"/>
  <c r="H3132" i="15"/>
  <c r="A3132" i="15" s="1"/>
  <c r="H3133" i="15"/>
  <c r="A3133" i="15" s="1"/>
  <c r="H3134" i="15"/>
  <c r="A3134" i="15" s="1"/>
  <c r="H3135" i="15"/>
  <c r="A3135" i="15" s="1"/>
  <c r="H3136" i="15"/>
  <c r="A3136" i="15" s="1"/>
  <c r="H3137" i="15"/>
  <c r="A3137" i="15" s="1"/>
  <c r="H3138" i="15"/>
  <c r="A3138" i="15" s="1"/>
  <c r="H3139" i="15"/>
  <c r="A3139" i="15" s="1"/>
  <c r="H3140" i="15"/>
  <c r="A3140" i="15" s="1"/>
  <c r="H3141" i="15"/>
  <c r="A3141" i="15" s="1"/>
  <c r="H3142" i="15"/>
  <c r="A3142" i="15" s="1"/>
  <c r="H3143" i="15"/>
  <c r="A3143" i="15" s="1"/>
  <c r="H3144" i="15"/>
  <c r="A3144" i="15" s="1"/>
  <c r="H3145" i="15"/>
  <c r="A3145" i="15" s="1"/>
  <c r="H3146" i="15"/>
  <c r="A3146" i="15" s="1"/>
  <c r="H3147" i="15"/>
  <c r="A3147" i="15" s="1"/>
  <c r="H3148" i="15"/>
  <c r="A3148" i="15" s="1"/>
  <c r="H3149" i="15"/>
  <c r="A3149" i="15" s="1"/>
  <c r="H3150" i="15"/>
  <c r="A3150" i="15" s="1"/>
  <c r="H3151" i="15"/>
  <c r="A3151" i="15" s="1"/>
  <c r="H3152" i="15"/>
  <c r="A3152" i="15" s="1"/>
  <c r="H3153" i="15"/>
  <c r="A3153" i="15" s="1"/>
  <c r="H3154" i="15"/>
  <c r="A3154" i="15" s="1"/>
  <c r="H3155" i="15"/>
  <c r="A3155" i="15" s="1"/>
  <c r="H3156" i="15"/>
  <c r="A3156" i="15" s="1"/>
  <c r="H3157" i="15"/>
  <c r="A3157" i="15" s="1"/>
  <c r="H3158" i="15"/>
  <c r="A3158" i="15" s="1"/>
  <c r="H3159" i="15"/>
  <c r="A3159" i="15" s="1"/>
  <c r="H3160" i="15"/>
  <c r="A3160" i="15" s="1"/>
  <c r="H3161" i="15"/>
  <c r="A3161" i="15" s="1"/>
  <c r="H3162" i="15"/>
  <c r="A3162" i="15" s="1"/>
  <c r="H3163" i="15"/>
  <c r="A3163" i="15" s="1"/>
  <c r="H3164" i="15"/>
  <c r="A3164" i="15" s="1"/>
  <c r="H3165" i="15"/>
  <c r="A3165" i="15" s="1"/>
  <c r="H3166" i="15"/>
  <c r="A3166" i="15" s="1"/>
  <c r="H3167" i="15"/>
  <c r="A3167" i="15" s="1"/>
  <c r="H3168" i="15"/>
  <c r="A3168" i="15" s="1"/>
  <c r="H3169" i="15"/>
  <c r="A3169" i="15" s="1"/>
  <c r="H3170" i="15"/>
  <c r="A3170" i="15" s="1"/>
  <c r="H3171" i="15"/>
  <c r="A3171" i="15" s="1"/>
  <c r="H3172" i="15"/>
  <c r="A3172" i="15" s="1"/>
  <c r="H3173" i="15"/>
  <c r="A3173" i="15" s="1"/>
  <c r="H3174" i="15"/>
  <c r="A3174" i="15" s="1"/>
  <c r="H3175" i="15"/>
  <c r="A3175" i="15" s="1"/>
  <c r="H3176" i="15"/>
  <c r="A3176" i="15" s="1"/>
  <c r="H3177" i="15"/>
  <c r="A3177" i="15" s="1"/>
  <c r="H3178" i="15"/>
  <c r="A3178" i="15" s="1"/>
  <c r="H3179" i="15"/>
  <c r="A3179" i="15" s="1"/>
  <c r="H3180" i="15"/>
  <c r="A3180" i="15" s="1"/>
  <c r="H3181" i="15"/>
  <c r="A3181" i="15" s="1"/>
  <c r="H3182" i="15"/>
  <c r="A3182" i="15" s="1"/>
  <c r="H3183" i="15"/>
  <c r="A3183" i="15" s="1"/>
  <c r="H3184" i="15"/>
  <c r="A3184" i="15" s="1"/>
  <c r="H3185" i="15"/>
  <c r="A3185" i="15" s="1"/>
  <c r="H3186" i="15"/>
  <c r="A3186" i="15" s="1"/>
  <c r="H3187" i="15"/>
  <c r="A3187" i="15" s="1"/>
  <c r="H3188" i="15"/>
  <c r="A3188" i="15" s="1"/>
  <c r="H3189" i="15"/>
  <c r="A3189" i="15" s="1"/>
  <c r="H3190" i="15"/>
  <c r="A3190" i="15" s="1"/>
  <c r="H3191" i="15"/>
  <c r="A3191" i="15" s="1"/>
  <c r="H3192" i="15"/>
  <c r="A3192" i="15" s="1"/>
  <c r="H3193" i="15"/>
  <c r="A3193" i="15" s="1"/>
  <c r="H3194" i="15"/>
  <c r="A3194" i="15" s="1"/>
  <c r="H3195" i="15"/>
  <c r="A3195" i="15" s="1"/>
  <c r="H3196" i="15"/>
  <c r="A3196" i="15" s="1"/>
  <c r="H3197" i="15"/>
  <c r="A3197" i="15" s="1"/>
  <c r="H3198" i="15"/>
  <c r="A3198" i="15" s="1"/>
  <c r="H3199" i="15"/>
  <c r="A3199" i="15" s="1"/>
  <c r="H3200" i="15"/>
  <c r="A3200" i="15" s="1"/>
  <c r="H3201" i="15"/>
  <c r="A3201" i="15" s="1"/>
  <c r="H3202" i="15"/>
  <c r="A3202" i="15" s="1"/>
  <c r="H3203" i="15"/>
  <c r="A3203" i="15" s="1"/>
  <c r="H3204" i="15"/>
  <c r="A3204" i="15" s="1"/>
  <c r="H3205" i="15"/>
  <c r="A3205" i="15" s="1"/>
  <c r="H3206" i="15"/>
  <c r="A3206" i="15" s="1"/>
  <c r="H3207" i="15"/>
  <c r="A3207" i="15" s="1"/>
  <c r="H3208" i="15"/>
  <c r="A3208" i="15" s="1"/>
  <c r="H3209" i="15"/>
  <c r="A3209" i="15" s="1"/>
  <c r="H3210" i="15"/>
  <c r="A3210" i="15" s="1"/>
  <c r="H3211" i="15"/>
  <c r="A3211" i="15" s="1"/>
  <c r="H3212" i="15"/>
  <c r="A3212" i="15" s="1"/>
  <c r="H3213" i="15"/>
  <c r="A3213" i="15" s="1"/>
  <c r="H3214" i="15"/>
  <c r="A3214" i="15" s="1"/>
  <c r="H3215" i="15"/>
  <c r="A3215" i="15" s="1"/>
  <c r="H3216" i="15"/>
  <c r="A3216" i="15" s="1"/>
  <c r="H3217" i="15"/>
  <c r="A3217" i="15" s="1"/>
  <c r="H3218" i="15"/>
  <c r="A3218" i="15" s="1"/>
  <c r="H3219" i="15"/>
  <c r="A3219" i="15" s="1"/>
  <c r="H3220" i="15"/>
  <c r="A3220" i="15" s="1"/>
  <c r="H3221" i="15"/>
  <c r="A3221" i="15" s="1"/>
  <c r="H3222" i="15"/>
  <c r="A3222" i="15" s="1"/>
  <c r="H3223" i="15"/>
  <c r="A3223" i="15" s="1"/>
  <c r="H3224" i="15"/>
  <c r="A3224" i="15" s="1"/>
  <c r="H3225" i="15"/>
  <c r="A3225" i="15" s="1"/>
  <c r="H3226" i="15"/>
  <c r="A3226" i="15" s="1"/>
  <c r="H3227" i="15"/>
  <c r="A3227" i="15" s="1"/>
  <c r="H3228" i="15"/>
  <c r="A3228" i="15" s="1"/>
  <c r="H3229" i="15"/>
  <c r="A3229" i="15" s="1"/>
  <c r="H3230" i="15"/>
  <c r="A3230" i="15" s="1"/>
  <c r="H3231" i="15"/>
  <c r="A3231" i="15" s="1"/>
  <c r="H3232" i="15"/>
  <c r="A3232" i="15" s="1"/>
  <c r="H3233" i="15"/>
  <c r="A3233" i="15" s="1"/>
  <c r="H3234" i="15"/>
  <c r="A3234" i="15" s="1"/>
  <c r="H3235" i="15"/>
  <c r="A3235" i="15" s="1"/>
  <c r="H3236" i="15"/>
  <c r="A3236" i="15" s="1"/>
  <c r="H3237" i="15"/>
  <c r="A3237" i="15" s="1"/>
  <c r="H3238" i="15"/>
  <c r="A3238" i="15" s="1"/>
  <c r="H3239" i="15"/>
  <c r="A3239" i="15" s="1"/>
  <c r="H3240" i="15"/>
  <c r="A3240" i="15" s="1"/>
  <c r="H3241" i="15"/>
  <c r="A3241" i="15" s="1"/>
  <c r="H3242" i="15"/>
  <c r="A3242" i="15" s="1"/>
  <c r="H3243" i="15"/>
  <c r="A3243" i="15" s="1"/>
  <c r="H3244" i="15"/>
  <c r="A3244" i="15" s="1"/>
  <c r="H3245" i="15"/>
  <c r="A3245" i="15" s="1"/>
  <c r="H3246" i="15"/>
  <c r="A3246" i="15" s="1"/>
  <c r="H3247" i="15"/>
  <c r="A3247" i="15" s="1"/>
  <c r="H3248" i="15"/>
  <c r="A3248" i="15" s="1"/>
  <c r="H3249" i="15"/>
  <c r="A3249" i="15" s="1"/>
  <c r="H3250" i="15"/>
  <c r="A3250" i="15" s="1"/>
  <c r="H3251" i="15"/>
  <c r="A3251" i="15" s="1"/>
  <c r="H3252" i="15"/>
  <c r="A3252" i="15" s="1"/>
  <c r="H3253" i="15"/>
  <c r="A3253" i="15" s="1"/>
  <c r="H3254" i="15"/>
  <c r="A3254" i="15" s="1"/>
  <c r="H3255" i="15"/>
  <c r="A3255" i="15" s="1"/>
  <c r="H3256" i="15"/>
  <c r="A3256" i="15" s="1"/>
  <c r="H3257" i="15"/>
  <c r="A3257" i="15" s="1"/>
  <c r="H3258" i="15"/>
  <c r="A3258" i="15" s="1"/>
  <c r="H3259" i="15"/>
  <c r="A3259" i="15" s="1"/>
  <c r="H3260" i="15"/>
  <c r="A3260" i="15" s="1"/>
  <c r="H3261" i="15"/>
  <c r="A3261" i="15" s="1"/>
  <c r="H3262" i="15"/>
  <c r="A3262" i="15" s="1"/>
  <c r="H3263" i="15"/>
  <c r="A3263" i="15" s="1"/>
  <c r="H3264" i="15"/>
  <c r="A3264" i="15" s="1"/>
  <c r="H3265" i="15"/>
  <c r="A3265" i="15" s="1"/>
  <c r="H3266" i="15"/>
  <c r="A3266" i="15" s="1"/>
  <c r="H3267" i="15"/>
  <c r="A3267" i="15" s="1"/>
  <c r="H3268" i="15"/>
  <c r="A3268" i="15" s="1"/>
  <c r="H3269" i="15"/>
  <c r="A3269" i="15" s="1"/>
  <c r="H3270" i="15"/>
  <c r="A3270" i="15" s="1"/>
  <c r="H3271" i="15"/>
  <c r="A3271" i="15" s="1"/>
  <c r="H3272" i="15"/>
  <c r="A3272" i="15" s="1"/>
  <c r="H3273" i="15"/>
  <c r="A3273" i="15" s="1"/>
  <c r="H3274" i="15"/>
  <c r="A3274" i="15" s="1"/>
  <c r="H3275" i="15"/>
  <c r="A3275" i="15" s="1"/>
  <c r="H3276" i="15"/>
  <c r="A3276" i="15" s="1"/>
  <c r="H3277" i="15"/>
  <c r="A3277" i="15" s="1"/>
  <c r="H3278" i="15"/>
  <c r="A3278" i="15" s="1"/>
  <c r="H3279" i="15"/>
  <c r="A3279" i="15" s="1"/>
  <c r="H3280" i="15"/>
  <c r="A3280" i="15" s="1"/>
  <c r="H3281" i="15"/>
  <c r="A3281" i="15" s="1"/>
  <c r="H3282" i="15"/>
  <c r="A3282" i="15" s="1"/>
  <c r="H3283" i="15"/>
  <c r="A3283" i="15" s="1"/>
  <c r="H3284" i="15"/>
  <c r="A3284" i="15" s="1"/>
  <c r="H3285" i="15"/>
  <c r="A3285" i="15" s="1"/>
  <c r="H3286" i="15"/>
  <c r="A3286" i="15" s="1"/>
  <c r="H3287" i="15"/>
  <c r="A3287" i="15" s="1"/>
  <c r="H3288" i="15"/>
  <c r="A3288" i="15" s="1"/>
  <c r="H3289" i="15"/>
  <c r="A3289" i="15" s="1"/>
  <c r="H3290" i="15"/>
  <c r="A3290" i="15" s="1"/>
  <c r="H3291" i="15"/>
  <c r="A3291" i="15" s="1"/>
  <c r="H3292" i="15"/>
  <c r="A3292" i="15" s="1"/>
  <c r="H3293" i="15"/>
  <c r="A3293" i="15" s="1"/>
  <c r="H3294" i="15"/>
  <c r="A3294" i="15" s="1"/>
  <c r="H3295" i="15"/>
  <c r="A3295" i="15" s="1"/>
  <c r="H3296" i="15"/>
  <c r="A3296" i="15" s="1"/>
  <c r="H3297" i="15"/>
  <c r="A3297" i="15" s="1"/>
  <c r="H3298" i="15"/>
  <c r="A3298" i="15" s="1"/>
  <c r="H3299" i="15"/>
  <c r="A3299" i="15" s="1"/>
  <c r="H3300" i="15"/>
  <c r="A3300" i="15" s="1"/>
  <c r="H3301" i="15"/>
  <c r="A3301" i="15" s="1"/>
  <c r="H3302" i="15"/>
  <c r="A3302" i="15" s="1"/>
  <c r="H3303" i="15"/>
  <c r="A3303" i="15" s="1"/>
  <c r="H3304" i="15"/>
  <c r="A3304" i="15" s="1"/>
  <c r="H3305" i="15"/>
  <c r="A3305" i="15" s="1"/>
  <c r="H3306" i="15"/>
  <c r="A3306" i="15" s="1"/>
  <c r="H3307" i="15"/>
  <c r="A3307" i="15" s="1"/>
  <c r="H3308" i="15"/>
  <c r="A3308" i="15" s="1"/>
  <c r="H3309" i="15"/>
  <c r="A3309" i="15" s="1"/>
  <c r="H3310" i="15"/>
  <c r="A3310" i="15" s="1"/>
  <c r="H3311" i="15"/>
  <c r="A3311" i="15" s="1"/>
  <c r="H3312" i="15"/>
  <c r="A3312" i="15" s="1"/>
  <c r="H3313" i="15"/>
  <c r="A3313" i="15" s="1"/>
  <c r="H3314" i="15"/>
  <c r="A3314" i="15" s="1"/>
  <c r="H3315" i="15"/>
  <c r="A3315" i="15" s="1"/>
  <c r="H3316" i="15"/>
  <c r="A3316" i="15" s="1"/>
  <c r="H3317" i="15"/>
  <c r="A3317" i="15" s="1"/>
  <c r="H3318" i="15"/>
  <c r="A3318" i="15" s="1"/>
  <c r="H3319" i="15"/>
  <c r="A3319" i="15" s="1"/>
  <c r="H3320" i="15"/>
  <c r="A3320" i="15" s="1"/>
  <c r="H3321" i="15"/>
  <c r="A3321" i="15" s="1"/>
  <c r="H3322" i="15"/>
  <c r="A3322" i="15" s="1"/>
  <c r="H3323" i="15"/>
  <c r="A3323" i="15" s="1"/>
  <c r="H3324" i="15"/>
  <c r="A3324" i="15" s="1"/>
  <c r="H3325" i="15"/>
  <c r="A3325" i="15" s="1"/>
  <c r="H3326" i="15"/>
  <c r="A3326" i="15" s="1"/>
  <c r="H3327" i="15"/>
  <c r="A3327" i="15" s="1"/>
  <c r="H3328" i="15"/>
  <c r="A3328" i="15" s="1"/>
  <c r="H3329" i="15"/>
  <c r="A3329" i="15" s="1"/>
  <c r="H3330" i="15"/>
  <c r="A3330" i="15" s="1"/>
  <c r="H3331" i="15"/>
  <c r="A3331" i="15" s="1"/>
  <c r="H3332" i="15"/>
  <c r="A3332" i="15" s="1"/>
  <c r="H3333" i="15"/>
  <c r="A3333" i="15" s="1"/>
  <c r="H3334" i="15"/>
  <c r="A3334" i="15" s="1"/>
  <c r="H3335" i="15"/>
  <c r="A3335" i="15" s="1"/>
  <c r="H3336" i="15"/>
  <c r="A3336" i="15" s="1"/>
  <c r="H3337" i="15"/>
  <c r="A3337" i="15" s="1"/>
  <c r="H3338" i="15"/>
  <c r="A3338" i="15" s="1"/>
  <c r="H3339" i="15"/>
  <c r="A3339" i="15" s="1"/>
  <c r="H3340" i="15"/>
  <c r="A3340" i="15" s="1"/>
  <c r="H3341" i="15"/>
  <c r="A3341" i="15" s="1"/>
  <c r="H3342" i="15"/>
  <c r="A3342" i="15" s="1"/>
  <c r="H3343" i="15"/>
  <c r="A3343" i="15" s="1"/>
  <c r="H3344" i="15"/>
  <c r="A3344" i="15" s="1"/>
  <c r="H3345" i="15"/>
  <c r="A3345" i="15" s="1"/>
  <c r="H3346" i="15"/>
  <c r="A3346" i="15" s="1"/>
  <c r="H3347" i="15"/>
  <c r="A3347" i="15" s="1"/>
  <c r="H3348" i="15"/>
  <c r="A3348" i="15" s="1"/>
  <c r="H3349" i="15"/>
  <c r="A3349" i="15" s="1"/>
  <c r="H3350" i="15"/>
  <c r="A3350" i="15" s="1"/>
  <c r="H3351" i="15"/>
  <c r="A3351" i="15" s="1"/>
  <c r="H3352" i="15"/>
  <c r="A3352" i="15" s="1"/>
  <c r="H3353" i="15"/>
  <c r="A3353" i="15" s="1"/>
  <c r="H3354" i="15"/>
  <c r="A3354" i="15" s="1"/>
  <c r="H3355" i="15"/>
  <c r="A3355" i="15" s="1"/>
  <c r="H3356" i="15"/>
  <c r="A3356" i="15" s="1"/>
  <c r="H3357" i="15"/>
  <c r="A3357" i="15" s="1"/>
  <c r="H3358" i="15"/>
  <c r="A3358" i="15" s="1"/>
  <c r="H3359" i="15"/>
  <c r="A3359" i="15" s="1"/>
  <c r="H3360" i="15"/>
  <c r="A3360" i="15" s="1"/>
  <c r="H3361" i="15"/>
  <c r="A3361" i="15" s="1"/>
  <c r="H3362" i="15"/>
  <c r="A3362" i="15" s="1"/>
  <c r="H3363" i="15"/>
  <c r="A3363" i="15" s="1"/>
  <c r="H3364" i="15"/>
  <c r="A3364" i="15" s="1"/>
  <c r="H3365" i="15"/>
  <c r="A3365" i="15" s="1"/>
  <c r="H3366" i="15"/>
  <c r="A3366" i="15" s="1"/>
  <c r="H3367" i="15"/>
  <c r="A3367" i="15" s="1"/>
  <c r="H3368" i="15"/>
  <c r="A3368" i="15" s="1"/>
  <c r="H3369" i="15"/>
  <c r="A3369" i="15" s="1"/>
  <c r="H3370" i="15"/>
  <c r="A3370" i="15" s="1"/>
  <c r="H3371" i="15"/>
  <c r="A3371" i="15" s="1"/>
  <c r="H3372" i="15"/>
  <c r="A3372" i="15" s="1"/>
  <c r="H3373" i="15"/>
  <c r="A3373" i="15" s="1"/>
  <c r="H3374" i="15"/>
  <c r="A3374" i="15" s="1"/>
  <c r="H3375" i="15"/>
  <c r="A3375" i="15" s="1"/>
  <c r="H3376" i="15"/>
  <c r="A3376" i="15" s="1"/>
  <c r="H3377" i="15"/>
  <c r="A3377" i="15" s="1"/>
  <c r="H3378" i="15"/>
  <c r="A3378" i="15" s="1"/>
  <c r="H3379" i="15"/>
  <c r="A3379" i="15" s="1"/>
  <c r="H3380" i="15"/>
  <c r="A3380" i="15" s="1"/>
  <c r="H3381" i="15"/>
  <c r="A3381" i="15" s="1"/>
  <c r="H3382" i="15"/>
  <c r="A3382" i="15" s="1"/>
  <c r="H3383" i="15"/>
  <c r="A3383" i="15" s="1"/>
  <c r="H3384" i="15"/>
  <c r="A3384" i="15" s="1"/>
  <c r="H3385" i="15"/>
  <c r="A3385" i="15" s="1"/>
  <c r="H3386" i="15"/>
  <c r="A3386" i="15" s="1"/>
  <c r="H3387" i="15"/>
  <c r="A3387" i="15" s="1"/>
  <c r="H3388" i="15"/>
  <c r="A3388" i="15" s="1"/>
  <c r="H3389" i="15"/>
  <c r="A3389" i="15" s="1"/>
  <c r="H3390" i="15"/>
  <c r="A3390" i="15" s="1"/>
  <c r="H3391" i="15"/>
  <c r="A3391" i="15" s="1"/>
  <c r="H3392" i="15"/>
  <c r="A3392" i="15" s="1"/>
  <c r="H3393" i="15"/>
  <c r="A3393" i="15" s="1"/>
  <c r="H3394" i="15"/>
  <c r="A3394" i="15" s="1"/>
  <c r="H3395" i="15"/>
  <c r="A3395" i="15" s="1"/>
  <c r="H3396" i="15"/>
  <c r="A3396" i="15" s="1"/>
  <c r="H3397" i="15"/>
  <c r="A3397" i="15" s="1"/>
  <c r="H3398" i="15"/>
  <c r="A3398" i="15" s="1"/>
  <c r="H3399" i="15"/>
  <c r="A3399" i="15" s="1"/>
  <c r="H3400" i="15"/>
  <c r="A3400" i="15" s="1"/>
  <c r="H3401" i="15"/>
  <c r="A3401" i="15" s="1"/>
  <c r="H3402" i="15"/>
  <c r="A3402" i="15" s="1"/>
  <c r="H3403" i="15"/>
  <c r="A3403" i="15" s="1"/>
  <c r="H3404" i="15"/>
  <c r="A3404" i="15" s="1"/>
  <c r="H3405" i="15"/>
  <c r="A3405" i="15" s="1"/>
  <c r="H3406" i="15"/>
  <c r="A3406" i="15" s="1"/>
  <c r="H3407" i="15"/>
  <c r="A3407" i="15" s="1"/>
  <c r="H3408" i="15"/>
  <c r="A3408" i="15" s="1"/>
  <c r="H3409" i="15"/>
  <c r="A3409" i="15" s="1"/>
  <c r="H3410" i="15"/>
  <c r="A3410" i="15" s="1"/>
  <c r="H3411" i="15"/>
  <c r="A3411" i="15" s="1"/>
  <c r="H3412" i="15"/>
  <c r="A3412" i="15" s="1"/>
  <c r="H3413" i="15"/>
  <c r="A3413" i="15" s="1"/>
  <c r="H3414" i="15"/>
  <c r="A3414" i="15" s="1"/>
  <c r="H3415" i="15"/>
  <c r="A3415" i="15" s="1"/>
  <c r="H3416" i="15"/>
  <c r="A3416" i="15" s="1"/>
  <c r="H3417" i="15"/>
  <c r="A3417" i="15" s="1"/>
  <c r="H3418" i="15"/>
  <c r="A3418" i="15" s="1"/>
  <c r="H3419" i="15"/>
  <c r="A3419" i="15" s="1"/>
  <c r="H3420" i="15"/>
  <c r="A3420" i="15" s="1"/>
  <c r="H3421" i="15"/>
  <c r="A3421" i="15" s="1"/>
  <c r="H3422" i="15"/>
  <c r="A3422" i="15" s="1"/>
  <c r="H3423" i="15"/>
  <c r="A3423" i="15" s="1"/>
  <c r="H3424" i="15"/>
  <c r="A3424" i="15" s="1"/>
  <c r="H3425" i="15"/>
  <c r="A3425" i="15" s="1"/>
  <c r="H3426" i="15"/>
  <c r="A3426" i="15" s="1"/>
  <c r="H3427" i="15"/>
  <c r="A3427" i="15" s="1"/>
  <c r="H3428" i="15"/>
  <c r="A3428" i="15" s="1"/>
  <c r="H3429" i="15"/>
  <c r="A3429" i="15" s="1"/>
  <c r="H3430" i="15"/>
  <c r="A3430" i="15" s="1"/>
  <c r="H3431" i="15"/>
  <c r="A3431" i="15" s="1"/>
  <c r="H3432" i="15"/>
  <c r="A3432" i="15" s="1"/>
  <c r="H3433" i="15"/>
  <c r="A3433" i="15" s="1"/>
  <c r="H3434" i="15"/>
  <c r="A3434" i="15" s="1"/>
  <c r="H3435" i="15"/>
  <c r="A3435" i="15" s="1"/>
  <c r="H3436" i="15"/>
  <c r="A3436" i="15" s="1"/>
  <c r="H3437" i="15"/>
  <c r="A3437" i="15" s="1"/>
  <c r="H3438" i="15"/>
  <c r="A3438" i="15" s="1"/>
  <c r="H3439" i="15"/>
  <c r="A3439" i="15" s="1"/>
  <c r="H3440" i="15"/>
  <c r="A3440" i="15" s="1"/>
  <c r="H3441" i="15"/>
  <c r="A3441" i="15" s="1"/>
  <c r="H3442" i="15"/>
  <c r="A3442" i="15" s="1"/>
  <c r="H3443" i="15"/>
  <c r="A3443" i="15" s="1"/>
  <c r="H3444" i="15"/>
  <c r="A3444" i="15" s="1"/>
  <c r="H3445" i="15"/>
  <c r="A3445" i="15" s="1"/>
  <c r="H3446" i="15"/>
  <c r="A3446" i="15" s="1"/>
  <c r="H3447" i="15"/>
  <c r="A3447" i="15" s="1"/>
  <c r="H3448" i="15"/>
  <c r="A3448" i="15" s="1"/>
  <c r="H3449" i="15"/>
  <c r="A3449" i="15" s="1"/>
  <c r="H3450" i="15"/>
  <c r="A3450" i="15" s="1"/>
  <c r="H3451" i="15"/>
  <c r="A3451" i="15" s="1"/>
  <c r="H3452" i="15"/>
  <c r="A3452" i="15" s="1"/>
  <c r="H3453" i="15"/>
  <c r="A3453" i="15" s="1"/>
  <c r="H3454" i="15"/>
  <c r="A3454" i="15" s="1"/>
  <c r="H3455" i="15"/>
  <c r="A3455" i="15" s="1"/>
  <c r="H3456" i="15"/>
  <c r="A3456" i="15" s="1"/>
  <c r="H3457" i="15"/>
  <c r="A3457" i="15" s="1"/>
  <c r="H3458" i="15"/>
  <c r="A3458" i="15" s="1"/>
  <c r="H3459" i="15"/>
  <c r="A3459" i="15" s="1"/>
  <c r="H3460" i="15"/>
  <c r="A3460" i="15" s="1"/>
  <c r="H3461" i="15"/>
  <c r="A3461" i="15" s="1"/>
  <c r="H3462" i="15"/>
  <c r="A3462" i="15" s="1"/>
  <c r="H3463" i="15"/>
  <c r="A3463" i="15" s="1"/>
  <c r="H3464" i="15"/>
  <c r="A3464" i="15" s="1"/>
  <c r="H3465" i="15"/>
  <c r="A3465" i="15" s="1"/>
  <c r="H3466" i="15"/>
  <c r="A3466" i="15" s="1"/>
  <c r="H3467" i="15"/>
  <c r="A3467" i="15" s="1"/>
  <c r="H3468" i="15"/>
  <c r="A3468" i="15" s="1"/>
  <c r="H3469" i="15"/>
  <c r="A3469" i="15" s="1"/>
  <c r="H3470" i="15"/>
  <c r="A3470" i="15" s="1"/>
  <c r="H3471" i="15"/>
  <c r="A3471" i="15" s="1"/>
  <c r="H3472" i="15"/>
  <c r="A3472" i="15" s="1"/>
  <c r="H3473" i="15"/>
  <c r="A3473" i="15" s="1"/>
  <c r="H3474" i="15"/>
  <c r="A3474" i="15" s="1"/>
  <c r="H3475" i="15"/>
  <c r="A3475" i="15" s="1"/>
  <c r="H3476" i="15"/>
  <c r="A3476" i="15" s="1"/>
  <c r="H3477" i="15"/>
  <c r="A3477" i="15" s="1"/>
  <c r="H3478" i="15"/>
  <c r="A3478" i="15" s="1"/>
  <c r="H3479" i="15"/>
  <c r="A3479" i="15" s="1"/>
  <c r="H3480" i="15"/>
  <c r="A3480" i="15" s="1"/>
  <c r="H3481" i="15"/>
  <c r="A3481" i="15" s="1"/>
  <c r="H3482" i="15"/>
  <c r="A3482" i="15" s="1"/>
  <c r="H3483" i="15"/>
  <c r="A3483" i="15" s="1"/>
  <c r="H3484" i="15"/>
  <c r="A3484" i="15" s="1"/>
  <c r="H3485" i="15"/>
  <c r="A3485" i="15" s="1"/>
  <c r="H3486" i="15"/>
  <c r="A3486" i="15" s="1"/>
  <c r="H3487" i="15"/>
  <c r="A3487" i="15" s="1"/>
  <c r="H3488" i="15"/>
  <c r="A3488" i="15" s="1"/>
  <c r="H3489" i="15"/>
  <c r="A3489" i="15" s="1"/>
  <c r="H3490" i="15"/>
  <c r="A3490" i="15" s="1"/>
  <c r="H3491" i="15"/>
  <c r="A3491" i="15" s="1"/>
  <c r="H3492" i="15"/>
  <c r="A3492" i="15" s="1"/>
  <c r="H3493" i="15"/>
  <c r="A3493" i="15" s="1"/>
  <c r="H3494" i="15"/>
  <c r="A3494" i="15" s="1"/>
  <c r="H3495" i="15"/>
  <c r="A3495" i="15" s="1"/>
  <c r="H3496" i="15"/>
  <c r="A3496" i="15" s="1"/>
  <c r="H3497" i="15"/>
  <c r="A3497" i="15" s="1"/>
  <c r="H3498" i="15"/>
  <c r="A3498" i="15" s="1"/>
  <c r="H3499" i="15"/>
  <c r="A3499" i="15" s="1"/>
  <c r="H3500" i="15"/>
  <c r="A3500" i="15" s="1"/>
  <c r="H3501" i="15"/>
  <c r="A3501" i="15" s="1"/>
  <c r="H3502" i="15"/>
  <c r="A3502" i="15" s="1"/>
  <c r="H3503" i="15"/>
  <c r="A3503" i="15" s="1"/>
  <c r="H3504" i="15"/>
  <c r="A3504" i="15" s="1"/>
  <c r="H3505" i="15"/>
  <c r="A3505" i="15" s="1"/>
  <c r="H3506" i="15"/>
  <c r="A3506" i="15" s="1"/>
  <c r="H3507" i="15"/>
  <c r="A3507" i="15" s="1"/>
  <c r="H3508" i="15"/>
  <c r="A3508" i="15" s="1"/>
  <c r="H3509" i="15"/>
  <c r="A3509" i="15" s="1"/>
  <c r="H3510" i="15"/>
  <c r="A3510" i="15" s="1"/>
  <c r="H3511" i="15"/>
  <c r="A3511" i="15" s="1"/>
  <c r="H3512" i="15"/>
  <c r="A3512" i="15" s="1"/>
  <c r="H3513" i="15"/>
  <c r="A3513" i="15" s="1"/>
  <c r="H3514" i="15"/>
  <c r="A3514" i="15" s="1"/>
  <c r="H3515" i="15"/>
  <c r="A3515" i="15" s="1"/>
  <c r="H3516" i="15"/>
  <c r="A3516" i="15" s="1"/>
  <c r="H3517" i="15"/>
  <c r="A3517" i="15" s="1"/>
  <c r="H3518" i="15"/>
  <c r="A3518" i="15" s="1"/>
  <c r="H3519" i="15"/>
  <c r="A3519" i="15" s="1"/>
  <c r="H3520" i="15"/>
  <c r="A3520" i="15" s="1"/>
  <c r="H3521" i="15"/>
  <c r="A3521" i="15" s="1"/>
  <c r="H3522" i="15"/>
  <c r="A3522" i="15" s="1"/>
  <c r="H3523" i="15"/>
  <c r="A3523" i="15" s="1"/>
  <c r="H3524" i="15"/>
  <c r="A3524" i="15" s="1"/>
  <c r="H3525" i="15"/>
  <c r="A3525" i="15" s="1"/>
  <c r="H3526" i="15"/>
  <c r="A3526" i="15" s="1"/>
  <c r="H3527" i="15"/>
  <c r="A3527" i="15" s="1"/>
  <c r="H3528" i="15"/>
  <c r="A3528" i="15" s="1"/>
  <c r="H3529" i="15"/>
  <c r="A3529" i="15" s="1"/>
  <c r="H3530" i="15"/>
  <c r="A3530" i="15" s="1"/>
  <c r="H3531" i="15"/>
  <c r="A3531" i="15" s="1"/>
  <c r="H3532" i="15"/>
  <c r="A3532" i="15" s="1"/>
  <c r="H3533" i="15"/>
  <c r="A3533" i="15" s="1"/>
  <c r="H3534" i="15"/>
  <c r="A3534" i="15" s="1"/>
  <c r="H3535" i="15"/>
  <c r="A3535" i="15" s="1"/>
  <c r="H3536" i="15"/>
  <c r="A3536" i="15" s="1"/>
  <c r="H3537" i="15"/>
  <c r="A3537" i="15" s="1"/>
  <c r="H3538" i="15"/>
  <c r="A3538" i="15" s="1"/>
  <c r="H3539" i="15"/>
  <c r="A3539" i="15" s="1"/>
  <c r="H3540" i="15"/>
  <c r="A3540" i="15" s="1"/>
  <c r="H3541" i="15"/>
  <c r="A3541" i="15" s="1"/>
  <c r="H3542" i="15"/>
  <c r="A3542" i="15" s="1"/>
  <c r="H3543" i="15"/>
  <c r="A3543" i="15" s="1"/>
  <c r="H3544" i="15"/>
  <c r="A3544" i="15" s="1"/>
  <c r="H3545" i="15"/>
  <c r="A3545" i="15" s="1"/>
  <c r="H3546" i="15"/>
  <c r="A3546" i="15" s="1"/>
  <c r="H3547" i="15"/>
  <c r="A3547" i="15" s="1"/>
  <c r="H3548" i="15"/>
  <c r="A3548" i="15" s="1"/>
  <c r="H3549" i="15"/>
  <c r="A3549" i="15" s="1"/>
  <c r="H3550" i="15"/>
  <c r="A3550" i="15" s="1"/>
  <c r="H3551" i="15"/>
  <c r="A3551" i="15" s="1"/>
  <c r="H3552" i="15"/>
  <c r="A3552" i="15" s="1"/>
  <c r="H3553" i="15"/>
  <c r="A3553" i="15" s="1"/>
  <c r="H3554" i="15"/>
  <c r="A3554" i="15" s="1"/>
  <c r="H3555" i="15"/>
  <c r="A3555" i="15" s="1"/>
  <c r="H3556" i="15"/>
  <c r="A3556" i="15" s="1"/>
  <c r="H3557" i="15"/>
  <c r="A3557" i="15" s="1"/>
  <c r="H3558" i="15"/>
  <c r="A3558" i="15" s="1"/>
  <c r="H3559" i="15"/>
  <c r="A3559" i="15" s="1"/>
  <c r="H3560" i="15"/>
  <c r="A3560" i="15" s="1"/>
  <c r="H3561" i="15"/>
  <c r="A3561" i="15" s="1"/>
  <c r="H3562" i="15"/>
  <c r="A3562" i="15" s="1"/>
  <c r="H3563" i="15"/>
  <c r="A3563" i="15" s="1"/>
  <c r="H3564" i="15"/>
  <c r="A3564" i="15" s="1"/>
  <c r="H3565" i="15"/>
  <c r="A3565" i="15" s="1"/>
  <c r="H3566" i="15"/>
  <c r="A3566" i="15" s="1"/>
  <c r="H3567" i="15"/>
  <c r="A3567" i="15" s="1"/>
  <c r="H3568" i="15"/>
  <c r="A3568" i="15" s="1"/>
  <c r="H3569" i="15"/>
  <c r="A3569" i="15" s="1"/>
  <c r="H3570" i="15"/>
  <c r="A3570" i="15" s="1"/>
  <c r="H3571" i="15"/>
  <c r="A3571" i="15" s="1"/>
  <c r="H3572" i="15"/>
  <c r="A3572" i="15" s="1"/>
  <c r="H3573" i="15"/>
  <c r="A3573" i="15" s="1"/>
  <c r="H3574" i="15"/>
  <c r="A3574" i="15" s="1"/>
  <c r="H3575" i="15"/>
  <c r="A3575" i="15" s="1"/>
  <c r="H3576" i="15"/>
  <c r="A3576" i="15" s="1"/>
  <c r="H3577" i="15"/>
  <c r="A3577" i="15" s="1"/>
  <c r="H3578" i="15"/>
  <c r="A3578" i="15" s="1"/>
  <c r="H3579" i="15"/>
  <c r="A3579" i="15" s="1"/>
  <c r="H3580" i="15"/>
  <c r="A3580" i="15" s="1"/>
  <c r="H3581" i="15"/>
  <c r="A3581" i="15" s="1"/>
  <c r="H3582" i="15"/>
  <c r="A3582" i="15" s="1"/>
  <c r="H3583" i="15"/>
  <c r="A3583" i="15" s="1"/>
  <c r="H3584" i="15"/>
  <c r="A3584" i="15" s="1"/>
  <c r="H3585" i="15"/>
  <c r="A3585" i="15" s="1"/>
  <c r="H3586" i="15"/>
  <c r="A3586" i="15" s="1"/>
  <c r="H3587" i="15"/>
  <c r="A3587" i="15" s="1"/>
  <c r="H3588" i="15"/>
  <c r="A3588" i="15" s="1"/>
  <c r="H3589" i="15"/>
  <c r="A3589" i="15" s="1"/>
  <c r="H3590" i="15"/>
  <c r="A3590" i="15" s="1"/>
  <c r="H3591" i="15"/>
  <c r="A3591" i="15" s="1"/>
  <c r="H3592" i="15"/>
  <c r="A3592" i="15" s="1"/>
  <c r="H3593" i="15"/>
  <c r="A3593" i="15" s="1"/>
  <c r="H3594" i="15"/>
  <c r="A3594" i="15" s="1"/>
  <c r="H3595" i="15"/>
  <c r="A3595" i="15" s="1"/>
  <c r="H3596" i="15"/>
  <c r="A3596" i="15" s="1"/>
  <c r="H3597" i="15"/>
  <c r="A3597" i="15" s="1"/>
  <c r="H3598" i="15"/>
  <c r="A3598" i="15" s="1"/>
  <c r="H3599" i="15"/>
  <c r="A3599" i="15" s="1"/>
  <c r="H3600" i="15"/>
  <c r="A3600" i="15" s="1"/>
  <c r="H3601" i="15"/>
  <c r="A3601" i="15" s="1"/>
  <c r="H3602" i="15"/>
  <c r="A3602" i="15" s="1"/>
  <c r="H3603" i="15"/>
  <c r="A3603" i="15" s="1"/>
  <c r="H3604" i="15"/>
  <c r="A3604" i="15" s="1"/>
  <c r="H3605" i="15"/>
  <c r="A3605" i="15" s="1"/>
  <c r="H3606" i="15"/>
  <c r="A3606" i="15" s="1"/>
  <c r="H3607" i="15"/>
  <c r="A3607" i="15" s="1"/>
  <c r="H3608" i="15"/>
  <c r="A3608" i="15" s="1"/>
  <c r="H3609" i="15"/>
  <c r="A3609" i="15" s="1"/>
  <c r="H3610" i="15"/>
  <c r="A3610" i="15" s="1"/>
  <c r="H3611" i="15"/>
  <c r="A3611" i="15" s="1"/>
  <c r="H3612" i="15"/>
  <c r="A3612" i="15" s="1"/>
  <c r="H3613" i="15"/>
  <c r="A3613" i="15" s="1"/>
  <c r="H3614" i="15"/>
  <c r="A3614" i="15" s="1"/>
  <c r="H3615" i="15"/>
  <c r="A3615" i="15" s="1"/>
  <c r="H3616" i="15"/>
  <c r="A3616" i="15" s="1"/>
  <c r="H3617" i="15"/>
  <c r="A3617" i="15" s="1"/>
  <c r="H3618" i="15"/>
  <c r="A3618" i="15" s="1"/>
  <c r="H3619" i="15"/>
  <c r="A3619" i="15" s="1"/>
  <c r="H3620" i="15"/>
  <c r="A3620" i="15" s="1"/>
  <c r="H3621" i="15"/>
  <c r="A3621" i="15" s="1"/>
  <c r="H3622" i="15"/>
  <c r="A3622" i="15" s="1"/>
  <c r="H3623" i="15"/>
  <c r="A3623" i="15" s="1"/>
  <c r="H3624" i="15"/>
  <c r="A3624" i="15" s="1"/>
  <c r="H3625" i="15"/>
  <c r="A3625" i="15" s="1"/>
  <c r="H3626" i="15"/>
  <c r="A3626" i="15" s="1"/>
  <c r="H3627" i="15"/>
  <c r="A3627" i="15" s="1"/>
  <c r="H3628" i="15"/>
  <c r="A3628" i="15" s="1"/>
  <c r="H3629" i="15"/>
  <c r="A3629" i="15" s="1"/>
  <c r="H3630" i="15"/>
  <c r="A3630" i="15" s="1"/>
  <c r="H3631" i="15"/>
  <c r="A3631" i="15" s="1"/>
  <c r="H3632" i="15"/>
  <c r="A3632" i="15" s="1"/>
  <c r="H3633" i="15"/>
  <c r="A3633" i="15" s="1"/>
  <c r="H3634" i="15"/>
  <c r="A3634" i="15" s="1"/>
  <c r="H3635" i="15"/>
  <c r="A3635" i="15" s="1"/>
  <c r="H3636" i="15"/>
  <c r="A3636" i="15" s="1"/>
  <c r="H3637" i="15"/>
  <c r="A3637" i="15" s="1"/>
  <c r="H3638" i="15"/>
  <c r="A3638" i="15" s="1"/>
  <c r="H3639" i="15"/>
  <c r="A3639" i="15" s="1"/>
  <c r="H3640" i="15"/>
  <c r="A3640" i="15" s="1"/>
  <c r="H3641" i="15"/>
  <c r="A3641" i="15" s="1"/>
  <c r="H3642" i="15"/>
  <c r="A3642" i="15" s="1"/>
  <c r="H3643" i="15"/>
  <c r="A3643" i="15" s="1"/>
  <c r="H3644" i="15"/>
  <c r="A3644" i="15" s="1"/>
  <c r="H3645" i="15"/>
  <c r="A3645" i="15" s="1"/>
  <c r="H3646" i="15"/>
  <c r="A3646" i="15" s="1"/>
  <c r="H3647" i="15"/>
  <c r="A3647" i="15" s="1"/>
  <c r="H3648" i="15"/>
  <c r="A3648" i="15" s="1"/>
  <c r="H3649" i="15"/>
  <c r="A3649" i="15" s="1"/>
  <c r="H3650" i="15"/>
  <c r="A3650" i="15" s="1"/>
  <c r="H3651" i="15"/>
  <c r="A3651" i="15" s="1"/>
  <c r="H3652" i="15"/>
  <c r="A3652" i="15" s="1"/>
  <c r="H3653" i="15"/>
  <c r="A3653" i="15" s="1"/>
  <c r="H3654" i="15"/>
  <c r="A3654" i="15" s="1"/>
  <c r="H3655" i="15"/>
  <c r="A3655" i="15" s="1"/>
  <c r="H3656" i="15"/>
  <c r="A3656" i="15" s="1"/>
  <c r="H3657" i="15"/>
  <c r="A3657" i="15" s="1"/>
  <c r="H3658" i="15"/>
  <c r="A3658" i="15" s="1"/>
  <c r="H3659" i="15"/>
  <c r="A3659" i="15" s="1"/>
  <c r="H3660" i="15"/>
  <c r="A3660" i="15" s="1"/>
  <c r="H3661" i="15"/>
  <c r="A3661" i="15" s="1"/>
  <c r="H3662" i="15"/>
  <c r="A3662" i="15" s="1"/>
  <c r="H3663" i="15"/>
  <c r="A3663" i="15" s="1"/>
  <c r="H3664" i="15"/>
  <c r="A3664" i="15" s="1"/>
  <c r="H3665" i="15"/>
  <c r="A3665" i="15" s="1"/>
  <c r="H3666" i="15"/>
  <c r="A3666" i="15" s="1"/>
  <c r="H3667" i="15"/>
  <c r="A3667" i="15" s="1"/>
  <c r="H3668" i="15"/>
  <c r="A3668" i="15" s="1"/>
  <c r="H3669" i="15"/>
  <c r="A3669" i="15" s="1"/>
  <c r="H3670" i="15"/>
  <c r="A3670" i="15" s="1"/>
  <c r="H3671" i="15"/>
  <c r="A3671" i="15" s="1"/>
  <c r="H3672" i="15"/>
  <c r="A3672" i="15" s="1"/>
  <c r="H3673" i="15"/>
  <c r="A3673" i="15" s="1"/>
  <c r="H3674" i="15"/>
  <c r="A3674" i="15" s="1"/>
  <c r="H3675" i="15"/>
  <c r="A3675" i="15" s="1"/>
  <c r="H3676" i="15"/>
  <c r="A3676" i="15" s="1"/>
  <c r="H3677" i="15"/>
  <c r="A3677" i="15" s="1"/>
  <c r="H3678" i="15"/>
  <c r="A3678" i="15" s="1"/>
  <c r="H3679" i="15"/>
  <c r="A3679" i="15" s="1"/>
  <c r="H3680" i="15"/>
  <c r="A3680" i="15" s="1"/>
  <c r="H3681" i="15"/>
  <c r="A3681" i="15" s="1"/>
  <c r="H3682" i="15"/>
  <c r="A3682" i="15" s="1"/>
  <c r="H3683" i="15"/>
  <c r="A3683" i="15" s="1"/>
  <c r="H3684" i="15"/>
  <c r="A3684" i="15" s="1"/>
  <c r="H3685" i="15"/>
  <c r="A3685" i="15" s="1"/>
  <c r="H3686" i="15"/>
  <c r="A3686" i="15" s="1"/>
  <c r="H3687" i="15"/>
  <c r="A3687" i="15" s="1"/>
  <c r="H3688" i="15"/>
  <c r="A3688" i="15" s="1"/>
  <c r="H3689" i="15"/>
  <c r="A3689" i="15" s="1"/>
  <c r="H3690" i="15"/>
  <c r="A3690" i="15" s="1"/>
  <c r="H3691" i="15"/>
  <c r="A3691" i="15" s="1"/>
  <c r="H3692" i="15"/>
  <c r="A3692" i="15" s="1"/>
  <c r="H3693" i="15"/>
  <c r="A3693" i="15" s="1"/>
  <c r="H3694" i="15"/>
  <c r="A3694" i="15" s="1"/>
  <c r="H3695" i="15"/>
  <c r="A3695" i="15" s="1"/>
  <c r="H3696" i="15"/>
  <c r="A3696" i="15" s="1"/>
  <c r="H3697" i="15"/>
  <c r="A3697" i="15" s="1"/>
  <c r="H3698" i="15"/>
  <c r="A3698" i="15" s="1"/>
  <c r="H3699" i="15"/>
  <c r="A3699" i="15" s="1"/>
  <c r="H3700" i="15"/>
  <c r="A3700" i="15" s="1"/>
  <c r="H3701" i="15"/>
  <c r="A3701" i="15" s="1"/>
  <c r="H3702" i="15"/>
  <c r="A3702" i="15" s="1"/>
  <c r="H3703" i="15"/>
  <c r="A3703" i="15" s="1"/>
  <c r="H3704" i="15"/>
  <c r="A3704" i="15" s="1"/>
  <c r="H3705" i="15"/>
  <c r="A3705" i="15" s="1"/>
  <c r="H3706" i="15"/>
  <c r="A3706" i="15" s="1"/>
  <c r="H3707" i="15"/>
  <c r="A3707" i="15" s="1"/>
  <c r="H3708" i="15"/>
  <c r="A3708" i="15" s="1"/>
  <c r="H3709" i="15"/>
  <c r="A3709" i="15" s="1"/>
  <c r="H3710" i="15"/>
  <c r="A3710" i="15" s="1"/>
  <c r="H3711" i="15"/>
  <c r="A3711" i="15" s="1"/>
  <c r="H3712" i="15"/>
  <c r="A3712" i="15" s="1"/>
  <c r="H3713" i="15"/>
  <c r="A3713" i="15" s="1"/>
  <c r="H3714" i="15"/>
  <c r="A3714" i="15" s="1"/>
  <c r="H3715" i="15"/>
  <c r="A3715" i="15" s="1"/>
  <c r="H3716" i="15"/>
  <c r="A3716" i="15" s="1"/>
  <c r="H3717" i="15"/>
  <c r="A3717" i="15" s="1"/>
  <c r="H3718" i="15"/>
  <c r="A3718" i="15" s="1"/>
  <c r="H3719" i="15"/>
  <c r="A3719" i="15" s="1"/>
  <c r="H3720" i="15"/>
  <c r="A3720" i="15" s="1"/>
  <c r="H3721" i="15"/>
  <c r="A3721" i="15" s="1"/>
  <c r="H3722" i="15"/>
  <c r="A3722" i="15" s="1"/>
  <c r="H3723" i="15"/>
  <c r="A3723" i="15" s="1"/>
  <c r="H3724" i="15"/>
  <c r="A3724" i="15" s="1"/>
  <c r="H3725" i="15"/>
  <c r="A3725" i="15" s="1"/>
  <c r="H3726" i="15"/>
  <c r="A3726" i="15" s="1"/>
  <c r="H3727" i="15"/>
  <c r="A3727" i="15" s="1"/>
  <c r="H3728" i="15"/>
  <c r="A3728" i="15" s="1"/>
  <c r="H3729" i="15"/>
  <c r="A3729" i="15" s="1"/>
  <c r="H3730" i="15"/>
  <c r="A3730" i="15" s="1"/>
  <c r="H3731" i="15"/>
  <c r="A3731" i="15" s="1"/>
  <c r="H3732" i="15"/>
  <c r="A3732" i="15" s="1"/>
  <c r="H3733" i="15"/>
  <c r="A3733" i="15" s="1"/>
  <c r="H3734" i="15"/>
  <c r="A3734" i="15" s="1"/>
  <c r="H3735" i="15"/>
  <c r="A3735" i="15" s="1"/>
  <c r="H3736" i="15"/>
  <c r="A3736" i="15" s="1"/>
  <c r="H3737" i="15"/>
  <c r="A3737" i="15" s="1"/>
  <c r="H3738" i="15"/>
  <c r="A3738" i="15" s="1"/>
  <c r="H3739" i="15"/>
  <c r="A3739" i="15" s="1"/>
  <c r="H3740" i="15"/>
  <c r="A3740" i="15" s="1"/>
  <c r="H3741" i="15"/>
  <c r="A3741" i="15" s="1"/>
  <c r="H3742" i="15"/>
  <c r="A3742" i="15" s="1"/>
  <c r="H3743" i="15"/>
  <c r="A3743" i="15" s="1"/>
  <c r="H3744" i="15"/>
  <c r="A3744" i="15" s="1"/>
  <c r="H3745" i="15"/>
  <c r="A3745" i="15" s="1"/>
  <c r="H3746" i="15"/>
  <c r="A3746" i="15" s="1"/>
  <c r="H3747" i="15"/>
  <c r="A3747" i="15" s="1"/>
  <c r="H3748" i="15"/>
  <c r="A3748" i="15" s="1"/>
  <c r="H3749" i="15"/>
  <c r="A3749" i="15" s="1"/>
  <c r="H3750" i="15"/>
  <c r="A3750" i="15" s="1"/>
  <c r="H3751" i="15"/>
  <c r="A3751" i="15" s="1"/>
  <c r="H3752" i="15"/>
  <c r="A3752" i="15" s="1"/>
  <c r="H3753" i="15"/>
  <c r="A3753" i="15" s="1"/>
  <c r="H3754" i="15"/>
  <c r="A3754" i="15" s="1"/>
  <c r="H3755" i="15"/>
  <c r="A3755" i="15" s="1"/>
  <c r="H3756" i="15"/>
  <c r="A3756" i="15" s="1"/>
  <c r="H3757" i="15"/>
  <c r="A3757" i="15" s="1"/>
  <c r="H3758" i="15"/>
  <c r="A3758" i="15" s="1"/>
  <c r="H3759" i="15"/>
  <c r="A3759" i="15" s="1"/>
  <c r="H3760" i="15"/>
  <c r="A3760" i="15" s="1"/>
  <c r="H3761" i="15"/>
  <c r="A3761" i="15" s="1"/>
  <c r="H3762" i="15"/>
  <c r="A3762" i="15" s="1"/>
  <c r="H3763" i="15"/>
  <c r="A3763" i="15" s="1"/>
  <c r="H3764" i="15"/>
  <c r="A3764" i="15" s="1"/>
  <c r="H3765" i="15"/>
  <c r="A3765" i="15" s="1"/>
  <c r="H3766" i="15"/>
  <c r="A3766" i="15" s="1"/>
  <c r="H3767" i="15"/>
  <c r="A3767" i="15" s="1"/>
  <c r="H3768" i="15"/>
  <c r="A3768" i="15" s="1"/>
  <c r="H3769" i="15"/>
  <c r="A3769" i="15" s="1"/>
  <c r="H3770" i="15"/>
  <c r="A3770" i="15" s="1"/>
  <c r="H3771" i="15"/>
  <c r="A3771" i="15" s="1"/>
  <c r="H3772" i="15"/>
  <c r="A3772" i="15" s="1"/>
  <c r="H3773" i="15"/>
  <c r="A3773" i="15" s="1"/>
  <c r="H3774" i="15"/>
  <c r="A3774" i="15" s="1"/>
  <c r="H3775" i="15"/>
  <c r="A3775" i="15" s="1"/>
  <c r="H3776" i="15"/>
  <c r="A3776" i="15" s="1"/>
  <c r="H3777" i="15"/>
  <c r="A3777" i="15" s="1"/>
  <c r="H3778" i="15"/>
  <c r="A3778" i="15" s="1"/>
  <c r="H3779" i="15"/>
  <c r="A3779" i="15" s="1"/>
  <c r="H3780" i="15"/>
  <c r="A3780" i="15" s="1"/>
  <c r="H3781" i="15"/>
  <c r="A3781" i="15" s="1"/>
  <c r="H3782" i="15"/>
  <c r="A3782" i="15" s="1"/>
  <c r="H3783" i="15"/>
  <c r="A3783" i="15" s="1"/>
  <c r="H3784" i="15"/>
  <c r="A3784" i="15" s="1"/>
  <c r="H3785" i="15"/>
  <c r="A3785" i="15" s="1"/>
  <c r="H3786" i="15"/>
  <c r="A3786" i="15" s="1"/>
  <c r="H3787" i="15"/>
  <c r="A3787" i="15" s="1"/>
  <c r="H3788" i="15"/>
  <c r="A3788" i="15" s="1"/>
  <c r="H3789" i="15"/>
  <c r="A3789" i="15" s="1"/>
  <c r="H3790" i="15"/>
  <c r="A3790" i="15" s="1"/>
  <c r="H3791" i="15"/>
  <c r="A3791" i="15" s="1"/>
  <c r="H3792" i="15"/>
  <c r="A3792" i="15" s="1"/>
  <c r="H3793" i="15"/>
  <c r="A3793" i="15" s="1"/>
  <c r="H3794" i="15"/>
  <c r="A3794" i="15" s="1"/>
  <c r="H3795" i="15"/>
  <c r="A3795" i="15" s="1"/>
  <c r="H3796" i="15"/>
  <c r="A3796" i="15" s="1"/>
  <c r="H3797" i="15"/>
  <c r="A3797" i="15" s="1"/>
  <c r="H3798" i="15"/>
  <c r="A3798" i="15" s="1"/>
  <c r="H3799" i="15"/>
  <c r="A3799" i="15" s="1"/>
  <c r="H3800" i="15"/>
  <c r="A3800" i="15" s="1"/>
  <c r="H3801" i="15"/>
  <c r="A3801" i="15" s="1"/>
  <c r="H3802" i="15"/>
  <c r="A3802" i="15" s="1"/>
  <c r="H3803" i="15"/>
  <c r="A3803" i="15" s="1"/>
  <c r="H3804" i="15"/>
  <c r="A3804" i="15" s="1"/>
  <c r="H3805" i="15"/>
  <c r="A3805" i="15" s="1"/>
  <c r="H3806" i="15"/>
  <c r="A3806" i="15" s="1"/>
  <c r="H3807" i="15"/>
  <c r="A3807" i="15" s="1"/>
  <c r="H3808" i="15"/>
  <c r="A3808" i="15" s="1"/>
  <c r="H3809" i="15"/>
  <c r="A3809" i="15" s="1"/>
  <c r="H3810" i="15"/>
  <c r="A3810" i="15" s="1"/>
  <c r="H3811" i="15"/>
  <c r="A3811" i="15" s="1"/>
  <c r="H3812" i="15"/>
  <c r="A3812" i="15" s="1"/>
  <c r="H3813" i="15"/>
  <c r="A3813" i="15" s="1"/>
  <c r="H3814" i="15"/>
  <c r="A3814" i="15" s="1"/>
  <c r="H3815" i="15"/>
  <c r="A3815" i="15" s="1"/>
  <c r="H3816" i="15"/>
  <c r="A3816" i="15" s="1"/>
  <c r="H3817" i="15"/>
  <c r="A3817" i="15" s="1"/>
  <c r="H3818" i="15"/>
  <c r="A3818" i="15" s="1"/>
  <c r="H3819" i="15"/>
  <c r="A3819" i="15" s="1"/>
  <c r="H3820" i="15"/>
  <c r="A3820" i="15" s="1"/>
  <c r="H3821" i="15"/>
  <c r="A3821" i="15" s="1"/>
  <c r="H3822" i="15"/>
  <c r="A3822" i="15" s="1"/>
  <c r="H3823" i="15"/>
  <c r="A3823" i="15" s="1"/>
  <c r="H3824" i="15"/>
  <c r="A3824" i="15" s="1"/>
  <c r="H3825" i="15"/>
  <c r="A3825" i="15" s="1"/>
  <c r="H3826" i="15"/>
  <c r="A3826" i="15" s="1"/>
  <c r="H3827" i="15"/>
  <c r="A3827" i="15" s="1"/>
  <c r="H3828" i="15"/>
  <c r="A3828" i="15" s="1"/>
  <c r="H3829" i="15"/>
  <c r="A3829" i="15" s="1"/>
  <c r="H3830" i="15"/>
  <c r="A3830" i="15" s="1"/>
  <c r="H3831" i="15"/>
  <c r="A3831" i="15" s="1"/>
  <c r="H3832" i="15"/>
  <c r="A3832" i="15" s="1"/>
  <c r="H3833" i="15"/>
  <c r="A3833" i="15" s="1"/>
  <c r="H3834" i="15"/>
  <c r="A3834" i="15" s="1"/>
  <c r="H3835" i="15"/>
  <c r="A3835" i="15" s="1"/>
  <c r="H3836" i="15"/>
  <c r="A3836" i="15" s="1"/>
  <c r="H3837" i="15"/>
  <c r="A3837" i="15" s="1"/>
  <c r="H3838" i="15"/>
  <c r="A3838" i="15" s="1"/>
  <c r="H3839" i="15"/>
  <c r="A3839" i="15" s="1"/>
  <c r="H3840" i="15"/>
  <c r="A3840" i="15" s="1"/>
  <c r="H3841" i="15"/>
  <c r="A3841" i="15" s="1"/>
  <c r="H3842" i="15"/>
  <c r="A3842" i="15" s="1"/>
  <c r="H3843" i="15"/>
  <c r="A3843" i="15" s="1"/>
  <c r="H3844" i="15"/>
  <c r="A3844" i="15" s="1"/>
  <c r="H3845" i="15"/>
  <c r="A3845" i="15" s="1"/>
  <c r="H3846" i="15"/>
  <c r="A3846" i="15" s="1"/>
  <c r="H3847" i="15"/>
  <c r="A3847" i="15" s="1"/>
  <c r="H3848" i="15"/>
  <c r="A3848" i="15" s="1"/>
  <c r="H3849" i="15"/>
  <c r="A3849" i="15" s="1"/>
  <c r="H3850" i="15"/>
  <c r="A3850" i="15" s="1"/>
  <c r="H3851" i="15"/>
  <c r="A3851" i="15" s="1"/>
  <c r="H3852" i="15"/>
  <c r="A3852" i="15" s="1"/>
  <c r="H3853" i="15"/>
  <c r="A3853" i="15" s="1"/>
  <c r="H3854" i="15"/>
  <c r="A3854" i="15" s="1"/>
  <c r="H3855" i="15"/>
  <c r="A3855" i="15" s="1"/>
  <c r="H3856" i="15"/>
  <c r="A3856" i="15" s="1"/>
  <c r="H3857" i="15"/>
  <c r="A3857" i="15" s="1"/>
  <c r="H3858" i="15"/>
  <c r="A3858" i="15" s="1"/>
  <c r="H3859" i="15"/>
  <c r="A3859" i="15" s="1"/>
  <c r="H3860" i="15"/>
  <c r="A3860" i="15" s="1"/>
  <c r="H3861" i="15"/>
  <c r="A3861" i="15" s="1"/>
  <c r="H3862" i="15"/>
  <c r="A3862" i="15" s="1"/>
  <c r="H3863" i="15"/>
  <c r="A3863" i="15" s="1"/>
  <c r="H3864" i="15"/>
  <c r="A3864" i="15" s="1"/>
  <c r="H3865" i="15"/>
  <c r="A3865" i="15" s="1"/>
  <c r="H3866" i="15"/>
  <c r="A3866" i="15" s="1"/>
  <c r="H3867" i="15"/>
  <c r="A3867" i="15" s="1"/>
  <c r="H3868" i="15"/>
  <c r="A3868" i="15" s="1"/>
  <c r="H3869" i="15"/>
  <c r="A3869" i="15" s="1"/>
  <c r="H3870" i="15"/>
  <c r="A3870" i="15" s="1"/>
  <c r="H3871" i="15"/>
  <c r="A3871" i="15" s="1"/>
  <c r="H3872" i="15"/>
  <c r="A3872" i="15" s="1"/>
  <c r="H3873" i="15"/>
  <c r="A3873" i="15" s="1"/>
  <c r="H3874" i="15"/>
  <c r="A3874" i="15" s="1"/>
  <c r="H3875" i="15"/>
  <c r="A3875" i="15" s="1"/>
  <c r="H3876" i="15"/>
  <c r="A3876" i="15" s="1"/>
  <c r="H3877" i="15"/>
  <c r="A3877" i="15" s="1"/>
  <c r="H3878" i="15"/>
  <c r="A3878" i="15" s="1"/>
  <c r="H3879" i="15"/>
  <c r="A3879" i="15" s="1"/>
  <c r="H3880" i="15"/>
  <c r="A3880" i="15" s="1"/>
  <c r="H3881" i="15"/>
  <c r="A3881" i="15" s="1"/>
  <c r="H3882" i="15"/>
  <c r="A3882" i="15" s="1"/>
  <c r="H3883" i="15"/>
  <c r="A3883" i="15" s="1"/>
  <c r="H3884" i="15"/>
  <c r="A3884" i="15" s="1"/>
  <c r="H3885" i="15"/>
  <c r="A3885" i="15" s="1"/>
  <c r="H3886" i="15"/>
  <c r="A3886" i="15" s="1"/>
  <c r="H3887" i="15"/>
  <c r="A3887" i="15" s="1"/>
  <c r="H3888" i="15"/>
  <c r="A3888" i="15" s="1"/>
  <c r="H3889" i="15"/>
  <c r="A3889" i="15" s="1"/>
  <c r="H3890" i="15"/>
  <c r="A3890" i="15" s="1"/>
  <c r="H3891" i="15"/>
  <c r="A3891" i="15" s="1"/>
  <c r="H3892" i="15"/>
  <c r="A3892" i="15" s="1"/>
  <c r="H3893" i="15"/>
  <c r="A3893" i="15" s="1"/>
  <c r="H3894" i="15"/>
  <c r="A3894" i="15" s="1"/>
  <c r="H3895" i="15"/>
  <c r="A3895" i="15" s="1"/>
  <c r="H3896" i="15"/>
  <c r="A3896" i="15" s="1"/>
  <c r="H3897" i="15"/>
  <c r="A3897" i="15" s="1"/>
  <c r="H3898" i="15"/>
  <c r="A3898" i="15" s="1"/>
  <c r="H3899" i="15"/>
  <c r="A3899" i="15" s="1"/>
  <c r="H3900" i="15"/>
  <c r="A3900" i="15" s="1"/>
  <c r="H3901" i="15"/>
  <c r="A3901" i="15" s="1"/>
  <c r="H3902" i="15"/>
  <c r="A3902" i="15" s="1"/>
  <c r="H3903" i="15"/>
  <c r="A3903" i="15" s="1"/>
  <c r="H3904" i="15"/>
  <c r="A3904" i="15" s="1"/>
  <c r="H3905" i="15"/>
  <c r="A3905" i="15" s="1"/>
  <c r="H3906" i="15"/>
  <c r="A3906" i="15" s="1"/>
  <c r="H3907" i="15"/>
  <c r="A3907" i="15" s="1"/>
  <c r="H3908" i="15"/>
  <c r="A3908" i="15" s="1"/>
  <c r="H3909" i="15"/>
  <c r="A3909" i="15" s="1"/>
  <c r="H3910" i="15"/>
  <c r="A3910" i="15" s="1"/>
  <c r="H3911" i="15"/>
  <c r="A3911" i="15" s="1"/>
  <c r="H3912" i="15"/>
  <c r="A3912" i="15" s="1"/>
  <c r="H3913" i="15"/>
  <c r="A3913" i="15" s="1"/>
  <c r="H3914" i="15"/>
  <c r="A3914" i="15" s="1"/>
  <c r="H3915" i="15"/>
  <c r="A3915" i="15" s="1"/>
  <c r="H3916" i="15"/>
  <c r="A3916" i="15" s="1"/>
  <c r="H3917" i="15"/>
  <c r="A3917" i="15" s="1"/>
  <c r="H3918" i="15"/>
  <c r="A3918" i="15" s="1"/>
  <c r="H3919" i="15"/>
  <c r="A3919" i="15" s="1"/>
  <c r="H3920" i="15"/>
  <c r="A3920" i="15" s="1"/>
  <c r="H3921" i="15"/>
  <c r="A3921" i="15" s="1"/>
  <c r="H3922" i="15"/>
  <c r="A3922" i="15" s="1"/>
  <c r="H3923" i="15"/>
  <c r="A3923" i="15" s="1"/>
  <c r="H3924" i="15"/>
  <c r="A3924" i="15" s="1"/>
  <c r="H3925" i="15"/>
  <c r="A3925" i="15" s="1"/>
  <c r="H3926" i="15"/>
  <c r="A3926" i="15" s="1"/>
  <c r="H3927" i="15"/>
  <c r="A3927" i="15" s="1"/>
  <c r="H3928" i="15"/>
  <c r="A3928" i="15" s="1"/>
  <c r="H3929" i="15"/>
  <c r="A3929" i="15" s="1"/>
  <c r="H3930" i="15"/>
  <c r="A3930" i="15" s="1"/>
  <c r="H3931" i="15"/>
  <c r="A3931" i="15" s="1"/>
  <c r="H3932" i="15"/>
  <c r="A3932" i="15" s="1"/>
  <c r="H3933" i="15"/>
  <c r="A3933" i="15" s="1"/>
  <c r="H3934" i="15"/>
  <c r="A3934" i="15" s="1"/>
  <c r="H3935" i="15"/>
  <c r="A3935" i="15" s="1"/>
  <c r="H3936" i="15"/>
  <c r="A3936" i="15" s="1"/>
  <c r="H3937" i="15"/>
  <c r="A3937" i="15" s="1"/>
  <c r="H3938" i="15"/>
  <c r="A3938" i="15" s="1"/>
  <c r="H3939" i="15"/>
  <c r="A3939" i="15" s="1"/>
  <c r="H3940" i="15"/>
  <c r="A3940" i="15" s="1"/>
  <c r="H3941" i="15"/>
  <c r="A3941" i="15" s="1"/>
  <c r="H3942" i="15"/>
  <c r="A3942" i="15" s="1"/>
  <c r="H3943" i="15"/>
  <c r="A3943" i="15" s="1"/>
  <c r="H3944" i="15"/>
  <c r="A3944" i="15" s="1"/>
  <c r="H3945" i="15"/>
  <c r="A3945" i="15" s="1"/>
  <c r="H3946" i="15"/>
  <c r="A3946" i="15" s="1"/>
  <c r="H3947" i="15"/>
  <c r="A3947" i="15" s="1"/>
  <c r="H3948" i="15"/>
  <c r="A3948" i="15" s="1"/>
  <c r="H3949" i="15"/>
  <c r="A3949" i="15" s="1"/>
  <c r="H3950" i="15"/>
  <c r="A3950" i="15" s="1"/>
  <c r="H3951" i="15"/>
  <c r="A3951" i="15" s="1"/>
  <c r="H3952" i="15"/>
  <c r="A3952" i="15" s="1"/>
  <c r="H3953" i="15"/>
  <c r="A3953" i="15" s="1"/>
  <c r="H3954" i="15"/>
  <c r="A3954" i="15" s="1"/>
  <c r="H3955" i="15"/>
  <c r="A3955" i="15" s="1"/>
  <c r="H3956" i="15"/>
  <c r="A3956" i="15" s="1"/>
  <c r="H3957" i="15"/>
  <c r="A3957" i="15" s="1"/>
  <c r="H3958" i="15"/>
  <c r="A3958" i="15" s="1"/>
  <c r="H3959" i="15"/>
  <c r="A3959" i="15" s="1"/>
  <c r="H3960" i="15"/>
  <c r="A3960" i="15" s="1"/>
  <c r="H3961" i="15"/>
  <c r="A3961" i="15" s="1"/>
  <c r="H3962" i="15"/>
  <c r="A3962" i="15" s="1"/>
  <c r="H3963" i="15"/>
  <c r="A3963" i="15" s="1"/>
  <c r="H3964" i="15"/>
  <c r="A3964" i="15" s="1"/>
  <c r="H3965" i="15"/>
  <c r="A3965" i="15" s="1"/>
  <c r="H3966" i="15"/>
  <c r="A3966" i="15" s="1"/>
  <c r="H3967" i="15"/>
  <c r="A3967" i="15" s="1"/>
  <c r="H3968" i="15"/>
  <c r="A3968" i="15" s="1"/>
  <c r="H3969" i="15"/>
  <c r="A3969" i="15" s="1"/>
  <c r="H3970" i="15"/>
  <c r="A3970" i="15" s="1"/>
  <c r="H3971" i="15"/>
  <c r="A3971" i="15" s="1"/>
  <c r="H3972" i="15"/>
  <c r="A3972" i="15" s="1"/>
  <c r="H3973" i="15"/>
  <c r="A3973" i="15" s="1"/>
  <c r="H3974" i="15"/>
  <c r="A3974" i="15" s="1"/>
  <c r="H3975" i="15"/>
  <c r="A3975" i="15" s="1"/>
  <c r="H3976" i="15"/>
  <c r="A3976" i="15" s="1"/>
  <c r="H3977" i="15"/>
  <c r="A3977" i="15" s="1"/>
  <c r="H3978" i="15"/>
  <c r="A3978" i="15" s="1"/>
  <c r="H3979" i="15"/>
  <c r="A3979" i="15" s="1"/>
  <c r="H3980" i="15"/>
  <c r="A3980" i="15" s="1"/>
  <c r="H3981" i="15"/>
  <c r="A3981" i="15" s="1"/>
  <c r="H3982" i="15"/>
  <c r="A3982" i="15" s="1"/>
  <c r="H3983" i="15"/>
  <c r="A3983" i="15" s="1"/>
  <c r="H3984" i="15"/>
  <c r="A3984" i="15" s="1"/>
  <c r="H3985" i="15"/>
  <c r="A3985" i="15" s="1"/>
  <c r="H3986" i="15"/>
  <c r="A3986" i="15" s="1"/>
  <c r="H3987" i="15"/>
  <c r="A3987" i="15" s="1"/>
  <c r="H3988" i="15"/>
  <c r="A3988" i="15" s="1"/>
  <c r="H3989" i="15"/>
  <c r="A3989" i="15" s="1"/>
  <c r="H3990" i="15"/>
  <c r="A3990" i="15" s="1"/>
  <c r="H3991" i="15"/>
  <c r="A3991" i="15" s="1"/>
  <c r="H3992" i="15"/>
  <c r="A3992" i="15" s="1"/>
  <c r="H3993" i="15"/>
  <c r="A3993" i="15" s="1"/>
  <c r="H3994" i="15"/>
  <c r="A3994" i="15" s="1"/>
  <c r="H3995" i="15"/>
  <c r="A3995" i="15" s="1"/>
  <c r="H3996" i="15"/>
  <c r="A3996" i="15" s="1"/>
  <c r="H3997" i="15"/>
  <c r="A3997" i="15" s="1"/>
  <c r="H3998" i="15"/>
  <c r="A3998" i="15" s="1"/>
  <c r="H3999" i="15"/>
  <c r="A3999" i="15" s="1"/>
  <c r="H4000" i="15"/>
  <c r="A4000" i="15" s="1"/>
  <c r="H4001" i="15"/>
  <c r="A4001" i="15" s="1"/>
  <c r="H4002" i="15"/>
  <c r="A4002" i="15" s="1"/>
  <c r="H4003" i="15"/>
  <c r="A4003" i="15" s="1"/>
  <c r="H4004" i="15"/>
  <c r="A4004" i="15" s="1"/>
  <c r="H4005" i="15"/>
  <c r="A4005" i="15" s="1"/>
  <c r="H4006" i="15"/>
  <c r="A4006" i="15" s="1"/>
  <c r="H4007" i="15"/>
  <c r="A4007" i="15" s="1"/>
  <c r="H4008" i="15"/>
  <c r="A4008" i="15" s="1"/>
  <c r="H4009" i="15"/>
  <c r="A4009" i="15" s="1"/>
  <c r="H4010" i="15"/>
  <c r="A4010" i="15" s="1"/>
  <c r="H4011" i="15"/>
  <c r="A4011" i="15" s="1"/>
  <c r="H4012" i="15"/>
  <c r="A4012" i="15" s="1"/>
  <c r="H4013" i="15"/>
  <c r="A4013" i="15" s="1"/>
  <c r="H4014" i="15"/>
  <c r="A4014" i="15" s="1"/>
  <c r="H4015" i="15"/>
  <c r="A4015" i="15" s="1"/>
  <c r="H4016" i="15"/>
  <c r="A4016" i="15" s="1"/>
  <c r="H4017" i="15"/>
  <c r="A4017" i="15" s="1"/>
  <c r="H4018" i="15"/>
  <c r="A4018" i="15" s="1"/>
  <c r="H4019" i="15"/>
  <c r="A4019" i="15" s="1"/>
  <c r="H4020" i="15"/>
  <c r="A4020" i="15" s="1"/>
  <c r="H4021" i="15"/>
  <c r="A4021" i="15" s="1"/>
  <c r="H4022" i="15"/>
  <c r="A4022" i="15" s="1"/>
  <c r="H4023" i="15"/>
  <c r="A4023" i="15" s="1"/>
  <c r="H4024" i="15"/>
  <c r="A4024" i="15" s="1"/>
  <c r="H4025" i="15"/>
  <c r="A4025" i="15" s="1"/>
  <c r="H4026" i="15"/>
  <c r="A4026" i="15" s="1"/>
  <c r="H4027" i="15"/>
  <c r="A4027" i="15" s="1"/>
  <c r="H4028" i="15"/>
  <c r="A4028" i="15" s="1"/>
  <c r="H4029" i="15"/>
  <c r="A4029" i="15" s="1"/>
  <c r="H4030" i="15"/>
  <c r="A4030" i="15" s="1"/>
  <c r="H4031" i="15"/>
  <c r="A4031" i="15" s="1"/>
  <c r="H4032" i="15"/>
  <c r="A4032" i="15" s="1"/>
  <c r="H4033" i="15"/>
  <c r="A4033" i="15" s="1"/>
  <c r="H4034" i="15"/>
  <c r="A4034" i="15" s="1"/>
  <c r="H4035" i="15"/>
  <c r="A4035" i="15" s="1"/>
  <c r="H4036" i="15"/>
  <c r="A4036" i="15" s="1"/>
  <c r="H4037" i="15"/>
  <c r="A4037" i="15" s="1"/>
  <c r="H4038" i="15"/>
  <c r="A4038" i="15" s="1"/>
  <c r="H4039" i="15"/>
  <c r="A4039" i="15" s="1"/>
  <c r="H4040" i="15"/>
  <c r="A4040" i="15" s="1"/>
  <c r="H4041" i="15"/>
  <c r="A4041" i="15" s="1"/>
  <c r="H4042" i="15"/>
  <c r="A4042" i="15" s="1"/>
  <c r="H4043" i="15"/>
  <c r="A4043" i="15" s="1"/>
  <c r="H4044" i="15"/>
  <c r="A4044" i="15" s="1"/>
  <c r="H4045" i="15"/>
  <c r="A4045" i="15" s="1"/>
  <c r="H4046" i="15"/>
  <c r="A4046" i="15" s="1"/>
  <c r="H4047" i="15"/>
  <c r="A4047" i="15" s="1"/>
  <c r="H4048" i="15"/>
  <c r="A4048" i="15" s="1"/>
  <c r="H4049" i="15"/>
  <c r="A4049" i="15" s="1"/>
  <c r="H4050" i="15"/>
  <c r="A4050" i="15" s="1"/>
  <c r="H4051" i="15"/>
  <c r="A4051" i="15" s="1"/>
  <c r="H4052" i="15"/>
  <c r="A4052" i="15" s="1"/>
  <c r="H4053" i="15"/>
  <c r="A4053" i="15" s="1"/>
  <c r="H4054" i="15"/>
  <c r="A4054" i="15" s="1"/>
  <c r="H4055" i="15"/>
  <c r="A4055" i="15" s="1"/>
  <c r="H4056" i="15"/>
  <c r="A4056" i="15" s="1"/>
  <c r="H4057" i="15"/>
  <c r="A4057" i="15" s="1"/>
  <c r="H4058" i="15"/>
  <c r="A4058" i="15" s="1"/>
  <c r="H4059" i="15"/>
  <c r="A4059" i="15" s="1"/>
  <c r="H4060" i="15"/>
  <c r="A4060" i="15" s="1"/>
  <c r="H4061" i="15"/>
  <c r="A4061" i="15" s="1"/>
  <c r="H4062" i="15"/>
  <c r="A4062" i="15" s="1"/>
  <c r="H4063" i="15"/>
  <c r="A4063" i="15" s="1"/>
  <c r="H4064" i="15"/>
  <c r="A4064" i="15" s="1"/>
  <c r="H4065" i="15"/>
  <c r="A4065" i="15" s="1"/>
  <c r="H4066" i="15"/>
  <c r="A4066" i="15" s="1"/>
  <c r="H4067" i="15"/>
  <c r="A4067" i="15" s="1"/>
  <c r="H4068" i="15"/>
  <c r="A4068" i="15" s="1"/>
  <c r="H4069" i="15"/>
  <c r="A4069" i="15" s="1"/>
  <c r="H4070" i="15"/>
  <c r="A4070" i="15" s="1"/>
  <c r="H4071" i="15"/>
  <c r="A4071" i="15" s="1"/>
  <c r="H4072" i="15"/>
  <c r="A4072" i="15" s="1"/>
  <c r="H4073" i="15"/>
  <c r="A4073" i="15" s="1"/>
  <c r="H4074" i="15"/>
  <c r="A4074" i="15" s="1"/>
  <c r="H4075" i="15"/>
  <c r="A4075" i="15" s="1"/>
  <c r="H4076" i="15"/>
  <c r="A4076" i="15" s="1"/>
  <c r="H4077" i="15"/>
  <c r="A4077" i="15" s="1"/>
  <c r="H4078" i="15"/>
  <c r="A4078" i="15" s="1"/>
  <c r="H4079" i="15"/>
  <c r="A4079" i="15" s="1"/>
  <c r="H4080" i="15"/>
  <c r="A4080" i="15" s="1"/>
  <c r="H4081" i="15"/>
  <c r="A4081" i="15" s="1"/>
  <c r="H4082" i="15"/>
  <c r="A4082" i="15" s="1"/>
  <c r="H4083" i="15"/>
  <c r="A4083" i="15" s="1"/>
  <c r="H4084" i="15"/>
  <c r="A4084" i="15" s="1"/>
  <c r="H4085" i="15"/>
  <c r="A4085" i="15" s="1"/>
  <c r="H4086" i="15"/>
  <c r="A4086" i="15" s="1"/>
  <c r="H4087" i="15"/>
  <c r="A4087" i="15" s="1"/>
  <c r="H4088" i="15"/>
  <c r="A4088" i="15" s="1"/>
  <c r="H4089" i="15"/>
  <c r="A4089" i="15" s="1"/>
  <c r="H4090" i="15"/>
  <c r="A4090" i="15" s="1"/>
  <c r="H4091" i="15"/>
  <c r="A4091" i="15" s="1"/>
  <c r="H4092" i="15"/>
  <c r="A4092" i="15" s="1"/>
  <c r="H4093" i="15"/>
  <c r="A4093" i="15" s="1"/>
  <c r="H4094" i="15"/>
  <c r="A4094" i="15" s="1"/>
  <c r="H4095" i="15"/>
  <c r="A4095" i="15" s="1"/>
  <c r="H4096" i="15"/>
  <c r="A4096" i="15" s="1"/>
  <c r="H4097" i="15"/>
  <c r="A4097" i="15" s="1"/>
  <c r="H4098" i="15"/>
  <c r="A4098" i="15" s="1"/>
  <c r="H4099" i="15"/>
  <c r="A4099" i="15" s="1"/>
  <c r="H4100" i="15"/>
  <c r="A4100" i="15" s="1"/>
  <c r="H4101" i="15"/>
  <c r="A4101" i="15" s="1"/>
  <c r="H4102" i="15"/>
  <c r="A4102" i="15" s="1"/>
  <c r="H4103" i="15"/>
  <c r="A4103" i="15" s="1"/>
  <c r="H4104" i="15"/>
  <c r="A4104" i="15" s="1"/>
  <c r="H4105" i="15"/>
  <c r="A4105" i="15" s="1"/>
  <c r="H4106" i="15"/>
  <c r="A4106" i="15" s="1"/>
  <c r="H4107" i="15"/>
  <c r="A4107" i="15" s="1"/>
  <c r="H4108" i="15"/>
  <c r="A4108" i="15" s="1"/>
  <c r="H4109" i="15"/>
  <c r="A4109" i="15" s="1"/>
  <c r="H4110" i="15"/>
  <c r="A4110" i="15" s="1"/>
  <c r="H4111" i="15"/>
  <c r="A4111" i="15" s="1"/>
  <c r="H4112" i="15"/>
  <c r="A4112" i="15" s="1"/>
  <c r="H4113" i="15"/>
  <c r="A4113" i="15" s="1"/>
  <c r="H4114" i="15"/>
  <c r="A4114" i="15" s="1"/>
  <c r="H4115" i="15"/>
  <c r="A4115" i="15" s="1"/>
  <c r="H4116" i="15"/>
  <c r="A4116" i="15" s="1"/>
  <c r="H4117" i="15"/>
  <c r="A4117" i="15" s="1"/>
  <c r="H4118" i="15"/>
  <c r="A4118" i="15" s="1"/>
  <c r="H4119" i="15"/>
  <c r="A4119" i="15" s="1"/>
  <c r="H4120" i="15"/>
  <c r="A4120" i="15" s="1"/>
  <c r="H4121" i="15"/>
  <c r="A4121" i="15" s="1"/>
  <c r="H4122" i="15"/>
  <c r="A4122" i="15" s="1"/>
  <c r="H4123" i="15"/>
  <c r="A4123" i="15" s="1"/>
  <c r="H4124" i="15"/>
  <c r="A4124" i="15" s="1"/>
  <c r="H4125" i="15"/>
  <c r="A4125" i="15" s="1"/>
  <c r="H4126" i="15"/>
  <c r="A4126" i="15" s="1"/>
  <c r="H4127" i="15"/>
  <c r="A4127" i="15" s="1"/>
  <c r="H4128" i="15"/>
  <c r="A4128" i="15" s="1"/>
  <c r="H4129" i="15"/>
  <c r="A4129" i="15" s="1"/>
  <c r="H4130" i="15"/>
  <c r="A4130" i="15" s="1"/>
  <c r="H4131" i="15"/>
  <c r="A4131" i="15" s="1"/>
  <c r="H4132" i="15"/>
  <c r="A4132" i="15" s="1"/>
  <c r="H4133" i="15"/>
  <c r="A4133" i="15" s="1"/>
  <c r="H4134" i="15"/>
  <c r="A4134" i="15" s="1"/>
  <c r="H4135" i="15"/>
  <c r="A4135" i="15" s="1"/>
  <c r="H4136" i="15"/>
  <c r="A4136" i="15" s="1"/>
  <c r="H4137" i="15"/>
  <c r="A4137" i="15" s="1"/>
  <c r="H4138" i="15"/>
  <c r="A4138" i="15" s="1"/>
  <c r="H4139" i="15"/>
  <c r="A4139" i="15" s="1"/>
  <c r="H4140" i="15"/>
  <c r="A4140" i="15" s="1"/>
  <c r="H4141" i="15"/>
  <c r="A4141" i="15" s="1"/>
  <c r="H4142" i="15"/>
  <c r="A4142" i="15" s="1"/>
  <c r="H4143" i="15"/>
  <c r="A4143" i="15" s="1"/>
  <c r="H4144" i="15"/>
  <c r="A4144" i="15" s="1"/>
  <c r="H4145" i="15"/>
  <c r="A4145" i="15" s="1"/>
  <c r="H4146" i="15"/>
  <c r="A4146" i="15" s="1"/>
  <c r="H4147" i="15"/>
  <c r="A4147" i="15" s="1"/>
  <c r="H4148" i="15"/>
  <c r="A4148" i="15" s="1"/>
  <c r="H4149" i="15"/>
  <c r="A4149" i="15" s="1"/>
  <c r="H4150" i="15"/>
  <c r="A4150" i="15" s="1"/>
  <c r="H4151" i="15"/>
  <c r="A4151" i="15" s="1"/>
  <c r="H4152" i="15"/>
  <c r="A4152" i="15" s="1"/>
  <c r="H4153" i="15"/>
  <c r="A4153" i="15" s="1"/>
  <c r="H4154" i="15"/>
  <c r="A4154" i="15" s="1"/>
  <c r="H4155" i="15"/>
  <c r="A4155" i="15" s="1"/>
  <c r="H4156" i="15"/>
  <c r="A4156" i="15" s="1"/>
  <c r="H4157" i="15"/>
  <c r="A4157" i="15" s="1"/>
  <c r="H4158" i="15"/>
  <c r="A4158" i="15" s="1"/>
  <c r="H4159" i="15"/>
  <c r="A4159" i="15" s="1"/>
  <c r="H4160" i="15"/>
  <c r="A4160" i="15" s="1"/>
  <c r="H4161" i="15"/>
  <c r="A4161" i="15" s="1"/>
  <c r="H4162" i="15"/>
  <c r="A4162" i="15" s="1"/>
  <c r="H4163" i="15"/>
  <c r="A4163" i="15" s="1"/>
  <c r="H4164" i="15"/>
  <c r="A4164" i="15" s="1"/>
  <c r="H4165" i="15"/>
  <c r="A4165" i="15" s="1"/>
  <c r="H4166" i="15"/>
  <c r="A4166" i="15" s="1"/>
  <c r="H4167" i="15"/>
  <c r="A4167" i="15" s="1"/>
  <c r="H4168" i="15"/>
  <c r="A4168" i="15" s="1"/>
  <c r="H4169" i="15"/>
  <c r="A4169" i="15" s="1"/>
  <c r="H4170" i="15"/>
  <c r="A4170" i="15" s="1"/>
  <c r="H4171" i="15"/>
  <c r="A4171" i="15" s="1"/>
  <c r="H4172" i="15"/>
  <c r="A4172" i="15" s="1"/>
  <c r="H4173" i="15"/>
  <c r="A4173" i="15" s="1"/>
  <c r="H4174" i="15"/>
  <c r="A4174" i="15" s="1"/>
  <c r="H4175" i="15"/>
  <c r="A4175" i="15" s="1"/>
  <c r="H4176" i="15"/>
  <c r="A4176" i="15" s="1"/>
  <c r="H4177" i="15"/>
  <c r="A4177" i="15" s="1"/>
  <c r="H4178" i="15"/>
  <c r="A4178" i="15" s="1"/>
  <c r="H4179" i="15"/>
  <c r="A4179" i="15" s="1"/>
  <c r="H4180" i="15"/>
  <c r="A4180" i="15" s="1"/>
  <c r="H4181" i="15"/>
  <c r="A4181" i="15" s="1"/>
  <c r="H4182" i="15"/>
  <c r="A4182" i="15" s="1"/>
  <c r="H4183" i="15"/>
  <c r="A4183" i="15" s="1"/>
  <c r="H4184" i="15"/>
  <c r="A4184" i="15" s="1"/>
  <c r="H4185" i="15"/>
  <c r="A4185" i="15" s="1"/>
  <c r="H4186" i="15"/>
  <c r="A4186" i="15" s="1"/>
  <c r="H4187" i="15"/>
  <c r="A4187" i="15" s="1"/>
  <c r="H4188" i="15"/>
  <c r="A4188" i="15" s="1"/>
  <c r="H4189" i="15"/>
  <c r="A4189" i="15" s="1"/>
  <c r="H4190" i="15"/>
  <c r="A4190" i="15" s="1"/>
  <c r="H4191" i="15"/>
  <c r="A4191" i="15" s="1"/>
  <c r="H4192" i="15"/>
  <c r="A4192" i="15" s="1"/>
  <c r="H4193" i="15"/>
  <c r="A4193" i="15" s="1"/>
  <c r="H4194" i="15"/>
  <c r="A4194" i="15" s="1"/>
  <c r="H4195" i="15"/>
  <c r="A4195" i="15" s="1"/>
  <c r="H4196" i="15"/>
  <c r="A4196" i="15" s="1"/>
  <c r="H4197" i="15"/>
  <c r="A4197" i="15" s="1"/>
  <c r="H4198" i="15"/>
  <c r="A4198" i="15" s="1"/>
  <c r="H4199" i="15"/>
  <c r="A4199" i="15" s="1"/>
  <c r="H4200" i="15"/>
  <c r="A4200" i="15" s="1"/>
  <c r="H4201" i="15"/>
  <c r="A4201" i="15" s="1"/>
  <c r="H4202" i="15"/>
  <c r="A4202" i="15" s="1"/>
  <c r="H4203" i="15"/>
  <c r="A4203" i="15" s="1"/>
  <c r="H4204" i="15"/>
  <c r="A4204" i="15" s="1"/>
  <c r="H4205" i="15"/>
  <c r="A4205" i="15" s="1"/>
  <c r="H4206" i="15"/>
  <c r="A4206" i="15" s="1"/>
  <c r="H4207" i="15"/>
  <c r="A4207" i="15" s="1"/>
  <c r="H4208" i="15"/>
  <c r="A4208" i="15" s="1"/>
  <c r="H4209" i="15"/>
  <c r="A4209" i="15" s="1"/>
  <c r="H4210" i="15"/>
  <c r="A4210" i="15" s="1"/>
  <c r="H4211" i="15"/>
  <c r="A4211" i="15" s="1"/>
  <c r="H4212" i="15"/>
  <c r="A4212" i="15" s="1"/>
  <c r="H4213" i="15"/>
  <c r="A4213" i="15" s="1"/>
  <c r="H4214" i="15"/>
  <c r="A4214" i="15" s="1"/>
  <c r="H4215" i="15"/>
  <c r="A4215" i="15" s="1"/>
  <c r="H4216" i="15"/>
  <c r="A4216" i="15" s="1"/>
  <c r="H4217" i="15"/>
  <c r="A4217" i="15" s="1"/>
  <c r="H4218" i="15"/>
  <c r="A4218" i="15" s="1"/>
  <c r="H4219" i="15"/>
  <c r="A4219" i="15" s="1"/>
  <c r="H4220" i="15"/>
  <c r="A4220" i="15" s="1"/>
  <c r="H4221" i="15"/>
  <c r="A4221" i="15" s="1"/>
  <c r="H4222" i="15"/>
  <c r="A4222" i="15" s="1"/>
  <c r="H4223" i="15"/>
  <c r="A4223" i="15" s="1"/>
  <c r="H4224" i="15"/>
  <c r="A4224" i="15" s="1"/>
  <c r="H4225" i="15"/>
  <c r="A4225" i="15" s="1"/>
  <c r="H4226" i="15"/>
  <c r="A4226" i="15" s="1"/>
  <c r="H4227" i="15"/>
  <c r="A4227" i="15" s="1"/>
  <c r="H4228" i="15"/>
  <c r="A4228" i="15" s="1"/>
  <c r="H4229" i="15"/>
  <c r="A4229" i="15" s="1"/>
  <c r="H4230" i="15"/>
  <c r="A4230" i="15" s="1"/>
  <c r="H4231" i="15"/>
  <c r="A4231" i="15" s="1"/>
  <c r="H4232" i="15"/>
  <c r="A4232" i="15" s="1"/>
  <c r="H4233" i="15"/>
  <c r="A4233" i="15" s="1"/>
  <c r="H4234" i="15"/>
  <c r="A4234" i="15" s="1"/>
  <c r="H4235" i="15"/>
  <c r="A4235" i="15" s="1"/>
  <c r="H4236" i="15"/>
  <c r="A4236" i="15" s="1"/>
  <c r="H4237" i="15"/>
  <c r="A4237" i="15" s="1"/>
  <c r="H4238" i="15"/>
  <c r="A4238" i="15" s="1"/>
  <c r="H4239" i="15"/>
  <c r="A4239" i="15" s="1"/>
  <c r="H4240" i="15"/>
  <c r="A4240" i="15" s="1"/>
  <c r="H4241" i="15"/>
  <c r="A4241" i="15" s="1"/>
  <c r="H4242" i="15"/>
  <c r="A4242" i="15" s="1"/>
  <c r="H4243" i="15"/>
  <c r="A4243" i="15" s="1"/>
  <c r="H4244" i="15"/>
  <c r="A4244" i="15" s="1"/>
  <c r="H4245" i="15"/>
  <c r="A4245" i="15" s="1"/>
  <c r="H4246" i="15"/>
  <c r="A4246" i="15" s="1"/>
  <c r="H4247" i="15"/>
  <c r="A4247" i="15" s="1"/>
  <c r="H4248" i="15"/>
  <c r="A4248" i="15" s="1"/>
  <c r="H4249" i="15"/>
  <c r="A4249" i="15" s="1"/>
  <c r="H4250" i="15"/>
  <c r="A4250" i="15" s="1"/>
  <c r="H4251" i="15"/>
  <c r="A4251" i="15" s="1"/>
  <c r="H4252" i="15"/>
  <c r="A4252" i="15" s="1"/>
  <c r="H4253" i="15"/>
  <c r="A4253" i="15" s="1"/>
  <c r="H4254" i="15"/>
  <c r="A4254" i="15" s="1"/>
  <c r="H4255" i="15"/>
  <c r="A4255" i="15" s="1"/>
  <c r="H4256" i="15"/>
  <c r="A4256" i="15" s="1"/>
  <c r="H4257" i="15"/>
  <c r="A4257" i="15" s="1"/>
  <c r="H4258" i="15"/>
  <c r="A4258" i="15" s="1"/>
  <c r="H4259" i="15"/>
  <c r="A4259" i="15" s="1"/>
  <c r="H4260" i="15"/>
  <c r="A4260" i="15" s="1"/>
  <c r="H4261" i="15"/>
  <c r="A4261" i="15" s="1"/>
  <c r="H4262" i="15"/>
  <c r="A4262" i="15" s="1"/>
  <c r="H4263" i="15"/>
  <c r="A4263" i="15" s="1"/>
  <c r="H4264" i="15"/>
  <c r="A4264" i="15" s="1"/>
  <c r="H4265" i="15"/>
  <c r="A4265" i="15" s="1"/>
  <c r="H4266" i="15"/>
  <c r="A4266" i="15" s="1"/>
  <c r="H4267" i="15"/>
  <c r="A4267" i="15" s="1"/>
  <c r="H4268" i="15"/>
  <c r="A4268" i="15" s="1"/>
  <c r="H4269" i="15"/>
  <c r="A4269" i="15" s="1"/>
  <c r="H4270" i="15"/>
  <c r="A4270" i="15" s="1"/>
  <c r="H4271" i="15"/>
  <c r="A4271" i="15" s="1"/>
  <c r="H4272" i="15"/>
  <c r="A4272" i="15" s="1"/>
  <c r="H4273" i="15"/>
  <c r="A4273" i="15" s="1"/>
  <c r="H4274" i="15"/>
  <c r="A4274" i="15" s="1"/>
  <c r="H4275" i="15"/>
  <c r="A4275" i="15" s="1"/>
  <c r="H4276" i="15"/>
  <c r="A4276" i="15" s="1"/>
  <c r="H4277" i="15"/>
  <c r="A4277" i="15" s="1"/>
  <c r="H4278" i="15"/>
  <c r="A4278" i="15" s="1"/>
  <c r="H4279" i="15"/>
  <c r="A4279" i="15" s="1"/>
  <c r="H4280" i="15"/>
  <c r="A4280" i="15" s="1"/>
  <c r="H4281" i="15"/>
  <c r="A4281" i="15" s="1"/>
  <c r="H4282" i="15"/>
  <c r="A4282" i="15" s="1"/>
  <c r="H4283" i="15"/>
  <c r="A4283" i="15" s="1"/>
  <c r="H4284" i="15"/>
  <c r="A4284" i="15" s="1"/>
  <c r="H4285" i="15"/>
  <c r="A4285" i="15" s="1"/>
  <c r="H4286" i="15"/>
  <c r="A4286" i="15" s="1"/>
  <c r="H4287" i="15"/>
  <c r="A4287" i="15" s="1"/>
  <c r="H4288" i="15"/>
  <c r="A4288" i="15" s="1"/>
  <c r="H4289" i="15"/>
  <c r="A4289" i="15" s="1"/>
  <c r="H4290" i="15"/>
  <c r="A4290" i="15" s="1"/>
  <c r="H4291" i="15"/>
  <c r="A4291" i="15" s="1"/>
  <c r="H4292" i="15"/>
  <c r="A4292" i="15" s="1"/>
  <c r="H4293" i="15"/>
  <c r="A4293" i="15" s="1"/>
  <c r="H4294" i="15"/>
  <c r="A4294" i="15" s="1"/>
  <c r="H4295" i="15"/>
  <c r="A4295" i="15" s="1"/>
  <c r="H4296" i="15"/>
  <c r="A4296" i="15" s="1"/>
  <c r="H4297" i="15"/>
  <c r="A4297" i="15" s="1"/>
  <c r="H4298" i="15"/>
  <c r="A4298" i="15" s="1"/>
  <c r="H4299" i="15"/>
  <c r="A4299" i="15" s="1"/>
  <c r="H4300" i="15"/>
  <c r="A4300" i="15" s="1"/>
  <c r="H4301" i="15"/>
  <c r="A4301" i="15" s="1"/>
  <c r="H4302" i="15"/>
  <c r="A4302" i="15" s="1"/>
  <c r="H4303" i="15"/>
  <c r="A4303" i="15" s="1"/>
  <c r="H4304" i="15"/>
  <c r="A4304" i="15" s="1"/>
  <c r="H4305" i="15"/>
  <c r="A4305" i="15" s="1"/>
  <c r="H4306" i="15"/>
  <c r="A4306" i="15" s="1"/>
  <c r="H4307" i="15"/>
  <c r="A4307" i="15" s="1"/>
  <c r="H4308" i="15"/>
  <c r="A4308" i="15" s="1"/>
  <c r="H4309" i="15"/>
  <c r="A4309" i="15" s="1"/>
  <c r="H4310" i="15"/>
  <c r="A4310" i="15" s="1"/>
  <c r="H4311" i="15"/>
  <c r="A4311" i="15" s="1"/>
  <c r="H4312" i="15"/>
  <c r="A4312" i="15" s="1"/>
  <c r="H4313" i="15"/>
  <c r="A4313" i="15" s="1"/>
  <c r="H4314" i="15"/>
  <c r="A4314" i="15" s="1"/>
  <c r="H4315" i="15"/>
  <c r="A4315" i="15" s="1"/>
  <c r="H4316" i="15"/>
  <c r="A4316" i="15" s="1"/>
  <c r="H4317" i="15"/>
  <c r="A4317" i="15" s="1"/>
  <c r="H4318" i="15"/>
  <c r="A4318" i="15" s="1"/>
  <c r="H4319" i="15"/>
  <c r="A4319" i="15" s="1"/>
  <c r="H4320" i="15"/>
  <c r="A4320" i="15" s="1"/>
  <c r="H4321" i="15"/>
  <c r="A4321" i="15" s="1"/>
  <c r="H4322" i="15"/>
  <c r="A4322" i="15" s="1"/>
  <c r="H4323" i="15"/>
  <c r="A4323" i="15" s="1"/>
  <c r="H4324" i="15"/>
  <c r="A4324" i="15" s="1"/>
  <c r="H4325" i="15"/>
  <c r="A4325" i="15" s="1"/>
  <c r="H4326" i="15"/>
  <c r="A4326" i="15" s="1"/>
  <c r="H4327" i="15"/>
  <c r="A4327" i="15" s="1"/>
  <c r="H4328" i="15"/>
  <c r="A4328" i="15" s="1"/>
  <c r="H4329" i="15"/>
  <c r="A4329" i="15" s="1"/>
  <c r="H4330" i="15"/>
  <c r="A4330" i="15" s="1"/>
  <c r="H4331" i="15"/>
  <c r="A4331" i="15" s="1"/>
  <c r="H4332" i="15"/>
  <c r="A4332" i="15" s="1"/>
  <c r="H4333" i="15"/>
  <c r="A4333" i="15" s="1"/>
  <c r="H4334" i="15"/>
  <c r="A4334" i="15" s="1"/>
  <c r="H4335" i="15"/>
  <c r="A4335" i="15" s="1"/>
  <c r="H4336" i="15"/>
  <c r="A4336" i="15" s="1"/>
  <c r="H4337" i="15"/>
  <c r="A4337" i="15" s="1"/>
  <c r="H4338" i="15"/>
  <c r="A4338" i="15" s="1"/>
  <c r="H4339" i="15"/>
  <c r="A4339" i="15" s="1"/>
  <c r="H4340" i="15"/>
  <c r="A4340" i="15" s="1"/>
  <c r="H4341" i="15"/>
  <c r="A4341" i="15" s="1"/>
  <c r="H4342" i="15"/>
  <c r="A4342" i="15" s="1"/>
  <c r="H4343" i="15"/>
  <c r="A4343" i="15" s="1"/>
  <c r="H4344" i="15"/>
  <c r="A4344" i="15" s="1"/>
  <c r="H4345" i="15"/>
  <c r="A4345" i="15" s="1"/>
  <c r="H4346" i="15"/>
  <c r="A4346" i="15" s="1"/>
  <c r="H4347" i="15"/>
  <c r="A4347" i="15" s="1"/>
  <c r="H4348" i="15"/>
  <c r="A4348" i="15" s="1"/>
  <c r="H4349" i="15"/>
  <c r="A4349" i="15" s="1"/>
  <c r="H4350" i="15"/>
  <c r="A4350" i="15" s="1"/>
  <c r="H4351" i="15"/>
  <c r="A4351" i="15" s="1"/>
  <c r="H4352" i="15"/>
  <c r="A4352" i="15" s="1"/>
  <c r="H4353" i="15"/>
  <c r="A4353" i="15" s="1"/>
  <c r="H4354" i="15"/>
  <c r="A4354" i="15" s="1"/>
  <c r="H4355" i="15"/>
  <c r="A4355" i="15" s="1"/>
  <c r="H4356" i="15"/>
  <c r="A4356" i="15" s="1"/>
  <c r="H4357" i="15"/>
  <c r="A4357" i="15" s="1"/>
  <c r="H4358" i="15"/>
  <c r="A4358" i="15" s="1"/>
  <c r="H4359" i="15"/>
  <c r="A4359" i="15" s="1"/>
  <c r="H4360" i="15"/>
  <c r="A4360" i="15" s="1"/>
  <c r="H4361" i="15"/>
  <c r="A4361" i="15" s="1"/>
  <c r="H4362" i="15"/>
  <c r="A4362" i="15" s="1"/>
  <c r="H4363" i="15"/>
  <c r="A4363" i="15" s="1"/>
  <c r="H4364" i="15"/>
  <c r="A4364" i="15" s="1"/>
  <c r="H4365" i="15"/>
  <c r="A4365" i="15" s="1"/>
  <c r="H4366" i="15"/>
  <c r="A4366" i="15" s="1"/>
  <c r="H4367" i="15"/>
  <c r="A4367" i="15" s="1"/>
  <c r="H4368" i="15"/>
  <c r="A4368" i="15" s="1"/>
  <c r="H4369" i="15"/>
  <c r="A4369" i="15" s="1"/>
  <c r="H4370" i="15"/>
  <c r="A4370" i="15" s="1"/>
  <c r="H4371" i="15"/>
  <c r="A4371" i="15" s="1"/>
  <c r="H4372" i="15"/>
  <c r="A4372" i="15" s="1"/>
  <c r="H4373" i="15"/>
  <c r="A4373" i="15" s="1"/>
  <c r="H4374" i="15"/>
  <c r="A4374" i="15" s="1"/>
  <c r="H4375" i="15"/>
  <c r="A4375" i="15" s="1"/>
  <c r="H4376" i="15"/>
  <c r="A4376" i="15" s="1"/>
  <c r="H4377" i="15"/>
  <c r="A4377" i="15" s="1"/>
  <c r="H4378" i="15"/>
  <c r="A4378" i="15" s="1"/>
  <c r="H4379" i="15"/>
  <c r="A4379" i="15" s="1"/>
  <c r="H4380" i="15"/>
  <c r="A4380" i="15" s="1"/>
  <c r="H4381" i="15"/>
  <c r="A4381" i="15" s="1"/>
  <c r="H4382" i="15"/>
  <c r="A4382" i="15" s="1"/>
  <c r="H4383" i="15"/>
  <c r="A4383" i="15" s="1"/>
  <c r="H4384" i="15"/>
  <c r="A4384" i="15" s="1"/>
  <c r="H4385" i="15"/>
  <c r="A4385" i="15" s="1"/>
  <c r="H4386" i="15"/>
  <c r="A4386" i="15" s="1"/>
  <c r="H4387" i="15"/>
  <c r="A4387" i="15" s="1"/>
  <c r="H4388" i="15"/>
  <c r="A4388" i="15" s="1"/>
  <c r="H4389" i="15"/>
  <c r="A4389" i="15" s="1"/>
  <c r="H4390" i="15"/>
  <c r="A4390" i="15" s="1"/>
  <c r="H4391" i="15"/>
  <c r="A4391" i="15" s="1"/>
  <c r="H4392" i="15"/>
  <c r="A4392" i="15" s="1"/>
  <c r="H4393" i="15"/>
  <c r="A4393" i="15" s="1"/>
  <c r="H4394" i="15"/>
  <c r="A4394" i="15" s="1"/>
  <c r="H4395" i="15"/>
  <c r="A4395" i="15" s="1"/>
  <c r="H4396" i="15"/>
  <c r="A4396" i="15" s="1"/>
  <c r="H4397" i="15"/>
  <c r="A4397" i="15" s="1"/>
  <c r="H4398" i="15"/>
  <c r="A4398" i="15" s="1"/>
  <c r="H4399" i="15"/>
  <c r="A4399" i="15" s="1"/>
  <c r="H4400" i="15"/>
  <c r="A4400" i="15" s="1"/>
  <c r="H4401" i="15"/>
  <c r="A4401" i="15" s="1"/>
  <c r="H4402" i="15"/>
  <c r="A4402" i="15" s="1"/>
  <c r="H4403" i="15"/>
  <c r="A4403" i="15" s="1"/>
  <c r="H4404" i="15"/>
  <c r="A4404" i="15" s="1"/>
  <c r="H4405" i="15"/>
  <c r="A4405" i="15" s="1"/>
  <c r="H4406" i="15"/>
  <c r="A4406" i="15" s="1"/>
  <c r="H4407" i="15"/>
  <c r="A4407" i="15" s="1"/>
  <c r="H4408" i="15"/>
  <c r="A4408" i="15" s="1"/>
  <c r="H4409" i="15"/>
  <c r="A4409" i="15" s="1"/>
  <c r="H4410" i="15"/>
  <c r="A4410" i="15" s="1"/>
  <c r="H4411" i="15"/>
  <c r="A4411" i="15" s="1"/>
  <c r="H4412" i="15"/>
  <c r="A4412" i="15" s="1"/>
  <c r="H4413" i="15"/>
  <c r="A4413" i="15" s="1"/>
  <c r="H4414" i="15"/>
  <c r="A4414" i="15" s="1"/>
  <c r="H4415" i="15"/>
  <c r="A4415" i="15" s="1"/>
  <c r="H4416" i="15"/>
  <c r="A4416" i="15" s="1"/>
  <c r="H4417" i="15"/>
  <c r="A4417" i="15" s="1"/>
  <c r="H4418" i="15"/>
  <c r="A4418" i="15" s="1"/>
  <c r="H4419" i="15"/>
  <c r="A4419" i="15" s="1"/>
  <c r="H4420" i="15"/>
  <c r="A4420" i="15" s="1"/>
  <c r="H4421" i="15"/>
  <c r="A4421" i="15" s="1"/>
  <c r="H4422" i="15"/>
  <c r="A4422" i="15" s="1"/>
  <c r="H4423" i="15"/>
  <c r="A4423" i="15" s="1"/>
  <c r="H4424" i="15"/>
  <c r="A4424" i="15" s="1"/>
  <c r="H4425" i="15"/>
  <c r="A4425" i="15" s="1"/>
  <c r="H4426" i="15"/>
  <c r="A4426" i="15" s="1"/>
  <c r="H4427" i="15"/>
  <c r="A4427" i="15" s="1"/>
  <c r="H4428" i="15"/>
  <c r="A4428" i="15" s="1"/>
  <c r="H4429" i="15"/>
  <c r="A4429" i="15" s="1"/>
  <c r="H4430" i="15"/>
  <c r="A4430" i="15" s="1"/>
  <c r="H4431" i="15"/>
  <c r="A4431" i="15" s="1"/>
  <c r="H4432" i="15"/>
  <c r="A4432" i="15" s="1"/>
  <c r="H4433" i="15"/>
  <c r="A4433" i="15" s="1"/>
  <c r="H4434" i="15"/>
  <c r="A4434" i="15" s="1"/>
  <c r="H4435" i="15"/>
  <c r="A4435" i="15" s="1"/>
  <c r="H4436" i="15"/>
  <c r="A4436" i="15" s="1"/>
  <c r="H4437" i="15"/>
  <c r="A4437" i="15" s="1"/>
  <c r="H4438" i="15"/>
  <c r="A4438" i="15" s="1"/>
  <c r="H4439" i="15"/>
  <c r="A4439" i="15" s="1"/>
  <c r="H4440" i="15"/>
  <c r="A4440" i="15" s="1"/>
  <c r="H4441" i="15"/>
  <c r="A4441" i="15" s="1"/>
  <c r="H4442" i="15"/>
  <c r="A4442" i="15" s="1"/>
  <c r="H4443" i="15"/>
  <c r="A4443" i="15" s="1"/>
  <c r="H4444" i="15"/>
  <c r="A4444" i="15" s="1"/>
  <c r="H4445" i="15"/>
  <c r="A4445" i="15" s="1"/>
  <c r="H4446" i="15"/>
  <c r="A4446" i="15" s="1"/>
  <c r="H4447" i="15"/>
  <c r="A4447" i="15" s="1"/>
  <c r="H4448" i="15"/>
  <c r="A4448" i="15" s="1"/>
  <c r="H4449" i="15"/>
  <c r="A4449" i="15" s="1"/>
  <c r="H4450" i="15"/>
  <c r="A4450" i="15" s="1"/>
  <c r="H4451" i="15"/>
  <c r="A4451" i="15" s="1"/>
  <c r="H4452" i="15"/>
  <c r="A4452" i="15" s="1"/>
  <c r="H4453" i="15"/>
  <c r="A4453" i="15" s="1"/>
  <c r="H4454" i="15"/>
  <c r="A4454" i="15" s="1"/>
  <c r="H4455" i="15"/>
  <c r="A4455" i="15" s="1"/>
  <c r="H4456" i="15"/>
  <c r="A4456" i="15" s="1"/>
  <c r="H4457" i="15"/>
  <c r="A4457" i="15" s="1"/>
  <c r="H4458" i="15"/>
  <c r="A4458" i="15" s="1"/>
  <c r="H4459" i="15"/>
  <c r="A4459" i="15" s="1"/>
  <c r="H4460" i="15"/>
  <c r="A4460" i="15" s="1"/>
  <c r="H4461" i="15"/>
  <c r="A4461" i="15" s="1"/>
  <c r="H4462" i="15"/>
  <c r="A4462" i="15" s="1"/>
  <c r="H4463" i="15"/>
  <c r="A4463" i="15" s="1"/>
  <c r="H4464" i="15"/>
  <c r="A4464" i="15" s="1"/>
  <c r="H4465" i="15"/>
  <c r="A4465" i="15" s="1"/>
  <c r="H4466" i="15"/>
  <c r="A4466" i="15" s="1"/>
  <c r="H4467" i="15"/>
  <c r="A4467" i="15" s="1"/>
  <c r="H4468" i="15"/>
  <c r="A4468" i="15" s="1"/>
  <c r="H4469" i="15"/>
  <c r="A4469" i="15" s="1"/>
  <c r="H4470" i="15"/>
  <c r="A4470" i="15" s="1"/>
  <c r="H4471" i="15"/>
  <c r="A4471" i="15" s="1"/>
  <c r="H4472" i="15"/>
  <c r="A4472" i="15" s="1"/>
  <c r="H4473" i="15"/>
  <c r="A4473" i="15" s="1"/>
  <c r="H4474" i="15"/>
  <c r="A4474" i="15" s="1"/>
  <c r="H4475" i="15"/>
  <c r="A4475" i="15" s="1"/>
  <c r="H4476" i="15"/>
  <c r="A4476" i="15" s="1"/>
  <c r="H4477" i="15"/>
  <c r="A4477" i="15" s="1"/>
  <c r="H4478" i="15"/>
  <c r="A4478" i="15" s="1"/>
  <c r="H4479" i="15"/>
  <c r="A4479" i="15" s="1"/>
  <c r="H4480" i="15"/>
  <c r="A4480" i="15" s="1"/>
  <c r="H4481" i="15"/>
  <c r="A4481" i="15" s="1"/>
  <c r="H4482" i="15"/>
  <c r="A4482" i="15" s="1"/>
  <c r="H4483" i="15"/>
  <c r="A4483" i="15" s="1"/>
  <c r="H4484" i="15"/>
  <c r="A4484" i="15" s="1"/>
  <c r="H4485" i="15"/>
  <c r="A4485" i="15" s="1"/>
  <c r="H4486" i="15"/>
  <c r="A4486" i="15" s="1"/>
  <c r="H4487" i="15"/>
  <c r="A4487" i="15" s="1"/>
  <c r="H4488" i="15"/>
  <c r="A4488" i="15" s="1"/>
  <c r="H4489" i="15"/>
  <c r="A4489" i="15" s="1"/>
  <c r="H4490" i="15"/>
  <c r="A4490" i="15" s="1"/>
  <c r="H4491" i="15"/>
  <c r="A4491" i="15" s="1"/>
  <c r="H4492" i="15"/>
  <c r="A4492" i="15" s="1"/>
  <c r="H4493" i="15"/>
  <c r="A4493" i="15" s="1"/>
  <c r="H4494" i="15"/>
  <c r="A4494" i="15" s="1"/>
  <c r="H4495" i="15"/>
  <c r="A4495" i="15" s="1"/>
  <c r="H4496" i="15"/>
  <c r="A4496" i="15" s="1"/>
  <c r="H4497" i="15"/>
  <c r="A4497" i="15" s="1"/>
  <c r="H4498" i="15"/>
  <c r="A4498" i="15" s="1"/>
  <c r="H4499" i="15"/>
  <c r="A4499" i="15" s="1"/>
  <c r="H4500" i="15"/>
  <c r="A4500" i="15" s="1"/>
  <c r="H4501" i="15"/>
  <c r="A4501" i="15" s="1"/>
  <c r="H4502" i="15"/>
  <c r="A4502" i="15" s="1"/>
  <c r="H4503" i="15"/>
  <c r="A4503" i="15" s="1"/>
  <c r="H4504" i="15"/>
  <c r="A4504" i="15" s="1"/>
  <c r="H4505" i="15"/>
  <c r="A4505" i="15" s="1"/>
  <c r="H4506" i="15"/>
  <c r="A4506" i="15" s="1"/>
  <c r="H4507" i="15"/>
  <c r="A4507" i="15" s="1"/>
  <c r="H4508" i="15"/>
  <c r="A4508" i="15" s="1"/>
  <c r="H4509" i="15"/>
  <c r="A4509" i="15" s="1"/>
  <c r="H4510" i="15"/>
  <c r="A4510" i="15" s="1"/>
  <c r="H4511" i="15"/>
  <c r="A4511" i="15" s="1"/>
  <c r="H4512" i="15"/>
  <c r="A4512" i="15" s="1"/>
  <c r="H4513" i="15"/>
  <c r="A4513" i="15" s="1"/>
  <c r="H4514" i="15"/>
  <c r="A4514" i="15" s="1"/>
  <c r="H4515" i="15"/>
  <c r="A4515" i="15" s="1"/>
  <c r="H4516" i="15"/>
  <c r="A4516" i="15" s="1"/>
  <c r="H4517" i="15"/>
  <c r="A4517" i="15" s="1"/>
  <c r="H4518" i="15"/>
  <c r="A4518" i="15" s="1"/>
  <c r="H4519" i="15"/>
  <c r="A4519" i="15" s="1"/>
  <c r="H4520" i="15"/>
  <c r="A4520" i="15" s="1"/>
  <c r="H4521" i="15"/>
  <c r="A4521" i="15" s="1"/>
  <c r="H4522" i="15"/>
  <c r="A4522" i="15" s="1"/>
  <c r="H4523" i="15"/>
  <c r="A4523" i="15" s="1"/>
  <c r="H4524" i="15"/>
  <c r="A4524" i="15" s="1"/>
  <c r="H4525" i="15"/>
  <c r="A4525" i="15" s="1"/>
  <c r="H4526" i="15"/>
  <c r="A4526" i="15" s="1"/>
  <c r="H4527" i="15"/>
  <c r="A4527" i="15" s="1"/>
  <c r="H4528" i="15"/>
  <c r="A4528" i="15" s="1"/>
  <c r="H4529" i="15"/>
  <c r="A4529" i="15" s="1"/>
  <c r="H4530" i="15"/>
  <c r="A4530" i="15" s="1"/>
  <c r="H4531" i="15"/>
  <c r="A4531" i="15" s="1"/>
  <c r="H4532" i="15"/>
  <c r="A4532" i="15" s="1"/>
  <c r="H4533" i="15"/>
  <c r="A4533" i="15" s="1"/>
  <c r="H4534" i="15"/>
  <c r="A4534" i="15" s="1"/>
  <c r="H4535" i="15"/>
  <c r="A4535" i="15" s="1"/>
  <c r="H4536" i="15"/>
  <c r="A4536" i="15" s="1"/>
  <c r="H4537" i="15"/>
  <c r="A4537" i="15" s="1"/>
  <c r="H4538" i="15"/>
  <c r="A4538" i="15" s="1"/>
  <c r="H4539" i="15"/>
  <c r="A4539" i="15" s="1"/>
  <c r="H4540" i="15"/>
  <c r="A4540" i="15" s="1"/>
  <c r="H4541" i="15"/>
  <c r="A4541" i="15" s="1"/>
  <c r="H4542" i="15"/>
  <c r="A4542" i="15" s="1"/>
  <c r="H4543" i="15"/>
  <c r="A4543" i="15" s="1"/>
  <c r="H4544" i="15"/>
  <c r="A4544" i="15" s="1"/>
  <c r="H4545" i="15"/>
  <c r="A4545" i="15" s="1"/>
  <c r="H4546" i="15"/>
  <c r="A4546" i="15" s="1"/>
  <c r="H4547" i="15"/>
  <c r="A4547" i="15" s="1"/>
  <c r="H4548" i="15"/>
  <c r="A4548" i="15" s="1"/>
  <c r="H4549" i="15"/>
  <c r="A4549" i="15" s="1"/>
  <c r="H4550" i="15"/>
  <c r="A4550" i="15" s="1"/>
  <c r="H4551" i="15"/>
  <c r="A4551" i="15" s="1"/>
  <c r="H4552" i="15"/>
  <c r="A4552" i="15" s="1"/>
  <c r="H4553" i="15"/>
  <c r="A4553" i="15" s="1"/>
  <c r="H4554" i="15"/>
  <c r="A4554" i="15" s="1"/>
  <c r="H4555" i="15"/>
  <c r="A4555" i="15" s="1"/>
  <c r="H4556" i="15"/>
  <c r="A4556" i="15" s="1"/>
  <c r="H4557" i="15"/>
  <c r="A4557" i="15" s="1"/>
  <c r="H4558" i="15"/>
  <c r="A4558" i="15" s="1"/>
  <c r="H4559" i="15"/>
  <c r="A4559" i="15" s="1"/>
  <c r="H4560" i="15"/>
  <c r="A4560" i="15" s="1"/>
  <c r="H4561" i="15"/>
  <c r="A4561" i="15" s="1"/>
  <c r="H4562" i="15"/>
  <c r="A4562" i="15" s="1"/>
  <c r="H4563" i="15"/>
  <c r="A4563" i="15" s="1"/>
  <c r="H4564" i="15"/>
  <c r="A4564" i="15" s="1"/>
  <c r="H4565" i="15"/>
  <c r="A4565" i="15" s="1"/>
  <c r="H4566" i="15"/>
  <c r="A4566" i="15" s="1"/>
  <c r="H4567" i="15"/>
  <c r="A4567" i="15" s="1"/>
  <c r="H4568" i="15"/>
  <c r="A4568" i="15" s="1"/>
  <c r="H4569" i="15"/>
  <c r="A4569" i="15" s="1"/>
  <c r="H4570" i="15"/>
  <c r="A4570" i="15" s="1"/>
  <c r="H4571" i="15"/>
  <c r="A4571" i="15" s="1"/>
  <c r="H4572" i="15"/>
  <c r="A4572" i="15" s="1"/>
  <c r="H4573" i="15"/>
  <c r="A4573" i="15" s="1"/>
  <c r="H4574" i="15"/>
  <c r="A4574" i="15" s="1"/>
  <c r="H4575" i="15"/>
  <c r="A4575" i="15" s="1"/>
  <c r="H4576" i="15"/>
  <c r="A4576" i="15" s="1"/>
  <c r="H4577" i="15"/>
  <c r="A4577" i="15" s="1"/>
  <c r="H4578" i="15"/>
  <c r="A4578" i="15" s="1"/>
  <c r="H4579" i="15"/>
  <c r="A4579" i="15" s="1"/>
  <c r="H4580" i="15"/>
  <c r="A4580" i="15" s="1"/>
  <c r="H4581" i="15"/>
  <c r="A4581" i="15" s="1"/>
  <c r="H4582" i="15"/>
  <c r="A4582" i="15" s="1"/>
  <c r="H4583" i="15"/>
  <c r="A4583" i="15" s="1"/>
  <c r="H4584" i="15"/>
  <c r="A4584" i="15" s="1"/>
  <c r="H4585" i="15"/>
  <c r="A4585" i="15" s="1"/>
  <c r="H4586" i="15"/>
  <c r="A4586" i="15" s="1"/>
  <c r="H4587" i="15"/>
  <c r="A4587" i="15" s="1"/>
  <c r="H4588" i="15"/>
  <c r="A4588" i="15" s="1"/>
  <c r="H4589" i="15"/>
  <c r="A4589" i="15" s="1"/>
  <c r="H4590" i="15"/>
  <c r="A4590" i="15" s="1"/>
  <c r="H4591" i="15"/>
  <c r="A4591" i="15" s="1"/>
  <c r="H4592" i="15"/>
  <c r="A4592" i="15" s="1"/>
  <c r="H4593" i="15"/>
  <c r="A4593" i="15" s="1"/>
  <c r="H4594" i="15"/>
  <c r="A4594" i="15" s="1"/>
  <c r="H4595" i="15"/>
  <c r="A4595" i="15" s="1"/>
  <c r="H4596" i="15"/>
  <c r="A4596" i="15" s="1"/>
  <c r="H4597" i="15"/>
  <c r="A4597" i="15" s="1"/>
  <c r="H4598" i="15"/>
  <c r="A4598" i="15" s="1"/>
  <c r="H4599" i="15"/>
  <c r="A4599" i="15" s="1"/>
  <c r="H4600" i="15"/>
  <c r="A4600" i="15" s="1"/>
  <c r="H4601" i="15"/>
  <c r="A4601" i="15" s="1"/>
  <c r="H4602" i="15"/>
  <c r="A4602" i="15" s="1"/>
  <c r="H4603" i="15"/>
  <c r="A4603" i="15" s="1"/>
  <c r="H4604" i="15"/>
  <c r="A4604" i="15" s="1"/>
  <c r="H4605" i="15"/>
  <c r="A4605" i="15" s="1"/>
  <c r="H4606" i="15"/>
  <c r="A4606" i="15" s="1"/>
  <c r="H4607" i="15"/>
  <c r="A4607" i="15" s="1"/>
  <c r="H4608" i="15"/>
  <c r="A4608" i="15" s="1"/>
  <c r="H4609" i="15"/>
  <c r="A4609" i="15" s="1"/>
  <c r="H4610" i="15"/>
  <c r="A4610" i="15" s="1"/>
  <c r="H4611" i="15"/>
  <c r="A4611" i="15" s="1"/>
  <c r="H4612" i="15"/>
  <c r="A4612" i="15" s="1"/>
  <c r="H4613" i="15"/>
  <c r="A4613" i="15" s="1"/>
  <c r="H4614" i="15"/>
  <c r="A4614" i="15" s="1"/>
  <c r="H4615" i="15"/>
  <c r="A4615" i="15" s="1"/>
  <c r="H4616" i="15"/>
  <c r="A4616" i="15" s="1"/>
  <c r="H4617" i="15"/>
  <c r="A4617" i="15" s="1"/>
  <c r="H4618" i="15"/>
  <c r="A4618" i="15" s="1"/>
  <c r="H4619" i="15"/>
  <c r="A4619" i="15" s="1"/>
  <c r="H4620" i="15"/>
  <c r="A4620" i="15" s="1"/>
  <c r="H4621" i="15"/>
  <c r="A4621" i="15" s="1"/>
  <c r="H4622" i="15"/>
  <c r="A4622" i="15" s="1"/>
  <c r="H4623" i="15"/>
  <c r="A4623" i="15" s="1"/>
  <c r="H4624" i="15"/>
  <c r="A4624" i="15" s="1"/>
  <c r="H4625" i="15"/>
  <c r="A4625" i="15" s="1"/>
  <c r="H4626" i="15"/>
  <c r="A4626" i="15" s="1"/>
  <c r="H4627" i="15"/>
  <c r="A4627" i="15" s="1"/>
  <c r="H4628" i="15"/>
  <c r="A4628" i="15" s="1"/>
  <c r="H4629" i="15"/>
  <c r="A4629" i="15" s="1"/>
  <c r="H4630" i="15"/>
  <c r="A4630" i="15" s="1"/>
  <c r="H4631" i="15"/>
  <c r="A4631" i="15" s="1"/>
  <c r="H4632" i="15"/>
  <c r="A4632" i="15" s="1"/>
  <c r="H4633" i="15"/>
  <c r="A4633" i="15" s="1"/>
  <c r="H4634" i="15"/>
  <c r="A4634" i="15" s="1"/>
  <c r="H4635" i="15"/>
  <c r="A4635" i="15" s="1"/>
  <c r="H4636" i="15"/>
  <c r="A4636" i="15" s="1"/>
  <c r="H4637" i="15"/>
  <c r="A4637" i="15" s="1"/>
  <c r="H4638" i="15"/>
  <c r="A4638" i="15" s="1"/>
  <c r="H4639" i="15"/>
  <c r="A4639" i="15" s="1"/>
  <c r="H4640" i="15"/>
  <c r="A4640" i="15" s="1"/>
  <c r="H4641" i="15"/>
  <c r="A4641" i="15" s="1"/>
  <c r="H4642" i="15"/>
  <c r="A4642" i="15" s="1"/>
  <c r="H4643" i="15"/>
  <c r="A4643" i="15" s="1"/>
  <c r="H4644" i="15"/>
  <c r="A4644" i="15" s="1"/>
  <c r="H4645" i="15"/>
  <c r="A4645" i="15" s="1"/>
  <c r="H4646" i="15"/>
  <c r="A4646" i="15" s="1"/>
  <c r="H4647" i="15"/>
  <c r="A4647" i="15" s="1"/>
  <c r="H4648" i="15"/>
  <c r="A4648" i="15" s="1"/>
  <c r="H4649" i="15"/>
  <c r="A4649" i="15" s="1"/>
  <c r="H4650" i="15"/>
  <c r="A4650" i="15" s="1"/>
  <c r="H4651" i="15"/>
  <c r="A4651" i="15" s="1"/>
  <c r="H4652" i="15"/>
  <c r="A4652" i="15" s="1"/>
  <c r="H4653" i="15"/>
  <c r="A4653" i="15" s="1"/>
  <c r="H4654" i="15"/>
  <c r="A4654" i="15" s="1"/>
  <c r="H4655" i="15"/>
  <c r="A4655" i="15" s="1"/>
  <c r="H4656" i="15"/>
  <c r="A4656" i="15" s="1"/>
  <c r="H4657" i="15"/>
  <c r="A4657" i="15" s="1"/>
  <c r="H4658" i="15"/>
  <c r="A4658" i="15" s="1"/>
  <c r="H4659" i="15"/>
  <c r="A4659" i="15" s="1"/>
  <c r="H4660" i="15"/>
  <c r="A4660" i="15" s="1"/>
  <c r="H4661" i="15"/>
  <c r="A4661" i="15" s="1"/>
  <c r="H4662" i="15"/>
  <c r="A4662" i="15" s="1"/>
  <c r="H4663" i="15"/>
  <c r="A4663" i="15" s="1"/>
  <c r="H4664" i="15"/>
  <c r="A4664" i="15" s="1"/>
  <c r="H4665" i="15"/>
  <c r="A4665" i="15" s="1"/>
  <c r="H4666" i="15"/>
  <c r="A4666" i="15" s="1"/>
  <c r="H4667" i="15"/>
  <c r="A4667" i="15" s="1"/>
  <c r="H4668" i="15"/>
  <c r="A4668" i="15" s="1"/>
  <c r="H4669" i="15"/>
  <c r="A4669" i="15" s="1"/>
  <c r="H4670" i="15"/>
  <c r="A4670" i="15" s="1"/>
  <c r="H4671" i="15"/>
  <c r="A4671" i="15" s="1"/>
  <c r="H4672" i="15"/>
  <c r="A4672" i="15" s="1"/>
  <c r="H4673" i="15"/>
  <c r="A4673" i="15" s="1"/>
  <c r="H4674" i="15"/>
  <c r="A4674" i="15" s="1"/>
  <c r="H4675" i="15"/>
  <c r="A4675" i="15" s="1"/>
  <c r="H4676" i="15"/>
  <c r="A4676" i="15" s="1"/>
  <c r="H4677" i="15"/>
  <c r="A4677" i="15" s="1"/>
  <c r="H4678" i="15"/>
  <c r="A4678" i="15" s="1"/>
  <c r="H4679" i="15"/>
  <c r="A4679" i="15" s="1"/>
  <c r="H4680" i="15"/>
  <c r="A4680" i="15" s="1"/>
  <c r="H4681" i="15"/>
  <c r="A4681" i="15" s="1"/>
  <c r="H4682" i="15"/>
  <c r="A4682" i="15" s="1"/>
  <c r="H4683" i="15"/>
  <c r="A4683" i="15" s="1"/>
  <c r="H4684" i="15"/>
  <c r="A4684" i="15" s="1"/>
  <c r="H4685" i="15"/>
  <c r="A4685" i="15" s="1"/>
  <c r="H4686" i="15"/>
  <c r="A4686" i="15" s="1"/>
  <c r="H4687" i="15"/>
  <c r="A4687" i="15" s="1"/>
  <c r="H4688" i="15"/>
  <c r="A4688" i="15" s="1"/>
  <c r="H4689" i="15"/>
  <c r="A4689" i="15" s="1"/>
  <c r="H4690" i="15"/>
  <c r="A4690" i="15" s="1"/>
  <c r="H4691" i="15"/>
  <c r="A4691" i="15" s="1"/>
  <c r="H4692" i="15"/>
  <c r="A4692" i="15" s="1"/>
  <c r="H4693" i="15"/>
  <c r="A4693" i="15" s="1"/>
  <c r="H4694" i="15"/>
  <c r="A4694" i="15" s="1"/>
  <c r="H4695" i="15"/>
  <c r="A4695" i="15" s="1"/>
  <c r="H4696" i="15"/>
  <c r="A4696" i="15" s="1"/>
  <c r="H4697" i="15"/>
  <c r="A4697" i="15" s="1"/>
  <c r="H4698" i="15"/>
  <c r="A4698" i="15" s="1"/>
  <c r="H4699" i="15"/>
  <c r="A4699" i="15" s="1"/>
  <c r="H4700" i="15"/>
  <c r="A4700" i="15" s="1"/>
  <c r="H4701" i="15"/>
  <c r="A4701" i="15" s="1"/>
  <c r="H4702" i="15"/>
  <c r="A4702" i="15" s="1"/>
  <c r="H4703" i="15"/>
  <c r="A4703" i="15" s="1"/>
  <c r="H4704" i="15"/>
  <c r="A4704" i="15" s="1"/>
  <c r="H4705" i="15"/>
  <c r="A4705" i="15" s="1"/>
  <c r="H4706" i="15"/>
  <c r="A4706" i="15" s="1"/>
  <c r="H4707" i="15"/>
  <c r="A4707" i="15" s="1"/>
  <c r="H4708" i="15"/>
  <c r="A4708" i="15" s="1"/>
  <c r="H4709" i="15"/>
  <c r="A4709" i="15" s="1"/>
  <c r="H4710" i="15"/>
  <c r="A4710" i="15" s="1"/>
  <c r="H4711" i="15"/>
  <c r="A4711" i="15" s="1"/>
  <c r="H4712" i="15"/>
  <c r="A4712" i="15" s="1"/>
  <c r="H4713" i="15"/>
  <c r="A4713" i="15" s="1"/>
  <c r="H4714" i="15"/>
  <c r="A4714" i="15" s="1"/>
  <c r="H4715" i="15"/>
  <c r="A4715" i="15" s="1"/>
  <c r="H4716" i="15"/>
  <c r="A4716" i="15" s="1"/>
  <c r="H4717" i="15"/>
  <c r="A4717" i="15" s="1"/>
  <c r="H4718" i="15"/>
  <c r="A4718" i="15" s="1"/>
  <c r="H4719" i="15"/>
  <c r="A4719" i="15" s="1"/>
  <c r="H4720" i="15"/>
  <c r="A4720" i="15" s="1"/>
  <c r="H4721" i="15"/>
  <c r="A4721" i="15" s="1"/>
  <c r="H4722" i="15"/>
  <c r="A4722" i="15" s="1"/>
  <c r="H4723" i="15"/>
  <c r="A4723" i="15" s="1"/>
  <c r="H4724" i="15"/>
  <c r="A4724" i="15" s="1"/>
  <c r="H4725" i="15"/>
  <c r="A4725" i="15" s="1"/>
  <c r="H4726" i="15"/>
  <c r="A4726" i="15" s="1"/>
  <c r="H4727" i="15"/>
  <c r="A4727" i="15" s="1"/>
  <c r="H4728" i="15"/>
  <c r="A4728" i="15" s="1"/>
  <c r="H4729" i="15"/>
  <c r="A4729" i="15" s="1"/>
  <c r="H4730" i="15"/>
  <c r="A4730" i="15" s="1"/>
  <c r="H4731" i="15"/>
  <c r="A4731" i="15" s="1"/>
  <c r="H4732" i="15"/>
  <c r="A4732" i="15" s="1"/>
  <c r="H4733" i="15"/>
  <c r="A4733" i="15" s="1"/>
  <c r="H4734" i="15"/>
  <c r="A4734" i="15" s="1"/>
  <c r="H4735" i="15"/>
  <c r="A4735" i="15" s="1"/>
  <c r="H4736" i="15"/>
  <c r="A4736" i="15" s="1"/>
  <c r="H4737" i="15"/>
  <c r="A4737" i="15" s="1"/>
  <c r="H4738" i="15"/>
  <c r="A4738" i="15" s="1"/>
  <c r="H4739" i="15"/>
  <c r="A4739" i="15" s="1"/>
  <c r="H4740" i="15"/>
  <c r="A4740" i="15" s="1"/>
  <c r="H4741" i="15"/>
  <c r="A4741" i="15" s="1"/>
  <c r="H4742" i="15"/>
  <c r="A4742" i="15" s="1"/>
  <c r="H4743" i="15"/>
  <c r="A4743" i="15" s="1"/>
  <c r="H4744" i="15"/>
  <c r="A4744" i="15" s="1"/>
  <c r="H4745" i="15"/>
  <c r="A4745" i="15" s="1"/>
  <c r="H4746" i="15"/>
  <c r="A4746" i="15" s="1"/>
  <c r="H4747" i="15"/>
  <c r="A4747" i="15" s="1"/>
  <c r="H4748" i="15"/>
  <c r="A4748" i="15" s="1"/>
  <c r="H4749" i="15"/>
  <c r="A4749" i="15" s="1"/>
  <c r="H4750" i="15"/>
  <c r="A4750" i="15" s="1"/>
  <c r="H4751" i="15"/>
  <c r="A4751" i="15" s="1"/>
  <c r="H4752" i="15"/>
  <c r="A4752" i="15" s="1"/>
  <c r="H4753" i="15"/>
  <c r="A4753" i="15" s="1"/>
  <c r="H4754" i="15"/>
  <c r="A4754" i="15" s="1"/>
  <c r="H4755" i="15"/>
  <c r="A4755" i="15" s="1"/>
  <c r="H4756" i="15"/>
  <c r="A4756" i="15" s="1"/>
  <c r="H4757" i="15"/>
  <c r="A4757" i="15" s="1"/>
  <c r="H4758" i="15"/>
  <c r="A4758" i="15" s="1"/>
  <c r="H4759" i="15"/>
  <c r="A4759" i="15" s="1"/>
  <c r="H4760" i="15"/>
  <c r="A4760" i="15" s="1"/>
  <c r="H4761" i="15"/>
  <c r="A4761" i="15" s="1"/>
  <c r="H4762" i="15"/>
  <c r="A4762" i="15" s="1"/>
  <c r="H4763" i="15"/>
  <c r="A4763" i="15" s="1"/>
  <c r="H4764" i="15"/>
  <c r="A4764" i="15" s="1"/>
  <c r="H4765" i="15"/>
  <c r="A4765" i="15" s="1"/>
  <c r="H4766" i="15"/>
  <c r="A4766" i="15" s="1"/>
  <c r="H4767" i="15"/>
  <c r="A4767" i="15" s="1"/>
  <c r="H4768" i="15"/>
  <c r="A4768" i="15" s="1"/>
  <c r="H4769" i="15"/>
  <c r="A4769" i="15" s="1"/>
  <c r="H4770" i="15"/>
  <c r="A4770" i="15" s="1"/>
  <c r="H4771" i="15"/>
  <c r="A4771" i="15" s="1"/>
  <c r="H4772" i="15"/>
  <c r="A4772" i="15" s="1"/>
  <c r="H4773" i="15"/>
  <c r="A4773" i="15" s="1"/>
  <c r="H4774" i="15"/>
  <c r="A4774" i="15" s="1"/>
  <c r="H4775" i="15"/>
  <c r="A4775" i="15" s="1"/>
  <c r="H4776" i="15"/>
  <c r="A4776" i="15" s="1"/>
  <c r="H4777" i="15"/>
  <c r="A4777" i="15" s="1"/>
  <c r="H4778" i="15"/>
  <c r="A4778" i="15" s="1"/>
  <c r="H4779" i="15"/>
  <c r="A4779" i="15" s="1"/>
  <c r="H4780" i="15"/>
  <c r="A4780" i="15" s="1"/>
  <c r="H4781" i="15"/>
  <c r="A4781" i="15" s="1"/>
  <c r="H4782" i="15"/>
  <c r="A4782" i="15" s="1"/>
  <c r="H4783" i="15"/>
  <c r="A4783" i="15" s="1"/>
  <c r="H4784" i="15"/>
  <c r="A4784" i="15" s="1"/>
  <c r="H4785" i="15"/>
  <c r="A4785" i="15" s="1"/>
  <c r="H4786" i="15"/>
  <c r="A4786" i="15" s="1"/>
  <c r="H4787" i="15"/>
  <c r="A4787" i="15" s="1"/>
  <c r="H4788" i="15"/>
  <c r="A4788" i="15" s="1"/>
  <c r="H4789" i="15"/>
  <c r="A4789" i="15" s="1"/>
  <c r="H4790" i="15"/>
  <c r="A4790" i="15" s="1"/>
  <c r="H4791" i="15"/>
  <c r="A4791" i="15" s="1"/>
  <c r="H4792" i="15"/>
  <c r="A4792" i="15" s="1"/>
  <c r="H4793" i="15"/>
  <c r="A4793" i="15" s="1"/>
  <c r="H4794" i="15"/>
  <c r="A4794" i="15" s="1"/>
  <c r="H4795" i="15"/>
  <c r="A4795" i="15" s="1"/>
  <c r="H4796" i="15"/>
  <c r="A4796" i="15" s="1"/>
  <c r="H4797" i="15"/>
  <c r="A4797" i="15" s="1"/>
  <c r="H4798" i="15"/>
  <c r="A4798" i="15" s="1"/>
  <c r="H4799" i="15"/>
  <c r="A4799" i="15" s="1"/>
  <c r="H4800" i="15"/>
  <c r="A4800" i="15" s="1"/>
  <c r="H4801" i="15"/>
  <c r="A4801" i="15" s="1"/>
  <c r="H4802" i="15"/>
  <c r="A4802" i="15" s="1"/>
  <c r="H4803" i="15"/>
  <c r="A4803" i="15" s="1"/>
  <c r="H4804" i="15"/>
  <c r="A4804" i="15" s="1"/>
  <c r="H4805" i="15"/>
  <c r="A4805" i="15" s="1"/>
  <c r="H4806" i="15"/>
  <c r="A4806" i="15" s="1"/>
  <c r="H4807" i="15"/>
  <c r="A4807" i="15" s="1"/>
  <c r="H4808" i="15"/>
  <c r="A4808" i="15" s="1"/>
  <c r="H4809" i="15"/>
  <c r="A4809" i="15" s="1"/>
  <c r="H4810" i="15"/>
  <c r="A4810" i="15" s="1"/>
  <c r="H4811" i="15"/>
  <c r="A4811" i="15" s="1"/>
  <c r="H4812" i="15"/>
  <c r="A4812" i="15" s="1"/>
  <c r="H4813" i="15"/>
  <c r="A4813" i="15" s="1"/>
  <c r="H4814" i="15"/>
  <c r="A4814" i="15" s="1"/>
  <c r="H4815" i="15"/>
  <c r="A4815" i="15" s="1"/>
  <c r="H4816" i="15"/>
  <c r="A4816" i="15" s="1"/>
  <c r="H4817" i="15"/>
  <c r="A4817" i="15" s="1"/>
  <c r="H4818" i="15"/>
  <c r="A4818" i="15" s="1"/>
  <c r="H4819" i="15"/>
  <c r="A4819" i="15" s="1"/>
  <c r="H4820" i="15"/>
  <c r="A4820" i="15" s="1"/>
  <c r="H4821" i="15"/>
  <c r="A4821" i="15" s="1"/>
  <c r="H4822" i="15"/>
  <c r="A4822" i="15" s="1"/>
  <c r="H4823" i="15"/>
  <c r="A4823" i="15" s="1"/>
  <c r="H4824" i="15"/>
  <c r="A4824" i="15" s="1"/>
  <c r="H4825" i="15"/>
  <c r="A4825" i="15" s="1"/>
  <c r="H4826" i="15"/>
  <c r="A4826" i="15" s="1"/>
  <c r="H4827" i="15"/>
  <c r="A4827" i="15" s="1"/>
  <c r="H4828" i="15"/>
  <c r="A4828" i="15" s="1"/>
  <c r="H4829" i="15"/>
  <c r="A4829" i="15" s="1"/>
  <c r="H4830" i="15"/>
  <c r="A4830" i="15" s="1"/>
  <c r="H4831" i="15"/>
  <c r="A4831" i="15" s="1"/>
  <c r="H4832" i="15"/>
  <c r="A4832" i="15" s="1"/>
  <c r="H4833" i="15"/>
  <c r="A4833" i="15" s="1"/>
  <c r="H4834" i="15"/>
  <c r="A4834" i="15" s="1"/>
  <c r="H4835" i="15"/>
  <c r="A4835" i="15" s="1"/>
  <c r="H4836" i="15"/>
  <c r="A4836" i="15" s="1"/>
  <c r="H4837" i="15"/>
  <c r="A4837" i="15" s="1"/>
  <c r="H4838" i="15"/>
  <c r="A4838" i="15" s="1"/>
  <c r="H4839" i="15"/>
  <c r="A4839" i="15" s="1"/>
  <c r="H4840" i="15"/>
  <c r="A4840" i="15" s="1"/>
  <c r="H4841" i="15"/>
  <c r="A4841" i="15" s="1"/>
  <c r="H4842" i="15"/>
  <c r="A4842" i="15" s="1"/>
  <c r="H4843" i="15"/>
  <c r="A4843" i="15" s="1"/>
  <c r="H4844" i="15"/>
  <c r="A4844" i="15" s="1"/>
  <c r="H4845" i="15"/>
  <c r="A4845" i="15" s="1"/>
  <c r="H4846" i="15"/>
  <c r="A4846" i="15" s="1"/>
  <c r="H4847" i="15"/>
  <c r="A4847" i="15" s="1"/>
  <c r="H4848" i="15"/>
  <c r="A4848" i="15" s="1"/>
  <c r="H4849" i="15"/>
  <c r="A4849" i="15" s="1"/>
  <c r="H4850" i="15"/>
  <c r="A4850" i="15" s="1"/>
  <c r="H4851" i="15"/>
  <c r="A4851" i="15" s="1"/>
  <c r="H4852" i="15"/>
  <c r="A4852" i="15" s="1"/>
  <c r="H4853" i="15"/>
  <c r="A4853" i="15" s="1"/>
  <c r="H4854" i="15"/>
  <c r="A4854" i="15" s="1"/>
  <c r="H4855" i="15"/>
  <c r="A4855" i="15" s="1"/>
  <c r="H4856" i="15"/>
  <c r="A4856" i="15" s="1"/>
  <c r="H4857" i="15"/>
  <c r="A4857" i="15" s="1"/>
  <c r="H4858" i="15"/>
  <c r="A4858" i="15" s="1"/>
  <c r="H4859" i="15"/>
  <c r="A4859" i="15" s="1"/>
  <c r="H4860" i="15"/>
  <c r="A4860" i="15" s="1"/>
  <c r="H4861" i="15"/>
  <c r="A4861" i="15" s="1"/>
  <c r="H4862" i="15"/>
  <c r="A4862" i="15" s="1"/>
  <c r="H4863" i="15"/>
  <c r="A4863" i="15" s="1"/>
  <c r="H4864" i="15"/>
  <c r="A4864" i="15" s="1"/>
  <c r="H4865" i="15"/>
  <c r="A4865" i="15" s="1"/>
  <c r="H4866" i="15"/>
  <c r="A4866" i="15" s="1"/>
  <c r="H4867" i="15"/>
  <c r="A4867" i="15" s="1"/>
  <c r="H4868" i="15"/>
  <c r="A4868" i="15" s="1"/>
  <c r="H4869" i="15"/>
  <c r="A4869" i="15" s="1"/>
  <c r="H4870" i="15"/>
  <c r="A4870" i="15" s="1"/>
  <c r="H4871" i="15"/>
  <c r="A4871" i="15" s="1"/>
  <c r="H4872" i="15"/>
  <c r="A4872" i="15" s="1"/>
  <c r="H4873" i="15"/>
  <c r="A4873" i="15" s="1"/>
  <c r="H4874" i="15"/>
  <c r="A4874" i="15" s="1"/>
  <c r="H4875" i="15"/>
  <c r="A4875" i="15" s="1"/>
  <c r="H4876" i="15"/>
  <c r="A4876" i="15" s="1"/>
  <c r="H4877" i="15"/>
  <c r="A4877" i="15" s="1"/>
  <c r="H4878" i="15"/>
  <c r="A4878" i="15" s="1"/>
  <c r="H4879" i="15"/>
  <c r="A4879" i="15" s="1"/>
  <c r="H4880" i="15"/>
  <c r="A4880" i="15" s="1"/>
  <c r="H4881" i="15"/>
  <c r="A4881" i="15" s="1"/>
  <c r="H4882" i="15"/>
  <c r="A4882" i="15" s="1"/>
  <c r="H4883" i="15"/>
  <c r="A4883" i="15" s="1"/>
  <c r="H4884" i="15"/>
  <c r="A4884" i="15" s="1"/>
  <c r="H4885" i="15"/>
  <c r="A4885" i="15" s="1"/>
  <c r="H4886" i="15"/>
  <c r="A4886" i="15" s="1"/>
  <c r="H4887" i="15"/>
  <c r="A4887" i="15" s="1"/>
  <c r="H4888" i="15"/>
  <c r="A4888" i="15" s="1"/>
  <c r="H4889" i="15"/>
  <c r="A4889" i="15" s="1"/>
  <c r="H4890" i="15"/>
  <c r="A4890" i="15" s="1"/>
  <c r="H4891" i="15"/>
  <c r="A4891" i="15" s="1"/>
  <c r="H4892" i="15"/>
  <c r="A4892" i="15" s="1"/>
  <c r="H4893" i="15"/>
  <c r="A4893" i="15" s="1"/>
  <c r="H4894" i="15"/>
  <c r="A4894" i="15" s="1"/>
  <c r="H4895" i="15"/>
  <c r="A4895" i="15" s="1"/>
  <c r="H4896" i="15"/>
  <c r="A4896" i="15" s="1"/>
  <c r="H4897" i="15"/>
  <c r="A4897" i="15" s="1"/>
  <c r="H4898" i="15"/>
  <c r="A4898" i="15" s="1"/>
  <c r="H4899" i="15"/>
  <c r="A4899" i="15" s="1"/>
  <c r="H4900" i="15"/>
  <c r="A4900" i="15" s="1"/>
  <c r="H4901" i="15"/>
  <c r="A4901" i="15" s="1"/>
  <c r="H4902" i="15"/>
  <c r="A4902" i="15" s="1"/>
  <c r="H4903" i="15"/>
  <c r="A4903" i="15" s="1"/>
  <c r="H4904" i="15"/>
  <c r="A4904" i="15" s="1"/>
  <c r="H4905" i="15"/>
  <c r="A4905" i="15" s="1"/>
  <c r="H4906" i="15"/>
  <c r="A4906" i="15" s="1"/>
  <c r="H4907" i="15"/>
  <c r="A4907" i="15" s="1"/>
  <c r="H4908" i="15"/>
  <c r="A4908" i="15" s="1"/>
  <c r="H4909" i="15"/>
  <c r="A4909" i="15" s="1"/>
  <c r="H4910" i="15"/>
  <c r="A4910" i="15" s="1"/>
  <c r="H4911" i="15"/>
  <c r="A4911" i="15" s="1"/>
  <c r="H4912" i="15"/>
  <c r="A4912" i="15" s="1"/>
  <c r="H4913" i="15"/>
  <c r="A4913" i="15" s="1"/>
  <c r="H4914" i="15"/>
  <c r="A4914" i="15" s="1"/>
  <c r="H4915" i="15"/>
  <c r="A4915" i="15" s="1"/>
  <c r="H4916" i="15"/>
  <c r="A4916" i="15" s="1"/>
  <c r="H4917" i="15"/>
  <c r="A4917" i="15" s="1"/>
  <c r="H4918" i="15"/>
  <c r="A4918" i="15" s="1"/>
  <c r="H4919" i="15"/>
  <c r="A4919" i="15" s="1"/>
  <c r="H4920" i="15"/>
  <c r="A4920" i="15" s="1"/>
  <c r="H4921" i="15"/>
  <c r="A4921" i="15" s="1"/>
  <c r="H4922" i="15"/>
  <c r="A4922" i="15" s="1"/>
  <c r="H4923" i="15"/>
  <c r="A4923" i="15" s="1"/>
  <c r="H4924" i="15"/>
  <c r="A4924" i="15" s="1"/>
  <c r="H4925" i="15"/>
  <c r="A4925" i="15" s="1"/>
  <c r="H4926" i="15"/>
  <c r="A4926" i="15" s="1"/>
  <c r="H4927" i="15"/>
  <c r="A4927" i="15" s="1"/>
  <c r="H4928" i="15"/>
  <c r="A4928" i="15" s="1"/>
  <c r="H4929" i="15"/>
  <c r="A4929" i="15" s="1"/>
  <c r="H4930" i="15"/>
  <c r="A4930" i="15" s="1"/>
  <c r="H4931" i="15"/>
  <c r="A4931" i="15" s="1"/>
  <c r="H4932" i="15"/>
  <c r="A4932" i="15" s="1"/>
  <c r="H4933" i="15"/>
  <c r="A4933" i="15" s="1"/>
  <c r="H4934" i="15"/>
  <c r="A4934" i="15" s="1"/>
  <c r="H4935" i="15"/>
  <c r="A4935" i="15" s="1"/>
  <c r="H4936" i="15"/>
  <c r="A4936" i="15" s="1"/>
  <c r="H4937" i="15"/>
  <c r="A4937" i="15" s="1"/>
  <c r="H4938" i="15"/>
  <c r="A4938" i="15" s="1"/>
  <c r="H4939" i="15"/>
  <c r="A4939" i="15" s="1"/>
  <c r="H4940" i="15"/>
  <c r="A4940" i="15" s="1"/>
  <c r="H4941" i="15"/>
  <c r="A4941" i="15" s="1"/>
  <c r="H4942" i="15"/>
  <c r="A4942" i="15" s="1"/>
  <c r="H4943" i="15"/>
  <c r="A4943" i="15" s="1"/>
  <c r="H4944" i="15"/>
  <c r="A4944" i="15" s="1"/>
  <c r="H4945" i="15"/>
  <c r="A4945" i="15" s="1"/>
  <c r="H4946" i="15"/>
  <c r="A4946" i="15" s="1"/>
  <c r="H4947" i="15"/>
  <c r="A4947" i="15" s="1"/>
  <c r="H4948" i="15"/>
  <c r="A4948" i="15" s="1"/>
  <c r="H4949" i="15"/>
  <c r="A4949" i="15" s="1"/>
  <c r="H4950" i="15"/>
  <c r="A4950" i="15" s="1"/>
  <c r="H4951" i="15"/>
  <c r="A4951" i="15" s="1"/>
  <c r="H4952" i="15"/>
  <c r="A4952" i="15" s="1"/>
  <c r="H4953" i="15"/>
  <c r="A4953" i="15" s="1"/>
  <c r="H4954" i="15"/>
  <c r="A4954" i="15" s="1"/>
  <c r="H4955" i="15"/>
  <c r="A4955" i="15" s="1"/>
  <c r="H4956" i="15"/>
  <c r="A4956" i="15" s="1"/>
  <c r="H4957" i="15"/>
  <c r="A4957" i="15" s="1"/>
  <c r="H4958" i="15"/>
  <c r="A4958" i="15" s="1"/>
  <c r="H4959" i="15"/>
  <c r="A4959" i="15" s="1"/>
  <c r="H4960" i="15"/>
  <c r="A4960" i="15" s="1"/>
  <c r="H4961" i="15"/>
  <c r="A4961" i="15" s="1"/>
  <c r="H4962" i="15"/>
  <c r="A4962" i="15" s="1"/>
  <c r="H4963" i="15"/>
  <c r="A4963" i="15" s="1"/>
  <c r="H4964" i="15"/>
  <c r="A4964" i="15" s="1"/>
  <c r="H4965" i="15"/>
  <c r="A4965" i="15" s="1"/>
  <c r="H4966" i="15"/>
  <c r="A4966" i="15" s="1"/>
  <c r="H4967" i="15"/>
  <c r="A4967" i="15" s="1"/>
  <c r="H4968" i="15"/>
  <c r="A4968" i="15" s="1"/>
  <c r="H4969" i="15"/>
  <c r="A4969" i="15" s="1"/>
  <c r="H4970" i="15"/>
  <c r="A4970" i="15" s="1"/>
  <c r="H4971" i="15"/>
  <c r="A4971" i="15" s="1"/>
  <c r="H4972" i="15"/>
  <c r="A4972" i="15" s="1"/>
  <c r="H4973" i="15"/>
  <c r="A4973" i="15" s="1"/>
  <c r="H4974" i="15"/>
  <c r="A4974" i="15" s="1"/>
  <c r="H4975" i="15"/>
  <c r="A4975" i="15" s="1"/>
  <c r="H4976" i="15"/>
  <c r="A4976" i="15" s="1"/>
  <c r="H4977" i="15"/>
  <c r="A4977" i="15" s="1"/>
  <c r="H4978" i="15"/>
  <c r="A4978" i="15" s="1"/>
  <c r="H4979" i="15"/>
  <c r="A4979" i="15" s="1"/>
  <c r="H4980" i="15"/>
  <c r="A4980" i="15" s="1"/>
  <c r="H4981" i="15"/>
  <c r="A4981" i="15" s="1"/>
  <c r="H4982" i="15"/>
  <c r="A4982" i="15" s="1"/>
  <c r="H4983" i="15"/>
  <c r="A4983" i="15" s="1"/>
  <c r="H4984" i="15"/>
  <c r="A4984" i="15" s="1"/>
  <c r="H4985" i="15"/>
  <c r="A4985" i="15" s="1"/>
  <c r="H4986" i="15"/>
  <c r="A4986" i="15" s="1"/>
  <c r="H4987" i="15"/>
  <c r="A4987" i="15" s="1"/>
  <c r="H4988" i="15"/>
  <c r="A4988" i="15" s="1"/>
  <c r="H4989" i="15"/>
  <c r="A4989" i="15" s="1"/>
  <c r="H4990" i="15"/>
  <c r="A4990" i="15" s="1"/>
  <c r="H4991" i="15"/>
  <c r="A4991" i="15" s="1"/>
  <c r="H4992" i="15"/>
  <c r="A4992" i="15" s="1"/>
  <c r="H4993" i="15"/>
  <c r="A4993" i="15" s="1"/>
  <c r="H4994" i="15"/>
  <c r="A4994" i="15" s="1"/>
  <c r="H4995" i="15"/>
  <c r="A4995" i="15" s="1"/>
  <c r="H4996" i="15"/>
  <c r="A4996" i="15" s="1"/>
  <c r="H4997" i="15"/>
  <c r="A4997" i="15" s="1"/>
  <c r="H4998" i="15"/>
  <c r="A4998" i="15" s="1"/>
  <c r="H4999" i="15"/>
  <c r="A4999" i="15" s="1"/>
  <c r="H5000" i="15"/>
  <c r="A5000" i="15" s="1"/>
  <c r="H5001" i="15"/>
  <c r="A5001" i="15" s="1"/>
  <c r="H5002" i="15"/>
  <c r="A5002" i="15" s="1"/>
  <c r="H5003" i="15"/>
  <c r="A5003" i="15" s="1"/>
  <c r="H5004" i="15"/>
  <c r="A5004" i="15" s="1"/>
  <c r="H5005" i="15"/>
  <c r="A5005" i="15" s="1"/>
  <c r="H5006" i="15"/>
  <c r="A5006" i="15" s="1"/>
  <c r="H5007" i="15"/>
  <c r="A5007" i="15" s="1"/>
  <c r="H5008" i="15"/>
  <c r="A5008" i="15" s="1"/>
  <c r="H5009" i="15"/>
  <c r="A5009" i="15" s="1"/>
  <c r="H5010" i="15"/>
  <c r="A5010" i="15" s="1"/>
  <c r="H5011" i="15"/>
  <c r="A5011" i="15" s="1"/>
  <c r="H5012" i="15"/>
  <c r="A5012" i="15" s="1"/>
  <c r="H5013" i="15"/>
  <c r="A5013" i="15" s="1"/>
  <c r="H5014" i="15"/>
  <c r="A5014" i="15" s="1"/>
  <c r="H5015" i="15"/>
  <c r="A5015" i="15" s="1"/>
  <c r="H5016" i="15"/>
  <c r="A5016" i="15" s="1"/>
  <c r="H5017" i="15"/>
  <c r="A5017" i="15" s="1"/>
  <c r="H5018" i="15"/>
  <c r="A5018" i="15" s="1"/>
  <c r="H5019" i="15"/>
  <c r="A5019" i="15" s="1"/>
  <c r="H5020" i="15"/>
  <c r="A5020" i="15" s="1"/>
  <c r="H5021" i="15"/>
  <c r="A5021" i="15" s="1"/>
  <c r="H5022" i="15"/>
  <c r="A5022" i="15" s="1"/>
  <c r="H5023" i="15"/>
  <c r="A5023" i="15" s="1"/>
  <c r="H5024" i="15"/>
  <c r="A5024" i="15" s="1"/>
  <c r="H5025" i="15"/>
  <c r="A5025" i="15" s="1"/>
  <c r="H5026" i="15"/>
  <c r="A5026" i="15" s="1"/>
  <c r="H5027" i="15"/>
  <c r="A5027" i="15" s="1"/>
  <c r="H5028" i="15"/>
  <c r="A5028" i="15" s="1"/>
  <c r="H5029" i="15"/>
  <c r="A5029" i="15" s="1"/>
  <c r="H5030" i="15"/>
  <c r="A5030" i="15" s="1"/>
  <c r="H5031" i="15"/>
  <c r="A5031" i="15" s="1"/>
  <c r="H5032" i="15"/>
  <c r="A5032" i="15" s="1"/>
  <c r="H5033" i="15"/>
  <c r="A5033" i="15" s="1"/>
  <c r="H5034" i="15"/>
  <c r="A5034" i="15" s="1"/>
  <c r="H5035" i="15"/>
  <c r="A5035" i="15" s="1"/>
  <c r="H5036" i="15"/>
  <c r="A5036" i="15" s="1"/>
  <c r="H5037" i="15"/>
  <c r="A5037" i="15" s="1"/>
  <c r="H5038" i="15"/>
  <c r="A5038" i="15" s="1"/>
  <c r="H5039" i="15"/>
  <c r="A5039" i="15" s="1"/>
  <c r="H5040" i="15"/>
  <c r="A5040" i="15" s="1"/>
  <c r="H5041" i="15"/>
  <c r="A5041" i="15" s="1"/>
  <c r="H5042" i="15"/>
  <c r="A5042" i="15" s="1"/>
  <c r="H5043" i="15"/>
  <c r="A5043" i="15" s="1"/>
  <c r="H5044" i="15"/>
  <c r="A5044" i="15" s="1"/>
  <c r="H5045" i="15"/>
  <c r="A5045" i="15" s="1"/>
  <c r="H5046" i="15"/>
  <c r="A5046" i="15" s="1"/>
  <c r="H5047" i="15"/>
  <c r="A5047" i="15" s="1"/>
  <c r="H5048" i="15"/>
  <c r="A5048" i="15" s="1"/>
  <c r="H5049" i="15"/>
  <c r="A5049" i="15" s="1"/>
  <c r="H5050" i="15"/>
  <c r="A5050" i="15" s="1"/>
  <c r="H5051" i="15"/>
  <c r="A5051" i="15" s="1"/>
  <c r="H5052" i="15"/>
  <c r="A5052" i="15" s="1"/>
  <c r="H5053" i="15"/>
  <c r="A5053" i="15" s="1"/>
  <c r="H5054" i="15"/>
  <c r="A5054" i="15" s="1"/>
  <c r="H5055" i="15"/>
  <c r="A5055" i="15" s="1"/>
  <c r="H5056" i="15"/>
  <c r="A5056" i="15" s="1"/>
  <c r="H5057" i="15"/>
  <c r="A5057" i="15" s="1"/>
  <c r="H5058" i="15"/>
  <c r="A5058" i="15" s="1"/>
  <c r="H5059" i="15"/>
  <c r="A5059" i="15" s="1"/>
  <c r="H5060" i="15"/>
  <c r="A5060" i="15" s="1"/>
  <c r="H5061" i="15"/>
  <c r="A5061" i="15" s="1"/>
  <c r="H5062" i="15"/>
  <c r="A5062" i="15" s="1"/>
  <c r="H5063" i="15"/>
  <c r="A5063" i="15" s="1"/>
  <c r="H5064" i="15"/>
  <c r="A5064" i="15" s="1"/>
  <c r="H5065" i="15"/>
  <c r="A5065" i="15" s="1"/>
  <c r="H5066" i="15"/>
  <c r="A5066" i="15" s="1"/>
  <c r="H5067" i="15"/>
  <c r="A5067" i="15" s="1"/>
  <c r="H5068" i="15"/>
  <c r="A5068" i="15" s="1"/>
  <c r="H5069" i="15"/>
  <c r="A5069" i="15" s="1"/>
  <c r="H5070" i="15"/>
  <c r="A5070" i="15" s="1"/>
  <c r="H5071" i="15"/>
  <c r="A5071" i="15" s="1"/>
  <c r="H5072" i="15"/>
  <c r="A5072" i="15" s="1"/>
  <c r="H5073" i="15"/>
  <c r="A5073" i="15" s="1"/>
  <c r="H5074" i="15"/>
  <c r="A5074" i="15" s="1"/>
  <c r="H5075" i="15"/>
  <c r="A5075" i="15" s="1"/>
  <c r="H5076" i="15"/>
  <c r="A5076" i="15" s="1"/>
  <c r="H5077" i="15"/>
  <c r="A5077" i="15" s="1"/>
  <c r="H5078" i="15"/>
  <c r="A5078" i="15" s="1"/>
  <c r="H5079" i="15"/>
  <c r="A5079" i="15" s="1"/>
  <c r="H5080" i="15"/>
  <c r="A5080" i="15" s="1"/>
  <c r="H5081" i="15"/>
  <c r="A5081" i="15" s="1"/>
  <c r="H5082" i="15"/>
  <c r="A5082" i="15" s="1"/>
  <c r="H5083" i="15"/>
  <c r="A5083" i="15" s="1"/>
  <c r="H5084" i="15"/>
  <c r="A5084" i="15" s="1"/>
  <c r="H5085" i="15"/>
  <c r="A5085" i="15" s="1"/>
  <c r="H5086" i="15"/>
  <c r="A5086" i="15" s="1"/>
  <c r="H5087" i="15"/>
  <c r="A5087" i="15" s="1"/>
  <c r="H5088" i="15"/>
  <c r="A5088" i="15" s="1"/>
  <c r="H5089" i="15"/>
  <c r="A5089" i="15" s="1"/>
  <c r="H5090" i="15"/>
  <c r="A5090" i="15" s="1"/>
  <c r="H5091" i="15"/>
  <c r="A5091" i="15" s="1"/>
  <c r="H5092" i="15"/>
  <c r="A5092" i="15" s="1"/>
  <c r="H5093" i="15"/>
  <c r="A5093" i="15" s="1"/>
  <c r="H5094" i="15"/>
  <c r="A5094" i="15" s="1"/>
  <c r="H5095" i="15"/>
  <c r="A5095" i="15" s="1"/>
  <c r="H5096" i="15"/>
  <c r="A5096" i="15" s="1"/>
  <c r="H5097" i="15"/>
  <c r="A5097" i="15" s="1"/>
  <c r="H5098" i="15"/>
  <c r="A5098" i="15" s="1"/>
  <c r="H5099" i="15"/>
  <c r="A5099" i="15" s="1"/>
  <c r="H5100" i="15"/>
  <c r="A5100" i="15" s="1"/>
  <c r="H5101" i="15"/>
  <c r="A5101" i="15" s="1"/>
  <c r="H5102" i="15"/>
  <c r="A5102" i="15" s="1"/>
  <c r="H5103" i="15"/>
  <c r="A5103" i="15" s="1"/>
  <c r="H5104" i="15"/>
  <c r="A5104" i="15" s="1"/>
  <c r="H5105" i="15"/>
  <c r="A5105" i="15" s="1"/>
  <c r="H5106" i="15"/>
  <c r="A5106" i="15" s="1"/>
  <c r="H5107" i="15"/>
  <c r="A5107" i="15" s="1"/>
  <c r="H5108" i="15"/>
  <c r="A5108" i="15" s="1"/>
  <c r="H5109" i="15"/>
  <c r="A5109" i="15" s="1"/>
  <c r="H5110" i="15"/>
  <c r="A5110" i="15" s="1"/>
  <c r="H5111" i="15"/>
  <c r="A5111" i="15" s="1"/>
  <c r="H5112" i="15"/>
  <c r="A5112" i="15" s="1"/>
  <c r="H5113" i="15"/>
  <c r="A5113" i="15" s="1"/>
  <c r="H5114" i="15"/>
  <c r="A5114" i="15" s="1"/>
  <c r="H5115" i="15"/>
  <c r="A5115" i="15" s="1"/>
  <c r="H5116" i="15"/>
  <c r="A5116" i="15" s="1"/>
  <c r="H5117" i="15"/>
  <c r="A5117" i="15" s="1"/>
  <c r="H5118" i="15"/>
  <c r="A5118" i="15" s="1"/>
  <c r="H5119" i="15"/>
  <c r="A5119" i="15" s="1"/>
  <c r="H5120" i="15"/>
  <c r="A5120" i="15" s="1"/>
  <c r="H5121" i="15"/>
  <c r="A5121" i="15" s="1"/>
  <c r="H5122" i="15"/>
  <c r="A5122" i="15" s="1"/>
  <c r="H5123" i="15"/>
  <c r="A5123" i="15" s="1"/>
  <c r="H5124" i="15"/>
  <c r="A5124" i="15" s="1"/>
  <c r="H5125" i="15"/>
  <c r="A5125" i="15" s="1"/>
  <c r="H5126" i="15"/>
  <c r="A5126" i="15" s="1"/>
  <c r="H5127" i="15"/>
  <c r="A5127" i="15" s="1"/>
  <c r="H5128" i="15"/>
  <c r="A5128" i="15" s="1"/>
  <c r="H5129" i="15"/>
  <c r="A5129" i="15" s="1"/>
  <c r="H5130" i="15"/>
  <c r="A5130" i="15" s="1"/>
  <c r="H5131" i="15"/>
  <c r="A5131" i="15" s="1"/>
  <c r="H5132" i="15"/>
  <c r="A5132" i="15" s="1"/>
  <c r="H5133" i="15"/>
  <c r="A5133" i="15" s="1"/>
  <c r="H5134" i="15"/>
  <c r="A5134" i="15" s="1"/>
  <c r="H5135" i="15"/>
  <c r="A5135" i="15" s="1"/>
  <c r="H5136" i="15"/>
  <c r="A5136" i="15" s="1"/>
  <c r="H5137" i="15"/>
  <c r="A5137" i="15" s="1"/>
  <c r="H5138" i="15"/>
  <c r="A5138" i="15" s="1"/>
  <c r="H5139" i="15"/>
  <c r="A5139" i="15" s="1"/>
  <c r="H5140" i="15"/>
  <c r="A5140" i="15" s="1"/>
  <c r="H5141" i="15"/>
  <c r="A5141" i="15" s="1"/>
  <c r="H5142" i="15"/>
  <c r="A5142" i="15" s="1"/>
  <c r="H5143" i="15"/>
  <c r="A5143" i="15" s="1"/>
  <c r="H5144" i="15"/>
  <c r="A5144" i="15" s="1"/>
  <c r="H5145" i="15"/>
  <c r="A5145" i="15" s="1"/>
  <c r="H5146" i="15"/>
  <c r="A5146" i="15" s="1"/>
  <c r="H5147" i="15"/>
  <c r="A5147" i="15" s="1"/>
  <c r="H5148" i="15"/>
  <c r="A5148" i="15" s="1"/>
  <c r="H5149" i="15"/>
  <c r="A5149" i="15" s="1"/>
  <c r="H5150" i="15"/>
  <c r="A5150" i="15" s="1"/>
  <c r="H5151" i="15"/>
  <c r="A5151" i="15" s="1"/>
  <c r="H5152" i="15"/>
  <c r="A5152" i="15" s="1"/>
  <c r="H5153" i="15"/>
  <c r="A5153" i="15" s="1"/>
  <c r="H5154" i="15"/>
  <c r="A5154" i="15" s="1"/>
  <c r="H5155" i="15"/>
  <c r="A5155" i="15" s="1"/>
  <c r="H5156" i="15"/>
  <c r="A5156" i="15" s="1"/>
  <c r="H5157" i="15"/>
  <c r="A5157" i="15" s="1"/>
  <c r="H5158" i="15"/>
  <c r="A5158" i="15" s="1"/>
  <c r="H5159" i="15"/>
  <c r="A5159" i="15" s="1"/>
  <c r="H5160" i="15"/>
  <c r="A5160" i="15" s="1"/>
  <c r="H5161" i="15"/>
  <c r="A5161" i="15" s="1"/>
  <c r="H5162" i="15"/>
  <c r="A5162" i="15" s="1"/>
  <c r="H5163" i="15"/>
  <c r="A5163" i="15" s="1"/>
  <c r="H5164" i="15"/>
  <c r="A5164" i="15" s="1"/>
  <c r="H5165" i="15"/>
  <c r="A5165" i="15" s="1"/>
  <c r="H5166" i="15"/>
  <c r="A5166" i="15" s="1"/>
  <c r="H5167" i="15"/>
  <c r="A5167" i="15" s="1"/>
  <c r="H5168" i="15"/>
  <c r="A5168" i="15" s="1"/>
  <c r="H5169" i="15"/>
  <c r="A5169" i="15" s="1"/>
  <c r="H5170" i="15"/>
  <c r="A5170" i="15" s="1"/>
  <c r="H5171" i="15"/>
  <c r="A5171" i="15" s="1"/>
  <c r="H5172" i="15"/>
  <c r="A5172" i="15" s="1"/>
  <c r="H5173" i="15"/>
  <c r="A5173" i="15" s="1"/>
  <c r="H5174" i="15"/>
  <c r="A5174" i="15" s="1"/>
  <c r="H5175" i="15"/>
  <c r="A5175" i="15" s="1"/>
  <c r="H5176" i="15"/>
  <c r="A5176" i="15" s="1"/>
  <c r="H5177" i="15"/>
  <c r="A5177" i="15" s="1"/>
  <c r="H5178" i="15"/>
  <c r="A5178" i="15" s="1"/>
  <c r="H5179" i="15"/>
  <c r="A5179" i="15" s="1"/>
  <c r="H5180" i="15"/>
  <c r="A5180" i="15" s="1"/>
  <c r="H5181" i="15"/>
  <c r="A5181" i="15" s="1"/>
  <c r="H5182" i="15"/>
  <c r="A5182" i="15" s="1"/>
  <c r="H5183" i="15"/>
  <c r="A5183" i="15" s="1"/>
  <c r="H5184" i="15"/>
  <c r="A5184" i="15" s="1"/>
  <c r="H5185" i="15"/>
  <c r="A5185" i="15" s="1"/>
  <c r="H5186" i="15"/>
  <c r="A5186" i="15" s="1"/>
  <c r="H5187" i="15"/>
  <c r="A5187" i="15" s="1"/>
  <c r="H5188" i="15"/>
  <c r="A5188" i="15" s="1"/>
  <c r="H5189" i="15"/>
  <c r="A5189" i="15" s="1"/>
  <c r="H5190" i="15"/>
  <c r="A5190" i="15" s="1"/>
  <c r="H5191" i="15"/>
  <c r="A5191" i="15" s="1"/>
  <c r="H5192" i="15"/>
  <c r="A5192" i="15" s="1"/>
  <c r="H5193" i="15"/>
  <c r="A5193" i="15" s="1"/>
  <c r="H5194" i="15"/>
  <c r="A5194" i="15" s="1"/>
  <c r="H5195" i="15"/>
  <c r="A5195" i="15" s="1"/>
  <c r="H5196" i="15"/>
  <c r="A5196" i="15" s="1"/>
  <c r="H5197" i="15"/>
  <c r="A5197" i="15" s="1"/>
  <c r="H5198" i="15"/>
  <c r="A5198" i="15" s="1"/>
  <c r="H5199" i="15"/>
  <c r="A5199" i="15" s="1"/>
  <c r="H5200" i="15"/>
  <c r="A5200" i="15" s="1"/>
  <c r="H5201" i="15"/>
  <c r="A5201" i="15" s="1"/>
  <c r="H5202" i="15"/>
  <c r="A5202" i="15" s="1"/>
  <c r="H5203" i="15"/>
  <c r="A5203" i="15" s="1"/>
  <c r="H5204" i="15"/>
  <c r="A5204" i="15" s="1"/>
  <c r="H5205" i="15"/>
  <c r="A5205" i="15" s="1"/>
  <c r="H5206" i="15"/>
  <c r="A5206" i="15" s="1"/>
  <c r="H5207" i="15"/>
  <c r="A5207" i="15" s="1"/>
  <c r="H5208" i="15"/>
  <c r="A5208" i="15" s="1"/>
  <c r="H5209" i="15"/>
  <c r="A5209" i="15" s="1"/>
  <c r="H5210" i="15"/>
  <c r="A5210" i="15" s="1"/>
  <c r="H5211" i="15"/>
  <c r="A5211" i="15" s="1"/>
  <c r="H5212" i="15"/>
  <c r="A5212" i="15" s="1"/>
  <c r="H5213" i="15"/>
  <c r="A5213" i="15" s="1"/>
  <c r="H5214" i="15"/>
  <c r="A5214" i="15" s="1"/>
  <c r="H5215" i="15"/>
  <c r="A5215" i="15" s="1"/>
  <c r="H5216" i="15"/>
  <c r="A5216" i="15" s="1"/>
  <c r="H5217" i="15"/>
  <c r="A5217" i="15" s="1"/>
  <c r="H5218" i="15"/>
  <c r="A5218" i="15" s="1"/>
  <c r="H5219" i="15"/>
  <c r="A5219" i="15" s="1"/>
  <c r="H5220" i="15"/>
  <c r="A5220" i="15" s="1"/>
  <c r="H5221" i="15"/>
  <c r="A5221" i="15" s="1"/>
  <c r="H5222" i="15"/>
  <c r="A5222" i="15" s="1"/>
  <c r="H5223" i="15"/>
  <c r="A5223" i="15" s="1"/>
  <c r="H5224" i="15"/>
  <c r="A5224" i="15" s="1"/>
  <c r="H5225" i="15"/>
  <c r="A5225" i="15" s="1"/>
  <c r="H5226" i="15"/>
  <c r="A5226" i="15" s="1"/>
  <c r="H5227" i="15"/>
  <c r="A5227" i="15" s="1"/>
  <c r="H5228" i="15"/>
  <c r="A5228" i="15" s="1"/>
  <c r="H5229" i="15"/>
  <c r="A5229" i="15" s="1"/>
  <c r="H5230" i="15"/>
  <c r="A5230" i="15" s="1"/>
  <c r="H5231" i="15"/>
  <c r="A5231" i="15" s="1"/>
  <c r="H5232" i="15"/>
  <c r="A5232" i="15" s="1"/>
  <c r="H5233" i="15"/>
  <c r="A5233" i="15" s="1"/>
  <c r="H5234" i="15"/>
  <c r="A5234" i="15" s="1"/>
  <c r="H5235" i="15"/>
  <c r="A5235" i="15" s="1"/>
  <c r="H5236" i="15"/>
  <c r="A5236" i="15" s="1"/>
  <c r="H5237" i="15"/>
  <c r="A5237" i="15" s="1"/>
  <c r="H5238" i="15"/>
  <c r="A5238" i="15" s="1"/>
  <c r="H5239" i="15"/>
  <c r="A5239" i="15" s="1"/>
  <c r="H5240" i="15"/>
  <c r="A5240" i="15" s="1"/>
  <c r="H5241" i="15"/>
  <c r="A5241" i="15" s="1"/>
  <c r="H5242" i="15"/>
  <c r="A5242" i="15" s="1"/>
  <c r="H5243" i="15"/>
  <c r="A5243" i="15" s="1"/>
  <c r="H5244" i="15"/>
  <c r="A5244" i="15" s="1"/>
  <c r="H5245" i="15"/>
  <c r="A5245" i="15" s="1"/>
  <c r="H5246" i="15"/>
  <c r="A5246" i="15" s="1"/>
  <c r="H5247" i="15"/>
  <c r="A5247" i="15" s="1"/>
  <c r="H5248" i="15"/>
  <c r="A5248" i="15" s="1"/>
  <c r="H5249" i="15"/>
  <c r="A5249" i="15" s="1"/>
  <c r="H5250" i="15"/>
  <c r="A5250" i="15" s="1"/>
  <c r="H5251" i="15"/>
  <c r="A5251" i="15" s="1"/>
  <c r="H5252" i="15"/>
  <c r="A5252" i="15" s="1"/>
  <c r="H5253" i="15"/>
  <c r="A5253" i="15" s="1"/>
  <c r="H5254" i="15"/>
  <c r="A5254" i="15" s="1"/>
  <c r="H5255" i="15"/>
  <c r="A5255" i="15" s="1"/>
  <c r="H5256" i="15"/>
  <c r="A5256" i="15" s="1"/>
  <c r="H5257" i="15"/>
  <c r="A5257" i="15" s="1"/>
  <c r="H5258" i="15"/>
  <c r="A5258" i="15" s="1"/>
  <c r="H5259" i="15"/>
  <c r="A5259" i="15" s="1"/>
  <c r="H5260" i="15"/>
  <c r="A5260" i="15" s="1"/>
  <c r="H5261" i="15"/>
  <c r="A5261" i="15" s="1"/>
  <c r="H5262" i="15"/>
  <c r="A5262" i="15" s="1"/>
  <c r="H5263" i="15"/>
  <c r="A5263" i="15" s="1"/>
  <c r="H5264" i="15"/>
  <c r="A5264" i="15" s="1"/>
  <c r="H5265" i="15"/>
  <c r="A5265" i="15" s="1"/>
  <c r="H5266" i="15"/>
  <c r="A5266" i="15" s="1"/>
  <c r="H5267" i="15"/>
  <c r="A5267" i="15" s="1"/>
  <c r="H5268" i="15"/>
  <c r="A5268" i="15" s="1"/>
  <c r="H5269" i="15"/>
  <c r="A5269" i="15" s="1"/>
  <c r="H5270" i="15"/>
  <c r="A5270" i="15" s="1"/>
  <c r="H5271" i="15"/>
  <c r="A5271" i="15" s="1"/>
  <c r="H5272" i="15"/>
  <c r="A5272" i="15" s="1"/>
  <c r="H5273" i="15"/>
  <c r="A5273" i="15" s="1"/>
  <c r="H5274" i="15"/>
  <c r="A5274" i="15" s="1"/>
  <c r="H5275" i="15"/>
  <c r="A5275" i="15" s="1"/>
  <c r="H5276" i="15"/>
  <c r="A5276" i="15" s="1"/>
  <c r="H5277" i="15"/>
  <c r="A5277" i="15" s="1"/>
  <c r="H5278" i="15"/>
  <c r="A5278" i="15" s="1"/>
  <c r="H5279" i="15"/>
  <c r="A5279" i="15" s="1"/>
  <c r="H5280" i="15"/>
  <c r="A5280" i="15" s="1"/>
  <c r="H5281" i="15"/>
  <c r="A5281" i="15" s="1"/>
  <c r="H5282" i="15"/>
  <c r="A5282" i="15" s="1"/>
  <c r="H5283" i="15"/>
  <c r="A5283" i="15" s="1"/>
  <c r="H5284" i="15"/>
  <c r="A5284" i="15" s="1"/>
  <c r="H5285" i="15"/>
  <c r="A5285" i="15" s="1"/>
  <c r="H5286" i="15"/>
  <c r="A5286" i="15" s="1"/>
  <c r="H5287" i="15"/>
  <c r="A5287" i="15" s="1"/>
  <c r="H5288" i="15"/>
  <c r="A5288" i="15" s="1"/>
  <c r="H5289" i="15"/>
  <c r="A5289" i="15" s="1"/>
  <c r="H5290" i="15"/>
  <c r="A5290" i="15" s="1"/>
  <c r="H5291" i="15"/>
  <c r="A5291" i="15" s="1"/>
  <c r="H5292" i="15"/>
  <c r="A5292" i="15" s="1"/>
  <c r="H5293" i="15"/>
  <c r="A5293" i="15" s="1"/>
  <c r="H5294" i="15"/>
  <c r="A5294" i="15" s="1"/>
  <c r="H5295" i="15"/>
  <c r="A5295" i="15" s="1"/>
  <c r="H5296" i="15"/>
  <c r="A5296" i="15" s="1"/>
  <c r="H5297" i="15"/>
  <c r="A5297" i="15" s="1"/>
  <c r="H5298" i="15"/>
  <c r="A5298" i="15" s="1"/>
  <c r="H5299" i="15"/>
  <c r="A5299" i="15" s="1"/>
  <c r="H5300" i="15"/>
  <c r="A5300" i="15" s="1"/>
  <c r="H5301" i="15"/>
  <c r="A5301" i="15" s="1"/>
  <c r="H5302" i="15"/>
  <c r="A5302" i="15" s="1"/>
  <c r="H5303" i="15"/>
  <c r="A5303" i="15" s="1"/>
  <c r="H5304" i="15"/>
  <c r="A5304" i="15" s="1"/>
  <c r="H5305" i="15"/>
  <c r="A5305" i="15" s="1"/>
  <c r="H5306" i="15"/>
  <c r="A5306" i="15" s="1"/>
  <c r="H5307" i="15"/>
  <c r="A5307" i="15" s="1"/>
  <c r="H5308" i="15"/>
  <c r="A5308" i="15" s="1"/>
  <c r="H5309" i="15"/>
  <c r="A5309" i="15" s="1"/>
  <c r="H5310" i="15"/>
  <c r="A5310" i="15" s="1"/>
  <c r="H5311" i="15"/>
  <c r="A5311" i="15" s="1"/>
  <c r="H5312" i="15"/>
  <c r="A5312" i="15" s="1"/>
  <c r="H5313" i="15"/>
  <c r="A5313" i="15" s="1"/>
  <c r="H5314" i="15"/>
  <c r="A5314" i="15" s="1"/>
  <c r="H5315" i="15"/>
  <c r="A5315" i="15" s="1"/>
  <c r="H5316" i="15"/>
  <c r="A5316" i="15" s="1"/>
  <c r="H5317" i="15"/>
  <c r="A5317" i="15" s="1"/>
  <c r="H5318" i="15"/>
  <c r="A5318" i="15" s="1"/>
  <c r="H5319" i="15"/>
  <c r="A5319" i="15" s="1"/>
  <c r="H5320" i="15"/>
  <c r="A5320" i="15" s="1"/>
  <c r="H5321" i="15"/>
  <c r="A5321" i="15" s="1"/>
  <c r="H5322" i="15"/>
  <c r="A5322" i="15" s="1"/>
  <c r="H5323" i="15"/>
  <c r="A5323" i="15" s="1"/>
  <c r="H5324" i="15"/>
  <c r="A5324" i="15" s="1"/>
  <c r="H5325" i="15"/>
  <c r="A5325" i="15" s="1"/>
  <c r="H5326" i="15"/>
  <c r="A5326" i="15" s="1"/>
  <c r="H5327" i="15"/>
  <c r="A5327" i="15" s="1"/>
  <c r="H5328" i="15"/>
  <c r="A5328" i="15" s="1"/>
  <c r="H5329" i="15"/>
  <c r="A5329" i="15" s="1"/>
  <c r="H5330" i="15"/>
  <c r="A5330" i="15" s="1"/>
  <c r="H5331" i="15"/>
  <c r="A5331" i="15" s="1"/>
  <c r="H5332" i="15"/>
  <c r="A5332" i="15" s="1"/>
  <c r="H5333" i="15"/>
  <c r="A5333" i="15" s="1"/>
  <c r="H5334" i="15"/>
  <c r="A5334" i="15" s="1"/>
  <c r="H5335" i="15"/>
  <c r="A5335" i="15" s="1"/>
  <c r="H5336" i="15"/>
  <c r="A5336" i="15" s="1"/>
  <c r="H5337" i="15"/>
  <c r="A5337" i="15" s="1"/>
  <c r="H5338" i="15"/>
  <c r="A5338" i="15" s="1"/>
  <c r="H5339" i="15"/>
  <c r="A5339" i="15" s="1"/>
  <c r="H5340" i="15"/>
  <c r="A5340" i="15" s="1"/>
  <c r="H5341" i="15"/>
  <c r="A5341" i="15" s="1"/>
  <c r="H5342" i="15"/>
  <c r="A5342" i="15" s="1"/>
  <c r="H5343" i="15"/>
  <c r="A5343" i="15" s="1"/>
  <c r="H5344" i="15"/>
  <c r="A5344" i="15" s="1"/>
  <c r="H5345" i="15"/>
  <c r="A5345" i="15" s="1"/>
  <c r="H5346" i="15"/>
  <c r="A5346" i="15" s="1"/>
  <c r="H5347" i="15"/>
  <c r="A5347" i="15" s="1"/>
  <c r="H5348" i="15"/>
  <c r="A5348" i="15" s="1"/>
  <c r="H5349" i="15"/>
  <c r="A5349" i="15" s="1"/>
  <c r="H5350" i="15"/>
  <c r="A5350" i="15" s="1"/>
  <c r="H5351" i="15"/>
  <c r="A5351" i="15" s="1"/>
  <c r="H5352" i="15"/>
  <c r="A5352" i="15" s="1"/>
  <c r="H5353" i="15"/>
  <c r="A5353" i="15" s="1"/>
  <c r="H5354" i="15"/>
  <c r="A5354" i="15" s="1"/>
  <c r="H5355" i="15"/>
  <c r="A5355" i="15" s="1"/>
  <c r="H5356" i="15"/>
  <c r="A5356" i="15" s="1"/>
  <c r="H5357" i="15"/>
  <c r="A5357" i="15" s="1"/>
  <c r="H5358" i="15"/>
  <c r="A5358" i="15" s="1"/>
  <c r="H5359" i="15"/>
  <c r="A5359" i="15" s="1"/>
  <c r="H5360" i="15"/>
  <c r="A5360" i="15" s="1"/>
  <c r="H5361" i="15"/>
  <c r="A5361" i="15" s="1"/>
  <c r="H5362" i="15"/>
  <c r="A5362" i="15" s="1"/>
  <c r="H5363" i="15"/>
  <c r="A5363" i="15" s="1"/>
  <c r="H5364" i="15"/>
  <c r="A5364" i="15" s="1"/>
  <c r="H5365" i="15"/>
  <c r="A5365" i="15" s="1"/>
  <c r="H5366" i="15"/>
  <c r="A5366" i="15" s="1"/>
  <c r="H5367" i="15"/>
  <c r="A5367" i="15" s="1"/>
  <c r="H5368" i="15"/>
  <c r="A5368" i="15" s="1"/>
  <c r="H5369" i="15"/>
  <c r="A5369" i="15" s="1"/>
  <c r="H5370" i="15"/>
  <c r="A5370" i="15" s="1"/>
  <c r="H5371" i="15"/>
  <c r="A5371" i="15" s="1"/>
  <c r="H5372" i="15"/>
  <c r="A5372" i="15" s="1"/>
  <c r="H5373" i="15"/>
  <c r="A5373" i="15" s="1"/>
  <c r="H5374" i="15"/>
  <c r="A5374" i="15" s="1"/>
  <c r="H5375" i="15"/>
  <c r="A5375" i="15" s="1"/>
  <c r="H5376" i="15"/>
  <c r="A5376" i="15" s="1"/>
  <c r="H5377" i="15"/>
  <c r="A5377" i="15" s="1"/>
  <c r="H5378" i="15"/>
  <c r="A5378" i="15" s="1"/>
  <c r="H5379" i="15"/>
  <c r="A5379" i="15" s="1"/>
  <c r="H5380" i="15"/>
  <c r="A5380" i="15" s="1"/>
  <c r="H5381" i="15"/>
  <c r="A5381" i="15" s="1"/>
  <c r="H5382" i="15"/>
  <c r="A5382" i="15" s="1"/>
  <c r="H5383" i="15"/>
  <c r="A5383" i="15" s="1"/>
  <c r="H5384" i="15"/>
  <c r="A5384" i="15" s="1"/>
  <c r="H5385" i="15"/>
  <c r="A5385" i="15" s="1"/>
  <c r="H5386" i="15"/>
  <c r="A5386" i="15" s="1"/>
  <c r="H5387" i="15"/>
  <c r="A5387" i="15" s="1"/>
  <c r="H5388" i="15"/>
  <c r="A5388" i="15" s="1"/>
  <c r="H5389" i="15"/>
  <c r="A5389" i="15" s="1"/>
  <c r="H5390" i="15"/>
  <c r="A5390" i="15" s="1"/>
  <c r="H5391" i="15"/>
  <c r="A5391" i="15" s="1"/>
  <c r="H5392" i="15"/>
  <c r="A5392" i="15" s="1"/>
  <c r="H5393" i="15"/>
  <c r="A5393" i="15" s="1"/>
  <c r="H5394" i="15"/>
  <c r="A5394" i="15" s="1"/>
  <c r="H5395" i="15"/>
  <c r="A5395" i="15" s="1"/>
  <c r="H5396" i="15"/>
  <c r="A5396" i="15" s="1"/>
  <c r="H5397" i="15"/>
  <c r="A5397" i="15" s="1"/>
  <c r="H5398" i="15"/>
  <c r="A5398" i="15" s="1"/>
  <c r="H5399" i="15"/>
  <c r="A5399" i="15" s="1"/>
  <c r="H5400" i="15"/>
  <c r="A5400" i="15" s="1"/>
  <c r="H5401" i="15"/>
  <c r="A5401" i="15" s="1"/>
  <c r="H5402" i="15"/>
  <c r="A5402" i="15" s="1"/>
  <c r="H5403" i="15"/>
  <c r="A5403" i="15" s="1"/>
  <c r="H5404" i="15"/>
  <c r="A5404" i="15" s="1"/>
  <c r="H5405" i="15"/>
  <c r="A5405" i="15" s="1"/>
  <c r="H5406" i="15"/>
  <c r="A5406" i="15" s="1"/>
  <c r="H5407" i="15"/>
  <c r="A5407" i="15" s="1"/>
  <c r="H5408" i="15"/>
  <c r="A5408" i="15" s="1"/>
  <c r="H5409" i="15"/>
  <c r="A5409" i="15" s="1"/>
  <c r="H5410" i="15"/>
  <c r="A5410" i="15" s="1"/>
  <c r="H5411" i="15"/>
  <c r="A5411" i="15" s="1"/>
  <c r="H5412" i="15"/>
  <c r="A5412" i="15" s="1"/>
  <c r="H5413" i="15"/>
  <c r="A5413" i="15" s="1"/>
  <c r="H5414" i="15"/>
  <c r="A5414" i="15" s="1"/>
  <c r="H5415" i="15"/>
  <c r="A5415" i="15" s="1"/>
  <c r="H5416" i="15"/>
  <c r="A5416" i="15" s="1"/>
  <c r="H5417" i="15"/>
  <c r="A5417" i="15" s="1"/>
  <c r="H5418" i="15"/>
  <c r="A5418" i="15" s="1"/>
  <c r="H5419" i="15"/>
  <c r="A5419" i="15" s="1"/>
  <c r="H5420" i="15"/>
  <c r="A5420" i="15" s="1"/>
  <c r="H5421" i="15"/>
  <c r="A5421" i="15" s="1"/>
  <c r="H5422" i="15"/>
  <c r="A5422" i="15" s="1"/>
  <c r="H5423" i="15"/>
  <c r="A5423" i="15" s="1"/>
  <c r="H5424" i="15"/>
  <c r="A5424" i="15" s="1"/>
  <c r="H5425" i="15"/>
  <c r="A5425" i="15" s="1"/>
  <c r="H5426" i="15"/>
  <c r="A5426" i="15" s="1"/>
  <c r="H5427" i="15"/>
  <c r="A5427" i="15" s="1"/>
  <c r="H5428" i="15"/>
  <c r="A5428" i="15" s="1"/>
  <c r="H5429" i="15"/>
  <c r="A5429" i="15" s="1"/>
  <c r="H5430" i="15"/>
  <c r="A5430" i="15" s="1"/>
  <c r="H5431" i="15"/>
  <c r="A5431" i="15" s="1"/>
  <c r="H5432" i="15"/>
  <c r="A5432" i="15" s="1"/>
  <c r="H5433" i="15"/>
  <c r="A5433" i="15" s="1"/>
  <c r="H5434" i="15"/>
  <c r="A5434" i="15" s="1"/>
  <c r="H5435" i="15"/>
  <c r="A5435" i="15" s="1"/>
  <c r="H5436" i="15"/>
  <c r="A5436" i="15" s="1"/>
  <c r="H5437" i="15"/>
  <c r="A5437" i="15" s="1"/>
  <c r="H5438" i="15"/>
  <c r="A5438" i="15" s="1"/>
  <c r="H5439" i="15"/>
  <c r="A5439" i="15" s="1"/>
  <c r="H5440" i="15"/>
  <c r="A5440" i="15" s="1"/>
  <c r="H5441" i="15"/>
  <c r="A5441" i="15" s="1"/>
  <c r="H5442" i="15"/>
  <c r="A5442" i="15" s="1"/>
  <c r="H5443" i="15"/>
  <c r="A5443" i="15" s="1"/>
  <c r="H5444" i="15"/>
  <c r="A5444" i="15" s="1"/>
  <c r="H5445" i="15"/>
  <c r="A5445" i="15" s="1"/>
  <c r="H5446" i="15"/>
  <c r="A5446" i="15" s="1"/>
  <c r="H5447" i="15"/>
  <c r="A5447" i="15" s="1"/>
  <c r="H5448" i="15"/>
  <c r="A5448" i="15" s="1"/>
  <c r="H5449" i="15"/>
  <c r="A5449" i="15" s="1"/>
  <c r="H5450" i="15"/>
  <c r="A5450" i="15" s="1"/>
  <c r="H5451" i="15"/>
  <c r="A5451" i="15" s="1"/>
  <c r="H5452" i="15"/>
  <c r="A5452" i="15" s="1"/>
  <c r="H5453" i="15"/>
  <c r="A5453" i="15" s="1"/>
  <c r="H5454" i="15"/>
  <c r="A5454" i="15" s="1"/>
  <c r="H5455" i="15"/>
  <c r="A5455" i="15" s="1"/>
  <c r="H5456" i="15"/>
  <c r="A5456" i="15" s="1"/>
  <c r="H5457" i="15"/>
  <c r="A5457" i="15" s="1"/>
  <c r="H5458" i="15"/>
  <c r="A5458" i="15" s="1"/>
  <c r="H5459" i="15"/>
  <c r="A5459" i="15" s="1"/>
  <c r="H5460" i="15"/>
  <c r="A5460" i="15" s="1"/>
  <c r="H5461" i="15"/>
  <c r="A5461" i="15" s="1"/>
  <c r="H5462" i="15"/>
  <c r="A5462" i="15" s="1"/>
  <c r="H5463" i="15"/>
  <c r="A5463" i="15" s="1"/>
  <c r="H5464" i="15"/>
  <c r="A5464" i="15" s="1"/>
  <c r="H5465" i="15"/>
  <c r="A5465" i="15" s="1"/>
  <c r="H5466" i="15"/>
  <c r="A5466" i="15" s="1"/>
  <c r="H5467" i="15"/>
  <c r="A5467" i="15" s="1"/>
  <c r="H5468" i="15"/>
  <c r="A5468" i="15" s="1"/>
  <c r="H5469" i="15"/>
  <c r="A5469" i="15" s="1"/>
  <c r="H5470" i="15"/>
  <c r="A5470" i="15" s="1"/>
  <c r="H5471" i="15"/>
  <c r="A5471" i="15" s="1"/>
  <c r="H5472" i="15"/>
  <c r="A5472" i="15" s="1"/>
  <c r="H5473" i="15"/>
  <c r="A5473" i="15" s="1"/>
  <c r="H5474" i="15"/>
  <c r="A5474" i="15" s="1"/>
  <c r="H5475" i="15"/>
  <c r="A5475" i="15" s="1"/>
  <c r="H5476" i="15"/>
  <c r="A5476" i="15" s="1"/>
  <c r="H5477" i="15"/>
  <c r="A5477" i="15" s="1"/>
  <c r="H5478" i="15"/>
  <c r="A5478" i="15" s="1"/>
  <c r="H5479" i="15"/>
  <c r="A5479" i="15" s="1"/>
  <c r="H5480" i="15"/>
  <c r="A5480" i="15" s="1"/>
  <c r="H5481" i="15"/>
  <c r="A5481" i="15" s="1"/>
  <c r="H5482" i="15"/>
  <c r="A5482" i="15" s="1"/>
  <c r="H5483" i="15"/>
  <c r="A5483" i="15" s="1"/>
  <c r="H5484" i="15"/>
  <c r="A5484" i="15" s="1"/>
  <c r="H5485" i="15"/>
  <c r="A5485" i="15" s="1"/>
  <c r="H5486" i="15"/>
  <c r="A5486" i="15" s="1"/>
  <c r="H5487" i="15"/>
  <c r="A5487" i="15" s="1"/>
  <c r="H5488" i="15"/>
  <c r="A5488" i="15" s="1"/>
  <c r="H5489" i="15"/>
  <c r="A5489" i="15" s="1"/>
  <c r="H5490" i="15"/>
  <c r="A5490" i="15" s="1"/>
  <c r="H5491" i="15"/>
  <c r="A5491" i="15" s="1"/>
  <c r="H5492" i="15"/>
  <c r="A5492" i="15" s="1"/>
  <c r="H5493" i="15"/>
  <c r="A5493" i="15" s="1"/>
  <c r="H5494" i="15"/>
  <c r="A5494" i="15" s="1"/>
  <c r="H5495" i="15"/>
  <c r="A5495" i="15" s="1"/>
  <c r="H5496" i="15"/>
  <c r="A5496" i="15" s="1"/>
  <c r="H5497" i="15"/>
  <c r="A5497" i="15" s="1"/>
  <c r="H5498" i="15"/>
  <c r="A5498" i="15" s="1"/>
  <c r="H5499" i="15"/>
  <c r="A5499" i="15" s="1"/>
  <c r="H5500" i="15"/>
  <c r="A5500" i="15" s="1"/>
  <c r="H5501" i="15"/>
  <c r="A5501" i="15" s="1"/>
  <c r="H5502" i="15"/>
  <c r="A5502" i="15" s="1"/>
  <c r="H5503" i="15"/>
  <c r="A5503" i="15" s="1"/>
  <c r="H5504" i="15"/>
  <c r="A5504" i="15" s="1"/>
  <c r="H5505" i="15"/>
  <c r="A5505" i="15" s="1"/>
  <c r="H5506" i="15"/>
  <c r="A5506" i="15" s="1"/>
  <c r="H5507" i="15"/>
  <c r="A5507" i="15" s="1"/>
  <c r="H5508" i="15"/>
  <c r="A5508" i="15" s="1"/>
  <c r="H5509" i="15"/>
  <c r="A5509" i="15" s="1"/>
  <c r="H5510" i="15"/>
  <c r="A5510" i="15" s="1"/>
  <c r="H5511" i="15"/>
  <c r="A5511" i="15" s="1"/>
  <c r="H5512" i="15"/>
  <c r="A5512" i="15" s="1"/>
  <c r="H5513" i="15"/>
  <c r="A5513" i="15" s="1"/>
  <c r="H5514" i="15"/>
  <c r="A5514" i="15" s="1"/>
  <c r="H5515" i="15"/>
  <c r="A5515" i="15" s="1"/>
  <c r="H5516" i="15"/>
  <c r="A5516" i="15" s="1"/>
  <c r="H5517" i="15"/>
  <c r="A5517" i="15" s="1"/>
  <c r="H5518" i="15"/>
  <c r="A5518" i="15" s="1"/>
  <c r="H5519" i="15"/>
  <c r="A5519" i="15" s="1"/>
  <c r="H5520" i="15"/>
  <c r="A5520" i="15" s="1"/>
  <c r="H5521" i="15"/>
  <c r="A5521" i="15" s="1"/>
  <c r="H5522" i="15"/>
  <c r="A5522" i="15" s="1"/>
  <c r="H5523" i="15"/>
  <c r="A5523" i="15" s="1"/>
  <c r="H5524" i="15"/>
  <c r="A5524" i="15" s="1"/>
  <c r="H5525" i="15"/>
  <c r="A5525" i="15" s="1"/>
  <c r="H5526" i="15"/>
  <c r="A5526" i="15" s="1"/>
  <c r="H5527" i="15"/>
  <c r="A5527" i="15" s="1"/>
  <c r="H5528" i="15"/>
  <c r="A5528" i="15" s="1"/>
  <c r="H5529" i="15"/>
  <c r="A5529" i="15" s="1"/>
  <c r="H5530" i="15"/>
  <c r="A5530" i="15" s="1"/>
  <c r="H5531" i="15"/>
  <c r="A5531" i="15" s="1"/>
  <c r="H5532" i="15"/>
  <c r="A5532" i="15" s="1"/>
  <c r="H5533" i="15"/>
  <c r="A5533" i="15" s="1"/>
  <c r="H5534" i="15"/>
  <c r="A5534" i="15" s="1"/>
  <c r="H5535" i="15"/>
  <c r="A5535" i="15" s="1"/>
  <c r="H5536" i="15"/>
  <c r="A5536" i="15" s="1"/>
  <c r="H5537" i="15"/>
  <c r="A5537" i="15" s="1"/>
  <c r="H5538" i="15"/>
  <c r="A5538" i="15" s="1"/>
  <c r="H5539" i="15"/>
  <c r="A5539" i="15" s="1"/>
  <c r="H5540" i="15"/>
  <c r="A5540" i="15" s="1"/>
  <c r="H5541" i="15"/>
  <c r="A5541" i="15" s="1"/>
  <c r="H5542" i="15"/>
  <c r="A5542" i="15" s="1"/>
  <c r="H5543" i="15"/>
  <c r="A5543" i="15" s="1"/>
  <c r="H5544" i="15"/>
  <c r="A5544" i="15" s="1"/>
  <c r="H5545" i="15"/>
  <c r="A5545" i="15" s="1"/>
  <c r="H5546" i="15"/>
  <c r="A5546" i="15" s="1"/>
  <c r="H5547" i="15"/>
  <c r="A5547" i="15" s="1"/>
  <c r="H5548" i="15"/>
  <c r="A5548" i="15" s="1"/>
  <c r="H5549" i="15"/>
  <c r="A5549" i="15" s="1"/>
  <c r="H5550" i="15"/>
  <c r="A5550" i="15" s="1"/>
  <c r="H5551" i="15"/>
  <c r="A5551" i="15" s="1"/>
  <c r="H5552" i="15"/>
  <c r="A5552" i="15" s="1"/>
  <c r="H5553" i="15"/>
  <c r="A5553" i="15" s="1"/>
  <c r="H5554" i="15"/>
  <c r="A5554" i="15" s="1"/>
  <c r="H5555" i="15"/>
  <c r="A5555" i="15" s="1"/>
  <c r="H5556" i="15"/>
  <c r="A5556" i="15" s="1"/>
  <c r="H5557" i="15"/>
  <c r="A5557" i="15" s="1"/>
  <c r="H5558" i="15"/>
  <c r="A5558" i="15" s="1"/>
  <c r="H5559" i="15"/>
  <c r="A5559" i="15" s="1"/>
  <c r="H5560" i="15"/>
  <c r="A5560" i="15" s="1"/>
  <c r="H5561" i="15"/>
  <c r="A5561" i="15" s="1"/>
  <c r="H5562" i="15"/>
  <c r="A5562" i="15" s="1"/>
  <c r="H5563" i="15"/>
  <c r="A5563" i="15" s="1"/>
  <c r="H5564" i="15"/>
  <c r="A5564" i="15" s="1"/>
  <c r="H5565" i="15"/>
  <c r="A5565" i="15" s="1"/>
  <c r="H5566" i="15"/>
  <c r="A5566" i="15" s="1"/>
  <c r="H5567" i="15"/>
  <c r="A5567" i="15" s="1"/>
  <c r="H5568" i="15"/>
  <c r="A5568" i="15" s="1"/>
  <c r="H5569" i="15"/>
  <c r="A5569" i="15" s="1"/>
  <c r="H5570" i="15"/>
  <c r="A5570" i="15" s="1"/>
  <c r="H5571" i="15"/>
  <c r="A5571" i="15" s="1"/>
  <c r="H5572" i="15"/>
  <c r="A5572" i="15" s="1"/>
  <c r="H5573" i="15"/>
  <c r="A5573" i="15" s="1"/>
  <c r="H5574" i="15"/>
  <c r="A5574" i="15" s="1"/>
  <c r="H5575" i="15"/>
  <c r="A5575" i="15" s="1"/>
  <c r="H5576" i="15"/>
  <c r="A5576" i="15" s="1"/>
  <c r="H5577" i="15"/>
  <c r="A5577" i="15" s="1"/>
  <c r="H5578" i="15"/>
  <c r="A5578" i="15" s="1"/>
  <c r="H5579" i="15"/>
  <c r="A5579" i="15" s="1"/>
  <c r="H5580" i="15"/>
  <c r="A5580" i="15" s="1"/>
  <c r="H5581" i="15"/>
  <c r="A5581" i="15" s="1"/>
  <c r="H5582" i="15"/>
  <c r="A5582" i="15" s="1"/>
  <c r="H5583" i="15"/>
  <c r="A5583" i="15" s="1"/>
  <c r="H5584" i="15"/>
  <c r="A5584" i="15" s="1"/>
  <c r="H5585" i="15"/>
  <c r="A5585" i="15" s="1"/>
  <c r="H5586" i="15"/>
  <c r="A5586" i="15" s="1"/>
  <c r="H5587" i="15"/>
  <c r="A5587" i="15" s="1"/>
  <c r="H5588" i="15"/>
  <c r="A5588" i="15" s="1"/>
  <c r="H5589" i="15"/>
  <c r="A5589" i="15" s="1"/>
  <c r="H5590" i="15"/>
  <c r="A5590" i="15" s="1"/>
  <c r="H5591" i="15"/>
  <c r="A5591" i="15" s="1"/>
  <c r="H5592" i="15"/>
  <c r="A5592" i="15" s="1"/>
  <c r="H5593" i="15"/>
  <c r="A5593" i="15" s="1"/>
  <c r="H5594" i="15"/>
  <c r="A5594" i="15" s="1"/>
  <c r="H5595" i="15"/>
  <c r="A5595" i="15" s="1"/>
  <c r="H5596" i="15"/>
  <c r="A5596" i="15" s="1"/>
  <c r="H5597" i="15"/>
  <c r="A5597" i="15" s="1"/>
  <c r="H5598" i="15"/>
  <c r="A5598" i="15" s="1"/>
  <c r="H5599" i="15"/>
  <c r="A5599" i="15" s="1"/>
  <c r="H5600" i="15"/>
  <c r="A5600" i="15" s="1"/>
  <c r="H5601" i="15"/>
  <c r="A5601" i="15" s="1"/>
  <c r="H5602" i="15"/>
  <c r="A5602" i="15" s="1"/>
  <c r="H5603" i="15"/>
  <c r="A5603" i="15" s="1"/>
  <c r="H5604" i="15"/>
  <c r="A5604" i="15" s="1"/>
  <c r="H5605" i="15"/>
  <c r="A5605" i="15" s="1"/>
  <c r="H5606" i="15"/>
  <c r="A5606" i="15" s="1"/>
  <c r="H5607" i="15"/>
  <c r="A5607" i="15" s="1"/>
  <c r="H5608" i="15"/>
  <c r="A5608" i="15" s="1"/>
  <c r="H5609" i="15"/>
  <c r="A5609" i="15" s="1"/>
  <c r="H5610" i="15"/>
  <c r="A5610" i="15" s="1"/>
  <c r="H5611" i="15"/>
  <c r="A5611" i="15" s="1"/>
  <c r="H5612" i="15"/>
  <c r="A5612" i="15" s="1"/>
  <c r="H5613" i="15"/>
  <c r="A5613" i="15" s="1"/>
  <c r="H5614" i="15"/>
  <c r="A5614" i="15" s="1"/>
  <c r="H5615" i="15"/>
  <c r="A5615" i="15" s="1"/>
  <c r="H5616" i="15"/>
  <c r="A5616" i="15" s="1"/>
  <c r="H5617" i="15"/>
  <c r="A5617" i="15" s="1"/>
  <c r="H5618" i="15"/>
  <c r="A5618" i="15" s="1"/>
  <c r="H5619" i="15"/>
  <c r="A5619" i="15" s="1"/>
  <c r="H5620" i="15"/>
  <c r="A5620" i="15" s="1"/>
  <c r="H5621" i="15"/>
  <c r="A5621" i="15" s="1"/>
  <c r="H5622" i="15"/>
  <c r="A5622" i="15" s="1"/>
  <c r="H5623" i="15"/>
  <c r="A5623" i="15" s="1"/>
  <c r="H5624" i="15"/>
  <c r="A5624" i="15" s="1"/>
  <c r="H5625" i="15"/>
  <c r="A5625" i="15" s="1"/>
  <c r="H5626" i="15"/>
  <c r="A5626" i="15" s="1"/>
  <c r="H5627" i="15"/>
  <c r="A5627" i="15" s="1"/>
  <c r="H5628" i="15"/>
  <c r="A5628" i="15" s="1"/>
  <c r="H5629" i="15"/>
  <c r="A5629" i="15" s="1"/>
  <c r="H5630" i="15"/>
  <c r="A5630" i="15" s="1"/>
  <c r="H5631" i="15"/>
  <c r="A5631" i="15" s="1"/>
  <c r="H5632" i="15"/>
  <c r="A5632" i="15" s="1"/>
  <c r="H5633" i="15"/>
  <c r="A5633" i="15" s="1"/>
  <c r="H5634" i="15"/>
  <c r="A5634" i="15" s="1"/>
  <c r="H5635" i="15"/>
  <c r="A5635" i="15" s="1"/>
  <c r="H5636" i="15"/>
  <c r="A5636" i="15" s="1"/>
  <c r="H5637" i="15"/>
  <c r="A5637" i="15" s="1"/>
  <c r="H5638" i="15"/>
  <c r="A5638" i="15" s="1"/>
  <c r="H5639" i="15"/>
  <c r="A5639" i="15" s="1"/>
  <c r="H5640" i="15"/>
  <c r="A5640" i="15" s="1"/>
  <c r="H5641" i="15"/>
  <c r="A5641" i="15" s="1"/>
  <c r="H5642" i="15"/>
  <c r="A5642" i="15" s="1"/>
  <c r="H5643" i="15"/>
  <c r="A5643" i="15" s="1"/>
  <c r="H5644" i="15"/>
  <c r="A5644" i="15" s="1"/>
  <c r="H5645" i="15"/>
  <c r="A5645" i="15" s="1"/>
  <c r="H5646" i="15"/>
  <c r="A5646" i="15" s="1"/>
  <c r="H5647" i="15"/>
  <c r="A5647" i="15" s="1"/>
  <c r="H5648" i="15"/>
  <c r="A5648" i="15" s="1"/>
  <c r="H5649" i="15"/>
  <c r="A5649" i="15" s="1"/>
  <c r="H5650" i="15"/>
  <c r="A5650" i="15" s="1"/>
  <c r="H5651" i="15"/>
  <c r="A5651" i="15" s="1"/>
  <c r="H5652" i="15"/>
  <c r="A5652" i="15" s="1"/>
  <c r="H5653" i="15"/>
  <c r="A5653" i="15" s="1"/>
  <c r="H5654" i="15"/>
  <c r="A5654" i="15" s="1"/>
  <c r="H5655" i="15"/>
  <c r="A5655" i="15" s="1"/>
  <c r="H5656" i="15"/>
  <c r="A5656" i="15" s="1"/>
  <c r="H5657" i="15"/>
  <c r="A5657" i="15" s="1"/>
  <c r="H5658" i="15"/>
  <c r="A5658" i="15" s="1"/>
  <c r="H5659" i="15"/>
  <c r="A5659" i="15" s="1"/>
  <c r="H5660" i="15"/>
  <c r="A5660" i="15" s="1"/>
  <c r="H5661" i="15"/>
  <c r="A5661" i="15" s="1"/>
  <c r="H5662" i="15"/>
  <c r="A5662" i="15" s="1"/>
  <c r="H5663" i="15"/>
  <c r="A5663" i="15" s="1"/>
  <c r="H5664" i="15"/>
  <c r="A5664" i="15" s="1"/>
  <c r="H5665" i="15"/>
  <c r="A5665" i="15" s="1"/>
  <c r="H5666" i="15"/>
  <c r="A5666" i="15" s="1"/>
  <c r="H5667" i="15"/>
  <c r="A5667" i="15" s="1"/>
  <c r="H5668" i="15"/>
  <c r="A5668" i="15" s="1"/>
  <c r="H5669" i="15"/>
  <c r="A5669" i="15" s="1"/>
  <c r="H5670" i="15"/>
  <c r="A5670" i="15" s="1"/>
  <c r="H5671" i="15"/>
  <c r="A5671" i="15" s="1"/>
  <c r="H5672" i="15"/>
  <c r="A5672" i="15" s="1"/>
  <c r="H5673" i="15"/>
  <c r="A5673" i="15" s="1"/>
  <c r="H5674" i="15"/>
  <c r="A5674" i="15" s="1"/>
  <c r="H5675" i="15"/>
  <c r="A5675" i="15" s="1"/>
  <c r="H5676" i="15"/>
  <c r="A5676" i="15" s="1"/>
  <c r="H5677" i="15"/>
  <c r="A5677" i="15" s="1"/>
  <c r="H5678" i="15"/>
  <c r="A5678" i="15" s="1"/>
  <c r="H5679" i="15"/>
  <c r="A5679" i="15" s="1"/>
  <c r="H5680" i="15"/>
  <c r="A5680" i="15" s="1"/>
  <c r="H5681" i="15"/>
  <c r="A5681" i="15" s="1"/>
  <c r="H5682" i="15"/>
  <c r="A5682" i="15" s="1"/>
  <c r="H5683" i="15"/>
  <c r="A5683" i="15" s="1"/>
  <c r="H5684" i="15"/>
  <c r="A5684" i="15" s="1"/>
  <c r="H5685" i="15"/>
  <c r="A5685" i="15" s="1"/>
  <c r="H5686" i="15"/>
  <c r="A5686" i="15" s="1"/>
  <c r="H5687" i="15"/>
  <c r="A5687" i="15" s="1"/>
  <c r="H5688" i="15"/>
  <c r="A5688" i="15" s="1"/>
  <c r="H5689" i="15"/>
  <c r="A5689" i="15" s="1"/>
  <c r="H5690" i="15"/>
  <c r="A5690" i="15" s="1"/>
  <c r="H5691" i="15"/>
  <c r="A5691" i="15" s="1"/>
  <c r="H5692" i="15"/>
  <c r="A5692" i="15" s="1"/>
  <c r="H5693" i="15"/>
  <c r="A5693" i="15" s="1"/>
  <c r="H5694" i="15"/>
  <c r="A5694" i="15" s="1"/>
  <c r="H5695" i="15"/>
  <c r="A5695" i="15" s="1"/>
  <c r="H5696" i="15"/>
  <c r="A5696" i="15" s="1"/>
  <c r="H5697" i="15"/>
  <c r="A5697" i="15" s="1"/>
  <c r="H5698" i="15"/>
  <c r="A5698" i="15" s="1"/>
  <c r="H5699" i="15"/>
  <c r="A5699" i="15" s="1"/>
  <c r="H5700" i="15"/>
  <c r="A5700" i="15" s="1"/>
  <c r="H5701" i="15"/>
  <c r="A5701" i="15" s="1"/>
  <c r="H5702" i="15"/>
  <c r="A5702" i="15" s="1"/>
  <c r="H5703" i="15"/>
  <c r="A5703" i="15" s="1"/>
  <c r="H5704" i="15"/>
  <c r="A5704" i="15" s="1"/>
  <c r="H5705" i="15"/>
  <c r="A5705" i="15" s="1"/>
  <c r="H5706" i="15"/>
  <c r="A5706" i="15" s="1"/>
  <c r="H5707" i="15"/>
  <c r="A5707" i="15" s="1"/>
  <c r="H5708" i="15"/>
  <c r="A5708" i="15" s="1"/>
  <c r="H5709" i="15"/>
  <c r="A5709" i="15" s="1"/>
  <c r="H5710" i="15"/>
  <c r="A5710" i="15" s="1"/>
  <c r="H5711" i="15"/>
  <c r="A5711" i="15" s="1"/>
  <c r="H5712" i="15"/>
  <c r="A5712" i="15" s="1"/>
  <c r="H5713" i="15"/>
  <c r="A5713" i="15" s="1"/>
  <c r="H5714" i="15"/>
  <c r="A5714" i="15" s="1"/>
  <c r="H5715" i="15"/>
  <c r="A5715" i="15" s="1"/>
  <c r="H5716" i="15"/>
  <c r="A5716" i="15" s="1"/>
  <c r="H5717" i="15"/>
  <c r="A5717" i="15" s="1"/>
  <c r="H5718" i="15"/>
  <c r="A5718" i="15" s="1"/>
  <c r="H5719" i="15"/>
  <c r="A5719" i="15" s="1"/>
  <c r="H5720" i="15"/>
  <c r="A5720" i="15" s="1"/>
  <c r="H5721" i="15"/>
  <c r="A5721" i="15" s="1"/>
  <c r="H5722" i="15"/>
  <c r="A5722" i="15" s="1"/>
  <c r="H5723" i="15"/>
  <c r="A5723" i="15" s="1"/>
  <c r="H5724" i="15"/>
  <c r="A5724" i="15" s="1"/>
  <c r="H5725" i="15"/>
  <c r="A5725" i="15" s="1"/>
  <c r="H5726" i="15"/>
  <c r="A5726" i="15" s="1"/>
  <c r="H5727" i="15"/>
  <c r="A5727" i="15" s="1"/>
  <c r="H5728" i="15"/>
  <c r="A5728" i="15" s="1"/>
  <c r="H5729" i="15"/>
  <c r="A5729" i="15" s="1"/>
  <c r="H5730" i="15"/>
  <c r="A5730" i="15" s="1"/>
  <c r="H5731" i="15"/>
  <c r="A5731" i="15" s="1"/>
  <c r="H5732" i="15"/>
  <c r="A5732" i="15" s="1"/>
  <c r="H5733" i="15"/>
  <c r="A5733" i="15" s="1"/>
  <c r="H5734" i="15"/>
  <c r="A5734" i="15" s="1"/>
  <c r="H5735" i="15"/>
  <c r="A5735" i="15" s="1"/>
  <c r="H5736" i="15"/>
  <c r="A5736" i="15" s="1"/>
  <c r="H5737" i="15"/>
  <c r="A5737" i="15" s="1"/>
  <c r="H5738" i="15"/>
  <c r="A5738" i="15" s="1"/>
  <c r="H5739" i="15"/>
  <c r="A5739" i="15" s="1"/>
  <c r="H5740" i="15"/>
  <c r="A5740" i="15" s="1"/>
  <c r="H5741" i="15"/>
  <c r="A5741" i="15" s="1"/>
  <c r="H5742" i="15"/>
  <c r="A5742" i="15" s="1"/>
  <c r="H5743" i="15"/>
  <c r="A5743" i="15" s="1"/>
  <c r="H5744" i="15"/>
  <c r="A5744" i="15" s="1"/>
  <c r="H5745" i="15"/>
  <c r="A5745" i="15" s="1"/>
  <c r="H5746" i="15"/>
  <c r="A5746" i="15" s="1"/>
  <c r="H5747" i="15"/>
  <c r="A5747" i="15" s="1"/>
  <c r="H5748" i="15"/>
  <c r="A5748" i="15" s="1"/>
  <c r="H5749" i="15"/>
  <c r="A5749" i="15" s="1"/>
  <c r="H5750" i="15"/>
  <c r="A5750" i="15" s="1"/>
  <c r="H5751" i="15"/>
  <c r="A5751" i="15" s="1"/>
  <c r="H5752" i="15"/>
  <c r="A5752" i="15" s="1"/>
  <c r="H5753" i="15"/>
  <c r="A5753" i="15" s="1"/>
  <c r="H5754" i="15"/>
  <c r="A5754" i="15" s="1"/>
  <c r="H5755" i="15"/>
  <c r="A5755" i="15" s="1"/>
  <c r="H5756" i="15"/>
  <c r="A5756" i="15" s="1"/>
  <c r="H5757" i="15"/>
  <c r="A5757" i="15" s="1"/>
  <c r="H5758" i="15"/>
  <c r="A5758" i="15" s="1"/>
  <c r="H5759" i="15"/>
  <c r="A5759" i="15" s="1"/>
  <c r="H5760" i="15"/>
  <c r="A5760" i="15" s="1"/>
  <c r="H5761" i="15"/>
  <c r="A5761" i="15" s="1"/>
  <c r="H5762" i="15"/>
  <c r="A5762" i="15" s="1"/>
  <c r="H5763" i="15"/>
  <c r="A5763" i="15" s="1"/>
  <c r="H5764" i="15"/>
  <c r="A5764" i="15" s="1"/>
  <c r="H5765" i="15"/>
  <c r="A5765" i="15" s="1"/>
  <c r="H5766" i="15"/>
  <c r="A5766" i="15" s="1"/>
  <c r="H5767" i="15"/>
  <c r="A5767" i="15" s="1"/>
  <c r="H5768" i="15"/>
  <c r="A5768" i="15" s="1"/>
  <c r="H5769" i="15"/>
  <c r="A5769" i="15" s="1"/>
  <c r="H5770" i="15"/>
  <c r="A5770" i="15" s="1"/>
  <c r="H5771" i="15"/>
  <c r="A5771" i="15" s="1"/>
  <c r="H5772" i="15"/>
  <c r="A5772" i="15" s="1"/>
  <c r="H5773" i="15"/>
  <c r="A5773" i="15" s="1"/>
  <c r="H5774" i="15"/>
  <c r="A5774" i="15" s="1"/>
  <c r="H5775" i="15"/>
  <c r="A5775" i="15" s="1"/>
  <c r="H5776" i="15"/>
  <c r="A5776" i="15" s="1"/>
  <c r="H5777" i="15"/>
  <c r="A5777" i="15" s="1"/>
  <c r="H5778" i="15"/>
  <c r="A5778" i="15" s="1"/>
  <c r="H5779" i="15"/>
  <c r="A5779" i="15" s="1"/>
  <c r="H5780" i="15"/>
  <c r="A5780" i="15" s="1"/>
  <c r="H5781" i="15"/>
  <c r="A5781" i="15" s="1"/>
  <c r="H5782" i="15"/>
  <c r="A5782" i="15" s="1"/>
  <c r="H5783" i="15"/>
  <c r="A5783" i="15" s="1"/>
  <c r="H5784" i="15"/>
  <c r="A5784" i="15" s="1"/>
  <c r="H5785" i="15"/>
  <c r="A5785" i="15" s="1"/>
  <c r="H5786" i="15"/>
  <c r="A5786" i="15" s="1"/>
  <c r="H5787" i="15"/>
  <c r="A5787" i="15" s="1"/>
  <c r="H5788" i="15"/>
  <c r="A5788" i="15" s="1"/>
  <c r="H5789" i="15"/>
  <c r="A5789" i="15" s="1"/>
  <c r="H5790" i="15"/>
  <c r="A5790" i="15" s="1"/>
  <c r="H5791" i="15"/>
  <c r="A5791" i="15" s="1"/>
  <c r="H5792" i="15"/>
  <c r="A5792" i="15" s="1"/>
  <c r="H5793" i="15"/>
  <c r="A5793" i="15" s="1"/>
  <c r="H5794" i="15"/>
  <c r="A5794" i="15" s="1"/>
  <c r="H5795" i="15"/>
  <c r="A5795" i="15" s="1"/>
  <c r="H5796" i="15"/>
  <c r="A5796" i="15" s="1"/>
  <c r="H5797" i="15"/>
  <c r="A5797" i="15" s="1"/>
  <c r="H5798" i="15"/>
  <c r="A5798" i="15" s="1"/>
  <c r="H5799" i="15"/>
  <c r="A5799" i="15" s="1"/>
  <c r="H5800" i="15"/>
  <c r="A5800" i="15" s="1"/>
  <c r="H5801" i="15"/>
  <c r="A5801" i="15" s="1"/>
  <c r="H5802" i="15"/>
  <c r="A5802" i="15" s="1"/>
  <c r="H5803" i="15"/>
  <c r="A5803" i="15" s="1"/>
  <c r="H5804" i="15"/>
  <c r="A5804" i="15" s="1"/>
  <c r="H5805" i="15"/>
  <c r="A5805" i="15" s="1"/>
  <c r="H5806" i="15"/>
  <c r="A5806" i="15" s="1"/>
  <c r="H5807" i="15"/>
  <c r="A5807" i="15" s="1"/>
  <c r="H5808" i="15"/>
  <c r="A5808" i="15" s="1"/>
  <c r="H5809" i="15"/>
  <c r="A5809" i="15" s="1"/>
  <c r="H5810" i="15"/>
  <c r="A5810" i="15" s="1"/>
  <c r="H5811" i="15"/>
  <c r="A5811" i="15" s="1"/>
  <c r="H5812" i="15"/>
  <c r="A5812" i="15" s="1"/>
  <c r="H5813" i="15"/>
  <c r="A5813" i="15" s="1"/>
  <c r="H5814" i="15"/>
  <c r="A5814" i="15" s="1"/>
  <c r="H5815" i="15"/>
  <c r="A5815" i="15" s="1"/>
  <c r="H5816" i="15"/>
  <c r="A5816" i="15" s="1"/>
  <c r="H5817" i="15"/>
  <c r="A5817" i="15" s="1"/>
  <c r="H5818" i="15"/>
  <c r="A5818" i="15" s="1"/>
  <c r="H5819" i="15"/>
  <c r="A5819" i="15" s="1"/>
  <c r="H5820" i="15"/>
  <c r="A5820" i="15" s="1"/>
  <c r="H5821" i="15"/>
  <c r="A5821" i="15" s="1"/>
  <c r="H5822" i="15"/>
  <c r="A5822" i="15" s="1"/>
  <c r="H5823" i="15"/>
  <c r="A5823" i="15" s="1"/>
  <c r="H5824" i="15"/>
  <c r="A5824" i="15" s="1"/>
  <c r="H5825" i="15"/>
  <c r="A5825" i="15" s="1"/>
  <c r="H5826" i="15"/>
  <c r="A5826" i="15" s="1"/>
  <c r="H5827" i="15"/>
  <c r="A5827" i="15" s="1"/>
  <c r="H5828" i="15"/>
  <c r="A5828" i="15" s="1"/>
  <c r="H5829" i="15"/>
  <c r="A5829" i="15" s="1"/>
  <c r="H5830" i="15"/>
  <c r="A5830" i="15" s="1"/>
  <c r="H5831" i="15"/>
  <c r="A5831" i="15" s="1"/>
  <c r="H5832" i="15"/>
  <c r="A5832" i="15" s="1"/>
  <c r="H5833" i="15"/>
  <c r="A5833" i="15" s="1"/>
  <c r="H5834" i="15"/>
  <c r="A5834" i="15" s="1"/>
  <c r="H5835" i="15"/>
  <c r="A5835" i="15" s="1"/>
  <c r="H5836" i="15"/>
  <c r="A5836" i="15" s="1"/>
  <c r="H5837" i="15"/>
  <c r="A5837" i="15" s="1"/>
  <c r="H5838" i="15"/>
  <c r="A5838" i="15" s="1"/>
  <c r="H5839" i="15"/>
  <c r="A5839" i="15" s="1"/>
  <c r="H5840" i="15"/>
  <c r="A5840" i="15" s="1"/>
  <c r="H5841" i="15"/>
  <c r="A5841" i="15" s="1"/>
  <c r="H5842" i="15"/>
  <c r="A5842" i="15" s="1"/>
  <c r="H5843" i="15"/>
  <c r="A5843" i="15" s="1"/>
  <c r="H5844" i="15"/>
  <c r="A5844" i="15" s="1"/>
  <c r="H5845" i="15"/>
  <c r="A5845" i="15" s="1"/>
  <c r="H5846" i="15"/>
  <c r="A5846" i="15" s="1"/>
  <c r="H5847" i="15"/>
  <c r="A5847" i="15" s="1"/>
  <c r="H5848" i="15"/>
  <c r="A5848" i="15" s="1"/>
  <c r="H5849" i="15"/>
  <c r="A5849" i="15" s="1"/>
  <c r="H5850" i="15"/>
  <c r="A5850" i="15" s="1"/>
  <c r="H5851" i="15"/>
  <c r="A5851" i="15" s="1"/>
  <c r="H5852" i="15"/>
  <c r="A5852" i="15" s="1"/>
  <c r="H5853" i="15"/>
  <c r="A5853" i="15" s="1"/>
  <c r="H5854" i="15"/>
  <c r="A5854" i="15" s="1"/>
  <c r="H5855" i="15"/>
  <c r="A5855" i="15" s="1"/>
  <c r="H5856" i="15"/>
  <c r="A5856" i="15" s="1"/>
  <c r="H5857" i="15"/>
  <c r="A5857" i="15" s="1"/>
  <c r="H5858" i="15"/>
  <c r="A5858" i="15" s="1"/>
  <c r="H5859" i="15"/>
  <c r="A5859" i="15" s="1"/>
  <c r="H5860" i="15"/>
  <c r="A5860" i="15" s="1"/>
  <c r="H5861" i="15"/>
  <c r="A5861" i="15" s="1"/>
  <c r="H5862" i="15"/>
  <c r="A5862" i="15" s="1"/>
  <c r="H5863" i="15"/>
  <c r="A5863" i="15" s="1"/>
  <c r="H5864" i="15"/>
  <c r="A5864" i="15" s="1"/>
  <c r="H5865" i="15"/>
  <c r="A5865" i="15" s="1"/>
  <c r="H5866" i="15"/>
  <c r="A5866" i="15" s="1"/>
  <c r="H5867" i="15"/>
  <c r="A5867" i="15" s="1"/>
  <c r="H5868" i="15"/>
  <c r="A5868" i="15" s="1"/>
  <c r="H5869" i="15"/>
  <c r="A5869" i="15" s="1"/>
  <c r="H5870" i="15"/>
  <c r="A5870" i="15" s="1"/>
  <c r="H5871" i="15"/>
  <c r="A5871" i="15" s="1"/>
  <c r="H5872" i="15"/>
  <c r="A5872" i="15" s="1"/>
  <c r="H5873" i="15"/>
  <c r="A5873" i="15" s="1"/>
  <c r="H5874" i="15"/>
  <c r="A5874" i="15" s="1"/>
  <c r="H5875" i="15"/>
  <c r="A5875" i="15" s="1"/>
  <c r="H5876" i="15"/>
  <c r="A5876" i="15" s="1"/>
  <c r="H5877" i="15"/>
  <c r="A5877" i="15" s="1"/>
  <c r="H5878" i="15"/>
  <c r="A5878" i="15" s="1"/>
  <c r="H5879" i="15"/>
  <c r="A5879" i="15" s="1"/>
  <c r="H5880" i="15"/>
  <c r="A5880" i="15" s="1"/>
  <c r="H5881" i="15"/>
  <c r="A5881" i="15" s="1"/>
  <c r="H5882" i="15"/>
  <c r="A5882" i="15" s="1"/>
  <c r="H5883" i="15"/>
  <c r="A5883" i="15" s="1"/>
  <c r="H5884" i="15"/>
  <c r="A5884" i="15" s="1"/>
  <c r="H5885" i="15"/>
  <c r="A5885" i="15" s="1"/>
  <c r="H5886" i="15"/>
  <c r="A5886" i="15" s="1"/>
  <c r="H5887" i="15"/>
  <c r="A5887" i="15" s="1"/>
  <c r="H5888" i="15"/>
  <c r="A5888" i="15" s="1"/>
  <c r="H5889" i="15"/>
  <c r="A5889" i="15" s="1"/>
  <c r="H5890" i="15"/>
  <c r="A5890" i="15" s="1"/>
  <c r="H5891" i="15"/>
  <c r="A5891" i="15" s="1"/>
  <c r="H5892" i="15"/>
  <c r="A5892" i="15" s="1"/>
  <c r="H5893" i="15"/>
  <c r="A5893" i="15" s="1"/>
  <c r="H5894" i="15"/>
  <c r="A5894" i="15" s="1"/>
  <c r="H5895" i="15"/>
  <c r="A5895" i="15" s="1"/>
  <c r="H5896" i="15"/>
  <c r="A5896" i="15" s="1"/>
  <c r="H5897" i="15"/>
  <c r="A5897" i="15" s="1"/>
  <c r="H5898" i="15"/>
  <c r="A5898" i="15" s="1"/>
  <c r="H5899" i="15"/>
  <c r="A5899" i="15" s="1"/>
  <c r="H5900" i="15"/>
  <c r="A5900" i="15" s="1"/>
  <c r="H5901" i="15"/>
  <c r="A5901" i="15" s="1"/>
  <c r="H5902" i="15"/>
  <c r="A5902" i="15" s="1"/>
  <c r="H5903" i="15"/>
  <c r="A5903" i="15" s="1"/>
  <c r="H5904" i="15"/>
  <c r="A5904" i="15" s="1"/>
  <c r="H5905" i="15"/>
  <c r="A5905" i="15" s="1"/>
  <c r="H5906" i="15"/>
  <c r="A5906" i="15" s="1"/>
  <c r="H5907" i="15"/>
  <c r="A5907" i="15" s="1"/>
  <c r="H5908" i="15"/>
  <c r="A5908" i="15" s="1"/>
  <c r="H5909" i="15"/>
  <c r="A5909" i="15" s="1"/>
  <c r="H5910" i="15"/>
  <c r="A5910" i="15" s="1"/>
  <c r="H5911" i="15"/>
  <c r="A5911" i="15" s="1"/>
  <c r="H5912" i="15"/>
  <c r="A5912" i="15" s="1"/>
  <c r="H5913" i="15"/>
  <c r="A5913" i="15" s="1"/>
  <c r="H5914" i="15"/>
  <c r="A5914" i="15" s="1"/>
  <c r="H5915" i="15"/>
  <c r="A5915" i="15" s="1"/>
  <c r="H5916" i="15"/>
  <c r="A5916" i="15" s="1"/>
  <c r="H5917" i="15"/>
  <c r="A5917" i="15" s="1"/>
  <c r="H5918" i="15"/>
  <c r="A5918" i="15" s="1"/>
  <c r="H5919" i="15"/>
  <c r="A5919" i="15" s="1"/>
  <c r="H5920" i="15"/>
  <c r="A5920" i="15" s="1"/>
  <c r="H5921" i="15"/>
  <c r="A5921" i="15" s="1"/>
  <c r="H5922" i="15"/>
  <c r="A5922" i="15" s="1"/>
  <c r="H5923" i="15"/>
  <c r="A5923" i="15" s="1"/>
  <c r="H5924" i="15"/>
  <c r="A5924" i="15" s="1"/>
  <c r="H5925" i="15"/>
  <c r="A5925" i="15" s="1"/>
  <c r="H5926" i="15"/>
  <c r="A5926" i="15" s="1"/>
  <c r="H5927" i="15"/>
  <c r="A5927" i="15" s="1"/>
  <c r="H5928" i="15"/>
  <c r="A5928" i="15" s="1"/>
  <c r="H5929" i="15"/>
  <c r="A5929" i="15" s="1"/>
  <c r="H5930" i="15"/>
  <c r="A5930" i="15" s="1"/>
  <c r="H5931" i="15"/>
  <c r="A5931" i="15" s="1"/>
  <c r="H5932" i="15"/>
  <c r="A5932" i="15" s="1"/>
  <c r="H5933" i="15"/>
  <c r="A5933" i="15" s="1"/>
  <c r="H5934" i="15"/>
  <c r="A5934" i="15" s="1"/>
  <c r="H5935" i="15"/>
  <c r="A5935" i="15" s="1"/>
  <c r="H5936" i="15"/>
  <c r="A5936" i="15" s="1"/>
  <c r="H5937" i="15"/>
  <c r="A5937" i="15" s="1"/>
  <c r="H5938" i="15"/>
  <c r="A5938" i="15" s="1"/>
  <c r="H5939" i="15"/>
  <c r="A5939" i="15" s="1"/>
  <c r="H5940" i="15"/>
  <c r="A5940" i="15" s="1"/>
  <c r="H5941" i="15"/>
  <c r="A5941" i="15" s="1"/>
  <c r="H5942" i="15"/>
  <c r="A5942" i="15" s="1"/>
  <c r="H5943" i="15"/>
  <c r="A5943" i="15" s="1"/>
  <c r="H5944" i="15"/>
  <c r="A5944" i="15" s="1"/>
  <c r="H5945" i="15"/>
  <c r="A5945" i="15" s="1"/>
  <c r="H5946" i="15"/>
  <c r="A5946" i="15" s="1"/>
  <c r="H5947" i="15"/>
  <c r="A5947" i="15" s="1"/>
  <c r="H5948" i="15"/>
  <c r="A5948" i="15" s="1"/>
  <c r="H5949" i="15"/>
  <c r="A5949" i="15" s="1"/>
  <c r="H5950" i="15"/>
  <c r="A5950" i="15" s="1"/>
  <c r="H5951" i="15"/>
  <c r="A5951" i="15" s="1"/>
  <c r="H5952" i="15"/>
  <c r="A5952" i="15" s="1"/>
  <c r="H5953" i="15"/>
  <c r="A5953" i="15" s="1"/>
  <c r="H5954" i="15"/>
  <c r="A5954" i="15" s="1"/>
  <c r="H5955" i="15"/>
  <c r="A5955" i="15" s="1"/>
  <c r="H5956" i="15"/>
  <c r="A5956" i="15" s="1"/>
  <c r="H5957" i="15"/>
  <c r="A5957" i="15" s="1"/>
  <c r="H5958" i="15"/>
  <c r="A5958" i="15" s="1"/>
  <c r="H5959" i="15"/>
  <c r="A5959" i="15" s="1"/>
  <c r="H5960" i="15"/>
  <c r="A5960" i="15" s="1"/>
  <c r="H5961" i="15"/>
  <c r="A5961" i="15" s="1"/>
  <c r="H5962" i="15"/>
  <c r="A5962" i="15" s="1"/>
  <c r="H5963" i="15"/>
  <c r="A5963" i="15" s="1"/>
  <c r="H5964" i="15"/>
  <c r="A5964" i="15" s="1"/>
  <c r="H5965" i="15"/>
  <c r="A5965" i="15" s="1"/>
  <c r="H5966" i="15"/>
  <c r="A5966" i="15" s="1"/>
  <c r="H5967" i="15"/>
  <c r="A5967" i="15" s="1"/>
  <c r="H5968" i="15"/>
  <c r="A5968" i="15" s="1"/>
  <c r="H5969" i="15"/>
  <c r="A5969" i="15" s="1"/>
  <c r="H5970" i="15"/>
  <c r="A5970" i="15" s="1"/>
  <c r="H5971" i="15"/>
  <c r="A5971" i="15" s="1"/>
  <c r="H5972" i="15"/>
  <c r="A5972" i="15" s="1"/>
  <c r="H5973" i="15"/>
  <c r="A5973" i="15" s="1"/>
  <c r="H5974" i="15"/>
  <c r="A5974" i="15" s="1"/>
  <c r="H5975" i="15"/>
  <c r="A5975" i="15" s="1"/>
  <c r="H5976" i="15"/>
  <c r="A5976" i="15" s="1"/>
  <c r="H5977" i="15"/>
  <c r="A5977" i="15" s="1"/>
  <c r="H5978" i="15"/>
  <c r="A5978" i="15" s="1"/>
  <c r="H5979" i="15"/>
  <c r="A5979" i="15" s="1"/>
  <c r="H5980" i="15"/>
  <c r="A5980" i="15" s="1"/>
  <c r="H5981" i="15"/>
  <c r="A5981" i="15" s="1"/>
  <c r="H5982" i="15"/>
  <c r="A5982" i="15" s="1"/>
  <c r="H5983" i="15"/>
  <c r="A5983" i="15" s="1"/>
  <c r="H5984" i="15"/>
  <c r="A5984" i="15" s="1"/>
  <c r="H5985" i="15"/>
  <c r="A5985" i="15" s="1"/>
  <c r="H5986" i="15"/>
  <c r="A5986" i="15" s="1"/>
  <c r="H5987" i="15"/>
  <c r="A5987" i="15" s="1"/>
  <c r="H5988" i="15"/>
  <c r="A5988" i="15" s="1"/>
  <c r="H5989" i="15"/>
  <c r="A5989" i="15" s="1"/>
  <c r="H5990" i="15"/>
  <c r="A5990" i="15" s="1"/>
  <c r="H5991" i="15"/>
  <c r="A5991" i="15" s="1"/>
  <c r="H5992" i="15"/>
  <c r="A5992" i="15" s="1"/>
  <c r="H5993" i="15"/>
  <c r="A5993" i="15" s="1"/>
  <c r="H5994" i="15"/>
  <c r="A5994" i="15" s="1"/>
  <c r="H5995" i="15"/>
  <c r="A5995" i="15" s="1"/>
  <c r="H5996" i="15"/>
  <c r="A5996" i="15" s="1"/>
  <c r="H5997" i="15"/>
  <c r="A5997" i="15" s="1"/>
  <c r="H5998" i="15"/>
  <c r="A5998" i="15" s="1"/>
  <c r="H5999" i="15"/>
  <c r="A5999" i="15" s="1"/>
  <c r="H6000" i="15"/>
  <c r="A6000" i="15" s="1"/>
  <c r="H6001" i="15"/>
  <c r="A6001" i="15" s="1"/>
  <c r="H6002" i="15"/>
  <c r="A6002" i="15" s="1"/>
  <c r="H6003" i="15"/>
  <c r="A6003" i="15" s="1"/>
  <c r="H6004" i="15"/>
  <c r="A6004" i="15" s="1"/>
  <c r="H6005" i="15"/>
  <c r="A6005" i="15" s="1"/>
  <c r="H6006" i="15"/>
  <c r="A6006" i="15" s="1"/>
  <c r="H6007" i="15"/>
  <c r="A6007" i="15" s="1"/>
  <c r="H6008" i="15"/>
  <c r="A6008" i="15" s="1"/>
  <c r="H6009" i="15"/>
  <c r="A6009" i="15" s="1"/>
  <c r="H6010" i="15"/>
  <c r="A6010" i="15" s="1"/>
  <c r="H6011" i="15"/>
  <c r="A6011" i="15" s="1"/>
  <c r="H6012" i="15"/>
  <c r="A6012" i="15" s="1"/>
  <c r="H6013" i="15"/>
  <c r="A6013" i="15" s="1"/>
  <c r="H6014" i="15"/>
  <c r="A6014" i="15" s="1"/>
  <c r="H6015" i="15"/>
  <c r="A6015" i="15" s="1"/>
  <c r="H6016" i="15"/>
  <c r="A6016" i="15" s="1"/>
  <c r="H6017" i="15"/>
  <c r="A6017" i="15" s="1"/>
  <c r="H6018" i="15"/>
  <c r="A6018" i="15" s="1"/>
  <c r="H6019" i="15"/>
  <c r="A6019" i="15" s="1"/>
  <c r="H6020" i="15"/>
  <c r="A6020" i="15" s="1"/>
  <c r="H6021" i="15"/>
  <c r="A6021" i="15" s="1"/>
  <c r="H6022" i="15"/>
  <c r="A6022" i="15" s="1"/>
  <c r="H6023" i="15"/>
  <c r="A6023" i="15" s="1"/>
  <c r="H6024" i="15"/>
  <c r="A6024" i="15" s="1"/>
  <c r="H6025" i="15"/>
  <c r="A6025" i="15" s="1"/>
  <c r="H6026" i="15"/>
  <c r="A6026" i="15" s="1"/>
  <c r="H6027" i="15"/>
  <c r="A6027" i="15" s="1"/>
  <c r="H6028" i="15"/>
  <c r="A6028" i="15" s="1"/>
  <c r="H6029" i="15"/>
  <c r="A6029" i="15" s="1"/>
  <c r="H6030" i="15"/>
  <c r="A6030" i="15" s="1"/>
  <c r="H6031" i="15"/>
  <c r="A6031" i="15" s="1"/>
  <c r="H6032" i="15"/>
  <c r="A6032" i="15" s="1"/>
  <c r="H6033" i="15"/>
  <c r="A6033" i="15" s="1"/>
  <c r="H6034" i="15"/>
  <c r="A6034" i="15" s="1"/>
  <c r="H6035" i="15"/>
  <c r="A6035" i="15" s="1"/>
  <c r="H6036" i="15"/>
  <c r="A6036" i="15" s="1"/>
  <c r="H6037" i="15"/>
  <c r="A6037" i="15" s="1"/>
  <c r="H6038" i="15"/>
  <c r="A6038" i="15" s="1"/>
  <c r="H6039" i="15"/>
  <c r="A6039" i="15" s="1"/>
  <c r="H6040" i="15"/>
  <c r="A6040" i="15" s="1"/>
  <c r="H6041" i="15"/>
  <c r="A6041" i="15" s="1"/>
  <c r="H6042" i="15"/>
  <c r="A6042" i="15" s="1"/>
  <c r="H6043" i="15"/>
  <c r="A6043" i="15" s="1"/>
  <c r="H6044" i="15"/>
  <c r="A6044" i="15" s="1"/>
  <c r="H6045" i="15"/>
  <c r="A6045" i="15" s="1"/>
  <c r="H6046" i="15"/>
  <c r="A6046" i="15" s="1"/>
  <c r="H6047" i="15"/>
  <c r="A6047" i="15" s="1"/>
  <c r="H6048" i="15"/>
  <c r="A6048" i="15" s="1"/>
  <c r="H6049" i="15"/>
  <c r="A6049" i="15" s="1"/>
  <c r="H6050" i="15"/>
  <c r="A6050" i="15" s="1"/>
  <c r="H6051" i="15"/>
  <c r="A6051" i="15" s="1"/>
  <c r="H6052" i="15"/>
  <c r="A6052" i="15" s="1"/>
  <c r="H6053" i="15"/>
  <c r="A6053" i="15" s="1"/>
  <c r="H6054" i="15"/>
  <c r="A6054" i="15" s="1"/>
  <c r="H6055" i="15"/>
  <c r="A6055" i="15" s="1"/>
  <c r="H6056" i="15"/>
  <c r="A6056" i="15" s="1"/>
  <c r="H6057" i="15"/>
  <c r="A6057" i="15" s="1"/>
  <c r="H6058" i="15"/>
  <c r="A6058" i="15" s="1"/>
  <c r="H6059" i="15"/>
  <c r="A6059" i="15" s="1"/>
  <c r="H6060" i="15"/>
  <c r="A6060" i="15" s="1"/>
  <c r="H6061" i="15"/>
  <c r="A6061" i="15" s="1"/>
  <c r="H6062" i="15"/>
  <c r="A6062" i="15" s="1"/>
  <c r="H6063" i="15"/>
  <c r="A6063" i="15" s="1"/>
  <c r="H6064" i="15"/>
  <c r="A6064" i="15" s="1"/>
  <c r="H6065" i="15"/>
  <c r="A6065" i="15" s="1"/>
  <c r="H6066" i="15"/>
  <c r="A6066" i="15" s="1"/>
  <c r="H6067" i="15"/>
  <c r="A6067" i="15" s="1"/>
  <c r="H6068" i="15"/>
  <c r="A6068" i="15" s="1"/>
  <c r="H6069" i="15"/>
  <c r="A6069" i="15" s="1"/>
  <c r="H6070" i="15"/>
  <c r="A6070" i="15" s="1"/>
  <c r="H6071" i="15"/>
  <c r="A6071" i="15" s="1"/>
  <c r="H6072" i="15"/>
  <c r="A6072" i="15" s="1"/>
  <c r="H6073" i="15"/>
  <c r="A6073" i="15" s="1"/>
  <c r="H6074" i="15"/>
  <c r="A6074" i="15" s="1"/>
  <c r="H6075" i="15"/>
  <c r="A6075" i="15" s="1"/>
  <c r="H6076" i="15"/>
  <c r="A6076" i="15" s="1"/>
  <c r="H6077" i="15"/>
  <c r="A6077" i="15" s="1"/>
  <c r="H6078" i="15"/>
  <c r="A6078" i="15" s="1"/>
  <c r="H6079" i="15"/>
  <c r="A6079" i="15" s="1"/>
  <c r="H6080" i="15"/>
  <c r="A6080" i="15" s="1"/>
  <c r="H6081" i="15"/>
  <c r="A6081" i="15" s="1"/>
  <c r="H6082" i="15"/>
  <c r="A6082" i="15" s="1"/>
  <c r="H6083" i="15"/>
  <c r="A6083" i="15" s="1"/>
  <c r="H6084" i="15"/>
  <c r="A6084" i="15" s="1"/>
  <c r="H6085" i="15"/>
  <c r="A6085" i="15" s="1"/>
  <c r="H6086" i="15"/>
  <c r="A6086" i="15" s="1"/>
  <c r="H6087" i="15"/>
  <c r="A6087" i="15" s="1"/>
  <c r="H6088" i="15"/>
  <c r="A6088" i="15" s="1"/>
  <c r="H6089" i="15"/>
  <c r="A6089" i="15" s="1"/>
  <c r="H6090" i="15"/>
  <c r="A6090" i="15" s="1"/>
  <c r="H6091" i="15"/>
  <c r="A6091" i="15" s="1"/>
  <c r="H6092" i="15"/>
  <c r="A6092" i="15" s="1"/>
  <c r="H6093" i="15"/>
  <c r="A6093" i="15" s="1"/>
  <c r="H6094" i="15"/>
  <c r="A6094" i="15" s="1"/>
  <c r="H6095" i="15"/>
  <c r="A6095" i="15" s="1"/>
  <c r="H6096" i="15"/>
  <c r="A6096" i="15" s="1"/>
  <c r="H6097" i="15"/>
  <c r="A6097" i="15" s="1"/>
  <c r="H6098" i="15"/>
  <c r="A6098" i="15" s="1"/>
  <c r="H6099" i="15"/>
  <c r="A6099" i="15" s="1"/>
  <c r="H6100" i="15"/>
  <c r="A6100" i="15" s="1"/>
  <c r="H6101" i="15"/>
  <c r="A6101" i="15" s="1"/>
  <c r="H6102" i="15"/>
  <c r="A6102" i="15" s="1"/>
  <c r="H6103" i="15"/>
  <c r="A6103" i="15" s="1"/>
  <c r="H6104" i="15"/>
  <c r="A6104" i="15" s="1"/>
  <c r="H6105" i="15"/>
  <c r="A6105" i="15" s="1"/>
  <c r="H6106" i="15"/>
  <c r="A6106" i="15" s="1"/>
  <c r="H6107" i="15"/>
  <c r="A6107" i="15" s="1"/>
  <c r="H6108" i="15"/>
  <c r="A6108" i="15" s="1"/>
  <c r="H6109" i="15"/>
  <c r="A6109" i="15" s="1"/>
  <c r="H6110" i="15"/>
  <c r="A6110" i="15" s="1"/>
  <c r="H6111" i="15"/>
  <c r="A6111" i="15" s="1"/>
  <c r="H6112" i="15"/>
  <c r="A6112" i="15" s="1"/>
  <c r="H6113" i="15"/>
  <c r="A6113" i="15" s="1"/>
  <c r="H6114" i="15"/>
  <c r="A6114" i="15" s="1"/>
  <c r="H6115" i="15"/>
  <c r="A6115" i="15" s="1"/>
  <c r="H6116" i="15"/>
  <c r="A6116" i="15" s="1"/>
  <c r="H6117" i="15"/>
  <c r="A6117" i="15" s="1"/>
  <c r="H6118" i="15"/>
  <c r="A6118" i="15" s="1"/>
  <c r="H6119" i="15"/>
  <c r="A6119" i="15" s="1"/>
  <c r="H6120" i="15"/>
  <c r="A6120" i="15" s="1"/>
  <c r="H6121" i="15"/>
  <c r="A6121" i="15" s="1"/>
  <c r="H6122" i="15"/>
  <c r="A6122" i="15" s="1"/>
  <c r="H6123" i="15"/>
  <c r="A6123" i="15" s="1"/>
  <c r="H6124" i="15"/>
  <c r="A6124" i="15" s="1"/>
  <c r="H6125" i="15"/>
  <c r="A6125" i="15" s="1"/>
  <c r="H6126" i="15"/>
  <c r="A6126" i="15" s="1"/>
  <c r="H6127" i="15"/>
  <c r="A6127" i="15" s="1"/>
  <c r="H6128" i="15"/>
  <c r="A6128" i="15" s="1"/>
  <c r="H6129" i="15"/>
  <c r="A6129" i="15" s="1"/>
  <c r="H6130" i="15"/>
  <c r="A6130" i="15" s="1"/>
  <c r="H6131" i="15"/>
  <c r="A6131" i="15" s="1"/>
  <c r="H6132" i="15"/>
  <c r="A6132" i="15" s="1"/>
  <c r="H6133" i="15"/>
  <c r="A6133" i="15" s="1"/>
  <c r="H6134" i="15"/>
  <c r="A6134" i="15" s="1"/>
  <c r="H6135" i="15"/>
  <c r="A6135" i="15" s="1"/>
  <c r="H6136" i="15"/>
  <c r="A6136" i="15" s="1"/>
  <c r="H6137" i="15"/>
  <c r="A6137" i="15" s="1"/>
  <c r="H6138" i="15"/>
  <c r="A6138" i="15" s="1"/>
  <c r="H6139" i="15"/>
  <c r="A6139" i="15" s="1"/>
  <c r="H6140" i="15"/>
  <c r="A6140" i="15" s="1"/>
  <c r="H6141" i="15"/>
  <c r="A6141" i="15" s="1"/>
  <c r="H6142" i="15"/>
  <c r="A6142" i="15" s="1"/>
  <c r="H6143" i="15"/>
  <c r="A6143" i="15" s="1"/>
  <c r="H6144" i="15"/>
  <c r="A6144" i="15" s="1"/>
  <c r="H6145" i="15"/>
  <c r="A6145" i="15" s="1"/>
  <c r="H6146" i="15"/>
  <c r="A6146" i="15" s="1"/>
  <c r="H6147" i="15"/>
  <c r="A6147" i="15" s="1"/>
  <c r="H6148" i="15"/>
  <c r="A6148" i="15" s="1"/>
  <c r="H6149" i="15"/>
  <c r="A6149" i="15" s="1"/>
  <c r="H6150" i="15"/>
  <c r="A6150" i="15" s="1"/>
  <c r="H6151" i="15"/>
  <c r="A6151" i="15" s="1"/>
  <c r="H6152" i="15"/>
  <c r="A6152" i="15" s="1"/>
  <c r="H6153" i="15"/>
  <c r="A6153" i="15" s="1"/>
  <c r="H6154" i="15"/>
  <c r="A6154" i="15" s="1"/>
  <c r="H6155" i="15"/>
  <c r="A6155" i="15" s="1"/>
  <c r="H6156" i="15"/>
  <c r="A6156" i="15" s="1"/>
  <c r="H6157" i="15"/>
  <c r="A6157" i="15" s="1"/>
  <c r="H6158" i="15"/>
  <c r="A6158" i="15" s="1"/>
  <c r="H6159" i="15"/>
  <c r="A6159" i="15" s="1"/>
  <c r="H6160" i="15"/>
  <c r="A6160" i="15" s="1"/>
  <c r="H6161" i="15"/>
  <c r="A6161" i="15" s="1"/>
  <c r="H6162" i="15"/>
  <c r="A6162" i="15" s="1"/>
  <c r="H6163" i="15"/>
  <c r="A6163" i="15" s="1"/>
  <c r="H6164" i="15"/>
  <c r="A6164" i="15" s="1"/>
  <c r="H6165" i="15"/>
  <c r="A6165" i="15" s="1"/>
  <c r="H6166" i="15"/>
  <c r="A6166" i="15" s="1"/>
  <c r="H6167" i="15"/>
  <c r="A6167" i="15" s="1"/>
  <c r="H6168" i="15"/>
  <c r="A6168" i="15" s="1"/>
  <c r="H6169" i="15"/>
  <c r="A6169" i="15" s="1"/>
  <c r="H6170" i="15"/>
  <c r="A6170" i="15" s="1"/>
  <c r="H6171" i="15"/>
  <c r="A6171" i="15" s="1"/>
  <c r="H6172" i="15"/>
  <c r="A6172" i="15" s="1"/>
  <c r="H6173" i="15"/>
  <c r="A6173" i="15" s="1"/>
  <c r="H6174" i="15"/>
  <c r="A6174" i="15" s="1"/>
  <c r="H6175" i="15"/>
  <c r="A6175" i="15" s="1"/>
  <c r="H6176" i="15"/>
  <c r="A6176" i="15" s="1"/>
  <c r="H6177" i="15"/>
  <c r="A6177" i="15" s="1"/>
  <c r="H6178" i="15"/>
  <c r="A6178" i="15" s="1"/>
  <c r="H6179" i="15"/>
  <c r="A6179" i="15" s="1"/>
  <c r="H6180" i="15"/>
  <c r="A6180" i="15" s="1"/>
  <c r="H6181" i="15"/>
  <c r="A6181" i="15" s="1"/>
  <c r="H6182" i="15"/>
  <c r="A6182" i="15" s="1"/>
  <c r="H6183" i="15"/>
  <c r="A6183" i="15" s="1"/>
  <c r="H6184" i="15"/>
  <c r="A6184" i="15" s="1"/>
  <c r="H6185" i="15"/>
  <c r="A6185" i="15" s="1"/>
  <c r="H6186" i="15"/>
  <c r="A6186" i="15" s="1"/>
  <c r="H6187" i="15"/>
  <c r="A6187" i="15" s="1"/>
  <c r="H6188" i="15"/>
  <c r="A6188" i="15" s="1"/>
  <c r="H6189" i="15"/>
  <c r="A6189" i="15" s="1"/>
  <c r="H6190" i="15"/>
  <c r="A6190" i="15" s="1"/>
  <c r="H6191" i="15"/>
  <c r="A6191" i="15" s="1"/>
  <c r="H6192" i="15"/>
  <c r="A6192" i="15" s="1"/>
  <c r="H6193" i="15"/>
  <c r="A6193" i="15" s="1"/>
  <c r="H6194" i="15"/>
  <c r="A6194" i="15" s="1"/>
  <c r="H6195" i="15"/>
  <c r="A6195" i="15" s="1"/>
  <c r="H6196" i="15"/>
  <c r="A6196" i="15" s="1"/>
  <c r="H6197" i="15"/>
  <c r="A6197" i="15" s="1"/>
  <c r="H6198" i="15"/>
  <c r="A6198" i="15" s="1"/>
  <c r="H6199" i="15"/>
  <c r="A6199" i="15" s="1"/>
  <c r="H6200" i="15"/>
  <c r="A6200" i="15" s="1"/>
  <c r="H6201" i="15"/>
  <c r="A6201" i="15" s="1"/>
  <c r="H6202" i="15"/>
  <c r="A6202" i="15" s="1"/>
  <c r="H6203" i="15"/>
  <c r="A6203" i="15" s="1"/>
  <c r="H6204" i="15"/>
  <c r="A6204" i="15" s="1"/>
  <c r="H6205" i="15"/>
  <c r="A6205" i="15" s="1"/>
  <c r="H6206" i="15"/>
  <c r="A6206" i="15" s="1"/>
  <c r="H6207" i="15"/>
  <c r="A6207" i="15" s="1"/>
  <c r="H6208" i="15"/>
  <c r="A6208" i="15" s="1"/>
  <c r="H6209" i="15"/>
  <c r="A6209" i="15" s="1"/>
  <c r="H6210" i="15"/>
  <c r="A6210" i="15" s="1"/>
  <c r="H6211" i="15"/>
  <c r="A6211" i="15" s="1"/>
  <c r="H6212" i="15"/>
  <c r="A6212" i="15" s="1"/>
  <c r="H6213" i="15"/>
  <c r="A6213" i="15" s="1"/>
  <c r="H6214" i="15"/>
  <c r="A6214" i="15" s="1"/>
  <c r="H6215" i="15"/>
  <c r="A6215" i="15" s="1"/>
  <c r="H6216" i="15"/>
  <c r="A6216" i="15" s="1"/>
  <c r="H6217" i="15"/>
  <c r="A6217" i="15" s="1"/>
  <c r="H6218" i="15"/>
  <c r="A6218" i="15" s="1"/>
  <c r="H6219" i="15"/>
  <c r="A6219" i="15" s="1"/>
  <c r="H6220" i="15"/>
  <c r="A6220" i="15" s="1"/>
  <c r="H6221" i="15"/>
  <c r="A6221" i="15" s="1"/>
  <c r="H6222" i="15"/>
  <c r="A6222" i="15" s="1"/>
  <c r="H6223" i="15"/>
  <c r="A6223" i="15" s="1"/>
  <c r="H6224" i="15"/>
  <c r="A6224" i="15" s="1"/>
  <c r="H6225" i="15"/>
  <c r="A6225" i="15" s="1"/>
  <c r="H6226" i="15"/>
  <c r="A6226" i="15" s="1"/>
  <c r="H6227" i="15"/>
  <c r="A6227" i="15" s="1"/>
  <c r="H6228" i="15"/>
  <c r="A6228" i="15" s="1"/>
  <c r="H6229" i="15"/>
  <c r="A6229" i="15" s="1"/>
  <c r="H6230" i="15"/>
  <c r="A6230" i="15" s="1"/>
  <c r="H6231" i="15"/>
  <c r="A6231" i="15" s="1"/>
  <c r="H6232" i="15"/>
  <c r="A6232" i="15" s="1"/>
  <c r="H6233" i="15"/>
  <c r="A6233" i="15" s="1"/>
  <c r="H6234" i="15"/>
  <c r="A6234" i="15" s="1"/>
  <c r="H6235" i="15"/>
  <c r="A6235" i="15" s="1"/>
  <c r="H6236" i="15"/>
  <c r="A6236" i="15" s="1"/>
  <c r="H6237" i="15"/>
  <c r="A6237" i="15" s="1"/>
  <c r="H6238" i="15"/>
  <c r="A6238" i="15" s="1"/>
  <c r="H6239" i="15"/>
  <c r="A6239" i="15" s="1"/>
  <c r="H6240" i="15"/>
  <c r="A6240" i="15" s="1"/>
  <c r="H6241" i="15"/>
  <c r="A6241" i="15" s="1"/>
  <c r="H6242" i="15"/>
  <c r="A6242" i="15" s="1"/>
  <c r="H6243" i="15"/>
  <c r="A6243" i="15" s="1"/>
  <c r="H6244" i="15"/>
  <c r="A6244" i="15" s="1"/>
  <c r="H6245" i="15"/>
  <c r="A6245" i="15" s="1"/>
  <c r="H6246" i="15"/>
  <c r="A6246" i="15" s="1"/>
  <c r="H6247" i="15"/>
  <c r="A6247" i="15" s="1"/>
  <c r="H6248" i="15"/>
  <c r="A6248" i="15" s="1"/>
  <c r="H6249" i="15"/>
  <c r="A6249" i="15" s="1"/>
  <c r="H6250" i="15"/>
  <c r="A6250" i="15" s="1"/>
  <c r="H6251" i="15"/>
  <c r="A6251" i="15" s="1"/>
  <c r="H6252" i="15"/>
  <c r="A6252" i="15" s="1"/>
  <c r="H6253" i="15"/>
  <c r="A6253" i="15" s="1"/>
  <c r="H6254" i="15"/>
  <c r="A6254" i="15" s="1"/>
  <c r="H6255" i="15"/>
  <c r="A6255" i="15" s="1"/>
  <c r="H6256" i="15"/>
  <c r="A6256" i="15" s="1"/>
  <c r="H6257" i="15"/>
  <c r="A6257" i="15" s="1"/>
  <c r="H6258" i="15"/>
  <c r="A6258" i="15" s="1"/>
  <c r="H6259" i="15"/>
  <c r="A6259" i="15" s="1"/>
  <c r="H6260" i="15"/>
  <c r="A6260" i="15" s="1"/>
  <c r="H6261" i="15"/>
  <c r="A6261" i="15" s="1"/>
  <c r="H6262" i="15"/>
  <c r="A6262" i="15" s="1"/>
  <c r="H6263" i="15"/>
  <c r="A6263" i="15" s="1"/>
  <c r="H6264" i="15"/>
  <c r="A6264" i="15" s="1"/>
  <c r="H6265" i="15"/>
  <c r="A6265" i="15" s="1"/>
  <c r="H6266" i="15"/>
  <c r="A6266" i="15" s="1"/>
  <c r="H6267" i="15"/>
  <c r="A6267" i="15" s="1"/>
  <c r="H6268" i="15"/>
  <c r="A6268" i="15" s="1"/>
  <c r="H6269" i="15"/>
  <c r="A6269" i="15" s="1"/>
  <c r="H6270" i="15"/>
  <c r="A6270" i="15" s="1"/>
  <c r="H6271" i="15"/>
  <c r="A6271" i="15" s="1"/>
  <c r="H6272" i="15"/>
  <c r="A6272" i="15" s="1"/>
  <c r="H6273" i="15"/>
  <c r="A6273" i="15" s="1"/>
  <c r="H6274" i="15"/>
  <c r="A6274" i="15" s="1"/>
  <c r="H6275" i="15"/>
  <c r="A6275" i="15" s="1"/>
  <c r="H6276" i="15"/>
  <c r="A6276" i="15" s="1"/>
  <c r="H6277" i="15"/>
  <c r="A6277" i="15" s="1"/>
  <c r="H6278" i="15"/>
  <c r="A6278" i="15" s="1"/>
  <c r="H6279" i="15"/>
  <c r="A6279" i="15" s="1"/>
  <c r="H6280" i="15"/>
  <c r="A6280" i="15" s="1"/>
  <c r="H6281" i="15"/>
  <c r="A6281" i="15" s="1"/>
  <c r="H6282" i="15"/>
  <c r="A6282" i="15" s="1"/>
  <c r="H6283" i="15"/>
  <c r="A6283" i="15" s="1"/>
  <c r="H6284" i="15"/>
  <c r="A6284" i="15" s="1"/>
  <c r="H6285" i="15"/>
  <c r="A6285" i="15" s="1"/>
  <c r="H6286" i="15"/>
  <c r="A6286" i="15" s="1"/>
  <c r="H6287" i="15"/>
  <c r="A6287" i="15" s="1"/>
  <c r="H6288" i="15"/>
  <c r="A6288" i="15" s="1"/>
  <c r="H6289" i="15"/>
  <c r="A6289" i="15" s="1"/>
  <c r="H6290" i="15"/>
  <c r="A6290" i="15" s="1"/>
  <c r="H6291" i="15"/>
  <c r="A6291" i="15" s="1"/>
  <c r="H6292" i="15"/>
  <c r="A6292" i="15" s="1"/>
  <c r="H6293" i="15"/>
  <c r="A6293" i="15" s="1"/>
  <c r="H6294" i="15"/>
  <c r="A6294" i="15" s="1"/>
  <c r="H6295" i="15"/>
  <c r="A6295" i="15" s="1"/>
  <c r="H6296" i="15"/>
  <c r="A6296" i="15" s="1"/>
  <c r="H6297" i="15"/>
  <c r="A6297" i="15" s="1"/>
  <c r="H6298" i="15"/>
  <c r="A6298" i="15" s="1"/>
  <c r="H6299" i="15"/>
  <c r="A6299" i="15" s="1"/>
  <c r="H6300" i="15"/>
  <c r="A6300" i="15" s="1"/>
  <c r="H6301" i="15"/>
  <c r="A6301" i="15" s="1"/>
  <c r="H6302" i="15"/>
  <c r="A6302" i="15" s="1"/>
  <c r="H6303" i="15"/>
  <c r="A6303" i="15" s="1"/>
  <c r="H6304" i="15"/>
  <c r="A6304" i="15" s="1"/>
  <c r="H6305" i="15"/>
  <c r="A6305" i="15" s="1"/>
  <c r="H6306" i="15"/>
  <c r="A6306" i="15" s="1"/>
  <c r="H6307" i="15"/>
  <c r="A6307" i="15" s="1"/>
  <c r="H6308" i="15"/>
  <c r="A6308" i="15" s="1"/>
  <c r="H6309" i="15"/>
  <c r="A6309" i="15" s="1"/>
  <c r="H6310" i="15"/>
  <c r="A6310" i="15" s="1"/>
  <c r="H6311" i="15"/>
  <c r="A6311" i="15" s="1"/>
  <c r="H6312" i="15"/>
  <c r="A6312" i="15" s="1"/>
  <c r="H6313" i="15"/>
  <c r="A6313" i="15" s="1"/>
  <c r="H6314" i="15"/>
  <c r="A6314" i="15" s="1"/>
  <c r="H6315" i="15"/>
  <c r="A6315" i="15" s="1"/>
  <c r="H6316" i="15"/>
  <c r="A6316" i="15" s="1"/>
  <c r="H6317" i="15"/>
  <c r="A6317" i="15" s="1"/>
  <c r="H6318" i="15"/>
  <c r="A6318" i="15" s="1"/>
  <c r="H6319" i="15"/>
  <c r="A6319" i="15" s="1"/>
  <c r="H6320" i="15"/>
  <c r="A6320" i="15" s="1"/>
  <c r="H6321" i="15"/>
  <c r="A6321" i="15" s="1"/>
  <c r="H6322" i="15"/>
  <c r="A6322" i="15" s="1"/>
  <c r="H6323" i="15"/>
  <c r="A6323" i="15" s="1"/>
  <c r="H6324" i="15"/>
  <c r="A6324" i="15" s="1"/>
  <c r="H6325" i="15"/>
  <c r="A6325" i="15" s="1"/>
  <c r="H6326" i="15"/>
  <c r="A6326" i="15" s="1"/>
  <c r="H6327" i="15"/>
  <c r="A6327" i="15" s="1"/>
  <c r="H6328" i="15"/>
  <c r="A6328" i="15" s="1"/>
  <c r="H6329" i="15"/>
  <c r="A6329" i="15" s="1"/>
  <c r="H6330" i="15"/>
  <c r="A6330" i="15" s="1"/>
  <c r="H6331" i="15"/>
  <c r="A6331" i="15" s="1"/>
  <c r="H6332" i="15"/>
  <c r="A6332" i="15" s="1"/>
  <c r="H6333" i="15"/>
  <c r="A6333" i="15" s="1"/>
  <c r="H6334" i="15"/>
  <c r="A6334" i="15" s="1"/>
  <c r="H6335" i="15"/>
  <c r="A6335" i="15" s="1"/>
  <c r="H6336" i="15"/>
  <c r="A6336" i="15" s="1"/>
  <c r="H6337" i="15"/>
  <c r="A6337" i="15" s="1"/>
  <c r="H6338" i="15"/>
  <c r="A6338" i="15" s="1"/>
  <c r="H6339" i="15"/>
  <c r="A6339" i="15" s="1"/>
  <c r="H6340" i="15"/>
  <c r="A6340" i="15" s="1"/>
  <c r="H6341" i="15"/>
  <c r="A6341" i="15" s="1"/>
  <c r="H6342" i="15"/>
  <c r="A6342" i="15" s="1"/>
  <c r="H6343" i="15"/>
  <c r="A6343" i="15" s="1"/>
  <c r="H6344" i="15"/>
  <c r="A6344" i="15" s="1"/>
  <c r="H6345" i="15"/>
  <c r="A6345" i="15" s="1"/>
  <c r="H6346" i="15"/>
  <c r="A6346" i="15" s="1"/>
  <c r="H6347" i="15"/>
  <c r="A6347" i="15" s="1"/>
  <c r="H6348" i="15"/>
  <c r="A6348" i="15" s="1"/>
  <c r="H6349" i="15"/>
  <c r="A6349" i="15" s="1"/>
  <c r="H6350" i="15"/>
  <c r="A6350" i="15" s="1"/>
  <c r="H6351" i="15"/>
  <c r="A6351" i="15" s="1"/>
  <c r="H6352" i="15"/>
  <c r="A6352" i="15" s="1"/>
  <c r="H6353" i="15"/>
  <c r="A6353" i="15" s="1"/>
  <c r="H6354" i="15"/>
  <c r="A6354" i="15" s="1"/>
  <c r="H6355" i="15"/>
  <c r="A6355" i="15" s="1"/>
  <c r="H6356" i="15"/>
  <c r="A6356" i="15" s="1"/>
  <c r="H6357" i="15"/>
  <c r="A6357" i="15" s="1"/>
  <c r="H6358" i="15"/>
  <c r="A6358" i="15" s="1"/>
  <c r="H6359" i="15"/>
  <c r="A6359" i="15" s="1"/>
  <c r="H6360" i="15"/>
  <c r="A6360" i="15" s="1"/>
  <c r="H6361" i="15"/>
  <c r="A6361" i="15" s="1"/>
  <c r="H6362" i="15"/>
  <c r="A6362" i="15" s="1"/>
  <c r="H6363" i="15"/>
  <c r="A6363" i="15" s="1"/>
  <c r="H6364" i="15"/>
  <c r="A6364" i="15" s="1"/>
  <c r="H6365" i="15"/>
  <c r="A6365" i="15" s="1"/>
  <c r="H6366" i="15"/>
  <c r="A6366" i="15" s="1"/>
  <c r="H6367" i="15"/>
  <c r="A6367" i="15" s="1"/>
  <c r="H6368" i="15"/>
  <c r="A6368" i="15" s="1"/>
  <c r="H6369" i="15"/>
  <c r="A6369" i="15" s="1"/>
  <c r="H6370" i="15"/>
  <c r="A6370" i="15" s="1"/>
  <c r="H6371" i="15"/>
  <c r="A6371" i="15" s="1"/>
  <c r="H6372" i="15"/>
  <c r="A6372" i="15" s="1"/>
  <c r="H6373" i="15"/>
  <c r="A6373" i="15" s="1"/>
  <c r="H6374" i="15"/>
  <c r="A6374" i="15" s="1"/>
  <c r="H6375" i="15"/>
  <c r="A6375" i="15" s="1"/>
  <c r="H6376" i="15"/>
  <c r="A6376" i="15" s="1"/>
  <c r="H6377" i="15"/>
  <c r="A6377" i="15" s="1"/>
  <c r="H6378" i="15"/>
  <c r="A6378" i="15" s="1"/>
  <c r="H6379" i="15"/>
  <c r="A6379" i="15" s="1"/>
  <c r="H6380" i="15"/>
  <c r="A6380" i="15" s="1"/>
  <c r="H6381" i="15"/>
  <c r="A6381" i="15" s="1"/>
  <c r="H6382" i="15"/>
  <c r="A6382" i="15" s="1"/>
  <c r="H6383" i="15"/>
  <c r="A6383" i="15" s="1"/>
  <c r="H6384" i="15"/>
  <c r="A6384" i="15" s="1"/>
  <c r="H6385" i="15"/>
  <c r="A6385" i="15" s="1"/>
  <c r="H6386" i="15"/>
  <c r="A6386" i="15" s="1"/>
  <c r="H6387" i="15"/>
  <c r="A6387" i="15" s="1"/>
  <c r="H6388" i="15"/>
  <c r="A6388" i="15" s="1"/>
  <c r="H6389" i="15"/>
  <c r="A6389" i="15" s="1"/>
  <c r="H6390" i="15"/>
  <c r="A6390" i="15" s="1"/>
  <c r="H6391" i="15"/>
  <c r="A6391" i="15" s="1"/>
  <c r="H6392" i="15"/>
  <c r="A6392" i="15" s="1"/>
  <c r="H6393" i="15"/>
  <c r="A6393" i="15" s="1"/>
  <c r="H6394" i="15"/>
  <c r="A6394" i="15" s="1"/>
  <c r="H6395" i="15"/>
  <c r="A6395" i="15" s="1"/>
  <c r="H6396" i="15"/>
  <c r="A6396" i="15" s="1"/>
  <c r="H6397" i="15"/>
  <c r="A6397" i="15" s="1"/>
  <c r="H6398" i="15"/>
  <c r="A6398" i="15" s="1"/>
  <c r="H6399" i="15"/>
  <c r="A6399" i="15" s="1"/>
  <c r="H6400" i="15"/>
  <c r="A6400" i="15" s="1"/>
  <c r="H6401" i="15"/>
  <c r="A6401" i="15" s="1"/>
  <c r="H6402" i="15"/>
  <c r="A6402" i="15" s="1"/>
  <c r="H6403" i="15"/>
  <c r="A6403" i="15" s="1"/>
  <c r="H6404" i="15"/>
  <c r="A6404" i="15" s="1"/>
  <c r="H6405" i="15"/>
  <c r="A6405" i="15" s="1"/>
  <c r="H6406" i="15"/>
  <c r="A6406" i="15" s="1"/>
  <c r="H6407" i="15"/>
  <c r="A6407" i="15" s="1"/>
  <c r="H6408" i="15"/>
  <c r="A6408" i="15" s="1"/>
  <c r="H6409" i="15"/>
  <c r="A6409" i="15" s="1"/>
  <c r="H6410" i="15"/>
  <c r="A6410" i="15" s="1"/>
  <c r="H6411" i="15"/>
  <c r="A6411" i="15" s="1"/>
  <c r="H6412" i="15"/>
  <c r="A6412" i="15" s="1"/>
  <c r="H6413" i="15"/>
  <c r="A6413" i="15" s="1"/>
  <c r="H6414" i="15"/>
  <c r="A6414" i="15" s="1"/>
  <c r="H6415" i="15"/>
  <c r="A6415" i="15" s="1"/>
  <c r="H6416" i="15"/>
  <c r="A6416" i="15" s="1"/>
  <c r="H6417" i="15"/>
  <c r="A6417" i="15" s="1"/>
  <c r="H6418" i="15"/>
  <c r="A6418" i="15" s="1"/>
  <c r="H6419" i="15"/>
  <c r="A6419" i="15" s="1"/>
  <c r="H6420" i="15"/>
  <c r="A6420" i="15" s="1"/>
  <c r="H6421" i="15"/>
  <c r="A6421" i="15" s="1"/>
  <c r="H6422" i="15"/>
  <c r="A6422" i="15" s="1"/>
  <c r="H6423" i="15"/>
  <c r="A6423" i="15" s="1"/>
  <c r="H6424" i="15"/>
  <c r="A6424" i="15" s="1"/>
  <c r="H6425" i="15"/>
  <c r="A6425" i="15" s="1"/>
  <c r="H6426" i="15"/>
  <c r="A6426" i="15" s="1"/>
  <c r="H6427" i="15"/>
  <c r="A6427" i="15" s="1"/>
  <c r="H6428" i="15"/>
  <c r="A6428" i="15" s="1"/>
  <c r="H6429" i="15"/>
  <c r="A6429" i="15" s="1"/>
  <c r="H6430" i="15"/>
  <c r="A6430" i="15" s="1"/>
  <c r="H6431" i="15"/>
  <c r="A6431" i="15" s="1"/>
  <c r="H6432" i="15"/>
  <c r="A6432" i="15" s="1"/>
  <c r="H6433" i="15"/>
  <c r="A6433" i="15" s="1"/>
  <c r="H6434" i="15"/>
  <c r="A6434" i="15" s="1"/>
  <c r="H6435" i="15"/>
  <c r="A6435" i="15" s="1"/>
  <c r="H6436" i="15"/>
  <c r="A6436" i="15" s="1"/>
  <c r="H6437" i="15"/>
  <c r="A6437" i="15" s="1"/>
  <c r="H6438" i="15"/>
  <c r="A6438" i="15" s="1"/>
  <c r="H6439" i="15"/>
  <c r="A6439" i="15" s="1"/>
  <c r="H6440" i="15"/>
  <c r="A6440" i="15" s="1"/>
  <c r="H6441" i="15"/>
  <c r="A6441" i="15" s="1"/>
  <c r="H6442" i="15"/>
  <c r="A6442" i="15" s="1"/>
  <c r="H6443" i="15"/>
  <c r="A6443" i="15" s="1"/>
  <c r="H6444" i="15"/>
  <c r="A6444" i="15" s="1"/>
  <c r="H6445" i="15"/>
  <c r="A6445" i="15" s="1"/>
  <c r="H6446" i="15"/>
  <c r="A6446" i="15" s="1"/>
  <c r="H6447" i="15"/>
  <c r="A6447" i="15" s="1"/>
  <c r="H6448" i="15"/>
  <c r="A6448" i="15" s="1"/>
  <c r="H6449" i="15"/>
  <c r="A6449" i="15" s="1"/>
  <c r="H6450" i="15"/>
  <c r="A6450" i="15" s="1"/>
  <c r="H6451" i="15"/>
  <c r="A6451" i="15" s="1"/>
  <c r="H6452" i="15"/>
  <c r="A6452" i="15" s="1"/>
  <c r="H6453" i="15"/>
  <c r="A6453" i="15" s="1"/>
  <c r="H6454" i="15"/>
  <c r="A6454" i="15" s="1"/>
  <c r="H6455" i="15"/>
  <c r="A6455" i="15" s="1"/>
  <c r="H6456" i="15"/>
  <c r="A6456" i="15" s="1"/>
  <c r="H6457" i="15"/>
  <c r="A6457" i="15" s="1"/>
  <c r="H6458" i="15"/>
  <c r="A6458" i="15" s="1"/>
  <c r="H6459" i="15"/>
  <c r="A6459" i="15" s="1"/>
  <c r="H6460" i="15"/>
  <c r="A6460" i="15" s="1"/>
  <c r="H6461" i="15"/>
  <c r="A6461" i="15" s="1"/>
  <c r="H6462" i="15"/>
  <c r="A6462" i="15" s="1"/>
  <c r="H6463" i="15"/>
  <c r="A6463" i="15" s="1"/>
  <c r="H6464" i="15"/>
  <c r="A6464" i="15" s="1"/>
  <c r="H6465" i="15"/>
  <c r="A6465" i="15" s="1"/>
  <c r="H6466" i="15"/>
  <c r="A6466" i="15" s="1"/>
  <c r="H6467" i="15"/>
  <c r="A6467" i="15" s="1"/>
  <c r="H6468" i="15"/>
  <c r="A6468" i="15" s="1"/>
  <c r="H6469" i="15"/>
  <c r="A6469" i="15" s="1"/>
  <c r="H6470" i="15"/>
  <c r="A6470" i="15" s="1"/>
  <c r="H6471" i="15"/>
  <c r="A6471" i="15" s="1"/>
  <c r="H6472" i="15"/>
  <c r="A6472" i="15" s="1"/>
  <c r="H6473" i="15"/>
  <c r="A6473" i="15" s="1"/>
  <c r="H6474" i="15"/>
  <c r="A6474" i="15" s="1"/>
  <c r="H6475" i="15"/>
  <c r="A6475" i="15" s="1"/>
  <c r="H6476" i="15"/>
  <c r="A6476" i="15" s="1"/>
  <c r="H6477" i="15"/>
  <c r="A6477" i="15" s="1"/>
  <c r="H6478" i="15"/>
  <c r="A6478" i="15" s="1"/>
  <c r="H6479" i="15"/>
  <c r="A6479" i="15" s="1"/>
  <c r="H6480" i="15"/>
  <c r="A6480" i="15" s="1"/>
  <c r="H6481" i="15"/>
  <c r="A6481" i="15" s="1"/>
  <c r="H6482" i="15"/>
  <c r="A6482" i="15" s="1"/>
  <c r="H6483" i="15"/>
  <c r="A6483" i="15" s="1"/>
  <c r="H6484" i="15"/>
  <c r="A6484" i="15" s="1"/>
  <c r="H6485" i="15"/>
  <c r="A6485" i="15" s="1"/>
  <c r="H6486" i="15"/>
  <c r="A6486" i="15" s="1"/>
  <c r="H6487" i="15"/>
  <c r="A6487" i="15" s="1"/>
  <c r="H6488" i="15"/>
  <c r="A6488" i="15" s="1"/>
  <c r="H6489" i="15"/>
  <c r="A6489" i="15" s="1"/>
  <c r="H6490" i="15"/>
  <c r="A6490" i="15" s="1"/>
  <c r="H6491" i="15"/>
  <c r="A6491" i="15" s="1"/>
  <c r="H6492" i="15"/>
  <c r="A6492" i="15" s="1"/>
  <c r="H6493" i="15"/>
  <c r="A6493" i="15" s="1"/>
  <c r="H6494" i="15"/>
  <c r="A6494" i="15" s="1"/>
  <c r="H6495" i="15"/>
  <c r="A6495" i="15" s="1"/>
  <c r="H6496" i="15"/>
  <c r="A6496" i="15" s="1"/>
  <c r="H6497" i="15"/>
  <c r="A6497" i="15" s="1"/>
  <c r="H6498" i="15"/>
  <c r="A6498" i="15" s="1"/>
  <c r="H6499" i="15"/>
  <c r="A6499" i="15" s="1"/>
  <c r="H6500" i="15"/>
  <c r="A6500" i="15" s="1"/>
  <c r="H6501" i="15"/>
  <c r="A6501" i="15" s="1"/>
  <c r="H6502" i="15"/>
  <c r="A6502" i="15" s="1"/>
  <c r="H6503" i="15"/>
  <c r="A6503" i="15" s="1"/>
  <c r="H6504" i="15"/>
  <c r="A6504" i="15" s="1"/>
  <c r="H6505" i="15"/>
  <c r="A6505" i="15" s="1"/>
  <c r="H6506" i="15"/>
  <c r="A6506" i="15" s="1"/>
  <c r="H6507" i="15"/>
  <c r="A6507" i="15" s="1"/>
  <c r="H6508" i="15"/>
  <c r="A6508" i="15" s="1"/>
  <c r="H6509" i="15"/>
  <c r="A6509" i="15" s="1"/>
  <c r="H6510" i="15"/>
  <c r="A6510" i="15" s="1"/>
  <c r="H6511" i="15"/>
  <c r="A6511" i="15" s="1"/>
  <c r="H6512" i="15"/>
  <c r="A6512" i="15" s="1"/>
  <c r="H6513" i="15"/>
  <c r="A6513" i="15" s="1"/>
  <c r="H6514" i="15"/>
  <c r="A6514" i="15" s="1"/>
  <c r="H6515" i="15"/>
  <c r="A6515" i="15" s="1"/>
  <c r="H6516" i="15"/>
  <c r="A6516" i="15" s="1"/>
  <c r="H6517" i="15"/>
  <c r="A6517" i="15" s="1"/>
  <c r="H6518" i="15"/>
  <c r="A6518" i="15" s="1"/>
  <c r="H6519" i="15"/>
  <c r="A6519" i="15" s="1"/>
  <c r="H6520" i="15"/>
  <c r="A6520" i="15" s="1"/>
  <c r="H6521" i="15"/>
  <c r="A6521" i="15" s="1"/>
  <c r="H6522" i="15"/>
  <c r="A6522" i="15" s="1"/>
  <c r="H6523" i="15"/>
  <c r="A6523" i="15" s="1"/>
  <c r="H6524" i="15"/>
  <c r="A6524" i="15" s="1"/>
  <c r="H6525" i="15"/>
  <c r="A6525" i="15" s="1"/>
  <c r="H6526" i="15"/>
  <c r="A6526" i="15" s="1"/>
  <c r="H6527" i="15"/>
  <c r="A6527" i="15" s="1"/>
  <c r="H6528" i="15"/>
  <c r="A6528" i="15" s="1"/>
  <c r="H6529" i="15"/>
  <c r="A6529" i="15" s="1"/>
  <c r="H6530" i="15"/>
  <c r="A6530" i="15" s="1"/>
  <c r="H6531" i="15"/>
  <c r="A6531" i="15" s="1"/>
  <c r="H6532" i="15"/>
  <c r="A6532" i="15" s="1"/>
  <c r="H6533" i="15"/>
  <c r="A6533" i="15" s="1"/>
  <c r="H6534" i="15"/>
  <c r="A6534" i="15" s="1"/>
  <c r="H6535" i="15"/>
  <c r="A6535" i="15" s="1"/>
  <c r="H6536" i="15"/>
  <c r="A6536" i="15" s="1"/>
  <c r="H6537" i="15"/>
  <c r="A6537" i="15" s="1"/>
  <c r="H6538" i="15"/>
  <c r="A6538" i="15" s="1"/>
  <c r="H6539" i="15"/>
  <c r="A6539" i="15" s="1"/>
  <c r="H6540" i="15"/>
  <c r="A6540" i="15" s="1"/>
  <c r="H6541" i="15"/>
  <c r="A6541" i="15" s="1"/>
  <c r="H6542" i="15"/>
  <c r="A6542" i="15" s="1"/>
  <c r="H6543" i="15"/>
  <c r="A6543" i="15" s="1"/>
  <c r="H6544" i="15"/>
  <c r="A6544" i="15" s="1"/>
  <c r="H6545" i="15"/>
  <c r="A6545" i="15" s="1"/>
  <c r="H6546" i="15"/>
  <c r="A6546" i="15" s="1"/>
  <c r="H6547" i="15"/>
  <c r="A6547" i="15" s="1"/>
  <c r="H6548" i="15"/>
  <c r="A6548" i="15" s="1"/>
  <c r="H6549" i="15"/>
  <c r="A6549" i="15" s="1"/>
  <c r="H6550" i="15"/>
  <c r="A6550" i="15" s="1"/>
  <c r="H6551" i="15"/>
  <c r="A6551" i="15" s="1"/>
  <c r="H6552" i="15"/>
  <c r="A6552" i="15" s="1"/>
  <c r="H6553" i="15"/>
  <c r="A6553" i="15" s="1"/>
  <c r="H6554" i="15"/>
  <c r="A6554" i="15" s="1"/>
  <c r="H6555" i="15"/>
  <c r="A6555" i="15" s="1"/>
  <c r="H6556" i="15"/>
  <c r="A6556" i="15" s="1"/>
  <c r="H6557" i="15"/>
  <c r="A6557" i="15" s="1"/>
  <c r="H6558" i="15"/>
  <c r="A6558" i="15" s="1"/>
  <c r="H6559" i="15"/>
  <c r="A6559" i="15" s="1"/>
  <c r="H6560" i="15"/>
  <c r="A6560" i="15" s="1"/>
  <c r="H6561" i="15"/>
  <c r="A6561" i="15" s="1"/>
  <c r="H6562" i="15"/>
  <c r="A6562" i="15" s="1"/>
  <c r="H6563" i="15"/>
  <c r="A6563" i="15" s="1"/>
  <c r="H6564" i="15"/>
  <c r="A6564" i="15" s="1"/>
  <c r="H6565" i="15"/>
  <c r="A6565" i="15" s="1"/>
  <c r="H6566" i="15"/>
  <c r="A6566" i="15" s="1"/>
  <c r="H6567" i="15"/>
  <c r="A6567" i="15" s="1"/>
  <c r="H6568" i="15"/>
  <c r="A6568" i="15" s="1"/>
  <c r="H6569" i="15"/>
  <c r="A6569" i="15" s="1"/>
  <c r="H6570" i="15"/>
  <c r="A6570" i="15" s="1"/>
  <c r="H6571" i="15"/>
  <c r="A6571" i="15" s="1"/>
  <c r="H6572" i="15"/>
  <c r="A6572" i="15" s="1"/>
  <c r="H6573" i="15"/>
  <c r="A6573" i="15" s="1"/>
  <c r="H6574" i="15"/>
  <c r="A6574" i="15" s="1"/>
  <c r="H6575" i="15"/>
  <c r="A6575" i="15" s="1"/>
  <c r="H6576" i="15"/>
  <c r="A6576" i="15" s="1"/>
  <c r="H6577" i="15"/>
  <c r="A6577" i="15" s="1"/>
  <c r="H6578" i="15"/>
  <c r="A6578" i="15" s="1"/>
  <c r="H6579" i="15"/>
  <c r="A6579" i="15" s="1"/>
  <c r="H6580" i="15"/>
  <c r="A6580" i="15" s="1"/>
  <c r="H6581" i="15"/>
  <c r="A6581" i="15" s="1"/>
  <c r="H6582" i="15"/>
  <c r="A6582" i="15" s="1"/>
  <c r="H6583" i="15"/>
  <c r="A6583" i="15" s="1"/>
  <c r="H6584" i="15"/>
  <c r="A6584" i="15" s="1"/>
  <c r="H6585" i="15"/>
  <c r="A6585" i="15" s="1"/>
  <c r="H6586" i="15"/>
  <c r="A6586" i="15" s="1"/>
  <c r="H6587" i="15"/>
  <c r="A6587" i="15" s="1"/>
  <c r="H6588" i="15"/>
  <c r="A6588" i="15" s="1"/>
  <c r="H6589" i="15"/>
  <c r="A6589" i="15" s="1"/>
  <c r="H6590" i="15"/>
  <c r="A6590" i="15" s="1"/>
  <c r="H6591" i="15"/>
  <c r="A6591" i="15" s="1"/>
  <c r="H6592" i="15"/>
  <c r="A6592" i="15" s="1"/>
  <c r="H6593" i="15"/>
  <c r="A6593" i="15" s="1"/>
  <c r="H6594" i="15"/>
  <c r="A6594" i="15" s="1"/>
  <c r="H6595" i="15"/>
  <c r="A6595" i="15" s="1"/>
  <c r="H6596" i="15"/>
  <c r="A6596" i="15" s="1"/>
  <c r="H6597" i="15"/>
  <c r="A6597" i="15" s="1"/>
  <c r="H6598" i="15"/>
  <c r="A6598" i="15" s="1"/>
  <c r="H6599" i="15"/>
  <c r="A6599" i="15" s="1"/>
  <c r="H6600" i="15"/>
  <c r="A6600" i="15" s="1"/>
  <c r="H6601" i="15"/>
  <c r="A6601" i="15" s="1"/>
  <c r="H6602" i="15"/>
  <c r="A6602" i="15" s="1"/>
  <c r="H6603" i="15"/>
  <c r="A6603" i="15" s="1"/>
  <c r="H6604" i="15"/>
  <c r="A6604" i="15" s="1"/>
  <c r="H6605" i="15"/>
  <c r="A6605" i="15" s="1"/>
  <c r="H6606" i="15"/>
  <c r="A6606" i="15" s="1"/>
  <c r="H6607" i="15"/>
  <c r="A6607" i="15" s="1"/>
  <c r="H6608" i="15"/>
  <c r="A6608" i="15" s="1"/>
  <c r="H6609" i="15"/>
  <c r="A6609" i="15" s="1"/>
  <c r="H6610" i="15"/>
  <c r="A6610" i="15" s="1"/>
  <c r="H6611" i="15"/>
  <c r="A6611" i="15" s="1"/>
  <c r="H6612" i="15"/>
  <c r="A6612" i="15" s="1"/>
  <c r="H6613" i="15"/>
  <c r="A6613" i="15" s="1"/>
  <c r="H6614" i="15"/>
  <c r="A6614" i="15" s="1"/>
  <c r="H6615" i="15"/>
  <c r="A6615" i="15" s="1"/>
  <c r="H6616" i="15"/>
  <c r="A6616" i="15" s="1"/>
  <c r="H6617" i="15"/>
  <c r="A6617" i="15" s="1"/>
  <c r="H6618" i="15"/>
  <c r="A6618" i="15" s="1"/>
  <c r="H6619" i="15"/>
  <c r="A6619" i="15" s="1"/>
  <c r="H6620" i="15"/>
  <c r="A6620" i="15" s="1"/>
  <c r="H6621" i="15"/>
  <c r="A6621" i="15" s="1"/>
  <c r="H6622" i="15"/>
  <c r="A6622" i="15" s="1"/>
  <c r="H6623" i="15"/>
  <c r="A6623" i="15" s="1"/>
  <c r="H6624" i="15"/>
  <c r="A6624" i="15" s="1"/>
  <c r="H6625" i="15"/>
  <c r="A6625" i="15" s="1"/>
  <c r="H6626" i="15"/>
  <c r="A6626" i="15" s="1"/>
  <c r="H6627" i="15"/>
  <c r="A6627" i="15" s="1"/>
  <c r="H6628" i="15"/>
  <c r="A6628" i="15" s="1"/>
  <c r="H6629" i="15"/>
  <c r="A6629" i="15" s="1"/>
  <c r="H6630" i="15"/>
  <c r="A6630" i="15" s="1"/>
  <c r="H6631" i="15"/>
  <c r="A6631" i="15" s="1"/>
  <c r="H6632" i="15"/>
  <c r="A6632" i="15" s="1"/>
  <c r="H6633" i="15"/>
  <c r="A6633" i="15" s="1"/>
  <c r="H6634" i="15"/>
  <c r="A6634" i="15" s="1"/>
  <c r="H6635" i="15"/>
  <c r="A6635" i="15" s="1"/>
  <c r="H6636" i="15"/>
  <c r="A6636" i="15" s="1"/>
  <c r="H6637" i="15"/>
  <c r="A6637" i="15" s="1"/>
  <c r="H6638" i="15"/>
  <c r="A6638" i="15" s="1"/>
  <c r="H6639" i="15"/>
  <c r="A6639" i="15" s="1"/>
  <c r="H6640" i="15"/>
  <c r="A6640" i="15" s="1"/>
  <c r="H6641" i="15"/>
  <c r="A6641" i="15" s="1"/>
  <c r="H6642" i="15"/>
  <c r="A6642" i="15" s="1"/>
  <c r="H6643" i="15"/>
  <c r="A6643" i="15" s="1"/>
  <c r="H6644" i="15"/>
  <c r="A6644" i="15" s="1"/>
  <c r="H6645" i="15"/>
  <c r="A6645" i="15" s="1"/>
  <c r="H6646" i="15"/>
  <c r="A6646" i="15" s="1"/>
  <c r="H6647" i="15"/>
  <c r="A6647" i="15" s="1"/>
  <c r="H6648" i="15"/>
  <c r="A6648" i="15" s="1"/>
  <c r="H6649" i="15"/>
  <c r="A6649" i="15" s="1"/>
  <c r="H6650" i="15"/>
  <c r="A6650" i="15" s="1"/>
  <c r="H6651" i="15"/>
  <c r="A6651" i="15" s="1"/>
  <c r="H6652" i="15"/>
  <c r="A6652" i="15" s="1"/>
  <c r="H6653" i="15"/>
  <c r="A6653" i="15" s="1"/>
  <c r="H6654" i="15"/>
  <c r="A6654" i="15" s="1"/>
  <c r="H6655" i="15"/>
  <c r="A6655" i="15" s="1"/>
  <c r="H6656" i="15"/>
  <c r="A6656" i="15" s="1"/>
  <c r="H6657" i="15"/>
  <c r="A6657" i="15" s="1"/>
  <c r="H6658" i="15"/>
  <c r="A6658" i="15" s="1"/>
  <c r="H6659" i="15"/>
  <c r="A6659" i="15" s="1"/>
  <c r="H6660" i="15"/>
  <c r="A6660" i="15" s="1"/>
  <c r="H6661" i="15"/>
  <c r="A6661" i="15" s="1"/>
  <c r="H6662" i="15"/>
  <c r="A6662" i="15" s="1"/>
  <c r="H6663" i="15"/>
  <c r="A6663" i="15" s="1"/>
  <c r="H6664" i="15"/>
  <c r="A6664" i="15" s="1"/>
  <c r="H6665" i="15"/>
  <c r="A6665" i="15" s="1"/>
  <c r="H6666" i="15"/>
  <c r="A6666" i="15" s="1"/>
  <c r="H6667" i="15"/>
  <c r="A6667" i="15" s="1"/>
  <c r="H6668" i="15"/>
  <c r="A6668" i="15" s="1"/>
  <c r="H6669" i="15"/>
  <c r="A6669" i="15" s="1"/>
  <c r="H6670" i="15"/>
  <c r="A6670" i="15" s="1"/>
  <c r="H6671" i="15"/>
  <c r="A6671" i="15" s="1"/>
  <c r="H6672" i="15"/>
  <c r="A6672" i="15" s="1"/>
  <c r="H6673" i="15"/>
  <c r="A6673" i="15" s="1"/>
  <c r="H6674" i="15"/>
  <c r="A6674" i="15" s="1"/>
  <c r="H6675" i="15"/>
  <c r="A6675" i="15" s="1"/>
  <c r="H6676" i="15"/>
  <c r="A6676" i="15" s="1"/>
  <c r="H6677" i="15"/>
  <c r="A6677" i="15" s="1"/>
  <c r="H6678" i="15"/>
  <c r="A6678" i="15" s="1"/>
  <c r="H6679" i="15"/>
  <c r="A6679" i="15" s="1"/>
  <c r="H6680" i="15"/>
  <c r="A6680" i="15" s="1"/>
  <c r="H6681" i="15"/>
  <c r="A6681" i="15" s="1"/>
  <c r="H6682" i="15"/>
  <c r="A6682" i="15" s="1"/>
  <c r="H6683" i="15"/>
  <c r="A6683" i="15" s="1"/>
  <c r="H6684" i="15"/>
  <c r="A6684" i="15" s="1"/>
  <c r="H6685" i="15"/>
  <c r="A6685" i="15" s="1"/>
  <c r="H6686" i="15"/>
  <c r="A6686" i="15" s="1"/>
  <c r="H6687" i="15"/>
  <c r="A6687" i="15" s="1"/>
  <c r="H6688" i="15"/>
  <c r="A6688" i="15" s="1"/>
  <c r="H6689" i="15"/>
  <c r="A6689" i="15" s="1"/>
  <c r="H6690" i="15"/>
  <c r="A6690" i="15" s="1"/>
  <c r="H6691" i="15"/>
  <c r="A6691" i="15" s="1"/>
  <c r="H6692" i="15"/>
  <c r="A6692" i="15" s="1"/>
  <c r="H6693" i="15"/>
  <c r="A6693" i="15" s="1"/>
  <c r="H6694" i="15"/>
  <c r="A6694" i="15" s="1"/>
  <c r="H6695" i="15"/>
  <c r="A6695" i="15" s="1"/>
  <c r="H6696" i="15"/>
  <c r="A6696" i="15" s="1"/>
  <c r="H6697" i="15"/>
  <c r="A6697" i="15" s="1"/>
  <c r="H6698" i="15"/>
  <c r="A6698" i="15" s="1"/>
  <c r="H6699" i="15"/>
  <c r="A6699" i="15" s="1"/>
  <c r="H6700" i="15"/>
  <c r="A6700" i="15" s="1"/>
  <c r="H6701" i="15"/>
  <c r="A6701" i="15" s="1"/>
  <c r="H6702" i="15"/>
  <c r="A6702" i="15" s="1"/>
  <c r="H6703" i="15"/>
  <c r="A6703" i="15" s="1"/>
  <c r="H6704" i="15"/>
  <c r="A6704" i="15" s="1"/>
  <c r="H6705" i="15"/>
  <c r="A6705" i="15" s="1"/>
  <c r="H6706" i="15"/>
  <c r="A6706" i="15" s="1"/>
  <c r="H6707" i="15"/>
  <c r="A6707" i="15" s="1"/>
  <c r="H6708" i="15"/>
  <c r="A6708" i="15" s="1"/>
  <c r="H6709" i="15"/>
  <c r="A6709" i="15" s="1"/>
  <c r="H6710" i="15"/>
  <c r="A6710" i="15" s="1"/>
  <c r="H6711" i="15"/>
  <c r="A6711" i="15" s="1"/>
  <c r="H6712" i="15"/>
  <c r="A6712" i="15" s="1"/>
  <c r="H6713" i="15"/>
  <c r="A6713" i="15" s="1"/>
  <c r="H6714" i="15"/>
  <c r="A6714" i="15" s="1"/>
  <c r="H6715" i="15"/>
  <c r="A6715" i="15" s="1"/>
  <c r="H6716" i="15"/>
  <c r="A6716" i="15" s="1"/>
  <c r="H6717" i="15"/>
  <c r="A6717" i="15" s="1"/>
  <c r="H6718" i="15"/>
  <c r="A6718" i="15" s="1"/>
  <c r="H6719" i="15"/>
  <c r="A6719" i="15" s="1"/>
  <c r="H6720" i="15"/>
  <c r="A6720" i="15" s="1"/>
  <c r="H6721" i="15"/>
  <c r="A6721" i="15" s="1"/>
  <c r="H6722" i="15"/>
  <c r="A6722" i="15" s="1"/>
  <c r="H6723" i="15"/>
  <c r="A6723" i="15" s="1"/>
  <c r="H6724" i="15"/>
  <c r="A6724" i="15" s="1"/>
  <c r="H6725" i="15"/>
  <c r="A6725" i="15" s="1"/>
  <c r="H6726" i="15"/>
  <c r="A6726" i="15" s="1"/>
  <c r="H6727" i="15"/>
  <c r="A6727" i="15" s="1"/>
  <c r="H6728" i="15"/>
  <c r="A6728" i="15" s="1"/>
  <c r="H6729" i="15"/>
  <c r="A6729" i="15" s="1"/>
  <c r="H6730" i="15"/>
  <c r="A6730" i="15" s="1"/>
  <c r="H6731" i="15"/>
  <c r="A6731" i="15" s="1"/>
  <c r="H6732" i="15"/>
  <c r="A6732" i="15" s="1"/>
  <c r="H6733" i="15"/>
  <c r="A6733" i="15" s="1"/>
  <c r="H6734" i="15"/>
  <c r="A6734" i="15" s="1"/>
  <c r="H6735" i="15"/>
  <c r="A6735" i="15" s="1"/>
  <c r="H6736" i="15"/>
  <c r="A6736" i="15" s="1"/>
  <c r="H6737" i="15"/>
  <c r="A6737" i="15" s="1"/>
  <c r="H6738" i="15"/>
  <c r="A6738" i="15" s="1"/>
  <c r="H6739" i="15"/>
  <c r="A6739" i="15" s="1"/>
  <c r="H6740" i="15"/>
  <c r="A6740" i="15" s="1"/>
  <c r="H6741" i="15"/>
  <c r="A6741" i="15" s="1"/>
  <c r="H6742" i="15"/>
  <c r="A6742" i="15" s="1"/>
  <c r="H6743" i="15"/>
  <c r="A6743" i="15" s="1"/>
  <c r="H6744" i="15"/>
  <c r="A6744" i="15" s="1"/>
  <c r="H6745" i="15"/>
  <c r="A6745" i="15" s="1"/>
  <c r="H6746" i="15"/>
  <c r="A6746" i="15" s="1"/>
  <c r="H6747" i="15"/>
  <c r="A6747" i="15" s="1"/>
  <c r="H6748" i="15"/>
  <c r="A6748" i="15" s="1"/>
  <c r="H6749" i="15"/>
  <c r="A6749" i="15" s="1"/>
  <c r="H6750" i="15"/>
  <c r="A6750" i="15" s="1"/>
  <c r="H6751" i="15"/>
  <c r="A6751" i="15" s="1"/>
  <c r="H6752" i="15"/>
  <c r="A6752" i="15" s="1"/>
  <c r="H6753" i="15"/>
  <c r="A6753" i="15" s="1"/>
  <c r="H6754" i="15"/>
  <c r="A6754" i="15" s="1"/>
  <c r="H6755" i="15"/>
  <c r="A6755" i="15" s="1"/>
  <c r="H6756" i="15"/>
  <c r="A6756" i="15" s="1"/>
  <c r="H6757" i="15"/>
  <c r="A6757" i="15" s="1"/>
  <c r="H6758" i="15"/>
  <c r="A6758" i="15" s="1"/>
  <c r="H6759" i="15"/>
  <c r="A6759" i="15" s="1"/>
  <c r="H6760" i="15"/>
  <c r="A6760" i="15" s="1"/>
  <c r="H6761" i="15"/>
  <c r="A6761" i="15" s="1"/>
  <c r="H6762" i="15"/>
  <c r="A6762" i="15" s="1"/>
  <c r="H6763" i="15"/>
  <c r="A6763" i="15" s="1"/>
  <c r="H6764" i="15"/>
  <c r="A6764" i="15" s="1"/>
  <c r="H6765" i="15"/>
  <c r="A6765" i="15" s="1"/>
  <c r="H6766" i="15"/>
  <c r="A6766" i="15" s="1"/>
  <c r="H6767" i="15"/>
  <c r="A6767" i="15" s="1"/>
  <c r="H6768" i="15"/>
  <c r="A6768" i="15" s="1"/>
  <c r="H6769" i="15"/>
  <c r="A6769" i="15" s="1"/>
  <c r="H6770" i="15"/>
  <c r="A6770" i="15" s="1"/>
  <c r="H6771" i="15"/>
  <c r="A6771" i="15" s="1"/>
  <c r="H6772" i="15"/>
  <c r="A6772" i="15" s="1"/>
  <c r="H6773" i="15"/>
  <c r="A6773" i="15" s="1"/>
  <c r="H6774" i="15"/>
  <c r="A6774" i="15" s="1"/>
  <c r="H6775" i="15"/>
  <c r="A6775" i="15" s="1"/>
  <c r="H6776" i="15"/>
  <c r="A6776" i="15" s="1"/>
  <c r="H6777" i="15"/>
  <c r="A6777" i="15" s="1"/>
  <c r="H6778" i="15"/>
  <c r="A6778" i="15" s="1"/>
  <c r="H6779" i="15"/>
  <c r="A6779" i="15" s="1"/>
  <c r="H6780" i="15"/>
  <c r="A6780" i="15" s="1"/>
  <c r="H6781" i="15"/>
  <c r="A6781" i="15" s="1"/>
  <c r="H6782" i="15"/>
  <c r="A6782" i="15" s="1"/>
  <c r="H6783" i="15"/>
  <c r="A6783" i="15" s="1"/>
  <c r="H6784" i="15"/>
  <c r="A6784" i="15" s="1"/>
  <c r="H6785" i="15"/>
  <c r="A6785" i="15" s="1"/>
  <c r="H6786" i="15"/>
  <c r="A6786" i="15" s="1"/>
  <c r="H6787" i="15"/>
  <c r="A6787" i="15" s="1"/>
  <c r="H6788" i="15"/>
  <c r="A6788" i="15" s="1"/>
  <c r="H6789" i="15"/>
  <c r="A6789" i="15" s="1"/>
  <c r="H6790" i="15"/>
  <c r="A6790" i="15" s="1"/>
  <c r="H6791" i="15"/>
  <c r="A6791" i="15" s="1"/>
  <c r="H6792" i="15"/>
  <c r="A6792" i="15" s="1"/>
  <c r="H6793" i="15"/>
  <c r="A6793" i="15" s="1"/>
  <c r="H6794" i="15"/>
  <c r="A6794" i="15" s="1"/>
  <c r="H6795" i="15"/>
  <c r="A6795" i="15" s="1"/>
  <c r="H6796" i="15"/>
  <c r="A6796" i="15" s="1"/>
  <c r="H6797" i="15"/>
  <c r="A6797" i="15" s="1"/>
  <c r="H6798" i="15"/>
  <c r="A6798" i="15" s="1"/>
  <c r="H6799" i="15"/>
  <c r="A6799" i="15" s="1"/>
  <c r="H6800" i="15"/>
  <c r="A6800" i="15" s="1"/>
  <c r="H6801" i="15"/>
  <c r="A6801" i="15" s="1"/>
  <c r="H6802" i="15"/>
  <c r="A6802" i="15" s="1"/>
  <c r="H6803" i="15"/>
  <c r="A6803" i="15" s="1"/>
  <c r="H6804" i="15"/>
  <c r="A6804" i="15" s="1"/>
  <c r="H6805" i="15"/>
  <c r="A6805" i="15" s="1"/>
  <c r="H6806" i="15"/>
  <c r="A6806" i="15" s="1"/>
  <c r="H6807" i="15"/>
  <c r="A6807" i="15" s="1"/>
  <c r="H6808" i="15"/>
  <c r="A6808" i="15" s="1"/>
  <c r="H6809" i="15"/>
  <c r="A6809" i="15" s="1"/>
  <c r="H6810" i="15"/>
  <c r="A6810" i="15" s="1"/>
  <c r="H6811" i="15"/>
  <c r="A6811" i="15" s="1"/>
  <c r="H6812" i="15"/>
  <c r="A6812" i="15" s="1"/>
  <c r="H6813" i="15"/>
  <c r="A6813" i="15" s="1"/>
  <c r="H6814" i="15"/>
  <c r="A6814" i="15" s="1"/>
  <c r="H6815" i="15"/>
  <c r="A6815" i="15" s="1"/>
  <c r="H6816" i="15"/>
  <c r="A6816" i="15" s="1"/>
  <c r="H6817" i="15"/>
  <c r="A6817" i="15" s="1"/>
  <c r="H6818" i="15"/>
  <c r="A6818" i="15" s="1"/>
  <c r="H6819" i="15"/>
  <c r="A6819" i="15" s="1"/>
  <c r="H6820" i="15"/>
  <c r="A6820" i="15" s="1"/>
  <c r="H6821" i="15"/>
  <c r="A6821" i="15" s="1"/>
  <c r="H6822" i="15"/>
  <c r="A6822" i="15" s="1"/>
  <c r="H6823" i="15"/>
  <c r="A6823" i="15" s="1"/>
  <c r="H6824" i="15"/>
  <c r="A6824" i="15" s="1"/>
  <c r="H6825" i="15"/>
  <c r="A6825" i="15" s="1"/>
  <c r="H6826" i="15"/>
  <c r="A6826" i="15" s="1"/>
  <c r="H6827" i="15"/>
  <c r="A6827" i="15" s="1"/>
  <c r="H6828" i="15"/>
  <c r="A6828" i="15" s="1"/>
  <c r="H6829" i="15"/>
  <c r="A6829" i="15" s="1"/>
  <c r="H6830" i="15"/>
  <c r="A6830" i="15" s="1"/>
  <c r="H6831" i="15"/>
  <c r="A6831" i="15" s="1"/>
  <c r="H6832" i="15"/>
  <c r="A6832" i="15" s="1"/>
  <c r="H6833" i="15"/>
  <c r="A6833" i="15" s="1"/>
  <c r="H6834" i="15"/>
  <c r="A6834" i="15" s="1"/>
  <c r="H6835" i="15"/>
  <c r="A6835" i="15" s="1"/>
  <c r="H6836" i="15"/>
  <c r="A6836" i="15" s="1"/>
  <c r="H6837" i="15"/>
  <c r="A6837" i="15" s="1"/>
  <c r="H6838" i="15"/>
  <c r="A6838" i="15" s="1"/>
  <c r="H6839" i="15"/>
  <c r="A6839" i="15" s="1"/>
  <c r="H6840" i="15"/>
  <c r="A6840" i="15" s="1"/>
  <c r="H6841" i="15"/>
  <c r="A6841" i="15" s="1"/>
  <c r="H6842" i="15"/>
  <c r="A6842" i="15" s="1"/>
  <c r="H6843" i="15"/>
  <c r="A6843" i="15" s="1"/>
  <c r="H6844" i="15"/>
  <c r="A6844" i="15" s="1"/>
  <c r="H6845" i="15"/>
  <c r="A6845" i="15" s="1"/>
  <c r="H6846" i="15"/>
  <c r="A6846" i="15" s="1"/>
  <c r="H6847" i="15"/>
  <c r="A6847" i="15" s="1"/>
  <c r="H6848" i="15"/>
  <c r="A6848" i="15" s="1"/>
  <c r="H6849" i="15"/>
  <c r="A6849" i="15" s="1"/>
  <c r="H6850" i="15"/>
  <c r="A6850" i="15" s="1"/>
  <c r="H6851" i="15"/>
  <c r="A6851" i="15" s="1"/>
  <c r="H6852" i="15"/>
  <c r="A6852" i="15" s="1"/>
  <c r="H6853" i="15"/>
  <c r="A6853" i="15" s="1"/>
  <c r="H6854" i="15"/>
  <c r="A6854" i="15" s="1"/>
  <c r="H6855" i="15"/>
  <c r="A6855" i="15" s="1"/>
  <c r="H6856" i="15"/>
  <c r="A6856" i="15" s="1"/>
  <c r="H6857" i="15"/>
  <c r="A6857" i="15" s="1"/>
  <c r="H6858" i="15"/>
  <c r="A6858" i="15" s="1"/>
  <c r="H6859" i="15"/>
  <c r="A6859" i="15" s="1"/>
  <c r="H6860" i="15"/>
  <c r="A6860" i="15" s="1"/>
  <c r="H6861" i="15"/>
  <c r="A6861" i="15" s="1"/>
  <c r="H6862" i="15"/>
  <c r="A6862" i="15" s="1"/>
  <c r="H6863" i="15"/>
  <c r="A6863" i="15" s="1"/>
  <c r="H6864" i="15"/>
  <c r="A6864" i="15" s="1"/>
  <c r="H6865" i="15"/>
  <c r="A6865" i="15" s="1"/>
  <c r="H6866" i="15"/>
  <c r="A6866" i="15" s="1"/>
  <c r="H6867" i="15"/>
  <c r="A6867" i="15" s="1"/>
  <c r="H6868" i="15"/>
  <c r="A6868" i="15" s="1"/>
  <c r="H6869" i="15"/>
  <c r="A6869" i="15" s="1"/>
  <c r="H6870" i="15"/>
  <c r="A6870" i="15" s="1"/>
  <c r="H6871" i="15"/>
  <c r="A6871" i="15" s="1"/>
  <c r="H6872" i="15"/>
  <c r="A6872" i="15" s="1"/>
  <c r="H6873" i="15"/>
  <c r="A6873" i="15" s="1"/>
  <c r="H6874" i="15"/>
  <c r="A6874" i="15" s="1"/>
  <c r="H6875" i="15"/>
  <c r="A6875" i="15" s="1"/>
  <c r="H6876" i="15"/>
  <c r="A6876" i="15" s="1"/>
  <c r="H6877" i="15"/>
  <c r="A6877" i="15" s="1"/>
  <c r="H6878" i="15"/>
  <c r="A6878" i="15" s="1"/>
  <c r="H6879" i="15"/>
  <c r="A6879" i="15" s="1"/>
  <c r="H6880" i="15"/>
  <c r="A6880" i="15" s="1"/>
  <c r="H6881" i="15"/>
  <c r="A6881" i="15" s="1"/>
  <c r="H6882" i="15"/>
  <c r="A6882" i="15" s="1"/>
  <c r="H6883" i="15"/>
  <c r="A6883" i="15" s="1"/>
  <c r="H6884" i="15"/>
  <c r="A6884" i="15" s="1"/>
  <c r="H6885" i="15"/>
  <c r="A6885" i="15" s="1"/>
  <c r="H6886" i="15"/>
  <c r="A6886" i="15" s="1"/>
  <c r="H6887" i="15"/>
  <c r="A6887" i="15" s="1"/>
  <c r="H6888" i="15"/>
  <c r="A6888" i="15" s="1"/>
  <c r="H6889" i="15"/>
  <c r="A6889" i="15" s="1"/>
  <c r="H6890" i="15"/>
  <c r="A6890" i="15" s="1"/>
  <c r="H6891" i="15"/>
  <c r="A6891" i="15" s="1"/>
  <c r="H6892" i="15"/>
  <c r="A6892" i="15" s="1"/>
  <c r="H6893" i="15"/>
  <c r="A6893" i="15" s="1"/>
  <c r="H6894" i="15"/>
  <c r="A6894" i="15" s="1"/>
  <c r="H6895" i="15"/>
  <c r="A6895" i="15" s="1"/>
  <c r="H6896" i="15"/>
  <c r="A6896" i="15" s="1"/>
  <c r="H6897" i="15"/>
  <c r="A6897" i="15" s="1"/>
  <c r="H6898" i="15"/>
  <c r="A6898" i="15" s="1"/>
  <c r="H6899" i="15"/>
  <c r="A6899" i="15" s="1"/>
  <c r="H6900" i="15"/>
  <c r="A6900" i="15" s="1"/>
  <c r="H6901" i="15"/>
  <c r="A6901" i="15" s="1"/>
  <c r="H6902" i="15"/>
  <c r="A6902" i="15" s="1"/>
  <c r="H6903" i="15"/>
  <c r="A6903" i="15" s="1"/>
  <c r="H6904" i="15"/>
  <c r="A6904" i="15" s="1"/>
  <c r="H6905" i="15"/>
  <c r="A6905" i="15" s="1"/>
  <c r="H6906" i="15"/>
  <c r="A6906" i="15" s="1"/>
  <c r="H6907" i="15"/>
  <c r="A6907" i="15" s="1"/>
  <c r="H6908" i="15"/>
  <c r="A6908" i="15" s="1"/>
  <c r="H6909" i="15"/>
  <c r="A6909" i="15" s="1"/>
  <c r="H6910" i="15"/>
  <c r="A6910" i="15" s="1"/>
  <c r="H6911" i="15"/>
  <c r="A6911" i="15" s="1"/>
  <c r="H6912" i="15"/>
  <c r="A6912" i="15" s="1"/>
  <c r="H6913" i="15"/>
  <c r="A6913" i="15" s="1"/>
  <c r="H6914" i="15"/>
  <c r="A6914" i="15" s="1"/>
  <c r="H6915" i="15"/>
  <c r="A6915" i="15" s="1"/>
  <c r="H6916" i="15"/>
  <c r="A6916" i="15" s="1"/>
  <c r="H6917" i="15"/>
  <c r="A6917" i="15" s="1"/>
  <c r="H6918" i="15"/>
  <c r="A6918" i="15" s="1"/>
  <c r="H6919" i="15"/>
  <c r="A6919" i="15" s="1"/>
  <c r="H6920" i="15"/>
  <c r="A6920" i="15" s="1"/>
  <c r="H6921" i="15"/>
  <c r="A6921" i="15" s="1"/>
  <c r="H6922" i="15"/>
  <c r="A6922" i="15" s="1"/>
  <c r="H6923" i="15"/>
  <c r="A6923" i="15" s="1"/>
  <c r="H6924" i="15"/>
  <c r="A6924" i="15" s="1"/>
  <c r="H6925" i="15"/>
  <c r="A6925" i="15" s="1"/>
  <c r="H6926" i="15"/>
  <c r="A6926" i="15" s="1"/>
  <c r="H6927" i="15"/>
  <c r="A6927" i="15" s="1"/>
  <c r="H6928" i="15"/>
  <c r="A6928" i="15" s="1"/>
  <c r="H6929" i="15"/>
  <c r="A6929" i="15" s="1"/>
  <c r="H6930" i="15"/>
  <c r="A6930" i="15" s="1"/>
  <c r="H6931" i="15"/>
  <c r="A6931" i="15" s="1"/>
  <c r="H6932" i="15"/>
  <c r="A6932" i="15" s="1"/>
  <c r="H6933" i="15"/>
  <c r="A6933" i="15" s="1"/>
  <c r="H6934" i="15"/>
  <c r="A6934" i="15" s="1"/>
  <c r="H6935" i="15"/>
  <c r="A6935" i="15" s="1"/>
  <c r="H6936" i="15"/>
  <c r="A6936" i="15" s="1"/>
  <c r="H6937" i="15"/>
  <c r="A6937" i="15" s="1"/>
  <c r="H6938" i="15"/>
  <c r="A6938" i="15" s="1"/>
  <c r="H6939" i="15"/>
  <c r="A6939" i="15" s="1"/>
  <c r="H6940" i="15"/>
  <c r="A6940" i="15" s="1"/>
  <c r="H6941" i="15"/>
  <c r="A6941" i="15" s="1"/>
  <c r="H6942" i="15"/>
  <c r="A6942" i="15" s="1"/>
  <c r="H6943" i="15"/>
  <c r="A6943" i="15" s="1"/>
  <c r="H6944" i="15"/>
  <c r="A6944" i="15" s="1"/>
  <c r="H6945" i="15"/>
  <c r="A6945" i="15" s="1"/>
  <c r="H6946" i="15"/>
  <c r="A6946" i="15" s="1"/>
  <c r="H6947" i="15"/>
  <c r="A6947" i="15" s="1"/>
  <c r="H6948" i="15"/>
  <c r="A6948" i="15" s="1"/>
  <c r="H6949" i="15"/>
  <c r="A6949" i="15" s="1"/>
  <c r="H6950" i="15"/>
  <c r="A6950" i="15" s="1"/>
  <c r="H6951" i="15"/>
  <c r="A6951" i="15" s="1"/>
  <c r="H6952" i="15"/>
  <c r="A6952" i="15" s="1"/>
  <c r="H6953" i="15"/>
  <c r="A6953" i="15" s="1"/>
  <c r="H6954" i="15"/>
  <c r="A6954" i="15" s="1"/>
  <c r="H6955" i="15"/>
  <c r="A6955" i="15" s="1"/>
  <c r="H6956" i="15"/>
  <c r="A6956" i="15" s="1"/>
  <c r="H6957" i="15"/>
  <c r="A6957" i="15" s="1"/>
  <c r="H6958" i="15"/>
  <c r="A6958" i="15" s="1"/>
  <c r="H6959" i="15"/>
  <c r="A6959" i="15" s="1"/>
  <c r="H6960" i="15"/>
  <c r="A6960" i="15" s="1"/>
  <c r="H6961" i="15"/>
  <c r="A6961" i="15" s="1"/>
  <c r="H6962" i="15"/>
  <c r="A6962" i="15" s="1"/>
  <c r="H6963" i="15"/>
  <c r="A6963" i="15" s="1"/>
  <c r="H6964" i="15"/>
  <c r="A6964" i="15" s="1"/>
  <c r="H6965" i="15"/>
  <c r="A6965" i="15" s="1"/>
  <c r="H6966" i="15"/>
  <c r="A6966" i="15" s="1"/>
  <c r="H6967" i="15"/>
  <c r="A6967" i="15" s="1"/>
  <c r="H6968" i="15"/>
  <c r="A6968" i="15" s="1"/>
  <c r="H6969" i="15"/>
  <c r="A6969" i="15" s="1"/>
  <c r="H6970" i="15"/>
  <c r="A6970" i="15" s="1"/>
  <c r="H6971" i="15"/>
  <c r="A6971" i="15" s="1"/>
  <c r="H6972" i="15"/>
  <c r="A6972" i="15" s="1"/>
  <c r="H6973" i="15"/>
  <c r="A6973" i="15" s="1"/>
  <c r="H6974" i="15"/>
  <c r="A6974" i="15" s="1"/>
  <c r="H6975" i="15"/>
  <c r="A6975" i="15" s="1"/>
  <c r="H6976" i="15"/>
  <c r="A6976" i="15" s="1"/>
  <c r="H6977" i="15"/>
  <c r="A6977" i="15" s="1"/>
  <c r="H6978" i="15"/>
  <c r="A6978" i="15" s="1"/>
  <c r="H6979" i="15"/>
  <c r="A6979" i="15" s="1"/>
  <c r="H6980" i="15"/>
  <c r="A6980" i="15" s="1"/>
  <c r="H6981" i="15"/>
  <c r="A6981" i="15" s="1"/>
  <c r="H6982" i="15"/>
  <c r="A6982" i="15" s="1"/>
  <c r="H6983" i="15"/>
  <c r="A6983" i="15" s="1"/>
  <c r="H6984" i="15"/>
  <c r="A6984" i="15" s="1"/>
  <c r="H6985" i="15"/>
  <c r="A6985" i="15" s="1"/>
  <c r="H6986" i="15"/>
  <c r="A6986" i="15" s="1"/>
  <c r="H6987" i="15"/>
  <c r="A6987" i="15" s="1"/>
  <c r="H6988" i="15"/>
  <c r="A6988" i="15" s="1"/>
  <c r="H6989" i="15"/>
  <c r="A6989" i="15" s="1"/>
  <c r="H6990" i="15"/>
  <c r="A6990" i="15" s="1"/>
  <c r="H6991" i="15"/>
  <c r="A6991" i="15" s="1"/>
  <c r="H6992" i="15"/>
  <c r="A6992" i="15" s="1"/>
  <c r="H6993" i="15"/>
  <c r="A6993" i="15" s="1"/>
  <c r="H6994" i="15"/>
  <c r="A6994" i="15" s="1"/>
  <c r="H6995" i="15"/>
  <c r="A6995" i="15" s="1"/>
  <c r="H6996" i="15"/>
  <c r="A6996" i="15" s="1"/>
  <c r="H6997" i="15"/>
  <c r="A6997" i="15" s="1"/>
  <c r="H6998" i="15"/>
  <c r="A6998" i="15" s="1"/>
  <c r="H6999" i="15"/>
  <c r="A6999" i="15" s="1"/>
  <c r="H7000" i="15"/>
  <c r="A7000" i="15" s="1"/>
  <c r="H7001" i="15"/>
  <c r="A7001" i="15" s="1"/>
  <c r="H7002" i="15"/>
  <c r="A7002" i="15" s="1"/>
  <c r="H7003" i="15"/>
  <c r="A7003" i="15" s="1"/>
  <c r="H7004" i="15"/>
  <c r="A7004" i="15" s="1"/>
  <c r="H7005" i="15"/>
  <c r="A7005" i="15" s="1"/>
  <c r="H7006" i="15"/>
  <c r="A7006" i="15" s="1"/>
  <c r="H7007" i="15"/>
  <c r="A7007" i="15" s="1"/>
  <c r="H7008" i="15"/>
  <c r="A7008" i="15" s="1"/>
  <c r="H7009" i="15"/>
  <c r="A7009" i="15" s="1"/>
  <c r="H7010" i="15"/>
  <c r="A7010" i="15" s="1"/>
  <c r="H7011" i="15"/>
  <c r="A7011" i="15" s="1"/>
  <c r="H7012" i="15"/>
  <c r="A7012" i="15" s="1"/>
  <c r="H7013" i="15"/>
  <c r="A7013" i="15" s="1"/>
  <c r="H7014" i="15"/>
  <c r="A7014" i="15" s="1"/>
  <c r="H7015" i="15"/>
  <c r="A7015" i="15" s="1"/>
  <c r="H7016" i="15"/>
  <c r="A7016" i="15" s="1"/>
  <c r="H7017" i="15"/>
  <c r="A7017" i="15" s="1"/>
  <c r="H7018" i="15"/>
  <c r="A7018" i="15" s="1"/>
  <c r="H7019" i="15"/>
  <c r="A7019" i="15" s="1"/>
  <c r="H7020" i="15"/>
  <c r="A7020" i="15" s="1"/>
  <c r="H7021" i="15"/>
  <c r="A7021" i="15" s="1"/>
  <c r="H7022" i="15"/>
  <c r="A7022" i="15" s="1"/>
  <c r="H7023" i="15"/>
  <c r="A7023" i="15" s="1"/>
  <c r="H7024" i="15"/>
  <c r="A7024" i="15" s="1"/>
  <c r="H7025" i="15"/>
  <c r="A7025" i="15" s="1"/>
  <c r="H7026" i="15"/>
  <c r="A7026" i="15" s="1"/>
  <c r="H7027" i="15"/>
  <c r="A7027" i="15" s="1"/>
  <c r="H7028" i="15"/>
  <c r="A7028" i="15" s="1"/>
  <c r="H7029" i="15"/>
  <c r="A7029" i="15" s="1"/>
  <c r="H7030" i="15"/>
  <c r="A7030" i="15" s="1"/>
  <c r="H7031" i="15"/>
  <c r="A7031" i="15" s="1"/>
  <c r="H7032" i="15"/>
  <c r="A7032" i="15" s="1"/>
  <c r="H7033" i="15"/>
  <c r="A7033" i="15" s="1"/>
  <c r="H7034" i="15"/>
  <c r="A7034" i="15" s="1"/>
  <c r="H7035" i="15"/>
  <c r="A7035" i="15" s="1"/>
  <c r="H7036" i="15"/>
  <c r="A7036" i="15" s="1"/>
  <c r="H7037" i="15"/>
  <c r="A7037" i="15" s="1"/>
  <c r="H7038" i="15"/>
  <c r="A7038" i="15" s="1"/>
  <c r="H7039" i="15"/>
  <c r="A7039" i="15" s="1"/>
  <c r="H7040" i="15"/>
  <c r="A7040" i="15" s="1"/>
  <c r="H7041" i="15"/>
  <c r="A7041" i="15" s="1"/>
  <c r="H7042" i="15"/>
  <c r="A7042" i="15" s="1"/>
  <c r="H7043" i="15"/>
  <c r="A7043" i="15" s="1"/>
  <c r="H7044" i="15"/>
  <c r="A7044" i="15" s="1"/>
  <c r="H7045" i="15"/>
  <c r="A7045" i="15" s="1"/>
  <c r="H7046" i="15"/>
  <c r="A7046" i="15" s="1"/>
  <c r="H7047" i="15"/>
  <c r="A7047" i="15" s="1"/>
  <c r="H7048" i="15"/>
  <c r="A7048" i="15" s="1"/>
  <c r="H7049" i="15"/>
  <c r="A7049" i="15" s="1"/>
  <c r="H7050" i="15"/>
  <c r="A7050" i="15" s="1"/>
  <c r="H7051" i="15"/>
  <c r="A7051" i="15" s="1"/>
  <c r="H7052" i="15"/>
  <c r="A7052" i="15" s="1"/>
  <c r="H7053" i="15"/>
  <c r="A7053" i="15" s="1"/>
  <c r="H7054" i="15"/>
  <c r="A7054" i="15" s="1"/>
  <c r="H7055" i="15"/>
  <c r="A7055" i="15" s="1"/>
  <c r="H7056" i="15"/>
  <c r="A7056" i="15" s="1"/>
  <c r="H7057" i="15"/>
  <c r="A7057" i="15" s="1"/>
  <c r="H7058" i="15"/>
  <c r="A7058" i="15" s="1"/>
  <c r="H7059" i="15"/>
  <c r="A7059" i="15" s="1"/>
  <c r="H7060" i="15"/>
  <c r="A7060" i="15" s="1"/>
  <c r="H7061" i="15"/>
  <c r="A7061" i="15" s="1"/>
  <c r="H7062" i="15"/>
  <c r="A7062" i="15" s="1"/>
  <c r="H7063" i="15"/>
  <c r="A7063" i="15" s="1"/>
  <c r="H7064" i="15"/>
  <c r="A7064" i="15" s="1"/>
  <c r="H7065" i="15"/>
  <c r="A7065" i="15" s="1"/>
  <c r="H7066" i="15"/>
  <c r="A7066" i="15" s="1"/>
  <c r="H7067" i="15"/>
  <c r="A7067" i="15" s="1"/>
  <c r="H7068" i="15"/>
  <c r="A7068" i="15" s="1"/>
  <c r="H7069" i="15"/>
  <c r="A7069" i="15" s="1"/>
  <c r="H7070" i="15"/>
  <c r="A7070" i="15" s="1"/>
  <c r="H7071" i="15"/>
  <c r="A7071" i="15" s="1"/>
  <c r="H7072" i="15"/>
  <c r="A7072" i="15" s="1"/>
  <c r="H7073" i="15"/>
  <c r="A7073" i="15" s="1"/>
  <c r="H7074" i="15"/>
  <c r="A7074" i="15" s="1"/>
  <c r="H7075" i="15"/>
  <c r="A7075" i="15" s="1"/>
  <c r="H7076" i="15"/>
  <c r="A7076" i="15" s="1"/>
  <c r="H7077" i="15"/>
  <c r="A7077" i="15" s="1"/>
  <c r="H7078" i="15"/>
  <c r="A7078" i="15" s="1"/>
  <c r="H7079" i="15"/>
  <c r="A7079" i="15" s="1"/>
  <c r="H7080" i="15"/>
  <c r="A7080" i="15" s="1"/>
  <c r="H7081" i="15"/>
  <c r="A7081" i="15" s="1"/>
  <c r="H7082" i="15"/>
  <c r="A7082" i="15" s="1"/>
  <c r="H7083" i="15"/>
  <c r="A7083" i="15" s="1"/>
  <c r="H7084" i="15"/>
  <c r="A7084" i="15" s="1"/>
  <c r="H7085" i="15"/>
  <c r="A7085" i="15" s="1"/>
  <c r="H7086" i="15"/>
  <c r="A7086" i="15" s="1"/>
  <c r="H7087" i="15"/>
  <c r="A7087" i="15" s="1"/>
  <c r="H7088" i="15"/>
  <c r="A7088" i="15" s="1"/>
  <c r="H7089" i="15"/>
  <c r="A7089" i="15" s="1"/>
  <c r="H7090" i="15"/>
  <c r="A7090" i="15" s="1"/>
  <c r="H7091" i="15"/>
  <c r="A7091" i="15" s="1"/>
  <c r="H7092" i="15"/>
  <c r="A7092" i="15" s="1"/>
  <c r="H7093" i="15"/>
  <c r="A7093" i="15" s="1"/>
  <c r="H7094" i="15"/>
  <c r="A7094" i="15" s="1"/>
  <c r="H7095" i="15"/>
  <c r="A7095" i="15" s="1"/>
  <c r="H7096" i="15"/>
  <c r="A7096" i="15" s="1"/>
  <c r="H7097" i="15"/>
  <c r="A7097" i="15" s="1"/>
  <c r="H7098" i="15"/>
  <c r="A7098" i="15" s="1"/>
  <c r="H7099" i="15"/>
  <c r="A7099" i="15" s="1"/>
  <c r="H7100" i="15"/>
  <c r="A7100" i="15" s="1"/>
  <c r="H7101" i="15"/>
  <c r="A7101" i="15" s="1"/>
  <c r="H7102" i="15"/>
  <c r="A7102" i="15" s="1"/>
  <c r="H7103" i="15"/>
  <c r="A7103" i="15" s="1"/>
  <c r="H7104" i="15"/>
  <c r="A7104" i="15" s="1"/>
  <c r="H7105" i="15"/>
  <c r="A7105" i="15" s="1"/>
  <c r="H7106" i="15"/>
  <c r="A7106" i="15" s="1"/>
  <c r="H7107" i="15"/>
  <c r="A7107" i="15" s="1"/>
  <c r="H7108" i="15"/>
  <c r="A7108" i="15" s="1"/>
  <c r="H7109" i="15"/>
  <c r="A7109" i="15" s="1"/>
  <c r="H7110" i="15"/>
  <c r="A7110" i="15" s="1"/>
  <c r="H7111" i="15"/>
  <c r="A7111" i="15" s="1"/>
  <c r="H7112" i="15"/>
  <c r="A7112" i="15" s="1"/>
  <c r="H7113" i="15"/>
  <c r="A7113" i="15" s="1"/>
  <c r="H7114" i="15"/>
  <c r="A7114" i="15" s="1"/>
  <c r="H7115" i="15"/>
  <c r="A7115" i="15" s="1"/>
  <c r="H7116" i="15"/>
  <c r="A7116" i="15" s="1"/>
  <c r="H7117" i="15"/>
  <c r="A7117" i="15" s="1"/>
  <c r="H7118" i="15"/>
  <c r="A7118" i="15" s="1"/>
  <c r="H7119" i="15"/>
  <c r="A7119" i="15" s="1"/>
  <c r="H7120" i="15"/>
  <c r="A7120" i="15" s="1"/>
  <c r="H7121" i="15"/>
  <c r="A7121" i="15" s="1"/>
  <c r="H7122" i="15"/>
  <c r="A7122" i="15" s="1"/>
  <c r="H7123" i="15"/>
  <c r="A7123" i="15" s="1"/>
  <c r="H7124" i="15"/>
  <c r="A7124" i="15" s="1"/>
  <c r="H7125" i="15"/>
  <c r="A7125" i="15" s="1"/>
  <c r="H7126" i="15"/>
  <c r="A7126" i="15" s="1"/>
  <c r="H7127" i="15"/>
  <c r="A7127" i="15" s="1"/>
  <c r="H7128" i="15"/>
  <c r="A7128" i="15" s="1"/>
  <c r="H7129" i="15"/>
  <c r="A7129" i="15" s="1"/>
  <c r="H7130" i="15"/>
  <c r="A7130" i="15" s="1"/>
  <c r="H7131" i="15"/>
  <c r="A7131" i="15" s="1"/>
  <c r="H7132" i="15"/>
  <c r="A7132" i="15" s="1"/>
  <c r="H7133" i="15"/>
  <c r="A7133" i="15" s="1"/>
  <c r="H7134" i="15"/>
  <c r="A7134" i="15" s="1"/>
  <c r="H7135" i="15"/>
  <c r="A7135" i="15" s="1"/>
  <c r="H7136" i="15"/>
  <c r="A7136" i="15" s="1"/>
  <c r="H7137" i="15"/>
  <c r="A7137" i="15" s="1"/>
  <c r="H7138" i="15"/>
  <c r="A7138" i="15" s="1"/>
  <c r="H7139" i="15"/>
  <c r="A7139" i="15" s="1"/>
  <c r="H7140" i="15"/>
  <c r="A7140" i="15" s="1"/>
  <c r="H7141" i="15"/>
  <c r="A7141" i="15" s="1"/>
  <c r="H7142" i="15"/>
  <c r="A7142" i="15" s="1"/>
  <c r="H7143" i="15"/>
  <c r="A7143" i="15" s="1"/>
  <c r="H7144" i="15"/>
  <c r="A7144" i="15" s="1"/>
  <c r="H7145" i="15"/>
  <c r="A7145" i="15" s="1"/>
  <c r="H7146" i="15"/>
  <c r="A7146" i="15" s="1"/>
  <c r="H7147" i="15"/>
  <c r="A7147" i="15" s="1"/>
  <c r="H7148" i="15"/>
  <c r="A7148" i="15" s="1"/>
  <c r="H7149" i="15"/>
  <c r="A7149" i="15" s="1"/>
  <c r="H7150" i="15"/>
  <c r="A7150" i="15" s="1"/>
  <c r="H7151" i="15"/>
  <c r="A7151" i="15" s="1"/>
  <c r="H7152" i="15"/>
  <c r="A7152" i="15" s="1"/>
  <c r="H7153" i="15"/>
  <c r="A7153" i="15" s="1"/>
  <c r="H7154" i="15"/>
  <c r="A7154" i="15" s="1"/>
  <c r="H7155" i="15"/>
  <c r="A7155" i="15" s="1"/>
  <c r="H7156" i="15"/>
  <c r="A7156" i="15" s="1"/>
  <c r="H7157" i="15"/>
  <c r="A7157" i="15" s="1"/>
  <c r="H7158" i="15"/>
  <c r="A7158" i="15" s="1"/>
  <c r="H7159" i="15"/>
  <c r="A7159" i="15" s="1"/>
  <c r="H7160" i="15"/>
  <c r="A7160" i="15" s="1"/>
  <c r="H7161" i="15"/>
  <c r="A7161" i="15" s="1"/>
  <c r="H7162" i="15"/>
  <c r="A7162" i="15" s="1"/>
  <c r="H7163" i="15"/>
  <c r="A7163" i="15" s="1"/>
  <c r="H7164" i="15"/>
  <c r="A7164" i="15" s="1"/>
  <c r="H7165" i="15"/>
  <c r="A7165" i="15" s="1"/>
  <c r="H7166" i="15"/>
  <c r="A7166" i="15" s="1"/>
  <c r="H7167" i="15"/>
  <c r="A7167" i="15" s="1"/>
  <c r="H7168" i="15"/>
  <c r="A7168" i="15" s="1"/>
  <c r="H7169" i="15"/>
  <c r="A7169" i="15" s="1"/>
  <c r="H7170" i="15"/>
  <c r="A7170" i="15" s="1"/>
  <c r="H7171" i="15"/>
  <c r="A7171" i="15" s="1"/>
  <c r="H7172" i="15"/>
  <c r="A7172" i="15" s="1"/>
  <c r="H7173" i="15"/>
  <c r="A7173" i="15" s="1"/>
  <c r="H7174" i="15"/>
  <c r="A7174" i="15" s="1"/>
  <c r="H7175" i="15"/>
  <c r="A7175" i="15" s="1"/>
  <c r="H7176" i="15"/>
  <c r="A7176" i="15" s="1"/>
  <c r="H7177" i="15"/>
  <c r="A7177" i="15" s="1"/>
  <c r="H7178" i="15"/>
  <c r="A7178" i="15" s="1"/>
  <c r="H7179" i="15"/>
  <c r="A7179" i="15" s="1"/>
  <c r="H7180" i="15"/>
  <c r="A7180" i="15" s="1"/>
  <c r="H7181" i="15"/>
  <c r="A7181" i="15" s="1"/>
  <c r="H7182" i="15"/>
  <c r="A7182" i="15" s="1"/>
  <c r="H7183" i="15"/>
  <c r="A7183" i="15" s="1"/>
  <c r="H7184" i="15"/>
  <c r="A7184" i="15" s="1"/>
  <c r="H7185" i="15"/>
  <c r="A7185" i="15" s="1"/>
  <c r="H7186" i="15"/>
  <c r="A7186" i="15" s="1"/>
  <c r="H7187" i="15"/>
  <c r="A7187" i="15" s="1"/>
  <c r="H7188" i="15"/>
  <c r="A7188" i="15" s="1"/>
  <c r="H7189" i="15"/>
  <c r="A7189" i="15" s="1"/>
  <c r="H7190" i="15"/>
  <c r="A7190" i="15" s="1"/>
  <c r="H7191" i="15"/>
  <c r="A7191" i="15" s="1"/>
  <c r="H7192" i="15"/>
  <c r="A7192" i="15" s="1"/>
  <c r="H7193" i="15"/>
  <c r="A7193" i="15" s="1"/>
  <c r="H7194" i="15"/>
  <c r="A7194" i="15" s="1"/>
  <c r="H7195" i="15"/>
  <c r="A7195" i="15" s="1"/>
  <c r="H7196" i="15"/>
  <c r="A7196" i="15" s="1"/>
  <c r="H7197" i="15"/>
  <c r="A7197" i="15" s="1"/>
  <c r="H7198" i="15"/>
  <c r="A7198" i="15" s="1"/>
  <c r="H7199" i="15"/>
  <c r="A7199" i="15" s="1"/>
  <c r="H7200" i="15"/>
  <c r="A7200" i="15" s="1"/>
  <c r="H7201" i="15"/>
  <c r="A7201" i="15" s="1"/>
  <c r="H7202" i="15"/>
  <c r="A7202" i="15" s="1"/>
  <c r="H7203" i="15"/>
  <c r="A7203" i="15" s="1"/>
  <c r="H7204" i="15"/>
  <c r="A7204" i="15" s="1"/>
  <c r="H7205" i="15"/>
  <c r="A7205" i="15" s="1"/>
  <c r="H7206" i="15"/>
  <c r="A7206" i="15" s="1"/>
  <c r="H7207" i="15"/>
  <c r="A7207" i="15" s="1"/>
  <c r="H7208" i="15"/>
  <c r="A7208" i="15" s="1"/>
  <c r="H7209" i="15"/>
  <c r="A7209" i="15" s="1"/>
  <c r="H7210" i="15"/>
  <c r="A7210" i="15" s="1"/>
  <c r="H7211" i="15"/>
  <c r="A7211" i="15" s="1"/>
  <c r="H7212" i="15"/>
  <c r="A7212" i="15" s="1"/>
  <c r="H7213" i="15"/>
  <c r="A7213" i="15" s="1"/>
  <c r="H7214" i="15"/>
  <c r="A7214" i="15" s="1"/>
  <c r="H7215" i="15"/>
  <c r="A7215" i="15" s="1"/>
  <c r="H7216" i="15"/>
  <c r="A7216" i="15" s="1"/>
  <c r="H7217" i="15"/>
  <c r="A7217" i="15" s="1"/>
  <c r="H7218" i="15"/>
  <c r="A7218" i="15" s="1"/>
  <c r="H7219" i="15"/>
  <c r="A7219" i="15" s="1"/>
  <c r="H7220" i="15"/>
  <c r="A7220" i="15" s="1"/>
  <c r="H7221" i="15"/>
  <c r="A7221" i="15" s="1"/>
  <c r="H7222" i="15"/>
  <c r="A7222" i="15" s="1"/>
  <c r="H7223" i="15"/>
  <c r="A7223" i="15" s="1"/>
  <c r="H7224" i="15"/>
  <c r="A7224" i="15" s="1"/>
  <c r="H7225" i="15"/>
  <c r="A7225" i="15" s="1"/>
  <c r="H7226" i="15"/>
  <c r="A7226" i="15" s="1"/>
  <c r="H7227" i="15"/>
  <c r="A7227" i="15" s="1"/>
  <c r="H7228" i="15"/>
  <c r="A7228" i="15" s="1"/>
  <c r="H7229" i="15"/>
  <c r="A7229" i="15" s="1"/>
  <c r="H7230" i="15"/>
  <c r="A7230" i="15" s="1"/>
  <c r="H7231" i="15"/>
  <c r="A7231" i="15" s="1"/>
  <c r="H7232" i="15"/>
  <c r="A7232" i="15" s="1"/>
  <c r="H7233" i="15"/>
  <c r="A7233" i="15" s="1"/>
  <c r="H7234" i="15"/>
  <c r="A7234" i="15" s="1"/>
  <c r="H7235" i="15"/>
  <c r="A7235" i="15" s="1"/>
  <c r="H7236" i="15"/>
  <c r="A7236" i="15" s="1"/>
  <c r="H7237" i="15"/>
  <c r="A7237" i="15" s="1"/>
  <c r="H7238" i="15"/>
  <c r="A7238" i="15" s="1"/>
  <c r="H7239" i="15"/>
  <c r="A7239" i="15" s="1"/>
  <c r="H7240" i="15"/>
  <c r="A7240" i="15" s="1"/>
  <c r="H7241" i="15"/>
  <c r="A7241" i="15" s="1"/>
  <c r="H7242" i="15"/>
  <c r="A7242" i="15" s="1"/>
  <c r="H7243" i="15"/>
  <c r="A7243" i="15" s="1"/>
  <c r="H7244" i="15"/>
  <c r="A7244" i="15" s="1"/>
  <c r="H7245" i="15"/>
  <c r="A7245" i="15" s="1"/>
  <c r="H7246" i="15"/>
  <c r="A7246" i="15" s="1"/>
  <c r="H7247" i="15"/>
  <c r="A7247" i="15" s="1"/>
  <c r="H7248" i="15"/>
  <c r="A7248" i="15" s="1"/>
  <c r="H7249" i="15"/>
  <c r="A7249" i="15" s="1"/>
  <c r="H7250" i="15"/>
  <c r="A7250" i="15" s="1"/>
  <c r="H7251" i="15"/>
  <c r="A7251" i="15" s="1"/>
  <c r="H7252" i="15"/>
  <c r="A7252" i="15" s="1"/>
  <c r="H7253" i="15"/>
  <c r="A7253" i="15" s="1"/>
  <c r="H7254" i="15"/>
  <c r="A7254" i="15" s="1"/>
  <c r="H7255" i="15"/>
  <c r="A7255" i="15" s="1"/>
  <c r="H7256" i="15"/>
  <c r="A7256" i="15" s="1"/>
  <c r="H7257" i="15"/>
  <c r="A7257" i="15" s="1"/>
  <c r="H7258" i="15"/>
  <c r="A7258" i="15" s="1"/>
  <c r="H7259" i="15"/>
  <c r="A7259" i="15" s="1"/>
  <c r="H7260" i="15"/>
  <c r="A7260" i="15" s="1"/>
  <c r="H7261" i="15"/>
  <c r="A7261" i="15" s="1"/>
  <c r="H7262" i="15"/>
  <c r="A7262" i="15" s="1"/>
  <c r="H7263" i="15"/>
  <c r="A7263" i="15" s="1"/>
  <c r="H7264" i="15"/>
  <c r="A7264" i="15" s="1"/>
  <c r="H7265" i="15"/>
  <c r="A7265" i="15" s="1"/>
  <c r="H7266" i="15"/>
  <c r="A7266" i="15" s="1"/>
  <c r="H7267" i="15"/>
  <c r="A7267" i="15" s="1"/>
  <c r="H7268" i="15"/>
  <c r="A7268" i="15" s="1"/>
  <c r="H7269" i="15"/>
  <c r="A7269" i="15" s="1"/>
  <c r="H7270" i="15"/>
  <c r="A7270" i="15" s="1"/>
  <c r="H7271" i="15"/>
  <c r="A7271" i="15" s="1"/>
  <c r="H7272" i="15"/>
  <c r="A7272" i="15" s="1"/>
  <c r="H7273" i="15"/>
  <c r="A7273" i="15" s="1"/>
  <c r="H7274" i="15"/>
  <c r="A7274" i="15" s="1"/>
  <c r="H7275" i="15"/>
  <c r="A7275" i="15" s="1"/>
  <c r="H7276" i="15"/>
  <c r="A7276" i="15" s="1"/>
  <c r="H7277" i="15"/>
  <c r="A7277" i="15" s="1"/>
  <c r="H7278" i="15"/>
  <c r="A7278" i="15" s="1"/>
  <c r="H7279" i="15"/>
  <c r="A7279" i="15" s="1"/>
  <c r="H7280" i="15"/>
  <c r="A7280" i="15" s="1"/>
  <c r="H7281" i="15"/>
  <c r="A7281" i="15" s="1"/>
  <c r="H7282" i="15"/>
  <c r="A7282" i="15" s="1"/>
  <c r="H7283" i="15"/>
  <c r="A7283" i="15" s="1"/>
  <c r="H7284" i="15"/>
  <c r="A7284" i="15" s="1"/>
  <c r="H7285" i="15"/>
  <c r="A7285" i="15" s="1"/>
  <c r="H7286" i="15"/>
  <c r="A7286" i="15" s="1"/>
  <c r="H7287" i="15"/>
  <c r="A7287" i="15" s="1"/>
  <c r="H7288" i="15"/>
  <c r="A7288" i="15" s="1"/>
  <c r="H7289" i="15"/>
  <c r="A7289" i="15" s="1"/>
  <c r="H7290" i="15"/>
  <c r="A7290" i="15" s="1"/>
  <c r="H7291" i="15"/>
  <c r="A7291" i="15" s="1"/>
  <c r="H7292" i="15"/>
  <c r="A7292" i="15" s="1"/>
  <c r="H7293" i="15"/>
  <c r="A7293" i="15" s="1"/>
  <c r="H7294" i="15"/>
  <c r="A7294" i="15" s="1"/>
  <c r="H7295" i="15"/>
  <c r="A7295" i="15" s="1"/>
  <c r="H7296" i="15"/>
  <c r="A7296" i="15" s="1"/>
  <c r="H7297" i="15"/>
  <c r="A7297" i="15" s="1"/>
  <c r="H7298" i="15"/>
  <c r="A7298" i="15" s="1"/>
  <c r="H7299" i="15"/>
  <c r="A7299" i="15" s="1"/>
  <c r="H7300" i="15"/>
  <c r="A7300" i="15" s="1"/>
  <c r="H7301" i="15"/>
  <c r="A7301" i="15" s="1"/>
  <c r="H7302" i="15"/>
  <c r="A7302" i="15" s="1"/>
  <c r="H7303" i="15"/>
  <c r="A7303" i="15" s="1"/>
  <c r="H7304" i="15"/>
  <c r="A7304" i="15" s="1"/>
  <c r="H7305" i="15"/>
  <c r="A7305" i="15" s="1"/>
  <c r="H7306" i="15"/>
  <c r="A7306" i="15" s="1"/>
  <c r="H7307" i="15"/>
  <c r="A7307" i="15" s="1"/>
  <c r="H7308" i="15"/>
  <c r="A7308" i="15" s="1"/>
  <c r="H7309" i="15"/>
  <c r="A7309" i="15" s="1"/>
  <c r="H7310" i="15"/>
  <c r="A7310" i="15" s="1"/>
  <c r="H7311" i="15"/>
  <c r="A7311" i="15" s="1"/>
  <c r="H7312" i="15"/>
  <c r="A7312" i="15" s="1"/>
  <c r="H7313" i="15"/>
  <c r="A7313" i="15" s="1"/>
  <c r="H7314" i="15"/>
  <c r="A7314" i="15" s="1"/>
  <c r="H7315" i="15"/>
  <c r="A7315" i="15" s="1"/>
  <c r="H7316" i="15"/>
  <c r="A7316" i="15" s="1"/>
  <c r="H7317" i="15"/>
  <c r="A7317" i="15" s="1"/>
  <c r="H7318" i="15"/>
  <c r="A7318" i="15" s="1"/>
  <c r="H7319" i="15"/>
  <c r="A7319" i="15" s="1"/>
  <c r="H7320" i="15"/>
  <c r="A7320" i="15" s="1"/>
  <c r="H7321" i="15"/>
  <c r="A7321" i="15" s="1"/>
  <c r="H7322" i="15"/>
  <c r="A7322" i="15" s="1"/>
  <c r="H7323" i="15"/>
  <c r="A7323" i="15" s="1"/>
  <c r="H7324" i="15"/>
  <c r="A7324" i="15" s="1"/>
  <c r="H7325" i="15"/>
  <c r="A7325" i="15" s="1"/>
  <c r="H7326" i="15"/>
  <c r="A7326" i="15" s="1"/>
  <c r="H7327" i="15"/>
  <c r="A7327" i="15" s="1"/>
  <c r="H7328" i="15"/>
  <c r="A7328" i="15" s="1"/>
  <c r="H7329" i="15"/>
  <c r="A7329" i="15" s="1"/>
  <c r="H7330" i="15"/>
  <c r="A7330" i="15" s="1"/>
  <c r="H7331" i="15"/>
  <c r="A7331" i="15" s="1"/>
  <c r="H7332" i="15"/>
  <c r="A7332" i="15" s="1"/>
  <c r="H7333" i="15"/>
  <c r="A7333" i="15" s="1"/>
  <c r="H7334" i="15"/>
  <c r="A7334" i="15" s="1"/>
  <c r="H7335" i="15"/>
  <c r="A7335" i="15" s="1"/>
  <c r="H7336" i="15"/>
  <c r="A7336" i="15" s="1"/>
  <c r="H7337" i="15"/>
  <c r="A7337" i="15" s="1"/>
  <c r="H7338" i="15"/>
  <c r="A7338" i="15" s="1"/>
  <c r="H7339" i="15"/>
  <c r="A7339" i="15" s="1"/>
  <c r="H7340" i="15"/>
  <c r="A7340" i="15" s="1"/>
  <c r="H7341" i="15"/>
  <c r="A7341" i="15" s="1"/>
  <c r="H7342" i="15"/>
  <c r="A7342" i="15" s="1"/>
  <c r="H7343" i="15"/>
  <c r="A7343" i="15" s="1"/>
  <c r="H7344" i="15"/>
  <c r="A7344" i="15" s="1"/>
  <c r="H7345" i="15"/>
  <c r="A7345" i="15" s="1"/>
  <c r="H7346" i="15"/>
  <c r="A7346" i="15" s="1"/>
  <c r="H7347" i="15"/>
  <c r="A7347" i="15" s="1"/>
  <c r="H7348" i="15"/>
  <c r="A7348" i="15" s="1"/>
  <c r="H7349" i="15"/>
  <c r="A7349" i="15" s="1"/>
  <c r="H7350" i="15"/>
  <c r="A7350" i="15" s="1"/>
  <c r="H7351" i="15"/>
  <c r="A7351" i="15" s="1"/>
  <c r="H7352" i="15"/>
  <c r="A7352" i="15" s="1"/>
  <c r="H7353" i="15"/>
  <c r="A7353" i="15" s="1"/>
  <c r="H7354" i="15"/>
  <c r="A7354" i="15" s="1"/>
  <c r="H7355" i="15"/>
  <c r="A7355" i="15" s="1"/>
  <c r="H7356" i="15"/>
  <c r="A7356" i="15" s="1"/>
  <c r="H7357" i="15"/>
  <c r="A7357" i="15" s="1"/>
  <c r="H7358" i="15"/>
  <c r="A7358" i="15" s="1"/>
  <c r="H7359" i="15"/>
  <c r="A7359" i="15" s="1"/>
  <c r="H7360" i="15"/>
  <c r="A7360" i="15" s="1"/>
  <c r="H7361" i="15"/>
  <c r="A7361" i="15" s="1"/>
  <c r="H7362" i="15"/>
  <c r="A7362" i="15" s="1"/>
  <c r="H7363" i="15"/>
  <c r="A7363" i="15" s="1"/>
  <c r="H7364" i="15"/>
  <c r="A7364" i="15" s="1"/>
  <c r="H7365" i="15"/>
  <c r="A7365" i="15" s="1"/>
  <c r="H7366" i="15"/>
  <c r="A7366" i="15" s="1"/>
  <c r="H7367" i="15"/>
  <c r="A7367" i="15" s="1"/>
  <c r="H7368" i="15"/>
  <c r="A7368" i="15" s="1"/>
  <c r="H7369" i="15"/>
  <c r="A7369" i="15" s="1"/>
  <c r="H7370" i="15"/>
  <c r="A7370" i="15" s="1"/>
  <c r="H7371" i="15"/>
  <c r="A7371" i="15" s="1"/>
  <c r="H7372" i="15"/>
  <c r="A7372" i="15" s="1"/>
  <c r="H7373" i="15"/>
  <c r="A7373" i="15" s="1"/>
  <c r="H7374" i="15"/>
  <c r="A7374" i="15" s="1"/>
  <c r="H7375" i="15"/>
  <c r="A7375" i="15" s="1"/>
  <c r="H7376" i="15"/>
  <c r="A7376" i="15" s="1"/>
  <c r="H7377" i="15"/>
  <c r="A7377" i="15" s="1"/>
  <c r="H7378" i="15"/>
  <c r="A7378" i="15" s="1"/>
  <c r="H7379" i="15"/>
  <c r="A7379" i="15" s="1"/>
  <c r="H7380" i="15"/>
  <c r="A7380" i="15" s="1"/>
  <c r="H7381" i="15"/>
  <c r="A7381" i="15" s="1"/>
  <c r="H7382" i="15"/>
  <c r="A7382" i="15" s="1"/>
  <c r="H7383" i="15"/>
  <c r="A7383" i="15" s="1"/>
  <c r="H7384" i="15"/>
  <c r="A7384" i="15" s="1"/>
  <c r="H7385" i="15"/>
  <c r="A7385" i="15" s="1"/>
  <c r="H7386" i="15"/>
  <c r="A7386" i="15" s="1"/>
  <c r="H7387" i="15"/>
  <c r="A7387" i="15" s="1"/>
  <c r="H7388" i="15"/>
  <c r="A7388" i="15" s="1"/>
  <c r="H7389" i="15"/>
  <c r="A7389" i="15" s="1"/>
  <c r="H7390" i="15"/>
  <c r="A7390" i="15" s="1"/>
  <c r="H7391" i="15"/>
  <c r="A7391" i="15" s="1"/>
  <c r="H7392" i="15"/>
  <c r="A7392" i="15" s="1"/>
  <c r="H7393" i="15"/>
  <c r="A7393" i="15" s="1"/>
  <c r="H7394" i="15"/>
  <c r="A7394" i="15" s="1"/>
  <c r="H7395" i="15"/>
  <c r="A7395" i="15" s="1"/>
  <c r="H7396" i="15"/>
  <c r="A7396" i="15" s="1"/>
  <c r="H7397" i="15"/>
  <c r="A7397" i="15" s="1"/>
  <c r="H7398" i="15"/>
  <c r="A7398" i="15" s="1"/>
  <c r="H7399" i="15"/>
  <c r="A7399" i="15" s="1"/>
  <c r="H7400" i="15"/>
  <c r="A7400" i="15" s="1"/>
  <c r="H7401" i="15"/>
  <c r="A7401" i="15" s="1"/>
  <c r="H7402" i="15"/>
  <c r="A7402" i="15" s="1"/>
  <c r="H7403" i="15"/>
  <c r="A7403" i="15" s="1"/>
  <c r="H7404" i="15"/>
  <c r="A7404" i="15" s="1"/>
  <c r="H7405" i="15"/>
  <c r="A7405" i="15" s="1"/>
  <c r="H7406" i="15"/>
  <c r="A7406" i="15" s="1"/>
  <c r="H7407" i="15"/>
  <c r="A7407" i="15" s="1"/>
  <c r="H7408" i="15"/>
  <c r="A7408" i="15" s="1"/>
  <c r="H7409" i="15"/>
  <c r="A7409" i="15" s="1"/>
  <c r="H7410" i="15"/>
  <c r="A7410" i="15" s="1"/>
  <c r="H7411" i="15"/>
  <c r="A7411" i="15" s="1"/>
  <c r="H7412" i="15"/>
  <c r="A7412" i="15" s="1"/>
  <c r="H7413" i="15"/>
  <c r="A7413" i="15" s="1"/>
  <c r="H7414" i="15"/>
  <c r="A7414" i="15" s="1"/>
  <c r="H7415" i="15"/>
  <c r="A7415" i="15" s="1"/>
  <c r="H7416" i="15"/>
  <c r="A7416" i="15" s="1"/>
  <c r="H7417" i="15"/>
  <c r="A7417" i="15" s="1"/>
  <c r="H7418" i="15"/>
  <c r="A7418" i="15" s="1"/>
  <c r="H7419" i="15"/>
  <c r="A7419" i="15" s="1"/>
  <c r="H7420" i="15"/>
  <c r="A7420" i="15" s="1"/>
  <c r="H7421" i="15"/>
  <c r="A7421" i="15" s="1"/>
  <c r="H7422" i="15"/>
  <c r="A7422" i="15" s="1"/>
  <c r="H7423" i="15"/>
  <c r="A7423" i="15" s="1"/>
  <c r="H7424" i="15"/>
  <c r="A7424" i="15" s="1"/>
  <c r="H7425" i="15"/>
  <c r="A7425" i="15" s="1"/>
  <c r="H7426" i="15"/>
  <c r="A7426" i="15" s="1"/>
  <c r="H7427" i="15"/>
  <c r="A7427" i="15" s="1"/>
  <c r="H7428" i="15"/>
  <c r="A7428" i="15" s="1"/>
  <c r="H7429" i="15"/>
  <c r="A7429" i="15" s="1"/>
  <c r="H7430" i="15"/>
  <c r="A7430" i="15" s="1"/>
  <c r="H7431" i="15"/>
  <c r="A7431" i="15" s="1"/>
  <c r="H7432" i="15"/>
  <c r="A7432" i="15" s="1"/>
  <c r="H7433" i="15"/>
  <c r="A7433" i="15" s="1"/>
  <c r="H7434" i="15"/>
  <c r="A7434" i="15" s="1"/>
  <c r="H7435" i="15"/>
  <c r="A7435" i="15" s="1"/>
  <c r="H7436" i="15"/>
  <c r="A7436" i="15" s="1"/>
  <c r="H7437" i="15"/>
  <c r="A7437" i="15" s="1"/>
  <c r="H7438" i="15"/>
  <c r="A7438" i="15" s="1"/>
  <c r="H7439" i="15"/>
  <c r="A7439" i="15" s="1"/>
  <c r="H7440" i="15"/>
  <c r="A7440" i="15" s="1"/>
  <c r="H7441" i="15"/>
  <c r="A7441" i="15" s="1"/>
  <c r="H7442" i="15"/>
  <c r="A7442" i="15" s="1"/>
  <c r="H7443" i="15"/>
  <c r="A7443" i="15" s="1"/>
  <c r="H7444" i="15"/>
  <c r="A7444" i="15" s="1"/>
  <c r="H7445" i="15"/>
  <c r="A7445" i="15" s="1"/>
  <c r="H7446" i="15"/>
  <c r="A7446" i="15" s="1"/>
  <c r="H7447" i="15"/>
  <c r="A7447" i="15" s="1"/>
  <c r="H7448" i="15"/>
  <c r="A7448" i="15" s="1"/>
  <c r="H7449" i="15"/>
  <c r="A7449" i="15" s="1"/>
  <c r="H7450" i="15"/>
  <c r="A7450" i="15" s="1"/>
  <c r="H7451" i="15"/>
  <c r="A7451" i="15" s="1"/>
  <c r="H7452" i="15"/>
  <c r="A7452" i="15" s="1"/>
  <c r="H7453" i="15"/>
  <c r="A7453" i="15" s="1"/>
  <c r="H7454" i="15"/>
  <c r="A7454" i="15" s="1"/>
  <c r="H7455" i="15"/>
  <c r="A7455" i="15" s="1"/>
  <c r="H7456" i="15"/>
  <c r="A7456" i="15" s="1"/>
  <c r="H7457" i="15"/>
  <c r="A7457" i="15" s="1"/>
  <c r="H7458" i="15"/>
  <c r="A7458" i="15" s="1"/>
  <c r="H7459" i="15"/>
  <c r="A7459" i="15" s="1"/>
  <c r="H7460" i="15"/>
  <c r="A7460" i="15" s="1"/>
  <c r="H7461" i="15"/>
  <c r="A7461" i="15" s="1"/>
  <c r="H7462" i="15"/>
  <c r="A7462" i="15" s="1"/>
  <c r="H7463" i="15"/>
  <c r="A7463" i="15" s="1"/>
  <c r="H7464" i="15"/>
  <c r="A7464" i="15" s="1"/>
  <c r="H7465" i="15"/>
  <c r="A7465" i="15" s="1"/>
  <c r="H7466" i="15"/>
  <c r="A7466" i="15" s="1"/>
  <c r="H7467" i="15"/>
  <c r="A7467" i="15" s="1"/>
  <c r="H7468" i="15"/>
  <c r="A7468" i="15" s="1"/>
  <c r="H7469" i="15"/>
  <c r="A7469" i="15" s="1"/>
  <c r="H7470" i="15"/>
  <c r="A7470" i="15" s="1"/>
  <c r="H7471" i="15"/>
  <c r="A7471" i="15" s="1"/>
  <c r="H7472" i="15"/>
  <c r="A7472" i="15" s="1"/>
  <c r="H7473" i="15"/>
  <c r="A7473" i="15" s="1"/>
  <c r="H7474" i="15"/>
  <c r="A7474" i="15" s="1"/>
  <c r="H7475" i="15"/>
  <c r="A7475" i="15" s="1"/>
  <c r="H7476" i="15"/>
  <c r="A7476" i="15" s="1"/>
  <c r="H7477" i="15"/>
  <c r="A7477" i="15" s="1"/>
  <c r="H7478" i="15"/>
  <c r="A7478" i="15" s="1"/>
  <c r="H7479" i="15"/>
  <c r="A7479" i="15" s="1"/>
  <c r="H7480" i="15"/>
  <c r="A7480" i="15" s="1"/>
  <c r="H7481" i="15"/>
  <c r="A7481" i="15" s="1"/>
  <c r="H7482" i="15"/>
  <c r="A7482" i="15" s="1"/>
  <c r="H7483" i="15"/>
  <c r="A7483" i="15" s="1"/>
  <c r="H7484" i="15"/>
  <c r="A7484" i="15" s="1"/>
  <c r="H7485" i="15"/>
  <c r="A7485" i="15" s="1"/>
  <c r="H7486" i="15"/>
  <c r="A7486" i="15" s="1"/>
  <c r="H7487" i="15"/>
  <c r="A7487" i="15" s="1"/>
  <c r="H7488" i="15"/>
  <c r="A7488" i="15" s="1"/>
  <c r="H7489" i="15"/>
  <c r="A7489" i="15" s="1"/>
  <c r="H7490" i="15"/>
  <c r="A7490" i="15" s="1"/>
  <c r="H7491" i="15"/>
  <c r="A7491" i="15" s="1"/>
  <c r="H7492" i="15"/>
  <c r="A7492" i="15" s="1"/>
  <c r="H7493" i="15"/>
  <c r="A7493" i="15" s="1"/>
  <c r="H7494" i="15"/>
  <c r="A7494" i="15" s="1"/>
  <c r="H7495" i="15"/>
  <c r="A7495" i="15" s="1"/>
  <c r="H7496" i="15"/>
  <c r="A7496" i="15" s="1"/>
  <c r="H7497" i="15"/>
  <c r="A7497" i="15" s="1"/>
  <c r="H7498" i="15"/>
  <c r="A7498" i="15" s="1"/>
  <c r="H7499" i="15"/>
  <c r="A7499" i="15" s="1"/>
  <c r="H7500" i="15"/>
  <c r="A7500" i="15" s="1"/>
  <c r="H7501" i="15"/>
  <c r="A7501" i="15" s="1"/>
  <c r="H7502" i="15"/>
  <c r="A7502" i="15" s="1"/>
  <c r="H7503" i="15"/>
  <c r="A7503" i="15" s="1"/>
  <c r="H7504" i="15"/>
  <c r="A7504" i="15" s="1"/>
  <c r="H7505" i="15"/>
  <c r="A7505" i="15" s="1"/>
  <c r="H7506" i="15"/>
  <c r="A7506" i="15" s="1"/>
  <c r="H7507" i="15"/>
  <c r="A7507" i="15" s="1"/>
  <c r="H7508" i="15"/>
  <c r="A7508" i="15" s="1"/>
  <c r="H7509" i="15"/>
  <c r="A7509" i="15" s="1"/>
  <c r="H7510" i="15"/>
  <c r="A7510" i="15" s="1"/>
  <c r="H7511" i="15"/>
  <c r="A7511" i="15" s="1"/>
  <c r="H7512" i="15"/>
  <c r="A7512" i="15" s="1"/>
  <c r="H7513" i="15"/>
  <c r="A7513" i="15" s="1"/>
  <c r="H7514" i="15"/>
  <c r="A7514" i="15" s="1"/>
  <c r="H7515" i="15"/>
  <c r="A7515" i="15" s="1"/>
  <c r="H7516" i="15"/>
  <c r="A7516" i="15" s="1"/>
  <c r="H7517" i="15"/>
  <c r="A7517" i="15" s="1"/>
  <c r="H7518" i="15"/>
  <c r="A7518" i="15" s="1"/>
  <c r="H7519" i="15"/>
  <c r="A7519" i="15" s="1"/>
  <c r="H7520" i="15"/>
  <c r="A7520" i="15" s="1"/>
  <c r="H7521" i="15"/>
  <c r="A7521" i="15" s="1"/>
  <c r="H7522" i="15"/>
  <c r="A7522" i="15" s="1"/>
  <c r="H7523" i="15"/>
  <c r="A7523" i="15" s="1"/>
  <c r="H7524" i="15"/>
  <c r="A7524" i="15" s="1"/>
  <c r="H7525" i="15"/>
  <c r="A7525" i="15" s="1"/>
  <c r="H7526" i="15"/>
  <c r="A7526" i="15" s="1"/>
  <c r="H7527" i="15"/>
  <c r="A7527" i="15" s="1"/>
  <c r="H7528" i="15"/>
  <c r="A7528" i="15" s="1"/>
  <c r="H7529" i="15"/>
  <c r="A7529" i="15" s="1"/>
  <c r="H7530" i="15"/>
  <c r="A7530" i="15" s="1"/>
  <c r="H7531" i="15"/>
  <c r="A7531" i="15" s="1"/>
  <c r="H7532" i="15"/>
  <c r="A7532" i="15" s="1"/>
  <c r="H7533" i="15"/>
  <c r="A7533" i="15" s="1"/>
  <c r="H7534" i="15"/>
  <c r="A7534" i="15" s="1"/>
  <c r="H7535" i="15"/>
  <c r="A7535" i="15" s="1"/>
  <c r="H7536" i="15"/>
  <c r="A7536" i="15" s="1"/>
  <c r="H7537" i="15"/>
  <c r="A7537" i="15" s="1"/>
  <c r="H7538" i="15"/>
  <c r="A7538" i="15" s="1"/>
  <c r="H7539" i="15"/>
  <c r="A7539" i="15" s="1"/>
  <c r="H7540" i="15"/>
  <c r="A7540" i="15" s="1"/>
  <c r="H7541" i="15"/>
  <c r="A7541" i="15" s="1"/>
  <c r="H7542" i="15"/>
  <c r="A7542" i="15" s="1"/>
  <c r="H7543" i="15"/>
  <c r="A7543" i="15" s="1"/>
  <c r="H7544" i="15"/>
  <c r="A7544" i="15" s="1"/>
  <c r="H7545" i="15"/>
  <c r="A7545" i="15" s="1"/>
  <c r="H7546" i="15"/>
  <c r="A7546" i="15" s="1"/>
  <c r="H7547" i="15"/>
  <c r="A7547" i="15" s="1"/>
  <c r="H7548" i="15"/>
  <c r="A7548" i="15" s="1"/>
  <c r="H7549" i="15"/>
  <c r="A7549" i="15" s="1"/>
  <c r="H7550" i="15"/>
  <c r="A7550" i="15" s="1"/>
  <c r="H7551" i="15"/>
  <c r="A7551" i="15" s="1"/>
  <c r="H7552" i="15"/>
  <c r="A7552" i="15" s="1"/>
  <c r="H7553" i="15"/>
  <c r="A7553" i="15" s="1"/>
  <c r="H7554" i="15"/>
  <c r="A7554" i="15" s="1"/>
  <c r="H7555" i="15"/>
  <c r="A7555" i="15" s="1"/>
  <c r="H7556" i="15"/>
  <c r="A7556" i="15" s="1"/>
  <c r="H7557" i="15"/>
  <c r="A7557" i="15" s="1"/>
  <c r="H7558" i="15"/>
  <c r="A7558" i="15" s="1"/>
  <c r="H7559" i="15"/>
  <c r="A7559" i="15" s="1"/>
  <c r="H7560" i="15"/>
  <c r="A7560" i="15" s="1"/>
  <c r="H7561" i="15"/>
  <c r="A7561" i="15" s="1"/>
  <c r="H7562" i="15"/>
  <c r="A7562" i="15" s="1"/>
  <c r="H7563" i="15"/>
  <c r="A7563" i="15" s="1"/>
  <c r="H7564" i="15"/>
  <c r="A7564" i="15" s="1"/>
  <c r="H7565" i="15"/>
  <c r="A7565" i="15" s="1"/>
  <c r="H7566" i="15"/>
  <c r="A7566" i="15" s="1"/>
  <c r="H7567" i="15"/>
  <c r="A7567" i="15" s="1"/>
  <c r="H7568" i="15"/>
  <c r="A7568" i="15" s="1"/>
  <c r="H7569" i="15"/>
  <c r="A7569" i="15" s="1"/>
  <c r="H7570" i="15"/>
  <c r="A7570" i="15" s="1"/>
  <c r="H7571" i="15"/>
  <c r="A7571" i="15" s="1"/>
  <c r="H7572" i="15"/>
  <c r="A7572" i="15" s="1"/>
  <c r="H7573" i="15"/>
  <c r="A7573" i="15" s="1"/>
  <c r="H7574" i="15"/>
  <c r="A7574" i="15" s="1"/>
  <c r="H7575" i="15"/>
  <c r="A7575" i="15" s="1"/>
  <c r="H7576" i="15"/>
  <c r="A7576" i="15" s="1"/>
  <c r="H7577" i="15"/>
  <c r="A7577" i="15" s="1"/>
  <c r="H7578" i="15"/>
  <c r="A7578" i="15" s="1"/>
  <c r="H7579" i="15"/>
  <c r="A7579" i="15" s="1"/>
  <c r="H7580" i="15"/>
  <c r="A7580" i="15" s="1"/>
  <c r="H7581" i="15"/>
  <c r="A7581" i="15" s="1"/>
  <c r="H7582" i="15"/>
  <c r="A7582" i="15" s="1"/>
  <c r="H7583" i="15"/>
  <c r="A7583" i="15" s="1"/>
  <c r="H7584" i="15"/>
  <c r="A7584" i="15" s="1"/>
  <c r="H7585" i="15"/>
  <c r="A7585" i="15" s="1"/>
  <c r="H7586" i="15"/>
  <c r="A7586" i="15" s="1"/>
  <c r="H7587" i="15"/>
  <c r="A7587" i="15" s="1"/>
  <c r="H7588" i="15"/>
  <c r="A7588" i="15" s="1"/>
  <c r="H7589" i="15"/>
  <c r="A7589" i="15" s="1"/>
  <c r="H7590" i="15"/>
  <c r="A7590" i="15" s="1"/>
  <c r="H7591" i="15"/>
  <c r="A7591" i="15" s="1"/>
  <c r="H7592" i="15"/>
  <c r="A7592" i="15" s="1"/>
  <c r="H7593" i="15"/>
  <c r="A7593" i="15" s="1"/>
  <c r="H7594" i="15"/>
  <c r="A7594" i="15" s="1"/>
  <c r="H7595" i="15"/>
  <c r="A7595" i="15" s="1"/>
  <c r="H7596" i="15"/>
  <c r="A7596" i="15" s="1"/>
  <c r="H7597" i="15"/>
  <c r="A7597" i="15" s="1"/>
  <c r="H7598" i="15"/>
  <c r="A7598" i="15" s="1"/>
  <c r="H7599" i="15"/>
  <c r="A7599" i="15" s="1"/>
  <c r="H7600" i="15"/>
  <c r="A7600" i="15" s="1"/>
  <c r="H7601" i="15"/>
  <c r="A7601" i="15" s="1"/>
  <c r="H7602" i="15"/>
  <c r="A7602" i="15" s="1"/>
  <c r="H7603" i="15"/>
  <c r="A7603" i="15" s="1"/>
  <c r="H7604" i="15"/>
  <c r="A7604" i="15" s="1"/>
  <c r="H7605" i="15"/>
  <c r="A7605" i="15" s="1"/>
  <c r="H7606" i="15"/>
  <c r="A7606" i="15" s="1"/>
  <c r="H7607" i="15"/>
  <c r="A7607" i="15" s="1"/>
  <c r="H7608" i="15"/>
  <c r="A7608" i="15" s="1"/>
  <c r="H7609" i="15"/>
  <c r="A7609" i="15" s="1"/>
  <c r="H7610" i="15"/>
  <c r="A7610" i="15" s="1"/>
  <c r="H7611" i="15"/>
  <c r="A7611" i="15" s="1"/>
  <c r="H7612" i="15"/>
  <c r="A7612" i="15" s="1"/>
  <c r="H7613" i="15"/>
  <c r="A7613" i="15" s="1"/>
  <c r="H7614" i="15"/>
  <c r="A7614" i="15" s="1"/>
  <c r="H7615" i="15"/>
  <c r="A7615" i="15" s="1"/>
  <c r="H7616" i="15"/>
  <c r="A7616" i="15" s="1"/>
  <c r="H7617" i="15"/>
  <c r="A7617" i="15" s="1"/>
  <c r="H7618" i="15"/>
  <c r="A7618" i="15" s="1"/>
  <c r="H7619" i="15"/>
  <c r="A7619" i="15" s="1"/>
  <c r="H7620" i="15"/>
  <c r="A7620" i="15" s="1"/>
  <c r="H7621" i="15"/>
  <c r="A7621" i="15" s="1"/>
  <c r="H7622" i="15"/>
  <c r="A7622" i="15" s="1"/>
  <c r="H7623" i="15"/>
  <c r="A7623" i="15" s="1"/>
  <c r="H7624" i="15"/>
  <c r="A7624" i="15" s="1"/>
  <c r="H7625" i="15"/>
  <c r="A7625" i="15" s="1"/>
  <c r="H7626" i="15"/>
  <c r="A7626" i="15" s="1"/>
  <c r="H7627" i="15"/>
  <c r="A7627" i="15" s="1"/>
  <c r="H7628" i="15"/>
  <c r="A7628" i="15" s="1"/>
  <c r="H7629" i="15"/>
  <c r="A7629" i="15" s="1"/>
  <c r="H7630" i="15"/>
  <c r="A7630" i="15" s="1"/>
  <c r="H7631" i="15"/>
  <c r="A7631" i="15" s="1"/>
  <c r="H7632" i="15"/>
  <c r="A7632" i="15" s="1"/>
  <c r="H7633" i="15"/>
  <c r="A7633" i="15" s="1"/>
  <c r="H7634" i="15"/>
  <c r="A7634" i="15" s="1"/>
  <c r="H7635" i="15"/>
  <c r="A7635" i="15" s="1"/>
  <c r="H7636" i="15"/>
  <c r="A7636" i="15" s="1"/>
  <c r="H7637" i="15"/>
  <c r="A7637" i="15" s="1"/>
  <c r="H7638" i="15"/>
  <c r="A7638" i="15" s="1"/>
  <c r="H7639" i="15"/>
  <c r="A7639" i="15" s="1"/>
  <c r="H7640" i="15"/>
  <c r="A7640" i="15" s="1"/>
  <c r="H7641" i="15"/>
  <c r="A7641" i="15" s="1"/>
  <c r="H7642" i="15"/>
  <c r="A7642" i="15" s="1"/>
  <c r="H7643" i="15"/>
  <c r="A7643" i="15" s="1"/>
  <c r="H7644" i="15"/>
  <c r="A7644" i="15" s="1"/>
  <c r="H7645" i="15"/>
  <c r="A7645" i="15" s="1"/>
  <c r="H7646" i="15"/>
  <c r="A7646" i="15" s="1"/>
  <c r="H7647" i="15"/>
  <c r="A7647" i="15" s="1"/>
  <c r="H7648" i="15"/>
  <c r="A7648" i="15" s="1"/>
  <c r="H7649" i="15"/>
  <c r="A7649" i="15" s="1"/>
  <c r="H7650" i="15"/>
  <c r="A7650" i="15" s="1"/>
  <c r="H7651" i="15"/>
  <c r="A7651" i="15" s="1"/>
  <c r="H7652" i="15"/>
  <c r="A7652" i="15" s="1"/>
  <c r="H7653" i="15"/>
  <c r="A7653" i="15" s="1"/>
  <c r="H7654" i="15"/>
  <c r="A7654" i="15" s="1"/>
  <c r="H7655" i="15"/>
  <c r="A7655" i="15" s="1"/>
  <c r="H7656" i="15"/>
  <c r="A7656" i="15" s="1"/>
  <c r="H7657" i="15"/>
  <c r="A7657" i="15" s="1"/>
  <c r="H7658" i="15"/>
  <c r="A7658" i="15" s="1"/>
  <c r="H7659" i="15"/>
  <c r="A7659" i="15" s="1"/>
  <c r="H7660" i="15"/>
  <c r="A7660" i="15" s="1"/>
  <c r="H7661" i="15"/>
  <c r="A7661" i="15" s="1"/>
  <c r="H7662" i="15"/>
  <c r="A7662" i="15" s="1"/>
  <c r="H7663" i="15"/>
  <c r="A7663" i="15" s="1"/>
  <c r="H7664" i="15"/>
  <c r="A7664" i="15" s="1"/>
  <c r="H7665" i="15"/>
  <c r="A7665" i="15" s="1"/>
  <c r="H7666" i="15"/>
  <c r="A7666" i="15" s="1"/>
  <c r="H7667" i="15"/>
  <c r="A7667" i="15" s="1"/>
  <c r="H7668" i="15"/>
  <c r="A7668" i="15" s="1"/>
  <c r="H7669" i="15"/>
  <c r="A7669" i="15" s="1"/>
  <c r="H7670" i="15"/>
  <c r="A7670" i="15" s="1"/>
  <c r="H7671" i="15"/>
  <c r="A7671" i="15" s="1"/>
  <c r="H7672" i="15"/>
  <c r="A7672" i="15" s="1"/>
  <c r="H7673" i="15"/>
  <c r="A7673" i="15" s="1"/>
  <c r="H7674" i="15"/>
  <c r="A7674" i="15" s="1"/>
  <c r="H7675" i="15"/>
  <c r="A7675" i="15" s="1"/>
  <c r="H7676" i="15"/>
  <c r="A7676" i="15" s="1"/>
  <c r="H7677" i="15"/>
  <c r="A7677" i="15" s="1"/>
  <c r="H7678" i="15"/>
  <c r="A7678" i="15" s="1"/>
  <c r="H7679" i="15"/>
  <c r="A7679" i="15" s="1"/>
  <c r="H7680" i="15"/>
  <c r="A7680" i="15" s="1"/>
  <c r="H7681" i="15"/>
  <c r="A7681" i="15" s="1"/>
  <c r="H7682" i="15"/>
  <c r="A7682" i="15" s="1"/>
  <c r="H7683" i="15"/>
  <c r="A7683" i="15" s="1"/>
  <c r="H7684" i="15"/>
  <c r="A7684" i="15" s="1"/>
  <c r="H7685" i="15"/>
  <c r="A7685" i="15" s="1"/>
  <c r="H7686" i="15"/>
  <c r="A7686" i="15" s="1"/>
  <c r="H7687" i="15"/>
  <c r="A7687" i="15" s="1"/>
  <c r="H7688" i="15"/>
  <c r="A7688" i="15" s="1"/>
  <c r="H7689" i="15"/>
  <c r="A7689" i="15" s="1"/>
  <c r="H7690" i="15"/>
  <c r="A7690" i="15" s="1"/>
  <c r="H7691" i="15"/>
  <c r="A7691" i="15" s="1"/>
  <c r="H7692" i="15"/>
  <c r="A7692" i="15" s="1"/>
  <c r="H7693" i="15"/>
  <c r="A7693" i="15" s="1"/>
  <c r="H7694" i="15"/>
  <c r="A7694" i="15" s="1"/>
  <c r="H7695" i="15"/>
  <c r="A7695" i="15" s="1"/>
  <c r="H7696" i="15"/>
  <c r="A7696" i="15" s="1"/>
  <c r="H7697" i="15"/>
  <c r="A7697" i="15" s="1"/>
  <c r="H7698" i="15"/>
  <c r="A7698" i="15" s="1"/>
  <c r="H7699" i="15"/>
  <c r="A7699" i="15" s="1"/>
  <c r="H7700" i="15"/>
  <c r="A7700" i="15" s="1"/>
  <c r="H7701" i="15"/>
  <c r="A7701" i="15" s="1"/>
  <c r="H7702" i="15"/>
  <c r="A7702" i="15" s="1"/>
  <c r="H7703" i="15"/>
  <c r="A7703" i="15" s="1"/>
  <c r="H7704" i="15"/>
  <c r="A7704" i="15" s="1"/>
  <c r="H7705" i="15"/>
  <c r="A7705" i="15" s="1"/>
  <c r="H7706" i="15"/>
  <c r="A7706" i="15" s="1"/>
  <c r="H7707" i="15"/>
  <c r="A7707" i="15" s="1"/>
  <c r="H7708" i="15"/>
  <c r="A7708" i="15" s="1"/>
  <c r="H7709" i="15"/>
  <c r="A7709" i="15" s="1"/>
  <c r="H7710" i="15"/>
  <c r="A7710" i="15" s="1"/>
  <c r="H7711" i="15"/>
  <c r="A7711" i="15" s="1"/>
  <c r="H7712" i="15"/>
  <c r="A7712" i="15" s="1"/>
  <c r="H7713" i="15"/>
  <c r="A7713" i="15" s="1"/>
  <c r="H7714" i="15"/>
  <c r="A7714" i="15" s="1"/>
  <c r="H7715" i="15"/>
  <c r="A7715" i="15" s="1"/>
  <c r="H7716" i="15"/>
  <c r="A7716" i="15" s="1"/>
  <c r="H7717" i="15"/>
  <c r="A7717" i="15" s="1"/>
  <c r="H7718" i="15"/>
  <c r="A7718" i="15" s="1"/>
  <c r="H7719" i="15"/>
  <c r="A7719" i="15" s="1"/>
  <c r="H7720" i="15"/>
  <c r="A7720" i="15" s="1"/>
  <c r="H7721" i="15"/>
  <c r="A7721" i="15" s="1"/>
  <c r="H7722" i="15"/>
  <c r="A7722" i="15" s="1"/>
  <c r="H7723" i="15"/>
  <c r="A7723" i="15" s="1"/>
  <c r="H7724" i="15"/>
  <c r="A7724" i="15" s="1"/>
  <c r="H7725" i="15"/>
  <c r="A7725" i="15" s="1"/>
  <c r="H7726" i="15"/>
  <c r="A7726" i="15" s="1"/>
  <c r="H7727" i="15"/>
  <c r="A7727" i="15" s="1"/>
  <c r="H7728" i="15"/>
  <c r="A7728" i="15" s="1"/>
  <c r="H7729" i="15"/>
  <c r="A7729" i="15" s="1"/>
  <c r="H7730" i="15"/>
  <c r="A7730" i="15" s="1"/>
  <c r="H7731" i="15"/>
  <c r="A7731" i="15" s="1"/>
  <c r="H7732" i="15"/>
  <c r="A7732" i="15" s="1"/>
  <c r="H7733" i="15"/>
  <c r="A7733" i="15" s="1"/>
  <c r="H7734" i="15"/>
  <c r="A7734" i="15" s="1"/>
  <c r="H7735" i="15"/>
  <c r="A7735" i="15" s="1"/>
  <c r="H7736" i="15"/>
  <c r="A7736" i="15" s="1"/>
  <c r="H7737" i="15"/>
  <c r="A7737" i="15" s="1"/>
  <c r="H7738" i="15"/>
  <c r="A7738" i="15" s="1"/>
  <c r="H7739" i="15"/>
  <c r="A7739" i="15" s="1"/>
  <c r="H7740" i="15"/>
  <c r="A7740" i="15" s="1"/>
  <c r="H7741" i="15"/>
  <c r="A7741" i="15" s="1"/>
  <c r="H7742" i="15"/>
  <c r="A7742" i="15" s="1"/>
  <c r="H7743" i="15"/>
  <c r="A7743" i="15" s="1"/>
  <c r="H7744" i="15"/>
  <c r="A7744" i="15" s="1"/>
  <c r="H7745" i="15"/>
  <c r="A7745" i="15" s="1"/>
  <c r="H7746" i="15"/>
  <c r="A7746" i="15" s="1"/>
  <c r="H7747" i="15"/>
  <c r="A7747" i="15" s="1"/>
  <c r="H7748" i="15"/>
  <c r="A7748" i="15" s="1"/>
  <c r="H7749" i="15"/>
  <c r="A7749" i="15" s="1"/>
  <c r="H7750" i="15"/>
  <c r="A7750" i="15" s="1"/>
  <c r="H7751" i="15"/>
  <c r="A7751" i="15" s="1"/>
  <c r="H7752" i="15"/>
  <c r="A7752" i="15" s="1"/>
  <c r="H7753" i="15"/>
  <c r="A7753" i="15" s="1"/>
  <c r="H7754" i="15"/>
  <c r="A7754" i="15" s="1"/>
  <c r="H7755" i="15"/>
  <c r="A7755" i="15" s="1"/>
  <c r="H7756" i="15"/>
  <c r="A7756" i="15" s="1"/>
  <c r="H7757" i="15"/>
  <c r="A7757" i="15" s="1"/>
  <c r="H7758" i="15"/>
  <c r="A7758" i="15" s="1"/>
  <c r="H7759" i="15"/>
  <c r="A7759" i="15" s="1"/>
  <c r="H7760" i="15"/>
  <c r="A7760" i="15" s="1"/>
  <c r="H7761" i="15"/>
  <c r="A7761" i="15" s="1"/>
  <c r="H7762" i="15"/>
  <c r="A7762" i="15" s="1"/>
  <c r="H7763" i="15"/>
  <c r="A7763" i="15" s="1"/>
  <c r="H7764" i="15"/>
  <c r="A7764" i="15" s="1"/>
  <c r="H7765" i="15"/>
  <c r="A7765" i="15" s="1"/>
  <c r="H7766" i="15"/>
  <c r="A7766" i="15" s="1"/>
  <c r="H7767" i="15"/>
  <c r="A7767" i="15" s="1"/>
  <c r="H7768" i="15"/>
  <c r="A7768" i="15" s="1"/>
  <c r="H7769" i="15"/>
  <c r="A7769" i="15" s="1"/>
  <c r="H7770" i="15"/>
  <c r="A7770" i="15" s="1"/>
  <c r="H7771" i="15"/>
  <c r="A7771" i="15" s="1"/>
  <c r="H7772" i="15"/>
  <c r="A7772" i="15" s="1"/>
  <c r="H7773" i="15"/>
  <c r="A7773" i="15" s="1"/>
  <c r="H7774" i="15"/>
  <c r="A7774" i="15" s="1"/>
  <c r="H7775" i="15"/>
  <c r="A7775" i="15" s="1"/>
  <c r="H7776" i="15"/>
  <c r="A7776" i="15" s="1"/>
  <c r="H7777" i="15"/>
  <c r="A7777" i="15" s="1"/>
  <c r="H7778" i="15"/>
  <c r="A7778" i="15" s="1"/>
  <c r="H7779" i="15"/>
  <c r="A7779" i="15" s="1"/>
  <c r="H7780" i="15"/>
  <c r="A7780" i="15" s="1"/>
  <c r="H7781" i="15"/>
  <c r="A7781" i="15" s="1"/>
  <c r="H7782" i="15"/>
  <c r="A7782" i="15" s="1"/>
  <c r="H7783" i="15"/>
  <c r="A7783" i="15" s="1"/>
  <c r="H7784" i="15"/>
  <c r="A7784" i="15" s="1"/>
  <c r="H7785" i="15"/>
  <c r="A7785" i="15" s="1"/>
  <c r="H7786" i="15"/>
  <c r="A7786" i="15" s="1"/>
  <c r="H7787" i="15"/>
  <c r="A7787" i="15" s="1"/>
  <c r="H7788" i="15"/>
  <c r="A7788" i="15" s="1"/>
  <c r="H7789" i="15"/>
  <c r="A7789" i="15" s="1"/>
  <c r="H7790" i="15"/>
  <c r="A7790" i="15" s="1"/>
  <c r="H7791" i="15"/>
  <c r="A7791" i="15" s="1"/>
  <c r="H7792" i="15"/>
  <c r="A7792" i="15" s="1"/>
  <c r="H7793" i="15"/>
  <c r="A7793" i="15" s="1"/>
  <c r="H7794" i="15"/>
  <c r="A7794" i="15" s="1"/>
  <c r="H7795" i="15"/>
  <c r="A7795" i="15" s="1"/>
  <c r="H7796" i="15"/>
  <c r="A7796" i="15" s="1"/>
  <c r="H7797" i="15"/>
  <c r="A7797" i="15" s="1"/>
  <c r="H7798" i="15"/>
  <c r="A7798" i="15" s="1"/>
  <c r="H7799" i="15"/>
  <c r="A7799" i="15" s="1"/>
  <c r="H7800" i="15"/>
  <c r="A7800" i="15" s="1"/>
  <c r="H7801" i="15"/>
  <c r="A7801" i="15" s="1"/>
  <c r="H7802" i="15"/>
  <c r="A7802" i="15" s="1"/>
  <c r="H7803" i="15"/>
  <c r="A7803" i="15" s="1"/>
  <c r="H7804" i="15"/>
  <c r="A7804" i="15" s="1"/>
  <c r="H7805" i="15"/>
  <c r="A7805" i="15" s="1"/>
  <c r="H7806" i="15"/>
  <c r="A7806" i="15" s="1"/>
  <c r="H7807" i="15"/>
  <c r="A7807" i="15" s="1"/>
  <c r="H7808" i="15"/>
  <c r="A7808" i="15" s="1"/>
  <c r="H7809" i="15"/>
  <c r="A7809" i="15" s="1"/>
  <c r="H7810" i="15"/>
  <c r="A7810" i="15" s="1"/>
  <c r="H7811" i="15"/>
  <c r="A7811" i="15" s="1"/>
  <c r="H7812" i="15"/>
  <c r="A7812" i="15" s="1"/>
  <c r="H7813" i="15"/>
  <c r="A7813" i="15" s="1"/>
  <c r="H7814" i="15"/>
  <c r="A7814" i="15" s="1"/>
  <c r="H7815" i="15"/>
  <c r="A7815" i="15" s="1"/>
  <c r="H7816" i="15"/>
  <c r="A7816" i="15" s="1"/>
  <c r="H7817" i="15"/>
  <c r="A7817" i="15" s="1"/>
  <c r="H7818" i="15"/>
  <c r="A7818" i="15" s="1"/>
  <c r="H7819" i="15"/>
  <c r="A7819" i="15" s="1"/>
  <c r="H7820" i="15"/>
  <c r="A7820" i="15" s="1"/>
  <c r="H7821" i="15"/>
  <c r="A7821" i="15" s="1"/>
  <c r="H7822" i="15"/>
  <c r="A7822" i="15" s="1"/>
  <c r="H7823" i="15"/>
  <c r="A7823" i="15" s="1"/>
  <c r="H7824" i="15"/>
  <c r="A7824" i="15" s="1"/>
  <c r="H7825" i="15"/>
  <c r="A7825" i="15" s="1"/>
  <c r="H7826" i="15"/>
  <c r="A7826" i="15" s="1"/>
  <c r="H7827" i="15"/>
  <c r="A7827" i="15" s="1"/>
  <c r="H7828" i="15"/>
  <c r="A7828" i="15" s="1"/>
  <c r="H7829" i="15"/>
  <c r="A7829" i="15" s="1"/>
  <c r="H7830" i="15"/>
  <c r="A7830" i="15" s="1"/>
  <c r="H7831" i="15"/>
  <c r="A7831" i="15" s="1"/>
  <c r="H7832" i="15"/>
  <c r="A7832" i="15" s="1"/>
  <c r="H7833" i="15"/>
  <c r="A7833" i="15" s="1"/>
  <c r="H7834" i="15"/>
  <c r="A7834" i="15" s="1"/>
  <c r="H7835" i="15"/>
  <c r="A7835" i="15" s="1"/>
  <c r="H7836" i="15"/>
  <c r="A7836" i="15" s="1"/>
  <c r="H7837" i="15"/>
  <c r="A7837" i="15" s="1"/>
  <c r="H7838" i="15"/>
  <c r="A7838" i="15" s="1"/>
  <c r="H7839" i="15"/>
  <c r="A7839" i="15" s="1"/>
  <c r="H7840" i="15"/>
  <c r="A7840" i="15" s="1"/>
  <c r="H7841" i="15"/>
  <c r="A7841" i="15" s="1"/>
  <c r="H7842" i="15"/>
  <c r="A7842" i="15" s="1"/>
  <c r="H7843" i="15"/>
  <c r="A7843" i="15" s="1"/>
  <c r="H7844" i="15"/>
  <c r="A7844" i="15" s="1"/>
  <c r="H7845" i="15"/>
  <c r="A7845" i="15" s="1"/>
  <c r="H7846" i="15"/>
  <c r="A7846" i="15" s="1"/>
  <c r="H7847" i="15"/>
  <c r="A7847" i="15" s="1"/>
  <c r="H7848" i="15"/>
  <c r="A7848" i="15" s="1"/>
  <c r="H7849" i="15"/>
  <c r="A7849" i="15" s="1"/>
  <c r="H7850" i="15"/>
  <c r="A7850" i="15" s="1"/>
  <c r="H7851" i="15"/>
  <c r="A7851" i="15" s="1"/>
  <c r="H7852" i="15"/>
  <c r="A7852" i="15" s="1"/>
  <c r="H7853" i="15"/>
  <c r="A7853" i="15" s="1"/>
  <c r="H7854" i="15"/>
  <c r="A7854" i="15" s="1"/>
  <c r="H7855" i="15"/>
  <c r="A7855" i="15" s="1"/>
  <c r="H7856" i="15"/>
  <c r="A7856" i="15" s="1"/>
  <c r="H7857" i="15"/>
  <c r="A7857" i="15" s="1"/>
  <c r="H7858" i="15"/>
  <c r="A7858" i="15" s="1"/>
  <c r="H7859" i="15"/>
  <c r="A7859" i="15" s="1"/>
  <c r="H7860" i="15"/>
  <c r="A7860" i="15" s="1"/>
  <c r="H7861" i="15"/>
  <c r="A7861" i="15" s="1"/>
  <c r="H7862" i="15"/>
  <c r="A7862" i="15" s="1"/>
  <c r="H7863" i="15"/>
  <c r="A7863" i="15" s="1"/>
  <c r="H7864" i="15"/>
  <c r="A7864" i="15" s="1"/>
  <c r="H7865" i="15"/>
  <c r="A7865" i="15" s="1"/>
  <c r="H7866" i="15"/>
  <c r="A7866" i="15" s="1"/>
  <c r="H7867" i="15"/>
  <c r="A7867" i="15" s="1"/>
  <c r="H7868" i="15"/>
  <c r="A7868" i="15" s="1"/>
  <c r="H7869" i="15"/>
  <c r="A7869" i="15" s="1"/>
  <c r="H7870" i="15"/>
  <c r="A7870" i="15" s="1"/>
  <c r="H7871" i="15"/>
  <c r="A7871" i="15" s="1"/>
  <c r="H7872" i="15"/>
  <c r="A7872" i="15" s="1"/>
  <c r="H7873" i="15"/>
  <c r="A7873" i="15" s="1"/>
  <c r="H7874" i="15"/>
  <c r="A7874" i="15" s="1"/>
  <c r="H7875" i="15"/>
  <c r="A7875" i="15" s="1"/>
  <c r="H7876" i="15"/>
  <c r="A7876" i="15" s="1"/>
  <c r="H7877" i="15"/>
  <c r="A7877" i="15" s="1"/>
  <c r="H7878" i="15"/>
  <c r="A7878" i="15" s="1"/>
  <c r="H7879" i="15"/>
  <c r="A7879" i="15" s="1"/>
  <c r="H7880" i="15"/>
  <c r="A7880" i="15" s="1"/>
  <c r="H7881" i="15"/>
  <c r="A7881" i="15" s="1"/>
  <c r="H7882" i="15"/>
  <c r="A7882" i="15" s="1"/>
  <c r="H7883" i="15"/>
  <c r="A7883" i="15" s="1"/>
  <c r="H7884" i="15"/>
  <c r="A7884" i="15" s="1"/>
  <c r="H7885" i="15"/>
  <c r="A7885" i="15" s="1"/>
  <c r="H7886" i="15"/>
  <c r="A7886" i="15" s="1"/>
  <c r="H7887" i="15"/>
  <c r="A7887" i="15" s="1"/>
  <c r="H7888" i="15"/>
  <c r="A7888" i="15" s="1"/>
  <c r="H7889" i="15"/>
  <c r="A7889" i="15" s="1"/>
  <c r="H7890" i="15"/>
  <c r="A7890" i="15" s="1"/>
  <c r="H7891" i="15"/>
  <c r="A7891" i="15" s="1"/>
  <c r="H7892" i="15"/>
  <c r="A7892" i="15" s="1"/>
  <c r="H7893" i="15"/>
  <c r="A7893" i="15" s="1"/>
  <c r="H7894" i="15"/>
  <c r="A7894" i="15" s="1"/>
  <c r="H7895" i="15"/>
  <c r="A7895" i="15" s="1"/>
  <c r="H7896" i="15"/>
  <c r="A7896" i="15" s="1"/>
  <c r="H7897" i="15"/>
  <c r="A7897" i="15" s="1"/>
  <c r="H7898" i="15"/>
  <c r="A7898" i="15" s="1"/>
  <c r="H7899" i="15"/>
  <c r="A7899" i="15" s="1"/>
  <c r="H7900" i="15"/>
  <c r="A7900" i="15" s="1"/>
  <c r="H7901" i="15"/>
  <c r="A7901" i="15" s="1"/>
  <c r="H7902" i="15"/>
  <c r="A7902" i="15" s="1"/>
  <c r="H7903" i="15"/>
  <c r="A7903" i="15" s="1"/>
  <c r="H7904" i="15"/>
  <c r="A7904" i="15" s="1"/>
  <c r="H7905" i="15"/>
  <c r="A7905" i="15" s="1"/>
  <c r="H7906" i="15"/>
  <c r="A7906" i="15" s="1"/>
  <c r="H7907" i="15"/>
  <c r="A7907" i="15" s="1"/>
  <c r="H7908" i="15"/>
  <c r="A7908" i="15" s="1"/>
  <c r="H7909" i="15"/>
  <c r="A7909" i="15" s="1"/>
  <c r="H7910" i="15"/>
  <c r="A7910" i="15" s="1"/>
  <c r="H7911" i="15"/>
  <c r="A7911" i="15" s="1"/>
  <c r="H7912" i="15"/>
  <c r="A7912" i="15" s="1"/>
  <c r="H7913" i="15"/>
  <c r="A7913" i="15" s="1"/>
  <c r="H7914" i="15"/>
  <c r="A7914" i="15" s="1"/>
  <c r="H7915" i="15"/>
  <c r="A7915" i="15" s="1"/>
  <c r="H7916" i="15"/>
  <c r="A7916" i="15" s="1"/>
  <c r="H7917" i="15"/>
  <c r="A7917" i="15" s="1"/>
  <c r="H7918" i="15"/>
  <c r="A7918" i="15" s="1"/>
  <c r="H7919" i="15"/>
  <c r="A7919" i="15" s="1"/>
  <c r="H7920" i="15"/>
  <c r="A7920" i="15" s="1"/>
  <c r="H7921" i="15"/>
  <c r="A7921" i="15" s="1"/>
  <c r="H7922" i="15"/>
  <c r="A7922" i="15" s="1"/>
  <c r="H7923" i="15"/>
  <c r="A7923" i="15" s="1"/>
  <c r="H7924" i="15"/>
  <c r="A7924" i="15" s="1"/>
  <c r="H7925" i="15"/>
  <c r="A7925" i="15" s="1"/>
  <c r="H7926" i="15"/>
  <c r="A7926" i="15" s="1"/>
  <c r="H7927" i="15"/>
  <c r="A7927" i="15" s="1"/>
  <c r="H7928" i="15"/>
  <c r="A7928" i="15" s="1"/>
  <c r="H7929" i="15"/>
  <c r="A7929" i="15" s="1"/>
  <c r="H7930" i="15"/>
  <c r="A7930" i="15" s="1"/>
  <c r="H7931" i="15"/>
  <c r="A7931" i="15" s="1"/>
  <c r="H7932" i="15"/>
  <c r="A7932" i="15" s="1"/>
  <c r="H7933" i="15"/>
  <c r="A7933" i="15" s="1"/>
  <c r="H7934" i="15"/>
  <c r="A7934" i="15" s="1"/>
  <c r="H7935" i="15"/>
  <c r="A7935" i="15" s="1"/>
  <c r="H7936" i="15"/>
  <c r="A7936" i="15" s="1"/>
  <c r="H7937" i="15"/>
  <c r="A7937" i="15" s="1"/>
  <c r="H7938" i="15"/>
  <c r="A7938" i="15" s="1"/>
  <c r="H7939" i="15"/>
  <c r="A7939" i="15" s="1"/>
  <c r="H7940" i="15"/>
  <c r="A7940" i="15" s="1"/>
  <c r="H7941" i="15"/>
  <c r="A7941" i="15" s="1"/>
  <c r="H7942" i="15"/>
  <c r="A7942" i="15" s="1"/>
  <c r="H7943" i="15"/>
  <c r="A7943" i="15" s="1"/>
  <c r="H7944" i="15"/>
  <c r="A7944" i="15" s="1"/>
  <c r="H7945" i="15"/>
  <c r="A7945" i="15" s="1"/>
  <c r="H7946" i="15"/>
  <c r="A7946" i="15" s="1"/>
  <c r="H7947" i="15"/>
  <c r="A7947" i="15" s="1"/>
  <c r="H7948" i="15"/>
  <c r="A7948" i="15" s="1"/>
  <c r="H7949" i="15"/>
  <c r="A7949" i="15" s="1"/>
  <c r="H7950" i="15"/>
  <c r="A7950" i="15" s="1"/>
  <c r="H7951" i="15"/>
  <c r="A7951" i="15" s="1"/>
  <c r="H7952" i="15"/>
  <c r="A7952" i="15" s="1"/>
  <c r="H7953" i="15"/>
  <c r="A7953" i="15" s="1"/>
  <c r="H7954" i="15"/>
  <c r="A7954" i="15" s="1"/>
  <c r="H7955" i="15"/>
  <c r="A7955" i="15" s="1"/>
  <c r="H7956" i="15"/>
  <c r="A7956" i="15" s="1"/>
  <c r="H7957" i="15"/>
  <c r="A7957" i="15" s="1"/>
  <c r="H7958" i="15"/>
  <c r="A7958" i="15" s="1"/>
  <c r="H7959" i="15"/>
  <c r="A7959" i="15" s="1"/>
  <c r="H7960" i="15"/>
  <c r="A7960" i="15" s="1"/>
  <c r="H7961" i="15"/>
  <c r="A7961" i="15" s="1"/>
  <c r="H7962" i="15"/>
  <c r="A7962" i="15" s="1"/>
  <c r="H7963" i="15"/>
  <c r="A7963" i="15" s="1"/>
  <c r="H7964" i="15"/>
  <c r="A7964" i="15" s="1"/>
  <c r="H7965" i="15"/>
  <c r="A7965" i="15" s="1"/>
  <c r="H7966" i="15"/>
  <c r="A7966" i="15" s="1"/>
  <c r="H7967" i="15"/>
  <c r="A7967" i="15" s="1"/>
  <c r="H7968" i="15"/>
  <c r="A7968" i="15" s="1"/>
  <c r="H7969" i="15"/>
  <c r="A7969" i="15" s="1"/>
  <c r="H7970" i="15"/>
  <c r="A7970" i="15" s="1"/>
  <c r="H7971" i="15"/>
  <c r="A7971" i="15" s="1"/>
  <c r="H7972" i="15"/>
  <c r="A7972" i="15" s="1"/>
  <c r="H7973" i="15"/>
  <c r="A7973" i="15" s="1"/>
  <c r="H7974" i="15"/>
  <c r="A7974" i="15" s="1"/>
  <c r="H7975" i="15"/>
  <c r="A7975" i="15" s="1"/>
  <c r="H7976" i="15"/>
  <c r="A7976" i="15" s="1"/>
  <c r="H7977" i="15"/>
  <c r="A7977" i="15" s="1"/>
  <c r="H7978" i="15"/>
  <c r="A7978" i="15" s="1"/>
  <c r="H7979" i="15"/>
  <c r="A7979" i="15" s="1"/>
  <c r="H7980" i="15"/>
  <c r="A7980" i="15" s="1"/>
  <c r="H7981" i="15"/>
  <c r="A7981" i="15" s="1"/>
  <c r="H7982" i="15"/>
  <c r="A7982" i="15" s="1"/>
  <c r="H7983" i="15"/>
  <c r="A7983" i="15" s="1"/>
  <c r="H7984" i="15"/>
  <c r="A7984" i="15" s="1"/>
  <c r="H7985" i="15"/>
  <c r="A7985" i="15" s="1"/>
  <c r="H7986" i="15"/>
  <c r="A7986" i="15" s="1"/>
  <c r="H7987" i="15"/>
  <c r="A7987" i="15" s="1"/>
  <c r="H7988" i="15"/>
  <c r="A7988" i="15" s="1"/>
  <c r="H7989" i="15"/>
  <c r="A7989" i="15" s="1"/>
  <c r="H7990" i="15"/>
  <c r="A7990" i="15" s="1"/>
  <c r="H7991" i="15"/>
  <c r="A7991" i="15" s="1"/>
  <c r="H7992" i="15"/>
  <c r="A7992" i="15" s="1"/>
  <c r="H7993" i="15"/>
  <c r="A7993" i="15" s="1"/>
  <c r="H7994" i="15"/>
  <c r="A7994" i="15" s="1"/>
  <c r="H7995" i="15"/>
  <c r="A7995" i="15" s="1"/>
  <c r="H7996" i="15"/>
  <c r="A7996" i="15" s="1"/>
  <c r="H7997" i="15"/>
  <c r="A7997" i="15" s="1"/>
  <c r="H7998" i="15"/>
  <c r="A7998" i="15" s="1"/>
  <c r="H7999" i="15"/>
  <c r="A7999" i="15" s="1"/>
  <c r="H8000" i="15"/>
  <c r="A8000" i="15" s="1"/>
  <c r="H8001" i="15"/>
  <c r="A8001" i="15" s="1"/>
  <c r="H8002" i="15"/>
  <c r="A8002" i="15" s="1"/>
  <c r="H8003" i="15"/>
  <c r="A8003" i="15" s="1"/>
  <c r="H8004" i="15"/>
  <c r="A8004" i="15" s="1"/>
  <c r="H8005" i="15"/>
  <c r="A8005" i="15" s="1"/>
  <c r="H8006" i="15"/>
  <c r="A8006" i="15" s="1"/>
  <c r="H8007" i="15"/>
  <c r="A8007" i="15" s="1"/>
  <c r="H8008" i="15"/>
  <c r="A8008" i="15" s="1"/>
  <c r="H8009" i="15"/>
  <c r="A8009" i="15" s="1"/>
  <c r="H8010" i="15"/>
  <c r="A8010" i="15" s="1"/>
  <c r="H8011" i="15"/>
  <c r="A8011" i="15" s="1"/>
  <c r="H8012" i="15"/>
  <c r="A8012" i="15" s="1"/>
  <c r="H8013" i="15"/>
  <c r="A8013" i="15" s="1"/>
  <c r="H8014" i="15"/>
  <c r="A8014" i="15" s="1"/>
  <c r="H8015" i="15"/>
  <c r="A8015" i="15" s="1"/>
  <c r="H8016" i="15"/>
  <c r="A8016" i="15" s="1"/>
  <c r="H8017" i="15"/>
  <c r="A8017" i="15" s="1"/>
  <c r="H8018" i="15"/>
  <c r="A8018" i="15" s="1"/>
  <c r="H8019" i="15"/>
  <c r="A8019" i="15" s="1"/>
  <c r="H8020" i="15"/>
  <c r="A8020" i="15" s="1"/>
  <c r="H8021" i="15"/>
  <c r="A8021" i="15" s="1"/>
  <c r="H8022" i="15"/>
  <c r="A8022" i="15" s="1"/>
  <c r="H8023" i="15"/>
  <c r="A8023" i="15" s="1"/>
  <c r="H8024" i="15"/>
  <c r="A8024" i="15" s="1"/>
  <c r="H8025" i="15"/>
  <c r="A8025" i="15" s="1"/>
  <c r="H8026" i="15"/>
  <c r="A8026" i="15" s="1"/>
  <c r="H8027" i="15"/>
  <c r="A8027" i="15" s="1"/>
  <c r="H8028" i="15"/>
  <c r="A8028" i="15" s="1"/>
  <c r="H8029" i="15"/>
  <c r="A8029" i="15" s="1"/>
  <c r="H8030" i="15"/>
  <c r="A8030" i="15" s="1"/>
  <c r="H8031" i="15"/>
  <c r="A8031" i="15" s="1"/>
  <c r="H8032" i="15"/>
  <c r="A8032" i="15" s="1"/>
  <c r="H8033" i="15"/>
  <c r="A8033" i="15" s="1"/>
  <c r="H8034" i="15"/>
  <c r="A8034" i="15" s="1"/>
  <c r="H8035" i="15"/>
  <c r="A8035" i="15" s="1"/>
  <c r="H8036" i="15"/>
  <c r="A8036" i="15" s="1"/>
  <c r="H8037" i="15"/>
  <c r="A8037" i="15" s="1"/>
  <c r="H8038" i="15"/>
  <c r="A8038" i="15" s="1"/>
  <c r="H8039" i="15"/>
  <c r="A8039" i="15" s="1"/>
  <c r="H8040" i="15"/>
  <c r="A8040" i="15" s="1"/>
  <c r="H8041" i="15"/>
  <c r="A8041" i="15" s="1"/>
  <c r="H8042" i="15"/>
  <c r="A8042" i="15" s="1"/>
  <c r="H8043" i="15"/>
  <c r="A8043" i="15" s="1"/>
  <c r="H8044" i="15"/>
  <c r="A8044" i="15" s="1"/>
  <c r="H8045" i="15"/>
  <c r="A8045" i="15" s="1"/>
  <c r="H8046" i="15"/>
  <c r="A8046" i="15" s="1"/>
  <c r="H8047" i="15"/>
  <c r="A8047" i="15" s="1"/>
  <c r="H8048" i="15"/>
  <c r="A8048" i="15" s="1"/>
  <c r="H8049" i="15"/>
  <c r="A8049" i="15" s="1"/>
  <c r="H8050" i="15"/>
  <c r="A8050" i="15" s="1"/>
  <c r="H8051" i="15"/>
  <c r="A8051" i="15" s="1"/>
  <c r="H8052" i="15"/>
  <c r="A8052" i="15" s="1"/>
  <c r="H8053" i="15"/>
  <c r="A8053" i="15" s="1"/>
  <c r="H8054" i="15"/>
  <c r="A8054" i="15" s="1"/>
  <c r="H8055" i="15"/>
  <c r="A8055" i="15" s="1"/>
  <c r="H8056" i="15"/>
  <c r="A8056" i="15" s="1"/>
  <c r="H8057" i="15"/>
  <c r="A8057" i="15" s="1"/>
  <c r="H8058" i="15"/>
  <c r="A8058" i="15" s="1"/>
  <c r="H8059" i="15"/>
  <c r="A8059" i="15" s="1"/>
  <c r="H8060" i="15"/>
  <c r="A8060" i="15" s="1"/>
  <c r="H8061" i="15"/>
  <c r="A8061" i="15" s="1"/>
  <c r="H8062" i="15"/>
  <c r="A8062" i="15" s="1"/>
  <c r="H8063" i="15"/>
  <c r="A8063" i="15" s="1"/>
  <c r="H8064" i="15"/>
  <c r="A8064" i="15" s="1"/>
  <c r="H8065" i="15"/>
  <c r="A8065" i="15" s="1"/>
  <c r="H8066" i="15"/>
  <c r="A8066" i="15" s="1"/>
  <c r="H8067" i="15"/>
  <c r="A8067" i="15" s="1"/>
  <c r="H8068" i="15"/>
  <c r="A8068" i="15" s="1"/>
  <c r="H8069" i="15"/>
  <c r="A8069" i="15" s="1"/>
  <c r="H8070" i="15"/>
  <c r="A8070" i="15" s="1"/>
  <c r="H8071" i="15"/>
  <c r="A8071" i="15" s="1"/>
  <c r="H8072" i="15"/>
  <c r="A8072" i="15" s="1"/>
  <c r="H8073" i="15"/>
  <c r="A8073" i="15" s="1"/>
  <c r="H8074" i="15"/>
  <c r="A8074" i="15" s="1"/>
  <c r="H8075" i="15"/>
  <c r="A8075" i="15" s="1"/>
  <c r="H8076" i="15"/>
  <c r="A8076" i="15" s="1"/>
  <c r="H8077" i="15"/>
  <c r="A8077" i="15" s="1"/>
  <c r="H8078" i="15"/>
  <c r="A8078" i="15" s="1"/>
  <c r="H8079" i="15"/>
  <c r="A8079" i="15" s="1"/>
  <c r="H8080" i="15"/>
  <c r="A8080" i="15" s="1"/>
  <c r="H8081" i="15"/>
  <c r="A8081" i="15" s="1"/>
  <c r="H8082" i="15"/>
  <c r="A8082" i="15" s="1"/>
  <c r="H8083" i="15"/>
  <c r="A8083" i="15" s="1"/>
  <c r="H8084" i="15"/>
  <c r="A8084" i="15" s="1"/>
  <c r="H8085" i="15"/>
  <c r="A8085" i="15" s="1"/>
  <c r="H8086" i="15"/>
  <c r="A8086" i="15" s="1"/>
  <c r="H8087" i="15"/>
  <c r="A8087" i="15" s="1"/>
  <c r="H8088" i="15"/>
  <c r="A8088" i="15" s="1"/>
  <c r="H8089" i="15"/>
  <c r="A8089" i="15" s="1"/>
  <c r="H8090" i="15"/>
  <c r="A8090" i="15" s="1"/>
  <c r="H8091" i="15"/>
  <c r="A8091" i="15" s="1"/>
  <c r="H8092" i="15"/>
  <c r="A8092" i="15" s="1"/>
  <c r="H8093" i="15"/>
  <c r="A8093" i="15" s="1"/>
  <c r="H8094" i="15"/>
  <c r="A8094" i="15" s="1"/>
  <c r="H8095" i="15"/>
  <c r="A8095" i="15" s="1"/>
  <c r="H8096" i="15"/>
  <c r="A8096" i="15" s="1"/>
  <c r="H8097" i="15"/>
  <c r="A8097" i="15" s="1"/>
  <c r="H8098" i="15"/>
  <c r="A8098" i="15" s="1"/>
  <c r="H8099" i="15"/>
  <c r="A8099" i="15" s="1"/>
  <c r="H8100" i="15"/>
  <c r="A8100" i="15" s="1"/>
  <c r="H8101" i="15"/>
  <c r="A8101" i="15" s="1"/>
  <c r="H8102" i="15"/>
  <c r="A8102" i="15" s="1"/>
  <c r="H8103" i="15"/>
  <c r="A8103" i="15" s="1"/>
  <c r="H8104" i="15"/>
  <c r="A8104" i="15" s="1"/>
  <c r="H8105" i="15"/>
  <c r="A8105" i="15" s="1"/>
  <c r="H8106" i="15"/>
  <c r="A8106" i="15" s="1"/>
  <c r="H8107" i="15"/>
  <c r="A8107" i="15" s="1"/>
  <c r="H8108" i="15"/>
  <c r="A8108" i="15" s="1"/>
  <c r="H8109" i="15"/>
  <c r="A8109" i="15" s="1"/>
  <c r="H8110" i="15"/>
  <c r="A8110" i="15" s="1"/>
  <c r="H8111" i="15"/>
  <c r="A8111" i="15" s="1"/>
  <c r="H8112" i="15"/>
  <c r="A8112" i="15" s="1"/>
  <c r="H8113" i="15"/>
  <c r="A8113" i="15" s="1"/>
  <c r="H8114" i="15"/>
  <c r="A8114" i="15" s="1"/>
  <c r="H8115" i="15"/>
  <c r="A8115" i="15" s="1"/>
  <c r="H8116" i="15"/>
  <c r="A8116" i="15" s="1"/>
  <c r="H8117" i="15"/>
  <c r="A8117" i="15" s="1"/>
  <c r="H8118" i="15"/>
  <c r="A8118" i="15" s="1"/>
  <c r="H8119" i="15"/>
  <c r="A8119" i="15" s="1"/>
  <c r="H8120" i="15"/>
  <c r="A8120" i="15" s="1"/>
  <c r="H8121" i="15"/>
  <c r="A8121" i="15" s="1"/>
  <c r="H8122" i="15"/>
  <c r="A8122" i="15" s="1"/>
  <c r="H8123" i="15"/>
  <c r="A8123" i="15" s="1"/>
  <c r="H8124" i="15"/>
  <c r="A8124" i="15" s="1"/>
  <c r="H8125" i="15"/>
  <c r="A8125" i="15" s="1"/>
  <c r="H8126" i="15"/>
  <c r="A8126" i="15" s="1"/>
  <c r="H8127" i="15"/>
  <c r="A8127" i="15" s="1"/>
  <c r="H8128" i="15"/>
  <c r="A8128" i="15" s="1"/>
  <c r="H8129" i="15"/>
  <c r="A8129" i="15" s="1"/>
  <c r="H8130" i="15"/>
  <c r="A8130" i="15" s="1"/>
  <c r="H8131" i="15"/>
  <c r="A8131" i="15" s="1"/>
  <c r="H8132" i="15"/>
  <c r="A8132" i="15" s="1"/>
  <c r="H8133" i="15"/>
  <c r="A8133" i="15" s="1"/>
  <c r="H8134" i="15"/>
  <c r="A8134" i="15" s="1"/>
  <c r="H8135" i="15"/>
  <c r="A8135" i="15" s="1"/>
  <c r="H8136" i="15"/>
  <c r="A8136" i="15" s="1"/>
  <c r="H8137" i="15"/>
  <c r="A8137" i="15" s="1"/>
  <c r="H8138" i="15"/>
  <c r="A8138" i="15" s="1"/>
  <c r="H8139" i="15"/>
  <c r="A8139" i="15" s="1"/>
  <c r="H8140" i="15"/>
  <c r="A8140" i="15" s="1"/>
  <c r="H8141" i="15"/>
  <c r="A8141" i="15" s="1"/>
  <c r="H8142" i="15"/>
  <c r="A8142" i="15" s="1"/>
  <c r="H8143" i="15"/>
  <c r="A8143" i="15" s="1"/>
  <c r="H8144" i="15"/>
  <c r="A8144" i="15" s="1"/>
  <c r="H8145" i="15"/>
  <c r="A8145" i="15" s="1"/>
  <c r="H8146" i="15"/>
  <c r="A8146" i="15" s="1"/>
  <c r="H8147" i="15"/>
  <c r="A8147" i="15" s="1"/>
  <c r="H8148" i="15"/>
  <c r="A8148" i="15" s="1"/>
  <c r="H8149" i="15"/>
  <c r="A8149" i="15" s="1"/>
  <c r="H8150" i="15"/>
  <c r="A8150" i="15" s="1"/>
  <c r="H8151" i="15"/>
  <c r="A8151" i="15" s="1"/>
  <c r="H8152" i="15"/>
  <c r="A8152" i="15" s="1"/>
  <c r="H8153" i="15"/>
  <c r="A8153" i="15" s="1"/>
  <c r="H8154" i="15"/>
  <c r="A8154" i="15" s="1"/>
  <c r="H8155" i="15"/>
  <c r="A8155" i="15" s="1"/>
  <c r="H8156" i="15"/>
  <c r="A8156" i="15" s="1"/>
  <c r="H8157" i="15"/>
  <c r="A8157" i="15" s="1"/>
  <c r="H8158" i="15"/>
  <c r="A8158" i="15" s="1"/>
  <c r="H8159" i="15"/>
  <c r="A8159" i="15" s="1"/>
  <c r="H8160" i="15"/>
  <c r="A8160" i="15" s="1"/>
  <c r="H8161" i="15"/>
  <c r="A8161" i="15" s="1"/>
  <c r="H8162" i="15"/>
  <c r="A8162" i="15" s="1"/>
  <c r="H8163" i="15"/>
  <c r="A8163" i="15" s="1"/>
  <c r="H8164" i="15"/>
  <c r="A8164" i="15" s="1"/>
  <c r="H8165" i="15"/>
  <c r="A8165" i="15" s="1"/>
  <c r="H8166" i="15"/>
  <c r="A8166" i="15" s="1"/>
  <c r="H8167" i="15"/>
  <c r="A8167" i="15" s="1"/>
  <c r="H8168" i="15"/>
  <c r="A8168" i="15" s="1"/>
  <c r="H8169" i="15"/>
  <c r="A8169" i="15" s="1"/>
  <c r="H8170" i="15"/>
  <c r="A8170" i="15" s="1"/>
  <c r="H8171" i="15"/>
  <c r="A8171" i="15" s="1"/>
  <c r="H8172" i="15"/>
  <c r="A8172" i="15" s="1"/>
  <c r="H8173" i="15"/>
  <c r="A8173" i="15" s="1"/>
  <c r="H8174" i="15"/>
  <c r="A8174" i="15" s="1"/>
  <c r="H8175" i="15"/>
  <c r="A8175" i="15" s="1"/>
  <c r="H8176" i="15"/>
  <c r="A8176" i="15" s="1"/>
  <c r="H8177" i="15"/>
  <c r="A8177" i="15" s="1"/>
  <c r="H8178" i="15"/>
  <c r="A8178" i="15" s="1"/>
  <c r="H8179" i="15"/>
  <c r="A8179" i="15" s="1"/>
  <c r="H8180" i="15"/>
  <c r="A8180" i="15" s="1"/>
  <c r="H8181" i="15"/>
  <c r="A8181" i="15" s="1"/>
  <c r="H8182" i="15"/>
  <c r="A8182" i="15" s="1"/>
  <c r="H8183" i="15"/>
  <c r="A8183" i="15" s="1"/>
  <c r="H8184" i="15"/>
  <c r="A8184" i="15" s="1"/>
  <c r="H8185" i="15"/>
  <c r="A8185" i="15" s="1"/>
  <c r="H8186" i="15"/>
  <c r="A8186" i="15" s="1"/>
  <c r="H8187" i="15"/>
  <c r="A8187" i="15" s="1"/>
  <c r="H8188" i="15"/>
  <c r="A8188" i="15" s="1"/>
  <c r="H8189" i="15"/>
  <c r="A8189" i="15" s="1"/>
  <c r="H8190" i="15"/>
  <c r="A8190" i="15" s="1"/>
  <c r="H8191" i="15"/>
  <c r="A8191" i="15" s="1"/>
  <c r="H8192" i="15"/>
  <c r="A8192" i="15" s="1"/>
  <c r="H8193" i="15"/>
  <c r="A8193" i="15" s="1"/>
  <c r="H8194" i="15"/>
  <c r="A8194" i="15" s="1"/>
  <c r="H8195" i="15"/>
  <c r="A8195" i="15" s="1"/>
  <c r="H8196" i="15"/>
  <c r="A8196" i="15" s="1"/>
  <c r="H8197" i="15"/>
  <c r="A8197" i="15" s="1"/>
  <c r="H8198" i="15"/>
  <c r="A8198" i="15" s="1"/>
  <c r="H8199" i="15"/>
  <c r="A8199" i="15" s="1"/>
  <c r="H8200" i="15"/>
  <c r="A8200" i="15" s="1"/>
  <c r="H8201" i="15"/>
  <c r="A8201" i="15" s="1"/>
  <c r="H8202" i="15"/>
  <c r="A8202" i="15" s="1"/>
  <c r="H8203" i="15"/>
  <c r="A8203" i="15" s="1"/>
  <c r="H8204" i="15"/>
  <c r="A8204" i="15" s="1"/>
  <c r="H8205" i="15"/>
  <c r="A8205" i="15" s="1"/>
  <c r="H8206" i="15"/>
  <c r="A8206" i="15" s="1"/>
  <c r="H8207" i="15"/>
  <c r="A8207" i="15" s="1"/>
  <c r="H8208" i="15"/>
  <c r="A8208" i="15" s="1"/>
  <c r="H8209" i="15"/>
  <c r="A8209" i="15" s="1"/>
  <c r="H8210" i="15"/>
  <c r="A8210" i="15" s="1"/>
  <c r="H8211" i="15"/>
  <c r="A8211" i="15" s="1"/>
  <c r="H8212" i="15"/>
  <c r="A8212" i="15" s="1"/>
  <c r="H8213" i="15"/>
  <c r="A8213" i="15" s="1"/>
  <c r="H8214" i="15"/>
  <c r="A8214" i="15" s="1"/>
  <c r="H8215" i="15"/>
  <c r="A8215" i="15" s="1"/>
  <c r="H8216" i="15"/>
  <c r="A8216" i="15" s="1"/>
  <c r="H8217" i="15"/>
  <c r="A8217" i="15" s="1"/>
  <c r="H8218" i="15"/>
  <c r="A8218" i="15" s="1"/>
  <c r="H8219" i="15"/>
  <c r="A8219" i="15" s="1"/>
  <c r="H8220" i="15"/>
  <c r="A8220" i="15" s="1"/>
  <c r="H8221" i="15"/>
  <c r="A8221" i="15" s="1"/>
  <c r="H8222" i="15"/>
  <c r="A8222" i="15" s="1"/>
  <c r="H8223" i="15"/>
  <c r="A8223" i="15" s="1"/>
  <c r="H8224" i="15"/>
  <c r="A8224" i="15" s="1"/>
  <c r="H8225" i="15"/>
  <c r="A8225" i="15" s="1"/>
  <c r="H8226" i="15"/>
  <c r="A8226" i="15" s="1"/>
  <c r="H8227" i="15"/>
  <c r="A8227" i="15" s="1"/>
  <c r="H8228" i="15"/>
  <c r="A8228" i="15" s="1"/>
  <c r="H8229" i="15"/>
  <c r="A8229" i="15" s="1"/>
  <c r="H8230" i="15"/>
  <c r="A8230" i="15" s="1"/>
  <c r="H8231" i="15"/>
  <c r="A8231" i="15" s="1"/>
  <c r="H8232" i="15"/>
  <c r="A8232" i="15" s="1"/>
  <c r="H8233" i="15"/>
  <c r="A8233" i="15" s="1"/>
  <c r="H8234" i="15"/>
  <c r="A8234" i="15" s="1"/>
  <c r="H8235" i="15"/>
  <c r="A8235" i="15" s="1"/>
  <c r="H8236" i="15"/>
  <c r="A8236" i="15" s="1"/>
  <c r="H8237" i="15"/>
  <c r="A8237" i="15" s="1"/>
  <c r="H8238" i="15"/>
  <c r="A8238" i="15" s="1"/>
  <c r="H8239" i="15"/>
  <c r="A8239" i="15" s="1"/>
  <c r="H8240" i="15"/>
  <c r="A8240" i="15" s="1"/>
  <c r="H8241" i="15"/>
  <c r="A8241" i="15" s="1"/>
  <c r="H8242" i="15"/>
  <c r="A8242" i="15" s="1"/>
  <c r="H8243" i="15"/>
  <c r="A8243" i="15" s="1"/>
  <c r="H8244" i="15"/>
  <c r="A8244" i="15" s="1"/>
  <c r="H8245" i="15"/>
  <c r="A8245" i="15" s="1"/>
  <c r="H8246" i="15"/>
  <c r="A8246" i="15" s="1"/>
  <c r="H8247" i="15"/>
  <c r="A8247" i="15" s="1"/>
  <c r="H8248" i="15"/>
  <c r="A8248" i="15" s="1"/>
  <c r="H8249" i="15"/>
  <c r="A8249" i="15" s="1"/>
  <c r="H8250" i="15"/>
  <c r="A8250" i="15" s="1"/>
  <c r="H8251" i="15"/>
  <c r="A8251" i="15" s="1"/>
  <c r="H8252" i="15"/>
  <c r="A8252" i="15" s="1"/>
  <c r="H8253" i="15"/>
  <c r="A8253" i="15" s="1"/>
  <c r="H8254" i="15"/>
  <c r="A8254" i="15" s="1"/>
  <c r="H8255" i="15"/>
  <c r="A8255" i="15" s="1"/>
  <c r="H8256" i="15"/>
  <c r="A8256" i="15" s="1"/>
  <c r="H8257" i="15"/>
  <c r="A8257" i="15" s="1"/>
  <c r="H8258" i="15"/>
  <c r="A8258" i="15" s="1"/>
  <c r="H8259" i="15"/>
  <c r="A8259" i="15" s="1"/>
  <c r="H8260" i="15"/>
  <c r="A8260" i="15" s="1"/>
  <c r="H8261" i="15"/>
  <c r="A8261" i="15" s="1"/>
  <c r="H8262" i="15"/>
  <c r="A8262" i="15" s="1"/>
  <c r="H8263" i="15"/>
  <c r="A8263" i="15" s="1"/>
  <c r="H8264" i="15"/>
  <c r="A8264" i="15" s="1"/>
  <c r="H8265" i="15"/>
  <c r="A8265" i="15" s="1"/>
  <c r="H8266" i="15"/>
  <c r="A8266" i="15" s="1"/>
  <c r="H8267" i="15"/>
  <c r="A8267" i="15" s="1"/>
  <c r="H8268" i="15"/>
  <c r="A8268" i="15" s="1"/>
  <c r="H8269" i="15"/>
  <c r="A8269" i="15" s="1"/>
  <c r="H8270" i="15"/>
  <c r="A8270" i="15" s="1"/>
  <c r="H8271" i="15"/>
  <c r="A8271" i="15" s="1"/>
  <c r="H8272" i="15"/>
  <c r="A8272" i="15" s="1"/>
  <c r="H8273" i="15"/>
  <c r="A8273" i="15" s="1"/>
  <c r="H8274" i="15"/>
  <c r="A8274" i="15" s="1"/>
  <c r="H8275" i="15"/>
  <c r="A8275" i="15" s="1"/>
  <c r="H8276" i="15"/>
  <c r="A8276" i="15" s="1"/>
  <c r="H8277" i="15"/>
  <c r="A8277" i="15" s="1"/>
  <c r="H8278" i="15"/>
  <c r="A8278" i="15" s="1"/>
  <c r="H8279" i="15"/>
  <c r="A8279" i="15" s="1"/>
  <c r="H8280" i="15"/>
  <c r="A8280" i="15" s="1"/>
  <c r="H8281" i="15"/>
  <c r="A8281" i="15" s="1"/>
  <c r="H8282" i="15"/>
  <c r="A8282" i="15" s="1"/>
  <c r="H8283" i="15"/>
  <c r="A8283" i="15" s="1"/>
  <c r="H8284" i="15"/>
  <c r="A8284" i="15" s="1"/>
  <c r="H8285" i="15"/>
  <c r="A8285" i="15" s="1"/>
  <c r="H8286" i="15"/>
  <c r="A8286" i="15" s="1"/>
  <c r="H8287" i="15"/>
  <c r="A8287" i="15" s="1"/>
  <c r="H8288" i="15"/>
  <c r="A8288" i="15" s="1"/>
  <c r="H8289" i="15"/>
  <c r="A8289" i="15" s="1"/>
  <c r="H8290" i="15"/>
  <c r="A8290" i="15" s="1"/>
  <c r="H8291" i="15"/>
  <c r="A8291" i="15" s="1"/>
  <c r="H8292" i="15"/>
  <c r="A8292" i="15" s="1"/>
  <c r="H8293" i="15"/>
  <c r="A8293" i="15" s="1"/>
  <c r="H8294" i="15"/>
  <c r="A8294" i="15" s="1"/>
  <c r="H8295" i="15"/>
  <c r="A8295" i="15" s="1"/>
  <c r="H8296" i="15"/>
  <c r="A8296" i="15" s="1"/>
  <c r="H8297" i="15"/>
  <c r="A8297" i="15" s="1"/>
  <c r="H8298" i="15"/>
  <c r="A8298" i="15" s="1"/>
  <c r="H8299" i="15"/>
  <c r="A8299" i="15" s="1"/>
  <c r="H8300" i="15"/>
  <c r="A8300" i="15" s="1"/>
  <c r="H8301" i="15"/>
  <c r="A8301" i="15" s="1"/>
  <c r="H8302" i="15"/>
  <c r="A8302" i="15" s="1"/>
  <c r="H8303" i="15"/>
  <c r="A8303" i="15" s="1"/>
  <c r="H8304" i="15"/>
  <c r="A8304" i="15" s="1"/>
  <c r="H8305" i="15"/>
  <c r="A8305" i="15" s="1"/>
  <c r="H8306" i="15"/>
  <c r="A8306" i="15" s="1"/>
  <c r="H8307" i="15"/>
  <c r="A8307" i="15" s="1"/>
  <c r="H8308" i="15"/>
  <c r="A8308" i="15" s="1"/>
  <c r="H8309" i="15"/>
  <c r="A8309" i="15" s="1"/>
  <c r="H8310" i="15"/>
  <c r="A8310" i="15" s="1"/>
  <c r="H8311" i="15"/>
  <c r="A8311" i="15" s="1"/>
  <c r="H8312" i="15"/>
  <c r="A8312" i="15" s="1"/>
  <c r="H8313" i="15"/>
  <c r="A8313" i="15" s="1"/>
  <c r="H8314" i="15"/>
  <c r="A8314" i="15" s="1"/>
  <c r="H8315" i="15"/>
  <c r="A8315" i="15" s="1"/>
  <c r="H8316" i="15"/>
  <c r="A8316" i="15" s="1"/>
  <c r="H8317" i="15"/>
  <c r="A8317" i="15" s="1"/>
  <c r="H8318" i="15"/>
  <c r="A8318" i="15" s="1"/>
  <c r="H8319" i="15"/>
  <c r="A8319" i="15" s="1"/>
  <c r="H8320" i="15"/>
  <c r="A8320" i="15" s="1"/>
  <c r="H8321" i="15"/>
  <c r="A8321" i="15" s="1"/>
  <c r="H8322" i="15"/>
  <c r="A8322" i="15" s="1"/>
  <c r="H8323" i="15"/>
  <c r="A8323" i="15" s="1"/>
  <c r="H8324" i="15"/>
  <c r="A8324" i="15" s="1"/>
  <c r="H8325" i="15"/>
  <c r="A8325" i="15" s="1"/>
  <c r="H8326" i="15"/>
  <c r="A8326" i="15" s="1"/>
  <c r="H8327" i="15"/>
  <c r="A8327" i="15" s="1"/>
  <c r="H8328" i="15"/>
  <c r="A8328" i="15" s="1"/>
  <c r="H8329" i="15"/>
  <c r="A8329" i="15" s="1"/>
  <c r="H8330" i="15"/>
  <c r="A8330" i="15" s="1"/>
  <c r="H8331" i="15"/>
  <c r="A8331" i="15" s="1"/>
  <c r="H8332" i="15"/>
  <c r="A8332" i="15" s="1"/>
  <c r="H8333" i="15"/>
  <c r="A8333" i="15" s="1"/>
  <c r="H8334" i="15"/>
  <c r="A8334" i="15" s="1"/>
  <c r="H8335" i="15"/>
  <c r="A8335" i="15" s="1"/>
  <c r="H8336" i="15"/>
  <c r="A8336" i="15" s="1"/>
  <c r="H8337" i="15"/>
  <c r="A8337" i="15" s="1"/>
  <c r="H8338" i="15"/>
  <c r="A8338" i="15" s="1"/>
  <c r="H8339" i="15"/>
  <c r="A8339" i="15" s="1"/>
  <c r="H8340" i="15"/>
  <c r="A8340" i="15" s="1"/>
  <c r="H8341" i="15"/>
  <c r="A8341" i="15" s="1"/>
  <c r="H8342" i="15"/>
  <c r="A8342" i="15" s="1"/>
  <c r="H8343" i="15"/>
  <c r="A8343" i="15" s="1"/>
  <c r="H8344" i="15"/>
  <c r="A8344" i="15" s="1"/>
  <c r="H8345" i="15"/>
  <c r="A8345" i="15" s="1"/>
  <c r="H8346" i="15"/>
  <c r="A8346" i="15" s="1"/>
  <c r="H8347" i="15"/>
  <c r="A8347" i="15" s="1"/>
  <c r="H8348" i="15"/>
  <c r="A8348" i="15" s="1"/>
  <c r="H8349" i="15"/>
  <c r="A8349" i="15" s="1"/>
  <c r="H8350" i="15"/>
  <c r="A8350" i="15" s="1"/>
  <c r="H8351" i="15"/>
  <c r="A8351" i="15" s="1"/>
  <c r="H8352" i="15"/>
  <c r="A8352" i="15" s="1"/>
  <c r="H8353" i="15"/>
  <c r="A8353" i="15" s="1"/>
  <c r="H8354" i="15"/>
  <c r="A8354" i="15" s="1"/>
  <c r="H8355" i="15"/>
  <c r="A8355" i="15" s="1"/>
  <c r="H8356" i="15"/>
  <c r="A8356" i="15" s="1"/>
  <c r="H8357" i="15"/>
  <c r="A8357" i="15" s="1"/>
  <c r="H8358" i="15"/>
  <c r="A8358" i="15" s="1"/>
  <c r="H8359" i="15"/>
  <c r="A8359" i="15" s="1"/>
  <c r="H8360" i="15"/>
  <c r="A8360" i="15" s="1"/>
  <c r="H8361" i="15"/>
  <c r="A8361" i="15" s="1"/>
  <c r="H8362" i="15"/>
  <c r="A8362" i="15" s="1"/>
  <c r="H8363" i="15"/>
  <c r="A8363" i="15" s="1"/>
  <c r="H8364" i="15"/>
  <c r="A8364" i="15" s="1"/>
  <c r="H8365" i="15"/>
  <c r="A8365" i="15" s="1"/>
  <c r="H8366" i="15"/>
  <c r="A8366" i="15" s="1"/>
  <c r="H8367" i="15"/>
  <c r="A8367" i="15" s="1"/>
  <c r="H8368" i="15"/>
  <c r="A8368" i="15" s="1"/>
  <c r="H8369" i="15"/>
  <c r="A8369" i="15" s="1"/>
  <c r="H8370" i="15"/>
  <c r="A8370" i="15" s="1"/>
  <c r="H8371" i="15"/>
  <c r="A8371" i="15" s="1"/>
  <c r="H8372" i="15"/>
  <c r="A8372" i="15" s="1"/>
  <c r="H8373" i="15"/>
  <c r="A8373" i="15" s="1"/>
  <c r="H8374" i="15"/>
  <c r="A8374" i="15" s="1"/>
  <c r="H8375" i="15"/>
  <c r="A8375" i="15" s="1"/>
  <c r="H8376" i="15"/>
  <c r="A8376" i="15" s="1"/>
  <c r="H8377" i="15"/>
  <c r="A8377" i="15" s="1"/>
  <c r="H8378" i="15"/>
  <c r="A8378" i="15" s="1"/>
  <c r="H8379" i="15"/>
  <c r="A8379" i="15" s="1"/>
  <c r="H8380" i="15"/>
  <c r="A8380" i="15" s="1"/>
  <c r="H8381" i="15"/>
  <c r="A8381" i="15" s="1"/>
  <c r="H8382" i="15"/>
  <c r="A8382" i="15" s="1"/>
  <c r="H8383" i="15"/>
  <c r="A8383" i="15" s="1"/>
  <c r="H8384" i="15"/>
  <c r="A8384" i="15" s="1"/>
  <c r="H8385" i="15"/>
  <c r="A8385" i="15" s="1"/>
  <c r="H8386" i="15"/>
  <c r="A8386" i="15" s="1"/>
  <c r="H8387" i="15"/>
  <c r="A8387" i="15" s="1"/>
  <c r="H8388" i="15"/>
  <c r="A8388" i="15" s="1"/>
  <c r="H8389" i="15"/>
  <c r="A8389" i="15" s="1"/>
  <c r="H8390" i="15"/>
  <c r="A8390" i="15" s="1"/>
  <c r="H8391" i="15"/>
  <c r="A8391" i="15" s="1"/>
  <c r="H8392" i="15"/>
  <c r="A8392" i="15" s="1"/>
  <c r="H8393" i="15"/>
  <c r="A8393" i="15" s="1"/>
  <c r="H8394" i="15"/>
  <c r="A8394" i="15" s="1"/>
  <c r="H8395" i="15"/>
  <c r="A8395" i="15" s="1"/>
  <c r="H8396" i="15"/>
  <c r="A8396" i="15" s="1"/>
  <c r="H8397" i="15"/>
  <c r="A8397" i="15" s="1"/>
  <c r="H8398" i="15"/>
  <c r="A8398" i="15" s="1"/>
  <c r="H8399" i="15"/>
  <c r="A8399" i="15" s="1"/>
  <c r="H8400" i="15"/>
  <c r="A8400" i="15" s="1"/>
  <c r="H8401" i="15"/>
  <c r="A8401" i="15" s="1"/>
  <c r="H8402" i="15"/>
  <c r="A8402" i="15" s="1"/>
  <c r="H8403" i="15"/>
  <c r="A8403" i="15" s="1"/>
  <c r="H8404" i="15"/>
  <c r="A8404" i="15" s="1"/>
  <c r="H8405" i="15"/>
  <c r="A8405" i="15" s="1"/>
  <c r="H8406" i="15"/>
  <c r="A8406" i="15" s="1"/>
  <c r="H8407" i="15"/>
  <c r="A8407" i="15" s="1"/>
  <c r="H8408" i="15"/>
  <c r="A8408" i="15" s="1"/>
  <c r="H8409" i="15"/>
  <c r="A8409" i="15" s="1"/>
  <c r="H8410" i="15"/>
  <c r="A8410" i="15" s="1"/>
  <c r="H8411" i="15"/>
  <c r="A8411" i="15" s="1"/>
  <c r="H8412" i="15"/>
  <c r="A8412" i="15" s="1"/>
  <c r="H8413" i="15"/>
  <c r="A8413" i="15" s="1"/>
  <c r="H8414" i="15"/>
  <c r="A8414" i="15" s="1"/>
  <c r="H8415" i="15"/>
  <c r="A8415" i="15" s="1"/>
  <c r="H8416" i="15"/>
  <c r="A8416" i="15" s="1"/>
  <c r="H8417" i="15"/>
  <c r="A8417" i="15" s="1"/>
  <c r="H8418" i="15"/>
  <c r="A8418" i="15" s="1"/>
  <c r="H8419" i="15"/>
  <c r="A8419" i="15" s="1"/>
  <c r="H8420" i="15"/>
  <c r="A8420" i="15" s="1"/>
  <c r="H8421" i="15"/>
  <c r="A8421" i="15" s="1"/>
  <c r="H8422" i="15"/>
  <c r="A8422" i="15" s="1"/>
  <c r="H8423" i="15"/>
  <c r="A8423" i="15" s="1"/>
  <c r="H8424" i="15"/>
  <c r="A8424" i="15" s="1"/>
  <c r="H8425" i="15"/>
  <c r="A8425" i="15" s="1"/>
  <c r="H8426" i="15"/>
  <c r="A8426" i="15" s="1"/>
  <c r="H8427" i="15"/>
  <c r="A8427" i="15" s="1"/>
  <c r="H8428" i="15"/>
  <c r="A8428" i="15" s="1"/>
  <c r="H8429" i="15"/>
  <c r="A8429" i="15" s="1"/>
  <c r="H8430" i="15"/>
  <c r="A8430" i="15" s="1"/>
  <c r="H8431" i="15"/>
  <c r="A8431" i="15" s="1"/>
  <c r="H8432" i="15"/>
  <c r="A8432" i="15" s="1"/>
  <c r="H8433" i="15"/>
  <c r="A8433" i="15" s="1"/>
  <c r="H8434" i="15"/>
  <c r="A8434" i="15" s="1"/>
  <c r="H8435" i="15"/>
  <c r="A8435" i="15" s="1"/>
  <c r="H8436" i="15"/>
  <c r="A8436" i="15" s="1"/>
  <c r="H8437" i="15"/>
  <c r="A8437" i="15" s="1"/>
  <c r="H8438" i="15"/>
  <c r="A8438" i="15" s="1"/>
  <c r="H8439" i="15"/>
  <c r="A8439" i="15" s="1"/>
  <c r="H8440" i="15"/>
  <c r="A8440" i="15" s="1"/>
  <c r="H8441" i="15"/>
  <c r="A8441" i="15" s="1"/>
  <c r="H8442" i="15"/>
  <c r="A8442" i="15" s="1"/>
  <c r="H8443" i="15"/>
  <c r="A8443" i="15" s="1"/>
  <c r="H8444" i="15"/>
  <c r="A8444" i="15" s="1"/>
  <c r="H8445" i="15"/>
  <c r="A8445" i="15" s="1"/>
  <c r="H8446" i="15"/>
  <c r="A8446" i="15" s="1"/>
  <c r="H8447" i="15"/>
  <c r="A8447" i="15" s="1"/>
  <c r="H8448" i="15"/>
  <c r="A8448" i="15" s="1"/>
  <c r="H8449" i="15"/>
  <c r="A8449" i="15" s="1"/>
  <c r="H8450" i="15"/>
  <c r="A8450" i="15" s="1"/>
  <c r="H8451" i="15"/>
  <c r="A8451" i="15" s="1"/>
  <c r="H8452" i="15"/>
  <c r="A8452" i="15" s="1"/>
  <c r="H8453" i="15"/>
  <c r="A8453" i="15" s="1"/>
  <c r="H8454" i="15"/>
  <c r="A8454" i="15" s="1"/>
  <c r="H8455" i="15"/>
  <c r="A8455" i="15" s="1"/>
  <c r="H8456" i="15"/>
  <c r="A8456" i="15" s="1"/>
  <c r="H8457" i="15"/>
  <c r="A8457" i="15" s="1"/>
  <c r="H8458" i="15"/>
  <c r="A8458" i="15" s="1"/>
  <c r="H8459" i="15"/>
  <c r="A8459" i="15" s="1"/>
  <c r="H8460" i="15"/>
  <c r="A8460" i="15" s="1"/>
  <c r="H8461" i="15"/>
  <c r="A8461" i="15" s="1"/>
  <c r="H8462" i="15"/>
  <c r="A8462" i="15" s="1"/>
  <c r="H8463" i="15"/>
  <c r="A8463" i="15" s="1"/>
  <c r="H8464" i="15"/>
  <c r="A8464" i="15" s="1"/>
  <c r="H8465" i="15"/>
  <c r="A8465" i="15" s="1"/>
  <c r="H8466" i="15"/>
  <c r="A8466" i="15" s="1"/>
  <c r="H8467" i="15"/>
  <c r="A8467" i="15" s="1"/>
  <c r="H8468" i="15"/>
  <c r="A8468" i="15" s="1"/>
  <c r="H8469" i="15"/>
  <c r="A8469" i="15" s="1"/>
  <c r="H8470" i="15"/>
  <c r="A8470" i="15" s="1"/>
  <c r="H8471" i="15"/>
  <c r="A8471" i="15" s="1"/>
  <c r="H8472" i="15"/>
  <c r="A8472" i="15" s="1"/>
  <c r="H8473" i="15"/>
  <c r="A8473" i="15" s="1"/>
  <c r="H8474" i="15"/>
  <c r="A8474" i="15" s="1"/>
  <c r="H8475" i="15"/>
  <c r="A8475" i="15" s="1"/>
  <c r="H8476" i="15"/>
  <c r="A8476" i="15" s="1"/>
  <c r="H8477" i="15"/>
  <c r="A8477" i="15" s="1"/>
  <c r="H8478" i="15"/>
  <c r="A8478" i="15" s="1"/>
  <c r="H8479" i="15"/>
  <c r="A8479" i="15" s="1"/>
  <c r="H8480" i="15"/>
  <c r="A8480" i="15" s="1"/>
  <c r="H8481" i="15"/>
  <c r="A8481" i="15" s="1"/>
  <c r="H8482" i="15"/>
  <c r="A8482" i="15" s="1"/>
  <c r="H8483" i="15"/>
  <c r="A8483" i="15" s="1"/>
  <c r="H8484" i="15"/>
  <c r="A8484" i="15" s="1"/>
  <c r="H8485" i="15"/>
  <c r="A8485" i="15" s="1"/>
  <c r="H8486" i="15"/>
  <c r="A8486" i="15" s="1"/>
  <c r="H8487" i="15"/>
  <c r="A8487" i="15" s="1"/>
  <c r="H8488" i="15"/>
  <c r="A8488" i="15" s="1"/>
  <c r="H8489" i="15"/>
  <c r="A8489" i="15" s="1"/>
  <c r="H8490" i="15"/>
  <c r="A8490" i="15" s="1"/>
  <c r="H8491" i="15"/>
  <c r="A8491" i="15" s="1"/>
  <c r="H8492" i="15"/>
  <c r="A8492" i="15" s="1"/>
  <c r="H8493" i="15"/>
  <c r="A8493" i="15" s="1"/>
  <c r="H8494" i="15"/>
  <c r="A8494" i="15" s="1"/>
  <c r="H8495" i="15"/>
  <c r="A8495" i="15" s="1"/>
  <c r="H8496" i="15"/>
  <c r="A8496" i="15" s="1"/>
  <c r="H8497" i="15"/>
  <c r="A8497" i="15" s="1"/>
  <c r="H8498" i="15"/>
  <c r="A8498" i="15" s="1"/>
  <c r="H8499" i="15"/>
  <c r="A8499" i="15" s="1"/>
  <c r="H8500" i="15"/>
  <c r="A8500" i="15" s="1"/>
  <c r="H8501" i="15"/>
  <c r="A8501" i="15" s="1"/>
  <c r="H8502" i="15"/>
  <c r="A8502" i="15" s="1"/>
  <c r="H8503" i="15"/>
  <c r="A8503" i="15" s="1"/>
  <c r="H8504" i="15"/>
  <c r="A8504" i="15" s="1"/>
  <c r="H8505" i="15"/>
  <c r="A8505" i="15" s="1"/>
  <c r="H8506" i="15"/>
  <c r="A8506" i="15" s="1"/>
  <c r="H8507" i="15"/>
  <c r="A8507" i="15" s="1"/>
  <c r="H8508" i="15"/>
  <c r="A8508" i="15" s="1"/>
  <c r="H8509" i="15"/>
  <c r="A8509" i="15" s="1"/>
  <c r="H8510" i="15"/>
  <c r="A8510" i="15" s="1"/>
  <c r="H8511" i="15"/>
  <c r="A8511" i="15" s="1"/>
  <c r="H8512" i="15"/>
  <c r="A8512" i="15" s="1"/>
  <c r="H8513" i="15"/>
  <c r="A8513" i="15" s="1"/>
  <c r="H8514" i="15"/>
  <c r="A8514" i="15" s="1"/>
  <c r="H8515" i="15"/>
  <c r="A8515" i="15" s="1"/>
  <c r="H8516" i="15"/>
  <c r="A8516" i="15" s="1"/>
  <c r="H8517" i="15"/>
  <c r="A8517" i="15" s="1"/>
  <c r="H8518" i="15"/>
  <c r="A8518" i="15" s="1"/>
  <c r="H8519" i="15"/>
  <c r="A8519" i="15" s="1"/>
  <c r="H8520" i="15"/>
  <c r="A8520" i="15" s="1"/>
  <c r="H8521" i="15"/>
  <c r="A8521" i="15" s="1"/>
  <c r="H8522" i="15"/>
  <c r="A8522" i="15" s="1"/>
  <c r="H8523" i="15"/>
  <c r="A8523" i="15" s="1"/>
  <c r="H8524" i="15"/>
  <c r="A8524" i="15" s="1"/>
  <c r="H8525" i="15"/>
  <c r="A8525" i="15" s="1"/>
  <c r="H8526" i="15"/>
  <c r="A8526" i="15" s="1"/>
  <c r="H8527" i="15"/>
  <c r="A8527" i="15" s="1"/>
  <c r="H8528" i="15"/>
  <c r="A8528" i="15" s="1"/>
  <c r="H8529" i="15"/>
  <c r="A8529" i="15" s="1"/>
  <c r="H8530" i="15"/>
  <c r="A8530" i="15" s="1"/>
  <c r="H8531" i="15"/>
  <c r="A8531" i="15" s="1"/>
  <c r="H8532" i="15"/>
  <c r="A8532" i="15" s="1"/>
  <c r="H8533" i="15"/>
  <c r="A8533" i="15" s="1"/>
  <c r="H8534" i="15"/>
  <c r="A8534" i="15" s="1"/>
  <c r="H8535" i="15"/>
  <c r="A8535" i="15" s="1"/>
  <c r="H8536" i="15"/>
  <c r="A8536" i="15" s="1"/>
  <c r="H8537" i="15"/>
  <c r="A8537" i="15" s="1"/>
  <c r="H8538" i="15"/>
  <c r="A8538" i="15" s="1"/>
  <c r="H8539" i="15"/>
  <c r="A8539" i="15" s="1"/>
  <c r="H8540" i="15"/>
  <c r="A8540" i="15" s="1"/>
  <c r="H8541" i="15"/>
  <c r="A8541" i="15" s="1"/>
  <c r="H8542" i="15"/>
  <c r="A8542" i="15" s="1"/>
  <c r="H8543" i="15"/>
  <c r="A8543" i="15" s="1"/>
  <c r="H8544" i="15"/>
  <c r="A8544" i="15" s="1"/>
  <c r="H8545" i="15"/>
  <c r="A8545" i="15" s="1"/>
  <c r="H8546" i="15"/>
  <c r="A8546" i="15" s="1"/>
  <c r="H8547" i="15"/>
  <c r="A8547" i="15" s="1"/>
  <c r="H8548" i="15"/>
  <c r="A8548" i="15" s="1"/>
  <c r="H8549" i="15"/>
  <c r="A8549" i="15" s="1"/>
  <c r="H8550" i="15"/>
  <c r="A8550" i="15" s="1"/>
  <c r="H8551" i="15"/>
  <c r="A8551" i="15" s="1"/>
  <c r="H8552" i="15"/>
  <c r="A8552" i="15" s="1"/>
  <c r="H8553" i="15"/>
  <c r="A8553" i="15" s="1"/>
  <c r="H8554" i="15"/>
  <c r="A8554" i="15" s="1"/>
  <c r="H8555" i="15"/>
  <c r="A8555" i="15" s="1"/>
  <c r="H8556" i="15"/>
  <c r="A8556" i="15" s="1"/>
  <c r="H8557" i="15"/>
  <c r="A8557" i="15" s="1"/>
  <c r="H8558" i="15"/>
  <c r="A8558" i="15" s="1"/>
  <c r="H8559" i="15"/>
  <c r="A8559" i="15" s="1"/>
  <c r="H8560" i="15"/>
  <c r="A8560" i="15" s="1"/>
  <c r="H8561" i="15"/>
  <c r="A8561" i="15" s="1"/>
  <c r="H8562" i="15"/>
  <c r="A8562" i="15" s="1"/>
  <c r="H8563" i="15"/>
  <c r="A8563" i="15" s="1"/>
  <c r="H8564" i="15"/>
  <c r="A8564" i="15" s="1"/>
  <c r="H8565" i="15"/>
  <c r="A8565" i="15" s="1"/>
  <c r="H8566" i="15"/>
  <c r="A8566" i="15" s="1"/>
  <c r="H8567" i="15"/>
  <c r="A8567" i="15" s="1"/>
  <c r="H8568" i="15"/>
  <c r="A8568" i="15" s="1"/>
  <c r="H8569" i="15"/>
  <c r="A8569" i="15" s="1"/>
  <c r="H8570" i="15"/>
  <c r="A8570" i="15" s="1"/>
  <c r="H8571" i="15"/>
  <c r="A8571" i="15" s="1"/>
  <c r="H8572" i="15"/>
  <c r="A8572" i="15" s="1"/>
  <c r="H8573" i="15"/>
  <c r="A8573" i="15" s="1"/>
  <c r="H8574" i="15"/>
  <c r="A8574" i="15" s="1"/>
  <c r="H8575" i="15"/>
  <c r="A8575" i="15" s="1"/>
  <c r="H8576" i="15"/>
  <c r="A8576" i="15" s="1"/>
  <c r="H8577" i="15"/>
  <c r="A8577" i="15" s="1"/>
  <c r="H8578" i="15"/>
  <c r="A8578" i="15" s="1"/>
  <c r="H8579" i="15"/>
  <c r="A8579" i="15" s="1"/>
  <c r="H8580" i="15"/>
  <c r="A8580" i="15" s="1"/>
  <c r="H8581" i="15"/>
  <c r="A8581" i="15" s="1"/>
  <c r="H8582" i="15"/>
  <c r="A8582" i="15" s="1"/>
  <c r="H8583" i="15"/>
  <c r="A8583" i="15" s="1"/>
  <c r="H8584" i="15"/>
  <c r="A8584" i="15" s="1"/>
  <c r="H8585" i="15"/>
  <c r="A8585" i="15" s="1"/>
  <c r="H8586" i="15"/>
  <c r="A8586" i="15" s="1"/>
  <c r="H8587" i="15"/>
  <c r="A8587" i="15" s="1"/>
  <c r="H8588" i="15"/>
  <c r="A8588" i="15" s="1"/>
  <c r="H8589" i="15"/>
  <c r="A8589" i="15" s="1"/>
  <c r="H8590" i="15"/>
  <c r="A8590" i="15" s="1"/>
  <c r="H8591" i="15"/>
  <c r="A8591" i="15" s="1"/>
  <c r="H8592" i="15"/>
  <c r="A8592" i="15" s="1"/>
  <c r="H8593" i="15"/>
  <c r="A8593" i="15" s="1"/>
  <c r="H8594" i="15"/>
  <c r="A8594" i="15" s="1"/>
  <c r="H8595" i="15"/>
  <c r="A8595" i="15" s="1"/>
  <c r="H8596" i="15"/>
  <c r="A8596" i="15" s="1"/>
  <c r="H8597" i="15"/>
  <c r="A8597" i="15" s="1"/>
  <c r="H8598" i="15"/>
  <c r="A8598" i="15" s="1"/>
  <c r="H8599" i="15"/>
  <c r="A8599" i="15" s="1"/>
  <c r="H8600" i="15"/>
  <c r="A8600" i="15" s="1"/>
  <c r="H8601" i="15"/>
  <c r="A8601" i="15" s="1"/>
  <c r="H8602" i="15"/>
  <c r="A8602" i="15" s="1"/>
  <c r="H8603" i="15"/>
  <c r="A8603" i="15" s="1"/>
  <c r="H8604" i="15"/>
  <c r="A8604" i="15" s="1"/>
  <c r="H8605" i="15"/>
  <c r="A8605" i="15" s="1"/>
  <c r="H8606" i="15"/>
  <c r="A8606" i="15" s="1"/>
  <c r="H8607" i="15"/>
  <c r="A8607" i="15" s="1"/>
  <c r="H8608" i="15"/>
  <c r="A8608" i="15" s="1"/>
  <c r="H8609" i="15"/>
  <c r="A8609" i="15" s="1"/>
  <c r="H8610" i="15"/>
  <c r="A8610" i="15" s="1"/>
  <c r="H8611" i="15"/>
  <c r="A8611" i="15" s="1"/>
  <c r="H8612" i="15"/>
  <c r="A8612" i="15" s="1"/>
  <c r="H8613" i="15"/>
  <c r="A8613" i="15" s="1"/>
  <c r="H8614" i="15"/>
  <c r="A8614" i="15" s="1"/>
  <c r="H8615" i="15"/>
  <c r="A8615" i="15" s="1"/>
  <c r="H8616" i="15"/>
  <c r="A8616" i="15" s="1"/>
  <c r="H8617" i="15"/>
  <c r="A8617" i="15" s="1"/>
  <c r="H8618" i="15"/>
  <c r="A8618" i="15" s="1"/>
  <c r="H8619" i="15"/>
  <c r="A8619" i="15" s="1"/>
  <c r="H8620" i="15"/>
  <c r="A8620" i="15" s="1"/>
  <c r="H8621" i="15"/>
  <c r="A8621" i="15" s="1"/>
  <c r="H8622" i="15"/>
  <c r="A8622" i="15" s="1"/>
  <c r="H8623" i="15"/>
  <c r="A8623" i="15" s="1"/>
  <c r="H8624" i="15"/>
  <c r="A8624" i="15" s="1"/>
  <c r="H8625" i="15"/>
  <c r="A8625" i="15" s="1"/>
  <c r="H8626" i="15"/>
  <c r="A8626" i="15" s="1"/>
  <c r="H8627" i="15"/>
  <c r="A8627" i="15" s="1"/>
  <c r="H2" i="15"/>
  <c r="A2" i="15" s="1"/>
  <c r="C884" i="14"/>
  <c r="C880" i="14"/>
  <c r="C870" i="12"/>
  <c r="C866" i="12"/>
  <c r="C872" i="13"/>
  <c r="C868" i="13"/>
  <c r="C872" i="11"/>
  <c r="C868" i="11"/>
  <c r="C862" i="6"/>
  <c r="C866" i="6" s="1"/>
  <c r="C859" i="5"/>
  <c r="C863" i="5" s="1"/>
  <c r="C863" i="4"/>
  <c r="C867" i="4" s="1"/>
  <c r="C865" i="3"/>
  <c r="C869" i="3" s="1"/>
  <c r="C865" i="2"/>
  <c r="C869" i="2" s="1"/>
  <c r="C863" i="1"/>
  <c r="C867" i="1" s="1"/>
  <c r="D16" i="8" l="1"/>
  <c r="D24" i="8"/>
  <c r="D48" i="8"/>
  <c r="D46" i="8"/>
  <c r="D23" i="8"/>
  <c r="D136" i="8"/>
  <c r="D64" i="8"/>
  <c r="D120" i="8"/>
  <c r="D56" i="8"/>
  <c r="D112" i="8"/>
  <c r="D53" i="8"/>
  <c r="D88" i="8"/>
  <c r="D40" i="8"/>
  <c r="D3" i="8"/>
  <c r="D128" i="8"/>
  <c r="D104" i="8"/>
  <c r="D96" i="8"/>
  <c r="D80" i="8"/>
  <c r="D32" i="8"/>
  <c r="D72" i="8"/>
  <c r="D131" i="8"/>
  <c r="D115" i="8"/>
  <c r="D99" i="8"/>
  <c r="D83" i="8"/>
  <c r="D138" i="8"/>
  <c r="D130" i="8"/>
  <c r="D122" i="8"/>
  <c r="D114" i="8"/>
  <c r="D106" i="8"/>
  <c r="D98" i="8"/>
  <c r="D90" i="8"/>
  <c r="D82" i="8"/>
  <c r="D74" i="8"/>
  <c r="D66" i="8"/>
  <c r="D58" i="8"/>
  <c r="D50" i="8"/>
  <c r="D42" i="8"/>
  <c r="D34" i="8"/>
  <c r="D26" i="8"/>
  <c r="D18" i="8"/>
  <c r="D10" i="8"/>
  <c r="D38" i="8"/>
  <c r="D30" i="8"/>
  <c r="D22" i="8"/>
  <c r="D141" i="8"/>
  <c r="D125" i="8"/>
  <c r="D109" i="8"/>
  <c r="D101" i="8"/>
  <c r="D93" i="8"/>
  <c r="D85" i="8"/>
  <c r="D69" i="8"/>
  <c r="D139" i="8"/>
  <c r="D123" i="8"/>
  <c r="D107" i="8"/>
  <c r="D91" i="8"/>
  <c r="D137" i="8"/>
  <c r="D129" i="8"/>
  <c r="D121" i="8"/>
  <c r="D113" i="8"/>
  <c r="D105" i="8"/>
  <c r="D97" i="8"/>
  <c r="D89" i="8"/>
  <c r="D81" i="8"/>
  <c r="D73" i="8"/>
  <c r="D65" i="8"/>
  <c r="D57" i="8"/>
  <c r="D49" i="8"/>
  <c r="D41" i="8"/>
  <c r="D33" i="8"/>
  <c r="D25" i="8"/>
  <c r="D17" i="8"/>
  <c r="D9" i="8"/>
  <c r="D8" i="8"/>
  <c r="D15" i="8"/>
  <c r="D7" i="8"/>
  <c r="D6" i="8"/>
  <c r="D45" i="8"/>
  <c r="D37" i="8"/>
  <c r="D29" i="8"/>
  <c r="D21" i="8"/>
  <c r="D13" i="8"/>
  <c r="D5" i="8"/>
  <c r="D140" i="8"/>
  <c r="D132" i="8"/>
  <c r="D124" i="8"/>
  <c r="D116" i="8"/>
  <c r="D108" i="8"/>
  <c r="D100" i="8"/>
  <c r="D92" i="8"/>
  <c r="D84" i="8"/>
  <c r="D76" i="8"/>
  <c r="D68" i="8"/>
  <c r="D60" i="8"/>
  <c r="D52" i="8"/>
  <c r="D44" i="8"/>
  <c r="D36" i="8"/>
  <c r="D28" i="8"/>
  <c r="D20" i="8"/>
  <c r="D12" i="8"/>
  <c r="D4" i="8"/>
  <c r="D2" i="8"/>
  <c r="D135" i="8"/>
  <c r="D127" i="8"/>
  <c r="D119" i="8"/>
  <c r="D111" i="8"/>
  <c r="D103" i="8"/>
  <c r="D95" i="8"/>
  <c r="D87" i="8"/>
  <c r="D79" i="8"/>
  <c r="D71" i="8"/>
  <c r="D63" i="8"/>
  <c r="D55" i="8"/>
  <c r="D47" i="8"/>
  <c r="D39" i="8"/>
  <c r="D31" i="8"/>
  <c r="D142" i="8"/>
  <c r="D134" i="8"/>
  <c r="D126" i="8"/>
  <c r="D118" i="8"/>
  <c r="D110" i="8"/>
  <c r="D102" i="8"/>
  <c r="D94" i="8"/>
  <c r="D86" i="8"/>
  <c r="D78" i="8"/>
  <c r="D70" i="8"/>
  <c r="D62" i="8"/>
  <c r="D54" i="8"/>
  <c r="D14" i="8"/>
  <c r="D133" i="8"/>
  <c r="D117" i="8"/>
  <c r="D77" i="8"/>
  <c r="D61" i="8"/>
  <c r="D75" i="8"/>
  <c r="D67" i="8"/>
  <c r="D59" i="8"/>
  <c r="D51" i="8"/>
  <c r="D43" i="8"/>
  <c r="D35" i="8"/>
  <c r="D27" i="8"/>
  <c r="D19" i="8"/>
  <c r="D11" i="8"/>
</calcChain>
</file>

<file path=xl/sharedStrings.xml><?xml version="1.0" encoding="utf-8"?>
<sst xmlns="http://schemas.openxmlformats.org/spreadsheetml/2006/main" count="43355" uniqueCount="2512">
  <si>
    <t>Aberdeen City Of</t>
  </si>
  <si>
    <t>Aberdeen Mun Sep Schools</t>
  </si>
  <si>
    <t>Ackerman City Of</t>
  </si>
  <si>
    <t>Adams Co Airport Commission</t>
  </si>
  <si>
    <t>Adams Co Bd Of Supr Chancery</t>
  </si>
  <si>
    <t>Adams Co Soil &amp; Water Consv District</t>
  </si>
  <si>
    <t>Administrative Office Of Court</t>
  </si>
  <si>
    <t>Agric And Commerce Dept</t>
  </si>
  <si>
    <t>Alcorn Co Bd Of Ed</t>
  </si>
  <si>
    <t>Alcorn Co Bd Of Supr</t>
  </si>
  <si>
    <t>Alcorn State Univ</t>
  </si>
  <si>
    <t>Amite Co Bd Of Ed</t>
  </si>
  <si>
    <t>Amite Co Bd Of Supr</t>
  </si>
  <si>
    <t>Amory City Of</t>
  </si>
  <si>
    <t>Amory Housing Authority</t>
  </si>
  <si>
    <t>Amory Mun Sep Schools</t>
  </si>
  <si>
    <t>Amory Municipal Library</t>
  </si>
  <si>
    <t>Anguilla City Of</t>
  </si>
  <si>
    <t>Animal Health Board</t>
  </si>
  <si>
    <t>Architecture Board Of MS</t>
  </si>
  <si>
    <t>Archives &amp; History Dept</t>
  </si>
  <si>
    <t>Arcola Town Of</t>
  </si>
  <si>
    <t>Artesia Town Of</t>
  </si>
  <si>
    <t>Arts Commission Of Mississippi</t>
  </si>
  <si>
    <t>Ashland Town Of</t>
  </si>
  <si>
    <t>Athletic Commission</t>
  </si>
  <si>
    <t>Attala Co Bd Of Ed</t>
  </si>
  <si>
    <t>Attala Co Bd Of Supr</t>
  </si>
  <si>
    <t>Attala Co Housing Authority</t>
  </si>
  <si>
    <t>Attorney Generals Office</t>
  </si>
  <si>
    <t>Baldwyn City Of</t>
  </si>
  <si>
    <t>Baldwyn Housing Authority</t>
  </si>
  <si>
    <t>Baldwyn Mun Sep Schools</t>
  </si>
  <si>
    <t>Banking And Consumer Finance</t>
  </si>
  <si>
    <t>Barber Examiners Board</t>
  </si>
  <si>
    <t>Bassfield Town Of</t>
  </si>
  <si>
    <t>Batesville City Of</t>
  </si>
  <si>
    <t>Bay Springs City Of</t>
  </si>
  <si>
    <t>Bay St Louis City Of</t>
  </si>
  <si>
    <t>Bay St Louis-Waveland Schl Dis</t>
  </si>
  <si>
    <t>Bay Waveland Housing Authority</t>
  </si>
  <si>
    <t>Bd Of Social Workers &amp; Family</t>
  </si>
  <si>
    <t>Beaumont Town Of</t>
  </si>
  <si>
    <t>Belmont Town Of</t>
  </si>
  <si>
    <t>Belzoni City Of</t>
  </si>
  <si>
    <t>Benoit City Of</t>
  </si>
  <si>
    <t>Benton Co Bd Of Ed</t>
  </si>
  <si>
    <t>Benton Co Bd Of Supr</t>
  </si>
  <si>
    <t>Benton County Library System</t>
  </si>
  <si>
    <t>Bentonia Town Of</t>
  </si>
  <si>
    <t>Biloxi City Of</t>
  </si>
  <si>
    <t>Biloxi Housing Authority</t>
  </si>
  <si>
    <t>Biloxi Mun Sep Schools</t>
  </si>
  <si>
    <t>Board of Examiners for LPC's</t>
  </si>
  <si>
    <t>Board Of Funeral Services</t>
  </si>
  <si>
    <t>Board of Optometry</t>
  </si>
  <si>
    <t>Board Of Tax Appeals</t>
  </si>
  <si>
    <t>Bogue Phalia Drainage Dist</t>
  </si>
  <si>
    <t>Bolivar Co Bd Of Supr</t>
  </si>
  <si>
    <t>Bolivar Co S/ W Consv Dist</t>
  </si>
  <si>
    <t>Bolivar County Library</t>
  </si>
  <si>
    <t>Booneville City Of</t>
  </si>
  <si>
    <t>Booneville Gas &amp; Water System</t>
  </si>
  <si>
    <t>Booneville Housing Authority</t>
  </si>
  <si>
    <t>Booneville Mun Sep Schools</t>
  </si>
  <si>
    <t>Boswell Retardation Center</t>
  </si>
  <si>
    <t>Boyle Town Of</t>
  </si>
  <si>
    <t>Brandon City Of</t>
  </si>
  <si>
    <t>Brookhaven City Of</t>
  </si>
  <si>
    <t>Brookhaven Mun Sep Schools</t>
  </si>
  <si>
    <t>Brookhaven Park &amp; Recreation</t>
  </si>
  <si>
    <t>Brooksville Town Of</t>
  </si>
  <si>
    <t>Bruce Town Of</t>
  </si>
  <si>
    <t>Bude Town Of</t>
  </si>
  <si>
    <t>Bureau Of Narcotics</t>
  </si>
  <si>
    <t>Burnsville Town Of</t>
  </si>
  <si>
    <t>Byhalia Town Of</t>
  </si>
  <si>
    <t>Caledonia Natural Gas District</t>
  </si>
  <si>
    <t>Caledonia Town Of</t>
  </si>
  <si>
    <t>Calhoun City City Of</t>
  </si>
  <si>
    <t>Calhoun Co Bd Of Ed</t>
  </si>
  <si>
    <t>Calhoun Co Bd Of Supr</t>
  </si>
  <si>
    <t>Calhoun Co Soil &amp; Water Consv</t>
  </si>
  <si>
    <t>Canton City Of</t>
  </si>
  <si>
    <t>Canton Convention &amp; Visitors</t>
  </si>
  <si>
    <t>Canton Housing Authority</t>
  </si>
  <si>
    <t>Canton Mun Sep Schools</t>
  </si>
  <si>
    <t>Canton Municipal Utilities</t>
  </si>
  <si>
    <t>Carnegie Public Library</t>
  </si>
  <si>
    <t>Carroll Co Bd Of Ed</t>
  </si>
  <si>
    <t>Carroll Co Bd Of Supr</t>
  </si>
  <si>
    <t>Carroll Co Library System</t>
  </si>
  <si>
    <t>Carthage Town Of</t>
  </si>
  <si>
    <t>Cary Town Of</t>
  </si>
  <si>
    <t>Central Ms Regional Library System</t>
  </si>
  <si>
    <t>Centreville City Of</t>
  </si>
  <si>
    <t>Charleston City Of</t>
  </si>
  <si>
    <t>Chickasaw Co Bd Of Supr</t>
  </si>
  <si>
    <t>Chickasaw County School Dist.</t>
  </si>
  <si>
    <t>Chickasawhay Natural Gas Dist</t>
  </si>
  <si>
    <t>Choctaw Co Bd Of Ed</t>
  </si>
  <si>
    <t>Choctaw Co Bd Of Supr</t>
  </si>
  <si>
    <t>Choctaw Co Economic Dev Dist</t>
  </si>
  <si>
    <t>Choctaw County Library System</t>
  </si>
  <si>
    <t>City Of Byram</t>
  </si>
  <si>
    <t>City of Gluckstadt</t>
  </si>
  <si>
    <t>City Of Greenville</t>
  </si>
  <si>
    <t>City of Guntown</t>
  </si>
  <si>
    <t>City Of Purvis</t>
  </si>
  <si>
    <t>Claiborne Co Bd Of Ed</t>
  </si>
  <si>
    <t>Claiborne Co Bd Of Supr</t>
  </si>
  <si>
    <t>Claiborne County Hospital</t>
  </si>
  <si>
    <t>Claiborne County Human Resources</t>
  </si>
  <si>
    <t>Clarke Co Bd Of Supr</t>
  </si>
  <si>
    <t>Clarksdale City Of</t>
  </si>
  <si>
    <t>Clarksdale Housing Authority</t>
  </si>
  <si>
    <t>Clarksdale Mun Schools</t>
  </si>
  <si>
    <t>Clarksdale Park Commission</t>
  </si>
  <si>
    <t>Clarksdale Public Utilities</t>
  </si>
  <si>
    <t>Clay Co Bd Of Supr</t>
  </si>
  <si>
    <t>Cleary Water, Sewer, &amp; Fire District</t>
  </si>
  <si>
    <t>Cleveland City Of</t>
  </si>
  <si>
    <t>Cleveland School District</t>
  </si>
  <si>
    <t>Clinton City Of</t>
  </si>
  <si>
    <t>Clinton Public School Dist</t>
  </si>
  <si>
    <t>Coahoma Co Bd Of Ed</t>
  </si>
  <si>
    <t>Coahoma Co Bd Of Supr</t>
  </si>
  <si>
    <t>Coahoma Co Soil &amp; Water Consv</t>
  </si>
  <si>
    <t>Coahoma Community College</t>
  </si>
  <si>
    <t>Coast Coliseum &amp; Convention</t>
  </si>
  <si>
    <t>Coffeeville School District</t>
  </si>
  <si>
    <t>Coffeeville Town Of</t>
  </si>
  <si>
    <t>Coldwater Town Of</t>
  </si>
  <si>
    <t>Collins Town Of</t>
  </si>
  <si>
    <t>Columbia City Of</t>
  </si>
  <si>
    <t>Columbia Mun Sep Schools</t>
  </si>
  <si>
    <t>Columbus City Of</t>
  </si>
  <si>
    <t>Columbus Housing Authority</t>
  </si>
  <si>
    <t>Columbus Light &amp; Water Department</t>
  </si>
  <si>
    <t>Columbus Mun Sep Schools</t>
  </si>
  <si>
    <t>Columbus-Lowndes Public Library</t>
  </si>
  <si>
    <t>Como Town Of</t>
  </si>
  <si>
    <t>Copiah Co Bd Of Ed</t>
  </si>
  <si>
    <t>Copiah Co Bd Of Supr</t>
  </si>
  <si>
    <t>Copiah County Human Resource</t>
  </si>
  <si>
    <t>Copiah Jefferson Library</t>
  </si>
  <si>
    <t>Copiah-Lincoln Community College</t>
  </si>
  <si>
    <t>Corinth City Of</t>
  </si>
  <si>
    <t>Corinth City Of Water Department</t>
  </si>
  <si>
    <t>Corinth Housing Authority</t>
  </si>
  <si>
    <t>Corinth Mun Sep Schools</t>
  </si>
  <si>
    <t>Corinth-Alcorn Airport Bd</t>
  </si>
  <si>
    <t>Corinth-Alcorn Co Rec. Commission</t>
  </si>
  <si>
    <t>Corinth-Alcorn Conv &amp; Agri</t>
  </si>
  <si>
    <t>Corrections Department</t>
  </si>
  <si>
    <t>Cosmetology Board</t>
  </si>
  <si>
    <t>Covington Co Bd Of Ed</t>
  </si>
  <si>
    <t>Covington Co Bd Of Supr</t>
  </si>
  <si>
    <t>Covington Co Library Sys</t>
  </si>
  <si>
    <t>Covington Co Soil Consv Dist</t>
  </si>
  <si>
    <t>Crawford Town Of</t>
  </si>
  <si>
    <t>Crenshaw City Of</t>
  </si>
  <si>
    <t>Crosby Town Of</t>
  </si>
  <si>
    <t>Crystal Springs City Of</t>
  </si>
  <si>
    <t>Culkin Water District</t>
  </si>
  <si>
    <t>Decatur City Of</t>
  </si>
  <si>
    <t>Dekalb Town Of</t>
  </si>
  <si>
    <t>Delta Blues Museum</t>
  </si>
  <si>
    <t>Delta State University</t>
  </si>
  <si>
    <t>Department Of Education</t>
  </si>
  <si>
    <t>Dept Of Environmental Quality</t>
  </si>
  <si>
    <t>Dept Of Human Services</t>
  </si>
  <si>
    <t>Derma Town Of</t>
  </si>
  <si>
    <t>Desoto Co Bd Of Ed</t>
  </si>
  <si>
    <t>Desoto Co Bd Of Supr</t>
  </si>
  <si>
    <t>Desoto Co Conv &amp; Vis Bur</t>
  </si>
  <si>
    <t>Desoto Co Reg Util Author</t>
  </si>
  <si>
    <t>Desoto County Soil&amp;Water Consv</t>
  </si>
  <si>
    <t>Diamondhead Fire Protection District</t>
  </si>
  <si>
    <t>D'Iberville City Of</t>
  </si>
  <si>
    <t>District Attys &amp; Staff</t>
  </si>
  <si>
    <t>Dixie Regional Library</t>
  </si>
  <si>
    <t>Drew Town Of</t>
  </si>
  <si>
    <t>Duck Hill City Of</t>
  </si>
  <si>
    <t>Durant City Of</t>
  </si>
  <si>
    <t>East Central Community College</t>
  </si>
  <si>
    <t>East Jasper School District</t>
  </si>
  <si>
    <t>East Leflore Co Water &amp; Sewer</t>
  </si>
  <si>
    <t>East Ms Community College</t>
  </si>
  <si>
    <t>East Ms Regional Library</t>
  </si>
  <si>
    <t>East Ms State Hospital</t>
  </si>
  <si>
    <t>East Tallahatchie School Dist</t>
  </si>
  <si>
    <t>Economic Dev Auth Of Jones County</t>
  </si>
  <si>
    <t>Ecru Town Of</t>
  </si>
  <si>
    <t>Educational Television Authority</t>
  </si>
  <si>
    <t>Edwards Town Of</t>
  </si>
  <si>
    <t>Elizabeth Jones Library</t>
  </si>
  <si>
    <t>Ellisville City Of</t>
  </si>
  <si>
    <t>Ellisville St School</t>
  </si>
  <si>
    <t>Emergency Management Agency</t>
  </si>
  <si>
    <t>Emergency Management Dist</t>
  </si>
  <si>
    <t>Enterprise School District</t>
  </si>
  <si>
    <t>Enterprise Town Of</t>
  </si>
  <si>
    <t>Ethel Town Of</t>
  </si>
  <si>
    <t>Ethics Commission</t>
  </si>
  <si>
    <t>Eupora City Of</t>
  </si>
  <si>
    <t>Evans Memorial Library</t>
  </si>
  <si>
    <t>Falkner Town Of</t>
  </si>
  <si>
    <t>Field Memorial Community Hospital</t>
  </si>
  <si>
    <t>Finance And Administration</t>
  </si>
  <si>
    <t>First Regional Library</t>
  </si>
  <si>
    <t>Flora Town Of</t>
  </si>
  <si>
    <t>Florence Town Of</t>
  </si>
  <si>
    <t>Flowood Town Of</t>
  </si>
  <si>
    <t>Forest City Of</t>
  </si>
  <si>
    <t>Forest Housing Authority</t>
  </si>
  <si>
    <t>Forest Mun Sep Schools</t>
  </si>
  <si>
    <t>Forestry Commission</t>
  </si>
  <si>
    <t>Forrest Co Agri High School</t>
  </si>
  <si>
    <t>Forrest Co Bd Of Ed</t>
  </si>
  <si>
    <t>Forrest Co Bd Of Supr</t>
  </si>
  <si>
    <t>Forrest Co Soil &amp; Water Consv</t>
  </si>
  <si>
    <t>Franklin Co Bd Of Ed</t>
  </si>
  <si>
    <t>Franklin Co Bd Of Supr</t>
  </si>
  <si>
    <t>Franklin Co Memorial Hospital</t>
  </si>
  <si>
    <t>Fulton Town Of</t>
  </si>
  <si>
    <t>Gautier City Of</t>
  </si>
  <si>
    <t>George Co Bd Of Supr</t>
  </si>
  <si>
    <t>George County Bd Of Ed</t>
  </si>
  <si>
    <t>Glendale Utility District</t>
  </si>
  <si>
    <t>Gloster City Of</t>
  </si>
  <si>
    <t>Golden Tria Reg Solid Waste Mg</t>
  </si>
  <si>
    <t>Golden Triangle Cooperative</t>
  </si>
  <si>
    <t>Golden Triangle Regional Airport</t>
  </si>
  <si>
    <t>Goodman Town Of</t>
  </si>
  <si>
    <t>Governors Office</t>
  </si>
  <si>
    <t>Grand Gulf Military Monument</t>
  </si>
  <si>
    <t>Greene Co Bd Of Ed</t>
  </si>
  <si>
    <t>Greene Co Bd Of Supr</t>
  </si>
  <si>
    <t>Greenville Port Commission</t>
  </si>
  <si>
    <t>Greenville Public Schools</t>
  </si>
  <si>
    <t>Greenwood City Of</t>
  </si>
  <si>
    <t>Greenwood Housing Authority</t>
  </si>
  <si>
    <t>Greenwood Tourism Commission</t>
  </si>
  <si>
    <t>Greenwood Utilities Commission</t>
  </si>
  <si>
    <t>Greenwood-LeFlore Consol. SD.</t>
  </si>
  <si>
    <t>Greenwood-Leflore Public Libra</t>
  </si>
  <si>
    <t>Grenada City Of</t>
  </si>
  <si>
    <t>Grenada Co Bd Of Supr</t>
  </si>
  <si>
    <t>Grenada Co Soil&amp;Water Con</t>
  </si>
  <si>
    <t>Grenada County Civil Defense</t>
  </si>
  <si>
    <t>Grenada School District</t>
  </si>
  <si>
    <t>Gulf Park Estates FP District</t>
  </si>
  <si>
    <t>Gulf Regional Planning Comm</t>
  </si>
  <si>
    <t>Gulfport City Of</t>
  </si>
  <si>
    <t>Gulfport Mun Sep Schools</t>
  </si>
  <si>
    <t>Gulfport-Biloxi Airport Author</t>
  </si>
  <si>
    <t>Hancock Co Bd Of Ed</t>
  </si>
  <si>
    <t>Hancock Co Bd Of Supr</t>
  </si>
  <si>
    <t>Hancock Co Human Resource Agency</t>
  </si>
  <si>
    <t>Hancock Co Library System</t>
  </si>
  <si>
    <t>Hancock Co Planning Commission</t>
  </si>
  <si>
    <t>Hancock Co Port &amp; Harbor Comm</t>
  </si>
  <si>
    <t>Hancock Co Soil Consv Dist</t>
  </si>
  <si>
    <t>Hancock Co Water &amp; Sewer Dist</t>
  </si>
  <si>
    <t>Hancock County Utility Authority</t>
  </si>
  <si>
    <t>Harriette Person Memorial Library</t>
  </si>
  <si>
    <t>Harrison Co Bd Of Ed</t>
  </si>
  <si>
    <t>Harrison Co Bd Of Supr</t>
  </si>
  <si>
    <t>Harrison Co Circuit Clerk</t>
  </si>
  <si>
    <t>Harrison Co Development Comm</t>
  </si>
  <si>
    <t>Harrison Co Soil &amp; Water Consv</t>
  </si>
  <si>
    <t>Harrison Co Supr Chancery Clerk</t>
  </si>
  <si>
    <t>Harrison Co. Library System</t>
  </si>
  <si>
    <t>Harrison County Utility Authority</t>
  </si>
  <si>
    <t>Hatley Town Of</t>
  </si>
  <si>
    <t>Hattiesburg City Of</t>
  </si>
  <si>
    <t>Hattiesburg Housing Authority</t>
  </si>
  <si>
    <t>Hattiesburg Public School Dist</t>
  </si>
  <si>
    <t>Hattiesburg Tourism Commission</t>
  </si>
  <si>
    <t>Hattiesburg-Petal-Forrest Library</t>
  </si>
  <si>
    <t>Hazlehurst City Of</t>
  </si>
  <si>
    <t>Hazlehurst Housing Authority</t>
  </si>
  <si>
    <t>Hazlehurst Mun Sep Schools</t>
  </si>
  <si>
    <t>Heidelberg Town Of</t>
  </si>
  <si>
    <t>Hernando City Of</t>
  </si>
  <si>
    <t>Hickory Flat Town Of</t>
  </si>
  <si>
    <t>Hickory Town Of</t>
  </si>
  <si>
    <t>Hinds Co Bd Of Ed</t>
  </si>
  <si>
    <t>Hinds Co Bd Of Supr</t>
  </si>
  <si>
    <t>Hinds Co Bos/ Circuit Clk</t>
  </si>
  <si>
    <t>Hinds Co Bos/Chancery Clerk</t>
  </si>
  <si>
    <t>Hinds Co Soil &amp; Water Consv Div</t>
  </si>
  <si>
    <t>Hinds Community College</t>
  </si>
  <si>
    <t>Hollandale City Of</t>
  </si>
  <si>
    <t>Hollandale School Dist</t>
  </si>
  <si>
    <t>Holly Springs City Of</t>
  </si>
  <si>
    <t>Holly Springs Housing Authority</t>
  </si>
  <si>
    <t>Holly Springs Mun Sep Schools</t>
  </si>
  <si>
    <t>Holly Springs Utility Department</t>
  </si>
  <si>
    <t>Holmes Co Bd Of Supr</t>
  </si>
  <si>
    <t>Holmes Community College</t>
  </si>
  <si>
    <t>Holmes County Consolidated School</t>
  </si>
  <si>
    <t>Horn Lake City Of</t>
  </si>
  <si>
    <t>Houlka Town Of</t>
  </si>
  <si>
    <t>House Of Representatives And</t>
  </si>
  <si>
    <t>Houston Town Of</t>
  </si>
  <si>
    <t>Hudspeth Center</t>
  </si>
  <si>
    <t>Humphreys Co Bd Of Ed</t>
  </si>
  <si>
    <t>Humphreys Co Bd Of Supr</t>
  </si>
  <si>
    <t>Humphreys Co Library</t>
  </si>
  <si>
    <t>Indianola City Of</t>
  </si>
  <si>
    <t>Industries For The Blind</t>
  </si>
  <si>
    <t>Information Technology Svcs</t>
  </si>
  <si>
    <t>Institutions Of Higher Learning</t>
  </si>
  <si>
    <t>Inverness Town Of</t>
  </si>
  <si>
    <t>Issaquena Co Bd Supr</t>
  </si>
  <si>
    <t>Itawamba Co Bd Of Ed</t>
  </si>
  <si>
    <t>Itawamba Co Bd Of Supr</t>
  </si>
  <si>
    <t>Itawamba Co Soil &amp; Water Consv</t>
  </si>
  <si>
    <t>Itawamba Community College</t>
  </si>
  <si>
    <t>Itta Bena City Of</t>
  </si>
  <si>
    <t>Itta Bena Housing Authority</t>
  </si>
  <si>
    <t>Iuka City Of</t>
  </si>
  <si>
    <t>Iuka Housing Authority</t>
  </si>
  <si>
    <t>Jackson City Of</t>
  </si>
  <si>
    <t>Jackson Cnty Utility Authority</t>
  </si>
  <si>
    <t>Jackson Co Bd Of Ed</t>
  </si>
  <si>
    <t>Jackson Co Bd Of Supr</t>
  </si>
  <si>
    <t>Jackson Co Bos/ Circuit Clerks</t>
  </si>
  <si>
    <t>Jackson Co Bos/Chancery Clerks</t>
  </si>
  <si>
    <t>Jackson Co Emergency Communication</t>
  </si>
  <si>
    <t>Jackson Conv &amp; Visitors Bureau</t>
  </si>
  <si>
    <t>Jackson County Port Authority</t>
  </si>
  <si>
    <t>Jackson Housing Authority</t>
  </si>
  <si>
    <t>Jackson Mun Sep Schools</t>
  </si>
  <si>
    <t>Jackson Municipal Airport Auth</t>
  </si>
  <si>
    <t>Jackson State Univ</t>
  </si>
  <si>
    <t>Jackson/Hinds Library System</t>
  </si>
  <si>
    <t>Jackson-George Reg Library Sys</t>
  </si>
  <si>
    <t>Jasper Co Bd Of Supr</t>
  </si>
  <si>
    <t>Jeff Davis Co Bd Of Supr</t>
  </si>
  <si>
    <t>Jefferson Co Bd Of Ed</t>
  </si>
  <si>
    <t>Jefferson Co Bd Of Supr</t>
  </si>
  <si>
    <t>Jefferson Co Hospital</t>
  </si>
  <si>
    <t>Jefferson Davis Co Bd Of Ed</t>
  </si>
  <si>
    <t>Jennie Stephens Smith Library</t>
  </si>
  <si>
    <t>Joint Legislative Budget Comm</t>
  </si>
  <si>
    <t>Jones Co Bd Of Ed</t>
  </si>
  <si>
    <t>Jones Co Bd Of Supv</t>
  </si>
  <si>
    <t>Jones Community College</t>
  </si>
  <si>
    <t>Judge George W. Armstrong Library</t>
  </si>
  <si>
    <t>Judicial Performance Commission</t>
  </si>
  <si>
    <t>Jumpertown Town Of</t>
  </si>
  <si>
    <t>Kemper Co Bd Of Ed</t>
  </si>
  <si>
    <t>Kemper Co Bd Of Supr</t>
  </si>
  <si>
    <t>Kemper-Newton Co Reg Library</t>
  </si>
  <si>
    <t>Kilmichael City Of</t>
  </si>
  <si>
    <t>Kiln Utility &amp; Fire District</t>
  </si>
  <si>
    <t>Kosciusko City Of</t>
  </si>
  <si>
    <t>Kosciusko Mun Sep Schools</t>
  </si>
  <si>
    <t>Kosciusko Water &amp; Light Dept</t>
  </si>
  <si>
    <t>Lafayette Co Bd Of Ed</t>
  </si>
  <si>
    <t>Lafayette Co Bd Of Supr</t>
  </si>
  <si>
    <t>Lafayette Co Soil/Water Consv</t>
  </si>
  <si>
    <t>Lake Town Of</t>
  </si>
  <si>
    <t>Lamar Co Bd Of Ed</t>
  </si>
  <si>
    <t>Lamar Co Soil &amp; Water Consv Division</t>
  </si>
  <si>
    <t>Lamar County Bd Of Supr</t>
  </si>
  <si>
    <t>Lamar County Library System</t>
  </si>
  <si>
    <t>Lambert Town Of</t>
  </si>
  <si>
    <t>Lauderdale Co Bd Of Ed</t>
  </si>
  <si>
    <t>Lauderdale Co Bd Of Supr</t>
  </si>
  <si>
    <t>Lauderdale Co Emerg Med Serv</t>
  </si>
  <si>
    <t>Laurel Airport Authority</t>
  </si>
  <si>
    <t>Laurel City Of</t>
  </si>
  <si>
    <t>Laurel Housing Authority</t>
  </si>
  <si>
    <t>Laurel School District</t>
  </si>
  <si>
    <t>Laurel-Jones County Library</t>
  </si>
  <si>
    <t>Lawrence Co Bd Of Ed</t>
  </si>
  <si>
    <t>Lawrence Co Bd Of Supr</t>
  </si>
  <si>
    <t>Leake Co Bd Of Ed</t>
  </si>
  <si>
    <t>Leake Co Bd Of Supr</t>
  </si>
  <si>
    <t>Leakesville Town Of</t>
  </si>
  <si>
    <t>Lee Co Bd Of Supervisors</t>
  </si>
  <si>
    <t>Lee Co Soil &amp; Water Consv Dist</t>
  </si>
  <si>
    <t>Lee County Bd Of Ed</t>
  </si>
  <si>
    <t>Lee-Itawamba Co Library System</t>
  </si>
  <si>
    <t>Leflore Co Bd Of Supr</t>
  </si>
  <si>
    <t>Legislative Joint Services</t>
  </si>
  <si>
    <t>Legislative Peer Committee</t>
  </si>
  <si>
    <t>Legislative Reapportionment Co</t>
  </si>
  <si>
    <t>Leland City Of</t>
  </si>
  <si>
    <t>Leland School Dist</t>
  </si>
  <si>
    <t>Lena Town Of</t>
  </si>
  <si>
    <t>Levee Comm Yazoo Ms Delta</t>
  </si>
  <si>
    <t>Levee Commissioners</t>
  </si>
  <si>
    <t>Lexington City Of</t>
  </si>
  <si>
    <t>Liberty Town Of</t>
  </si>
  <si>
    <t>Lincoln Co Bd Of Ed</t>
  </si>
  <si>
    <t>Lincoln Co Bd Of Supr</t>
  </si>
  <si>
    <t>Lincoln-Lawrence-Franklin</t>
  </si>
  <si>
    <t>Long Beach City Of</t>
  </si>
  <si>
    <t>Long Beach Mun Sep Schools</t>
  </si>
  <si>
    <t>Louin Town Of</t>
  </si>
  <si>
    <t>Louise Town Of</t>
  </si>
  <si>
    <t>Louisville City Of</t>
  </si>
  <si>
    <t>Louisville Electric System</t>
  </si>
  <si>
    <t>Louisville Housing Authority</t>
  </si>
  <si>
    <t>Louisville Mun Sep Schools</t>
  </si>
  <si>
    <t>Louisville Water System</t>
  </si>
  <si>
    <t>Lowndes Co Bd Of Ed</t>
  </si>
  <si>
    <t>Lowndes Co Bd Of Supr</t>
  </si>
  <si>
    <t>Lucedale City Of</t>
  </si>
  <si>
    <t>Lula Town Of</t>
  </si>
  <si>
    <t>Lumberton City Of</t>
  </si>
  <si>
    <t>Lyon Town Of</t>
  </si>
  <si>
    <t>Maben Town Of</t>
  </si>
  <si>
    <t>Macon City Of</t>
  </si>
  <si>
    <t>Macon Electric &amp; Water Departm</t>
  </si>
  <si>
    <t>Madison City Of</t>
  </si>
  <si>
    <t>Madison Co - Canton Public Library</t>
  </si>
  <si>
    <t>Madison Co Bd Of Ed</t>
  </si>
  <si>
    <t>Madison Co Bd Of Supr</t>
  </si>
  <si>
    <t>Madison Co Econ Devl Auth</t>
  </si>
  <si>
    <t>Madison Co Nursing Home</t>
  </si>
  <si>
    <t>Madison Co Soil &amp; Water Consv</t>
  </si>
  <si>
    <t>MagCor Industries</t>
  </si>
  <si>
    <t>Magee Town Of</t>
  </si>
  <si>
    <t>Magnolia City Of</t>
  </si>
  <si>
    <t>Magnolia Regional Health Cente</t>
  </si>
  <si>
    <t>Mantachie Town Of</t>
  </si>
  <si>
    <t>Marietta Town Of</t>
  </si>
  <si>
    <t>Marion Co Bd Of Ed</t>
  </si>
  <si>
    <t>Marion Co Bd Of Supr</t>
  </si>
  <si>
    <t>Marion Co Soil &amp; Water Consv Dist</t>
  </si>
  <si>
    <t>Marion Town Of</t>
  </si>
  <si>
    <t>Marks City Of</t>
  </si>
  <si>
    <t>Marks-Quitman County Library</t>
  </si>
  <si>
    <t>Marshall Co Bd Of Ed</t>
  </si>
  <si>
    <t>Marshall Co Bd Of Supr</t>
  </si>
  <si>
    <t>Marshall County Library</t>
  </si>
  <si>
    <t>Mathiston Town Of</t>
  </si>
  <si>
    <t>Mccomb City Of</t>
  </si>
  <si>
    <t>Mccomb Housing Authority</t>
  </si>
  <si>
    <t>Mccomb Mun Sep Schools</t>
  </si>
  <si>
    <t>Mclain Town Of</t>
  </si>
  <si>
    <t>Meadville Town Of</t>
  </si>
  <si>
    <t>Medicaid Div-Office Of Governo</t>
  </si>
  <si>
    <t>Medical Licensure Board</t>
  </si>
  <si>
    <t>Mendenhall City Of</t>
  </si>
  <si>
    <t>Mental Health &amp; Retd Comm Region 4</t>
  </si>
  <si>
    <t>Mental Health &amp; Retd Comm Region 6</t>
  </si>
  <si>
    <t>Mental Health &amp; Retd Comm Region 8</t>
  </si>
  <si>
    <t>Mental Health Dept Of MS</t>
  </si>
  <si>
    <t>Meridian Airport Authority</t>
  </si>
  <si>
    <t>Meridian City Of</t>
  </si>
  <si>
    <t>Meridian Community College</t>
  </si>
  <si>
    <t>Meridian Housing Authority</t>
  </si>
  <si>
    <t>Meridian Mun Sep Schools</t>
  </si>
  <si>
    <t>Meridian-Lauderdale Co Library</t>
  </si>
  <si>
    <t>Merigold Town Of</t>
  </si>
  <si>
    <t>Mid Ms Regional Library</t>
  </si>
  <si>
    <t>Mid-Ms Development District</t>
  </si>
  <si>
    <t>Military Department</t>
  </si>
  <si>
    <t>Military Dept Air Programs</t>
  </si>
  <si>
    <t>Military Dept Army Programs</t>
  </si>
  <si>
    <t>Military Dept Shelby Base Ops</t>
  </si>
  <si>
    <t>Miss. Community College Board</t>
  </si>
  <si>
    <t>Miss. Dept. of Revenue</t>
  </si>
  <si>
    <t>Mississippi Dept Of Employment</t>
  </si>
  <si>
    <t>Mississippi Home Corporation</t>
  </si>
  <si>
    <t>Mississippi School of the Arts</t>
  </si>
  <si>
    <t>Mississippi State Bar</t>
  </si>
  <si>
    <t>Mississippi State Hospital</t>
  </si>
  <si>
    <t>Mississippi State Senate</t>
  </si>
  <si>
    <t>Mississippi State University</t>
  </si>
  <si>
    <t>Mize Town Of</t>
  </si>
  <si>
    <t>Monroe Co Bd Of Ed</t>
  </si>
  <si>
    <t>Monroe Co Bd Of Supr</t>
  </si>
  <si>
    <t>Monroe Co Soil &amp; Water Consv Dist</t>
  </si>
  <si>
    <t>Montgomery Co Bd Of Supr</t>
  </si>
  <si>
    <t>Monticello City Of</t>
  </si>
  <si>
    <t>Moorhead City Of</t>
  </si>
  <si>
    <t>Morton City Of</t>
  </si>
  <si>
    <t>Moss Point City Of</t>
  </si>
  <si>
    <t>Moss Point Mun Schools</t>
  </si>
  <si>
    <t>Motor Vehicle Commission</t>
  </si>
  <si>
    <t>Mound Bayou Housing Authority</t>
  </si>
  <si>
    <t>MS Bd Of Geologists</t>
  </si>
  <si>
    <t>MS BD of Psychological Exam.</t>
  </si>
  <si>
    <t>MS Board Of Nursing</t>
  </si>
  <si>
    <t>MS Business Finance Corp</t>
  </si>
  <si>
    <t>MS Capital Post Convict</t>
  </si>
  <si>
    <t>MS Charter School Authorizer B</t>
  </si>
  <si>
    <t>MS Delta Community College</t>
  </si>
  <si>
    <t>MS Dept Child Protect Services</t>
  </si>
  <si>
    <t>MS Dept Of Marine Resources</t>
  </si>
  <si>
    <t>MS Dept Of Transportation</t>
  </si>
  <si>
    <t>MS Development Authority</t>
  </si>
  <si>
    <t>MS Gaming Commission</t>
  </si>
  <si>
    <t>MS Gulf Coast Community College</t>
  </si>
  <si>
    <t>MS Gulf Coast Reg Conv &amp; VB</t>
  </si>
  <si>
    <t>MS Highway Safety Patrol</t>
  </si>
  <si>
    <t>MS Library Commission</t>
  </si>
  <si>
    <t>MS Office Of The State Auditor</t>
  </si>
  <si>
    <t>MS Real Estate Appraisal Board</t>
  </si>
  <si>
    <t>MS Regional Housing Auth No VII</t>
  </si>
  <si>
    <t>MS Regional Housing Auth No VI</t>
  </si>
  <si>
    <t>MS Regional Housing Auth No IV</t>
  </si>
  <si>
    <t>MS Regional Housing Auth No V</t>
  </si>
  <si>
    <t>MS Regional Housing Auth No VIII</t>
  </si>
  <si>
    <t>MS School for the Blind &amp; Deaf</t>
  </si>
  <si>
    <t>MS State Bd Of Pharmacy</t>
  </si>
  <si>
    <t>MS State Board Of Contractors</t>
  </si>
  <si>
    <t>MS State Personnel Bd</t>
  </si>
  <si>
    <t>MS University For Women</t>
  </si>
  <si>
    <t>MS Valley State University</t>
  </si>
  <si>
    <t>Mt Olive Town Of</t>
  </si>
  <si>
    <t>Mun Energy Agency Of MS</t>
  </si>
  <si>
    <t>Myrtle Town Of</t>
  </si>
  <si>
    <t>Natchez City Of</t>
  </si>
  <si>
    <t>Natchez Convention Promo Comm</t>
  </si>
  <si>
    <t>Natchez Housing Authority</t>
  </si>
  <si>
    <t>Natchez Waterworks City Of</t>
  </si>
  <si>
    <t>Natchez-Adams County Port Comm</t>
  </si>
  <si>
    <t>Natchez-Adams School Dist</t>
  </si>
  <si>
    <t>Ne MS Regional Water Supply Dist</t>
  </si>
  <si>
    <t>Neshoba Co Bd Of Ed</t>
  </si>
  <si>
    <t>Neshoba Co Bd Of Supr</t>
  </si>
  <si>
    <t>Neshoba Co Public Library</t>
  </si>
  <si>
    <t>Neshoba Co Soil Consv Dist</t>
  </si>
  <si>
    <t>Nettleton School District</t>
  </si>
  <si>
    <t>Nettleton Town Of</t>
  </si>
  <si>
    <t>New Albany City Of</t>
  </si>
  <si>
    <t>New Albany Electric Department</t>
  </si>
  <si>
    <t>New Albany Mun Sep Schools</t>
  </si>
  <si>
    <t>New Augusta Town Of</t>
  </si>
  <si>
    <t>New Hebron Town Of</t>
  </si>
  <si>
    <t>Newton City Of</t>
  </si>
  <si>
    <t>Newton Co Bd Of Ed</t>
  </si>
  <si>
    <t>Newton Co Bd Of Supr</t>
  </si>
  <si>
    <t>Newton Co Soil Consv District</t>
  </si>
  <si>
    <t>Newton Mun Sep Schools</t>
  </si>
  <si>
    <t>No Carrollton Town Of</t>
  </si>
  <si>
    <t>North Bolivar Consolidated Sch</t>
  </si>
  <si>
    <t>North Ms Regional Center</t>
  </si>
  <si>
    <t>North Panola School Dist</t>
  </si>
  <si>
    <t>North Pike School Dist</t>
  </si>
  <si>
    <t>North Sunflower Medical Center</t>
  </si>
  <si>
    <t>North Tippah School District</t>
  </si>
  <si>
    <t>Northeast Mental Health And</t>
  </si>
  <si>
    <t>Northeast Mississippi Natural</t>
  </si>
  <si>
    <t>Northeast Ms Community College</t>
  </si>
  <si>
    <t>Northeast Regional Library</t>
  </si>
  <si>
    <t>Northwest Ms Community College</t>
  </si>
  <si>
    <t>Noxapater City Of</t>
  </si>
  <si>
    <t>Noxubee Co Bd Of Ed</t>
  </si>
  <si>
    <t>Noxubee Co Bd Of Supr</t>
  </si>
  <si>
    <t>Noxubee County Library</t>
  </si>
  <si>
    <t>Nroute Transit Commission</t>
  </si>
  <si>
    <t>Nursing Home Admin Board-Direc</t>
  </si>
  <si>
    <t>Ocean Springs City Of</t>
  </si>
  <si>
    <t>Ocean Springs School Dist</t>
  </si>
  <si>
    <t>Office of Workforce Dev</t>
  </si>
  <si>
    <t>Office St Public Defender</t>
  </si>
  <si>
    <t>Oil And Gas Board</t>
  </si>
  <si>
    <t>Okolona City Of</t>
  </si>
  <si>
    <t>Okolona Electric Dept</t>
  </si>
  <si>
    <t>Okolona Public Schools</t>
  </si>
  <si>
    <t>Oktibbeha Co Bd Of Supr</t>
  </si>
  <si>
    <t>Oktibbeha Co Library Sys</t>
  </si>
  <si>
    <t>Olive Branch Town Of</t>
  </si>
  <si>
    <t>Osyka Town Of</t>
  </si>
  <si>
    <t>Oxford City Of</t>
  </si>
  <si>
    <t>Oxford Utilities</t>
  </si>
  <si>
    <t>Oxford Housing Authority</t>
  </si>
  <si>
    <t>Oxford Mun Sep Schools</t>
  </si>
  <si>
    <t>Oxford Tourism Council</t>
  </si>
  <si>
    <t>Pachuta Village Of</t>
  </si>
  <si>
    <t>Panola Co Bd Of Supr</t>
  </si>
  <si>
    <t>Panola Co Soil &amp; Water Consv Dist</t>
  </si>
  <si>
    <t>Pascagoula City Of</t>
  </si>
  <si>
    <t>Pascagoula Mun Sep Schools</t>
  </si>
  <si>
    <t>Pass Christian City Of</t>
  </si>
  <si>
    <t>Pass Christian Mun Schools</t>
  </si>
  <si>
    <t>Pat Harrison Waterway Dist</t>
  </si>
  <si>
    <t>Pearl City Of</t>
  </si>
  <si>
    <t>Pearl Public School District</t>
  </si>
  <si>
    <t>Pearl River Co Bd Ed</t>
  </si>
  <si>
    <t>Pearl River Co Bd Of Supr</t>
  </si>
  <si>
    <t>Pearl River Co Library System</t>
  </si>
  <si>
    <t>Pearl River Community College</t>
  </si>
  <si>
    <t>Pearl River County SWCD</t>
  </si>
  <si>
    <t>Pearl River Val Water Sup Dist</t>
  </si>
  <si>
    <t>Pelahatchie Town Of</t>
  </si>
  <si>
    <t>Perry Co Bd Of Ed</t>
  </si>
  <si>
    <t>Perry Co Bd Of Supr</t>
  </si>
  <si>
    <t>Petal City Of</t>
  </si>
  <si>
    <t>Petal Mun Sep Schools</t>
  </si>
  <si>
    <t>Philadelphia City Of</t>
  </si>
  <si>
    <t>Philadelphia Mun Sep Schools</t>
  </si>
  <si>
    <t>Philadelphia-Neshoba Co Park</t>
  </si>
  <si>
    <t>Picayune City Of</t>
  </si>
  <si>
    <t>Picayune Housing Authority</t>
  </si>
  <si>
    <t>Picayune Mun Sep Schools</t>
  </si>
  <si>
    <t>Pike Co Bd Of Supr</t>
  </si>
  <si>
    <t>Pike County Soil Conservation</t>
  </si>
  <si>
    <t>Pike-Amite-Walthall Co Library</t>
  </si>
  <si>
    <t>Pine Belt Reg Solid Waste Mgmt</t>
  </si>
  <si>
    <t>Pine Forest Reg Library</t>
  </si>
  <si>
    <t>Plantersville Town Of</t>
  </si>
  <si>
    <t>Pontotoc City Of</t>
  </si>
  <si>
    <t>Pontotoc Co Bd Of Ed</t>
  </si>
  <si>
    <t>Pontotoc Co Bd Of Supr</t>
  </si>
  <si>
    <t>Pontotoc Housing Authority</t>
  </si>
  <si>
    <t>Pontotoc Mun Sep Schools</t>
  </si>
  <si>
    <t>Poplarville City Of</t>
  </si>
  <si>
    <t>Poplarville Mun Sep Schools</t>
  </si>
  <si>
    <t>Port Authority Of Ms</t>
  </si>
  <si>
    <t>Port Gibson City Of</t>
  </si>
  <si>
    <t>Potts Camp Town Of</t>
  </si>
  <si>
    <t>Prentiss Co Bd Of Ed</t>
  </si>
  <si>
    <t>Prentiss Co Bd Of Supr</t>
  </si>
  <si>
    <t>Prentiss Town Of</t>
  </si>
  <si>
    <t>Professional Engineers Board</t>
  </si>
  <si>
    <t>Public Accountancy Board Of MS</t>
  </si>
  <si>
    <t>Public Employees' Retirement System</t>
  </si>
  <si>
    <t>Public Service Comm</t>
  </si>
  <si>
    <t>Puckett Village Of</t>
  </si>
  <si>
    <t>Quitman City Of</t>
  </si>
  <si>
    <t>Quitman Co Bd Of Ed</t>
  </si>
  <si>
    <t>Quitman Co Bd Of Supr</t>
  </si>
  <si>
    <t>Quitman School District</t>
  </si>
  <si>
    <t>Raleigh Town Of</t>
  </si>
  <si>
    <t>Rankin Co Bd Of Ed</t>
  </si>
  <si>
    <t>Rankin Co Bd Of Supr</t>
  </si>
  <si>
    <t>Rankin-Hinds Pearl River Flood</t>
  </si>
  <si>
    <t>Raymond City Of</t>
  </si>
  <si>
    <t>Real Estate Commission</t>
  </si>
  <si>
    <t>Rehabilitation Services Dept</t>
  </si>
  <si>
    <t>Reservoir Fire Protection Dist</t>
  </si>
  <si>
    <t>Richland City Of</t>
  </si>
  <si>
    <t>Richton Mun Sep Schools</t>
  </si>
  <si>
    <t>Richton Town Of</t>
  </si>
  <si>
    <t>Ridgeland City Of</t>
  </si>
  <si>
    <t>Ridgeland Tourism Commission</t>
  </si>
  <si>
    <t>Ripley City Of</t>
  </si>
  <si>
    <t>Rolling Fork City Of</t>
  </si>
  <si>
    <t>Rosedale City Of</t>
  </si>
  <si>
    <t>Rosedale-Bolivar Co Port Comm</t>
  </si>
  <si>
    <t>Roxie Town Of</t>
  </si>
  <si>
    <t>Ruleville City Of</t>
  </si>
  <si>
    <t>Runnelstown Util Dist</t>
  </si>
  <si>
    <t>Saltillo Town Of</t>
  </si>
  <si>
    <t>Sardis City Of</t>
  </si>
  <si>
    <t>Sardis Housing Authority</t>
  </si>
  <si>
    <t>Scenic Rivers Dev. Alliance</t>
  </si>
  <si>
    <t>Scott Co Bd Of Ed</t>
  </si>
  <si>
    <t>Scott Co Bd Of Supr</t>
  </si>
  <si>
    <t>Sebastopol Natl Gas Dist</t>
  </si>
  <si>
    <t>Sebastopol Town Of</t>
  </si>
  <si>
    <t>Secretary Of State</t>
  </si>
  <si>
    <t>Seminary Town Of</t>
  </si>
  <si>
    <t>Senatobia City Of</t>
  </si>
  <si>
    <t>Senatobia Housing Authority</t>
  </si>
  <si>
    <t>Senatobia Mun Sep Schools</t>
  </si>
  <si>
    <t>Shannon Town Of</t>
  </si>
  <si>
    <t>Sharkey Co Bd Of Supr</t>
  </si>
  <si>
    <t>Sharkey-Issaquena Co Library</t>
  </si>
  <si>
    <t>Shaw City Of</t>
  </si>
  <si>
    <t>Shelby City Of</t>
  </si>
  <si>
    <t>Shelby Housing Authority</t>
  </si>
  <si>
    <t>Sherman Town Of</t>
  </si>
  <si>
    <t>Shubuta Town Of</t>
  </si>
  <si>
    <t>Shuqualak Town Of</t>
  </si>
  <si>
    <t>Silver City Town Of</t>
  </si>
  <si>
    <t>Simpson Co Bd Of Ed</t>
  </si>
  <si>
    <t>Simpson Co Bd Of Supr</t>
  </si>
  <si>
    <t>Simpson Co Parks &amp; Recreation</t>
  </si>
  <si>
    <t>Singing River Services</t>
  </si>
  <si>
    <t>Sledge Town Of</t>
  </si>
  <si>
    <t>Smith Co Bd Of Ed</t>
  </si>
  <si>
    <t>Smith Co Bd Of Supr</t>
  </si>
  <si>
    <t>Smithville Town Of</t>
  </si>
  <si>
    <t>So Sunflower Co Hospital</t>
  </si>
  <si>
    <t>Soso Town Of</t>
  </si>
  <si>
    <t>South Delta Reg Hous Auth</t>
  </si>
  <si>
    <t>South Delta School District</t>
  </si>
  <si>
    <t>South Madison Cty Fire Pro Dist</t>
  </si>
  <si>
    <t>South Mississippi Fair Commiss</t>
  </si>
  <si>
    <t>South Ms Regional Library</t>
  </si>
  <si>
    <t>South Panola School Dist</t>
  </si>
  <si>
    <t>South Pike School District</t>
  </si>
  <si>
    <t>South Tippah School Dist</t>
  </si>
  <si>
    <t>Southaven City Of</t>
  </si>
  <si>
    <t>Starkville City Of</t>
  </si>
  <si>
    <t>Starkville Electric Dept</t>
  </si>
  <si>
    <t>Starkville Housing Authority</t>
  </si>
  <si>
    <t>Starkville Oktibbeha Con School</t>
  </si>
  <si>
    <t>State Aid Road Construction</t>
  </si>
  <si>
    <t>State Bd Of Physical Therapy</t>
  </si>
  <si>
    <t>State Dental Examiners Board</t>
  </si>
  <si>
    <t>State Dept Of Health</t>
  </si>
  <si>
    <t>State Fire Academy</t>
  </si>
  <si>
    <t>State Ins Dept/Fire Marshall</t>
  </si>
  <si>
    <t>State Line Town Of</t>
  </si>
  <si>
    <t>State Soil/Water Consv Comm.</t>
  </si>
  <si>
    <t>State Veterans Affairs Board</t>
  </si>
  <si>
    <t>Stone Co Bd Of Ed</t>
  </si>
  <si>
    <t>Stone County Utility Authority</t>
  </si>
  <si>
    <t>Stone County Bd Of Supr</t>
  </si>
  <si>
    <t>Stone County Soil And Water</t>
  </si>
  <si>
    <t>Stonewall Town Of</t>
  </si>
  <si>
    <t>Sturgis Town Of</t>
  </si>
  <si>
    <t>Summit Housing Authority</t>
  </si>
  <si>
    <t>Summit Town Of</t>
  </si>
  <si>
    <t>Sumner City Of</t>
  </si>
  <si>
    <t>Sumrall Town Of</t>
  </si>
  <si>
    <t>Sunflower City Of</t>
  </si>
  <si>
    <t>Sunflower Co Bd Supr</t>
  </si>
  <si>
    <t>Sunflower Co Library</t>
  </si>
  <si>
    <t>Sunflower Co Soil &amp; Water Cons</t>
  </si>
  <si>
    <t>Sunflower County Consolidated</t>
  </si>
  <si>
    <t>Supreme Court</t>
  </si>
  <si>
    <t>Sw MS Community College</t>
  </si>
  <si>
    <t>Sw MS Ment Hlth &amp; Rtd Comm Reg</t>
  </si>
  <si>
    <t>Tallahatchie Co Bd Of Supr</t>
  </si>
  <si>
    <t>Tallahatchie Co Library</t>
  </si>
  <si>
    <t>Tallahatchie Co Soil &amp; Water</t>
  </si>
  <si>
    <t>Tate Co Bd Of Ed</t>
  </si>
  <si>
    <t>Tate Co Bd Of Supr</t>
  </si>
  <si>
    <t>Taylorsville Town Of</t>
  </si>
  <si>
    <t>Tchula Town Of</t>
  </si>
  <si>
    <t>Tennessee-Tombigbee Waterway</t>
  </si>
  <si>
    <t>Terry Town Of</t>
  </si>
  <si>
    <t>Tippah Co Bos/Ch Clerk</t>
  </si>
  <si>
    <t>Tippah County Hospital</t>
  </si>
  <si>
    <t>Tishomingo Co Bd Of Supr</t>
  </si>
  <si>
    <t>Tishomingo Co Mun Sep Schools</t>
  </si>
  <si>
    <t>Tishomingo Town Of</t>
  </si>
  <si>
    <t>Tombigbee Regional Library</t>
  </si>
  <si>
    <t>Tombigbee River Val Water Mgt</t>
  </si>
  <si>
    <t>Town Of Algoma</t>
  </si>
  <si>
    <t>Town Of Blue Mountain</t>
  </si>
  <si>
    <t>Town Of Chunky</t>
  </si>
  <si>
    <t>Town Of Dlo</t>
  </si>
  <si>
    <t>Town Of Farmington</t>
  </si>
  <si>
    <t>Town Of French Camp</t>
  </si>
  <si>
    <t>Town Of Golden</t>
  </si>
  <si>
    <t>Town Of Jonestown</t>
  </si>
  <si>
    <t>Town Of Mayersville</t>
  </si>
  <si>
    <t>Town Of Metcalfe</t>
  </si>
  <si>
    <t>Town Of Polkville</t>
  </si>
  <si>
    <t>Town Of Renova</t>
  </si>
  <si>
    <t>Town Of Rienzi</t>
  </si>
  <si>
    <t>Town Of Sallis</t>
  </si>
  <si>
    <t>Town Of Sandersville</t>
  </si>
  <si>
    <t>Town Of Woodland</t>
  </si>
  <si>
    <t>Treasury Department</t>
  </si>
  <si>
    <t>Tremont Town Of</t>
  </si>
  <si>
    <t>Trial Judges And Staff</t>
  </si>
  <si>
    <t>Tunica Co Airport Comm</t>
  </si>
  <si>
    <t>Tunica Co Bd Of Ed</t>
  </si>
  <si>
    <t>Tunica Co Bd Of Supr</t>
  </si>
  <si>
    <t>Tunica County Healthcare Authority</t>
  </si>
  <si>
    <t>Tunica County Tourism Comm</t>
  </si>
  <si>
    <t>Tunica Town Of</t>
  </si>
  <si>
    <t>Tupelo Airport Authority</t>
  </si>
  <si>
    <t>Tupelo City Of</t>
  </si>
  <si>
    <t>Tupelo Coliseum Commission</t>
  </si>
  <si>
    <t>Tupelo Housing Authority</t>
  </si>
  <si>
    <t>Tupelo Public School Dist</t>
  </si>
  <si>
    <t>Tupelo Water &amp; Light Dept</t>
  </si>
  <si>
    <t>Tutwiler Town Of</t>
  </si>
  <si>
    <t>Tylertown Town Of</t>
  </si>
  <si>
    <t>Union City Of</t>
  </si>
  <si>
    <t>Union Co Bd Of Ed</t>
  </si>
  <si>
    <t>Union Co Bd Of Supr</t>
  </si>
  <si>
    <t>Union Co Soil &amp; Water Consv Dist</t>
  </si>
  <si>
    <t>Union Mun Sep Schools</t>
  </si>
  <si>
    <t>Univ Medical Center</t>
  </si>
  <si>
    <t>University Of Mississippi</t>
  </si>
  <si>
    <t>University Of Southern MS</t>
  </si>
  <si>
    <t>University Press Of Ms Inc</t>
  </si>
  <si>
    <t>Vaiden Town Of</t>
  </si>
  <si>
    <t>Vardaman Town Of</t>
  </si>
  <si>
    <t>Verona Town Of</t>
  </si>
  <si>
    <t>Veterans Home Purchase Board</t>
  </si>
  <si>
    <t>Vicksburg Bridge Comm</t>
  </si>
  <si>
    <t>Vicksburg City Of</t>
  </si>
  <si>
    <t>Vicksburg Conven &amp; Vis Bureau</t>
  </si>
  <si>
    <t>Vicksburg Housing Authority</t>
  </si>
  <si>
    <t>Vicksburg/Warren School Dist</t>
  </si>
  <si>
    <t>Walnut Grove Town Of</t>
  </si>
  <si>
    <t>Walnut Town Of</t>
  </si>
  <si>
    <t>Walthall Co Bd Of Supr</t>
  </si>
  <si>
    <t>Walthall Co Soil &amp; Water Consv</t>
  </si>
  <si>
    <t>Walthall County Schools</t>
  </si>
  <si>
    <t>Walthall Village Of</t>
  </si>
  <si>
    <t>Warren Co Bd Of Supr</t>
  </si>
  <si>
    <t>Warren Co Soil &amp; Water Consv Dist</t>
  </si>
  <si>
    <t>Washington Co Bd Of Supr</t>
  </si>
  <si>
    <t>Washington Co Library</t>
  </si>
  <si>
    <t>Water Valley City Of</t>
  </si>
  <si>
    <t>Water Valley Housing Authority</t>
  </si>
  <si>
    <t>Water Valley School District</t>
  </si>
  <si>
    <t>Waveland City Of</t>
  </si>
  <si>
    <t>Wayne Co Bd Of Ed</t>
  </si>
  <si>
    <t>Wayne Co Bd Of Supr</t>
  </si>
  <si>
    <t>Wayne Co Econ Dev Dist</t>
  </si>
  <si>
    <t>Wayne Co Soil &amp; Water Consv Dist</t>
  </si>
  <si>
    <t>Waynesboro City Of</t>
  </si>
  <si>
    <t>Waynesboro Housing Authority</t>
  </si>
  <si>
    <t>Waynesboro-Wayne Co Library System</t>
  </si>
  <si>
    <t>Webster Co Bd Of Supr</t>
  </si>
  <si>
    <t>Webster County Bd Of Ed</t>
  </si>
  <si>
    <t>Weems Comm Mental Health Center</t>
  </si>
  <si>
    <t>Weir Town Of</t>
  </si>
  <si>
    <t>Wesson Town Of</t>
  </si>
  <si>
    <t>West Bolivar Consolidated School</t>
  </si>
  <si>
    <t>West Jackson Co Util Dist</t>
  </si>
  <si>
    <t>West Jasper School Dist</t>
  </si>
  <si>
    <t>West Point City Of</t>
  </si>
  <si>
    <t>West Point Consolidated School</t>
  </si>
  <si>
    <t>West Point Electric System</t>
  </si>
  <si>
    <t>West Point Housing Authority</t>
  </si>
  <si>
    <t>West Point Water Department</t>
  </si>
  <si>
    <t>West Rankin Utility Authority</t>
  </si>
  <si>
    <t>West Tallahatchie School Dist</t>
  </si>
  <si>
    <t>West Town Of</t>
  </si>
  <si>
    <t>Western Line School Dist</t>
  </si>
  <si>
    <t>Wiggins Town Of</t>
  </si>
  <si>
    <t>Wildlife Fisheries And Parks</t>
  </si>
  <si>
    <t>Wilkinson Co Bd Of Ed</t>
  </si>
  <si>
    <t>Wilkinson Co Bd Supr</t>
  </si>
  <si>
    <t>Wilkinson County Library System</t>
  </si>
  <si>
    <t>Winona City Of</t>
  </si>
  <si>
    <t>Winona Housing Authority</t>
  </si>
  <si>
    <t>Winona-Montgomery Consolidated</t>
  </si>
  <si>
    <t>Winston Co Bd Of Supr</t>
  </si>
  <si>
    <t>Winston Co Economic Dev Dist</t>
  </si>
  <si>
    <t>Winston Co Soil Conser Dist</t>
  </si>
  <si>
    <t>Woodville Town Of</t>
  </si>
  <si>
    <t>Workers' Compensation</t>
  </si>
  <si>
    <t>Yalobusha Co Bd Of Supr</t>
  </si>
  <si>
    <t>Yalobusha Co Library System</t>
  </si>
  <si>
    <t>Yalobusha Water &amp; Sewer District</t>
  </si>
  <si>
    <t>Yazoo City City Of</t>
  </si>
  <si>
    <t>Yazoo City Housing Authority</t>
  </si>
  <si>
    <t>Yazoo City Mun Sep Schools</t>
  </si>
  <si>
    <t>Yazoo City Public Serv Comm</t>
  </si>
  <si>
    <t>Yazoo Co Bd Of Ed</t>
  </si>
  <si>
    <t>Yazoo Co Bd Of Supr</t>
  </si>
  <si>
    <t>Yazoo Co Conv &amp; Vis Bureau</t>
  </si>
  <si>
    <t>Yazoo Co Soil &amp; Water Conserv</t>
  </si>
  <si>
    <t>Yazoo Library Assoc</t>
  </si>
  <si>
    <t>Yazoo Recreation Commission</t>
  </si>
  <si>
    <t>Yazoo-Ms Delta Joint Water Mgm</t>
  </si>
  <si>
    <t>Yellow Creek Port Authority</t>
  </si>
  <si>
    <t>GASB 68 Figure</t>
  </si>
  <si>
    <t>Summed Amount</t>
  </si>
  <si>
    <t>Check</t>
  </si>
  <si>
    <t>Bay St Louis‐Waveland Schl Dis</t>
  </si>
  <si>
    <t>Columbus‐Lowndes Public Library</t>
  </si>
  <si>
    <t>Copiah‐Lincoln Community College</t>
  </si>
  <si>
    <t>Corinth‐Alcorn Airport Bd</t>
  </si>
  <si>
    <t>Corinth‐Alcorn Co Rec. Commission</t>
  </si>
  <si>
    <t>Corinth‐Alcorn Conv &amp; Agri</t>
  </si>
  <si>
    <t>Greenwood‐LeFlore Consol. SD.</t>
  </si>
  <si>
    <t>Greenwood‐Leflore Public Libra</t>
  </si>
  <si>
    <t>Gulfport‐Biloxi Airport Author</t>
  </si>
  <si>
    <t>Hattiesburg‐Petal‐Forrest Library</t>
  </si>
  <si>
    <t>Holmes Co Soil &amp; Water Consv Div</t>
  </si>
  <si>
    <t>Jackson‐George Reg Library Sys</t>
  </si>
  <si>
    <t>Kemper‐Newton Co Reg Library</t>
  </si>
  <si>
    <t>Laurel‐Jones County Library</t>
  </si>
  <si>
    <t>Lee‐Itawamba Co Library System</t>
  </si>
  <si>
    <t>Lincoln‐Lawrence‐Franklin</t>
  </si>
  <si>
    <t>Madison Co ‐ Canton Public Library</t>
  </si>
  <si>
    <t>Marks‐Quitman County Library</t>
  </si>
  <si>
    <t>Medicaid Div‐Office Of Governo</t>
  </si>
  <si>
    <t>Meridian‐Lauderdale Co Library</t>
  </si>
  <si>
    <t>Mid‐Ms Development District</t>
  </si>
  <si>
    <t>Natchez‐Adams County Port Comm</t>
  </si>
  <si>
    <t>Natchez‐Adams School Dist</t>
  </si>
  <si>
    <t>Nursing Home Admin Board‐Direc</t>
  </si>
  <si>
    <t>Oxford Electric Department</t>
  </si>
  <si>
    <t>Philadelphia‐Neshoba Co Park</t>
  </si>
  <si>
    <t>Pike‐Amite‐Walthall Co Library</t>
  </si>
  <si>
    <t>Pontotoc Co Soil &amp; Water Consv</t>
  </si>
  <si>
    <t>Prentiss Co Soil &amp; Water Consv</t>
  </si>
  <si>
    <t>Rankin Co Human Resource Agency</t>
  </si>
  <si>
    <t>Rankin‐Hinds Pearl River Flood</t>
  </si>
  <si>
    <t>Rosedale‐Bolivar Co Port Comm</t>
  </si>
  <si>
    <t>Sharkey‐Issaquena Co Library</t>
  </si>
  <si>
    <t>Tennessee‐Tombigbee Waterway</t>
  </si>
  <si>
    <t>Waynesboro‐Wayne Co Library System</t>
  </si>
  <si>
    <t>Winona‐Montgomery Consolidated</t>
  </si>
  <si>
    <t>Yazoo Co Conv &amp;Vis Bureau</t>
  </si>
  <si>
    <t>Yazoo‐Ms Delta Joint Water Mgm</t>
  </si>
  <si>
    <t>Employer</t>
  </si>
  <si>
    <t>employer_allocation</t>
  </si>
  <si>
    <t>Year</t>
  </si>
  <si>
    <t>George Co Soil &amp; Water Consv District</t>
  </si>
  <si>
    <t>Mental Health &amp; Retd Comm Reg</t>
  </si>
  <si>
    <t>MS Real Estate Appraiser Licen</t>
  </si>
  <si>
    <t>Chickasaw Co Bd Of Ed</t>
  </si>
  <si>
    <t>Fair Commission</t>
  </si>
  <si>
    <t>Houston Mun Sep Schools</t>
  </si>
  <si>
    <t>Lauderdale Co Soil &amp; Water Con</t>
  </si>
  <si>
    <t>MS Prison Industries Corp</t>
  </si>
  <si>
    <t>Adams Co Board Of Supervisors Chancery</t>
  </si>
  <si>
    <t>Alcorn Co Bd Of Education</t>
  </si>
  <si>
    <t>Alcorn Co Bd Of Supervisors</t>
  </si>
  <si>
    <t>Alcorn State University</t>
  </si>
  <si>
    <t>Amite Co Bd Of Education</t>
  </si>
  <si>
    <t>Amite Co Bd Of Supervisors</t>
  </si>
  <si>
    <t>Attala Co Bd Of Education</t>
  </si>
  <si>
    <t>Attala Co Bd Of Supervisors</t>
  </si>
  <si>
    <t>Bay St Louis-Waveland Schl District</t>
  </si>
  <si>
    <t>Benton Co Bd Of Education</t>
  </si>
  <si>
    <t>Benton Co Bd Of Supervisors</t>
  </si>
  <si>
    <t>Bogue Phalia Drainage District</t>
  </si>
  <si>
    <t>Bolivar Co Bd Of Supervisors</t>
  </si>
  <si>
    <t>Bolivar Co S/ W Consv District</t>
  </si>
  <si>
    <t>Calhoun Co Bd Of Supervisors</t>
  </si>
  <si>
    <t>Canton Redevelopment Authority</t>
  </si>
  <si>
    <t>Carroll Co Bd Of Education</t>
  </si>
  <si>
    <t>Carroll Co Bd Of Supervisors</t>
  </si>
  <si>
    <t>Central Ms Regional Library Sy</t>
  </si>
  <si>
    <t>Chickasaw Co Bd Of Education</t>
  </si>
  <si>
    <t>Chickasaw Co Bd Of Supervisors</t>
  </si>
  <si>
    <t>Chickasawhay Natural Gas District</t>
  </si>
  <si>
    <t>Choctaw Co Bd Of Education</t>
  </si>
  <si>
    <t>Choctaw Co Economic Dev District</t>
  </si>
  <si>
    <t>Claiborne Co Bd Of Education</t>
  </si>
  <si>
    <t>Claiborne Co Bd Of Supervisors</t>
  </si>
  <si>
    <t>Claiborne County Human Resourc</t>
  </si>
  <si>
    <t>Clarke Co Bd Of Supervisors</t>
  </si>
  <si>
    <t>Clay Co Bd Of Supervisors</t>
  </si>
  <si>
    <t>Coahoma Co Bd Of Education</t>
  </si>
  <si>
    <t>Coahoma Co Bd Of Supervisors</t>
  </si>
  <si>
    <t>Coast Coliseum &amp; Convention Center</t>
  </si>
  <si>
    <t>Columbus Light &amp; Water Departm</t>
  </si>
  <si>
    <t>Copiah Co Bd Of Education</t>
  </si>
  <si>
    <t>Corinth-Alcorn Conv &amp;Agri</t>
  </si>
  <si>
    <t>Covington Co Bd Of Education</t>
  </si>
  <si>
    <t>Covington Co Library System</t>
  </si>
  <si>
    <t>Desoto Co Bd Of Education</t>
  </si>
  <si>
    <t>Desoto Co Bd Of Supervisors</t>
  </si>
  <si>
    <t>Desoto Co Conv &amp; Vis Bureau</t>
  </si>
  <si>
    <t>Desoto Co Reg Util Authority</t>
  </si>
  <si>
    <t>Desoto County Soil&amp;Water Conservatory</t>
  </si>
  <si>
    <t>East Tallahatchie School District</t>
  </si>
  <si>
    <t>Ellisville State School</t>
  </si>
  <si>
    <t>Field Memorial Community Hospi</t>
  </si>
  <si>
    <t>Forrest Co Bd Of Education</t>
  </si>
  <si>
    <t>Forrest Co Bd Of Supervisors</t>
  </si>
  <si>
    <t>Franklin Co Bd Of Education</t>
  </si>
  <si>
    <t>Franklin Co Bd Of Supervisors</t>
  </si>
  <si>
    <t>George Co Bd Of Supervisors</t>
  </si>
  <si>
    <t>George County Bd Of Education</t>
  </si>
  <si>
    <t>Golden Triangle Regional Airpo</t>
  </si>
  <si>
    <t>Grand Gulf Military Monument Committee</t>
  </si>
  <si>
    <t>Greene Co Bd Of Education</t>
  </si>
  <si>
    <t>Greene Co Bd Of Supervisors</t>
  </si>
  <si>
    <t>Greenwood Mun Sep Schools</t>
  </si>
  <si>
    <t>Greenwood-Leflore Public Library</t>
  </si>
  <si>
    <t>Grenada Co Bd Of Supervisors</t>
  </si>
  <si>
    <t>Grenada Co Soil&amp;Water Conservatory</t>
  </si>
  <si>
    <t>Gulfport-Biloxi Airport Authority</t>
  </si>
  <si>
    <t>Hancock Co Bd Of Education</t>
  </si>
  <si>
    <t>Hancock Co Bd Of Supervisors</t>
  </si>
  <si>
    <t>Hancock Co Water &amp; Sewer District</t>
  </si>
  <si>
    <t>Harrison Co Bd Of Education</t>
  </si>
  <si>
    <t>Harrison Co Bd Of Supervisors</t>
  </si>
  <si>
    <t>Hattiesburg Public School District</t>
  </si>
  <si>
    <t>Hattiesburg-Petal-Forrest Libr</t>
  </si>
  <si>
    <t>Hinds Co Bd Of Education</t>
  </si>
  <si>
    <t>Hinds Co Soil &amp; Water Consv District</t>
  </si>
  <si>
    <t>Holly Springs City</t>
  </si>
  <si>
    <t>Holmes Co Bd Of Supervisors</t>
  </si>
  <si>
    <t>Holmes Co Soil &amp; Water Consv</t>
  </si>
  <si>
    <t>Holmes County Consolidated Sch</t>
  </si>
  <si>
    <t>House Of Representatives</t>
  </si>
  <si>
    <t>Humphreys Co Bd Of Education</t>
  </si>
  <si>
    <t>Humphreys Co Bd Of Supervisors</t>
  </si>
  <si>
    <t>Issaquena Co Bd Supervisors</t>
  </si>
  <si>
    <t>Itawamba Co Bd Of Education</t>
  </si>
  <si>
    <t>Itawamba Co Bd Of Supervisors</t>
  </si>
  <si>
    <t>Itawamba Co Soil &amp; Water Consveratory</t>
  </si>
  <si>
    <t>Jackson Co Bd Of Education</t>
  </si>
  <si>
    <t>Jackson Co Bd Of Supervisors</t>
  </si>
  <si>
    <t>Jackson Municipal Airport Authority</t>
  </si>
  <si>
    <t>Jackson State University</t>
  </si>
  <si>
    <t>Jasper Co Bd Of Supervisors</t>
  </si>
  <si>
    <t>Jeff Davis Co Bd Of Supervisors</t>
  </si>
  <si>
    <t>Jefferson Co Bd Of Education</t>
  </si>
  <si>
    <t>Jefferson Co Bd Of Supervisors</t>
  </si>
  <si>
    <t>Joint Legislative Budget Committee</t>
  </si>
  <si>
    <t>Jones Co Bd Of Supervisors</t>
  </si>
  <si>
    <t>Judicial Performance Commissioner</t>
  </si>
  <si>
    <t>Kemper Co Bd Of Education</t>
  </si>
  <si>
    <t>Kemper Co Bd Of Supervisors</t>
  </si>
  <si>
    <t>Kosciusko Water &amp; Light Department</t>
  </si>
  <si>
    <t>Lafayette Co Bd Of Education</t>
  </si>
  <si>
    <t>Lafayette Co Bd Of Supervisors</t>
  </si>
  <si>
    <t>Lamar Co Bd Of Education</t>
  </si>
  <si>
    <t>Lamar Co Soil &amp; Water Consv District</t>
  </si>
  <si>
    <t>Lamar County Bd Of Supervisors</t>
  </si>
  <si>
    <t>Lauderdale Co Bd Of Education</t>
  </si>
  <si>
    <t>Lauderdale Co Bd Of Supervisors</t>
  </si>
  <si>
    <t>Lawrence Co Bd Of Education</t>
  </si>
  <si>
    <t>Lawrence Co Bd Of Supervisors</t>
  </si>
  <si>
    <t>Leake Co Bd Of Education</t>
  </si>
  <si>
    <t>Leake Co Bd Of Supervisors</t>
  </si>
  <si>
    <t>Lee County Bd Of Education</t>
  </si>
  <si>
    <t>Leflore Co Bd Of Education</t>
  </si>
  <si>
    <t>Leflore Co Bd Of Supervisors</t>
  </si>
  <si>
    <t>Legislative Reapportionment</t>
  </si>
  <si>
    <t>Leland School District</t>
  </si>
  <si>
    <t>Lincoln Co Bd Of Education</t>
  </si>
  <si>
    <t>Lincoln Co Bd Of Supervisors</t>
  </si>
  <si>
    <t>Lowndes Co Bd Of Education</t>
  </si>
  <si>
    <t>Lowndes Co Bd Of Supervisors</t>
  </si>
  <si>
    <t>Macon Electric &amp; Water Department</t>
  </si>
  <si>
    <t>Madison Co - Canton Public Lib</t>
  </si>
  <si>
    <t>Madison Co Bd Of Supervisors</t>
  </si>
  <si>
    <t>Madison Co Board Of Education</t>
  </si>
  <si>
    <t>Madison Co Econ Devl Authority</t>
  </si>
  <si>
    <t>Madison Co Soil &amp; Water Conservatory</t>
  </si>
  <si>
    <t>Magnolia Regional Health Center</t>
  </si>
  <si>
    <t>Marion Co Bd Of Education</t>
  </si>
  <si>
    <t>Marion Co Bd Of Supervisors</t>
  </si>
  <si>
    <t>Marion Co Soil &amp; Water Consv District</t>
  </si>
  <si>
    <t>Marshall Co Bd Of Education</t>
  </si>
  <si>
    <t>Marshall Co Bd Of Supervisors</t>
  </si>
  <si>
    <t>Medicaid Div-Office Of Governor</t>
  </si>
  <si>
    <t>Miss Community College Board</t>
  </si>
  <si>
    <t>Monroe Co Bd Of Education</t>
  </si>
  <si>
    <t>Monroe Co Bd Of Supervisors</t>
  </si>
  <si>
    <t>Montgomery Co Bd Of Supervisors</t>
  </si>
  <si>
    <t>Ms Bd Of Geologists</t>
  </si>
  <si>
    <t>Ms Board Of Nursing</t>
  </si>
  <si>
    <t>Ms Business Finance Corp</t>
  </si>
  <si>
    <t>Ms Capital Post Convict</t>
  </si>
  <si>
    <t>Ms Charter School Authorizer</t>
  </si>
  <si>
    <t>Ms Delta Community College</t>
  </si>
  <si>
    <t>Ms Dept Of Marine Resources</t>
  </si>
  <si>
    <t>Ms Dept Of Transportation</t>
  </si>
  <si>
    <t>Ms Gaming Commission</t>
  </si>
  <si>
    <t>Ms Gulf Coast Community College</t>
  </si>
  <si>
    <t>Ms Highway Safety Patrol</t>
  </si>
  <si>
    <t>Ms Library Commission</t>
  </si>
  <si>
    <t>Ms Office Of The State Auditor</t>
  </si>
  <si>
    <t>Ms Prison Industries Corp</t>
  </si>
  <si>
    <t>Ms Real Estate Appraiser License</t>
  </si>
  <si>
    <t>Ms Regional Housing Auth No V</t>
  </si>
  <si>
    <t>Ms Regional Housing Auth No VI</t>
  </si>
  <si>
    <t>Ms Regional Housing Auth No VII</t>
  </si>
  <si>
    <t>Ms Regional Housing Auth No. 6</t>
  </si>
  <si>
    <t>Ms Regional Housing Auth No. IV</t>
  </si>
  <si>
    <t>Ms State Bd Of Pharmacy</t>
  </si>
  <si>
    <t>Ms State Board Of Contractors</t>
  </si>
  <si>
    <t>Ms State Personnel Board</t>
  </si>
  <si>
    <t>Ms University For Women</t>
  </si>
  <si>
    <t>Ms Valley State University</t>
  </si>
  <si>
    <t>Mun Energy Agency Of Ms</t>
  </si>
  <si>
    <t>NE MS Regional Water Supply District</t>
  </si>
  <si>
    <t>Neshoba Co Bd Of Education</t>
  </si>
  <si>
    <t>Neshoba Co Soil Consv District</t>
  </si>
  <si>
    <t>Newton Co Bd Of Education</t>
  </si>
  <si>
    <t>Newton Co Bd Of Supervisors</t>
  </si>
  <si>
    <t>North Panola School District</t>
  </si>
  <si>
    <t>North Pike School District</t>
  </si>
  <si>
    <t>Noxubee Co Bd Of Education</t>
  </si>
  <si>
    <t>Noxubee Co Bd Of Supervisors</t>
  </si>
  <si>
    <t>Nursing Home Admin Board-Director</t>
  </si>
  <si>
    <t>Ocean Springs School District</t>
  </si>
  <si>
    <t>Okolona Electric Department</t>
  </si>
  <si>
    <t>Oktibbeha Co Library System</t>
  </si>
  <si>
    <t>Panola Co Bd Of Supervisors</t>
  </si>
  <si>
    <t>Panola Co Soil &amp; Water Consvervatory District</t>
  </si>
  <si>
    <t>Pat Harrison Waterway District</t>
  </si>
  <si>
    <t>Pearl River Co Bd Education</t>
  </si>
  <si>
    <t>Perry Co Bd Of Education</t>
  </si>
  <si>
    <t>Perry Co Bd Of Supervisors</t>
  </si>
  <si>
    <t>Pontotoc Co Bd Of Education</t>
  </si>
  <si>
    <t>Pontotoc Co Bd Of Supervisors</t>
  </si>
  <si>
    <t>Port Authority Of MS</t>
  </si>
  <si>
    <t>Prentiss Co Bd Of Education</t>
  </si>
  <si>
    <t>Prentiss Co Bd Of Supervisors</t>
  </si>
  <si>
    <t>Public Service Community</t>
  </si>
  <si>
    <t>Quitman Co Bd Of Education</t>
  </si>
  <si>
    <t>Quitman Co Bd Of Supervisors</t>
  </si>
  <si>
    <t>Rankin Co Bd Of Education</t>
  </si>
  <si>
    <t>Rankin Co Bd Of Supervisors</t>
  </si>
  <si>
    <t>Reservoir Fire Protection District</t>
  </si>
  <si>
    <t>Runnelstown Util District</t>
  </si>
  <si>
    <t>Scott Co Bd Of Education</t>
  </si>
  <si>
    <t>Scott Co Bd Of Supervisors</t>
  </si>
  <si>
    <t>Sharkey Co Bd Of Supervisors</t>
  </si>
  <si>
    <t>Simpson Co Bd Of Education</t>
  </si>
  <si>
    <t>Simpson Co Bd Of Supervisors</t>
  </si>
  <si>
    <t>Smith Co Bd Of Education</t>
  </si>
  <si>
    <t>Smith Co Bd Of Supervisors</t>
  </si>
  <si>
    <t>South Madison Cty Fire Pro District</t>
  </si>
  <si>
    <t>South Ms Regional Center</t>
  </si>
  <si>
    <t>South Panola School District</t>
  </si>
  <si>
    <t>South Tippah School District</t>
  </si>
  <si>
    <t>Starkville Oktibbeha Con Schoo</t>
  </si>
  <si>
    <t>Stone Co Bd Of Education</t>
  </si>
  <si>
    <t>Stone County Bd Of Superviosrs</t>
  </si>
  <si>
    <t>Sunflower Co Bd Supervisors</t>
  </si>
  <si>
    <t>Sw Ms Community College</t>
  </si>
  <si>
    <t>Sw Ms Ment Hlth &amp; Rtd Comm Reg</t>
  </si>
  <si>
    <t>Tallahatchie Co Bd Of Supervisors</t>
  </si>
  <si>
    <t>Tate Co Bd Of Education</t>
  </si>
  <si>
    <t>Tishomingo Co Bd Of Supervisors</t>
  </si>
  <si>
    <t>Tunica Co Airport Commision</t>
  </si>
  <si>
    <t>Tunica Co Bd Of Education</t>
  </si>
  <si>
    <t>Tunica County Tourism Commission</t>
  </si>
  <si>
    <t>Tupelo Public School District</t>
  </si>
  <si>
    <t>Tupelo Water &amp; Light Department</t>
  </si>
  <si>
    <t>Union Co Bd Of Education</t>
  </si>
  <si>
    <t>Union Co Bd Of Supervisors</t>
  </si>
  <si>
    <t>Union Co Soil &amp; Water Consv District</t>
  </si>
  <si>
    <t>Vicksburg/Warren School District</t>
  </si>
  <si>
    <t>Walthall Co Bd Of Supervisors</t>
  </si>
  <si>
    <t>Warren Co Soil &amp; Water Consv District</t>
  </si>
  <si>
    <t>Warren County Park Commission</t>
  </si>
  <si>
    <t>Washington Co Bd Of Supervisors</t>
  </si>
  <si>
    <t>Wayne Co Bd Of Education</t>
  </si>
  <si>
    <t>Wayne Co Bd Of Supervisors</t>
  </si>
  <si>
    <t>Wayne Co Econ Dev District</t>
  </si>
  <si>
    <t>Wayne Co Soil &amp; Water Consv District</t>
  </si>
  <si>
    <t>Webster Co Bd Of Supervisors</t>
  </si>
  <si>
    <t>Webster County Bd Of Education</t>
  </si>
  <si>
    <t>West Bolivar Consolidated Scho</t>
  </si>
  <si>
    <t>West Jackson Co Util District</t>
  </si>
  <si>
    <t>West Jasper School District</t>
  </si>
  <si>
    <t>West Tallahatchie School District</t>
  </si>
  <si>
    <t>Western Line School District</t>
  </si>
  <si>
    <t>Wilkinson Co Bd Of Education</t>
  </si>
  <si>
    <t>Wilkinson Co Bd Supervisors</t>
  </si>
  <si>
    <t>Winston Co Bd Of Supervisors</t>
  </si>
  <si>
    <t>Winston Co Economic Dev District</t>
  </si>
  <si>
    <t>Winston Co Soil Conser District</t>
  </si>
  <si>
    <t>Yalobusha Co Bd Of Supervisors</t>
  </si>
  <si>
    <t>Yazoo City Public Serv Community</t>
  </si>
  <si>
    <t>employer_contributions</t>
  </si>
  <si>
    <t>district_name</t>
  </si>
  <si>
    <t>LEAID</t>
  </si>
  <si>
    <t>ABERDEEN CITY OF</t>
  </si>
  <si>
    <t>ABERDEEN MUN SEP SCHOOLS</t>
  </si>
  <si>
    <t>ACKERMAN CITY OF</t>
  </si>
  <si>
    <t>ADAMS CO AIRPORT COMMISSION</t>
  </si>
  <si>
    <t>ADAMS CO BD OF SUPR CHANCERY CLK</t>
  </si>
  <si>
    <t>ADAMS CO SOIL &amp; WATER CONSV DIST</t>
  </si>
  <si>
    <t>ADMINISTRATIVE OFFICE OF COURTS</t>
  </si>
  <si>
    <t>AGRIC AND COMMERCE DEPT</t>
  </si>
  <si>
    <t>ALCORN CO BD OF ED</t>
  </si>
  <si>
    <t>ALCORN CO BD OF SUPR</t>
  </si>
  <si>
    <t>ALCORN STATE UNIV</t>
  </si>
  <si>
    <t>AMITE CO BD OF ED</t>
  </si>
  <si>
    <t>AMITE CO BD OF SUPR</t>
  </si>
  <si>
    <t>AMORY CITY OF</t>
  </si>
  <si>
    <t>AMORY MUN SEP SCHOOLS</t>
  </si>
  <si>
    <t>AMORY MUNICIPAL LIBRARY</t>
  </si>
  <si>
    <t>ANGUILLA CITY OF</t>
  </si>
  <si>
    <t>ANIMAL HEALTH BOARD</t>
  </si>
  <si>
    <t>ARCHITECTURE BOARD OF MS</t>
  </si>
  <si>
    <t>ARCHIVES &amp; HISTORY DEPT</t>
  </si>
  <si>
    <t>ARCOLA TOWN OF</t>
  </si>
  <si>
    <t>ARTESIA TOWN OF</t>
  </si>
  <si>
    <t>ARTS COMMISSION OF MISSISSIPPI</t>
  </si>
  <si>
    <t>ASHLAND TOWN OF</t>
  </si>
  <si>
    <t>ATTALA CO BD OF ED</t>
  </si>
  <si>
    <t>ATTALA CO BD OF SUPR</t>
  </si>
  <si>
    <t>ATTALA CO HOUSING AUTHORITY</t>
  </si>
  <si>
    <t>ATTORNEY GENERALS OFFICE</t>
  </si>
  <si>
    <t>BALDWYN CITY OF</t>
  </si>
  <si>
    <t>BALDWYN HOUSING AUTHORITY</t>
  </si>
  <si>
    <t>BALDWYN MUN SEP SCHOOLS</t>
  </si>
  <si>
    <t>BANKING AND CONSUMER FINANCE</t>
  </si>
  <si>
    <t>BARBER EXAMINERS BOARD</t>
  </si>
  <si>
    <t>BASSFIELD TOWN OF</t>
  </si>
  <si>
    <t>BATESVILLE CITY OF</t>
  </si>
  <si>
    <t>BAY SPRINGS CITY OF</t>
  </si>
  <si>
    <t>BAY ST LOUIS CITY OF</t>
  </si>
  <si>
    <t>BAY ST LOUIS-WAVELAND SCHL DIST</t>
  </si>
  <si>
    <t>BAY WAVELAND HOUSING AUTHORITY</t>
  </si>
  <si>
    <t>BD OF SOCIAL WORKERS &amp; FAMILY THERAPISTS</t>
  </si>
  <si>
    <t>BEAUMONT TOWN OF</t>
  </si>
  <si>
    <t>BELMONT TOWN OF</t>
  </si>
  <si>
    <t>BELZONI CITY OF</t>
  </si>
  <si>
    <t>BENOIT CITY OF</t>
  </si>
  <si>
    <t>BENTON CO BD OF ED</t>
  </si>
  <si>
    <t>BENTON CO BD OF SUPR</t>
  </si>
  <si>
    <t>BENTON COUNTY LIBRARY SYSTEM</t>
  </si>
  <si>
    <t>BENTONIA TOWN OF</t>
  </si>
  <si>
    <t>BILOXI CITY OF</t>
  </si>
  <si>
    <t>BILOXI HOUSING AUTHORITY</t>
  </si>
  <si>
    <t>BILOXI MUN SEP SCHOOLS</t>
  </si>
  <si>
    <t>BOARD OF EXAMINERS FOR LPC'S</t>
  </si>
  <si>
    <t>BOARD OF FUNERAL SERVICES</t>
  </si>
  <si>
    <t>BOARD OF OPTOMETRY</t>
  </si>
  <si>
    <t>BOARD OF TAX APPEALS</t>
  </si>
  <si>
    <t>BOGUE PHALIA DRAINAGE DIST</t>
  </si>
  <si>
    <t>BOLIVAR CO BD OF SUPR</t>
  </si>
  <si>
    <t>BOLIVAR CO S/ W CONSV DIS</t>
  </si>
  <si>
    <t>BOLIVAR COUNTY LIBRARY</t>
  </si>
  <si>
    <t>BOONEVILLE CITY OF</t>
  </si>
  <si>
    <t>BOONEVILLE GAS &amp; WATER SYSTEM</t>
  </si>
  <si>
    <t>BOONEVILLE HOUSING AUTHORITY</t>
  </si>
  <si>
    <t>BOONEVILLE MUN SEP SCHOOLS</t>
  </si>
  <si>
    <t>BOSWELL RETARDATION CENTER</t>
  </si>
  <si>
    <t>BOYLE TOWN OF</t>
  </si>
  <si>
    <t>BRANDON CITY OF</t>
  </si>
  <si>
    <t>BROOKHAVEN CITY OF</t>
  </si>
  <si>
    <t>BROOKHAVEN MUN SEP SCHOOLS</t>
  </si>
  <si>
    <t>BROOKHAVEN PARK &amp; RECREATION</t>
  </si>
  <si>
    <t>BROOKSVILLE TOWN OF</t>
  </si>
  <si>
    <t>BRUCE TOWN OF</t>
  </si>
  <si>
    <t>BUDE TOWN OF</t>
  </si>
  <si>
    <t>BUREAU OF NARCOTICS</t>
  </si>
  <si>
    <t>BURNSVILLE TOWN OF</t>
  </si>
  <si>
    <t>BYHALIA TOWN OF</t>
  </si>
  <si>
    <t>CALEDONIA NATURAL GAS DISTRICT</t>
  </si>
  <si>
    <t>CALEDONIA TOWN OF</t>
  </si>
  <si>
    <t>CALHOUN CITY</t>
  </si>
  <si>
    <t>CALHOUN CO BD OF ED</t>
  </si>
  <si>
    <t>CALHOUN CO BD OF SUPR</t>
  </si>
  <si>
    <t>CALHOUN CO SOIL &amp; WATER CONSV DIST</t>
  </si>
  <si>
    <t>CANTON CITY OF</t>
  </si>
  <si>
    <t>CANTON CONVENTION &amp; VISITORS BUREAU</t>
  </si>
  <si>
    <t>CANTON HOUSING AUTHORITY</t>
  </si>
  <si>
    <t>CANTON MUN SEP SCHOOLS</t>
  </si>
  <si>
    <t>CANTON MUNICIPAL UTILITIES</t>
  </si>
  <si>
    <t>CANTON REDEVELOPMENT AUTHORITY</t>
  </si>
  <si>
    <t>CARNEGIE PUBLIC LIBRARY</t>
  </si>
  <si>
    <t>CARROLL CO BD OF ED</t>
  </si>
  <si>
    <t>CARROLL CO BD OF SUPR</t>
  </si>
  <si>
    <t>CARROLL CO LIBRARY SYSTEM</t>
  </si>
  <si>
    <t>CARTHAGE TOWN OF</t>
  </si>
  <si>
    <t>CARY TOWN OF</t>
  </si>
  <si>
    <t>CENTRAL MS REGIONAL LIBRARY SYSTEM</t>
  </si>
  <si>
    <t>CENTRAL MS RESIDENTIAL CENTER</t>
  </si>
  <si>
    <t>CENTREVILLE CITY OF</t>
  </si>
  <si>
    <t>CHARLESTON CITY OF</t>
  </si>
  <si>
    <t>CHICKASAW CO BD OF ED</t>
  </si>
  <si>
    <t>CHICKASAW CO BD OF SUPR</t>
  </si>
  <si>
    <t>CHICKASAWHAY NATURAL GAS DIST</t>
  </si>
  <si>
    <t>CHOCTAW CO BD OF ED</t>
  </si>
  <si>
    <t>CHOCTAW CO BD OF SUPR</t>
  </si>
  <si>
    <t>CHOCTAW CO ECONOMIC DEVELOPMENT DIST</t>
  </si>
  <si>
    <t>CITY OF BYRAM</t>
  </si>
  <si>
    <t>CITY OF GREENVILLE</t>
  </si>
  <si>
    <t>CITY OF GUNTOWN</t>
  </si>
  <si>
    <t>CITY OF PURVIS</t>
  </si>
  <si>
    <t>CLAIBORNE CO BD OF ED</t>
  </si>
  <si>
    <t>CLAIBORNE CO BD OF SUPR</t>
  </si>
  <si>
    <t>CLAIBORNE COUNTY HOSPITAL</t>
  </si>
  <si>
    <t>CLAIBORNE COUNTY HUMAN RESOURCE AGY</t>
  </si>
  <si>
    <t>CLARKE CO BD OF SUPR</t>
  </si>
  <si>
    <t>CLARKSDALE CITY OF</t>
  </si>
  <si>
    <t>CLARKSDALE HOUSING AUTHORITY</t>
  </si>
  <si>
    <t>CLARKSDALE MUN SCHOOLS</t>
  </si>
  <si>
    <t>CLARKSDALE PARK COMMISSION</t>
  </si>
  <si>
    <t>CLARKSDALE PUBLIC UTILITIES</t>
  </si>
  <si>
    <t>CLAY CO BD OF SUPR</t>
  </si>
  <si>
    <t>CLEARY WATER, SEWER, &amp; FIRE DIST</t>
  </si>
  <si>
    <t>CLEVELAND CITY OF</t>
  </si>
  <si>
    <t>CLEVELAND SCHOOL DISTRICT</t>
  </si>
  <si>
    <t>CLINTON CITY OF</t>
  </si>
  <si>
    <t>CLINTON PUBLIC SCHOOL DIST</t>
  </si>
  <si>
    <t>COAHOMA CO BD OF ED</t>
  </si>
  <si>
    <t>COAHOMA CO BD OF SUPR</t>
  </si>
  <si>
    <t>COAHOMA CO SOIL &amp; WATER CONSV DIST</t>
  </si>
  <si>
    <t>COAHOMA COMMUNITY COLLEGE</t>
  </si>
  <si>
    <t>COAST COLISEUM &amp; CONVENTION CENTER</t>
  </si>
  <si>
    <t>COFFEEVILLE SCHOOL DISTRICT</t>
  </si>
  <si>
    <t>COFFEEVILLE TOWN OF</t>
  </si>
  <si>
    <t>COLDWATER TOWN OF</t>
  </si>
  <si>
    <t>COLLINS TOWN OF</t>
  </si>
  <si>
    <t>COLUMBIA CITY OF</t>
  </si>
  <si>
    <t>COLUMBIA MUN SEP SCHOOLS</t>
  </si>
  <si>
    <t>COLUMBUS CITY OF</t>
  </si>
  <si>
    <t>COLUMBUS HOUSING AUTHORITY</t>
  </si>
  <si>
    <t>COLUMBUS LIGHT &amp; WATER DEPARTMENT</t>
  </si>
  <si>
    <t>COLUMBUS MUN SEP SCHOOLS</t>
  </si>
  <si>
    <t>COLUMBUS-LOWNDES CO REC COMM</t>
  </si>
  <si>
    <t>COLUMBUS-LOWNDES PUBLIC LIBRARY</t>
  </si>
  <si>
    <t>COMO TOWN OF</t>
  </si>
  <si>
    <t>COPIAH CO BD OF ED</t>
  </si>
  <si>
    <t>COPIAH CO BD OF SUPR</t>
  </si>
  <si>
    <t>COPIAH COUNTY HUMAN RESOURCE AGENCY</t>
  </si>
  <si>
    <t>COPIAH JEFFERSON LIBRARY</t>
  </si>
  <si>
    <t>COPIAH-LINCOLN COMMUNITY COLLEGE</t>
  </si>
  <si>
    <t>CORINTH CITY OF</t>
  </si>
  <si>
    <t>CORINTH CITY OF WATER DEPARTMENT</t>
  </si>
  <si>
    <t>CORINTH HOUSING AUTHORITY</t>
  </si>
  <si>
    <t>CORINTH MUN SEP SCHOOLS</t>
  </si>
  <si>
    <t>CORINTH-ALCORN AIRPORT BD</t>
  </si>
  <si>
    <t>CORINTH-ALCORN CONV &amp;AGRI</t>
  </si>
  <si>
    <t>CORRECTIONS DEPARTMENT</t>
  </si>
  <si>
    <t>COSMETOLOGY BOARD</t>
  </si>
  <si>
    <t>COVINGTON CO BD OF ED</t>
  </si>
  <si>
    <t>COVINGTON CO BD OF SUPR</t>
  </si>
  <si>
    <t>COVINGTON CO LIBRARY SYS</t>
  </si>
  <si>
    <t>COVINGTON CO SOIL CONSV DIST</t>
  </si>
  <si>
    <t>CRAWFORD TOWN OF</t>
  </si>
  <si>
    <t>CRENSHAW CITY OF</t>
  </si>
  <si>
    <t>CROSBY TOWN OF</t>
  </si>
  <si>
    <t>CRYSTAL SPRINGS CITY OF</t>
  </si>
  <si>
    <t>CULKIN WATER DISTRICT</t>
  </si>
  <si>
    <t>DECATUR CITY OF</t>
  </si>
  <si>
    <t>DEKALB TOWN OF</t>
  </si>
  <si>
    <t>DELTA BLUES MUSEUM</t>
  </si>
  <si>
    <t>DELTA STATE UNIVERSITY</t>
  </si>
  <si>
    <t>DEPARTMENT OF EDUCATION</t>
  </si>
  <si>
    <t>DEPT OF ENVIRONMENTAL QUALITY</t>
  </si>
  <si>
    <t>DEPT OF HUMAN SERVICES</t>
  </si>
  <si>
    <t>DERMA TOWN OF</t>
  </si>
  <si>
    <t>DESOTO CO BD OF ED</t>
  </si>
  <si>
    <t>DESOTO CO BD OF SUPR</t>
  </si>
  <si>
    <t>DESOTO CO CONV &amp; VIS BUR</t>
  </si>
  <si>
    <t>DESOTO CO REG UTIL AUTHOR</t>
  </si>
  <si>
    <t>DESOTO COUNTY SOIL&amp;WATER CONSV DIST</t>
  </si>
  <si>
    <t>DIAMONDHEAD FIRE PROTECTION DIST</t>
  </si>
  <si>
    <t>D'IBERVILLE CITY OF</t>
  </si>
  <si>
    <t>DISTRICT ATTYS &amp; STAFF</t>
  </si>
  <si>
    <t>DIXIE REGIONAL LIBRARY</t>
  </si>
  <si>
    <t>DREW TOWN OF</t>
  </si>
  <si>
    <t>DUCK HILL CITY OF</t>
  </si>
  <si>
    <t>DURANT CITY OF</t>
  </si>
  <si>
    <t>DURANT MUN SCHOOLS</t>
  </si>
  <si>
    <t>EAST CENTRAL COMMUNITY COLLEGE</t>
  </si>
  <si>
    <t>EAST JASPER SCHOOL DISTRICT</t>
  </si>
  <si>
    <t>EAST LEFLORE CO WATER &amp; SEWER DIST</t>
  </si>
  <si>
    <t>EAST MS COMMUNITY COLLEGE</t>
  </si>
  <si>
    <t>EAST MS REGIONAL LIBRARY</t>
  </si>
  <si>
    <t>EAST MS STATE HOSPITAL</t>
  </si>
  <si>
    <t>EAST TALLAHATCHIE SCHOOL DIST</t>
  </si>
  <si>
    <t>ECONOMIC DEV AUTH OF JONES COUNTY</t>
  </si>
  <si>
    <t>ECRU TOWN OF</t>
  </si>
  <si>
    <t>EDUCATIONAL TELEVISION AUTHORITY</t>
  </si>
  <si>
    <t>EDWARDS TOWN OF</t>
  </si>
  <si>
    <t>ELIZABETH JONES LIBRARY</t>
  </si>
  <si>
    <t>ELLISVILLE CITY OF</t>
  </si>
  <si>
    <t>ELLISVILLE ST SCHOOL</t>
  </si>
  <si>
    <t>EMERGENCY MANAGEMENT AGENCY</t>
  </si>
  <si>
    <t>EMERGENCY MANAGEMENT DIST</t>
  </si>
  <si>
    <t>ENTERPRISE SCHOOL DISTRICT</t>
  </si>
  <si>
    <t>ENTERPRISE TOWN OF</t>
  </si>
  <si>
    <t>ETHEL TOWN OF</t>
  </si>
  <si>
    <t>ETHICS COMMISSION</t>
  </si>
  <si>
    <t>EUPORA CITY OF</t>
  </si>
  <si>
    <t>EVANS MEMORIAL LIBRARY</t>
  </si>
  <si>
    <t>FAIR COMMISSION</t>
  </si>
  <si>
    <t>FALKNER TOWN OF</t>
  </si>
  <si>
    <t>FIELD MEMORIAL COMMUNITY HOSPITAL</t>
  </si>
  <si>
    <t>FINANCE AND ADMINISTRATION</t>
  </si>
  <si>
    <t>FIRST REGIONAL LIBRARY</t>
  </si>
  <si>
    <t>FLORA TOWN OF</t>
  </si>
  <si>
    <t>FLORENCE TOWN OF</t>
  </si>
  <si>
    <t>FLOWOOD TOWN OF</t>
  </si>
  <si>
    <t>FOREST CITY OF</t>
  </si>
  <si>
    <t>FOREST HOUSING AUTHORITY</t>
  </si>
  <si>
    <t>FOREST MUN SEP SCHOOLS</t>
  </si>
  <si>
    <t>FORESTRY COMMISSION</t>
  </si>
  <si>
    <t>FORREST CO AGRI HIGH SCHOOL</t>
  </si>
  <si>
    <t>FORREST CO BD OF ED</t>
  </si>
  <si>
    <t>FORREST CO BD OF SUPR</t>
  </si>
  <si>
    <t>FORREST CO SOIL &amp; WATER CONSV DIST</t>
  </si>
  <si>
    <t>FRANKLIN CO BD OF ED</t>
  </si>
  <si>
    <t>FRANKLIN CO BD OF SUPR</t>
  </si>
  <si>
    <t>FRANKLIN CO MEMORIAL HOSPITAL</t>
  </si>
  <si>
    <t>FULTON TOWN OF</t>
  </si>
  <si>
    <t>GAUTIER CITY OF</t>
  </si>
  <si>
    <t>GEORGE CO BD OF SUPR</t>
  </si>
  <si>
    <t>GEORGE CO SOIL &amp; WATER CONSV DIST</t>
  </si>
  <si>
    <t>GEORGE COUNTY BD OF ED</t>
  </si>
  <si>
    <t>GLENDALE UTILITY DISTRICT</t>
  </si>
  <si>
    <t>GLOSTER CITY OF</t>
  </si>
  <si>
    <t>GOLDEN TRIA REG SOLID WASTE MGMT AUTH</t>
  </si>
  <si>
    <t>GOLDEN TRIANGLE COOPERATIVE SERV DIST</t>
  </si>
  <si>
    <t>GOLDEN TRIANGLE REGIONAL AIRPORT</t>
  </si>
  <si>
    <t>GOODMAN TOWN OF</t>
  </si>
  <si>
    <t>GOVERNORS OFFICE</t>
  </si>
  <si>
    <t>GRAND GULF MILITARY MONUMENT COMM</t>
  </si>
  <si>
    <t>GREENE CO BD OF ED</t>
  </si>
  <si>
    <t>GREENE CO BD OF SUPR</t>
  </si>
  <si>
    <t>GREENVILLE PORT COMMISSION</t>
  </si>
  <si>
    <t>GREENVILLE PUBLIC SCHOOLS</t>
  </si>
  <si>
    <t>GREENWOOD CITY OF</t>
  </si>
  <si>
    <t>GREENWOOD HOUSING AUTHORITY</t>
  </si>
  <si>
    <t>GREENWOOD MUN SEP SCHOOLS</t>
  </si>
  <si>
    <t>GREENWOOD TOURISM COMMISSION</t>
  </si>
  <si>
    <t>GREENWOOD UTILITIES COMMISSION</t>
  </si>
  <si>
    <t>GREENWOOD-LEFLORE PUBLIC LIBRARY</t>
  </si>
  <si>
    <t>GRENADA CITY OF</t>
  </si>
  <si>
    <t>GRENADA CO BD OF SUPR</t>
  </si>
  <si>
    <t>GRENADA CO SOIL&amp;WATER CON</t>
  </si>
  <si>
    <t>GRENADA COUNTY CIVIL DEFENSE</t>
  </si>
  <si>
    <t>GRENADA SCHOOL DISTRICT</t>
  </si>
  <si>
    <t>GULF REGIONAL PLANNING COMM</t>
  </si>
  <si>
    <t>GULFPORT CITY OF</t>
  </si>
  <si>
    <t>GULFPORT MUN SEP SCHOOLS</t>
  </si>
  <si>
    <t>GULFPORT-BILOXI AIRPORT AUTHORITY</t>
  </si>
  <si>
    <t>HANCOCK CO BD OF ED</t>
  </si>
  <si>
    <t>HANCOCK CO BD OF SUPR</t>
  </si>
  <si>
    <t>HANCOCK CO HUMAN RESOURCE AGENCY</t>
  </si>
  <si>
    <t>HANCOCK CO LIBRARY SYSTEM</t>
  </si>
  <si>
    <t>HANCOCK CO PLANNING COMMISSION</t>
  </si>
  <si>
    <t>HANCOCK CO PORT &amp; HARBOR COMM</t>
  </si>
  <si>
    <t>HANCOCK CO SOIL CONSV DIST</t>
  </si>
  <si>
    <t>HANCOCK CO WATER &amp; SEWER DISTRICT</t>
  </si>
  <si>
    <t>HANCOCK COUNTY UTILITY AUTHORITY</t>
  </si>
  <si>
    <t>HANCOCK MEDICAL CENTER</t>
  </si>
  <si>
    <t>HARRIETTE PERSON MEMORIAL LIBRARY</t>
  </si>
  <si>
    <t>HARRISON CO BD OF ED</t>
  </si>
  <si>
    <t>HARRISON CO BD OF SUPR</t>
  </si>
  <si>
    <t>HARRISON CO CIRCUIT CLERK</t>
  </si>
  <si>
    <t>HARRISON CO DEVELOPMENT COMM</t>
  </si>
  <si>
    <t>HARRISON CO SOIL &amp; WATER CONSV DIST</t>
  </si>
  <si>
    <t>HARRISON CO SUPR CHANCERY CLERK</t>
  </si>
  <si>
    <t>HARRISON CO. LIBRARY SYSTEM</t>
  </si>
  <si>
    <t>HARRISON COUNTY UTILITY AUTHORITY</t>
  </si>
  <si>
    <t>HATLEY TOWN OF</t>
  </si>
  <si>
    <t>HATTIESBURG CITY OF</t>
  </si>
  <si>
    <t>HATTIESBURG HOUSING AUTHORITY</t>
  </si>
  <si>
    <t>HATTIESBURG PUBLIC SCHOOL DIST</t>
  </si>
  <si>
    <t>HATTIESBURG TOURISM COMMISSION</t>
  </si>
  <si>
    <t>HATTIESBURG-PETAL-FORREST LIBRARY</t>
  </si>
  <si>
    <t>HAZLEHURST CITY OF</t>
  </si>
  <si>
    <t>HAZLEHURST HOUSING AUTHORITY</t>
  </si>
  <si>
    <t>HAZLEHURST MUN SEP SCHOOLS</t>
  </si>
  <si>
    <t>HEIDELBERG TOWN OF</t>
  </si>
  <si>
    <t>HERNANDO CITY OF</t>
  </si>
  <si>
    <t>HICKORY FLAT TOWN OF</t>
  </si>
  <si>
    <t>HICKORY TOWN OF</t>
  </si>
  <si>
    <t>HINDS CO BD OF ED</t>
  </si>
  <si>
    <t>HINDS CO BD OF SUPR</t>
  </si>
  <si>
    <t>HINDS CO BOS/ CIRCUIT CLK</t>
  </si>
  <si>
    <t>HINDS CO BOS/CHANCERY CLERK</t>
  </si>
  <si>
    <t>HINDS CO SOIL &amp; WATER CONSV DIST</t>
  </si>
  <si>
    <t>HINDS COMMUNITY COLLEGE</t>
  </si>
  <si>
    <t>HOLLANDALE CITY OF</t>
  </si>
  <si>
    <t>HOLLANDALE SCHOOL DIST</t>
  </si>
  <si>
    <t>HOLLY SPRINGS CITY OF</t>
  </si>
  <si>
    <t>HOLLY SPRINGS HOUSING AUTHORITY</t>
  </si>
  <si>
    <t>HOLLY SPRINGS MUN SEP SCHOOLS</t>
  </si>
  <si>
    <t>HOLLY SPRINGS UTILITY DEPARTMENT</t>
  </si>
  <si>
    <t>HOLMES CO BD OF ED</t>
  </si>
  <si>
    <t>HOLMES CO BD OF SUPR</t>
  </si>
  <si>
    <t>HOLMES CO SOIL &amp; WATER CONSV DIST</t>
  </si>
  <si>
    <t>HOLMES COMMUNITY COLLEGE</t>
  </si>
  <si>
    <t>HORN LAKE CITY OF</t>
  </si>
  <si>
    <t>HOULKA TOWN OF</t>
  </si>
  <si>
    <t>HOUSE OF REPRESENTATIVES AND</t>
  </si>
  <si>
    <t>HOUSTON MUN SEP SCHOOLS</t>
  </si>
  <si>
    <t>HOUSTON TOWN OF</t>
  </si>
  <si>
    <t>HUDSPETH CENTER</t>
  </si>
  <si>
    <t>HUMPHREYS CO BD OF ED</t>
  </si>
  <si>
    <t>HUMPHREYS CO BD OF SUPR</t>
  </si>
  <si>
    <t>HUMPHREYS CO LIBRARY</t>
  </si>
  <si>
    <t>INDIANOLA CITY OF</t>
  </si>
  <si>
    <t>INDUSTRIES FOR THE BLIND</t>
  </si>
  <si>
    <t>INFORMATION TECHNOLOGY SVCS</t>
  </si>
  <si>
    <t>INSTITUTIONS OF HIGHER LEARNING</t>
  </si>
  <si>
    <t>INVERNESS TOWN OF</t>
  </si>
  <si>
    <t>ISSAQUENA CO BD SUPR</t>
  </si>
  <si>
    <t>ITAWAMBA CO BD OF ED</t>
  </si>
  <si>
    <t>ITAWAMBA CO BD OF SUPR</t>
  </si>
  <si>
    <t>ITAWAMBA CO SOIL &amp; WATER CONSV DIST</t>
  </si>
  <si>
    <t>ITAWAMBA COMMUNITY COLLEGE</t>
  </si>
  <si>
    <t>ITTA BENA CITY OF</t>
  </si>
  <si>
    <t>ITTA BENA HOUSING AUTHORITY</t>
  </si>
  <si>
    <t>IUKA CITY OF</t>
  </si>
  <si>
    <t>IUKA HOUSING AUTHORITY</t>
  </si>
  <si>
    <t>JACKSON CITY OF</t>
  </si>
  <si>
    <t>JACKSON CNTY UTILITY AUTHORITY</t>
  </si>
  <si>
    <t>JACKSON CO BD OF ED</t>
  </si>
  <si>
    <t>JACKSON CO BD OF SUPR</t>
  </si>
  <si>
    <t>JACKSON CO BOS/ CIRCUIT CLERKS</t>
  </si>
  <si>
    <t>JACKSON CO BOS/CHANCERY CLERKS</t>
  </si>
  <si>
    <t>JACKSON CO EMERGENCY COMMUNICATION DIST</t>
  </si>
  <si>
    <t>JACKSON COUNTY PORT AUTHORITY</t>
  </si>
  <si>
    <t>JACKSON HOUSING AUTHORITY</t>
  </si>
  <si>
    <t>JACKSON MUN SEP SCHOOLS</t>
  </si>
  <si>
    <t>JACKSON MUNICIPAL AIRPORT AUTHORITY</t>
  </si>
  <si>
    <t>JACKSON STATE UNIV</t>
  </si>
  <si>
    <t>JACKSON/HINDS LIBRARY SYSTEM</t>
  </si>
  <si>
    <t>JACKSON-GEORGE REG LIBRARY SYSTEM</t>
  </si>
  <si>
    <t>JASPER CO BD OF SUPR</t>
  </si>
  <si>
    <t>JEFF DAVIS CO BD OF SUPR</t>
  </si>
  <si>
    <t>JEFFERSON CO BD OF ED</t>
  </si>
  <si>
    <t>JEFFERSON CO BD OF SUPR</t>
  </si>
  <si>
    <t>JEFFERSON CO HOSPITAL</t>
  </si>
  <si>
    <t>JEFFERSON DAVIS CO BD OF ED</t>
  </si>
  <si>
    <t>JENNIE STEPHENS SMITH LIBRARY</t>
  </si>
  <si>
    <t>JOINT LEGISLATIVE BUDGET COMMITTEE</t>
  </si>
  <si>
    <t>JONES CO BD OF ED</t>
  </si>
  <si>
    <t>JONES CO BD OF SUPV</t>
  </si>
  <si>
    <t>JONES COMMUNITY COLLEGE</t>
  </si>
  <si>
    <t>JUDGE GEORGE W. ARMSTRONG LIBRARY</t>
  </si>
  <si>
    <t>JUDICIAL PERFORMANCE COMMISSION</t>
  </si>
  <si>
    <t>JUMPERTOWN TOWN OF</t>
  </si>
  <si>
    <t>KEMPER CO BD OF ED</t>
  </si>
  <si>
    <t>KEMPER CO BD OF SUPR</t>
  </si>
  <si>
    <t>KEMPER-NEWTON CO REG LIBRARY</t>
  </si>
  <si>
    <t>KILMICHAEL CITY OF</t>
  </si>
  <si>
    <t>KILN UTILITY &amp; FIRE DISTRICT</t>
  </si>
  <si>
    <t>KOSCIUSKO CITY OF</t>
  </si>
  <si>
    <t>KOSCIUSKO MUN SEP SCHOOLS</t>
  </si>
  <si>
    <t>KOSCIUSKO WATER &amp; LIGHT DEPT</t>
  </si>
  <si>
    <t>LAFAYETTE CO BD OF ED</t>
  </si>
  <si>
    <t>LAFAYETTE CO BD OF SUPR</t>
  </si>
  <si>
    <t>LAFAYETTE CO SOIL/WATER CONSV DIST</t>
  </si>
  <si>
    <t>LAKE TOWN OF</t>
  </si>
  <si>
    <t>LAMAR CO BD OF ED</t>
  </si>
  <si>
    <t>LAMAR CO SOIL &amp; WATER CONSV DIST</t>
  </si>
  <si>
    <t>LAMAR COUNTY BD OF SUPR</t>
  </si>
  <si>
    <t>LAMAR COUNTY LIBRARY SYSTEM</t>
  </si>
  <si>
    <t>LAMBERT TOWN OF</t>
  </si>
  <si>
    <t>LAUDERDALE CO BD OF ED</t>
  </si>
  <si>
    <t>LAUDERDALE CO BD OF SUPR</t>
  </si>
  <si>
    <t>LAUDERDALE CO EMERG MED SERV</t>
  </si>
  <si>
    <t>LAUDERDALE CO SOIL &amp; WATER CONSV DIST</t>
  </si>
  <si>
    <t>LAUREL AIRPORT AUTHORITY</t>
  </si>
  <si>
    <t>LAUREL CITY OF</t>
  </si>
  <si>
    <t>LAUREL HOUSING AUTHORITY</t>
  </si>
  <si>
    <t>LAUREL SCHOOL DISTRICT</t>
  </si>
  <si>
    <t>LAUREL-JONES COUNTY LIBRARY</t>
  </si>
  <si>
    <t>LAWRENCE CO BD OF ED</t>
  </si>
  <si>
    <t>LAWRENCE CO BD OF SUPR</t>
  </si>
  <si>
    <t>LEAKE CO BD OF ED</t>
  </si>
  <si>
    <t>LEAKE CO BD OF SUPR</t>
  </si>
  <si>
    <t>LEAKESVILLE TOWN OF</t>
  </si>
  <si>
    <t>LEE CO BD OF SUPERVISORS</t>
  </si>
  <si>
    <t>LEE CO SOIL &amp; WATER CONSV DIST</t>
  </si>
  <si>
    <t>LEE COUNTY BD OF ED</t>
  </si>
  <si>
    <t>LEE-ITAWAMBA CO LIBRARY SYSTEM</t>
  </si>
  <si>
    <t>LEFLORE CO BD OF ED</t>
  </si>
  <si>
    <t>LEFLORE CO BD OF SUPR</t>
  </si>
  <si>
    <t>LEGISLATIVE JOINT SERVICES</t>
  </si>
  <si>
    <t>LEGISLATIVE PEER COMMITTEE</t>
  </si>
  <si>
    <t>LEGISLATIVE REAPPORTIONMENT COMMITTEE</t>
  </si>
  <si>
    <t>LELAND CITY OF</t>
  </si>
  <si>
    <t>LELAND SCHOOL DIST</t>
  </si>
  <si>
    <t>LENA TOWN OF</t>
  </si>
  <si>
    <t>LEVEE COMM YAZOO MS DELTA</t>
  </si>
  <si>
    <t>LEVEE COMMISSIONERS</t>
  </si>
  <si>
    <t>LEXINGTON CITY OF</t>
  </si>
  <si>
    <t>LIBERTY TOWN OF</t>
  </si>
  <si>
    <t>LINCOLN CO BD OF ED</t>
  </si>
  <si>
    <t>LINCOLN CO BD OF SUPR</t>
  </si>
  <si>
    <t>LINCOLN-LAWRENCE-FRANKLIN</t>
  </si>
  <si>
    <t>LONG BEACH CITY OF</t>
  </si>
  <si>
    <t>LONG BEACH MUN SEP SCHOOLS</t>
  </si>
  <si>
    <t>LOUIN TOWN OF</t>
  </si>
  <si>
    <t>LOUISE TOWN OF</t>
  </si>
  <si>
    <t>LOUISVILLE CITY OF</t>
  </si>
  <si>
    <t>LOUISVILLE ELECTRIC SYSTEM</t>
  </si>
  <si>
    <t>LOUISVILLE HOUSING AUTHORITY</t>
  </si>
  <si>
    <t>LOUISVILLE MUN SEP SCHOOLS</t>
  </si>
  <si>
    <t>LOUISVILLE WATER SYSTEM</t>
  </si>
  <si>
    <t>LOWNDES CO BD OF ED</t>
  </si>
  <si>
    <t>LOWNDES CO BD OF SUPR</t>
  </si>
  <si>
    <t>LUCEDALE CITY OF</t>
  </si>
  <si>
    <t>LULA TOWN OF</t>
  </si>
  <si>
    <t>LUMBERTON CITY OF</t>
  </si>
  <si>
    <t>LUMBERTON PUBLIC SCHOOL DIST</t>
  </si>
  <si>
    <t>LYON TOWN OF</t>
  </si>
  <si>
    <t>MABEN TOWN OF</t>
  </si>
  <si>
    <t>MACON CITY OF</t>
  </si>
  <si>
    <t>MACON ELECTRIC &amp; WATER DEPARTMENT</t>
  </si>
  <si>
    <t>MADISON CITY OF</t>
  </si>
  <si>
    <t>MADISON CO - CANTON PUBLIC LIBRARY</t>
  </si>
  <si>
    <t>MADISON CO BD OF ED</t>
  </si>
  <si>
    <t>MADISON CO BD OF SUPR</t>
  </si>
  <si>
    <t>MADISON CO ECON DEVL AUTH</t>
  </si>
  <si>
    <t>MADISON CO NURSING HOME</t>
  </si>
  <si>
    <t>MADISON CO SOIL &amp; WATER CONSV DIST</t>
  </si>
  <si>
    <t>MAGEE TOWN OF</t>
  </si>
  <si>
    <t>MAGNOLIA CITY OF</t>
  </si>
  <si>
    <t>MAGNOLIA REGIONAL HEALTH CENTER</t>
  </si>
  <si>
    <t>MANTACHIE TOWN OF</t>
  </si>
  <si>
    <t>MARIETTA TOWN OF</t>
  </si>
  <si>
    <t>MARION CO BD OF ED</t>
  </si>
  <si>
    <t>MARION CO BD OF SUPR</t>
  </si>
  <si>
    <t>MARION CO SOIL &amp; WATER CONSV DIST</t>
  </si>
  <si>
    <t>MARION TOWN OF</t>
  </si>
  <si>
    <t>MARKS CITY OF</t>
  </si>
  <si>
    <t>MARKS-QUITMAN COUNTY LIBRARY</t>
  </si>
  <si>
    <t>MARSHALL CO BD OF ED</t>
  </si>
  <si>
    <t>MARSHALL CO BD OF SUPR</t>
  </si>
  <si>
    <t>MARSHALL COUNTY LIBRARY</t>
  </si>
  <si>
    <t>MATHISTON TOWN OF</t>
  </si>
  <si>
    <t>MCCOMB CITY OF</t>
  </si>
  <si>
    <t>MCCOMB HOUSING AUTHORITY</t>
  </si>
  <si>
    <t>MCCOMB MUN SEP SCHOOLS</t>
  </si>
  <si>
    <t>MCLAIN TOWN OF</t>
  </si>
  <si>
    <t>MEADVILLE TOWN OF</t>
  </si>
  <si>
    <t>MEDICAID DIV-OFFICE OF GOVERNOR</t>
  </si>
  <si>
    <t>MEDICAL LICENSURE BOARD</t>
  </si>
  <si>
    <t>MENDENHALL CITY OF</t>
  </si>
  <si>
    <t>MENTAL HEALTH &amp; RETD COMM REG 4</t>
  </si>
  <si>
    <t>MENTAL HEALTH &amp; RETD COMM REG 6</t>
  </si>
  <si>
    <t>MENTAL HEALTH &amp; RETD COMM REG 8</t>
  </si>
  <si>
    <t>MENTAL HEALTH DEPT OF MS</t>
  </si>
  <si>
    <t>MERIDIAN AIRPORT AUTHORITY</t>
  </si>
  <si>
    <t>MERIDIAN CITY OF</t>
  </si>
  <si>
    <t>MERIDIAN COMMUNITY COLLEGE</t>
  </si>
  <si>
    <t>MERIDIAN HOUSING AUTHORITY</t>
  </si>
  <si>
    <t>MERIDIAN MUN SEP SCHOOLS</t>
  </si>
  <si>
    <t>MERIDIAN-LAUDERDALE CO LIBRARY</t>
  </si>
  <si>
    <t>MERIGOLD TOWN OF</t>
  </si>
  <si>
    <t>MID MS REGIONAL LIBRARY</t>
  </si>
  <si>
    <t>MID-MS DEVELOPMENT DISTRICT</t>
  </si>
  <si>
    <t>MILITARY DEPARTMENT</t>
  </si>
  <si>
    <t>MILITARY DEPT AIR PROGRAMS</t>
  </si>
  <si>
    <t>MILITARY DEPT ARMY PROGRAMS</t>
  </si>
  <si>
    <t>MILITARY DEPT SHELBY BASE OPS</t>
  </si>
  <si>
    <t>MISS COMMUNITY COLLEGE BOARD</t>
  </si>
  <si>
    <t>MISSISSIPPI AUCTIONEER COMMISSION</t>
  </si>
  <si>
    <t>MISSISSIPPI DEPARTMENT OF REVENUE</t>
  </si>
  <si>
    <t>MISSISSIPPI DEPT OF EMPLOYMENT SECURITY</t>
  </si>
  <si>
    <t>MISSISSIPPI HOME CORPORATION</t>
  </si>
  <si>
    <t>MISSISSIPPI STATE BAR</t>
  </si>
  <si>
    <t>MISSISSIPPI STATE HOSPITAL</t>
  </si>
  <si>
    <t>MISSISSIPPI STATE SENATE</t>
  </si>
  <si>
    <t>MISSISSIPPI STATE UNIVERSITY</t>
  </si>
  <si>
    <t>MIZE TOWN OF</t>
  </si>
  <si>
    <t>MONROE CO BD OF ED</t>
  </si>
  <si>
    <t>MONROE CO BD OF SUPR</t>
  </si>
  <si>
    <t>MONTGOMERY CO BD OF ED</t>
  </si>
  <si>
    <t>MONTGOMERY CO BD OF SUPR</t>
  </si>
  <si>
    <t>MONTICELLO CITY OF</t>
  </si>
  <si>
    <t>MOORHEAD CITY OF</t>
  </si>
  <si>
    <t>MORTON CITY OF</t>
  </si>
  <si>
    <t>MOSS POINT CITY OF</t>
  </si>
  <si>
    <t>MOSS POINT MUN SCHOOLS</t>
  </si>
  <si>
    <t>MOTOR VEHICLE COMMISSION</t>
  </si>
  <si>
    <t>MOUND BAYOU HOUSING AUTHORITY</t>
  </si>
  <si>
    <t>MS BD OF GEOLOGISTS</t>
  </si>
  <si>
    <t>MS BOARD OF NURSING</t>
  </si>
  <si>
    <t>MS BUSINESS FINANCE CORP</t>
  </si>
  <si>
    <t>MS CAPITAL POST CONVICT</t>
  </si>
  <si>
    <t>MS CHARTER SCHOOL AUTHORIZER B</t>
  </si>
  <si>
    <t>MS DELTA COMMUNITY COLLEGE</t>
  </si>
  <si>
    <t>MS DEPT OF MARINE RESOURCES</t>
  </si>
  <si>
    <t>MS DEPT OF TRANSPORTATION</t>
  </si>
  <si>
    <t>MS DEVELOPMENT AUTHORITY</t>
  </si>
  <si>
    <t>MS GAMING COMMISSION</t>
  </si>
  <si>
    <t>MS GULF COAST COMMUNITY COLLEGE</t>
  </si>
  <si>
    <t>MS GULF COAST REG CONV &amp; VB</t>
  </si>
  <si>
    <t>MS HIGHWAY SAFETY PATROL</t>
  </si>
  <si>
    <t>MS LIBRARY COMMISSION</t>
  </si>
  <si>
    <t>MS OFFICE OF THE STATE AUDITOR</t>
  </si>
  <si>
    <t>MS PRISON INDUSTRIES CORP</t>
  </si>
  <si>
    <t>MS REAL ESTATE APPRAISER LICENSING</t>
  </si>
  <si>
    <t>MS REGIONAL HOUSING AUTH NO VII</t>
  </si>
  <si>
    <t>MS REGIONAL HOUSING AUTH NO 6</t>
  </si>
  <si>
    <t>MS REGIONAL HOUSING AUTH NO IV</t>
  </si>
  <si>
    <t>MS REGIONAL HOUSING AUTH NO V</t>
  </si>
  <si>
    <t>MS REGIONAL HOUSING AUTHORITY No VI</t>
  </si>
  <si>
    <t>MS STATE BD OF PHARMACY</t>
  </si>
  <si>
    <t>MS STATE BOARD OF CONTRACTORS</t>
  </si>
  <si>
    <t>MS STATE PERSONNEL BD</t>
  </si>
  <si>
    <t>MS UNIVERSITY FOR WOMEN</t>
  </si>
  <si>
    <t>MS VALLEY STATE UNIVERSITY</t>
  </si>
  <si>
    <t>MT OLIVE TOWN OF</t>
  </si>
  <si>
    <t>MUN ENERGY AGENCY OF MS</t>
  </si>
  <si>
    <t>MYRTLE TOWN OF</t>
  </si>
  <si>
    <t>NATCHEZ CITY OF</t>
  </si>
  <si>
    <t>NATCHEZ HOUSING AUTHORITY</t>
  </si>
  <si>
    <t>NATCHEZ WATERWORKS CITY OF</t>
  </si>
  <si>
    <t>NATCHEZ-ADAMS COUNTY PORT COMM</t>
  </si>
  <si>
    <t>NATCHEZ-ADAMS SCHOOL DIST</t>
  </si>
  <si>
    <t>NE MS REGIONAL WATER SUPPLY DIST</t>
  </si>
  <si>
    <t>NESHOBA CO BD OF ED</t>
  </si>
  <si>
    <t>NESHOBA CO BD OF SUPR</t>
  </si>
  <si>
    <t>NESHOBA CO PUBLIC LIBRARY</t>
  </si>
  <si>
    <t>NESHOBA CO SOIL CONSV DIST</t>
  </si>
  <si>
    <t>NETTLETON SCHOOL DISTRICT</t>
  </si>
  <si>
    <t>NETTLETON TOWN OF</t>
  </si>
  <si>
    <t>NEW ALBANY CITY OF</t>
  </si>
  <si>
    <t>NEW ALBANY ELECTRIC DEPARTMENT</t>
  </si>
  <si>
    <t>NEW ALBANY MUN SEP SCHOOLS</t>
  </si>
  <si>
    <t>NEW AUGUSTA TOWN OF</t>
  </si>
  <si>
    <t>NEW HEBRON TOWN OF</t>
  </si>
  <si>
    <t>NEWTON CITY OF</t>
  </si>
  <si>
    <t>NEWTON CO BD OF ED</t>
  </si>
  <si>
    <t>NEWTON CO BD OF SUPR</t>
  </si>
  <si>
    <t>NEWTON CO SOIL CONSV DISTRICT</t>
  </si>
  <si>
    <t>NEWTON MUN SEP SCHOOLS</t>
  </si>
  <si>
    <t>NO CARROLLTON TOWN OF</t>
  </si>
  <si>
    <t>NORTH BOLIVAR CONSOLIDATED SCHOOL DISTRICT</t>
  </si>
  <si>
    <t>NORTH MISSISSIPPI STATE HOSPITAL</t>
  </si>
  <si>
    <t>NORTH MS REGIONAL CENTER</t>
  </si>
  <si>
    <t>NORTH PANOLA SCHOOL DIST</t>
  </si>
  <si>
    <t>NORTH PIKE SCHOOL DIST</t>
  </si>
  <si>
    <t>NORTH SUNFLOWER MEDICAL CENTER</t>
  </si>
  <si>
    <t>NORTH TIPPAH SCHOOL DISTRICT</t>
  </si>
  <si>
    <t>NORTHEAST MENTAL HEALTH AND</t>
  </si>
  <si>
    <t>NORTHEAST MISSISSIPPI NATURAL GAS DIST</t>
  </si>
  <si>
    <t>NORTHEAST MS COMMUNITY COLLEGE</t>
  </si>
  <si>
    <t>NORTHEAST REGIONAL LIBRARY</t>
  </si>
  <si>
    <t>NORTHWEST MS COMMUNITY COLLEGE</t>
  </si>
  <si>
    <t>NOXAPATER CITY OF</t>
  </si>
  <si>
    <t>NOXUBEE CO BD OF ED</t>
  </si>
  <si>
    <t>NOXUBEE CO BD OF SUPR</t>
  </si>
  <si>
    <t>NOXUBEE COUNTY LIBRARY</t>
  </si>
  <si>
    <t>NROUTE TRANSIT COMMISSION</t>
  </si>
  <si>
    <t>NURSING HOME ADMIN BOARD-DIRECTOR</t>
  </si>
  <si>
    <t>OCEAN SPRINGS CITY OF</t>
  </si>
  <si>
    <t>OCEAN SPRINGS SCHOOL DIST</t>
  </si>
  <si>
    <t>OFFICE ST PUBLIC DEFENDER</t>
  </si>
  <si>
    <t>OIL AND GAS BOARD</t>
  </si>
  <si>
    <t>OKOLONA CITY OF</t>
  </si>
  <si>
    <t>OKOLONA ELECTRIC DEPT</t>
  </si>
  <si>
    <t>OKOLONA PUBLIC SCHOOLS</t>
  </si>
  <si>
    <t>OKTIBBEHA CO BD OF SUPR</t>
  </si>
  <si>
    <t>OKTIBBEHA CO LIBRARY SYS</t>
  </si>
  <si>
    <t>OLIVE BRANCH TOWN OF</t>
  </si>
  <si>
    <t>OSYKA TOWN OF</t>
  </si>
  <si>
    <t>OXFORD CITY OF</t>
  </si>
  <si>
    <t>OXFORD ELECTRIC DEPARTMENT</t>
  </si>
  <si>
    <t>OXFORD HOUSING AUTHORITY</t>
  </si>
  <si>
    <t>OXFORD MUN SEP SCHOOLS</t>
  </si>
  <si>
    <t>OXFORD TOURISM COUNCIL</t>
  </si>
  <si>
    <t>PANOLA CO BD OF SUPR</t>
  </si>
  <si>
    <t>PANOLA CO SOIL &amp; WATER CONSV DIST</t>
  </si>
  <si>
    <t>PASCAGOULA CITY OF</t>
  </si>
  <si>
    <t>PASCAGOULA MUN SEP SCHOOLS</t>
  </si>
  <si>
    <t>PASS CHRISTIAN CITY OF</t>
  </si>
  <si>
    <t>PASS CHRISTIAN MUN SCHOOLS</t>
  </si>
  <si>
    <t>PAT HARRISON WATERWAY DIST</t>
  </si>
  <si>
    <t>PEARL CITY OF</t>
  </si>
  <si>
    <t>PEARL PUBLIC SCHOOL DISTRICT</t>
  </si>
  <si>
    <t>PEARL RIVER BASIN DEV DIST</t>
  </si>
  <si>
    <t>PEARL RIVER CO BD ED</t>
  </si>
  <si>
    <t>PEARL RIVER CO BD OF SUPR</t>
  </si>
  <si>
    <t>PEARL RIVER CO LIBRARY SYSTEM</t>
  </si>
  <si>
    <t>PEARL RIVER COMMUNITY COLLEGE</t>
  </si>
  <si>
    <t>PEARL RIVER VAL WATER SUP DIST</t>
  </si>
  <si>
    <t>PELAHATCHIE TOWN OF</t>
  </si>
  <si>
    <t>PERRY CO BD OF ED</t>
  </si>
  <si>
    <t>PERRY CO BD OF SUPR</t>
  </si>
  <si>
    <t>PETAL CITY OF</t>
  </si>
  <si>
    <t>PETAL MUN SEP SCHOOLS</t>
  </si>
  <si>
    <t>PHILADELPHIA CITY OF</t>
  </si>
  <si>
    <t>PHILADELPHIA MUN SEP SCHOOLS</t>
  </si>
  <si>
    <t>PHILADELPHIA-NESHOBA CO PARK COMM</t>
  </si>
  <si>
    <t>PICAYUNE CITY OF</t>
  </si>
  <si>
    <t>PICAYUNE HOUSING AUTHORITY</t>
  </si>
  <si>
    <t>PICAYUNE MUN SEP SCHOOLS</t>
  </si>
  <si>
    <t>PIKE CO BD OF SUPR</t>
  </si>
  <si>
    <t>PIKE COUNTY SOIL CONSERVATION DISTRICT</t>
  </si>
  <si>
    <t>PIKE-AMITE-WALTHALL CO LIBRARY</t>
  </si>
  <si>
    <t>PINE BELT REG SOLID WASTE MGMT AUTH</t>
  </si>
  <si>
    <t>PINE FOREST REG LIBRARY</t>
  </si>
  <si>
    <t>PLANTERSVILLE TOWN OF</t>
  </si>
  <si>
    <t>PONTOTOC CITY OF</t>
  </si>
  <si>
    <t>PONTOTOC CO BD OF ED</t>
  </si>
  <si>
    <t>PONTOTOC CO BD OF SUPR</t>
  </si>
  <si>
    <t>PONTOTOC CO SOIL &amp; WATER CONSV DIST</t>
  </si>
  <si>
    <t>PONTOTOC HOUSING AUTHORITY</t>
  </si>
  <si>
    <t>PONTOTOC MUN SEP SCHOOLS</t>
  </si>
  <si>
    <t>POPLARVILLE CITY OF</t>
  </si>
  <si>
    <t>POPLARVILLE MUN SEP SCHOOLS</t>
  </si>
  <si>
    <t>PORT AUTHORITY OF MS</t>
  </si>
  <si>
    <t>PORT GIBSON CITY OF</t>
  </si>
  <si>
    <t>POTTS CAMP TOWN OF</t>
  </si>
  <si>
    <t>PRENTISS CO BD OF ED</t>
  </si>
  <si>
    <t>PRENTISS CO BD OF SUPR</t>
  </si>
  <si>
    <t>PRENTISS CO SOIL &amp; WATER CONSV DIST</t>
  </si>
  <si>
    <t>PRENTISS TOWN OF</t>
  </si>
  <si>
    <t>PROFESSIONAL ENGINEERS BOARD</t>
  </si>
  <si>
    <t>PUBLIC ACCOUNTANCY BOARD OF MS</t>
  </si>
  <si>
    <t>PUBLIC EMPLOYEES' RETIREMENT SYSTEM</t>
  </si>
  <si>
    <t>PUBLIC SERVICE COMM</t>
  </si>
  <si>
    <t>PUCKETT VILLAGE OF</t>
  </si>
  <si>
    <t>QUITMAN CITY OF</t>
  </si>
  <si>
    <t>QUITMAN CO BD OF ED</t>
  </si>
  <si>
    <t>QUITMAN CO BD OF SUPR</t>
  </si>
  <si>
    <t>QUITMAN SCHOOL DISTRICT</t>
  </si>
  <si>
    <t>RALEIGH TOWN OF</t>
  </si>
  <si>
    <t>RANKIN CO BD OF ED</t>
  </si>
  <si>
    <t>RANKIN CO BD OF SUPR</t>
  </si>
  <si>
    <t>RANKIN CO HUMAN RESOURCE AGENCY</t>
  </si>
  <si>
    <t>RANKIN-HINDS PEARL RIVER FLOOD</t>
  </si>
  <si>
    <t>RAYMOND CITY OF</t>
  </si>
  <si>
    <t>REAL ESTATE COMMISSION</t>
  </si>
  <si>
    <t>REHABILITATION SERVICES DEPT</t>
  </si>
  <si>
    <t>RESERVOIR FIRE PROTECTION DISTRICT</t>
  </si>
  <si>
    <t>RICHLAND CITY OF</t>
  </si>
  <si>
    <t>RICHTON MUN SEP SCHOOLS</t>
  </si>
  <si>
    <t>RICHTON TOWN OF</t>
  </si>
  <si>
    <t>RIDGELAND CITY OF</t>
  </si>
  <si>
    <t>RIDGELAND TOURISM COMMISSION</t>
  </si>
  <si>
    <t>RIPLEY CITY OF</t>
  </si>
  <si>
    <t>ROLLING FORK CITY OF</t>
  </si>
  <si>
    <t>ROSEDALE CITY OF</t>
  </si>
  <si>
    <t>ROSEDALE-BOLIVAR CO PORT COMM</t>
  </si>
  <si>
    <t>ROXIE TOWN OF</t>
  </si>
  <si>
    <t>RULEVILLE CITY OF</t>
  </si>
  <si>
    <t>RUNNELSTOWN UTIL DIST</t>
  </si>
  <si>
    <t>SALTILLO TOWN OF</t>
  </si>
  <si>
    <t>SARDIS CITY OF</t>
  </si>
  <si>
    <t>SARDIS HOUSING AUTHORITY</t>
  </si>
  <si>
    <t>SCOTT CO BD OF ED</t>
  </si>
  <si>
    <t>SCOTT CO BD OF SUPR</t>
  </si>
  <si>
    <t>SEBASTOPOL NATL GAS DIST</t>
  </si>
  <si>
    <t>SEBASTOPOL TOWN OF</t>
  </si>
  <si>
    <t>SECRETARY OF STATE</t>
  </si>
  <si>
    <t>SEMINARY TOWN OF</t>
  </si>
  <si>
    <t>SENATOBIA CITY OF</t>
  </si>
  <si>
    <t>SENATOBIA HOUSING AUTHORITY</t>
  </si>
  <si>
    <t>SENATOBIA MUN SEP SCHOOLS</t>
  </si>
  <si>
    <t>SHANNON TOWN OF</t>
  </si>
  <si>
    <t>SHARKEY CO BD OF SUPR</t>
  </si>
  <si>
    <t>SHARKEY-ISSAQUENA CO LIBRARY</t>
  </si>
  <si>
    <t>SHAW CITY OF</t>
  </si>
  <si>
    <t>SHELBY CITY OF</t>
  </si>
  <si>
    <t>SHELBY HOUSING AUTHORITY</t>
  </si>
  <si>
    <t>SHERMAN TOWN OF</t>
  </si>
  <si>
    <t>SHUBUTA TOWN OF</t>
  </si>
  <si>
    <t>SHUQUALAK TOWN OF</t>
  </si>
  <si>
    <t>SILVER CITY TOWN OF</t>
  </si>
  <si>
    <t>SIMPSON CO BD OF ED</t>
  </si>
  <si>
    <t>SIMPSON CO BD OF SUPR</t>
  </si>
  <si>
    <t>SIMPSON CO PARKS &amp; RECREATION</t>
  </si>
  <si>
    <t>SINGING RIVER SERVICES</t>
  </si>
  <si>
    <t>SLEDGE TOWN OF</t>
  </si>
  <si>
    <t>SMITH CO BD OF ED</t>
  </si>
  <si>
    <t>SMITH CO BD OF SUPR</t>
  </si>
  <si>
    <t>SMITHVILLE TOWN OF</t>
  </si>
  <si>
    <t>SO SUNFLOWER CO HOSPITAL</t>
  </si>
  <si>
    <t>SOSO TOWN OF</t>
  </si>
  <si>
    <t>SOUTH DELTA REG HOUS AUTH</t>
  </si>
  <si>
    <t>SOUTH DELTA SCHOOL DISTRICT</t>
  </si>
  <si>
    <t>SOUTH MADISON CTY FIRE PRO DIS</t>
  </si>
  <si>
    <t>SOUTH MISSISSIPPI FAIR COMMISSION</t>
  </si>
  <si>
    <t>SOUTH MS REGIONAL LIBRARY</t>
  </si>
  <si>
    <t>SOUTH MS RETARDATION CENTER</t>
  </si>
  <si>
    <t>SOUTH MS STATE HOSPITAL</t>
  </si>
  <si>
    <t>SOUTH PANOLA SCHOOL DIST</t>
  </si>
  <si>
    <t>SOUTH PIKE SCHOOL DISTRICT</t>
  </si>
  <si>
    <t>SOUTH TIPPAH SCHOOL DIST</t>
  </si>
  <si>
    <t>SOUTHAVEN CITY OF</t>
  </si>
  <si>
    <t>SPECIALIZED TREATMENT</t>
  </si>
  <si>
    <t>STARKVILLE CITY OF</t>
  </si>
  <si>
    <t>STARKVILLE ELECTRIC DEPT</t>
  </si>
  <si>
    <t>STARKVILLE HOUSING AUTHORITY</t>
  </si>
  <si>
    <t>STARKVILLE OKTIBBEHA CONSOLIDATED SCHOOL DIST</t>
  </si>
  <si>
    <t>STATE AID ROAD CONSTRUCTION</t>
  </si>
  <si>
    <t>STATE BD OF PHYSICAL THERAPY</t>
  </si>
  <si>
    <t>STATE DENTAL EXAMINERS BOARD</t>
  </si>
  <si>
    <t>STATE DEPT OF HEALTH</t>
  </si>
  <si>
    <t>STATE FIRE ACADEMY</t>
  </si>
  <si>
    <t>STATE INS DEPT/FIRE MARSHALL</t>
  </si>
  <si>
    <t>STATE LINE TOWN OF</t>
  </si>
  <si>
    <t>STATE SOIL/WATER CONSV COMM.</t>
  </si>
  <si>
    <t>STATE VETERANS AFFAIRS BOARD</t>
  </si>
  <si>
    <t>STONE CO BD OF ED</t>
  </si>
  <si>
    <t>STONE COUNTY UTILITY AUTHORITY</t>
  </si>
  <si>
    <t>STONE COUNTY BD OF SUPR</t>
  </si>
  <si>
    <t>STONE COUNTY SOIL AND WATER</t>
  </si>
  <si>
    <t>STONEWALL TOWN OF</t>
  </si>
  <si>
    <t>STURGIS TOWN OF</t>
  </si>
  <si>
    <t>SUMMIT HOUSING AUTHORITY</t>
  </si>
  <si>
    <t>SUMMIT TOWN OF</t>
  </si>
  <si>
    <t>SUMNER CITY OF</t>
  </si>
  <si>
    <t>SUMRALL TOWN OF</t>
  </si>
  <si>
    <t>SUNFLOWER CITY OF</t>
  </si>
  <si>
    <t>SUNFLOWER CO BD SUPR</t>
  </si>
  <si>
    <t>SUNFLOWER CO CONSOLIDATED SCHOOL DISTRICT</t>
  </si>
  <si>
    <t>SUNFLOWER CO LIBRARY</t>
  </si>
  <si>
    <t>SUNFLOWER CO SOIL &amp; WATER CONSV DIST</t>
  </si>
  <si>
    <t>SUPREME COURT</t>
  </si>
  <si>
    <t>SW MS COMMUNITY COLLEGE</t>
  </si>
  <si>
    <t>SW MS MENT HLTH &amp; RTD COMM REG XI</t>
  </si>
  <si>
    <t>TALLAHATCHIE CO BD OF SUPR</t>
  </si>
  <si>
    <t>TALLAHATCHIE CO LIBRARY</t>
  </si>
  <si>
    <t>TALLAHATCHIE CO SOIL &amp; WATER CONSV DIST</t>
  </si>
  <si>
    <t>TATE CO BD OF ED</t>
  </si>
  <si>
    <t>TATE CO BD OF SUPR</t>
  </si>
  <si>
    <t>TAYLORSVILLE TOWN OF</t>
  </si>
  <si>
    <t>TCHULA TOWN OF</t>
  </si>
  <si>
    <t>TENNESSEE-TOMBIGBEE WATERWAY</t>
  </si>
  <si>
    <t>TERRY TOWN OF</t>
  </si>
  <si>
    <t>TIPPAH CO BOS/CH CLERK</t>
  </si>
  <si>
    <t>TIPPAH COUNTY HOSPITAL</t>
  </si>
  <si>
    <t>TISHOMINGO CO BD OF SUPR</t>
  </si>
  <si>
    <t>TISHOMINGO CO MUN SEP SCHOOLS</t>
  </si>
  <si>
    <t>TISHOMINGO TOWN OF</t>
  </si>
  <si>
    <t>TOMBIGBEE REGIONAL LIBRARY</t>
  </si>
  <si>
    <t>TOMBIGBEE RIVER VAL WATER MGT DIST</t>
  </si>
  <si>
    <t>TOWN OF ALGOMA</t>
  </si>
  <si>
    <t>TOWN OF BLUE MOUNTAIN</t>
  </si>
  <si>
    <t>TOWN OF CHUNKY</t>
  </si>
  <si>
    <t>TOWN OF DLO</t>
  </si>
  <si>
    <t>TOWN OF FARMINGTON</t>
  </si>
  <si>
    <t>TOWN OF FRENCH CAMP</t>
  </si>
  <si>
    <t>TOWN OF GOLDEN</t>
  </si>
  <si>
    <t>TOWN OF JONESTOWN</t>
  </si>
  <si>
    <t>TOWN OF MAYERSVILLE</t>
  </si>
  <si>
    <t>TOWN OF METCALFE</t>
  </si>
  <si>
    <t>TOWN OF POLKVILLE</t>
  </si>
  <si>
    <t>TOWN OF RENOVA</t>
  </si>
  <si>
    <t>TOWN OF RIENZI</t>
  </si>
  <si>
    <t>TOWN OF SALLIS</t>
  </si>
  <si>
    <t>TOWN OF SANDERSVILLE</t>
  </si>
  <si>
    <t>TOWN OF WOODLAND</t>
  </si>
  <si>
    <t>TREASURY DEPARTMENT</t>
  </si>
  <si>
    <t>TREMONT TOWN OF</t>
  </si>
  <si>
    <t>TRIAL JUDGES AND STAFF</t>
  </si>
  <si>
    <t>TUNICA CO AIRPORT COMMISI</t>
  </si>
  <si>
    <t>TUNICA CO BD OF ED</t>
  </si>
  <si>
    <t>TUNICA CO BD OF SUPR</t>
  </si>
  <si>
    <t>TUNICA COUNTY TOURISM COMMISSION</t>
  </si>
  <si>
    <t>TUNICA TOWN OF</t>
  </si>
  <si>
    <t>TUPELO AIRPORT AUTHORITY</t>
  </si>
  <si>
    <t>TUPELO CITY OF</t>
  </si>
  <si>
    <t>TUPELO COLISEUM COMMISSION</t>
  </si>
  <si>
    <t>TUPELO HOUSING AUTHORITY</t>
  </si>
  <si>
    <t>TUPELO PUBLIC SCHOOL DIST</t>
  </si>
  <si>
    <t>TUPELO WATER &amp; LIGHT DEPT</t>
  </si>
  <si>
    <t>TUTWILER TOWN OF</t>
  </si>
  <si>
    <t>TYLERTOWN TOWN OF</t>
  </si>
  <si>
    <t>UNION CITY OF</t>
  </si>
  <si>
    <t>UNION CO BD OF ED</t>
  </si>
  <si>
    <t>UNION CO BD OF SUPR</t>
  </si>
  <si>
    <t>UNION CO SOIL &amp; WATER CONSV DIST</t>
  </si>
  <si>
    <t>UNION MUN SEP SCHOOLS</t>
  </si>
  <si>
    <t>UNIV MEDICAL CENTER</t>
  </si>
  <si>
    <t>UNIVERSITY OF MISSISSIPPI</t>
  </si>
  <si>
    <t>UNIVERSITY OF SOUTHERN MS</t>
  </si>
  <si>
    <t>UNIVERSITY PRESS OF MS INC</t>
  </si>
  <si>
    <t>VAIDEN TOWN OF</t>
  </si>
  <si>
    <t>VARDAMAN TOWN OF</t>
  </si>
  <si>
    <t>VERONA TOWN OF</t>
  </si>
  <si>
    <t>VETERANS HOME PURCHASE BOARD</t>
  </si>
  <si>
    <t>VICKSBURG BRIDGE COMM</t>
  </si>
  <si>
    <t>VICKSBURG CITY OF</t>
  </si>
  <si>
    <t>VICKSBURG CONVEN &amp; VIS BUREAU</t>
  </si>
  <si>
    <t>VICKSBURG HOUSING AUTHORITY</t>
  </si>
  <si>
    <t>VICKSBURG/WARREN SCHOOL DIST</t>
  </si>
  <si>
    <t>WALNUT GROVE TOWN OF</t>
  </si>
  <si>
    <t>WALNUT TOWN OF</t>
  </si>
  <si>
    <t>WALTHALL CO BD OF SUPR</t>
  </si>
  <si>
    <t>WALTHALL CO SOIL &amp; WATER CONSV DIST</t>
  </si>
  <si>
    <t>WALTHALL COUNTY SCHOOLS</t>
  </si>
  <si>
    <t>WALTHALL VILLAGE OF</t>
  </si>
  <si>
    <t>WARREN CO BD OF SUPR</t>
  </si>
  <si>
    <t>WARREN CO SOIL &amp; WATER CONSV DIST</t>
  </si>
  <si>
    <t>WARREN COUNTY PARK COMMISSION</t>
  </si>
  <si>
    <t>WASHINGTON CO BD OF SUPR</t>
  </si>
  <si>
    <t>WASHINGTON CO LIBRARY</t>
  </si>
  <si>
    <t>WATER VALLEY CITY OF</t>
  </si>
  <si>
    <t>WATER VALLEY HOUSING AUTHORITY</t>
  </si>
  <si>
    <t>WATER VALLEY SCHOOL DISTRICT</t>
  </si>
  <si>
    <t>WAVELAND CITY OF</t>
  </si>
  <si>
    <t>WAYNE CO BD OF ED</t>
  </si>
  <si>
    <t>WAYNE CO BD OF SUPR</t>
  </si>
  <si>
    <t>WAYNE CO ECON DEV DIST</t>
  </si>
  <si>
    <t>WAYNE CO SOIL &amp; WATER CONSV DIST</t>
  </si>
  <si>
    <t>WAYNESBORO CITY OF</t>
  </si>
  <si>
    <t>WAYNESBORO HOUSING AUTHORITY</t>
  </si>
  <si>
    <t>WAYNESBORO-WAYNE CO LIBRARY SYSTEM</t>
  </si>
  <si>
    <t>WEBSTER CO BD OF SUPR</t>
  </si>
  <si>
    <t>WEBSTER COUNTY BD OF ED</t>
  </si>
  <si>
    <t>WEEMS COMM MENTAL HEALTH CENTER</t>
  </si>
  <si>
    <t>WEIR TOWN OF</t>
  </si>
  <si>
    <t>WESSON TOWN OF</t>
  </si>
  <si>
    <t>WEST BOLIVAR CONSOLIDATED SCHOOL DISTRICT</t>
  </si>
  <si>
    <t>WEST JACKSON CO UTIL DIST</t>
  </si>
  <si>
    <t>WEST JASPER SCHOOL DIST</t>
  </si>
  <si>
    <t>WEST POINT CITY OF</t>
  </si>
  <si>
    <t>WEST POINT CONSOLIDATED SCHOOL DISTRICT</t>
  </si>
  <si>
    <t>WEST POINT ELECTRIC SYSTEM</t>
  </si>
  <si>
    <t>WEST POINT HOUSING AUTHORITY</t>
  </si>
  <si>
    <t>WEST POINT WATER DEPARTMENT</t>
  </si>
  <si>
    <t>WEST RANKIN UTILITY AUTHORITY</t>
  </si>
  <si>
    <t>WEST TALLAHATCHIE SCHOOL DIST</t>
  </si>
  <si>
    <t>WEST TOWN OF</t>
  </si>
  <si>
    <t>WESTERN LINE SCHOOL DIST</t>
  </si>
  <si>
    <t>WIGGINS TOWN OF</t>
  </si>
  <si>
    <t>WILDLIFE FISHERIES AND PARKS</t>
  </si>
  <si>
    <t>WILKINSON CO BD OF ED</t>
  </si>
  <si>
    <t>WILKINSON CO BD SUPR</t>
  </si>
  <si>
    <t>WILKINSON COUNTY LIBRARY SYSTEM</t>
  </si>
  <si>
    <t>WINONA CITY OF</t>
  </si>
  <si>
    <t>WINONA HOUSING AUTHORITY</t>
  </si>
  <si>
    <t>WINONA MUN SEP SCHOOLS</t>
  </si>
  <si>
    <t>WINSTON CO BD OF SUPR</t>
  </si>
  <si>
    <t>WINSTON CO ECONOMIC DEV DIST</t>
  </si>
  <si>
    <t>WINSTON CO SOIL CONSER DIST</t>
  </si>
  <si>
    <t>WOODVILLE TOWN OF</t>
  </si>
  <si>
    <t>WORKERS' COMPENSATION</t>
  </si>
  <si>
    <t>YALOBUSHA CO BD OF SUPR</t>
  </si>
  <si>
    <t>YALOBUSHA CO LIBRARY SYST</t>
  </si>
  <si>
    <t>YALOBUSHA WATER &amp; SEWER DISTRICT</t>
  </si>
  <si>
    <t>YAZOO CITY</t>
  </si>
  <si>
    <t>YAZOO CITY HOUSING AUTHORITY</t>
  </si>
  <si>
    <t>YAZOO CITY MUN SEP SCHOOLS</t>
  </si>
  <si>
    <t>YAZOO CITY PUBLIC SERV COMM</t>
  </si>
  <si>
    <t>YAZOO CO BD OF ED</t>
  </si>
  <si>
    <t>YAZOO CO BD OF SUPR</t>
  </si>
  <si>
    <t>YAZOO CO CONV &amp;VIS BUREAU</t>
  </si>
  <si>
    <t>YAZOO CO SOIL &amp; WATER CONSERV DIST</t>
  </si>
  <si>
    <t>YAZOO LIBRARY ASSOC</t>
  </si>
  <si>
    <t>YAZOO RECREATION COMMISSION</t>
  </si>
  <si>
    <t>YAZOO-MS DELTA JOINT WATER MGMT DIST</t>
  </si>
  <si>
    <t>YELLOW CREEK PORT AUTHORITY</t>
  </si>
  <si>
    <t>Public Employees' Retirement System of Mississippi</t>
  </si>
  <si>
    <t>BAY STLOUIS-WAVELAND SCHL DIST</t>
  </si>
  <si>
    <t>BROOK.HA VEN CITY OF</t>
  </si>
  <si>
    <t>BROOK.HAVEN PARK &amp; RECREATION</t>
  </si>
  <si>
    <t>CALHOUN CITY CITY OF</t>
  </si>
  <si>
    <t>CARYTOWN OF</t>
  </si>
  <si>
    <t>CLEARY ATER, SEWER, &amp; FIRE DIST</t>
  </si>
  <si>
    <t>CULKIN WATER DISTRJCT</t>
  </si>
  <si>
    <t>DISTRJCT ATTYS &amp; STAFF</t>
  </si>
  <si>
    <t>GOVERNORS MANSION</t>
  </si>
  <si>
    <t>GUNTOWN TOWN OF</t>
  </si>
  <si>
    <t>INDUSTRJES FOR THE BLIND</t>
  </si>
  <si>
    <t>JUVENILE REHABILITATION FACILITY</t>
  </si>
  <si>
    <t>·LAKETOWN OF</t>
  </si>
  <si>
    <t>MONTGOMERY CO BO OF ED</t>
  </si>
  <si>
    <t>MONTGOMERY CO BO OF SUPR</t>
  </si>
  <si>
    <t>MS BO OF GEOLOGISTS</t>
  </si>
  <si>
    <t>MS REGIONAL HOUSING AUTH NOV</t>
  </si>
  <si>
    <t>MS REGIONAL HOUSING AUTH NO VIII</t>
  </si>
  <si>
    <t>MS REGIONAL HOUSING AUTHORITY #VII</t>
  </si>
  <si>
    <t>NOXUBEE CO SOIL &amp; WATER CONSV DIST</t>
  </si>
  <si>
    <t>SIMPSON COP ARKS &amp; RECREATION</t>
  </si>
  <si>
    <t>STARK.VILLE CITY OF</t>
  </si>
  <si>
    <t>STARK.VILLE ELECTRIC DEPT</t>
  </si>
  <si>
    <t>STARKVILLE PARK COMM</t>
  </si>
  <si>
    <t>STATE SOIL/WATERCONSV COMM.</t>
  </si>
  <si>
    <t>TOWN-OF ALGOMA</t>
  </si>
  <si>
    <t>TOWNOFDLO</t>
  </si>
  <si>
    <t>TOWN OFF ARMINGTON</t>
  </si>
  <si>
    <t>WALTHALL CO SOIL &amp; WATERCONSVDIST</t>
  </si>
  <si>
    <t>WESTTOWN OF</t>
  </si>
  <si>
    <t>WILKINSON CO SOIL &amp; WATER CONSV DIST</t>
  </si>
  <si>
    <t>YAZOO CITY CITY OF</t>
  </si>
  <si>
    <t>YAZOO CO BD OF ED·</t>
  </si>
  <si>
    <r>
      <t xml:space="preserve">LEGISLATIVE PEER </t>
    </r>
    <r>
      <rPr>
        <sz val="12"/>
        <color rgb="FF3A3A3A"/>
        <rFont val="Aptos Narrow"/>
        <scheme val="minor"/>
      </rPr>
      <t>COMMITTEE</t>
    </r>
  </si>
  <si>
    <r>
      <t xml:space="preserve">LEGISLATIVE </t>
    </r>
    <r>
      <rPr>
        <sz val="12"/>
        <color rgb="FF3A3A3A"/>
        <rFont val="Aptos Narrow"/>
        <scheme val="minor"/>
      </rPr>
      <t xml:space="preserve">REAPPORTIONMENT </t>
    </r>
    <r>
      <rPr>
        <sz val="12"/>
        <color rgb="FF232323"/>
        <rFont val="Aptos Narrow"/>
        <scheme val="minor"/>
      </rPr>
      <t>COMMITTEE</t>
    </r>
  </si>
  <si>
    <t>BROOK.HAVEN CITY OF</t>
  </si>
  <si>
    <t>CHICKASA WHAY NATURAL GAS DIST</t>
  </si>
  <si>
    <t>DESOTO COUNTY SOIL&amp; WATER CONSV DIST</t>
  </si>
  <si>
    <t>DUCK IIlLL CITY OF</t>
  </si>
  <si>
    <t>HUMPHREYSCOBDOFED</t>
  </si>
  <si>
    <t>ITAWAMBACOBD OF ED</t>
  </si>
  <si>
    <t>LAKETOWN OF</t>
  </si>
  <si>
    <t>MISSISSIPPI GULF COAST REG CONY &amp; VB</t>
  </si>
  <si>
    <t>MS DELTA CO:MMUNITY COLLEGE</t>
  </si>
  <si>
    <t>SCOTT CO BO OF ED</t>
  </si>
  <si>
    <t>STh1PSON CO BD OF SUPR</t>
  </si>
  <si>
    <t>STh1PSON CO PARKS &amp; RECREATION</t>
  </si>
  <si>
    <t>SOUTH DELTAREGHOUSAUTH</t>
  </si>
  <si>
    <t>SW MS l\1ENT HLTH &amp; RID CO!v1M REG XI</t>
  </si>
  <si>
    <t>I ALLARATCHIE CO BD OF SUPR</t>
  </si>
  <si>
    <t>I ALLARATCHIE CO LIBRARY</t>
  </si>
  <si>
    <t>TOWN OF l\1ETCALFE</t>
  </si>
  <si>
    <r>
      <t xml:space="preserve">WEST TOWN OF </t>
    </r>
    <r>
      <rPr>
        <sz val="12"/>
        <color rgb="FF959595"/>
        <rFont val="Aptos Narrow"/>
        <scheme val="minor"/>
      </rPr>
      <t>.</t>
    </r>
  </si>
  <si>
    <t>ABERDEEN MUNICIPAL SEPARATE SCHOOLS</t>
  </si>
  <si>
    <t>ADAMS COUNTY AIRPORT COMMISSION</t>
  </si>
  <si>
    <t>ADAMS COUNTY BOARD OF SUPERVISORS CHANCERY CLERK</t>
  </si>
  <si>
    <t>ADAMS COUNTY SOIL &amp; WATER CONSERVATION DISTRICT</t>
  </si>
  <si>
    <t>AGRICULTURE AND COMMERCE DEPARTMENT</t>
  </si>
  <si>
    <t>ALCORN COUNTY BOARD OF EDUCATION</t>
  </si>
  <si>
    <t>ALCORN COUNTY BOARD OF SUPERVISORS</t>
  </si>
  <si>
    <t>ALCORN STATE UNIVERSITY</t>
  </si>
  <si>
    <t>AMITE COUNTY BOARD OF EDUCATION</t>
  </si>
  <si>
    <t>AMITE COUNTY BOARD OF SUPERVISORS</t>
  </si>
  <si>
    <t>AMORY MUNICIPAL SEPARATE SCHOOLS</t>
  </si>
  <si>
    <t>ARCHITECTURE BOARD OF MISSISSIPPI</t>
  </si>
  <si>
    <t>ARCHIVES &amp; HISTORY DEPARTMENT</t>
  </si>
  <si>
    <t>ATTALA COUNTY BOARD OF EDUCATION</t>
  </si>
  <si>
    <t>ATTALA COUNTY BOARD OF SUPERVISORS</t>
  </si>
  <si>
    <t>ATTALA COUNTY HOUSING AUTHORITY</t>
  </si>
  <si>
    <t>BALDWYN MUNICIPAL SEPARATE SCHOOLS</t>
  </si>
  <si>
    <t>BAY ST. LOUIS CITY OF</t>
  </si>
  <si>
    <t>BAY ST. LOUIS-WAVELAND SCHOOL DISTRICT</t>
  </si>
  <si>
    <t>BOARD OF SOCIAL WORKERS &amp; FAMILY THERAPISTS</t>
  </si>
  <si>
    <t>BENOIT SCHOOL DISTRICT</t>
  </si>
  <si>
    <t>BENTON COUNTY BOARD OF EDUCATION</t>
  </si>
  <si>
    <t>BENTON COUNTY BOARD OF SUPERVISORS</t>
  </si>
  <si>
    <t>BILOXI MUNICIPAL SEPARATE SCHOOLS</t>
  </si>
  <si>
    <t>BOGUE PHALIA DRAINAGE DISTRICT</t>
  </si>
  <si>
    <t>BOLIVAR COUNTY BOARD OF SUPERVISORS</t>
  </si>
  <si>
    <t>BOLIVAR COUNTY S/ W CONSERVATION DISTRICT</t>
  </si>
  <si>
    <t>BOONEVILLE MUNICIPAL SEPARATE SCHOOLS</t>
  </si>
  <si>
    <t>BROOKHAVEN MUNICIPAL SEPARATE SCHOOLS</t>
  </si>
  <si>
    <t>CALHOUN CITY OF</t>
  </si>
  <si>
    <t>CALHOUN COUNTY BOARD OF EDUCATION</t>
  </si>
  <si>
    <t>CALHOUN COUNTY BOARD OF SUPERVISORS</t>
  </si>
  <si>
    <t>CALHOUN COUNTY SOIL &amp; WATER CONSERVATION DISTRICT</t>
  </si>
  <si>
    <t>CANTON MUNICIPAL SEPARATE SCHOOLS</t>
  </si>
  <si>
    <t>CARROLL COUNTY BOARD OF EDUCATION</t>
  </si>
  <si>
    <t>CARROLL COUNTY BOARD OF SUPERVISION</t>
  </si>
  <si>
    <t>CARROLL COUNTY LIBRARY SYSTEM</t>
  </si>
  <si>
    <t>CENTRAL MISSISSIPPI REGIONAL LIBRARY SYSTEM</t>
  </si>
  <si>
    <t>CENTRAL MISSISSIPPI RESIDENTIAL CENTER</t>
  </si>
  <si>
    <t>CHICKASAW COUNTY BOARD OF EDUCATION</t>
  </si>
  <si>
    <t>CHICKASAW COUNTY BOARD OF SUPERVISION</t>
  </si>
  <si>
    <t>CHICKASAW HAY NATURAL GAS DISTRICT</t>
  </si>
  <si>
    <t>CHOCTAW COUNTY BOARD OF EDUCATION</t>
  </si>
  <si>
    <t>CHOCTAW COUNTY BOARD OF SUPERVISION</t>
  </si>
  <si>
    <t>CHOCTAW COUNTY ECONOMIC DEVELOPMENT DISTRICT</t>
  </si>
  <si>
    <t>CLAIBORNE COUNTY BOARD OF EDUCATION</t>
  </si>
  <si>
    <t>CLAIBORNE COUNTY BOARD OF SUPERVISION</t>
  </si>
  <si>
    <t>CLAIBORNE COUNTY HUMAN RESOURCE AGENCY</t>
  </si>
  <si>
    <t>CLARKE COUNTY BOARD OF SUPERVISORS</t>
  </si>
  <si>
    <t>CLARKSDALE MUNICIPAL SCHOOLS</t>
  </si>
  <si>
    <t>CLAY COUNTY BOARD OF EDUCATION</t>
  </si>
  <si>
    <t>CLAY COUNTY BOARD OF SUPERVISORS</t>
  </si>
  <si>
    <t>CLEARY WATER, SEWER, &amp; FIRE DISTRICT</t>
  </si>
  <si>
    <t>CLINTON PUBLIC SCHOOL DISTRICT</t>
  </si>
  <si>
    <t>COAHOMA COUNTY BOARD OF EDUCATION</t>
  </si>
  <si>
    <t>COAHOMA COUNTY BOARD OF SUPERVISORS</t>
  </si>
  <si>
    <t>COAHOMA COUNTY SOIL &amp; WATER CONSERVATION DISTRICT</t>
  </si>
  <si>
    <t>COLUMBIA MUNICIPAL SEPARATE SCHOOLS</t>
  </si>
  <si>
    <t>COLUMBUS MUNICIPAL SEPARATE SCHOOLS</t>
  </si>
  <si>
    <t>COLUMBUS-LOWNDES COUNTY RECREATION CENTER</t>
  </si>
  <si>
    <t>COPIAH COUNTY BOARD OF EDUCATION</t>
  </si>
  <si>
    <t>COPIAH COUNTY BOARD OF SUPERVISION</t>
  </si>
  <si>
    <t>CORINTH MUNICIPAL SEPARATE SCHOOLS</t>
  </si>
  <si>
    <t>CORINTH-ALCORN AIRPORT BOARD</t>
  </si>
  <si>
    <t>CORINTH-ALCORN CONVENTION &amp; AGRI-EXPOSITION CENTER</t>
  </si>
  <si>
    <t>COVINGTON COUNTY BOARD OF EDUCATION</t>
  </si>
  <si>
    <t>COVINGTON COUNTY BOARD OF SUPERVISORS</t>
  </si>
  <si>
    <t>COVINGTON COUNTY LIBRARY SYSTEM</t>
  </si>
  <si>
    <t>COVINGTON COUNTY SOIL CONSERVATION DISTRICT</t>
  </si>
  <si>
    <t>DEPARTMENT OF ENVIRONMENTAL QUALITY</t>
  </si>
  <si>
    <t>DEPARTMENT OF HUMAN SERVICES</t>
  </si>
  <si>
    <t>DESOTO COUNTY BOARD OF EDUCATION</t>
  </si>
  <si>
    <t>DESOTO COUNTY BOARD OF SUPERVISION</t>
  </si>
  <si>
    <t>DESOTO COUNTY CONVENTION &amp; VISITORS BUREAU BOARD</t>
  </si>
  <si>
    <t>DESOTO COUNTY REGIONAL UTILITY AUTHORITY</t>
  </si>
  <si>
    <t>DESOTO COUNTY SOIL&amp;WATER CONSERVATION DISTRICT</t>
  </si>
  <si>
    <t>DIAMONDHEAD FIRE PROTECTION DISTRICT</t>
  </si>
  <si>
    <t>D’IBERVILLE CITY OF</t>
  </si>
  <si>
    <t>DISTRICT ATTORNEYS &amp; STAFF</t>
  </si>
  <si>
    <t>DURANT MUNICIPAL SCHOOLS</t>
  </si>
  <si>
    <t>EAST LEFLORE COUNTY WATER &amp; SEWER DISTRICT</t>
  </si>
  <si>
    <t>EAST MISSISSIPPI COMMUNITY COLLEGE</t>
  </si>
  <si>
    <t>EAST MISSISSIPPI REGIONAL LIBRARY</t>
  </si>
  <si>
    <t>EAST MISSISSIPPI STATE HOSPITAL</t>
  </si>
  <si>
    <t>EAST TALLAHATCHIE SCHOOL DISTRICT</t>
  </si>
  <si>
    <t>ECONOMIC DEVELOPMENT AUTHORITY OF JONES COUNTY</t>
  </si>
  <si>
    <t>ELLISVILLE STATE SCHOOL</t>
  </si>
  <si>
    <t>EMERGENCY MANAGEMENT DISTRICT</t>
  </si>
  <si>
    <t>FOREST MUNICIPAL SEPARATE SCHOOLS</t>
  </si>
  <si>
    <t>FORREST COUNTY AGRICULTURAL HIGH SCHOOL</t>
  </si>
  <si>
    <t>FORREST COUNTY BOARD OF EDUCATION</t>
  </si>
  <si>
    <t>FORREST COUNTY BOARD OF SUPERVISION</t>
  </si>
  <si>
    <t>FORREST COUNTY SOIL &amp; WATER CONSERVATION DISTRICT</t>
  </si>
  <si>
    <t>FRANKLIN COUNTY BOARD OF EDUCATION</t>
  </si>
  <si>
    <t>FRANKLIN COUNTY BOARD OF SUPERVISORS</t>
  </si>
  <si>
    <t>FRANKLIN COUNTY MEMORIAL HOSPITAL</t>
  </si>
  <si>
    <t>GEORGE COUNTY BOARD OF SUPERVISORS</t>
  </si>
  <si>
    <t>GEORGE COUNTY SOIL &amp; WATER CONSERVATION DISTRICT</t>
  </si>
  <si>
    <t>GEORGE COUNTY BOARD OF EDUCATION</t>
  </si>
  <si>
    <t>GOLDEN TRIANGLE COOPERATIVE SERVICE DISTRICT</t>
  </si>
  <si>
    <t>GRAND GULF MILITARY MONUMENT COMMISSION</t>
  </si>
  <si>
    <t>GREENE COUNTY BOARD OF EDUCATION</t>
  </si>
  <si>
    <t>GREENE COUNTY BOARD OF SUPERVISORS</t>
  </si>
  <si>
    <t>GREENWOOD MUNICIPAL SEPARATE SCHOOLS</t>
  </si>
  <si>
    <t>GOLDEN TRIANGLE REGIONAL SOLID WASTE MANAGEMENT AUTHORITY</t>
  </si>
  <si>
    <t>GRENADA COUNTY BOARD OF SUPERVISORS</t>
  </si>
  <si>
    <t>GRENADA COUNTY SOIL &amp; WATER CONSERVATION</t>
  </si>
  <si>
    <t>GULF REGIONAL PLANNING COMMISSION</t>
  </si>
  <si>
    <t>GULFPORT MUNICIPAL SEPARATE SCHOOLS</t>
  </si>
  <si>
    <t>HANCOCK COUNTY BOARD OF EDUCATION</t>
  </si>
  <si>
    <t>HANCOCK COUNTY BOARD OF SUPERVISORS</t>
  </si>
  <si>
    <t>HANCOCK COUNTY HUMAN RESOURCE AGENCY</t>
  </si>
  <si>
    <t>HANCOCK COUNTY LIBRARY SYSTEM</t>
  </si>
  <si>
    <t>HANCOCK COUNTY PLANNING COMMISSION</t>
  </si>
  <si>
    <t>HANCOCK COUNTY PORT &amp; HARBOR COMMISSION</t>
  </si>
  <si>
    <t>HANCOCK COUNTY SOIL CONSERVATION DISTRICT</t>
  </si>
  <si>
    <t>HANCOCK COUNTY WATER &amp; SEWER DISTRICT</t>
  </si>
  <si>
    <t>HARRISON COUNTY BOARD OF EDUCATION</t>
  </si>
  <si>
    <t>HARRISON COUNTY BOARD OF SUPERVISORS</t>
  </si>
  <si>
    <t>HARRISON COUNTY CIRCUIT CLERK</t>
  </si>
  <si>
    <t>HARRISON COUNTY DEVELOPMENT COMMISSION</t>
  </si>
  <si>
    <t>HARRISON COUNTY SOIL &amp; WATER CONSERVATION DISTRICT</t>
  </si>
  <si>
    <t>HARRISON COUNTY SUPREME CHANCERY CLERK</t>
  </si>
  <si>
    <t>HARRISON COUNTY LIBRARY SYSTEM</t>
  </si>
  <si>
    <t>HATTIESBURG PUBLIC SCHOOL DISTRICT</t>
  </si>
  <si>
    <t>HAZLEHURST MUNICIPAL SEPARATE SCHOOLS</t>
  </si>
  <si>
    <t>HINDS COUNTY BOARD OF EDUCATION</t>
  </si>
  <si>
    <t>HINDS COUNTY BOARD OF SUPERVISORS</t>
  </si>
  <si>
    <t>HINDS COUNTY BOARD OF SUPERVISORS/CIRCUIT CLERK</t>
  </si>
  <si>
    <t>HINDS COUNTY BOARD OF SUPERVISORS/CHANCERY CLERK</t>
  </si>
  <si>
    <t>HINDS COUNTY SOIL &amp; WATER CONSERVATION DISTRICT</t>
  </si>
  <si>
    <t>HOLLANDALE SCHOOL DISTRICT</t>
  </si>
  <si>
    <t>HOLLY SPRINGS MUNICIPAL SEPARATE SCHOOLS</t>
  </si>
  <si>
    <t>HOLMES COUNTY BOARD OF EDUCATION</t>
  </si>
  <si>
    <t>HOLMES COUNTY BOARD OF SUPERVISORS</t>
  </si>
  <si>
    <t>HOLMES COUNTY SOIL &amp; WATER CONSERVATION DISTRICT</t>
  </si>
  <si>
    <t>HOUSE OF REPRESENTATIVES</t>
  </si>
  <si>
    <t>HOUSTON MUNICIPAL SEPARATE SCHOOLS</t>
  </si>
  <si>
    <t>HUMPHREYS COUNTY BOARD OF EDUCATION</t>
  </si>
  <si>
    <t>HUMPHREYS COUNTY BOARD OF SUPERVISORS</t>
  </si>
  <si>
    <t>HUMPHREYS COUNTY LIBRARY</t>
  </si>
  <si>
    <t>INDIANOLA MUNICIPAL SEPARATE SCHOOL SYSTEM</t>
  </si>
  <si>
    <t>INFORMATION TECHNOLOGY SERVICES</t>
  </si>
  <si>
    <t>ISSAQUENA COUNTY BOARD OF SUPERVISORS</t>
  </si>
  <si>
    <t>ITAWAMBA COUNTY BOARD OF EDUCATION</t>
  </si>
  <si>
    <t>ITAWAMBA COUNTY BOARD OF SUPERVISORS</t>
  </si>
  <si>
    <t>ITAWAMBA COUNTY SOIL &amp; WATER CONSERVATION DISTRICT</t>
  </si>
  <si>
    <t>JACKSON COUNTY UTILITY AUTHORITY</t>
  </si>
  <si>
    <t>JACKSON COUNTY BOARD OF EDUCATION</t>
  </si>
  <si>
    <t>JACKSON COUNTY BOARD OF SUPERVISORS</t>
  </si>
  <si>
    <t>JACKSON COUNTY BOARD OF SUPERVISORS/ CIRCUIT CLERKS</t>
  </si>
  <si>
    <t>JACKSON COUNTY EMERGENCY COMMUNICATION DISTRICT</t>
  </si>
  <si>
    <t>JACKSON MUNICIPAL SEPARATE SCHOOLS</t>
  </si>
  <si>
    <t>JACKSON STATE UNIVERSITY</t>
  </si>
  <si>
    <t>JACKSON-GEORGE REGIONAL LIBRARY SYSTEM</t>
  </si>
  <si>
    <t>JASPER COUNTY BOARD OF SUPERVISORS</t>
  </si>
  <si>
    <t>JEFF DAVIS COUNTY BOARD OF SUPERVISORS</t>
  </si>
  <si>
    <t>JEFFERSON COUNTY BOARD OF EDUCATION</t>
  </si>
  <si>
    <t>JEFFERSON COUNTY BOARD OF SUPERVISORS</t>
  </si>
  <si>
    <t>JACKSON COUNTY BOARD OF SUPERVISORS/CHANCERY CLERKS</t>
  </si>
  <si>
    <t>JEFFERSON COUNTY HOSPITAL</t>
  </si>
  <si>
    <t>JEFFERSON DAVIS COUNTY BOARD OF EDUCATION</t>
  </si>
  <si>
    <t>JONES COUNTY BOARD OF EDUCATION</t>
  </si>
  <si>
    <t>JONES COUNTY BOARD OF SUPERVISORS</t>
  </si>
  <si>
    <t>KEMPER COUNTY BOARD OF EDUCATION</t>
  </si>
  <si>
    <t>KEMPER COUNTY BOARD OF SUPERVISORS</t>
  </si>
  <si>
    <t>KEMPER-NEWTON COUNTY REGIONAL LIBRARY</t>
  </si>
  <si>
    <t>KOSCIUSKO MUNICIPAL SEPARATE SCHOOLS</t>
  </si>
  <si>
    <t>KOSCIUSKO WATER &amp; LIGHT DEPARTMENT</t>
  </si>
  <si>
    <t>LAFAYETTE COUNTY BOARD OF EDUCATION</t>
  </si>
  <si>
    <t>LAFAYETTE COUNTY BOARD OF SUPERVISORS</t>
  </si>
  <si>
    <t>LAFAYETTE COUNTY SOIL/WATER CONSERVATION DISTRICT</t>
  </si>
  <si>
    <t>LAMAR COUNTY BOARD OF EDUCATION</t>
  </si>
  <si>
    <t>LAMAR COUNTY SOIL &amp; WATER CONSERVATION DISTRICT</t>
  </si>
  <si>
    <t>LAMAR COUNTY BOARD OF SUPERVISORS</t>
  </si>
  <si>
    <t>LAUDERDALE COUNTY BOARD OF EDUCATION</t>
  </si>
  <si>
    <t>LAUDERDALE COUNTY BOARD OF SUPERVISORS</t>
  </si>
  <si>
    <t>LAUDERDALE COUNTY EMERGENCY MEDICAL SERVICES</t>
  </si>
  <si>
    <t>LAWRENCE COUNTY BOARD OF EDUCATION</t>
  </si>
  <si>
    <t>LAWRENCE COUNTY BOARD OF SUPERVISORS</t>
  </si>
  <si>
    <t>LEAKE COUNTY BOARD OF EDUCATION</t>
  </si>
  <si>
    <t>LEAKE COUNTY BOARD OF SUPERVISORS</t>
  </si>
  <si>
    <t>LEE COUNTY BOARD OF SUPERVISORS</t>
  </si>
  <si>
    <t>LEE COUNTY SOIL &amp; WATER CONSERVATION DISTRICT</t>
  </si>
  <si>
    <t>LEE COUNTY BOARD OF EDUCATION</t>
  </si>
  <si>
    <t>LEE-ITAWAMBA COUNTY LIBRARY SYSTEM</t>
  </si>
  <si>
    <t>LEFLORE COUNTY BOARD OF EDUCATION</t>
  </si>
  <si>
    <t>LEFLORE COUNTY BOARD OF SUPERVISORS</t>
  </si>
  <si>
    <t>LAUDERDALE COUNTY SOIL &amp; WATER CONSERVATION DISTRICT</t>
  </si>
  <si>
    <t>LELAND SCHOOL DISTRICT</t>
  </si>
  <si>
    <t>LEVEE COMMISSIONERS YAZOO MS DELTA</t>
  </si>
  <si>
    <t>LINCOLN COUNTY BOARD OF EDUCATION</t>
  </si>
  <si>
    <t>LINCOLN COUNTY BOARD OF SUPERVISORS</t>
  </si>
  <si>
    <t>LONG BEACH MUNICIPAL SEPARATE SCHOOLS</t>
  </si>
  <si>
    <t>LOUISVILLE MUNICIPAL SEPARATE SCHOOLS</t>
  </si>
  <si>
    <t>LOWNDES COUNTY BOARD OF EDUCATION</t>
  </si>
  <si>
    <t>LOWNDES COUNTY BOARD OF SUPERVISORS</t>
  </si>
  <si>
    <t>LUMBERTON PUBLIC SCHOOL DISTRICT</t>
  </si>
  <si>
    <t>MADISON COUNTY – CANTON PUBLIC LIBRARY</t>
  </si>
  <si>
    <t>MADISON COUNTY BOARD OF EDUCATION</t>
  </si>
  <si>
    <t>MADISON COUNTY BOARD OF SUPERVISORS</t>
  </si>
  <si>
    <t>MADISON COUNTY ECONOMIC DEVELOPMENT AUTHORITY</t>
  </si>
  <si>
    <t>MADISON COUNTY NURSING HOME</t>
  </si>
  <si>
    <t>MADISON COUNTY SOIL &amp; WATER CONSERVATION DISTRICT</t>
  </si>
  <si>
    <t>MARION COUNTY BOARD OF EDUCATION</t>
  </si>
  <si>
    <t>MARION COUNTY BOARD OF SUPERVISORS</t>
  </si>
  <si>
    <t>MARION COUNTY SOIL &amp; WATER CONSERVATION DISTRICT</t>
  </si>
  <si>
    <t>MARSHALL COUNTY BOARD OF EDUCATION</t>
  </si>
  <si>
    <t>MARSHALL COUNTY BOARD OF SUPERVISORS</t>
  </si>
  <si>
    <t>MCCOMB MUNICIPAL SEPARATE SCHOOLS</t>
  </si>
  <si>
    <t>MEDICAID DIVISION-OFFICE OF GOVERNOR</t>
  </si>
  <si>
    <t>MENTAL HEALTH &amp; RETARDATION COMMISSION REGION 4</t>
  </si>
  <si>
    <t>MENTAL HEALTH &amp; RETARDATION COMMISSION REGION 6</t>
  </si>
  <si>
    <t>MENTAL HEALTH &amp; RETARDATION COMMISSION REGION 8</t>
  </si>
  <si>
    <t>MENTAL HEALTH DEPARTMENT OF MS</t>
  </si>
  <si>
    <t>MERIDIAN MUNICIPAL SEPARATE SCHOOLS</t>
  </si>
  <si>
    <t>MERIDIAN-LAUDERDALE COUNTY LIBRARY</t>
  </si>
  <si>
    <t>MID MISSISSIPPI REGIONAL LIBRARY</t>
  </si>
  <si>
    <t>MID-MISSISSIPPI DEVELOPMENT DISTRICT</t>
  </si>
  <si>
    <t>MILITARY DEPARTMENT AIR PROGRAMS</t>
  </si>
  <si>
    <t>MILITARY DEPARTMENT ARMY PROGRAMS</t>
  </si>
  <si>
    <t>MILITARY DEPARTMENT SHELBY BASE OPERATIONS</t>
  </si>
  <si>
    <t>MISSISSIPPI COMMUNITY COLLEGE BOARD</t>
  </si>
  <si>
    <t>MISSISSIPPI INSTITUTE FOR FOREST</t>
  </si>
  <si>
    <t>MISSISSIPPI DEPARTMENT OF EMPLOYMENT SECURITY</t>
  </si>
  <si>
    <t>MONROE COUNTY BOARD OF EDUCATION</t>
  </si>
  <si>
    <t>MONROE COUNTY BOARD OF SUPERVISORS</t>
  </si>
  <si>
    <t>MONTFORT JONES MEMORIAL HOSPITAL</t>
  </si>
  <si>
    <t>MONTGOMERY COUNTY BOARD OF EDUCATION</t>
  </si>
  <si>
    <t>MONTGOMERY COUNTY BOARD OF SUPERVISORS</t>
  </si>
  <si>
    <t>MOSS POINT MUNICIPAL SCHOOLS</t>
  </si>
  <si>
    <t>MOUND BAYOU PUBLIC SCHOOLS</t>
  </si>
  <si>
    <t>MISSISSIPPI BOARD OF GEOLOGISTS</t>
  </si>
  <si>
    <t>MISSISSIPPI BOARD OF NURSING</t>
  </si>
  <si>
    <t>MISSISSIPPI BUSINESS FINANCE CORPORATION</t>
  </si>
  <si>
    <t>MISSISSIPPI CAPITAL POST CONVICT</t>
  </si>
  <si>
    <t>MISSISSIPPI CHARTER SCHOOL AUTHORIZER B</t>
  </si>
  <si>
    <t>MISSISSIPPI DELTA COMMUNITY COLLEGE</t>
  </si>
  <si>
    <t>MISSISSIPPI DEPARTMENT OF MARINE RESOURCES</t>
  </si>
  <si>
    <t>MISSISSIPPI DEPARTMENT OF TRANSPORTATION</t>
  </si>
  <si>
    <t>MISSISSIPPI DEVELOPMENT AUTHORITY</t>
  </si>
  <si>
    <t>MISSISSIPPI GAMING COMMISSION</t>
  </si>
  <si>
    <t>MISSISSIPPI GULF COAST COMMUNITY COLLEGE</t>
  </si>
  <si>
    <t>MISSISSIPPI HIGHWAY SAFETY PATROL</t>
  </si>
  <si>
    <t>MISSISSIPPI LIBRARY COMMISSION</t>
  </si>
  <si>
    <t>MISSISSIPPI OFFICE OF THE STATE AUDITOR</t>
  </si>
  <si>
    <t>MISSISSIPPI PRISON INDUSTRIES CORPORATION</t>
  </si>
  <si>
    <t>MISSISSIPPI REAL ESTATE APPRAISER LICENSING</t>
  </si>
  <si>
    <t>MISSISSIPPI REGIONAL HOUSING AUTHORITY NUMBER IV</t>
  </si>
  <si>
    <t>MISSISSIPPI REGIONAL HOUSING AUTHORITY NUMBER V</t>
  </si>
  <si>
    <t>MISSISSIPPI REGIONAL HOUSING AUTHORITY NUMBER VI</t>
  </si>
  <si>
    <t>MISSISSIPPI REGIONAL HOUSING AUTHORITY NUMBER VII</t>
  </si>
  <si>
    <t>MISSISSIPPI STATE BOARD OF PHARMACY</t>
  </si>
  <si>
    <t>MISSISSIPPI STATE BOARD OF CONTRACTORS</t>
  </si>
  <si>
    <t>MISSISSIPPI STATE PERSONNEL BOARD</t>
  </si>
  <si>
    <t>MISSISSIPPI UNIVERSITY FOR WOMEN</t>
  </si>
  <si>
    <t>MISSISSIPPI VALLEY STATE UNIVERSITY</t>
  </si>
  <si>
    <t>MOUNT OLIVE TOWN OF</t>
  </si>
  <si>
    <t>MUNICIPAL ENERGY AGENCY OF MS</t>
  </si>
  <si>
    <t>NATCHEZ-ADAMS COUNTY PORT COMMISSION</t>
  </si>
  <si>
    <t>NATCHEZ-ADAMS SCHOOL DISTRICT</t>
  </si>
  <si>
    <t>NESHOBA COUNTY BOARD OF EDUCATION</t>
  </si>
  <si>
    <t>NESHOBA COUNTY BOARD OF SUPERVISORS</t>
  </si>
  <si>
    <t>NESHOBA COUNTY PUBLIC LIBRARY</t>
  </si>
  <si>
    <t>NESHOBA COUNTY SOIL CONSERVATION DISTRICT</t>
  </si>
  <si>
    <t>NEW ALBANY MUNICIPAL SEPARATE SCHOOLS</t>
  </si>
  <si>
    <t>NEWTON COUNTY BOARD OF EDUCATION</t>
  </si>
  <si>
    <t>NEWTON COUNTY BOARD OF SUPERVISORS</t>
  </si>
  <si>
    <t>NEWTON COUNTY SOIL CONSERVATION DISTRICT</t>
  </si>
  <si>
    <t>NEWTON MUNICIPAL SEPARATE SCHOOLS</t>
  </si>
  <si>
    <t>NORTH CARROLLTON TOWN OF</t>
  </si>
  <si>
    <t>NORTH BOLIVAR SCHOOL DISTRICT</t>
  </si>
  <si>
    <t>NORTH MISSISSIPPI REGIONAL CENTER</t>
  </si>
  <si>
    <t>NORTH PANOLA SCHOOL DISTRICT</t>
  </si>
  <si>
    <t>NORTH PIKE SCHOOL DISTRICT</t>
  </si>
  <si>
    <t>NORTHEAST MENTAL HEALTH</t>
  </si>
  <si>
    <t>NORTHEAST MISSISSIPPI NATURAL GAS DISTRICT</t>
  </si>
  <si>
    <t>NORTHEAST MISSISSIPPI COMMUNITY COLLEGE</t>
  </si>
  <si>
    <t>NORTHEAST MISSISSIPPI REGIONAL WATER SUPPLY DISTRICT</t>
  </si>
  <si>
    <t>NORTHWEST MISSISSIPPI COMMUNITY COLLEGE</t>
  </si>
  <si>
    <t>NOXUBEE COUNTY BOARD OF EDUCATION</t>
  </si>
  <si>
    <t>NOXUBEE COUNTY BOARD OF SUPERVISORS</t>
  </si>
  <si>
    <t>NOXUBEE COUNTY SOIL &amp; WATER CONSERVATION DISTRICT</t>
  </si>
  <si>
    <t>OFFICE OF STATE PUBLIC DEFENDER</t>
  </si>
  <si>
    <t>OKOLONA ELECTRIC DEPARTMENT</t>
  </si>
  <si>
    <t>OKTIBBEHA COUNTY BOARD OF EDUCATION</t>
  </si>
  <si>
    <t>OKTIBBEHA COUNTY BOARD OF SUPERVISORS</t>
  </si>
  <si>
    <t>OKTIBBEHA COUNTY LIBRARY SYSTEMS</t>
  </si>
  <si>
    <t>OTTER BAYOU DRAINAGE DISTRICT</t>
  </si>
  <si>
    <t>OXFORD MUNICIPAL SEPARATE SCHOOLS</t>
  </si>
  <si>
    <t>PANOLA COUNTY BOARD OF SUPERVISORS</t>
  </si>
  <si>
    <t>PANOLA COUNTY SOIL &amp; WATER CONSERVATION DISTRICT</t>
  </si>
  <si>
    <t>PASCAGOULA MUNICIPAL SEPARATE SCHOOLS</t>
  </si>
  <si>
    <t>PASS CHRISTIAN MUNICIPAL SCHOOLS</t>
  </si>
  <si>
    <t>PAT HARRISON WATERWAY DISTRICT</t>
  </si>
  <si>
    <t>PEARL RIVER BASIN DEVELOPMENT DISTRICT</t>
  </si>
  <si>
    <t>PEARL RIVER COUNTY BOARD OF EDUCATION</t>
  </si>
  <si>
    <t>PEARL RIVER COUNTY BOARD OF SUPERVISORS</t>
  </si>
  <si>
    <t>PEARL RIVER COUNTY LIBRARY SYSTEM</t>
  </si>
  <si>
    <t>PEARL RIVER VALLEY WATER SUPPLY DISTRICT</t>
  </si>
  <si>
    <t>PERRY COUNTY BOARD OF EDUCATION</t>
  </si>
  <si>
    <t>PERRY COUNTY BOARD OF SUPERVISORS</t>
  </si>
  <si>
    <t>PETAL MUNICIPAL SEPARATE SCHOOLS</t>
  </si>
  <si>
    <t>PHILADELPHIA MUNICIPAL SEPARATE SCHOOLS</t>
  </si>
  <si>
    <t>PHILADELPHIA-NESHOBA COUNTY PARK COMMISSION</t>
  </si>
  <si>
    <t>PICAYUNE MUNICIPAL SEPARATE SCHOOLS</t>
  </si>
  <si>
    <t>PIKE COUNTY BOARD OF SUPERVISORS</t>
  </si>
  <si>
    <t>PIKE-AMITE-WALTHALL COUNTY LIBRARY</t>
  </si>
  <si>
    <t>PINE FOREST REGIONAL LIBRARY</t>
  </si>
  <si>
    <t>PONTOTOC COUNTY BOARD OF EDUCATION</t>
  </si>
  <si>
    <t>PONTOTOC COUNTY BOARD OF SUPERVISORS</t>
  </si>
  <si>
    <t>PONTOTOC MUNICIPAL SEPARATE SCHOOLS</t>
  </si>
  <si>
    <t>POPLARVILLE MUNICIPAL SEPARATE SCHOOLS</t>
  </si>
  <si>
    <t>PORT AUTHORITY OF MISSISSIPPI</t>
  </si>
  <si>
    <t>PRENTISS COUNTY BOARD OF EDUCATION</t>
  </si>
  <si>
    <t>PRENTISS COUNTY BOARD OF SUPERVISORS</t>
  </si>
  <si>
    <t>PRENTISS COUNTY SOIL &amp; WATER CONSERVATION DISTRICT</t>
  </si>
  <si>
    <t>PUBLIC ACCOUNTANCY BOARD OF MISSISSIPPI</t>
  </si>
  <si>
    <t>PUBLIC EMPLOYEES’ RETIREMENT SYSTEM</t>
  </si>
  <si>
    <t>PUBLIC SERVICE COMMISSION</t>
  </si>
  <si>
    <t>QUITMAN COUNTY BOARD OF EDUCATION</t>
  </si>
  <si>
    <t>QUITMAN COUNTY BOARD OF SUPERVISORS</t>
  </si>
  <si>
    <t>PINE BELT REGIONAL SOLID WASTE MANAGEMENT AUTHORITY</t>
  </si>
  <si>
    <t>PONTOTOC COUNTY SOIL &amp; WATER CONSERVATION DISTRICT</t>
  </si>
  <si>
    <t>RANKIN COUNTY BOARD OF EDUCATION</t>
  </si>
  <si>
    <t>RANKIN COUNTY BOARD OF SUPERVISORS</t>
  </si>
  <si>
    <t>RANKIN COUNTY HUMAN RESOURCE AGENCY</t>
  </si>
  <si>
    <t>REHABILITATION SERVICES DEPARTMENT</t>
  </si>
  <si>
    <t>RICHTON MUNICIPAL SEPARATE SCHOOLS</t>
  </si>
  <si>
    <t>ROSEDALE-BOLIVAR COUNTY PORT COMMISSION</t>
  </si>
  <si>
    <t>RUNNELSTOWN UTILITY DISTRICT</t>
  </si>
  <si>
    <t>SCOTT COUNTY BOARD OF EDUCATION</t>
  </si>
  <si>
    <t>SCOTT COUNTY BOARD OF SUPERVISORS</t>
  </si>
  <si>
    <t>SEBASTOPOL NATIONAL GAS DISTRICT</t>
  </si>
  <si>
    <t>SENATOBIA MUNICIPAL SEPARATE SCHOOLS</t>
  </si>
  <si>
    <t>SHARKEY COUNTY BOARD OF SUPERVISORS</t>
  </si>
  <si>
    <t>SHARKEY-ISSAQUENA COUNTY LIBRARY</t>
  </si>
  <si>
    <t>SHAW SCHOOL DISTRICT</t>
  </si>
  <si>
    <t>SIMPSON COUNTY BOARD OF EDUCATION</t>
  </si>
  <si>
    <t>SIMPSON COUNTY BOARD OF SUPERVISORS</t>
  </si>
  <si>
    <t>SIMPSON COUNTY PARKS &amp; RECREATION</t>
  </si>
  <si>
    <t>SMITH COUNTY BOARD OF EDUCATION</t>
  </si>
  <si>
    <t>SMITH COUNTY BOARD OF SUPERVISORS</t>
  </si>
  <si>
    <t>SOUTH SUNFLOWER COUNTY HOSPITAL</t>
  </si>
  <si>
    <t>SOUTH DELTA REGIONAL HOUSING AUTHORITY</t>
  </si>
  <si>
    <t>SOUTH MISSISSIPPI REGIONAL CENTER</t>
  </si>
  <si>
    <t>SOUTH MISSISSIPPI REGIONAL LIBRARY</t>
  </si>
  <si>
    <t>SOUTH MISSISSIPPI STATE HOSPITAL</t>
  </si>
  <si>
    <t>SOUTH PANOLA SCHOOL DISTRICT</t>
  </si>
  <si>
    <t>SOUTH TIPPAH SCHOOL DISTRICT</t>
  </si>
  <si>
    <t>SOUTHWEST MISSISSIPPI COMMUNITY COLLEGE</t>
  </si>
  <si>
    <t>STARKVILLE ELECTRIC DEPARTMENT</t>
  </si>
  <si>
    <t>STARKVILLE MUNICIPAL SEPARATE SCHOOLS</t>
  </si>
  <si>
    <t>STARKVILLE PARK COMMISSION</t>
  </si>
  <si>
    <t>STATE BOARD OF PHYSICAL THERAPY</t>
  </si>
  <si>
    <t>STATE DEPARTMENT OF HEALTH</t>
  </si>
  <si>
    <t>STATE INSURANCE DEPARTMENT/FIRE MARSHALL</t>
  </si>
  <si>
    <t>STATE SOIL/WATER CONSERVATION COMMISSION</t>
  </si>
  <si>
    <t>STONE COUNTY BOARD OF EDUCATION</t>
  </si>
  <si>
    <t>STONE COUNTY BOARD OF SUPERVISORS</t>
  </si>
  <si>
    <t>SUNFLOWER COUNTY BOARD OF EDUCATION</t>
  </si>
  <si>
    <t>SUNFLOWER COUNTY BOARD OF SUPERVISORS</t>
  </si>
  <si>
    <t>SUNFLOWER COUNTY LIBRARY</t>
  </si>
  <si>
    <t>SUNFLOWER COUNTY CONSOLIDATED SCHOOL DISTRICT</t>
  </si>
  <si>
    <t>TALLAHATCHIE COUNTY BOARD OF SUPERVISORS</t>
  </si>
  <si>
    <t>SOUTHWEST MISSISSIPPI MENTAL HEALTH &amp; RETARDATION COMMISSION REGION XI</t>
  </si>
  <si>
    <t>SUNFLOWER COUNTY SOIL &amp; WATER CONSERVATION DISTRICT</t>
  </si>
  <si>
    <t>TALLAHATCHIE COUNTY LIBRARY</t>
  </si>
  <si>
    <t>TATE COUNTY BOARD OF EDUCATION</t>
  </si>
  <si>
    <t>TATE COUNTY BOARD OF SUPERVISORS</t>
  </si>
  <si>
    <t>TIPPAH COUNTY BOARD OF SUPERVISORS/CHANCERY CLERK</t>
  </si>
  <si>
    <t>TISHOMINGO COUNTY BOARD OF SUPERVISORS</t>
  </si>
  <si>
    <t>TISHOMINGO COUNTY MUNICIPAL SEPARATE SCHOOLS</t>
  </si>
  <si>
    <t>TOMBIGBEE RIVER VALLEY WATER MANAGEMENT DISTRICT</t>
  </si>
  <si>
    <t>TUNICA COUNTY AIRPORT COMMISSION</t>
  </si>
  <si>
    <t>TUNICA COUNTY BOARD OF EDUCATION</t>
  </si>
  <si>
    <t>TUNICA COUNTY BOARD OF SUPERVISORS</t>
  </si>
  <si>
    <t>TUPELO PUBLIC SCHOOL DISTRICT</t>
  </si>
  <si>
    <t>TUPELO WATER &amp; LIGHT DEPARTMENT</t>
  </si>
  <si>
    <t>UNION COUNTY BOARD OF EDUCATION</t>
  </si>
  <si>
    <t>UNION COUNTY BOARD OF SUPERVISORS</t>
  </si>
  <si>
    <t>TALLAHATCHIE COUNTY SOIL &amp; WATER CONSERVATION DISTRICT</t>
  </si>
  <si>
    <t>UNION COUNTY SOIL &amp; WATER CONSERVATION DISTRICT</t>
  </si>
  <si>
    <t>UNION MUNICIPAL SEPARATE SCHOOLS</t>
  </si>
  <si>
    <t>UNIVERSITY MEDICAL CENTER</t>
  </si>
  <si>
    <t>UNIVERSITY OF SOUTHERN MISSISSIPPI</t>
  </si>
  <si>
    <t>UNIVERSITY PRESS OF MISSISSIPPI INC</t>
  </si>
  <si>
    <t>VICKSBURG BRIDGE COMMISSION</t>
  </si>
  <si>
    <t>VICKSBURG CONVENTION &amp; VISITORS BUREAU</t>
  </si>
  <si>
    <t>VICKSBURG/WARREN SCHOOL DISTRICT</t>
  </si>
  <si>
    <t>WALTHALL COUNTY BOARD OF SUPERVISORS</t>
  </si>
  <si>
    <t>WALTHALL COUNTY SOIL &amp; WATER CONSERVATION DISTRICT</t>
  </si>
  <si>
    <t>WARREN COUNTY BOARD OF SUPERVISORS</t>
  </si>
  <si>
    <t>WARREN COUNTY SOIL &amp; WATER CONSERVATION DISTRICT</t>
  </si>
  <si>
    <t>WASHINGTON COUNTY BOARD OF SUPERVISORS</t>
  </si>
  <si>
    <t>WASHINGTON COUNTY LIBRARY</t>
  </si>
  <si>
    <t>WAYNE COUNTY BOARD OF EDUCATION</t>
  </si>
  <si>
    <t>WAYNE COUNTY BOARD OF SUPERVISORS</t>
  </si>
  <si>
    <t>WAYNE COUNTY ECONOMIC DEVELOPMENT DISTRICT</t>
  </si>
  <si>
    <t>WAYNE COUNTY SOIL &amp; WATER CONSERVATION DISTRICT</t>
  </si>
  <si>
    <t>WAYNESBORO-WAYNE COUNTY LIBRARY SYSTEM</t>
  </si>
  <si>
    <t>WEBSTER COUNTY BOARD OF SUPERVISORS</t>
  </si>
  <si>
    <t>WEBSTER COUNTY BOARD OF EDUCATION</t>
  </si>
  <si>
    <t>WEEMS COMMUNITY MENTAL HEALTH CENTER</t>
  </si>
  <si>
    <t>WEST BOLIVAR SCHOOL DISTRICT</t>
  </si>
  <si>
    <t>WEST JACKSON COUNTY UTIL DISTRICT</t>
  </si>
  <si>
    <t>WEST JASPER SCHOOL DISTRICT</t>
  </si>
  <si>
    <t>WEST POINT MUNICIPAL SEPARATE SCHOOLS</t>
  </si>
  <si>
    <t>WEST TALLAHATCHIE SCHOOL DISTRICT</t>
  </si>
  <si>
    <t>WESTERN LINE SCHOOL DISTRICT</t>
  </si>
  <si>
    <t>WILKINSON COUNTY BOARD OF EDUCATION</t>
  </si>
  <si>
    <t>WILKINSON COUNTY BOARD SUPERVISORS</t>
  </si>
  <si>
    <t>WINONA MUNICIPAL SEPARATE SCHOOLS</t>
  </si>
  <si>
    <t>WINSTON COUNTY BOARD OF SUPERVISORS</t>
  </si>
  <si>
    <t>WINSTON COUNTY ECONOMIC DEVELOPMENT DISTRICT</t>
  </si>
  <si>
    <t>WINSTON COUNTY SOIL CONSERVATION DISTRICT</t>
  </si>
  <si>
    <t>WORKERS’ COMPENSATION</t>
  </si>
  <si>
    <t>YALOBUSHA COUNTY BOARD OF SUPERVISORS</t>
  </si>
  <si>
    <t>YALOBUSHA COUNTY LIBRARY SYSTEM</t>
  </si>
  <si>
    <t>YAZOO CITY OF</t>
  </si>
  <si>
    <t>YAZOO CITY MUNICIPAL SEPARATE SCHOOLS</t>
  </si>
  <si>
    <t>YAZOO CITY PUBLIC SERVICE COMMISSION</t>
  </si>
  <si>
    <t>YAZOO COUNTY BOARD OF EDUCATION</t>
  </si>
  <si>
    <t>YAZOO COUNTY BOARD OF SUPERVISORS</t>
  </si>
  <si>
    <t>YAZOO COUNTY CONVENTION &amp; VISITORS BUREAU</t>
  </si>
  <si>
    <t>YAZOO COUNTY SOIL &amp; WATER CONSERVATION DISTRICT</t>
  </si>
  <si>
    <t>YAZOO LIBRARY ASSOCIATION</t>
  </si>
  <si>
    <t>YAZOO-MS DELTA JOINT WATER MANAGEMENT DISTRICT</t>
  </si>
  <si>
    <t>WILKINSON COUNTY SOIL &amp; WATER CONSERVATION DISTRICT</t>
  </si>
  <si>
    <t>ALLARATCHIE CO BD OF SUPR</t>
  </si>
  <si>
    <t>ALLARATCHIE CO LIBRARY</t>
  </si>
  <si>
    <t>count</t>
  </si>
  <si>
    <t>Mississippi</t>
  </si>
  <si>
    <t>MS</t>
  </si>
  <si>
    <t>LEAID_match</t>
  </si>
  <si>
    <t>district_contributions</t>
  </si>
  <si>
    <t>State</t>
  </si>
  <si>
    <t>state_abv</t>
  </si>
  <si>
    <t>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</si>
</sst>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FF0000"/>
      <name val="Aptos Narrow"/>
      <scheme val="minor"/>
    </font>
    <font>
      <sz val="12"/>
      <color rgb="FF212121"/>
      <name val="Aptos Narrow"/>
      <scheme val="minor"/>
    </font>
    <font>
      <sz val="12"/>
      <color rgb="FF232323"/>
      <name val="Aptos Narrow"/>
      <scheme val="minor"/>
    </font>
    <font>
      <sz val="12"/>
      <color rgb="FF1A1A1A"/>
      <name val="Aptos Narrow"/>
      <scheme val="minor"/>
    </font>
    <font>
      <sz val="12"/>
      <color rgb="FF313131"/>
      <name val="Aptos Narrow"/>
      <scheme val="minor"/>
    </font>
    <font>
      <sz val="12"/>
      <color rgb="FF242424"/>
      <name val="Aptos Narrow"/>
      <scheme val="minor"/>
    </font>
    <font>
      <sz val="12"/>
      <color rgb="FF3B3B3B"/>
      <name val="Aptos Narrow"/>
      <scheme val="minor"/>
    </font>
    <font>
      <sz val="12"/>
      <color rgb="FF1C1C1C"/>
      <name val="Aptos Narrow"/>
      <scheme val="minor"/>
    </font>
    <font>
      <sz val="12"/>
      <color rgb="FF2F2F2F"/>
      <name val="Aptos Narrow"/>
      <scheme val="minor"/>
    </font>
    <font>
      <sz val="12"/>
      <color rgb="FF3F3F3F"/>
      <name val="Aptos Narrow"/>
      <scheme val="minor"/>
    </font>
    <font>
      <sz val="12"/>
      <color rgb="FF3A3A3A"/>
      <name val="Aptos Narrow"/>
      <scheme val="minor"/>
    </font>
    <font>
      <sz val="12"/>
      <color rgb="FF2A2A2A"/>
      <name val="Aptos Narrow"/>
      <scheme val="minor"/>
    </font>
    <font>
      <sz val="12"/>
      <color rgb="FF464646"/>
      <name val="Aptos Narrow"/>
      <scheme val="minor"/>
    </font>
    <font>
      <sz val="12"/>
      <color rgb="FF1F1F1F"/>
      <name val="Aptos Narrow"/>
      <scheme val="minor"/>
    </font>
    <font>
      <sz val="12"/>
      <color rgb="FF1D1D1D"/>
      <name val="Aptos Narrow"/>
      <scheme val="minor"/>
    </font>
    <font>
      <sz val="12"/>
      <color rgb="FF343434"/>
      <name val="Aptos Narrow"/>
      <scheme val="minor"/>
    </font>
    <font>
      <sz val="12"/>
      <color rgb="FF959595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3" fontId="2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/>
    <xf numFmtId="164" fontId="2" fillId="0" borderId="0" xfId="1" applyNumberFormat="1" applyFont="1"/>
    <xf numFmtId="164" fontId="3" fillId="0" borderId="0" xfId="0" applyNumberFormat="1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3" fontId="0" fillId="0" borderId="0" xfId="0" applyNumberFormat="1"/>
    <xf numFmtId="164" fontId="0" fillId="0" borderId="0" xfId="1" applyNumberFormat="1" applyFont="1"/>
    <xf numFmtId="164" fontId="0" fillId="0" borderId="0" xfId="0" applyNumberFormat="1"/>
    <xf numFmtId="0" fontId="4" fillId="0" borderId="0" xfId="0" applyFont="1"/>
    <xf numFmtId="3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3" fontId="5" fillId="0" borderId="0" xfId="0" applyNumberFormat="1" applyFont="1"/>
    <xf numFmtId="10" fontId="5" fillId="0" borderId="0" xfId="0" applyNumberFormat="1" applyFont="1"/>
    <xf numFmtId="0" fontId="6" fillId="0" borderId="0" xfId="0" applyFont="1"/>
    <xf numFmtId="3" fontId="7" fillId="0" borderId="0" xfId="0" applyNumberFormat="1" applyFont="1"/>
    <xf numFmtId="10" fontId="6" fillId="0" borderId="0" xfId="0" applyNumberFormat="1" applyFont="1"/>
    <xf numFmtId="3" fontId="6" fillId="0" borderId="0" xfId="0" applyNumberFormat="1" applyFont="1"/>
    <xf numFmtId="0" fontId="8" fillId="0" borderId="0" xfId="0" applyFont="1"/>
    <xf numFmtId="3" fontId="9" fillId="0" borderId="0" xfId="0" applyNumberFormat="1" applyFont="1"/>
    <xf numFmtId="10" fontId="8" fillId="0" borderId="0" xfId="0" applyNumberFormat="1" applyFont="1"/>
    <xf numFmtId="3" fontId="8" fillId="0" borderId="0" xfId="0" applyNumberFormat="1" applyFont="1"/>
    <xf numFmtId="0" fontId="10" fillId="0" borderId="0" xfId="0" applyFont="1"/>
    <xf numFmtId="3" fontId="10" fillId="0" borderId="0" xfId="0" applyNumberFormat="1" applyFont="1"/>
    <xf numFmtId="10" fontId="10" fillId="0" borderId="0" xfId="0" applyNumberFormat="1" applyFont="1"/>
    <xf numFmtId="3" fontId="11" fillId="0" borderId="0" xfId="0" applyNumberFormat="1" applyFont="1"/>
    <xf numFmtId="3" fontId="12" fillId="0" borderId="0" xfId="0" applyNumberFormat="1" applyFont="1"/>
    <xf numFmtId="0" fontId="14" fillId="0" borderId="0" xfId="0" applyFont="1"/>
    <xf numFmtId="3" fontId="14" fillId="0" borderId="0" xfId="0" applyNumberFormat="1" applyFont="1"/>
    <xf numFmtId="10" fontId="14" fillId="0" borderId="0" xfId="0" applyNumberFormat="1" applyFont="1"/>
    <xf numFmtId="3" fontId="15" fillId="0" borderId="0" xfId="0" applyNumberFormat="1" applyFont="1"/>
    <xf numFmtId="0" fontId="16" fillId="0" borderId="0" xfId="0" applyFont="1"/>
    <xf numFmtId="3" fontId="16" fillId="0" borderId="0" xfId="0" applyNumberFormat="1" applyFont="1"/>
    <xf numFmtId="10" fontId="16" fillId="0" borderId="0" xfId="0" applyNumberFormat="1" applyFont="1"/>
    <xf numFmtId="0" fontId="17" fillId="0" borderId="0" xfId="0" applyFont="1"/>
    <xf numFmtId="3" fontId="17" fillId="0" borderId="0" xfId="0" applyNumberFormat="1" applyFont="1"/>
    <xf numFmtId="10" fontId="17" fillId="0" borderId="0" xfId="0" applyNumberFormat="1" applyFont="1"/>
    <xf numFmtId="3" fontId="18" fillId="0" borderId="0" xfId="0" applyNumberFormat="1" applyFont="1"/>
    <xf numFmtId="3" fontId="2" fillId="0" borderId="0" xfId="0" applyNumberFormat="1" applyFont="1" applyAlignment="1"/>
    <xf numFmtId="10" fontId="2" fillId="0" borderId="0" xfId="0" applyNumberFormat="1" applyFont="1" applyAlignment="1"/>
    <xf numFmtId="0" fontId="4" fillId="2" borderId="0" xfId="0" applyFont="1" applyFill="1"/>
    <xf numFmtId="164" fontId="16" fillId="0" borderId="0" xfId="1" applyNumberFormat="1" applyFont="1"/>
    <xf numFmtId="164" fontId="4" fillId="2" borderId="0" xfId="1" applyNumberFormat="1" applyFont="1" applyFill="1"/>
    <xf numFmtId="164" fontId="4" fillId="0" borderId="0" xfId="1" applyNumberFormat="1" applyFont="1"/>
    <xf numFmtId="164" fontId="5" fillId="0" borderId="0" xfId="1" applyNumberFormat="1" applyFont="1"/>
    <xf numFmtId="164" fontId="17" fillId="0" borderId="0" xfId="1" applyNumberFormat="1" applyFont="1"/>
    <xf numFmtId="164" fontId="12" fillId="0" borderId="0" xfId="1" applyNumberFormat="1" applyFont="1"/>
    <xf numFmtId="164" fontId="2" fillId="0" borderId="0" xfId="1" applyNumberFormat="1" applyFont="1" applyAlignment="1"/>
    <xf numFmtId="164" fontId="18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36E4-63AD-CD49-AAA5-E2EAA7E5DE8C}">
  <sheetPr>
    <tabColor rgb="FF002060"/>
  </sheetPr>
  <dimension ref="A1:K8627"/>
  <sheetViews>
    <sheetView tabSelected="1" workbookViewId="0">
      <selection activeCell="F4" sqref="F4"/>
    </sheetView>
  </sheetViews>
  <sheetFormatPr baseColWidth="10" defaultRowHeight="16" x14ac:dyDescent="0.2"/>
  <cols>
    <col min="5" max="5" width="43.1640625" bestFit="1" customWidth="1"/>
    <col min="6" max="6" width="70.33203125" bestFit="1" customWidth="1"/>
    <col min="7" max="7" width="20.5" style="12" bestFit="1" customWidth="1"/>
    <col min="8" max="8" width="11.83203125" bestFit="1" customWidth="1"/>
  </cols>
  <sheetData>
    <row r="1" spans="1:8" x14ac:dyDescent="0.2">
      <c r="A1" t="s">
        <v>1153</v>
      </c>
      <c r="B1" s="1" t="s">
        <v>903</v>
      </c>
      <c r="C1" s="1" t="s">
        <v>2509</v>
      </c>
      <c r="D1" s="1" t="s">
        <v>2510</v>
      </c>
      <c r="E1" s="1" t="s">
        <v>2511</v>
      </c>
      <c r="F1" s="1" t="s">
        <v>1152</v>
      </c>
      <c r="G1" s="6" t="s">
        <v>2508</v>
      </c>
      <c r="H1" s="1" t="s">
        <v>2507</v>
      </c>
    </row>
    <row r="2" spans="1:8" x14ac:dyDescent="0.2">
      <c r="A2" t="str">
        <f>H2</f>
        <v/>
      </c>
      <c r="B2" s="1">
        <v>2015</v>
      </c>
      <c r="C2" s="1" t="s">
        <v>2505</v>
      </c>
      <c r="D2" s="1" t="s">
        <v>2506</v>
      </c>
      <c r="E2" s="1" t="s">
        <v>2019</v>
      </c>
      <c r="F2" s="1" t="s">
        <v>0</v>
      </c>
      <c r="G2" s="6">
        <v>404810</v>
      </c>
      <c r="H2" t="str">
        <f>IFERROR(VLOOKUP(F2,'LEAID Match'!$A$2:$B$142,2,FALSE),"")</f>
        <v/>
      </c>
    </row>
    <row r="3" spans="1:8" x14ac:dyDescent="0.2">
      <c r="A3" t="str">
        <f t="shared" ref="A3:A66" si="0">H3</f>
        <v/>
      </c>
      <c r="B3">
        <v>2016</v>
      </c>
      <c r="C3" s="1" t="s">
        <v>2505</v>
      </c>
      <c r="D3" s="1" t="s">
        <v>2506</v>
      </c>
      <c r="E3" s="1" t="s">
        <v>2019</v>
      </c>
      <c r="F3" s="1" t="s">
        <v>0</v>
      </c>
      <c r="G3" s="12">
        <v>435766</v>
      </c>
      <c r="H3" t="str">
        <f>IFERROR(VLOOKUP(F3,'LEAID Match'!$A$2:$B$142,2,FALSE),"")</f>
        <v/>
      </c>
    </row>
    <row r="4" spans="1:8" x14ac:dyDescent="0.2">
      <c r="A4" t="str">
        <f t="shared" si="0"/>
        <v/>
      </c>
      <c r="B4" s="1">
        <v>2017</v>
      </c>
      <c r="C4" s="1" t="s">
        <v>2505</v>
      </c>
      <c r="D4" s="1" t="s">
        <v>2506</v>
      </c>
      <c r="E4" s="1" t="s">
        <v>2019</v>
      </c>
      <c r="F4" s="1" t="s">
        <v>0</v>
      </c>
      <c r="G4" s="47">
        <v>469758</v>
      </c>
      <c r="H4" t="str">
        <f>IFERROR(VLOOKUP(F4,'LEAID Match'!$A$2:$B$142,2,FALSE),"")</f>
        <v/>
      </c>
    </row>
    <row r="5" spans="1:8" x14ac:dyDescent="0.2">
      <c r="A5" t="str">
        <f t="shared" si="0"/>
        <v/>
      </c>
      <c r="B5" s="1">
        <v>2018</v>
      </c>
      <c r="C5" s="1" t="s">
        <v>2505</v>
      </c>
      <c r="D5" s="1" t="s">
        <v>2506</v>
      </c>
      <c r="E5" s="1" t="s">
        <v>2019</v>
      </c>
      <c r="F5" s="1" t="s">
        <v>0</v>
      </c>
      <c r="G5" s="6">
        <v>482544</v>
      </c>
      <c r="H5" t="str">
        <f>IFERROR(VLOOKUP(F5,'LEAID Match'!$A$2:$B$142,2,FALSE),"")</f>
        <v/>
      </c>
    </row>
    <row r="6" spans="1:8" x14ac:dyDescent="0.2">
      <c r="A6" t="str">
        <f t="shared" si="0"/>
        <v/>
      </c>
      <c r="B6" s="1">
        <v>2019</v>
      </c>
      <c r="C6" s="1" t="s">
        <v>2505</v>
      </c>
      <c r="D6" s="1" t="s">
        <v>2506</v>
      </c>
      <c r="E6" s="1" t="s">
        <v>2019</v>
      </c>
      <c r="F6" s="1" t="s">
        <v>0</v>
      </c>
      <c r="G6" s="6">
        <v>492583</v>
      </c>
      <c r="H6" t="str">
        <f>IFERROR(VLOOKUP(F6,'LEAID Match'!$A$2:$B$142,2,FALSE),"")</f>
        <v/>
      </c>
    </row>
    <row r="7" spans="1:8" x14ac:dyDescent="0.2">
      <c r="A7" t="str">
        <f t="shared" si="0"/>
        <v/>
      </c>
      <c r="B7" s="1">
        <v>2020</v>
      </c>
      <c r="C7" s="1" t="s">
        <v>2505</v>
      </c>
      <c r="D7" s="1" t="s">
        <v>2506</v>
      </c>
      <c r="E7" s="1" t="s">
        <v>2019</v>
      </c>
      <c r="F7" s="1" t="s">
        <v>0</v>
      </c>
      <c r="G7" s="6">
        <v>561880</v>
      </c>
      <c r="H7" t="str">
        <f>IFERROR(VLOOKUP(F7,'LEAID Match'!$A$2:$B$142,2,FALSE),"")</f>
        <v/>
      </c>
    </row>
    <row r="8" spans="1:8" x14ac:dyDescent="0.2">
      <c r="A8" t="str">
        <f t="shared" si="0"/>
        <v/>
      </c>
      <c r="B8" s="1">
        <v>2021</v>
      </c>
      <c r="C8" s="1" t="s">
        <v>2505</v>
      </c>
      <c r="D8" s="1" t="s">
        <v>2506</v>
      </c>
      <c r="E8" s="1" t="s">
        <v>2019</v>
      </c>
      <c r="F8" s="1" t="s">
        <v>0</v>
      </c>
      <c r="G8" s="6">
        <v>597612</v>
      </c>
      <c r="H8" t="str">
        <f>IFERROR(VLOOKUP(F8,'LEAID Match'!$A$2:$B$142,2,FALSE),"")</f>
        <v/>
      </c>
    </row>
    <row r="9" spans="1:8" x14ac:dyDescent="0.2">
      <c r="A9" t="str">
        <f t="shared" si="0"/>
        <v/>
      </c>
      <c r="B9" s="1">
        <v>2022</v>
      </c>
      <c r="C9" s="1" t="s">
        <v>2505</v>
      </c>
      <c r="D9" s="1" t="s">
        <v>2506</v>
      </c>
      <c r="E9" s="1" t="s">
        <v>2019</v>
      </c>
      <c r="F9" s="1" t="s">
        <v>0</v>
      </c>
      <c r="G9" s="6">
        <v>625086</v>
      </c>
      <c r="H9" t="str">
        <f>IFERROR(VLOOKUP(F9,'LEAID Match'!$A$2:$B$142,2,FALSE),"")</f>
        <v/>
      </c>
    </row>
    <row r="10" spans="1:8" x14ac:dyDescent="0.2">
      <c r="A10" t="str">
        <f t="shared" si="0"/>
        <v/>
      </c>
      <c r="B10" s="1">
        <v>2023</v>
      </c>
      <c r="C10" s="1" t="s">
        <v>2505</v>
      </c>
      <c r="D10" s="1" t="s">
        <v>2506</v>
      </c>
      <c r="E10" s="1" t="s">
        <v>2019</v>
      </c>
      <c r="F10" s="1" t="s">
        <v>0</v>
      </c>
      <c r="G10" s="6">
        <v>684599</v>
      </c>
      <c r="H10" t="str">
        <f>IFERROR(VLOOKUP(F10,'LEAID Match'!$A$2:$B$142,2,FALSE),"")</f>
        <v/>
      </c>
    </row>
    <row r="11" spans="1:8" x14ac:dyDescent="0.2">
      <c r="A11" t="str">
        <f t="shared" si="0"/>
        <v/>
      </c>
      <c r="B11" s="1">
        <v>2024</v>
      </c>
      <c r="C11" s="1" t="s">
        <v>2505</v>
      </c>
      <c r="D11" s="1" t="s">
        <v>2506</v>
      </c>
      <c r="E11" s="1" t="s">
        <v>2019</v>
      </c>
      <c r="F11" s="1" t="s">
        <v>0</v>
      </c>
      <c r="G11" s="6">
        <v>660418</v>
      </c>
      <c r="H11" t="str">
        <f>IFERROR(VLOOKUP(F11,'LEAID Match'!$A$2:$B$142,2,FALSE),"")</f>
        <v/>
      </c>
    </row>
    <row r="12" spans="1:8" x14ac:dyDescent="0.2">
      <c r="A12">
        <f t="shared" si="0"/>
        <v>2800360</v>
      </c>
      <c r="B12" s="1">
        <v>2015</v>
      </c>
      <c r="C12" s="1" t="s">
        <v>2505</v>
      </c>
      <c r="D12" s="1" t="s">
        <v>2506</v>
      </c>
      <c r="E12" s="1" t="s">
        <v>2019</v>
      </c>
      <c r="F12" s="1" t="s">
        <v>1</v>
      </c>
      <c r="G12" s="6">
        <v>1050045</v>
      </c>
      <c r="H12">
        <f>IFERROR(VLOOKUP(F12,'LEAID Match'!$A$2:$B$142,2,FALSE),"")</f>
        <v>2800360</v>
      </c>
    </row>
    <row r="13" spans="1:8" x14ac:dyDescent="0.2">
      <c r="A13">
        <f t="shared" si="0"/>
        <v>2800360</v>
      </c>
      <c r="B13">
        <v>2016</v>
      </c>
      <c r="C13" s="1" t="s">
        <v>2505</v>
      </c>
      <c r="D13" s="1" t="s">
        <v>2506</v>
      </c>
      <c r="E13" s="1" t="s">
        <v>2019</v>
      </c>
      <c r="F13" s="1" t="s">
        <v>1</v>
      </c>
      <c r="G13" s="12">
        <v>1143889</v>
      </c>
      <c r="H13">
        <f>IFERROR(VLOOKUP(F13,'LEAID Match'!$A$2:$B$142,2,FALSE),"")</f>
        <v>2800360</v>
      </c>
    </row>
    <row r="14" spans="1:8" x14ac:dyDescent="0.2">
      <c r="A14">
        <f t="shared" si="0"/>
        <v>2800360</v>
      </c>
      <c r="B14" s="1">
        <v>2017</v>
      </c>
      <c r="C14" s="1" t="s">
        <v>2505</v>
      </c>
      <c r="D14" s="1" t="s">
        <v>2506</v>
      </c>
      <c r="E14" s="1" t="s">
        <v>2019</v>
      </c>
      <c r="F14" s="1" t="s">
        <v>1</v>
      </c>
      <c r="G14" s="47">
        <v>1085421</v>
      </c>
      <c r="H14">
        <f>IFERROR(VLOOKUP(F14,'LEAID Match'!$A$2:$B$142,2,FALSE),"")</f>
        <v>2800360</v>
      </c>
    </row>
    <row r="15" spans="1:8" x14ac:dyDescent="0.2">
      <c r="A15">
        <f t="shared" si="0"/>
        <v>2800360</v>
      </c>
      <c r="B15" s="1">
        <v>2018</v>
      </c>
      <c r="C15" s="1" t="s">
        <v>2505</v>
      </c>
      <c r="D15" s="1" t="s">
        <v>2506</v>
      </c>
      <c r="E15" s="1" t="s">
        <v>2019</v>
      </c>
      <c r="F15" s="1" t="s">
        <v>1</v>
      </c>
      <c r="G15" s="6">
        <v>1045955</v>
      </c>
      <c r="H15">
        <f>IFERROR(VLOOKUP(F15,'LEAID Match'!$A$2:$B$142,2,FALSE),"")</f>
        <v>2800360</v>
      </c>
    </row>
    <row r="16" spans="1:8" x14ac:dyDescent="0.2">
      <c r="A16">
        <f t="shared" si="0"/>
        <v>2800360</v>
      </c>
      <c r="B16" s="1">
        <v>2019</v>
      </c>
      <c r="C16" s="1" t="s">
        <v>2505</v>
      </c>
      <c r="D16" s="1" t="s">
        <v>2506</v>
      </c>
      <c r="E16" s="1" t="s">
        <v>2019</v>
      </c>
      <c r="F16" s="1" t="s">
        <v>1</v>
      </c>
      <c r="G16" s="6">
        <v>1061590</v>
      </c>
      <c r="H16">
        <f>IFERROR(VLOOKUP(F16,'LEAID Match'!$A$2:$B$142,2,FALSE),"")</f>
        <v>2800360</v>
      </c>
    </row>
    <row r="17" spans="1:8" x14ac:dyDescent="0.2">
      <c r="A17">
        <f t="shared" si="0"/>
        <v>2800360</v>
      </c>
      <c r="B17" s="1">
        <v>2020</v>
      </c>
      <c r="C17" s="1" t="s">
        <v>2505</v>
      </c>
      <c r="D17" s="1" t="s">
        <v>2506</v>
      </c>
      <c r="E17" s="1" t="s">
        <v>2019</v>
      </c>
      <c r="F17" s="1" t="s">
        <v>1</v>
      </c>
      <c r="G17" s="6">
        <v>1243082</v>
      </c>
      <c r="H17">
        <f>IFERROR(VLOOKUP(F17,'LEAID Match'!$A$2:$B$142,2,FALSE),"")</f>
        <v>2800360</v>
      </c>
    </row>
    <row r="18" spans="1:8" x14ac:dyDescent="0.2">
      <c r="A18">
        <f t="shared" si="0"/>
        <v>2800360</v>
      </c>
      <c r="B18" s="1">
        <v>2021</v>
      </c>
      <c r="C18" s="1" t="s">
        <v>2505</v>
      </c>
      <c r="D18" s="1" t="s">
        <v>2506</v>
      </c>
      <c r="E18" s="1" t="s">
        <v>2019</v>
      </c>
      <c r="F18" s="1" t="s">
        <v>1</v>
      </c>
      <c r="G18" s="6">
        <v>1223385</v>
      </c>
      <c r="H18">
        <f>IFERROR(VLOOKUP(F18,'LEAID Match'!$A$2:$B$142,2,FALSE),"")</f>
        <v>2800360</v>
      </c>
    </row>
    <row r="19" spans="1:8" x14ac:dyDescent="0.2">
      <c r="A19">
        <f t="shared" si="0"/>
        <v>2800360</v>
      </c>
      <c r="B19" s="1">
        <v>2022</v>
      </c>
      <c r="C19" s="1" t="s">
        <v>2505</v>
      </c>
      <c r="D19" s="1" t="s">
        <v>2506</v>
      </c>
      <c r="E19" s="1" t="s">
        <v>2019</v>
      </c>
      <c r="F19" s="1" t="s">
        <v>1</v>
      </c>
      <c r="G19" s="6">
        <v>1335037</v>
      </c>
      <c r="H19">
        <f>IFERROR(VLOOKUP(F19,'LEAID Match'!$A$2:$B$142,2,FALSE),"")</f>
        <v>2800360</v>
      </c>
    </row>
    <row r="20" spans="1:8" x14ac:dyDescent="0.2">
      <c r="A20">
        <f t="shared" si="0"/>
        <v>2800360</v>
      </c>
      <c r="B20" s="1">
        <v>2023</v>
      </c>
      <c r="C20" s="1" t="s">
        <v>2505</v>
      </c>
      <c r="D20" s="1" t="s">
        <v>2506</v>
      </c>
      <c r="E20" s="1" t="s">
        <v>2019</v>
      </c>
      <c r="F20" s="1" t="s">
        <v>1</v>
      </c>
      <c r="G20" s="6">
        <v>1428807</v>
      </c>
      <c r="H20">
        <f>IFERROR(VLOOKUP(F20,'LEAID Match'!$A$2:$B$142,2,FALSE),"")</f>
        <v>2800360</v>
      </c>
    </row>
    <row r="21" spans="1:8" x14ac:dyDescent="0.2">
      <c r="A21">
        <f t="shared" si="0"/>
        <v>2800360</v>
      </c>
      <c r="B21" s="1">
        <v>2024</v>
      </c>
      <c r="C21" s="1" t="s">
        <v>2505</v>
      </c>
      <c r="D21" s="1" t="s">
        <v>2506</v>
      </c>
      <c r="E21" s="1" t="s">
        <v>2019</v>
      </c>
      <c r="F21" s="1" t="s">
        <v>1</v>
      </c>
      <c r="G21" s="6">
        <v>1490844</v>
      </c>
      <c r="H21">
        <f>IFERROR(VLOOKUP(F21,'LEAID Match'!$A$2:$B$142,2,FALSE),"")</f>
        <v>2800360</v>
      </c>
    </row>
    <row r="22" spans="1:8" x14ac:dyDescent="0.2">
      <c r="A22" t="str">
        <f t="shared" si="0"/>
        <v/>
      </c>
      <c r="B22" s="1">
        <v>2015</v>
      </c>
      <c r="C22" s="1" t="s">
        <v>2505</v>
      </c>
      <c r="D22" s="1" t="s">
        <v>2506</v>
      </c>
      <c r="E22" s="1" t="s">
        <v>2019</v>
      </c>
      <c r="F22" s="1" t="s">
        <v>2</v>
      </c>
      <c r="G22" s="6">
        <v>87227</v>
      </c>
      <c r="H22" t="str">
        <f>IFERROR(VLOOKUP(F22,'LEAID Match'!$A$2:$B$142,2,FALSE),"")</f>
        <v/>
      </c>
    </row>
    <row r="23" spans="1:8" x14ac:dyDescent="0.2">
      <c r="A23" t="str">
        <f t="shared" si="0"/>
        <v/>
      </c>
      <c r="B23">
        <v>2016</v>
      </c>
      <c r="C23" s="1" t="s">
        <v>2505</v>
      </c>
      <c r="D23" s="1" t="s">
        <v>2506</v>
      </c>
      <c r="E23" s="1" t="s">
        <v>2019</v>
      </c>
      <c r="F23" s="1" t="s">
        <v>2</v>
      </c>
      <c r="G23" s="12">
        <v>89945</v>
      </c>
      <c r="H23" t="str">
        <f>IFERROR(VLOOKUP(F23,'LEAID Match'!$A$2:$B$142,2,FALSE),"")</f>
        <v/>
      </c>
    </row>
    <row r="24" spans="1:8" x14ac:dyDescent="0.2">
      <c r="A24" t="str">
        <f t="shared" si="0"/>
        <v/>
      </c>
      <c r="B24" s="1">
        <v>2017</v>
      </c>
      <c r="C24" s="1" t="s">
        <v>2505</v>
      </c>
      <c r="D24" s="1" t="s">
        <v>2506</v>
      </c>
      <c r="E24" s="1" t="s">
        <v>2019</v>
      </c>
      <c r="F24" s="1" t="s">
        <v>2</v>
      </c>
      <c r="G24" s="47">
        <v>89391</v>
      </c>
      <c r="H24" t="str">
        <f>IFERROR(VLOOKUP(F24,'LEAID Match'!$A$2:$B$142,2,FALSE),"")</f>
        <v/>
      </c>
    </row>
    <row r="25" spans="1:8" x14ac:dyDescent="0.2">
      <c r="A25" t="str">
        <f t="shared" si="0"/>
        <v/>
      </c>
      <c r="B25" s="1">
        <v>2018</v>
      </c>
      <c r="C25" s="1" t="s">
        <v>2505</v>
      </c>
      <c r="D25" s="1" t="s">
        <v>2506</v>
      </c>
      <c r="E25" s="1" t="s">
        <v>2019</v>
      </c>
      <c r="F25" s="1" t="s">
        <v>2</v>
      </c>
      <c r="G25" s="6">
        <v>89941</v>
      </c>
      <c r="H25" t="str">
        <f>IFERROR(VLOOKUP(F25,'LEAID Match'!$A$2:$B$142,2,FALSE),"")</f>
        <v/>
      </c>
    </row>
    <row r="26" spans="1:8" x14ac:dyDescent="0.2">
      <c r="A26" t="str">
        <f t="shared" si="0"/>
        <v/>
      </c>
      <c r="B26" s="1">
        <v>2019</v>
      </c>
      <c r="C26" s="1" t="s">
        <v>2505</v>
      </c>
      <c r="D26" s="1" t="s">
        <v>2506</v>
      </c>
      <c r="E26" s="1" t="s">
        <v>2019</v>
      </c>
      <c r="F26" s="1" t="s">
        <v>2</v>
      </c>
      <c r="G26" s="6">
        <v>92219</v>
      </c>
      <c r="H26" t="str">
        <f>IFERROR(VLOOKUP(F26,'LEAID Match'!$A$2:$B$142,2,FALSE),"")</f>
        <v/>
      </c>
    </row>
    <row r="27" spans="1:8" x14ac:dyDescent="0.2">
      <c r="A27" t="str">
        <f t="shared" si="0"/>
        <v/>
      </c>
      <c r="B27" s="1">
        <v>2020</v>
      </c>
      <c r="C27" s="1" t="s">
        <v>2505</v>
      </c>
      <c r="D27" s="1" t="s">
        <v>2506</v>
      </c>
      <c r="E27" s="1" t="s">
        <v>2019</v>
      </c>
      <c r="F27" s="1" t="s">
        <v>2</v>
      </c>
      <c r="G27" s="6">
        <v>105061</v>
      </c>
      <c r="H27" t="str">
        <f>IFERROR(VLOOKUP(F27,'LEAID Match'!$A$2:$B$142,2,FALSE),"")</f>
        <v/>
      </c>
    </row>
    <row r="28" spans="1:8" x14ac:dyDescent="0.2">
      <c r="A28" t="str">
        <f t="shared" si="0"/>
        <v/>
      </c>
      <c r="B28" s="1">
        <v>2021</v>
      </c>
      <c r="C28" s="1" t="s">
        <v>2505</v>
      </c>
      <c r="D28" s="1" t="s">
        <v>2506</v>
      </c>
      <c r="E28" s="1" t="s">
        <v>2019</v>
      </c>
      <c r="F28" s="1" t="s">
        <v>2</v>
      </c>
      <c r="G28" s="6">
        <v>110759</v>
      </c>
      <c r="H28" t="str">
        <f>IFERROR(VLOOKUP(F28,'LEAID Match'!$A$2:$B$142,2,FALSE),"")</f>
        <v/>
      </c>
    </row>
    <row r="29" spans="1:8" x14ac:dyDescent="0.2">
      <c r="A29" t="str">
        <f t="shared" si="0"/>
        <v/>
      </c>
      <c r="B29" s="1">
        <v>2022</v>
      </c>
      <c r="C29" s="1" t="s">
        <v>2505</v>
      </c>
      <c r="D29" s="1" t="s">
        <v>2506</v>
      </c>
      <c r="E29" s="1" t="s">
        <v>2019</v>
      </c>
      <c r="F29" s="1" t="s">
        <v>2</v>
      </c>
      <c r="G29" s="6">
        <v>116120</v>
      </c>
      <c r="H29" t="str">
        <f>IFERROR(VLOOKUP(F29,'LEAID Match'!$A$2:$B$142,2,FALSE),"")</f>
        <v/>
      </c>
    </row>
    <row r="30" spans="1:8" x14ac:dyDescent="0.2">
      <c r="A30" t="str">
        <f t="shared" si="0"/>
        <v/>
      </c>
      <c r="B30" s="1">
        <v>2023</v>
      </c>
      <c r="C30" s="1" t="s">
        <v>2505</v>
      </c>
      <c r="D30" s="1" t="s">
        <v>2506</v>
      </c>
      <c r="E30" s="1" t="s">
        <v>2019</v>
      </c>
      <c r="F30" s="1" t="s">
        <v>2</v>
      </c>
      <c r="G30" s="6">
        <v>113564</v>
      </c>
      <c r="H30" t="str">
        <f>IFERROR(VLOOKUP(F30,'LEAID Match'!$A$2:$B$142,2,FALSE),"")</f>
        <v/>
      </c>
    </row>
    <row r="31" spans="1:8" x14ac:dyDescent="0.2">
      <c r="A31" t="str">
        <f t="shared" si="0"/>
        <v/>
      </c>
      <c r="B31" s="1">
        <v>2024</v>
      </c>
      <c r="C31" s="1" t="s">
        <v>2505</v>
      </c>
      <c r="D31" s="1" t="s">
        <v>2506</v>
      </c>
      <c r="E31" s="1" t="s">
        <v>2019</v>
      </c>
      <c r="F31" s="1" t="s">
        <v>2</v>
      </c>
      <c r="G31" s="6">
        <v>112983</v>
      </c>
      <c r="H31" t="str">
        <f>IFERROR(VLOOKUP(F31,'LEAID Match'!$A$2:$B$142,2,FALSE),"")</f>
        <v/>
      </c>
    </row>
    <row r="32" spans="1:8" x14ac:dyDescent="0.2">
      <c r="A32" t="str">
        <f t="shared" si="0"/>
        <v/>
      </c>
      <c r="B32" s="1">
        <v>2015</v>
      </c>
      <c r="C32" s="1" t="s">
        <v>2505</v>
      </c>
      <c r="D32" s="1" t="s">
        <v>2506</v>
      </c>
      <c r="E32" s="1" t="s">
        <v>2019</v>
      </c>
      <c r="F32" s="1" t="s">
        <v>3</v>
      </c>
      <c r="G32" s="6">
        <v>30396</v>
      </c>
      <c r="H32" t="str">
        <f>IFERROR(VLOOKUP(F32,'LEAID Match'!$A$2:$B$142,2,FALSE),"")</f>
        <v/>
      </c>
    </row>
    <row r="33" spans="1:8" x14ac:dyDescent="0.2">
      <c r="A33" t="str">
        <f t="shared" si="0"/>
        <v/>
      </c>
      <c r="B33">
        <v>2016</v>
      </c>
      <c r="C33" s="1" t="s">
        <v>2505</v>
      </c>
      <c r="D33" s="1" t="s">
        <v>2506</v>
      </c>
      <c r="E33" s="1" t="s">
        <v>2019</v>
      </c>
      <c r="F33" s="1" t="s">
        <v>3</v>
      </c>
      <c r="G33" s="12">
        <v>25765</v>
      </c>
      <c r="H33" t="str">
        <f>IFERROR(VLOOKUP(F33,'LEAID Match'!$A$2:$B$142,2,FALSE),"")</f>
        <v/>
      </c>
    </row>
    <row r="34" spans="1:8" x14ac:dyDescent="0.2">
      <c r="A34" t="str">
        <f t="shared" si="0"/>
        <v/>
      </c>
      <c r="B34" s="1">
        <v>2017</v>
      </c>
      <c r="C34" s="1" t="s">
        <v>2505</v>
      </c>
      <c r="D34" s="1" t="s">
        <v>2506</v>
      </c>
      <c r="E34" s="1" t="s">
        <v>2019</v>
      </c>
      <c r="F34" s="1" t="s">
        <v>3</v>
      </c>
      <c r="G34" s="47">
        <v>26329</v>
      </c>
      <c r="H34" t="str">
        <f>IFERROR(VLOOKUP(F34,'LEAID Match'!$A$2:$B$142,2,FALSE),"")</f>
        <v/>
      </c>
    </row>
    <row r="35" spans="1:8" x14ac:dyDescent="0.2">
      <c r="A35" t="str">
        <f t="shared" si="0"/>
        <v/>
      </c>
      <c r="B35" s="1">
        <v>2018</v>
      </c>
      <c r="C35" s="1" t="s">
        <v>2505</v>
      </c>
      <c r="D35" s="1" t="s">
        <v>2506</v>
      </c>
      <c r="E35" s="1" t="s">
        <v>2019</v>
      </c>
      <c r="F35" s="1" t="s">
        <v>3</v>
      </c>
      <c r="G35" s="6">
        <v>26640</v>
      </c>
      <c r="H35" t="str">
        <f>IFERROR(VLOOKUP(F35,'LEAID Match'!$A$2:$B$142,2,FALSE),"")</f>
        <v/>
      </c>
    </row>
    <row r="36" spans="1:8" x14ac:dyDescent="0.2">
      <c r="A36" t="str">
        <f t="shared" si="0"/>
        <v/>
      </c>
      <c r="B36" s="1">
        <v>2019</v>
      </c>
      <c r="C36" s="1" t="s">
        <v>2505</v>
      </c>
      <c r="D36" s="1" t="s">
        <v>2506</v>
      </c>
      <c r="E36" s="1" t="s">
        <v>2019</v>
      </c>
      <c r="F36" s="1" t="s">
        <v>3</v>
      </c>
      <c r="G36" s="6">
        <v>28154</v>
      </c>
      <c r="H36" t="str">
        <f>IFERROR(VLOOKUP(F36,'LEAID Match'!$A$2:$B$142,2,FALSE),"")</f>
        <v/>
      </c>
    </row>
    <row r="37" spans="1:8" x14ac:dyDescent="0.2">
      <c r="A37" t="str">
        <f t="shared" si="0"/>
        <v/>
      </c>
      <c r="B37" s="1">
        <v>2020</v>
      </c>
      <c r="C37" s="1" t="s">
        <v>2505</v>
      </c>
      <c r="D37" s="1" t="s">
        <v>2506</v>
      </c>
      <c r="E37" s="1" t="s">
        <v>2019</v>
      </c>
      <c r="F37" s="1" t="s">
        <v>3</v>
      </c>
      <c r="G37" s="6">
        <v>30833</v>
      </c>
      <c r="H37" t="str">
        <f>IFERROR(VLOOKUP(F37,'LEAID Match'!$A$2:$B$142,2,FALSE),"")</f>
        <v/>
      </c>
    </row>
    <row r="38" spans="1:8" x14ac:dyDescent="0.2">
      <c r="A38" t="str">
        <f t="shared" si="0"/>
        <v/>
      </c>
      <c r="B38" s="1">
        <v>2021</v>
      </c>
      <c r="C38" s="1" t="s">
        <v>2505</v>
      </c>
      <c r="D38" s="1" t="s">
        <v>2506</v>
      </c>
      <c r="E38" s="1" t="s">
        <v>2019</v>
      </c>
      <c r="F38" s="1" t="s">
        <v>3</v>
      </c>
      <c r="G38" s="6">
        <v>30908</v>
      </c>
      <c r="H38" t="str">
        <f>IFERROR(VLOOKUP(F38,'LEAID Match'!$A$2:$B$142,2,FALSE),"")</f>
        <v/>
      </c>
    </row>
    <row r="39" spans="1:8" x14ac:dyDescent="0.2">
      <c r="A39" t="str">
        <f t="shared" si="0"/>
        <v/>
      </c>
      <c r="B39" s="1">
        <v>2022</v>
      </c>
      <c r="C39" s="1" t="s">
        <v>2505</v>
      </c>
      <c r="D39" s="1" t="s">
        <v>2506</v>
      </c>
      <c r="E39" s="1" t="s">
        <v>2019</v>
      </c>
      <c r="F39" s="1" t="s">
        <v>3</v>
      </c>
      <c r="G39" s="6">
        <v>35157</v>
      </c>
      <c r="H39" t="str">
        <f>IFERROR(VLOOKUP(F39,'LEAID Match'!$A$2:$B$142,2,FALSE),"")</f>
        <v/>
      </c>
    </row>
    <row r="40" spans="1:8" x14ac:dyDescent="0.2">
      <c r="A40" t="str">
        <f t="shared" si="0"/>
        <v/>
      </c>
      <c r="B40" s="1">
        <v>2023</v>
      </c>
      <c r="C40" s="1" t="s">
        <v>2505</v>
      </c>
      <c r="D40" s="1" t="s">
        <v>2506</v>
      </c>
      <c r="E40" s="1" t="s">
        <v>2019</v>
      </c>
      <c r="F40" s="1" t="s">
        <v>3</v>
      </c>
      <c r="G40" s="6">
        <v>44180</v>
      </c>
      <c r="H40" t="str">
        <f>IFERROR(VLOOKUP(F40,'LEAID Match'!$A$2:$B$142,2,FALSE),"")</f>
        <v/>
      </c>
    </row>
    <row r="41" spans="1:8" x14ac:dyDescent="0.2">
      <c r="A41" t="str">
        <f t="shared" si="0"/>
        <v/>
      </c>
      <c r="B41" s="1">
        <v>2024</v>
      </c>
      <c r="C41" s="1" t="s">
        <v>2505</v>
      </c>
      <c r="D41" s="1" t="s">
        <v>2506</v>
      </c>
      <c r="E41" s="1" t="s">
        <v>2019</v>
      </c>
      <c r="F41" s="1" t="s">
        <v>3</v>
      </c>
      <c r="G41" s="6">
        <v>49052</v>
      </c>
      <c r="H41" t="str">
        <f>IFERROR(VLOOKUP(F41,'LEAID Match'!$A$2:$B$142,2,FALSE),"")</f>
        <v/>
      </c>
    </row>
    <row r="42" spans="1:8" x14ac:dyDescent="0.2">
      <c r="A42" t="str">
        <f t="shared" si="0"/>
        <v/>
      </c>
      <c r="B42" s="1">
        <v>2015</v>
      </c>
      <c r="C42" s="1" t="s">
        <v>2505</v>
      </c>
      <c r="D42" s="1" t="s">
        <v>2506</v>
      </c>
      <c r="E42" s="1" t="s">
        <v>2019</v>
      </c>
      <c r="F42" s="1" t="s">
        <v>4</v>
      </c>
      <c r="G42" s="6">
        <v>1158635</v>
      </c>
      <c r="H42" t="str">
        <f>IFERROR(VLOOKUP(F42,'LEAID Match'!$A$2:$B$142,2,FALSE),"")</f>
        <v/>
      </c>
    </row>
    <row r="43" spans="1:8" x14ac:dyDescent="0.2">
      <c r="A43" t="str">
        <f t="shared" si="0"/>
        <v/>
      </c>
      <c r="B43">
        <v>2016</v>
      </c>
      <c r="C43" s="1" t="s">
        <v>2505</v>
      </c>
      <c r="D43" s="1" t="s">
        <v>2506</v>
      </c>
      <c r="E43" s="1" t="s">
        <v>2019</v>
      </c>
      <c r="F43" s="1" t="s">
        <v>4</v>
      </c>
      <c r="G43" s="12">
        <v>1145625</v>
      </c>
      <c r="H43" t="str">
        <f>IFERROR(VLOOKUP(F43,'LEAID Match'!$A$2:$B$142,2,FALSE),"")</f>
        <v/>
      </c>
    </row>
    <row r="44" spans="1:8" x14ac:dyDescent="0.2">
      <c r="A44" t="str">
        <f t="shared" si="0"/>
        <v/>
      </c>
      <c r="B44" s="1">
        <v>2017</v>
      </c>
      <c r="C44" s="1" t="s">
        <v>2505</v>
      </c>
      <c r="D44" s="1" t="s">
        <v>2506</v>
      </c>
      <c r="E44" s="1" t="s">
        <v>2019</v>
      </c>
      <c r="F44" s="1" t="s">
        <v>4</v>
      </c>
      <c r="G44" s="47">
        <v>1199053</v>
      </c>
      <c r="H44" t="str">
        <f>IFERROR(VLOOKUP(F44,'LEAID Match'!$A$2:$B$142,2,FALSE),"")</f>
        <v/>
      </c>
    </row>
    <row r="45" spans="1:8" x14ac:dyDescent="0.2">
      <c r="A45" t="str">
        <f t="shared" si="0"/>
        <v/>
      </c>
      <c r="B45" s="1">
        <v>2018</v>
      </c>
      <c r="C45" s="1" t="s">
        <v>2505</v>
      </c>
      <c r="D45" s="1" t="s">
        <v>2506</v>
      </c>
      <c r="E45" s="1" t="s">
        <v>2019</v>
      </c>
      <c r="F45" s="1" t="s">
        <v>4</v>
      </c>
      <c r="G45" s="6">
        <v>1301215</v>
      </c>
      <c r="H45" t="str">
        <f>IFERROR(VLOOKUP(F45,'LEAID Match'!$A$2:$B$142,2,FALSE),"")</f>
        <v/>
      </c>
    </row>
    <row r="46" spans="1:8" x14ac:dyDescent="0.2">
      <c r="A46" t="str">
        <f t="shared" si="0"/>
        <v/>
      </c>
      <c r="B46" s="1">
        <v>2019</v>
      </c>
      <c r="C46" s="1" t="s">
        <v>2505</v>
      </c>
      <c r="D46" s="1" t="s">
        <v>2506</v>
      </c>
      <c r="E46" s="1" t="s">
        <v>2019</v>
      </c>
      <c r="F46" s="1" t="s">
        <v>4</v>
      </c>
      <c r="G46" s="6">
        <v>1296181</v>
      </c>
      <c r="H46" t="str">
        <f>IFERROR(VLOOKUP(F46,'LEAID Match'!$A$2:$B$142,2,FALSE),"")</f>
        <v/>
      </c>
    </row>
    <row r="47" spans="1:8" x14ac:dyDescent="0.2">
      <c r="A47" t="str">
        <f t="shared" si="0"/>
        <v/>
      </c>
      <c r="B47" s="1">
        <v>2020</v>
      </c>
      <c r="C47" s="1" t="s">
        <v>2505</v>
      </c>
      <c r="D47" s="1" t="s">
        <v>2506</v>
      </c>
      <c r="E47" s="1" t="s">
        <v>2019</v>
      </c>
      <c r="F47" s="1" t="s">
        <v>4</v>
      </c>
      <c r="G47" s="6">
        <v>1411904</v>
      </c>
      <c r="H47" t="str">
        <f>IFERROR(VLOOKUP(F47,'LEAID Match'!$A$2:$B$142,2,FALSE),"")</f>
        <v/>
      </c>
    </row>
    <row r="48" spans="1:8" x14ac:dyDescent="0.2">
      <c r="A48" t="str">
        <f t="shared" si="0"/>
        <v/>
      </c>
      <c r="B48" s="1">
        <v>2021</v>
      </c>
      <c r="C48" s="1" t="s">
        <v>2505</v>
      </c>
      <c r="D48" s="1" t="s">
        <v>2506</v>
      </c>
      <c r="E48" s="1" t="s">
        <v>2019</v>
      </c>
      <c r="F48" s="1" t="s">
        <v>4</v>
      </c>
      <c r="G48" s="6">
        <v>1416239</v>
      </c>
      <c r="H48" t="str">
        <f>IFERROR(VLOOKUP(F48,'LEAID Match'!$A$2:$B$142,2,FALSE),"")</f>
        <v/>
      </c>
    </row>
    <row r="49" spans="1:8" x14ac:dyDescent="0.2">
      <c r="A49" t="str">
        <f t="shared" si="0"/>
        <v/>
      </c>
      <c r="B49" s="1">
        <v>2022</v>
      </c>
      <c r="C49" s="1" t="s">
        <v>2505</v>
      </c>
      <c r="D49" s="1" t="s">
        <v>2506</v>
      </c>
      <c r="E49" s="1" t="s">
        <v>2019</v>
      </c>
      <c r="F49" s="1" t="s">
        <v>4</v>
      </c>
      <c r="G49" s="6">
        <v>1531599</v>
      </c>
      <c r="H49" t="str">
        <f>IFERROR(VLOOKUP(F49,'LEAID Match'!$A$2:$B$142,2,FALSE),"")</f>
        <v/>
      </c>
    </row>
    <row r="50" spans="1:8" x14ac:dyDescent="0.2">
      <c r="A50" t="str">
        <f t="shared" si="0"/>
        <v/>
      </c>
      <c r="B50" s="1">
        <v>2023</v>
      </c>
      <c r="C50" s="1" t="s">
        <v>2505</v>
      </c>
      <c r="D50" s="1" t="s">
        <v>2506</v>
      </c>
      <c r="E50" s="1" t="s">
        <v>2019</v>
      </c>
      <c r="F50" s="1" t="s">
        <v>4</v>
      </c>
      <c r="G50" s="6">
        <v>1569793</v>
      </c>
      <c r="H50" t="str">
        <f>IFERROR(VLOOKUP(F50,'LEAID Match'!$A$2:$B$142,2,FALSE),"")</f>
        <v/>
      </c>
    </row>
    <row r="51" spans="1:8" x14ac:dyDescent="0.2">
      <c r="A51" t="str">
        <f t="shared" si="0"/>
        <v/>
      </c>
      <c r="B51" s="1">
        <v>2024</v>
      </c>
      <c r="C51" s="1" t="s">
        <v>2505</v>
      </c>
      <c r="D51" s="1" t="s">
        <v>2506</v>
      </c>
      <c r="E51" s="1" t="s">
        <v>2019</v>
      </c>
      <c r="F51" s="1" t="s">
        <v>4</v>
      </c>
      <c r="G51" s="6">
        <v>1505070</v>
      </c>
      <c r="H51" t="str">
        <f>IFERROR(VLOOKUP(F51,'LEAID Match'!$A$2:$B$142,2,FALSE),"")</f>
        <v/>
      </c>
    </row>
    <row r="52" spans="1:8" x14ac:dyDescent="0.2">
      <c r="A52" t="str">
        <f t="shared" si="0"/>
        <v/>
      </c>
      <c r="B52" s="1">
        <v>2015</v>
      </c>
      <c r="C52" s="1" t="s">
        <v>2505</v>
      </c>
      <c r="D52" s="1" t="s">
        <v>2506</v>
      </c>
      <c r="E52" s="1" t="s">
        <v>2019</v>
      </c>
      <c r="F52" s="1" t="s">
        <v>5</v>
      </c>
      <c r="G52" s="6">
        <v>11977</v>
      </c>
      <c r="H52" t="str">
        <f>IFERROR(VLOOKUP(F52,'LEAID Match'!$A$2:$B$142,2,FALSE),"")</f>
        <v/>
      </c>
    </row>
    <row r="53" spans="1:8" x14ac:dyDescent="0.2">
      <c r="A53" t="str">
        <f t="shared" si="0"/>
        <v/>
      </c>
      <c r="B53">
        <v>2016</v>
      </c>
      <c r="C53" s="1" t="s">
        <v>2505</v>
      </c>
      <c r="D53" s="1" t="s">
        <v>2506</v>
      </c>
      <c r="E53" s="1" t="s">
        <v>2019</v>
      </c>
      <c r="F53" s="1" t="s">
        <v>5</v>
      </c>
      <c r="G53" s="12">
        <v>10785</v>
      </c>
      <c r="H53" t="str">
        <f>IFERROR(VLOOKUP(F53,'LEAID Match'!$A$2:$B$142,2,FALSE),"")</f>
        <v/>
      </c>
    </row>
    <row r="54" spans="1:8" x14ac:dyDescent="0.2">
      <c r="A54" t="str">
        <f t="shared" si="0"/>
        <v/>
      </c>
      <c r="B54" s="1">
        <v>2017</v>
      </c>
      <c r="C54" s="1" t="s">
        <v>2505</v>
      </c>
      <c r="D54" s="1" t="s">
        <v>2506</v>
      </c>
      <c r="E54" s="1" t="s">
        <v>2019</v>
      </c>
      <c r="F54" s="1" t="s">
        <v>5</v>
      </c>
      <c r="G54" s="47">
        <v>10883</v>
      </c>
      <c r="H54" t="str">
        <f>IFERROR(VLOOKUP(F54,'LEAID Match'!$A$2:$B$142,2,FALSE),"")</f>
        <v/>
      </c>
    </row>
    <row r="55" spans="1:8" x14ac:dyDescent="0.2">
      <c r="A55" t="str">
        <f t="shared" si="0"/>
        <v/>
      </c>
      <c r="B55" s="1">
        <v>2018</v>
      </c>
      <c r="C55" s="1" t="s">
        <v>2505</v>
      </c>
      <c r="D55" s="1" t="s">
        <v>2506</v>
      </c>
      <c r="E55" s="1" t="s">
        <v>2019</v>
      </c>
      <c r="F55" s="1" t="s">
        <v>5</v>
      </c>
      <c r="G55" s="6">
        <v>11632</v>
      </c>
      <c r="H55" t="str">
        <f>IFERROR(VLOOKUP(F55,'LEAID Match'!$A$2:$B$142,2,FALSE),"")</f>
        <v/>
      </c>
    </row>
    <row r="56" spans="1:8" x14ac:dyDescent="0.2">
      <c r="A56" t="str">
        <f t="shared" si="0"/>
        <v/>
      </c>
      <c r="B56" s="1">
        <v>2019</v>
      </c>
      <c r="C56" s="1" t="s">
        <v>2505</v>
      </c>
      <c r="D56" s="1" t="s">
        <v>2506</v>
      </c>
      <c r="E56" s="1" t="s">
        <v>2019</v>
      </c>
      <c r="F56" s="1" t="s">
        <v>5</v>
      </c>
      <c r="G56" s="6">
        <v>12275</v>
      </c>
      <c r="H56" t="str">
        <f>IFERROR(VLOOKUP(F56,'LEAID Match'!$A$2:$B$142,2,FALSE),"")</f>
        <v/>
      </c>
    </row>
    <row r="57" spans="1:8" x14ac:dyDescent="0.2">
      <c r="A57" t="str">
        <f t="shared" si="0"/>
        <v/>
      </c>
      <c r="B57" s="1">
        <v>2020</v>
      </c>
      <c r="C57" s="1" t="s">
        <v>2505</v>
      </c>
      <c r="D57" s="1" t="s">
        <v>2506</v>
      </c>
      <c r="E57" s="1" t="s">
        <v>2019</v>
      </c>
      <c r="F57" s="1" t="s">
        <v>5</v>
      </c>
      <c r="G57" s="6">
        <v>13616</v>
      </c>
      <c r="H57" t="str">
        <f>IFERROR(VLOOKUP(F57,'LEAID Match'!$A$2:$B$142,2,FALSE),"")</f>
        <v/>
      </c>
    </row>
    <row r="58" spans="1:8" x14ac:dyDescent="0.2">
      <c r="A58" t="str">
        <f t="shared" si="0"/>
        <v/>
      </c>
      <c r="B58" s="1">
        <v>2021</v>
      </c>
      <c r="C58" s="1" t="s">
        <v>2505</v>
      </c>
      <c r="D58" s="1" t="s">
        <v>2506</v>
      </c>
      <c r="E58" s="1" t="s">
        <v>2019</v>
      </c>
      <c r="F58" s="1" t="s">
        <v>5</v>
      </c>
      <c r="G58" s="6">
        <v>13616</v>
      </c>
      <c r="H58" t="str">
        <f>IFERROR(VLOOKUP(F58,'LEAID Match'!$A$2:$B$142,2,FALSE),"")</f>
        <v/>
      </c>
    </row>
    <row r="59" spans="1:8" x14ac:dyDescent="0.2">
      <c r="A59" t="str">
        <f t="shared" si="0"/>
        <v/>
      </c>
      <c r="B59" s="1">
        <v>2022</v>
      </c>
      <c r="C59" s="1" t="s">
        <v>2505</v>
      </c>
      <c r="D59" s="1" t="s">
        <v>2506</v>
      </c>
      <c r="E59" s="1" t="s">
        <v>2019</v>
      </c>
      <c r="F59" s="1" t="s">
        <v>5</v>
      </c>
      <c r="G59" s="6">
        <v>14764</v>
      </c>
      <c r="H59" t="str">
        <f>IFERROR(VLOOKUP(F59,'LEAID Match'!$A$2:$B$142,2,FALSE),"")</f>
        <v/>
      </c>
    </row>
    <row r="60" spans="1:8" x14ac:dyDescent="0.2">
      <c r="A60" t="str">
        <f t="shared" si="0"/>
        <v/>
      </c>
      <c r="B60" s="1">
        <v>2023</v>
      </c>
      <c r="C60" s="1" t="s">
        <v>2505</v>
      </c>
      <c r="D60" s="1" t="s">
        <v>2506</v>
      </c>
      <c r="E60" s="1" t="s">
        <v>2019</v>
      </c>
      <c r="F60" s="1" t="s">
        <v>5</v>
      </c>
      <c r="G60" s="6">
        <v>15817</v>
      </c>
      <c r="H60" t="str">
        <f>IFERROR(VLOOKUP(F60,'LEAID Match'!$A$2:$B$142,2,FALSE),"")</f>
        <v/>
      </c>
    </row>
    <row r="61" spans="1:8" x14ac:dyDescent="0.2">
      <c r="A61" t="str">
        <f t="shared" si="0"/>
        <v/>
      </c>
      <c r="B61" s="1">
        <v>2024</v>
      </c>
      <c r="C61" s="1" t="s">
        <v>2505</v>
      </c>
      <c r="D61" s="1" t="s">
        <v>2506</v>
      </c>
      <c r="E61" s="1" t="s">
        <v>2019</v>
      </c>
      <c r="F61" s="1" t="s">
        <v>5</v>
      </c>
      <c r="G61" s="6">
        <v>15377</v>
      </c>
      <c r="H61" t="str">
        <f>IFERROR(VLOOKUP(F61,'LEAID Match'!$A$2:$B$142,2,FALSE),"")</f>
        <v/>
      </c>
    </row>
    <row r="62" spans="1:8" x14ac:dyDescent="0.2">
      <c r="A62" t="str">
        <f t="shared" si="0"/>
        <v/>
      </c>
      <c r="B62" s="1">
        <v>2015</v>
      </c>
      <c r="C62" s="1" t="s">
        <v>2505</v>
      </c>
      <c r="D62" s="1" t="s">
        <v>2506</v>
      </c>
      <c r="E62" s="1" t="s">
        <v>2019</v>
      </c>
      <c r="F62" s="1" t="s">
        <v>6</v>
      </c>
      <c r="G62" s="6">
        <v>2209129</v>
      </c>
      <c r="H62" t="str">
        <f>IFERROR(VLOOKUP(F62,'LEAID Match'!$A$2:$B$142,2,FALSE),"")</f>
        <v/>
      </c>
    </row>
    <row r="63" spans="1:8" x14ac:dyDescent="0.2">
      <c r="A63" t="str">
        <f t="shared" si="0"/>
        <v/>
      </c>
      <c r="B63">
        <v>2016</v>
      </c>
      <c r="C63" s="1" t="s">
        <v>2505</v>
      </c>
      <c r="D63" s="1" t="s">
        <v>2506</v>
      </c>
      <c r="E63" s="1" t="s">
        <v>2019</v>
      </c>
      <c r="F63" s="1" t="s">
        <v>6</v>
      </c>
      <c r="G63" s="12">
        <v>2372527</v>
      </c>
      <c r="H63" t="str">
        <f>IFERROR(VLOOKUP(F63,'LEAID Match'!$A$2:$B$142,2,FALSE),"")</f>
        <v/>
      </c>
    </row>
    <row r="64" spans="1:8" x14ac:dyDescent="0.2">
      <c r="A64" t="str">
        <f t="shared" si="0"/>
        <v/>
      </c>
      <c r="B64" s="1">
        <v>2017</v>
      </c>
      <c r="C64" s="1" t="s">
        <v>2505</v>
      </c>
      <c r="D64" s="1" t="s">
        <v>2506</v>
      </c>
      <c r="E64" s="1" t="s">
        <v>2019</v>
      </c>
      <c r="F64" s="1" t="s">
        <v>6</v>
      </c>
      <c r="G64" s="47">
        <v>2588779</v>
      </c>
      <c r="H64" t="str">
        <f>IFERROR(VLOOKUP(F64,'LEAID Match'!$A$2:$B$142,2,FALSE),"")</f>
        <v/>
      </c>
    </row>
    <row r="65" spans="1:8" x14ac:dyDescent="0.2">
      <c r="A65" t="str">
        <f t="shared" si="0"/>
        <v/>
      </c>
      <c r="B65" s="1">
        <v>2018</v>
      </c>
      <c r="C65" s="1" t="s">
        <v>2505</v>
      </c>
      <c r="D65" s="1" t="s">
        <v>2506</v>
      </c>
      <c r="E65" s="1" t="s">
        <v>2019</v>
      </c>
      <c r="F65" s="1" t="s">
        <v>6</v>
      </c>
      <c r="G65" s="6">
        <v>2679148</v>
      </c>
      <c r="H65" t="str">
        <f>IFERROR(VLOOKUP(F65,'LEAID Match'!$A$2:$B$142,2,FALSE),"")</f>
        <v/>
      </c>
    </row>
    <row r="66" spans="1:8" x14ac:dyDescent="0.2">
      <c r="A66" t="str">
        <f t="shared" si="0"/>
        <v/>
      </c>
      <c r="B66" s="1">
        <v>2019</v>
      </c>
      <c r="C66" s="1" t="s">
        <v>2505</v>
      </c>
      <c r="D66" s="1" t="s">
        <v>2506</v>
      </c>
      <c r="E66" s="1" t="s">
        <v>2019</v>
      </c>
      <c r="F66" s="1" t="s">
        <v>6</v>
      </c>
      <c r="G66" s="6">
        <v>2673191</v>
      </c>
      <c r="H66" t="str">
        <f>IFERROR(VLOOKUP(F66,'LEAID Match'!$A$2:$B$142,2,FALSE),"")</f>
        <v/>
      </c>
    </row>
    <row r="67" spans="1:8" x14ac:dyDescent="0.2">
      <c r="A67" t="str">
        <f t="shared" ref="A67:A130" si="1">H67</f>
        <v/>
      </c>
      <c r="B67" s="1">
        <v>2020</v>
      </c>
      <c r="C67" s="1" t="s">
        <v>2505</v>
      </c>
      <c r="D67" s="1" t="s">
        <v>2506</v>
      </c>
      <c r="E67" s="1" t="s">
        <v>2019</v>
      </c>
      <c r="F67" s="1" t="s">
        <v>6</v>
      </c>
      <c r="G67" s="6">
        <v>2996676</v>
      </c>
      <c r="H67" t="str">
        <f>IFERROR(VLOOKUP(F67,'LEAID Match'!$A$2:$B$142,2,FALSE),"")</f>
        <v/>
      </c>
    </row>
    <row r="68" spans="1:8" x14ac:dyDescent="0.2">
      <c r="A68" t="str">
        <f t="shared" si="1"/>
        <v/>
      </c>
      <c r="B68" s="1">
        <v>2021</v>
      </c>
      <c r="C68" s="1" t="s">
        <v>2505</v>
      </c>
      <c r="D68" s="1" t="s">
        <v>2506</v>
      </c>
      <c r="E68" s="1" t="s">
        <v>2019</v>
      </c>
      <c r="F68" s="1" t="s">
        <v>6</v>
      </c>
      <c r="G68" s="6">
        <v>3076796</v>
      </c>
      <c r="H68" t="str">
        <f>IFERROR(VLOOKUP(F68,'LEAID Match'!$A$2:$B$142,2,FALSE),"")</f>
        <v/>
      </c>
    </row>
    <row r="69" spans="1:8" x14ac:dyDescent="0.2">
      <c r="A69" t="str">
        <f t="shared" si="1"/>
        <v/>
      </c>
      <c r="B69" s="1">
        <v>2022</v>
      </c>
      <c r="C69" s="1" t="s">
        <v>2505</v>
      </c>
      <c r="D69" s="1" t="s">
        <v>2506</v>
      </c>
      <c r="E69" s="1" t="s">
        <v>2019</v>
      </c>
      <c r="F69" s="1" t="s">
        <v>6</v>
      </c>
      <c r="G69" s="6">
        <v>3023001</v>
      </c>
      <c r="H69" t="str">
        <f>IFERROR(VLOOKUP(F69,'LEAID Match'!$A$2:$B$142,2,FALSE),"")</f>
        <v/>
      </c>
    </row>
    <row r="70" spans="1:8" x14ac:dyDescent="0.2">
      <c r="A70" t="str">
        <f t="shared" si="1"/>
        <v/>
      </c>
      <c r="B70" s="1">
        <v>2023</v>
      </c>
      <c r="C70" s="1" t="s">
        <v>2505</v>
      </c>
      <c r="D70" s="1" t="s">
        <v>2506</v>
      </c>
      <c r="E70" s="1" t="s">
        <v>2019</v>
      </c>
      <c r="F70" s="1" t="s">
        <v>6</v>
      </c>
      <c r="G70" s="6">
        <v>3070271</v>
      </c>
      <c r="H70" t="str">
        <f>IFERROR(VLOOKUP(F70,'LEAID Match'!$A$2:$B$142,2,FALSE),"")</f>
        <v/>
      </c>
    </row>
    <row r="71" spans="1:8" x14ac:dyDescent="0.2">
      <c r="A71" t="str">
        <f t="shared" si="1"/>
        <v/>
      </c>
      <c r="B71" s="1">
        <v>2024</v>
      </c>
      <c r="C71" s="1" t="s">
        <v>2505</v>
      </c>
      <c r="D71" s="1" t="s">
        <v>2506</v>
      </c>
      <c r="E71" s="1" t="s">
        <v>2019</v>
      </c>
      <c r="F71" s="1" t="s">
        <v>6</v>
      </c>
      <c r="G71" s="6">
        <v>3315652</v>
      </c>
      <c r="H71" t="str">
        <f>IFERROR(VLOOKUP(F71,'LEAID Match'!$A$2:$B$142,2,FALSE),"")</f>
        <v/>
      </c>
    </row>
    <row r="72" spans="1:8" x14ac:dyDescent="0.2">
      <c r="A72" t="str">
        <f t="shared" si="1"/>
        <v/>
      </c>
      <c r="B72" s="1">
        <v>2015</v>
      </c>
      <c r="C72" s="1" t="s">
        <v>2505</v>
      </c>
      <c r="D72" s="1" t="s">
        <v>2506</v>
      </c>
      <c r="E72" s="1" t="s">
        <v>2019</v>
      </c>
      <c r="F72" s="1" t="s">
        <v>7</v>
      </c>
      <c r="G72" s="6">
        <v>1108197</v>
      </c>
      <c r="H72" t="str">
        <f>IFERROR(VLOOKUP(F72,'LEAID Match'!$A$2:$B$142,2,FALSE),"")</f>
        <v/>
      </c>
    </row>
    <row r="73" spans="1:8" x14ac:dyDescent="0.2">
      <c r="A73" t="str">
        <f t="shared" si="1"/>
        <v/>
      </c>
      <c r="B73">
        <v>2016</v>
      </c>
      <c r="C73" s="1" t="s">
        <v>2505</v>
      </c>
      <c r="D73" s="1" t="s">
        <v>2506</v>
      </c>
      <c r="E73" s="1" t="s">
        <v>2019</v>
      </c>
      <c r="F73" s="1" t="s">
        <v>7</v>
      </c>
      <c r="G73" s="12">
        <v>1092803</v>
      </c>
      <c r="H73" t="str">
        <f>IFERROR(VLOOKUP(F73,'LEAID Match'!$A$2:$B$142,2,FALSE),"")</f>
        <v/>
      </c>
    </row>
    <row r="74" spans="1:8" x14ac:dyDescent="0.2">
      <c r="A74" t="str">
        <f t="shared" si="1"/>
        <v/>
      </c>
      <c r="B74" s="1">
        <v>2017</v>
      </c>
      <c r="C74" s="1" t="s">
        <v>2505</v>
      </c>
      <c r="D74" s="1" t="s">
        <v>2506</v>
      </c>
      <c r="E74" s="1" t="s">
        <v>2019</v>
      </c>
      <c r="F74" s="1" t="s">
        <v>7</v>
      </c>
      <c r="G74" s="47">
        <v>1069438</v>
      </c>
      <c r="H74" t="str">
        <f>IFERROR(VLOOKUP(F74,'LEAID Match'!$A$2:$B$142,2,FALSE),"")</f>
        <v/>
      </c>
    </row>
    <row r="75" spans="1:8" x14ac:dyDescent="0.2">
      <c r="A75" t="str">
        <f t="shared" si="1"/>
        <v/>
      </c>
      <c r="B75" s="1">
        <v>2018</v>
      </c>
      <c r="C75" s="1" t="s">
        <v>2505</v>
      </c>
      <c r="D75" s="1" t="s">
        <v>2506</v>
      </c>
      <c r="E75" s="1" t="s">
        <v>2019</v>
      </c>
      <c r="F75" s="1" t="s">
        <v>7</v>
      </c>
      <c r="G75" s="6">
        <v>1033708</v>
      </c>
      <c r="H75" t="str">
        <f>IFERROR(VLOOKUP(F75,'LEAID Match'!$A$2:$B$142,2,FALSE),"")</f>
        <v/>
      </c>
    </row>
    <row r="76" spans="1:8" x14ac:dyDescent="0.2">
      <c r="A76" t="str">
        <f t="shared" si="1"/>
        <v/>
      </c>
      <c r="B76" s="1">
        <v>2019</v>
      </c>
      <c r="C76" s="1" t="s">
        <v>2505</v>
      </c>
      <c r="D76" s="1" t="s">
        <v>2506</v>
      </c>
      <c r="E76" s="1" t="s">
        <v>2019</v>
      </c>
      <c r="F76" s="1" t="s">
        <v>7</v>
      </c>
      <c r="G76" s="6">
        <v>1066422</v>
      </c>
      <c r="H76" t="str">
        <f>IFERROR(VLOOKUP(F76,'LEAID Match'!$A$2:$B$142,2,FALSE),"")</f>
        <v/>
      </c>
    </row>
    <row r="77" spans="1:8" x14ac:dyDescent="0.2">
      <c r="A77" t="str">
        <f t="shared" si="1"/>
        <v/>
      </c>
      <c r="B77" s="1">
        <v>2020</v>
      </c>
      <c r="C77" s="1" t="s">
        <v>2505</v>
      </c>
      <c r="D77" s="1" t="s">
        <v>2506</v>
      </c>
      <c r="E77" s="1" t="s">
        <v>2019</v>
      </c>
      <c r="F77" s="1" t="s">
        <v>7</v>
      </c>
      <c r="G77" s="6">
        <v>1377564</v>
      </c>
      <c r="H77" t="str">
        <f>IFERROR(VLOOKUP(F77,'LEAID Match'!$A$2:$B$142,2,FALSE),"")</f>
        <v/>
      </c>
    </row>
    <row r="78" spans="1:8" x14ac:dyDescent="0.2">
      <c r="A78" t="str">
        <f t="shared" si="1"/>
        <v/>
      </c>
      <c r="B78" s="1">
        <v>2021</v>
      </c>
      <c r="C78" s="1" t="s">
        <v>2505</v>
      </c>
      <c r="D78" s="1" t="s">
        <v>2506</v>
      </c>
      <c r="E78" s="1" t="s">
        <v>2019</v>
      </c>
      <c r="F78" s="1" t="s">
        <v>7</v>
      </c>
      <c r="G78" s="6">
        <v>1505318</v>
      </c>
      <c r="H78" t="str">
        <f>IFERROR(VLOOKUP(F78,'LEAID Match'!$A$2:$B$142,2,FALSE),"")</f>
        <v/>
      </c>
    </row>
    <row r="79" spans="1:8" x14ac:dyDescent="0.2">
      <c r="A79" t="str">
        <f t="shared" si="1"/>
        <v/>
      </c>
      <c r="B79" s="1">
        <v>2022</v>
      </c>
      <c r="C79" s="1" t="s">
        <v>2505</v>
      </c>
      <c r="D79" s="1" t="s">
        <v>2506</v>
      </c>
      <c r="E79" s="1" t="s">
        <v>2019</v>
      </c>
      <c r="F79" s="1" t="s">
        <v>7</v>
      </c>
      <c r="G79" s="6">
        <v>1548280</v>
      </c>
      <c r="H79" t="str">
        <f>IFERROR(VLOOKUP(F79,'LEAID Match'!$A$2:$B$142,2,FALSE),"")</f>
        <v/>
      </c>
    </row>
    <row r="80" spans="1:8" x14ac:dyDescent="0.2">
      <c r="A80" t="str">
        <f t="shared" si="1"/>
        <v/>
      </c>
      <c r="B80" s="1">
        <v>2023</v>
      </c>
      <c r="C80" s="1" t="s">
        <v>2505</v>
      </c>
      <c r="D80" s="1" t="s">
        <v>2506</v>
      </c>
      <c r="E80" s="1" t="s">
        <v>2019</v>
      </c>
      <c r="F80" s="1" t="s">
        <v>7</v>
      </c>
      <c r="G80" s="6">
        <v>1754905</v>
      </c>
      <c r="H80" t="str">
        <f>IFERROR(VLOOKUP(F80,'LEAID Match'!$A$2:$B$142,2,FALSE),"")</f>
        <v/>
      </c>
    </row>
    <row r="81" spans="1:8" x14ac:dyDescent="0.2">
      <c r="A81" t="str">
        <f t="shared" si="1"/>
        <v/>
      </c>
      <c r="B81" s="1">
        <v>2024</v>
      </c>
      <c r="C81" s="1" t="s">
        <v>2505</v>
      </c>
      <c r="D81" s="1" t="s">
        <v>2506</v>
      </c>
      <c r="E81" s="1" t="s">
        <v>2019</v>
      </c>
      <c r="F81" s="1" t="s">
        <v>7</v>
      </c>
      <c r="G81" s="6">
        <v>1831440</v>
      </c>
      <c r="H81" t="str">
        <f>IFERROR(VLOOKUP(F81,'LEAID Match'!$A$2:$B$142,2,FALSE),"")</f>
        <v/>
      </c>
    </row>
    <row r="82" spans="1:8" x14ac:dyDescent="0.2">
      <c r="A82">
        <f t="shared" si="1"/>
        <v>2800390</v>
      </c>
      <c r="B82" s="1">
        <v>2015</v>
      </c>
      <c r="C82" s="1" t="s">
        <v>2505</v>
      </c>
      <c r="D82" s="1" t="s">
        <v>2506</v>
      </c>
      <c r="E82" s="1" t="s">
        <v>2019</v>
      </c>
      <c r="F82" s="1" t="s">
        <v>8</v>
      </c>
      <c r="G82" s="6">
        <v>2599751</v>
      </c>
      <c r="H82">
        <f>IFERROR(VLOOKUP(F82,'LEAID Match'!$A$2:$B$142,2,FALSE),"")</f>
        <v>2800390</v>
      </c>
    </row>
    <row r="83" spans="1:8" x14ac:dyDescent="0.2">
      <c r="A83">
        <f t="shared" si="1"/>
        <v>2800390</v>
      </c>
      <c r="B83">
        <v>2016</v>
      </c>
      <c r="C83" s="1" t="s">
        <v>2505</v>
      </c>
      <c r="D83" s="1" t="s">
        <v>2506</v>
      </c>
      <c r="E83" s="1" t="s">
        <v>2019</v>
      </c>
      <c r="F83" s="1" t="s">
        <v>8</v>
      </c>
      <c r="G83" s="12">
        <v>2708379</v>
      </c>
      <c r="H83">
        <f>IFERROR(VLOOKUP(F83,'LEAID Match'!$A$2:$B$142,2,FALSE),"")</f>
        <v>2800390</v>
      </c>
    </row>
    <row r="84" spans="1:8" x14ac:dyDescent="0.2">
      <c r="A84">
        <f t="shared" si="1"/>
        <v>2800390</v>
      </c>
      <c r="B84" s="1">
        <v>2017</v>
      </c>
      <c r="C84" s="1" t="s">
        <v>2505</v>
      </c>
      <c r="D84" s="1" t="s">
        <v>2506</v>
      </c>
      <c r="E84" s="1" t="s">
        <v>2019</v>
      </c>
      <c r="F84" s="1" t="s">
        <v>8</v>
      </c>
      <c r="G84" s="47">
        <v>2483551</v>
      </c>
      <c r="H84">
        <f>IFERROR(VLOOKUP(F84,'LEAID Match'!$A$2:$B$142,2,FALSE),"")</f>
        <v>2800390</v>
      </c>
    </row>
    <row r="85" spans="1:8" x14ac:dyDescent="0.2">
      <c r="A85">
        <f t="shared" si="1"/>
        <v>2800390</v>
      </c>
      <c r="B85" s="1">
        <v>2018</v>
      </c>
      <c r="C85" s="1" t="s">
        <v>2505</v>
      </c>
      <c r="D85" s="1" t="s">
        <v>2506</v>
      </c>
      <c r="E85" s="1" t="s">
        <v>2019</v>
      </c>
      <c r="F85" s="1" t="s">
        <v>8</v>
      </c>
      <c r="G85" s="6">
        <v>2661788</v>
      </c>
      <c r="H85">
        <f>IFERROR(VLOOKUP(F85,'LEAID Match'!$A$2:$B$142,2,FALSE),"")</f>
        <v>2800390</v>
      </c>
    </row>
    <row r="86" spans="1:8" x14ac:dyDescent="0.2">
      <c r="A86">
        <f t="shared" si="1"/>
        <v>2800390</v>
      </c>
      <c r="B86" s="1">
        <v>2019</v>
      </c>
      <c r="C86" s="1" t="s">
        <v>2505</v>
      </c>
      <c r="D86" s="1" t="s">
        <v>2506</v>
      </c>
      <c r="E86" s="1" t="s">
        <v>2019</v>
      </c>
      <c r="F86" s="1" t="s">
        <v>8</v>
      </c>
      <c r="G86" s="6">
        <v>2770724</v>
      </c>
      <c r="H86">
        <f>IFERROR(VLOOKUP(F86,'LEAID Match'!$A$2:$B$142,2,FALSE),"")</f>
        <v>2800390</v>
      </c>
    </row>
    <row r="87" spans="1:8" x14ac:dyDescent="0.2">
      <c r="A87">
        <f t="shared" si="1"/>
        <v>2800390</v>
      </c>
      <c r="B87" s="1">
        <v>2020</v>
      </c>
      <c r="C87" s="1" t="s">
        <v>2505</v>
      </c>
      <c r="D87" s="1" t="s">
        <v>2506</v>
      </c>
      <c r="E87" s="1" t="s">
        <v>2019</v>
      </c>
      <c r="F87" s="1" t="s">
        <v>8</v>
      </c>
      <c r="G87" s="6">
        <v>3078090</v>
      </c>
      <c r="H87">
        <f>IFERROR(VLOOKUP(F87,'LEAID Match'!$A$2:$B$142,2,FALSE),"")</f>
        <v>2800390</v>
      </c>
    </row>
    <row r="88" spans="1:8" x14ac:dyDescent="0.2">
      <c r="A88">
        <f t="shared" si="1"/>
        <v>2800390</v>
      </c>
      <c r="B88" s="1">
        <v>2021</v>
      </c>
      <c r="C88" s="1" t="s">
        <v>2505</v>
      </c>
      <c r="D88" s="1" t="s">
        <v>2506</v>
      </c>
      <c r="E88" s="1" t="s">
        <v>2019</v>
      </c>
      <c r="F88" s="1" t="s">
        <v>8</v>
      </c>
      <c r="G88" s="6">
        <v>3082201</v>
      </c>
      <c r="H88">
        <f>IFERROR(VLOOKUP(F88,'LEAID Match'!$A$2:$B$142,2,FALSE),"")</f>
        <v>2800390</v>
      </c>
    </row>
    <row r="89" spans="1:8" x14ac:dyDescent="0.2">
      <c r="A89">
        <f t="shared" si="1"/>
        <v>2800390</v>
      </c>
      <c r="B89" s="1">
        <v>2022</v>
      </c>
      <c r="C89" s="1" t="s">
        <v>2505</v>
      </c>
      <c r="D89" s="1" t="s">
        <v>2506</v>
      </c>
      <c r="E89" s="1" t="s">
        <v>2019</v>
      </c>
      <c r="F89" s="1" t="s">
        <v>8</v>
      </c>
      <c r="G89" s="6">
        <v>3190701</v>
      </c>
      <c r="H89">
        <f>IFERROR(VLOOKUP(F89,'LEAID Match'!$A$2:$B$142,2,FALSE),"")</f>
        <v>2800390</v>
      </c>
    </row>
    <row r="90" spans="1:8" x14ac:dyDescent="0.2">
      <c r="A90">
        <f t="shared" si="1"/>
        <v>2800390</v>
      </c>
      <c r="B90" s="1">
        <v>2023</v>
      </c>
      <c r="C90" s="1" t="s">
        <v>2505</v>
      </c>
      <c r="D90" s="1" t="s">
        <v>2506</v>
      </c>
      <c r="E90" s="1" t="s">
        <v>2019</v>
      </c>
      <c r="F90" s="1" t="s">
        <v>8</v>
      </c>
      <c r="G90" s="6">
        <v>3635718</v>
      </c>
      <c r="H90">
        <f>IFERROR(VLOOKUP(F90,'LEAID Match'!$A$2:$B$142,2,FALSE),"")</f>
        <v>2800390</v>
      </c>
    </row>
    <row r="91" spans="1:8" x14ac:dyDescent="0.2">
      <c r="A91">
        <f t="shared" si="1"/>
        <v>2800390</v>
      </c>
      <c r="B91" s="1">
        <v>2024</v>
      </c>
      <c r="C91" s="1" t="s">
        <v>2505</v>
      </c>
      <c r="D91" s="1" t="s">
        <v>2506</v>
      </c>
      <c r="E91" s="1" t="s">
        <v>2019</v>
      </c>
      <c r="F91" s="1" t="s">
        <v>8</v>
      </c>
      <c r="G91" s="6">
        <v>3974339</v>
      </c>
      <c r="H91">
        <f>IFERROR(VLOOKUP(F91,'LEAID Match'!$A$2:$B$142,2,FALSE),"")</f>
        <v>2800390</v>
      </c>
    </row>
    <row r="92" spans="1:8" x14ac:dyDescent="0.2">
      <c r="A92" t="str">
        <f t="shared" si="1"/>
        <v/>
      </c>
      <c r="B92" s="1">
        <v>2015</v>
      </c>
      <c r="C92" s="1" t="s">
        <v>2505</v>
      </c>
      <c r="D92" s="1" t="s">
        <v>2506</v>
      </c>
      <c r="E92" s="1" t="s">
        <v>2019</v>
      </c>
      <c r="F92" s="1" t="s">
        <v>9</v>
      </c>
      <c r="G92" s="6">
        <v>754153</v>
      </c>
      <c r="H92" t="str">
        <f>IFERROR(VLOOKUP(F92,'LEAID Match'!$A$2:$B$142,2,FALSE),"")</f>
        <v/>
      </c>
    </row>
    <row r="93" spans="1:8" x14ac:dyDescent="0.2">
      <c r="A93" t="str">
        <f t="shared" si="1"/>
        <v/>
      </c>
      <c r="B93">
        <v>2016</v>
      </c>
      <c r="C93" s="1" t="s">
        <v>2505</v>
      </c>
      <c r="D93" s="1" t="s">
        <v>2506</v>
      </c>
      <c r="E93" s="1" t="s">
        <v>2019</v>
      </c>
      <c r="F93" s="1" t="s">
        <v>9</v>
      </c>
      <c r="G93" s="12">
        <v>770723</v>
      </c>
      <c r="H93" t="str">
        <f>IFERROR(VLOOKUP(F93,'LEAID Match'!$A$2:$B$142,2,FALSE),"")</f>
        <v/>
      </c>
    </row>
    <row r="94" spans="1:8" x14ac:dyDescent="0.2">
      <c r="A94" t="str">
        <f t="shared" si="1"/>
        <v/>
      </c>
      <c r="B94" s="1">
        <v>2017</v>
      </c>
      <c r="C94" s="1" t="s">
        <v>2505</v>
      </c>
      <c r="D94" s="1" t="s">
        <v>2506</v>
      </c>
      <c r="E94" s="1" t="s">
        <v>2019</v>
      </c>
      <c r="F94" s="1" t="s">
        <v>9</v>
      </c>
      <c r="G94" s="47">
        <v>820649</v>
      </c>
      <c r="H94" t="str">
        <f>IFERROR(VLOOKUP(F94,'LEAID Match'!$A$2:$B$142,2,FALSE),"")</f>
        <v/>
      </c>
    </row>
    <row r="95" spans="1:8" x14ac:dyDescent="0.2">
      <c r="A95" t="str">
        <f t="shared" si="1"/>
        <v/>
      </c>
      <c r="B95" s="1">
        <v>2018</v>
      </c>
      <c r="C95" s="1" t="s">
        <v>2505</v>
      </c>
      <c r="D95" s="1" t="s">
        <v>2506</v>
      </c>
      <c r="E95" s="1" t="s">
        <v>2019</v>
      </c>
      <c r="F95" s="1" t="s">
        <v>9</v>
      </c>
      <c r="G95" s="6">
        <v>839012</v>
      </c>
      <c r="H95" t="str">
        <f>IFERROR(VLOOKUP(F95,'LEAID Match'!$A$2:$B$142,2,FALSE),"")</f>
        <v/>
      </c>
    </row>
    <row r="96" spans="1:8" x14ac:dyDescent="0.2">
      <c r="A96" t="str">
        <f t="shared" si="1"/>
        <v/>
      </c>
      <c r="B96" s="1">
        <v>2019</v>
      </c>
      <c r="C96" s="1" t="s">
        <v>2505</v>
      </c>
      <c r="D96" s="1" t="s">
        <v>2506</v>
      </c>
      <c r="E96" s="1" t="s">
        <v>2019</v>
      </c>
      <c r="F96" s="1" t="s">
        <v>9</v>
      </c>
      <c r="G96" s="6">
        <v>915263</v>
      </c>
      <c r="H96" t="str">
        <f>IFERROR(VLOOKUP(F96,'LEAID Match'!$A$2:$B$142,2,FALSE),"")</f>
        <v/>
      </c>
    </row>
    <row r="97" spans="1:8" x14ac:dyDescent="0.2">
      <c r="A97" t="str">
        <f t="shared" si="1"/>
        <v/>
      </c>
      <c r="B97" s="1">
        <v>2020</v>
      </c>
      <c r="C97" s="1" t="s">
        <v>2505</v>
      </c>
      <c r="D97" s="1" t="s">
        <v>2506</v>
      </c>
      <c r="E97" s="1" t="s">
        <v>2019</v>
      </c>
      <c r="F97" s="1" t="s">
        <v>9</v>
      </c>
      <c r="G97" s="6">
        <v>1063282</v>
      </c>
      <c r="H97" t="str">
        <f>IFERROR(VLOOKUP(F97,'LEAID Match'!$A$2:$B$142,2,FALSE),"")</f>
        <v/>
      </c>
    </row>
    <row r="98" spans="1:8" x14ac:dyDescent="0.2">
      <c r="A98" t="str">
        <f t="shared" si="1"/>
        <v/>
      </c>
      <c r="B98" s="1">
        <v>2021</v>
      </c>
      <c r="C98" s="1" t="s">
        <v>2505</v>
      </c>
      <c r="D98" s="1" t="s">
        <v>2506</v>
      </c>
      <c r="E98" s="1" t="s">
        <v>2019</v>
      </c>
      <c r="F98" s="1" t="s">
        <v>9</v>
      </c>
      <c r="G98" s="6">
        <v>1099253</v>
      </c>
      <c r="H98" t="str">
        <f>IFERROR(VLOOKUP(F98,'LEAID Match'!$A$2:$B$142,2,FALSE),"")</f>
        <v/>
      </c>
    </row>
    <row r="99" spans="1:8" x14ac:dyDescent="0.2">
      <c r="A99" t="str">
        <f t="shared" si="1"/>
        <v/>
      </c>
      <c r="B99" s="1">
        <v>2022</v>
      </c>
      <c r="C99" s="1" t="s">
        <v>2505</v>
      </c>
      <c r="D99" s="1" t="s">
        <v>2506</v>
      </c>
      <c r="E99" s="1" t="s">
        <v>2019</v>
      </c>
      <c r="F99" s="1" t="s">
        <v>9</v>
      </c>
      <c r="G99" s="6">
        <v>1256825</v>
      </c>
      <c r="H99" t="str">
        <f>IFERROR(VLOOKUP(F99,'LEAID Match'!$A$2:$B$142,2,FALSE),"")</f>
        <v/>
      </c>
    </row>
    <row r="100" spans="1:8" x14ac:dyDescent="0.2">
      <c r="A100" t="str">
        <f t="shared" si="1"/>
        <v/>
      </c>
      <c r="B100" s="1">
        <v>2023</v>
      </c>
      <c r="C100" s="1" t="s">
        <v>2505</v>
      </c>
      <c r="D100" s="1" t="s">
        <v>2506</v>
      </c>
      <c r="E100" s="1" t="s">
        <v>2019</v>
      </c>
      <c r="F100" s="1" t="s">
        <v>9</v>
      </c>
      <c r="G100" s="6">
        <v>1342888</v>
      </c>
      <c r="H100" t="str">
        <f>IFERROR(VLOOKUP(F100,'LEAID Match'!$A$2:$B$142,2,FALSE),"")</f>
        <v/>
      </c>
    </row>
    <row r="101" spans="1:8" x14ac:dyDescent="0.2">
      <c r="A101" t="str">
        <f t="shared" si="1"/>
        <v/>
      </c>
      <c r="B101" s="1">
        <v>2024</v>
      </c>
      <c r="C101" s="1" t="s">
        <v>2505</v>
      </c>
      <c r="D101" s="1" t="s">
        <v>2506</v>
      </c>
      <c r="E101" s="1" t="s">
        <v>2019</v>
      </c>
      <c r="F101" s="1" t="s">
        <v>9</v>
      </c>
      <c r="G101" s="6">
        <v>1389690</v>
      </c>
      <c r="H101" t="str">
        <f>IFERROR(VLOOKUP(F101,'LEAID Match'!$A$2:$B$142,2,FALSE),"")</f>
        <v/>
      </c>
    </row>
    <row r="102" spans="1:8" x14ac:dyDescent="0.2">
      <c r="A102" t="str">
        <f t="shared" si="1"/>
        <v/>
      </c>
      <c r="B102" s="1">
        <v>2015</v>
      </c>
      <c r="C102" s="1" t="s">
        <v>2505</v>
      </c>
      <c r="D102" s="1" t="s">
        <v>2506</v>
      </c>
      <c r="E102" s="1" t="s">
        <v>2019</v>
      </c>
      <c r="F102" s="1" t="s">
        <v>10</v>
      </c>
      <c r="G102" s="6">
        <v>4521679</v>
      </c>
      <c r="H102" t="str">
        <f>IFERROR(VLOOKUP(F102,'LEAID Match'!$A$2:$B$142,2,FALSE),"")</f>
        <v/>
      </c>
    </row>
    <row r="103" spans="1:8" x14ac:dyDescent="0.2">
      <c r="A103" t="str">
        <f t="shared" si="1"/>
        <v/>
      </c>
      <c r="B103">
        <v>2016</v>
      </c>
      <c r="C103" s="1" t="s">
        <v>2505</v>
      </c>
      <c r="D103" s="1" t="s">
        <v>2506</v>
      </c>
      <c r="E103" s="1" t="s">
        <v>2019</v>
      </c>
      <c r="F103" s="1" t="s">
        <v>10</v>
      </c>
      <c r="G103" s="12">
        <v>4636447</v>
      </c>
      <c r="H103" t="str">
        <f>IFERROR(VLOOKUP(F103,'LEAID Match'!$A$2:$B$142,2,FALSE),"")</f>
        <v/>
      </c>
    </row>
    <row r="104" spans="1:8" x14ac:dyDescent="0.2">
      <c r="A104" t="str">
        <f t="shared" si="1"/>
        <v/>
      </c>
      <c r="B104" s="1">
        <v>2017</v>
      </c>
      <c r="C104" s="1" t="s">
        <v>2505</v>
      </c>
      <c r="D104" s="1" t="s">
        <v>2506</v>
      </c>
      <c r="E104" s="1" t="s">
        <v>2019</v>
      </c>
      <c r="F104" s="1" t="s">
        <v>10</v>
      </c>
      <c r="G104" s="47">
        <v>4615287</v>
      </c>
      <c r="H104" t="str">
        <f>IFERROR(VLOOKUP(F104,'LEAID Match'!$A$2:$B$142,2,FALSE),"")</f>
        <v/>
      </c>
    </row>
    <row r="105" spans="1:8" x14ac:dyDescent="0.2">
      <c r="A105" t="str">
        <f t="shared" si="1"/>
        <v/>
      </c>
      <c r="B105" s="1">
        <v>2018</v>
      </c>
      <c r="C105" s="1" t="s">
        <v>2505</v>
      </c>
      <c r="D105" s="1" t="s">
        <v>2506</v>
      </c>
      <c r="E105" s="1" t="s">
        <v>2019</v>
      </c>
      <c r="F105" s="1" t="s">
        <v>10</v>
      </c>
      <c r="G105" s="6">
        <v>4544686</v>
      </c>
      <c r="H105" t="str">
        <f>IFERROR(VLOOKUP(F105,'LEAID Match'!$A$2:$B$142,2,FALSE),"")</f>
        <v/>
      </c>
    </row>
    <row r="106" spans="1:8" x14ac:dyDescent="0.2">
      <c r="A106" t="str">
        <f t="shared" si="1"/>
        <v/>
      </c>
      <c r="B106" s="1">
        <v>2019</v>
      </c>
      <c r="C106" s="1" t="s">
        <v>2505</v>
      </c>
      <c r="D106" s="1" t="s">
        <v>2506</v>
      </c>
      <c r="E106" s="1" t="s">
        <v>2019</v>
      </c>
      <c r="F106" s="1" t="s">
        <v>10</v>
      </c>
      <c r="G106" s="6">
        <v>4419020</v>
      </c>
      <c r="H106" t="str">
        <f>IFERROR(VLOOKUP(F106,'LEAID Match'!$A$2:$B$142,2,FALSE),"")</f>
        <v/>
      </c>
    </row>
    <row r="107" spans="1:8" x14ac:dyDescent="0.2">
      <c r="A107" t="str">
        <f t="shared" si="1"/>
        <v/>
      </c>
      <c r="B107" s="1">
        <v>2020</v>
      </c>
      <c r="C107" s="1" t="s">
        <v>2505</v>
      </c>
      <c r="D107" s="1" t="s">
        <v>2506</v>
      </c>
      <c r="E107" s="1" t="s">
        <v>2019</v>
      </c>
      <c r="F107" s="1" t="s">
        <v>10</v>
      </c>
      <c r="G107" s="6">
        <v>4842398</v>
      </c>
      <c r="H107" t="str">
        <f>IFERROR(VLOOKUP(F107,'LEAID Match'!$A$2:$B$142,2,FALSE),"")</f>
        <v/>
      </c>
    </row>
    <row r="108" spans="1:8" x14ac:dyDescent="0.2">
      <c r="A108" t="str">
        <f t="shared" si="1"/>
        <v/>
      </c>
      <c r="B108" s="1">
        <v>2021</v>
      </c>
      <c r="C108" s="1" t="s">
        <v>2505</v>
      </c>
      <c r="D108" s="1" t="s">
        <v>2506</v>
      </c>
      <c r="E108" s="1" t="s">
        <v>2019</v>
      </c>
      <c r="F108" s="1" t="s">
        <v>10</v>
      </c>
      <c r="G108" s="6">
        <v>4341099</v>
      </c>
      <c r="H108" t="str">
        <f>IFERROR(VLOOKUP(F108,'LEAID Match'!$A$2:$B$142,2,FALSE),"")</f>
        <v/>
      </c>
    </row>
    <row r="109" spans="1:8" x14ac:dyDescent="0.2">
      <c r="A109" t="str">
        <f t="shared" si="1"/>
        <v/>
      </c>
      <c r="B109" s="1">
        <v>2022</v>
      </c>
      <c r="C109" s="1" t="s">
        <v>2505</v>
      </c>
      <c r="D109" s="1" t="s">
        <v>2506</v>
      </c>
      <c r="E109" s="1" t="s">
        <v>2019</v>
      </c>
      <c r="F109" s="1" t="s">
        <v>10</v>
      </c>
      <c r="G109" s="6">
        <v>4172359</v>
      </c>
      <c r="H109" t="str">
        <f>IFERROR(VLOOKUP(F109,'LEAID Match'!$A$2:$B$142,2,FALSE),"")</f>
        <v/>
      </c>
    </row>
    <row r="110" spans="1:8" x14ac:dyDescent="0.2">
      <c r="A110" t="str">
        <f t="shared" si="1"/>
        <v/>
      </c>
      <c r="B110" s="1">
        <v>2023</v>
      </c>
      <c r="C110" s="1" t="s">
        <v>2505</v>
      </c>
      <c r="D110" s="1" t="s">
        <v>2506</v>
      </c>
      <c r="E110" s="1" t="s">
        <v>2019</v>
      </c>
      <c r="F110" s="1" t="s">
        <v>10</v>
      </c>
      <c r="G110" s="6">
        <v>4269771</v>
      </c>
      <c r="H110" t="str">
        <f>IFERROR(VLOOKUP(F110,'LEAID Match'!$A$2:$B$142,2,FALSE),"")</f>
        <v/>
      </c>
    </row>
    <row r="111" spans="1:8" x14ac:dyDescent="0.2">
      <c r="A111" t="str">
        <f t="shared" si="1"/>
        <v/>
      </c>
      <c r="B111" s="1">
        <v>2024</v>
      </c>
      <c r="C111" s="1" t="s">
        <v>2505</v>
      </c>
      <c r="D111" s="1" t="s">
        <v>2506</v>
      </c>
      <c r="E111" s="1" t="s">
        <v>2019</v>
      </c>
      <c r="F111" s="1" t="s">
        <v>10</v>
      </c>
      <c r="G111" s="6">
        <v>4713818</v>
      </c>
      <c r="H111" t="str">
        <f>IFERROR(VLOOKUP(F111,'LEAID Match'!$A$2:$B$142,2,FALSE),"")</f>
        <v/>
      </c>
    </row>
    <row r="112" spans="1:8" x14ac:dyDescent="0.2">
      <c r="A112" t="str">
        <f t="shared" si="1"/>
        <v/>
      </c>
      <c r="B112" s="9">
        <v>2017</v>
      </c>
      <c r="C112" s="1" t="s">
        <v>2505</v>
      </c>
      <c r="D112" s="1" t="s">
        <v>2506</v>
      </c>
      <c r="E112" s="1" t="s">
        <v>2019</v>
      </c>
      <c r="F112" s="46" t="s">
        <v>2502</v>
      </c>
      <c r="G112" s="48">
        <v>464709</v>
      </c>
      <c r="H112" t="str">
        <f>IFERROR(VLOOKUP(F112,'LEAID Match'!$A$2:$B$142,2,FALSE),"")</f>
        <v/>
      </c>
    </row>
    <row r="113" spans="1:8" x14ac:dyDescent="0.2">
      <c r="A113" t="str">
        <f t="shared" si="1"/>
        <v/>
      </c>
      <c r="B113" s="9">
        <v>2017</v>
      </c>
      <c r="C113" s="1" t="s">
        <v>2505</v>
      </c>
      <c r="D113" s="1" t="s">
        <v>2506</v>
      </c>
      <c r="E113" s="1" t="s">
        <v>2019</v>
      </c>
      <c r="F113" s="46" t="s">
        <v>2503</v>
      </c>
      <c r="G113" s="48">
        <v>13912</v>
      </c>
      <c r="H113" t="str">
        <f>IFERROR(VLOOKUP(F113,'LEAID Match'!$A$2:$B$142,2,FALSE),"")</f>
        <v/>
      </c>
    </row>
    <row r="114" spans="1:8" x14ac:dyDescent="0.2">
      <c r="A114">
        <f t="shared" si="1"/>
        <v>2800420</v>
      </c>
      <c r="B114" s="1">
        <v>2015</v>
      </c>
      <c r="C114" s="1" t="s">
        <v>2505</v>
      </c>
      <c r="D114" s="1" t="s">
        <v>2506</v>
      </c>
      <c r="E114" s="1" t="s">
        <v>2019</v>
      </c>
      <c r="F114" s="1" t="s">
        <v>11</v>
      </c>
      <c r="G114" s="6">
        <v>1031190</v>
      </c>
      <c r="H114">
        <f>IFERROR(VLOOKUP(F114,'LEAID Match'!$A$2:$B$142,2,FALSE),"")</f>
        <v>2800420</v>
      </c>
    </row>
    <row r="115" spans="1:8" x14ac:dyDescent="0.2">
      <c r="A115">
        <f t="shared" si="1"/>
        <v>2800420</v>
      </c>
      <c r="B115">
        <v>2016</v>
      </c>
      <c r="C115" s="1" t="s">
        <v>2505</v>
      </c>
      <c r="D115" s="1" t="s">
        <v>2506</v>
      </c>
      <c r="E115" s="1" t="s">
        <v>2019</v>
      </c>
      <c r="F115" s="1" t="s">
        <v>11</v>
      </c>
      <c r="G115" s="12">
        <v>1069753</v>
      </c>
      <c r="H115">
        <f>IFERROR(VLOOKUP(F115,'LEAID Match'!$A$2:$B$142,2,FALSE),"")</f>
        <v>2800420</v>
      </c>
    </row>
    <row r="116" spans="1:8" x14ac:dyDescent="0.2">
      <c r="A116">
        <f t="shared" si="1"/>
        <v>2800420</v>
      </c>
      <c r="B116" s="1">
        <v>2017</v>
      </c>
      <c r="C116" s="1" t="s">
        <v>2505</v>
      </c>
      <c r="D116" s="1" t="s">
        <v>2506</v>
      </c>
      <c r="E116" s="1" t="s">
        <v>2019</v>
      </c>
      <c r="F116" s="1" t="s">
        <v>11</v>
      </c>
      <c r="G116" s="47">
        <v>1010235</v>
      </c>
      <c r="H116">
        <f>IFERROR(VLOOKUP(F116,'LEAID Match'!$A$2:$B$142,2,FALSE),"")</f>
        <v>2800420</v>
      </c>
    </row>
    <row r="117" spans="1:8" x14ac:dyDescent="0.2">
      <c r="A117">
        <f t="shared" si="1"/>
        <v>2800420</v>
      </c>
      <c r="B117" s="1">
        <v>2018</v>
      </c>
      <c r="C117" s="1" t="s">
        <v>2505</v>
      </c>
      <c r="D117" s="1" t="s">
        <v>2506</v>
      </c>
      <c r="E117" s="1" t="s">
        <v>2019</v>
      </c>
      <c r="F117" s="1" t="s">
        <v>11</v>
      </c>
      <c r="G117" s="6">
        <v>1055164</v>
      </c>
      <c r="H117">
        <f>IFERROR(VLOOKUP(F117,'LEAID Match'!$A$2:$B$142,2,FALSE),"")</f>
        <v>2800420</v>
      </c>
    </row>
    <row r="118" spans="1:8" x14ac:dyDescent="0.2">
      <c r="A118">
        <f t="shared" si="1"/>
        <v>2800420</v>
      </c>
      <c r="B118" s="1">
        <v>2019</v>
      </c>
      <c r="C118" s="1" t="s">
        <v>2505</v>
      </c>
      <c r="D118" s="1" t="s">
        <v>2506</v>
      </c>
      <c r="E118" s="1" t="s">
        <v>2019</v>
      </c>
      <c r="F118" s="1" t="s">
        <v>11</v>
      </c>
      <c r="G118" s="6">
        <v>1073280</v>
      </c>
      <c r="H118">
        <f>IFERROR(VLOOKUP(F118,'LEAID Match'!$A$2:$B$142,2,FALSE),"")</f>
        <v>2800420</v>
      </c>
    </row>
    <row r="119" spans="1:8" x14ac:dyDescent="0.2">
      <c r="A119">
        <f t="shared" si="1"/>
        <v>2800420</v>
      </c>
      <c r="B119" s="1">
        <v>2020</v>
      </c>
      <c r="C119" s="1" t="s">
        <v>2505</v>
      </c>
      <c r="D119" s="1" t="s">
        <v>2506</v>
      </c>
      <c r="E119" s="1" t="s">
        <v>2019</v>
      </c>
      <c r="F119" s="1" t="s">
        <v>11</v>
      </c>
      <c r="G119" s="6">
        <v>1209007</v>
      </c>
      <c r="H119">
        <f>IFERROR(VLOOKUP(F119,'LEAID Match'!$A$2:$B$142,2,FALSE),"")</f>
        <v>2800420</v>
      </c>
    </row>
    <row r="120" spans="1:8" x14ac:dyDescent="0.2">
      <c r="A120">
        <f t="shared" si="1"/>
        <v>2800420</v>
      </c>
      <c r="B120" s="1">
        <v>2021</v>
      </c>
      <c r="C120" s="1" t="s">
        <v>2505</v>
      </c>
      <c r="D120" s="1" t="s">
        <v>2506</v>
      </c>
      <c r="E120" s="1" t="s">
        <v>2019</v>
      </c>
      <c r="F120" s="1" t="s">
        <v>11</v>
      </c>
      <c r="G120" s="6">
        <v>1133842</v>
      </c>
      <c r="H120">
        <f>IFERROR(VLOOKUP(F120,'LEAID Match'!$A$2:$B$142,2,FALSE),"")</f>
        <v>2800420</v>
      </c>
    </row>
    <row r="121" spans="1:8" x14ac:dyDescent="0.2">
      <c r="A121">
        <f t="shared" si="1"/>
        <v>2800420</v>
      </c>
      <c r="B121" s="1">
        <v>2022</v>
      </c>
      <c r="C121" s="1" t="s">
        <v>2505</v>
      </c>
      <c r="D121" s="1" t="s">
        <v>2506</v>
      </c>
      <c r="E121" s="1" t="s">
        <v>2019</v>
      </c>
      <c r="F121" s="1" t="s">
        <v>11</v>
      </c>
      <c r="G121" s="6">
        <v>1231860</v>
      </c>
      <c r="H121">
        <f>IFERROR(VLOOKUP(F121,'LEAID Match'!$A$2:$B$142,2,FALSE),"")</f>
        <v>2800420</v>
      </c>
    </row>
    <row r="122" spans="1:8" x14ac:dyDescent="0.2">
      <c r="A122">
        <f t="shared" si="1"/>
        <v>2800420</v>
      </c>
      <c r="B122" s="1">
        <v>2023</v>
      </c>
      <c r="C122" s="1" t="s">
        <v>2505</v>
      </c>
      <c r="D122" s="1" t="s">
        <v>2506</v>
      </c>
      <c r="E122" s="1" t="s">
        <v>2019</v>
      </c>
      <c r="F122" s="1" t="s">
        <v>11</v>
      </c>
      <c r="G122" s="6">
        <v>1330125</v>
      </c>
      <c r="H122">
        <f>IFERROR(VLOOKUP(F122,'LEAID Match'!$A$2:$B$142,2,FALSE),"")</f>
        <v>2800420</v>
      </c>
    </row>
    <row r="123" spans="1:8" x14ac:dyDescent="0.2">
      <c r="A123">
        <f t="shared" si="1"/>
        <v>2800420</v>
      </c>
      <c r="B123" s="1">
        <v>2024</v>
      </c>
      <c r="C123" s="1" t="s">
        <v>2505</v>
      </c>
      <c r="D123" s="1" t="s">
        <v>2506</v>
      </c>
      <c r="E123" s="1" t="s">
        <v>2019</v>
      </c>
      <c r="F123" s="1" t="s">
        <v>11</v>
      </c>
      <c r="G123" s="6">
        <v>1415599</v>
      </c>
      <c r="H123">
        <f>IFERROR(VLOOKUP(F123,'LEAID Match'!$A$2:$B$142,2,FALSE),"")</f>
        <v>2800420</v>
      </c>
    </row>
    <row r="124" spans="1:8" x14ac:dyDescent="0.2">
      <c r="A124" t="str">
        <f t="shared" si="1"/>
        <v/>
      </c>
      <c r="B124" s="1">
        <v>2015</v>
      </c>
      <c r="C124" s="1" t="s">
        <v>2505</v>
      </c>
      <c r="D124" s="1" t="s">
        <v>2506</v>
      </c>
      <c r="E124" s="1" t="s">
        <v>2019</v>
      </c>
      <c r="F124" s="1" t="s">
        <v>12</v>
      </c>
      <c r="G124" s="6">
        <v>335849</v>
      </c>
      <c r="H124" t="str">
        <f>IFERROR(VLOOKUP(F124,'LEAID Match'!$A$2:$B$142,2,FALSE),"")</f>
        <v/>
      </c>
    </row>
    <row r="125" spans="1:8" x14ac:dyDescent="0.2">
      <c r="A125" t="str">
        <f t="shared" si="1"/>
        <v/>
      </c>
      <c r="B125">
        <v>2016</v>
      </c>
      <c r="C125" s="1" t="s">
        <v>2505</v>
      </c>
      <c r="D125" s="1" t="s">
        <v>2506</v>
      </c>
      <c r="E125" s="1" t="s">
        <v>2019</v>
      </c>
      <c r="F125" s="1" t="s">
        <v>12</v>
      </c>
      <c r="G125" s="12">
        <v>340000</v>
      </c>
      <c r="H125" t="str">
        <f>IFERROR(VLOOKUP(F125,'LEAID Match'!$A$2:$B$142,2,FALSE),"")</f>
        <v/>
      </c>
    </row>
    <row r="126" spans="1:8" x14ac:dyDescent="0.2">
      <c r="A126" t="str">
        <f t="shared" si="1"/>
        <v/>
      </c>
      <c r="B126" s="1">
        <v>2017</v>
      </c>
      <c r="C126" s="1" t="s">
        <v>2505</v>
      </c>
      <c r="D126" s="1" t="s">
        <v>2506</v>
      </c>
      <c r="E126" s="1" t="s">
        <v>2019</v>
      </c>
      <c r="F126" s="1" t="s">
        <v>12</v>
      </c>
      <c r="G126" s="47">
        <v>359011</v>
      </c>
      <c r="H126" t="str">
        <f>IFERROR(VLOOKUP(F126,'LEAID Match'!$A$2:$B$142,2,FALSE),"")</f>
        <v/>
      </c>
    </row>
    <row r="127" spans="1:8" x14ac:dyDescent="0.2">
      <c r="A127" t="str">
        <f t="shared" si="1"/>
        <v/>
      </c>
      <c r="B127" s="1">
        <v>2018</v>
      </c>
      <c r="C127" s="1" t="s">
        <v>2505</v>
      </c>
      <c r="D127" s="1" t="s">
        <v>2506</v>
      </c>
      <c r="E127" s="1" t="s">
        <v>2019</v>
      </c>
      <c r="F127" s="1" t="s">
        <v>12</v>
      </c>
      <c r="G127" s="6">
        <v>364163</v>
      </c>
      <c r="H127" t="str">
        <f>IFERROR(VLOOKUP(F127,'LEAID Match'!$A$2:$B$142,2,FALSE),"")</f>
        <v/>
      </c>
    </row>
    <row r="128" spans="1:8" x14ac:dyDescent="0.2">
      <c r="A128" t="str">
        <f t="shared" si="1"/>
        <v/>
      </c>
      <c r="B128" s="1">
        <v>2019</v>
      </c>
      <c r="C128" s="1" t="s">
        <v>2505</v>
      </c>
      <c r="D128" s="1" t="s">
        <v>2506</v>
      </c>
      <c r="E128" s="1" t="s">
        <v>2019</v>
      </c>
      <c r="F128" s="1" t="s">
        <v>12</v>
      </c>
      <c r="G128" s="6">
        <v>375186</v>
      </c>
      <c r="H128" t="str">
        <f>IFERROR(VLOOKUP(F128,'LEAID Match'!$A$2:$B$142,2,FALSE),"")</f>
        <v/>
      </c>
    </row>
    <row r="129" spans="1:8" x14ac:dyDescent="0.2">
      <c r="A129" t="str">
        <f t="shared" si="1"/>
        <v/>
      </c>
      <c r="B129" s="1">
        <v>2020</v>
      </c>
      <c r="C129" s="1" t="s">
        <v>2505</v>
      </c>
      <c r="D129" s="1" t="s">
        <v>2506</v>
      </c>
      <c r="E129" s="1" t="s">
        <v>2019</v>
      </c>
      <c r="F129" s="1" t="s">
        <v>12</v>
      </c>
      <c r="G129" s="6">
        <v>411643</v>
      </c>
      <c r="H129" t="str">
        <f>IFERROR(VLOOKUP(F129,'LEAID Match'!$A$2:$B$142,2,FALSE),"")</f>
        <v/>
      </c>
    </row>
    <row r="130" spans="1:8" x14ac:dyDescent="0.2">
      <c r="A130" t="str">
        <f t="shared" si="1"/>
        <v/>
      </c>
      <c r="B130" s="1">
        <v>2021</v>
      </c>
      <c r="C130" s="1" t="s">
        <v>2505</v>
      </c>
      <c r="D130" s="1" t="s">
        <v>2506</v>
      </c>
      <c r="E130" s="1" t="s">
        <v>2019</v>
      </c>
      <c r="F130" s="1" t="s">
        <v>12</v>
      </c>
      <c r="G130" s="6">
        <v>430832</v>
      </c>
      <c r="H130" t="str">
        <f>IFERROR(VLOOKUP(F130,'LEAID Match'!$A$2:$B$142,2,FALSE),"")</f>
        <v/>
      </c>
    </row>
    <row r="131" spans="1:8" x14ac:dyDescent="0.2">
      <c r="A131" t="str">
        <f t="shared" ref="A131:A194" si="2">H131</f>
        <v/>
      </c>
      <c r="B131" s="1">
        <v>2022</v>
      </c>
      <c r="C131" s="1" t="s">
        <v>2505</v>
      </c>
      <c r="D131" s="1" t="s">
        <v>2506</v>
      </c>
      <c r="E131" s="1" t="s">
        <v>2019</v>
      </c>
      <c r="F131" s="1" t="s">
        <v>12</v>
      </c>
      <c r="G131" s="6">
        <v>437304</v>
      </c>
      <c r="H131" t="str">
        <f>IFERROR(VLOOKUP(F131,'LEAID Match'!$A$2:$B$142,2,FALSE),"")</f>
        <v/>
      </c>
    </row>
    <row r="132" spans="1:8" x14ac:dyDescent="0.2">
      <c r="A132" t="str">
        <f t="shared" si="2"/>
        <v/>
      </c>
      <c r="B132" s="1">
        <v>2023</v>
      </c>
      <c r="C132" s="1" t="s">
        <v>2505</v>
      </c>
      <c r="D132" s="1" t="s">
        <v>2506</v>
      </c>
      <c r="E132" s="1" t="s">
        <v>2019</v>
      </c>
      <c r="F132" s="1" t="s">
        <v>12</v>
      </c>
      <c r="G132" s="6">
        <v>461928</v>
      </c>
      <c r="H132" t="str">
        <f>IFERROR(VLOOKUP(F132,'LEAID Match'!$A$2:$B$142,2,FALSE),"")</f>
        <v/>
      </c>
    </row>
    <row r="133" spans="1:8" x14ac:dyDescent="0.2">
      <c r="A133" t="str">
        <f t="shared" si="2"/>
        <v/>
      </c>
      <c r="B133" s="1">
        <v>2024</v>
      </c>
      <c r="C133" s="1" t="s">
        <v>2505</v>
      </c>
      <c r="D133" s="1" t="s">
        <v>2506</v>
      </c>
      <c r="E133" s="1" t="s">
        <v>2019</v>
      </c>
      <c r="F133" s="1" t="s">
        <v>12</v>
      </c>
      <c r="G133" s="6">
        <v>470027</v>
      </c>
      <c r="H133" t="str">
        <f>IFERROR(VLOOKUP(F133,'LEAID Match'!$A$2:$B$142,2,FALSE),"")</f>
        <v/>
      </c>
    </row>
    <row r="134" spans="1:8" x14ac:dyDescent="0.2">
      <c r="A134" t="str">
        <f t="shared" si="2"/>
        <v/>
      </c>
      <c r="B134" s="1">
        <v>2015</v>
      </c>
      <c r="C134" s="1" t="s">
        <v>2505</v>
      </c>
      <c r="D134" s="1" t="s">
        <v>2506</v>
      </c>
      <c r="E134" s="1" t="s">
        <v>2019</v>
      </c>
      <c r="F134" s="1" t="s">
        <v>13</v>
      </c>
      <c r="G134" s="6">
        <v>674798</v>
      </c>
      <c r="H134" t="str">
        <f>IFERROR(VLOOKUP(F134,'LEAID Match'!$A$2:$B$142,2,FALSE),"")</f>
        <v/>
      </c>
    </row>
    <row r="135" spans="1:8" x14ac:dyDescent="0.2">
      <c r="A135" t="str">
        <f t="shared" si="2"/>
        <v/>
      </c>
      <c r="B135">
        <v>2016</v>
      </c>
      <c r="C135" s="1" t="s">
        <v>2505</v>
      </c>
      <c r="D135" s="1" t="s">
        <v>2506</v>
      </c>
      <c r="E135" s="1" t="s">
        <v>2019</v>
      </c>
      <c r="F135" s="1" t="s">
        <v>13</v>
      </c>
      <c r="G135" s="12">
        <v>691653</v>
      </c>
      <c r="H135" t="str">
        <f>IFERROR(VLOOKUP(F135,'LEAID Match'!$A$2:$B$142,2,FALSE),"")</f>
        <v/>
      </c>
    </row>
    <row r="136" spans="1:8" x14ac:dyDescent="0.2">
      <c r="A136" t="str">
        <f t="shared" si="2"/>
        <v/>
      </c>
      <c r="B136" s="1">
        <v>2017</v>
      </c>
      <c r="C136" s="1" t="s">
        <v>2505</v>
      </c>
      <c r="D136" s="1" t="s">
        <v>2506</v>
      </c>
      <c r="E136" s="1" t="s">
        <v>2019</v>
      </c>
      <c r="F136" s="1" t="s">
        <v>13</v>
      </c>
      <c r="G136" s="47">
        <v>691049</v>
      </c>
      <c r="H136" t="str">
        <f>IFERROR(VLOOKUP(F136,'LEAID Match'!$A$2:$B$142,2,FALSE),"")</f>
        <v/>
      </c>
    </row>
    <row r="137" spans="1:8" x14ac:dyDescent="0.2">
      <c r="A137" t="str">
        <f t="shared" si="2"/>
        <v/>
      </c>
      <c r="B137" s="1">
        <v>2018</v>
      </c>
      <c r="C137" s="1" t="s">
        <v>2505</v>
      </c>
      <c r="D137" s="1" t="s">
        <v>2506</v>
      </c>
      <c r="E137" s="1" t="s">
        <v>2019</v>
      </c>
      <c r="F137" s="1" t="s">
        <v>13</v>
      </c>
      <c r="G137" s="6">
        <v>700268</v>
      </c>
      <c r="H137" t="str">
        <f>IFERROR(VLOOKUP(F137,'LEAID Match'!$A$2:$B$142,2,FALSE),"")</f>
        <v/>
      </c>
    </row>
    <row r="138" spans="1:8" x14ac:dyDescent="0.2">
      <c r="A138" t="str">
        <f t="shared" si="2"/>
        <v/>
      </c>
      <c r="B138" s="1">
        <v>2019</v>
      </c>
      <c r="C138" s="1" t="s">
        <v>2505</v>
      </c>
      <c r="D138" s="1" t="s">
        <v>2506</v>
      </c>
      <c r="E138" s="1" t="s">
        <v>2019</v>
      </c>
      <c r="F138" s="1" t="s">
        <v>13</v>
      </c>
      <c r="G138" s="6">
        <v>745444</v>
      </c>
      <c r="H138" t="str">
        <f>IFERROR(VLOOKUP(F138,'LEAID Match'!$A$2:$B$142,2,FALSE),"")</f>
        <v/>
      </c>
    </row>
    <row r="139" spans="1:8" x14ac:dyDescent="0.2">
      <c r="A139" t="str">
        <f t="shared" si="2"/>
        <v/>
      </c>
      <c r="B139" s="1">
        <v>2020</v>
      </c>
      <c r="C139" s="1" t="s">
        <v>2505</v>
      </c>
      <c r="D139" s="1" t="s">
        <v>2506</v>
      </c>
      <c r="E139" s="1" t="s">
        <v>2019</v>
      </c>
      <c r="F139" s="1" t="s">
        <v>13</v>
      </c>
      <c r="G139" s="6">
        <v>818949</v>
      </c>
      <c r="H139" t="str">
        <f>IFERROR(VLOOKUP(F139,'LEAID Match'!$A$2:$B$142,2,FALSE),"")</f>
        <v/>
      </c>
    </row>
    <row r="140" spans="1:8" x14ac:dyDescent="0.2">
      <c r="A140" t="str">
        <f t="shared" si="2"/>
        <v/>
      </c>
      <c r="B140" s="1">
        <v>2021</v>
      </c>
      <c r="C140" s="1" t="s">
        <v>2505</v>
      </c>
      <c r="D140" s="1" t="s">
        <v>2506</v>
      </c>
      <c r="E140" s="1" t="s">
        <v>2019</v>
      </c>
      <c r="F140" s="1" t="s">
        <v>13</v>
      </c>
      <c r="G140" s="6">
        <v>852129</v>
      </c>
      <c r="H140" t="str">
        <f>IFERROR(VLOOKUP(F140,'LEAID Match'!$A$2:$B$142,2,FALSE),"")</f>
        <v/>
      </c>
    </row>
    <row r="141" spans="1:8" x14ac:dyDescent="0.2">
      <c r="A141" t="str">
        <f t="shared" si="2"/>
        <v/>
      </c>
      <c r="B141" s="1">
        <v>2022</v>
      </c>
      <c r="C141" s="1" t="s">
        <v>2505</v>
      </c>
      <c r="D141" s="1" t="s">
        <v>2506</v>
      </c>
      <c r="E141" s="1" t="s">
        <v>2019</v>
      </c>
      <c r="F141" s="1" t="s">
        <v>13</v>
      </c>
      <c r="G141" s="6">
        <v>855198</v>
      </c>
      <c r="H141" t="str">
        <f>IFERROR(VLOOKUP(F141,'LEAID Match'!$A$2:$B$142,2,FALSE),"")</f>
        <v/>
      </c>
    </row>
    <row r="142" spans="1:8" x14ac:dyDescent="0.2">
      <c r="A142" t="str">
        <f t="shared" si="2"/>
        <v/>
      </c>
      <c r="B142" s="1">
        <v>2023</v>
      </c>
      <c r="C142" s="1" t="s">
        <v>2505</v>
      </c>
      <c r="D142" s="1" t="s">
        <v>2506</v>
      </c>
      <c r="E142" s="1" t="s">
        <v>2019</v>
      </c>
      <c r="F142" s="1" t="s">
        <v>13</v>
      </c>
      <c r="G142" s="6">
        <v>957427</v>
      </c>
      <c r="H142" t="str">
        <f>IFERROR(VLOOKUP(F142,'LEAID Match'!$A$2:$B$142,2,FALSE),"")</f>
        <v/>
      </c>
    </row>
    <row r="143" spans="1:8" x14ac:dyDescent="0.2">
      <c r="A143" t="str">
        <f t="shared" si="2"/>
        <v/>
      </c>
      <c r="B143" s="1">
        <v>2024</v>
      </c>
      <c r="C143" s="1" t="s">
        <v>2505</v>
      </c>
      <c r="D143" s="1" t="s">
        <v>2506</v>
      </c>
      <c r="E143" s="1" t="s">
        <v>2019</v>
      </c>
      <c r="F143" s="1" t="s">
        <v>13</v>
      </c>
      <c r="G143" s="6">
        <v>965735</v>
      </c>
      <c r="H143" t="str">
        <f>IFERROR(VLOOKUP(F143,'LEAID Match'!$A$2:$B$142,2,FALSE),"")</f>
        <v/>
      </c>
    </row>
    <row r="144" spans="1:8" x14ac:dyDescent="0.2">
      <c r="A144" t="str">
        <f t="shared" si="2"/>
        <v/>
      </c>
      <c r="B144" s="1">
        <v>2020</v>
      </c>
      <c r="C144" s="1" t="s">
        <v>2505</v>
      </c>
      <c r="D144" s="1" t="s">
        <v>2506</v>
      </c>
      <c r="E144" s="1" t="s">
        <v>2019</v>
      </c>
      <c r="F144" s="1" t="s">
        <v>14</v>
      </c>
      <c r="G144" s="6">
        <v>14066</v>
      </c>
      <c r="H144" t="str">
        <f>IFERROR(VLOOKUP(F144,'LEAID Match'!$A$2:$B$142,2,FALSE),"")</f>
        <v/>
      </c>
    </row>
    <row r="145" spans="1:8" x14ac:dyDescent="0.2">
      <c r="A145" t="str">
        <f t="shared" si="2"/>
        <v/>
      </c>
      <c r="B145" s="1">
        <v>2021</v>
      </c>
      <c r="C145" s="1" t="s">
        <v>2505</v>
      </c>
      <c r="D145" s="1" t="s">
        <v>2506</v>
      </c>
      <c r="E145" s="1" t="s">
        <v>2019</v>
      </c>
      <c r="F145" s="1" t="s">
        <v>14</v>
      </c>
      <c r="G145" s="6">
        <v>23710</v>
      </c>
      <c r="H145" t="str">
        <f>IFERROR(VLOOKUP(F145,'LEAID Match'!$A$2:$B$142,2,FALSE),"")</f>
        <v/>
      </c>
    </row>
    <row r="146" spans="1:8" x14ac:dyDescent="0.2">
      <c r="A146" t="str">
        <f t="shared" si="2"/>
        <v/>
      </c>
      <c r="B146" s="1">
        <v>2022</v>
      </c>
      <c r="C146" s="1" t="s">
        <v>2505</v>
      </c>
      <c r="D146" s="1" t="s">
        <v>2506</v>
      </c>
      <c r="E146" s="1" t="s">
        <v>2019</v>
      </c>
      <c r="F146" s="1" t="s">
        <v>14</v>
      </c>
      <c r="G146" s="6">
        <v>35278</v>
      </c>
      <c r="H146" t="str">
        <f>IFERROR(VLOOKUP(F146,'LEAID Match'!$A$2:$B$142,2,FALSE),"")</f>
        <v/>
      </c>
    </row>
    <row r="147" spans="1:8" x14ac:dyDescent="0.2">
      <c r="A147" t="str">
        <f t="shared" si="2"/>
        <v/>
      </c>
      <c r="B147" s="1">
        <v>2023</v>
      </c>
      <c r="C147" s="1" t="s">
        <v>2505</v>
      </c>
      <c r="D147" s="1" t="s">
        <v>2506</v>
      </c>
      <c r="E147" s="1" t="s">
        <v>2019</v>
      </c>
      <c r="F147" s="1" t="s">
        <v>14</v>
      </c>
      <c r="G147" s="6">
        <v>37565</v>
      </c>
      <c r="H147" t="str">
        <f>IFERROR(VLOOKUP(F147,'LEAID Match'!$A$2:$B$142,2,FALSE),"")</f>
        <v/>
      </c>
    </row>
    <row r="148" spans="1:8" x14ac:dyDescent="0.2">
      <c r="A148" t="str">
        <f t="shared" si="2"/>
        <v/>
      </c>
      <c r="B148" s="1">
        <v>2024</v>
      </c>
      <c r="C148" s="1" t="s">
        <v>2505</v>
      </c>
      <c r="D148" s="1" t="s">
        <v>2506</v>
      </c>
      <c r="E148" s="1" t="s">
        <v>2019</v>
      </c>
      <c r="F148" s="1" t="s">
        <v>14</v>
      </c>
      <c r="G148" s="6">
        <v>39678</v>
      </c>
      <c r="H148" t="str">
        <f>IFERROR(VLOOKUP(F148,'LEAID Match'!$A$2:$B$142,2,FALSE),"")</f>
        <v/>
      </c>
    </row>
    <row r="149" spans="1:8" x14ac:dyDescent="0.2">
      <c r="A149">
        <f t="shared" si="2"/>
        <v>2800450</v>
      </c>
      <c r="B149" s="1">
        <v>2015</v>
      </c>
      <c r="C149" s="1" t="s">
        <v>2505</v>
      </c>
      <c r="D149" s="1" t="s">
        <v>2506</v>
      </c>
      <c r="E149" s="1" t="s">
        <v>2019</v>
      </c>
      <c r="F149" s="1" t="s">
        <v>15</v>
      </c>
      <c r="G149" s="6">
        <v>1284876</v>
      </c>
      <c r="H149">
        <f>IFERROR(VLOOKUP(F149,'LEAID Match'!$A$2:$B$142,2,FALSE),"")</f>
        <v>2800450</v>
      </c>
    </row>
    <row r="150" spans="1:8" x14ac:dyDescent="0.2">
      <c r="A150">
        <f t="shared" si="2"/>
        <v>2800450</v>
      </c>
      <c r="B150">
        <v>2016</v>
      </c>
      <c r="C150" s="1" t="s">
        <v>2505</v>
      </c>
      <c r="D150" s="1" t="s">
        <v>2506</v>
      </c>
      <c r="E150" s="1" t="s">
        <v>2019</v>
      </c>
      <c r="F150" s="1" t="s">
        <v>15</v>
      </c>
      <c r="G150" s="12">
        <v>1243538</v>
      </c>
      <c r="H150">
        <f>IFERROR(VLOOKUP(F150,'LEAID Match'!$A$2:$B$142,2,FALSE),"")</f>
        <v>2800450</v>
      </c>
    </row>
    <row r="151" spans="1:8" x14ac:dyDescent="0.2">
      <c r="A151">
        <f t="shared" si="2"/>
        <v>2800450</v>
      </c>
      <c r="B151" s="1">
        <v>2017</v>
      </c>
      <c r="C151" s="1" t="s">
        <v>2505</v>
      </c>
      <c r="D151" s="1" t="s">
        <v>2506</v>
      </c>
      <c r="E151" s="1" t="s">
        <v>2019</v>
      </c>
      <c r="F151" s="1" t="s">
        <v>15</v>
      </c>
      <c r="G151" s="47">
        <v>1252589</v>
      </c>
      <c r="H151">
        <f>IFERROR(VLOOKUP(F151,'LEAID Match'!$A$2:$B$142,2,FALSE),"")</f>
        <v>2800450</v>
      </c>
    </row>
    <row r="152" spans="1:8" x14ac:dyDescent="0.2">
      <c r="A152">
        <f t="shared" si="2"/>
        <v>2800450</v>
      </c>
      <c r="B152" s="1">
        <v>2018</v>
      </c>
      <c r="C152" s="1" t="s">
        <v>2505</v>
      </c>
      <c r="D152" s="1" t="s">
        <v>2506</v>
      </c>
      <c r="E152" s="1" t="s">
        <v>2019</v>
      </c>
      <c r="F152" s="1" t="s">
        <v>15</v>
      </c>
      <c r="G152" s="6">
        <v>1247202</v>
      </c>
      <c r="H152">
        <f>IFERROR(VLOOKUP(F152,'LEAID Match'!$A$2:$B$142,2,FALSE),"")</f>
        <v>2800450</v>
      </c>
    </row>
    <row r="153" spans="1:8" x14ac:dyDescent="0.2">
      <c r="A153">
        <f t="shared" si="2"/>
        <v>2800450</v>
      </c>
      <c r="B153" s="1">
        <v>2019</v>
      </c>
      <c r="C153" s="1" t="s">
        <v>2505</v>
      </c>
      <c r="D153" s="1" t="s">
        <v>2506</v>
      </c>
      <c r="E153" s="1" t="s">
        <v>2019</v>
      </c>
      <c r="F153" s="1" t="s">
        <v>15</v>
      </c>
      <c r="G153" s="6">
        <v>1275374</v>
      </c>
      <c r="H153">
        <f>IFERROR(VLOOKUP(F153,'LEAID Match'!$A$2:$B$142,2,FALSE),"")</f>
        <v>2800450</v>
      </c>
    </row>
    <row r="154" spans="1:8" x14ac:dyDescent="0.2">
      <c r="A154">
        <f t="shared" si="2"/>
        <v>2800450</v>
      </c>
      <c r="B154" s="1">
        <v>2020</v>
      </c>
      <c r="C154" s="1" t="s">
        <v>2505</v>
      </c>
      <c r="D154" s="1" t="s">
        <v>2506</v>
      </c>
      <c r="E154" s="1" t="s">
        <v>2019</v>
      </c>
      <c r="F154" s="1" t="s">
        <v>15</v>
      </c>
      <c r="G154" s="6">
        <v>1465414</v>
      </c>
      <c r="H154">
        <f>IFERROR(VLOOKUP(F154,'LEAID Match'!$A$2:$B$142,2,FALSE),"")</f>
        <v>2800450</v>
      </c>
    </row>
    <row r="155" spans="1:8" x14ac:dyDescent="0.2">
      <c r="A155">
        <f t="shared" si="2"/>
        <v>2800450</v>
      </c>
      <c r="B155" s="1">
        <v>2021</v>
      </c>
      <c r="C155" s="1" t="s">
        <v>2505</v>
      </c>
      <c r="D155" s="1" t="s">
        <v>2506</v>
      </c>
      <c r="E155" s="1" t="s">
        <v>2019</v>
      </c>
      <c r="F155" s="1" t="s">
        <v>15</v>
      </c>
      <c r="G155" s="6">
        <v>1469688</v>
      </c>
      <c r="H155">
        <f>IFERROR(VLOOKUP(F155,'LEAID Match'!$A$2:$B$142,2,FALSE),"")</f>
        <v>2800450</v>
      </c>
    </row>
    <row r="156" spans="1:8" x14ac:dyDescent="0.2">
      <c r="A156">
        <f t="shared" si="2"/>
        <v>2800450</v>
      </c>
      <c r="B156" s="1">
        <v>2022</v>
      </c>
      <c r="C156" s="1" t="s">
        <v>2505</v>
      </c>
      <c r="D156" s="1" t="s">
        <v>2506</v>
      </c>
      <c r="E156" s="1" t="s">
        <v>2019</v>
      </c>
      <c r="F156" s="1" t="s">
        <v>15</v>
      </c>
      <c r="G156" s="6">
        <v>1557311</v>
      </c>
      <c r="H156">
        <f>IFERROR(VLOOKUP(F156,'LEAID Match'!$A$2:$B$142,2,FALSE),"")</f>
        <v>2800450</v>
      </c>
    </row>
    <row r="157" spans="1:8" x14ac:dyDescent="0.2">
      <c r="A157">
        <f t="shared" si="2"/>
        <v>2800450</v>
      </c>
      <c r="B157" s="1">
        <v>2023</v>
      </c>
      <c r="C157" s="1" t="s">
        <v>2505</v>
      </c>
      <c r="D157" s="1" t="s">
        <v>2506</v>
      </c>
      <c r="E157" s="1" t="s">
        <v>2019</v>
      </c>
      <c r="F157" s="1" t="s">
        <v>15</v>
      </c>
      <c r="G157" s="6">
        <v>1705848</v>
      </c>
      <c r="H157">
        <f>IFERROR(VLOOKUP(F157,'LEAID Match'!$A$2:$B$142,2,FALSE),"")</f>
        <v>2800450</v>
      </c>
    </row>
    <row r="158" spans="1:8" x14ac:dyDescent="0.2">
      <c r="A158">
        <f t="shared" si="2"/>
        <v>2800450</v>
      </c>
      <c r="B158" s="1">
        <v>2024</v>
      </c>
      <c r="C158" s="1" t="s">
        <v>2505</v>
      </c>
      <c r="D158" s="1" t="s">
        <v>2506</v>
      </c>
      <c r="E158" s="1" t="s">
        <v>2019</v>
      </c>
      <c r="F158" s="1" t="s">
        <v>15</v>
      </c>
      <c r="G158" s="6">
        <v>1723472</v>
      </c>
      <c r="H158">
        <f>IFERROR(VLOOKUP(F158,'LEAID Match'!$A$2:$B$142,2,FALSE),"")</f>
        <v>2800450</v>
      </c>
    </row>
    <row r="159" spans="1:8" x14ac:dyDescent="0.2">
      <c r="A159" t="str">
        <f t="shared" si="2"/>
        <v/>
      </c>
      <c r="B159" s="1">
        <v>2015</v>
      </c>
      <c r="C159" s="1" t="s">
        <v>2505</v>
      </c>
      <c r="D159" s="1" t="s">
        <v>2506</v>
      </c>
      <c r="E159" s="1" t="s">
        <v>2019</v>
      </c>
      <c r="F159" s="1" t="s">
        <v>16</v>
      </c>
      <c r="G159" s="6">
        <v>18397</v>
      </c>
      <c r="H159" t="str">
        <f>IFERROR(VLOOKUP(F159,'LEAID Match'!$A$2:$B$142,2,FALSE),"")</f>
        <v/>
      </c>
    </row>
    <row r="160" spans="1:8" x14ac:dyDescent="0.2">
      <c r="A160" t="str">
        <f t="shared" si="2"/>
        <v/>
      </c>
      <c r="B160">
        <v>2016</v>
      </c>
      <c r="C160" s="1" t="s">
        <v>2505</v>
      </c>
      <c r="D160" s="1" t="s">
        <v>2506</v>
      </c>
      <c r="E160" s="1" t="s">
        <v>2019</v>
      </c>
      <c r="F160" s="1" t="s">
        <v>16</v>
      </c>
      <c r="G160" s="12">
        <v>20895</v>
      </c>
      <c r="H160" t="str">
        <f>IFERROR(VLOOKUP(F160,'LEAID Match'!$A$2:$B$142,2,FALSE),"")</f>
        <v/>
      </c>
    </row>
    <row r="161" spans="1:8" x14ac:dyDescent="0.2">
      <c r="A161" t="str">
        <f t="shared" si="2"/>
        <v/>
      </c>
      <c r="B161" s="1">
        <v>2017</v>
      </c>
      <c r="C161" s="1" t="s">
        <v>2505</v>
      </c>
      <c r="D161" s="1" t="s">
        <v>2506</v>
      </c>
      <c r="E161" s="1" t="s">
        <v>2019</v>
      </c>
      <c r="F161" s="1" t="s">
        <v>16</v>
      </c>
      <c r="G161" s="47">
        <v>21010</v>
      </c>
      <c r="H161" t="str">
        <f>IFERROR(VLOOKUP(F161,'LEAID Match'!$A$2:$B$142,2,FALSE),"")</f>
        <v/>
      </c>
    </row>
    <row r="162" spans="1:8" x14ac:dyDescent="0.2">
      <c r="A162" t="str">
        <f t="shared" si="2"/>
        <v/>
      </c>
      <c r="B162" s="1">
        <v>2018</v>
      </c>
      <c r="C162" s="1" t="s">
        <v>2505</v>
      </c>
      <c r="D162" s="1" t="s">
        <v>2506</v>
      </c>
      <c r="E162" s="1" t="s">
        <v>2019</v>
      </c>
      <c r="F162" s="1" t="s">
        <v>16</v>
      </c>
      <c r="G162" s="6">
        <v>17673</v>
      </c>
      <c r="H162" t="str">
        <f>IFERROR(VLOOKUP(F162,'LEAID Match'!$A$2:$B$142,2,FALSE),"")</f>
        <v/>
      </c>
    </row>
    <row r="163" spans="1:8" x14ac:dyDescent="0.2">
      <c r="A163" t="str">
        <f t="shared" si="2"/>
        <v/>
      </c>
      <c r="B163" s="1">
        <v>2019</v>
      </c>
      <c r="C163" s="1" t="s">
        <v>2505</v>
      </c>
      <c r="D163" s="1" t="s">
        <v>2506</v>
      </c>
      <c r="E163" s="1" t="s">
        <v>2019</v>
      </c>
      <c r="F163" s="1" t="s">
        <v>16</v>
      </c>
      <c r="G163" s="6">
        <v>11958</v>
      </c>
      <c r="H163" t="str">
        <f>IFERROR(VLOOKUP(F163,'LEAID Match'!$A$2:$B$142,2,FALSE),"")</f>
        <v/>
      </c>
    </row>
    <row r="164" spans="1:8" x14ac:dyDescent="0.2">
      <c r="A164" t="str">
        <f t="shared" si="2"/>
        <v/>
      </c>
      <c r="B164" s="1">
        <v>2020</v>
      </c>
      <c r="C164" s="1" t="s">
        <v>2505</v>
      </c>
      <c r="D164" s="1" t="s">
        <v>2506</v>
      </c>
      <c r="E164" s="1" t="s">
        <v>2019</v>
      </c>
      <c r="F164" s="1" t="s">
        <v>16</v>
      </c>
      <c r="G164" s="6">
        <v>16837</v>
      </c>
      <c r="H164" t="str">
        <f>IFERROR(VLOOKUP(F164,'LEAID Match'!$A$2:$B$142,2,FALSE),"")</f>
        <v/>
      </c>
    </row>
    <row r="165" spans="1:8" x14ac:dyDescent="0.2">
      <c r="A165" t="str">
        <f t="shared" si="2"/>
        <v/>
      </c>
      <c r="B165" s="1">
        <v>2021</v>
      </c>
      <c r="C165" s="1" t="s">
        <v>2505</v>
      </c>
      <c r="D165" s="1" t="s">
        <v>2506</v>
      </c>
      <c r="E165" s="1" t="s">
        <v>2019</v>
      </c>
      <c r="F165" s="1" t="s">
        <v>16</v>
      </c>
      <c r="G165" s="6">
        <v>17183</v>
      </c>
      <c r="H165" t="str">
        <f>IFERROR(VLOOKUP(F165,'LEAID Match'!$A$2:$B$142,2,FALSE),"")</f>
        <v/>
      </c>
    </row>
    <row r="166" spans="1:8" x14ac:dyDescent="0.2">
      <c r="A166" t="str">
        <f t="shared" si="2"/>
        <v/>
      </c>
      <c r="B166" s="1">
        <v>2022</v>
      </c>
      <c r="C166" s="1" t="s">
        <v>2505</v>
      </c>
      <c r="D166" s="1" t="s">
        <v>2506</v>
      </c>
      <c r="E166" s="1" t="s">
        <v>2019</v>
      </c>
      <c r="F166" s="1" t="s">
        <v>16</v>
      </c>
      <c r="G166" s="6">
        <v>16366</v>
      </c>
      <c r="H166" t="str">
        <f>IFERROR(VLOOKUP(F166,'LEAID Match'!$A$2:$B$142,2,FALSE),"")</f>
        <v/>
      </c>
    </row>
    <row r="167" spans="1:8" x14ac:dyDescent="0.2">
      <c r="A167" t="str">
        <f t="shared" si="2"/>
        <v/>
      </c>
      <c r="B167" s="1">
        <v>2023</v>
      </c>
      <c r="C167" s="1" t="s">
        <v>2505</v>
      </c>
      <c r="D167" s="1" t="s">
        <v>2506</v>
      </c>
      <c r="E167" s="1" t="s">
        <v>2019</v>
      </c>
      <c r="F167" s="1" t="s">
        <v>16</v>
      </c>
      <c r="G167" s="6">
        <v>16516</v>
      </c>
      <c r="H167" t="str">
        <f>IFERROR(VLOOKUP(F167,'LEAID Match'!$A$2:$B$142,2,FALSE),"")</f>
        <v/>
      </c>
    </row>
    <row r="168" spans="1:8" x14ac:dyDescent="0.2">
      <c r="A168" t="str">
        <f t="shared" si="2"/>
        <v/>
      </c>
      <c r="B168" s="1">
        <v>2024</v>
      </c>
      <c r="C168" s="1" t="s">
        <v>2505</v>
      </c>
      <c r="D168" s="1" t="s">
        <v>2506</v>
      </c>
      <c r="E168" s="1" t="s">
        <v>2019</v>
      </c>
      <c r="F168" s="1" t="s">
        <v>16</v>
      </c>
      <c r="G168" s="6">
        <v>17261</v>
      </c>
      <c r="H168" t="str">
        <f>IFERROR(VLOOKUP(F168,'LEAID Match'!$A$2:$B$142,2,FALSE),"")</f>
        <v/>
      </c>
    </row>
    <row r="169" spans="1:8" x14ac:dyDescent="0.2">
      <c r="A169" t="str">
        <f t="shared" si="2"/>
        <v/>
      </c>
      <c r="B169" s="1">
        <v>2015</v>
      </c>
      <c r="C169" s="1" t="s">
        <v>2505</v>
      </c>
      <c r="D169" s="1" t="s">
        <v>2506</v>
      </c>
      <c r="E169" s="1" t="s">
        <v>2019</v>
      </c>
      <c r="F169" s="1" t="s">
        <v>17</v>
      </c>
      <c r="G169" s="6">
        <v>23063</v>
      </c>
      <c r="H169" t="str">
        <f>IFERROR(VLOOKUP(F169,'LEAID Match'!$A$2:$B$142,2,FALSE),"")</f>
        <v/>
      </c>
    </row>
    <row r="170" spans="1:8" x14ac:dyDescent="0.2">
      <c r="A170" t="str">
        <f t="shared" si="2"/>
        <v/>
      </c>
      <c r="B170">
        <v>2016</v>
      </c>
      <c r="C170" s="1" t="s">
        <v>2505</v>
      </c>
      <c r="D170" s="1" t="s">
        <v>2506</v>
      </c>
      <c r="E170" s="1" t="s">
        <v>2019</v>
      </c>
      <c r="F170" s="1" t="s">
        <v>17</v>
      </c>
      <c r="G170" s="12">
        <v>24589</v>
      </c>
      <c r="H170" t="str">
        <f>IFERROR(VLOOKUP(F170,'LEAID Match'!$A$2:$B$142,2,FALSE),"")</f>
        <v/>
      </c>
    </row>
    <row r="171" spans="1:8" x14ac:dyDescent="0.2">
      <c r="A171" t="str">
        <f t="shared" si="2"/>
        <v/>
      </c>
      <c r="B171" s="1">
        <v>2017</v>
      </c>
      <c r="C171" s="1" t="s">
        <v>2505</v>
      </c>
      <c r="D171" s="1" t="s">
        <v>2506</v>
      </c>
      <c r="E171" s="1" t="s">
        <v>2019</v>
      </c>
      <c r="F171" s="1" t="s">
        <v>17</v>
      </c>
      <c r="G171" s="47">
        <v>25007</v>
      </c>
      <c r="H171" t="str">
        <f>IFERROR(VLOOKUP(F171,'LEAID Match'!$A$2:$B$142,2,FALSE),"")</f>
        <v/>
      </c>
    </row>
    <row r="172" spans="1:8" x14ac:dyDescent="0.2">
      <c r="A172" t="str">
        <f t="shared" si="2"/>
        <v/>
      </c>
      <c r="B172" s="1">
        <v>2018</v>
      </c>
      <c r="C172" s="1" t="s">
        <v>2505</v>
      </c>
      <c r="D172" s="1" t="s">
        <v>2506</v>
      </c>
      <c r="E172" s="1" t="s">
        <v>2019</v>
      </c>
      <c r="F172" s="1" t="s">
        <v>17</v>
      </c>
      <c r="G172" s="6">
        <v>28779</v>
      </c>
      <c r="H172" t="str">
        <f>IFERROR(VLOOKUP(F172,'LEAID Match'!$A$2:$B$142,2,FALSE),"")</f>
        <v/>
      </c>
    </row>
    <row r="173" spans="1:8" x14ac:dyDescent="0.2">
      <c r="A173" t="str">
        <f t="shared" si="2"/>
        <v/>
      </c>
      <c r="B173" s="1">
        <v>2019</v>
      </c>
      <c r="C173" s="1" t="s">
        <v>2505</v>
      </c>
      <c r="D173" s="1" t="s">
        <v>2506</v>
      </c>
      <c r="E173" s="1" t="s">
        <v>2019</v>
      </c>
      <c r="F173" s="1" t="s">
        <v>17</v>
      </c>
      <c r="G173" s="6">
        <v>27899</v>
      </c>
      <c r="H173" t="str">
        <f>IFERROR(VLOOKUP(F173,'LEAID Match'!$A$2:$B$142,2,FALSE),"")</f>
        <v/>
      </c>
    </row>
    <row r="174" spans="1:8" x14ac:dyDescent="0.2">
      <c r="A174" t="str">
        <f t="shared" si="2"/>
        <v/>
      </c>
      <c r="B174" s="1">
        <v>2020</v>
      </c>
      <c r="C174" s="1" t="s">
        <v>2505</v>
      </c>
      <c r="D174" s="1" t="s">
        <v>2506</v>
      </c>
      <c r="E174" s="1" t="s">
        <v>2019</v>
      </c>
      <c r="F174" s="1" t="s">
        <v>17</v>
      </c>
      <c r="G174" s="6">
        <v>19705</v>
      </c>
      <c r="H174" t="str">
        <f>IFERROR(VLOOKUP(F174,'LEAID Match'!$A$2:$B$142,2,FALSE),"")</f>
        <v/>
      </c>
    </row>
    <row r="175" spans="1:8" x14ac:dyDescent="0.2">
      <c r="A175" t="str">
        <f t="shared" si="2"/>
        <v/>
      </c>
      <c r="B175" s="1">
        <v>2021</v>
      </c>
      <c r="C175" s="1" t="s">
        <v>2505</v>
      </c>
      <c r="D175" s="1" t="s">
        <v>2506</v>
      </c>
      <c r="E175" s="1" t="s">
        <v>2019</v>
      </c>
      <c r="F175" s="1" t="s">
        <v>17</v>
      </c>
      <c r="G175" s="6">
        <v>17694</v>
      </c>
      <c r="H175" t="str">
        <f>IFERROR(VLOOKUP(F175,'LEAID Match'!$A$2:$B$142,2,FALSE),"")</f>
        <v/>
      </c>
    </row>
    <row r="176" spans="1:8" x14ac:dyDescent="0.2">
      <c r="A176" t="str">
        <f t="shared" si="2"/>
        <v/>
      </c>
      <c r="B176" s="1">
        <v>2022</v>
      </c>
      <c r="C176" s="1" t="s">
        <v>2505</v>
      </c>
      <c r="D176" s="1" t="s">
        <v>2506</v>
      </c>
      <c r="E176" s="1" t="s">
        <v>2019</v>
      </c>
      <c r="F176" s="1" t="s">
        <v>17</v>
      </c>
      <c r="G176" s="6">
        <v>19740</v>
      </c>
      <c r="H176" t="str">
        <f>IFERROR(VLOOKUP(F176,'LEAID Match'!$A$2:$B$142,2,FALSE),"")</f>
        <v/>
      </c>
    </row>
    <row r="177" spans="1:8" x14ac:dyDescent="0.2">
      <c r="A177" t="str">
        <f t="shared" si="2"/>
        <v/>
      </c>
      <c r="B177" s="1">
        <v>2023</v>
      </c>
      <c r="C177" s="1" t="s">
        <v>2505</v>
      </c>
      <c r="D177" s="1" t="s">
        <v>2506</v>
      </c>
      <c r="E177" s="1" t="s">
        <v>2019</v>
      </c>
      <c r="F177" s="1" t="s">
        <v>17</v>
      </c>
      <c r="G177" s="6">
        <v>25697</v>
      </c>
      <c r="H177" t="str">
        <f>IFERROR(VLOOKUP(F177,'LEAID Match'!$A$2:$B$142,2,FALSE),"")</f>
        <v/>
      </c>
    </row>
    <row r="178" spans="1:8" x14ac:dyDescent="0.2">
      <c r="A178" t="str">
        <f t="shared" si="2"/>
        <v/>
      </c>
      <c r="B178" s="1">
        <v>2024</v>
      </c>
      <c r="C178" s="1" t="s">
        <v>2505</v>
      </c>
      <c r="D178" s="1" t="s">
        <v>2506</v>
      </c>
      <c r="E178" s="1" t="s">
        <v>2019</v>
      </c>
      <c r="F178" s="1" t="s">
        <v>17</v>
      </c>
      <c r="G178" s="6">
        <v>22382</v>
      </c>
      <c r="H178" t="str">
        <f>IFERROR(VLOOKUP(F178,'LEAID Match'!$A$2:$B$142,2,FALSE),"")</f>
        <v/>
      </c>
    </row>
    <row r="179" spans="1:8" x14ac:dyDescent="0.2">
      <c r="A179" t="str">
        <f t="shared" si="2"/>
        <v/>
      </c>
      <c r="B179" s="1">
        <v>2015</v>
      </c>
      <c r="C179" s="1" t="s">
        <v>2505</v>
      </c>
      <c r="D179" s="1" t="s">
        <v>2506</v>
      </c>
      <c r="E179" s="1" t="s">
        <v>2019</v>
      </c>
      <c r="F179" s="1" t="s">
        <v>18</v>
      </c>
      <c r="G179" s="6">
        <v>157889</v>
      </c>
      <c r="H179" t="str">
        <f>IFERROR(VLOOKUP(F179,'LEAID Match'!$A$2:$B$142,2,FALSE),"")</f>
        <v/>
      </c>
    </row>
    <row r="180" spans="1:8" x14ac:dyDescent="0.2">
      <c r="A180" t="str">
        <f t="shared" si="2"/>
        <v/>
      </c>
      <c r="B180">
        <v>2016</v>
      </c>
      <c r="C180" s="1" t="s">
        <v>2505</v>
      </c>
      <c r="D180" s="1" t="s">
        <v>2506</v>
      </c>
      <c r="E180" s="1" t="s">
        <v>2019</v>
      </c>
      <c r="F180" s="1" t="s">
        <v>18</v>
      </c>
      <c r="G180" s="12">
        <v>167886</v>
      </c>
      <c r="H180" t="str">
        <f>IFERROR(VLOOKUP(F180,'LEAID Match'!$A$2:$B$142,2,FALSE),"")</f>
        <v/>
      </c>
    </row>
    <row r="181" spans="1:8" x14ac:dyDescent="0.2">
      <c r="A181" t="str">
        <f t="shared" si="2"/>
        <v/>
      </c>
      <c r="B181" s="1">
        <v>2017</v>
      </c>
      <c r="C181" s="1" t="s">
        <v>2505</v>
      </c>
      <c r="D181" s="1" t="s">
        <v>2506</v>
      </c>
      <c r="E181" s="1" t="s">
        <v>2019</v>
      </c>
      <c r="F181" s="1" t="s">
        <v>18</v>
      </c>
      <c r="G181" s="47">
        <v>164750</v>
      </c>
      <c r="H181" t="str">
        <f>IFERROR(VLOOKUP(F181,'LEAID Match'!$A$2:$B$142,2,FALSE),"")</f>
        <v/>
      </c>
    </row>
    <row r="182" spans="1:8" x14ac:dyDescent="0.2">
      <c r="A182" t="str">
        <f t="shared" si="2"/>
        <v/>
      </c>
      <c r="B182" s="1">
        <v>2018</v>
      </c>
      <c r="C182" s="1" t="s">
        <v>2505</v>
      </c>
      <c r="D182" s="1" t="s">
        <v>2506</v>
      </c>
      <c r="E182" s="1" t="s">
        <v>2019</v>
      </c>
      <c r="F182" s="1" t="s">
        <v>18</v>
      </c>
      <c r="G182" s="6">
        <v>162406</v>
      </c>
      <c r="H182" t="str">
        <f>IFERROR(VLOOKUP(F182,'LEAID Match'!$A$2:$B$142,2,FALSE),"")</f>
        <v/>
      </c>
    </row>
    <row r="183" spans="1:8" x14ac:dyDescent="0.2">
      <c r="A183" t="str">
        <f t="shared" si="2"/>
        <v/>
      </c>
      <c r="B183" s="1">
        <v>2019</v>
      </c>
      <c r="C183" s="1" t="s">
        <v>2505</v>
      </c>
      <c r="D183" s="1" t="s">
        <v>2506</v>
      </c>
      <c r="E183" s="1" t="s">
        <v>2019</v>
      </c>
      <c r="F183" s="1" t="s">
        <v>18</v>
      </c>
      <c r="G183" s="6">
        <v>150791</v>
      </c>
      <c r="H183" t="str">
        <f>IFERROR(VLOOKUP(F183,'LEAID Match'!$A$2:$B$142,2,FALSE),"")</f>
        <v/>
      </c>
    </row>
    <row r="184" spans="1:8" x14ac:dyDescent="0.2">
      <c r="A184" t="str">
        <f t="shared" si="2"/>
        <v/>
      </c>
      <c r="B184" s="1">
        <v>2020</v>
      </c>
      <c r="C184" s="1" t="s">
        <v>2505</v>
      </c>
      <c r="D184" s="1" t="s">
        <v>2506</v>
      </c>
      <c r="E184" s="1" t="s">
        <v>2019</v>
      </c>
      <c r="F184" s="1" t="s">
        <v>18</v>
      </c>
      <c r="G184" s="6">
        <v>198324</v>
      </c>
      <c r="H184" t="str">
        <f>IFERROR(VLOOKUP(F184,'LEAID Match'!$A$2:$B$142,2,FALSE),"")</f>
        <v/>
      </c>
    </row>
    <row r="185" spans="1:8" x14ac:dyDescent="0.2">
      <c r="A185" t="str">
        <f t="shared" si="2"/>
        <v/>
      </c>
      <c r="B185" s="1">
        <v>2021</v>
      </c>
      <c r="C185" s="1" t="s">
        <v>2505</v>
      </c>
      <c r="D185" s="1" t="s">
        <v>2506</v>
      </c>
      <c r="E185" s="1" t="s">
        <v>2019</v>
      </c>
      <c r="F185" s="1" t="s">
        <v>18</v>
      </c>
      <c r="G185" s="6">
        <v>203624</v>
      </c>
      <c r="H185" t="str">
        <f>IFERROR(VLOOKUP(F185,'LEAID Match'!$A$2:$B$142,2,FALSE),"")</f>
        <v/>
      </c>
    </row>
    <row r="186" spans="1:8" x14ac:dyDescent="0.2">
      <c r="A186" t="str">
        <f t="shared" si="2"/>
        <v/>
      </c>
      <c r="B186" s="1">
        <v>2022</v>
      </c>
      <c r="C186" s="1" t="s">
        <v>2505</v>
      </c>
      <c r="D186" s="1" t="s">
        <v>2506</v>
      </c>
      <c r="E186" s="1" t="s">
        <v>2019</v>
      </c>
      <c r="F186" s="1" t="s">
        <v>18</v>
      </c>
      <c r="G186" s="6">
        <v>204188</v>
      </c>
      <c r="H186" t="str">
        <f>IFERROR(VLOOKUP(F186,'LEAID Match'!$A$2:$B$142,2,FALSE),"")</f>
        <v/>
      </c>
    </row>
    <row r="187" spans="1:8" x14ac:dyDescent="0.2">
      <c r="A187" t="str">
        <f t="shared" si="2"/>
        <v/>
      </c>
      <c r="B187" s="1">
        <v>2023</v>
      </c>
      <c r="C187" s="1" t="s">
        <v>2505</v>
      </c>
      <c r="D187" s="1" t="s">
        <v>2506</v>
      </c>
      <c r="E187" s="1" t="s">
        <v>2019</v>
      </c>
      <c r="F187" s="1" t="s">
        <v>18</v>
      </c>
      <c r="G187" s="6">
        <v>218856</v>
      </c>
      <c r="H187" t="str">
        <f>IFERROR(VLOOKUP(F187,'LEAID Match'!$A$2:$B$142,2,FALSE),"")</f>
        <v/>
      </c>
    </row>
    <row r="188" spans="1:8" x14ac:dyDescent="0.2">
      <c r="A188" t="str">
        <f t="shared" si="2"/>
        <v/>
      </c>
      <c r="B188" s="1">
        <v>2024</v>
      </c>
      <c r="C188" s="1" t="s">
        <v>2505</v>
      </c>
      <c r="D188" s="1" t="s">
        <v>2506</v>
      </c>
      <c r="E188" s="1" t="s">
        <v>2019</v>
      </c>
      <c r="F188" s="1" t="s">
        <v>18</v>
      </c>
      <c r="G188" s="6">
        <v>241750</v>
      </c>
      <c r="H188" t="str">
        <f>IFERROR(VLOOKUP(F188,'LEAID Match'!$A$2:$B$142,2,FALSE),"")</f>
        <v/>
      </c>
    </row>
    <row r="189" spans="1:8" x14ac:dyDescent="0.2">
      <c r="A189" t="str">
        <f t="shared" si="2"/>
        <v/>
      </c>
      <c r="B189" s="1">
        <v>2015</v>
      </c>
      <c r="C189" s="1" t="s">
        <v>2505</v>
      </c>
      <c r="D189" s="1" t="s">
        <v>2506</v>
      </c>
      <c r="E189" s="1" t="s">
        <v>2019</v>
      </c>
      <c r="F189" s="1" t="s">
        <v>19</v>
      </c>
      <c r="G189" s="6">
        <v>16576</v>
      </c>
      <c r="H189" t="str">
        <f>IFERROR(VLOOKUP(F189,'LEAID Match'!$A$2:$B$142,2,FALSE),"")</f>
        <v/>
      </c>
    </row>
    <row r="190" spans="1:8" x14ac:dyDescent="0.2">
      <c r="A190" t="str">
        <f t="shared" si="2"/>
        <v/>
      </c>
      <c r="B190">
        <v>2016</v>
      </c>
      <c r="C190" s="1" t="s">
        <v>2505</v>
      </c>
      <c r="D190" s="1" t="s">
        <v>2506</v>
      </c>
      <c r="E190" s="1" t="s">
        <v>2019</v>
      </c>
      <c r="F190" s="1" t="s">
        <v>19</v>
      </c>
      <c r="G190" s="12">
        <v>18023</v>
      </c>
      <c r="H190" t="str">
        <f>IFERROR(VLOOKUP(F190,'LEAID Match'!$A$2:$B$142,2,FALSE),"")</f>
        <v/>
      </c>
    </row>
    <row r="191" spans="1:8" x14ac:dyDescent="0.2">
      <c r="A191" t="str">
        <f t="shared" si="2"/>
        <v/>
      </c>
      <c r="B191" s="1">
        <v>2017</v>
      </c>
      <c r="C191" s="1" t="s">
        <v>2505</v>
      </c>
      <c r="D191" s="1" t="s">
        <v>2506</v>
      </c>
      <c r="E191" s="1" t="s">
        <v>2019</v>
      </c>
      <c r="F191" s="1" t="s">
        <v>19</v>
      </c>
      <c r="G191" s="47">
        <v>18023</v>
      </c>
      <c r="H191" t="str">
        <f>IFERROR(VLOOKUP(F191,'LEAID Match'!$A$2:$B$142,2,FALSE),"")</f>
        <v/>
      </c>
    </row>
    <row r="192" spans="1:8" x14ac:dyDescent="0.2">
      <c r="A192" t="str">
        <f t="shared" si="2"/>
        <v/>
      </c>
      <c r="B192" s="1">
        <v>2018</v>
      </c>
      <c r="C192" s="1" t="s">
        <v>2505</v>
      </c>
      <c r="D192" s="1" t="s">
        <v>2506</v>
      </c>
      <c r="E192" s="1" t="s">
        <v>2019</v>
      </c>
      <c r="F192" s="1" t="s">
        <v>19</v>
      </c>
      <c r="G192" s="6">
        <v>20537</v>
      </c>
      <c r="H192" t="str">
        <f>IFERROR(VLOOKUP(F192,'LEAID Match'!$A$2:$B$142,2,FALSE),"")</f>
        <v/>
      </c>
    </row>
    <row r="193" spans="1:8" x14ac:dyDescent="0.2">
      <c r="A193" t="str">
        <f t="shared" si="2"/>
        <v/>
      </c>
      <c r="B193" s="1">
        <v>2019</v>
      </c>
      <c r="C193" s="1" t="s">
        <v>2505</v>
      </c>
      <c r="D193" s="1" t="s">
        <v>2506</v>
      </c>
      <c r="E193" s="1" t="s">
        <v>2019</v>
      </c>
      <c r="F193" s="1" t="s">
        <v>19</v>
      </c>
      <c r="G193" s="6">
        <v>18212</v>
      </c>
      <c r="H193" t="str">
        <f>IFERROR(VLOOKUP(F193,'LEAID Match'!$A$2:$B$142,2,FALSE),"")</f>
        <v/>
      </c>
    </row>
    <row r="194" spans="1:8" x14ac:dyDescent="0.2">
      <c r="A194" t="str">
        <f t="shared" si="2"/>
        <v/>
      </c>
      <c r="B194" s="1">
        <v>2020</v>
      </c>
      <c r="C194" s="1" t="s">
        <v>2505</v>
      </c>
      <c r="D194" s="1" t="s">
        <v>2506</v>
      </c>
      <c r="E194" s="1" t="s">
        <v>2019</v>
      </c>
      <c r="F194" s="1" t="s">
        <v>19</v>
      </c>
      <c r="G194" s="6">
        <v>20294</v>
      </c>
      <c r="H194" t="str">
        <f>IFERROR(VLOOKUP(F194,'LEAID Match'!$A$2:$B$142,2,FALSE),"")</f>
        <v/>
      </c>
    </row>
    <row r="195" spans="1:8" x14ac:dyDescent="0.2">
      <c r="A195" t="str">
        <f t="shared" ref="A195:A258" si="3">H195</f>
        <v/>
      </c>
      <c r="B195" s="1">
        <v>2021</v>
      </c>
      <c r="C195" s="1" t="s">
        <v>2505</v>
      </c>
      <c r="D195" s="1" t="s">
        <v>2506</v>
      </c>
      <c r="E195" s="1" t="s">
        <v>2019</v>
      </c>
      <c r="F195" s="1" t="s">
        <v>19</v>
      </c>
      <c r="G195" s="6">
        <v>21390</v>
      </c>
      <c r="H195" t="str">
        <f>IFERROR(VLOOKUP(F195,'LEAID Match'!$A$2:$B$142,2,FALSE),"")</f>
        <v/>
      </c>
    </row>
    <row r="196" spans="1:8" x14ac:dyDescent="0.2">
      <c r="A196" t="str">
        <f t="shared" si="3"/>
        <v/>
      </c>
      <c r="B196" s="1">
        <v>2022</v>
      </c>
      <c r="C196" s="1" t="s">
        <v>2505</v>
      </c>
      <c r="D196" s="1" t="s">
        <v>2506</v>
      </c>
      <c r="E196" s="1" t="s">
        <v>2019</v>
      </c>
      <c r="F196" s="1" t="s">
        <v>19</v>
      </c>
      <c r="G196" s="6">
        <v>19640</v>
      </c>
      <c r="H196" t="str">
        <f>IFERROR(VLOOKUP(F196,'LEAID Match'!$A$2:$B$142,2,FALSE),"")</f>
        <v/>
      </c>
    </row>
    <row r="197" spans="1:8" x14ac:dyDescent="0.2">
      <c r="A197" t="str">
        <f t="shared" si="3"/>
        <v/>
      </c>
      <c r="B197" s="1">
        <v>2023</v>
      </c>
      <c r="C197" s="1" t="s">
        <v>2505</v>
      </c>
      <c r="D197" s="1" t="s">
        <v>2506</v>
      </c>
      <c r="E197" s="1" t="s">
        <v>2019</v>
      </c>
      <c r="F197" s="1" t="s">
        <v>19</v>
      </c>
      <c r="G197" s="6">
        <v>20557</v>
      </c>
      <c r="H197" t="str">
        <f>IFERROR(VLOOKUP(F197,'LEAID Match'!$A$2:$B$142,2,FALSE),"")</f>
        <v/>
      </c>
    </row>
    <row r="198" spans="1:8" x14ac:dyDescent="0.2">
      <c r="A198" t="str">
        <f t="shared" si="3"/>
        <v/>
      </c>
      <c r="B198" s="1">
        <v>2024</v>
      </c>
      <c r="C198" s="1" t="s">
        <v>2505</v>
      </c>
      <c r="D198" s="1" t="s">
        <v>2506</v>
      </c>
      <c r="E198" s="1" t="s">
        <v>2019</v>
      </c>
      <c r="F198" s="1" t="s">
        <v>19</v>
      </c>
      <c r="G198" s="6">
        <v>21246</v>
      </c>
      <c r="H198" t="str">
        <f>IFERROR(VLOOKUP(F198,'LEAID Match'!$A$2:$B$142,2,FALSE),"")</f>
        <v/>
      </c>
    </row>
    <row r="199" spans="1:8" x14ac:dyDescent="0.2">
      <c r="A199" t="str">
        <f t="shared" si="3"/>
        <v/>
      </c>
      <c r="B199" s="1">
        <v>2015</v>
      </c>
      <c r="C199" s="1" t="s">
        <v>2505</v>
      </c>
      <c r="D199" s="1" t="s">
        <v>2506</v>
      </c>
      <c r="E199" s="1" t="s">
        <v>2019</v>
      </c>
      <c r="F199" s="1" t="s">
        <v>20</v>
      </c>
      <c r="G199" s="6">
        <v>806458</v>
      </c>
      <c r="H199" t="str">
        <f>IFERROR(VLOOKUP(F199,'LEAID Match'!$A$2:$B$142,2,FALSE),"")</f>
        <v/>
      </c>
    </row>
    <row r="200" spans="1:8" x14ac:dyDescent="0.2">
      <c r="A200" t="str">
        <f t="shared" si="3"/>
        <v/>
      </c>
      <c r="B200">
        <v>2016</v>
      </c>
      <c r="C200" s="1" t="s">
        <v>2505</v>
      </c>
      <c r="D200" s="1" t="s">
        <v>2506</v>
      </c>
      <c r="E200" s="1" t="s">
        <v>2019</v>
      </c>
      <c r="F200" s="1" t="s">
        <v>20</v>
      </c>
      <c r="G200" s="12">
        <v>853068</v>
      </c>
      <c r="H200" t="str">
        <f>IFERROR(VLOOKUP(F200,'LEAID Match'!$A$2:$B$142,2,FALSE),"")</f>
        <v/>
      </c>
    </row>
    <row r="201" spans="1:8" x14ac:dyDescent="0.2">
      <c r="A201" t="str">
        <f t="shared" si="3"/>
        <v/>
      </c>
      <c r="B201" s="1">
        <v>2017</v>
      </c>
      <c r="C201" s="1" t="s">
        <v>2505</v>
      </c>
      <c r="D201" s="1" t="s">
        <v>2506</v>
      </c>
      <c r="E201" s="1" t="s">
        <v>2019</v>
      </c>
      <c r="F201" s="1" t="s">
        <v>20</v>
      </c>
      <c r="G201" s="47">
        <v>838993</v>
      </c>
      <c r="H201" t="str">
        <f>IFERROR(VLOOKUP(F201,'LEAID Match'!$A$2:$B$142,2,FALSE),"")</f>
        <v/>
      </c>
    </row>
    <row r="202" spans="1:8" x14ac:dyDescent="0.2">
      <c r="A202" t="str">
        <f t="shared" si="3"/>
        <v/>
      </c>
      <c r="B202" s="1">
        <v>2018</v>
      </c>
      <c r="C202" s="1" t="s">
        <v>2505</v>
      </c>
      <c r="D202" s="1" t="s">
        <v>2506</v>
      </c>
      <c r="E202" s="1" t="s">
        <v>2019</v>
      </c>
      <c r="F202" s="1" t="s">
        <v>20</v>
      </c>
      <c r="G202" s="6">
        <v>921437</v>
      </c>
      <c r="H202" t="str">
        <f>IFERROR(VLOOKUP(F202,'LEAID Match'!$A$2:$B$142,2,FALSE),"")</f>
        <v/>
      </c>
    </row>
    <row r="203" spans="1:8" x14ac:dyDescent="0.2">
      <c r="A203" t="str">
        <f t="shared" si="3"/>
        <v/>
      </c>
      <c r="B203" s="1">
        <v>2019</v>
      </c>
      <c r="C203" s="1" t="s">
        <v>2505</v>
      </c>
      <c r="D203" s="1" t="s">
        <v>2506</v>
      </c>
      <c r="E203" s="1" t="s">
        <v>2019</v>
      </c>
      <c r="F203" s="1" t="s">
        <v>20</v>
      </c>
      <c r="G203" s="6">
        <v>973590</v>
      </c>
      <c r="H203" t="str">
        <f>IFERROR(VLOOKUP(F203,'LEAID Match'!$A$2:$B$142,2,FALSE),"")</f>
        <v/>
      </c>
    </row>
    <row r="204" spans="1:8" x14ac:dyDescent="0.2">
      <c r="A204" t="str">
        <f t="shared" si="3"/>
        <v/>
      </c>
      <c r="B204" s="1">
        <v>2020</v>
      </c>
      <c r="C204" s="1" t="s">
        <v>2505</v>
      </c>
      <c r="D204" s="1" t="s">
        <v>2506</v>
      </c>
      <c r="E204" s="1" t="s">
        <v>2019</v>
      </c>
      <c r="F204" s="1" t="s">
        <v>20</v>
      </c>
      <c r="G204" s="6">
        <v>1106515</v>
      </c>
      <c r="H204" t="str">
        <f>IFERROR(VLOOKUP(F204,'LEAID Match'!$A$2:$B$142,2,FALSE),"")</f>
        <v/>
      </c>
    </row>
    <row r="205" spans="1:8" x14ac:dyDescent="0.2">
      <c r="A205" t="str">
        <f t="shared" si="3"/>
        <v/>
      </c>
      <c r="B205" s="1">
        <v>2021</v>
      </c>
      <c r="C205" s="1" t="s">
        <v>2505</v>
      </c>
      <c r="D205" s="1" t="s">
        <v>2506</v>
      </c>
      <c r="E205" s="1" t="s">
        <v>2019</v>
      </c>
      <c r="F205" s="1" t="s">
        <v>20</v>
      </c>
      <c r="G205" s="6">
        <v>1047330</v>
      </c>
      <c r="H205" t="str">
        <f>IFERROR(VLOOKUP(F205,'LEAID Match'!$A$2:$B$142,2,FALSE),"")</f>
        <v/>
      </c>
    </row>
    <row r="206" spans="1:8" x14ac:dyDescent="0.2">
      <c r="A206" t="str">
        <f t="shared" si="3"/>
        <v/>
      </c>
      <c r="B206" s="1">
        <v>2022</v>
      </c>
      <c r="C206" s="1" t="s">
        <v>2505</v>
      </c>
      <c r="D206" s="1" t="s">
        <v>2506</v>
      </c>
      <c r="E206" s="1" t="s">
        <v>2019</v>
      </c>
      <c r="F206" s="1" t="s">
        <v>20</v>
      </c>
      <c r="G206" s="6">
        <v>1105088</v>
      </c>
      <c r="H206" t="str">
        <f>IFERROR(VLOOKUP(F206,'LEAID Match'!$A$2:$B$142,2,FALSE),"")</f>
        <v/>
      </c>
    </row>
    <row r="207" spans="1:8" x14ac:dyDescent="0.2">
      <c r="A207" t="str">
        <f t="shared" si="3"/>
        <v/>
      </c>
      <c r="B207" s="1">
        <v>2023</v>
      </c>
      <c r="C207" s="1" t="s">
        <v>2505</v>
      </c>
      <c r="D207" s="1" t="s">
        <v>2506</v>
      </c>
      <c r="E207" s="1" t="s">
        <v>2019</v>
      </c>
      <c r="F207" s="1" t="s">
        <v>20</v>
      </c>
      <c r="G207" s="6">
        <v>1221652</v>
      </c>
      <c r="H207" t="str">
        <f>IFERROR(VLOOKUP(F207,'LEAID Match'!$A$2:$B$142,2,FALSE),"")</f>
        <v/>
      </c>
    </row>
    <row r="208" spans="1:8" x14ac:dyDescent="0.2">
      <c r="A208" t="str">
        <f t="shared" si="3"/>
        <v/>
      </c>
      <c r="B208" s="1">
        <v>2024</v>
      </c>
      <c r="C208" s="1" t="s">
        <v>2505</v>
      </c>
      <c r="D208" s="1" t="s">
        <v>2506</v>
      </c>
      <c r="E208" s="1" t="s">
        <v>2019</v>
      </c>
      <c r="F208" s="1" t="s">
        <v>20</v>
      </c>
      <c r="G208" s="6">
        <v>1320771</v>
      </c>
      <c r="H208" t="str">
        <f>IFERROR(VLOOKUP(F208,'LEAID Match'!$A$2:$B$142,2,FALSE),"")</f>
        <v/>
      </c>
    </row>
    <row r="209" spans="1:8" x14ac:dyDescent="0.2">
      <c r="A209" t="str">
        <f t="shared" si="3"/>
        <v/>
      </c>
      <c r="B209" s="1">
        <v>2015</v>
      </c>
      <c r="C209" s="1" t="s">
        <v>2505</v>
      </c>
      <c r="D209" s="1" t="s">
        <v>2506</v>
      </c>
      <c r="E209" s="1" t="s">
        <v>2019</v>
      </c>
      <c r="F209" s="1" t="s">
        <v>21</v>
      </c>
      <c r="G209" s="6">
        <v>12111</v>
      </c>
      <c r="H209" t="str">
        <f>IFERROR(VLOOKUP(F209,'LEAID Match'!$A$2:$B$142,2,FALSE),"")</f>
        <v/>
      </c>
    </row>
    <row r="210" spans="1:8" x14ac:dyDescent="0.2">
      <c r="A210" t="str">
        <f t="shared" si="3"/>
        <v/>
      </c>
      <c r="B210">
        <v>2016</v>
      </c>
      <c r="C210" s="1" t="s">
        <v>2505</v>
      </c>
      <c r="D210" s="1" t="s">
        <v>2506</v>
      </c>
      <c r="E210" s="1" t="s">
        <v>2019</v>
      </c>
      <c r="F210" s="1" t="s">
        <v>21</v>
      </c>
      <c r="G210" s="12">
        <v>14425</v>
      </c>
      <c r="H210" t="str">
        <f>IFERROR(VLOOKUP(F210,'LEAID Match'!$A$2:$B$142,2,FALSE),"")</f>
        <v/>
      </c>
    </row>
    <row r="211" spans="1:8" x14ac:dyDescent="0.2">
      <c r="A211" t="str">
        <f t="shared" si="3"/>
        <v/>
      </c>
      <c r="B211" s="1">
        <v>2017</v>
      </c>
      <c r="C211" s="1" t="s">
        <v>2505</v>
      </c>
      <c r="D211" s="1" t="s">
        <v>2506</v>
      </c>
      <c r="E211" s="1" t="s">
        <v>2019</v>
      </c>
      <c r="F211" s="1" t="s">
        <v>21</v>
      </c>
      <c r="G211" s="47">
        <v>14834</v>
      </c>
      <c r="H211" t="str">
        <f>IFERROR(VLOOKUP(F211,'LEAID Match'!$A$2:$B$142,2,FALSE),"")</f>
        <v/>
      </c>
    </row>
    <row r="212" spans="1:8" x14ac:dyDescent="0.2">
      <c r="A212" t="str">
        <f t="shared" si="3"/>
        <v/>
      </c>
      <c r="B212" s="1">
        <v>2018</v>
      </c>
      <c r="C212" s="1" t="s">
        <v>2505</v>
      </c>
      <c r="D212" s="1" t="s">
        <v>2506</v>
      </c>
      <c r="E212" s="1" t="s">
        <v>2019</v>
      </c>
      <c r="F212" s="1" t="s">
        <v>21</v>
      </c>
      <c r="G212" s="6">
        <v>11450</v>
      </c>
      <c r="H212" t="str">
        <f>IFERROR(VLOOKUP(F212,'LEAID Match'!$A$2:$B$142,2,FALSE),"")</f>
        <v/>
      </c>
    </row>
    <row r="213" spans="1:8" x14ac:dyDescent="0.2">
      <c r="A213" t="str">
        <f t="shared" si="3"/>
        <v/>
      </c>
      <c r="B213" s="1">
        <v>2019</v>
      </c>
      <c r="C213" s="1" t="s">
        <v>2505</v>
      </c>
      <c r="D213" s="1" t="s">
        <v>2506</v>
      </c>
      <c r="E213" s="1" t="s">
        <v>2019</v>
      </c>
      <c r="F213" s="1" t="s">
        <v>21</v>
      </c>
      <c r="G213" s="6">
        <v>12402</v>
      </c>
      <c r="H213" t="str">
        <f>IFERROR(VLOOKUP(F213,'LEAID Match'!$A$2:$B$142,2,FALSE),"")</f>
        <v/>
      </c>
    </row>
    <row r="214" spans="1:8" x14ac:dyDescent="0.2">
      <c r="A214" t="str">
        <f t="shared" si="3"/>
        <v/>
      </c>
      <c r="B214" s="1">
        <v>2020</v>
      </c>
      <c r="C214" s="1" t="s">
        <v>2505</v>
      </c>
      <c r="D214" s="1" t="s">
        <v>2506</v>
      </c>
      <c r="E214" s="1" t="s">
        <v>2019</v>
      </c>
      <c r="F214" s="1" t="s">
        <v>21</v>
      </c>
      <c r="G214" s="6">
        <v>10693</v>
      </c>
      <c r="H214" t="str">
        <f>IFERROR(VLOOKUP(F214,'LEAID Match'!$A$2:$B$142,2,FALSE),"")</f>
        <v/>
      </c>
    </row>
    <row r="215" spans="1:8" x14ac:dyDescent="0.2">
      <c r="A215" t="str">
        <f t="shared" si="3"/>
        <v/>
      </c>
      <c r="B215" s="1">
        <v>2021</v>
      </c>
      <c r="C215" s="1" t="s">
        <v>2505</v>
      </c>
      <c r="D215" s="1" t="s">
        <v>2506</v>
      </c>
      <c r="E215" s="1" t="s">
        <v>2019</v>
      </c>
      <c r="F215" s="1" t="s">
        <v>21</v>
      </c>
      <c r="G215" s="6">
        <v>10742</v>
      </c>
      <c r="H215" t="str">
        <f>IFERROR(VLOOKUP(F215,'LEAID Match'!$A$2:$B$142,2,FALSE),"")</f>
        <v/>
      </c>
    </row>
    <row r="216" spans="1:8" x14ac:dyDescent="0.2">
      <c r="A216" t="str">
        <f t="shared" si="3"/>
        <v/>
      </c>
      <c r="B216" s="1">
        <v>2022</v>
      </c>
      <c r="C216" s="1" t="s">
        <v>2505</v>
      </c>
      <c r="D216" s="1" t="s">
        <v>2506</v>
      </c>
      <c r="E216" s="1" t="s">
        <v>2019</v>
      </c>
      <c r="F216" s="1" t="s">
        <v>21</v>
      </c>
      <c r="G216" s="6">
        <v>14992</v>
      </c>
      <c r="H216" t="str">
        <f>IFERROR(VLOOKUP(F216,'LEAID Match'!$A$2:$B$142,2,FALSE),"")</f>
        <v/>
      </c>
    </row>
    <row r="217" spans="1:8" x14ac:dyDescent="0.2">
      <c r="A217" t="str">
        <f t="shared" si="3"/>
        <v/>
      </c>
      <c r="B217" s="1">
        <v>2023</v>
      </c>
      <c r="C217" s="1" t="s">
        <v>2505</v>
      </c>
      <c r="D217" s="1" t="s">
        <v>2506</v>
      </c>
      <c r="E217" s="1" t="s">
        <v>2019</v>
      </c>
      <c r="F217" s="1" t="s">
        <v>21</v>
      </c>
      <c r="G217" s="6">
        <v>15675</v>
      </c>
      <c r="H217" t="str">
        <f>IFERROR(VLOOKUP(F217,'LEAID Match'!$A$2:$B$142,2,FALSE),"")</f>
        <v/>
      </c>
    </row>
    <row r="218" spans="1:8" x14ac:dyDescent="0.2">
      <c r="A218" t="str">
        <f t="shared" si="3"/>
        <v/>
      </c>
      <c r="B218" s="1">
        <v>2024</v>
      </c>
      <c r="C218" s="1" t="s">
        <v>2505</v>
      </c>
      <c r="D218" s="1" t="s">
        <v>2506</v>
      </c>
      <c r="E218" s="1" t="s">
        <v>2019</v>
      </c>
      <c r="F218" s="1" t="s">
        <v>21</v>
      </c>
      <c r="G218" s="6">
        <v>10675</v>
      </c>
      <c r="H218" t="str">
        <f>IFERROR(VLOOKUP(F218,'LEAID Match'!$A$2:$B$142,2,FALSE),"")</f>
        <v/>
      </c>
    </row>
    <row r="219" spans="1:8" x14ac:dyDescent="0.2">
      <c r="A219" t="str">
        <f t="shared" si="3"/>
        <v/>
      </c>
      <c r="B219" s="1">
        <v>2015</v>
      </c>
      <c r="C219" s="1" t="s">
        <v>2505</v>
      </c>
      <c r="D219" s="1" t="s">
        <v>2506</v>
      </c>
      <c r="E219" s="1" t="s">
        <v>2019</v>
      </c>
      <c r="F219" s="1" t="s">
        <v>22</v>
      </c>
      <c r="G219" s="6">
        <v>11806</v>
      </c>
      <c r="H219" t="str">
        <f>IFERROR(VLOOKUP(F219,'LEAID Match'!$A$2:$B$142,2,FALSE),"")</f>
        <v/>
      </c>
    </row>
    <row r="220" spans="1:8" x14ac:dyDescent="0.2">
      <c r="A220" t="str">
        <f t="shared" si="3"/>
        <v/>
      </c>
      <c r="B220">
        <v>2016</v>
      </c>
      <c r="C220" s="1" t="s">
        <v>2505</v>
      </c>
      <c r="D220" s="1" t="s">
        <v>2506</v>
      </c>
      <c r="E220" s="1" t="s">
        <v>2019</v>
      </c>
      <c r="F220" s="1" t="s">
        <v>22</v>
      </c>
      <c r="G220" s="12">
        <v>11806</v>
      </c>
      <c r="H220" t="str">
        <f>IFERROR(VLOOKUP(F220,'LEAID Match'!$A$2:$B$142,2,FALSE),"")</f>
        <v/>
      </c>
    </row>
    <row r="221" spans="1:8" x14ac:dyDescent="0.2">
      <c r="A221" t="str">
        <f t="shared" si="3"/>
        <v/>
      </c>
      <c r="B221" s="1">
        <v>2017</v>
      </c>
      <c r="C221" s="1" t="s">
        <v>2505</v>
      </c>
      <c r="D221" s="1" t="s">
        <v>2506</v>
      </c>
      <c r="E221" s="1" t="s">
        <v>2019</v>
      </c>
      <c r="F221" s="1" t="s">
        <v>22</v>
      </c>
      <c r="G221" s="47">
        <v>11951</v>
      </c>
      <c r="H221" t="str">
        <f>IFERROR(VLOOKUP(F221,'LEAID Match'!$A$2:$B$142,2,FALSE),"")</f>
        <v/>
      </c>
    </row>
    <row r="222" spans="1:8" x14ac:dyDescent="0.2">
      <c r="A222" t="str">
        <f t="shared" si="3"/>
        <v/>
      </c>
      <c r="B222" s="1">
        <v>2018</v>
      </c>
      <c r="C222" s="1" t="s">
        <v>2505</v>
      </c>
      <c r="D222" s="1" t="s">
        <v>2506</v>
      </c>
      <c r="E222" s="1" t="s">
        <v>2019</v>
      </c>
      <c r="F222" s="1" t="s">
        <v>22</v>
      </c>
      <c r="G222" s="6">
        <v>12125</v>
      </c>
      <c r="H222" t="str">
        <f>IFERROR(VLOOKUP(F222,'LEAID Match'!$A$2:$B$142,2,FALSE),"")</f>
        <v/>
      </c>
    </row>
    <row r="223" spans="1:8" x14ac:dyDescent="0.2">
      <c r="A223" t="str">
        <f t="shared" si="3"/>
        <v/>
      </c>
      <c r="B223" s="1">
        <v>2019</v>
      </c>
      <c r="C223" s="1" t="s">
        <v>2505</v>
      </c>
      <c r="D223" s="1" t="s">
        <v>2506</v>
      </c>
      <c r="E223" s="1" t="s">
        <v>2019</v>
      </c>
      <c r="F223" s="1" t="s">
        <v>22</v>
      </c>
      <c r="G223" s="6">
        <v>9461</v>
      </c>
      <c r="H223" t="str">
        <f>IFERROR(VLOOKUP(F223,'LEAID Match'!$A$2:$B$142,2,FALSE),"")</f>
        <v/>
      </c>
    </row>
    <row r="224" spans="1:8" x14ac:dyDescent="0.2">
      <c r="A224" t="str">
        <f t="shared" si="3"/>
        <v/>
      </c>
      <c r="B224" s="1">
        <v>2020</v>
      </c>
      <c r="C224" s="1" t="s">
        <v>2505</v>
      </c>
      <c r="D224" s="1" t="s">
        <v>2506</v>
      </c>
      <c r="E224" s="1" t="s">
        <v>2019</v>
      </c>
      <c r="F224" s="1" t="s">
        <v>22</v>
      </c>
      <c r="G224" s="6">
        <v>11007</v>
      </c>
      <c r="H224" t="str">
        <f>IFERROR(VLOOKUP(F224,'LEAID Match'!$A$2:$B$142,2,FALSE),"")</f>
        <v/>
      </c>
    </row>
    <row r="225" spans="1:8" x14ac:dyDescent="0.2">
      <c r="A225" t="str">
        <f t="shared" si="3"/>
        <v/>
      </c>
      <c r="B225" s="1">
        <v>2021</v>
      </c>
      <c r="C225" s="1" t="s">
        <v>2505</v>
      </c>
      <c r="D225" s="1" t="s">
        <v>2506</v>
      </c>
      <c r="E225" s="1" t="s">
        <v>2019</v>
      </c>
      <c r="F225" s="1" t="s">
        <v>22</v>
      </c>
      <c r="G225" s="6">
        <v>10983</v>
      </c>
      <c r="H225" t="str">
        <f>IFERROR(VLOOKUP(F225,'LEAID Match'!$A$2:$B$142,2,FALSE),"")</f>
        <v/>
      </c>
    </row>
    <row r="226" spans="1:8" x14ac:dyDescent="0.2">
      <c r="A226" t="str">
        <f t="shared" si="3"/>
        <v/>
      </c>
      <c r="B226" s="1">
        <v>2022</v>
      </c>
      <c r="C226" s="1" t="s">
        <v>2505</v>
      </c>
      <c r="D226" s="1" t="s">
        <v>2506</v>
      </c>
      <c r="E226" s="1" t="s">
        <v>2019</v>
      </c>
      <c r="F226" s="1" t="s">
        <v>22</v>
      </c>
      <c r="G226" s="6">
        <v>12512</v>
      </c>
      <c r="H226" t="str">
        <f>IFERROR(VLOOKUP(F226,'LEAID Match'!$A$2:$B$142,2,FALSE),"")</f>
        <v/>
      </c>
    </row>
    <row r="227" spans="1:8" x14ac:dyDescent="0.2">
      <c r="A227" t="str">
        <f t="shared" si="3"/>
        <v/>
      </c>
      <c r="B227" s="1">
        <v>2023</v>
      </c>
      <c r="C227" s="1" t="s">
        <v>2505</v>
      </c>
      <c r="D227" s="1" t="s">
        <v>2506</v>
      </c>
      <c r="E227" s="1" t="s">
        <v>2019</v>
      </c>
      <c r="F227" s="1" t="s">
        <v>22</v>
      </c>
      <c r="G227" s="6">
        <v>14543</v>
      </c>
      <c r="H227" t="str">
        <f>IFERROR(VLOOKUP(F227,'LEAID Match'!$A$2:$B$142,2,FALSE),"")</f>
        <v/>
      </c>
    </row>
    <row r="228" spans="1:8" x14ac:dyDescent="0.2">
      <c r="A228" t="str">
        <f t="shared" si="3"/>
        <v/>
      </c>
      <c r="B228" s="1">
        <v>2024</v>
      </c>
      <c r="C228" s="1" t="s">
        <v>2505</v>
      </c>
      <c r="D228" s="1" t="s">
        <v>2506</v>
      </c>
      <c r="E228" s="1" t="s">
        <v>2019</v>
      </c>
      <c r="F228" s="1" t="s">
        <v>22</v>
      </c>
      <c r="G228" s="6">
        <v>15683</v>
      </c>
      <c r="H228" t="str">
        <f>IFERROR(VLOOKUP(F228,'LEAID Match'!$A$2:$B$142,2,FALSE),"")</f>
        <v/>
      </c>
    </row>
    <row r="229" spans="1:8" x14ac:dyDescent="0.2">
      <c r="A229" t="str">
        <f t="shared" si="3"/>
        <v/>
      </c>
      <c r="B229" s="1">
        <v>2015</v>
      </c>
      <c r="C229" s="1" t="s">
        <v>2505</v>
      </c>
      <c r="D229" s="1" t="s">
        <v>2506</v>
      </c>
      <c r="E229" s="1" t="s">
        <v>2019</v>
      </c>
      <c r="F229" s="1" t="s">
        <v>23</v>
      </c>
      <c r="G229" s="6">
        <v>83021</v>
      </c>
      <c r="H229" t="str">
        <f>IFERROR(VLOOKUP(F229,'LEAID Match'!$A$2:$B$142,2,FALSE),"")</f>
        <v/>
      </c>
    </row>
    <row r="230" spans="1:8" x14ac:dyDescent="0.2">
      <c r="A230" t="str">
        <f t="shared" si="3"/>
        <v/>
      </c>
      <c r="B230">
        <v>2016</v>
      </c>
      <c r="C230" s="1" t="s">
        <v>2505</v>
      </c>
      <c r="D230" s="1" t="s">
        <v>2506</v>
      </c>
      <c r="E230" s="1" t="s">
        <v>2019</v>
      </c>
      <c r="F230" s="1" t="s">
        <v>23</v>
      </c>
      <c r="G230" s="12">
        <v>86972</v>
      </c>
      <c r="H230" t="str">
        <f>IFERROR(VLOOKUP(F230,'LEAID Match'!$A$2:$B$142,2,FALSE),"")</f>
        <v/>
      </c>
    </row>
    <row r="231" spans="1:8" x14ac:dyDescent="0.2">
      <c r="A231" t="str">
        <f t="shared" si="3"/>
        <v/>
      </c>
      <c r="B231" s="1">
        <v>2017</v>
      </c>
      <c r="C231" s="1" t="s">
        <v>2505</v>
      </c>
      <c r="D231" s="1" t="s">
        <v>2506</v>
      </c>
      <c r="E231" s="1" t="s">
        <v>2019</v>
      </c>
      <c r="F231" s="1" t="s">
        <v>23</v>
      </c>
      <c r="G231" s="47">
        <v>89465</v>
      </c>
      <c r="H231" t="str">
        <f>IFERROR(VLOOKUP(F231,'LEAID Match'!$A$2:$B$142,2,FALSE),"")</f>
        <v/>
      </c>
    </row>
    <row r="232" spans="1:8" x14ac:dyDescent="0.2">
      <c r="A232" t="str">
        <f t="shared" si="3"/>
        <v/>
      </c>
      <c r="B232" s="1">
        <v>2018</v>
      </c>
      <c r="C232" s="1" t="s">
        <v>2505</v>
      </c>
      <c r="D232" s="1" t="s">
        <v>2506</v>
      </c>
      <c r="E232" s="1" t="s">
        <v>2019</v>
      </c>
      <c r="F232" s="1" t="s">
        <v>23</v>
      </c>
      <c r="G232" s="6">
        <v>85735</v>
      </c>
      <c r="H232" t="str">
        <f>IFERROR(VLOOKUP(F232,'LEAID Match'!$A$2:$B$142,2,FALSE),"")</f>
        <v/>
      </c>
    </row>
    <row r="233" spans="1:8" x14ac:dyDescent="0.2">
      <c r="A233" t="str">
        <f t="shared" si="3"/>
        <v/>
      </c>
      <c r="B233" s="1">
        <v>2019</v>
      </c>
      <c r="C233" s="1" t="s">
        <v>2505</v>
      </c>
      <c r="D233" s="1" t="s">
        <v>2506</v>
      </c>
      <c r="E233" s="1" t="s">
        <v>2019</v>
      </c>
      <c r="F233" s="1" t="s">
        <v>23</v>
      </c>
      <c r="G233" s="6">
        <v>90857</v>
      </c>
      <c r="H233" t="str">
        <f>IFERROR(VLOOKUP(F233,'LEAID Match'!$A$2:$B$142,2,FALSE),"")</f>
        <v/>
      </c>
    </row>
    <row r="234" spans="1:8" x14ac:dyDescent="0.2">
      <c r="A234" t="str">
        <f t="shared" si="3"/>
        <v/>
      </c>
      <c r="B234" s="1">
        <v>2020</v>
      </c>
      <c r="C234" s="1" t="s">
        <v>2505</v>
      </c>
      <c r="D234" s="1" t="s">
        <v>2506</v>
      </c>
      <c r="E234" s="1" t="s">
        <v>2019</v>
      </c>
      <c r="F234" s="1" t="s">
        <v>23</v>
      </c>
      <c r="G234" s="6">
        <v>100081</v>
      </c>
      <c r="H234" t="str">
        <f>IFERROR(VLOOKUP(F234,'LEAID Match'!$A$2:$B$142,2,FALSE),"")</f>
        <v/>
      </c>
    </row>
    <row r="235" spans="1:8" x14ac:dyDescent="0.2">
      <c r="A235" t="str">
        <f t="shared" si="3"/>
        <v/>
      </c>
      <c r="B235" s="1">
        <v>2021</v>
      </c>
      <c r="C235" s="1" t="s">
        <v>2505</v>
      </c>
      <c r="D235" s="1" t="s">
        <v>2506</v>
      </c>
      <c r="E235" s="1" t="s">
        <v>2019</v>
      </c>
      <c r="F235" s="1" t="s">
        <v>23</v>
      </c>
      <c r="G235" s="6">
        <v>90772</v>
      </c>
      <c r="H235" t="str">
        <f>IFERROR(VLOOKUP(F235,'LEAID Match'!$A$2:$B$142,2,FALSE),"")</f>
        <v/>
      </c>
    </row>
    <row r="236" spans="1:8" x14ac:dyDescent="0.2">
      <c r="A236" t="str">
        <f t="shared" si="3"/>
        <v/>
      </c>
      <c r="B236" s="1">
        <v>2022</v>
      </c>
      <c r="C236" s="1" t="s">
        <v>2505</v>
      </c>
      <c r="D236" s="1" t="s">
        <v>2506</v>
      </c>
      <c r="E236" s="1" t="s">
        <v>2019</v>
      </c>
      <c r="F236" s="1" t="s">
        <v>23</v>
      </c>
      <c r="G236" s="6">
        <v>98165</v>
      </c>
      <c r="H236" t="str">
        <f>IFERROR(VLOOKUP(F236,'LEAID Match'!$A$2:$B$142,2,FALSE),"")</f>
        <v/>
      </c>
    </row>
    <row r="237" spans="1:8" x14ac:dyDescent="0.2">
      <c r="A237" t="str">
        <f t="shared" si="3"/>
        <v/>
      </c>
      <c r="B237" s="1">
        <v>2023</v>
      </c>
      <c r="C237" s="1" t="s">
        <v>2505</v>
      </c>
      <c r="D237" s="1" t="s">
        <v>2506</v>
      </c>
      <c r="E237" s="1" t="s">
        <v>2019</v>
      </c>
      <c r="F237" s="1" t="s">
        <v>23</v>
      </c>
      <c r="G237" s="6">
        <v>108633</v>
      </c>
      <c r="H237" t="str">
        <f>IFERROR(VLOOKUP(F237,'LEAID Match'!$A$2:$B$142,2,FALSE),"")</f>
        <v/>
      </c>
    </row>
    <row r="238" spans="1:8" x14ac:dyDescent="0.2">
      <c r="A238" t="str">
        <f t="shared" si="3"/>
        <v/>
      </c>
      <c r="B238" s="1">
        <v>2024</v>
      </c>
      <c r="C238" s="1" t="s">
        <v>2505</v>
      </c>
      <c r="D238" s="1" t="s">
        <v>2506</v>
      </c>
      <c r="E238" s="1" t="s">
        <v>2019</v>
      </c>
      <c r="F238" s="1" t="s">
        <v>23</v>
      </c>
      <c r="G238" s="6">
        <v>126541</v>
      </c>
      <c r="H238" t="str">
        <f>IFERROR(VLOOKUP(F238,'LEAID Match'!$A$2:$B$142,2,FALSE),"")</f>
        <v/>
      </c>
    </row>
    <row r="239" spans="1:8" x14ac:dyDescent="0.2">
      <c r="A239" t="str">
        <f t="shared" si="3"/>
        <v/>
      </c>
      <c r="B239" s="1">
        <v>2015</v>
      </c>
      <c r="C239" s="1" t="s">
        <v>2505</v>
      </c>
      <c r="D239" s="1" t="s">
        <v>2506</v>
      </c>
      <c r="E239" s="1" t="s">
        <v>2019</v>
      </c>
      <c r="F239" s="1" t="s">
        <v>24</v>
      </c>
      <c r="G239" s="6">
        <v>38519</v>
      </c>
      <c r="H239" t="str">
        <f>IFERROR(VLOOKUP(F239,'LEAID Match'!$A$2:$B$142,2,FALSE),"")</f>
        <v/>
      </c>
    </row>
    <row r="240" spans="1:8" x14ac:dyDescent="0.2">
      <c r="A240" t="str">
        <f t="shared" si="3"/>
        <v/>
      </c>
      <c r="B240">
        <v>2016</v>
      </c>
      <c r="C240" s="1" t="s">
        <v>2505</v>
      </c>
      <c r="D240" s="1" t="s">
        <v>2506</v>
      </c>
      <c r="E240" s="1" t="s">
        <v>2019</v>
      </c>
      <c r="F240" s="1" t="s">
        <v>24</v>
      </c>
      <c r="G240" s="12">
        <v>41365</v>
      </c>
      <c r="H240" t="str">
        <f>IFERROR(VLOOKUP(F240,'LEAID Match'!$A$2:$B$142,2,FALSE),"")</f>
        <v/>
      </c>
    </row>
    <row r="241" spans="1:8" x14ac:dyDescent="0.2">
      <c r="A241" t="str">
        <f t="shared" si="3"/>
        <v/>
      </c>
      <c r="B241" s="1">
        <v>2017</v>
      </c>
      <c r="C241" s="1" t="s">
        <v>2505</v>
      </c>
      <c r="D241" s="1" t="s">
        <v>2506</v>
      </c>
      <c r="E241" s="1" t="s">
        <v>2019</v>
      </c>
      <c r="F241" s="1" t="s">
        <v>24</v>
      </c>
      <c r="G241" s="47">
        <v>39784</v>
      </c>
      <c r="H241" t="str">
        <f>IFERROR(VLOOKUP(F241,'LEAID Match'!$A$2:$B$142,2,FALSE),"")</f>
        <v/>
      </c>
    </row>
    <row r="242" spans="1:8" x14ac:dyDescent="0.2">
      <c r="A242" t="str">
        <f t="shared" si="3"/>
        <v/>
      </c>
      <c r="B242" s="1">
        <v>2018</v>
      </c>
      <c r="C242" s="1" t="s">
        <v>2505</v>
      </c>
      <c r="D242" s="1" t="s">
        <v>2506</v>
      </c>
      <c r="E242" s="1" t="s">
        <v>2019</v>
      </c>
      <c r="F242" s="1" t="s">
        <v>24</v>
      </c>
      <c r="G242" s="6">
        <v>33721</v>
      </c>
      <c r="H242" t="str">
        <f>IFERROR(VLOOKUP(F242,'LEAID Match'!$A$2:$B$142,2,FALSE),"")</f>
        <v/>
      </c>
    </row>
    <row r="243" spans="1:8" x14ac:dyDescent="0.2">
      <c r="A243" t="str">
        <f t="shared" si="3"/>
        <v/>
      </c>
      <c r="B243" s="1">
        <v>2019</v>
      </c>
      <c r="C243" s="1" t="s">
        <v>2505</v>
      </c>
      <c r="D243" s="1" t="s">
        <v>2506</v>
      </c>
      <c r="E243" s="1" t="s">
        <v>2019</v>
      </c>
      <c r="F243" s="1" t="s">
        <v>24</v>
      </c>
      <c r="G243" s="6">
        <v>35211</v>
      </c>
      <c r="H243" t="str">
        <f>IFERROR(VLOOKUP(F243,'LEAID Match'!$A$2:$B$142,2,FALSE),"")</f>
        <v/>
      </c>
    </row>
    <row r="244" spans="1:8" x14ac:dyDescent="0.2">
      <c r="A244" t="str">
        <f t="shared" si="3"/>
        <v/>
      </c>
      <c r="B244" s="1">
        <v>2020</v>
      </c>
      <c r="C244" s="1" t="s">
        <v>2505</v>
      </c>
      <c r="D244" s="1" t="s">
        <v>2506</v>
      </c>
      <c r="E244" s="1" t="s">
        <v>2019</v>
      </c>
      <c r="F244" s="1" t="s">
        <v>24</v>
      </c>
      <c r="G244" s="6">
        <v>35012</v>
      </c>
      <c r="H244" t="str">
        <f>IFERROR(VLOOKUP(F244,'LEAID Match'!$A$2:$B$142,2,FALSE),"")</f>
        <v/>
      </c>
    </row>
    <row r="245" spans="1:8" x14ac:dyDescent="0.2">
      <c r="A245" t="str">
        <f t="shared" si="3"/>
        <v/>
      </c>
      <c r="B245" s="1">
        <v>2021</v>
      </c>
      <c r="C245" s="1" t="s">
        <v>2505</v>
      </c>
      <c r="D245" s="1" t="s">
        <v>2506</v>
      </c>
      <c r="E245" s="1" t="s">
        <v>2019</v>
      </c>
      <c r="F245" s="1" t="s">
        <v>24</v>
      </c>
      <c r="G245" s="6">
        <v>39050</v>
      </c>
      <c r="H245" t="str">
        <f>IFERROR(VLOOKUP(F245,'LEAID Match'!$A$2:$B$142,2,FALSE),"")</f>
        <v/>
      </c>
    </row>
    <row r="246" spans="1:8" x14ac:dyDescent="0.2">
      <c r="A246" t="str">
        <f t="shared" si="3"/>
        <v/>
      </c>
      <c r="B246" s="1">
        <v>2022</v>
      </c>
      <c r="C246" s="1" t="s">
        <v>2505</v>
      </c>
      <c r="D246" s="1" t="s">
        <v>2506</v>
      </c>
      <c r="E246" s="1" t="s">
        <v>2019</v>
      </c>
      <c r="F246" s="1" t="s">
        <v>24</v>
      </c>
      <c r="G246" s="6">
        <v>44819</v>
      </c>
      <c r="H246" t="str">
        <f>IFERROR(VLOOKUP(F246,'LEAID Match'!$A$2:$B$142,2,FALSE),"")</f>
        <v/>
      </c>
    </row>
    <row r="247" spans="1:8" x14ac:dyDescent="0.2">
      <c r="A247" t="str">
        <f t="shared" si="3"/>
        <v/>
      </c>
      <c r="B247" s="1">
        <v>2023</v>
      </c>
      <c r="C247" s="1" t="s">
        <v>2505</v>
      </c>
      <c r="D247" s="1" t="s">
        <v>2506</v>
      </c>
      <c r="E247" s="1" t="s">
        <v>2019</v>
      </c>
      <c r="F247" s="1" t="s">
        <v>24</v>
      </c>
      <c r="G247" s="6">
        <v>42694</v>
      </c>
      <c r="H247" t="str">
        <f>IFERROR(VLOOKUP(F247,'LEAID Match'!$A$2:$B$142,2,FALSE),"")</f>
        <v/>
      </c>
    </row>
    <row r="248" spans="1:8" x14ac:dyDescent="0.2">
      <c r="A248" t="str">
        <f t="shared" si="3"/>
        <v/>
      </c>
      <c r="B248" s="1">
        <v>2024</v>
      </c>
      <c r="C248" s="1" t="s">
        <v>2505</v>
      </c>
      <c r="D248" s="1" t="s">
        <v>2506</v>
      </c>
      <c r="E248" s="1" t="s">
        <v>2019</v>
      </c>
      <c r="F248" s="1" t="s">
        <v>24</v>
      </c>
      <c r="G248" s="6">
        <v>47654</v>
      </c>
      <c r="H248" t="str">
        <f>IFERROR(VLOOKUP(F248,'LEAID Match'!$A$2:$B$142,2,FALSE),"")</f>
        <v/>
      </c>
    </row>
    <row r="249" spans="1:8" x14ac:dyDescent="0.2">
      <c r="A249" t="str">
        <f t="shared" si="3"/>
        <v/>
      </c>
      <c r="B249" s="1">
        <v>2024</v>
      </c>
      <c r="C249" s="1" t="s">
        <v>2505</v>
      </c>
      <c r="D249" s="1" t="s">
        <v>2506</v>
      </c>
      <c r="E249" s="1" t="s">
        <v>2019</v>
      </c>
      <c r="F249" s="1" t="s">
        <v>25</v>
      </c>
      <c r="G249" s="6">
        <v>3216</v>
      </c>
      <c r="H249" t="str">
        <f>IFERROR(VLOOKUP(F249,'LEAID Match'!$A$2:$B$142,2,FALSE),"")</f>
        <v/>
      </c>
    </row>
    <row r="250" spans="1:8" x14ac:dyDescent="0.2">
      <c r="A250">
        <f t="shared" si="3"/>
        <v>2800510</v>
      </c>
      <c r="B250" s="1">
        <v>2015</v>
      </c>
      <c r="C250" s="1" t="s">
        <v>2505</v>
      </c>
      <c r="D250" s="1" t="s">
        <v>2506</v>
      </c>
      <c r="E250" s="1" t="s">
        <v>2019</v>
      </c>
      <c r="F250" s="1" t="s">
        <v>26</v>
      </c>
      <c r="G250" s="6">
        <v>1019878</v>
      </c>
      <c r="H250">
        <f>IFERROR(VLOOKUP(F250,'LEAID Match'!$A$2:$B$142,2,FALSE),"")</f>
        <v>2800510</v>
      </c>
    </row>
    <row r="251" spans="1:8" x14ac:dyDescent="0.2">
      <c r="A251">
        <f t="shared" si="3"/>
        <v>2800510</v>
      </c>
      <c r="B251">
        <v>2016</v>
      </c>
      <c r="C251" s="1" t="s">
        <v>2505</v>
      </c>
      <c r="D251" s="1" t="s">
        <v>2506</v>
      </c>
      <c r="E251" s="1" t="s">
        <v>2019</v>
      </c>
      <c r="F251" s="1" t="s">
        <v>26</v>
      </c>
      <c r="G251" s="12">
        <v>1044670</v>
      </c>
      <c r="H251">
        <f>IFERROR(VLOOKUP(F251,'LEAID Match'!$A$2:$B$142,2,FALSE),"")</f>
        <v>2800510</v>
      </c>
    </row>
    <row r="252" spans="1:8" x14ac:dyDescent="0.2">
      <c r="A252">
        <f t="shared" si="3"/>
        <v>2800510</v>
      </c>
      <c r="B252" s="1">
        <v>2017</v>
      </c>
      <c r="C252" s="1" t="s">
        <v>2505</v>
      </c>
      <c r="D252" s="1" t="s">
        <v>2506</v>
      </c>
      <c r="E252" s="1" t="s">
        <v>2019</v>
      </c>
      <c r="F252" s="1" t="s">
        <v>26</v>
      </c>
      <c r="G252" s="47">
        <v>1036455</v>
      </c>
      <c r="H252">
        <f>IFERROR(VLOOKUP(F252,'LEAID Match'!$A$2:$B$142,2,FALSE),"")</f>
        <v>2800510</v>
      </c>
    </row>
    <row r="253" spans="1:8" x14ac:dyDescent="0.2">
      <c r="A253">
        <f t="shared" si="3"/>
        <v>2800510</v>
      </c>
      <c r="B253" s="1">
        <v>2018</v>
      </c>
      <c r="C253" s="1" t="s">
        <v>2505</v>
      </c>
      <c r="D253" s="1" t="s">
        <v>2506</v>
      </c>
      <c r="E253" s="1" t="s">
        <v>2019</v>
      </c>
      <c r="F253" s="1" t="s">
        <v>26</v>
      </c>
      <c r="G253" s="6">
        <v>1053499</v>
      </c>
      <c r="H253">
        <f>IFERROR(VLOOKUP(F253,'LEAID Match'!$A$2:$B$142,2,FALSE),"")</f>
        <v>2800510</v>
      </c>
    </row>
    <row r="254" spans="1:8" x14ac:dyDescent="0.2">
      <c r="A254">
        <f t="shared" si="3"/>
        <v>2800510</v>
      </c>
      <c r="B254" s="1">
        <v>2019</v>
      </c>
      <c r="C254" s="1" t="s">
        <v>2505</v>
      </c>
      <c r="D254" s="1" t="s">
        <v>2506</v>
      </c>
      <c r="E254" s="1" t="s">
        <v>2019</v>
      </c>
      <c r="F254" s="1" t="s">
        <v>26</v>
      </c>
      <c r="G254" s="6">
        <v>1077295</v>
      </c>
      <c r="H254">
        <f>IFERROR(VLOOKUP(F254,'LEAID Match'!$A$2:$B$142,2,FALSE),"")</f>
        <v>2800510</v>
      </c>
    </row>
    <row r="255" spans="1:8" x14ac:dyDescent="0.2">
      <c r="A255">
        <f t="shared" si="3"/>
        <v>2800510</v>
      </c>
      <c r="B255" s="1">
        <v>2020</v>
      </c>
      <c r="C255" s="1" t="s">
        <v>2505</v>
      </c>
      <c r="D255" s="1" t="s">
        <v>2506</v>
      </c>
      <c r="E255" s="1" t="s">
        <v>2019</v>
      </c>
      <c r="F255" s="1" t="s">
        <v>26</v>
      </c>
      <c r="G255" s="6">
        <v>1264466</v>
      </c>
      <c r="H255">
        <f>IFERROR(VLOOKUP(F255,'LEAID Match'!$A$2:$B$142,2,FALSE),"")</f>
        <v>2800510</v>
      </c>
    </row>
    <row r="256" spans="1:8" x14ac:dyDescent="0.2">
      <c r="A256">
        <f t="shared" si="3"/>
        <v>2800510</v>
      </c>
      <c r="B256" s="1">
        <v>2021</v>
      </c>
      <c r="C256" s="1" t="s">
        <v>2505</v>
      </c>
      <c r="D256" s="1" t="s">
        <v>2506</v>
      </c>
      <c r="E256" s="1" t="s">
        <v>2019</v>
      </c>
      <c r="F256" s="1" t="s">
        <v>26</v>
      </c>
      <c r="G256" s="6">
        <v>1279202</v>
      </c>
      <c r="H256">
        <f>IFERROR(VLOOKUP(F256,'LEAID Match'!$A$2:$B$142,2,FALSE),"")</f>
        <v>2800510</v>
      </c>
    </row>
    <row r="257" spans="1:8" x14ac:dyDescent="0.2">
      <c r="A257">
        <f t="shared" si="3"/>
        <v>2800510</v>
      </c>
      <c r="B257" s="1">
        <v>2022</v>
      </c>
      <c r="C257" s="1" t="s">
        <v>2505</v>
      </c>
      <c r="D257" s="1" t="s">
        <v>2506</v>
      </c>
      <c r="E257" s="1" t="s">
        <v>2019</v>
      </c>
      <c r="F257" s="1" t="s">
        <v>26</v>
      </c>
      <c r="G257" s="6">
        <v>1313763</v>
      </c>
      <c r="H257">
        <f>IFERROR(VLOOKUP(F257,'LEAID Match'!$A$2:$B$142,2,FALSE),"")</f>
        <v>2800510</v>
      </c>
    </row>
    <row r="258" spans="1:8" x14ac:dyDescent="0.2">
      <c r="A258">
        <f t="shared" si="3"/>
        <v>2800510</v>
      </c>
      <c r="B258" s="1">
        <v>2023</v>
      </c>
      <c r="C258" s="1" t="s">
        <v>2505</v>
      </c>
      <c r="D258" s="1" t="s">
        <v>2506</v>
      </c>
      <c r="E258" s="1" t="s">
        <v>2019</v>
      </c>
      <c r="F258" s="1" t="s">
        <v>26</v>
      </c>
      <c r="G258" s="6">
        <v>1465888</v>
      </c>
      <c r="H258">
        <f>IFERROR(VLOOKUP(F258,'LEAID Match'!$A$2:$B$142,2,FALSE),"")</f>
        <v>2800510</v>
      </c>
    </row>
    <row r="259" spans="1:8" x14ac:dyDescent="0.2">
      <c r="A259">
        <f t="shared" ref="A259:A322" si="4">H259</f>
        <v>2800510</v>
      </c>
      <c r="B259" s="1">
        <v>2024</v>
      </c>
      <c r="C259" s="1" t="s">
        <v>2505</v>
      </c>
      <c r="D259" s="1" t="s">
        <v>2506</v>
      </c>
      <c r="E259" s="1" t="s">
        <v>2019</v>
      </c>
      <c r="F259" s="1" t="s">
        <v>26</v>
      </c>
      <c r="G259" s="6">
        <v>1452943</v>
      </c>
      <c r="H259">
        <f>IFERROR(VLOOKUP(F259,'LEAID Match'!$A$2:$B$142,2,FALSE),"")</f>
        <v>2800510</v>
      </c>
    </row>
    <row r="260" spans="1:8" x14ac:dyDescent="0.2">
      <c r="A260" t="str">
        <f t="shared" si="4"/>
        <v/>
      </c>
      <c r="B260" s="1">
        <v>2015</v>
      </c>
      <c r="C260" s="1" t="s">
        <v>2505</v>
      </c>
      <c r="D260" s="1" t="s">
        <v>2506</v>
      </c>
      <c r="E260" s="1" t="s">
        <v>2019</v>
      </c>
      <c r="F260" s="1" t="s">
        <v>27</v>
      </c>
      <c r="G260" s="6">
        <v>500259</v>
      </c>
      <c r="H260" t="str">
        <f>IFERROR(VLOOKUP(F260,'LEAID Match'!$A$2:$B$142,2,FALSE),"")</f>
        <v/>
      </c>
    </row>
    <row r="261" spans="1:8" x14ac:dyDescent="0.2">
      <c r="A261" t="str">
        <f t="shared" si="4"/>
        <v/>
      </c>
      <c r="B261">
        <v>2016</v>
      </c>
      <c r="C261" s="1" t="s">
        <v>2505</v>
      </c>
      <c r="D261" s="1" t="s">
        <v>2506</v>
      </c>
      <c r="E261" s="1" t="s">
        <v>2019</v>
      </c>
      <c r="F261" s="1" t="s">
        <v>27</v>
      </c>
      <c r="G261" s="12">
        <v>500043</v>
      </c>
      <c r="H261" t="str">
        <f>IFERROR(VLOOKUP(F261,'LEAID Match'!$A$2:$B$142,2,FALSE),"")</f>
        <v/>
      </c>
    </row>
    <row r="262" spans="1:8" x14ac:dyDescent="0.2">
      <c r="A262" t="str">
        <f t="shared" si="4"/>
        <v/>
      </c>
      <c r="B262" s="1">
        <v>2017</v>
      </c>
      <c r="C262" s="1" t="s">
        <v>2505</v>
      </c>
      <c r="D262" s="1" t="s">
        <v>2506</v>
      </c>
      <c r="E262" s="1" t="s">
        <v>2019</v>
      </c>
      <c r="F262" s="1" t="s">
        <v>27</v>
      </c>
      <c r="G262" s="47">
        <v>494931</v>
      </c>
      <c r="H262" t="str">
        <f>IFERROR(VLOOKUP(F262,'LEAID Match'!$A$2:$B$142,2,FALSE),"")</f>
        <v/>
      </c>
    </row>
    <row r="263" spans="1:8" x14ac:dyDescent="0.2">
      <c r="A263" t="str">
        <f t="shared" si="4"/>
        <v/>
      </c>
      <c r="B263" s="1">
        <v>2018</v>
      </c>
      <c r="C263" s="1" t="s">
        <v>2505</v>
      </c>
      <c r="D263" s="1" t="s">
        <v>2506</v>
      </c>
      <c r="E263" s="1" t="s">
        <v>2019</v>
      </c>
      <c r="F263" s="1" t="s">
        <v>27</v>
      </c>
      <c r="G263" s="6">
        <v>502173</v>
      </c>
      <c r="H263" t="str">
        <f>IFERROR(VLOOKUP(F263,'LEAID Match'!$A$2:$B$142,2,FALSE),"")</f>
        <v/>
      </c>
    </row>
    <row r="264" spans="1:8" x14ac:dyDescent="0.2">
      <c r="A264" t="str">
        <f t="shared" si="4"/>
        <v/>
      </c>
      <c r="B264" s="1">
        <v>2019</v>
      </c>
      <c r="C264" s="1" t="s">
        <v>2505</v>
      </c>
      <c r="D264" s="1" t="s">
        <v>2506</v>
      </c>
      <c r="E264" s="1" t="s">
        <v>2019</v>
      </c>
      <c r="F264" s="1" t="s">
        <v>27</v>
      </c>
      <c r="G264" s="6">
        <v>488779</v>
      </c>
      <c r="H264" t="str">
        <f>IFERROR(VLOOKUP(F264,'LEAID Match'!$A$2:$B$142,2,FALSE),"")</f>
        <v/>
      </c>
    </row>
    <row r="265" spans="1:8" x14ac:dyDescent="0.2">
      <c r="A265" t="str">
        <f t="shared" si="4"/>
        <v/>
      </c>
      <c r="B265" s="1">
        <v>2020</v>
      </c>
      <c r="C265" s="1" t="s">
        <v>2505</v>
      </c>
      <c r="D265" s="1" t="s">
        <v>2506</v>
      </c>
      <c r="E265" s="1" t="s">
        <v>2019</v>
      </c>
      <c r="F265" s="1" t="s">
        <v>27</v>
      </c>
      <c r="G265" s="6">
        <v>551642</v>
      </c>
      <c r="H265" t="str">
        <f>IFERROR(VLOOKUP(F265,'LEAID Match'!$A$2:$B$142,2,FALSE),"")</f>
        <v/>
      </c>
    </row>
    <row r="266" spans="1:8" x14ac:dyDescent="0.2">
      <c r="A266" t="str">
        <f t="shared" si="4"/>
        <v/>
      </c>
      <c r="B266" s="1">
        <v>2021</v>
      </c>
      <c r="C266" s="1" t="s">
        <v>2505</v>
      </c>
      <c r="D266" s="1" t="s">
        <v>2506</v>
      </c>
      <c r="E266" s="1" t="s">
        <v>2019</v>
      </c>
      <c r="F266" s="1" t="s">
        <v>27</v>
      </c>
      <c r="G266" s="6">
        <v>587110</v>
      </c>
      <c r="H266" t="str">
        <f>IFERROR(VLOOKUP(F266,'LEAID Match'!$A$2:$B$142,2,FALSE),"")</f>
        <v/>
      </c>
    </row>
    <row r="267" spans="1:8" x14ac:dyDescent="0.2">
      <c r="A267" t="str">
        <f t="shared" si="4"/>
        <v/>
      </c>
      <c r="B267" s="1">
        <v>2022</v>
      </c>
      <c r="C267" s="1" t="s">
        <v>2505</v>
      </c>
      <c r="D267" s="1" t="s">
        <v>2506</v>
      </c>
      <c r="E267" s="1" t="s">
        <v>2019</v>
      </c>
      <c r="F267" s="1" t="s">
        <v>27</v>
      </c>
      <c r="G267" s="6">
        <v>587318</v>
      </c>
      <c r="H267" t="str">
        <f>IFERROR(VLOOKUP(F267,'LEAID Match'!$A$2:$B$142,2,FALSE),"")</f>
        <v/>
      </c>
    </row>
    <row r="268" spans="1:8" x14ac:dyDescent="0.2">
      <c r="A268" t="str">
        <f t="shared" si="4"/>
        <v/>
      </c>
      <c r="B268" s="1">
        <v>2023</v>
      </c>
      <c r="C268" s="1" t="s">
        <v>2505</v>
      </c>
      <c r="D268" s="1" t="s">
        <v>2506</v>
      </c>
      <c r="E268" s="1" t="s">
        <v>2019</v>
      </c>
      <c r="F268" s="1" t="s">
        <v>27</v>
      </c>
      <c r="G268" s="6">
        <v>665517</v>
      </c>
      <c r="H268" t="str">
        <f>IFERROR(VLOOKUP(F268,'LEAID Match'!$A$2:$B$142,2,FALSE),"")</f>
        <v/>
      </c>
    </row>
    <row r="269" spans="1:8" x14ac:dyDescent="0.2">
      <c r="A269" t="str">
        <f t="shared" si="4"/>
        <v/>
      </c>
      <c r="B269" s="1">
        <v>2024</v>
      </c>
      <c r="C269" s="1" t="s">
        <v>2505</v>
      </c>
      <c r="D269" s="1" t="s">
        <v>2506</v>
      </c>
      <c r="E269" s="1" t="s">
        <v>2019</v>
      </c>
      <c r="F269" s="1" t="s">
        <v>27</v>
      </c>
      <c r="G269" s="6">
        <v>659439</v>
      </c>
      <c r="H269" t="str">
        <f>IFERROR(VLOOKUP(F269,'LEAID Match'!$A$2:$B$142,2,FALSE),"")</f>
        <v/>
      </c>
    </row>
    <row r="270" spans="1:8" x14ac:dyDescent="0.2">
      <c r="A270" t="str">
        <f t="shared" si="4"/>
        <v/>
      </c>
      <c r="B270" s="1">
        <v>2015</v>
      </c>
      <c r="C270" s="1" t="s">
        <v>2505</v>
      </c>
      <c r="D270" s="1" t="s">
        <v>2506</v>
      </c>
      <c r="E270" s="1" t="s">
        <v>2019</v>
      </c>
      <c r="F270" s="1" t="s">
        <v>28</v>
      </c>
      <c r="G270" s="6">
        <v>17741</v>
      </c>
      <c r="H270" t="str">
        <f>IFERROR(VLOOKUP(F270,'LEAID Match'!$A$2:$B$142,2,FALSE),"")</f>
        <v/>
      </c>
    </row>
    <row r="271" spans="1:8" x14ac:dyDescent="0.2">
      <c r="A271" t="str">
        <f t="shared" si="4"/>
        <v/>
      </c>
      <c r="B271">
        <v>2016</v>
      </c>
      <c r="C271" s="1" t="s">
        <v>2505</v>
      </c>
      <c r="D271" s="1" t="s">
        <v>2506</v>
      </c>
      <c r="E271" s="1" t="s">
        <v>2019</v>
      </c>
      <c r="F271" s="1" t="s">
        <v>28</v>
      </c>
      <c r="G271" s="12">
        <v>18166</v>
      </c>
      <c r="H271" t="str">
        <f>IFERROR(VLOOKUP(F271,'LEAID Match'!$A$2:$B$142,2,FALSE),"")</f>
        <v/>
      </c>
    </row>
    <row r="272" spans="1:8" x14ac:dyDescent="0.2">
      <c r="A272" t="str">
        <f t="shared" si="4"/>
        <v/>
      </c>
      <c r="B272" s="1">
        <v>2017</v>
      </c>
      <c r="C272" s="1" t="s">
        <v>2505</v>
      </c>
      <c r="D272" s="1" t="s">
        <v>2506</v>
      </c>
      <c r="E272" s="1" t="s">
        <v>2019</v>
      </c>
      <c r="F272" s="1" t="s">
        <v>28</v>
      </c>
      <c r="G272" s="47">
        <v>16939</v>
      </c>
      <c r="H272" t="str">
        <f>IFERROR(VLOOKUP(F272,'LEAID Match'!$A$2:$B$142,2,FALSE),"")</f>
        <v/>
      </c>
    </row>
    <row r="273" spans="1:8" x14ac:dyDescent="0.2">
      <c r="A273" t="str">
        <f t="shared" si="4"/>
        <v/>
      </c>
      <c r="B273" s="1">
        <v>2018</v>
      </c>
      <c r="C273" s="1" t="s">
        <v>2505</v>
      </c>
      <c r="D273" s="1" t="s">
        <v>2506</v>
      </c>
      <c r="E273" s="1" t="s">
        <v>2019</v>
      </c>
      <c r="F273" s="1" t="s">
        <v>28</v>
      </c>
      <c r="G273" s="6">
        <v>17369</v>
      </c>
      <c r="H273" t="str">
        <f>IFERROR(VLOOKUP(F273,'LEAID Match'!$A$2:$B$142,2,FALSE),"")</f>
        <v/>
      </c>
    </row>
    <row r="274" spans="1:8" x14ac:dyDescent="0.2">
      <c r="A274" t="str">
        <f t="shared" si="4"/>
        <v/>
      </c>
      <c r="B274" s="1">
        <v>2019</v>
      </c>
      <c r="C274" s="1" t="s">
        <v>2505</v>
      </c>
      <c r="D274" s="1" t="s">
        <v>2506</v>
      </c>
      <c r="E274" s="1" t="s">
        <v>2019</v>
      </c>
      <c r="F274" s="1" t="s">
        <v>28</v>
      </c>
      <c r="G274" s="6">
        <v>15899</v>
      </c>
      <c r="H274" t="str">
        <f>IFERROR(VLOOKUP(F274,'LEAID Match'!$A$2:$B$142,2,FALSE),"")</f>
        <v/>
      </c>
    </row>
    <row r="275" spans="1:8" x14ac:dyDescent="0.2">
      <c r="A275" t="str">
        <f t="shared" si="4"/>
        <v/>
      </c>
      <c r="B275" s="1">
        <v>2020</v>
      </c>
      <c r="C275" s="1" t="s">
        <v>2505</v>
      </c>
      <c r="D275" s="1" t="s">
        <v>2506</v>
      </c>
      <c r="E275" s="1" t="s">
        <v>2019</v>
      </c>
      <c r="F275" s="1" t="s">
        <v>28</v>
      </c>
      <c r="G275" s="6">
        <v>24002</v>
      </c>
      <c r="H275" t="str">
        <f>IFERROR(VLOOKUP(F275,'LEAID Match'!$A$2:$B$142,2,FALSE),"")</f>
        <v/>
      </c>
    </row>
    <row r="276" spans="1:8" x14ac:dyDescent="0.2">
      <c r="A276" t="str">
        <f t="shared" si="4"/>
        <v/>
      </c>
      <c r="B276" s="1">
        <v>2021</v>
      </c>
      <c r="C276" s="1" t="s">
        <v>2505</v>
      </c>
      <c r="D276" s="1" t="s">
        <v>2506</v>
      </c>
      <c r="E276" s="1" t="s">
        <v>2019</v>
      </c>
      <c r="F276" s="1" t="s">
        <v>28</v>
      </c>
      <c r="G276" s="6">
        <v>23349</v>
      </c>
      <c r="H276" t="str">
        <f>IFERROR(VLOOKUP(F276,'LEAID Match'!$A$2:$B$142,2,FALSE),"")</f>
        <v/>
      </c>
    </row>
    <row r="277" spans="1:8" x14ac:dyDescent="0.2">
      <c r="A277" t="str">
        <f t="shared" si="4"/>
        <v/>
      </c>
      <c r="B277" s="1">
        <v>2022</v>
      </c>
      <c r="C277" s="1" t="s">
        <v>2505</v>
      </c>
      <c r="D277" s="1" t="s">
        <v>2506</v>
      </c>
      <c r="E277" s="1" t="s">
        <v>2019</v>
      </c>
      <c r="F277" s="1" t="s">
        <v>28</v>
      </c>
      <c r="G277" s="6">
        <v>24246</v>
      </c>
      <c r="H277" t="str">
        <f>IFERROR(VLOOKUP(F277,'LEAID Match'!$A$2:$B$142,2,FALSE),"")</f>
        <v/>
      </c>
    </row>
    <row r="278" spans="1:8" x14ac:dyDescent="0.2">
      <c r="A278" t="str">
        <f t="shared" si="4"/>
        <v/>
      </c>
      <c r="B278" s="1">
        <v>2023</v>
      </c>
      <c r="C278" s="1" t="s">
        <v>2505</v>
      </c>
      <c r="D278" s="1" t="s">
        <v>2506</v>
      </c>
      <c r="E278" s="1" t="s">
        <v>2019</v>
      </c>
      <c r="F278" s="1" t="s">
        <v>28</v>
      </c>
      <c r="G278" s="6">
        <v>28406</v>
      </c>
      <c r="H278" t="str">
        <f>IFERROR(VLOOKUP(F278,'LEAID Match'!$A$2:$B$142,2,FALSE),"")</f>
        <v/>
      </c>
    </row>
    <row r="279" spans="1:8" x14ac:dyDescent="0.2">
      <c r="A279" t="str">
        <f t="shared" si="4"/>
        <v/>
      </c>
      <c r="B279" s="1">
        <v>2024</v>
      </c>
      <c r="C279" s="1" t="s">
        <v>2505</v>
      </c>
      <c r="D279" s="1" t="s">
        <v>2506</v>
      </c>
      <c r="E279" s="1" t="s">
        <v>2019</v>
      </c>
      <c r="F279" s="1" t="s">
        <v>28</v>
      </c>
      <c r="G279" s="6">
        <v>30433</v>
      </c>
      <c r="H279" t="str">
        <f>IFERROR(VLOOKUP(F279,'LEAID Match'!$A$2:$B$142,2,FALSE),"")</f>
        <v/>
      </c>
    </row>
    <row r="280" spans="1:8" x14ac:dyDescent="0.2">
      <c r="A280" t="str">
        <f t="shared" si="4"/>
        <v/>
      </c>
      <c r="B280" s="1">
        <v>2015</v>
      </c>
      <c r="C280" s="1" t="s">
        <v>2505</v>
      </c>
      <c r="D280" s="1" t="s">
        <v>2506</v>
      </c>
      <c r="E280" s="1" t="s">
        <v>2019</v>
      </c>
      <c r="F280" s="1" t="s">
        <v>29</v>
      </c>
      <c r="G280" s="6">
        <v>2914608</v>
      </c>
      <c r="H280" t="str">
        <f>IFERROR(VLOOKUP(F280,'LEAID Match'!$A$2:$B$142,2,FALSE),"")</f>
        <v/>
      </c>
    </row>
    <row r="281" spans="1:8" x14ac:dyDescent="0.2">
      <c r="A281" t="str">
        <f t="shared" si="4"/>
        <v/>
      </c>
      <c r="B281">
        <v>2016</v>
      </c>
      <c r="C281" s="1" t="s">
        <v>2505</v>
      </c>
      <c r="D281" s="1" t="s">
        <v>2506</v>
      </c>
      <c r="E281" s="1" t="s">
        <v>2019</v>
      </c>
      <c r="F281" s="1" t="s">
        <v>29</v>
      </c>
      <c r="G281" s="12">
        <v>3053280</v>
      </c>
      <c r="H281" t="str">
        <f>IFERROR(VLOOKUP(F281,'LEAID Match'!$A$2:$B$142,2,FALSE),"")</f>
        <v/>
      </c>
    </row>
    <row r="282" spans="1:8" x14ac:dyDescent="0.2">
      <c r="A282" t="str">
        <f t="shared" si="4"/>
        <v/>
      </c>
      <c r="B282" s="1">
        <v>2017</v>
      </c>
      <c r="C282" s="1" t="s">
        <v>2505</v>
      </c>
      <c r="D282" s="1" t="s">
        <v>2506</v>
      </c>
      <c r="E282" s="1" t="s">
        <v>2019</v>
      </c>
      <c r="F282" s="1" t="s">
        <v>29</v>
      </c>
      <c r="G282" s="47">
        <v>3004026</v>
      </c>
      <c r="H282" t="str">
        <f>IFERROR(VLOOKUP(F282,'LEAID Match'!$A$2:$B$142,2,FALSE),"")</f>
        <v/>
      </c>
    </row>
    <row r="283" spans="1:8" x14ac:dyDescent="0.2">
      <c r="A283" t="str">
        <f t="shared" si="4"/>
        <v/>
      </c>
      <c r="B283" s="1">
        <v>2018</v>
      </c>
      <c r="C283" s="1" t="s">
        <v>2505</v>
      </c>
      <c r="D283" s="1" t="s">
        <v>2506</v>
      </c>
      <c r="E283" s="1" t="s">
        <v>2019</v>
      </c>
      <c r="F283" s="1" t="s">
        <v>29</v>
      </c>
      <c r="G283" s="6">
        <v>2940954</v>
      </c>
      <c r="H283" t="str">
        <f>IFERROR(VLOOKUP(F283,'LEAID Match'!$A$2:$B$142,2,FALSE),"")</f>
        <v/>
      </c>
    </row>
    <row r="284" spans="1:8" x14ac:dyDescent="0.2">
      <c r="A284" t="str">
        <f t="shared" si="4"/>
        <v/>
      </c>
      <c r="B284" s="1">
        <v>2019</v>
      </c>
      <c r="C284" s="1" t="s">
        <v>2505</v>
      </c>
      <c r="D284" s="1" t="s">
        <v>2506</v>
      </c>
      <c r="E284" s="1" t="s">
        <v>2019</v>
      </c>
      <c r="F284" s="1" t="s">
        <v>29</v>
      </c>
      <c r="G284" s="6">
        <v>3006282</v>
      </c>
      <c r="H284" t="str">
        <f>IFERROR(VLOOKUP(F284,'LEAID Match'!$A$2:$B$142,2,FALSE),"")</f>
        <v/>
      </c>
    </row>
    <row r="285" spans="1:8" x14ac:dyDescent="0.2">
      <c r="A285" t="str">
        <f t="shared" si="4"/>
        <v/>
      </c>
      <c r="B285" s="1">
        <v>2020</v>
      </c>
      <c r="C285" s="1" t="s">
        <v>2505</v>
      </c>
      <c r="D285" s="1" t="s">
        <v>2506</v>
      </c>
      <c r="E285" s="1" t="s">
        <v>2019</v>
      </c>
      <c r="F285" s="1" t="s">
        <v>29</v>
      </c>
      <c r="G285" s="6">
        <v>3491265</v>
      </c>
      <c r="H285" t="str">
        <f>IFERROR(VLOOKUP(F285,'LEAID Match'!$A$2:$B$142,2,FALSE),"")</f>
        <v/>
      </c>
    </row>
    <row r="286" spans="1:8" x14ac:dyDescent="0.2">
      <c r="A286" t="str">
        <f t="shared" si="4"/>
        <v/>
      </c>
      <c r="B286" s="1">
        <v>2021</v>
      </c>
      <c r="C286" s="1" t="s">
        <v>2505</v>
      </c>
      <c r="D286" s="1" t="s">
        <v>2506</v>
      </c>
      <c r="E286" s="1" t="s">
        <v>2019</v>
      </c>
      <c r="F286" s="1" t="s">
        <v>29</v>
      </c>
      <c r="G286" s="6">
        <v>3355206</v>
      </c>
      <c r="H286" t="str">
        <f>IFERROR(VLOOKUP(F286,'LEAID Match'!$A$2:$B$142,2,FALSE),"")</f>
        <v/>
      </c>
    </row>
    <row r="287" spans="1:8" x14ac:dyDescent="0.2">
      <c r="A287" t="str">
        <f t="shared" si="4"/>
        <v/>
      </c>
      <c r="B287" s="1">
        <v>2022</v>
      </c>
      <c r="C287" s="1" t="s">
        <v>2505</v>
      </c>
      <c r="D287" s="1" t="s">
        <v>2506</v>
      </c>
      <c r="E287" s="1" t="s">
        <v>2019</v>
      </c>
      <c r="F287" s="1" t="s">
        <v>29</v>
      </c>
      <c r="G287" s="6">
        <v>3272980</v>
      </c>
      <c r="H287" t="str">
        <f>IFERROR(VLOOKUP(F287,'LEAID Match'!$A$2:$B$142,2,FALSE),"")</f>
        <v/>
      </c>
    </row>
    <row r="288" spans="1:8" x14ac:dyDescent="0.2">
      <c r="A288" t="str">
        <f t="shared" si="4"/>
        <v/>
      </c>
      <c r="B288" s="1">
        <v>2023</v>
      </c>
      <c r="C288" s="1" t="s">
        <v>2505</v>
      </c>
      <c r="D288" s="1" t="s">
        <v>2506</v>
      </c>
      <c r="E288" s="1" t="s">
        <v>2019</v>
      </c>
      <c r="F288" s="1" t="s">
        <v>29</v>
      </c>
      <c r="G288" s="6">
        <v>3401661</v>
      </c>
      <c r="H288" t="str">
        <f>IFERROR(VLOOKUP(F288,'LEAID Match'!$A$2:$B$142,2,FALSE),"")</f>
        <v/>
      </c>
    </row>
    <row r="289" spans="1:8" x14ac:dyDescent="0.2">
      <c r="A289" t="str">
        <f t="shared" si="4"/>
        <v/>
      </c>
      <c r="B289" s="1">
        <v>2024</v>
      </c>
      <c r="C289" s="1" t="s">
        <v>2505</v>
      </c>
      <c r="D289" s="1" t="s">
        <v>2506</v>
      </c>
      <c r="E289" s="1" t="s">
        <v>2019</v>
      </c>
      <c r="F289" s="1" t="s">
        <v>29</v>
      </c>
      <c r="G289" s="6">
        <v>3690183</v>
      </c>
      <c r="H289" t="str">
        <f>IFERROR(VLOOKUP(F289,'LEAID Match'!$A$2:$B$142,2,FALSE),"")</f>
        <v/>
      </c>
    </row>
    <row r="290" spans="1:8" x14ac:dyDescent="0.2">
      <c r="A290" t="str">
        <f t="shared" si="4"/>
        <v/>
      </c>
      <c r="B290" s="1">
        <v>2015</v>
      </c>
      <c r="C290" s="1" t="s">
        <v>2505</v>
      </c>
      <c r="D290" s="1" t="s">
        <v>2506</v>
      </c>
      <c r="E290" s="1" t="s">
        <v>2019</v>
      </c>
      <c r="F290" s="1" t="s">
        <v>30</v>
      </c>
      <c r="G290" s="6">
        <v>179293</v>
      </c>
      <c r="H290" t="str">
        <f>IFERROR(VLOOKUP(F290,'LEAID Match'!$A$2:$B$142,2,FALSE),"")</f>
        <v/>
      </c>
    </row>
    <row r="291" spans="1:8" x14ac:dyDescent="0.2">
      <c r="A291" t="str">
        <f t="shared" si="4"/>
        <v/>
      </c>
      <c r="B291">
        <v>2016</v>
      </c>
      <c r="C291" s="1" t="s">
        <v>2505</v>
      </c>
      <c r="D291" s="1" t="s">
        <v>2506</v>
      </c>
      <c r="E291" s="1" t="s">
        <v>2019</v>
      </c>
      <c r="F291" s="1" t="s">
        <v>30</v>
      </c>
      <c r="G291" s="12">
        <v>186247</v>
      </c>
      <c r="H291" t="str">
        <f>IFERROR(VLOOKUP(F291,'LEAID Match'!$A$2:$B$142,2,FALSE),"")</f>
        <v/>
      </c>
    </row>
    <row r="292" spans="1:8" x14ac:dyDescent="0.2">
      <c r="A292" t="str">
        <f t="shared" si="4"/>
        <v/>
      </c>
      <c r="B292" s="1">
        <v>2017</v>
      </c>
      <c r="C292" s="1" t="s">
        <v>2505</v>
      </c>
      <c r="D292" s="1" t="s">
        <v>2506</v>
      </c>
      <c r="E292" s="1" t="s">
        <v>2019</v>
      </c>
      <c r="F292" s="1" t="s">
        <v>30</v>
      </c>
      <c r="G292" s="47">
        <v>204245</v>
      </c>
      <c r="H292" t="str">
        <f>IFERROR(VLOOKUP(F292,'LEAID Match'!$A$2:$B$142,2,FALSE),"")</f>
        <v/>
      </c>
    </row>
    <row r="293" spans="1:8" x14ac:dyDescent="0.2">
      <c r="A293" t="str">
        <f t="shared" si="4"/>
        <v/>
      </c>
      <c r="B293" s="1">
        <v>2018</v>
      </c>
      <c r="C293" s="1" t="s">
        <v>2505</v>
      </c>
      <c r="D293" s="1" t="s">
        <v>2506</v>
      </c>
      <c r="E293" s="1" t="s">
        <v>2019</v>
      </c>
      <c r="F293" s="1" t="s">
        <v>30</v>
      </c>
      <c r="G293" s="6">
        <v>198156</v>
      </c>
      <c r="H293" t="str">
        <f>IFERROR(VLOOKUP(F293,'LEAID Match'!$A$2:$B$142,2,FALSE),"")</f>
        <v/>
      </c>
    </row>
    <row r="294" spans="1:8" x14ac:dyDescent="0.2">
      <c r="A294" t="str">
        <f t="shared" si="4"/>
        <v/>
      </c>
      <c r="B294" s="1">
        <v>2019</v>
      </c>
      <c r="C294" s="1" t="s">
        <v>2505</v>
      </c>
      <c r="D294" s="1" t="s">
        <v>2506</v>
      </c>
      <c r="E294" s="1" t="s">
        <v>2019</v>
      </c>
      <c r="F294" s="1" t="s">
        <v>30</v>
      </c>
      <c r="G294" s="6">
        <v>187504</v>
      </c>
      <c r="H294" t="str">
        <f>IFERROR(VLOOKUP(F294,'LEAID Match'!$A$2:$B$142,2,FALSE),"")</f>
        <v/>
      </c>
    </row>
    <row r="295" spans="1:8" x14ac:dyDescent="0.2">
      <c r="A295" t="str">
        <f t="shared" si="4"/>
        <v/>
      </c>
      <c r="B295" s="1">
        <v>2020</v>
      </c>
      <c r="C295" s="1" t="s">
        <v>2505</v>
      </c>
      <c r="D295" s="1" t="s">
        <v>2506</v>
      </c>
      <c r="E295" s="1" t="s">
        <v>2019</v>
      </c>
      <c r="F295" s="1" t="s">
        <v>30</v>
      </c>
      <c r="G295" s="6">
        <v>224947</v>
      </c>
      <c r="H295" t="str">
        <f>IFERROR(VLOOKUP(F295,'LEAID Match'!$A$2:$B$142,2,FALSE),"")</f>
        <v/>
      </c>
    </row>
    <row r="296" spans="1:8" x14ac:dyDescent="0.2">
      <c r="A296" t="str">
        <f t="shared" si="4"/>
        <v/>
      </c>
      <c r="B296" s="1">
        <v>2021</v>
      </c>
      <c r="C296" s="1" t="s">
        <v>2505</v>
      </c>
      <c r="D296" s="1" t="s">
        <v>2506</v>
      </c>
      <c r="E296" s="1" t="s">
        <v>2019</v>
      </c>
      <c r="F296" s="1" t="s">
        <v>30</v>
      </c>
      <c r="G296" s="6">
        <v>198408</v>
      </c>
      <c r="H296" t="str">
        <f>IFERROR(VLOOKUP(F296,'LEAID Match'!$A$2:$B$142,2,FALSE),"")</f>
        <v/>
      </c>
    </row>
    <row r="297" spans="1:8" x14ac:dyDescent="0.2">
      <c r="A297" t="str">
        <f t="shared" si="4"/>
        <v/>
      </c>
      <c r="B297" s="1">
        <v>2022</v>
      </c>
      <c r="C297" s="1" t="s">
        <v>2505</v>
      </c>
      <c r="D297" s="1" t="s">
        <v>2506</v>
      </c>
      <c r="E297" s="1" t="s">
        <v>2019</v>
      </c>
      <c r="F297" s="1" t="s">
        <v>30</v>
      </c>
      <c r="G297" s="6">
        <v>215443</v>
      </c>
      <c r="H297" t="str">
        <f>IFERROR(VLOOKUP(F297,'LEAID Match'!$A$2:$B$142,2,FALSE),"")</f>
        <v/>
      </c>
    </row>
    <row r="298" spans="1:8" x14ac:dyDescent="0.2">
      <c r="A298" t="str">
        <f t="shared" si="4"/>
        <v/>
      </c>
      <c r="B298" s="1">
        <v>2023</v>
      </c>
      <c r="C298" s="1" t="s">
        <v>2505</v>
      </c>
      <c r="D298" s="1" t="s">
        <v>2506</v>
      </c>
      <c r="E298" s="1" t="s">
        <v>2019</v>
      </c>
      <c r="F298" s="1" t="s">
        <v>30</v>
      </c>
      <c r="G298" s="6">
        <v>211449</v>
      </c>
      <c r="H298" t="str">
        <f>IFERROR(VLOOKUP(F298,'LEAID Match'!$A$2:$B$142,2,FALSE),"")</f>
        <v/>
      </c>
    </row>
    <row r="299" spans="1:8" x14ac:dyDescent="0.2">
      <c r="A299" t="str">
        <f t="shared" si="4"/>
        <v/>
      </c>
      <c r="B299" s="1">
        <v>2024</v>
      </c>
      <c r="C299" s="1" t="s">
        <v>2505</v>
      </c>
      <c r="D299" s="1" t="s">
        <v>2506</v>
      </c>
      <c r="E299" s="1" t="s">
        <v>2019</v>
      </c>
      <c r="F299" s="1" t="s">
        <v>30</v>
      </c>
      <c r="G299" s="6">
        <v>241309</v>
      </c>
      <c r="H299" t="str">
        <f>IFERROR(VLOOKUP(F299,'LEAID Match'!$A$2:$B$142,2,FALSE),"")</f>
        <v/>
      </c>
    </row>
    <row r="300" spans="1:8" x14ac:dyDescent="0.2">
      <c r="A300" t="str">
        <f t="shared" si="4"/>
        <v/>
      </c>
      <c r="B300" s="1">
        <v>2015</v>
      </c>
      <c r="C300" s="1" t="s">
        <v>2505</v>
      </c>
      <c r="D300" s="1" t="s">
        <v>2506</v>
      </c>
      <c r="E300" s="1" t="s">
        <v>2019</v>
      </c>
      <c r="F300" s="1" t="s">
        <v>31</v>
      </c>
      <c r="G300" s="6">
        <v>11587</v>
      </c>
      <c r="H300" t="str">
        <f>IFERROR(VLOOKUP(F300,'LEAID Match'!$A$2:$B$142,2,FALSE),"")</f>
        <v/>
      </c>
    </row>
    <row r="301" spans="1:8" x14ac:dyDescent="0.2">
      <c r="A301" t="str">
        <f t="shared" si="4"/>
        <v/>
      </c>
      <c r="B301">
        <v>2016</v>
      </c>
      <c r="C301" s="1" t="s">
        <v>2505</v>
      </c>
      <c r="D301" s="1" t="s">
        <v>2506</v>
      </c>
      <c r="E301" s="1" t="s">
        <v>2019</v>
      </c>
      <c r="F301" s="1" t="s">
        <v>31</v>
      </c>
      <c r="G301" s="12">
        <v>11873</v>
      </c>
      <c r="H301" t="str">
        <f>IFERROR(VLOOKUP(F301,'LEAID Match'!$A$2:$B$142,2,FALSE),"")</f>
        <v/>
      </c>
    </row>
    <row r="302" spans="1:8" x14ac:dyDescent="0.2">
      <c r="A302" t="str">
        <f t="shared" si="4"/>
        <v/>
      </c>
      <c r="B302" s="1">
        <v>2017</v>
      </c>
      <c r="C302" s="1" t="s">
        <v>2505</v>
      </c>
      <c r="D302" s="1" t="s">
        <v>2506</v>
      </c>
      <c r="E302" s="1" t="s">
        <v>2019</v>
      </c>
      <c r="F302" s="1" t="s">
        <v>31</v>
      </c>
      <c r="G302" s="47">
        <v>13280</v>
      </c>
      <c r="H302" t="str">
        <f>IFERROR(VLOOKUP(F302,'LEAID Match'!$A$2:$B$142,2,FALSE),"")</f>
        <v/>
      </c>
    </row>
    <row r="303" spans="1:8" x14ac:dyDescent="0.2">
      <c r="A303" t="str">
        <f t="shared" si="4"/>
        <v/>
      </c>
      <c r="B303" s="1">
        <v>2018</v>
      </c>
      <c r="C303" s="1" t="s">
        <v>2505</v>
      </c>
      <c r="D303" s="1" t="s">
        <v>2506</v>
      </c>
      <c r="E303" s="1" t="s">
        <v>2019</v>
      </c>
      <c r="F303" s="1" t="s">
        <v>31</v>
      </c>
      <c r="G303" s="6">
        <v>13049</v>
      </c>
      <c r="H303" t="str">
        <f>IFERROR(VLOOKUP(F303,'LEAID Match'!$A$2:$B$142,2,FALSE),"")</f>
        <v/>
      </c>
    </row>
    <row r="304" spans="1:8" x14ac:dyDescent="0.2">
      <c r="A304" t="str">
        <f t="shared" si="4"/>
        <v/>
      </c>
      <c r="B304" s="1">
        <v>2019</v>
      </c>
      <c r="C304" s="1" t="s">
        <v>2505</v>
      </c>
      <c r="D304" s="1" t="s">
        <v>2506</v>
      </c>
      <c r="E304" s="1" t="s">
        <v>2019</v>
      </c>
      <c r="F304" s="1" t="s">
        <v>31</v>
      </c>
      <c r="G304" s="6">
        <v>12004</v>
      </c>
      <c r="H304" t="str">
        <f>IFERROR(VLOOKUP(F304,'LEAID Match'!$A$2:$B$142,2,FALSE),"")</f>
        <v/>
      </c>
    </row>
    <row r="305" spans="1:8" x14ac:dyDescent="0.2">
      <c r="A305" t="str">
        <f t="shared" si="4"/>
        <v/>
      </c>
      <c r="B305" s="1">
        <v>2020</v>
      </c>
      <c r="C305" s="1" t="s">
        <v>2505</v>
      </c>
      <c r="D305" s="1" t="s">
        <v>2506</v>
      </c>
      <c r="E305" s="1" t="s">
        <v>2019</v>
      </c>
      <c r="F305" s="1" t="s">
        <v>31</v>
      </c>
      <c r="G305" s="6">
        <v>13458</v>
      </c>
      <c r="H305" t="str">
        <f>IFERROR(VLOOKUP(F305,'LEAID Match'!$A$2:$B$142,2,FALSE),"")</f>
        <v/>
      </c>
    </row>
    <row r="306" spans="1:8" x14ac:dyDescent="0.2">
      <c r="A306" t="str">
        <f t="shared" si="4"/>
        <v/>
      </c>
      <c r="B306" s="1">
        <v>2021</v>
      </c>
      <c r="C306" s="1" t="s">
        <v>2505</v>
      </c>
      <c r="D306" s="1" t="s">
        <v>2506</v>
      </c>
      <c r="E306" s="1" t="s">
        <v>2019</v>
      </c>
      <c r="F306" s="1" t="s">
        <v>31</v>
      </c>
      <c r="G306" s="6">
        <v>12342</v>
      </c>
      <c r="H306" t="str">
        <f>IFERROR(VLOOKUP(F306,'LEAID Match'!$A$2:$B$142,2,FALSE),"")</f>
        <v/>
      </c>
    </row>
    <row r="307" spans="1:8" x14ac:dyDescent="0.2">
      <c r="A307" t="str">
        <f t="shared" si="4"/>
        <v/>
      </c>
      <c r="B307" s="1">
        <v>2022</v>
      </c>
      <c r="C307" s="1" t="s">
        <v>2505</v>
      </c>
      <c r="D307" s="1" t="s">
        <v>2506</v>
      </c>
      <c r="E307" s="1" t="s">
        <v>2019</v>
      </c>
      <c r="F307" s="1" t="s">
        <v>31</v>
      </c>
      <c r="G307" s="6">
        <v>13518</v>
      </c>
      <c r="H307" t="str">
        <f>IFERROR(VLOOKUP(F307,'LEAID Match'!$A$2:$B$142,2,FALSE),"")</f>
        <v/>
      </c>
    </row>
    <row r="308" spans="1:8" x14ac:dyDescent="0.2">
      <c r="A308" t="str">
        <f t="shared" si="4"/>
        <v/>
      </c>
      <c r="B308" s="1">
        <v>2023</v>
      </c>
      <c r="C308" s="1" t="s">
        <v>2505</v>
      </c>
      <c r="D308" s="1" t="s">
        <v>2506</v>
      </c>
      <c r="E308" s="1" t="s">
        <v>2019</v>
      </c>
      <c r="F308" s="1" t="s">
        <v>31</v>
      </c>
      <c r="G308" s="6">
        <v>14568</v>
      </c>
      <c r="H308" t="str">
        <f>IFERROR(VLOOKUP(F308,'LEAID Match'!$A$2:$B$142,2,FALSE),"")</f>
        <v/>
      </c>
    </row>
    <row r="309" spans="1:8" x14ac:dyDescent="0.2">
      <c r="A309" t="str">
        <f t="shared" si="4"/>
        <v/>
      </c>
      <c r="B309" s="1">
        <v>2024</v>
      </c>
      <c r="C309" s="1" t="s">
        <v>2505</v>
      </c>
      <c r="D309" s="1" t="s">
        <v>2506</v>
      </c>
      <c r="E309" s="1" t="s">
        <v>2019</v>
      </c>
      <c r="F309" s="1" t="s">
        <v>31</v>
      </c>
      <c r="G309" s="6">
        <v>17121</v>
      </c>
      <c r="H309" t="str">
        <f>IFERROR(VLOOKUP(F309,'LEAID Match'!$A$2:$B$142,2,FALSE),"")</f>
        <v/>
      </c>
    </row>
    <row r="310" spans="1:8" x14ac:dyDescent="0.2">
      <c r="A310">
        <f t="shared" si="4"/>
        <v>2800540</v>
      </c>
      <c r="B310" s="1">
        <v>2015</v>
      </c>
      <c r="C310" s="1" t="s">
        <v>2505</v>
      </c>
      <c r="D310" s="1" t="s">
        <v>2506</v>
      </c>
      <c r="E310" s="1" t="s">
        <v>2019</v>
      </c>
      <c r="F310" s="1" t="s">
        <v>32</v>
      </c>
      <c r="G310" s="6">
        <v>688854</v>
      </c>
      <c r="H310">
        <f>IFERROR(VLOOKUP(F310,'LEAID Match'!$A$2:$B$142,2,FALSE),"")</f>
        <v>2800540</v>
      </c>
    </row>
    <row r="311" spans="1:8" x14ac:dyDescent="0.2">
      <c r="A311">
        <f t="shared" si="4"/>
        <v>2800540</v>
      </c>
      <c r="B311">
        <v>2016</v>
      </c>
      <c r="C311" s="1" t="s">
        <v>2505</v>
      </c>
      <c r="D311" s="1" t="s">
        <v>2506</v>
      </c>
      <c r="E311" s="1" t="s">
        <v>2019</v>
      </c>
      <c r="F311" s="1" t="s">
        <v>32</v>
      </c>
      <c r="G311" s="12">
        <v>724461</v>
      </c>
      <c r="H311">
        <f>IFERROR(VLOOKUP(F311,'LEAID Match'!$A$2:$B$142,2,FALSE),"")</f>
        <v>2800540</v>
      </c>
    </row>
    <row r="312" spans="1:8" x14ac:dyDescent="0.2">
      <c r="A312">
        <f t="shared" si="4"/>
        <v>2800540</v>
      </c>
      <c r="B312" s="1">
        <v>2017</v>
      </c>
      <c r="C312" s="1" t="s">
        <v>2505</v>
      </c>
      <c r="D312" s="1" t="s">
        <v>2506</v>
      </c>
      <c r="E312" s="1" t="s">
        <v>2019</v>
      </c>
      <c r="F312" s="1" t="s">
        <v>32</v>
      </c>
      <c r="G312" s="47">
        <v>739320</v>
      </c>
      <c r="H312">
        <f>IFERROR(VLOOKUP(F312,'LEAID Match'!$A$2:$B$142,2,FALSE),"")</f>
        <v>2800540</v>
      </c>
    </row>
    <row r="313" spans="1:8" x14ac:dyDescent="0.2">
      <c r="A313">
        <f t="shared" si="4"/>
        <v>2800540</v>
      </c>
      <c r="B313" s="1">
        <v>2018</v>
      </c>
      <c r="C313" s="1" t="s">
        <v>2505</v>
      </c>
      <c r="D313" s="1" t="s">
        <v>2506</v>
      </c>
      <c r="E313" s="1" t="s">
        <v>2019</v>
      </c>
      <c r="F313" s="1" t="s">
        <v>32</v>
      </c>
      <c r="G313" s="6">
        <v>713423</v>
      </c>
      <c r="H313">
        <f>IFERROR(VLOOKUP(F313,'LEAID Match'!$A$2:$B$142,2,FALSE),"")</f>
        <v>2800540</v>
      </c>
    </row>
    <row r="314" spans="1:8" x14ac:dyDescent="0.2">
      <c r="A314">
        <f t="shared" si="4"/>
        <v>2800540</v>
      </c>
      <c r="B314" s="1">
        <v>2019</v>
      </c>
      <c r="C314" s="1" t="s">
        <v>2505</v>
      </c>
      <c r="D314" s="1" t="s">
        <v>2506</v>
      </c>
      <c r="E314" s="1" t="s">
        <v>2019</v>
      </c>
      <c r="F314" s="1" t="s">
        <v>32</v>
      </c>
      <c r="G314" s="6">
        <v>762487</v>
      </c>
      <c r="H314">
        <f>IFERROR(VLOOKUP(F314,'LEAID Match'!$A$2:$B$142,2,FALSE),"")</f>
        <v>2800540</v>
      </c>
    </row>
    <row r="315" spans="1:8" x14ac:dyDescent="0.2">
      <c r="A315">
        <f t="shared" si="4"/>
        <v>2800540</v>
      </c>
      <c r="B315" s="1">
        <v>2020</v>
      </c>
      <c r="C315" s="1" t="s">
        <v>2505</v>
      </c>
      <c r="D315" s="1" t="s">
        <v>2506</v>
      </c>
      <c r="E315" s="1" t="s">
        <v>2019</v>
      </c>
      <c r="F315" s="1" t="s">
        <v>32</v>
      </c>
      <c r="G315" s="6">
        <v>846860</v>
      </c>
      <c r="H315">
        <f>IFERROR(VLOOKUP(F315,'LEAID Match'!$A$2:$B$142,2,FALSE),"")</f>
        <v>2800540</v>
      </c>
    </row>
    <row r="316" spans="1:8" x14ac:dyDescent="0.2">
      <c r="A316">
        <f t="shared" si="4"/>
        <v>2800540</v>
      </c>
      <c r="B316" s="1">
        <v>2021</v>
      </c>
      <c r="C316" s="1" t="s">
        <v>2505</v>
      </c>
      <c r="D316" s="1" t="s">
        <v>2506</v>
      </c>
      <c r="E316" s="1" t="s">
        <v>2019</v>
      </c>
      <c r="F316" s="1" t="s">
        <v>32</v>
      </c>
      <c r="G316" s="6">
        <v>833529</v>
      </c>
      <c r="H316">
        <f>IFERROR(VLOOKUP(F316,'LEAID Match'!$A$2:$B$142,2,FALSE),"")</f>
        <v>2800540</v>
      </c>
    </row>
    <row r="317" spans="1:8" x14ac:dyDescent="0.2">
      <c r="A317">
        <f t="shared" si="4"/>
        <v>2800540</v>
      </c>
      <c r="B317" s="1">
        <v>2022</v>
      </c>
      <c r="C317" s="1" t="s">
        <v>2505</v>
      </c>
      <c r="D317" s="1" t="s">
        <v>2506</v>
      </c>
      <c r="E317" s="1" t="s">
        <v>2019</v>
      </c>
      <c r="F317" s="1" t="s">
        <v>32</v>
      </c>
      <c r="G317" s="6">
        <v>907218</v>
      </c>
      <c r="H317">
        <f>IFERROR(VLOOKUP(F317,'LEAID Match'!$A$2:$B$142,2,FALSE),"")</f>
        <v>2800540</v>
      </c>
    </row>
    <row r="318" spans="1:8" x14ac:dyDescent="0.2">
      <c r="A318">
        <f t="shared" si="4"/>
        <v>2800540</v>
      </c>
      <c r="B318" s="1">
        <v>2023</v>
      </c>
      <c r="C318" s="1" t="s">
        <v>2505</v>
      </c>
      <c r="D318" s="1" t="s">
        <v>2506</v>
      </c>
      <c r="E318" s="1" t="s">
        <v>2019</v>
      </c>
      <c r="F318" s="1" t="s">
        <v>32</v>
      </c>
      <c r="G318" s="6">
        <v>1016954</v>
      </c>
      <c r="H318">
        <f>IFERROR(VLOOKUP(F318,'LEAID Match'!$A$2:$B$142,2,FALSE),"")</f>
        <v>2800540</v>
      </c>
    </row>
    <row r="319" spans="1:8" x14ac:dyDescent="0.2">
      <c r="A319">
        <f t="shared" si="4"/>
        <v>2800540</v>
      </c>
      <c r="B319" s="1">
        <v>2024</v>
      </c>
      <c r="C319" s="1" t="s">
        <v>2505</v>
      </c>
      <c r="D319" s="1" t="s">
        <v>2506</v>
      </c>
      <c r="E319" s="1" t="s">
        <v>2019</v>
      </c>
      <c r="F319" s="1" t="s">
        <v>32</v>
      </c>
      <c r="G319" s="6">
        <v>1099332</v>
      </c>
      <c r="H319">
        <f>IFERROR(VLOOKUP(F319,'LEAID Match'!$A$2:$B$142,2,FALSE),"")</f>
        <v>2800540</v>
      </c>
    </row>
    <row r="320" spans="1:8" x14ac:dyDescent="0.2">
      <c r="A320" t="str">
        <f t="shared" si="4"/>
        <v/>
      </c>
      <c r="B320" s="1">
        <v>2015</v>
      </c>
      <c r="C320" s="1" t="s">
        <v>2505</v>
      </c>
      <c r="D320" s="1" t="s">
        <v>2506</v>
      </c>
      <c r="E320" s="1" t="s">
        <v>2019</v>
      </c>
      <c r="F320" s="1" t="s">
        <v>33</v>
      </c>
      <c r="G320" s="6">
        <v>636005</v>
      </c>
      <c r="H320" t="str">
        <f>IFERROR(VLOOKUP(F320,'LEAID Match'!$A$2:$B$142,2,FALSE),"")</f>
        <v/>
      </c>
    </row>
    <row r="321" spans="1:8" x14ac:dyDescent="0.2">
      <c r="A321" t="str">
        <f t="shared" si="4"/>
        <v/>
      </c>
      <c r="B321">
        <v>2016</v>
      </c>
      <c r="C321" s="1" t="s">
        <v>2505</v>
      </c>
      <c r="D321" s="1" t="s">
        <v>2506</v>
      </c>
      <c r="E321" s="1" t="s">
        <v>2019</v>
      </c>
      <c r="F321" s="1" t="s">
        <v>33</v>
      </c>
      <c r="G321" s="12">
        <v>681410</v>
      </c>
      <c r="H321" t="str">
        <f>IFERROR(VLOOKUP(F321,'LEAID Match'!$A$2:$B$142,2,FALSE),"")</f>
        <v/>
      </c>
    </row>
    <row r="322" spans="1:8" x14ac:dyDescent="0.2">
      <c r="A322" t="str">
        <f t="shared" si="4"/>
        <v/>
      </c>
      <c r="B322" s="1">
        <v>2017</v>
      </c>
      <c r="C322" s="1" t="s">
        <v>2505</v>
      </c>
      <c r="D322" s="1" t="s">
        <v>2506</v>
      </c>
      <c r="E322" s="1" t="s">
        <v>2019</v>
      </c>
      <c r="F322" s="1" t="s">
        <v>33</v>
      </c>
      <c r="G322" s="47">
        <v>731832</v>
      </c>
      <c r="H322" t="str">
        <f>IFERROR(VLOOKUP(F322,'LEAID Match'!$A$2:$B$142,2,FALSE),"")</f>
        <v/>
      </c>
    </row>
    <row r="323" spans="1:8" x14ac:dyDescent="0.2">
      <c r="A323" t="str">
        <f t="shared" ref="A323:A386" si="5">H323</f>
        <v/>
      </c>
      <c r="B323" s="1">
        <v>2018</v>
      </c>
      <c r="C323" s="1" t="s">
        <v>2505</v>
      </c>
      <c r="D323" s="1" t="s">
        <v>2506</v>
      </c>
      <c r="E323" s="1" t="s">
        <v>2019</v>
      </c>
      <c r="F323" s="1" t="s">
        <v>33</v>
      </c>
      <c r="G323" s="6">
        <v>864825</v>
      </c>
      <c r="H323" t="str">
        <f>IFERROR(VLOOKUP(F323,'LEAID Match'!$A$2:$B$142,2,FALSE),"")</f>
        <v/>
      </c>
    </row>
    <row r="324" spans="1:8" x14ac:dyDescent="0.2">
      <c r="A324" t="str">
        <f t="shared" si="5"/>
        <v/>
      </c>
      <c r="B324" s="1">
        <v>2019</v>
      </c>
      <c r="C324" s="1" t="s">
        <v>2505</v>
      </c>
      <c r="D324" s="1" t="s">
        <v>2506</v>
      </c>
      <c r="E324" s="1" t="s">
        <v>2019</v>
      </c>
      <c r="F324" s="1" t="s">
        <v>33</v>
      </c>
      <c r="G324" s="6">
        <v>879752</v>
      </c>
      <c r="H324" t="str">
        <f>IFERROR(VLOOKUP(F324,'LEAID Match'!$A$2:$B$142,2,FALSE),"")</f>
        <v/>
      </c>
    </row>
    <row r="325" spans="1:8" x14ac:dyDescent="0.2">
      <c r="A325" t="str">
        <f t="shared" si="5"/>
        <v/>
      </c>
      <c r="B325" s="1">
        <v>2020</v>
      </c>
      <c r="C325" s="1" t="s">
        <v>2505</v>
      </c>
      <c r="D325" s="1" t="s">
        <v>2506</v>
      </c>
      <c r="E325" s="1" t="s">
        <v>2019</v>
      </c>
      <c r="F325" s="1" t="s">
        <v>33</v>
      </c>
      <c r="G325" s="6">
        <v>1027101</v>
      </c>
      <c r="H325" t="str">
        <f>IFERROR(VLOOKUP(F325,'LEAID Match'!$A$2:$B$142,2,FALSE),"")</f>
        <v/>
      </c>
    </row>
    <row r="326" spans="1:8" x14ac:dyDescent="0.2">
      <c r="A326" t="str">
        <f t="shared" si="5"/>
        <v/>
      </c>
      <c r="B326" s="1">
        <v>2021</v>
      </c>
      <c r="C326" s="1" t="s">
        <v>2505</v>
      </c>
      <c r="D326" s="1" t="s">
        <v>2506</v>
      </c>
      <c r="E326" s="1" t="s">
        <v>2019</v>
      </c>
      <c r="F326" s="1" t="s">
        <v>33</v>
      </c>
      <c r="G326" s="6">
        <v>1055627</v>
      </c>
      <c r="H326" t="str">
        <f>IFERROR(VLOOKUP(F326,'LEAID Match'!$A$2:$B$142,2,FALSE),"")</f>
        <v/>
      </c>
    </row>
    <row r="327" spans="1:8" x14ac:dyDescent="0.2">
      <c r="A327" t="str">
        <f t="shared" si="5"/>
        <v/>
      </c>
      <c r="B327" s="1">
        <v>2022</v>
      </c>
      <c r="C327" s="1" t="s">
        <v>2505</v>
      </c>
      <c r="D327" s="1" t="s">
        <v>2506</v>
      </c>
      <c r="E327" s="1" t="s">
        <v>2019</v>
      </c>
      <c r="F327" s="1" t="s">
        <v>33</v>
      </c>
      <c r="G327" s="6">
        <v>1040765</v>
      </c>
      <c r="H327" t="str">
        <f>IFERROR(VLOOKUP(F327,'LEAID Match'!$A$2:$B$142,2,FALSE),"")</f>
        <v/>
      </c>
    </row>
    <row r="328" spans="1:8" x14ac:dyDescent="0.2">
      <c r="A328" t="str">
        <f t="shared" si="5"/>
        <v/>
      </c>
      <c r="B328" s="1">
        <v>2023</v>
      </c>
      <c r="C328" s="1" t="s">
        <v>2505</v>
      </c>
      <c r="D328" s="1" t="s">
        <v>2506</v>
      </c>
      <c r="E328" s="1" t="s">
        <v>2019</v>
      </c>
      <c r="F328" s="1" t="s">
        <v>33</v>
      </c>
      <c r="G328" s="6">
        <v>967944</v>
      </c>
      <c r="H328" t="str">
        <f>IFERROR(VLOOKUP(F328,'LEAID Match'!$A$2:$B$142,2,FALSE),"")</f>
        <v/>
      </c>
    </row>
    <row r="329" spans="1:8" x14ac:dyDescent="0.2">
      <c r="A329" t="str">
        <f t="shared" si="5"/>
        <v/>
      </c>
      <c r="B329" s="1">
        <v>2024</v>
      </c>
      <c r="C329" s="1" t="s">
        <v>2505</v>
      </c>
      <c r="D329" s="1" t="s">
        <v>2506</v>
      </c>
      <c r="E329" s="1" t="s">
        <v>2019</v>
      </c>
      <c r="F329" s="1" t="s">
        <v>33</v>
      </c>
      <c r="G329" s="6">
        <v>1011532</v>
      </c>
      <c r="H329" t="str">
        <f>IFERROR(VLOOKUP(F329,'LEAID Match'!$A$2:$B$142,2,FALSE),"")</f>
        <v/>
      </c>
    </row>
    <row r="330" spans="1:8" x14ac:dyDescent="0.2">
      <c r="A330" t="str">
        <f t="shared" si="5"/>
        <v/>
      </c>
      <c r="B330" s="1">
        <v>2015</v>
      </c>
      <c r="C330" s="1" t="s">
        <v>2505</v>
      </c>
      <c r="D330" s="1" t="s">
        <v>2506</v>
      </c>
      <c r="E330" s="1" t="s">
        <v>2019</v>
      </c>
      <c r="F330" s="1" t="s">
        <v>34</v>
      </c>
      <c r="G330" s="6">
        <v>13562</v>
      </c>
      <c r="H330" t="str">
        <f>IFERROR(VLOOKUP(F330,'LEAID Match'!$A$2:$B$142,2,FALSE),"")</f>
        <v/>
      </c>
    </row>
    <row r="331" spans="1:8" x14ac:dyDescent="0.2">
      <c r="A331" t="str">
        <f t="shared" si="5"/>
        <v/>
      </c>
      <c r="B331">
        <v>2016</v>
      </c>
      <c r="C331" s="1" t="s">
        <v>2505</v>
      </c>
      <c r="D331" s="1" t="s">
        <v>2506</v>
      </c>
      <c r="E331" s="1" t="s">
        <v>2019</v>
      </c>
      <c r="F331" s="1" t="s">
        <v>34</v>
      </c>
      <c r="G331" s="12">
        <v>14297</v>
      </c>
      <c r="H331" t="str">
        <f>IFERROR(VLOOKUP(F331,'LEAID Match'!$A$2:$B$142,2,FALSE),"")</f>
        <v/>
      </c>
    </row>
    <row r="332" spans="1:8" x14ac:dyDescent="0.2">
      <c r="A332" t="str">
        <f t="shared" si="5"/>
        <v/>
      </c>
      <c r="B332" s="1">
        <v>2017</v>
      </c>
      <c r="C332" s="1" t="s">
        <v>2505</v>
      </c>
      <c r="D332" s="1" t="s">
        <v>2506</v>
      </c>
      <c r="E332" s="1" t="s">
        <v>2019</v>
      </c>
      <c r="F332" s="1" t="s">
        <v>34</v>
      </c>
      <c r="G332" s="47">
        <v>13222</v>
      </c>
      <c r="H332" t="str">
        <f>IFERROR(VLOOKUP(F332,'LEAID Match'!$A$2:$B$142,2,FALSE),"")</f>
        <v/>
      </c>
    </row>
    <row r="333" spans="1:8" x14ac:dyDescent="0.2">
      <c r="A333" t="str">
        <f t="shared" si="5"/>
        <v/>
      </c>
      <c r="B333" s="1">
        <v>2018</v>
      </c>
      <c r="C333" s="1" t="s">
        <v>2505</v>
      </c>
      <c r="D333" s="1" t="s">
        <v>2506</v>
      </c>
      <c r="E333" s="1" t="s">
        <v>2019</v>
      </c>
      <c r="F333" s="1" t="s">
        <v>34</v>
      </c>
      <c r="G333" s="6">
        <v>13222</v>
      </c>
      <c r="H333" t="str">
        <f>IFERROR(VLOOKUP(F333,'LEAID Match'!$A$2:$B$142,2,FALSE),"")</f>
        <v/>
      </c>
    </row>
    <row r="334" spans="1:8" x14ac:dyDescent="0.2">
      <c r="A334" t="str">
        <f t="shared" si="5"/>
        <v/>
      </c>
      <c r="B334" s="1">
        <v>2019</v>
      </c>
      <c r="C334" s="1" t="s">
        <v>2505</v>
      </c>
      <c r="D334" s="1" t="s">
        <v>2506</v>
      </c>
      <c r="E334" s="1" t="s">
        <v>2019</v>
      </c>
      <c r="F334" s="1" t="s">
        <v>34</v>
      </c>
      <c r="G334" s="6">
        <v>13222</v>
      </c>
      <c r="H334" t="str">
        <f>IFERROR(VLOOKUP(F334,'LEAID Match'!$A$2:$B$142,2,FALSE),"")</f>
        <v/>
      </c>
    </row>
    <row r="335" spans="1:8" x14ac:dyDescent="0.2">
      <c r="A335" t="str">
        <f t="shared" si="5"/>
        <v/>
      </c>
      <c r="B335" s="1">
        <v>2020</v>
      </c>
      <c r="C335" s="1" t="s">
        <v>2505</v>
      </c>
      <c r="D335" s="1" t="s">
        <v>2506</v>
      </c>
      <c r="E335" s="1" t="s">
        <v>2019</v>
      </c>
      <c r="F335" s="1" t="s">
        <v>34</v>
      </c>
      <c r="G335" s="6">
        <v>14505</v>
      </c>
      <c r="H335" t="str">
        <f>IFERROR(VLOOKUP(F335,'LEAID Match'!$A$2:$B$142,2,FALSE),"")</f>
        <v/>
      </c>
    </row>
    <row r="336" spans="1:8" x14ac:dyDescent="0.2">
      <c r="A336" t="str">
        <f t="shared" si="5"/>
        <v/>
      </c>
      <c r="B336" s="1">
        <v>2021</v>
      </c>
      <c r="C336" s="1" t="s">
        <v>2505</v>
      </c>
      <c r="D336" s="1" t="s">
        <v>2506</v>
      </c>
      <c r="E336" s="1" t="s">
        <v>2019</v>
      </c>
      <c r="F336" s="1" t="s">
        <v>34</v>
      </c>
      <c r="G336" s="6">
        <v>14671</v>
      </c>
      <c r="H336" t="str">
        <f>IFERROR(VLOOKUP(F336,'LEAID Match'!$A$2:$B$142,2,FALSE),"")</f>
        <v/>
      </c>
    </row>
    <row r="337" spans="1:8" x14ac:dyDescent="0.2">
      <c r="A337" t="str">
        <f t="shared" si="5"/>
        <v/>
      </c>
      <c r="B337" s="1">
        <v>2022</v>
      </c>
      <c r="C337" s="1" t="s">
        <v>2505</v>
      </c>
      <c r="D337" s="1" t="s">
        <v>2506</v>
      </c>
      <c r="E337" s="1" t="s">
        <v>2019</v>
      </c>
      <c r="F337" s="1" t="s">
        <v>34</v>
      </c>
      <c r="G337" s="6">
        <v>15190</v>
      </c>
      <c r="H337" t="str">
        <f>IFERROR(VLOOKUP(F337,'LEAID Match'!$A$2:$B$142,2,FALSE),"")</f>
        <v/>
      </c>
    </row>
    <row r="338" spans="1:8" x14ac:dyDescent="0.2">
      <c r="A338" t="str">
        <f t="shared" si="5"/>
        <v/>
      </c>
      <c r="B338" s="1">
        <v>2023</v>
      </c>
      <c r="C338" s="1" t="s">
        <v>2505</v>
      </c>
      <c r="D338" s="1" t="s">
        <v>2506</v>
      </c>
      <c r="E338" s="1" t="s">
        <v>2019</v>
      </c>
      <c r="F338" s="1" t="s">
        <v>34</v>
      </c>
      <c r="G338" s="6">
        <v>13809</v>
      </c>
      <c r="H338" t="str">
        <f>IFERROR(VLOOKUP(F338,'LEAID Match'!$A$2:$B$142,2,FALSE),"")</f>
        <v/>
      </c>
    </row>
    <row r="339" spans="1:8" x14ac:dyDescent="0.2">
      <c r="A339" t="str">
        <f t="shared" si="5"/>
        <v/>
      </c>
      <c r="B339" s="1">
        <v>2024</v>
      </c>
      <c r="C339" s="1" t="s">
        <v>2505</v>
      </c>
      <c r="D339" s="1" t="s">
        <v>2506</v>
      </c>
      <c r="E339" s="1" t="s">
        <v>2019</v>
      </c>
      <c r="F339" s="1" t="s">
        <v>34</v>
      </c>
      <c r="G339" s="6">
        <v>12111</v>
      </c>
      <c r="H339" t="str">
        <f>IFERROR(VLOOKUP(F339,'LEAID Match'!$A$2:$B$142,2,FALSE),"")</f>
        <v/>
      </c>
    </row>
    <row r="340" spans="1:8" x14ac:dyDescent="0.2">
      <c r="A340" t="str">
        <f t="shared" si="5"/>
        <v/>
      </c>
      <c r="B340" s="1">
        <v>2015</v>
      </c>
      <c r="C340" s="1" t="s">
        <v>2505</v>
      </c>
      <c r="D340" s="1" t="s">
        <v>2506</v>
      </c>
      <c r="E340" s="1" t="s">
        <v>2019</v>
      </c>
      <c r="F340" s="1" t="s">
        <v>35</v>
      </c>
      <c r="G340" s="6">
        <v>14780</v>
      </c>
      <c r="H340" t="str">
        <f>IFERROR(VLOOKUP(F340,'LEAID Match'!$A$2:$B$142,2,FALSE),"")</f>
        <v/>
      </c>
    </row>
    <row r="341" spans="1:8" x14ac:dyDescent="0.2">
      <c r="A341" t="str">
        <f t="shared" si="5"/>
        <v/>
      </c>
      <c r="B341">
        <v>2016</v>
      </c>
      <c r="C341" s="1" t="s">
        <v>2505</v>
      </c>
      <c r="D341" s="1" t="s">
        <v>2506</v>
      </c>
      <c r="E341" s="1" t="s">
        <v>2019</v>
      </c>
      <c r="F341" s="1" t="s">
        <v>35</v>
      </c>
      <c r="G341" s="12">
        <v>22183</v>
      </c>
      <c r="H341" t="str">
        <f>IFERROR(VLOOKUP(F341,'LEAID Match'!$A$2:$B$142,2,FALSE),"")</f>
        <v/>
      </c>
    </row>
    <row r="342" spans="1:8" x14ac:dyDescent="0.2">
      <c r="A342" t="str">
        <f t="shared" si="5"/>
        <v/>
      </c>
      <c r="B342" s="1">
        <v>2017</v>
      </c>
      <c r="C342" s="1" t="s">
        <v>2505</v>
      </c>
      <c r="D342" s="1" t="s">
        <v>2506</v>
      </c>
      <c r="E342" s="1" t="s">
        <v>2019</v>
      </c>
      <c r="F342" s="1" t="s">
        <v>35</v>
      </c>
      <c r="G342" s="47">
        <v>23314</v>
      </c>
      <c r="H342" t="str">
        <f>IFERROR(VLOOKUP(F342,'LEAID Match'!$A$2:$B$142,2,FALSE),"")</f>
        <v/>
      </c>
    </row>
    <row r="343" spans="1:8" x14ac:dyDescent="0.2">
      <c r="A343" t="str">
        <f t="shared" si="5"/>
        <v/>
      </c>
      <c r="B343" s="1">
        <v>2018</v>
      </c>
      <c r="C343" s="1" t="s">
        <v>2505</v>
      </c>
      <c r="D343" s="1" t="s">
        <v>2506</v>
      </c>
      <c r="E343" s="1" t="s">
        <v>2019</v>
      </c>
      <c r="F343" s="1" t="s">
        <v>35</v>
      </c>
      <c r="G343" s="6">
        <v>23912</v>
      </c>
      <c r="H343" t="str">
        <f>IFERROR(VLOOKUP(F343,'LEAID Match'!$A$2:$B$142,2,FALSE),"")</f>
        <v/>
      </c>
    </row>
    <row r="344" spans="1:8" x14ac:dyDescent="0.2">
      <c r="A344" t="str">
        <f t="shared" si="5"/>
        <v/>
      </c>
      <c r="B344" s="1">
        <v>2019</v>
      </c>
      <c r="C344" s="1" t="s">
        <v>2505</v>
      </c>
      <c r="D344" s="1" t="s">
        <v>2506</v>
      </c>
      <c r="E344" s="1" t="s">
        <v>2019</v>
      </c>
      <c r="F344" s="1" t="s">
        <v>35</v>
      </c>
      <c r="G344" s="6">
        <v>24743</v>
      </c>
      <c r="H344" t="str">
        <f>IFERROR(VLOOKUP(F344,'LEAID Match'!$A$2:$B$142,2,FALSE),"")</f>
        <v/>
      </c>
    </row>
    <row r="345" spans="1:8" x14ac:dyDescent="0.2">
      <c r="A345" t="str">
        <f t="shared" si="5"/>
        <v/>
      </c>
      <c r="B345" s="1">
        <v>2020</v>
      </c>
      <c r="C345" s="1" t="s">
        <v>2505</v>
      </c>
      <c r="D345" s="1" t="s">
        <v>2506</v>
      </c>
      <c r="E345" s="1" t="s">
        <v>2019</v>
      </c>
      <c r="F345" s="1" t="s">
        <v>35</v>
      </c>
      <c r="G345" s="6">
        <v>29282</v>
      </c>
      <c r="H345" t="str">
        <f>IFERROR(VLOOKUP(F345,'LEAID Match'!$A$2:$B$142,2,FALSE),"")</f>
        <v/>
      </c>
    </row>
    <row r="346" spans="1:8" x14ac:dyDescent="0.2">
      <c r="A346" t="str">
        <f t="shared" si="5"/>
        <v/>
      </c>
      <c r="B346" s="1">
        <v>2021</v>
      </c>
      <c r="C346" s="1" t="s">
        <v>2505</v>
      </c>
      <c r="D346" s="1" t="s">
        <v>2506</v>
      </c>
      <c r="E346" s="1" t="s">
        <v>2019</v>
      </c>
      <c r="F346" s="1" t="s">
        <v>35</v>
      </c>
      <c r="G346" s="6">
        <v>29544</v>
      </c>
      <c r="H346" t="str">
        <f>IFERROR(VLOOKUP(F346,'LEAID Match'!$A$2:$B$142,2,FALSE),"")</f>
        <v/>
      </c>
    </row>
    <row r="347" spans="1:8" x14ac:dyDescent="0.2">
      <c r="A347" t="str">
        <f t="shared" si="5"/>
        <v/>
      </c>
      <c r="B347" s="1">
        <v>2022</v>
      </c>
      <c r="C347" s="1" t="s">
        <v>2505</v>
      </c>
      <c r="D347" s="1" t="s">
        <v>2506</v>
      </c>
      <c r="E347" s="1" t="s">
        <v>2019</v>
      </c>
      <c r="F347" s="1" t="s">
        <v>35</v>
      </c>
      <c r="G347" s="6">
        <v>31661</v>
      </c>
      <c r="H347" t="str">
        <f>IFERROR(VLOOKUP(F347,'LEAID Match'!$A$2:$B$142,2,FALSE),"")</f>
        <v/>
      </c>
    </row>
    <row r="348" spans="1:8" x14ac:dyDescent="0.2">
      <c r="A348" t="str">
        <f t="shared" si="5"/>
        <v/>
      </c>
      <c r="B348" s="1">
        <v>2023</v>
      </c>
      <c r="C348" s="1" t="s">
        <v>2505</v>
      </c>
      <c r="D348" s="1" t="s">
        <v>2506</v>
      </c>
      <c r="E348" s="1" t="s">
        <v>2019</v>
      </c>
      <c r="F348" s="1" t="s">
        <v>35</v>
      </c>
      <c r="G348" s="6">
        <v>46065</v>
      </c>
      <c r="H348" t="str">
        <f>IFERROR(VLOOKUP(F348,'LEAID Match'!$A$2:$B$142,2,FALSE),"")</f>
        <v/>
      </c>
    </row>
    <row r="349" spans="1:8" x14ac:dyDescent="0.2">
      <c r="A349" t="str">
        <f t="shared" si="5"/>
        <v/>
      </c>
      <c r="B349" s="1">
        <v>2024</v>
      </c>
      <c r="C349" s="1" t="s">
        <v>2505</v>
      </c>
      <c r="D349" s="1" t="s">
        <v>2506</v>
      </c>
      <c r="E349" s="1" t="s">
        <v>2019</v>
      </c>
      <c r="F349" s="1" t="s">
        <v>35</v>
      </c>
      <c r="G349" s="6">
        <v>48840</v>
      </c>
      <c r="H349" t="str">
        <f>IFERROR(VLOOKUP(F349,'LEAID Match'!$A$2:$B$142,2,FALSE),"")</f>
        <v/>
      </c>
    </row>
    <row r="350" spans="1:8" x14ac:dyDescent="0.2">
      <c r="A350" t="str">
        <f t="shared" si="5"/>
        <v/>
      </c>
      <c r="B350" s="1">
        <v>2015</v>
      </c>
      <c r="C350" s="1" t="s">
        <v>2505</v>
      </c>
      <c r="D350" s="1" t="s">
        <v>2506</v>
      </c>
      <c r="E350" s="1" t="s">
        <v>2019</v>
      </c>
      <c r="F350" s="1" t="s">
        <v>36</v>
      </c>
      <c r="G350" s="6">
        <v>851037</v>
      </c>
      <c r="H350" t="str">
        <f>IFERROR(VLOOKUP(F350,'LEAID Match'!$A$2:$B$142,2,FALSE),"")</f>
        <v/>
      </c>
    </row>
    <row r="351" spans="1:8" x14ac:dyDescent="0.2">
      <c r="A351" t="str">
        <f t="shared" si="5"/>
        <v/>
      </c>
      <c r="B351">
        <v>2016</v>
      </c>
      <c r="C351" s="1" t="s">
        <v>2505</v>
      </c>
      <c r="D351" s="1" t="s">
        <v>2506</v>
      </c>
      <c r="E351" s="1" t="s">
        <v>2019</v>
      </c>
      <c r="F351" s="1" t="s">
        <v>36</v>
      </c>
      <c r="G351" s="12">
        <v>963530</v>
      </c>
      <c r="H351" t="str">
        <f>IFERROR(VLOOKUP(F351,'LEAID Match'!$A$2:$B$142,2,FALSE),"")</f>
        <v/>
      </c>
    </row>
    <row r="352" spans="1:8" x14ac:dyDescent="0.2">
      <c r="A352" t="str">
        <f t="shared" si="5"/>
        <v/>
      </c>
      <c r="B352" s="1">
        <v>2017</v>
      </c>
      <c r="C352" s="1" t="s">
        <v>2505</v>
      </c>
      <c r="D352" s="1" t="s">
        <v>2506</v>
      </c>
      <c r="E352" s="1" t="s">
        <v>2019</v>
      </c>
      <c r="F352" s="1" t="s">
        <v>36</v>
      </c>
      <c r="G352" s="47">
        <v>1044528</v>
      </c>
      <c r="H352" t="str">
        <f>IFERROR(VLOOKUP(F352,'LEAID Match'!$A$2:$B$142,2,FALSE),"")</f>
        <v/>
      </c>
    </row>
    <row r="353" spans="1:8" x14ac:dyDescent="0.2">
      <c r="A353" t="str">
        <f t="shared" si="5"/>
        <v/>
      </c>
      <c r="B353" s="1">
        <v>2018</v>
      </c>
      <c r="C353" s="1" t="s">
        <v>2505</v>
      </c>
      <c r="D353" s="1" t="s">
        <v>2506</v>
      </c>
      <c r="E353" s="1" t="s">
        <v>2019</v>
      </c>
      <c r="F353" s="1" t="s">
        <v>36</v>
      </c>
      <c r="G353" s="6">
        <v>981041</v>
      </c>
      <c r="H353" t="str">
        <f>IFERROR(VLOOKUP(F353,'LEAID Match'!$A$2:$B$142,2,FALSE),"")</f>
        <v/>
      </c>
    </row>
    <row r="354" spans="1:8" x14ac:dyDescent="0.2">
      <c r="A354" t="str">
        <f t="shared" si="5"/>
        <v/>
      </c>
      <c r="B354" s="1">
        <v>2019</v>
      </c>
      <c r="C354" s="1" t="s">
        <v>2505</v>
      </c>
      <c r="D354" s="1" t="s">
        <v>2506</v>
      </c>
      <c r="E354" s="1" t="s">
        <v>2019</v>
      </c>
      <c r="F354" s="1" t="s">
        <v>36</v>
      </c>
      <c r="G354" s="6">
        <v>1021679</v>
      </c>
      <c r="H354" t="str">
        <f>IFERROR(VLOOKUP(F354,'LEAID Match'!$A$2:$B$142,2,FALSE),"")</f>
        <v/>
      </c>
    </row>
    <row r="355" spans="1:8" x14ac:dyDescent="0.2">
      <c r="A355" t="str">
        <f t="shared" si="5"/>
        <v/>
      </c>
      <c r="B355" s="1">
        <v>2020</v>
      </c>
      <c r="C355" s="1" t="s">
        <v>2505</v>
      </c>
      <c r="D355" s="1" t="s">
        <v>2506</v>
      </c>
      <c r="E355" s="1" t="s">
        <v>2019</v>
      </c>
      <c r="F355" s="1" t="s">
        <v>36</v>
      </c>
      <c r="G355" s="6">
        <v>1189836</v>
      </c>
      <c r="H355" t="str">
        <f>IFERROR(VLOOKUP(F355,'LEAID Match'!$A$2:$B$142,2,FALSE),"")</f>
        <v/>
      </c>
    </row>
    <row r="356" spans="1:8" x14ac:dyDescent="0.2">
      <c r="A356" t="str">
        <f t="shared" si="5"/>
        <v/>
      </c>
      <c r="B356" s="1">
        <v>2021</v>
      </c>
      <c r="C356" s="1" t="s">
        <v>2505</v>
      </c>
      <c r="D356" s="1" t="s">
        <v>2506</v>
      </c>
      <c r="E356" s="1" t="s">
        <v>2019</v>
      </c>
      <c r="F356" s="1" t="s">
        <v>36</v>
      </c>
      <c r="G356" s="6">
        <v>1244534</v>
      </c>
      <c r="H356" t="str">
        <f>IFERROR(VLOOKUP(F356,'LEAID Match'!$A$2:$B$142,2,FALSE),"")</f>
        <v/>
      </c>
    </row>
    <row r="357" spans="1:8" x14ac:dyDescent="0.2">
      <c r="A357" t="str">
        <f t="shared" si="5"/>
        <v/>
      </c>
      <c r="B357" s="1">
        <v>2022</v>
      </c>
      <c r="C357" s="1" t="s">
        <v>2505</v>
      </c>
      <c r="D357" s="1" t="s">
        <v>2506</v>
      </c>
      <c r="E357" s="1" t="s">
        <v>2019</v>
      </c>
      <c r="F357" s="1" t="s">
        <v>36</v>
      </c>
      <c r="G357" s="6">
        <v>1329370</v>
      </c>
      <c r="H357" t="str">
        <f>IFERROR(VLOOKUP(F357,'LEAID Match'!$A$2:$B$142,2,FALSE),"")</f>
        <v/>
      </c>
    </row>
    <row r="358" spans="1:8" x14ac:dyDescent="0.2">
      <c r="A358" t="str">
        <f t="shared" si="5"/>
        <v/>
      </c>
      <c r="B358" s="1">
        <v>2023</v>
      </c>
      <c r="C358" s="1" t="s">
        <v>2505</v>
      </c>
      <c r="D358" s="1" t="s">
        <v>2506</v>
      </c>
      <c r="E358" s="1" t="s">
        <v>2019</v>
      </c>
      <c r="F358" s="1" t="s">
        <v>36</v>
      </c>
      <c r="G358" s="6">
        <v>1434153</v>
      </c>
      <c r="H358" t="str">
        <f>IFERROR(VLOOKUP(F358,'LEAID Match'!$A$2:$B$142,2,FALSE),"")</f>
        <v/>
      </c>
    </row>
    <row r="359" spans="1:8" x14ac:dyDescent="0.2">
      <c r="A359" t="str">
        <f t="shared" si="5"/>
        <v/>
      </c>
      <c r="B359" s="1">
        <v>2024</v>
      </c>
      <c r="C359" s="1" t="s">
        <v>2505</v>
      </c>
      <c r="D359" s="1" t="s">
        <v>2506</v>
      </c>
      <c r="E359" s="1" t="s">
        <v>2019</v>
      </c>
      <c r="F359" s="1" t="s">
        <v>36</v>
      </c>
      <c r="G359" s="6">
        <v>1548521</v>
      </c>
      <c r="H359" t="str">
        <f>IFERROR(VLOOKUP(F359,'LEAID Match'!$A$2:$B$142,2,FALSE),"")</f>
        <v/>
      </c>
    </row>
    <row r="360" spans="1:8" x14ac:dyDescent="0.2">
      <c r="A360" t="str">
        <f t="shared" si="5"/>
        <v/>
      </c>
      <c r="B360" s="1">
        <v>2015</v>
      </c>
      <c r="C360" s="1" t="s">
        <v>2505</v>
      </c>
      <c r="D360" s="1" t="s">
        <v>2506</v>
      </c>
      <c r="E360" s="1" t="s">
        <v>2019</v>
      </c>
      <c r="F360" s="1" t="s">
        <v>37</v>
      </c>
      <c r="G360" s="6">
        <v>165307</v>
      </c>
      <c r="H360" t="str">
        <f>IFERROR(VLOOKUP(F360,'LEAID Match'!$A$2:$B$142,2,FALSE),"")</f>
        <v/>
      </c>
    </row>
    <row r="361" spans="1:8" x14ac:dyDescent="0.2">
      <c r="A361" t="str">
        <f t="shared" si="5"/>
        <v/>
      </c>
      <c r="B361">
        <v>2016</v>
      </c>
      <c r="C361" s="1" t="s">
        <v>2505</v>
      </c>
      <c r="D361" s="1" t="s">
        <v>2506</v>
      </c>
      <c r="E361" s="1" t="s">
        <v>2019</v>
      </c>
      <c r="F361" s="1" t="s">
        <v>37</v>
      </c>
      <c r="G361" s="12">
        <v>177716</v>
      </c>
      <c r="H361" t="str">
        <f>IFERROR(VLOOKUP(F361,'LEAID Match'!$A$2:$B$142,2,FALSE),"")</f>
        <v/>
      </c>
    </row>
    <row r="362" spans="1:8" x14ac:dyDescent="0.2">
      <c r="A362" t="str">
        <f t="shared" si="5"/>
        <v/>
      </c>
      <c r="B362" s="1">
        <v>2017</v>
      </c>
      <c r="C362" s="1" t="s">
        <v>2505</v>
      </c>
      <c r="D362" s="1" t="s">
        <v>2506</v>
      </c>
      <c r="E362" s="1" t="s">
        <v>2019</v>
      </c>
      <c r="F362" s="1" t="s">
        <v>37</v>
      </c>
      <c r="G362" s="47">
        <v>177650</v>
      </c>
      <c r="H362" t="str">
        <f>IFERROR(VLOOKUP(F362,'LEAID Match'!$A$2:$B$142,2,FALSE),"")</f>
        <v/>
      </c>
    </row>
    <row r="363" spans="1:8" x14ac:dyDescent="0.2">
      <c r="A363" t="str">
        <f t="shared" si="5"/>
        <v/>
      </c>
      <c r="B363" s="1">
        <v>2018</v>
      </c>
      <c r="C363" s="1" t="s">
        <v>2505</v>
      </c>
      <c r="D363" s="1" t="s">
        <v>2506</v>
      </c>
      <c r="E363" s="1" t="s">
        <v>2019</v>
      </c>
      <c r="F363" s="1" t="s">
        <v>37</v>
      </c>
      <c r="G363" s="6">
        <v>180320</v>
      </c>
      <c r="H363" t="str">
        <f>IFERROR(VLOOKUP(F363,'LEAID Match'!$A$2:$B$142,2,FALSE),"")</f>
        <v/>
      </c>
    </row>
    <row r="364" spans="1:8" x14ac:dyDescent="0.2">
      <c r="A364" t="str">
        <f t="shared" si="5"/>
        <v/>
      </c>
      <c r="B364" s="1">
        <v>2019</v>
      </c>
      <c r="C364" s="1" t="s">
        <v>2505</v>
      </c>
      <c r="D364" s="1" t="s">
        <v>2506</v>
      </c>
      <c r="E364" s="1" t="s">
        <v>2019</v>
      </c>
      <c r="F364" s="1" t="s">
        <v>37</v>
      </c>
      <c r="G364" s="6">
        <v>175202</v>
      </c>
      <c r="H364" t="str">
        <f>IFERROR(VLOOKUP(F364,'LEAID Match'!$A$2:$B$142,2,FALSE),"")</f>
        <v/>
      </c>
    </row>
    <row r="365" spans="1:8" x14ac:dyDescent="0.2">
      <c r="A365" t="str">
        <f t="shared" si="5"/>
        <v/>
      </c>
      <c r="B365" s="1">
        <v>2020</v>
      </c>
      <c r="C365" s="1" t="s">
        <v>2505</v>
      </c>
      <c r="D365" s="1" t="s">
        <v>2506</v>
      </c>
      <c r="E365" s="1" t="s">
        <v>2019</v>
      </c>
      <c r="F365" s="1" t="s">
        <v>37</v>
      </c>
      <c r="G365" s="6">
        <v>194296</v>
      </c>
      <c r="H365" t="str">
        <f>IFERROR(VLOOKUP(F365,'LEAID Match'!$A$2:$B$142,2,FALSE),"")</f>
        <v/>
      </c>
    </row>
    <row r="366" spans="1:8" x14ac:dyDescent="0.2">
      <c r="A366" t="str">
        <f t="shared" si="5"/>
        <v/>
      </c>
      <c r="B366" s="1">
        <v>2021</v>
      </c>
      <c r="C366" s="1" t="s">
        <v>2505</v>
      </c>
      <c r="D366" s="1" t="s">
        <v>2506</v>
      </c>
      <c r="E366" s="1" t="s">
        <v>2019</v>
      </c>
      <c r="F366" s="1" t="s">
        <v>37</v>
      </c>
      <c r="G366" s="6">
        <v>189602</v>
      </c>
      <c r="H366" t="str">
        <f>IFERROR(VLOOKUP(F366,'LEAID Match'!$A$2:$B$142,2,FALSE),"")</f>
        <v/>
      </c>
    </row>
    <row r="367" spans="1:8" x14ac:dyDescent="0.2">
      <c r="A367" t="str">
        <f t="shared" si="5"/>
        <v/>
      </c>
      <c r="B367" s="1">
        <v>2022</v>
      </c>
      <c r="C367" s="1" t="s">
        <v>2505</v>
      </c>
      <c r="D367" s="1" t="s">
        <v>2506</v>
      </c>
      <c r="E367" s="1" t="s">
        <v>2019</v>
      </c>
      <c r="F367" s="1" t="s">
        <v>37</v>
      </c>
      <c r="G367" s="6">
        <v>196676</v>
      </c>
      <c r="H367" t="str">
        <f>IFERROR(VLOOKUP(F367,'LEAID Match'!$A$2:$B$142,2,FALSE),"")</f>
        <v/>
      </c>
    </row>
    <row r="368" spans="1:8" x14ac:dyDescent="0.2">
      <c r="A368" t="str">
        <f t="shared" si="5"/>
        <v/>
      </c>
      <c r="B368" s="1">
        <v>2023</v>
      </c>
      <c r="C368" s="1" t="s">
        <v>2505</v>
      </c>
      <c r="D368" s="1" t="s">
        <v>2506</v>
      </c>
      <c r="E368" s="1" t="s">
        <v>2019</v>
      </c>
      <c r="F368" s="1" t="s">
        <v>37</v>
      </c>
      <c r="G368" s="6">
        <v>218607</v>
      </c>
      <c r="H368" t="str">
        <f>IFERROR(VLOOKUP(F368,'LEAID Match'!$A$2:$B$142,2,FALSE),"")</f>
        <v/>
      </c>
    </row>
    <row r="369" spans="1:8" x14ac:dyDescent="0.2">
      <c r="A369" t="str">
        <f t="shared" si="5"/>
        <v/>
      </c>
      <c r="B369" s="1">
        <v>2024</v>
      </c>
      <c r="C369" s="1" t="s">
        <v>2505</v>
      </c>
      <c r="D369" s="1" t="s">
        <v>2506</v>
      </c>
      <c r="E369" s="1" t="s">
        <v>2019</v>
      </c>
      <c r="F369" s="1" t="s">
        <v>37</v>
      </c>
      <c r="G369" s="6">
        <v>231146</v>
      </c>
      <c r="H369" t="str">
        <f>IFERROR(VLOOKUP(F369,'LEAID Match'!$A$2:$B$142,2,FALSE),"")</f>
        <v/>
      </c>
    </row>
    <row r="370" spans="1:8" x14ac:dyDescent="0.2">
      <c r="A370" t="str">
        <f t="shared" si="5"/>
        <v/>
      </c>
      <c r="B370" s="1">
        <v>2015</v>
      </c>
      <c r="C370" s="1" t="s">
        <v>2505</v>
      </c>
      <c r="D370" s="1" t="s">
        <v>2506</v>
      </c>
      <c r="E370" s="1" t="s">
        <v>2019</v>
      </c>
      <c r="F370" s="1" t="s">
        <v>38</v>
      </c>
      <c r="G370" s="6">
        <v>622015</v>
      </c>
      <c r="H370" t="str">
        <f>IFERROR(VLOOKUP(F370,'LEAID Match'!$A$2:$B$142,2,FALSE),"")</f>
        <v/>
      </c>
    </row>
    <row r="371" spans="1:8" x14ac:dyDescent="0.2">
      <c r="A371" t="str">
        <f t="shared" si="5"/>
        <v/>
      </c>
      <c r="B371">
        <v>2016</v>
      </c>
      <c r="C371" s="1" t="s">
        <v>2505</v>
      </c>
      <c r="D371" s="1" t="s">
        <v>2506</v>
      </c>
      <c r="E371" s="1" t="s">
        <v>2019</v>
      </c>
      <c r="F371" s="1" t="s">
        <v>38</v>
      </c>
      <c r="G371" s="12">
        <v>618526</v>
      </c>
      <c r="H371" t="str">
        <f>IFERROR(VLOOKUP(F371,'LEAID Match'!$A$2:$B$142,2,FALSE),"")</f>
        <v/>
      </c>
    </row>
    <row r="372" spans="1:8" x14ac:dyDescent="0.2">
      <c r="A372" t="str">
        <f t="shared" si="5"/>
        <v/>
      </c>
      <c r="B372" s="1">
        <v>2017</v>
      </c>
      <c r="C372" s="1" t="s">
        <v>2505</v>
      </c>
      <c r="D372" s="1" t="s">
        <v>2506</v>
      </c>
      <c r="E372" s="1" t="s">
        <v>2019</v>
      </c>
      <c r="F372" s="1" t="s">
        <v>38</v>
      </c>
      <c r="G372" s="47">
        <v>607943</v>
      </c>
      <c r="H372" t="str">
        <f>IFERROR(VLOOKUP(F372,'LEAID Match'!$A$2:$B$142,2,FALSE),"")</f>
        <v/>
      </c>
    </row>
    <row r="373" spans="1:8" x14ac:dyDescent="0.2">
      <c r="A373" t="str">
        <f t="shared" si="5"/>
        <v/>
      </c>
      <c r="B373" s="1">
        <v>2018</v>
      </c>
      <c r="C373" s="1" t="s">
        <v>2505</v>
      </c>
      <c r="D373" s="1" t="s">
        <v>2506</v>
      </c>
      <c r="E373" s="1" t="s">
        <v>2019</v>
      </c>
      <c r="F373" s="1" t="s">
        <v>38</v>
      </c>
      <c r="G373" s="6">
        <v>628296</v>
      </c>
      <c r="H373" t="str">
        <f>IFERROR(VLOOKUP(F373,'LEAID Match'!$A$2:$B$142,2,FALSE),"")</f>
        <v/>
      </c>
    </row>
    <row r="374" spans="1:8" x14ac:dyDescent="0.2">
      <c r="A374" t="str">
        <f t="shared" si="5"/>
        <v/>
      </c>
      <c r="B374" s="1">
        <v>2019</v>
      </c>
      <c r="C374" s="1" t="s">
        <v>2505</v>
      </c>
      <c r="D374" s="1" t="s">
        <v>2506</v>
      </c>
      <c r="E374" s="1" t="s">
        <v>2019</v>
      </c>
      <c r="F374" s="1" t="s">
        <v>38</v>
      </c>
      <c r="G374" s="6">
        <v>627916</v>
      </c>
      <c r="H374" t="str">
        <f>IFERROR(VLOOKUP(F374,'LEAID Match'!$A$2:$B$142,2,FALSE),"")</f>
        <v/>
      </c>
    </row>
    <row r="375" spans="1:8" x14ac:dyDescent="0.2">
      <c r="A375" t="str">
        <f t="shared" si="5"/>
        <v/>
      </c>
      <c r="B375" s="1">
        <v>2020</v>
      </c>
      <c r="C375" s="1" t="s">
        <v>2505</v>
      </c>
      <c r="D375" s="1" t="s">
        <v>2506</v>
      </c>
      <c r="E375" s="1" t="s">
        <v>2019</v>
      </c>
      <c r="F375" s="1" t="s">
        <v>38</v>
      </c>
      <c r="G375" s="6">
        <v>712837</v>
      </c>
      <c r="H375" t="str">
        <f>IFERROR(VLOOKUP(F375,'LEAID Match'!$A$2:$B$142,2,FALSE),"")</f>
        <v/>
      </c>
    </row>
    <row r="376" spans="1:8" x14ac:dyDescent="0.2">
      <c r="A376" t="str">
        <f t="shared" si="5"/>
        <v/>
      </c>
      <c r="B376" s="1">
        <v>2021</v>
      </c>
      <c r="C376" s="1" t="s">
        <v>2505</v>
      </c>
      <c r="D376" s="1" t="s">
        <v>2506</v>
      </c>
      <c r="E376" s="1" t="s">
        <v>2019</v>
      </c>
      <c r="F376" s="1" t="s">
        <v>38</v>
      </c>
      <c r="G376" s="6">
        <v>747531</v>
      </c>
      <c r="H376" t="str">
        <f>IFERROR(VLOOKUP(F376,'LEAID Match'!$A$2:$B$142,2,FALSE),"")</f>
        <v/>
      </c>
    </row>
    <row r="377" spans="1:8" x14ac:dyDescent="0.2">
      <c r="A377" t="str">
        <f t="shared" si="5"/>
        <v/>
      </c>
      <c r="B377" s="1">
        <v>2022</v>
      </c>
      <c r="C377" s="1" t="s">
        <v>2505</v>
      </c>
      <c r="D377" s="1" t="s">
        <v>2506</v>
      </c>
      <c r="E377" s="1" t="s">
        <v>2019</v>
      </c>
      <c r="F377" s="1" t="s">
        <v>38</v>
      </c>
      <c r="G377" s="6">
        <v>785262</v>
      </c>
      <c r="H377" t="str">
        <f>IFERROR(VLOOKUP(F377,'LEAID Match'!$A$2:$B$142,2,FALSE),"")</f>
        <v/>
      </c>
    </row>
    <row r="378" spans="1:8" x14ac:dyDescent="0.2">
      <c r="A378" t="str">
        <f t="shared" si="5"/>
        <v/>
      </c>
      <c r="B378" s="1">
        <v>2023</v>
      </c>
      <c r="C378" s="1" t="s">
        <v>2505</v>
      </c>
      <c r="D378" s="1" t="s">
        <v>2506</v>
      </c>
      <c r="E378" s="1" t="s">
        <v>2019</v>
      </c>
      <c r="F378" s="1" t="s">
        <v>38</v>
      </c>
      <c r="G378" s="6">
        <v>892288</v>
      </c>
      <c r="H378" t="str">
        <f>IFERROR(VLOOKUP(F378,'LEAID Match'!$A$2:$B$142,2,FALSE),"")</f>
        <v/>
      </c>
    </row>
    <row r="379" spans="1:8" x14ac:dyDescent="0.2">
      <c r="A379" t="str">
        <f t="shared" si="5"/>
        <v/>
      </c>
      <c r="B379" s="1">
        <v>2024</v>
      </c>
      <c r="C379" s="1" t="s">
        <v>2505</v>
      </c>
      <c r="D379" s="1" t="s">
        <v>2506</v>
      </c>
      <c r="E379" s="1" t="s">
        <v>2019</v>
      </c>
      <c r="F379" s="1" t="s">
        <v>38</v>
      </c>
      <c r="G379" s="6">
        <v>981084</v>
      </c>
      <c r="H379" t="str">
        <f>IFERROR(VLOOKUP(F379,'LEAID Match'!$A$2:$B$142,2,FALSE),"")</f>
        <v/>
      </c>
    </row>
    <row r="380" spans="1:8" x14ac:dyDescent="0.2">
      <c r="A380">
        <f t="shared" si="5"/>
        <v>2800570</v>
      </c>
      <c r="B380" s="1">
        <v>2015</v>
      </c>
      <c r="C380" s="1" t="s">
        <v>2505</v>
      </c>
      <c r="D380" s="1" t="s">
        <v>2506</v>
      </c>
      <c r="E380" s="1" t="s">
        <v>2019</v>
      </c>
      <c r="F380" s="1" t="s">
        <v>863</v>
      </c>
      <c r="G380" s="6">
        <v>1649957</v>
      </c>
      <c r="H380">
        <f>IFERROR(VLOOKUP(F380,'LEAID Match'!$A$2:$B$142,2,FALSE),"")</f>
        <v>2800570</v>
      </c>
    </row>
    <row r="381" spans="1:8" x14ac:dyDescent="0.2">
      <c r="A381">
        <f t="shared" si="5"/>
        <v>2800570</v>
      </c>
      <c r="B381">
        <v>2016</v>
      </c>
      <c r="C381" s="1" t="s">
        <v>2505</v>
      </c>
      <c r="D381" s="1" t="s">
        <v>2506</v>
      </c>
      <c r="E381" s="1" t="s">
        <v>2019</v>
      </c>
      <c r="F381" s="1" t="s">
        <v>863</v>
      </c>
      <c r="G381" s="12">
        <v>1651368</v>
      </c>
      <c r="H381">
        <f>IFERROR(VLOOKUP(F381,'LEAID Match'!$A$2:$B$142,2,FALSE),"")</f>
        <v>2800570</v>
      </c>
    </row>
    <row r="382" spans="1:8" x14ac:dyDescent="0.2">
      <c r="A382">
        <f t="shared" si="5"/>
        <v>2800570</v>
      </c>
      <c r="B382" s="1">
        <v>2017</v>
      </c>
      <c r="C382" s="1" t="s">
        <v>2505</v>
      </c>
      <c r="D382" s="1" t="s">
        <v>2506</v>
      </c>
      <c r="E382" s="1" t="s">
        <v>2019</v>
      </c>
      <c r="F382" s="1" t="s">
        <v>863</v>
      </c>
      <c r="G382" s="47">
        <v>1665640</v>
      </c>
      <c r="H382">
        <f>IFERROR(VLOOKUP(F382,'LEAID Match'!$A$2:$B$142,2,FALSE),"")</f>
        <v>2800570</v>
      </c>
    </row>
    <row r="383" spans="1:8" x14ac:dyDescent="0.2">
      <c r="A383">
        <f t="shared" si="5"/>
        <v>2800570</v>
      </c>
      <c r="B383" s="1">
        <v>2018</v>
      </c>
      <c r="C383" s="1" t="s">
        <v>2505</v>
      </c>
      <c r="D383" s="1" t="s">
        <v>2506</v>
      </c>
      <c r="E383" s="1" t="s">
        <v>2019</v>
      </c>
      <c r="F383" s="1" t="s">
        <v>863</v>
      </c>
      <c r="G383" s="6">
        <v>1621401</v>
      </c>
      <c r="H383">
        <f>IFERROR(VLOOKUP(F383,'LEAID Match'!$A$2:$B$142,2,FALSE),"")</f>
        <v>2800570</v>
      </c>
    </row>
    <row r="384" spans="1:8" x14ac:dyDescent="0.2">
      <c r="A384">
        <f t="shared" si="5"/>
        <v>2800570</v>
      </c>
      <c r="B384" s="1">
        <v>2019</v>
      </c>
      <c r="C384" s="1" t="s">
        <v>2505</v>
      </c>
      <c r="D384" s="1" t="s">
        <v>2506</v>
      </c>
      <c r="E384" s="1" t="s">
        <v>2019</v>
      </c>
      <c r="F384" s="1" t="s">
        <v>863</v>
      </c>
      <c r="G384" s="6">
        <v>1684809</v>
      </c>
      <c r="H384">
        <f>IFERROR(VLOOKUP(F384,'LEAID Match'!$A$2:$B$142,2,FALSE),"")</f>
        <v>2800570</v>
      </c>
    </row>
    <row r="385" spans="1:8" x14ac:dyDescent="0.2">
      <c r="A385">
        <f t="shared" si="5"/>
        <v>2800570</v>
      </c>
      <c r="B385" s="1">
        <v>2020</v>
      </c>
      <c r="C385" s="1" t="s">
        <v>2505</v>
      </c>
      <c r="D385" s="1" t="s">
        <v>2506</v>
      </c>
      <c r="E385" s="1" t="s">
        <v>2019</v>
      </c>
      <c r="F385" s="1" t="s">
        <v>863</v>
      </c>
      <c r="G385" s="6">
        <v>2009135</v>
      </c>
      <c r="H385">
        <f>IFERROR(VLOOKUP(F385,'LEAID Match'!$A$2:$B$142,2,FALSE),"")</f>
        <v>2800570</v>
      </c>
    </row>
    <row r="386" spans="1:8" x14ac:dyDescent="0.2">
      <c r="A386">
        <f t="shared" si="5"/>
        <v>2800570</v>
      </c>
      <c r="B386" s="1">
        <v>2021</v>
      </c>
      <c r="C386" s="1" t="s">
        <v>2505</v>
      </c>
      <c r="D386" s="1" t="s">
        <v>2506</v>
      </c>
      <c r="E386" s="1" t="s">
        <v>2019</v>
      </c>
      <c r="F386" s="1" t="s">
        <v>863</v>
      </c>
      <c r="G386" s="6">
        <v>2123845</v>
      </c>
      <c r="H386">
        <f>IFERROR(VLOOKUP(F386,'LEAID Match'!$A$2:$B$142,2,FALSE),"")</f>
        <v>2800570</v>
      </c>
    </row>
    <row r="387" spans="1:8" x14ac:dyDescent="0.2">
      <c r="A387">
        <f t="shared" ref="A387:A450" si="6">H387</f>
        <v>2800570</v>
      </c>
      <c r="B387" s="1">
        <v>2022</v>
      </c>
      <c r="C387" s="1" t="s">
        <v>2505</v>
      </c>
      <c r="D387" s="1" t="s">
        <v>2506</v>
      </c>
      <c r="E387" s="1" t="s">
        <v>2019</v>
      </c>
      <c r="F387" s="1" t="s">
        <v>863</v>
      </c>
      <c r="G387" s="6">
        <v>2316071</v>
      </c>
      <c r="H387">
        <f>IFERROR(VLOOKUP(F387,'LEAID Match'!$A$2:$B$142,2,FALSE),"")</f>
        <v>2800570</v>
      </c>
    </row>
    <row r="388" spans="1:8" x14ac:dyDescent="0.2">
      <c r="A388">
        <f t="shared" si="6"/>
        <v>2800570</v>
      </c>
      <c r="B388" s="1">
        <v>2023</v>
      </c>
      <c r="C388" s="1" t="s">
        <v>2505</v>
      </c>
      <c r="D388" s="1" t="s">
        <v>2506</v>
      </c>
      <c r="E388" s="1" t="s">
        <v>2019</v>
      </c>
      <c r="F388" s="1" t="s">
        <v>863</v>
      </c>
      <c r="G388" s="6">
        <v>2460151</v>
      </c>
      <c r="H388">
        <f>IFERROR(VLOOKUP(F388,'LEAID Match'!$A$2:$B$142,2,FALSE),"")</f>
        <v>2800570</v>
      </c>
    </row>
    <row r="389" spans="1:8" x14ac:dyDescent="0.2">
      <c r="A389">
        <f t="shared" si="6"/>
        <v>2800570</v>
      </c>
      <c r="B389" s="1">
        <v>2024</v>
      </c>
      <c r="C389" s="1" t="s">
        <v>2505</v>
      </c>
      <c r="D389" s="1" t="s">
        <v>2506</v>
      </c>
      <c r="E389" s="1" t="s">
        <v>2019</v>
      </c>
      <c r="F389" s="1" t="s">
        <v>863</v>
      </c>
      <c r="G389" s="6">
        <v>2498417</v>
      </c>
      <c r="H389">
        <f>IFERROR(VLOOKUP(F389,'LEAID Match'!$A$2:$B$142,2,FALSE),"")</f>
        <v>2800570</v>
      </c>
    </row>
    <row r="390" spans="1:8" x14ac:dyDescent="0.2">
      <c r="A390" t="str">
        <f t="shared" si="6"/>
        <v/>
      </c>
      <c r="B390" s="1">
        <v>2015</v>
      </c>
      <c r="C390" s="1" t="s">
        <v>2505</v>
      </c>
      <c r="D390" s="1" t="s">
        <v>2506</v>
      </c>
      <c r="E390" s="1" t="s">
        <v>2019</v>
      </c>
      <c r="F390" s="1" t="s">
        <v>40</v>
      </c>
      <c r="G390" s="6">
        <v>34258</v>
      </c>
      <c r="H390" t="str">
        <f>IFERROR(VLOOKUP(F390,'LEAID Match'!$A$2:$B$142,2,FALSE),"")</f>
        <v/>
      </c>
    </row>
    <row r="391" spans="1:8" x14ac:dyDescent="0.2">
      <c r="A391" t="str">
        <f t="shared" si="6"/>
        <v/>
      </c>
      <c r="B391">
        <v>2016</v>
      </c>
      <c r="C391" s="1" t="s">
        <v>2505</v>
      </c>
      <c r="D391" s="1" t="s">
        <v>2506</v>
      </c>
      <c r="E391" s="1" t="s">
        <v>2019</v>
      </c>
      <c r="F391" s="1" t="s">
        <v>40</v>
      </c>
      <c r="G391" s="12">
        <v>35815</v>
      </c>
      <c r="H391" t="str">
        <f>IFERROR(VLOOKUP(F391,'LEAID Match'!$A$2:$B$142,2,FALSE),"")</f>
        <v/>
      </c>
    </row>
    <row r="392" spans="1:8" x14ac:dyDescent="0.2">
      <c r="A392" t="str">
        <f t="shared" si="6"/>
        <v/>
      </c>
      <c r="B392" s="1">
        <v>2017</v>
      </c>
      <c r="C392" s="1" t="s">
        <v>2505</v>
      </c>
      <c r="D392" s="1" t="s">
        <v>2506</v>
      </c>
      <c r="E392" s="1" t="s">
        <v>2019</v>
      </c>
      <c r="F392" s="1" t="s">
        <v>40</v>
      </c>
      <c r="G392" s="49">
        <v>37987</v>
      </c>
      <c r="H392" t="str">
        <f>IFERROR(VLOOKUP(F392,'LEAID Match'!$A$2:$B$142,2,FALSE),"")</f>
        <v/>
      </c>
    </row>
    <row r="393" spans="1:8" x14ac:dyDescent="0.2">
      <c r="A393" t="str">
        <f t="shared" si="6"/>
        <v/>
      </c>
      <c r="B393" s="1">
        <v>2018</v>
      </c>
      <c r="C393" s="1" t="s">
        <v>2505</v>
      </c>
      <c r="D393" s="1" t="s">
        <v>2506</v>
      </c>
      <c r="E393" s="1" t="s">
        <v>2019</v>
      </c>
      <c r="F393" s="1" t="s">
        <v>40</v>
      </c>
      <c r="G393" s="6">
        <v>41589</v>
      </c>
      <c r="H393" t="str">
        <f>IFERROR(VLOOKUP(F393,'LEAID Match'!$A$2:$B$142,2,FALSE),"")</f>
        <v/>
      </c>
    </row>
    <row r="394" spans="1:8" x14ac:dyDescent="0.2">
      <c r="A394" t="str">
        <f t="shared" si="6"/>
        <v/>
      </c>
      <c r="B394" s="1">
        <v>2019</v>
      </c>
      <c r="C394" s="1" t="s">
        <v>2505</v>
      </c>
      <c r="D394" s="1" t="s">
        <v>2506</v>
      </c>
      <c r="E394" s="1" t="s">
        <v>2019</v>
      </c>
      <c r="F394" s="1" t="s">
        <v>40</v>
      </c>
      <c r="G394" s="6">
        <v>47808</v>
      </c>
      <c r="H394" t="str">
        <f>IFERROR(VLOOKUP(F394,'LEAID Match'!$A$2:$B$142,2,FALSE),"")</f>
        <v/>
      </c>
    </row>
    <row r="395" spans="1:8" x14ac:dyDescent="0.2">
      <c r="A395" t="str">
        <f t="shared" si="6"/>
        <v/>
      </c>
      <c r="B395" s="1">
        <v>2020</v>
      </c>
      <c r="C395" s="1" t="s">
        <v>2505</v>
      </c>
      <c r="D395" s="1" t="s">
        <v>2506</v>
      </c>
      <c r="E395" s="1" t="s">
        <v>2019</v>
      </c>
      <c r="F395" s="1" t="s">
        <v>40</v>
      </c>
      <c r="G395" s="6">
        <v>53293</v>
      </c>
      <c r="H395" t="str">
        <f>IFERROR(VLOOKUP(F395,'LEAID Match'!$A$2:$B$142,2,FALSE),"")</f>
        <v/>
      </c>
    </row>
    <row r="396" spans="1:8" x14ac:dyDescent="0.2">
      <c r="A396" t="str">
        <f t="shared" si="6"/>
        <v/>
      </c>
      <c r="B396" s="1">
        <v>2021</v>
      </c>
      <c r="C396" s="1" t="s">
        <v>2505</v>
      </c>
      <c r="D396" s="1" t="s">
        <v>2506</v>
      </c>
      <c r="E396" s="1" t="s">
        <v>2019</v>
      </c>
      <c r="F396" s="1" t="s">
        <v>40</v>
      </c>
      <c r="G396" s="6">
        <v>56890</v>
      </c>
      <c r="H396" t="str">
        <f>IFERROR(VLOOKUP(F396,'LEAID Match'!$A$2:$B$142,2,FALSE),"")</f>
        <v/>
      </c>
    </row>
    <row r="397" spans="1:8" x14ac:dyDescent="0.2">
      <c r="A397" t="str">
        <f t="shared" si="6"/>
        <v/>
      </c>
      <c r="B397" s="1">
        <v>2022</v>
      </c>
      <c r="C397" s="1" t="s">
        <v>2505</v>
      </c>
      <c r="D397" s="1" t="s">
        <v>2506</v>
      </c>
      <c r="E397" s="1" t="s">
        <v>2019</v>
      </c>
      <c r="F397" s="1" t="s">
        <v>40</v>
      </c>
      <c r="G397" s="6">
        <v>54498</v>
      </c>
      <c r="H397" t="str">
        <f>IFERROR(VLOOKUP(F397,'LEAID Match'!$A$2:$B$142,2,FALSE),"")</f>
        <v/>
      </c>
    </row>
    <row r="398" spans="1:8" x14ac:dyDescent="0.2">
      <c r="A398" t="str">
        <f t="shared" si="6"/>
        <v/>
      </c>
      <c r="B398" s="1">
        <v>2023</v>
      </c>
      <c r="C398" s="1" t="s">
        <v>2505</v>
      </c>
      <c r="D398" s="1" t="s">
        <v>2506</v>
      </c>
      <c r="E398" s="1" t="s">
        <v>2019</v>
      </c>
      <c r="F398" s="1" t="s">
        <v>40</v>
      </c>
      <c r="G398" s="6">
        <v>54683</v>
      </c>
      <c r="H398" t="str">
        <f>IFERROR(VLOOKUP(F398,'LEAID Match'!$A$2:$B$142,2,FALSE),"")</f>
        <v/>
      </c>
    </row>
    <row r="399" spans="1:8" x14ac:dyDescent="0.2">
      <c r="A399" t="str">
        <f t="shared" si="6"/>
        <v/>
      </c>
      <c r="B399" s="1">
        <v>2024</v>
      </c>
      <c r="C399" s="1" t="s">
        <v>2505</v>
      </c>
      <c r="D399" s="1" t="s">
        <v>2506</v>
      </c>
      <c r="E399" s="1" t="s">
        <v>2019</v>
      </c>
      <c r="F399" s="1" t="s">
        <v>40</v>
      </c>
      <c r="G399" s="6">
        <v>67342</v>
      </c>
      <c r="H399" t="str">
        <f>IFERROR(VLOOKUP(F399,'LEAID Match'!$A$2:$B$142,2,FALSE),"")</f>
        <v/>
      </c>
    </row>
    <row r="400" spans="1:8" x14ac:dyDescent="0.2">
      <c r="A400" t="str">
        <f t="shared" si="6"/>
        <v/>
      </c>
      <c r="B400" s="1">
        <v>2015</v>
      </c>
      <c r="C400" s="1" t="s">
        <v>2505</v>
      </c>
      <c r="D400" s="1" t="s">
        <v>2506</v>
      </c>
      <c r="E400" s="1" t="s">
        <v>2019</v>
      </c>
      <c r="F400" s="1" t="s">
        <v>41</v>
      </c>
      <c r="G400" s="6">
        <v>17620</v>
      </c>
      <c r="H400" t="str">
        <f>IFERROR(VLOOKUP(F400,'LEAID Match'!$A$2:$B$142,2,FALSE),"")</f>
        <v/>
      </c>
    </row>
    <row r="401" spans="1:8" x14ac:dyDescent="0.2">
      <c r="A401" t="str">
        <f t="shared" si="6"/>
        <v/>
      </c>
      <c r="B401">
        <v>2016</v>
      </c>
      <c r="C401" s="1" t="s">
        <v>2505</v>
      </c>
      <c r="D401" s="1" t="s">
        <v>2506</v>
      </c>
      <c r="E401" s="1" t="s">
        <v>2019</v>
      </c>
      <c r="F401" s="1" t="s">
        <v>41</v>
      </c>
      <c r="G401" s="12">
        <v>17620</v>
      </c>
      <c r="H401" t="str">
        <f>IFERROR(VLOOKUP(F401,'LEAID Match'!$A$2:$B$142,2,FALSE),"")</f>
        <v/>
      </c>
    </row>
    <row r="402" spans="1:8" x14ac:dyDescent="0.2">
      <c r="A402" t="str">
        <f t="shared" si="6"/>
        <v/>
      </c>
      <c r="B402" s="1">
        <v>2017</v>
      </c>
      <c r="C402" s="1" t="s">
        <v>2505</v>
      </c>
      <c r="D402" s="1" t="s">
        <v>2506</v>
      </c>
      <c r="E402" s="1" t="s">
        <v>2019</v>
      </c>
      <c r="F402" s="1" t="s">
        <v>41</v>
      </c>
      <c r="G402" s="49">
        <v>18331</v>
      </c>
      <c r="H402" t="str">
        <f>IFERROR(VLOOKUP(F402,'LEAID Match'!$A$2:$B$142,2,FALSE),"")</f>
        <v/>
      </c>
    </row>
    <row r="403" spans="1:8" x14ac:dyDescent="0.2">
      <c r="A403" t="str">
        <f t="shared" si="6"/>
        <v/>
      </c>
      <c r="B403" s="1">
        <v>2018</v>
      </c>
      <c r="C403" s="1" t="s">
        <v>2505</v>
      </c>
      <c r="D403" s="1" t="s">
        <v>2506</v>
      </c>
      <c r="E403" s="1" t="s">
        <v>2019</v>
      </c>
      <c r="F403" s="1" t="s">
        <v>41</v>
      </c>
      <c r="G403" s="6">
        <v>18331</v>
      </c>
      <c r="H403" t="str">
        <f>IFERROR(VLOOKUP(F403,'LEAID Match'!$A$2:$B$142,2,FALSE),"")</f>
        <v/>
      </c>
    </row>
    <row r="404" spans="1:8" x14ac:dyDescent="0.2">
      <c r="A404" t="str">
        <f t="shared" si="6"/>
        <v/>
      </c>
      <c r="B404" s="1">
        <v>2019</v>
      </c>
      <c r="C404" s="1" t="s">
        <v>2505</v>
      </c>
      <c r="D404" s="1" t="s">
        <v>2506</v>
      </c>
      <c r="E404" s="1" t="s">
        <v>2019</v>
      </c>
      <c r="F404" s="1" t="s">
        <v>41</v>
      </c>
      <c r="G404" s="6">
        <v>18331</v>
      </c>
      <c r="H404" t="str">
        <f>IFERROR(VLOOKUP(F404,'LEAID Match'!$A$2:$B$142,2,FALSE),"")</f>
        <v/>
      </c>
    </row>
    <row r="405" spans="1:8" x14ac:dyDescent="0.2">
      <c r="A405" t="str">
        <f t="shared" si="6"/>
        <v/>
      </c>
      <c r="B405" s="1">
        <v>2020</v>
      </c>
      <c r="C405" s="1" t="s">
        <v>2505</v>
      </c>
      <c r="D405" s="1" t="s">
        <v>2506</v>
      </c>
      <c r="E405" s="1" t="s">
        <v>2019</v>
      </c>
      <c r="F405" s="1" t="s">
        <v>41</v>
      </c>
      <c r="G405" s="6">
        <v>20825</v>
      </c>
      <c r="H405" t="str">
        <f>IFERROR(VLOOKUP(F405,'LEAID Match'!$A$2:$B$142,2,FALSE),"")</f>
        <v/>
      </c>
    </row>
    <row r="406" spans="1:8" x14ac:dyDescent="0.2">
      <c r="A406" t="str">
        <f t="shared" si="6"/>
        <v/>
      </c>
      <c r="B406" s="1">
        <v>2021</v>
      </c>
      <c r="C406" s="1" t="s">
        <v>2505</v>
      </c>
      <c r="D406" s="1" t="s">
        <v>2506</v>
      </c>
      <c r="E406" s="1" t="s">
        <v>2019</v>
      </c>
      <c r="F406" s="1" t="s">
        <v>41</v>
      </c>
      <c r="G406" s="6">
        <v>16754</v>
      </c>
      <c r="H406" t="str">
        <f>IFERROR(VLOOKUP(F406,'LEAID Match'!$A$2:$B$142,2,FALSE),"")</f>
        <v/>
      </c>
    </row>
    <row r="407" spans="1:8" x14ac:dyDescent="0.2">
      <c r="A407" t="str">
        <f t="shared" si="6"/>
        <v/>
      </c>
      <c r="B407" s="1">
        <v>2022</v>
      </c>
      <c r="C407" s="1" t="s">
        <v>2505</v>
      </c>
      <c r="D407" s="1" t="s">
        <v>2506</v>
      </c>
      <c r="E407" s="1" t="s">
        <v>2019</v>
      </c>
      <c r="F407" s="1" t="s">
        <v>41</v>
      </c>
      <c r="G407" s="6">
        <v>13557</v>
      </c>
      <c r="H407" t="str">
        <f>IFERROR(VLOOKUP(F407,'LEAID Match'!$A$2:$B$142,2,FALSE),"")</f>
        <v/>
      </c>
    </row>
    <row r="408" spans="1:8" x14ac:dyDescent="0.2">
      <c r="A408" t="str">
        <f t="shared" si="6"/>
        <v/>
      </c>
      <c r="B408" s="1">
        <v>2023</v>
      </c>
      <c r="C408" s="1" t="s">
        <v>2505</v>
      </c>
      <c r="D408" s="1" t="s">
        <v>2506</v>
      </c>
      <c r="E408" s="1" t="s">
        <v>2019</v>
      </c>
      <c r="F408" s="1" t="s">
        <v>41</v>
      </c>
      <c r="G408" s="6">
        <v>13777</v>
      </c>
      <c r="H408" t="str">
        <f>IFERROR(VLOOKUP(F408,'LEAID Match'!$A$2:$B$142,2,FALSE),"")</f>
        <v/>
      </c>
    </row>
    <row r="409" spans="1:8" x14ac:dyDescent="0.2">
      <c r="A409" t="str">
        <f t="shared" si="6"/>
        <v/>
      </c>
      <c r="B409" s="1">
        <v>2024</v>
      </c>
      <c r="C409" s="1" t="s">
        <v>2505</v>
      </c>
      <c r="D409" s="1" t="s">
        <v>2506</v>
      </c>
      <c r="E409" s="1" t="s">
        <v>2019</v>
      </c>
      <c r="F409" s="1" t="s">
        <v>41</v>
      </c>
      <c r="G409" s="6">
        <v>16290</v>
      </c>
      <c r="H409" t="str">
        <f>IFERROR(VLOOKUP(F409,'LEAID Match'!$A$2:$B$142,2,FALSE),"")</f>
        <v/>
      </c>
    </row>
    <row r="410" spans="1:8" x14ac:dyDescent="0.2">
      <c r="A410" t="str">
        <f t="shared" si="6"/>
        <v/>
      </c>
      <c r="B410" s="1">
        <v>2015</v>
      </c>
      <c r="C410" s="1" t="s">
        <v>2505</v>
      </c>
      <c r="D410" s="1" t="s">
        <v>2506</v>
      </c>
      <c r="E410" s="1" t="s">
        <v>2019</v>
      </c>
      <c r="F410" s="1" t="s">
        <v>42</v>
      </c>
      <c r="G410" s="6">
        <v>29613</v>
      </c>
      <c r="H410" t="str">
        <f>IFERROR(VLOOKUP(F410,'LEAID Match'!$A$2:$B$142,2,FALSE),"")</f>
        <v/>
      </c>
    </row>
    <row r="411" spans="1:8" x14ac:dyDescent="0.2">
      <c r="A411" t="str">
        <f t="shared" si="6"/>
        <v/>
      </c>
      <c r="B411">
        <v>2016</v>
      </c>
      <c r="C411" s="1" t="s">
        <v>2505</v>
      </c>
      <c r="D411" s="1" t="s">
        <v>2506</v>
      </c>
      <c r="E411" s="1" t="s">
        <v>2019</v>
      </c>
      <c r="F411" s="1" t="s">
        <v>42</v>
      </c>
      <c r="G411" s="12">
        <v>30527</v>
      </c>
      <c r="H411" t="str">
        <f>IFERROR(VLOOKUP(F411,'LEAID Match'!$A$2:$B$142,2,FALSE),"")</f>
        <v/>
      </c>
    </row>
    <row r="412" spans="1:8" x14ac:dyDescent="0.2">
      <c r="A412" t="str">
        <f t="shared" si="6"/>
        <v/>
      </c>
      <c r="B412" s="1">
        <v>2017</v>
      </c>
      <c r="C412" s="1" t="s">
        <v>2505</v>
      </c>
      <c r="D412" s="1" t="s">
        <v>2506</v>
      </c>
      <c r="E412" s="1" t="s">
        <v>2019</v>
      </c>
      <c r="F412" s="1" t="s">
        <v>42</v>
      </c>
      <c r="G412" s="49">
        <v>31309</v>
      </c>
      <c r="H412" t="str">
        <f>IFERROR(VLOOKUP(F412,'LEAID Match'!$A$2:$B$142,2,FALSE),"")</f>
        <v/>
      </c>
    </row>
    <row r="413" spans="1:8" x14ac:dyDescent="0.2">
      <c r="A413" t="str">
        <f t="shared" si="6"/>
        <v/>
      </c>
      <c r="B413" s="1">
        <v>2018</v>
      </c>
      <c r="C413" s="1" t="s">
        <v>2505</v>
      </c>
      <c r="D413" s="1" t="s">
        <v>2506</v>
      </c>
      <c r="E413" s="1" t="s">
        <v>2019</v>
      </c>
      <c r="F413" s="1" t="s">
        <v>42</v>
      </c>
      <c r="G413" s="6">
        <v>32489</v>
      </c>
      <c r="H413" t="str">
        <f>IFERROR(VLOOKUP(F413,'LEAID Match'!$A$2:$B$142,2,FALSE),"")</f>
        <v/>
      </c>
    </row>
    <row r="414" spans="1:8" x14ac:dyDescent="0.2">
      <c r="A414" t="str">
        <f t="shared" si="6"/>
        <v/>
      </c>
      <c r="B414" s="1">
        <v>2019</v>
      </c>
      <c r="C414" s="1" t="s">
        <v>2505</v>
      </c>
      <c r="D414" s="1" t="s">
        <v>2506</v>
      </c>
      <c r="E414" s="1" t="s">
        <v>2019</v>
      </c>
      <c r="F414" s="1" t="s">
        <v>42</v>
      </c>
      <c r="G414" s="6">
        <v>41175</v>
      </c>
      <c r="H414" t="str">
        <f>IFERROR(VLOOKUP(F414,'LEAID Match'!$A$2:$B$142,2,FALSE),"")</f>
        <v/>
      </c>
    </row>
    <row r="415" spans="1:8" x14ac:dyDescent="0.2">
      <c r="A415" t="str">
        <f t="shared" si="6"/>
        <v/>
      </c>
      <c r="B415" s="1">
        <v>2020</v>
      </c>
      <c r="C415" s="1" t="s">
        <v>2505</v>
      </c>
      <c r="D415" s="1" t="s">
        <v>2506</v>
      </c>
      <c r="E415" s="1" t="s">
        <v>2019</v>
      </c>
      <c r="F415" s="1" t="s">
        <v>42</v>
      </c>
      <c r="G415" s="6">
        <v>48349</v>
      </c>
      <c r="H415" t="str">
        <f>IFERROR(VLOOKUP(F415,'LEAID Match'!$A$2:$B$142,2,FALSE),"")</f>
        <v/>
      </c>
    </row>
    <row r="416" spans="1:8" x14ac:dyDescent="0.2">
      <c r="A416" t="str">
        <f t="shared" si="6"/>
        <v/>
      </c>
      <c r="B416" s="1">
        <v>2021</v>
      </c>
      <c r="C416" s="1" t="s">
        <v>2505</v>
      </c>
      <c r="D416" s="1" t="s">
        <v>2506</v>
      </c>
      <c r="E416" s="1" t="s">
        <v>2019</v>
      </c>
      <c r="F416" s="1" t="s">
        <v>42</v>
      </c>
      <c r="G416" s="6">
        <v>50586</v>
      </c>
      <c r="H416" t="str">
        <f>IFERROR(VLOOKUP(F416,'LEAID Match'!$A$2:$B$142,2,FALSE),"")</f>
        <v/>
      </c>
    </row>
    <row r="417" spans="1:8" x14ac:dyDescent="0.2">
      <c r="A417" t="str">
        <f t="shared" si="6"/>
        <v/>
      </c>
      <c r="B417" s="1">
        <v>2022</v>
      </c>
      <c r="C417" s="1" t="s">
        <v>2505</v>
      </c>
      <c r="D417" s="1" t="s">
        <v>2506</v>
      </c>
      <c r="E417" s="1" t="s">
        <v>2019</v>
      </c>
      <c r="F417" s="1" t="s">
        <v>42</v>
      </c>
      <c r="G417" s="6">
        <v>51967</v>
      </c>
      <c r="H417" t="str">
        <f>IFERROR(VLOOKUP(F417,'LEAID Match'!$A$2:$B$142,2,FALSE),"")</f>
        <v/>
      </c>
    </row>
    <row r="418" spans="1:8" x14ac:dyDescent="0.2">
      <c r="A418" t="str">
        <f t="shared" si="6"/>
        <v/>
      </c>
      <c r="B418" s="1">
        <v>2023</v>
      </c>
      <c r="C418" s="1" t="s">
        <v>2505</v>
      </c>
      <c r="D418" s="1" t="s">
        <v>2506</v>
      </c>
      <c r="E418" s="1" t="s">
        <v>2019</v>
      </c>
      <c r="F418" s="1" t="s">
        <v>42</v>
      </c>
      <c r="G418" s="6">
        <v>49540</v>
      </c>
      <c r="H418" t="str">
        <f>IFERROR(VLOOKUP(F418,'LEAID Match'!$A$2:$B$142,2,FALSE),"")</f>
        <v/>
      </c>
    </row>
    <row r="419" spans="1:8" x14ac:dyDescent="0.2">
      <c r="A419" t="str">
        <f t="shared" si="6"/>
        <v/>
      </c>
      <c r="B419" s="1">
        <v>2024</v>
      </c>
      <c r="C419" s="1" t="s">
        <v>2505</v>
      </c>
      <c r="D419" s="1" t="s">
        <v>2506</v>
      </c>
      <c r="E419" s="1" t="s">
        <v>2019</v>
      </c>
      <c r="F419" s="1" t="s">
        <v>42</v>
      </c>
      <c r="G419" s="6">
        <v>55708</v>
      </c>
      <c r="H419" t="str">
        <f>IFERROR(VLOOKUP(F419,'LEAID Match'!$A$2:$B$142,2,FALSE),"")</f>
        <v/>
      </c>
    </row>
    <row r="420" spans="1:8" x14ac:dyDescent="0.2">
      <c r="A420" t="str">
        <f t="shared" si="6"/>
        <v/>
      </c>
      <c r="B420" s="1">
        <v>2015</v>
      </c>
      <c r="C420" s="1" t="s">
        <v>2505</v>
      </c>
      <c r="D420" s="1" t="s">
        <v>2506</v>
      </c>
      <c r="E420" s="1" t="s">
        <v>2019</v>
      </c>
      <c r="F420" s="1" t="s">
        <v>43</v>
      </c>
      <c r="G420" s="6">
        <v>104832</v>
      </c>
      <c r="H420" t="str">
        <f>IFERROR(VLOOKUP(F420,'LEAID Match'!$A$2:$B$142,2,FALSE),"")</f>
        <v/>
      </c>
    </row>
    <row r="421" spans="1:8" x14ac:dyDescent="0.2">
      <c r="A421" t="str">
        <f t="shared" si="6"/>
        <v/>
      </c>
      <c r="B421">
        <v>2016</v>
      </c>
      <c r="C421" s="1" t="s">
        <v>2505</v>
      </c>
      <c r="D421" s="1" t="s">
        <v>2506</v>
      </c>
      <c r="E421" s="1" t="s">
        <v>2019</v>
      </c>
      <c r="F421" s="1" t="s">
        <v>43</v>
      </c>
      <c r="G421" s="12">
        <v>116377</v>
      </c>
      <c r="H421" t="str">
        <f>IFERROR(VLOOKUP(F421,'LEAID Match'!$A$2:$B$142,2,FALSE),"")</f>
        <v/>
      </c>
    </row>
    <row r="422" spans="1:8" x14ac:dyDescent="0.2">
      <c r="A422" t="str">
        <f t="shared" si="6"/>
        <v/>
      </c>
      <c r="B422" s="1">
        <v>2017</v>
      </c>
      <c r="C422" s="1" t="s">
        <v>2505</v>
      </c>
      <c r="D422" s="1" t="s">
        <v>2506</v>
      </c>
      <c r="E422" s="1" t="s">
        <v>2019</v>
      </c>
      <c r="F422" s="1" t="s">
        <v>43</v>
      </c>
      <c r="G422" s="49">
        <v>121291</v>
      </c>
      <c r="H422" t="str">
        <f>IFERROR(VLOOKUP(F422,'LEAID Match'!$A$2:$B$142,2,FALSE),"")</f>
        <v/>
      </c>
    </row>
    <row r="423" spans="1:8" x14ac:dyDescent="0.2">
      <c r="A423" t="str">
        <f t="shared" si="6"/>
        <v/>
      </c>
      <c r="B423" s="1">
        <v>2018</v>
      </c>
      <c r="C423" s="1" t="s">
        <v>2505</v>
      </c>
      <c r="D423" s="1" t="s">
        <v>2506</v>
      </c>
      <c r="E423" s="1" t="s">
        <v>2019</v>
      </c>
      <c r="F423" s="1" t="s">
        <v>43</v>
      </c>
      <c r="G423" s="6">
        <v>123218</v>
      </c>
      <c r="H423" t="str">
        <f>IFERROR(VLOOKUP(F423,'LEAID Match'!$A$2:$B$142,2,FALSE),"")</f>
        <v/>
      </c>
    </row>
    <row r="424" spans="1:8" x14ac:dyDescent="0.2">
      <c r="A424" t="str">
        <f t="shared" si="6"/>
        <v/>
      </c>
      <c r="B424" s="1">
        <v>2019</v>
      </c>
      <c r="C424" s="1" t="s">
        <v>2505</v>
      </c>
      <c r="D424" s="1" t="s">
        <v>2506</v>
      </c>
      <c r="E424" s="1" t="s">
        <v>2019</v>
      </c>
      <c r="F424" s="1" t="s">
        <v>43</v>
      </c>
      <c r="G424" s="6">
        <v>131948</v>
      </c>
      <c r="H424" t="str">
        <f>IFERROR(VLOOKUP(F424,'LEAID Match'!$A$2:$B$142,2,FALSE),"")</f>
        <v/>
      </c>
    </row>
    <row r="425" spans="1:8" x14ac:dyDescent="0.2">
      <c r="A425" t="str">
        <f t="shared" si="6"/>
        <v/>
      </c>
      <c r="B425" s="1">
        <v>2020</v>
      </c>
      <c r="C425" s="1" t="s">
        <v>2505</v>
      </c>
      <c r="D425" s="1" t="s">
        <v>2506</v>
      </c>
      <c r="E425" s="1" t="s">
        <v>2019</v>
      </c>
      <c r="F425" s="1" t="s">
        <v>43</v>
      </c>
      <c r="G425" s="6">
        <v>157551</v>
      </c>
      <c r="H425" t="str">
        <f>IFERROR(VLOOKUP(F425,'LEAID Match'!$A$2:$B$142,2,FALSE),"")</f>
        <v/>
      </c>
    </row>
    <row r="426" spans="1:8" x14ac:dyDescent="0.2">
      <c r="A426" t="str">
        <f t="shared" si="6"/>
        <v/>
      </c>
      <c r="B426" s="1">
        <v>2021</v>
      </c>
      <c r="C426" s="1" t="s">
        <v>2505</v>
      </c>
      <c r="D426" s="1" t="s">
        <v>2506</v>
      </c>
      <c r="E426" s="1" t="s">
        <v>2019</v>
      </c>
      <c r="F426" s="1" t="s">
        <v>43</v>
      </c>
      <c r="G426" s="6">
        <v>164368</v>
      </c>
      <c r="H426" t="str">
        <f>IFERROR(VLOOKUP(F426,'LEAID Match'!$A$2:$B$142,2,FALSE),"")</f>
        <v/>
      </c>
    </row>
    <row r="427" spans="1:8" x14ac:dyDescent="0.2">
      <c r="A427" t="str">
        <f t="shared" si="6"/>
        <v/>
      </c>
      <c r="B427" s="1">
        <v>2022</v>
      </c>
      <c r="C427" s="1" t="s">
        <v>2505</v>
      </c>
      <c r="D427" s="1" t="s">
        <v>2506</v>
      </c>
      <c r="E427" s="1" t="s">
        <v>2019</v>
      </c>
      <c r="F427" s="1" t="s">
        <v>43</v>
      </c>
      <c r="G427" s="6">
        <v>168053</v>
      </c>
      <c r="H427" t="str">
        <f>IFERROR(VLOOKUP(F427,'LEAID Match'!$A$2:$B$142,2,FALSE),"")</f>
        <v/>
      </c>
    </row>
    <row r="428" spans="1:8" x14ac:dyDescent="0.2">
      <c r="A428" t="str">
        <f t="shared" si="6"/>
        <v/>
      </c>
      <c r="B428" s="1">
        <v>2023</v>
      </c>
      <c r="C428" s="1" t="s">
        <v>2505</v>
      </c>
      <c r="D428" s="1" t="s">
        <v>2506</v>
      </c>
      <c r="E428" s="1" t="s">
        <v>2019</v>
      </c>
      <c r="F428" s="1" t="s">
        <v>43</v>
      </c>
      <c r="G428" s="6">
        <v>168543</v>
      </c>
      <c r="H428" t="str">
        <f>IFERROR(VLOOKUP(F428,'LEAID Match'!$A$2:$B$142,2,FALSE),"")</f>
        <v/>
      </c>
    </row>
    <row r="429" spans="1:8" x14ac:dyDescent="0.2">
      <c r="A429" t="str">
        <f t="shared" si="6"/>
        <v/>
      </c>
      <c r="B429" s="1">
        <v>2024</v>
      </c>
      <c r="C429" s="1" t="s">
        <v>2505</v>
      </c>
      <c r="D429" s="1" t="s">
        <v>2506</v>
      </c>
      <c r="E429" s="1" t="s">
        <v>2019</v>
      </c>
      <c r="F429" s="1" t="s">
        <v>43</v>
      </c>
      <c r="G429" s="6">
        <v>157275</v>
      </c>
      <c r="H429" t="str">
        <f>IFERROR(VLOOKUP(F429,'LEAID Match'!$A$2:$B$142,2,FALSE),"")</f>
        <v/>
      </c>
    </row>
    <row r="430" spans="1:8" x14ac:dyDescent="0.2">
      <c r="A430" t="str">
        <f t="shared" si="6"/>
        <v/>
      </c>
      <c r="B430" s="1">
        <v>2015</v>
      </c>
      <c r="C430" s="1" t="s">
        <v>2505</v>
      </c>
      <c r="D430" s="1" t="s">
        <v>2506</v>
      </c>
      <c r="E430" s="1" t="s">
        <v>2019</v>
      </c>
      <c r="F430" s="1" t="s">
        <v>44</v>
      </c>
      <c r="G430" s="6">
        <v>158984</v>
      </c>
      <c r="H430" t="str">
        <f>IFERROR(VLOOKUP(F430,'LEAID Match'!$A$2:$B$142,2,FALSE),"")</f>
        <v/>
      </c>
    </row>
    <row r="431" spans="1:8" x14ac:dyDescent="0.2">
      <c r="A431" t="str">
        <f t="shared" si="6"/>
        <v/>
      </c>
      <c r="B431">
        <v>2016</v>
      </c>
      <c r="C431" s="1" t="s">
        <v>2505</v>
      </c>
      <c r="D431" s="1" t="s">
        <v>2506</v>
      </c>
      <c r="E431" s="1" t="s">
        <v>2019</v>
      </c>
      <c r="F431" s="1" t="s">
        <v>44</v>
      </c>
      <c r="G431" s="12">
        <v>178208</v>
      </c>
      <c r="H431" t="str">
        <f>IFERROR(VLOOKUP(F431,'LEAID Match'!$A$2:$B$142,2,FALSE),"")</f>
        <v/>
      </c>
    </row>
    <row r="432" spans="1:8" x14ac:dyDescent="0.2">
      <c r="A432" t="str">
        <f t="shared" si="6"/>
        <v/>
      </c>
      <c r="B432" s="1">
        <v>2017</v>
      </c>
      <c r="C432" s="1" t="s">
        <v>2505</v>
      </c>
      <c r="D432" s="1" t="s">
        <v>2506</v>
      </c>
      <c r="E432" s="1" t="s">
        <v>2019</v>
      </c>
      <c r="F432" s="1" t="s">
        <v>44</v>
      </c>
      <c r="G432" s="49">
        <v>172081</v>
      </c>
      <c r="H432" t="str">
        <f>IFERROR(VLOOKUP(F432,'LEAID Match'!$A$2:$B$142,2,FALSE),"")</f>
        <v/>
      </c>
    </row>
    <row r="433" spans="1:8" x14ac:dyDescent="0.2">
      <c r="A433" t="str">
        <f t="shared" si="6"/>
        <v/>
      </c>
      <c r="B433" s="1">
        <v>2018</v>
      </c>
      <c r="C433" s="1" t="s">
        <v>2505</v>
      </c>
      <c r="D433" s="1" t="s">
        <v>2506</v>
      </c>
      <c r="E433" s="1" t="s">
        <v>2019</v>
      </c>
      <c r="F433" s="1" t="s">
        <v>44</v>
      </c>
      <c r="G433" s="6">
        <v>163462</v>
      </c>
      <c r="H433" t="str">
        <f>IFERROR(VLOOKUP(F433,'LEAID Match'!$A$2:$B$142,2,FALSE),"")</f>
        <v/>
      </c>
    </row>
    <row r="434" spans="1:8" x14ac:dyDescent="0.2">
      <c r="A434" t="str">
        <f t="shared" si="6"/>
        <v/>
      </c>
      <c r="B434" s="1">
        <v>2019</v>
      </c>
      <c r="C434" s="1" t="s">
        <v>2505</v>
      </c>
      <c r="D434" s="1" t="s">
        <v>2506</v>
      </c>
      <c r="E434" s="1" t="s">
        <v>2019</v>
      </c>
      <c r="F434" s="1" t="s">
        <v>44</v>
      </c>
      <c r="G434" s="6">
        <v>166321</v>
      </c>
      <c r="H434" t="str">
        <f>IFERROR(VLOOKUP(F434,'LEAID Match'!$A$2:$B$142,2,FALSE),"")</f>
        <v/>
      </c>
    </row>
    <row r="435" spans="1:8" x14ac:dyDescent="0.2">
      <c r="A435" t="str">
        <f t="shared" si="6"/>
        <v/>
      </c>
      <c r="B435" s="1">
        <v>2020</v>
      </c>
      <c r="C435" s="1" t="s">
        <v>2505</v>
      </c>
      <c r="D435" s="1" t="s">
        <v>2506</v>
      </c>
      <c r="E435" s="1" t="s">
        <v>2019</v>
      </c>
      <c r="F435" s="1" t="s">
        <v>44</v>
      </c>
      <c r="G435" s="6">
        <v>180269</v>
      </c>
      <c r="H435" t="str">
        <f>IFERROR(VLOOKUP(F435,'LEAID Match'!$A$2:$B$142,2,FALSE),"")</f>
        <v/>
      </c>
    </row>
    <row r="436" spans="1:8" x14ac:dyDescent="0.2">
      <c r="A436" t="str">
        <f t="shared" si="6"/>
        <v/>
      </c>
      <c r="B436" s="1">
        <v>2021</v>
      </c>
      <c r="C436" s="1" t="s">
        <v>2505</v>
      </c>
      <c r="D436" s="1" t="s">
        <v>2506</v>
      </c>
      <c r="E436" s="1" t="s">
        <v>2019</v>
      </c>
      <c r="F436" s="1" t="s">
        <v>44</v>
      </c>
      <c r="G436" s="6">
        <v>183669</v>
      </c>
      <c r="H436" t="str">
        <f>IFERROR(VLOOKUP(F436,'LEAID Match'!$A$2:$B$142,2,FALSE),"")</f>
        <v/>
      </c>
    </row>
    <row r="437" spans="1:8" x14ac:dyDescent="0.2">
      <c r="A437" t="str">
        <f t="shared" si="6"/>
        <v/>
      </c>
      <c r="B437" s="1">
        <v>2022</v>
      </c>
      <c r="C437" s="1" t="s">
        <v>2505</v>
      </c>
      <c r="D437" s="1" t="s">
        <v>2506</v>
      </c>
      <c r="E437" s="1" t="s">
        <v>2019</v>
      </c>
      <c r="F437" s="1" t="s">
        <v>44</v>
      </c>
      <c r="G437" s="6">
        <v>196997</v>
      </c>
      <c r="H437" t="str">
        <f>IFERROR(VLOOKUP(F437,'LEAID Match'!$A$2:$B$142,2,FALSE),"")</f>
        <v/>
      </c>
    </row>
    <row r="438" spans="1:8" x14ac:dyDescent="0.2">
      <c r="A438" t="str">
        <f t="shared" si="6"/>
        <v/>
      </c>
      <c r="B438" s="1">
        <v>2023</v>
      </c>
      <c r="C438" s="1" t="s">
        <v>2505</v>
      </c>
      <c r="D438" s="1" t="s">
        <v>2506</v>
      </c>
      <c r="E438" s="1" t="s">
        <v>2019</v>
      </c>
      <c r="F438" s="1" t="s">
        <v>44</v>
      </c>
      <c r="G438" s="6">
        <v>188783</v>
      </c>
      <c r="H438" t="str">
        <f>IFERROR(VLOOKUP(F438,'LEAID Match'!$A$2:$B$142,2,FALSE),"")</f>
        <v/>
      </c>
    </row>
    <row r="439" spans="1:8" x14ac:dyDescent="0.2">
      <c r="A439" t="str">
        <f t="shared" si="6"/>
        <v/>
      </c>
      <c r="B439" s="1">
        <v>2024</v>
      </c>
      <c r="C439" s="1" t="s">
        <v>2505</v>
      </c>
      <c r="D439" s="1" t="s">
        <v>2506</v>
      </c>
      <c r="E439" s="1" t="s">
        <v>2019</v>
      </c>
      <c r="F439" s="1" t="s">
        <v>44</v>
      </c>
      <c r="G439" s="6">
        <v>183142</v>
      </c>
      <c r="H439" t="str">
        <f>IFERROR(VLOOKUP(F439,'LEAID Match'!$A$2:$B$142,2,FALSE),"")</f>
        <v/>
      </c>
    </row>
    <row r="440" spans="1:8" x14ac:dyDescent="0.2">
      <c r="A440" t="str">
        <f t="shared" si="6"/>
        <v/>
      </c>
      <c r="B440" s="1">
        <v>2015</v>
      </c>
      <c r="C440" s="1" t="s">
        <v>2505</v>
      </c>
      <c r="D440" s="1" t="s">
        <v>2506</v>
      </c>
      <c r="E440" s="1" t="s">
        <v>2019</v>
      </c>
      <c r="F440" s="1" t="s">
        <v>45</v>
      </c>
      <c r="G440" s="6">
        <v>8792</v>
      </c>
      <c r="H440" t="str">
        <f>IFERROR(VLOOKUP(F440,'LEAID Match'!$A$2:$B$142,2,FALSE),"")</f>
        <v/>
      </c>
    </row>
    <row r="441" spans="1:8" x14ac:dyDescent="0.2">
      <c r="A441" t="str">
        <f t="shared" si="6"/>
        <v/>
      </c>
      <c r="B441">
        <v>2016</v>
      </c>
      <c r="C441" s="1" t="s">
        <v>2505</v>
      </c>
      <c r="D441" s="1" t="s">
        <v>2506</v>
      </c>
      <c r="E441" s="1" t="s">
        <v>2019</v>
      </c>
      <c r="F441" s="1" t="s">
        <v>45</v>
      </c>
      <c r="G441" s="12">
        <v>8824</v>
      </c>
      <c r="H441" t="str">
        <f>IFERROR(VLOOKUP(F441,'LEAID Match'!$A$2:$B$142,2,FALSE),"")</f>
        <v/>
      </c>
    </row>
    <row r="442" spans="1:8" x14ac:dyDescent="0.2">
      <c r="A442" t="str">
        <f t="shared" si="6"/>
        <v/>
      </c>
      <c r="B442" s="1">
        <v>2017</v>
      </c>
      <c r="C442" s="1" t="s">
        <v>2505</v>
      </c>
      <c r="D442" s="1" t="s">
        <v>2506</v>
      </c>
      <c r="E442" s="1" t="s">
        <v>2019</v>
      </c>
      <c r="F442" s="1" t="s">
        <v>45</v>
      </c>
      <c r="G442" s="49">
        <v>10393</v>
      </c>
      <c r="H442" t="str">
        <f>IFERROR(VLOOKUP(F442,'LEAID Match'!$A$2:$B$142,2,FALSE),"")</f>
        <v/>
      </c>
    </row>
    <row r="443" spans="1:8" x14ac:dyDescent="0.2">
      <c r="A443" t="str">
        <f t="shared" si="6"/>
        <v/>
      </c>
      <c r="B443" s="1">
        <v>2018</v>
      </c>
      <c r="C443" s="1" t="s">
        <v>2505</v>
      </c>
      <c r="D443" s="1" t="s">
        <v>2506</v>
      </c>
      <c r="E443" s="1" t="s">
        <v>2019</v>
      </c>
      <c r="F443" s="1" t="s">
        <v>45</v>
      </c>
      <c r="G443" s="6">
        <v>5817</v>
      </c>
      <c r="H443" t="str">
        <f>IFERROR(VLOOKUP(F443,'LEAID Match'!$A$2:$B$142,2,FALSE),"")</f>
        <v/>
      </c>
    </row>
    <row r="444" spans="1:8" x14ac:dyDescent="0.2">
      <c r="A444" t="str">
        <f t="shared" si="6"/>
        <v/>
      </c>
      <c r="B444" s="1">
        <v>2019</v>
      </c>
      <c r="C444" s="1" t="s">
        <v>2505</v>
      </c>
      <c r="D444" s="1" t="s">
        <v>2506</v>
      </c>
      <c r="E444" s="1" t="s">
        <v>2019</v>
      </c>
      <c r="F444" s="1" t="s">
        <v>45</v>
      </c>
      <c r="G444" s="6">
        <v>4309</v>
      </c>
      <c r="H444" t="str">
        <f>IFERROR(VLOOKUP(F444,'LEAID Match'!$A$2:$B$142,2,FALSE),"")</f>
        <v/>
      </c>
    </row>
    <row r="445" spans="1:8" x14ac:dyDescent="0.2">
      <c r="A445" t="str">
        <f t="shared" si="6"/>
        <v/>
      </c>
      <c r="B445" s="1">
        <v>2020</v>
      </c>
      <c r="C445" s="1" t="s">
        <v>2505</v>
      </c>
      <c r="D445" s="1" t="s">
        <v>2506</v>
      </c>
      <c r="E445" s="1" t="s">
        <v>2019</v>
      </c>
      <c r="F445" s="1" t="s">
        <v>45</v>
      </c>
      <c r="G445" s="6">
        <v>3925</v>
      </c>
      <c r="H445" t="str">
        <f>IFERROR(VLOOKUP(F445,'LEAID Match'!$A$2:$B$142,2,FALSE),"")</f>
        <v/>
      </c>
    </row>
    <row r="446" spans="1:8" x14ac:dyDescent="0.2">
      <c r="A446" t="str">
        <f t="shared" si="6"/>
        <v/>
      </c>
      <c r="B446" s="1">
        <v>2021</v>
      </c>
      <c r="C446" s="1" t="s">
        <v>2505</v>
      </c>
      <c r="D446" s="1" t="s">
        <v>2506</v>
      </c>
      <c r="E446" s="1" t="s">
        <v>2019</v>
      </c>
      <c r="F446" s="1" t="s">
        <v>45</v>
      </c>
      <c r="G446" s="6">
        <v>4176</v>
      </c>
      <c r="H446" t="str">
        <f>IFERROR(VLOOKUP(F446,'LEAID Match'!$A$2:$B$142,2,FALSE),"")</f>
        <v/>
      </c>
    </row>
    <row r="447" spans="1:8" x14ac:dyDescent="0.2">
      <c r="A447" t="str">
        <f t="shared" si="6"/>
        <v/>
      </c>
      <c r="B447" s="1">
        <v>2022</v>
      </c>
      <c r="C447" s="1" t="s">
        <v>2505</v>
      </c>
      <c r="D447" s="1" t="s">
        <v>2506</v>
      </c>
      <c r="E447" s="1" t="s">
        <v>2019</v>
      </c>
      <c r="F447" s="1" t="s">
        <v>45</v>
      </c>
      <c r="G447" s="6">
        <v>3855</v>
      </c>
      <c r="H447" t="str">
        <f>IFERROR(VLOOKUP(F447,'LEAID Match'!$A$2:$B$142,2,FALSE),"")</f>
        <v/>
      </c>
    </row>
    <row r="448" spans="1:8" x14ac:dyDescent="0.2">
      <c r="A448" t="str">
        <f t="shared" si="6"/>
        <v/>
      </c>
      <c r="B448" s="1">
        <v>2023</v>
      </c>
      <c r="C448" s="1" t="s">
        <v>2505</v>
      </c>
      <c r="D448" s="1" t="s">
        <v>2506</v>
      </c>
      <c r="E448" s="1" t="s">
        <v>2019</v>
      </c>
      <c r="F448" s="1" t="s">
        <v>45</v>
      </c>
      <c r="G448" s="6">
        <v>8377</v>
      </c>
      <c r="H448" t="str">
        <f>IFERROR(VLOOKUP(F448,'LEAID Match'!$A$2:$B$142,2,FALSE),"")</f>
        <v/>
      </c>
    </row>
    <row r="449" spans="1:8" x14ac:dyDescent="0.2">
      <c r="A449" t="str">
        <f t="shared" si="6"/>
        <v/>
      </c>
      <c r="B449" s="1">
        <v>2024</v>
      </c>
      <c r="C449" s="1" t="s">
        <v>2505</v>
      </c>
      <c r="D449" s="1" t="s">
        <v>2506</v>
      </c>
      <c r="E449" s="1" t="s">
        <v>2019</v>
      </c>
      <c r="F449" s="1" t="s">
        <v>45</v>
      </c>
      <c r="G449" s="6">
        <v>12446</v>
      </c>
      <c r="H449" t="str">
        <f>IFERROR(VLOOKUP(F449,'LEAID Match'!$A$2:$B$142,2,FALSE),"")</f>
        <v/>
      </c>
    </row>
    <row r="450" spans="1:8" x14ac:dyDescent="0.2">
      <c r="A450" t="str">
        <f t="shared" si="6"/>
        <v/>
      </c>
      <c r="B450" s="1">
        <v>2015</v>
      </c>
      <c r="C450" s="1" t="s">
        <v>2505</v>
      </c>
      <c r="D450" s="1" t="s">
        <v>2506</v>
      </c>
      <c r="E450" s="1" t="s">
        <v>2019</v>
      </c>
      <c r="F450" s="1" t="s">
        <v>2093</v>
      </c>
      <c r="G450" s="6">
        <v>90236</v>
      </c>
      <c r="H450" t="str">
        <f>IFERROR(VLOOKUP(F450,'LEAID Match'!$A$2:$B$142,2,FALSE),"")</f>
        <v/>
      </c>
    </row>
    <row r="451" spans="1:8" x14ac:dyDescent="0.2">
      <c r="A451">
        <f t="shared" ref="A451:A514" si="7">H451</f>
        <v>2800600</v>
      </c>
      <c r="B451" s="1">
        <v>2015</v>
      </c>
      <c r="C451" s="1" t="s">
        <v>2505</v>
      </c>
      <c r="D451" s="1" t="s">
        <v>2506</v>
      </c>
      <c r="E451" s="1" t="s">
        <v>2019</v>
      </c>
      <c r="F451" s="1" t="s">
        <v>46</v>
      </c>
      <c r="G451" s="6">
        <v>983387</v>
      </c>
      <c r="H451">
        <f>IFERROR(VLOOKUP(F451,'LEAID Match'!$A$2:$B$142,2,FALSE),"")</f>
        <v>2800600</v>
      </c>
    </row>
    <row r="452" spans="1:8" x14ac:dyDescent="0.2">
      <c r="A452">
        <f t="shared" si="7"/>
        <v>2800600</v>
      </c>
      <c r="B452">
        <v>2016</v>
      </c>
      <c r="C452" s="1" t="s">
        <v>2505</v>
      </c>
      <c r="D452" s="1" t="s">
        <v>2506</v>
      </c>
      <c r="E452" s="1" t="s">
        <v>2019</v>
      </c>
      <c r="F452" s="1" t="s">
        <v>46</v>
      </c>
      <c r="G452" s="12">
        <v>1009924</v>
      </c>
      <c r="H452">
        <f>IFERROR(VLOOKUP(F452,'LEAID Match'!$A$2:$B$142,2,FALSE),"")</f>
        <v>2800600</v>
      </c>
    </row>
    <row r="453" spans="1:8" x14ac:dyDescent="0.2">
      <c r="A453">
        <f t="shared" si="7"/>
        <v>2800600</v>
      </c>
      <c r="B453" s="1">
        <v>2017</v>
      </c>
      <c r="C453" s="1" t="s">
        <v>2505</v>
      </c>
      <c r="D453" s="1" t="s">
        <v>2506</v>
      </c>
      <c r="E453" s="1" t="s">
        <v>2019</v>
      </c>
      <c r="F453" s="1" t="s">
        <v>46</v>
      </c>
      <c r="G453" s="49">
        <v>1034478</v>
      </c>
      <c r="H453">
        <f>IFERROR(VLOOKUP(F453,'LEAID Match'!$A$2:$B$142,2,FALSE),"")</f>
        <v>2800600</v>
      </c>
    </row>
    <row r="454" spans="1:8" x14ac:dyDescent="0.2">
      <c r="A454">
        <f t="shared" si="7"/>
        <v>2800600</v>
      </c>
      <c r="B454" s="1">
        <v>2018</v>
      </c>
      <c r="C454" s="1" t="s">
        <v>2505</v>
      </c>
      <c r="D454" s="1" t="s">
        <v>2506</v>
      </c>
      <c r="E454" s="1" t="s">
        <v>2019</v>
      </c>
      <c r="F454" s="1" t="s">
        <v>46</v>
      </c>
      <c r="G454" s="6">
        <v>951657</v>
      </c>
      <c r="H454">
        <f>IFERROR(VLOOKUP(F454,'LEAID Match'!$A$2:$B$142,2,FALSE),"")</f>
        <v>2800600</v>
      </c>
    </row>
    <row r="455" spans="1:8" x14ac:dyDescent="0.2">
      <c r="A455">
        <f t="shared" si="7"/>
        <v>2800600</v>
      </c>
      <c r="B455" s="1">
        <v>2019</v>
      </c>
      <c r="C455" s="1" t="s">
        <v>2505</v>
      </c>
      <c r="D455" s="1" t="s">
        <v>2506</v>
      </c>
      <c r="E455" s="1" t="s">
        <v>2019</v>
      </c>
      <c r="F455" s="1" t="s">
        <v>46</v>
      </c>
      <c r="G455" s="6">
        <v>977002</v>
      </c>
      <c r="H455">
        <f>IFERROR(VLOOKUP(F455,'LEAID Match'!$A$2:$B$142,2,FALSE),"")</f>
        <v>2800600</v>
      </c>
    </row>
    <row r="456" spans="1:8" x14ac:dyDescent="0.2">
      <c r="A456">
        <f t="shared" si="7"/>
        <v>2800600</v>
      </c>
      <c r="B456" s="1">
        <v>2020</v>
      </c>
      <c r="C456" s="1" t="s">
        <v>2505</v>
      </c>
      <c r="D456" s="1" t="s">
        <v>2506</v>
      </c>
      <c r="E456" s="1" t="s">
        <v>2019</v>
      </c>
      <c r="F456" s="1" t="s">
        <v>46</v>
      </c>
      <c r="G456" s="6">
        <v>1079554</v>
      </c>
      <c r="H456">
        <f>IFERROR(VLOOKUP(F456,'LEAID Match'!$A$2:$B$142,2,FALSE),"")</f>
        <v>2800600</v>
      </c>
    </row>
    <row r="457" spans="1:8" x14ac:dyDescent="0.2">
      <c r="A457">
        <f t="shared" si="7"/>
        <v>2800600</v>
      </c>
      <c r="B457" s="1">
        <v>2021</v>
      </c>
      <c r="C457" s="1" t="s">
        <v>2505</v>
      </c>
      <c r="D457" s="1" t="s">
        <v>2506</v>
      </c>
      <c r="E457" s="1" t="s">
        <v>2019</v>
      </c>
      <c r="F457" s="1" t="s">
        <v>46</v>
      </c>
      <c r="G457" s="6">
        <v>1093564</v>
      </c>
      <c r="H457">
        <f>IFERROR(VLOOKUP(F457,'LEAID Match'!$A$2:$B$142,2,FALSE),"")</f>
        <v>2800600</v>
      </c>
    </row>
    <row r="458" spans="1:8" x14ac:dyDescent="0.2">
      <c r="A458">
        <f t="shared" si="7"/>
        <v>2800600</v>
      </c>
      <c r="B458" s="1">
        <v>2022</v>
      </c>
      <c r="C458" s="1" t="s">
        <v>2505</v>
      </c>
      <c r="D458" s="1" t="s">
        <v>2506</v>
      </c>
      <c r="E458" s="1" t="s">
        <v>2019</v>
      </c>
      <c r="F458" s="1" t="s">
        <v>46</v>
      </c>
      <c r="G458" s="6">
        <v>1092952</v>
      </c>
      <c r="H458">
        <f>IFERROR(VLOOKUP(F458,'LEAID Match'!$A$2:$B$142,2,FALSE),"")</f>
        <v>2800600</v>
      </c>
    </row>
    <row r="459" spans="1:8" x14ac:dyDescent="0.2">
      <c r="A459">
        <f t="shared" si="7"/>
        <v>2800600</v>
      </c>
      <c r="B459" s="1">
        <v>2023</v>
      </c>
      <c r="C459" s="1" t="s">
        <v>2505</v>
      </c>
      <c r="D459" s="1" t="s">
        <v>2506</v>
      </c>
      <c r="E459" s="1" t="s">
        <v>2019</v>
      </c>
      <c r="F459" s="1" t="s">
        <v>46</v>
      </c>
      <c r="G459" s="6">
        <v>1350582</v>
      </c>
      <c r="H459">
        <f>IFERROR(VLOOKUP(F459,'LEAID Match'!$A$2:$B$142,2,FALSE),"")</f>
        <v>2800600</v>
      </c>
    </row>
    <row r="460" spans="1:8" x14ac:dyDescent="0.2">
      <c r="A460">
        <f t="shared" si="7"/>
        <v>2800600</v>
      </c>
      <c r="B460" s="1">
        <v>2024</v>
      </c>
      <c r="C460" s="1" t="s">
        <v>2505</v>
      </c>
      <c r="D460" s="1" t="s">
        <v>2506</v>
      </c>
      <c r="E460" s="1" t="s">
        <v>2019</v>
      </c>
      <c r="F460" s="1" t="s">
        <v>46</v>
      </c>
      <c r="G460" s="6">
        <v>1254510</v>
      </c>
      <c r="H460">
        <f>IFERROR(VLOOKUP(F460,'LEAID Match'!$A$2:$B$142,2,FALSE),"")</f>
        <v>2800600</v>
      </c>
    </row>
    <row r="461" spans="1:8" x14ac:dyDescent="0.2">
      <c r="A461" t="str">
        <f t="shared" si="7"/>
        <v/>
      </c>
      <c r="B461" s="1">
        <v>2015</v>
      </c>
      <c r="C461" s="1" t="s">
        <v>2505</v>
      </c>
      <c r="D461" s="1" t="s">
        <v>2506</v>
      </c>
      <c r="E461" s="1" t="s">
        <v>2019</v>
      </c>
      <c r="F461" s="1" t="s">
        <v>47</v>
      </c>
      <c r="G461" s="6">
        <v>244013</v>
      </c>
      <c r="H461" t="str">
        <f>IFERROR(VLOOKUP(F461,'LEAID Match'!$A$2:$B$142,2,FALSE),"")</f>
        <v/>
      </c>
    </row>
    <row r="462" spans="1:8" x14ac:dyDescent="0.2">
      <c r="A462" t="str">
        <f t="shared" si="7"/>
        <v/>
      </c>
      <c r="B462">
        <v>2016</v>
      </c>
      <c r="C462" s="1" t="s">
        <v>2505</v>
      </c>
      <c r="D462" s="1" t="s">
        <v>2506</v>
      </c>
      <c r="E462" s="1" t="s">
        <v>2019</v>
      </c>
      <c r="F462" s="1" t="s">
        <v>47</v>
      </c>
      <c r="G462" s="12">
        <v>256632</v>
      </c>
      <c r="H462" t="str">
        <f>IFERROR(VLOOKUP(F462,'LEAID Match'!$A$2:$B$142,2,FALSE),"")</f>
        <v/>
      </c>
    </row>
    <row r="463" spans="1:8" x14ac:dyDescent="0.2">
      <c r="A463" t="str">
        <f t="shared" si="7"/>
        <v/>
      </c>
      <c r="B463" s="1">
        <v>2017</v>
      </c>
      <c r="C463" s="1" t="s">
        <v>2505</v>
      </c>
      <c r="D463" s="1" t="s">
        <v>2506</v>
      </c>
      <c r="E463" s="1" t="s">
        <v>2019</v>
      </c>
      <c r="F463" s="1" t="s">
        <v>47</v>
      </c>
      <c r="G463" s="49">
        <v>296419</v>
      </c>
      <c r="H463" t="str">
        <f>IFERROR(VLOOKUP(F463,'LEAID Match'!$A$2:$B$142,2,FALSE),"")</f>
        <v/>
      </c>
    </row>
    <row r="464" spans="1:8" x14ac:dyDescent="0.2">
      <c r="A464" t="str">
        <f t="shared" si="7"/>
        <v/>
      </c>
      <c r="B464" s="1">
        <v>2018</v>
      </c>
      <c r="C464" s="1" t="s">
        <v>2505</v>
      </c>
      <c r="D464" s="1" t="s">
        <v>2506</v>
      </c>
      <c r="E464" s="1" t="s">
        <v>2019</v>
      </c>
      <c r="F464" s="1" t="s">
        <v>47</v>
      </c>
      <c r="G464" s="6">
        <v>315359</v>
      </c>
      <c r="H464" t="str">
        <f>IFERROR(VLOOKUP(F464,'LEAID Match'!$A$2:$B$142,2,FALSE),"")</f>
        <v/>
      </c>
    </row>
    <row r="465" spans="1:8" x14ac:dyDescent="0.2">
      <c r="A465" t="str">
        <f t="shared" si="7"/>
        <v/>
      </c>
      <c r="B465" s="1">
        <v>2019</v>
      </c>
      <c r="C465" s="1" t="s">
        <v>2505</v>
      </c>
      <c r="D465" s="1" t="s">
        <v>2506</v>
      </c>
      <c r="E465" s="1" t="s">
        <v>2019</v>
      </c>
      <c r="F465" s="1" t="s">
        <v>47</v>
      </c>
      <c r="G465" s="6">
        <v>328487</v>
      </c>
      <c r="H465" t="str">
        <f>IFERROR(VLOOKUP(F465,'LEAID Match'!$A$2:$B$142,2,FALSE),"")</f>
        <v/>
      </c>
    </row>
    <row r="466" spans="1:8" x14ac:dyDescent="0.2">
      <c r="A466" t="str">
        <f t="shared" si="7"/>
        <v/>
      </c>
      <c r="B466" s="1">
        <v>2020</v>
      </c>
      <c r="C466" s="1" t="s">
        <v>2505</v>
      </c>
      <c r="D466" s="1" t="s">
        <v>2506</v>
      </c>
      <c r="E466" s="1" t="s">
        <v>2019</v>
      </c>
      <c r="F466" s="1" t="s">
        <v>47</v>
      </c>
      <c r="G466" s="6">
        <v>376902</v>
      </c>
      <c r="H466" t="str">
        <f>IFERROR(VLOOKUP(F466,'LEAID Match'!$A$2:$B$142,2,FALSE),"")</f>
        <v/>
      </c>
    </row>
    <row r="467" spans="1:8" x14ac:dyDescent="0.2">
      <c r="A467" t="str">
        <f t="shared" si="7"/>
        <v/>
      </c>
      <c r="B467" s="1">
        <v>2021</v>
      </c>
      <c r="C467" s="1" t="s">
        <v>2505</v>
      </c>
      <c r="D467" s="1" t="s">
        <v>2506</v>
      </c>
      <c r="E467" s="1" t="s">
        <v>2019</v>
      </c>
      <c r="F467" s="1" t="s">
        <v>47</v>
      </c>
      <c r="G467" s="6">
        <v>400490</v>
      </c>
      <c r="H467" t="str">
        <f>IFERROR(VLOOKUP(F467,'LEAID Match'!$A$2:$B$142,2,FALSE),"")</f>
        <v/>
      </c>
    </row>
    <row r="468" spans="1:8" x14ac:dyDescent="0.2">
      <c r="A468" t="str">
        <f t="shared" si="7"/>
        <v/>
      </c>
      <c r="B468" s="1">
        <v>2022</v>
      </c>
      <c r="C468" s="1" t="s">
        <v>2505</v>
      </c>
      <c r="D468" s="1" t="s">
        <v>2506</v>
      </c>
      <c r="E468" s="1" t="s">
        <v>2019</v>
      </c>
      <c r="F468" s="1" t="s">
        <v>47</v>
      </c>
      <c r="G468" s="6">
        <v>413214</v>
      </c>
      <c r="H468" t="str">
        <f>IFERROR(VLOOKUP(F468,'LEAID Match'!$A$2:$B$142,2,FALSE),"")</f>
        <v/>
      </c>
    </row>
    <row r="469" spans="1:8" x14ac:dyDescent="0.2">
      <c r="A469" t="str">
        <f t="shared" si="7"/>
        <v/>
      </c>
      <c r="B469" s="1">
        <v>2023</v>
      </c>
      <c r="C469" s="1" t="s">
        <v>2505</v>
      </c>
      <c r="D469" s="1" t="s">
        <v>2506</v>
      </c>
      <c r="E469" s="1" t="s">
        <v>2019</v>
      </c>
      <c r="F469" s="1" t="s">
        <v>47</v>
      </c>
      <c r="G469" s="6">
        <v>431050</v>
      </c>
      <c r="H469" t="str">
        <f>IFERROR(VLOOKUP(F469,'LEAID Match'!$A$2:$B$142,2,FALSE),"")</f>
        <v/>
      </c>
    </row>
    <row r="470" spans="1:8" x14ac:dyDescent="0.2">
      <c r="A470" t="str">
        <f t="shared" si="7"/>
        <v/>
      </c>
      <c r="B470" s="1">
        <v>2024</v>
      </c>
      <c r="C470" s="1" t="s">
        <v>2505</v>
      </c>
      <c r="D470" s="1" t="s">
        <v>2506</v>
      </c>
      <c r="E470" s="1" t="s">
        <v>2019</v>
      </c>
      <c r="F470" s="1" t="s">
        <v>47</v>
      </c>
      <c r="G470" s="6">
        <v>455508</v>
      </c>
      <c r="H470" t="str">
        <f>IFERROR(VLOOKUP(F470,'LEAID Match'!$A$2:$B$142,2,FALSE),"")</f>
        <v/>
      </c>
    </row>
    <row r="471" spans="1:8" x14ac:dyDescent="0.2">
      <c r="A471" t="str">
        <f t="shared" si="7"/>
        <v/>
      </c>
      <c r="B471" s="1">
        <v>2015</v>
      </c>
      <c r="C471" s="1" t="s">
        <v>2505</v>
      </c>
      <c r="D471" s="1" t="s">
        <v>2506</v>
      </c>
      <c r="E471" s="1" t="s">
        <v>2019</v>
      </c>
      <c r="F471" s="1" t="s">
        <v>48</v>
      </c>
      <c r="G471" s="6">
        <v>11145</v>
      </c>
      <c r="H471" t="str">
        <f>IFERROR(VLOOKUP(F471,'LEAID Match'!$A$2:$B$142,2,FALSE),"")</f>
        <v/>
      </c>
    </row>
    <row r="472" spans="1:8" x14ac:dyDescent="0.2">
      <c r="A472" t="str">
        <f t="shared" si="7"/>
        <v/>
      </c>
      <c r="B472">
        <v>2016</v>
      </c>
      <c r="C472" s="1" t="s">
        <v>2505</v>
      </c>
      <c r="D472" s="1" t="s">
        <v>2506</v>
      </c>
      <c r="E472" s="1" t="s">
        <v>2019</v>
      </c>
      <c r="F472" s="1" t="s">
        <v>48</v>
      </c>
      <c r="G472" s="12">
        <v>11660</v>
      </c>
      <c r="H472" t="str">
        <f>IFERROR(VLOOKUP(F472,'LEAID Match'!$A$2:$B$142,2,FALSE),"")</f>
        <v/>
      </c>
    </row>
    <row r="473" spans="1:8" x14ac:dyDescent="0.2">
      <c r="A473" t="str">
        <f t="shared" si="7"/>
        <v/>
      </c>
      <c r="B473" s="1">
        <v>2017</v>
      </c>
      <c r="C473" s="1" t="s">
        <v>2505</v>
      </c>
      <c r="D473" s="1" t="s">
        <v>2506</v>
      </c>
      <c r="E473" s="1" t="s">
        <v>2019</v>
      </c>
      <c r="F473" s="1" t="s">
        <v>48</v>
      </c>
      <c r="G473" s="49">
        <v>10711</v>
      </c>
      <c r="H473" t="str">
        <f>IFERROR(VLOOKUP(F473,'LEAID Match'!$A$2:$B$142,2,FALSE),"")</f>
        <v/>
      </c>
    </row>
    <row r="474" spans="1:8" x14ac:dyDescent="0.2">
      <c r="A474" t="str">
        <f t="shared" si="7"/>
        <v/>
      </c>
      <c r="B474" s="1">
        <v>2018</v>
      </c>
      <c r="C474" s="1" t="s">
        <v>2505</v>
      </c>
      <c r="D474" s="1" t="s">
        <v>2506</v>
      </c>
      <c r="E474" s="1" t="s">
        <v>2019</v>
      </c>
      <c r="F474" s="1" t="s">
        <v>48</v>
      </c>
      <c r="G474" s="6">
        <v>11650</v>
      </c>
      <c r="H474" t="str">
        <f>IFERROR(VLOOKUP(F474,'LEAID Match'!$A$2:$B$142,2,FALSE),"")</f>
        <v/>
      </c>
    </row>
    <row r="475" spans="1:8" x14ac:dyDescent="0.2">
      <c r="A475" t="str">
        <f t="shared" si="7"/>
        <v/>
      </c>
      <c r="B475" s="1">
        <v>2019</v>
      </c>
      <c r="C475" s="1" t="s">
        <v>2505</v>
      </c>
      <c r="D475" s="1" t="s">
        <v>2506</v>
      </c>
      <c r="E475" s="1" t="s">
        <v>2019</v>
      </c>
      <c r="F475" s="1" t="s">
        <v>48</v>
      </c>
      <c r="G475" s="6">
        <v>12054</v>
      </c>
      <c r="H475" t="str">
        <f>IFERROR(VLOOKUP(F475,'LEAID Match'!$A$2:$B$142,2,FALSE),"")</f>
        <v/>
      </c>
    </row>
    <row r="476" spans="1:8" x14ac:dyDescent="0.2">
      <c r="A476" t="str">
        <f t="shared" si="7"/>
        <v/>
      </c>
      <c r="B476" s="1">
        <v>2020</v>
      </c>
      <c r="C476" s="1" t="s">
        <v>2505</v>
      </c>
      <c r="D476" s="1" t="s">
        <v>2506</v>
      </c>
      <c r="E476" s="1" t="s">
        <v>2019</v>
      </c>
      <c r="F476" s="1" t="s">
        <v>48</v>
      </c>
      <c r="G476" s="6">
        <v>13614</v>
      </c>
      <c r="H476" t="str">
        <f>IFERROR(VLOOKUP(F476,'LEAID Match'!$A$2:$B$142,2,FALSE),"")</f>
        <v/>
      </c>
    </row>
    <row r="477" spans="1:8" x14ac:dyDescent="0.2">
      <c r="A477" t="str">
        <f t="shared" si="7"/>
        <v/>
      </c>
      <c r="B477" s="1">
        <v>2021</v>
      </c>
      <c r="C477" s="1" t="s">
        <v>2505</v>
      </c>
      <c r="D477" s="1" t="s">
        <v>2506</v>
      </c>
      <c r="E477" s="1" t="s">
        <v>2019</v>
      </c>
      <c r="F477" s="1" t="s">
        <v>48</v>
      </c>
      <c r="G477" s="6">
        <v>13614</v>
      </c>
      <c r="H477" t="str">
        <f>IFERROR(VLOOKUP(F477,'LEAID Match'!$A$2:$B$142,2,FALSE),"")</f>
        <v/>
      </c>
    </row>
    <row r="478" spans="1:8" x14ac:dyDescent="0.2">
      <c r="A478" t="str">
        <f t="shared" si="7"/>
        <v/>
      </c>
      <c r="B478" s="1">
        <v>2022</v>
      </c>
      <c r="C478" s="1" t="s">
        <v>2505</v>
      </c>
      <c r="D478" s="1" t="s">
        <v>2506</v>
      </c>
      <c r="E478" s="1" t="s">
        <v>2019</v>
      </c>
      <c r="F478" s="1" t="s">
        <v>48</v>
      </c>
      <c r="G478" s="6">
        <v>13831</v>
      </c>
      <c r="H478" t="str">
        <f>IFERROR(VLOOKUP(F478,'LEAID Match'!$A$2:$B$142,2,FALSE),"")</f>
        <v/>
      </c>
    </row>
    <row r="479" spans="1:8" x14ac:dyDescent="0.2">
      <c r="A479" t="str">
        <f t="shared" si="7"/>
        <v/>
      </c>
      <c r="B479" s="1">
        <v>2023</v>
      </c>
      <c r="C479" s="1" t="s">
        <v>2505</v>
      </c>
      <c r="D479" s="1" t="s">
        <v>2506</v>
      </c>
      <c r="E479" s="1" t="s">
        <v>2019</v>
      </c>
      <c r="F479" s="1" t="s">
        <v>48</v>
      </c>
      <c r="G479" s="6">
        <v>12152</v>
      </c>
      <c r="H479" t="str">
        <f>IFERROR(VLOOKUP(F479,'LEAID Match'!$A$2:$B$142,2,FALSE),"")</f>
        <v/>
      </c>
    </row>
    <row r="480" spans="1:8" x14ac:dyDescent="0.2">
      <c r="A480" t="str">
        <f t="shared" si="7"/>
        <v/>
      </c>
      <c r="B480" s="1">
        <v>2024</v>
      </c>
      <c r="C480" s="1" t="s">
        <v>2505</v>
      </c>
      <c r="D480" s="1" t="s">
        <v>2506</v>
      </c>
      <c r="E480" s="1" t="s">
        <v>2019</v>
      </c>
      <c r="F480" s="1" t="s">
        <v>48</v>
      </c>
      <c r="G480" s="6">
        <v>11916</v>
      </c>
      <c r="H480" t="str">
        <f>IFERROR(VLOOKUP(F480,'LEAID Match'!$A$2:$B$142,2,FALSE),"")</f>
        <v/>
      </c>
    </row>
    <row r="481" spans="1:8" x14ac:dyDescent="0.2">
      <c r="A481" t="str">
        <f t="shared" si="7"/>
        <v/>
      </c>
      <c r="B481" s="1">
        <v>2015</v>
      </c>
      <c r="C481" s="1" t="s">
        <v>2505</v>
      </c>
      <c r="D481" s="1" t="s">
        <v>2506</v>
      </c>
      <c r="E481" s="1" t="s">
        <v>2019</v>
      </c>
      <c r="F481" s="1" t="s">
        <v>49</v>
      </c>
      <c r="G481" s="6">
        <v>20637</v>
      </c>
      <c r="H481" t="str">
        <f>IFERROR(VLOOKUP(F481,'LEAID Match'!$A$2:$B$142,2,FALSE),"")</f>
        <v/>
      </c>
    </row>
    <row r="482" spans="1:8" x14ac:dyDescent="0.2">
      <c r="A482" t="str">
        <f t="shared" si="7"/>
        <v/>
      </c>
      <c r="B482">
        <v>2016</v>
      </c>
      <c r="C482" s="1" t="s">
        <v>2505</v>
      </c>
      <c r="D482" s="1" t="s">
        <v>2506</v>
      </c>
      <c r="E482" s="1" t="s">
        <v>2019</v>
      </c>
      <c r="F482" s="1" t="s">
        <v>49</v>
      </c>
      <c r="G482" s="12">
        <v>18423</v>
      </c>
      <c r="H482" t="str">
        <f>IFERROR(VLOOKUP(F482,'LEAID Match'!$A$2:$B$142,2,FALSE),"")</f>
        <v/>
      </c>
    </row>
    <row r="483" spans="1:8" x14ac:dyDescent="0.2">
      <c r="A483" t="str">
        <f t="shared" si="7"/>
        <v/>
      </c>
      <c r="B483" s="1">
        <v>2017</v>
      </c>
      <c r="C483" s="1" t="s">
        <v>2505</v>
      </c>
      <c r="D483" s="1" t="s">
        <v>2506</v>
      </c>
      <c r="E483" s="1" t="s">
        <v>2019</v>
      </c>
      <c r="F483" s="1" t="s">
        <v>49</v>
      </c>
      <c r="G483" s="49">
        <v>16964</v>
      </c>
      <c r="H483" t="str">
        <f>IFERROR(VLOOKUP(F483,'LEAID Match'!$A$2:$B$142,2,FALSE),"")</f>
        <v/>
      </c>
    </row>
    <row r="484" spans="1:8" x14ac:dyDescent="0.2">
      <c r="A484" t="str">
        <f t="shared" si="7"/>
        <v/>
      </c>
      <c r="B484" s="1">
        <v>2018</v>
      </c>
      <c r="C484" s="1" t="s">
        <v>2505</v>
      </c>
      <c r="D484" s="1" t="s">
        <v>2506</v>
      </c>
      <c r="E484" s="1" t="s">
        <v>2019</v>
      </c>
      <c r="F484" s="1" t="s">
        <v>49</v>
      </c>
      <c r="G484" s="6">
        <v>21144</v>
      </c>
      <c r="H484" t="str">
        <f>IFERROR(VLOOKUP(F484,'LEAID Match'!$A$2:$B$142,2,FALSE),"")</f>
        <v/>
      </c>
    </row>
    <row r="485" spans="1:8" x14ac:dyDescent="0.2">
      <c r="A485" t="str">
        <f t="shared" si="7"/>
        <v/>
      </c>
      <c r="B485" s="1">
        <v>2019</v>
      </c>
      <c r="C485" s="1" t="s">
        <v>2505</v>
      </c>
      <c r="D485" s="1" t="s">
        <v>2506</v>
      </c>
      <c r="E485" s="1" t="s">
        <v>2019</v>
      </c>
      <c r="F485" s="1" t="s">
        <v>49</v>
      </c>
      <c r="G485" s="6">
        <v>20114</v>
      </c>
      <c r="H485" t="str">
        <f>IFERROR(VLOOKUP(F485,'LEAID Match'!$A$2:$B$142,2,FALSE),"")</f>
        <v/>
      </c>
    </row>
    <row r="486" spans="1:8" x14ac:dyDescent="0.2">
      <c r="A486" t="str">
        <f t="shared" si="7"/>
        <v/>
      </c>
      <c r="B486" s="1">
        <v>2020</v>
      </c>
      <c r="C486" s="1" t="s">
        <v>2505</v>
      </c>
      <c r="D486" s="1" t="s">
        <v>2506</v>
      </c>
      <c r="E486" s="1" t="s">
        <v>2019</v>
      </c>
      <c r="F486" s="1" t="s">
        <v>49</v>
      </c>
      <c r="G486" s="6">
        <v>22683</v>
      </c>
      <c r="H486" t="str">
        <f>IFERROR(VLOOKUP(F486,'LEAID Match'!$A$2:$B$142,2,FALSE),"")</f>
        <v/>
      </c>
    </row>
    <row r="487" spans="1:8" x14ac:dyDescent="0.2">
      <c r="A487" t="str">
        <f t="shared" si="7"/>
        <v/>
      </c>
      <c r="B487" s="1">
        <v>2021</v>
      </c>
      <c r="C487" s="1" t="s">
        <v>2505</v>
      </c>
      <c r="D487" s="1" t="s">
        <v>2506</v>
      </c>
      <c r="E487" s="1" t="s">
        <v>2019</v>
      </c>
      <c r="F487" s="1" t="s">
        <v>49</v>
      </c>
      <c r="G487" s="6">
        <v>20659</v>
      </c>
      <c r="H487" t="str">
        <f>IFERROR(VLOOKUP(F487,'LEAID Match'!$A$2:$B$142,2,FALSE),"")</f>
        <v/>
      </c>
    </row>
    <row r="488" spans="1:8" x14ac:dyDescent="0.2">
      <c r="A488" t="str">
        <f t="shared" si="7"/>
        <v/>
      </c>
      <c r="B488" s="1">
        <v>2022</v>
      </c>
      <c r="C488" s="1" t="s">
        <v>2505</v>
      </c>
      <c r="D488" s="1" t="s">
        <v>2506</v>
      </c>
      <c r="E488" s="1" t="s">
        <v>2019</v>
      </c>
      <c r="F488" s="1" t="s">
        <v>49</v>
      </c>
      <c r="G488" s="6">
        <v>15177</v>
      </c>
      <c r="H488" t="str">
        <f>IFERROR(VLOOKUP(F488,'LEAID Match'!$A$2:$B$142,2,FALSE),"")</f>
        <v/>
      </c>
    </row>
    <row r="489" spans="1:8" x14ac:dyDescent="0.2">
      <c r="A489" t="str">
        <f t="shared" si="7"/>
        <v/>
      </c>
      <c r="B489" s="1">
        <v>2023</v>
      </c>
      <c r="C489" s="1" t="s">
        <v>2505</v>
      </c>
      <c r="D489" s="1" t="s">
        <v>2506</v>
      </c>
      <c r="E489" s="1" t="s">
        <v>2019</v>
      </c>
      <c r="F489" s="1" t="s">
        <v>49</v>
      </c>
      <c r="G489" s="6">
        <v>18648</v>
      </c>
      <c r="H489" t="str">
        <f>IFERROR(VLOOKUP(F489,'LEAID Match'!$A$2:$B$142,2,FALSE),"")</f>
        <v/>
      </c>
    </row>
    <row r="490" spans="1:8" x14ac:dyDescent="0.2">
      <c r="A490" t="str">
        <f t="shared" si="7"/>
        <v/>
      </c>
      <c r="B490" s="1">
        <v>2024</v>
      </c>
      <c r="C490" s="1" t="s">
        <v>2505</v>
      </c>
      <c r="D490" s="1" t="s">
        <v>2506</v>
      </c>
      <c r="E490" s="1" t="s">
        <v>2019</v>
      </c>
      <c r="F490" s="1" t="s">
        <v>49</v>
      </c>
      <c r="G490" s="6">
        <v>20275</v>
      </c>
      <c r="H490" t="str">
        <f>IFERROR(VLOOKUP(F490,'LEAID Match'!$A$2:$B$142,2,FALSE),"")</f>
        <v/>
      </c>
    </row>
    <row r="491" spans="1:8" x14ac:dyDescent="0.2">
      <c r="A491" t="str">
        <f t="shared" si="7"/>
        <v/>
      </c>
      <c r="B491" s="1">
        <v>2015</v>
      </c>
      <c r="C491" s="1" t="s">
        <v>2505</v>
      </c>
      <c r="D491" s="1" t="s">
        <v>2506</v>
      </c>
      <c r="E491" s="1" t="s">
        <v>2019</v>
      </c>
      <c r="F491" s="1" t="s">
        <v>50</v>
      </c>
      <c r="G491" s="6">
        <v>4221111</v>
      </c>
      <c r="H491" t="str">
        <f>IFERROR(VLOOKUP(F491,'LEAID Match'!$A$2:$B$142,2,FALSE),"")</f>
        <v/>
      </c>
    </row>
    <row r="492" spans="1:8" x14ac:dyDescent="0.2">
      <c r="A492" t="str">
        <f t="shared" si="7"/>
        <v/>
      </c>
      <c r="B492">
        <v>2016</v>
      </c>
      <c r="C492" s="1" t="s">
        <v>2505</v>
      </c>
      <c r="D492" s="1" t="s">
        <v>2506</v>
      </c>
      <c r="E492" s="1" t="s">
        <v>2019</v>
      </c>
      <c r="F492" s="1" t="s">
        <v>50</v>
      </c>
      <c r="G492" s="12">
        <v>4349855</v>
      </c>
      <c r="H492" t="str">
        <f>IFERROR(VLOOKUP(F492,'LEAID Match'!$A$2:$B$142,2,FALSE),"")</f>
        <v/>
      </c>
    </row>
    <row r="493" spans="1:8" x14ac:dyDescent="0.2">
      <c r="A493" t="str">
        <f t="shared" si="7"/>
        <v/>
      </c>
      <c r="B493" s="1">
        <v>2017</v>
      </c>
      <c r="C493" s="1" t="s">
        <v>2505</v>
      </c>
      <c r="D493" s="1" t="s">
        <v>2506</v>
      </c>
      <c r="E493" s="1" t="s">
        <v>2019</v>
      </c>
      <c r="F493" s="1" t="s">
        <v>50</v>
      </c>
      <c r="G493" s="49">
        <v>4791851</v>
      </c>
      <c r="H493" t="str">
        <f>IFERROR(VLOOKUP(F493,'LEAID Match'!$A$2:$B$142,2,FALSE),"")</f>
        <v/>
      </c>
    </row>
    <row r="494" spans="1:8" x14ac:dyDescent="0.2">
      <c r="A494" t="str">
        <f t="shared" si="7"/>
        <v/>
      </c>
      <c r="B494" s="1">
        <v>2018</v>
      </c>
      <c r="C494" s="1" t="s">
        <v>2505</v>
      </c>
      <c r="D494" s="1" t="s">
        <v>2506</v>
      </c>
      <c r="E494" s="1" t="s">
        <v>2019</v>
      </c>
      <c r="F494" s="1" t="s">
        <v>50</v>
      </c>
      <c r="G494" s="6">
        <v>4636963</v>
      </c>
      <c r="H494" t="str">
        <f>IFERROR(VLOOKUP(F494,'LEAID Match'!$A$2:$B$142,2,FALSE),"")</f>
        <v/>
      </c>
    </row>
    <row r="495" spans="1:8" x14ac:dyDescent="0.2">
      <c r="A495" t="str">
        <f t="shared" si="7"/>
        <v/>
      </c>
      <c r="B495" s="1">
        <v>2019</v>
      </c>
      <c r="C495" s="1" t="s">
        <v>2505</v>
      </c>
      <c r="D495" s="1" t="s">
        <v>2506</v>
      </c>
      <c r="E495" s="1" t="s">
        <v>2019</v>
      </c>
      <c r="F495" s="1" t="s">
        <v>50</v>
      </c>
      <c r="G495" s="6">
        <v>4716514</v>
      </c>
      <c r="H495" t="str">
        <f>IFERROR(VLOOKUP(F495,'LEAID Match'!$A$2:$B$142,2,FALSE),"")</f>
        <v/>
      </c>
    </row>
    <row r="496" spans="1:8" x14ac:dyDescent="0.2">
      <c r="A496" t="str">
        <f t="shared" si="7"/>
        <v/>
      </c>
      <c r="B496" s="1">
        <v>2020</v>
      </c>
      <c r="C496" s="1" t="s">
        <v>2505</v>
      </c>
      <c r="D496" s="1" t="s">
        <v>2506</v>
      </c>
      <c r="E496" s="1" t="s">
        <v>2019</v>
      </c>
      <c r="F496" s="1" t="s">
        <v>50</v>
      </c>
      <c r="G496" s="6">
        <v>5359466</v>
      </c>
      <c r="H496" t="str">
        <f>IFERROR(VLOOKUP(F496,'LEAID Match'!$A$2:$B$142,2,FALSE),"")</f>
        <v/>
      </c>
    </row>
    <row r="497" spans="1:8" x14ac:dyDescent="0.2">
      <c r="A497" t="str">
        <f t="shared" si="7"/>
        <v/>
      </c>
      <c r="B497" s="1">
        <v>2021</v>
      </c>
      <c r="C497" s="1" t="s">
        <v>2505</v>
      </c>
      <c r="D497" s="1" t="s">
        <v>2506</v>
      </c>
      <c r="E497" s="1" t="s">
        <v>2019</v>
      </c>
      <c r="F497" s="1" t="s">
        <v>50</v>
      </c>
      <c r="G497" s="6">
        <v>5182454</v>
      </c>
      <c r="H497" t="str">
        <f>IFERROR(VLOOKUP(F497,'LEAID Match'!$A$2:$B$142,2,FALSE),"")</f>
        <v/>
      </c>
    </row>
    <row r="498" spans="1:8" x14ac:dyDescent="0.2">
      <c r="A498" t="str">
        <f t="shared" si="7"/>
        <v/>
      </c>
      <c r="B498" s="1">
        <v>2022</v>
      </c>
      <c r="C498" s="1" t="s">
        <v>2505</v>
      </c>
      <c r="D498" s="1" t="s">
        <v>2506</v>
      </c>
      <c r="E498" s="1" t="s">
        <v>2019</v>
      </c>
      <c r="F498" s="1" t="s">
        <v>50</v>
      </c>
      <c r="G498" s="6">
        <v>5278287</v>
      </c>
      <c r="H498" t="str">
        <f>IFERROR(VLOOKUP(F498,'LEAID Match'!$A$2:$B$142,2,FALSE),"")</f>
        <v/>
      </c>
    </row>
    <row r="499" spans="1:8" x14ac:dyDescent="0.2">
      <c r="A499" t="str">
        <f t="shared" si="7"/>
        <v/>
      </c>
      <c r="B499" s="1">
        <v>2023</v>
      </c>
      <c r="C499" s="1" t="s">
        <v>2505</v>
      </c>
      <c r="D499" s="1" t="s">
        <v>2506</v>
      </c>
      <c r="E499" s="1" t="s">
        <v>2019</v>
      </c>
      <c r="F499" s="1" t="s">
        <v>50</v>
      </c>
      <c r="G499" s="6">
        <v>5545688</v>
      </c>
      <c r="H499" t="str">
        <f>IFERROR(VLOOKUP(F499,'LEAID Match'!$A$2:$B$142,2,FALSE),"")</f>
        <v/>
      </c>
    </row>
    <row r="500" spans="1:8" x14ac:dyDescent="0.2">
      <c r="A500" t="str">
        <f t="shared" si="7"/>
        <v/>
      </c>
      <c r="B500" s="1">
        <v>2024</v>
      </c>
      <c r="C500" s="1" t="s">
        <v>2505</v>
      </c>
      <c r="D500" s="1" t="s">
        <v>2506</v>
      </c>
      <c r="E500" s="1" t="s">
        <v>2019</v>
      </c>
      <c r="F500" s="1" t="s">
        <v>50</v>
      </c>
      <c r="G500" s="6">
        <v>5975695</v>
      </c>
      <c r="H500" t="str">
        <f>IFERROR(VLOOKUP(F500,'LEAID Match'!$A$2:$B$142,2,FALSE),"")</f>
        <v/>
      </c>
    </row>
    <row r="501" spans="1:8" x14ac:dyDescent="0.2">
      <c r="A501" t="str">
        <f t="shared" si="7"/>
        <v/>
      </c>
      <c r="B501" s="1">
        <v>2015</v>
      </c>
      <c r="C501" s="1" t="s">
        <v>2505</v>
      </c>
      <c r="D501" s="1" t="s">
        <v>2506</v>
      </c>
      <c r="E501" s="1" t="s">
        <v>2019</v>
      </c>
      <c r="F501" s="1" t="s">
        <v>51</v>
      </c>
      <c r="G501" s="6">
        <v>319610</v>
      </c>
      <c r="H501" t="str">
        <f>IFERROR(VLOOKUP(F501,'LEAID Match'!$A$2:$B$142,2,FALSE),"")</f>
        <v/>
      </c>
    </row>
    <row r="502" spans="1:8" x14ac:dyDescent="0.2">
      <c r="A502" t="str">
        <f t="shared" si="7"/>
        <v/>
      </c>
      <c r="B502">
        <v>2016</v>
      </c>
      <c r="C502" s="1" t="s">
        <v>2505</v>
      </c>
      <c r="D502" s="1" t="s">
        <v>2506</v>
      </c>
      <c r="E502" s="1" t="s">
        <v>2019</v>
      </c>
      <c r="F502" s="1" t="s">
        <v>51</v>
      </c>
      <c r="G502" s="12">
        <v>307956</v>
      </c>
      <c r="H502" t="str">
        <f>IFERROR(VLOOKUP(F502,'LEAID Match'!$A$2:$B$142,2,FALSE),"")</f>
        <v/>
      </c>
    </row>
    <row r="503" spans="1:8" x14ac:dyDescent="0.2">
      <c r="A503" t="str">
        <f t="shared" si="7"/>
        <v/>
      </c>
      <c r="B503" s="1">
        <v>2017</v>
      </c>
      <c r="C503" s="1" t="s">
        <v>2505</v>
      </c>
      <c r="D503" s="1" t="s">
        <v>2506</v>
      </c>
      <c r="E503" s="1" t="s">
        <v>2019</v>
      </c>
      <c r="F503" s="1" t="s">
        <v>51</v>
      </c>
      <c r="G503" s="49">
        <v>273386</v>
      </c>
      <c r="H503" t="str">
        <f>IFERROR(VLOOKUP(F503,'LEAID Match'!$A$2:$B$142,2,FALSE),"")</f>
        <v/>
      </c>
    </row>
    <row r="504" spans="1:8" x14ac:dyDescent="0.2">
      <c r="A504" t="str">
        <f t="shared" si="7"/>
        <v/>
      </c>
      <c r="B504" s="1">
        <v>2018</v>
      </c>
      <c r="C504" s="1" t="s">
        <v>2505</v>
      </c>
      <c r="D504" s="1" t="s">
        <v>2506</v>
      </c>
      <c r="E504" s="1" t="s">
        <v>2019</v>
      </c>
      <c r="F504" s="1" t="s">
        <v>51</v>
      </c>
      <c r="G504" s="6">
        <v>287275</v>
      </c>
      <c r="H504" t="str">
        <f>IFERROR(VLOOKUP(F504,'LEAID Match'!$A$2:$B$142,2,FALSE),"")</f>
        <v/>
      </c>
    </row>
    <row r="505" spans="1:8" x14ac:dyDescent="0.2">
      <c r="A505" t="str">
        <f t="shared" si="7"/>
        <v/>
      </c>
      <c r="B505" s="1">
        <v>2019</v>
      </c>
      <c r="C505" s="1" t="s">
        <v>2505</v>
      </c>
      <c r="D505" s="1" t="s">
        <v>2506</v>
      </c>
      <c r="E505" s="1" t="s">
        <v>2019</v>
      </c>
      <c r="F505" s="1" t="s">
        <v>51</v>
      </c>
      <c r="G505" s="6">
        <v>285940</v>
      </c>
      <c r="H505" t="str">
        <f>IFERROR(VLOOKUP(F505,'LEAID Match'!$A$2:$B$142,2,FALSE),"")</f>
        <v/>
      </c>
    </row>
    <row r="506" spans="1:8" x14ac:dyDescent="0.2">
      <c r="A506" t="str">
        <f t="shared" si="7"/>
        <v/>
      </c>
      <c r="B506" s="1">
        <v>2020</v>
      </c>
      <c r="C506" s="1" t="s">
        <v>2505</v>
      </c>
      <c r="D506" s="1" t="s">
        <v>2506</v>
      </c>
      <c r="E506" s="1" t="s">
        <v>2019</v>
      </c>
      <c r="F506" s="1" t="s">
        <v>51</v>
      </c>
      <c r="G506" s="6">
        <v>342035</v>
      </c>
      <c r="H506" t="str">
        <f>IFERROR(VLOOKUP(F506,'LEAID Match'!$A$2:$B$142,2,FALSE),"")</f>
        <v/>
      </c>
    </row>
    <row r="507" spans="1:8" x14ac:dyDescent="0.2">
      <c r="A507" t="str">
        <f t="shared" si="7"/>
        <v/>
      </c>
      <c r="B507" s="1">
        <v>2021</v>
      </c>
      <c r="C507" s="1" t="s">
        <v>2505</v>
      </c>
      <c r="D507" s="1" t="s">
        <v>2506</v>
      </c>
      <c r="E507" s="1" t="s">
        <v>2019</v>
      </c>
      <c r="F507" s="1" t="s">
        <v>51</v>
      </c>
      <c r="G507" s="6">
        <v>346747</v>
      </c>
      <c r="H507" t="str">
        <f>IFERROR(VLOOKUP(F507,'LEAID Match'!$A$2:$B$142,2,FALSE),"")</f>
        <v/>
      </c>
    </row>
    <row r="508" spans="1:8" x14ac:dyDescent="0.2">
      <c r="A508" t="str">
        <f t="shared" si="7"/>
        <v/>
      </c>
      <c r="B508" s="1">
        <v>2022</v>
      </c>
      <c r="C508" s="1" t="s">
        <v>2505</v>
      </c>
      <c r="D508" s="1" t="s">
        <v>2506</v>
      </c>
      <c r="E508" s="1" t="s">
        <v>2019</v>
      </c>
      <c r="F508" s="1" t="s">
        <v>51</v>
      </c>
      <c r="G508" s="6">
        <v>357183</v>
      </c>
      <c r="H508" t="str">
        <f>IFERROR(VLOOKUP(F508,'LEAID Match'!$A$2:$B$142,2,FALSE),"")</f>
        <v/>
      </c>
    </row>
    <row r="509" spans="1:8" x14ac:dyDescent="0.2">
      <c r="A509" t="str">
        <f t="shared" si="7"/>
        <v/>
      </c>
      <c r="B509" s="1">
        <v>2023</v>
      </c>
      <c r="C509" s="1" t="s">
        <v>2505</v>
      </c>
      <c r="D509" s="1" t="s">
        <v>2506</v>
      </c>
      <c r="E509" s="1" t="s">
        <v>2019</v>
      </c>
      <c r="F509" s="1" t="s">
        <v>51</v>
      </c>
      <c r="G509" s="6">
        <v>389850</v>
      </c>
      <c r="H509" t="str">
        <f>IFERROR(VLOOKUP(F509,'LEAID Match'!$A$2:$B$142,2,FALSE),"")</f>
        <v/>
      </c>
    </row>
    <row r="510" spans="1:8" x14ac:dyDescent="0.2">
      <c r="A510" t="str">
        <f t="shared" si="7"/>
        <v/>
      </c>
      <c r="B510" s="1">
        <v>2024</v>
      </c>
      <c r="C510" s="1" t="s">
        <v>2505</v>
      </c>
      <c r="D510" s="1" t="s">
        <v>2506</v>
      </c>
      <c r="E510" s="1" t="s">
        <v>2019</v>
      </c>
      <c r="F510" s="1" t="s">
        <v>51</v>
      </c>
      <c r="G510" s="6">
        <v>385531</v>
      </c>
      <c r="H510" t="str">
        <f>IFERROR(VLOOKUP(F510,'LEAID Match'!$A$2:$B$142,2,FALSE),"")</f>
        <v/>
      </c>
    </row>
    <row r="511" spans="1:8" x14ac:dyDescent="0.2">
      <c r="A511">
        <f t="shared" si="7"/>
        <v>2800630</v>
      </c>
      <c r="B511" s="1">
        <v>2015</v>
      </c>
      <c r="C511" s="1" t="s">
        <v>2505</v>
      </c>
      <c r="D511" s="1" t="s">
        <v>2506</v>
      </c>
      <c r="E511" s="1" t="s">
        <v>2019</v>
      </c>
      <c r="F511" s="1" t="s">
        <v>52</v>
      </c>
      <c r="G511" s="6">
        <v>4640806</v>
      </c>
      <c r="H511">
        <f>IFERROR(VLOOKUP(F511,'LEAID Match'!$A$2:$B$142,2,FALSE),"")</f>
        <v>2800630</v>
      </c>
    </row>
    <row r="512" spans="1:8" x14ac:dyDescent="0.2">
      <c r="A512">
        <f t="shared" si="7"/>
        <v>2800630</v>
      </c>
      <c r="B512">
        <v>2016</v>
      </c>
      <c r="C512" s="1" t="s">
        <v>2505</v>
      </c>
      <c r="D512" s="1" t="s">
        <v>2506</v>
      </c>
      <c r="E512" s="1" t="s">
        <v>2019</v>
      </c>
      <c r="F512" s="1" t="s">
        <v>52</v>
      </c>
      <c r="G512" s="12">
        <v>4760960</v>
      </c>
      <c r="H512">
        <f>IFERROR(VLOOKUP(F512,'LEAID Match'!$A$2:$B$142,2,FALSE),"")</f>
        <v>2800630</v>
      </c>
    </row>
    <row r="513" spans="1:8" x14ac:dyDescent="0.2">
      <c r="A513">
        <f t="shared" si="7"/>
        <v>2800630</v>
      </c>
      <c r="B513" s="1">
        <v>2017</v>
      </c>
      <c r="C513" s="1" t="s">
        <v>2505</v>
      </c>
      <c r="D513" s="1" t="s">
        <v>2506</v>
      </c>
      <c r="E513" s="1" t="s">
        <v>2019</v>
      </c>
      <c r="F513" s="1" t="s">
        <v>52</v>
      </c>
      <c r="G513" s="49">
        <v>4925267</v>
      </c>
      <c r="H513">
        <f>IFERROR(VLOOKUP(F513,'LEAID Match'!$A$2:$B$142,2,FALSE),"")</f>
        <v>2800630</v>
      </c>
    </row>
    <row r="514" spans="1:8" x14ac:dyDescent="0.2">
      <c r="A514">
        <f t="shared" si="7"/>
        <v>2800630</v>
      </c>
      <c r="B514" s="1">
        <v>2018</v>
      </c>
      <c r="C514" s="1" t="s">
        <v>2505</v>
      </c>
      <c r="D514" s="1" t="s">
        <v>2506</v>
      </c>
      <c r="E514" s="1" t="s">
        <v>2019</v>
      </c>
      <c r="F514" s="1" t="s">
        <v>52</v>
      </c>
      <c r="G514" s="6">
        <v>5039879</v>
      </c>
      <c r="H514">
        <f>IFERROR(VLOOKUP(F514,'LEAID Match'!$A$2:$B$142,2,FALSE),"")</f>
        <v>2800630</v>
      </c>
    </row>
    <row r="515" spans="1:8" x14ac:dyDescent="0.2">
      <c r="A515">
        <f t="shared" ref="A515:A578" si="8">H515</f>
        <v>2800630</v>
      </c>
      <c r="B515" s="1">
        <v>2019</v>
      </c>
      <c r="C515" s="1" t="s">
        <v>2505</v>
      </c>
      <c r="D515" s="1" t="s">
        <v>2506</v>
      </c>
      <c r="E515" s="1" t="s">
        <v>2019</v>
      </c>
      <c r="F515" s="1" t="s">
        <v>52</v>
      </c>
      <c r="G515" s="6">
        <v>5199389</v>
      </c>
      <c r="H515">
        <f>IFERROR(VLOOKUP(F515,'LEAID Match'!$A$2:$B$142,2,FALSE),"")</f>
        <v>2800630</v>
      </c>
    </row>
    <row r="516" spans="1:8" x14ac:dyDescent="0.2">
      <c r="A516">
        <f t="shared" si="8"/>
        <v>2800630</v>
      </c>
      <c r="B516" s="1">
        <v>2020</v>
      </c>
      <c r="C516" s="1" t="s">
        <v>2505</v>
      </c>
      <c r="D516" s="1" t="s">
        <v>2506</v>
      </c>
      <c r="E516" s="1" t="s">
        <v>2019</v>
      </c>
      <c r="F516" s="1" t="s">
        <v>52</v>
      </c>
      <c r="G516" s="6">
        <v>6021888</v>
      </c>
      <c r="H516">
        <f>IFERROR(VLOOKUP(F516,'LEAID Match'!$A$2:$B$142,2,FALSE),"")</f>
        <v>2800630</v>
      </c>
    </row>
    <row r="517" spans="1:8" x14ac:dyDescent="0.2">
      <c r="A517">
        <f t="shared" si="8"/>
        <v>2800630</v>
      </c>
      <c r="B517" s="1">
        <v>2021</v>
      </c>
      <c r="C517" s="1" t="s">
        <v>2505</v>
      </c>
      <c r="D517" s="1" t="s">
        <v>2506</v>
      </c>
      <c r="E517" s="1" t="s">
        <v>2019</v>
      </c>
      <c r="F517" s="1" t="s">
        <v>52</v>
      </c>
      <c r="G517" s="6">
        <v>6144491</v>
      </c>
      <c r="H517">
        <f>IFERROR(VLOOKUP(F517,'LEAID Match'!$A$2:$B$142,2,FALSE),"")</f>
        <v>2800630</v>
      </c>
    </row>
    <row r="518" spans="1:8" x14ac:dyDescent="0.2">
      <c r="A518">
        <f t="shared" si="8"/>
        <v>2800630</v>
      </c>
      <c r="B518" s="1">
        <v>2022</v>
      </c>
      <c r="C518" s="1" t="s">
        <v>2505</v>
      </c>
      <c r="D518" s="1" t="s">
        <v>2506</v>
      </c>
      <c r="E518" s="1" t="s">
        <v>2019</v>
      </c>
      <c r="F518" s="1" t="s">
        <v>52</v>
      </c>
      <c r="G518" s="6">
        <v>6592780</v>
      </c>
      <c r="H518">
        <f>IFERROR(VLOOKUP(F518,'LEAID Match'!$A$2:$B$142,2,FALSE),"")</f>
        <v>2800630</v>
      </c>
    </row>
    <row r="519" spans="1:8" x14ac:dyDescent="0.2">
      <c r="A519">
        <f t="shared" si="8"/>
        <v>2800630</v>
      </c>
      <c r="B519" s="1">
        <v>2023</v>
      </c>
      <c r="C519" s="1" t="s">
        <v>2505</v>
      </c>
      <c r="D519" s="1" t="s">
        <v>2506</v>
      </c>
      <c r="E519" s="1" t="s">
        <v>2019</v>
      </c>
      <c r="F519" s="1" t="s">
        <v>52</v>
      </c>
      <c r="G519" s="6">
        <v>7121793</v>
      </c>
      <c r="H519">
        <f>IFERROR(VLOOKUP(F519,'LEAID Match'!$A$2:$B$142,2,FALSE),"")</f>
        <v>2800630</v>
      </c>
    </row>
    <row r="520" spans="1:8" x14ac:dyDescent="0.2">
      <c r="A520">
        <f t="shared" si="8"/>
        <v>2800630</v>
      </c>
      <c r="B520" s="1">
        <v>2024</v>
      </c>
      <c r="C520" s="1" t="s">
        <v>2505</v>
      </c>
      <c r="D520" s="1" t="s">
        <v>2506</v>
      </c>
      <c r="E520" s="1" t="s">
        <v>2019</v>
      </c>
      <c r="F520" s="1" t="s">
        <v>52</v>
      </c>
      <c r="G520" s="6">
        <v>7422856</v>
      </c>
      <c r="H520">
        <f>IFERROR(VLOOKUP(F520,'LEAID Match'!$A$2:$B$142,2,FALSE),"")</f>
        <v>2800630</v>
      </c>
    </row>
    <row r="521" spans="1:8" x14ac:dyDescent="0.2">
      <c r="A521" t="str">
        <f t="shared" si="8"/>
        <v/>
      </c>
      <c r="B521" s="1">
        <v>2018</v>
      </c>
      <c r="C521" s="1" t="s">
        <v>2505</v>
      </c>
      <c r="D521" s="1" t="s">
        <v>2506</v>
      </c>
      <c r="E521" s="1" t="s">
        <v>2019</v>
      </c>
      <c r="F521" s="1" t="s">
        <v>53</v>
      </c>
      <c r="G521" s="6">
        <v>10556</v>
      </c>
      <c r="H521" t="str">
        <f>IFERROR(VLOOKUP(F521,'LEAID Match'!$A$2:$B$142,2,FALSE),"")</f>
        <v/>
      </c>
    </row>
    <row r="522" spans="1:8" x14ac:dyDescent="0.2">
      <c r="A522" t="str">
        <f t="shared" si="8"/>
        <v/>
      </c>
      <c r="B522" s="1">
        <v>2019</v>
      </c>
      <c r="C522" s="1" t="s">
        <v>2505</v>
      </c>
      <c r="D522" s="1" t="s">
        <v>2506</v>
      </c>
      <c r="E522" s="1" t="s">
        <v>2019</v>
      </c>
      <c r="F522" s="1" t="s">
        <v>53</v>
      </c>
      <c r="G522" s="6">
        <v>10844</v>
      </c>
      <c r="H522" t="str">
        <f>IFERROR(VLOOKUP(F522,'LEAID Match'!$A$2:$B$142,2,FALSE),"")</f>
        <v/>
      </c>
    </row>
    <row r="523" spans="1:8" x14ac:dyDescent="0.2">
      <c r="A523" t="str">
        <f t="shared" si="8"/>
        <v/>
      </c>
      <c r="B523" s="1">
        <v>2020</v>
      </c>
      <c r="C523" s="1" t="s">
        <v>2505</v>
      </c>
      <c r="D523" s="1" t="s">
        <v>2506</v>
      </c>
      <c r="E523" s="1" t="s">
        <v>2019</v>
      </c>
      <c r="F523" s="1" t="s">
        <v>53</v>
      </c>
      <c r="G523" s="6">
        <v>12187</v>
      </c>
      <c r="H523" t="str">
        <f>IFERROR(VLOOKUP(F523,'LEAID Match'!$A$2:$B$142,2,FALSE),"")</f>
        <v/>
      </c>
    </row>
    <row r="524" spans="1:8" x14ac:dyDescent="0.2">
      <c r="A524" t="str">
        <f t="shared" si="8"/>
        <v/>
      </c>
      <c r="B524" s="1">
        <v>2021</v>
      </c>
      <c r="C524" s="1" t="s">
        <v>2505</v>
      </c>
      <c r="D524" s="1" t="s">
        <v>2506</v>
      </c>
      <c r="E524" s="1" t="s">
        <v>2019</v>
      </c>
      <c r="F524" s="1" t="s">
        <v>53</v>
      </c>
      <c r="G524" s="6">
        <v>12187</v>
      </c>
      <c r="H524" t="str">
        <f>IFERROR(VLOOKUP(F524,'LEAID Match'!$A$2:$B$142,2,FALSE),"")</f>
        <v/>
      </c>
    </row>
    <row r="525" spans="1:8" x14ac:dyDescent="0.2">
      <c r="A525" t="str">
        <f t="shared" si="8"/>
        <v/>
      </c>
      <c r="B525" s="1">
        <v>2022</v>
      </c>
      <c r="C525" s="1" t="s">
        <v>2505</v>
      </c>
      <c r="D525" s="1" t="s">
        <v>2506</v>
      </c>
      <c r="E525" s="1" t="s">
        <v>2019</v>
      </c>
      <c r="F525" s="1" t="s">
        <v>53</v>
      </c>
      <c r="G525" s="6">
        <v>12339</v>
      </c>
      <c r="H525" t="str">
        <f>IFERROR(VLOOKUP(F525,'LEAID Match'!$A$2:$B$142,2,FALSE),"")</f>
        <v/>
      </c>
    </row>
    <row r="526" spans="1:8" x14ac:dyDescent="0.2">
      <c r="A526" t="str">
        <f t="shared" si="8"/>
        <v/>
      </c>
      <c r="B526" s="1">
        <v>2023</v>
      </c>
      <c r="C526" s="1" t="s">
        <v>2505</v>
      </c>
      <c r="D526" s="1" t="s">
        <v>2506</v>
      </c>
      <c r="E526" s="1" t="s">
        <v>2019</v>
      </c>
      <c r="F526" s="1" t="s">
        <v>53</v>
      </c>
      <c r="G526" s="6">
        <v>12553</v>
      </c>
      <c r="H526" t="str">
        <f>IFERROR(VLOOKUP(F526,'LEAID Match'!$A$2:$B$142,2,FALSE),"")</f>
        <v/>
      </c>
    </row>
    <row r="527" spans="1:8" x14ac:dyDescent="0.2">
      <c r="A527" t="str">
        <f t="shared" si="8"/>
        <v/>
      </c>
      <c r="B527" s="1">
        <v>2024</v>
      </c>
      <c r="C527" s="1" t="s">
        <v>2505</v>
      </c>
      <c r="D527" s="1" t="s">
        <v>2506</v>
      </c>
      <c r="E527" s="1" t="s">
        <v>2019</v>
      </c>
      <c r="F527" s="1" t="s">
        <v>53</v>
      </c>
      <c r="G527" s="6">
        <v>12929</v>
      </c>
      <c r="H527" t="str">
        <f>IFERROR(VLOOKUP(F527,'LEAID Match'!$A$2:$B$142,2,FALSE),"")</f>
        <v/>
      </c>
    </row>
    <row r="528" spans="1:8" x14ac:dyDescent="0.2">
      <c r="A528" t="str">
        <f t="shared" si="8"/>
        <v/>
      </c>
      <c r="B528" s="1">
        <v>2015</v>
      </c>
      <c r="C528" s="1" t="s">
        <v>2505</v>
      </c>
      <c r="D528" s="1" t="s">
        <v>2506</v>
      </c>
      <c r="E528" s="1" t="s">
        <v>2019</v>
      </c>
      <c r="F528" s="1" t="s">
        <v>54</v>
      </c>
      <c r="G528" s="6">
        <v>11371</v>
      </c>
      <c r="H528" t="str">
        <f>IFERROR(VLOOKUP(F528,'LEAID Match'!$A$2:$B$142,2,FALSE),"")</f>
        <v/>
      </c>
    </row>
    <row r="529" spans="1:8" x14ac:dyDescent="0.2">
      <c r="A529" t="str">
        <f t="shared" si="8"/>
        <v/>
      </c>
      <c r="B529">
        <v>2016</v>
      </c>
      <c r="C529" s="1" t="s">
        <v>2505</v>
      </c>
      <c r="D529" s="1" t="s">
        <v>2506</v>
      </c>
      <c r="E529" s="1" t="s">
        <v>2019</v>
      </c>
      <c r="F529" s="1" t="s">
        <v>54</v>
      </c>
      <c r="G529" s="12">
        <v>11371</v>
      </c>
      <c r="H529" t="str">
        <f>IFERROR(VLOOKUP(F529,'LEAID Match'!$A$2:$B$142,2,FALSE),"")</f>
        <v/>
      </c>
    </row>
    <row r="530" spans="1:8" x14ac:dyDescent="0.2">
      <c r="A530" t="str">
        <f t="shared" si="8"/>
        <v/>
      </c>
      <c r="B530" s="1">
        <v>2017</v>
      </c>
      <c r="C530" s="1" t="s">
        <v>2505</v>
      </c>
      <c r="D530" s="1" t="s">
        <v>2506</v>
      </c>
      <c r="E530" s="1" t="s">
        <v>2019</v>
      </c>
      <c r="F530" s="1" t="s">
        <v>54</v>
      </c>
      <c r="G530" s="49">
        <v>8021</v>
      </c>
      <c r="H530" t="str">
        <f>IFERROR(VLOOKUP(F530,'LEAID Match'!$A$2:$B$142,2,FALSE),"")</f>
        <v/>
      </c>
    </row>
    <row r="531" spans="1:8" x14ac:dyDescent="0.2">
      <c r="A531" t="str">
        <f t="shared" si="8"/>
        <v/>
      </c>
      <c r="B531" s="1">
        <v>2018</v>
      </c>
      <c r="C531" s="1" t="s">
        <v>2505</v>
      </c>
      <c r="D531" s="1" t="s">
        <v>2506</v>
      </c>
      <c r="E531" s="1" t="s">
        <v>2019</v>
      </c>
      <c r="F531" s="1" t="s">
        <v>54</v>
      </c>
      <c r="G531" s="6">
        <v>7324</v>
      </c>
      <c r="H531" t="str">
        <f>IFERROR(VLOOKUP(F531,'LEAID Match'!$A$2:$B$142,2,FALSE),"")</f>
        <v/>
      </c>
    </row>
    <row r="532" spans="1:8" x14ac:dyDescent="0.2">
      <c r="A532" t="str">
        <f t="shared" si="8"/>
        <v/>
      </c>
      <c r="B532" s="1">
        <v>2019</v>
      </c>
      <c r="C532" s="1" t="s">
        <v>2505</v>
      </c>
      <c r="D532" s="1" t="s">
        <v>2506</v>
      </c>
      <c r="E532" s="1" t="s">
        <v>2019</v>
      </c>
      <c r="F532" s="1" t="s">
        <v>54</v>
      </c>
      <c r="G532" s="6">
        <v>7659</v>
      </c>
      <c r="H532" t="str">
        <f>IFERROR(VLOOKUP(F532,'LEAID Match'!$A$2:$B$142,2,FALSE),"")</f>
        <v/>
      </c>
    </row>
    <row r="533" spans="1:8" x14ac:dyDescent="0.2">
      <c r="A533" t="str">
        <f t="shared" si="8"/>
        <v/>
      </c>
      <c r="B533" s="1">
        <v>2020</v>
      </c>
      <c r="C533" s="1" t="s">
        <v>2505</v>
      </c>
      <c r="D533" s="1" t="s">
        <v>2506</v>
      </c>
      <c r="E533" s="1" t="s">
        <v>2019</v>
      </c>
      <c r="F533" s="1" t="s">
        <v>54</v>
      </c>
      <c r="G533" s="6">
        <v>8496</v>
      </c>
      <c r="H533" t="str">
        <f>IFERROR(VLOOKUP(F533,'LEAID Match'!$A$2:$B$142,2,FALSE),"")</f>
        <v/>
      </c>
    </row>
    <row r="534" spans="1:8" x14ac:dyDescent="0.2">
      <c r="A534" t="str">
        <f t="shared" si="8"/>
        <v/>
      </c>
      <c r="B534" s="1">
        <v>2021</v>
      </c>
      <c r="C534" s="1" t="s">
        <v>2505</v>
      </c>
      <c r="D534" s="1" t="s">
        <v>2506</v>
      </c>
      <c r="E534" s="1" t="s">
        <v>2019</v>
      </c>
      <c r="F534" s="1" t="s">
        <v>54</v>
      </c>
      <c r="G534" s="6">
        <v>8956</v>
      </c>
      <c r="H534" t="str">
        <f>IFERROR(VLOOKUP(F534,'LEAID Match'!$A$2:$B$142,2,FALSE),"")</f>
        <v/>
      </c>
    </row>
    <row r="535" spans="1:8" x14ac:dyDescent="0.2">
      <c r="A535" t="str">
        <f t="shared" si="8"/>
        <v/>
      </c>
      <c r="B535" s="1">
        <v>2022</v>
      </c>
      <c r="C535" s="1" t="s">
        <v>2505</v>
      </c>
      <c r="D535" s="1" t="s">
        <v>2506</v>
      </c>
      <c r="E535" s="1" t="s">
        <v>2019</v>
      </c>
      <c r="F535" s="1" t="s">
        <v>54</v>
      </c>
      <c r="G535" s="6">
        <v>8920</v>
      </c>
      <c r="H535" t="str">
        <f>IFERROR(VLOOKUP(F535,'LEAID Match'!$A$2:$B$142,2,FALSE),"")</f>
        <v/>
      </c>
    </row>
    <row r="536" spans="1:8" x14ac:dyDescent="0.2">
      <c r="A536" t="str">
        <f t="shared" si="8"/>
        <v/>
      </c>
      <c r="B536" s="1">
        <v>2023</v>
      </c>
      <c r="C536" s="1" t="s">
        <v>2505</v>
      </c>
      <c r="D536" s="1" t="s">
        <v>2506</v>
      </c>
      <c r="E536" s="1" t="s">
        <v>2019</v>
      </c>
      <c r="F536" s="1" t="s">
        <v>54</v>
      </c>
      <c r="G536" s="6">
        <v>10407</v>
      </c>
      <c r="H536" t="str">
        <f>IFERROR(VLOOKUP(F536,'LEAID Match'!$A$2:$B$142,2,FALSE),"")</f>
        <v/>
      </c>
    </row>
    <row r="537" spans="1:8" x14ac:dyDescent="0.2">
      <c r="A537" t="str">
        <f t="shared" si="8"/>
        <v/>
      </c>
      <c r="B537" s="1">
        <v>2024</v>
      </c>
      <c r="C537" s="1" t="s">
        <v>2505</v>
      </c>
      <c r="D537" s="1" t="s">
        <v>2506</v>
      </c>
      <c r="E537" s="1" t="s">
        <v>2019</v>
      </c>
      <c r="F537" s="1" t="s">
        <v>54</v>
      </c>
      <c r="G537" s="6">
        <v>12692</v>
      </c>
      <c r="H537" t="str">
        <f>IFERROR(VLOOKUP(F537,'LEAID Match'!$A$2:$B$142,2,FALSE),"")</f>
        <v/>
      </c>
    </row>
    <row r="538" spans="1:8" x14ac:dyDescent="0.2">
      <c r="A538" t="str">
        <f t="shared" si="8"/>
        <v/>
      </c>
      <c r="B538" s="1">
        <v>2017</v>
      </c>
      <c r="C538" s="1" t="s">
        <v>2505</v>
      </c>
      <c r="D538" s="1" t="s">
        <v>2506</v>
      </c>
      <c r="E538" s="1" t="s">
        <v>2019</v>
      </c>
      <c r="F538" s="1" t="s">
        <v>55</v>
      </c>
      <c r="G538" s="49">
        <v>11025</v>
      </c>
      <c r="H538" t="str">
        <f>IFERROR(VLOOKUP(F538,'LEAID Match'!$A$2:$B$142,2,FALSE),"")</f>
        <v/>
      </c>
    </row>
    <row r="539" spans="1:8" x14ac:dyDescent="0.2">
      <c r="A539" t="str">
        <f t="shared" si="8"/>
        <v/>
      </c>
      <c r="B539" s="1">
        <v>2018</v>
      </c>
      <c r="C539" s="1" t="s">
        <v>2505</v>
      </c>
      <c r="D539" s="1" t="s">
        <v>2506</v>
      </c>
      <c r="E539" s="1" t="s">
        <v>2019</v>
      </c>
      <c r="F539" s="1" t="s">
        <v>55</v>
      </c>
      <c r="G539" s="6">
        <v>11025</v>
      </c>
      <c r="H539" t="str">
        <f>IFERROR(VLOOKUP(F539,'LEAID Match'!$A$2:$B$142,2,FALSE),"")</f>
        <v/>
      </c>
    </row>
    <row r="540" spans="1:8" x14ac:dyDescent="0.2">
      <c r="A540" t="str">
        <f t="shared" si="8"/>
        <v/>
      </c>
      <c r="B540" s="1">
        <v>2019</v>
      </c>
      <c r="C540" s="1" t="s">
        <v>2505</v>
      </c>
      <c r="D540" s="1" t="s">
        <v>2506</v>
      </c>
      <c r="E540" s="1" t="s">
        <v>2019</v>
      </c>
      <c r="F540" s="1" t="s">
        <v>55</v>
      </c>
      <c r="G540" s="6">
        <v>11025</v>
      </c>
      <c r="H540" t="str">
        <f>IFERROR(VLOOKUP(F540,'LEAID Match'!$A$2:$B$142,2,FALSE),"")</f>
        <v/>
      </c>
    </row>
    <row r="541" spans="1:8" x14ac:dyDescent="0.2">
      <c r="A541" t="str">
        <f t="shared" si="8"/>
        <v/>
      </c>
      <c r="B541" s="1">
        <v>2020</v>
      </c>
      <c r="C541" s="1" t="s">
        <v>2505</v>
      </c>
      <c r="D541" s="1" t="s">
        <v>2506</v>
      </c>
      <c r="E541" s="1" t="s">
        <v>2019</v>
      </c>
      <c r="F541" s="1" t="s">
        <v>55</v>
      </c>
      <c r="G541" s="6">
        <v>12180</v>
      </c>
      <c r="H541" t="str">
        <f>IFERROR(VLOOKUP(F541,'LEAID Match'!$A$2:$B$142,2,FALSE),"")</f>
        <v/>
      </c>
    </row>
    <row r="542" spans="1:8" x14ac:dyDescent="0.2">
      <c r="A542" t="str">
        <f t="shared" si="8"/>
        <v/>
      </c>
      <c r="B542" s="1">
        <v>2021</v>
      </c>
      <c r="C542" s="1" t="s">
        <v>2505</v>
      </c>
      <c r="D542" s="1" t="s">
        <v>2506</v>
      </c>
      <c r="E542" s="1" t="s">
        <v>2019</v>
      </c>
      <c r="F542" s="1" t="s">
        <v>55</v>
      </c>
      <c r="G542" s="6">
        <v>12180</v>
      </c>
      <c r="H542" t="str">
        <f>IFERROR(VLOOKUP(F542,'LEAID Match'!$A$2:$B$142,2,FALSE),"")</f>
        <v/>
      </c>
    </row>
    <row r="543" spans="1:8" x14ac:dyDescent="0.2">
      <c r="A543" t="str">
        <f t="shared" si="8"/>
        <v/>
      </c>
      <c r="B543" s="1">
        <v>2022</v>
      </c>
      <c r="C543" s="1" t="s">
        <v>2505</v>
      </c>
      <c r="D543" s="1" t="s">
        <v>2506</v>
      </c>
      <c r="E543" s="1" t="s">
        <v>2019</v>
      </c>
      <c r="F543" s="1" t="s">
        <v>55</v>
      </c>
      <c r="G543" s="6">
        <v>12180</v>
      </c>
      <c r="H543" t="str">
        <f>IFERROR(VLOOKUP(F543,'LEAID Match'!$A$2:$B$142,2,FALSE),"")</f>
        <v/>
      </c>
    </row>
    <row r="544" spans="1:8" x14ac:dyDescent="0.2">
      <c r="A544" t="str">
        <f t="shared" si="8"/>
        <v/>
      </c>
      <c r="B544" s="1">
        <v>2023</v>
      </c>
      <c r="C544" s="1" t="s">
        <v>2505</v>
      </c>
      <c r="D544" s="1" t="s">
        <v>2506</v>
      </c>
      <c r="E544" s="1" t="s">
        <v>2019</v>
      </c>
      <c r="F544" s="1" t="s">
        <v>55</v>
      </c>
      <c r="G544" s="6">
        <v>13855</v>
      </c>
      <c r="H544" t="str">
        <f>IFERROR(VLOOKUP(F544,'LEAID Match'!$A$2:$B$142,2,FALSE),"")</f>
        <v/>
      </c>
    </row>
    <row r="545" spans="1:8" x14ac:dyDescent="0.2">
      <c r="A545" t="str">
        <f t="shared" si="8"/>
        <v/>
      </c>
      <c r="B545" s="1">
        <v>2024</v>
      </c>
      <c r="C545" s="1" t="s">
        <v>2505</v>
      </c>
      <c r="D545" s="1" t="s">
        <v>2506</v>
      </c>
      <c r="E545" s="1" t="s">
        <v>2019</v>
      </c>
      <c r="F545" s="1" t="s">
        <v>55</v>
      </c>
      <c r="G545" s="6">
        <v>14295</v>
      </c>
      <c r="H545" t="str">
        <f>IFERROR(VLOOKUP(F545,'LEAID Match'!$A$2:$B$142,2,FALSE),"")</f>
        <v/>
      </c>
    </row>
    <row r="546" spans="1:8" x14ac:dyDescent="0.2">
      <c r="A546" t="str">
        <f t="shared" si="8"/>
        <v/>
      </c>
      <c r="B546" s="1">
        <v>2015</v>
      </c>
      <c r="C546" s="1" t="s">
        <v>2505</v>
      </c>
      <c r="D546" s="1" t="s">
        <v>2506</v>
      </c>
      <c r="E546" s="1" t="s">
        <v>2019</v>
      </c>
      <c r="F546" s="1" t="s">
        <v>56</v>
      </c>
      <c r="G546" s="6">
        <v>52447</v>
      </c>
      <c r="H546" t="str">
        <f>IFERROR(VLOOKUP(F546,'LEAID Match'!$A$2:$B$142,2,FALSE),"")</f>
        <v/>
      </c>
    </row>
    <row r="547" spans="1:8" x14ac:dyDescent="0.2">
      <c r="A547" t="str">
        <f t="shared" si="8"/>
        <v/>
      </c>
      <c r="B547">
        <v>2016</v>
      </c>
      <c r="C547" s="1" t="s">
        <v>2505</v>
      </c>
      <c r="D547" s="1" t="s">
        <v>2506</v>
      </c>
      <c r="E547" s="1" t="s">
        <v>2019</v>
      </c>
      <c r="F547" s="1" t="s">
        <v>56</v>
      </c>
      <c r="G547" s="12">
        <v>54512</v>
      </c>
      <c r="H547" t="str">
        <f>IFERROR(VLOOKUP(F547,'LEAID Match'!$A$2:$B$142,2,FALSE),"")</f>
        <v/>
      </c>
    </row>
    <row r="548" spans="1:8" x14ac:dyDescent="0.2">
      <c r="A548" t="str">
        <f t="shared" si="8"/>
        <v/>
      </c>
      <c r="B548" s="1">
        <v>2017</v>
      </c>
      <c r="C548" s="1" t="s">
        <v>2505</v>
      </c>
      <c r="D548" s="1" t="s">
        <v>2506</v>
      </c>
      <c r="E548" s="1" t="s">
        <v>2019</v>
      </c>
      <c r="F548" s="1" t="s">
        <v>56</v>
      </c>
      <c r="G548" s="49">
        <v>50560</v>
      </c>
      <c r="H548" t="str">
        <f>IFERROR(VLOOKUP(F548,'LEAID Match'!$A$2:$B$142,2,FALSE),"")</f>
        <v/>
      </c>
    </row>
    <row r="549" spans="1:8" x14ac:dyDescent="0.2">
      <c r="A549" t="str">
        <f t="shared" si="8"/>
        <v/>
      </c>
      <c r="B549" s="1">
        <v>2018</v>
      </c>
      <c r="C549" s="1" t="s">
        <v>2505</v>
      </c>
      <c r="D549" s="1" t="s">
        <v>2506</v>
      </c>
      <c r="E549" s="1" t="s">
        <v>2019</v>
      </c>
      <c r="F549" s="1" t="s">
        <v>56</v>
      </c>
      <c r="G549" s="6">
        <v>51159</v>
      </c>
      <c r="H549" t="str">
        <f>IFERROR(VLOOKUP(F549,'LEAID Match'!$A$2:$B$142,2,FALSE),"")</f>
        <v/>
      </c>
    </row>
    <row r="550" spans="1:8" x14ac:dyDescent="0.2">
      <c r="A550" t="str">
        <f t="shared" si="8"/>
        <v/>
      </c>
      <c r="B550" s="1">
        <v>2019</v>
      </c>
      <c r="C550" s="1" t="s">
        <v>2505</v>
      </c>
      <c r="D550" s="1" t="s">
        <v>2506</v>
      </c>
      <c r="E550" s="1" t="s">
        <v>2019</v>
      </c>
      <c r="F550" s="1" t="s">
        <v>56</v>
      </c>
      <c r="G550" s="6">
        <v>52711</v>
      </c>
      <c r="H550" t="str">
        <f>IFERROR(VLOOKUP(F550,'LEAID Match'!$A$2:$B$142,2,FALSE),"")</f>
        <v/>
      </c>
    </row>
    <row r="551" spans="1:8" x14ac:dyDescent="0.2">
      <c r="A551" t="str">
        <f t="shared" si="8"/>
        <v/>
      </c>
      <c r="B551" s="1">
        <v>2020</v>
      </c>
      <c r="C551" s="1" t="s">
        <v>2505</v>
      </c>
      <c r="D551" s="1" t="s">
        <v>2506</v>
      </c>
      <c r="E551" s="1" t="s">
        <v>2019</v>
      </c>
      <c r="F551" s="1" t="s">
        <v>56</v>
      </c>
      <c r="G551" s="6">
        <v>59219</v>
      </c>
      <c r="H551" t="str">
        <f>IFERROR(VLOOKUP(F551,'LEAID Match'!$A$2:$B$142,2,FALSE),"")</f>
        <v/>
      </c>
    </row>
    <row r="552" spans="1:8" x14ac:dyDescent="0.2">
      <c r="A552" t="str">
        <f t="shared" si="8"/>
        <v/>
      </c>
      <c r="B552" s="1">
        <v>2021</v>
      </c>
      <c r="C552" s="1" t="s">
        <v>2505</v>
      </c>
      <c r="D552" s="1" t="s">
        <v>2506</v>
      </c>
      <c r="E552" s="1" t="s">
        <v>2019</v>
      </c>
      <c r="F552" s="1" t="s">
        <v>56</v>
      </c>
      <c r="G552" s="6">
        <v>58612</v>
      </c>
      <c r="H552" t="str">
        <f>IFERROR(VLOOKUP(F552,'LEAID Match'!$A$2:$B$142,2,FALSE),"")</f>
        <v/>
      </c>
    </row>
    <row r="553" spans="1:8" x14ac:dyDescent="0.2">
      <c r="A553" t="str">
        <f t="shared" si="8"/>
        <v/>
      </c>
      <c r="B553" s="1">
        <v>2022</v>
      </c>
      <c r="C553" s="1" t="s">
        <v>2505</v>
      </c>
      <c r="D553" s="1" t="s">
        <v>2506</v>
      </c>
      <c r="E553" s="1" t="s">
        <v>2019</v>
      </c>
      <c r="F553" s="1" t="s">
        <v>56</v>
      </c>
      <c r="G553" s="6">
        <v>62773</v>
      </c>
      <c r="H553" t="str">
        <f>IFERROR(VLOOKUP(F553,'LEAID Match'!$A$2:$B$142,2,FALSE),"")</f>
        <v/>
      </c>
    </row>
    <row r="554" spans="1:8" x14ac:dyDescent="0.2">
      <c r="A554" t="str">
        <f t="shared" si="8"/>
        <v/>
      </c>
      <c r="B554" s="1">
        <v>2023</v>
      </c>
      <c r="C554" s="1" t="s">
        <v>2505</v>
      </c>
      <c r="D554" s="1" t="s">
        <v>2506</v>
      </c>
      <c r="E554" s="1" t="s">
        <v>2019</v>
      </c>
      <c r="F554" s="1" t="s">
        <v>56</v>
      </c>
      <c r="G554" s="6">
        <v>72995</v>
      </c>
      <c r="H554" t="str">
        <f>IFERROR(VLOOKUP(F554,'LEAID Match'!$A$2:$B$142,2,FALSE),"")</f>
        <v/>
      </c>
    </row>
    <row r="555" spans="1:8" x14ac:dyDescent="0.2">
      <c r="A555" t="str">
        <f t="shared" si="8"/>
        <v/>
      </c>
      <c r="B555" s="1">
        <v>2024</v>
      </c>
      <c r="C555" s="1" t="s">
        <v>2505</v>
      </c>
      <c r="D555" s="1" t="s">
        <v>2506</v>
      </c>
      <c r="E555" s="1" t="s">
        <v>2019</v>
      </c>
      <c r="F555" s="1" t="s">
        <v>56</v>
      </c>
      <c r="G555" s="6">
        <v>74416</v>
      </c>
      <c r="H555" t="str">
        <f>IFERROR(VLOOKUP(F555,'LEAID Match'!$A$2:$B$142,2,FALSE),"")</f>
        <v/>
      </c>
    </row>
    <row r="556" spans="1:8" x14ac:dyDescent="0.2">
      <c r="A556" t="str">
        <f t="shared" si="8"/>
        <v/>
      </c>
      <c r="B556" s="1">
        <v>2015</v>
      </c>
      <c r="C556" s="1" t="s">
        <v>2505</v>
      </c>
      <c r="D556" s="1" t="s">
        <v>2506</v>
      </c>
      <c r="E556" s="1" t="s">
        <v>2019</v>
      </c>
      <c r="F556" s="1" t="s">
        <v>57</v>
      </c>
      <c r="G556" s="6">
        <v>50769</v>
      </c>
      <c r="H556" t="str">
        <f>IFERROR(VLOOKUP(F556,'LEAID Match'!$A$2:$B$142,2,FALSE),"")</f>
        <v/>
      </c>
    </row>
    <row r="557" spans="1:8" x14ac:dyDescent="0.2">
      <c r="A557" t="str">
        <f t="shared" si="8"/>
        <v/>
      </c>
      <c r="B557">
        <v>2016</v>
      </c>
      <c r="C557" s="1" t="s">
        <v>2505</v>
      </c>
      <c r="D557" s="1" t="s">
        <v>2506</v>
      </c>
      <c r="E557" s="1" t="s">
        <v>2019</v>
      </c>
      <c r="F557" s="1" t="s">
        <v>57</v>
      </c>
      <c r="G557" s="12">
        <v>55075</v>
      </c>
      <c r="H557" t="str">
        <f>IFERROR(VLOOKUP(F557,'LEAID Match'!$A$2:$B$142,2,FALSE),"")</f>
        <v/>
      </c>
    </row>
    <row r="558" spans="1:8" x14ac:dyDescent="0.2">
      <c r="A558" t="str">
        <f t="shared" si="8"/>
        <v/>
      </c>
      <c r="B558" s="1">
        <v>2017</v>
      </c>
      <c r="C558" s="1" t="s">
        <v>2505</v>
      </c>
      <c r="D558" s="1" t="s">
        <v>2506</v>
      </c>
      <c r="E558" s="1" t="s">
        <v>2019</v>
      </c>
      <c r="F558" s="1" t="s">
        <v>57</v>
      </c>
      <c r="G558" s="49">
        <v>54539</v>
      </c>
      <c r="H558" t="str">
        <f>IFERROR(VLOOKUP(F558,'LEAID Match'!$A$2:$B$142,2,FALSE),"")</f>
        <v/>
      </c>
    </row>
    <row r="559" spans="1:8" x14ac:dyDescent="0.2">
      <c r="A559" t="str">
        <f t="shared" si="8"/>
        <v/>
      </c>
      <c r="B559" s="1">
        <v>2018</v>
      </c>
      <c r="C559" s="1" t="s">
        <v>2505</v>
      </c>
      <c r="D559" s="1" t="s">
        <v>2506</v>
      </c>
      <c r="E559" s="1" t="s">
        <v>2019</v>
      </c>
      <c r="F559" s="1" t="s">
        <v>57</v>
      </c>
      <c r="G559" s="6">
        <v>55076</v>
      </c>
      <c r="H559" t="str">
        <f>IFERROR(VLOOKUP(F559,'LEAID Match'!$A$2:$B$142,2,FALSE),"")</f>
        <v/>
      </c>
    </row>
    <row r="560" spans="1:8" x14ac:dyDescent="0.2">
      <c r="A560" t="str">
        <f t="shared" si="8"/>
        <v/>
      </c>
      <c r="B560" s="1">
        <v>2019</v>
      </c>
      <c r="C560" s="1" t="s">
        <v>2505</v>
      </c>
      <c r="D560" s="1" t="s">
        <v>2506</v>
      </c>
      <c r="E560" s="1" t="s">
        <v>2019</v>
      </c>
      <c r="F560" s="1" t="s">
        <v>57</v>
      </c>
      <c r="G560" s="6">
        <v>51859</v>
      </c>
      <c r="H560" t="str">
        <f>IFERROR(VLOOKUP(F560,'LEAID Match'!$A$2:$B$142,2,FALSE),"")</f>
        <v/>
      </c>
    </row>
    <row r="561" spans="1:8" x14ac:dyDescent="0.2">
      <c r="A561" t="str">
        <f t="shared" si="8"/>
        <v/>
      </c>
      <c r="B561" s="1">
        <v>2020</v>
      </c>
      <c r="C561" s="1" t="s">
        <v>2505</v>
      </c>
      <c r="D561" s="1" t="s">
        <v>2506</v>
      </c>
      <c r="E561" s="1" t="s">
        <v>2019</v>
      </c>
      <c r="F561" s="1" t="s">
        <v>57</v>
      </c>
      <c r="G561" s="6">
        <v>56301</v>
      </c>
      <c r="H561" t="str">
        <f>IFERROR(VLOOKUP(F561,'LEAID Match'!$A$2:$B$142,2,FALSE),"")</f>
        <v/>
      </c>
    </row>
    <row r="562" spans="1:8" x14ac:dyDescent="0.2">
      <c r="A562" t="str">
        <f t="shared" si="8"/>
        <v/>
      </c>
      <c r="B562" s="1">
        <v>2021</v>
      </c>
      <c r="C562" s="1" t="s">
        <v>2505</v>
      </c>
      <c r="D562" s="1" t="s">
        <v>2506</v>
      </c>
      <c r="E562" s="1" t="s">
        <v>2019</v>
      </c>
      <c r="F562" s="1" t="s">
        <v>57</v>
      </c>
      <c r="G562" s="6">
        <v>57644</v>
      </c>
      <c r="H562" t="str">
        <f>IFERROR(VLOOKUP(F562,'LEAID Match'!$A$2:$B$142,2,FALSE),"")</f>
        <v/>
      </c>
    </row>
    <row r="563" spans="1:8" x14ac:dyDescent="0.2">
      <c r="A563" t="str">
        <f t="shared" si="8"/>
        <v/>
      </c>
      <c r="B563" s="1">
        <v>2022</v>
      </c>
      <c r="C563" s="1" t="s">
        <v>2505</v>
      </c>
      <c r="D563" s="1" t="s">
        <v>2506</v>
      </c>
      <c r="E563" s="1" t="s">
        <v>2019</v>
      </c>
      <c r="F563" s="1" t="s">
        <v>57</v>
      </c>
      <c r="G563" s="6">
        <v>59382</v>
      </c>
      <c r="H563" t="str">
        <f>IFERROR(VLOOKUP(F563,'LEAID Match'!$A$2:$B$142,2,FALSE),"")</f>
        <v/>
      </c>
    </row>
    <row r="564" spans="1:8" x14ac:dyDescent="0.2">
      <c r="A564" t="str">
        <f t="shared" si="8"/>
        <v/>
      </c>
      <c r="B564" s="1">
        <v>2023</v>
      </c>
      <c r="C564" s="1" t="s">
        <v>2505</v>
      </c>
      <c r="D564" s="1" t="s">
        <v>2506</v>
      </c>
      <c r="E564" s="1" t="s">
        <v>2019</v>
      </c>
      <c r="F564" s="1" t="s">
        <v>57</v>
      </c>
      <c r="G564" s="6">
        <v>61832</v>
      </c>
      <c r="H564" t="str">
        <f>IFERROR(VLOOKUP(F564,'LEAID Match'!$A$2:$B$142,2,FALSE),"")</f>
        <v/>
      </c>
    </row>
    <row r="565" spans="1:8" x14ac:dyDescent="0.2">
      <c r="A565" t="str">
        <f t="shared" si="8"/>
        <v/>
      </c>
      <c r="B565" s="1">
        <v>2024</v>
      </c>
      <c r="C565" s="1" t="s">
        <v>2505</v>
      </c>
      <c r="D565" s="1" t="s">
        <v>2506</v>
      </c>
      <c r="E565" s="1" t="s">
        <v>2019</v>
      </c>
      <c r="F565" s="1" t="s">
        <v>57</v>
      </c>
      <c r="G565" s="6">
        <v>48006</v>
      </c>
      <c r="H565" t="str">
        <f>IFERROR(VLOOKUP(F565,'LEAID Match'!$A$2:$B$142,2,FALSE),"")</f>
        <v/>
      </c>
    </row>
    <row r="566" spans="1:8" x14ac:dyDescent="0.2">
      <c r="A566" t="str">
        <f t="shared" si="8"/>
        <v/>
      </c>
      <c r="B566" s="1">
        <v>2015</v>
      </c>
      <c r="C566" s="1" t="s">
        <v>2505</v>
      </c>
      <c r="D566" s="1" t="s">
        <v>2506</v>
      </c>
      <c r="E566" s="1" t="s">
        <v>2019</v>
      </c>
      <c r="F566" s="1" t="s">
        <v>58</v>
      </c>
      <c r="G566" s="6">
        <v>1226527</v>
      </c>
      <c r="H566" t="str">
        <f>IFERROR(VLOOKUP(F566,'LEAID Match'!$A$2:$B$142,2,FALSE),"")</f>
        <v/>
      </c>
    </row>
    <row r="567" spans="1:8" x14ac:dyDescent="0.2">
      <c r="A567" t="str">
        <f t="shared" si="8"/>
        <v/>
      </c>
      <c r="B567">
        <v>2016</v>
      </c>
      <c r="C567" s="1" t="s">
        <v>2505</v>
      </c>
      <c r="D567" s="1" t="s">
        <v>2506</v>
      </c>
      <c r="E567" s="1" t="s">
        <v>2019</v>
      </c>
      <c r="F567" s="1" t="s">
        <v>58</v>
      </c>
      <c r="G567" s="12">
        <v>1178919</v>
      </c>
      <c r="H567" t="str">
        <f>IFERROR(VLOOKUP(F567,'LEAID Match'!$A$2:$B$142,2,FALSE),"")</f>
        <v/>
      </c>
    </row>
    <row r="568" spans="1:8" x14ac:dyDescent="0.2">
      <c r="A568" t="str">
        <f t="shared" si="8"/>
        <v/>
      </c>
      <c r="B568" s="1">
        <v>2017</v>
      </c>
      <c r="C568" s="1" t="s">
        <v>2505</v>
      </c>
      <c r="D568" s="1" t="s">
        <v>2506</v>
      </c>
      <c r="E568" s="1" t="s">
        <v>2019</v>
      </c>
      <c r="F568" s="1" t="s">
        <v>58</v>
      </c>
      <c r="G568" s="49">
        <v>1164692</v>
      </c>
      <c r="H568" t="str">
        <f>IFERROR(VLOOKUP(F568,'LEAID Match'!$A$2:$B$142,2,FALSE),"")</f>
        <v/>
      </c>
    </row>
    <row r="569" spans="1:8" x14ac:dyDescent="0.2">
      <c r="A569" t="str">
        <f t="shared" si="8"/>
        <v/>
      </c>
      <c r="B569" s="1">
        <v>2018</v>
      </c>
      <c r="C569" s="1" t="s">
        <v>2505</v>
      </c>
      <c r="D569" s="1" t="s">
        <v>2506</v>
      </c>
      <c r="E569" s="1" t="s">
        <v>2019</v>
      </c>
      <c r="F569" s="1" t="s">
        <v>58</v>
      </c>
      <c r="G569" s="6">
        <v>1223530</v>
      </c>
      <c r="H569" t="str">
        <f>IFERROR(VLOOKUP(F569,'LEAID Match'!$A$2:$B$142,2,FALSE),"")</f>
        <v/>
      </c>
    </row>
    <row r="570" spans="1:8" x14ac:dyDescent="0.2">
      <c r="A570" t="str">
        <f t="shared" si="8"/>
        <v/>
      </c>
      <c r="B570" s="1">
        <v>2019</v>
      </c>
      <c r="C570" s="1" t="s">
        <v>2505</v>
      </c>
      <c r="D570" s="1" t="s">
        <v>2506</v>
      </c>
      <c r="E570" s="1" t="s">
        <v>2019</v>
      </c>
      <c r="F570" s="1" t="s">
        <v>58</v>
      </c>
      <c r="G570" s="6">
        <v>1223642</v>
      </c>
      <c r="H570" t="str">
        <f>IFERROR(VLOOKUP(F570,'LEAID Match'!$A$2:$B$142,2,FALSE),"")</f>
        <v/>
      </c>
    </row>
    <row r="571" spans="1:8" x14ac:dyDescent="0.2">
      <c r="A571" t="str">
        <f t="shared" si="8"/>
        <v/>
      </c>
      <c r="B571" s="1">
        <v>2020</v>
      </c>
      <c r="C571" s="1" t="s">
        <v>2505</v>
      </c>
      <c r="D571" s="1" t="s">
        <v>2506</v>
      </c>
      <c r="E571" s="1" t="s">
        <v>2019</v>
      </c>
      <c r="F571" s="1" t="s">
        <v>58</v>
      </c>
      <c r="G571" s="6">
        <v>1360576</v>
      </c>
      <c r="H571" t="str">
        <f>IFERROR(VLOOKUP(F571,'LEAID Match'!$A$2:$B$142,2,FALSE),"")</f>
        <v/>
      </c>
    </row>
    <row r="572" spans="1:8" x14ac:dyDescent="0.2">
      <c r="A572" t="str">
        <f t="shared" si="8"/>
        <v/>
      </c>
      <c r="B572" s="1">
        <v>2021</v>
      </c>
      <c r="C572" s="1" t="s">
        <v>2505</v>
      </c>
      <c r="D572" s="1" t="s">
        <v>2506</v>
      </c>
      <c r="E572" s="1" t="s">
        <v>2019</v>
      </c>
      <c r="F572" s="1" t="s">
        <v>58</v>
      </c>
      <c r="G572" s="6">
        <v>1413553</v>
      </c>
      <c r="H572" t="str">
        <f>IFERROR(VLOOKUP(F572,'LEAID Match'!$A$2:$B$142,2,FALSE),"")</f>
        <v/>
      </c>
    </row>
    <row r="573" spans="1:8" x14ac:dyDescent="0.2">
      <c r="A573" t="str">
        <f t="shared" si="8"/>
        <v/>
      </c>
      <c r="B573" s="1">
        <v>2022</v>
      </c>
      <c r="C573" s="1" t="s">
        <v>2505</v>
      </c>
      <c r="D573" s="1" t="s">
        <v>2506</v>
      </c>
      <c r="E573" s="1" t="s">
        <v>2019</v>
      </c>
      <c r="F573" s="1" t="s">
        <v>58</v>
      </c>
      <c r="G573" s="6">
        <v>1457391</v>
      </c>
      <c r="H573" t="str">
        <f>IFERROR(VLOOKUP(F573,'LEAID Match'!$A$2:$B$142,2,FALSE),"")</f>
        <v/>
      </c>
    </row>
    <row r="574" spans="1:8" x14ac:dyDescent="0.2">
      <c r="A574" t="str">
        <f t="shared" si="8"/>
        <v/>
      </c>
      <c r="B574" s="1">
        <v>2023</v>
      </c>
      <c r="C574" s="1" t="s">
        <v>2505</v>
      </c>
      <c r="D574" s="1" t="s">
        <v>2506</v>
      </c>
      <c r="E574" s="1" t="s">
        <v>2019</v>
      </c>
      <c r="F574" s="1" t="s">
        <v>58</v>
      </c>
      <c r="G574" s="6">
        <v>1671403</v>
      </c>
      <c r="H574" t="str">
        <f>IFERROR(VLOOKUP(F574,'LEAID Match'!$A$2:$B$142,2,FALSE),"")</f>
        <v/>
      </c>
    </row>
    <row r="575" spans="1:8" x14ac:dyDescent="0.2">
      <c r="A575" t="str">
        <f t="shared" si="8"/>
        <v/>
      </c>
      <c r="B575" s="1">
        <v>2024</v>
      </c>
      <c r="C575" s="1" t="s">
        <v>2505</v>
      </c>
      <c r="D575" s="1" t="s">
        <v>2506</v>
      </c>
      <c r="E575" s="1" t="s">
        <v>2019</v>
      </c>
      <c r="F575" s="1" t="s">
        <v>58</v>
      </c>
      <c r="G575" s="6">
        <v>1672395</v>
      </c>
      <c r="H575" t="str">
        <f>IFERROR(VLOOKUP(F575,'LEAID Match'!$A$2:$B$142,2,FALSE),"")</f>
        <v/>
      </c>
    </row>
    <row r="576" spans="1:8" x14ac:dyDescent="0.2">
      <c r="A576" t="str">
        <f t="shared" si="8"/>
        <v/>
      </c>
      <c r="B576" s="1">
        <v>2015</v>
      </c>
      <c r="C576" s="1" t="s">
        <v>2505</v>
      </c>
      <c r="D576" s="1" t="s">
        <v>2506</v>
      </c>
      <c r="E576" s="1" t="s">
        <v>2019</v>
      </c>
      <c r="F576" s="1" t="s">
        <v>59</v>
      </c>
      <c r="G576" s="6">
        <v>3912</v>
      </c>
      <c r="H576" t="str">
        <f>IFERROR(VLOOKUP(F576,'LEAID Match'!$A$2:$B$142,2,FALSE),"")</f>
        <v/>
      </c>
    </row>
    <row r="577" spans="1:8" x14ac:dyDescent="0.2">
      <c r="A577" t="str">
        <f t="shared" si="8"/>
        <v/>
      </c>
      <c r="B577">
        <v>2016</v>
      </c>
      <c r="C577" s="1" t="s">
        <v>2505</v>
      </c>
      <c r="D577" s="1" t="s">
        <v>2506</v>
      </c>
      <c r="E577" s="1" t="s">
        <v>2019</v>
      </c>
      <c r="F577" s="1" t="s">
        <v>59</v>
      </c>
      <c r="G577" s="12">
        <v>4003</v>
      </c>
      <c r="H577" t="str">
        <f>IFERROR(VLOOKUP(F577,'LEAID Match'!$A$2:$B$142,2,FALSE),"")</f>
        <v/>
      </c>
    </row>
    <row r="578" spans="1:8" x14ac:dyDescent="0.2">
      <c r="A578" t="str">
        <f t="shared" si="8"/>
        <v/>
      </c>
      <c r="B578" s="1">
        <v>2017</v>
      </c>
      <c r="C578" s="1" t="s">
        <v>2505</v>
      </c>
      <c r="D578" s="1" t="s">
        <v>2506</v>
      </c>
      <c r="E578" s="1" t="s">
        <v>2019</v>
      </c>
      <c r="F578" s="1" t="s">
        <v>59</v>
      </c>
      <c r="G578" s="49">
        <v>4149</v>
      </c>
      <c r="H578" t="str">
        <f>IFERROR(VLOOKUP(F578,'LEAID Match'!$A$2:$B$142,2,FALSE),"")</f>
        <v/>
      </c>
    </row>
    <row r="579" spans="1:8" x14ac:dyDescent="0.2">
      <c r="A579" t="str">
        <f t="shared" ref="A579:A642" si="9">H579</f>
        <v/>
      </c>
      <c r="B579" s="1">
        <v>2018</v>
      </c>
      <c r="C579" s="1" t="s">
        <v>2505</v>
      </c>
      <c r="D579" s="1" t="s">
        <v>2506</v>
      </c>
      <c r="E579" s="1" t="s">
        <v>2019</v>
      </c>
      <c r="F579" s="1" t="s">
        <v>59</v>
      </c>
      <c r="G579" s="6">
        <v>4203</v>
      </c>
      <c r="H579" t="str">
        <f>IFERROR(VLOOKUP(F579,'LEAID Match'!$A$2:$B$142,2,FALSE),"")</f>
        <v/>
      </c>
    </row>
    <row r="580" spans="1:8" x14ac:dyDescent="0.2">
      <c r="A580" t="str">
        <f t="shared" si="9"/>
        <v/>
      </c>
      <c r="B580" s="1">
        <v>2019</v>
      </c>
      <c r="C580" s="1" t="s">
        <v>2505</v>
      </c>
      <c r="D580" s="1" t="s">
        <v>2506</v>
      </c>
      <c r="E580" s="1" t="s">
        <v>2019</v>
      </c>
      <c r="F580" s="1" t="s">
        <v>59</v>
      </c>
      <c r="G580" s="6">
        <v>4102</v>
      </c>
      <c r="H580" t="str">
        <f>IFERROR(VLOOKUP(F580,'LEAID Match'!$A$2:$B$142,2,FALSE),"")</f>
        <v/>
      </c>
    </row>
    <row r="581" spans="1:8" x14ac:dyDescent="0.2">
      <c r="A581" t="str">
        <f t="shared" si="9"/>
        <v/>
      </c>
      <c r="B581" s="1">
        <v>2020</v>
      </c>
      <c r="C581" s="1" t="s">
        <v>2505</v>
      </c>
      <c r="D581" s="1" t="s">
        <v>2506</v>
      </c>
      <c r="E581" s="1" t="s">
        <v>2019</v>
      </c>
      <c r="F581" s="1" t="s">
        <v>59</v>
      </c>
      <c r="G581" s="6">
        <v>4875</v>
      </c>
      <c r="H581" t="str">
        <f>IFERROR(VLOOKUP(F581,'LEAID Match'!$A$2:$B$142,2,FALSE),"")</f>
        <v/>
      </c>
    </row>
    <row r="582" spans="1:8" x14ac:dyDescent="0.2">
      <c r="A582" t="str">
        <f t="shared" si="9"/>
        <v/>
      </c>
      <c r="B582" s="1">
        <v>2021</v>
      </c>
      <c r="C582" s="1" t="s">
        <v>2505</v>
      </c>
      <c r="D582" s="1" t="s">
        <v>2506</v>
      </c>
      <c r="E582" s="1" t="s">
        <v>2019</v>
      </c>
      <c r="F582" s="1" t="s">
        <v>59</v>
      </c>
      <c r="G582" s="6">
        <v>4981</v>
      </c>
      <c r="H582" t="str">
        <f>IFERROR(VLOOKUP(F582,'LEAID Match'!$A$2:$B$142,2,FALSE),"")</f>
        <v/>
      </c>
    </row>
    <row r="583" spans="1:8" x14ac:dyDescent="0.2">
      <c r="A583" t="str">
        <f t="shared" si="9"/>
        <v/>
      </c>
      <c r="B583" s="1">
        <v>2022</v>
      </c>
      <c r="C583" s="1" t="s">
        <v>2505</v>
      </c>
      <c r="D583" s="1" t="s">
        <v>2506</v>
      </c>
      <c r="E583" s="1" t="s">
        <v>2019</v>
      </c>
      <c r="F583" s="1" t="s">
        <v>59</v>
      </c>
      <c r="G583" s="6">
        <v>5193</v>
      </c>
      <c r="H583" t="str">
        <f>IFERROR(VLOOKUP(F583,'LEAID Match'!$A$2:$B$142,2,FALSE),"")</f>
        <v/>
      </c>
    </row>
    <row r="584" spans="1:8" x14ac:dyDescent="0.2">
      <c r="A584" t="str">
        <f t="shared" si="9"/>
        <v/>
      </c>
      <c r="B584" s="1">
        <v>2023</v>
      </c>
      <c r="C584" s="1" t="s">
        <v>2505</v>
      </c>
      <c r="D584" s="1" t="s">
        <v>2506</v>
      </c>
      <c r="E584" s="1" t="s">
        <v>2019</v>
      </c>
      <c r="F584" s="1" t="s">
        <v>59</v>
      </c>
      <c r="G584" s="6">
        <v>5589</v>
      </c>
      <c r="H584" t="str">
        <f>IFERROR(VLOOKUP(F584,'LEAID Match'!$A$2:$B$142,2,FALSE),"")</f>
        <v/>
      </c>
    </row>
    <row r="585" spans="1:8" x14ac:dyDescent="0.2">
      <c r="A585" t="str">
        <f t="shared" si="9"/>
        <v/>
      </c>
      <c r="B585" s="1">
        <v>2024</v>
      </c>
      <c r="C585" s="1" t="s">
        <v>2505</v>
      </c>
      <c r="D585" s="1" t="s">
        <v>2506</v>
      </c>
      <c r="E585" s="1" t="s">
        <v>2019</v>
      </c>
      <c r="F585" s="1" t="s">
        <v>59</v>
      </c>
      <c r="G585" s="6">
        <v>5429</v>
      </c>
      <c r="H585" t="str">
        <f>IFERROR(VLOOKUP(F585,'LEAID Match'!$A$2:$B$142,2,FALSE),"")</f>
        <v/>
      </c>
    </row>
    <row r="586" spans="1:8" x14ac:dyDescent="0.2">
      <c r="A586" t="str">
        <f t="shared" si="9"/>
        <v/>
      </c>
      <c r="B586" s="1">
        <v>2015</v>
      </c>
      <c r="C586" s="1" t="s">
        <v>2505</v>
      </c>
      <c r="D586" s="1" t="s">
        <v>2506</v>
      </c>
      <c r="E586" s="1" t="s">
        <v>2019</v>
      </c>
      <c r="F586" s="1" t="s">
        <v>60</v>
      </c>
      <c r="G586" s="6">
        <v>42237</v>
      </c>
      <c r="H586" t="str">
        <f>IFERROR(VLOOKUP(F586,'LEAID Match'!$A$2:$B$142,2,FALSE),"")</f>
        <v/>
      </c>
    </row>
    <row r="587" spans="1:8" x14ac:dyDescent="0.2">
      <c r="A587" t="str">
        <f t="shared" si="9"/>
        <v/>
      </c>
      <c r="B587">
        <v>2016</v>
      </c>
      <c r="C587" s="1" t="s">
        <v>2505</v>
      </c>
      <c r="D587" s="1" t="s">
        <v>2506</v>
      </c>
      <c r="E587" s="1" t="s">
        <v>2019</v>
      </c>
      <c r="F587" s="1" t="s">
        <v>60</v>
      </c>
      <c r="G587" s="12">
        <v>43362</v>
      </c>
      <c r="H587" t="str">
        <f>IFERROR(VLOOKUP(F587,'LEAID Match'!$A$2:$B$142,2,FALSE),"")</f>
        <v/>
      </c>
    </row>
    <row r="588" spans="1:8" x14ac:dyDescent="0.2">
      <c r="A588" t="str">
        <f t="shared" si="9"/>
        <v/>
      </c>
      <c r="B588" s="1">
        <v>2017</v>
      </c>
      <c r="C588" s="1" t="s">
        <v>2505</v>
      </c>
      <c r="D588" s="1" t="s">
        <v>2506</v>
      </c>
      <c r="E588" s="1" t="s">
        <v>2019</v>
      </c>
      <c r="F588" s="1" t="s">
        <v>60</v>
      </c>
      <c r="G588" s="49">
        <v>50871</v>
      </c>
      <c r="H588" t="str">
        <f>IFERROR(VLOOKUP(F588,'LEAID Match'!$A$2:$B$142,2,FALSE),"")</f>
        <v/>
      </c>
    </row>
    <row r="589" spans="1:8" x14ac:dyDescent="0.2">
      <c r="A589" t="str">
        <f t="shared" si="9"/>
        <v/>
      </c>
      <c r="B589" s="1">
        <v>2018</v>
      </c>
      <c r="C589" s="1" t="s">
        <v>2505</v>
      </c>
      <c r="D589" s="1" t="s">
        <v>2506</v>
      </c>
      <c r="E589" s="1" t="s">
        <v>2019</v>
      </c>
      <c r="F589" s="1" t="s">
        <v>60</v>
      </c>
      <c r="G589" s="6">
        <v>55401</v>
      </c>
      <c r="H589" t="str">
        <f>IFERROR(VLOOKUP(F589,'LEAID Match'!$A$2:$B$142,2,FALSE),"")</f>
        <v/>
      </c>
    </row>
    <row r="590" spans="1:8" x14ac:dyDescent="0.2">
      <c r="A590" t="str">
        <f t="shared" si="9"/>
        <v/>
      </c>
      <c r="B590" s="1">
        <v>2019</v>
      </c>
      <c r="C590" s="1" t="s">
        <v>2505</v>
      </c>
      <c r="D590" s="1" t="s">
        <v>2506</v>
      </c>
      <c r="E590" s="1" t="s">
        <v>2019</v>
      </c>
      <c r="F590" s="1" t="s">
        <v>60</v>
      </c>
      <c r="G590" s="6">
        <v>51190</v>
      </c>
      <c r="H590" t="str">
        <f>IFERROR(VLOOKUP(F590,'LEAID Match'!$A$2:$B$142,2,FALSE),"")</f>
        <v/>
      </c>
    </row>
    <row r="591" spans="1:8" x14ac:dyDescent="0.2">
      <c r="A591" t="str">
        <f t="shared" si="9"/>
        <v/>
      </c>
      <c r="B591" s="1">
        <v>2020</v>
      </c>
      <c r="C591" s="1" t="s">
        <v>2505</v>
      </c>
      <c r="D591" s="1" t="s">
        <v>2506</v>
      </c>
      <c r="E591" s="1" t="s">
        <v>2019</v>
      </c>
      <c r="F591" s="1" t="s">
        <v>60</v>
      </c>
      <c r="G591" s="6">
        <v>55724</v>
      </c>
      <c r="H591" t="str">
        <f>IFERROR(VLOOKUP(F591,'LEAID Match'!$A$2:$B$142,2,FALSE),"")</f>
        <v/>
      </c>
    </row>
    <row r="592" spans="1:8" x14ac:dyDescent="0.2">
      <c r="A592" t="str">
        <f t="shared" si="9"/>
        <v/>
      </c>
      <c r="B592" s="1">
        <v>2021</v>
      </c>
      <c r="C592" s="1" t="s">
        <v>2505</v>
      </c>
      <c r="D592" s="1" t="s">
        <v>2506</v>
      </c>
      <c r="E592" s="1" t="s">
        <v>2019</v>
      </c>
      <c r="F592" s="1" t="s">
        <v>60</v>
      </c>
      <c r="G592" s="6">
        <v>57685</v>
      </c>
      <c r="H592" t="str">
        <f>IFERROR(VLOOKUP(F592,'LEAID Match'!$A$2:$B$142,2,FALSE),"")</f>
        <v/>
      </c>
    </row>
    <row r="593" spans="1:8" x14ac:dyDescent="0.2">
      <c r="A593" t="str">
        <f t="shared" si="9"/>
        <v/>
      </c>
      <c r="B593" s="1">
        <v>2022</v>
      </c>
      <c r="C593" s="1" t="s">
        <v>2505</v>
      </c>
      <c r="D593" s="1" t="s">
        <v>2506</v>
      </c>
      <c r="E593" s="1" t="s">
        <v>2019</v>
      </c>
      <c r="F593" s="1" t="s">
        <v>60</v>
      </c>
      <c r="G593" s="6">
        <v>58548</v>
      </c>
      <c r="H593" t="str">
        <f>IFERROR(VLOOKUP(F593,'LEAID Match'!$A$2:$B$142,2,FALSE),"")</f>
        <v/>
      </c>
    </row>
    <row r="594" spans="1:8" x14ac:dyDescent="0.2">
      <c r="A594" t="str">
        <f t="shared" si="9"/>
        <v/>
      </c>
      <c r="B594" s="1">
        <v>2023</v>
      </c>
      <c r="C594" s="1" t="s">
        <v>2505</v>
      </c>
      <c r="D594" s="1" t="s">
        <v>2506</v>
      </c>
      <c r="E594" s="1" t="s">
        <v>2019</v>
      </c>
      <c r="F594" s="1" t="s">
        <v>60</v>
      </c>
      <c r="G594" s="6">
        <v>57987</v>
      </c>
      <c r="H594" t="str">
        <f>IFERROR(VLOOKUP(F594,'LEAID Match'!$A$2:$B$142,2,FALSE),"")</f>
        <v/>
      </c>
    </row>
    <row r="595" spans="1:8" x14ac:dyDescent="0.2">
      <c r="A595" t="str">
        <f t="shared" si="9"/>
        <v/>
      </c>
      <c r="B595" s="1">
        <v>2024</v>
      </c>
      <c r="C595" s="1" t="s">
        <v>2505</v>
      </c>
      <c r="D595" s="1" t="s">
        <v>2506</v>
      </c>
      <c r="E595" s="1" t="s">
        <v>2019</v>
      </c>
      <c r="F595" s="1" t="s">
        <v>60</v>
      </c>
      <c r="G595" s="6">
        <v>56124</v>
      </c>
      <c r="H595" t="str">
        <f>IFERROR(VLOOKUP(F595,'LEAID Match'!$A$2:$B$142,2,FALSE),"")</f>
        <v/>
      </c>
    </row>
    <row r="596" spans="1:8" x14ac:dyDescent="0.2">
      <c r="A596" t="str">
        <f t="shared" si="9"/>
        <v/>
      </c>
      <c r="B596" s="1">
        <v>2015</v>
      </c>
      <c r="C596" s="1" t="s">
        <v>2505</v>
      </c>
      <c r="D596" s="1" t="s">
        <v>2506</v>
      </c>
      <c r="E596" s="1" t="s">
        <v>2019</v>
      </c>
      <c r="F596" s="1" t="s">
        <v>61</v>
      </c>
      <c r="G596" s="6">
        <v>420969</v>
      </c>
      <c r="H596" t="str">
        <f>IFERROR(VLOOKUP(F596,'LEAID Match'!$A$2:$B$142,2,FALSE),"")</f>
        <v/>
      </c>
    </row>
    <row r="597" spans="1:8" x14ac:dyDescent="0.2">
      <c r="A597" t="str">
        <f t="shared" si="9"/>
        <v/>
      </c>
      <c r="B597">
        <v>2016</v>
      </c>
      <c r="C597" s="1" t="s">
        <v>2505</v>
      </c>
      <c r="D597" s="1" t="s">
        <v>2506</v>
      </c>
      <c r="E597" s="1" t="s">
        <v>2019</v>
      </c>
      <c r="F597" s="1" t="s">
        <v>61</v>
      </c>
      <c r="G597" s="12">
        <v>438060</v>
      </c>
      <c r="H597" t="str">
        <f>IFERROR(VLOOKUP(F597,'LEAID Match'!$A$2:$B$142,2,FALSE),"")</f>
        <v/>
      </c>
    </row>
    <row r="598" spans="1:8" x14ac:dyDescent="0.2">
      <c r="A598" t="str">
        <f t="shared" si="9"/>
        <v/>
      </c>
      <c r="B598" s="1">
        <v>2017</v>
      </c>
      <c r="C598" s="1" t="s">
        <v>2505</v>
      </c>
      <c r="D598" s="1" t="s">
        <v>2506</v>
      </c>
      <c r="E598" s="1" t="s">
        <v>2019</v>
      </c>
      <c r="F598" s="1" t="s">
        <v>61</v>
      </c>
      <c r="G598" s="49">
        <v>423250</v>
      </c>
      <c r="H598" t="str">
        <f>IFERROR(VLOOKUP(F598,'LEAID Match'!$A$2:$B$142,2,FALSE),"")</f>
        <v/>
      </c>
    </row>
    <row r="599" spans="1:8" x14ac:dyDescent="0.2">
      <c r="A599" t="str">
        <f t="shared" si="9"/>
        <v/>
      </c>
      <c r="B599" s="1">
        <v>2018</v>
      </c>
      <c r="C599" s="1" t="s">
        <v>2505</v>
      </c>
      <c r="D599" s="1" t="s">
        <v>2506</v>
      </c>
      <c r="E599" s="1" t="s">
        <v>2019</v>
      </c>
      <c r="F599" s="1" t="s">
        <v>61</v>
      </c>
      <c r="G599" s="6">
        <v>433771</v>
      </c>
      <c r="H599" t="str">
        <f>IFERROR(VLOOKUP(F599,'LEAID Match'!$A$2:$B$142,2,FALSE),"")</f>
        <v/>
      </c>
    </row>
    <row r="600" spans="1:8" x14ac:dyDescent="0.2">
      <c r="A600" t="str">
        <f t="shared" si="9"/>
        <v/>
      </c>
      <c r="B600" s="1">
        <v>2019</v>
      </c>
      <c r="C600" s="1" t="s">
        <v>2505</v>
      </c>
      <c r="D600" s="1" t="s">
        <v>2506</v>
      </c>
      <c r="E600" s="1" t="s">
        <v>2019</v>
      </c>
      <c r="F600" s="1" t="s">
        <v>61</v>
      </c>
      <c r="G600" s="6">
        <v>454933</v>
      </c>
      <c r="H600" t="str">
        <f>IFERROR(VLOOKUP(F600,'LEAID Match'!$A$2:$B$142,2,FALSE),"")</f>
        <v/>
      </c>
    </row>
    <row r="601" spans="1:8" x14ac:dyDescent="0.2">
      <c r="A601" t="str">
        <f t="shared" si="9"/>
        <v/>
      </c>
      <c r="B601" s="1">
        <v>2020</v>
      </c>
      <c r="C601" s="1" t="s">
        <v>2505</v>
      </c>
      <c r="D601" s="1" t="s">
        <v>2506</v>
      </c>
      <c r="E601" s="1" t="s">
        <v>2019</v>
      </c>
      <c r="F601" s="1" t="s">
        <v>61</v>
      </c>
      <c r="G601" s="6">
        <v>506716</v>
      </c>
      <c r="H601" t="str">
        <f>IFERROR(VLOOKUP(F601,'LEAID Match'!$A$2:$B$142,2,FALSE),"")</f>
        <v/>
      </c>
    </row>
    <row r="602" spans="1:8" x14ac:dyDescent="0.2">
      <c r="A602" t="str">
        <f t="shared" si="9"/>
        <v/>
      </c>
      <c r="B602" s="1">
        <v>2021</v>
      </c>
      <c r="C602" s="1" t="s">
        <v>2505</v>
      </c>
      <c r="D602" s="1" t="s">
        <v>2506</v>
      </c>
      <c r="E602" s="1" t="s">
        <v>2019</v>
      </c>
      <c r="F602" s="1" t="s">
        <v>61</v>
      </c>
      <c r="G602" s="6">
        <v>509147</v>
      </c>
      <c r="H602" t="str">
        <f>IFERROR(VLOOKUP(F602,'LEAID Match'!$A$2:$B$142,2,FALSE),"")</f>
        <v/>
      </c>
    </row>
    <row r="603" spans="1:8" x14ac:dyDescent="0.2">
      <c r="A603" t="str">
        <f t="shared" si="9"/>
        <v/>
      </c>
      <c r="B603" s="1">
        <v>2022</v>
      </c>
      <c r="C603" s="1" t="s">
        <v>2505</v>
      </c>
      <c r="D603" s="1" t="s">
        <v>2506</v>
      </c>
      <c r="E603" s="1" t="s">
        <v>2019</v>
      </c>
      <c r="F603" s="1" t="s">
        <v>61</v>
      </c>
      <c r="G603" s="6">
        <v>551717</v>
      </c>
      <c r="H603" t="str">
        <f>IFERROR(VLOOKUP(F603,'LEAID Match'!$A$2:$B$142,2,FALSE),"")</f>
        <v/>
      </c>
    </row>
    <row r="604" spans="1:8" x14ac:dyDescent="0.2">
      <c r="A604" t="str">
        <f t="shared" si="9"/>
        <v/>
      </c>
      <c r="B604" s="1">
        <v>2023</v>
      </c>
      <c r="C604" s="1" t="s">
        <v>2505</v>
      </c>
      <c r="D604" s="1" t="s">
        <v>2506</v>
      </c>
      <c r="E604" s="1" t="s">
        <v>2019</v>
      </c>
      <c r="F604" s="1" t="s">
        <v>61</v>
      </c>
      <c r="G604" s="6">
        <v>594343</v>
      </c>
      <c r="H604" t="str">
        <f>IFERROR(VLOOKUP(F604,'LEAID Match'!$A$2:$B$142,2,FALSE),"")</f>
        <v/>
      </c>
    </row>
    <row r="605" spans="1:8" x14ac:dyDescent="0.2">
      <c r="A605" t="str">
        <f t="shared" si="9"/>
        <v/>
      </c>
      <c r="B605" s="1">
        <v>2024</v>
      </c>
      <c r="C605" s="1" t="s">
        <v>2505</v>
      </c>
      <c r="D605" s="1" t="s">
        <v>2506</v>
      </c>
      <c r="E605" s="1" t="s">
        <v>2019</v>
      </c>
      <c r="F605" s="1" t="s">
        <v>61</v>
      </c>
      <c r="G605" s="6">
        <v>608253</v>
      </c>
      <c r="H605" t="str">
        <f>IFERROR(VLOOKUP(F605,'LEAID Match'!$A$2:$B$142,2,FALSE),"")</f>
        <v/>
      </c>
    </row>
    <row r="606" spans="1:8" x14ac:dyDescent="0.2">
      <c r="A606" t="str">
        <f t="shared" si="9"/>
        <v/>
      </c>
      <c r="B606" s="1">
        <v>2015</v>
      </c>
      <c r="C606" s="1" t="s">
        <v>2505</v>
      </c>
      <c r="D606" s="1" t="s">
        <v>2506</v>
      </c>
      <c r="E606" s="1" t="s">
        <v>2019</v>
      </c>
      <c r="F606" s="1" t="s">
        <v>62</v>
      </c>
      <c r="G606" s="6">
        <v>132478</v>
      </c>
      <c r="H606" t="str">
        <f>IFERROR(VLOOKUP(F606,'LEAID Match'!$A$2:$B$142,2,FALSE),"")</f>
        <v/>
      </c>
    </row>
    <row r="607" spans="1:8" x14ac:dyDescent="0.2">
      <c r="A607" t="str">
        <f t="shared" si="9"/>
        <v/>
      </c>
      <c r="B607">
        <v>2016</v>
      </c>
      <c r="C607" s="1" t="s">
        <v>2505</v>
      </c>
      <c r="D607" s="1" t="s">
        <v>2506</v>
      </c>
      <c r="E607" s="1" t="s">
        <v>2019</v>
      </c>
      <c r="F607" s="1" t="s">
        <v>62</v>
      </c>
      <c r="G607" s="12">
        <v>137541</v>
      </c>
      <c r="H607" t="str">
        <f>IFERROR(VLOOKUP(F607,'LEAID Match'!$A$2:$B$142,2,FALSE),"")</f>
        <v/>
      </c>
    </row>
    <row r="608" spans="1:8" x14ac:dyDescent="0.2">
      <c r="A608" t="str">
        <f t="shared" si="9"/>
        <v/>
      </c>
      <c r="B608" s="1">
        <v>2017</v>
      </c>
      <c r="C608" s="1" t="s">
        <v>2505</v>
      </c>
      <c r="D608" s="1" t="s">
        <v>2506</v>
      </c>
      <c r="E608" s="1" t="s">
        <v>2019</v>
      </c>
      <c r="F608" s="1" t="s">
        <v>62</v>
      </c>
      <c r="G608" s="49">
        <v>140429</v>
      </c>
      <c r="H608" t="str">
        <f>IFERROR(VLOOKUP(F608,'LEAID Match'!$A$2:$B$142,2,FALSE),"")</f>
        <v/>
      </c>
    </row>
    <row r="609" spans="1:8" x14ac:dyDescent="0.2">
      <c r="A609" t="str">
        <f t="shared" si="9"/>
        <v/>
      </c>
      <c r="B609" s="1">
        <v>2018</v>
      </c>
      <c r="C609" s="1" t="s">
        <v>2505</v>
      </c>
      <c r="D609" s="1" t="s">
        <v>2506</v>
      </c>
      <c r="E609" s="1" t="s">
        <v>2019</v>
      </c>
      <c r="F609" s="1" t="s">
        <v>62</v>
      </c>
      <c r="G609" s="6">
        <v>134676</v>
      </c>
      <c r="H609" t="str">
        <f>IFERROR(VLOOKUP(F609,'LEAID Match'!$A$2:$B$142,2,FALSE),"")</f>
        <v/>
      </c>
    </row>
    <row r="610" spans="1:8" x14ac:dyDescent="0.2">
      <c r="A610" t="str">
        <f t="shared" si="9"/>
        <v/>
      </c>
      <c r="B610" s="1">
        <v>2019</v>
      </c>
      <c r="C610" s="1" t="s">
        <v>2505</v>
      </c>
      <c r="D610" s="1" t="s">
        <v>2506</v>
      </c>
      <c r="E610" s="1" t="s">
        <v>2019</v>
      </c>
      <c r="F610" s="1" t="s">
        <v>62</v>
      </c>
      <c r="G610" s="6">
        <v>132656</v>
      </c>
      <c r="H610" t="str">
        <f>IFERROR(VLOOKUP(F610,'LEAID Match'!$A$2:$B$142,2,FALSE),"")</f>
        <v/>
      </c>
    </row>
    <row r="611" spans="1:8" x14ac:dyDescent="0.2">
      <c r="A611" t="str">
        <f t="shared" si="9"/>
        <v/>
      </c>
      <c r="B611" s="1">
        <v>2020</v>
      </c>
      <c r="C611" s="1" t="s">
        <v>2505</v>
      </c>
      <c r="D611" s="1" t="s">
        <v>2506</v>
      </c>
      <c r="E611" s="1" t="s">
        <v>2019</v>
      </c>
      <c r="F611" s="1" t="s">
        <v>62</v>
      </c>
      <c r="G611" s="6">
        <v>140406</v>
      </c>
      <c r="H611" t="str">
        <f>IFERROR(VLOOKUP(F611,'LEAID Match'!$A$2:$B$142,2,FALSE),"")</f>
        <v/>
      </c>
    </row>
    <row r="612" spans="1:8" x14ac:dyDescent="0.2">
      <c r="A612" t="str">
        <f t="shared" si="9"/>
        <v/>
      </c>
      <c r="B612" s="1">
        <v>2021</v>
      </c>
      <c r="C612" s="1" t="s">
        <v>2505</v>
      </c>
      <c r="D612" s="1" t="s">
        <v>2506</v>
      </c>
      <c r="E612" s="1" t="s">
        <v>2019</v>
      </c>
      <c r="F612" s="1" t="s">
        <v>62</v>
      </c>
      <c r="G612" s="6">
        <v>135754</v>
      </c>
      <c r="H612" t="str">
        <f>IFERROR(VLOOKUP(F612,'LEAID Match'!$A$2:$B$142,2,FALSE),"")</f>
        <v/>
      </c>
    </row>
    <row r="613" spans="1:8" x14ac:dyDescent="0.2">
      <c r="A613" t="str">
        <f t="shared" si="9"/>
        <v/>
      </c>
      <c r="B613" s="1">
        <v>2022</v>
      </c>
      <c r="C613" s="1" t="s">
        <v>2505</v>
      </c>
      <c r="D613" s="1" t="s">
        <v>2506</v>
      </c>
      <c r="E613" s="1" t="s">
        <v>2019</v>
      </c>
      <c r="F613" s="1" t="s">
        <v>62</v>
      </c>
      <c r="G613" s="6">
        <v>136587</v>
      </c>
      <c r="H613" t="str">
        <f>IFERROR(VLOOKUP(F613,'LEAID Match'!$A$2:$B$142,2,FALSE),"")</f>
        <v/>
      </c>
    </row>
    <row r="614" spans="1:8" x14ac:dyDescent="0.2">
      <c r="A614" t="str">
        <f t="shared" si="9"/>
        <v/>
      </c>
      <c r="B614" s="1">
        <v>2023</v>
      </c>
      <c r="C614" s="1" t="s">
        <v>2505</v>
      </c>
      <c r="D614" s="1" t="s">
        <v>2506</v>
      </c>
      <c r="E614" s="1" t="s">
        <v>2019</v>
      </c>
      <c r="F614" s="1" t="s">
        <v>62</v>
      </c>
      <c r="G614" s="6">
        <v>168063</v>
      </c>
      <c r="H614" t="str">
        <f>IFERROR(VLOOKUP(F614,'LEAID Match'!$A$2:$B$142,2,FALSE),"")</f>
        <v/>
      </c>
    </row>
    <row r="615" spans="1:8" x14ac:dyDescent="0.2">
      <c r="A615" t="str">
        <f t="shared" si="9"/>
        <v/>
      </c>
      <c r="B615" s="1">
        <v>2024</v>
      </c>
      <c r="C615" s="1" t="s">
        <v>2505</v>
      </c>
      <c r="D615" s="1" t="s">
        <v>2506</v>
      </c>
      <c r="E615" s="1" t="s">
        <v>2019</v>
      </c>
      <c r="F615" s="1" t="s">
        <v>62</v>
      </c>
      <c r="G615" s="6">
        <v>180389</v>
      </c>
      <c r="H615" t="str">
        <f>IFERROR(VLOOKUP(F615,'LEAID Match'!$A$2:$B$142,2,FALSE),"")</f>
        <v/>
      </c>
    </row>
    <row r="616" spans="1:8" x14ac:dyDescent="0.2">
      <c r="A616" t="str">
        <f t="shared" si="9"/>
        <v/>
      </c>
      <c r="B616" s="1">
        <v>2015</v>
      </c>
      <c r="C616" s="1" t="s">
        <v>2505</v>
      </c>
      <c r="D616" s="1" t="s">
        <v>2506</v>
      </c>
      <c r="E616" s="1" t="s">
        <v>2019</v>
      </c>
      <c r="F616" s="1" t="s">
        <v>63</v>
      </c>
      <c r="G616" s="6">
        <v>39968</v>
      </c>
      <c r="H616" t="str">
        <f>IFERROR(VLOOKUP(F616,'LEAID Match'!$A$2:$B$142,2,FALSE),"")</f>
        <v/>
      </c>
    </row>
    <row r="617" spans="1:8" x14ac:dyDescent="0.2">
      <c r="A617" t="str">
        <f t="shared" si="9"/>
        <v/>
      </c>
      <c r="B617">
        <v>2016</v>
      </c>
      <c r="C617" s="1" t="s">
        <v>2505</v>
      </c>
      <c r="D617" s="1" t="s">
        <v>2506</v>
      </c>
      <c r="E617" s="1" t="s">
        <v>2019</v>
      </c>
      <c r="F617" s="1" t="s">
        <v>63</v>
      </c>
      <c r="G617" s="12">
        <v>42645</v>
      </c>
      <c r="H617" t="str">
        <f>IFERROR(VLOOKUP(F617,'LEAID Match'!$A$2:$B$142,2,FALSE),"")</f>
        <v/>
      </c>
    </row>
    <row r="618" spans="1:8" x14ac:dyDescent="0.2">
      <c r="A618" t="str">
        <f t="shared" si="9"/>
        <v/>
      </c>
      <c r="B618" s="1">
        <v>2017</v>
      </c>
      <c r="C618" s="1" t="s">
        <v>2505</v>
      </c>
      <c r="D618" s="1" t="s">
        <v>2506</v>
      </c>
      <c r="E618" s="1" t="s">
        <v>2019</v>
      </c>
      <c r="F618" s="1" t="s">
        <v>63</v>
      </c>
      <c r="G618" s="49">
        <v>42583</v>
      </c>
      <c r="H618" t="str">
        <f>IFERROR(VLOOKUP(F618,'LEAID Match'!$A$2:$B$142,2,FALSE),"")</f>
        <v/>
      </c>
    </row>
    <row r="619" spans="1:8" x14ac:dyDescent="0.2">
      <c r="A619" t="str">
        <f t="shared" si="9"/>
        <v/>
      </c>
      <c r="B619" s="1">
        <v>2018</v>
      </c>
      <c r="C619" s="1" t="s">
        <v>2505</v>
      </c>
      <c r="D619" s="1" t="s">
        <v>2506</v>
      </c>
      <c r="E619" s="1" t="s">
        <v>2019</v>
      </c>
      <c r="F619" s="1" t="s">
        <v>63</v>
      </c>
      <c r="G619" s="6">
        <v>44182</v>
      </c>
      <c r="H619" t="str">
        <f>IFERROR(VLOOKUP(F619,'LEAID Match'!$A$2:$B$142,2,FALSE),"")</f>
        <v/>
      </c>
    </row>
    <row r="620" spans="1:8" x14ac:dyDescent="0.2">
      <c r="A620" t="str">
        <f t="shared" si="9"/>
        <v/>
      </c>
      <c r="B620" s="1">
        <v>2019</v>
      </c>
      <c r="C620" s="1" t="s">
        <v>2505</v>
      </c>
      <c r="D620" s="1" t="s">
        <v>2506</v>
      </c>
      <c r="E620" s="1" t="s">
        <v>2019</v>
      </c>
      <c r="F620" s="1" t="s">
        <v>63</v>
      </c>
      <c r="G620" s="6">
        <v>47169</v>
      </c>
      <c r="H620" t="str">
        <f>IFERROR(VLOOKUP(F620,'LEAID Match'!$A$2:$B$142,2,FALSE),"")</f>
        <v/>
      </c>
    </row>
    <row r="621" spans="1:8" x14ac:dyDescent="0.2">
      <c r="A621" t="str">
        <f t="shared" si="9"/>
        <v/>
      </c>
      <c r="B621" s="1">
        <v>2020</v>
      </c>
      <c r="C621" s="1" t="s">
        <v>2505</v>
      </c>
      <c r="D621" s="1" t="s">
        <v>2506</v>
      </c>
      <c r="E621" s="1" t="s">
        <v>2019</v>
      </c>
      <c r="F621" s="1" t="s">
        <v>63</v>
      </c>
      <c r="G621" s="6">
        <v>39650</v>
      </c>
      <c r="H621" t="str">
        <f>IFERROR(VLOOKUP(F621,'LEAID Match'!$A$2:$B$142,2,FALSE),"")</f>
        <v/>
      </c>
    </row>
    <row r="622" spans="1:8" x14ac:dyDescent="0.2">
      <c r="A622" t="str">
        <f t="shared" si="9"/>
        <v/>
      </c>
      <c r="B622" s="1">
        <v>2021</v>
      </c>
      <c r="C622" s="1" t="s">
        <v>2505</v>
      </c>
      <c r="D622" s="1" t="s">
        <v>2506</v>
      </c>
      <c r="E622" s="1" t="s">
        <v>2019</v>
      </c>
      <c r="F622" s="1" t="s">
        <v>63</v>
      </c>
      <c r="G622" s="6">
        <v>45358</v>
      </c>
      <c r="H622" t="str">
        <f>IFERROR(VLOOKUP(F622,'LEAID Match'!$A$2:$B$142,2,FALSE),"")</f>
        <v/>
      </c>
    </row>
    <row r="623" spans="1:8" x14ac:dyDescent="0.2">
      <c r="A623" t="str">
        <f t="shared" si="9"/>
        <v/>
      </c>
      <c r="B623" s="1">
        <v>2022</v>
      </c>
      <c r="C623" s="1" t="s">
        <v>2505</v>
      </c>
      <c r="D623" s="1" t="s">
        <v>2506</v>
      </c>
      <c r="E623" s="1" t="s">
        <v>2019</v>
      </c>
      <c r="F623" s="1" t="s">
        <v>63</v>
      </c>
      <c r="G623" s="6">
        <v>50703</v>
      </c>
      <c r="H623" t="str">
        <f>IFERROR(VLOOKUP(F623,'LEAID Match'!$A$2:$B$142,2,FALSE),"")</f>
        <v/>
      </c>
    </row>
    <row r="624" spans="1:8" x14ac:dyDescent="0.2">
      <c r="A624" t="str">
        <f t="shared" si="9"/>
        <v/>
      </c>
      <c r="B624" s="1">
        <v>2023</v>
      </c>
      <c r="C624" s="1" t="s">
        <v>2505</v>
      </c>
      <c r="D624" s="1" t="s">
        <v>2506</v>
      </c>
      <c r="E624" s="1" t="s">
        <v>2019</v>
      </c>
      <c r="F624" s="1" t="s">
        <v>63</v>
      </c>
      <c r="G624" s="6">
        <v>49328</v>
      </c>
      <c r="H624" t="str">
        <f>IFERROR(VLOOKUP(F624,'LEAID Match'!$A$2:$B$142,2,FALSE),"")</f>
        <v/>
      </c>
    </row>
    <row r="625" spans="1:8" x14ac:dyDescent="0.2">
      <c r="A625" t="str">
        <f t="shared" si="9"/>
        <v/>
      </c>
      <c r="B625" s="1">
        <v>2024</v>
      </c>
      <c r="C625" s="1" t="s">
        <v>2505</v>
      </c>
      <c r="D625" s="1" t="s">
        <v>2506</v>
      </c>
      <c r="E625" s="1" t="s">
        <v>2019</v>
      </c>
      <c r="F625" s="1" t="s">
        <v>63</v>
      </c>
      <c r="G625" s="6">
        <v>53637</v>
      </c>
      <c r="H625" t="str">
        <f>IFERROR(VLOOKUP(F625,'LEAID Match'!$A$2:$B$142,2,FALSE),"")</f>
        <v/>
      </c>
    </row>
    <row r="626" spans="1:8" x14ac:dyDescent="0.2">
      <c r="A626">
        <f t="shared" si="9"/>
        <v>2800820</v>
      </c>
      <c r="B626" s="1">
        <v>2015</v>
      </c>
      <c r="C626" s="1" t="s">
        <v>2505</v>
      </c>
      <c r="D626" s="1" t="s">
        <v>2506</v>
      </c>
      <c r="E626" s="1" t="s">
        <v>2019</v>
      </c>
      <c r="F626" s="1" t="s">
        <v>64</v>
      </c>
      <c r="G626" s="6">
        <v>944140</v>
      </c>
      <c r="H626">
        <f>IFERROR(VLOOKUP(F626,'LEAID Match'!$A$2:$B$142,2,FALSE),"")</f>
        <v>2800820</v>
      </c>
    </row>
    <row r="627" spans="1:8" x14ac:dyDescent="0.2">
      <c r="A627">
        <f t="shared" si="9"/>
        <v>2800820</v>
      </c>
      <c r="B627">
        <v>2016</v>
      </c>
      <c r="C627" s="1" t="s">
        <v>2505</v>
      </c>
      <c r="D627" s="1" t="s">
        <v>2506</v>
      </c>
      <c r="E627" s="1" t="s">
        <v>2019</v>
      </c>
      <c r="F627" s="1" t="s">
        <v>64</v>
      </c>
      <c r="G627" s="12">
        <v>1011609</v>
      </c>
      <c r="H627">
        <f>IFERROR(VLOOKUP(F627,'LEAID Match'!$A$2:$B$142,2,FALSE),"")</f>
        <v>2800820</v>
      </c>
    </row>
    <row r="628" spans="1:8" x14ac:dyDescent="0.2">
      <c r="A628">
        <f t="shared" si="9"/>
        <v>2800820</v>
      </c>
      <c r="B628" s="1">
        <v>2017</v>
      </c>
      <c r="C628" s="1" t="s">
        <v>2505</v>
      </c>
      <c r="D628" s="1" t="s">
        <v>2506</v>
      </c>
      <c r="E628" s="1" t="s">
        <v>2019</v>
      </c>
      <c r="F628" s="1" t="s">
        <v>64</v>
      </c>
      <c r="G628" s="49">
        <v>1019318</v>
      </c>
      <c r="H628">
        <f>IFERROR(VLOOKUP(F628,'LEAID Match'!$A$2:$B$142,2,FALSE),"")</f>
        <v>2800820</v>
      </c>
    </row>
    <row r="629" spans="1:8" x14ac:dyDescent="0.2">
      <c r="A629">
        <f t="shared" si="9"/>
        <v>2800820</v>
      </c>
      <c r="B629" s="1">
        <v>2018</v>
      </c>
      <c r="C629" s="1" t="s">
        <v>2505</v>
      </c>
      <c r="D629" s="1" t="s">
        <v>2506</v>
      </c>
      <c r="E629" s="1" t="s">
        <v>2019</v>
      </c>
      <c r="F629" s="1" t="s">
        <v>64</v>
      </c>
      <c r="G629" s="6">
        <v>1004763</v>
      </c>
      <c r="H629">
        <f>IFERROR(VLOOKUP(F629,'LEAID Match'!$A$2:$B$142,2,FALSE),"")</f>
        <v>2800820</v>
      </c>
    </row>
    <row r="630" spans="1:8" x14ac:dyDescent="0.2">
      <c r="A630">
        <f t="shared" si="9"/>
        <v>2800820</v>
      </c>
      <c r="B630" s="1">
        <v>2019</v>
      </c>
      <c r="C630" s="1" t="s">
        <v>2505</v>
      </c>
      <c r="D630" s="1" t="s">
        <v>2506</v>
      </c>
      <c r="E630" s="1" t="s">
        <v>2019</v>
      </c>
      <c r="F630" s="1" t="s">
        <v>64</v>
      </c>
      <c r="G630" s="6">
        <v>1022799</v>
      </c>
      <c r="H630">
        <f>IFERROR(VLOOKUP(F630,'LEAID Match'!$A$2:$B$142,2,FALSE),"")</f>
        <v>2800820</v>
      </c>
    </row>
    <row r="631" spans="1:8" x14ac:dyDescent="0.2">
      <c r="A631">
        <f t="shared" si="9"/>
        <v>2800820</v>
      </c>
      <c r="B631" s="1">
        <v>2020</v>
      </c>
      <c r="C631" s="1" t="s">
        <v>2505</v>
      </c>
      <c r="D631" s="1" t="s">
        <v>2506</v>
      </c>
      <c r="E631" s="1" t="s">
        <v>2019</v>
      </c>
      <c r="F631" s="1" t="s">
        <v>64</v>
      </c>
      <c r="G631" s="6">
        <v>1177660</v>
      </c>
      <c r="H631">
        <f>IFERROR(VLOOKUP(F631,'LEAID Match'!$A$2:$B$142,2,FALSE),"")</f>
        <v>2800820</v>
      </c>
    </row>
    <row r="632" spans="1:8" x14ac:dyDescent="0.2">
      <c r="A632">
        <f t="shared" si="9"/>
        <v>2800820</v>
      </c>
      <c r="B632" s="1">
        <v>2021</v>
      </c>
      <c r="C632" s="1" t="s">
        <v>2505</v>
      </c>
      <c r="D632" s="1" t="s">
        <v>2506</v>
      </c>
      <c r="E632" s="1" t="s">
        <v>2019</v>
      </c>
      <c r="F632" s="1" t="s">
        <v>64</v>
      </c>
      <c r="G632" s="6">
        <v>1183393</v>
      </c>
      <c r="H632">
        <f>IFERROR(VLOOKUP(F632,'LEAID Match'!$A$2:$B$142,2,FALSE),"")</f>
        <v>2800820</v>
      </c>
    </row>
    <row r="633" spans="1:8" x14ac:dyDescent="0.2">
      <c r="A633">
        <f t="shared" si="9"/>
        <v>2800820</v>
      </c>
      <c r="B633" s="1">
        <v>2022</v>
      </c>
      <c r="C633" s="1" t="s">
        <v>2505</v>
      </c>
      <c r="D633" s="1" t="s">
        <v>2506</v>
      </c>
      <c r="E633" s="1" t="s">
        <v>2019</v>
      </c>
      <c r="F633" s="1" t="s">
        <v>64</v>
      </c>
      <c r="G633" s="6">
        <v>1295802</v>
      </c>
      <c r="H633">
        <f>IFERROR(VLOOKUP(F633,'LEAID Match'!$A$2:$B$142,2,FALSE),"")</f>
        <v>2800820</v>
      </c>
    </row>
    <row r="634" spans="1:8" x14ac:dyDescent="0.2">
      <c r="A634">
        <f t="shared" si="9"/>
        <v>2800820</v>
      </c>
      <c r="B634" s="1">
        <v>2023</v>
      </c>
      <c r="C634" s="1" t="s">
        <v>2505</v>
      </c>
      <c r="D634" s="1" t="s">
        <v>2506</v>
      </c>
      <c r="E634" s="1" t="s">
        <v>2019</v>
      </c>
      <c r="F634" s="1" t="s">
        <v>64</v>
      </c>
      <c r="G634" s="6">
        <v>1372099</v>
      </c>
      <c r="H634">
        <f>IFERROR(VLOOKUP(F634,'LEAID Match'!$A$2:$B$142,2,FALSE),"")</f>
        <v>2800820</v>
      </c>
    </row>
    <row r="635" spans="1:8" x14ac:dyDescent="0.2">
      <c r="A635">
        <f t="shared" si="9"/>
        <v>2800820</v>
      </c>
      <c r="B635" s="1">
        <v>2024</v>
      </c>
      <c r="C635" s="1" t="s">
        <v>2505</v>
      </c>
      <c r="D635" s="1" t="s">
        <v>2506</v>
      </c>
      <c r="E635" s="1" t="s">
        <v>2019</v>
      </c>
      <c r="F635" s="1" t="s">
        <v>64</v>
      </c>
      <c r="G635" s="6">
        <v>1455102</v>
      </c>
      <c r="H635">
        <f>IFERROR(VLOOKUP(F635,'LEAID Match'!$A$2:$B$142,2,FALSE),"")</f>
        <v>2800820</v>
      </c>
    </row>
    <row r="636" spans="1:8" x14ac:dyDescent="0.2">
      <c r="A636" t="str">
        <f t="shared" si="9"/>
        <v/>
      </c>
      <c r="B636" s="1">
        <v>2015</v>
      </c>
      <c r="C636" s="1" t="s">
        <v>2505</v>
      </c>
      <c r="D636" s="1" t="s">
        <v>2506</v>
      </c>
      <c r="E636" s="1" t="s">
        <v>2019</v>
      </c>
      <c r="F636" s="1" t="s">
        <v>65</v>
      </c>
      <c r="G636" s="6">
        <v>2419012</v>
      </c>
      <c r="H636" t="str">
        <f>IFERROR(VLOOKUP(F636,'LEAID Match'!$A$2:$B$142,2,FALSE),"")</f>
        <v/>
      </c>
    </row>
    <row r="637" spans="1:8" x14ac:dyDescent="0.2">
      <c r="A637" t="str">
        <f t="shared" si="9"/>
        <v/>
      </c>
      <c r="B637">
        <v>2016</v>
      </c>
      <c r="C637" s="1" t="s">
        <v>2505</v>
      </c>
      <c r="D637" s="1" t="s">
        <v>2506</v>
      </c>
      <c r="E637" s="1" t="s">
        <v>2019</v>
      </c>
      <c r="F637" s="1" t="s">
        <v>65</v>
      </c>
      <c r="G637" s="12">
        <v>2428129</v>
      </c>
      <c r="H637" t="str">
        <f>IFERROR(VLOOKUP(F637,'LEAID Match'!$A$2:$B$142,2,FALSE),"")</f>
        <v/>
      </c>
    </row>
    <row r="638" spans="1:8" x14ac:dyDescent="0.2">
      <c r="A638" t="str">
        <f t="shared" si="9"/>
        <v/>
      </c>
      <c r="B638" s="1">
        <v>2017</v>
      </c>
      <c r="C638" s="1" t="s">
        <v>2505</v>
      </c>
      <c r="D638" s="1" t="s">
        <v>2506</v>
      </c>
      <c r="E638" s="1" t="s">
        <v>2019</v>
      </c>
      <c r="F638" s="1" t="s">
        <v>65</v>
      </c>
      <c r="G638" s="49">
        <v>2768407</v>
      </c>
      <c r="H638" t="str">
        <f>IFERROR(VLOOKUP(F638,'LEAID Match'!$A$2:$B$142,2,FALSE),"")</f>
        <v/>
      </c>
    </row>
    <row r="639" spans="1:8" x14ac:dyDescent="0.2">
      <c r="A639" t="str">
        <f t="shared" si="9"/>
        <v/>
      </c>
      <c r="B639" s="1">
        <v>2018</v>
      </c>
      <c r="C639" s="1" t="s">
        <v>2505</v>
      </c>
      <c r="D639" s="1" t="s">
        <v>2506</v>
      </c>
      <c r="E639" s="1" t="s">
        <v>2019</v>
      </c>
      <c r="F639" s="1" t="s">
        <v>65</v>
      </c>
      <c r="G639" s="6">
        <v>2656984</v>
      </c>
      <c r="H639" t="str">
        <f>IFERROR(VLOOKUP(F639,'LEAID Match'!$A$2:$B$142,2,FALSE),"")</f>
        <v/>
      </c>
    </row>
    <row r="640" spans="1:8" x14ac:dyDescent="0.2">
      <c r="A640" t="str">
        <f t="shared" si="9"/>
        <v/>
      </c>
      <c r="B640" s="1">
        <v>2019</v>
      </c>
      <c r="C640" s="1" t="s">
        <v>2505</v>
      </c>
      <c r="D640" s="1" t="s">
        <v>2506</v>
      </c>
      <c r="E640" s="1" t="s">
        <v>2019</v>
      </c>
      <c r="F640" s="1" t="s">
        <v>65</v>
      </c>
      <c r="G640" s="6">
        <v>6388512</v>
      </c>
      <c r="H640" t="str">
        <f>IFERROR(VLOOKUP(F640,'LEAID Match'!$A$2:$B$142,2,FALSE),"")</f>
        <v/>
      </c>
    </row>
    <row r="641" spans="1:8" x14ac:dyDescent="0.2">
      <c r="A641" t="str">
        <f t="shared" si="9"/>
        <v/>
      </c>
      <c r="B641" s="1">
        <v>2020</v>
      </c>
      <c r="C641" s="1" t="s">
        <v>2505</v>
      </c>
      <c r="D641" s="1" t="s">
        <v>2506</v>
      </c>
      <c r="E641" s="1" t="s">
        <v>2019</v>
      </c>
      <c r="F641" s="1" t="s">
        <v>65</v>
      </c>
      <c r="G641" s="6">
        <v>7306694</v>
      </c>
      <c r="H641" t="str">
        <f>IFERROR(VLOOKUP(F641,'LEAID Match'!$A$2:$B$142,2,FALSE),"")</f>
        <v/>
      </c>
    </row>
    <row r="642" spans="1:8" x14ac:dyDescent="0.2">
      <c r="A642" t="str">
        <f t="shared" si="9"/>
        <v/>
      </c>
      <c r="B642" s="1">
        <v>2021</v>
      </c>
      <c r="C642" s="1" t="s">
        <v>2505</v>
      </c>
      <c r="D642" s="1" t="s">
        <v>2506</v>
      </c>
      <c r="E642" s="1" t="s">
        <v>2019</v>
      </c>
      <c r="F642" s="1" t="s">
        <v>65</v>
      </c>
      <c r="G642" s="6">
        <v>7131713</v>
      </c>
      <c r="H642" t="str">
        <f>IFERROR(VLOOKUP(F642,'LEAID Match'!$A$2:$B$142,2,FALSE),"")</f>
        <v/>
      </c>
    </row>
    <row r="643" spans="1:8" x14ac:dyDescent="0.2">
      <c r="A643" t="str">
        <f t="shared" ref="A643:A706" si="10">H643</f>
        <v/>
      </c>
      <c r="B643" s="1">
        <v>2022</v>
      </c>
      <c r="C643" s="1" t="s">
        <v>2505</v>
      </c>
      <c r="D643" s="1" t="s">
        <v>2506</v>
      </c>
      <c r="E643" s="1" t="s">
        <v>2019</v>
      </c>
      <c r="F643" s="1" t="s">
        <v>65</v>
      </c>
      <c r="G643" s="6">
        <v>4281510</v>
      </c>
      <c r="H643" t="str">
        <f>IFERROR(VLOOKUP(F643,'LEAID Match'!$A$2:$B$142,2,FALSE),"")</f>
        <v/>
      </c>
    </row>
    <row r="644" spans="1:8" x14ac:dyDescent="0.2">
      <c r="A644" t="str">
        <f t="shared" si="10"/>
        <v/>
      </c>
      <c r="B644" s="1">
        <v>2023</v>
      </c>
      <c r="C644" s="1" t="s">
        <v>2505</v>
      </c>
      <c r="D644" s="1" t="s">
        <v>2506</v>
      </c>
      <c r="E644" s="1" t="s">
        <v>2019</v>
      </c>
      <c r="F644" s="1" t="s">
        <v>65</v>
      </c>
      <c r="G644" s="6">
        <v>4977642</v>
      </c>
      <c r="H644" t="str">
        <f>IFERROR(VLOOKUP(F644,'LEAID Match'!$A$2:$B$142,2,FALSE),"")</f>
        <v/>
      </c>
    </row>
    <row r="645" spans="1:8" x14ac:dyDescent="0.2">
      <c r="A645" t="str">
        <f t="shared" si="10"/>
        <v/>
      </c>
      <c r="B645" s="1">
        <v>2024</v>
      </c>
      <c r="C645" s="1" t="s">
        <v>2505</v>
      </c>
      <c r="D645" s="1" t="s">
        <v>2506</v>
      </c>
      <c r="E645" s="1" t="s">
        <v>2019</v>
      </c>
      <c r="F645" s="1" t="s">
        <v>65</v>
      </c>
      <c r="G645" s="6">
        <v>5227465</v>
      </c>
      <c r="H645" t="str">
        <f>IFERROR(VLOOKUP(F645,'LEAID Match'!$A$2:$B$142,2,FALSE),"")</f>
        <v/>
      </c>
    </row>
    <row r="646" spans="1:8" x14ac:dyDescent="0.2">
      <c r="A646" t="str">
        <f t="shared" si="10"/>
        <v/>
      </c>
      <c r="B646" s="1">
        <v>2015</v>
      </c>
      <c r="C646" s="1" t="s">
        <v>2505</v>
      </c>
      <c r="D646" s="1" t="s">
        <v>2506</v>
      </c>
      <c r="E646" s="1" t="s">
        <v>2019</v>
      </c>
      <c r="F646" s="1" t="s">
        <v>66</v>
      </c>
      <c r="G646" s="6">
        <v>23157</v>
      </c>
      <c r="H646" t="str">
        <f>IFERROR(VLOOKUP(F646,'LEAID Match'!$A$2:$B$142,2,FALSE),"")</f>
        <v/>
      </c>
    </row>
    <row r="647" spans="1:8" x14ac:dyDescent="0.2">
      <c r="A647" t="str">
        <f t="shared" si="10"/>
        <v/>
      </c>
      <c r="B647">
        <v>2016</v>
      </c>
      <c r="C647" s="1" t="s">
        <v>2505</v>
      </c>
      <c r="D647" s="1" t="s">
        <v>2506</v>
      </c>
      <c r="E647" s="1" t="s">
        <v>2019</v>
      </c>
      <c r="F647" s="1" t="s">
        <v>66</v>
      </c>
      <c r="G647" s="12">
        <v>23591</v>
      </c>
      <c r="H647" t="str">
        <f>IFERROR(VLOOKUP(F647,'LEAID Match'!$A$2:$B$142,2,FALSE),"")</f>
        <v/>
      </c>
    </row>
    <row r="648" spans="1:8" x14ac:dyDescent="0.2">
      <c r="A648" t="str">
        <f t="shared" si="10"/>
        <v/>
      </c>
      <c r="B648" s="1">
        <v>2017</v>
      </c>
      <c r="C648" s="1" t="s">
        <v>2505</v>
      </c>
      <c r="D648" s="1" t="s">
        <v>2506</v>
      </c>
      <c r="E648" s="1" t="s">
        <v>2019</v>
      </c>
      <c r="F648" s="1" t="s">
        <v>66</v>
      </c>
      <c r="G648" s="49">
        <v>22966</v>
      </c>
      <c r="H648" t="str">
        <f>IFERROR(VLOOKUP(F648,'LEAID Match'!$A$2:$B$142,2,FALSE),"")</f>
        <v/>
      </c>
    </row>
    <row r="649" spans="1:8" x14ac:dyDescent="0.2">
      <c r="A649" t="str">
        <f t="shared" si="10"/>
        <v/>
      </c>
      <c r="B649" s="1">
        <v>2018</v>
      </c>
      <c r="C649" s="1" t="s">
        <v>2505</v>
      </c>
      <c r="D649" s="1" t="s">
        <v>2506</v>
      </c>
      <c r="E649" s="1" t="s">
        <v>2019</v>
      </c>
      <c r="F649" s="1" t="s">
        <v>66</v>
      </c>
      <c r="G649" s="6">
        <v>27303</v>
      </c>
      <c r="H649" t="str">
        <f>IFERROR(VLOOKUP(F649,'LEAID Match'!$A$2:$B$142,2,FALSE),"")</f>
        <v/>
      </c>
    </row>
    <row r="650" spans="1:8" x14ac:dyDescent="0.2">
      <c r="A650" t="str">
        <f t="shared" si="10"/>
        <v/>
      </c>
      <c r="B650" s="1">
        <v>2019</v>
      </c>
      <c r="C650" s="1" t="s">
        <v>2505</v>
      </c>
      <c r="D650" s="1" t="s">
        <v>2506</v>
      </c>
      <c r="E650" s="1" t="s">
        <v>2019</v>
      </c>
      <c r="F650" s="1" t="s">
        <v>66</v>
      </c>
      <c r="G650" s="6">
        <v>37221</v>
      </c>
      <c r="H650" t="str">
        <f>IFERROR(VLOOKUP(F650,'LEAID Match'!$A$2:$B$142,2,FALSE),"")</f>
        <v/>
      </c>
    </row>
    <row r="651" spans="1:8" x14ac:dyDescent="0.2">
      <c r="A651" t="str">
        <f t="shared" si="10"/>
        <v/>
      </c>
      <c r="B651" s="1">
        <v>2020</v>
      </c>
      <c r="C651" s="1" t="s">
        <v>2505</v>
      </c>
      <c r="D651" s="1" t="s">
        <v>2506</v>
      </c>
      <c r="E651" s="1" t="s">
        <v>2019</v>
      </c>
      <c r="F651" s="1" t="s">
        <v>66</v>
      </c>
      <c r="G651" s="6">
        <v>50691</v>
      </c>
      <c r="H651" t="str">
        <f>IFERROR(VLOOKUP(F651,'LEAID Match'!$A$2:$B$142,2,FALSE),"")</f>
        <v/>
      </c>
    </row>
    <row r="652" spans="1:8" x14ac:dyDescent="0.2">
      <c r="A652" t="str">
        <f t="shared" si="10"/>
        <v/>
      </c>
      <c r="B652" s="1">
        <v>2021</v>
      </c>
      <c r="C652" s="1" t="s">
        <v>2505</v>
      </c>
      <c r="D652" s="1" t="s">
        <v>2506</v>
      </c>
      <c r="E652" s="1" t="s">
        <v>2019</v>
      </c>
      <c r="F652" s="1" t="s">
        <v>66</v>
      </c>
      <c r="G652" s="6">
        <v>52269</v>
      </c>
      <c r="H652" t="str">
        <f>IFERROR(VLOOKUP(F652,'LEAID Match'!$A$2:$B$142,2,FALSE),"")</f>
        <v/>
      </c>
    </row>
    <row r="653" spans="1:8" x14ac:dyDescent="0.2">
      <c r="A653" t="str">
        <f t="shared" si="10"/>
        <v/>
      </c>
      <c r="B653" s="1">
        <v>2022</v>
      </c>
      <c r="C653" s="1" t="s">
        <v>2505</v>
      </c>
      <c r="D653" s="1" t="s">
        <v>2506</v>
      </c>
      <c r="E653" s="1" t="s">
        <v>2019</v>
      </c>
      <c r="F653" s="1" t="s">
        <v>66</v>
      </c>
      <c r="G653" s="6">
        <v>58181</v>
      </c>
      <c r="H653" t="str">
        <f>IFERROR(VLOOKUP(F653,'LEAID Match'!$A$2:$B$142,2,FALSE),"")</f>
        <v/>
      </c>
    </row>
    <row r="654" spans="1:8" x14ac:dyDescent="0.2">
      <c r="A654" t="str">
        <f t="shared" si="10"/>
        <v/>
      </c>
      <c r="B654" s="1">
        <v>2023</v>
      </c>
      <c r="C654" s="1" t="s">
        <v>2505</v>
      </c>
      <c r="D654" s="1" t="s">
        <v>2506</v>
      </c>
      <c r="E654" s="1" t="s">
        <v>2019</v>
      </c>
      <c r="F654" s="1" t="s">
        <v>66</v>
      </c>
      <c r="G654" s="6">
        <v>62326</v>
      </c>
      <c r="H654" t="str">
        <f>IFERROR(VLOOKUP(F654,'LEAID Match'!$A$2:$B$142,2,FALSE),"")</f>
        <v/>
      </c>
    </row>
    <row r="655" spans="1:8" x14ac:dyDescent="0.2">
      <c r="A655" t="str">
        <f t="shared" si="10"/>
        <v/>
      </c>
      <c r="B655" s="1">
        <v>2024</v>
      </c>
      <c r="C655" s="1" t="s">
        <v>2505</v>
      </c>
      <c r="D655" s="1" t="s">
        <v>2506</v>
      </c>
      <c r="E655" s="1" t="s">
        <v>2019</v>
      </c>
      <c r="F655" s="1" t="s">
        <v>66</v>
      </c>
      <c r="G655" s="6">
        <v>67281</v>
      </c>
      <c r="H655" t="str">
        <f>IFERROR(VLOOKUP(F655,'LEAID Match'!$A$2:$B$142,2,FALSE),"")</f>
        <v/>
      </c>
    </row>
    <row r="656" spans="1:8" x14ac:dyDescent="0.2">
      <c r="A656" t="str">
        <f t="shared" si="10"/>
        <v/>
      </c>
      <c r="B656" s="1">
        <v>2015</v>
      </c>
      <c r="C656" s="1" t="s">
        <v>2505</v>
      </c>
      <c r="D656" s="1" t="s">
        <v>2506</v>
      </c>
      <c r="E656" s="1" t="s">
        <v>2019</v>
      </c>
      <c r="F656" s="1" t="s">
        <v>67</v>
      </c>
      <c r="G656" s="6">
        <v>918606</v>
      </c>
      <c r="H656" t="str">
        <f>IFERROR(VLOOKUP(F656,'LEAID Match'!$A$2:$B$142,2,FALSE),"")</f>
        <v/>
      </c>
    </row>
    <row r="657" spans="1:8" x14ac:dyDescent="0.2">
      <c r="A657" t="str">
        <f t="shared" si="10"/>
        <v/>
      </c>
      <c r="B657">
        <v>2016</v>
      </c>
      <c r="C657" s="1" t="s">
        <v>2505</v>
      </c>
      <c r="D657" s="1" t="s">
        <v>2506</v>
      </c>
      <c r="E657" s="1" t="s">
        <v>2019</v>
      </c>
      <c r="F657" s="1" t="s">
        <v>67</v>
      </c>
      <c r="G657" s="12">
        <v>999693</v>
      </c>
      <c r="H657" t="str">
        <f>IFERROR(VLOOKUP(F657,'LEAID Match'!$A$2:$B$142,2,FALSE),"")</f>
        <v/>
      </c>
    </row>
    <row r="658" spans="1:8" x14ac:dyDescent="0.2">
      <c r="A658" t="str">
        <f t="shared" si="10"/>
        <v/>
      </c>
      <c r="B658" s="1">
        <v>2017</v>
      </c>
      <c r="C658" s="1" t="s">
        <v>2505</v>
      </c>
      <c r="D658" s="1" t="s">
        <v>2506</v>
      </c>
      <c r="E658" s="1" t="s">
        <v>2019</v>
      </c>
      <c r="F658" s="1" t="s">
        <v>67</v>
      </c>
      <c r="G658" s="49">
        <v>1036863</v>
      </c>
      <c r="H658" t="str">
        <f>IFERROR(VLOOKUP(F658,'LEAID Match'!$A$2:$B$142,2,FALSE),"")</f>
        <v/>
      </c>
    </row>
    <row r="659" spans="1:8" x14ac:dyDescent="0.2">
      <c r="A659" t="str">
        <f t="shared" si="10"/>
        <v/>
      </c>
      <c r="B659" s="1">
        <v>2018</v>
      </c>
      <c r="C659" s="1" t="s">
        <v>2505</v>
      </c>
      <c r="D659" s="1" t="s">
        <v>2506</v>
      </c>
      <c r="E659" s="1" t="s">
        <v>2019</v>
      </c>
      <c r="F659" s="1" t="s">
        <v>67</v>
      </c>
      <c r="G659" s="6">
        <v>1058877</v>
      </c>
      <c r="H659" t="str">
        <f>IFERROR(VLOOKUP(F659,'LEAID Match'!$A$2:$B$142,2,FALSE),"")</f>
        <v/>
      </c>
    </row>
    <row r="660" spans="1:8" x14ac:dyDescent="0.2">
      <c r="A660" t="str">
        <f t="shared" si="10"/>
        <v/>
      </c>
      <c r="B660" s="1">
        <v>2019</v>
      </c>
      <c r="C660" s="1" t="s">
        <v>2505</v>
      </c>
      <c r="D660" s="1" t="s">
        <v>2506</v>
      </c>
      <c r="E660" s="1" t="s">
        <v>2019</v>
      </c>
      <c r="F660" s="1" t="s">
        <v>67</v>
      </c>
      <c r="G660" s="6">
        <v>1058706</v>
      </c>
      <c r="H660" t="str">
        <f>IFERROR(VLOOKUP(F660,'LEAID Match'!$A$2:$B$142,2,FALSE),"")</f>
        <v/>
      </c>
    </row>
    <row r="661" spans="1:8" x14ac:dyDescent="0.2">
      <c r="A661" t="str">
        <f t="shared" si="10"/>
        <v/>
      </c>
      <c r="B661" s="1">
        <v>2020</v>
      </c>
      <c r="C661" s="1" t="s">
        <v>2505</v>
      </c>
      <c r="D661" s="1" t="s">
        <v>2506</v>
      </c>
      <c r="E661" s="1" t="s">
        <v>2019</v>
      </c>
      <c r="F661" s="1" t="s">
        <v>67</v>
      </c>
      <c r="G661" s="6">
        <v>1246069</v>
      </c>
      <c r="H661" t="str">
        <f>IFERROR(VLOOKUP(F661,'LEAID Match'!$A$2:$B$142,2,FALSE),"")</f>
        <v/>
      </c>
    </row>
    <row r="662" spans="1:8" x14ac:dyDescent="0.2">
      <c r="A662" t="str">
        <f t="shared" si="10"/>
        <v/>
      </c>
      <c r="B662" s="1">
        <v>2021</v>
      </c>
      <c r="C662" s="1" t="s">
        <v>2505</v>
      </c>
      <c r="D662" s="1" t="s">
        <v>2506</v>
      </c>
      <c r="E662" s="1" t="s">
        <v>2019</v>
      </c>
      <c r="F662" s="1" t="s">
        <v>67</v>
      </c>
      <c r="G662" s="6">
        <v>1267600</v>
      </c>
      <c r="H662" t="str">
        <f>IFERROR(VLOOKUP(F662,'LEAID Match'!$A$2:$B$142,2,FALSE),"")</f>
        <v/>
      </c>
    </row>
    <row r="663" spans="1:8" x14ac:dyDescent="0.2">
      <c r="A663" t="str">
        <f t="shared" si="10"/>
        <v/>
      </c>
      <c r="B663" s="1">
        <v>2022</v>
      </c>
      <c r="C663" s="1" t="s">
        <v>2505</v>
      </c>
      <c r="D663" s="1" t="s">
        <v>2506</v>
      </c>
      <c r="E663" s="1" t="s">
        <v>2019</v>
      </c>
      <c r="F663" s="1" t="s">
        <v>67</v>
      </c>
      <c r="G663" s="6">
        <v>1240547</v>
      </c>
      <c r="H663" t="str">
        <f>IFERROR(VLOOKUP(F663,'LEAID Match'!$A$2:$B$142,2,FALSE),"")</f>
        <v/>
      </c>
    </row>
    <row r="664" spans="1:8" x14ac:dyDescent="0.2">
      <c r="A664" t="str">
        <f t="shared" si="10"/>
        <v/>
      </c>
      <c r="B664" s="1">
        <v>2023</v>
      </c>
      <c r="C664" s="1" t="s">
        <v>2505</v>
      </c>
      <c r="D664" s="1" t="s">
        <v>2506</v>
      </c>
      <c r="E664" s="1" t="s">
        <v>2019</v>
      </c>
      <c r="F664" s="1" t="s">
        <v>67</v>
      </c>
      <c r="G664" s="6">
        <v>1364371</v>
      </c>
      <c r="H664" t="str">
        <f>IFERROR(VLOOKUP(F664,'LEAID Match'!$A$2:$B$142,2,FALSE),"")</f>
        <v/>
      </c>
    </row>
    <row r="665" spans="1:8" x14ac:dyDescent="0.2">
      <c r="A665" t="str">
        <f t="shared" si="10"/>
        <v/>
      </c>
      <c r="B665" s="1">
        <v>2024</v>
      </c>
      <c r="C665" s="1" t="s">
        <v>2505</v>
      </c>
      <c r="D665" s="1" t="s">
        <v>2506</v>
      </c>
      <c r="E665" s="1" t="s">
        <v>2019</v>
      </c>
      <c r="F665" s="1" t="s">
        <v>67</v>
      </c>
      <c r="G665" s="6">
        <v>1395291</v>
      </c>
      <c r="H665" t="str">
        <f>IFERROR(VLOOKUP(F665,'LEAID Match'!$A$2:$B$142,2,FALSE),"")</f>
        <v/>
      </c>
    </row>
    <row r="666" spans="1:8" x14ac:dyDescent="0.2">
      <c r="A666" t="str">
        <f t="shared" si="10"/>
        <v/>
      </c>
      <c r="B666" s="1">
        <v>2015</v>
      </c>
      <c r="C666" s="1" t="s">
        <v>2505</v>
      </c>
      <c r="D666" s="1" t="s">
        <v>2506</v>
      </c>
      <c r="E666" s="1" t="s">
        <v>2019</v>
      </c>
      <c r="F666" s="1" t="s">
        <v>68</v>
      </c>
      <c r="G666" s="6">
        <v>783293</v>
      </c>
      <c r="H666" t="str">
        <f>IFERROR(VLOOKUP(F666,'LEAID Match'!$A$2:$B$142,2,FALSE),"")</f>
        <v/>
      </c>
    </row>
    <row r="667" spans="1:8" x14ac:dyDescent="0.2">
      <c r="A667" t="str">
        <f t="shared" si="10"/>
        <v/>
      </c>
      <c r="B667">
        <v>2016</v>
      </c>
      <c r="C667" s="1" t="s">
        <v>2505</v>
      </c>
      <c r="D667" s="1" t="s">
        <v>2506</v>
      </c>
      <c r="E667" s="1" t="s">
        <v>2019</v>
      </c>
      <c r="F667" s="1" t="s">
        <v>68</v>
      </c>
      <c r="G667" s="12">
        <v>794765</v>
      </c>
      <c r="H667" t="str">
        <f>IFERROR(VLOOKUP(F667,'LEAID Match'!$A$2:$B$142,2,FALSE),"")</f>
        <v/>
      </c>
    </row>
    <row r="668" spans="1:8" x14ac:dyDescent="0.2">
      <c r="A668" t="str">
        <f t="shared" si="10"/>
        <v/>
      </c>
      <c r="B668" s="1">
        <v>2017</v>
      </c>
      <c r="C668" s="1" t="s">
        <v>2505</v>
      </c>
      <c r="D668" s="1" t="s">
        <v>2506</v>
      </c>
      <c r="E668" s="1" t="s">
        <v>2019</v>
      </c>
      <c r="F668" s="1" t="s">
        <v>68</v>
      </c>
      <c r="G668" s="49">
        <v>835878</v>
      </c>
      <c r="H668" t="str">
        <f>IFERROR(VLOOKUP(F668,'LEAID Match'!$A$2:$B$142,2,FALSE),"")</f>
        <v/>
      </c>
    </row>
    <row r="669" spans="1:8" x14ac:dyDescent="0.2">
      <c r="A669" t="str">
        <f t="shared" si="10"/>
        <v/>
      </c>
      <c r="B669" s="1">
        <v>2018</v>
      </c>
      <c r="C669" s="1" t="s">
        <v>2505</v>
      </c>
      <c r="D669" s="1" t="s">
        <v>2506</v>
      </c>
      <c r="E669" s="1" t="s">
        <v>2019</v>
      </c>
      <c r="F669" s="1" t="s">
        <v>68</v>
      </c>
      <c r="G669" s="6">
        <v>875189</v>
      </c>
      <c r="H669" t="str">
        <f>IFERROR(VLOOKUP(F669,'LEAID Match'!$A$2:$B$142,2,FALSE),"")</f>
        <v/>
      </c>
    </row>
    <row r="670" spans="1:8" x14ac:dyDescent="0.2">
      <c r="A670" t="str">
        <f t="shared" si="10"/>
        <v/>
      </c>
      <c r="B670" s="1">
        <v>2019</v>
      </c>
      <c r="C670" s="1" t="s">
        <v>2505</v>
      </c>
      <c r="D670" s="1" t="s">
        <v>2506</v>
      </c>
      <c r="E670" s="1" t="s">
        <v>2019</v>
      </c>
      <c r="F670" s="1" t="s">
        <v>68</v>
      </c>
      <c r="G670" s="6">
        <v>915330</v>
      </c>
      <c r="H670" t="str">
        <f>IFERROR(VLOOKUP(F670,'LEAID Match'!$A$2:$B$142,2,FALSE),"")</f>
        <v/>
      </c>
    </row>
    <row r="671" spans="1:8" x14ac:dyDescent="0.2">
      <c r="A671" t="str">
        <f t="shared" si="10"/>
        <v/>
      </c>
      <c r="B671" s="1">
        <v>2020</v>
      </c>
      <c r="C671" s="1" t="s">
        <v>2505</v>
      </c>
      <c r="D671" s="1" t="s">
        <v>2506</v>
      </c>
      <c r="E671" s="1" t="s">
        <v>2019</v>
      </c>
      <c r="F671" s="1" t="s">
        <v>68</v>
      </c>
      <c r="G671" s="6">
        <v>1015387</v>
      </c>
      <c r="H671" t="str">
        <f>IFERROR(VLOOKUP(F671,'LEAID Match'!$A$2:$B$142,2,FALSE),"")</f>
        <v/>
      </c>
    </row>
    <row r="672" spans="1:8" x14ac:dyDescent="0.2">
      <c r="A672" t="str">
        <f t="shared" si="10"/>
        <v/>
      </c>
      <c r="B672" s="1">
        <v>2021</v>
      </c>
      <c r="C672" s="1" t="s">
        <v>2505</v>
      </c>
      <c r="D672" s="1" t="s">
        <v>2506</v>
      </c>
      <c r="E672" s="1" t="s">
        <v>2019</v>
      </c>
      <c r="F672" s="1" t="s">
        <v>68</v>
      </c>
      <c r="G672" s="6">
        <v>990913</v>
      </c>
      <c r="H672" t="str">
        <f>IFERROR(VLOOKUP(F672,'LEAID Match'!$A$2:$B$142,2,FALSE),"")</f>
        <v/>
      </c>
    </row>
    <row r="673" spans="1:8" x14ac:dyDescent="0.2">
      <c r="A673" t="str">
        <f t="shared" si="10"/>
        <v/>
      </c>
      <c r="B673" s="1">
        <v>2022</v>
      </c>
      <c r="C673" s="1" t="s">
        <v>2505</v>
      </c>
      <c r="D673" s="1" t="s">
        <v>2506</v>
      </c>
      <c r="E673" s="1" t="s">
        <v>2019</v>
      </c>
      <c r="F673" s="1" t="s">
        <v>68</v>
      </c>
      <c r="G673" s="6">
        <v>1017619</v>
      </c>
      <c r="H673" t="str">
        <f>IFERROR(VLOOKUP(F673,'LEAID Match'!$A$2:$B$142,2,FALSE),"")</f>
        <v/>
      </c>
    </row>
    <row r="674" spans="1:8" x14ac:dyDescent="0.2">
      <c r="A674" t="str">
        <f t="shared" si="10"/>
        <v/>
      </c>
      <c r="B674" s="1">
        <v>2023</v>
      </c>
      <c r="C674" s="1" t="s">
        <v>2505</v>
      </c>
      <c r="D674" s="1" t="s">
        <v>2506</v>
      </c>
      <c r="E674" s="1" t="s">
        <v>2019</v>
      </c>
      <c r="F674" s="1" t="s">
        <v>68</v>
      </c>
      <c r="G674" s="6">
        <v>1114630</v>
      </c>
      <c r="H674" t="str">
        <f>IFERROR(VLOOKUP(F674,'LEAID Match'!$A$2:$B$142,2,FALSE),"")</f>
        <v/>
      </c>
    </row>
    <row r="675" spans="1:8" x14ac:dyDescent="0.2">
      <c r="A675" t="str">
        <f t="shared" si="10"/>
        <v/>
      </c>
      <c r="B675" s="1">
        <v>2024</v>
      </c>
      <c r="C675" s="1" t="s">
        <v>2505</v>
      </c>
      <c r="D675" s="1" t="s">
        <v>2506</v>
      </c>
      <c r="E675" s="1" t="s">
        <v>2019</v>
      </c>
      <c r="F675" s="1" t="s">
        <v>68</v>
      </c>
      <c r="G675" s="6">
        <v>1175446</v>
      </c>
      <c r="H675" t="str">
        <f>IFERROR(VLOOKUP(F675,'LEAID Match'!$A$2:$B$142,2,FALSE),"")</f>
        <v/>
      </c>
    </row>
    <row r="676" spans="1:8" x14ac:dyDescent="0.2">
      <c r="A676">
        <f t="shared" si="10"/>
        <v>2800840</v>
      </c>
      <c r="B676" s="1">
        <v>2015</v>
      </c>
      <c r="C676" s="1" t="s">
        <v>2505</v>
      </c>
      <c r="D676" s="1" t="s">
        <v>2506</v>
      </c>
      <c r="E676" s="1" t="s">
        <v>2019</v>
      </c>
      <c r="F676" s="1" t="s">
        <v>69</v>
      </c>
      <c r="G676" s="6">
        <v>2375473</v>
      </c>
      <c r="H676">
        <f>IFERROR(VLOOKUP(F676,'LEAID Match'!$A$2:$B$142,2,FALSE),"")</f>
        <v>2800840</v>
      </c>
    </row>
    <row r="677" spans="1:8" x14ac:dyDescent="0.2">
      <c r="A677">
        <f t="shared" si="10"/>
        <v>2800840</v>
      </c>
      <c r="B677">
        <v>2016</v>
      </c>
      <c r="C677" s="1" t="s">
        <v>2505</v>
      </c>
      <c r="D677" s="1" t="s">
        <v>2506</v>
      </c>
      <c r="E677" s="1" t="s">
        <v>2019</v>
      </c>
      <c r="F677" s="1" t="s">
        <v>69</v>
      </c>
      <c r="G677" s="12">
        <v>2506880</v>
      </c>
      <c r="H677">
        <f>IFERROR(VLOOKUP(F677,'LEAID Match'!$A$2:$B$142,2,FALSE),"")</f>
        <v>2800840</v>
      </c>
    </row>
    <row r="678" spans="1:8" x14ac:dyDescent="0.2">
      <c r="A678">
        <f t="shared" si="10"/>
        <v>2800840</v>
      </c>
      <c r="B678" s="1">
        <v>2017</v>
      </c>
      <c r="C678" s="1" t="s">
        <v>2505</v>
      </c>
      <c r="D678" s="1" t="s">
        <v>2506</v>
      </c>
      <c r="E678" s="1" t="s">
        <v>2019</v>
      </c>
      <c r="F678" s="1" t="s">
        <v>69</v>
      </c>
      <c r="G678" s="49">
        <v>2566755</v>
      </c>
      <c r="H678">
        <f>IFERROR(VLOOKUP(F678,'LEAID Match'!$A$2:$B$142,2,FALSE),"")</f>
        <v>2800840</v>
      </c>
    </row>
    <row r="679" spans="1:8" x14ac:dyDescent="0.2">
      <c r="A679">
        <f t="shared" si="10"/>
        <v>2800840</v>
      </c>
      <c r="B679" s="1">
        <v>2018</v>
      </c>
      <c r="C679" s="1" t="s">
        <v>2505</v>
      </c>
      <c r="D679" s="1" t="s">
        <v>2506</v>
      </c>
      <c r="E679" s="1" t="s">
        <v>2019</v>
      </c>
      <c r="F679" s="1" t="s">
        <v>69</v>
      </c>
      <c r="G679" s="6">
        <v>2676668</v>
      </c>
      <c r="H679">
        <f>IFERROR(VLOOKUP(F679,'LEAID Match'!$A$2:$B$142,2,FALSE),"")</f>
        <v>2800840</v>
      </c>
    </row>
    <row r="680" spans="1:8" x14ac:dyDescent="0.2">
      <c r="A680">
        <f t="shared" si="10"/>
        <v>2800840</v>
      </c>
      <c r="B680" s="1">
        <v>2019</v>
      </c>
      <c r="C680" s="1" t="s">
        <v>2505</v>
      </c>
      <c r="D680" s="1" t="s">
        <v>2506</v>
      </c>
      <c r="E680" s="1" t="s">
        <v>2019</v>
      </c>
      <c r="F680" s="1" t="s">
        <v>69</v>
      </c>
      <c r="G680" s="6">
        <v>2457322</v>
      </c>
      <c r="H680">
        <f>IFERROR(VLOOKUP(F680,'LEAID Match'!$A$2:$B$142,2,FALSE),"")</f>
        <v>2800840</v>
      </c>
    </row>
    <row r="681" spans="1:8" x14ac:dyDescent="0.2">
      <c r="A681">
        <f t="shared" si="10"/>
        <v>2800840</v>
      </c>
      <c r="B681" s="1">
        <v>2020</v>
      </c>
      <c r="C681" s="1" t="s">
        <v>2505</v>
      </c>
      <c r="D681" s="1" t="s">
        <v>2506</v>
      </c>
      <c r="E681" s="1" t="s">
        <v>2019</v>
      </c>
      <c r="F681" s="1" t="s">
        <v>69</v>
      </c>
      <c r="G681" s="6">
        <v>2763062</v>
      </c>
      <c r="H681">
        <f>IFERROR(VLOOKUP(F681,'LEAID Match'!$A$2:$B$142,2,FALSE),"")</f>
        <v>2800840</v>
      </c>
    </row>
    <row r="682" spans="1:8" x14ac:dyDescent="0.2">
      <c r="A682">
        <f t="shared" si="10"/>
        <v>2800840</v>
      </c>
      <c r="B682" s="1">
        <v>2021</v>
      </c>
      <c r="C682" s="1" t="s">
        <v>2505</v>
      </c>
      <c r="D682" s="1" t="s">
        <v>2506</v>
      </c>
      <c r="E682" s="1" t="s">
        <v>2019</v>
      </c>
      <c r="F682" s="1" t="s">
        <v>69</v>
      </c>
      <c r="G682" s="6">
        <v>2744824</v>
      </c>
      <c r="H682">
        <f>IFERROR(VLOOKUP(F682,'LEAID Match'!$A$2:$B$142,2,FALSE),"")</f>
        <v>2800840</v>
      </c>
    </row>
    <row r="683" spans="1:8" x14ac:dyDescent="0.2">
      <c r="A683">
        <f t="shared" si="10"/>
        <v>2800840</v>
      </c>
      <c r="B683" s="1">
        <v>2022</v>
      </c>
      <c r="C683" s="1" t="s">
        <v>2505</v>
      </c>
      <c r="D683" s="1" t="s">
        <v>2506</v>
      </c>
      <c r="E683" s="1" t="s">
        <v>2019</v>
      </c>
      <c r="F683" s="1" t="s">
        <v>69</v>
      </c>
      <c r="G683" s="6">
        <v>2980648</v>
      </c>
      <c r="H683">
        <f>IFERROR(VLOOKUP(F683,'LEAID Match'!$A$2:$B$142,2,FALSE),"")</f>
        <v>2800840</v>
      </c>
    </row>
    <row r="684" spans="1:8" x14ac:dyDescent="0.2">
      <c r="A684">
        <f t="shared" si="10"/>
        <v>2800840</v>
      </c>
      <c r="B684" s="1">
        <v>2023</v>
      </c>
      <c r="C684" s="1" t="s">
        <v>2505</v>
      </c>
      <c r="D684" s="1" t="s">
        <v>2506</v>
      </c>
      <c r="E684" s="1" t="s">
        <v>2019</v>
      </c>
      <c r="F684" s="1" t="s">
        <v>69</v>
      </c>
      <c r="G684" s="6">
        <v>3221934</v>
      </c>
      <c r="H684">
        <f>IFERROR(VLOOKUP(F684,'LEAID Match'!$A$2:$B$142,2,FALSE),"")</f>
        <v>2800840</v>
      </c>
    </row>
    <row r="685" spans="1:8" x14ac:dyDescent="0.2">
      <c r="A685">
        <f t="shared" si="10"/>
        <v>2800840</v>
      </c>
      <c r="B685" s="1">
        <v>2024</v>
      </c>
      <c r="C685" s="1" t="s">
        <v>2505</v>
      </c>
      <c r="D685" s="1" t="s">
        <v>2506</v>
      </c>
      <c r="E685" s="1" t="s">
        <v>2019</v>
      </c>
      <c r="F685" s="1" t="s">
        <v>69</v>
      </c>
      <c r="G685" s="6">
        <v>3213262</v>
      </c>
      <c r="H685">
        <f>IFERROR(VLOOKUP(F685,'LEAID Match'!$A$2:$B$142,2,FALSE),"")</f>
        <v>2800840</v>
      </c>
    </row>
    <row r="686" spans="1:8" x14ac:dyDescent="0.2">
      <c r="A686" t="str">
        <f t="shared" si="10"/>
        <v/>
      </c>
      <c r="B686" s="1">
        <v>2015</v>
      </c>
      <c r="C686" s="1" t="s">
        <v>2505</v>
      </c>
      <c r="D686" s="1" t="s">
        <v>2506</v>
      </c>
      <c r="E686" s="1" t="s">
        <v>2019</v>
      </c>
      <c r="F686" s="1" t="s">
        <v>70</v>
      </c>
      <c r="G686" s="6">
        <v>45718</v>
      </c>
      <c r="H686" t="str">
        <f>IFERROR(VLOOKUP(F686,'LEAID Match'!$A$2:$B$142,2,FALSE),"")</f>
        <v/>
      </c>
    </row>
    <row r="687" spans="1:8" x14ac:dyDescent="0.2">
      <c r="A687" t="str">
        <f t="shared" si="10"/>
        <v/>
      </c>
      <c r="B687">
        <v>2016</v>
      </c>
      <c r="C687" s="1" t="s">
        <v>2505</v>
      </c>
      <c r="D687" s="1" t="s">
        <v>2506</v>
      </c>
      <c r="E687" s="1" t="s">
        <v>2019</v>
      </c>
      <c r="F687" s="1" t="s">
        <v>70</v>
      </c>
      <c r="G687" s="12">
        <v>50090</v>
      </c>
      <c r="H687" t="str">
        <f>IFERROR(VLOOKUP(F687,'LEAID Match'!$A$2:$B$142,2,FALSE),"")</f>
        <v/>
      </c>
    </row>
    <row r="688" spans="1:8" x14ac:dyDescent="0.2">
      <c r="A688" t="str">
        <f t="shared" si="10"/>
        <v/>
      </c>
      <c r="B688" s="1">
        <v>2017</v>
      </c>
      <c r="C688" s="1" t="s">
        <v>2505</v>
      </c>
      <c r="D688" s="1" t="s">
        <v>2506</v>
      </c>
      <c r="E688" s="1" t="s">
        <v>2019</v>
      </c>
      <c r="F688" s="1" t="s">
        <v>70</v>
      </c>
      <c r="G688" s="49">
        <v>47720</v>
      </c>
      <c r="H688" t="str">
        <f>IFERROR(VLOOKUP(F688,'LEAID Match'!$A$2:$B$142,2,FALSE),"")</f>
        <v/>
      </c>
    </row>
    <row r="689" spans="1:8" x14ac:dyDescent="0.2">
      <c r="A689" t="str">
        <f t="shared" si="10"/>
        <v/>
      </c>
      <c r="B689" s="1">
        <v>2018</v>
      </c>
      <c r="C689" s="1" t="s">
        <v>2505</v>
      </c>
      <c r="D689" s="1" t="s">
        <v>2506</v>
      </c>
      <c r="E689" s="1" t="s">
        <v>2019</v>
      </c>
      <c r="F689" s="1" t="s">
        <v>70</v>
      </c>
      <c r="G689" s="6">
        <v>48913</v>
      </c>
      <c r="H689" t="str">
        <f>IFERROR(VLOOKUP(F689,'LEAID Match'!$A$2:$B$142,2,FALSE),"")</f>
        <v/>
      </c>
    </row>
    <row r="690" spans="1:8" x14ac:dyDescent="0.2">
      <c r="A690" t="str">
        <f t="shared" si="10"/>
        <v/>
      </c>
      <c r="B690" s="1">
        <v>2019</v>
      </c>
      <c r="C690" s="1" t="s">
        <v>2505</v>
      </c>
      <c r="D690" s="1" t="s">
        <v>2506</v>
      </c>
      <c r="E690" s="1" t="s">
        <v>2019</v>
      </c>
      <c r="F690" s="1" t="s">
        <v>70</v>
      </c>
      <c r="G690" s="6">
        <v>50995</v>
      </c>
      <c r="H690" t="str">
        <f>IFERROR(VLOOKUP(F690,'LEAID Match'!$A$2:$B$142,2,FALSE),"")</f>
        <v/>
      </c>
    </row>
    <row r="691" spans="1:8" x14ac:dyDescent="0.2">
      <c r="A691" t="str">
        <f t="shared" si="10"/>
        <v/>
      </c>
      <c r="B691" s="1">
        <v>2020</v>
      </c>
      <c r="C691" s="1" t="s">
        <v>2505</v>
      </c>
      <c r="D691" s="1" t="s">
        <v>2506</v>
      </c>
      <c r="E691" s="1" t="s">
        <v>2019</v>
      </c>
      <c r="F691" s="1" t="s">
        <v>70</v>
      </c>
      <c r="G691" s="6">
        <v>61127</v>
      </c>
      <c r="H691" t="str">
        <f>IFERROR(VLOOKUP(F691,'LEAID Match'!$A$2:$B$142,2,FALSE),"")</f>
        <v/>
      </c>
    </row>
    <row r="692" spans="1:8" x14ac:dyDescent="0.2">
      <c r="A692" t="str">
        <f t="shared" si="10"/>
        <v/>
      </c>
      <c r="B692" s="1">
        <v>2021</v>
      </c>
      <c r="C692" s="1" t="s">
        <v>2505</v>
      </c>
      <c r="D692" s="1" t="s">
        <v>2506</v>
      </c>
      <c r="E692" s="1" t="s">
        <v>2019</v>
      </c>
      <c r="F692" s="1" t="s">
        <v>70</v>
      </c>
      <c r="G692" s="6">
        <v>58424</v>
      </c>
      <c r="H692" t="str">
        <f>IFERROR(VLOOKUP(F692,'LEAID Match'!$A$2:$B$142,2,FALSE),"")</f>
        <v/>
      </c>
    </row>
    <row r="693" spans="1:8" x14ac:dyDescent="0.2">
      <c r="A693" t="str">
        <f t="shared" si="10"/>
        <v/>
      </c>
      <c r="B693" s="1">
        <v>2022</v>
      </c>
      <c r="C693" s="1" t="s">
        <v>2505</v>
      </c>
      <c r="D693" s="1" t="s">
        <v>2506</v>
      </c>
      <c r="E693" s="1" t="s">
        <v>2019</v>
      </c>
      <c r="F693" s="1" t="s">
        <v>70</v>
      </c>
      <c r="G693" s="6">
        <v>60228</v>
      </c>
      <c r="H693" t="str">
        <f>IFERROR(VLOOKUP(F693,'LEAID Match'!$A$2:$B$142,2,FALSE),"")</f>
        <v/>
      </c>
    </row>
    <row r="694" spans="1:8" x14ac:dyDescent="0.2">
      <c r="A694" t="str">
        <f t="shared" si="10"/>
        <v/>
      </c>
      <c r="B694" s="1">
        <v>2023</v>
      </c>
      <c r="C694" s="1" t="s">
        <v>2505</v>
      </c>
      <c r="D694" s="1" t="s">
        <v>2506</v>
      </c>
      <c r="E694" s="1" t="s">
        <v>2019</v>
      </c>
      <c r="F694" s="1" t="s">
        <v>70</v>
      </c>
      <c r="G694" s="6">
        <v>56757</v>
      </c>
      <c r="H694" t="str">
        <f>IFERROR(VLOOKUP(F694,'LEAID Match'!$A$2:$B$142,2,FALSE),"")</f>
        <v/>
      </c>
    </row>
    <row r="695" spans="1:8" x14ac:dyDescent="0.2">
      <c r="A695" t="str">
        <f t="shared" si="10"/>
        <v/>
      </c>
      <c r="B695" s="1">
        <v>2024</v>
      </c>
      <c r="C695" s="1" t="s">
        <v>2505</v>
      </c>
      <c r="D695" s="1" t="s">
        <v>2506</v>
      </c>
      <c r="E695" s="1" t="s">
        <v>2019</v>
      </c>
      <c r="F695" s="1" t="s">
        <v>70</v>
      </c>
      <c r="G695" s="6">
        <v>59702</v>
      </c>
      <c r="H695" t="str">
        <f>IFERROR(VLOOKUP(F695,'LEAID Match'!$A$2:$B$142,2,FALSE),"")</f>
        <v/>
      </c>
    </row>
    <row r="696" spans="1:8" x14ac:dyDescent="0.2">
      <c r="A696" t="str">
        <f t="shared" si="10"/>
        <v/>
      </c>
      <c r="B696" s="1">
        <v>2015</v>
      </c>
      <c r="C696" s="1" t="s">
        <v>2505</v>
      </c>
      <c r="D696" s="1" t="s">
        <v>2506</v>
      </c>
      <c r="E696" s="1" t="s">
        <v>2019</v>
      </c>
      <c r="F696" s="1" t="s">
        <v>71</v>
      </c>
      <c r="G696" s="6">
        <v>45432</v>
      </c>
      <c r="H696" t="str">
        <f>IFERROR(VLOOKUP(F696,'LEAID Match'!$A$2:$B$142,2,FALSE),"")</f>
        <v/>
      </c>
    </row>
    <row r="697" spans="1:8" x14ac:dyDescent="0.2">
      <c r="A697" t="str">
        <f t="shared" si="10"/>
        <v/>
      </c>
      <c r="B697">
        <v>2016</v>
      </c>
      <c r="C697" s="1" t="s">
        <v>2505</v>
      </c>
      <c r="D697" s="1" t="s">
        <v>2506</v>
      </c>
      <c r="E697" s="1" t="s">
        <v>2019</v>
      </c>
      <c r="F697" s="1" t="s">
        <v>71</v>
      </c>
      <c r="G697" s="12">
        <v>48281</v>
      </c>
      <c r="H697" t="str">
        <f>IFERROR(VLOOKUP(F697,'LEAID Match'!$A$2:$B$142,2,FALSE),"")</f>
        <v/>
      </c>
    </row>
    <row r="698" spans="1:8" x14ac:dyDescent="0.2">
      <c r="A698" t="str">
        <f t="shared" si="10"/>
        <v/>
      </c>
      <c r="B698" s="1">
        <v>2017</v>
      </c>
      <c r="C698" s="1" t="s">
        <v>2505</v>
      </c>
      <c r="D698" s="1" t="s">
        <v>2506</v>
      </c>
      <c r="E698" s="1" t="s">
        <v>2019</v>
      </c>
      <c r="F698" s="1" t="s">
        <v>71</v>
      </c>
      <c r="G698" s="49">
        <v>49061</v>
      </c>
      <c r="H698" t="str">
        <f>IFERROR(VLOOKUP(F698,'LEAID Match'!$A$2:$B$142,2,FALSE),"")</f>
        <v/>
      </c>
    </row>
    <row r="699" spans="1:8" x14ac:dyDescent="0.2">
      <c r="A699" t="str">
        <f t="shared" si="10"/>
        <v/>
      </c>
      <c r="B699" s="1">
        <v>2018</v>
      </c>
      <c r="C699" s="1" t="s">
        <v>2505</v>
      </c>
      <c r="D699" s="1" t="s">
        <v>2506</v>
      </c>
      <c r="E699" s="1" t="s">
        <v>2019</v>
      </c>
      <c r="F699" s="1" t="s">
        <v>71</v>
      </c>
      <c r="G699" s="6">
        <v>51996</v>
      </c>
      <c r="H699" t="str">
        <f>IFERROR(VLOOKUP(F699,'LEAID Match'!$A$2:$B$142,2,FALSE),"")</f>
        <v/>
      </c>
    </row>
    <row r="700" spans="1:8" x14ac:dyDescent="0.2">
      <c r="A700" t="str">
        <f t="shared" si="10"/>
        <v/>
      </c>
      <c r="B700" s="1">
        <v>2019</v>
      </c>
      <c r="C700" s="1" t="s">
        <v>2505</v>
      </c>
      <c r="D700" s="1" t="s">
        <v>2506</v>
      </c>
      <c r="E700" s="1" t="s">
        <v>2019</v>
      </c>
      <c r="F700" s="1" t="s">
        <v>71</v>
      </c>
      <c r="G700" s="6">
        <v>54639</v>
      </c>
      <c r="H700" t="str">
        <f>IFERROR(VLOOKUP(F700,'LEAID Match'!$A$2:$B$142,2,FALSE),"")</f>
        <v/>
      </c>
    </row>
    <row r="701" spans="1:8" x14ac:dyDescent="0.2">
      <c r="A701" t="str">
        <f t="shared" si="10"/>
        <v/>
      </c>
      <c r="B701" s="1">
        <v>2020</v>
      </c>
      <c r="C701" s="1" t="s">
        <v>2505</v>
      </c>
      <c r="D701" s="1" t="s">
        <v>2506</v>
      </c>
      <c r="E701" s="1" t="s">
        <v>2019</v>
      </c>
      <c r="F701" s="1" t="s">
        <v>71</v>
      </c>
      <c r="G701" s="6">
        <v>61948</v>
      </c>
      <c r="H701" t="str">
        <f>IFERROR(VLOOKUP(F701,'LEAID Match'!$A$2:$B$142,2,FALSE),"")</f>
        <v/>
      </c>
    </row>
    <row r="702" spans="1:8" x14ac:dyDescent="0.2">
      <c r="A702" t="str">
        <f t="shared" si="10"/>
        <v/>
      </c>
      <c r="B702" s="1">
        <v>2021</v>
      </c>
      <c r="C702" s="1" t="s">
        <v>2505</v>
      </c>
      <c r="D702" s="1" t="s">
        <v>2506</v>
      </c>
      <c r="E702" s="1" t="s">
        <v>2019</v>
      </c>
      <c r="F702" s="1" t="s">
        <v>71</v>
      </c>
      <c r="G702" s="6">
        <v>59539</v>
      </c>
      <c r="H702" t="str">
        <f>IFERROR(VLOOKUP(F702,'LEAID Match'!$A$2:$B$142,2,FALSE),"")</f>
        <v/>
      </c>
    </row>
    <row r="703" spans="1:8" x14ac:dyDescent="0.2">
      <c r="A703" t="str">
        <f t="shared" si="10"/>
        <v/>
      </c>
      <c r="B703" s="1">
        <v>2022</v>
      </c>
      <c r="C703" s="1" t="s">
        <v>2505</v>
      </c>
      <c r="D703" s="1" t="s">
        <v>2506</v>
      </c>
      <c r="E703" s="1" t="s">
        <v>2019</v>
      </c>
      <c r="F703" s="1" t="s">
        <v>71</v>
      </c>
      <c r="G703" s="6">
        <v>60533</v>
      </c>
      <c r="H703" t="str">
        <f>IFERROR(VLOOKUP(F703,'LEAID Match'!$A$2:$B$142,2,FALSE),"")</f>
        <v/>
      </c>
    </row>
    <row r="704" spans="1:8" x14ac:dyDescent="0.2">
      <c r="A704" t="str">
        <f t="shared" si="10"/>
        <v/>
      </c>
      <c r="B704" s="1">
        <v>2023</v>
      </c>
      <c r="C704" s="1" t="s">
        <v>2505</v>
      </c>
      <c r="D704" s="1" t="s">
        <v>2506</v>
      </c>
      <c r="E704" s="1" t="s">
        <v>2019</v>
      </c>
      <c r="F704" s="1" t="s">
        <v>71</v>
      </c>
      <c r="G704" s="6">
        <v>59383</v>
      </c>
      <c r="H704" t="str">
        <f>IFERROR(VLOOKUP(F704,'LEAID Match'!$A$2:$B$142,2,FALSE),"")</f>
        <v/>
      </c>
    </row>
    <row r="705" spans="1:8" x14ac:dyDescent="0.2">
      <c r="A705" t="str">
        <f t="shared" si="10"/>
        <v/>
      </c>
      <c r="B705" s="1">
        <v>2024</v>
      </c>
      <c r="C705" s="1" t="s">
        <v>2505</v>
      </c>
      <c r="D705" s="1" t="s">
        <v>2506</v>
      </c>
      <c r="E705" s="1" t="s">
        <v>2019</v>
      </c>
      <c r="F705" s="1" t="s">
        <v>71</v>
      </c>
      <c r="G705" s="6">
        <v>59093</v>
      </c>
      <c r="H705" t="str">
        <f>IFERROR(VLOOKUP(F705,'LEAID Match'!$A$2:$B$142,2,FALSE),"")</f>
        <v/>
      </c>
    </row>
    <row r="706" spans="1:8" x14ac:dyDescent="0.2">
      <c r="A706" t="str">
        <f t="shared" si="10"/>
        <v/>
      </c>
      <c r="B706" s="1">
        <v>2015</v>
      </c>
      <c r="C706" s="1" t="s">
        <v>2505</v>
      </c>
      <c r="D706" s="1" t="s">
        <v>2506</v>
      </c>
      <c r="E706" s="1" t="s">
        <v>2019</v>
      </c>
      <c r="F706" s="1" t="s">
        <v>72</v>
      </c>
      <c r="G706" s="6">
        <v>97096</v>
      </c>
      <c r="H706" t="str">
        <f>IFERROR(VLOOKUP(F706,'LEAID Match'!$A$2:$B$142,2,FALSE),"")</f>
        <v/>
      </c>
    </row>
    <row r="707" spans="1:8" x14ac:dyDescent="0.2">
      <c r="A707" t="str">
        <f t="shared" ref="A707:A770" si="11">H707</f>
        <v/>
      </c>
      <c r="B707">
        <v>2016</v>
      </c>
      <c r="C707" s="1" t="s">
        <v>2505</v>
      </c>
      <c r="D707" s="1" t="s">
        <v>2506</v>
      </c>
      <c r="E707" s="1" t="s">
        <v>2019</v>
      </c>
      <c r="F707" s="1" t="s">
        <v>72</v>
      </c>
      <c r="G707" s="12">
        <v>94650</v>
      </c>
      <c r="H707" t="str">
        <f>IFERROR(VLOOKUP(F707,'LEAID Match'!$A$2:$B$142,2,FALSE),"")</f>
        <v/>
      </c>
    </row>
    <row r="708" spans="1:8" x14ac:dyDescent="0.2">
      <c r="A708" t="str">
        <f t="shared" si="11"/>
        <v/>
      </c>
      <c r="B708" s="1">
        <v>2017</v>
      </c>
      <c r="C708" s="1" t="s">
        <v>2505</v>
      </c>
      <c r="D708" s="1" t="s">
        <v>2506</v>
      </c>
      <c r="E708" s="1" t="s">
        <v>2019</v>
      </c>
      <c r="F708" s="1" t="s">
        <v>72</v>
      </c>
      <c r="G708" s="49">
        <v>107784</v>
      </c>
      <c r="H708" t="str">
        <f>IFERROR(VLOOKUP(F708,'LEAID Match'!$A$2:$B$142,2,FALSE),"")</f>
        <v/>
      </c>
    </row>
    <row r="709" spans="1:8" x14ac:dyDescent="0.2">
      <c r="A709" t="str">
        <f t="shared" si="11"/>
        <v/>
      </c>
      <c r="B709" s="1">
        <v>2018</v>
      </c>
      <c r="C709" s="1" t="s">
        <v>2505</v>
      </c>
      <c r="D709" s="1" t="s">
        <v>2506</v>
      </c>
      <c r="E709" s="1" t="s">
        <v>2019</v>
      </c>
      <c r="F709" s="1" t="s">
        <v>72</v>
      </c>
      <c r="G709" s="6">
        <v>111034</v>
      </c>
      <c r="H709" t="str">
        <f>IFERROR(VLOOKUP(F709,'LEAID Match'!$A$2:$B$142,2,FALSE),"")</f>
        <v/>
      </c>
    </row>
    <row r="710" spans="1:8" x14ac:dyDescent="0.2">
      <c r="A710" t="str">
        <f t="shared" si="11"/>
        <v/>
      </c>
      <c r="B710" s="1">
        <v>2019</v>
      </c>
      <c r="C710" s="1" t="s">
        <v>2505</v>
      </c>
      <c r="D710" s="1" t="s">
        <v>2506</v>
      </c>
      <c r="E710" s="1" t="s">
        <v>2019</v>
      </c>
      <c r="F710" s="1" t="s">
        <v>72</v>
      </c>
      <c r="G710" s="6">
        <v>113062</v>
      </c>
      <c r="H710" t="str">
        <f>IFERROR(VLOOKUP(F710,'LEAID Match'!$A$2:$B$142,2,FALSE),"")</f>
        <v/>
      </c>
    </row>
    <row r="711" spans="1:8" x14ac:dyDescent="0.2">
      <c r="A711" t="str">
        <f t="shared" si="11"/>
        <v/>
      </c>
      <c r="B711" s="1">
        <v>2020</v>
      </c>
      <c r="C711" s="1" t="s">
        <v>2505</v>
      </c>
      <c r="D711" s="1" t="s">
        <v>2506</v>
      </c>
      <c r="E711" s="1" t="s">
        <v>2019</v>
      </c>
      <c r="F711" s="1" t="s">
        <v>72</v>
      </c>
      <c r="G711" s="6">
        <v>121791</v>
      </c>
      <c r="H711" t="str">
        <f>IFERROR(VLOOKUP(F711,'LEAID Match'!$A$2:$B$142,2,FALSE),"")</f>
        <v/>
      </c>
    </row>
    <row r="712" spans="1:8" x14ac:dyDescent="0.2">
      <c r="A712" t="str">
        <f t="shared" si="11"/>
        <v/>
      </c>
      <c r="B712" s="1">
        <v>2021</v>
      </c>
      <c r="C712" s="1" t="s">
        <v>2505</v>
      </c>
      <c r="D712" s="1" t="s">
        <v>2506</v>
      </c>
      <c r="E712" s="1" t="s">
        <v>2019</v>
      </c>
      <c r="F712" s="1" t="s">
        <v>72</v>
      </c>
      <c r="G712" s="6">
        <v>121136</v>
      </c>
      <c r="H712" t="str">
        <f>IFERROR(VLOOKUP(F712,'LEAID Match'!$A$2:$B$142,2,FALSE),"")</f>
        <v/>
      </c>
    </row>
    <row r="713" spans="1:8" x14ac:dyDescent="0.2">
      <c r="A713" t="str">
        <f t="shared" si="11"/>
        <v/>
      </c>
      <c r="B713" s="1">
        <v>2022</v>
      </c>
      <c r="C713" s="1" t="s">
        <v>2505</v>
      </c>
      <c r="D713" s="1" t="s">
        <v>2506</v>
      </c>
      <c r="E713" s="1" t="s">
        <v>2019</v>
      </c>
      <c r="F713" s="1" t="s">
        <v>72</v>
      </c>
      <c r="G713" s="6">
        <v>111665</v>
      </c>
      <c r="H713" t="str">
        <f>IFERROR(VLOOKUP(F713,'LEAID Match'!$A$2:$B$142,2,FALSE),"")</f>
        <v/>
      </c>
    </row>
    <row r="714" spans="1:8" x14ac:dyDescent="0.2">
      <c r="A714" t="str">
        <f t="shared" si="11"/>
        <v/>
      </c>
      <c r="B714" s="1">
        <v>2023</v>
      </c>
      <c r="C714" s="1" t="s">
        <v>2505</v>
      </c>
      <c r="D714" s="1" t="s">
        <v>2506</v>
      </c>
      <c r="E714" s="1" t="s">
        <v>2019</v>
      </c>
      <c r="F714" s="1" t="s">
        <v>72</v>
      </c>
      <c r="G714" s="6">
        <v>117331</v>
      </c>
      <c r="H714" t="str">
        <f>IFERROR(VLOOKUP(F714,'LEAID Match'!$A$2:$B$142,2,FALSE),"")</f>
        <v/>
      </c>
    </row>
    <row r="715" spans="1:8" x14ac:dyDescent="0.2">
      <c r="A715" t="str">
        <f t="shared" si="11"/>
        <v/>
      </c>
      <c r="B715" s="1">
        <v>2024</v>
      </c>
      <c r="C715" s="1" t="s">
        <v>2505</v>
      </c>
      <c r="D715" s="1" t="s">
        <v>2506</v>
      </c>
      <c r="E715" s="1" t="s">
        <v>2019</v>
      </c>
      <c r="F715" s="1" t="s">
        <v>72</v>
      </c>
      <c r="G715" s="6">
        <v>126480</v>
      </c>
      <c r="H715" t="str">
        <f>IFERROR(VLOOKUP(F715,'LEAID Match'!$A$2:$B$142,2,FALSE),"")</f>
        <v/>
      </c>
    </row>
    <row r="716" spans="1:8" x14ac:dyDescent="0.2">
      <c r="A716" t="str">
        <f t="shared" si="11"/>
        <v/>
      </c>
      <c r="B716" s="1">
        <v>2015</v>
      </c>
      <c r="C716" s="1" t="s">
        <v>2505</v>
      </c>
      <c r="D716" s="1" t="s">
        <v>2506</v>
      </c>
      <c r="E716" s="1" t="s">
        <v>2019</v>
      </c>
      <c r="F716" s="1" t="s">
        <v>73</v>
      </c>
      <c r="G716" s="6">
        <v>46525</v>
      </c>
      <c r="H716" t="str">
        <f>IFERROR(VLOOKUP(F716,'LEAID Match'!$A$2:$B$142,2,FALSE),"")</f>
        <v/>
      </c>
    </row>
    <row r="717" spans="1:8" x14ac:dyDescent="0.2">
      <c r="A717" t="str">
        <f t="shared" si="11"/>
        <v/>
      </c>
      <c r="B717">
        <v>2016</v>
      </c>
      <c r="C717" s="1" t="s">
        <v>2505</v>
      </c>
      <c r="D717" s="1" t="s">
        <v>2506</v>
      </c>
      <c r="E717" s="1" t="s">
        <v>2019</v>
      </c>
      <c r="F717" s="1" t="s">
        <v>73</v>
      </c>
      <c r="G717" s="12">
        <v>43495</v>
      </c>
      <c r="H717" t="str">
        <f>IFERROR(VLOOKUP(F717,'LEAID Match'!$A$2:$B$142,2,FALSE),"")</f>
        <v/>
      </c>
    </row>
    <row r="718" spans="1:8" x14ac:dyDescent="0.2">
      <c r="A718" t="str">
        <f t="shared" si="11"/>
        <v/>
      </c>
      <c r="B718" s="1">
        <v>2017</v>
      </c>
      <c r="C718" s="1" t="s">
        <v>2505</v>
      </c>
      <c r="D718" s="1" t="s">
        <v>2506</v>
      </c>
      <c r="E718" s="1" t="s">
        <v>2019</v>
      </c>
      <c r="F718" s="1" t="s">
        <v>73</v>
      </c>
      <c r="G718" s="49">
        <v>50581</v>
      </c>
      <c r="H718" t="str">
        <f>IFERROR(VLOOKUP(F718,'LEAID Match'!$A$2:$B$142,2,FALSE),"")</f>
        <v/>
      </c>
    </row>
    <row r="719" spans="1:8" x14ac:dyDescent="0.2">
      <c r="A719" t="str">
        <f t="shared" si="11"/>
        <v/>
      </c>
      <c r="B719" s="1">
        <v>2018</v>
      </c>
      <c r="C719" s="1" t="s">
        <v>2505</v>
      </c>
      <c r="D719" s="1" t="s">
        <v>2506</v>
      </c>
      <c r="E719" s="1" t="s">
        <v>2019</v>
      </c>
      <c r="F719" s="1" t="s">
        <v>73</v>
      </c>
      <c r="G719" s="6">
        <v>31435</v>
      </c>
      <c r="H719" t="str">
        <f>IFERROR(VLOOKUP(F719,'LEAID Match'!$A$2:$B$142,2,FALSE),"")</f>
        <v/>
      </c>
    </row>
    <row r="720" spans="1:8" x14ac:dyDescent="0.2">
      <c r="A720" t="str">
        <f t="shared" si="11"/>
        <v/>
      </c>
      <c r="B720" s="1">
        <v>2019</v>
      </c>
      <c r="C720" s="1" t="s">
        <v>2505</v>
      </c>
      <c r="D720" s="1" t="s">
        <v>2506</v>
      </c>
      <c r="E720" s="1" t="s">
        <v>2019</v>
      </c>
      <c r="F720" s="1" t="s">
        <v>73</v>
      </c>
      <c r="G720" s="6">
        <v>28556</v>
      </c>
      <c r="H720" t="str">
        <f>IFERROR(VLOOKUP(F720,'LEAID Match'!$A$2:$B$142,2,FALSE),"")</f>
        <v/>
      </c>
    </row>
    <row r="721" spans="1:8" x14ac:dyDescent="0.2">
      <c r="A721" t="str">
        <f t="shared" si="11"/>
        <v/>
      </c>
      <c r="B721" s="1">
        <v>2020</v>
      </c>
      <c r="C721" s="1" t="s">
        <v>2505</v>
      </c>
      <c r="D721" s="1" t="s">
        <v>2506</v>
      </c>
      <c r="E721" s="1" t="s">
        <v>2019</v>
      </c>
      <c r="F721" s="1" t="s">
        <v>73</v>
      </c>
      <c r="G721" s="6">
        <v>34612</v>
      </c>
      <c r="H721" t="str">
        <f>IFERROR(VLOOKUP(F721,'LEAID Match'!$A$2:$B$142,2,FALSE),"")</f>
        <v/>
      </c>
    </row>
    <row r="722" spans="1:8" x14ac:dyDescent="0.2">
      <c r="A722" t="str">
        <f t="shared" si="11"/>
        <v/>
      </c>
      <c r="B722" s="1">
        <v>2021</v>
      </c>
      <c r="C722" s="1" t="s">
        <v>2505</v>
      </c>
      <c r="D722" s="1" t="s">
        <v>2506</v>
      </c>
      <c r="E722" s="1" t="s">
        <v>2019</v>
      </c>
      <c r="F722" s="1" t="s">
        <v>73</v>
      </c>
      <c r="G722" s="6">
        <v>39865</v>
      </c>
      <c r="H722" t="str">
        <f>IFERROR(VLOOKUP(F722,'LEAID Match'!$A$2:$B$142,2,FALSE),"")</f>
        <v/>
      </c>
    </row>
    <row r="723" spans="1:8" x14ac:dyDescent="0.2">
      <c r="A723" t="str">
        <f t="shared" si="11"/>
        <v/>
      </c>
      <c r="B723" s="1">
        <v>2022</v>
      </c>
      <c r="C723" s="1" t="s">
        <v>2505</v>
      </c>
      <c r="D723" s="1" t="s">
        <v>2506</v>
      </c>
      <c r="E723" s="1" t="s">
        <v>2019</v>
      </c>
      <c r="F723" s="1" t="s">
        <v>73</v>
      </c>
      <c r="G723" s="6">
        <v>42800</v>
      </c>
      <c r="H723" t="str">
        <f>IFERROR(VLOOKUP(F723,'LEAID Match'!$A$2:$B$142,2,FALSE),"")</f>
        <v/>
      </c>
    </row>
    <row r="724" spans="1:8" x14ac:dyDescent="0.2">
      <c r="A724" t="str">
        <f t="shared" si="11"/>
        <v/>
      </c>
      <c r="B724" s="1">
        <v>2023</v>
      </c>
      <c r="C724" s="1" t="s">
        <v>2505</v>
      </c>
      <c r="D724" s="1" t="s">
        <v>2506</v>
      </c>
      <c r="E724" s="1" t="s">
        <v>2019</v>
      </c>
      <c r="F724" s="1" t="s">
        <v>73</v>
      </c>
      <c r="G724" s="6">
        <v>46353</v>
      </c>
      <c r="H724" t="str">
        <f>IFERROR(VLOOKUP(F724,'LEAID Match'!$A$2:$B$142,2,FALSE),"")</f>
        <v/>
      </c>
    </row>
    <row r="725" spans="1:8" x14ac:dyDescent="0.2">
      <c r="A725" t="str">
        <f t="shared" si="11"/>
        <v/>
      </c>
      <c r="B725" s="1">
        <v>2024</v>
      </c>
      <c r="C725" s="1" t="s">
        <v>2505</v>
      </c>
      <c r="D725" s="1" t="s">
        <v>2506</v>
      </c>
      <c r="E725" s="1" t="s">
        <v>2019</v>
      </c>
      <c r="F725" s="1" t="s">
        <v>73</v>
      </c>
      <c r="G725" s="6">
        <v>51906</v>
      </c>
      <c r="H725" t="str">
        <f>IFERROR(VLOOKUP(F725,'LEAID Match'!$A$2:$B$142,2,FALSE),"")</f>
        <v/>
      </c>
    </row>
    <row r="726" spans="1:8" x14ac:dyDescent="0.2">
      <c r="A726" t="str">
        <f t="shared" si="11"/>
        <v/>
      </c>
      <c r="B726" s="1">
        <v>2015</v>
      </c>
      <c r="C726" s="1" t="s">
        <v>2505</v>
      </c>
      <c r="D726" s="1" t="s">
        <v>2506</v>
      </c>
      <c r="E726" s="1" t="s">
        <v>2019</v>
      </c>
      <c r="F726" s="1" t="s">
        <v>74</v>
      </c>
      <c r="G726" s="6">
        <v>1208508</v>
      </c>
      <c r="H726" t="str">
        <f>IFERROR(VLOOKUP(F726,'LEAID Match'!$A$2:$B$142,2,FALSE),"")</f>
        <v/>
      </c>
    </row>
    <row r="727" spans="1:8" x14ac:dyDescent="0.2">
      <c r="A727" t="str">
        <f t="shared" si="11"/>
        <v/>
      </c>
      <c r="B727">
        <v>2016</v>
      </c>
      <c r="C727" s="1" t="s">
        <v>2505</v>
      </c>
      <c r="D727" s="1" t="s">
        <v>2506</v>
      </c>
      <c r="E727" s="1" t="s">
        <v>2019</v>
      </c>
      <c r="F727" s="1" t="s">
        <v>74</v>
      </c>
      <c r="G727" s="12">
        <v>1365781</v>
      </c>
      <c r="H727" t="str">
        <f>IFERROR(VLOOKUP(F727,'LEAID Match'!$A$2:$B$142,2,FALSE),"")</f>
        <v/>
      </c>
    </row>
    <row r="728" spans="1:8" x14ac:dyDescent="0.2">
      <c r="A728" t="str">
        <f t="shared" si="11"/>
        <v/>
      </c>
      <c r="B728" s="1">
        <v>2017</v>
      </c>
      <c r="C728" s="1" t="s">
        <v>2505</v>
      </c>
      <c r="D728" s="1" t="s">
        <v>2506</v>
      </c>
      <c r="E728" s="1" t="s">
        <v>2019</v>
      </c>
      <c r="F728" s="1" t="s">
        <v>74</v>
      </c>
      <c r="G728" s="49">
        <v>1379611</v>
      </c>
      <c r="H728" t="str">
        <f>IFERROR(VLOOKUP(F728,'LEAID Match'!$A$2:$B$142,2,FALSE),"")</f>
        <v/>
      </c>
    </row>
    <row r="729" spans="1:8" x14ac:dyDescent="0.2">
      <c r="A729" t="str">
        <f t="shared" si="11"/>
        <v/>
      </c>
      <c r="B729" s="1">
        <v>2018</v>
      </c>
      <c r="C729" s="1" t="s">
        <v>2505</v>
      </c>
      <c r="D729" s="1" t="s">
        <v>2506</v>
      </c>
      <c r="E729" s="1" t="s">
        <v>2019</v>
      </c>
      <c r="F729" s="1" t="s">
        <v>74</v>
      </c>
      <c r="G729" s="6">
        <v>1256622</v>
      </c>
      <c r="H729" t="str">
        <f>IFERROR(VLOOKUP(F729,'LEAID Match'!$A$2:$B$142,2,FALSE),"")</f>
        <v/>
      </c>
    </row>
    <row r="730" spans="1:8" x14ac:dyDescent="0.2">
      <c r="A730" t="str">
        <f t="shared" si="11"/>
        <v/>
      </c>
      <c r="B730" s="1">
        <v>2019</v>
      </c>
      <c r="C730" s="1" t="s">
        <v>2505</v>
      </c>
      <c r="D730" s="1" t="s">
        <v>2506</v>
      </c>
      <c r="E730" s="1" t="s">
        <v>2019</v>
      </c>
      <c r="F730" s="1" t="s">
        <v>74</v>
      </c>
      <c r="G730" s="6">
        <v>1254078</v>
      </c>
      <c r="H730" t="str">
        <f>IFERROR(VLOOKUP(F730,'LEAID Match'!$A$2:$B$142,2,FALSE),"")</f>
        <v/>
      </c>
    </row>
    <row r="731" spans="1:8" x14ac:dyDescent="0.2">
      <c r="A731" t="str">
        <f t="shared" si="11"/>
        <v/>
      </c>
      <c r="B731" s="1">
        <v>2020</v>
      </c>
      <c r="C731" s="1" t="s">
        <v>2505</v>
      </c>
      <c r="D731" s="1" t="s">
        <v>2506</v>
      </c>
      <c r="E731" s="1" t="s">
        <v>2019</v>
      </c>
      <c r="F731" s="1" t="s">
        <v>74</v>
      </c>
      <c r="G731" s="6">
        <v>1270411</v>
      </c>
      <c r="H731" t="str">
        <f>IFERROR(VLOOKUP(F731,'LEAID Match'!$A$2:$B$142,2,FALSE),"")</f>
        <v/>
      </c>
    </row>
    <row r="732" spans="1:8" x14ac:dyDescent="0.2">
      <c r="A732" t="str">
        <f t="shared" si="11"/>
        <v/>
      </c>
      <c r="B732" s="1">
        <v>2021</v>
      </c>
      <c r="C732" s="1" t="s">
        <v>2505</v>
      </c>
      <c r="D732" s="1" t="s">
        <v>2506</v>
      </c>
      <c r="E732" s="1" t="s">
        <v>2019</v>
      </c>
      <c r="F732" s="1" t="s">
        <v>74</v>
      </c>
      <c r="G732" s="6">
        <v>1212832</v>
      </c>
      <c r="H732" t="str">
        <f>IFERROR(VLOOKUP(F732,'LEAID Match'!$A$2:$B$142,2,FALSE),"")</f>
        <v/>
      </c>
    </row>
    <row r="733" spans="1:8" x14ac:dyDescent="0.2">
      <c r="A733" t="str">
        <f t="shared" si="11"/>
        <v/>
      </c>
      <c r="B733" s="1">
        <v>2022</v>
      </c>
      <c r="C733" s="1" t="s">
        <v>2505</v>
      </c>
      <c r="D733" s="1" t="s">
        <v>2506</v>
      </c>
      <c r="E733" s="1" t="s">
        <v>2019</v>
      </c>
      <c r="F733" s="1" t="s">
        <v>74</v>
      </c>
      <c r="G733" s="6">
        <v>1308449</v>
      </c>
      <c r="H733" t="str">
        <f>IFERROR(VLOOKUP(F733,'LEAID Match'!$A$2:$B$142,2,FALSE),"")</f>
        <v/>
      </c>
    </row>
    <row r="734" spans="1:8" x14ac:dyDescent="0.2">
      <c r="A734" t="str">
        <f t="shared" si="11"/>
        <v/>
      </c>
      <c r="B734" s="1">
        <v>2023</v>
      </c>
      <c r="C734" s="1" t="s">
        <v>2505</v>
      </c>
      <c r="D734" s="1" t="s">
        <v>2506</v>
      </c>
      <c r="E734" s="1" t="s">
        <v>2019</v>
      </c>
      <c r="F734" s="1" t="s">
        <v>74</v>
      </c>
      <c r="G734" s="6">
        <v>1450713</v>
      </c>
      <c r="H734" t="str">
        <f>IFERROR(VLOOKUP(F734,'LEAID Match'!$A$2:$B$142,2,FALSE),"")</f>
        <v/>
      </c>
    </row>
    <row r="735" spans="1:8" x14ac:dyDescent="0.2">
      <c r="A735" t="str">
        <f t="shared" si="11"/>
        <v/>
      </c>
      <c r="B735" s="1">
        <v>2024</v>
      </c>
      <c r="C735" s="1" t="s">
        <v>2505</v>
      </c>
      <c r="D735" s="1" t="s">
        <v>2506</v>
      </c>
      <c r="E735" s="1" t="s">
        <v>2019</v>
      </c>
      <c r="F735" s="1" t="s">
        <v>74</v>
      </c>
      <c r="G735" s="6">
        <v>1526974</v>
      </c>
      <c r="H735" t="str">
        <f>IFERROR(VLOOKUP(F735,'LEAID Match'!$A$2:$B$142,2,FALSE),"")</f>
        <v/>
      </c>
    </row>
    <row r="736" spans="1:8" x14ac:dyDescent="0.2">
      <c r="A736" t="str">
        <f t="shared" si="11"/>
        <v/>
      </c>
      <c r="B736" s="1">
        <v>2015</v>
      </c>
      <c r="C736" s="1" t="s">
        <v>2505</v>
      </c>
      <c r="D736" s="1" t="s">
        <v>2506</v>
      </c>
      <c r="E736" s="1" t="s">
        <v>2019</v>
      </c>
      <c r="F736" s="1" t="s">
        <v>75</v>
      </c>
      <c r="G736" s="6">
        <v>28867</v>
      </c>
      <c r="H736" t="str">
        <f>IFERROR(VLOOKUP(F736,'LEAID Match'!$A$2:$B$142,2,FALSE),"")</f>
        <v/>
      </c>
    </row>
    <row r="737" spans="1:8" x14ac:dyDescent="0.2">
      <c r="A737" t="str">
        <f t="shared" si="11"/>
        <v/>
      </c>
      <c r="B737">
        <v>2016</v>
      </c>
      <c r="C737" s="1" t="s">
        <v>2505</v>
      </c>
      <c r="D737" s="1" t="s">
        <v>2506</v>
      </c>
      <c r="E737" s="1" t="s">
        <v>2019</v>
      </c>
      <c r="F737" s="1" t="s">
        <v>75</v>
      </c>
      <c r="G737" s="12">
        <v>25297</v>
      </c>
      <c r="H737" t="str">
        <f>IFERROR(VLOOKUP(F737,'LEAID Match'!$A$2:$B$142,2,FALSE),"")</f>
        <v/>
      </c>
    </row>
    <row r="738" spans="1:8" x14ac:dyDescent="0.2">
      <c r="A738" t="str">
        <f t="shared" si="11"/>
        <v/>
      </c>
      <c r="B738" s="1">
        <v>2017</v>
      </c>
      <c r="C738" s="1" t="s">
        <v>2505</v>
      </c>
      <c r="D738" s="1" t="s">
        <v>2506</v>
      </c>
      <c r="E738" s="1" t="s">
        <v>2019</v>
      </c>
      <c r="F738" s="1" t="s">
        <v>75</v>
      </c>
      <c r="G738" s="49">
        <v>28521</v>
      </c>
      <c r="H738" t="str">
        <f>IFERROR(VLOOKUP(F738,'LEAID Match'!$A$2:$B$142,2,FALSE),"")</f>
        <v/>
      </c>
    </row>
    <row r="739" spans="1:8" x14ac:dyDescent="0.2">
      <c r="A739" t="str">
        <f t="shared" si="11"/>
        <v/>
      </c>
      <c r="B739" s="1">
        <v>2018</v>
      </c>
      <c r="C739" s="1" t="s">
        <v>2505</v>
      </c>
      <c r="D739" s="1" t="s">
        <v>2506</v>
      </c>
      <c r="E739" s="1" t="s">
        <v>2019</v>
      </c>
      <c r="F739" s="1" t="s">
        <v>75</v>
      </c>
      <c r="G739" s="6">
        <v>28523</v>
      </c>
      <c r="H739" t="str">
        <f>IFERROR(VLOOKUP(F739,'LEAID Match'!$A$2:$B$142,2,FALSE),"")</f>
        <v/>
      </c>
    </row>
    <row r="740" spans="1:8" x14ac:dyDescent="0.2">
      <c r="A740" t="str">
        <f t="shared" si="11"/>
        <v/>
      </c>
      <c r="B740" s="1">
        <v>2019</v>
      </c>
      <c r="C740" s="1" t="s">
        <v>2505</v>
      </c>
      <c r="D740" s="1" t="s">
        <v>2506</v>
      </c>
      <c r="E740" s="1" t="s">
        <v>2019</v>
      </c>
      <c r="F740" s="1" t="s">
        <v>75</v>
      </c>
      <c r="G740" s="6">
        <v>28838</v>
      </c>
      <c r="H740" t="str">
        <f>IFERROR(VLOOKUP(F740,'LEAID Match'!$A$2:$B$142,2,FALSE),"")</f>
        <v/>
      </c>
    </row>
    <row r="741" spans="1:8" x14ac:dyDescent="0.2">
      <c r="A741" t="str">
        <f t="shared" si="11"/>
        <v/>
      </c>
      <c r="B741" s="1">
        <v>2020</v>
      </c>
      <c r="C741" s="1" t="s">
        <v>2505</v>
      </c>
      <c r="D741" s="1" t="s">
        <v>2506</v>
      </c>
      <c r="E741" s="1" t="s">
        <v>2019</v>
      </c>
      <c r="F741" s="1" t="s">
        <v>75</v>
      </c>
      <c r="G741" s="6">
        <v>31666</v>
      </c>
      <c r="H741" t="str">
        <f>IFERROR(VLOOKUP(F741,'LEAID Match'!$A$2:$B$142,2,FALSE),"")</f>
        <v/>
      </c>
    </row>
    <row r="742" spans="1:8" x14ac:dyDescent="0.2">
      <c r="A742" t="str">
        <f t="shared" si="11"/>
        <v/>
      </c>
      <c r="B742" s="1">
        <v>2021</v>
      </c>
      <c r="C742" s="1" t="s">
        <v>2505</v>
      </c>
      <c r="D742" s="1" t="s">
        <v>2506</v>
      </c>
      <c r="E742" s="1" t="s">
        <v>2019</v>
      </c>
      <c r="F742" s="1" t="s">
        <v>75</v>
      </c>
      <c r="G742" s="6">
        <v>33626</v>
      </c>
      <c r="H742" t="str">
        <f>IFERROR(VLOOKUP(F742,'LEAID Match'!$A$2:$B$142,2,FALSE),"")</f>
        <v/>
      </c>
    </row>
    <row r="743" spans="1:8" x14ac:dyDescent="0.2">
      <c r="A743" t="str">
        <f t="shared" si="11"/>
        <v/>
      </c>
      <c r="B743" s="1">
        <v>2022</v>
      </c>
      <c r="C743" s="1" t="s">
        <v>2505</v>
      </c>
      <c r="D743" s="1" t="s">
        <v>2506</v>
      </c>
      <c r="E743" s="1" t="s">
        <v>2019</v>
      </c>
      <c r="F743" s="1" t="s">
        <v>75</v>
      </c>
      <c r="G743" s="6">
        <v>36132</v>
      </c>
      <c r="H743" t="str">
        <f>IFERROR(VLOOKUP(F743,'LEAID Match'!$A$2:$B$142,2,FALSE),"")</f>
        <v/>
      </c>
    </row>
    <row r="744" spans="1:8" x14ac:dyDescent="0.2">
      <c r="A744" t="str">
        <f t="shared" si="11"/>
        <v/>
      </c>
      <c r="B744" s="1">
        <v>2023</v>
      </c>
      <c r="C744" s="1" t="s">
        <v>2505</v>
      </c>
      <c r="D744" s="1" t="s">
        <v>2506</v>
      </c>
      <c r="E744" s="1" t="s">
        <v>2019</v>
      </c>
      <c r="F744" s="1" t="s">
        <v>75</v>
      </c>
      <c r="G744" s="6">
        <v>36294</v>
      </c>
      <c r="H744" t="str">
        <f>IFERROR(VLOOKUP(F744,'LEAID Match'!$A$2:$B$142,2,FALSE),"")</f>
        <v/>
      </c>
    </row>
    <row r="745" spans="1:8" x14ac:dyDescent="0.2">
      <c r="A745" t="str">
        <f t="shared" si="11"/>
        <v/>
      </c>
      <c r="B745" s="1">
        <v>2024</v>
      </c>
      <c r="C745" s="1" t="s">
        <v>2505</v>
      </c>
      <c r="D745" s="1" t="s">
        <v>2506</v>
      </c>
      <c r="E745" s="1" t="s">
        <v>2019</v>
      </c>
      <c r="F745" s="1" t="s">
        <v>75</v>
      </c>
      <c r="G745" s="6">
        <v>32053</v>
      </c>
      <c r="H745" t="str">
        <f>IFERROR(VLOOKUP(F745,'LEAID Match'!$A$2:$B$142,2,FALSE),"")</f>
        <v/>
      </c>
    </row>
    <row r="746" spans="1:8" x14ac:dyDescent="0.2">
      <c r="A746" t="str">
        <f t="shared" si="11"/>
        <v/>
      </c>
      <c r="B746" s="1">
        <v>2015</v>
      </c>
      <c r="C746" s="1" t="s">
        <v>2505</v>
      </c>
      <c r="D746" s="1" t="s">
        <v>2506</v>
      </c>
      <c r="E746" s="1" t="s">
        <v>2019</v>
      </c>
      <c r="F746" s="1" t="s">
        <v>76</v>
      </c>
      <c r="G746" s="6">
        <v>164543</v>
      </c>
      <c r="H746" t="str">
        <f>IFERROR(VLOOKUP(F746,'LEAID Match'!$A$2:$B$142,2,FALSE),"")</f>
        <v/>
      </c>
    </row>
    <row r="747" spans="1:8" x14ac:dyDescent="0.2">
      <c r="A747" t="str">
        <f t="shared" si="11"/>
        <v/>
      </c>
      <c r="B747">
        <v>2016</v>
      </c>
      <c r="C747" s="1" t="s">
        <v>2505</v>
      </c>
      <c r="D747" s="1" t="s">
        <v>2506</v>
      </c>
      <c r="E747" s="1" t="s">
        <v>2019</v>
      </c>
      <c r="F747" s="1" t="s">
        <v>76</v>
      </c>
      <c r="G747" s="12">
        <v>162987</v>
      </c>
      <c r="H747" t="str">
        <f>IFERROR(VLOOKUP(F747,'LEAID Match'!$A$2:$B$142,2,FALSE),"")</f>
        <v/>
      </c>
    </row>
    <row r="748" spans="1:8" x14ac:dyDescent="0.2">
      <c r="A748" t="str">
        <f t="shared" si="11"/>
        <v/>
      </c>
      <c r="B748" s="1">
        <v>2017</v>
      </c>
      <c r="C748" s="1" t="s">
        <v>2505</v>
      </c>
      <c r="D748" s="1" t="s">
        <v>2506</v>
      </c>
      <c r="E748" s="1" t="s">
        <v>2019</v>
      </c>
      <c r="F748" s="1" t="s">
        <v>76</v>
      </c>
      <c r="G748" s="49">
        <v>194799</v>
      </c>
      <c r="H748" t="str">
        <f>IFERROR(VLOOKUP(F748,'LEAID Match'!$A$2:$B$142,2,FALSE),"")</f>
        <v/>
      </c>
    </row>
    <row r="749" spans="1:8" x14ac:dyDescent="0.2">
      <c r="A749" t="str">
        <f t="shared" si="11"/>
        <v/>
      </c>
      <c r="B749" s="1">
        <v>2018</v>
      </c>
      <c r="C749" s="1" t="s">
        <v>2505</v>
      </c>
      <c r="D749" s="1" t="s">
        <v>2506</v>
      </c>
      <c r="E749" s="1" t="s">
        <v>2019</v>
      </c>
      <c r="F749" s="1" t="s">
        <v>76</v>
      </c>
      <c r="G749" s="6">
        <v>191157</v>
      </c>
      <c r="H749" t="str">
        <f>IFERROR(VLOOKUP(F749,'LEAID Match'!$A$2:$B$142,2,FALSE),"")</f>
        <v/>
      </c>
    </row>
    <row r="750" spans="1:8" x14ac:dyDescent="0.2">
      <c r="A750" t="str">
        <f t="shared" si="11"/>
        <v/>
      </c>
      <c r="B750" s="1">
        <v>2019</v>
      </c>
      <c r="C750" s="1" t="s">
        <v>2505</v>
      </c>
      <c r="D750" s="1" t="s">
        <v>2506</v>
      </c>
      <c r="E750" s="1" t="s">
        <v>2019</v>
      </c>
      <c r="F750" s="1" t="s">
        <v>76</v>
      </c>
      <c r="G750" s="6">
        <v>200229</v>
      </c>
      <c r="H750" t="str">
        <f>IFERROR(VLOOKUP(F750,'LEAID Match'!$A$2:$B$142,2,FALSE),"")</f>
        <v/>
      </c>
    </row>
    <row r="751" spans="1:8" x14ac:dyDescent="0.2">
      <c r="A751" t="str">
        <f t="shared" si="11"/>
        <v/>
      </c>
      <c r="B751" s="1">
        <v>2020</v>
      </c>
      <c r="C751" s="1" t="s">
        <v>2505</v>
      </c>
      <c r="D751" s="1" t="s">
        <v>2506</v>
      </c>
      <c r="E751" s="1" t="s">
        <v>2019</v>
      </c>
      <c r="F751" s="1" t="s">
        <v>76</v>
      </c>
      <c r="G751" s="6">
        <v>227227</v>
      </c>
      <c r="H751" t="str">
        <f>IFERROR(VLOOKUP(F751,'LEAID Match'!$A$2:$B$142,2,FALSE),"")</f>
        <v/>
      </c>
    </row>
    <row r="752" spans="1:8" x14ac:dyDescent="0.2">
      <c r="A752" t="str">
        <f t="shared" si="11"/>
        <v/>
      </c>
      <c r="B752" s="1">
        <v>2021</v>
      </c>
      <c r="C752" s="1" t="s">
        <v>2505</v>
      </c>
      <c r="D752" s="1" t="s">
        <v>2506</v>
      </c>
      <c r="E752" s="1" t="s">
        <v>2019</v>
      </c>
      <c r="F752" s="1" t="s">
        <v>76</v>
      </c>
      <c r="G752" s="6">
        <v>234047</v>
      </c>
      <c r="H752" t="str">
        <f>IFERROR(VLOOKUP(F752,'LEAID Match'!$A$2:$B$142,2,FALSE),"")</f>
        <v/>
      </c>
    </row>
    <row r="753" spans="1:8" x14ac:dyDescent="0.2">
      <c r="A753" t="str">
        <f t="shared" si="11"/>
        <v/>
      </c>
      <c r="B753" s="1">
        <v>2022</v>
      </c>
      <c r="C753" s="1" t="s">
        <v>2505</v>
      </c>
      <c r="D753" s="1" t="s">
        <v>2506</v>
      </c>
      <c r="E753" s="1" t="s">
        <v>2019</v>
      </c>
      <c r="F753" s="1" t="s">
        <v>76</v>
      </c>
      <c r="G753" s="6">
        <v>260154</v>
      </c>
      <c r="H753" t="str">
        <f>IFERROR(VLOOKUP(F753,'LEAID Match'!$A$2:$B$142,2,FALSE),"")</f>
        <v/>
      </c>
    </row>
    <row r="754" spans="1:8" x14ac:dyDescent="0.2">
      <c r="A754" t="str">
        <f t="shared" si="11"/>
        <v/>
      </c>
      <c r="B754" s="1">
        <v>2023</v>
      </c>
      <c r="C754" s="1" t="s">
        <v>2505</v>
      </c>
      <c r="D754" s="1" t="s">
        <v>2506</v>
      </c>
      <c r="E754" s="1" t="s">
        <v>2019</v>
      </c>
      <c r="F754" s="1" t="s">
        <v>76</v>
      </c>
      <c r="G754" s="6">
        <v>267644</v>
      </c>
      <c r="H754" t="str">
        <f>IFERROR(VLOOKUP(F754,'LEAID Match'!$A$2:$B$142,2,FALSE),"")</f>
        <v/>
      </c>
    </row>
    <row r="755" spans="1:8" x14ac:dyDescent="0.2">
      <c r="A755" t="str">
        <f t="shared" si="11"/>
        <v/>
      </c>
      <c r="B755" s="1">
        <v>2024</v>
      </c>
      <c r="C755" s="1" t="s">
        <v>2505</v>
      </c>
      <c r="D755" s="1" t="s">
        <v>2506</v>
      </c>
      <c r="E755" s="1" t="s">
        <v>2019</v>
      </c>
      <c r="F755" s="1" t="s">
        <v>76</v>
      </c>
      <c r="G755" s="6">
        <v>298630</v>
      </c>
      <c r="H755" t="str">
        <f>IFERROR(VLOOKUP(F755,'LEAID Match'!$A$2:$B$142,2,FALSE),"")</f>
        <v/>
      </c>
    </row>
    <row r="756" spans="1:8" x14ac:dyDescent="0.2">
      <c r="A756" t="str">
        <f t="shared" si="11"/>
        <v/>
      </c>
      <c r="B756" s="1">
        <v>2015</v>
      </c>
      <c r="C756" s="1" t="s">
        <v>2505</v>
      </c>
      <c r="D756" s="1" t="s">
        <v>2506</v>
      </c>
      <c r="E756" s="1" t="s">
        <v>2019</v>
      </c>
      <c r="F756" s="1" t="s">
        <v>77</v>
      </c>
      <c r="G756" s="6">
        <v>47954</v>
      </c>
      <c r="H756" t="str">
        <f>IFERROR(VLOOKUP(F756,'LEAID Match'!$A$2:$B$142,2,FALSE),"")</f>
        <v/>
      </c>
    </row>
    <row r="757" spans="1:8" x14ac:dyDescent="0.2">
      <c r="A757" t="str">
        <f t="shared" si="11"/>
        <v/>
      </c>
      <c r="B757">
        <v>2016</v>
      </c>
      <c r="C757" s="1" t="s">
        <v>2505</v>
      </c>
      <c r="D757" s="1" t="s">
        <v>2506</v>
      </c>
      <c r="E757" s="1" t="s">
        <v>2019</v>
      </c>
      <c r="F757" s="1" t="s">
        <v>77</v>
      </c>
      <c r="G757" s="12">
        <v>53409</v>
      </c>
      <c r="H757" t="str">
        <f>IFERROR(VLOOKUP(F757,'LEAID Match'!$A$2:$B$142,2,FALSE),"")</f>
        <v/>
      </c>
    </row>
    <row r="758" spans="1:8" x14ac:dyDescent="0.2">
      <c r="A758" t="str">
        <f t="shared" si="11"/>
        <v/>
      </c>
      <c r="B758" s="1">
        <v>2017</v>
      </c>
      <c r="C758" s="1" t="s">
        <v>2505</v>
      </c>
      <c r="D758" s="1" t="s">
        <v>2506</v>
      </c>
      <c r="E758" s="1" t="s">
        <v>2019</v>
      </c>
      <c r="F758" s="1" t="s">
        <v>77</v>
      </c>
      <c r="G758" s="49">
        <v>56234</v>
      </c>
      <c r="H758" t="str">
        <f>IFERROR(VLOOKUP(F758,'LEAID Match'!$A$2:$B$142,2,FALSE),"")</f>
        <v/>
      </c>
    </row>
    <row r="759" spans="1:8" x14ac:dyDescent="0.2">
      <c r="A759" t="str">
        <f t="shared" si="11"/>
        <v/>
      </c>
      <c r="B759" s="1">
        <v>2018</v>
      </c>
      <c r="C759" s="1" t="s">
        <v>2505</v>
      </c>
      <c r="D759" s="1" t="s">
        <v>2506</v>
      </c>
      <c r="E759" s="1" t="s">
        <v>2019</v>
      </c>
      <c r="F759" s="1" t="s">
        <v>77</v>
      </c>
      <c r="G759" s="6">
        <v>56334</v>
      </c>
      <c r="H759" t="str">
        <f>IFERROR(VLOOKUP(F759,'LEAID Match'!$A$2:$B$142,2,FALSE),"")</f>
        <v/>
      </c>
    </row>
    <row r="760" spans="1:8" x14ac:dyDescent="0.2">
      <c r="A760" t="str">
        <f t="shared" si="11"/>
        <v/>
      </c>
      <c r="B760" s="1">
        <v>2019</v>
      </c>
      <c r="C760" s="1" t="s">
        <v>2505</v>
      </c>
      <c r="D760" s="1" t="s">
        <v>2506</v>
      </c>
      <c r="E760" s="1" t="s">
        <v>2019</v>
      </c>
      <c r="F760" s="1" t="s">
        <v>77</v>
      </c>
      <c r="G760" s="6">
        <v>56659</v>
      </c>
      <c r="H760" t="str">
        <f>IFERROR(VLOOKUP(F760,'LEAID Match'!$A$2:$B$142,2,FALSE),"")</f>
        <v/>
      </c>
    </row>
    <row r="761" spans="1:8" x14ac:dyDescent="0.2">
      <c r="A761" t="str">
        <f t="shared" si="11"/>
        <v/>
      </c>
      <c r="B761" s="1">
        <v>2020</v>
      </c>
      <c r="C761" s="1" t="s">
        <v>2505</v>
      </c>
      <c r="D761" s="1" t="s">
        <v>2506</v>
      </c>
      <c r="E761" s="1" t="s">
        <v>2019</v>
      </c>
      <c r="F761" s="1" t="s">
        <v>77</v>
      </c>
      <c r="G761" s="6">
        <v>65619</v>
      </c>
      <c r="H761" t="str">
        <f>IFERROR(VLOOKUP(F761,'LEAID Match'!$A$2:$B$142,2,FALSE),"")</f>
        <v/>
      </c>
    </row>
    <row r="762" spans="1:8" x14ac:dyDescent="0.2">
      <c r="A762" t="str">
        <f t="shared" si="11"/>
        <v/>
      </c>
      <c r="B762" s="1">
        <v>2021</v>
      </c>
      <c r="C762" s="1" t="s">
        <v>2505</v>
      </c>
      <c r="D762" s="1" t="s">
        <v>2506</v>
      </c>
      <c r="E762" s="1" t="s">
        <v>2019</v>
      </c>
      <c r="F762" s="1" t="s">
        <v>77</v>
      </c>
      <c r="G762" s="6">
        <v>63130</v>
      </c>
      <c r="H762" t="str">
        <f>IFERROR(VLOOKUP(F762,'LEAID Match'!$A$2:$B$142,2,FALSE),"")</f>
        <v/>
      </c>
    </row>
    <row r="763" spans="1:8" x14ac:dyDescent="0.2">
      <c r="A763" t="str">
        <f t="shared" si="11"/>
        <v/>
      </c>
      <c r="B763" s="1">
        <v>2022</v>
      </c>
      <c r="C763" s="1" t="s">
        <v>2505</v>
      </c>
      <c r="D763" s="1" t="s">
        <v>2506</v>
      </c>
      <c r="E763" s="1" t="s">
        <v>2019</v>
      </c>
      <c r="F763" s="1" t="s">
        <v>77</v>
      </c>
      <c r="G763" s="6">
        <v>63548</v>
      </c>
      <c r="H763" t="str">
        <f>IFERROR(VLOOKUP(F763,'LEAID Match'!$A$2:$B$142,2,FALSE),"")</f>
        <v/>
      </c>
    </row>
    <row r="764" spans="1:8" x14ac:dyDescent="0.2">
      <c r="A764" t="str">
        <f t="shared" si="11"/>
        <v/>
      </c>
      <c r="B764" s="1">
        <v>2023</v>
      </c>
      <c r="C764" s="1" t="s">
        <v>2505</v>
      </c>
      <c r="D764" s="1" t="s">
        <v>2506</v>
      </c>
      <c r="E764" s="1" t="s">
        <v>2019</v>
      </c>
      <c r="F764" s="1" t="s">
        <v>77</v>
      </c>
      <c r="G764" s="6">
        <v>67982</v>
      </c>
      <c r="H764" t="str">
        <f>IFERROR(VLOOKUP(F764,'LEAID Match'!$A$2:$B$142,2,FALSE),"")</f>
        <v/>
      </c>
    </row>
    <row r="765" spans="1:8" x14ac:dyDescent="0.2">
      <c r="A765" t="str">
        <f t="shared" si="11"/>
        <v/>
      </c>
      <c r="B765" s="1">
        <v>2024</v>
      </c>
      <c r="C765" s="1" t="s">
        <v>2505</v>
      </c>
      <c r="D765" s="1" t="s">
        <v>2506</v>
      </c>
      <c r="E765" s="1" t="s">
        <v>2019</v>
      </c>
      <c r="F765" s="1" t="s">
        <v>77</v>
      </c>
      <c r="G765" s="6">
        <v>69330</v>
      </c>
      <c r="H765" t="str">
        <f>IFERROR(VLOOKUP(F765,'LEAID Match'!$A$2:$B$142,2,FALSE),"")</f>
        <v/>
      </c>
    </row>
    <row r="766" spans="1:8" x14ac:dyDescent="0.2">
      <c r="A766" t="str">
        <f t="shared" si="11"/>
        <v/>
      </c>
      <c r="B766" s="1">
        <v>2015</v>
      </c>
      <c r="C766" s="1" t="s">
        <v>2505</v>
      </c>
      <c r="D766" s="1" t="s">
        <v>2506</v>
      </c>
      <c r="E766" s="1" t="s">
        <v>2019</v>
      </c>
      <c r="F766" s="1" t="s">
        <v>78</v>
      </c>
      <c r="G766" s="6">
        <v>49025</v>
      </c>
      <c r="H766" t="str">
        <f>IFERROR(VLOOKUP(F766,'LEAID Match'!$A$2:$B$142,2,FALSE),"")</f>
        <v/>
      </c>
    </row>
    <row r="767" spans="1:8" x14ac:dyDescent="0.2">
      <c r="A767" t="str">
        <f t="shared" si="11"/>
        <v/>
      </c>
      <c r="B767">
        <v>2016</v>
      </c>
      <c r="C767" s="1" t="s">
        <v>2505</v>
      </c>
      <c r="D767" s="1" t="s">
        <v>2506</v>
      </c>
      <c r="E767" s="1" t="s">
        <v>2019</v>
      </c>
      <c r="F767" s="1" t="s">
        <v>78</v>
      </c>
      <c r="G767" s="12">
        <v>51036</v>
      </c>
      <c r="H767" t="str">
        <f>IFERROR(VLOOKUP(F767,'LEAID Match'!$A$2:$B$142,2,FALSE),"")</f>
        <v/>
      </c>
    </row>
    <row r="768" spans="1:8" x14ac:dyDescent="0.2">
      <c r="A768" t="str">
        <f t="shared" si="11"/>
        <v/>
      </c>
      <c r="B768" s="1">
        <v>2017</v>
      </c>
      <c r="C768" s="1" t="s">
        <v>2505</v>
      </c>
      <c r="D768" s="1" t="s">
        <v>2506</v>
      </c>
      <c r="E768" s="1" t="s">
        <v>2019</v>
      </c>
      <c r="F768" s="1" t="s">
        <v>78</v>
      </c>
      <c r="G768" s="49">
        <v>58263</v>
      </c>
      <c r="H768" t="str">
        <f>IFERROR(VLOOKUP(F768,'LEAID Match'!$A$2:$B$142,2,FALSE),"")</f>
        <v/>
      </c>
    </row>
    <row r="769" spans="1:8" x14ac:dyDescent="0.2">
      <c r="A769" t="str">
        <f t="shared" si="11"/>
        <v/>
      </c>
      <c r="B769" s="1">
        <v>2018</v>
      </c>
      <c r="C769" s="1" t="s">
        <v>2505</v>
      </c>
      <c r="D769" s="1" t="s">
        <v>2506</v>
      </c>
      <c r="E769" s="1" t="s">
        <v>2019</v>
      </c>
      <c r="F769" s="1" t="s">
        <v>78</v>
      </c>
      <c r="G769" s="6">
        <v>60499</v>
      </c>
      <c r="H769" t="str">
        <f>IFERROR(VLOOKUP(F769,'LEAID Match'!$A$2:$B$142,2,FALSE),"")</f>
        <v/>
      </c>
    </row>
    <row r="770" spans="1:8" x14ac:dyDescent="0.2">
      <c r="A770" t="str">
        <f t="shared" si="11"/>
        <v/>
      </c>
      <c r="B770" s="1">
        <v>2019</v>
      </c>
      <c r="C770" s="1" t="s">
        <v>2505</v>
      </c>
      <c r="D770" s="1" t="s">
        <v>2506</v>
      </c>
      <c r="E770" s="1" t="s">
        <v>2019</v>
      </c>
      <c r="F770" s="1" t="s">
        <v>78</v>
      </c>
      <c r="G770" s="6">
        <v>63674</v>
      </c>
      <c r="H770" t="str">
        <f>IFERROR(VLOOKUP(F770,'LEAID Match'!$A$2:$B$142,2,FALSE),"")</f>
        <v/>
      </c>
    </row>
    <row r="771" spans="1:8" x14ac:dyDescent="0.2">
      <c r="A771" t="str">
        <f t="shared" ref="A771:A834" si="12">H771</f>
        <v/>
      </c>
      <c r="B771" s="1">
        <v>2020</v>
      </c>
      <c r="C771" s="1" t="s">
        <v>2505</v>
      </c>
      <c r="D771" s="1" t="s">
        <v>2506</v>
      </c>
      <c r="E771" s="1" t="s">
        <v>2019</v>
      </c>
      <c r="F771" s="1" t="s">
        <v>78</v>
      </c>
      <c r="G771" s="6">
        <v>77535</v>
      </c>
      <c r="H771" t="str">
        <f>IFERROR(VLOOKUP(F771,'LEAID Match'!$A$2:$B$142,2,FALSE),"")</f>
        <v/>
      </c>
    </row>
    <row r="772" spans="1:8" x14ac:dyDescent="0.2">
      <c r="A772" t="str">
        <f t="shared" si="12"/>
        <v/>
      </c>
      <c r="B772" s="1">
        <v>2021</v>
      </c>
      <c r="C772" s="1" t="s">
        <v>2505</v>
      </c>
      <c r="D772" s="1" t="s">
        <v>2506</v>
      </c>
      <c r="E772" s="1" t="s">
        <v>2019</v>
      </c>
      <c r="F772" s="1" t="s">
        <v>78</v>
      </c>
      <c r="G772" s="6">
        <v>82215</v>
      </c>
      <c r="H772" t="str">
        <f>IFERROR(VLOOKUP(F772,'LEAID Match'!$A$2:$B$142,2,FALSE),"")</f>
        <v/>
      </c>
    </row>
    <row r="773" spans="1:8" x14ac:dyDescent="0.2">
      <c r="A773" t="str">
        <f t="shared" si="12"/>
        <v/>
      </c>
      <c r="B773" s="1">
        <v>2022</v>
      </c>
      <c r="C773" s="1" t="s">
        <v>2505</v>
      </c>
      <c r="D773" s="1" t="s">
        <v>2506</v>
      </c>
      <c r="E773" s="1" t="s">
        <v>2019</v>
      </c>
      <c r="F773" s="1" t="s">
        <v>78</v>
      </c>
      <c r="G773" s="6">
        <v>84298</v>
      </c>
      <c r="H773" t="str">
        <f>IFERROR(VLOOKUP(F773,'LEAID Match'!$A$2:$B$142,2,FALSE),"")</f>
        <v/>
      </c>
    </row>
    <row r="774" spans="1:8" x14ac:dyDescent="0.2">
      <c r="A774" t="str">
        <f t="shared" si="12"/>
        <v/>
      </c>
      <c r="B774" s="1">
        <v>2023</v>
      </c>
      <c r="C774" s="1" t="s">
        <v>2505</v>
      </c>
      <c r="D774" s="1" t="s">
        <v>2506</v>
      </c>
      <c r="E774" s="1" t="s">
        <v>2019</v>
      </c>
      <c r="F774" s="1" t="s">
        <v>78</v>
      </c>
      <c r="G774" s="6">
        <v>93265</v>
      </c>
      <c r="H774" t="str">
        <f>IFERROR(VLOOKUP(F774,'LEAID Match'!$A$2:$B$142,2,FALSE),"")</f>
        <v/>
      </c>
    </row>
    <row r="775" spans="1:8" x14ac:dyDescent="0.2">
      <c r="A775" t="str">
        <f t="shared" si="12"/>
        <v/>
      </c>
      <c r="B775" s="1">
        <v>2024</v>
      </c>
      <c r="C775" s="1" t="s">
        <v>2505</v>
      </c>
      <c r="D775" s="1" t="s">
        <v>2506</v>
      </c>
      <c r="E775" s="1" t="s">
        <v>2019</v>
      </c>
      <c r="F775" s="1" t="s">
        <v>78</v>
      </c>
      <c r="G775" s="6">
        <v>95977</v>
      </c>
      <c r="H775" t="str">
        <f>IFERROR(VLOOKUP(F775,'LEAID Match'!$A$2:$B$142,2,FALSE),"")</f>
        <v/>
      </c>
    </row>
    <row r="776" spans="1:8" x14ac:dyDescent="0.2">
      <c r="A776" t="str">
        <f t="shared" si="12"/>
        <v/>
      </c>
      <c r="B776" s="1">
        <v>2015</v>
      </c>
      <c r="C776" s="1" t="s">
        <v>2505</v>
      </c>
      <c r="D776" s="1" t="s">
        <v>2506</v>
      </c>
      <c r="E776" s="1" t="s">
        <v>2019</v>
      </c>
      <c r="F776" s="1" t="s">
        <v>79</v>
      </c>
      <c r="G776" s="6">
        <v>64421</v>
      </c>
      <c r="H776" t="str">
        <f>IFERROR(VLOOKUP(F776,'LEAID Match'!$A$2:$B$142,2,FALSE),"")</f>
        <v/>
      </c>
    </row>
    <row r="777" spans="1:8" x14ac:dyDescent="0.2">
      <c r="A777" t="str">
        <f t="shared" si="12"/>
        <v/>
      </c>
      <c r="B777">
        <v>2016</v>
      </c>
      <c r="C777" s="1" t="s">
        <v>2505</v>
      </c>
      <c r="D777" s="1" t="s">
        <v>2506</v>
      </c>
      <c r="E777" s="1" t="s">
        <v>2019</v>
      </c>
      <c r="F777" s="1" t="s">
        <v>79</v>
      </c>
      <c r="G777" s="12">
        <v>66011</v>
      </c>
      <c r="H777" t="str">
        <f>IFERROR(VLOOKUP(F777,'LEAID Match'!$A$2:$B$142,2,FALSE),"")</f>
        <v/>
      </c>
    </row>
    <row r="778" spans="1:8" x14ac:dyDescent="0.2">
      <c r="A778" t="str">
        <f t="shared" si="12"/>
        <v/>
      </c>
      <c r="B778" s="1">
        <v>2017</v>
      </c>
      <c r="C778" s="1" t="s">
        <v>2505</v>
      </c>
      <c r="D778" s="1" t="s">
        <v>2506</v>
      </c>
      <c r="E778" s="1" t="s">
        <v>2019</v>
      </c>
      <c r="F778" s="1" t="s">
        <v>79</v>
      </c>
      <c r="G778" s="47">
        <v>67077</v>
      </c>
      <c r="H778" t="str">
        <f>IFERROR(VLOOKUP(F778,'LEAID Match'!$A$2:$B$142,2,FALSE),"")</f>
        <v/>
      </c>
    </row>
    <row r="779" spans="1:8" x14ac:dyDescent="0.2">
      <c r="A779" t="str">
        <f t="shared" si="12"/>
        <v/>
      </c>
      <c r="B779" s="1">
        <v>2018</v>
      </c>
      <c r="C779" s="1" t="s">
        <v>2505</v>
      </c>
      <c r="D779" s="1" t="s">
        <v>2506</v>
      </c>
      <c r="E779" s="1" t="s">
        <v>2019</v>
      </c>
      <c r="F779" s="1" t="s">
        <v>79</v>
      </c>
      <c r="G779" s="6">
        <v>66475</v>
      </c>
      <c r="H779" t="str">
        <f>IFERROR(VLOOKUP(F779,'LEAID Match'!$A$2:$B$142,2,FALSE),"")</f>
        <v/>
      </c>
    </row>
    <row r="780" spans="1:8" x14ac:dyDescent="0.2">
      <c r="A780" t="str">
        <f t="shared" si="12"/>
        <v/>
      </c>
      <c r="B780" s="1">
        <v>2019</v>
      </c>
      <c r="C780" s="1" t="s">
        <v>2505</v>
      </c>
      <c r="D780" s="1" t="s">
        <v>2506</v>
      </c>
      <c r="E780" s="1" t="s">
        <v>2019</v>
      </c>
      <c r="F780" s="1" t="s">
        <v>79</v>
      </c>
      <c r="G780" s="6">
        <v>65139</v>
      </c>
      <c r="H780" t="str">
        <f>IFERROR(VLOOKUP(F780,'LEAID Match'!$A$2:$B$142,2,FALSE),"")</f>
        <v/>
      </c>
    </row>
    <row r="781" spans="1:8" x14ac:dyDescent="0.2">
      <c r="A781" t="str">
        <f t="shared" si="12"/>
        <v/>
      </c>
      <c r="B781" s="1">
        <v>2020</v>
      </c>
      <c r="C781" s="1" t="s">
        <v>2505</v>
      </c>
      <c r="D781" s="1" t="s">
        <v>2506</v>
      </c>
      <c r="E781" s="1" t="s">
        <v>2019</v>
      </c>
      <c r="F781" s="1" t="s">
        <v>79</v>
      </c>
      <c r="G781" s="6">
        <v>74888</v>
      </c>
      <c r="H781" t="str">
        <f>IFERROR(VLOOKUP(F781,'LEAID Match'!$A$2:$B$142,2,FALSE),"")</f>
        <v/>
      </c>
    </row>
    <row r="782" spans="1:8" x14ac:dyDescent="0.2">
      <c r="A782" t="str">
        <f t="shared" si="12"/>
        <v/>
      </c>
      <c r="B782" s="1">
        <v>2021</v>
      </c>
      <c r="C782" s="1" t="s">
        <v>2505</v>
      </c>
      <c r="D782" s="1" t="s">
        <v>2506</v>
      </c>
      <c r="E782" s="1" t="s">
        <v>2019</v>
      </c>
      <c r="F782" s="1" t="s">
        <v>79</v>
      </c>
      <c r="G782" s="6">
        <v>74069</v>
      </c>
      <c r="H782" t="str">
        <f>IFERROR(VLOOKUP(F782,'LEAID Match'!$A$2:$B$142,2,FALSE),"")</f>
        <v/>
      </c>
    </row>
    <row r="783" spans="1:8" x14ac:dyDescent="0.2">
      <c r="A783" t="str">
        <f t="shared" si="12"/>
        <v/>
      </c>
      <c r="B783" s="1">
        <v>2022</v>
      </c>
      <c r="C783" s="1" t="s">
        <v>2505</v>
      </c>
      <c r="D783" s="1" t="s">
        <v>2506</v>
      </c>
      <c r="E783" s="1" t="s">
        <v>2019</v>
      </c>
      <c r="F783" s="1" t="s">
        <v>79</v>
      </c>
      <c r="G783" s="6">
        <v>76004</v>
      </c>
      <c r="H783" t="str">
        <f>IFERROR(VLOOKUP(F783,'LEAID Match'!$A$2:$B$142,2,FALSE),"")</f>
        <v/>
      </c>
    </row>
    <row r="784" spans="1:8" x14ac:dyDescent="0.2">
      <c r="A784" t="str">
        <f t="shared" si="12"/>
        <v/>
      </c>
      <c r="B784" s="1">
        <v>2023</v>
      </c>
      <c r="C784" s="1" t="s">
        <v>2505</v>
      </c>
      <c r="D784" s="1" t="s">
        <v>2506</v>
      </c>
      <c r="E784" s="1" t="s">
        <v>2019</v>
      </c>
      <c r="F784" s="1" t="s">
        <v>79</v>
      </c>
      <c r="G784" s="6">
        <v>73882</v>
      </c>
      <c r="H784" t="str">
        <f>IFERROR(VLOOKUP(F784,'LEAID Match'!$A$2:$B$142,2,FALSE),"")</f>
        <v/>
      </c>
    </row>
    <row r="785" spans="1:8" x14ac:dyDescent="0.2">
      <c r="A785" t="str">
        <f t="shared" si="12"/>
        <v/>
      </c>
      <c r="B785" s="1">
        <v>2024</v>
      </c>
      <c r="C785" s="1" t="s">
        <v>2505</v>
      </c>
      <c r="D785" s="1" t="s">
        <v>2506</v>
      </c>
      <c r="E785" s="1" t="s">
        <v>2019</v>
      </c>
      <c r="F785" s="1" t="s">
        <v>79</v>
      </c>
      <c r="G785" s="6">
        <v>80980</v>
      </c>
      <c r="H785" t="str">
        <f>IFERROR(VLOOKUP(F785,'LEAID Match'!$A$2:$B$142,2,FALSE),"")</f>
        <v/>
      </c>
    </row>
    <row r="786" spans="1:8" x14ac:dyDescent="0.2">
      <c r="A786">
        <f t="shared" si="12"/>
        <v>2800870</v>
      </c>
      <c r="B786" s="1">
        <v>2015</v>
      </c>
      <c r="C786" s="1" t="s">
        <v>2505</v>
      </c>
      <c r="D786" s="1" t="s">
        <v>2506</v>
      </c>
      <c r="E786" s="1" t="s">
        <v>2019</v>
      </c>
      <c r="F786" s="1" t="s">
        <v>80</v>
      </c>
      <c r="G786" s="6">
        <v>1837507</v>
      </c>
      <c r="H786">
        <f>IFERROR(VLOOKUP(F786,'LEAID Match'!$A$2:$B$142,2,FALSE),"")</f>
        <v>2800870</v>
      </c>
    </row>
    <row r="787" spans="1:8" x14ac:dyDescent="0.2">
      <c r="A787">
        <f t="shared" si="12"/>
        <v>2800870</v>
      </c>
      <c r="B787">
        <v>2016</v>
      </c>
      <c r="C787" s="1" t="s">
        <v>2505</v>
      </c>
      <c r="D787" s="1" t="s">
        <v>2506</v>
      </c>
      <c r="E787" s="1" t="s">
        <v>2019</v>
      </c>
      <c r="F787" s="1" t="s">
        <v>80</v>
      </c>
      <c r="G787" s="12">
        <v>1868590</v>
      </c>
      <c r="H787">
        <f>IFERROR(VLOOKUP(F787,'LEAID Match'!$A$2:$B$142,2,FALSE),"")</f>
        <v>2800870</v>
      </c>
    </row>
    <row r="788" spans="1:8" x14ac:dyDescent="0.2">
      <c r="A788">
        <f t="shared" si="12"/>
        <v>2800870</v>
      </c>
      <c r="B788" s="1">
        <v>2017</v>
      </c>
      <c r="C788" s="1" t="s">
        <v>2505</v>
      </c>
      <c r="D788" s="1" t="s">
        <v>2506</v>
      </c>
      <c r="E788" s="1" t="s">
        <v>2019</v>
      </c>
      <c r="F788" s="1" t="s">
        <v>80</v>
      </c>
      <c r="G788" s="47">
        <v>1884944</v>
      </c>
      <c r="H788">
        <f>IFERROR(VLOOKUP(F788,'LEAID Match'!$A$2:$B$142,2,FALSE),"")</f>
        <v>2800870</v>
      </c>
    </row>
    <row r="789" spans="1:8" x14ac:dyDescent="0.2">
      <c r="A789">
        <f t="shared" si="12"/>
        <v>2800870</v>
      </c>
      <c r="B789" s="1">
        <v>2018</v>
      </c>
      <c r="C789" s="1" t="s">
        <v>2505</v>
      </c>
      <c r="D789" s="1" t="s">
        <v>2506</v>
      </c>
      <c r="E789" s="1" t="s">
        <v>2019</v>
      </c>
      <c r="F789" s="1" t="s">
        <v>80</v>
      </c>
      <c r="G789" s="6">
        <v>1877459</v>
      </c>
      <c r="H789">
        <f>IFERROR(VLOOKUP(F789,'LEAID Match'!$A$2:$B$142,2,FALSE),"")</f>
        <v>2800870</v>
      </c>
    </row>
    <row r="790" spans="1:8" x14ac:dyDescent="0.2">
      <c r="A790">
        <f t="shared" si="12"/>
        <v>2800870</v>
      </c>
      <c r="B790" s="1">
        <v>2019</v>
      </c>
      <c r="C790" s="1" t="s">
        <v>2505</v>
      </c>
      <c r="D790" s="1" t="s">
        <v>2506</v>
      </c>
      <c r="E790" s="1" t="s">
        <v>2019</v>
      </c>
      <c r="F790" s="1" t="s">
        <v>80</v>
      </c>
      <c r="G790" s="6">
        <v>1931108</v>
      </c>
      <c r="H790">
        <f>IFERROR(VLOOKUP(F790,'LEAID Match'!$A$2:$B$142,2,FALSE),"")</f>
        <v>2800870</v>
      </c>
    </row>
    <row r="791" spans="1:8" x14ac:dyDescent="0.2">
      <c r="A791">
        <f t="shared" si="12"/>
        <v>2800870</v>
      </c>
      <c r="B791" s="1">
        <v>2020</v>
      </c>
      <c r="C791" s="1" t="s">
        <v>2505</v>
      </c>
      <c r="D791" s="1" t="s">
        <v>2506</v>
      </c>
      <c r="E791" s="1" t="s">
        <v>2019</v>
      </c>
      <c r="F791" s="1" t="s">
        <v>80</v>
      </c>
      <c r="G791" s="6">
        <v>2239300</v>
      </c>
      <c r="H791">
        <f>IFERROR(VLOOKUP(F791,'LEAID Match'!$A$2:$B$142,2,FALSE),"")</f>
        <v>2800870</v>
      </c>
    </row>
    <row r="792" spans="1:8" x14ac:dyDescent="0.2">
      <c r="A792">
        <f t="shared" si="12"/>
        <v>2800870</v>
      </c>
      <c r="B792" s="1">
        <v>2021</v>
      </c>
      <c r="C792" s="1" t="s">
        <v>2505</v>
      </c>
      <c r="D792" s="1" t="s">
        <v>2506</v>
      </c>
      <c r="E792" s="1" t="s">
        <v>2019</v>
      </c>
      <c r="F792" s="1" t="s">
        <v>80</v>
      </c>
      <c r="G792" s="6">
        <v>2276365</v>
      </c>
      <c r="H792">
        <f>IFERROR(VLOOKUP(F792,'LEAID Match'!$A$2:$B$142,2,FALSE),"")</f>
        <v>2800870</v>
      </c>
    </row>
    <row r="793" spans="1:8" x14ac:dyDescent="0.2">
      <c r="A793">
        <f t="shared" si="12"/>
        <v>2800870</v>
      </c>
      <c r="B793" s="1">
        <v>2022</v>
      </c>
      <c r="C793" s="1" t="s">
        <v>2505</v>
      </c>
      <c r="D793" s="1" t="s">
        <v>2506</v>
      </c>
      <c r="E793" s="1" t="s">
        <v>2019</v>
      </c>
      <c r="F793" s="1" t="s">
        <v>80</v>
      </c>
      <c r="G793" s="6">
        <v>2535199</v>
      </c>
      <c r="H793">
        <f>IFERROR(VLOOKUP(F793,'LEAID Match'!$A$2:$B$142,2,FALSE),"")</f>
        <v>2800870</v>
      </c>
    </row>
    <row r="794" spans="1:8" x14ac:dyDescent="0.2">
      <c r="A794">
        <f t="shared" si="12"/>
        <v>2800870</v>
      </c>
      <c r="B794" s="1">
        <v>2023</v>
      </c>
      <c r="C794" s="1" t="s">
        <v>2505</v>
      </c>
      <c r="D794" s="1" t="s">
        <v>2506</v>
      </c>
      <c r="E794" s="1" t="s">
        <v>2019</v>
      </c>
      <c r="F794" s="1" t="s">
        <v>80</v>
      </c>
      <c r="G794" s="6">
        <v>2795671</v>
      </c>
      <c r="H794">
        <f>IFERROR(VLOOKUP(F794,'LEAID Match'!$A$2:$B$142,2,FALSE),"")</f>
        <v>2800870</v>
      </c>
    </row>
    <row r="795" spans="1:8" x14ac:dyDescent="0.2">
      <c r="A795">
        <f t="shared" si="12"/>
        <v>2800870</v>
      </c>
      <c r="B795" s="1">
        <v>2024</v>
      </c>
      <c r="C795" s="1" t="s">
        <v>2505</v>
      </c>
      <c r="D795" s="1" t="s">
        <v>2506</v>
      </c>
      <c r="E795" s="1" t="s">
        <v>2019</v>
      </c>
      <c r="F795" s="1" t="s">
        <v>80</v>
      </c>
      <c r="G795" s="6">
        <v>2829258</v>
      </c>
      <c r="H795">
        <f>IFERROR(VLOOKUP(F795,'LEAID Match'!$A$2:$B$142,2,FALSE),"")</f>
        <v>2800870</v>
      </c>
    </row>
    <row r="796" spans="1:8" x14ac:dyDescent="0.2">
      <c r="A796" t="str">
        <f t="shared" si="12"/>
        <v/>
      </c>
      <c r="B796" s="1">
        <v>2015</v>
      </c>
      <c r="C796" s="1" t="s">
        <v>2505</v>
      </c>
      <c r="D796" s="1" t="s">
        <v>2506</v>
      </c>
      <c r="E796" s="1" t="s">
        <v>2019</v>
      </c>
      <c r="F796" s="1" t="s">
        <v>81</v>
      </c>
      <c r="G796" s="6">
        <v>337567</v>
      </c>
      <c r="H796" t="str">
        <f>IFERROR(VLOOKUP(F796,'LEAID Match'!$A$2:$B$142,2,FALSE),"")</f>
        <v/>
      </c>
    </row>
    <row r="797" spans="1:8" x14ac:dyDescent="0.2">
      <c r="A797" t="str">
        <f t="shared" si="12"/>
        <v/>
      </c>
      <c r="B797">
        <v>2016</v>
      </c>
      <c r="C797" s="1" t="s">
        <v>2505</v>
      </c>
      <c r="D797" s="1" t="s">
        <v>2506</v>
      </c>
      <c r="E797" s="1" t="s">
        <v>2019</v>
      </c>
      <c r="F797" s="1" t="s">
        <v>81</v>
      </c>
      <c r="G797" s="12">
        <v>345417</v>
      </c>
      <c r="H797" t="str">
        <f>IFERROR(VLOOKUP(F797,'LEAID Match'!$A$2:$B$142,2,FALSE),"")</f>
        <v/>
      </c>
    </row>
    <row r="798" spans="1:8" x14ac:dyDescent="0.2">
      <c r="A798" t="str">
        <f t="shared" si="12"/>
        <v/>
      </c>
      <c r="B798" s="1">
        <v>2017</v>
      </c>
      <c r="C798" s="1" t="s">
        <v>2505</v>
      </c>
      <c r="D798" s="1" t="s">
        <v>2506</v>
      </c>
      <c r="E798" s="1" t="s">
        <v>2019</v>
      </c>
      <c r="F798" s="1" t="s">
        <v>81</v>
      </c>
      <c r="G798" s="47">
        <v>343474</v>
      </c>
      <c r="H798" t="str">
        <f>IFERROR(VLOOKUP(F798,'LEAID Match'!$A$2:$B$142,2,FALSE),"")</f>
        <v/>
      </c>
    </row>
    <row r="799" spans="1:8" x14ac:dyDescent="0.2">
      <c r="A799" t="str">
        <f t="shared" si="12"/>
        <v/>
      </c>
      <c r="B799" s="1">
        <v>2018</v>
      </c>
      <c r="C799" s="1" t="s">
        <v>2505</v>
      </c>
      <c r="D799" s="1" t="s">
        <v>2506</v>
      </c>
      <c r="E799" s="1" t="s">
        <v>2019</v>
      </c>
      <c r="F799" s="1" t="s">
        <v>81</v>
      </c>
      <c r="G799" s="6">
        <v>346801</v>
      </c>
      <c r="H799" t="str">
        <f>IFERROR(VLOOKUP(F799,'LEAID Match'!$A$2:$B$142,2,FALSE),"")</f>
        <v/>
      </c>
    </row>
    <row r="800" spans="1:8" x14ac:dyDescent="0.2">
      <c r="A800" t="str">
        <f t="shared" si="12"/>
        <v/>
      </c>
      <c r="B800" s="1">
        <v>2019</v>
      </c>
      <c r="C800" s="1" t="s">
        <v>2505</v>
      </c>
      <c r="D800" s="1" t="s">
        <v>2506</v>
      </c>
      <c r="E800" s="1" t="s">
        <v>2019</v>
      </c>
      <c r="F800" s="1" t="s">
        <v>81</v>
      </c>
      <c r="G800" s="6">
        <v>361186</v>
      </c>
      <c r="H800" t="str">
        <f>IFERROR(VLOOKUP(F800,'LEAID Match'!$A$2:$B$142,2,FALSE),"")</f>
        <v/>
      </c>
    </row>
    <row r="801" spans="1:8" x14ac:dyDescent="0.2">
      <c r="A801" t="str">
        <f t="shared" si="12"/>
        <v/>
      </c>
      <c r="B801" s="1">
        <v>2020</v>
      </c>
      <c r="C801" s="1" t="s">
        <v>2505</v>
      </c>
      <c r="D801" s="1" t="s">
        <v>2506</v>
      </c>
      <c r="E801" s="1" t="s">
        <v>2019</v>
      </c>
      <c r="F801" s="1" t="s">
        <v>81</v>
      </c>
      <c r="G801" s="6">
        <v>414944</v>
      </c>
      <c r="H801" t="str">
        <f>IFERROR(VLOOKUP(F801,'LEAID Match'!$A$2:$B$142,2,FALSE),"")</f>
        <v/>
      </c>
    </row>
    <row r="802" spans="1:8" x14ac:dyDescent="0.2">
      <c r="A802" t="str">
        <f t="shared" si="12"/>
        <v/>
      </c>
      <c r="B802" s="1">
        <v>2021</v>
      </c>
      <c r="C802" s="1" t="s">
        <v>2505</v>
      </c>
      <c r="D802" s="1" t="s">
        <v>2506</v>
      </c>
      <c r="E802" s="1" t="s">
        <v>2019</v>
      </c>
      <c r="F802" s="1" t="s">
        <v>81</v>
      </c>
      <c r="G802" s="6">
        <v>438060</v>
      </c>
      <c r="H802" t="str">
        <f>IFERROR(VLOOKUP(F802,'LEAID Match'!$A$2:$B$142,2,FALSE),"")</f>
        <v/>
      </c>
    </row>
    <row r="803" spans="1:8" x14ac:dyDescent="0.2">
      <c r="A803" t="str">
        <f t="shared" si="12"/>
        <v/>
      </c>
      <c r="B803" s="1">
        <v>2022</v>
      </c>
      <c r="C803" s="1" t="s">
        <v>2505</v>
      </c>
      <c r="D803" s="1" t="s">
        <v>2506</v>
      </c>
      <c r="E803" s="1" t="s">
        <v>2019</v>
      </c>
      <c r="F803" s="1" t="s">
        <v>81</v>
      </c>
      <c r="G803" s="6">
        <v>466953</v>
      </c>
      <c r="H803" t="str">
        <f>IFERROR(VLOOKUP(F803,'LEAID Match'!$A$2:$B$142,2,FALSE),"")</f>
        <v/>
      </c>
    </row>
    <row r="804" spans="1:8" x14ac:dyDescent="0.2">
      <c r="A804" t="str">
        <f t="shared" si="12"/>
        <v/>
      </c>
      <c r="B804" s="1">
        <v>2023</v>
      </c>
      <c r="C804" s="1" t="s">
        <v>2505</v>
      </c>
      <c r="D804" s="1" t="s">
        <v>2506</v>
      </c>
      <c r="E804" s="1" t="s">
        <v>2019</v>
      </c>
      <c r="F804" s="1" t="s">
        <v>81</v>
      </c>
      <c r="G804" s="6">
        <v>509911</v>
      </c>
      <c r="H804" t="str">
        <f>IFERROR(VLOOKUP(F804,'LEAID Match'!$A$2:$B$142,2,FALSE),"")</f>
        <v/>
      </c>
    </row>
    <row r="805" spans="1:8" x14ac:dyDescent="0.2">
      <c r="A805" t="str">
        <f t="shared" si="12"/>
        <v/>
      </c>
      <c r="B805" s="1">
        <v>2024</v>
      </c>
      <c r="C805" s="1" t="s">
        <v>2505</v>
      </c>
      <c r="D805" s="1" t="s">
        <v>2506</v>
      </c>
      <c r="E805" s="1" t="s">
        <v>2019</v>
      </c>
      <c r="F805" s="1" t="s">
        <v>81</v>
      </c>
      <c r="G805" s="6">
        <v>525320</v>
      </c>
      <c r="H805" t="str">
        <f>IFERROR(VLOOKUP(F805,'LEAID Match'!$A$2:$B$142,2,FALSE),"")</f>
        <v/>
      </c>
    </row>
    <row r="806" spans="1:8" x14ac:dyDescent="0.2">
      <c r="A806" t="str">
        <f t="shared" si="12"/>
        <v/>
      </c>
      <c r="B806" s="1">
        <v>2015</v>
      </c>
      <c r="C806" s="1" t="s">
        <v>2505</v>
      </c>
      <c r="D806" s="1" t="s">
        <v>2506</v>
      </c>
      <c r="E806" s="1" t="s">
        <v>2019</v>
      </c>
      <c r="F806" s="1" t="s">
        <v>82</v>
      </c>
      <c r="G806" s="6">
        <v>2082</v>
      </c>
      <c r="H806" t="str">
        <f>IFERROR(VLOOKUP(F806,'LEAID Match'!$A$2:$B$142,2,FALSE),"")</f>
        <v/>
      </c>
    </row>
    <row r="807" spans="1:8" x14ac:dyDescent="0.2">
      <c r="A807" t="str">
        <f t="shared" si="12"/>
        <v/>
      </c>
      <c r="B807">
        <v>2016</v>
      </c>
      <c r="C807" s="1" t="s">
        <v>2505</v>
      </c>
      <c r="D807" s="1" t="s">
        <v>2506</v>
      </c>
      <c r="E807" s="1" t="s">
        <v>2019</v>
      </c>
      <c r="F807" s="1" t="s">
        <v>82</v>
      </c>
      <c r="G807" s="12">
        <v>2099</v>
      </c>
      <c r="H807" t="str">
        <f>IFERROR(VLOOKUP(F807,'LEAID Match'!$A$2:$B$142,2,FALSE),"")</f>
        <v/>
      </c>
    </row>
    <row r="808" spans="1:8" x14ac:dyDescent="0.2">
      <c r="A808" t="str">
        <f t="shared" si="12"/>
        <v/>
      </c>
      <c r="B808" s="1">
        <v>2017</v>
      </c>
      <c r="C808" s="1" t="s">
        <v>2505</v>
      </c>
      <c r="D808" s="1" t="s">
        <v>2506</v>
      </c>
      <c r="E808" s="1" t="s">
        <v>2019</v>
      </c>
      <c r="F808" s="1" t="s">
        <v>82</v>
      </c>
      <c r="G808" s="47">
        <v>2058</v>
      </c>
      <c r="H808" t="str">
        <f>IFERROR(VLOOKUP(F808,'LEAID Match'!$A$2:$B$142,2,FALSE),"")</f>
        <v/>
      </c>
    </row>
    <row r="809" spans="1:8" x14ac:dyDescent="0.2">
      <c r="A809" t="str">
        <f t="shared" si="12"/>
        <v/>
      </c>
      <c r="B809" s="1">
        <v>2018</v>
      </c>
      <c r="C809" s="1" t="s">
        <v>2505</v>
      </c>
      <c r="D809" s="1" t="s">
        <v>2506</v>
      </c>
      <c r="E809" s="1" t="s">
        <v>2019</v>
      </c>
      <c r="F809" s="1" t="s">
        <v>82</v>
      </c>
      <c r="G809" s="6">
        <v>2434</v>
      </c>
      <c r="H809" t="str">
        <f>IFERROR(VLOOKUP(F809,'LEAID Match'!$A$2:$B$142,2,FALSE),"")</f>
        <v/>
      </c>
    </row>
    <row r="810" spans="1:8" x14ac:dyDescent="0.2">
      <c r="A810" t="str">
        <f t="shared" si="12"/>
        <v/>
      </c>
      <c r="B810" s="1">
        <v>2019</v>
      </c>
      <c r="C810" s="1" t="s">
        <v>2505</v>
      </c>
      <c r="D810" s="1" t="s">
        <v>2506</v>
      </c>
      <c r="E810" s="1" t="s">
        <v>2019</v>
      </c>
      <c r="F810" s="1" t="s">
        <v>82</v>
      </c>
      <c r="G810" s="6">
        <v>2739</v>
      </c>
      <c r="H810" t="str">
        <f>IFERROR(VLOOKUP(F810,'LEAID Match'!$A$2:$B$142,2,FALSE),"")</f>
        <v/>
      </c>
    </row>
    <row r="811" spans="1:8" x14ac:dyDescent="0.2">
      <c r="A811" t="str">
        <f t="shared" si="12"/>
        <v/>
      </c>
      <c r="B811" s="1">
        <v>2020</v>
      </c>
      <c r="C811" s="1" t="s">
        <v>2505</v>
      </c>
      <c r="D811" s="1" t="s">
        <v>2506</v>
      </c>
      <c r="E811" s="1" t="s">
        <v>2019</v>
      </c>
      <c r="F811" s="1" t="s">
        <v>82</v>
      </c>
      <c r="G811" s="6">
        <v>3503</v>
      </c>
      <c r="H811" t="str">
        <f>IFERROR(VLOOKUP(F811,'LEAID Match'!$A$2:$B$142,2,FALSE),"")</f>
        <v/>
      </c>
    </row>
    <row r="812" spans="1:8" x14ac:dyDescent="0.2">
      <c r="A812" t="str">
        <f t="shared" si="12"/>
        <v/>
      </c>
      <c r="B812" s="1">
        <v>2021</v>
      </c>
      <c r="C812" s="1" t="s">
        <v>2505</v>
      </c>
      <c r="D812" s="1" t="s">
        <v>2506</v>
      </c>
      <c r="E812" s="1" t="s">
        <v>2019</v>
      </c>
      <c r="F812" s="1" t="s">
        <v>82</v>
      </c>
      <c r="G812" s="6">
        <v>1161</v>
      </c>
      <c r="H812" t="str">
        <f>IFERROR(VLOOKUP(F812,'LEAID Match'!$A$2:$B$142,2,FALSE),"")</f>
        <v/>
      </c>
    </row>
    <row r="813" spans="1:8" x14ac:dyDescent="0.2">
      <c r="A813" t="str">
        <f t="shared" si="12"/>
        <v/>
      </c>
      <c r="B813" s="1">
        <v>2022</v>
      </c>
      <c r="C813" s="1" t="s">
        <v>2505</v>
      </c>
      <c r="D813" s="1" t="s">
        <v>2506</v>
      </c>
      <c r="E813" s="1" t="s">
        <v>2019</v>
      </c>
      <c r="F813" s="1" t="s">
        <v>82</v>
      </c>
      <c r="G813" s="6">
        <v>2471</v>
      </c>
      <c r="H813" t="str">
        <f>IFERROR(VLOOKUP(F813,'LEAID Match'!$A$2:$B$142,2,FALSE),"")</f>
        <v/>
      </c>
    </row>
    <row r="814" spans="1:8" x14ac:dyDescent="0.2">
      <c r="A814" t="str">
        <f t="shared" si="12"/>
        <v/>
      </c>
      <c r="B814" s="1">
        <v>2023</v>
      </c>
      <c r="C814" s="1" t="s">
        <v>2505</v>
      </c>
      <c r="D814" s="1" t="s">
        <v>2506</v>
      </c>
      <c r="E814" s="1" t="s">
        <v>2019</v>
      </c>
      <c r="F814" s="1" t="s">
        <v>82</v>
      </c>
      <c r="G814" s="6">
        <v>3899</v>
      </c>
      <c r="H814" t="str">
        <f>IFERROR(VLOOKUP(F814,'LEAID Match'!$A$2:$B$142,2,FALSE),"")</f>
        <v/>
      </c>
    </row>
    <row r="815" spans="1:8" x14ac:dyDescent="0.2">
      <c r="A815" t="str">
        <f t="shared" si="12"/>
        <v/>
      </c>
      <c r="B815" s="1">
        <v>2024</v>
      </c>
      <c r="C815" s="1" t="s">
        <v>2505</v>
      </c>
      <c r="D815" s="1" t="s">
        <v>2506</v>
      </c>
      <c r="E815" s="1" t="s">
        <v>2019</v>
      </c>
      <c r="F815" s="1" t="s">
        <v>82</v>
      </c>
      <c r="G815" s="6">
        <v>3845</v>
      </c>
      <c r="H815" t="str">
        <f>IFERROR(VLOOKUP(F815,'LEAID Match'!$A$2:$B$142,2,FALSE),"")</f>
        <v/>
      </c>
    </row>
    <row r="816" spans="1:8" x14ac:dyDescent="0.2">
      <c r="A816" t="str">
        <f t="shared" si="12"/>
        <v/>
      </c>
      <c r="B816" s="1">
        <v>2015</v>
      </c>
      <c r="C816" s="1" t="s">
        <v>2505</v>
      </c>
      <c r="D816" s="1" t="s">
        <v>2506</v>
      </c>
      <c r="E816" s="1" t="s">
        <v>2019</v>
      </c>
      <c r="F816" s="1" t="s">
        <v>83</v>
      </c>
      <c r="G816" s="6">
        <v>683227</v>
      </c>
      <c r="H816" t="str">
        <f>IFERROR(VLOOKUP(F816,'LEAID Match'!$A$2:$B$142,2,FALSE),"")</f>
        <v/>
      </c>
    </row>
    <row r="817" spans="1:8" x14ac:dyDescent="0.2">
      <c r="A817" t="str">
        <f t="shared" si="12"/>
        <v/>
      </c>
      <c r="B817">
        <v>2016</v>
      </c>
      <c r="C817" s="1" t="s">
        <v>2505</v>
      </c>
      <c r="D817" s="1" t="s">
        <v>2506</v>
      </c>
      <c r="E817" s="1" t="s">
        <v>2019</v>
      </c>
      <c r="F817" s="1" t="s">
        <v>83</v>
      </c>
      <c r="G817" s="12">
        <v>722809</v>
      </c>
      <c r="H817" t="str">
        <f>IFERROR(VLOOKUP(F817,'LEAID Match'!$A$2:$B$142,2,FALSE),"")</f>
        <v/>
      </c>
    </row>
    <row r="818" spans="1:8" x14ac:dyDescent="0.2">
      <c r="A818" t="str">
        <f t="shared" si="12"/>
        <v/>
      </c>
      <c r="B818" s="1">
        <v>2017</v>
      </c>
      <c r="C818" s="1" t="s">
        <v>2505</v>
      </c>
      <c r="D818" s="1" t="s">
        <v>2506</v>
      </c>
      <c r="E818" s="1" t="s">
        <v>2019</v>
      </c>
      <c r="F818" s="1" t="s">
        <v>83</v>
      </c>
      <c r="G818" s="47">
        <v>699558</v>
      </c>
      <c r="H818" t="str">
        <f>IFERROR(VLOOKUP(F818,'LEAID Match'!$A$2:$B$142,2,FALSE),"")</f>
        <v/>
      </c>
    </row>
    <row r="819" spans="1:8" x14ac:dyDescent="0.2">
      <c r="A819" t="str">
        <f t="shared" si="12"/>
        <v/>
      </c>
      <c r="B819" s="1">
        <v>2018</v>
      </c>
      <c r="C819" s="1" t="s">
        <v>2505</v>
      </c>
      <c r="D819" s="1" t="s">
        <v>2506</v>
      </c>
      <c r="E819" s="1" t="s">
        <v>2019</v>
      </c>
      <c r="F819" s="1" t="s">
        <v>83</v>
      </c>
      <c r="G819" s="6">
        <v>634207</v>
      </c>
      <c r="H819" t="str">
        <f>IFERROR(VLOOKUP(F819,'LEAID Match'!$A$2:$B$142,2,FALSE),"")</f>
        <v/>
      </c>
    </row>
    <row r="820" spans="1:8" x14ac:dyDescent="0.2">
      <c r="A820" t="str">
        <f t="shared" si="12"/>
        <v/>
      </c>
      <c r="B820" s="1">
        <v>2019</v>
      </c>
      <c r="C820" s="1" t="s">
        <v>2505</v>
      </c>
      <c r="D820" s="1" t="s">
        <v>2506</v>
      </c>
      <c r="E820" s="1" t="s">
        <v>2019</v>
      </c>
      <c r="F820" s="1" t="s">
        <v>83</v>
      </c>
      <c r="G820" s="6">
        <v>692634</v>
      </c>
      <c r="H820" t="str">
        <f>IFERROR(VLOOKUP(F820,'LEAID Match'!$A$2:$B$142,2,FALSE),"")</f>
        <v/>
      </c>
    </row>
    <row r="821" spans="1:8" x14ac:dyDescent="0.2">
      <c r="A821" t="str">
        <f t="shared" si="12"/>
        <v/>
      </c>
      <c r="B821" s="1">
        <v>2020</v>
      </c>
      <c r="C821" s="1" t="s">
        <v>2505</v>
      </c>
      <c r="D821" s="1" t="s">
        <v>2506</v>
      </c>
      <c r="E821" s="1" t="s">
        <v>2019</v>
      </c>
      <c r="F821" s="1" t="s">
        <v>83</v>
      </c>
      <c r="G821" s="6">
        <v>748333</v>
      </c>
      <c r="H821" t="str">
        <f>IFERROR(VLOOKUP(F821,'LEAID Match'!$A$2:$B$142,2,FALSE),"")</f>
        <v/>
      </c>
    </row>
    <row r="822" spans="1:8" x14ac:dyDescent="0.2">
      <c r="A822" t="str">
        <f t="shared" si="12"/>
        <v/>
      </c>
      <c r="B822" s="1">
        <v>2021</v>
      </c>
      <c r="C822" s="1" t="s">
        <v>2505</v>
      </c>
      <c r="D822" s="1" t="s">
        <v>2506</v>
      </c>
      <c r="E822" s="1" t="s">
        <v>2019</v>
      </c>
      <c r="F822" s="1" t="s">
        <v>83</v>
      </c>
      <c r="G822" s="6">
        <v>813365</v>
      </c>
      <c r="H822" t="str">
        <f>IFERROR(VLOOKUP(F822,'LEAID Match'!$A$2:$B$142,2,FALSE),"")</f>
        <v/>
      </c>
    </row>
    <row r="823" spans="1:8" x14ac:dyDescent="0.2">
      <c r="A823" t="str">
        <f t="shared" si="12"/>
        <v/>
      </c>
      <c r="B823" s="1">
        <v>2022</v>
      </c>
      <c r="C823" s="1" t="s">
        <v>2505</v>
      </c>
      <c r="D823" s="1" t="s">
        <v>2506</v>
      </c>
      <c r="E823" s="1" t="s">
        <v>2019</v>
      </c>
      <c r="F823" s="1" t="s">
        <v>83</v>
      </c>
      <c r="G823" s="6">
        <v>884892</v>
      </c>
      <c r="H823" t="str">
        <f>IFERROR(VLOOKUP(F823,'LEAID Match'!$A$2:$B$142,2,FALSE),"")</f>
        <v/>
      </c>
    </row>
    <row r="824" spans="1:8" x14ac:dyDescent="0.2">
      <c r="A824" t="str">
        <f t="shared" si="12"/>
        <v/>
      </c>
      <c r="B824" s="1">
        <v>2023</v>
      </c>
      <c r="C824" s="1" t="s">
        <v>2505</v>
      </c>
      <c r="D824" s="1" t="s">
        <v>2506</v>
      </c>
      <c r="E824" s="1" t="s">
        <v>2019</v>
      </c>
      <c r="F824" s="1" t="s">
        <v>83</v>
      </c>
      <c r="G824" s="6">
        <v>882005</v>
      </c>
      <c r="H824" t="str">
        <f>IFERROR(VLOOKUP(F824,'LEAID Match'!$A$2:$B$142,2,FALSE),"")</f>
        <v/>
      </c>
    </row>
    <row r="825" spans="1:8" x14ac:dyDescent="0.2">
      <c r="A825" t="str">
        <f t="shared" si="12"/>
        <v/>
      </c>
      <c r="B825" s="1">
        <v>2024</v>
      </c>
      <c r="C825" s="1" t="s">
        <v>2505</v>
      </c>
      <c r="D825" s="1" t="s">
        <v>2506</v>
      </c>
      <c r="E825" s="1" t="s">
        <v>2019</v>
      </c>
      <c r="F825" s="1" t="s">
        <v>83</v>
      </c>
      <c r="G825" s="6">
        <v>718771</v>
      </c>
      <c r="H825" t="str">
        <f>IFERROR(VLOOKUP(F825,'LEAID Match'!$A$2:$B$142,2,FALSE),"")</f>
        <v/>
      </c>
    </row>
    <row r="826" spans="1:8" x14ac:dyDescent="0.2">
      <c r="A826" t="str">
        <f t="shared" si="12"/>
        <v/>
      </c>
      <c r="B826" s="1">
        <v>2015</v>
      </c>
      <c r="C826" s="1" t="s">
        <v>2505</v>
      </c>
      <c r="D826" s="1" t="s">
        <v>2506</v>
      </c>
      <c r="E826" s="1" t="s">
        <v>2019</v>
      </c>
      <c r="F826" s="1" t="s">
        <v>84</v>
      </c>
      <c r="G826" s="6">
        <v>14784</v>
      </c>
      <c r="H826" t="str">
        <f>IFERROR(VLOOKUP(F826,'LEAID Match'!$A$2:$B$142,2,FALSE),"")</f>
        <v/>
      </c>
    </row>
    <row r="827" spans="1:8" x14ac:dyDescent="0.2">
      <c r="A827" t="str">
        <f t="shared" si="12"/>
        <v/>
      </c>
      <c r="B827">
        <v>2016</v>
      </c>
      <c r="C827" s="1" t="s">
        <v>2505</v>
      </c>
      <c r="D827" s="1" t="s">
        <v>2506</v>
      </c>
      <c r="E827" s="1" t="s">
        <v>2019</v>
      </c>
      <c r="F827" s="1" t="s">
        <v>84</v>
      </c>
      <c r="G827" s="12">
        <v>14102</v>
      </c>
      <c r="H827" t="str">
        <f>IFERROR(VLOOKUP(F827,'LEAID Match'!$A$2:$B$142,2,FALSE),"")</f>
        <v/>
      </c>
    </row>
    <row r="828" spans="1:8" x14ac:dyDescent="0.2">
      <c r="A828" t="str">
        <f t="shared" si="12"/>
        <v/>
      </c>
      <c r="B828" s="1">
        <v>2017</v>
      </c>
      <c r="C828" s="1" t="s">
        <v>2505</v>
      </c>
      <c r="D828" s="1" t="s">
        <v>2506</v>
      </c>
      <c r="E828" s="1" t="s">
        <v>2019</v>
      </c>
      <c r="F828" s="1" t="s">
        <v>84</v>
      </c>
      <c r="G828" s="47">
        <v>16229</v>
      </c>
      <c r="H828" t="str">
        <f>IFERROR(VLOOKUP(F828,'LEAID Match'!$A$2:$B$142,2,FALSE),"")</f>
        <v/>
      </c>
    </row>
    <row r="829" spans="1:8" x14ac:dyDescent="0.2">
      <c r="A829" t="str">
        <f t="shared" si="12"/>
        <v/>
      </c>
      <c r="B829" s="1">
        <v>2018</v>
      </c>
      <c r="C829" s="1" t="s">
        <v>2505</v>
      </c>
      <c r="D829" s="1" t="s">
        <v>2506</v>
      </c>
      <c r="E829" s="1" t="s">
        <v>2019</v>
      </c>
      <c r="F829" s="1" t="s">
        <v>84</v>
      </c>
      <c r="G829" s="6">
        <v>17760</v>
      </c>
      <c r="H829" t="str">
        <f>IFERROR(VLOOKUP(F829,'LEAID Match'!$A$2:$B$142,2,FALSE),"")</f>
        <v/>
      </c>
    </row>
    <row r="830" spans="1:8" x14ac:dyDescent="0.2">
      <c r="A830" t="str">
        <f t="shared" si="12"/>
        <v/>
      </c>
      <c r="B830" s="1">
        <v>2019</v>
      </c>
      <c r="C830" s="1" t="s">
        <v>2505</v>
      </c>
      <c r="D830" s="1" t="s">
        <v>2506</v>
      </c>
      <c r="E830" s="1" t="s">
        <v>2019</v>
      </c>
      <c r="F830" s="1" t="s">
        <v>84</v>
      </c>
      <c r="G830" s="6">
        <v>19847</v>
      </c>
      <c r="H830" t="str">
        <f>IFERROR(VLOOKUP(F830,'LEAID Match'!$A$2:$B$142,2,FALSE),"")</f>
        <v/>
      </c>
    </row>
    <row r="831" spans="1:8" x14ac:dyDescent="0.2">
      <c r="A831" t="str">
        <f t="shared" si="12"/>
        <v/>
      </c>
      <c r="B831" s="1">
        <v>2020</v>
      </c>
      <c r="C831" s="1" t="s">
        <v>2505</v>
      </c>
      <c r="D831" s="1" t="s">
        <v>2506</v>
      </c>
      <c r="E831" s="1" t="s">
        <v>2019</v>
      </c>
      <c r="F831" s="1" t="s">
        <v>84</v>
      </c>
      <c r="G831" s="6">
        <v>21823</v>
      </c>
      <c r="H831" t="str">
        <f>IFERROR(VLOOKUP(F831,'LEAID Match'!$A$2:$B$142,2,FALSE),"")</f>
        <v/>
      </c>
    </row>
    <row r="832" spans="1:8" x14ac:dyDescent="0.2">
      <c r="A832" t="str">
        <f t="shared" si="12"/>
        <v/>
      </c>
      <c r="B832" s="1">
        <v>2021</v>
      </c>
      <c r="C832" s="1" t="s">
        <v>2505</v>
      </c>
      <c r="D832" s="1" t="s">
        <v>2506</v>
      </c>
      <c r="E832" s="1" t="s">
        <v>2019</v>
      </c>
      <c r="F832" s="1" t="s">
        <v>84</v>
      </c>
      <c r="G832" s="6">
        <v>28374</v>
      </c>
      <c r="H832" t="str">
        <f>IFERROR(VLOOKUP(F832,'LEAID Match'!$A$2:$B$142,2,FALSE),"")</f>
        <v/>
      </c>
    </row>
    <row r="833" spans="1:8" x14ac:dyDescent="0.2">
      <c r="A833" t="str">
        <f t="shared" si="12"/>
        <v/>
      </c>
      <c r="B833" s="1">
        <v>2022</v>
      </c>
      <c r="C833" s="1" t="s">
        <v>2505</v>
      </c>
      <c r="D833" s="1" t="s">
        <v>2506</v>
      </c>
      <c r="E833" s="1" t="s">
        <v>2019</v>
      </c>
      <c r="F833" s="1" t="s">
        <v>84</v>
      </c>
      <c r="G833" s="6">
        <v>30949</v>
      </c>
      <c r="H833" t="str">
        <f>IFERROR(VLOOKUP(F833,'LEAID Match'!$A$2:$B$142,2,FALSE),"")</f>
        <v/>
      </c>
    </row>
    <row r="834" spans="1:8" x14ac:dyDescent="0.2">
      <c r="A834" t="str">
        <f t="shared" si="12"/>
        <v/>
      </c>
      <c r="B834" s="1">
        <v>2023</v>
      </c>
      <c r="C834" s="1" t="s">
        <v>2505</v>
      </c>
      <c r="D834" s="1" t="s">
        <v>2506</v>
      </c>
      <c r="E834" s="1" t="s">
        <v>2019</v>
      </c>
      <c r="F834" s="1" t="s">
        <v>84</v>
      </c>
      <c r="G834" s="6">
        <v>44923</v>
      </c>
      <c r="H834" t="str">
        <f>IFERROR(VLOOKUP(F834,'LEAID Match'!$A$2:$B$142,2,FALSE),"")</f>
        <v/>
      </c>
    </row>
    <row r="835" spans="1:8" x14ac:dyDescent="0.2">
      <c r="A835" t="str">
        <f t="shared" ref="A835:A898" si="13">H835</f>
        <v/>
      </c>
      <c r="B835" s="1">
        <v>2024</v>
      </c>
      <c r="C835" s="1" t="s">
        <v>2505</v>
      </c>
      <c r="D835" s="1" t="s">
        <v>2506</v>
      </c>
      <c r="E835" s="1" t="s">
        <v>2019</v>
      </c>
      <c r="F835" s="1" t="s">
        <v>84</v>
      </c>
      <c r="G835" s="6">
        <v>55918</v>
      </c>
      <c r="H835" t="str">
        <f>IFERROR(VLOOKUP(F835,'LEAID Match'!$A$2:$B$142,2,FALSE),"")</f>
        <v/>
      </c>
    </row>
    <row r="836" spans="1:8" x14ac:dyDescent="0.2">
      <c r="A836" t="str">
        <f t="shared" si="13"/>
        <v/>
      </c>
      <c r="B836" s="1">
        <v>2015</v>
      </c>
      <c r="C836" s="1" t="s">
        <v>2505</v>
      </c>
      <c r="D836" s="1" t="s">
        <v>2506</v>
      </c>
      <c r="E836" s="1" t="s">
        <v>2019</v>
      </c>
      <c r="F836" s="1" t="s">
        <v>85</v>
      </c>
      <c r="G836" s="6">
        <v>47572</v>
      </c>
      <c r="H836" t="str">
        <f>IFERROR(VLOOKUP(F836,'LEAID Match'!$A$2:$B$142,2,FALSE),"")</f>
        <v/>
      </c>
    </row>
    <row r="837" spans="1:8" x14ac:dyDescent="0.2">
      <c r="A837" t="str">
        <f t="shared" si="13"/>
        <v/>
      </c>
      <c r="B837">
        <v>2016</v>
      </c>
      <c r="C837" s="1" t="s">
        <v>2505</v>
      </c>
      <c r="D837" s="1" t="s">
        <v>2506</v>
      </c>
      <c r="E837" s="1" t="s">
        <v>2019</v>
      </c>
      <c r="F837" s="1" t="s">
        <v>85</v>
      </c>
      <c r="G837" s="12">
        <v>45293</v>
      </c>
      <c r="H837" t="str">
        <f>IFERROR(VLOOKUP(F837,'LEAID Match'!$A$2:$B$142,2,FALSE),"")</f>
        <v/>
      </c>
    </row>
    <row r="838" spans="1:8" x14ac:dyDescent="0.2">
      <c r="A838" t="str">
        <f t="shared" si="13"/>
        <v/>
      </c>
      <c r="B838" s="1">
        <v>2017</v>
      </c>
      <c r="C838" s="1" t="s">
        <v>2505</v>
      </c>
      <c r="D838" s="1" t="s">
        <v>2506</v>
      </c>
      <c r="E838" s="1" t="s">
        <v>2019</v>
      </c>
      <c r="F838" s="1" t="s">
        <v>85</v>
      </c>
      <c r="G838" s="47">
        <v>45615</v>
      </c>
      <c r="H838" t="str">
        <f>IFERROR(VLOOKUP(F838,'LEAID Match'!$A$2:$B$142,2,FALSE),"")</f>
        <v/>
      </c>
    </row>
    <row r="839" spans="1:8" x14ac:dyDescent="0.2">
      <c r="A839" t="str">
        <f t="shared" si="13"/>
        <v/>
      </c>
      <c r="B839" s="1">
        <v>2018</v>
      </c>
      <c r="C839" s="1" t="s">
        <v>2505</v>
      </c>
      <c r="D839" s="1" t="s">
        <v>2506</v>
      </c>
      <c r="E839" s="1" t="s">
        <v>2019</v>
      </c>
      <c r="F839" s="1" t="s">
        <v>85</v>
      </c>
      <c r="G839" s="6">
        <v>48420</v>
      </c>
      <c r="H839" t="str">
        <f>IFERROR(VLOOKUP(F839,'LEAID Match'!$A$2:$B$142,2,FALSE),"")</f>
        <v/>
      </c>
    </row>
    <row r="840" spans="1:8" x14ac:dyDescent="0.2">
      <c r="A840" t="str">
        <f t="shared" si="13"/>
        <v/>
      </c>
      <c r="B840" s="1">
        <v>2019</v>
      </c>
      <c r="C840" s="1" t="s">
        <v>2505</v>
      </c>
      <c r="D840" s="1" t="s">
        <v>2506</v>
      </c>
      <c r="E840" s="1" t="s">
        <v>2019</v>
      </c>
      <c r="F840" s="1" t="s">
        <v>85</v>
      </c>
      <c r="G840" s="6">
        <v>43771</v>
      </c>
      <c r="H840" t="str">
        <f>IFERROR(VLOOKUP(F840,'LEAID Match'!$A$2:$B$142,2,FALSE),"")</f>
        <v/>
      </c>
    </row>
    <row r="841" spans="1:8" x14ac:dyDescent="0.2">
      <c r="A841" t="str">
        <f t="shared" si="13"/>
        <v/>
      </c>
      <c r="B841" s="1">
        <v>2020</v>
      </c>
      <c r="C841" s="1" t="s">
        <v>2505</v>
      </c>
      <c r="D841" s="1" t="s">
        <v>2506</v>
      </c>
      <c r="E841" s="1" t="s">
        <v>2019</v>
      </c>
      <c r="F841" s="1" t="s">
        <v>85</v>
      </c>
      <c r="G841" s="6">
        <v>63424</v>
      </c>
      <c r="H841" t="str">
        <f>IFERROR(VLOOKUP(F841,'LEAID Match'!$A$2:$B$142,2,FALSE),"")</f>
        <v/>
      </c>
    </row>
    <row r="842" spans="1:8" x14ac:dyDescent="0.2">
      <c r="A842" t="str">
        <f t="shared" si="13"/>
        <v/>
      </c>
      <c r="B842" s="1">
        <v>2021</v>
      </c>
      <c r="C842" s="1" t="s">
        <v>2505</v>
      </c>
      <c r="D842" s="1" t="s">
        <v>2506</v>
      </c>
      <c r="E842" s="1" t="s">
        <v>2019</v>
      </c>
      <c r="F842" s="1" t="s">
        <v>85</v>
      </c>
      <c r="G842" s="6">
        <v>60242</v>
      </c>
      <c r="H842" t="str">
        <f>IFERROR(VLOOKUP(F842,'LEAID Match'!$A$2:$B$142,2,FALSE),"")</f>
        <v/>
      </c>
    </row>
    <row r="843" spans="1:8" x14ac:dyDescent="0.2">
      <c r="A843" t="str">
        <f t="shared" si="13"/>
        <v/>
      </c>
      <c r="B843" s="1">
        <v>2022</v>
      </c>
      <c r="C843" s="1" t="s">
        <v>2505</v>
      </c>
      <c r="D843" s="1" t="s">
        <v>2506</v>
      </c>
      <c r="E843" s="1" t="s">
        <v>2019</v>
      </c>
      <c r="F843" s="1" t="s">
        <v>85</v>
      </c>
      <c r="G843" s="6">
        <v>51957</v>
      </c>
      <c r="H843" t="str">
        <f>IFERROR(VLOOKUP(F843,'LEAID Match'!$A$2:$B$142,2,FALSE),"")</f>
        <v/>
      </c>
    </row>
    <row r="844" spans="1:8" x14ac:dyDescent="0.2">
      <c r="A844" t="str">
        <f t="shared" si="13"/>
        <v/>
      </c>
      <c r="B844" s="1">
        <v>2023</v>
      </c>
      <c r="C844" s="1" t="s">
        <v>2505</v>
      </c>
      <c r="D844" s="1" t="s">
        <v>2506</v>
      </c>
      <c r="E844" s="1" t="s">
        <v>2019</v>
      </c>
      <c r="F844" s="1" t="s">
        <v>85</v>
      </c>
      <c r="G844" s="6">
        <v>40628</v>
      </c>
      <c r="H844" t="str">
        <f>IFERROR(VLOOKUP(F844,'LEAID Match'!$A$2:$B$142,2,FALSE),"")</f>
        <v/>
      </c>
    </row>
    <row r="845" spans="1:8" x14ac:dyDescent="0.2">
      <c r="A845" t="str">
        <f t="shared" si="13"/>
        <v/>
      </c>
      <c r="B845" s="1">
        <v>2024</v>
      </c>
      <c r="C845" s="1" t="s">
        <v>2505</v>
      </c>
      <c r="D845" s="1" t="s">
        <v>2506</v>
      </c>
      <c r="E845" s="1" t="s">
        <v>2019</v>
      </c>
      <c r="F845" s="1" t="s">
        <v>85</v>
      </c>
      <c r="G845" s="6">
        <v>63422</v>
      </c>
      <c r="H845" t="str">
        <f>IFERROR(VLOOKUP(F845,'LEAID Match'!$A$2:$B$142,2,FALSE),"")</f>
        <v/>
      </c>
    </row>
    <row r="846" spans="1:8" x14ac:dyDescent="0.2">
      <c r="A846">
        <f t="shared" si="13"/>
        <v>2800900</v>
      </c>
      <c r="B846" s="1">
        <v>2015</v>
      </c>
      <c r="C846" s="1" t="s">
        <v>2505</v>
      </c>
      <c r="D846" s="1" t="s">
        <v>2506</v>
      </c>
      <c r="E846" s="1" t="s">
        <v>2019</v>
      </c>
      <c r="F846" s="1" t="s">
        <v>86</v>
      </c>
      <c r="G846" s="6">
        <v>2373498</v>
      </c>
      <c r="H846">
        <f>IFERROR(VLOOKUP(F846,'LEAID Match'!$A$2:$B$142,2,FALSE),"")</f>
        <v>2800900</v>
      </c>
    </row>
    <row r="847" spans="1:8" x14ac:dyDescent="0.2">
      <c r="A847">
        <f t="shared" si="13"/>
        <v>2800900</v>
      </c>
      <c r="B847">
        <v>2016</v>
      </c>
      <c r="C847" s="1" t="s">
        <v>2505</v>
      </c>
      <c r="D847" s="1" t="s">
        <v>2506</v>
      </c>
      <c r="E847" s="1" t="s">
        <v>2019</v>
      </c>
      <c r="F847" s="1" t="s">
        <v>86</v>
      </c>
      <c r="G847" s="12">
        <v>2563124</v>
      </c>
      <c r="H847">
        <f>IFERROR(VLOOKUP(F847,'LEAID Match'!$A$2:$B$142,2,FALSE),"")</f>
        <v>2800900</v>
      </c>
    </row>
    <row r="848" spans="1:8" x14ac:dyDescent="0.2">
      <c r="A848">
        <f t="shared" si="13"/>
        <v>2800900</v>
      </c>
      <c r="B848" s="1">
        <v>2017</v>
      </c>
      <c r="C848" s="1" t="s">
        <v>2505</v>
      </c>
      <c r="D848" s="1" t="s">
        <v>2506</v>
      </c>
      <c r="E848" s="1" t="s">
        <v>2019</v>
      </c>
      <c r="F848" s="1" t="s">
        <v>86</v>
      </c>
      <c r="G848" s="47">
        <v>2600903</v>
      </c>
      <c r="H848">
        <f>IFERROR(VLOOKUP(F848,'LEAID Match'!$A$2:$B$142,2,FALSE),"")</f>
        <v>2800900</v>
      </c>
    </row>
    <row r="849" spans="1:8" x14ac:dyDescent="0.2">
      <c r="A849">
        <f t="shared" si="13"/>
        <v>2800900</v>
      </c>
      <c r="B849" s="1">
        <v>2018</v>
      </c>
      <c r="C849" s="1" t="s">
        <v>2505</v>
      </c>
      <c r="D849" s="1" t="s">
        <v>2506</v>
      </c>
      <c r="E849" s="1" t="s">
        <v>2019</v>
      </c>
      <c r="F849" s="1" t="s">
        <v>86</v>
      </c>
      <c r="G849" s="6">
        <v>2576105</v>
      </c>
      <c r="H849">
        <f>IFERROR(VLOOKUP(F849,'LEAID Match'!$A$2:$B$142,2,FALSE),"")</f>
        <v>2800900</v>
      </c>
    </row>
    <row r="850" spans="1:8" x14ac:dyDescent="0.2">
      <c r="A850">
        <f t="shared" si="13"/>
        <v>2800900</v>
      </c>
      <c r="B850" s="1">
        <v>2019</v>
      </c>
      <c r="C850" s="1" t="s">
        <v>2505</v>
      </c>
      <c r="D850" s="1" t="s">
        <v>2506</v>
      </c>
      <c r="E850" s="1" t="s">
        <v>2019</v>
      </c>
      <c r="F850" s="1" t="s">
        <v>86</v>
      </c>
      <c r="G850" s="6">
        <v>2512345</v>
      </c>
      <c r="H850">
        <f>IFERROR(VLOOKUP(F850,'LEAID Match'!$A$2:$B$142,2,FALSE),"")</f>
        <v>2800900</v>
      </c>
    </row>
    <row r="851" spans="1:8" x14ac:dyDescent="0.2">
      <c r="A851">
        <f t="shared" si="13"/>
        <v>2800900</v>
      </c>
      <c r="B851" s="1">
        <v>2020</v>
      </c>
      <c r="C851" s="1" t="s">
        <v>2505</v>
      </c>
      <c r="D851" s="1" t="s">
        <v>2506</v>
      </c>
      <c r="E851" s="1" t="s">
        <v>2019</v>
      </c>
      <c r="F851" s="1" t="s">
        <v>86</v>
      </c>
      <c r="G851" s="6">
        <v>3084905</v>
      </c>
      <c r="H851">
        <f>IFERROR(VLOOKUP(F851,'LEAID Match'!$A$2:$B$142,2,FALSE),"")</f>
        <v>2800900</v>
      </c>
    </row>
    <row r="852" spans="1:8" x14ac:dyDescent="0.2">
      <c r="A852">
        <f t="shared" si="13"/>
        <v>2800900</v>
      </c>
      <c r="B852" s="1">
        <v>2021</v>
      </c>
      <c r="C852" s="1" t="s">
        <v>2505</v>
      </c>
      <c r="D852" s="1" t="s">
        <v>2506</v>
      </c>
      <c r="E852" s="1" t="s">
        <v>2019</v>
      </c>
      <c r="F852" s="1" t="s">
        <v>86</v>
      </c>
      <c r="G852" s="6">
        <v>3152892</v>
      </c>
      <c r="H852">
        <f>IFERROR(VLOOKUP(F852,'LEAID Match'!$A$2:$B$142,2,FALSE),"")</f>
        <v>2800900</v>
      </c>
    </row>
    <row r="853" spans="1:8" x14ac:dyDescent="0.2">
      <c r="A853">
        <f t="shared" si="13"/>
        <v>2800900</v>
      </c>
      <c r="B853" s="1">
        <v>2022</v>
      </c>
      <c r="C853" s="1" t="s">
        <v>2505</v>
      </c>
      <c r="D853" s="1" t="s">
        <v>2506</v>
      </c>
      <c r="E853" s="1" t="s">
        <v>2019</v>
      </c>
      <c r="F853" s="1" t="s">
        <v>86</v>
      </c>
      <c r="G853" s="6">
        <v>3420345</v>
      </c>
      <c r="H853">
        <f>IFERROR(VLOOKUP(F853,'LEAID Match'!$A$2:$B$142,2,FALSE),"")</f>
        <v>2800900</v>
      </c>
    </row>
    <row r="854" spans="1:8" x14ac:dyDescent="0.2">
      <c r="A854">
        <f t="shared" si="13"/>
        <v>2800900</v>
      </c>
      <c r="B854" s="1">
        <v>2023</v>
      </c>
      <c r="C854" s="1" t="s">
        <v>2505</v>
      </c>
      <c r="D854" s="1" t="s">
        <v>2506</v>
      </c>
      <c r="E854" s="1" t="s">
        <v>2019</v>
      </c>
      <c r="F854" s="1" t="s">
        <v>86</v>
      </c>
      <c r="G854" s="6">
        <v>3627554</v>
      </c>
      <c r="H854">
        <f>IFERROR(VLOOKUP(F854,'LEAID Match'!$A$2:$B$142,2,FALSE),"")</f>
        <v>2800900</v>
      </c>
    </row>
    <row r="855" spans="1:8" x14ac:dyDescent="0.2">
      <c r="A855">
        <f t="shared" si="13"/>
        <v>2800900</v>
      </c>
      <c r="B855" s="1">
        <v>2024</v>
      </c>
      <c r="C855" s="1" t="s">
        <v>2505</v>
      </c>
      <c r="D855" s="1" t="s">
        <v>2506</v>
      </c>
      <c r="E855" s="1" t="s">
        <v>2019</v>
      </c>
      <c r="F855" s="1" t="s">
        <v>86</v>
      </c>
      <c r="G855" s="6">
        <v>3626733</v>
      </c>
      <c r="H855">
        <f>IFERROR(VLOOKUP(F855,'LEAID Match'!$A$2:$B$142,2,FALSE),"")</f>
        <v>2800900</v>
      </c>
    </row>
    <row r="856" spans="1:8" x14ac:dyDescent="0.2">
      <c r="A856" t="str">
        <f t="shared" si="13"/>
        <v/>
      </c>
      <c r="B856" s="1">
        <v>2015</v>
      </c>
      <c r="C856" s="1" t="s">
        <v>2505</v>
      </c>
      <c r="D856" s="1" t="s">
        <v>2506</v>
      </c>
      <c r="E856" s="1" t="s">
        <v>2019</v>
      </c>
      <c r="F856" s="1" t="s">
        <v>87</v>
      </c>
      <c r="G856" s="6">
        <v>469855</v>
      </c>
      <c r="H856" t="str">
        <f>IFERROR(VLOOKUP(F856,'LEAID Match'!$A$2:$B$142,2,FALSE),"")</f>
        <v/>
      </c>
    </row>
    <row r="857" spans="1:8" x14ac:dyDescent="0.2">
      <c r="A857" t="str">
        <f t="shared" si="13"/>
        <v/>
      </c>
      <c r="B857">
        <v>2016</v>
      </c>
      <c r="C857" s="1" t="s">
        <v>2505</v>
      </c>
      <c r="D857" s="1" t="s">
        <v>2506</v>
      </c>
      <c r="E857" s="1" t="s">
        <v>2019</v>
      </c>
      <c r="F857" s="1" t="s">
        <v>87</v>
      </c>
      <c r="G857" s="12">
        <v>491096</v>
      </c>
      <c r="H857" t="str">
        <f>IFERROR(VLOOKUP(F857,'LEAID Match'!$A$2:$B$142,2,FALSE),"")</f>
        <v/>
      </c>
    </row>
    <row r="858" spans="1:8" x14ac:dyDescent="0.2">
      <c r="A858" t="str">
        <f t="shared" si="13"/>
        <v/>
      </c>
      <c r="B858" s="1">
        <v>2017</v>
      </c>
      <c r="C858" s="1" t="s">
        <v>2505</v>
      </c>
      <c r="D858" s="1" t="s">
        <v>2506</v>
      </c>
      <c r="E858" s="1" t="s">
        <v>2019</v>
      </c>
      <c r="F858" s="1" t="s">
        <v>87</v>
      </c>
      <c r="G858" s="47">
        <v>578763</v>
      </c>
      <c r="H858" t="str">
        <f>IFERROR(VLOOKUP(F858,'LEAID Match'!$A$2:$B$142,2,FALSE),"")</f>
        <v/>
      </c>
    </row>
    <row r="859" spans="1:8" x14ac:dyDescent="0.2">
      <c r="A859" t="str">
        <f t="shared" si="13"/>
        <v/>
      </c>
      <c r="B859" s="1">
        <v>2018</v>
      </c>
      <c r="C859" s="1" t="s">
        <v>2505</v>
      </c>
      <c r="D859" s="1" t="s">
        <v>2506</v>
      </c>
      <c r="E859" s="1" t="s">
        <v>2019</v>
      </c>
      <c r="F859" s="1" t="s">
        <v>87</v>
      </c>
      <c r="G859" s="6">
        <v>615564</v>
      </c>
      <c r="H859" t="str">
        <f>IFERROR(VLOOKUP(F859,'LEAID Match'!$A$2:$B$142,2,FALSE),"")</f>
        <v/>
      </c>
    </row>
    <row r="860" spans="1:8" x14ac:dyDescent="0.2">
      <c r="A860" t="str">
        <f t="shared" si="13"/>
        <v/>
      </c>
      <c r="B860" s="1">
        <v>2019</v>
      </c>
      <c r="C860" s="1" t="s">
        <v>2505</v>
      </c>
      <c r="D860" s="1" t="s">
        <v>2506</v>
      </c>
      <c r="E860" s="1" t="s">
        <v>2019</v>
      </c>
      <c r="F860" s="1" t="s">
        <v>87</v>
      </c>
      <c r="G860" s="6">
        <v>667700</v>
      </c>
      <c r="H860" t="str">
        <f>IFERROR(VLOOKUP(F860,'LEAID Match'!$A$2:$B$142,2,FALSE),"")</f>
        <v/>
      </c>
    </row>
    <row r="861" spans="1:8" x14ac:dyDescent="0.2">
      <c r="A861" t="str">
        <f t="shared" si="13"/>
        <v/>
      </c>
      <c r="B861" s="1">
        <v>2020</v>
      </c>
      <c r="C861" s="1" t="s">
        <v>2505</v>
      </c>
      <c r="D861" s="1" t="s">
        <v>2506</v>
      </c>
      <c r="E861" s="1" t="s">
        <v>2019</v>
      </c>
      <c r="F861" s="1" t="s">
        <v>87</v>
      </c>
      <c r="G861" s="6">
        <v>790040</v>
      </c>
      <c r="H861" t="str">
        <f>IFERROR(VLOOKUP(F861,'LEAID Match'!$A$2:$B$142,2,FALSE),"")</f>
        <v/>
      </c>
    </row>
    <row r="862" spans="1:8" x14ac:dyDescent="0.2">
      <c r="A862" t="str">
        <f t="shared" si="13"/>
        <v/>
      </c>
      <c r="B862" s="1">
        <v>2021</v>
      </c>
      <c r="C862" s="1" t="s">
        <v>2505</v>
      </c>
      <c r="D862" s="1" t="s">
        <v>2506</v>
      </c>
      <c r="E862" s="1" t="s">
        <v>2019</v>
      </c>
      <c r="F862" s="1" t="s">
        <v>87</v>
      </c>
      <c r="G862" s="6">
        <v>829878</v>
      </c>
      <c r="H862" t="str">
        <f>IFERROR(VLOOKUP(F862,'LEAID Match'!$A$2:$B$142,2,FALSE),"")</f>
        <v/>
      </c>
    </row>
    <row r="863" spans="1:8" x14ac:dyDescent="0.2">
      <c r="A863" t="str">
        <f t="shared" si="13"/>
        <v/>
      </c>
      <c r="B863" s="1">
        <v>2022</v>
      </c>
      <c r="C863" s="1" t="s">
        <v>2505</v>
      </c>
      <c r="D863" s="1" t="s">
        <v>2506</v>
      </c>
      <c r="E863" s="1" t="s">
        <v>2019</v>
      </c>
      <c r="F863" s="1" t="s">
        <v>87</v>
      </c>
      <c r="G863" s="6">
        <v>789444</v>
      </c>
      <c r="H863" t="str">
        <f>IFERROR(VLOOKUP(F863,'LEAID Match'!$A$2:$B$142,2,FALSE),"")</f>
        <v/>
      </c>
    </row>
    <row r="864" spans="1:8" x14ac:dyDescent="0.2">
      <c r="A864" t="str">
        <f t="shared" si="13"/>
        <v/>
      </c>
      <c r="B864" s="1">
        <v>2023</v>
      </c>
      <c r="C864" s="1" t="s">
        <v>2505</v>
      </c>
      <c r="D864" s="1" t="s">
        <v>2506</v>
      </c>
      <c r="E864" s="1" t="s">
        <v>2019</v>
      </c>
      <c r="F864" s="1" t="s">
        <v>87</v>
      </c>
      <c r="G864" s="6">
        <v>716286</v>
      </c>
      <c r="H864" t="str">
        <f>IFERROR(VLOOKUP(F864,'LEAID Match'!$A$2:$B$142,2,FALSE),"")</f>
        <v/>
      </c>
    </row>
    <row r="865" spans="1:8" x14ac:dyDescent="0.2">
      <c r="A865" t="str">
        <f t="shared" si="13"/>
        <v/>
      </c>
      <c r="B865" s="1">
        <v>2024</v>
      </c>
      <c r="C865" s="1" t="s">
        <v>2505</v>
      </c>
      <c r="D865" s="1" t="s">
        <v>2506</v>
      </c>
      <c r="E865" s="1" t="s">
        <v>2019</v>
      </c>
      <c r="F865" s="1" t="s">
        <v>87</v>
      </c>
      <c r="G865" s="6">
        <v>678318</v>
      </c>
      <c r="H865" t="str">
        <f>IFERROR(VLOOKUP(F865,'LEAID Match'!$A$2:$B$142,2,FALSE),"")</f>
        <v/>
      </c>
    </row>
    <row r="866" spans="1:8" x14ac:dyDescent="0.2">
      <c r="A866" t="str">
        <f t="shared" si="13"/>
        <v/>
      </c>
      <c r="B866" s="1">
        <v>2015</v>
      </c>
      <c r="C866" s="1" t="s">
        <v>2505</v>
      </c>
      <c r="D866" s="1" t="s">
        <v>2506</v>
      </c>
      <c r="E866" s="1" t="s">
        <v>2019</v>
      </c>
      <c r="F866" s="1" t="s">
        <v>927</v>
      </c>
      <c r="G866" s="6">
        <v>18638</v>
      </c>
      <c r="H866" t="str">
        <f>IFERROR(VLOOKUP(F866,'LEAID Match'!$A$2:$B$142,2,FALSE),"")</f>
        <v/>
      </c>
    </row>
    <row r="867" spans="1:8" x14ac:dyDescent="0.2">
      <c r="A867" t="str">
        <f t="shared" si="13"/>
        <v/>
      </c>
      <c r="B867">
        <v>2016</v>
      </c>
      <c r="C867" s="1" t="s">
        <v>2505</v>
      </c>
      <c r="D867" s="1" t="s">
        <v>2506</v>
      </c>
      <c r="E867" s="1" t="s">
        <v>2019</v>
      </c>
      <c r="F867" s="1" t="s">
        <v>927</v>
      </c>
      <c r="G867" s="12">
        <v>22432</v>
      </c>
      <c r="H867" t="str">
        <f>IFERROR(VLOOKUP(F867,'LEAID Match'!$A$2:$B$142,2,FALSE),"")</f>
        <v/>
      </c>
    </row>
    <row r="868" spans="1:8" x14ac:dyDescent="0.2">
      <c r="A868" t="str">
        <f t="shared" si="13"/>
        <v/>
      </c>
      <c r="B868" s="1">
        <v>2017</v>
      </c>
      <c r="C868" s="1" t="s">
        <v>2505</v>
      </c>
      <c r="D868" s="1" t="s">
        <v>2506</v>
      </c>
      <c r="E868" s="1" t="s">
        <v>2019</v>
      </c>
      <c r="F868" s="1" t="s">
        <v>927</v>
      </c>
      <c r="G868" s="47">
        <v>19561</v>
      </c>
      <c r="H868" t="str">
        <f>IFERROR(VLOOKUP(F868,'LEAID Match'!$A$2:$B$142,2,FALSE),"")</f>
        <v/>
      </c>
    </row>
    <row r="869" spans="1:8" x14ac:dyDescent="0.2">
      <c r="A869" t="str">
        <f t="shared" si="13"/>
        <v/>
      </c>
      <c r="B869" s="1">
        <v>2018</v>
      </c>
      <c r="C869" s="1" t="s">
        <v>2505</v>
      </c>
      <c r="D869" s="1" t="s">
        <v>2506</v>
      </c>
      <c r="E869" s="1" t="s">
        <v>2019</v>
      </c>
      <c r="F869" s="1" t="s">
        <v>927</v>
      </c>
      <c r="G869" s="6">
        <v>8449</v>
      </c>
      <c r="H869" t="str">
        <f>IFERROR(VLOOKUP(F869,'LEAID Match'!$A$2:$B$142,2,FALSE),"")</f>
        <v/>
      </c>
    </row>
    <row r="870" spans="1:8" x14ac:dyDescent="0.2">
      <c r="A870" t="str">
        <f t="shared" si="13"/>
        <v/>
      </c>
      <c r="B870" s="1">
        <v>2019</v>
      </c>
      <c r="C870" s="1" t="s">
        <v>2505</v>
      </c>
      <c r="D870" s="1" t="s">
        <v>2506</v>
      </c>
      <c r="E870" s="1" t="s">
        <v>2019</v>
      </c>
      <c r="F870" s="1" t="s">
        <v>927</v>
      </c>
      <c r="G870" s="6">
        <v>5557</v>
      </c>
      <c r="H870" t="str">
        <f>IFERROR(VLOOKUP(F870,'LEAID Match'!$A$2:$B$142,2,FALSE),"")</f>
        <v/>
      </c>
    </row>
    <row r="871" spans="1:8" x14ac:dyDescent="0.2">
      <c r="A871" t="str">
        <f t="shared" si="13"/>
        <v/>
      </c>
      <c r="B871" s="1">
        <v>2015</v>
      </c>
      <c r="C871" s="1" t="s">
        <v>2505</v>
      </c>
      <c r="D871" s="1" t="s">
        <v>2506</v>
      </c>
      <c r="E871" s="1" t="s">
        <v>2019</v>
      </c>
      <c r="F871" s="1" t="s">
        <v>88</v>
      </c>
      <c r="G871" s="6">
        <v>41136</v>
      </c>
      <c r="H871" t="str">
        <f>IFERROR(VLOOKUP(F871,'LEAID Match'!$A$2:$B$142,2,FALSE),"")</f>
        <v/>
      </c>
    </row>
    <row r="872" spans="1:8" x14ac:dyDescent="0.2">
      <c r="A872" t="str">
        <f t="shared" si="13"/>
        <v/>
      </c>
      <c r="B872">
        <v>2016</v>
      </c>
      <c r="C872" s="1" t="s">
        <v>2505</v>
      </c>
      <c r="D872" s="1" t="s">
        <v>2506</v>
      </c>
      <c r="E872" s="1" t="s">
        <v>2019</v>
      </c>
      <c r="F872" s="1" t="s">
        <v>88</v>
      </c>
      <c r="G872" s="12">
        <v>40049</v>
      </c>
      <c r="H872" t="str">
        <f>IFERROR(VLOOKUP(F872,'LEAID Match'!$A$2:$B$142,2,FALSE),"")</f>
        <v/>
      </c>
    </row>
    <row r="873" spans="1:8" x14ac:dyDescent="0.2">
      <c r="A873" t="str">
        <f t="shared" si="13"/>
        <v/>
      </c>
      <c r="B873" s="1">
        <v>2017</v>
      </c>
      <c r="C873" s="1" t="s">
        <v>2505</v>
      </c>
      <c r="D873" s="1" t="s">
        <v>2506</v>
      </c>
      <c r="E873" s="1" t="s">
        <v>2019</v>
      </c>
      <c r="F873" s="1" t="s">
        <v>88</v>
      </c>
      <c r="G873" s="47">
        <v>39236</v>
      </c>
      <c r="H873" t="str">
        <f>IFERROR(VLOOKUP(F873,'LEAID Match'!$A$2:$B$142,2,FALSE),"")</f>
        <v/>
      </c>
    </row>
    <row r="874" spans="1:8" x14ac:dyDescent="0.2">
      <c r="A874" t="str">
        <f t="shared" si="13"/>
        <v/>
      </c>
      <c r="B874" s="1">
        <v>2018</v>
      </c>
      <c r="C874" s="1" t="s">
        <v>2505</v>
      </c>
      <c r="D874" s="1" t="s">
        <v>2506</v>
      </c>
      <c r="E874" s="1" t="s">
        <v>2019</v>
      </c>
      <c r="F874" s="1" t="s">
        <v>88</v>
      </c>
      <c r="G874" s="6">
        <v>40492</v>
      </c>
      <c r="H874" t="str">
        <f>IFERROR(VLOOKUP(F874,'LEAID Match'!$A$2:$B$142,2,FALSE),"")</f>
        <v/>
      </c>
    </row>
    <row r="875" spans="1:8" x14ac:dyDescent="0.2">
      <c r="A875" t="str">
        <f t="shared" si="13"/>
        <v/>
      </c>
      <c r="B875" s="1">
        <v>2019</v>
      </c>
      <c r="C875" s="1" t="s">
        <v>2505</v>
      </c>
      <c r="D875" s="1" t="s">
        <v>2506</v>
      </c>
      <c r="E875" s="1" t="s">
        <v>2019</v>
      </c>
      <c r="F875" s="1" t="s">
        <v>88</v>
      </c>
      <c r="G875" s="6">
        <v>38840</v>
      </c>
      <c r="H875" t="str">
        <f>IFERROR(VLOOKUP(F875,'LEAID Match'!$A$2:$B$142,2,FALSE),"")</f>
        <v/>
      </c>
    </row>
    <row r="876" spans="1:8" x14ac:dyDescent="0.2">
      <c r="A876" t="str">
        <f t="shared" si="13"/>
        <v/>
      </c>
      <c r="B876" s="1">
        <v>2020</v>
      </c>
      <c r="C876" s="1" t="s">
        <v>2505</v>
      </c>
      <c r="D876" s="1" t="s">
        <v>2506</v>
      </c>
      <c r="E876" s="1" t="s">
        <v>2019</v>
      </c>
      <c r="F876" s="1" t="s">
        <v>88</v>
      </c>
      <c r="G876" s="6">
        <v>39650</v>
      </c>
      <c r="H876" t="str">
        <f>IFERROR(VLOOKUP(F876,'LEAID Match'!$A$2:$B$142,2,FALSE),"")</f>
        <v/>
      </c>
    </row>
    <row r="877" spans="1:8" x14ac:dyDescent="0.2">
      <c r="A877" t="str">
        <f t="shared" si="13"/>
        <v/>
      </c>
      <c r="B877" s="1">
        <v>2021</v>
      </c>
      <c r="C877" s="1" t="s">
        <v>2505</v>
      </c>
      <c r="D877" s="1" t="s">
        <v>2506</v>
      </c>
      <c r="E877" s="1" t="s">
        <v>2019</v>
      </c>
      <c r="F877" s="1" t="s">
        <v>88</v>
      </c>
      <c r="G877" s="6">
        <v>34694</v>
      </c>
      <c r="H877" t="str">
        <f>IFERROR(VLOOKUP(F877,'LEAID Match'!$A$2:$B$142,2,FALSE),"")</f>
        <v/>
      </c>
    </row>
    <row r="878" spans="1:8" x14ac:dyDescent="0.2">
      <c r="A878" t="str">
        <f t="shared" si="13"/>
        <v/>
      </c>
      <c r="B878" s="1">
        <v>2022</v>
      </c>
      <c r="C878" s="1" t="s">
        <v>2505</v>
      </c>
      <c r="D878" s="1" t="s">
        <v>2506</v>
      </c>
      <c r="E878" s="1" t="s">
        <v>2019</v>
      </c>
      <c r="F878" s="1" t="s">
        <v>88</v>
      </c>
      <c r="G878" s="6">
        <v>23300</v>
      </c>
      <c r="H878" t="str">
        <f>IFERROR(VLOOKUP(F878,'LEAID Match'!$A$2:$B$142,2,FALSE),"")</f>
        <v/>
      </c>
    </row>
    <row r="879" spans="1:8" x14ac:dyDescent="0.2">
      <c r="A879" t="str">
        <f t="shared" si="13"/>
        <v/>
      </c>
      <c r="B879" s="1">
        <v>2023</v>
      </c>
      <c r="C879" s="1" t="s">
        <v>2505</v>
      </c>
      <c r="D879" s="1" t="s">
        <v>2506</v>
      </c>
      <c r="E879" s="1" t="s">
        <v>2019</v>
      </c>
      <c r="F879" s="1" t="s">
        <v>88</v>
      </c>
      <c r="G879" s="6">
        <v>27053</v>
      </c>
      <c r="H879" t="str">
        <f>IFERROR(VLOOKUP(F879,'LEAID Match'!$A$2:$B$142,2,FALSE),"")</f>
        <v/>
      </c>
    </row>
    <row r="880" spans="1:8" x14ac:dyDescent="0.2">
      <c r="A880" t="str">
        <f t="shared" si="13"/>
        <v/>
      </c>
      <c r="B880" s="1">
        <v>2024</v>
      </c>
      <c r="C880" s="1" t="s">
        <v>2505</v>
      </c>
      <c r="D880" s="1" t="s">
        <v>2506</v>
      </c>
      <c r="E880" s="1" t="s">
        <v>2019</v>
      </c>
      <c r="F880" s="1" t="s">
        <v>88</v>
      </c>
      <c r="G880" s="6">
        <v>29224</v>
      </c>
      <c r="H880" t="str">
        <f>IFERROR(VLOOKUP(F880,'LEAID Match'!$A$2:$B$142,2,FALSE),"")</f>
        <v/>
      </c>
    </row>
    <row r="881" spans="1:8" x14ac:dyDescent="0.2">
      <c r="A881">
        <f t="shared" si="13"/>
        <v>2800930</v>
      </c>
      <c r="B881" s="1">
        <v>2015</v>
      </c>
      <c r="C881" s="1" t="s">
        <v>2505</v>
      </c>
      <c r="D881" s="1" t="s">
        <v>2506</v>
      </c>
      <c r="E881" s="1" t="s">
        <v>2019</v>
      </c>
      <c r="F881" s="1" t="s">
        <v>89</v>
      </c>
      <c r="G881" s="6">
        <v>737913</v>
      </c>
      <c r="H881">
        <f>IFERROR(VLOOKUP(F881,'LEAID Match'!$A$2:$B$142,2,FALSE),"")</f>
        <v>2800930</v>
      </c>
    </row>
    <row r="882" spans="1:8" x14ac:dyDescent="0.2">
      <c r="A882">
        <f t="shared" si="13"/>
        <v>2800930</v>
      </c>
      <c r="B882">
        <v>2016</v>
      </c>
      <c r="C882" s="1" t="s">
        <v>2505</v>
      </c>
      <c r="D882" s="1" t="s">
        <v>2506</v>
      </c>
      <c r="E882" s="1" t="s">
        <v>2019</v>
      </c>
      <c r="F882" s="1" t="s">
        <v>89</v>
      </c>
      <c r="G882" s="12">
        <v>839508</v>
      </c>
      <c r="H882">
        <f>IFERROR(VLOOKUP(F882,'LEAID Match'!$A$2:$B$142,2,FALSE),"")</f>
        <v>2800930</v>
      </c>
    </row>
    <row r="883" spans="1:8" x14ac:dyDescent="0.2">
      <c r="A883">
        <f t="shared" si="13"/>
        <v>2800930</v>
      </c>
      <c r="B883" s="1">
        <v>2017</v>
      </c>
      <c r="C883" s="1" t="s">
        <v>2505</v>
      </c>
      <c r="D883" s="1" t="s">
        <v>2506</v>
      </c>
      <c r="E883" s="1" t="s">
        <v>2019</v>
      </c>
      <c r="F883" s="1" t="s">
        <v>89</v>
      </c>
      <c r="G883" s="47">
        <v>873123</v>
      </c>
      <c r="H883">
        <f>IFERROR(VLOOKUP(F883,'LEAID Match'!$A$2:$B$142,2,FALSE),"")</f>
        <v>2800930</v>
      </c>
    </row>
    <row r="884" spans="1:8" x14ac:dyDescent="0.2">
      <c r="A884">
        <f t="shared" si="13"/>
        <v>2800930</v>
      </c>
      <c r="B884" s="1">
        <v>2018</v>
      </c>
      <c r="C884" s="1" t="s">
        <v>2505</v>
      </c>
      <c r="D884" s="1" t="s">
        <v>2506</v>
      </c>
      <c r="E884" s="1" t="s">
        <v>2019</v>
      </c>
      <c r="F884" s="1" t="s">
        <v>89</v>
      </c>
      <c r="G884" s="6">
        <v>917169</v>
      </c>
      <c r="H884">
        <f>IFERROR(VLOOKUP(F884,'LEAID Match'!$A$2:$B$142,2,FALSE),"")</f>
        <v>2800930</v>
      </c>
    </row>
    <row r="885" spans="1:8" x14ac:dyDescent="0.2">
      <c r="A885">
        <f t="shared" si="13"/>
        <v>2800930</v>
      </c>
      <c r="B885" s="1">
        <v>2019</v>
      </c>
      <c r="C885" s="1" t="s">
        <v>2505</v>
      </c>
      <c r="D885" s="1" t="s">
        <v>2506</v>
      </c>
      <c r="E885" s="1" t="s">
        <v>2019</v>
      </c>
      <c r="F885" s="1" t="s">
        <v>89</v>
      </c>
      <c r="G885" s="6">
        <v>865947</v>
      </c>
      <c r="H885">
        <f>IFERROR(VLOOKUP(F885,'LEAID Match'!$A$2:$B$142,2,FALSE),"")</f>
        <v>2800930</v>
      </c>
    </row>
    <row r="886" spans="1:8" x14ac:dyDescent="0.2">
      <c r="A886">
        <f t="shared" si="13"/>
        <v>2800930</v>
      </c>
      <c r="B886" s="1">
        <v>2020</v>
      </c>
      <c r="C886" s="1" t="s">
        <v>2505</v>
      </c>
      <c r="D886" s="1" t="s">
        <v>2506</v>
      </c>
      <c r="E886" s="1" t="s">
        <v>2019</v>
      </c>
      <c r="F886" s="1" t="s">
        <v>89</v>
      </c>
      <c r="G886" s="6">
        <v>956578</v>
      </c>
      <c r="H886">
        <f>IFERROR(VLOOKUP(F886,'LEAID Match'!$A$2:$B$142,2,FALSE),"")</f>
        <v>2800930</v>
      </c>
    </row>
    <row r="887" spans="1:8" x14ac:dyDescent="0.2">
      <c r="A887">
        <f t="shared" si="13"/>
        <v>2800930</v>
      </c>
      <c r="B887" s="1">
        <v>2021</v>
      </c>
      <c r="C887" s="1" t="s">
        <v>2505</v>
      </c>
      <c r="D887" s="1" t="s">
        <v>2506</v>
      </c>
      <c r="E887" s="1" t="s">
        <v>2019</v>
      </c>
      <c r="F887" s="1" t="s">
        <v>89</v>
      </c>
      <c r="G887" s="6">
        <v>876154</v>
      </c>
      <c r="H887">
        <f>IFERROR(VLOOKUP(F887,'LEAID Match'!$A$2:$B$142,2,FALSE),"")</f>
        <v>2800930</v>
      </c>
    </row>
    <row r="888" spans="1:8" x14ac:dyDescent="0.2">
      <c r="A888">
        <f t="shared" si="13"/>
        <v>2800930</v>
      </c>
      <c r="B888" s="1">
        <v>2022</v>
      </c>
      <c r="C888" s="1" t="s">
        <v>2505</v>
      </c>
      <c r="D888" s="1" t="s">
        <v>2506</v>
      </c>
      <c r="E888" s="1" t="s">
        <v>2019</v>
      </c>
      <c r="F888" s="1" t="s">
        <v>89</v>
      </c>
      <c r="G888" s="6">
        <v>960471</v>
      </c>
      <c r="H888">
        <f>IFERROR(VLOOKUP(F888,'LEAID Match'!$A$2:$B$142,2,FALSE),"")</f>
        <v>2800930</v>
      </c>
    </row>
    <row r="889" spans="1:8" x14ac:dyDescent="0.2">
      <c r="A889">
        <f t="shared" si="13"/>
        <v>2800930</v>
      </c>
      <c r="B889" s="1">
        <v>2023</v>
      </c>
      <c r="C889" s="1" t="s">
        <v>2505</v>
      </c>
      <c r="D889" s="1" t="s">
        <v>2506</v>
      </c>
      <c r="E889" s="1" t="s">
        <v>2019</v>
      </c>
      <c r="F889" s="1" t="s">
        <v>89</v>
      </c>
      <c r="G889" s="6">
        <v>1013555</v>
      </c>
      <c r="H889">
        <f>IFERROR(VLOOKUP(F889,'LEAID Match'!$A$2:$B$142,2,FALSE),"")</f>
        <v>2800930</v>
      </c>
    </row>
    <row r="890" spans="1:8" x14ac:dyDescent="0.2">
      <c r="A890">
        <f t="shared" si="13"/>
        <v>2800930</v>
      </c>
      <c r="B890" s="1">
        <v>2024</v>
      </c>
      <c r="C890" s="1" t="s">
        <v>2505</v>
      </c>
      <c r="D890" s="1" t="s">
        <v>2506</v>
      </c>
      <c r="E890" s="1" t="s">
        <v>2019</v>
      </c>
      <c r="F890" s="1" t="s">
        <v>89</v>
      </c>
      <c r="G890" s="6">
        <v>1021997</v>
      </c>
      <c r="H890">
        <f>IFERROR(VLOOKUP(F890,'LEAID Match'!$A$2:$B$142,2,FALSE),"")</f>
        <v>2800930</v>
      </c>
    </row>
    <row r="891" spans="1:8" x14ac:dyDescent="0.2">
      <c r="A891" t="str">
        <f t="shared" si="13"/>
        <v/>
      </c>
      <c r="B891" s="1">
        <v>2015</v>
      </c>
      <c r="C891" s="1" t="s">
        <v>2505</v>
      </c>
      <c r="D891" s="1" t="s">
        <v>2506</v>
      </c>
      <c r="E891" s="1" t="s">
        <v>2019</v>
      </c>
      <c r="F891" s="1" t="s">
        <v>90</v>
      </c>
      <c r="G891" s="6">
        <v>572074</v>
      </c>
      <c r="H891" t="str">
        <f>IFERROR(VLOOKUP(F891,'LEAID Match'!$A$2:$B$142,2,FALSE),"")</f>
        <v/>
      </c>
    </row>
    <row r="892" spans="1:8" x14ac:dyDescent="0.2">
      <c r="A892" t="str">
        <f t="shared" si="13"/>
        <v/>
      </c>
      <c r="B892">
        <v>2016</v>
      </c>
      <c r="C892" s="1" t="s">
        <v>2505</v>
      </c>
      <c r="D892" s="1" t="s">
        <v>2506</v>
      </c>
      <c r="E892" s="1" t="s">
        <v>2019</v>
      </c>
      <c r="F892" s="1" t="s">
        <v>90</v>
      </c>
      <c r="G892" s="12">
        <v>509107</v>
      </c>
      <c r="H892" t="str">
        <f>IFERROR(VLOOKUP(F892,'LEAID Match'!$A$2:$B$142,2,FALSE),"")</f>
        <v/>
      </c>
    </row>
    <row r="893" spans="1:8" x14ac:dyDescent="0.2">
      <c r="A893" t="str">
        <f t="shared" si="13"/>
        <v/>
      </c>
      <c r="B893" s="1">
        <v>2017</v>
      </c>
      <c r="C893" s="1" t="s">
        <v>2505</v>
      </c>
      <c r="D893" s="1" t="s">
        <v>2506</v>
      </c>
      <c r="E893" s="1" t="s">
        <v>2019</v>
      </c>
      <c r="F893" s="1" t="s">
        <v>90</v>
      </c>
      <c r="G893" s="47">
        <v>551675</v>
      </c>
      <c r="H893" t="str">
        <f>IFERROR(VLOOKUP(F893,'LEAID Match'!$A$2:$B$142,2,FALSE),"")</f>
        <v/>
      </c>
    </row>
    <row r="894" spans="1:8" x14ac:dyDescent="0.2">
      <c r="A894" t="str">
        <f t="shared" si="13"/>
        <v/>
      </c>
      <c r="B894" s="1">
        <v>2018</v>
      </c>
      <c r="C894" s="1" t="s">
        <v>2505</v>
      </c>
      <c r="D894" s="1" t="s">
        <v>2506</v>
      </c>
      <c r="E894" s="1" t="s">
        <v>2019</v>
      </c>
      <c r="F894" s="1" t="s">
        <v>90</v>
      </c>
      <c r="G894" s="6">
        <v>543839</v>
      </c>
      <c r="H894" t="str">
        <f>IFERROR(VLOOKUP(F894,'LEAID Match'!$A$2:$B$142,2,FALSE),"")</f>
        <v/>
      </c>
    </row>
    <row r="895" spans="1:8" x14ac:dyDescent="0.2">
      <c r="A895" t="str">
        <f t="shared" si="13"/>
        <v/>
      </c>
      <c r="B895" s="1">
        <v>2019</v>
      </c>
      <c r="C895" s="1" t="s">
        <v>2505</v>
      </c>
      <c r="D895" s="1" t="s">
        <v>2506</v>
      </c>
      <c r="E895" s="1" t="s">
        <v>2019</v>
      </c>
      <c r="F895" s="1" t="s">
        <v>90</v>
      </c>
      <c r="G895" s="6">
        <v>568239</v>
      </c>
      <c r="H895" t="str">
        <f>IFERROR(VLOOKUP(F895,'LEAID Match'!$A$2:$B$142,2,FALSE),"")</f>
        <v/>
      </c>
    </row>
    <row r="896" spans="1:8" x14ac:dyDescent="0.2">
      <c r="A896" t="str">
        <f t="shared" si="13"/>
        <v/>
      </c>
      <c r="B896" s="1">
        <v>2020</v>
      </c>
      <c r="C896" s="1" t="s">
        <v>2505</v>
      </c>
      <c r="D896" s="1" t="s">
        <v>2506</v>
      </c>
      <c r="E896" s="1" t="s">
        <v>2019</v>
      </c>
      <c r="F896" s="1" t="s">
        <v>90</v>
      </c>
      <c r="G896" s="6">
        <v>640723</v>
      </c>
      <c r="H896" t="str">
        <f>IFERROR(VLOOKUP(F896,'LEAID Match'!$A$2:$B$142,2,FALSE),"")</f>
        <v/>
      </c>
    </row>
    <row r="897" spans="1:8" x14ac:dyDescent="0.2">
      <c r="A897" t="str">
        <f t="shared" si="13"/>
        <v/>
      </c>
      <c r="B897" s="1">
        <v>2021</v>
      </c>
      <c r="C897" s="1" t="s">
        <v>2505</v>
      </c>
      <c r="D897" s="1" t="s">
        <v>2506</v>
      </c>
      <c r="E897" s="1" t="s">
        <v>2019</v>
      </c>
      <c r="F897" s="1" t="s">
        <v>90</v>
      </c>
      <c r="G897" s="6">
        <v>669575</v>
      </c>
      <c r="H897" t="str">
        <f>IFERROR(VLOOKUP(F897,'LEAID Match'!$A$2:$B$142,2,FALSE),"")</f>
        <v/>
      </c>
    </row>
    <row r="898" spans="1:8" x14ac:dyDescent="0.2">
      <c r="A898" t="str">
        <f t="shared" si="13"/>
        <v/>
      </c>
      <c r="B898" s="1">
        <v>2022</v>
      </c>
      <c r="C898" s="1" t="s">
        <v>2505</v>
      </c>
      <c r="D898" s="1" t="s">
        <v>2506</v>
      </c>
      <c r="E898" s="1" t="s">
        <v>2019</v>
      </c>
      <c r="F898" s="1" t="s">
        <v>90</v>
      </c>
      <c r="G898" s="6">
        <v>704390</v>
      </c>
      <c r="H898" t="str">
        <f>IFERROR(VLOOKUP(F898,'LEAID Match'!$A$2:$B$142,2,FALSE),"")</f>
        <v/>
      </c>
    </row>
    <row r="899" spans="1:8" x14ac:dyDescent="0.2">
      <c r="A899" t="str">
        <f t="shared" ref="A899:A962" si="14">H899</f>
        <v/>
      </c>
      <c r="B899" s="1">
        <v>2023</v>
      </c>
      <c r="C899" s="1" t="s">
        <v>2505</v>
      </c>
      <c r="D899" s="1" t="s">
        <v>2506</v>
      </c>
      <c r="E899" s="1" t="s">
        <v>2019</v>
      </c>
      <c r="F899" s="1" t="s">
        <v>90</v>
      </c>
      <c r="G899" s="6">
        <v>751924</v>
      </c>
      <c r="H899" t="str">
        <f>IFERROR(VLOOKUP(F899,'LEAID Match'!$A$2:$B$142,2,FALSE),"")</f>
        <v/>
      </c>
    </row>
    <row r="900" spans="1:8" x14ac:dyDescent="0.2">
      <c r="A900" t="str">
        <f t="shared" si="14"/>
        <v/>
      </c>
      <c r="B900" s="1">
        <v>2024</v>
      </c>
      <c r="C900" s="1" t="s">
        <v>2505</v>
      </c>
      <c r="D900" s="1" t="s">
        <v>2506</v>
      </c>
      <c r="E900" s="1" t="s">
        <v>2019</v>
      </c>
      <c r="F900" s="1" t="s">
        <v>90</v>
      </c>
      <c r="G900" s="6">
        <v>774903</v>
      </c>
      <c r="H900" t="str">
        <f>IFERROR(VLOOKUP(F900,'LEAID Match'!$A$2:$B$142,2,FALSE),"")</f>
        <v/>
      </c>
    </row>
    <row r="901" spans="1:8" x14ac:dyDescent="0.2">
      <c r="A901" t="str">
        <f t="shared" si="14"/>
        <v/>
      </c>
      <c r="B901" s="1">
        <v>2015</v>
      </c>
      <c r="C901" s="1" t="s">
        <v>2505</v>
      </c>
      <c r="D901" s="1" t="s">
        <v>2506</v>
      </c>
      <c r="E901" s="1" t="s">
        <v>2019</v>
      </c>
      <c r="F901" s="1" t="s">
        <v>91</v>
      </c>
      <c r="G901" s="6">
        <v>9549</v>
      </c>
      <c r="H901" t="str">
        <f>IFERROR(VLOOKUP(F901,'LEAID Match'!$A$2:$B$142,2,FALSE),"")</f>
        <v/>
      </c>
    </row>
    <row r="902" spans="1:8" x14ac:dyDescent="0.2">
      <c r="A902" t="str">
        <f t="shared" si="14"/>
        <v/>
      </c>
      <c r="B902">
        <v>2016</v>
      </c>
      <c r="C902" s="1" t="s">
        <v>2505</v>
      </c>
      <c r="D902" s="1" t="s">
        <v>2506</v>
      </c>
      <c r="E902" s="1" t="s">
        <v>2019</v>
      </c>
      <c r="F902" s="1" t="s">
        <v>91</v>
      </c>
      <c r="G902" s="12">
        <v>8425</v>
      </c>
      <c r="H902" t="str">
        <f>IFERROR(VLOOKUP(F902,'LEAID Match'!$A$2:$B$142,2,FALSE),"")</f>
        <v/>
      </c>
    </row>
    <row r="903" spans="1:8" x14ac:dyDescent="0.2">
      <c r="A903" t="str">
        <f t="shared" si="14"/>
        <v/>
      </c>
      <c r="B903" s="1">
        <v>2017</v>
      </c>
      <c r="C903" s="1" t="s">
        <v>2505</v>
      </c>
      <c r="D903" s="1" t="s">
        <v>2506</v>
      </c>
      <c r="E903" s="1" t="s">
        <v>2019</v>
      </c>
      <c r="F903" s="1" t="s">
        <v>91</v>
      </c>
      <c r="G903" s="47">
        <v>9255</v>
      </c>
      <c r="H903" t="str">
        <f>IFERROR(VLOOKUP(F903,'LEAID Match'!$A$2:$B$142,2,FALSE),"")</f>
        <v/>
      </c>
    </row>
    <row r="904" spans="1:8" x14ac:dyDescent="0.2">
      <c r="A904" t="str">
        <f t="shared" si="14"/>
        <v/>
      </c>
      <c r="B904" s="1">
        <v>2018</v>
      </c>
      <c r="C904" s="1" t="s">
        <v>2505</v>
      </c>
      <c r="D904" s="1" t="s">
        <v>2506</v>
      </c>
      <c r="E904" s="1" t="s">
        <v>2019</v>
      </c>
      <c r="F904" s="1" t="s">
        <v>91</v>
      </c>
      <c r="G904" s="6">
        <v>9295</v>
      </c>
      <c r="H904" t="str">
        <f>IFERROR(VLOOKUP(F904,'LEAID Match'!$A$2:$B$142,2,FALSE),"")</f>
        <v/>
      </c>
    </row>
    <row r="905" spans="1:8" x14ac:dyDescent="0.2">
      <c r="A905" t="str">
        <f t="shared" si="14"/>
        <v/>
      </c>
      <c r="B905" s="1">
        <v>2019</v>
      </c>
      <c r="C905" s="1" t="s">
        <v>2505</v>
      </c>
      <c r="D905" s="1" t="s">
        <v>2506</v>
      </c>
      <c r="E905" s="1" t="s">
        <v>2019</v>
      </c>
      <c r="F905" s="1" t="s">
        <v>91</v>
      </c>
      <c r="G905" s="6">
        <v>8858</v>
      </c>
      <c r="H905" t="str">
        <f>IFERROR(VLOOKUP(F905,'LEAID Match'!$A$2:$B$142,2,FALSE),"")</f>
        <v/>
      </c>
    </row>
    <row r="906" spans="1:8" x14ac:dyDescent="0.2">
      <c r="A906" t="str">
        <f t="shared" si="14"/>
        <v/>
      </c>
      <c r="B906" s="1">
        <v>2020</v>
      </c>
      <c r="C906" s="1" t="s">
        <v>2505</v>
      </c>
      <c r="D906" s="1" t="s">
        <v>2506</v>
      </c>
      <c r="E906" s="1" t="s">
        <v>2019</v>
      </c>
      <c r="F906" s="1" t="s">
        <v>91</v>
      </c>
      <c r="G906" s="6">
        <v>11091</v>
      </c>
      <c r="H906" t="str">
        <f>IFERROR(VLOOKUP(F906,'LEAID Match'!$A$2:$B$142,2,FALSE),"")</f>
        <v/>
      </c>
    </row>
    <row r="907" spans="1:8" x14ac:dyDescent="0.2">
      <c r="A907" t="str">
        <f t="shared" si="14"/>
        <v/>
      </c>
      <c r="B907" s="1">
        <v>2021</v>
      </c>
      <c r="C907" s="1" t="s">
        <v>2505</v>
      </c>
      <c r="D907" s="1" t="s">
        <v>2506</v>
      </c>
      <c r="E907" s="1" t="s">
        <v>2019</v>
      </c>
      <c r="F907" s="1" t="s">
        <v>91</v>
      </c>
      <c r="G907" s="6">
        <v>10003</v>
      </c>
      <c r="H907" t="str">
        <f>IFERROR(VLOOKUP(F907,'LEAID Match'!$A$2:$B$142,2,FALSE),"")</f>
        <v/>
      </c>
    </row>
    <row r="908" spans="1:8" x14ac:dyDescent="0.2">
      <c r="A908" t="str">
        <f t="shared" si="14"/>
        <v/>
      </c>
      <c r="B908" s="1">
        <v>2022</v>
      </c>
      <c r="C908" s="1" t="s">
        <v>2505</v>
      </c>
      <c r="D908" s="1" t="s">
        <v>2506</v>
      </c>
      <c r="E908" s="1" t="s">
        <v>2019</v>
      </c>
      <c r="F908" s="1" t="s">
        <v>91</v>
      </c>
      <c r="G908" s="6">
        <v>10885</v>
      </c>
      <c r="H908" t="str">
        <f>IFERROR(VLOOKUP(F908,'LEAID Match'!$A$2:$B$142,2,FALSE),"")</f>
        <v/>
      </c>
    </row>
    <row r="909" spans="1:8" x14ac:dyDescent="0.2">
      <c r="A909" t="str">
        <f t="shared" si="14"/>
        <v/>
      </c>
      <c r="B909" s="1">
        <v>2023</v>
      </c>
      <c r="C909" s="1" t="s">
        <v>2505</v>
      </c>
      <c r="D909" s="1" t="s">
        <v>2506</v>
      </c>
      <c r="E909" s="1" t="s">
        <v>2019</v>
      </c>
      <c r="F909" s="1" t="s">
        <v>91</v>
      </c>
      <c r="G909" s="6">
        <v>7466</v>
      </c>
      <c r="H909" t="str">
        <f>IFERROR(VLOOKUP(F909,'LEAID Match'!$A$2:$B$142,2,FALSE),"")</f>
        <v/>
      </c>
    </row>
    <row r="910" spans="1:8" x14ac:dyDescent="0.2">
      <c r="A910" t="str">
        <f t="shared" si="14"/>
        <v/>
      </c>
      <c r="B910" s="1">
        <v>2024</v>
      </c>
      <c r="C910" s="1" t="s">
        <v>2505</v>
      </c>
      <c r="D910" s="1" t="s">
        <v>2506</v>
      </c>
      <c r="E910" s="1" t="s">
        <v>2019</v>
      </c>
      <c r="F910" s="1" t="s">
        <v>91</v>
      </c>
      <c r="G910" s="6">
        <v>15349</v>
      </c>
      <c r="H910" t="str">
        <f>IFERROR(VLOOKUP(F910,'LEAID Match'!$A$2:$B$142,2,FALSE),"")</f>
        <v/>
      </c>
    </row>
    <row r="911" spans="1:8" x14ac:dyDescent="0.2">
      <c r="A911" t="str">
        <f t="shared" si="14"/>
        <v/>
      </c>
      <c r="B911" s="1">
        <v>2015</v>
      </c>
      <c r="C911" s="1" t="s">
        <v>2505</v>
      </c>
      <c r="D911" s="1" t="s">
        <v>2506</v>
      </c>
      <c r="E911" s="1" t="s">
        <v>2019</v>
      </c>
      <c r="F911" s="1" t="s">
        <v>92</v>
      </c>
      <c r="G911" s="6">
        <v>256981</v>
      </c>
      <c r="H911" t="str">
        <f>IFERROR(VLOOKUP(F911,'LEAID Match'!$A$2:$B$142,2,FALSE),"")</f>
        <v/>
      </c>
    </row>
    <row r="912" spans="1:8" x14ac:dyDescent="0.2">
      <c r="A912" t="str">
        <f t="shared" si="14"/>
        <v/>
      </c>
      <c r="B912">
        <v>2016</v>
      </c>
      <c r="C912" s="1" t="s">
        <v>2505</v>
      </c>
      <c r="D912" s="1" t="s">
        <v>2506</v>
      </c>
      <c r="E912" s="1" t="s">
        <v>2019</v>
      </c>
      <c r="F912" s="1" t="s">
        <v>92</v>
      </c>
      <c r="G912" s="12">
        <v>273923</v>
      </c>
      <c r="H912" t="str">
        <f>IFERROR(VLOOKUP(F912,'LEAID Match'!$A$2:$B$142,2,FALSE),"")</f>
        <v/>
      </c>
    </row>
    <row r="913" spans="1:8" x14ac:dyDescent="0.2">
      <c r="A913" t="str">
        <f t="shared" si="14"/>
        <v/>
      </c>
      <c r="B913" s="1">
        <v>2017</v>
      </c>
      <c r="C913" s="1" t="s">
        <v>2505</v>
      </c>
      <c r="D913" s="1" t="s">
        <v>2506</v>
      </c>
      <c r="E913" s="1" t="s">
        <v>2019</v>
      </c>
      <c r="F913" s="1" t="s">
        <v>92</v>
      </c>
      <c r="G913" s="47">
        <v>309152</v>
      </c>
      <c r="H913" t="str">
        <f>IFERROR(VLOOKUP(F913,'LEAID Match'!$A$2:$B$142,2,FALSE),"")</f>
        <v/>
      </c>
    </row>
    <row r="914" spans="1:8" x14ac:dyDescent="0.2">
      <c r="A914" t="str">
        <f t="shared" si="14"/>
        <v/>
      </c>
      <c r="B914" s="1">
        <v>2018</v>
      </c>
      <c r="C914" s="1" t="s">
        <v>2505</v>
      </c>
      <c r="D914" s="1" t="s">
        <v>2506</v>
      </c>
      <c r="E914" s="1" t="s">
        <v>2019</v>
      </c>
      <c r="F914" s="1" t="s">
        <v>92</v>
      </c>
      <c r="G914" s="6">
        <v>291856</v>
      </c>
      <c r="H914" t="str">
        <f>IFERROR(VLOOKUP(F914,'LEAID Match'!$A$2:$B$142,2,FALSE),"")</f>
        <v/>
      </c>
    </row>
    <row r="915" spans="1:8" x14ac:dyDescent="0.2">
      <c r="A915" t="str">
        <f t="shared" si="14"/>
        <v/>
      </c>
      <c r="B915" s="1">
        <v>2019</v>
      </c>
      <c r="C915" s="1" t="s">
        <v>2505</v>
      </c>
      <c r="D915" s="1" t="s">
        <v>2506</v>
      </c>
      <c r="E915" s="1" t="s">
        <v>2019</v>
      </c>
      <c r="F915" s="1" t="s">
        <v>92</v>
      </c>
      <c r="G915" s="6">
        <v>299677</v>
      </c>
      <c r="H915" t="str">
        <f>IFERROR(VLOOKUP(F915,'LEAID Match'!$A$2:$B$142,2,FALSE),"")</f>
        <v/>
      </c>
    </row>
    <row r="916" spans="1:8" x14ac:dyDescent="0.2">
      <c r="A916" t="str">
        <f t="shared" si="14"/>
        <v/>
      </c>
      <c r="B916" s="1">
        <v>2020</v>
      </c>
      <c r="C916" s="1" t="s">
        <v>2505</v>
      </c>
      <c r="D916" s="1" t="s">
        <v>2506</v>
      </c>
      <c r="E916" s="1" t="s">
        <v>2019</v>
      </c>
      <c r="F916" s="1" t="s">
        <v>92</v>
      </c>
      <c r="G916" s="6">
        <v>338585</v>
      </c>
      <c r="H916" t="str">
        <f>IFERROR(VLOOKUP(F916,'LEAID Match'!$A$2:$B$142,2,FALSE),"")</f>
        <v/>
      </c>
    </row>
    <row r="917" spans="1:8" x14ac:dyDescent="0.2">
      <c r="A917" t="str">
        <f t="shared" si="14"/>
        <v/>
      </c>
      <c r="B917" s="1">
        <v>2021</v>
      </c>
      <c r="C917" s="1" t="s">
        <v>2505</v>
      </c>
      <c r="D917" s="1" t="s">
        <v>2506</v>
      </c>
      <c r="E917" s="1" t="s">
        <v>2019</v>
      </c>
      <c r="F917" s="1" t="s">
        <v>92</v>
      </c>
      <c r="G917" s="6">
        <v>336569</v>
      </c>
      <c r="H917" t="str">
        <f>IFERROR(VLOOKUP(F917,'LEAID Match'!$A$2:$B$142,2,FALSE),"")</f>
        <v/>
      </c>
    </row>
    <row r="918" spans="1:8" x14ac:dyDescent="0.2">
      <c r="A918" t="str">
        <f t="shared" si="14"/>
        <v/>
      </c>
      <c r="B918" s="1">
        <v>2022</v>
      </c>
      <c r="C918" s="1" t="s">
        <v>2505</v>
      </c>
      <c r="D918" s="1" t="s">
        <v>2506</v>
      </c>
      <c r="E918" s="1" t="s">
        <v>2019</v>
      </c>
      <c r="F918" s="1" t="s">
        <v>92</v>
      </c>
      <c r="G918" s="6">
        <v>345413</v>
      </c>
      <c r="H918" t="str">
        <f>IFERROR(VLOOKUP(F918,'LEAID Match'!$A$2:$B$142,2,FALSE),"")</f>
        <v/>
      </c>
    </row>
    <row r="919" spans="1:8" x14ac:dyDescent="0.2">
      <c r="A919" t="str">
        <f t="shared" si="14"/>
        <v/>
      </c>
      <c r="B919" s="1">
        <v>2023</v>
      </c>
      <c r="C919" s="1" t="s">
        <v>2505</v>
      </c>
      <c r="D919" s="1" t="s">
        <v>2506</v>
      </c>
      <c r="E919" s="1" t="s">
        <v>2019</v>
      </c>
      <c r="F919" s="1" t="s">
        <v>92</v>
      </c>
      <c r="G919" s="6">
        <v>396352</v>
      </c>
      <c r="H919" t="str">
        <f>IFERROR(VLOOKUP(F919,'LEAID Match'!$A$2:$B$142,2,FALSE),"")</f>
        <v/>
      </c>
    </row>
    <row r="920" spans="1:8" x14ac:dyDescent="0.2">
      <c r="A920" t="str">
        <f t="shared" si="14"/>
        <v/>
      </c>
      <c r="B920" s="1">
        <v>2024</v>
      </c>
      <c r="C920" s="1" t="s">
        <v>2505</v>
      </c>
      <c r="D920" s="1" t="s">
        <v>2506</v>
      </c>
      <c r="E920" s="1" t="s">
        <v>2019</v>
      </c>
      <c r="F920" s="1" t="s">
        <v>92</v>
      </c>
      <c r="G920" s="6">
        <v>433259</v>
      </c>
      <c r="H920" t="str">
        <f>IFERROR(VLOOKUP(F920,'LEAID Match'!$A$2:$B$142,2,FALSE),"")</f>
        <v/>
      </c>
    </row>
    <row r="921" spans="1:8" x14ac:dyDescent="0.2">
      <c r="A921" t="str">
        <f t="shared" si="14"/>
        <v/>
      </c>
      <c r="B921" s="1">
        <v>2015</v>
      </c>
      <c r="C921" s="1" t="s">
        <v>2505</v>
      </c>
      <c r="D921" s="1" t="s">
        <v>2506</v>
      </c>
      <c r="E921" s="1" t="s">
        <v>2019</v>
      </c>
      <c r="F921" s="1" t="s">
        <v>93</v>
      </c>
      <c r="G921" s="6">
        <v>5052</v>
      </c>
      <c r="H921" t="str">
        <f>IFERROR(VLOOKUP(F921,'LEAID Match'!$A$2:$B$142,2,FALSE),"")</f>
        <v/>
      </c>
    </row>
    <row r="922" spans="1:8" x14ac:dyDescent="0.2">
      <c r="A922" t="str">
        <f t="shared" si="14"/>
        <v/>
      </c>
      <c r="B922">
        <v>2016</v>
      </c>
      <c r="C922" s="1" t="s">
        <v>2505</v>
      </c>
      <c r="D922" s="1" t="s">
        <v>2506</v>
      </c>
      <c r="E922" s="1" t="s">
        <v>2019</v>
      </c>
      <c r="F922" s="1" t="s">
        <v>93</v>
      </c>
      <c r="G922" s="12">
        <v>6615</v>
      </c>
      <c r="H922" t="str">
        <f>IFERROR(VLOOKUP(F922,'LEAID Match'!$A$2:$B$142,2,FALSE),"")</f>
        <v/>
      </c>
    </row>
    <row r="923" spans="1:8" x14ac:dyDescent="0.2">
      <c r="A923" t="str">
        <f t="shared" si="14"/>
        <v/>
      </c>
      <c r="B923" s="1">
        <v>2017</v>
      </c>
      <c r="C923" s="1" t="s">
        <v>2505</v>
      </c>
      <c r="D923" s="1" t="s">
        <v>2506</v>
      </c>
      <c r="E923" s="1" t="s">
        <v>2019</v>
      </c>
      <c r="F923" s="1" t="s">
        <v>93</v>
      </c>
      <c r="G923" s="47">
        <v>6451</v>
      </c>
      <c r="H923" t="str">
        <f>IFERROR(VLOOKUP(F923,'LEAID Match'!$A$2:$B$142,2,FALSE),"")</f>
        <v/>
      </c>
    </row>
    <row r="924" spans="1:8" x14ac:dyDescent="0.2">
      <c r="A924" t="str">
        <f t="shared" si="14"/>
        <v/>
      </c>
      <c r="B924" s="1">
        <v>2018</v>
      </c>
      <c r="C924" s="1" t="s">
        <v>2505</v>
      </c>
      <c r="D924" s="1" t="s">
        <v>2506</v>
      </c>
      <c r="E924" s="1" t="s">
        <v>2019</v>
      </c>
      <c r="F924" s="1" t="s">
        <v>93</v>
      </c>
      <c r="G924" s="6">
        <v>6375</v>
      </c>
      <c r="H924" t="str">
        <f>IFERROR(VLOOKUP(F924,'LEAID Match'!$A$2:$B$142,2,FALSE),"")</f>
        <v/>
      </c>
    </row>
    <row r="925" spans="1:8" x14ac:dyDescent="0.2">
      <c r="A925" t="str">
        <f t="shared" si="14"/>
        <v/>
      </c>
      <c r="B925" s="1">
        <v>2019</v>
      </c>
      <c r="C925" s="1" t="s">
        <v>2505</v>
      </c>
      <c r="D925" s="1" t="s">
        <v>2506</v>
      </c>
      <c r="E925" s="1" t="s">
        <v>2019</v>
      </c>
      <c r="F925" s="1" t="s">
        <v>93</v>
      </c>
      <c r="G925" s="6">
        <v>4961</v>
      </c>
      <c r="H925" t="str">
        <f>IFERROR(VLOOKUP(F925,'LEAID Match'!$A$2:$B$142,2,FALSE),"")</f>
        <v/>
      </c>
    </row>
    <row r="926" spans="1:8" x14ac:dyDescent="0.2">
      <c r="A926" t="str">
        <f t="shared" si="14"/>
        <v/>
      </c>
      <c r="B926" s="1">
        <v>2020</v>
      </c>
      <c r="C926" s="1" t="s">
        <v>2505</v>
      </c>
      <c r="D926" s="1" t="s">
        <v>2506</v>
      </c>
      <c r="E926" s="1" t="s">
        <v>2019</v>
      </c>
      <c r="F926" s="1" t="s">
        <v>93</v>
      </c>
      <c r="G926" s="6">
        <v>7371</v>
      </c>
      <c r="H926" t="str">
        <f>IFERROR(VLOOKUP(F926,'LEAID Match'!$A$2:$B$142,2,FALSE),"")</f>
        <v/>
      </c>
    </row>
    <row r="927" spans="1:8" x14ac:dyDescent="0.2">
      <c r="A927" t="str">
        <f t="shared" si="14"/>
        <v/>
      </c>
      <c r="B927" s="1">
        <v>2021</v>
      </c>
      <c r="C927" s="1" t="s">
        <v>2505</v>
      </c>
      <c r="D927" s="1" t="s">
        <v>2506</v>
      </c>
      <c r="E927" s="1" t="s">
        <v>2019</v>
      </c>
      <c r="F927" s="1" t="s">
        <v>93</v>
      </c>
      <c r="G927" s="6">
        <v>8436</v>
      </c>
      <c r="H927" t="str">
        <f>IFERROR(VLOOKUP(F927,'LEAID Match'!$A$2:$B$142,2,FALSE),"")</f>
        <v/>
      </c>
    </row>
    <row r="928" spans="1:8" x14ac:dyDescent="0.2">
      <c r="A928" t="str">
        <f t="shared" si="14"/>
        <v/>
      </c>
      <c r="B928" s="1">
        <v>2022</v>
      </c>
      <c r="C928" s="1" t="s">
        <v>2505</v>
      </c>
      <c r="D928" s="1" t="s">
        <v>2506</v>
      </c>
      <c r="E928" s="1" t="s">
        <v>2019</v>
      </c>
      <c r="F928" s="1" t="s">
        <v>93</v>
      </c>
      <c r="G928" s="6">
        <v>8351</v>
      </c>
      <c r="H928" t="str">
        <f>IFERROR(VLOOKUP(F928,'LEAID Match'!$A$2:$B$142,2,FALSE),"")</f>
        <v/>
      </c>
    </row>
    <row r="929" spans="1:8" x14ac:dyDescent="0.2">
      <c r="A929" t="str">
        <f t="shared" si="14"/>
        <v/>
      </c>
      <c r="B929" s="1">
        <v>2023</v>
      </c>
      <c r="C929" s="1" t="s">
        <v>2505</v>
      </c>
      <c r="D929" s="1" t="s">
        <v>2506</v>
      </c>
      <c r="E929" s="1" t="s">
        <v>2019</v>
      </c>
      <c r="F929" s="1" t="s">
        <v>93</v>
      </c>
      <c r="G929" s="6">
        <v>7021</v>
      </c>
      <c r="H929" t="str">
        <f>IFERROR(VLOOKUP(F929,'LEAID Match'!$A$2:$B$142,2,FALSE),"")</f>
        <v/>
      </c>
    </row>
    <row r="930" spans="1:8" x14ac:dyDescent="0.2">
      <c r="A930" t="str">
        <f t="shared" si="14"/>
        <v/>
      </c>
      <c r="B930" s="1">
        <v>2024</v>
      </c>
      <c r="C930" s="1" t="s">
        <v>2505</v>
      </c>
      <c r="D930" s="1" t="s">
        <v>2506</v>
      </c>
      <c r="E930" s="1" t="s">
        <v>2019</v>
      </c>
      <c r="F930" s="1" t="s">
        <v>93</v>
      </c>
      <c r="G930" s="6">
        <v>8678</v>
      </c>
      <c r="H930" t="str">
        <f>IFERROR(VLOOKUP(F930,'LEAID Match'!$A$2:$B$142,2,FALSE),"")</f>
        <v/>
      </c>
    </row>
    <row r="931" spans="1:8" x14ac:dyDescent="0.2">
      <c r="A931" t="str">
        <f t="shared" si="14"/>
        <v/>
      </c>
      <c r="B931" s="1">
        <v>2015</v>
      </c>
      <c r="C931" s="1" t="s">
        <v>2505</v>
      </c>
      <c r="D931" s="1" t="s">
        <v>2506</v>
      </c>
      <c r="E931" s="1" t="s">
        <v>2019</v>
      </c>
      <c r="F931" s="1" t="s">
        <v>94</v>
      </c>
      <c r="G931" s="6">
        <v>242275</v>
      </c>
      <c r="H931" t="str">
        <f>IFERROR(VLOOKUP(F931,'LEAID Match'!$A$2:$B$142,2,FALSE),"")</f>
        <v/>
      </c>
    </row>
    <row r="932" spans="1:8" x14ac:dyDescent="0.2">
      <c r="A932" t="str">
        <f t="shared" si="14"/>
        <v/>
      </c>
      <c r="B932">
        <v>2016</v>
      </c>
      <c r="C932" s="1" t="s">
        <v>2505</v>
      </c>
      <c r="D932" s="1" t="s">
        <v>2506</v>
      </c>
      <c r="E932" s="1" t="s">
        <v>2019</v>
      </c>
      <c r="F932" s="1" t="s">
        <v>94</v>
      </c>
      <c r="G932" s="12">
        <v>244841</v>
      </c>
      <c r="H932" t="str">
        <f>IFERROR(VLOOKUP(F932,'LEAID Match'!$A$2:$B$142,2,FALSE),"")</f>
        <v/>
      </c>
    </row>
    <row r="933" spans="1:8" x14ac:dyDescent="0.2">
      <c r="A933" t="str">
        <f t="shared" si="14"/>
        <v/>
      </c>
      <c r="B933" s="1">
        <v>2017</v>
      </c>
      <c r="C933" s="1" t="s">
        <v>2505</v>
      </c>
      <c r="D933" s="1" t="s">
        <v>2506</v>
      </c>
      <c r="E933" s="1" t="s">
        <v>2019</v>
      </c>
      <c r="F933" s="1" t="s">
        <v>94</v>
      </c>
      <c r="G933" s="47">
        <v>247622</v>
      </c>
      <c r="H933" t="str">
        <f>IFERROR(VLOOKUP(F933,'LEAID Match'!$A$2:$B$142,2,FALSE),"")</f>
        <v/>
      </c>
    </row>
    <row r="934" spans="1:8" x14ac:dyDescent="0.2">
      <c r="A934" t="str">
        <f t="shared" si="14"/>
        <v/>
      </c>
      <c r="B934" s="1">
        <v>2018</v>
      </c>
      <c r="C934" s="1" t="s">
        <v>2505</v>
      </c>
      <c r="D934" s="1" t="s">
        <v>2506</v>
      </c>
      <c r="E934" s="1" t="s">
        <v>2019</v>
      </c>
      <c r="F934" s="1" t="s">
        <v>94</v>
      </c>
      <c r="G934" s="6">
        <v>240868</v>
      </c>
      <c r="H934" t="str">
        <f>IFERROR(VLOOKUP(F934,'LEAID Match'!$A$2:$B$142,2,FALSE),"")</f>
        <v/>
      </c>
    </row>
    <row r="935" spans="1:8" x14ac:dyDescent="0.2">
      <c r="A935" t="str">
        <f t="shared" si="14"/>
        <v/>
      </c>
      <c r="B935" s="1">
        <v>2019</v>
      </c>
      <c r="C935" s="1" t="s">
        <v>2505</v>
      </c>
      <c r="D935" s="1" t="s">
        <v>2506</v>
      </c>
      <c r="E935" s="1" t="s">
        <v>2019</v>
      </c>
      <c r="F935" s="1" t="s">
        <v>94</v>
      </c>
      <c r="G935" s="6">
        <v>251062</v>
      </c>
      <c r="H935" t="str">
        <f>IFERROR(VLOOKUP(F935,'LEAID Match'!$A$2:$B$142,2,FALSE),"")</f>
        <v/>
      </c>
    </row>
    <row r="936" spans="1:8" x14ac:dyDescent="0.2">
      <c r="A936" t="str">
        <f t="shared" si="14"/>
        <v/>
      </c>
      <c r="B936" s="1">
        <v>2020</v>
      </c>
      <c r="C936" s="1" t="s">
        <v>2505</v>
      </c>
      <c r="D936" s="1" t="s">
        <v>2506</v>
      </c>
      <c r="E936" s="1" t="s">
        <v>2019</v>
      </c>
      <c r="F936" s="1" t="s">
        <v>94</v>
      </c>
      <c r="G936" s="6">
        <v>277178</v>
      </c>
      <c r="H936" t="str">
        <f>IFERROR(VLOOKUP(F936,'LEAID Match'!$A$2:$B$142,2,FALSE),"")</f>
        <v/>
      </c>
    </row>
    <row r="937" spans="1:8" x14ac:dyDescent="0.2">
      <c r="A937" t="str">
        <f t="shared" si="14"/>
        <v/>
      </c>
      <c r="B937" s="1">
        <v>2021</v>
      </c>
      <c r="C937" s="1" t="s">
        <v>2505</v>
      </c>
      <c r="D937" s="1" t="s">
        <v>2506</v>
      </c>
      <c r="E937" s="1" t="s">
        <v>2019</v>
      </c>
      <c r="F937" s="1" t="s">
        <v>94</v>
      </c>
      <c r="G937" s="6">
        <v>253045</v>
      </c>
      <c r="H937" t="str">
        <f>IFERROR(VLOOKUP(F937,'LEAID Match'!$A$2:$B$142,2,FALSE),"")</f>
        <v/>
      </c>
    </row>
    <row r="938" spans="1:8" x14ac:dyDescent="0.2">
      <c r="A938" t="str">
        <f t="shared" si="14"/>
        <v/>
      </c>
      <c r="B938" s="1">
        <v>2022</v>
      </c>
      <c r="C938" s="1" t="s">
        <v>2505</v>
      </c>
      <c r="D938" s="1" t="s">
        <v>2506</v>
      </c>
      <c r="E938" s="1" t="s">
        <v>2019</v>
      </c>
      <c r="F938" s="1" t="s">
        <v>94</v>
      </c>
      <c r="G938" s="6">
        <v>241254</v>
      </c>
      <c r="H938" t="str">
        <f>IFERROR(VLOOKUP(F938,'LEAID Match'!$A$2:$B$142,2,FALSE),"")</f>
        <v/>
      </c>
    </row>
    <row r="939" spans="1:8" x14ac:dyDescent="0.2">
      <c r="A939" t="str">
        <f t="shared" si="14"/>
        <v/>
      </c>
      <c r="B939" s="1">
        <v>2023</v>
      </c>
      <c r="C939" s="1" t="s">
        <v>2505</v>
      </c>
      <c r="D939" s="1" t="s">
        <v>2506</v>
      </c>
      <c r="E939" s="1" t="s">
        <v>2019</v>
      </c>
      <c r="F939" s="1" t="s">
        <v>94</v>
      </c>
      <c r="G939" s="6">
        <v>236263</v>
      </c>
      <c r="H939" t="str">
        <f>IFERROR(VLOOKUP(F939,'LEAID Match'!$A$2:$B$142,2,FALSE),"")</f>
        <v/>
      </c>
    </row>
    <row r="940" spans="1:8" x14ac:dyDescent="0.2">
      <c r="A940" t="str">
        <f t="shared" si="14"/>
        <v/>
      </c>
      <c r="B940" s="1">
        <v>2024</v>
      </c>
      <c r="C940" s="1" t="s">
        <v>2505</v>
      </c>
      <c r="D940" s="1" t="s">
        <v>2506</v>
      </c>
      <c r="E940" s="1" t="s">
        <v>2019</v>
      </c>
      <c r="F940" s="1" t="s">
        <v>94</v>
      </c>
      <c r="G940" s="6">
        <v>255033</v>
      </c>
      <c r="H940" t="str">
        <f>IFERROR(VLOOKUP(F940,'LEAID Match'!$A$2:$B$142,2,FALSE),"")</f>
        <v/>
      </c>
    </row>
    <row r="941" spans="1:8" x14ac:dyDescent="0.2">
      <c r="A941" t="str">
        <f t="shared" si="14"/>
        <v/>
      </c>
      <c r="B941" s="1">
        <v>2015</v>
      </c>
      <c r="C941" s="1" t="s">
        <v>2505</v>
      </c>
      <c r="D941" s="1" t="s">
        <v>2506</v>
      </c>
      <c r="E941" s="1" t="s">
        <v>2019</v>
      </c>
      <c r="F941" t="s">
        <v>1248</v>
      </c>
      <c r="G941" s="6">
        <v>542986</v>
      </c>
      <c r="H941" t="str">
        <f>IFERROR(VLOOKUP(F941,'LEAID Match'!$A$2:$B$142,2,FALSE),"")</f>
        <v/>
      </c>
    </row>
    <row r="942" spans="1:8" x14ac:dyDescent="0.2">
      <c r="A942" t="str">
        <f t="shared" si="14"/>
        <v/>
      </c>
      <c r="B942">
        <v>2016</v>
      </c>
      <c r="C942" s="1" t="s">
        <v>2505</v>
      </c>
      <c r="D942" s="1" t="s">
        <v>2506</v>
      </c>
      <c r="E942" s="1" t="s">
        <v>2019</v>
      </c>
      <c r="F942" t="s">
        <v>1248</v>
      </c>
      <c r="G942" s="12">
        <v>564302</v>
      </c>
      <c r="H942" t="str">
        <f>IFERROR(VLOOKUP(F942,'LEAID Match'!$A$2:$B$142,2,FALSE),"")</f>
        <v/>
      </c>
    </row>
    <row r="943" spans="1:8" x14ac:dyDescent="0.2">
      <c r="A943" t="str">
        <f t="shared" si="14"/>
        <v/>
      </c>
      <c r="B943" s="1">
        <v>2017</v>
      </c>
      <c r="C943" s="1" t="s">
        <v>2505</v>
      </c>
      <c r="D943" s="1" t="s">
        <v>2506</v>
      </c>
      <c r="E943" s="1" t="s">
        <v>2019</v>
      </c>
      <c r="F943" s="37" t="s">
        <v>1248</v>
      </c>
      <c r="G943" s="47">
        <v>580575</v>
      </c>
      <c r="H943" t="str">
        <f>IFERROR(VLOOKUP(F943,'LEAID Match'!$A$2:$B$142,2,FALSE),"")</f>
        <v/>
      </c>
    </row>
    <row r="944" spans="1:8" x14ac:dyDescent="0.2">
      <c r="A944" t="str">
        <f t="shared" si="14"/>
        <v/>
      </c>
      <c r="B944" s="1">
        <v>2018</v>
      </c>
      <c r="C944" s="1" t="s">
        <v>2505</v>
      </c>
      <c r="D944" s="1" t="s">
        <v>2506</v>
      </c>
      <c r="E944" s="1" t="s">
        <v>2019</v>
      </c>
      <c r="F944" s="1" t="s">
        <v>1248</v>
      </c>
      <c r="G944" s="6">
        <v>51297</v>
      </c>
      <c r="H944" t="str">
        <f>IFERROR(VLOOKUP(F944,'LEAID Match'!$A$2:$B$142,2,FALSE),"")</f>
        <v/>
      </c>
    </row>
    <row r="945" spans="1:8" x14ac:dyDescent="0.2">
      <c r="A945" t="str">
        <f t="shared" si="14"/>
        <v/>
      </c>
      <c r="B945" s="1">
        <v>2015</v>
      </c>
      <c r="C945" s="1" t="s">
        <v>2505</v>
      </c>
      <c r="D945" s="1" t="s">
        <v>2506</v>
      </c>
      <c r="E945" s="1" t="s">
        <v>2019</v>
      </c>
      <c r="F945" s="1" t="s">
        <v>95</v>
      </c>
      <c r="G945" s="6">
        <v>80062</v>
      </c>
      <c r="H945" t="str">
        <f>IFERROR(VLOOKUP(F945,'LEAID Match'!$A$2:$B$142,2,FALSE),"")</f>
        <v/>
      </c>
    </row>
    <row r="946" spans="1:8" x14ac:dyDescent="0.2">
      <c r="A946" t="str">
        <f t="shared" si="14"/>
        <v/>
      </c>
      <c r="B946">
        <v>2016</v>
      </c>
      <c r="C946" s="1" t="s">
        <v>2505</v>
      </c>
      <c r="D946" s="1" t="s">
        <v>2506</v>
      </c>
      <c r="E946" s="1" t="s">
        <v>2019</v>
      </c>
      <c r="F946" s="1" t="s">
        <v>95</v>
      </c>
      <c r="G946" s="12">
        <v>80970</v>
      </c>
      <c r="H946" t="str">
        <f>IFERROR(VLOOKUP(F946,'LEAID Match'!$A$2:$B$142,2,FALSE),"")</f>
        <v/>
      </c>
    </row>
    <row r="947" spans="1:8" x14ac:dyDescent="0.2">
      <c r="A947" t="str">
        <f t="shared" si="14"/>
        <v/>
      </c>
      <c r="B947" s="1">
        <v>2017</v>
      </c>
      <c r="C947" s="1" t="s">
        <v>2505</v>
      </c>
      <c r="D947" s="1" t="s">
        <v>2506</v>
      </c>
      <c r="E947" s="1" t="s">
        <v>2019</v>
      </c>
      <c r="F947" s="1" t="s">
        <v>95</v>
      </c>
      <c r="G947" s="47">
        <v>85202</v>
      </c>
      <c r="H947" t="str">
        <f>IFERROR(VLOOKUP(F947,'LEAID Match'!$A$2:$B$142,2,FALSE),"")</f>
        <v/>
      </c>
    </row>
    <row r="948" spans="1:8" x14ac:dyDescent="0.2">
      <c r="A948" t="str">
        <f t="shared" si="14"/>
        <v/>
      </c>
      <c r="B948" s="1">
        <v>2018</v>
      </c>
      <c r="C948" s="1" t="s">
        <v>2505</v>
      </c>
      <c r="D948" s="1" t="s">
        <v>2506</v>
      </c>
      <c r="E948" s="1" t="s">
        <v>2019</v>
      </c>
      <c r="F948" s="1" t="s">
        <v>95</v>
      </c>
      <c r="G948" s="6">
        <v>80665</v>
      </c>
      <c r="H948" t="str">
        <f>IFERROR(VLOOKUP(F948,'LEAID Match'!$A$2:$B$142,2,FALSE),"")</f>
        <v/>
      </c>
    </row>
    <row r="949" spans="1:8" x14ac:dyDescent="0.2">
      <c r="A949" t="str">
        <f t="shared" si="14"/>
        <v/>
      </c>
      <c r="B949" s="1">
        <v>2019</v>
      </c>
      <c r="C949" s="1" t="s">
        <v>2505</v>
      </c>
      <c r="D949" s="1" t="s">
        <v>2506</v>
      </c>
      <c r="E949" s="1" t="s">
        <v>2019</v>
      </c>
      <c r="F949" s="1" t="s">
        <v>95</v>
      </c>
      <c r="G949" s="6">
        <v>82701</v>
      </c>
      <c r="H949" t="str">
        <f>IFERROR(VLOOKUP(F949,'LEAID Match'!$A$2:$B$142,2,FALSE),"")</f>
        <v/>
      </c>
    </row>
    <row r="950" spans="1:8" x14ac:dyDescent="0.2">
      <c r="A950" t="str">
        <f t="shared" si="14"/>
        <v/>
      </c>
      <c r="B950" s="1">
        <v>2020</v>
      </c>
      <c r="C950" s="1" t="s">
        <v>2505</v>
      </c>
      <c r="D950" s="1" t="s">
        <v>2506</v>
      </c>
      <c r="E950" s="1" t="s">
        <v>2019</v>
      </c>
      <c r="F950" s="1" t="s">
        <v>95</v>
      </c>
      <c r="G950" s="6">
        <v>90007</v>
      </c>
      <c r="H950" t="str">
        <f>IFERROR(VLOOKUP(F950,'LEAID Match'!$A$2:$B$142,2,FALSE),"")</f>
        <v/>
      </c>
    </row>
    <row r="951" spans="1:8" x14ac:dyDescent="0.2">
      <c r="A951" t="str">
        <f t="shared" si="14"/>
        <v/>
      </c>
      <c r="B951" s="1">
        <v>2021</v>
      </c>
      <c r="C951" s="1" t="s">
        <v>2505</v>
      </c>
      <c r="D951" s="1" t="s">
        <v>2506</v>
      </c>
      <c r="E951" s="1" t="s">
        <v>2019</v>
      </c>
      <c r="F951" s="1" t="s">
        <v>95</v>
      </c>
      <c r="G951" s="6">
        <v>102046</v>
      </c>
      <c r="H951" t="str">
        <f>IFERROR(VLOOKUP(F951,'LEAID Match'!$A$2:$B$142,2,FALSE),"")</f>
        <v/>
      </c>
    </row>
    <row r="952" spans="1:8" x14ac:dyDescent="0.2">
      <c r="A952" t="str">
        <f t="shared" si="14"/>
        <v/>
      </c>
      <c r="B952" s="1">
        <v>2022</v>
      </c>
      <c r="C952" s="1" t="s">
        <v>2505</v>
      </c>
      <c r="D952" s="1" t="s">
        <v>2506</v>
      </c>
      <c r="E952" s="1" t="s">
        <v>2019</v>
      </c>
      <c r="F952" s="1" t="s">
        <v>95</v>
      </c>
      <c r="G952" s="6">
        <v>104501</v>
      </c>
      <c r="H952" t="str">
        <f>IFERROR(VLOOKUP(F952,'LEAID Match'!$A$2:$B$142,2,FALSE),"")</f>
        <v/>
      </c>
    </row>
    <row r="953" spans="1:8" x14ac:dyDescent="0.2">
      <c r="A953" t="str">
        <f t="shared" si="14"/>
        <v/>
      </c>
      <c r="B953" s="1">
        <v>2023</v>
      </c>
      <c r="C953" s="1" t="s">
        <v>2505</v>
      </c>
      <c r="D953" s="1" t="s">
        <v>2506</v>
      </c>
      <c r="E953" s="1" t="s">
        <v>2019</v>
      </c>
      <c r="F953" s="1" t="s">
        <v>95</v>
      </c>
      <c r="G953" s="6">
        <v>106399</v>
      </c>
      <c r="H953" t="str">
        <f>IFERROR(VLOOKUP(F953,'LEAID Match'!$A$2:$B$142,2,FALSE),"")</f>
        <v/>
      </c>
    </row>
    <row r="954" spans="1:8" x14ac:dyDescent="0.2">
      <c r="A954" t="str">
        <f t="shared" si="14"/>
        <v/>
      </c>
      <c r="B954" s="1">
        <v>2024</v>
      </c>
      <c r="C954" s="1" t="s">
        <v>2505</v>
      </c>
      <c r="D954" s="1" t="s">
        <v>2506</v>
      </c>
      <c r="E954" s="1" t="s">
        <v>2019</v>
      </c>
      <c r="F954" s="1" t="s">
        <v>95</v>
      </c>
      <c r="G954" s="6">
        <v>114191</v>
      </c>
      <c r="H954" t="str">
        <f>IFERROR(VLOOKUP(F954,'LEAID Match'!$A$2:$B$142,2,FALSE),"")</f>
        <v/>
      </c>
    </row>
    <row r="955" spans="1:8" x14ac:dyDescent="0.2">
      <c r="A955" t="str">
        <f t="shared" si="14"/>
        <v/>
      </c>
      <c r="B955" s="1">
        <v>2015</v>
      </c>
      <c r="C955" s="1" t="s">
        <v>2505</v>
      </c>
      <c r="D955" s="1" t="s">
        <v>2506</v>
      </c>
      <c r="E955" s="1" t="s">
        <v>2019</v>
      </c>
      <c r="F955" s="1" t="s">
        <v>96</v>
      </c>
      <c r="G955" s="6">
        <v>104852</v>
      </c>
      <c r="H955" t="str">
        <f>IFERROR(VLOOKUP(F955,'LEAID Match'!$A$2:$B$142,2,FALSE),"")</f>
        <v/>
      </c>
    </row>
    <row r="956" spans="1:8" x14ac:dyDescent="0.2">
      <c r="A956" t="str">
        <f t="shared" si="14"/>
        <v/>
      </c>
      <c r="B956">
        <v>2016</v>
      </c>
      <c r="C956" s="1" t="s">
        <v>2505</v>
      </c>
      <c r="D956" s="1" t="s">
        <v>2506</v>
      </c>
      <c r="E956" s="1" t="s">
        <v>2019</v>
      </c>
      <c r="F956" s="1" t="s">
        <v>96</v>
      </c>
      <c r="G956" s="12">
        <v>101916</v>
      </c>
      <c r="H956" t="str">
        <f>IFERROR(VLOOKUP(F956,'LEAID Match'!$A$2:$B$142,2,FALSE),"")</f>
        <v/>
      </c>
    </row>
    <row r="957" spans="1:8" x14ac:dyDescent="0.2">
      <c r="A957" t="str">
        <f t="shared" si="14"/>
        <v/>
      </c>
      <c r="B957" s="1">
        <v>2017</v>
      </c>
      <c r="C957" s="1" t="s">
        <v>2505</v>
      </c>
      <c r="D957" s="1" t="s">
        <v>2506</v>
      </c>
      <c r="E957" s="1" t="s">
        <v>2019</v>
      </c>
      <c r="F957" s="1" t="s">
        <v>96</v>
      </c>
      <c r="G957" s="47">
        <v>110034</v>
      </c>
      <c r="H957" t="str">
        <f>IFERROR(VLOOKUP(F957,'LEAID Match'!$A$2:$B$142,2,FALSE),"")</f>
        <v/>
      </c>
    </row>
    <row r="958" spans="1:8" x14ac:dyDescent="0.2">
      <c r="A958" t="str">
        <f t="shared" si="14"/>
        <v/>
      </c>
      <c r="B958" s="1">
        <v>2018</v>
      </c>
      <c r="C958" s="1" t="s">
        <v>2505</v>
      </c>
      <c r="D958" s="1" t="s">
        <v>2506</v>
      </c>
      <c r="E958" s="1" t="s">
        <v>2019</v>
      </c>
      <c r="F958" s="1" t="s">
        <v>96</v>
      </c>
      <c r="G958" s="6">
        <v>112594</v>
      </c>
      <c r="H958" t="str">
        <f>IFERROR(VLOOKUP(F958,'LEAID Match'!$A$2:$B$142,2,FALSE),"")</f>
        <v/>
      </c>
    </row>
    <row r="959" spans="1:8" x14ac:dyDescent="0.2">
      <c r="A959" t="str">
        <f t="shared" si="14"/>
        <v/>
      </c>
      <c r="B959" s="1">
        <v>2019</v>
      </c>
      <c r="C959" s="1" t="s">
        <v>2505</v>
      </c>
      <c r="D959" s="1" t="s">
        <v>2506</v>
      </c>
      <c r="E959" s="1" t="s">
        <v>2019</v>
      </c>
      <c r="F959" s="1" t="s">
        <v>96</v>
      </c>
      <c r="G959" s="6">
        <v>128022</v>
      </c>
      <c r="H959" t="str">
        <f>IFERROR(VLOOKUP(F959,'LEAID Match'!$A$2:$B$142,2,FALSE),"")</f>
        <v/>
      </c>
    </row>
    <row r="960" spans="1:8" x14ac:dyDescent="0.2">
      <c r="A960" t="str">
        <f t="shared" si="14"/>
        <v/>
      </c>
      <c r="B960" s="1">
        <v>2020</v>
      </c>
      <c r="C960" s="1" t="s">
        <v>2505</v>
      </c>
      <c r="D960" s="1" t="s">
        <v>2506</v>
      </c>
      <c r="E960" s="1" t="s">
        <v>2019</v>
      </c>
      <c r="F960" s="1" t="s">
        <v>96</v>
      </c>
      <c r="G960" s="6">
        <v>144029</v>
      </c>
      <c r="H960" t="str">
        <f>IFERROR(VLOOKUP(F960,'LEAID Match'!$A$2:$B$142,2,FALSE),"")</f>
        <v/>
      </c>
    </row>
    <row r="961" spans="1:8" x14ac:dyDescent="0.2">
      <c r="A961" t="str">
        <f t="shared" si="14"/>
        <v/>
      </c>
      <c r="B961" s="1">
        <v>2021</v>
      </c>
      <c r="C961" s="1" t="s">
        <v>2505</v>
      </c>
      <c r="D961" s="1" t="s">
        <v>2506</v>
      </c>
      <c r="E961" s="1" t="s">
        <v>2019</v>
      </c>
      <c r="F961" s="1" t="s">
        <v>96</v>
      </c>
      <c r="G961" s="6">
        <v>128640</v>
      </c>
      <c r="H961" t="str">
        <f>IFERROR(VLOOKUP(F961,'LEAID Match'!$A$2:$B$142,2,FALSE),"")</f>
        <v/>
      </c>
    </row>
    <row r="962" spans="1:8" x14ac:dyDescent="0.2">
      <c r="A962" t="str">
        <f t="shared" si="14"/>
        <v/>
      </c>
      <c r="B962" s="1">
        <v>2022</v>
      </c>
      <c r="C962" s="1" t="s">
        <v>2505</v>
      </c>
      <c r="D962" s="1" t="s">
        <v>2506</v>
      </c>
      <c r="E962" s="1" t="s">
        <v>2019</v>
      </c>
      <c r="F962" s="1" t="s">
        <v>96</v>
      </c>
      <c r="G962" s="6">
        <v>145656</v>
      </c>
      <c r="H962" t="str">
        <f>IFERROR(VLOOKUP(F962,'LEAID Match'!$A$2:$B$142,2,FALSE),"")</f>
        <v/>
      </c>
    </row>
    <row r="963" spans="1:8" x14ac:dyDescent="0.2">
      <c r="A963" t="str">
        <f t="shared" ref="A963:A1026" si="15">H963</f>
        <v/>
      </c>
      <c r="B963" s="1">
        <v>2023</v>
      </c>
      <c r="C963" s="1" t="s">
        <v>2505</v>
      </c>
      <c r="D963" s="1" t="s">
        <v>2506</v>
      </c>
      <c r="E963" s="1" t="s">
        <v>2019</v>
      </c>
      <c r="F963" s="1" t="s">
        <v>96</v>
      </c>
      <c r="G963" s="6">
        <v>149760</v>
      </c>
      <c r="H963" t="str">
        <f>IFERROR(VLOOKUP(F963,'LEAID Match'!$A$2:$B$142,2,FALSE),"")</f>
        <v/>
      </c>
    </row>
    <row r="964" spans="1:8" x14ac:dyDescent="0.2">
      <c r="A964" t="str">
        <f t="shared" si="15"/>
        <v/>
      </c>
      <c r="B964" s="1">
        <v>2024</v>
      </c>
      <c r="C964" s="1" t="s">
        <v>2505</v>
      </c>
      <c r="D964" s="1" t="s">
        <v>2506</v>
      </c>
      <c r="E964" s="1" t="s">
        <v>2019</v>
      </c>
      <c r="F964" s="1" t="s">
        <v>96</v>
      </c>
      <c r="G964" s="6">
        <v>130370</v>
      </c>
      <c r="H964" t="str">
        <f>IFERROR(VLOOKUP(F964,'LEAID Match'!$A$2:$B$142,2,FALSE),"")</f>
        <v/>
      </c>
    </row>
    <row r="965" spans="1:8" x14ac:dyDescent="0.2">
      <c r="A965" t="str">
        <f t="shared" si="15"/>
        <v/>
      </c>
      <c r="B965" s="1">
        <v>2015</v>
      </c>
      <c r="C965" s="1" t="s">
        <v>2505</v>
      </c>
      <c r="D965" s="1" t="s">
        <v>2506</v>
      </c>
      <c r="E965" s="1" t="s">
        <v>2019</v>
      </c>
      <c r="F965" s="1" t="s">
        <v>97</v>
      </c>
      <c r="G965" s="6">
        <v>625453</v>
      </c>
      <c r="H965" t="str">
        <f>IFERROR(VLOOKUP(F965,'LEAID Match'!$A$2:$B$142,2,FALSE),"")</f>
        <v/>
      </c>
    </row>
    <row r="966" spans="1:8" x14ac:dyDescent="0.2">
      <c r="A966" t="str">
        <f t="shared" si="15"/>
        <v/>
      </c>
      <c r="B966">
        <v>2016</v>
      </c>
      <c r="C966" s="1" t="s">
        <v>2505</v>
      </c>
      <c r="D966" s="1" t="s">
        <v>2506</v>
      </c>
      <c r="E966" s="1" t="s">
        <v>2019</v>
      </c>
      <c r="F966" s="1" t="s">
        <v>97</v>
      </c>
      <c r="G966" s="12">
        <v>609645</v>
      </c>
      <c r="H966" t="str">
        <f>IFERROR(VLOOKUP(F966,'LEAID Match'!$A$2:$B$142,2,FALSE),"")</f>
        <v/>
      </c>
    </row>
    <row r="967" spans="1:8" x14ac:dyDescent="0.2">
      <c r="A967" t="str">
        <f t="shared" si="15"/>
        <v/>
      </c>
      <c r="B967" s="1">
        <v>2017</v>
      </c>
      <c r="C967" s="1" t="s">
        <v>2505</v>
      </c>
      <c r="D967" s="1" t="s">
        <v>2506</v>
      </c>
      <c r="E967" s="1" t="s">
        <v>2019</v>
      </c>
      <c r="F967" s="1" t="s">
        <v>97</v>
      </c>
      <c r="G967" s="47">
        <v>604526</v>
      </c>
      <c r="H967" t="str">
        <f>IFERROR(VLOOKUP(F967,'LEAID Match'!$A$2:$B$142,2,FALSE),"")</f>
        <v/>
      </c>
    </row>
    <row r="968" spans="1:8" x14ac:dyDescent="0.2">
      <c r="A968" t="str">
        <f t="shared" si="15"/>
        <v/>
      </c>
      <c r="B968" s="1">
        <v>2018</v>
      </c>
      <c r="C968" s="1" t="s">
        <v>2505</v>
      </c>
      <c r="D968" s="1" t="s">
        <v>2506</v>
      </c>
      <c r="E968" s="1" t="s">
        <v>2019</v>
      </c>
      <c r="F968" s="1" t="s">
        <v>97</v>
      </c>
      <c r="G968" s="6">
        <v>608631</v>
      </c>
      <c r="H968" t="str">
        <f>IFERROR(VLOOKUP(F968,'LEAID Match'!$A$2:$B$142,2,FALSE),"")</f>
        <v/>
      </c>
    </row>
    <row r="969" spans="1:8" x14ac:dyDescent="0.2">
      <c r="A969" t="str">
        <f t="shared" si="15"/>
        <v/>
      </c>
      <c r="B969" s="1">
        <v>2019</v>
      </c>
      <c r="C969" s="1" t="s">
        <v>2505</v>
      </c>
      <c r="D969" s="1" t="s">
        <v>2506</v>
      </c>
      <c r="E969" s="1" t="s">
        <v>2019</v>
      </c>
      <c r="F969" s="1" t="s">
        <v>97</v>
      </c>
      <c r="G969" s="6">
        <v>612952</v>
      </c>
      <c r="H969" t="str">
        <f>IFERROR(VLOOKUP(F969,'LEAID Match'!$A$2:$B$142,2,FALSE),"")</f>
        <v/>
      </c>
    </row>
    <row r="970" spans="1:8" x14ac:dyDescent="0.2">
      <c r="A970" t="str">
        <f t="shared" si="15"/>
        <v/>
      </c>
      <c r="B970" s="1">
        <v>2020</v>
      </c>
      <c r="C970" s="1" t="s">
        <v>2505</v>
      </c>
      <c r="D970" s="1" t="s">
        <v>2506</v>
      </c>
      <c r="E970" s="1" t="s">
        <v>2019</v>
      </c>
      <c r="F970" s="1" t="s">
        <v>97</v>
      </c>
      <c r="G970" s="6">
        <v>706071</v>
      </c>
      <c r="H970" t="str">
        <f>IFERROR(VLOOKUP(F970,'LEAID Match'!$A$2:$B$142,2,FALSE),"")</f>
        <v/>
      </c>
    </row>
    <row r="971" spans="1:8" x14ac:dyDescent="0.2">
      <c r="A971" t="str">
        <f t="shared" si="15"/>
        <v/>
      </c>
      <c r="B971" s="1">
        <v>2021</v>
      </c>
      <c r="C971" s="1" t="s">
        <v>2505</v>
      </c>
      <c r="D971" s="1" t="s">
        <v>2506</v>
      </c>
      <c r="E971" s="1" t="s">
        <v>2019</v>
      </c>
      <c r="F971" s="1" t="s">
        <v>97</v>
      </c>
      <c r="G971" s="6">
        <v>753841</v>
      </c>
      <c r="H971" t="str">
        <f>IFERROR(VLOOKUP(F971,'LEAID Match'!$A$2:$B$142,2,FALSE),"")</f>
        <v/>
      </c>
    </row>
    <row r="972" spans="1:8" x14ac:dyDescent="0.2">
      <c r="A972" t="str">
        <f t="shared" si="15"/>
        <v/>
      </c>
      <c r="B972" s="1">
        <v>2022</v>
      </c>
      <c r="C972" s="1" t="s">
        <v>2505</v>
      </c>
      <c r="D972" s="1" t="s">
        <v>2506</v>
      </c>
      <c r="E972" s="1" t="s">
        <v>2019</v>
      </c>
      <c r="F972" s="1" t="s">
        <v>97</v>
      </c>
      <c r="G972" s="6">
        <v>790935</v>
      </c>
      <c r="H972" t="str">
        <f>IFERROR(VLOOKUP(F972,'LEAID Match'!$A$2:$B$142,2,FALSE),"")</f>
        <v/>
      </c>
    </row>
    <row r="973" spans="1:8" x14ac:dyDescent="0.2">
      <c r="A973" t="str">
        <f t="shared" si="15"/>
        <v/>
      </c>
      <c r="B973" s="1">
        <v>2023</v>
      </c>
      <c r="C973" s="1" t="s">
        <v>2505</v>
      </c>
      <c r="D973" s="1" t="s">
        <v>2506</v>
      </c>
      <c r="E973" s="1" t="s">
        <v>2019</v>
      </c>
      <c r="F973" s="1" t="s">
        <v>97</v>
      </c>
      <c r="G973" s="6">
        <v>858004</v>
      </c>
      <c r="H973" t="str">
        <f>IFERROR(VLOOKUP(F973,'LEAID Match'!$A$2:$B$142,2,FALSE),"")</f>
        <v/>
      </c>
    </row>
    <row r="974" spans="1:8" x14ac:dyDescent="0.2">
      <c r="A974" t="str">
        <f t="shared" si="15"/>
        <v/>
      </c>
      <c r="B974" s="1">
        <v>2024</v>
      </c>
      <c r="C974" s="1" t="s">
        <v>2505</v>
      </c>
      <c r="D974" s="1" t="s">
        <v>2506</v>
      </c>
      <c r="E974" s="1" t="s">
        <v>2019</v>
      </c>
      <c r="F974" s="1" t="s">
        <v>97</v>
      </c>
      <c r="G974" s="6">
        <v>868152</v>
      </c>
      <c r="H974" t="str">
        <f>IFERROR(VLOOKUP(F974,'LEAID Match'!$A$2:$B$142,2,FALSE),"")</f>
        <v/>
      </c>
    </row>
    <row r="975" spans="1:8" x14ac:dyDescent="0.2">
      <c r="A975">
        <f t="shared" si="15"/>
        <v>2800960</v>
      </c>
      <c r="B975" s="1">
        <v>2015</v>
      </c>
      <c r="C975" s="1" t="s">
        <v>2505</v>
      </c>
      <c r="D975" s="1" t="s">
        <v>2506</v>
      </c>
      <c r="E975" s="1" t="s">
        <v>2019</v>
      </c>
      <c r="F975" s="1" t="s">
        <v>98</v>
      </c>
      <c r="G975" s="6">
        <v>359147</v>
      </c>
      <c r="H975">
        <f>IFERROR(VLOOKUP(F975,'LEAID Match'!$A$2:$B$142,2,FALSE),"")</f>
        <v>2800960</v>
      </c>
    </row>
    <row r="976" spans="1:8" x14ac:dyDescent="0.2">
      <c r="A976">
        <f t="shared" si="15"/>
        <v>2800960</v>
      </c>
      <c r="B976">
        <v>2016</v>
      </c>
      <c r="C976" s="1" t="s">
        <v>2505</v>
      </c>
      <c r="D976" s="1" t="s">
        <v>2506</v>
      </c>
      <c r="E976" s="1" t="s">
        <v>2019</v>
      </c>
      <c r="F976" s="1" t="s">
        <v>98</v>
      </c>
      <c r="G976" s="12">
        <v>354904</v>
      </c>
      <c r="H976">
        <f>IFERROR(VLOOKUP(F976,'LEAID Match'!$A$2:$B$142,2,FALSE),"")</f>
        <v>2800960</v>
      </c>
    </row>
    <row r="977" spans="1:8" x14ac:dyDescent="0.2">
      <c r="A977">
        <f t="shared" si="15"/>
        <v>2800960</v>
      </c>
      <c r="B977" s="1">
        <v>2017</v>
      </c>
      <c r="C977" s="1" t="s">
        <v>2505</v>
      </c>
      <c r="D977" s="1" t="s">
        <v>2506</v>
      </c>
      <c r="E977" s="1" t="s">
        <v>2019</v>
      </c>
      <c r="F977" s="1" t="s">
        <v>98</v>
      </c>
      <c r="G977" s="47">
        <v>349631</v>
      </c>
      <c r="H977">
        <f>IFERROR(VLOOKUP(F977,'LEAID Match'!$A$2:$B$142,2,FALSE),"")</f>
        <v>2800960</v>
      </c>
    </row>
    <row r="978" spans="1:8" x14ac:dyDescent="0.2">
      <c r="A978">
        <f t="shared" si="15"/>
        <v>2800960</v>
      </c>
      <c r="B978" s="1">
        <v>2018</v>
      </c>
      <c r="C978" s="1" t="s">
        <v>2505</v>
      </c>
      <c r="D978" s="1" t="s">
        <v>2506</v>
      </c>
      <c r="E978" s="1" t="s">
        <v>2019</v>
      </c>
      <c r="F978" s="1" t="s">
        <v>98</v>
      </c>
      <c r="G978" s="6">
        <v>332729</v>
      </c>
      <c r="H978">
        <f>IFERROR(VLOOKUP(F978,'LEAID Match'!$A$2:$B$142,2,FALSE),"")</f>
        <v>2800960</v>
      </c>
    </row>
    <row r="979" spans="1:8" x14ac:dyDescent="0.2">
      <c r="A979">
        <f t="shared" si="15"/>
        <v>2800960</v>
      </c>
      <c r="B979" s="1">
        <v>2019</v>
      </c>
      <c r="C979" s="1" t="s">
        <v>2505</v>
      </c>
      <c r="D979" s="1" t="s">
        <v>2506</v>
      </c>
      <c r="E979" s="1" t="s">
        <v>2019</v>
      </c>
      <c r="F979" s="1" t="s">
        <v>98</v>
      </c>
      <c r="G979" s="6">
        <v>374131</v>
      </c>
      <c r="H979">
        <f>IFERROR(VLOOKUP(F979,'LEAID Match'!$A$2:$B$142,2,FALSE),"")</f>
        <v>2800960</v>
      </c>
    </row>
    <row r="980" spans="1:8" x14ac:dyDescent="0.2">
      <c r="A980">
        <f t="shared" si="15"/>
        <v>2800960</v>
      </c>
      <c r="B980" s="1">
        <v>2020</v>
      </c>
      <c r="C980" s="1" t="s">
        <v>2505</v>
      </c>
      <c r="D980" s="1" t="s">
        <v>2506</v>
      </c>
      <c r="E980" s="1" t="s">
        <v>2019</v>
      </c>
      <c r="F980" s="1" t="s">
        <v>98</v>
      </c>
      <c r="G980" s="6">
        <v>416726</v>
      </c>
      <c r="H980">
        <f>IFERROR(VLOOKUP(F980,'LEAID Match'!$A$2:$B$142,2,FALSE),"")</f>
        <v>2800960</v>
      </c>
    </row>
    <row r="981" spans="1:8" x14ac:dyDescent="0.2">
      <c r="A981">
        <f t="shared" si="15"/>
        <v>2800960</v>
      </c>
      <c r="B981" s="1">
        <v>2021</v>
      </c>
      <c r="C981" s="1" t="s">
        <v>2505</v>
      </c>
      <c r="D981" s="1" t="s">
        <v>2506</v>
      </c>
      <c r="E981" s="1" t="s">
        <v>2019</v>
      </c>
      <c r="F981" s="1" t="s">
        <v>98</v>
      </c>
      <c r="G981" s="6">
        <v>394709</v>
      </c>
      <c r="H981">
        <f>IFERROR(VLOOKUP(F981,'LEAID Match'!$A$2:$B$142,2,FALSE),"")</f>
        <v>2800960</v>
      </c>
    </row>
    <row r="982" spans="1:8" x14ac:dyDescent="0.2">
      <c r="A982">
        <f t="shared" si="15"/>
        <v>2800960</v>
      </c>
      <c r="B982" s="1">
        <v>2022</v>
      </c>
      <c r="C982" s="1" t="s">
        <v>2505</v>
      </c>
      <c r="D982" s="1" t="s">
        <v>2506</v>
      </c>
      <c r="E982" s="1" t="s">
        <v>2019</v>
      </c>
      <c r="F982" s="1" t="s">
        <v>98</v>
      </c>
      <c r="G982" s="6">
        <v>2054787</v>
      </c>
      <c r="H982">
        <f>IFERROR(VLOOKUP(F982,'LEAID Match'!$A$2:$B$142,2,FALSE),"")</f>
        <v>2800960</v>
      </c>
    </row>
    <row r="983" spans="1:8" x14ac:dyDescent="0.2">
      <c r="A983">
        <f t="shared" si="15"/>
        <v>2800960</v>
      </c>
      <c r="B983" s="1">
        <v>2023</v>
      </c>
      <c r="C983" s="1" t="s">
        <v>2505</v>
      </c>
      <c r="D983" s="1" t="s">
        <v>2506</v>
      </c>
      <c r="E983" s="1" t="s">
        <v>2019</v>
      </c>
      <c r="F983" s="1" t="s">
        <v>98</v>
      </c>
      <c r="G983" s="6">
        <v>2337844</v>
      </c>
      <c r="H983">
        <f>IFERROR(VLOOKUP(F983,'LEAID Match'!$A$2:$B$142,2,FALSE),"")</f>
        <v>2800960</v>
      </c>
    </row>
    <row r="984" spans="1:8" x14ac:dyDescent="0.2">
      <c r="A984">
        <f t="shared" si="15"/>
        <v>2800960</v>
      </c>
      <c r="B984" s="1">
        <v>2024</v>
      </c>
      <c r="C984" s="1" t="s">
        <v>2505</v>
      </c>
      <c r="D984" s="1" t="s">
        <v>2506</v>
      </c>
      <c r="E984" s="1" t="s">
        <v>2019</v>
      </c>
      <c r="F984" s="1" t="s">
        <v>98</v>
      </c>
      <c r="G984" s="6">
        <v>2410606</v>
      </c>
      <c r="H984">
        <f>IFERROR(VLOOKUP(F984,'LEAID Match'!$A$2:$B$142,2,FALSE),"")</f>
        <v>2800960</v>
      </c>
    </row>
    <row r="985" spans="1:8" x14ac:dyDescent="0.2">
      <c r="A985" t="str">
        <f t="shared" si="15"/>
        <v/>
      </c>
      <c r="B985" s="1">
        <v>2015</v>
      </c>
      <c r="C985" s="1" t="s">
        <v>2505</v>
      </c>
      <c r="D985" s="1" t="s">
        <v>2506</v>
      </c>
      <c r="E985" s="1" t="s">
        <v>2019</v>
      </c>
      <c r="F985" s="1" t="s">
        <v>99</v>
      </c>
      <c r="G985" s="6">
        <v>79339</v>
      </c>
      <c r="H985" t="str">
        <f>IFERROR(VLOOKUP(F985,'LEAID Match'!$A$2:$B$142,2,FALSE),"")</f>
        <v/>
      </c>
    </row>
    <row r="986" spans="1:8" x14ac:dyDescent="0.2">
      <c r="A986" t="str">
        <f t="shared" si="15"/>
        <v/>
      </c>
      <c r="B986">
        <v>2016</v>
      </c>
      <c r="C986" s="1" t="s">
        <v>2505</v>
      </c>
      <c r="D986" s="1" t="s">
        <v>2506</v>
      </c>
      <c r="E986" s="1" t="s">
        <v>2019</v>
      </c>
      <c r="F986" s="1" t="s">
        <v>99</v>
      </c>
      <c r="G986" s="12">
        <v>78862</v>
      </c>
      <c r="H986" t="str">
        <f>IFERROR(VLOOKUP(F986,'LEAID Match'!$A$2:$B$142,2,FALSE),"")</f>
        <v/>
      </c>
    </row>
    <row r="987" spans="1:8" x14ac:dyDescent="0.2">
      <c r="A987" t="str">
        <f t="shared" si="15"/>
        <v/>
      </c>
      <c r="B987" s="1">
        <v>2017</v>
      </c>
      <c r="C987" s="1" t="s">
        <v>2505</v>
      </c>
      <c r="D987" s="1" t="s">
        <v>2506</v>
      </c>
      <c r="E987" s="1" t="s">
        <v>2019</v>
      </c>
      <c r="F987" s="1" t="s">
        <v>99</v>
      </c>
      <c r="G987" s="47">
        <v>87352</v>
      </c>
      <c r="H987" t="str">
        <f>IFERROR(VLOOKUP(F987,'LEAID Match'!$A$2:$B$142,2,FALSE),"")</f>
        <v/>
      </c>
    </row>
    <row r="988" spans="1:8" x14ac:dyDescent="0.2">
      <c r="A988" t="str">
        <f t="shared" si="15"/>
        <v/>
      </c>
      <c r="B988" s="1">
        <v>2018</v>
      </c>
      <c r="C988" s="1" t="s">
        <v>2505</v>
      </c>
      <c r="D988" s="1" t="s">
        <v>2506</v>
      </c>
      <c r="E988" s="1" t="s">
        <v>2019</v>
      </c>
      <c r="F988" s="1" t="s">
        <v>99</v>
      </c>
      <c r="G988" s="6">
        <v>76269</v>
      </c>
      <c r="H988" t="str">
        <f>IFERROR(VLOOKUP(F988,'LEAID Match'!$A$2:$B$142,2,FALSE),"")</f>
        <v/>
      </c>
    </row>
    <row r="989" spans="1:8" x14ac:dyDescent="0.2">
      <c r="A989" t="str">
        <f t="shared" si="15"/>
        <v/>
      </c>
      <c r="B989" s="1">
        <v>2019</v>
      </c>
      <c r="C989" s="1" t="s">
        <v>2505</v>
      </c>
      <c r="D989" s="1" t="s">
        <v>2506</v>
      </c>
      <c r="E989" s="1" t="s">
        <v>2019</v>
      </c>
      <c r="F989" s="1" t="s">
        <v>99</v>
      </c>
      <c r="G989" s="6">
        <v>77724</v>
      </c>
      <c r="H989" t="str">
        <f>IFERROR(VLOOKUP(F989,'LEAID Match'!$A$2:$B$142,2,FALSE),"")</f>
        <v/>
      </c>
    </row>
    <row r="990" spans="1:8" x14ac:dyDescent="0.2">
      <c r="A990" t="str">
        <f t="shared" si="15"/>
        <v/>
      </c>
      <c r="B990" s="1">
        <v>2020</v>
      </c>
      <c r="C990" s="1" t="s">
        <v>2505</v>
      </c>
      <c r="D990" s="1" t="s">
        <v>2506</v>
      </c>
      <c r="E990" s="1" t="s">
        <v>2019</v>
      </c>
      <c r="F990" s="1" t="s">
        <v>99</v>
      </c>
      <c r="G990" s="6">
        <v>84809</v>
      </c>
      <c r="H990" t="str">
        <f>IFERROR(VLOOKUP(F990,'LEAID Match'!$A$2:$B$142,2,FALSE),"")</f>
        <v/>
      </c>
    </row>
    <row r="991" spans="1:8" x14ac:dyDescent="0.2">
      <c r="A991" t="str">
        <f t="shared" si="15"/>
        <v/>
      </c>
      <c r="B991" s="1">
        <v>2021</v>
      </c>
      <c r="C991" s="1" t="s">
        <v>2505</v>
      </c>
      <c r="D991" s="1" t="s">
        <v>2506</v>
      </c>
      <c r="E991" s="1" t="s">
        <v>2019</v>
      </c>
      <c r="F991" s="1" t="s">
        <v>99</v>
      </c>
      <c r="G991" s="6">
        <v>89386</v>
      </c>
      <c r="H991" t="str">
        <f>IFERROR(VLOOKUP(F991,'LEAID Match'!$A$2:$B$142,2,FALSE),"")</f>
        <v/>
      </c>
    </row>
    <row r="992" spans="1:8" x14ac:dyDescent="0.2">
      <c r="A992" t="str">
        <f t="shared" si="15"/>
        <v/>
      </c>
      <c r="B992" s="1">
        <v>2022</v>
      </c>
      <c r="C992" s="1" t="s">
        <v>2505</v>
      </c>
      <c r="D992" s="1" t="s">
        <v>2506</v>
      </c>
      <c r="E992" s="1" t="s">
        <v>2019</v>
      </c>
      <c r="F992" s="1" t="s">
        <v>99</v>
      </c>
      <c r="G992" s="6">
        <v>88074</v>
      </c>
      <c r="H992" t="str">
        <f>IFERROR(VLOOKUP(F992,'LEAID Match'!$A$2:$B$142,2,FALSE),"")</f>
        <v/>
      </c>
    </row>
    <row r="993" spans="1:8" x14ac:dyDescent="0.2">
      <c r="A993" t="str">
        <f t="shared" si="15"/>
        <v/>
      </c>
      <c r="B993" s="1">
        <v>2023</v>
      </c>
      <c r="C993" s="1" t="s">
        <v>2505</v>
      </c>
      <c r="D993" s="1" t="s">
        <v>2506</v>
      </c>
      <c r="E993" s="1" t="s">
        <v>2019</v>
      </c>
      <c r="F993" s="1" t="s">
        <v>99</v>
      </c>
      <c r="G993" s="6">
        <v>88083</v>
      </c>
      <c r="H993" t="str">
        <f>IFERROR(VLOOKUP(F993,'LEAID Match'!$A$2:$B$142,2,FALSE),"")</f>
        <v/>
      </c>
    </row>
    <row r="994" spans="1:8" x14ac:dyDescent="0.2">
      <c r="A994" t="str">
        <f t="shared" si="15"/>
        <v/>
      </c>
      <c r="B994" s="1">
        <v>2024</v>
      </c>
      <c r="C994" s="1" t="s">
        <v>2505</v>
      </c>
      <c r="D994" s="1" t="s">
        <v>2506</v>
      </c>
      <c r="E994" s="1" t="s">
        <v>2019</v>
      </c>
      <c r="F994" s="1" t="s">
        <v>99</v>
      </c>
      <c r="G994" s="6">
        <v>101232</v>
      </c>
      <c r="H994" t="str">
        <f>IFERROR(VLOOKUP(F994,'LEAID Match'!$A$2:$B$142,2,FALSE),"")</f>
        <v/>
      </c>
    </row>
    <row r="995" spans="1:8" x14ac:dyDescent="0.2">
      <c r="A995">
        <f t="shared" si="15"/>
        <v>2800990</v>
      </c>
      <c r="B995" s="1">
        <v>2015</v>
      </c>
      <c r="C995" s="1" t="s">
        <v>2505</v>
      </c>
      <c r="D995" s="1" t="s">
        <v>2506</v>
      </c>
      <c r="E995" s="1" t="s">
        <v>2019</v>
      </c>
      <c r="F995" s="1" t="s">
        <v>100</v>
      </c>
      <c r="G995" s="6">
        <v>1317399</v>
      </c>
      <c r="H995">
        <f>IFERROR(VLOOKUP(F995,'LEAID Match'!$A$2:$B$142,2,FALSE),"")</f>
        <v>2800990</v>
      </c>
    </row>
    <row r="996" spans="1:8" x14ac:dyDescent="0.2">
      <c r="A996">
        <f t="shared" si="15"/>
        <v>2800990</v>
      </c>
      <c r="B996">
        <v>2016</v>
      </c>
      <c r="C996" s="1" t="s">
        <v>2505</v>
      </c>
      <c r="D996" s="1" t="s">
        <v>2506</v>
      </c>
      <c r="E996" s="1" t="s">
        <v>2019</v>
      </c>
      <c r="F996" s="1" t="s">
        <v>100</v>
      </c>
      <c r="G996" s="12">
        <v>1385045</v>
      </c>
      <c r="H996">
        <f>IFERROR(VLOOKUP(F996,'LEAID Match'!$A$2:$B$142,2,FALSE),"")</f>
        <v>2800990</v>
      </c>
    </row>
    <row r="997" spans="1:8" x14ac:dyDescent="0.2">
      <c r="A997">
        <f t="shared" si="15"/>
        <v>2800990</v>
      </c>
      <c r="B997" s="1">
        <v>2017</v>
      </c>
      <c r="C997" s="1" t="s">
        <v>2505</v>
      </c>
      <c r="D997" s="1" t="s">
        <v>2506</v>
      </c>
      <c r="E997" s="1" t="s">
        <v>2019</v>
      </c>
      <c r="F997" s="1" t="s">
        <v>100</v>
      </c>
      <c r="G997" s="47">
        <v>1399380</v>
      </c>
      <c r="H997">
        <f>IFERROR(VLOOKUP(F997,'LEAID Match'!$A$2:$B$142,2,FALSE),"")</f>
        <v>2800990</v>
      </c>
    </row>
    <row r="998" spans="1:8" x14ac:dyDescent="0.2">
      <c r="A998">
        <f t="shared" si="15"/>
        <v>2800990</v>
      </c>
      <c r="B998" s="1">
        <v>2018</v>
      </c>
      <c r="C998" s="1" t="s">
        <v>2505</v>
      </c>
      <c r="D998" s="1" t="s">
        <v>2506</v>
      </c>
      <c r="E998" s="1" t="s">
        <v>2019</v>
      </c>
      <c r="F998" s="1" t="s">
        <v>100</v>
      </c>
      <c r="G998" s="6">
        <v>1364143</v>
      </c>
      <c r="H998">
        <f>IFERROR(VLOOKUP(F998,'LEAID Match'!$A$2:$B$142,2,FALSE),"")</f>
        <v>2800990</v>
      </c>
    </row>
    <row r="999" spans="1:8" x14ac:dyDescent="0.2">
      <c r="A999">
        <f t="shared" si="15"/>
        <v>2800990</v>
      </c>
      <c r="B999" s="1">
        <v>2019</v>
      </c>
      <c r="C999" s="1" t="s">
        <v>2505</v>
      </c>
      <c r="D999" s="1" t="s">
        <v>2506</v>
      </c>
      <c r="E999" s="1" t="s">
        <v>2019</v>
      </c>
      <c r="F999" s="1" t="s">
        <v>100</v>
      </c>
      <c r="G999" s="6">
        <v>1440655</v>
      </c>
      <c r="H999">
        <f>IFERROR(VLOOKUP(F999,'LEAID Match'!$A$2:$B$142,2,FALSE),"")</f>
        <v>2800990</v>
      </c>
    </row>
    <row r="1000" spans="1:8" x14ac:dyDescent="0.2">
      <c r="A1000">
        <f t="shared" si="15"/>
        <v>2800990</v>
      </c>
      <c r="B1000" s="1">
        <v>2020</v>
      </c>
      <c r="C1000" s="1" t="s">
        <v>2505</v>
      </c>
      <c r="D1000" s="1" t="s">
        <v>2506</v>
      </c>
      <c r="E1000" s="1" t="s">
        <v>2019</v>
      </c>
      <c r="F1000" s="1" t="s">
        <v>100</v>
      </c>
      <c r="G1000" s="6">
        <v>1655965</v>
      </c>
      <c r="H1000">
        <f>IFERROR(VLOOKUP(F1000,'LEAID Match'!$A$2:$B$142,2,FALSE),"")</f>
        <v>2800990</v>
      </c>
    </row>
    <row r="1001" spans="1:8" x14ac:dyDescent="0.2">
      <c r="A1001">
        <f t="shared" si="15"/>
        <v>2800990</v>
      </c>
      <c r="B1001" s="1">
        <v>2021</v>
      </c>
      <c r="C1001" s="1" t="s">
        <v>2505</v>
      </c>
      <c r="D1001" s="1" t="s">
        <v>2506</v>
      </c>
      <c r="E1001" s="1" t="s">
        <v>2019</v>
      </c>
      <c r="F1001" s="1" t="s">
        <v>100</v>
      </c>
      <c r="G1001" s="6">
        <v>1690952</v>
      </c>
      <c r="H1001">
        <f>IFERROR(VLOOKUP(F1001,'LEAID Match'!$A$2:$B$142,2,FALSE),"")</f>
        <v>2800990</v>
      </c>
    </row>
    <row r="1002" spans="1:8" x14ac:dyDescent="0.2">
      <c r="A1002">
        <f t="shared" si="15"/>
        <v>2800990</v>
      </c>
      <c r="B1002" s="1">
        <v>2022</v>
      </c>
      <c r="C1002" s="1" t="s">
        <v>2505</v>
      </c>
      <c r="D1002" s="1" t="s">
        <v>2506</v>
      </c>
      <c r="E1002" s="1" t="s">
        <v>2019</v>
      </c>
      <c r="F1002" s="1" t="s">
        <v>100</v>
      </c>
      <c r="G1002" s="6">
        <v>1807734</v>
      </c>
      <c r="H1002">
        <f>IFERROR(VLOOKUP(F1002,'LEAID Match'!$A$2:$B$142,2,FALSE),"")</f>
        <v>2800990</v>
      </c>
    </row>
    <row r="1003" spans="1:8" x14ac:dyDescent="0.2">
      <c r="A1003">
        <f t="shared" si="15"/>
        <v>2800990</v>
      </c>
      <c r="B1003" s="1">
        <v>2023</v>
      </c>
      <c r="C1003" s="1" t="s">
        <v>2505</v>
      </c>
      <c r="D1003" s="1" t="s">
        <v>2506</v>
      </c>
      <c r="E1003" s="1" t="s">
        <v>2019</v>
      </c>
      <c r="F1003" s="1" t="s">
        <v>100</v>
      </c>
      <c r="G1003" s="6">
        <v>1925818</v>
      </c>
      <c r="H1003">
        <f>IFERROR(VLOOKUP(F1003,'LEAID Match'!$A$2:$B$142,2,FALSE),"")</f>
        <v>2800990</v>
      </c>
    </row>
    <row r="1004" spans="1:8" x14ac:dyDescent="0.2">
      <c r="A1004">
        <f t="shared" si="15"/>
        <v>2800990</v>
      </c>
      <c r="B1004" s="1">
        <v>2024</v>
      </c>
      <c r="C1004" s="1" t="s">
        <v>2505</v>
      </c>
      <c r="D1004" s="1" t="s">
        <v>2506</v>
      </c>
      <c r="E1004" s="1" t="s">
        <v>2019</v>
      </c>
      <c r="F1004" s="1" t="s">
        <v>100</v>
      </c>
      <c r="G1004" s="6">
        <v>2028726</v>
      </c>
      <c r="H1004">
        <f>IFERROR(VLOOKUP(F1004,'LEAID Match'!$A$2:$B$142,2,FALSE),"")</f>
        <v>2800990</v>
      </c>
    </row>
    <row r="1005" spans="1:8" x14ac:dyDescent="0.2">
      <c r="A1005" t="str">
        <f t="shared" si="15"/>
        <v/>
      </c>
      <c r="B1005" s="1">
        <v>2015</v>
      </c>
      <c r="C1005" s="1" t="s">
        <v>2505</v>
      </c>
      <c r="D1005" s="1" t="s">
        <v>2506</v>
      </c>
      <c r="E1005" s="1" t="s">
        <v>2019</v>
      </c>
      <c r="F1005" s="1" t="s">
        <v>101</v>
      </c>
      <c r="G1005" s="6">
        <v>307491</v>
      </c>
      <c r="H1005" t="str">
        <f>IFERROR(VLOOKUP(F1005,'LEAID Match'!$A$2:$B$142,2,FALSE),"")</f>
        <v/>
      </c>
    </row>
    <row r="1006" spans="1:8" x14ac:dyDescent="0.2">
      <c r="A1006" t="str">
        <f t="shared" si="15"/>
        <v/>
      </c>
      <c r="B1006">
        <v>2016</v>
      </c>
      <c r="C1006" s="1" t="s">
        <v>2505</v>
      </c>
      <c r="D1006" s="1" t="s">
        <v>2506</v>
      </c>
      <c r="E1006" s="1" t="s">
        <v>2019</v>
      </c>
      <c r="F1006" s="1" t="s">
        <v>101</v>
      </c>
      <c r="G1006" s="12">
        <v>325666</v>
      </c>
      <c r="H1006" t="str">
        <f>IFERROR(VLOOKUP(F1006,'LEAID Match'!$A$2:$B$142,2,FALSE),"")</f>
        <v/>
      </c>
    </row>
    <row r="1007" spans="1:8" x14ac:dyDescent="0.2">
      <c r="A1007" t="str">
        <f t="shared" si="15"/>
        <v/>
      </c>
      <c r="B1007" s="1">
        <v>2017</v>
      </c>
      <c r="C1007" s="1" t="s">
        <v>2505</v>
      </c>
      <c r="D1007" s="1" t="s">
        <v>2506</v>
      </c>
      <c r="E1007" s="1" t="s">
        <v>2019</v>
      </c>
      <c r="F1007" s="1" t="s">
        <v>101</v>
      </c>
      <c r="G1007" s="47">
        <v>340498</v>
      </c>
      <c r="H1007" t="str">
        <f>IFERROR(VLOOKUP(F1007,'LEAID Match'!$A$2:$B$142,2,FALSE),"")</f>
        <v/>
      </c>
    </row>
    <row r="1008" spans="1:8" x14ac:dyDescent="0.2">
      <c r="A1008" t="str">
        <f t="shared" si="15"/>
        <v/>
      </c>
      <c r="B1008" s="1">
        <v>2018</v>
      </c>
      <c r="C1008" s="1" t="s">
        <v>2505</v>
      </c>
      <c r="D1008" s="1" t="s">
        <v>2506</v>
      </c>
      <c r="E1008" s="1" t="s">
        <v>2019</v>
      </c>
      <c r="F1008" s="1" t="s">
        <v>101</v>
      </c>
      <c r="G1008" s="6">
        <v>364821</v>
      </c>
      <c r="H1008" t="str">
        <f>IFERROR(VLOOKUP(F1008,'LEAID Match'!$A$2:$B$142,2,FALSE),"")</f>
        <v/>
      </c>
    </row>
    <row r="1009" spans="1:8" x14ac:dyDescent="0.2">
      <c r="A1009" t="str">
        <f t="shared" si="15"/>
        <v/>
      </c>
      <c r="B1009" s="1">
        <v>2019</v>
      </c>
      <c r="C1009" s="1" t="s">
        <v>2505</v>
      </c>
      <c r="D1009" s="1" t="s">
        <v>2506</v>
      </c>
      <c r="E1009" s="1" t="s">
        <v>2019</v>
      </c>
      <c r="F1009" s="1" t="s">
        <v>101</v>
      </c>
      <c r="G1009" s="6">
        <v>367010</v>
      </c>
      <c r="H1009" t="str">
        <f>IFERROR(VLOOKUP(F1009,'LEAID Match'!$A$2:$B$142,2,FALSE),"")</f>
        <v/>
      </c>
    </row>
    <row r="1010" spans="1:8" x14ac:dyDescent="0.2">
      <c r="A1010" t="str">
        <f t="shared" si="15"/>
        <v/>
      </c>
      <c r="B1010" s="1">
        <v>2020</v>
      </c>
      <c r="C1010" s="1" t="s">
        <v>2505</v>
      </c>
      <c r="D1010" s="1" t="s">
        <v>2506</v>
      </c>
      <c r="E1010" s="1" t="s">
        <v>2019</v>
      </c>
      <c r="F1010" s="1" t="s">
        <v>101</v>
      </c>
      <c r="G1010" s="6">
        <v>438504</v>
      </c>
      <c r="H1010" t="str">
        <f>IFERROR(VLOOKUP(F1010,'LEAID Match'!$A$2:$B$142,2,FALSE),"")</f>
        <v/>
      </c>
    </row>
    <row r="1011" spans="1:8" x14ac:dyDescent="0.2">
      <c r="A1011" t="str">
        <f t="shared" si="15"/>
        <v/>
      </c>
      <c r="B1011" s="1">
        <v>2021</v>
      </c>
      <c r="C1011" s="1" t="s">
        <v>2505</v>
      </c>
      <c r="D1011" s="1" t="s">
        <v>2506</v>
      </c>
      <c r="E1011" s="1" t="s">
        <v>2019</v>
      </c>
      <c r="F1011" s="1" t="s">
        <v>101</v>
      </c>
      <c r="G1011" s="6">
        <v>471558</v>
      </c>
      <c r="H1011" t="str">
        <f>IFERROR(VLOOKUP(F1011,'LEAID Match'!$A$2:$B$142,2,FALSE),"")</f>
        <v/>
      </c>
    </row>
    <row r="1012" spans="1:8" x14ac:dyDescent="0.2">
      <c r="A1012" t="str">
        <f t="shared" si="15"/>
        <v/>
      </c>
      <c r="B1012" s="1">
        <v>2022</v>
      </c>
      <c r="C1012" s="1" t="s">
        <v>2505</v>
      </c>
      <c r="D1012" s="1" t="s">
        <v>2506</v>
      </c>
      <c r="E1012" s="1" t="s">
        <v>2019</v>
      </c>
      <c r="F1012" s="1" t="s">
        <v>101</v>
      </c>
      <c r="G1012" s="6">
        <v>472035</v>
      </c>
      <c r="H1012" t="str">
        <f>IFERROR(VLOOKUP(F1012,'LEAID Match'!$A$2:$B$142,2,FALSE),"")</f>
        <v/>
      </c>
    </row>
    <row r="1013" spans="1:8" x14ac:dyDescent="0.2">
      <c r="A1013" t="str">
        <f t="shared" si="15"/>
        <v/>
      </c>
      <c r="B1013" s="1">
        <v>2023</v>
      </c>
      <c r="C1013" s="1" t="s">
        <v>2505</v>
      </c>
      <c r="D1013" s="1" t="s">
        <v>2506</v>
      </c>
      <c r="E1013" s="1" t="s">
        <v>2019</v>
      </c>
      <c r="F1013" s="1" t="s">
        <v>101</v>
      </c>
      <c r="G1013" s="6">
        <v>514100</v>
      </c>
      <c r="H1013" t="str">
        <f>IFERROR(VLOOKUP(F1013,'LEAID Match'!$A$2:$B$142,2,FALSE),"")</f>
        <v/>
      </c>
    </row>
    <row r="1014" spans="1:8" x14ac:dyDescent="0.2">
      <c r="A1014" t="str">
        <f t="shared" si="15"/>
        <v/>
      </c>
      <c r="B1014" s="1">
        <v>2024</v>
      </c>
      <c r="C1014" s="1" t="s">
        <v>2505</v>
      </c>
      <c r="D1014" s="1" t="s">
        <v>2506</v>
      </c>
      <c r="E1014" s="1" t="s">
        <v>2019</v>
      </c>
      <c r="F1014" s="1" t="s">
        <v>101</v>
      </c>
      <c r="G1014" s="6">
        <v>518090</v>
      </c>
      <c r="H1014" t="str">
        <f>IFERROR(VLOOKUP(F1014,'LEAID Match'!$A$2:$B$142,2,FALSE),"")</f>
        <v/>
      </c>
    </row>
    <row r="1015" spans="1:8" x14ac:dyDescent="0.2">
      <c r="A1015" t="str">
        <f t="shared" si="15"/>
        <v/>
      </c>
      <c r="B1015" s="1">
        <v>2015</v>
      </c>
      <c r="C1015" s="1" t="s">
        <v>2505</v>
      </c>
      <c r="D1015" s="1" t="s">
        <v>2506</v>
      </c>
      <c r="E1015" s="1" t="s">
        <v>2019</v>
      </c>
      <c r="F1015" s="1" t="s">
        <v>102</v>
      </c>
      <c r="G1015" s="6">
        <v>8893</v>
      </c>
      <c r="H1015" t="str">
        <f>IFERROR(VLOOKUP(F1015,'LEAID Match'!$A$2:$B$142,2,FALSE),"")</f>
        <v/>
      </c>
    </row>
    <row r="1016" spans="1:8" x14ac:dyDescent="0.2">
      <c r="A1016" t="str">
        <f t="shared" si="15"/>
        <v/>
      </c>
      <c r="B1016">
        <v>2016</v>
      </c>
      <c r="C1016" s="1" t="s">
        <v>2505</v>
      </c>
      <c r="D1016" s="1" t="s">
        <v>2506</v>
      </c>
      <c r="E1016" s="1" t="s">
        <v>2019</v>
      </c>
      <c r="F1016" s="1" t="s">
        <v>102</v>
      </c>
      <c r="G1016" s="12">
        <v>12728</v>
      </c>
      <c r="H1016" t="str">
        <f>IFERROR(VLOOKUP(F1016,'LEAID Match'!$A$2:$B$142,2,FALSE),"")</f>
        <v/>
      </c>
    </row>
    <row r="1017" spans="1:8" x14ac:dyDescent="0.2">
      <c r="A1017" t="str">
        <f t="shared" si="15"/>
        <v/>
      </c>
      <c r="B1017" s="1">
        <v>2017</v>
      </c>
      <c r="C1017" s="1" t="s">
        <v>2505</v>
      </c>
      <c r="D1017" s="1" t="s">
        <v>2506</v>
      </c>
      <c r="E1017" s="1" t="s">
        <v>2019</v>
      </c>
      <c r="F1017" s="1" t="s">
        <v>102</v>
      </c>
      <c r="G1017" s="47">
        <v>12999</v>
      </c>
      <c r="H1017" t="str">
        <f>IFERROR(VLOOKUP(F1017,'LEAID Match'!$A$2:$B$142,2,FALSE),"")</f>
        <v/>
      </c>
    </row>
    <row r="1018" spans="1:8" x14ac:dyDescent="0.2">
      <c r="A1018" t="str">
        <f t="shared" si="15"/>
        <v/>
      </c>
      <c r="B1018" s="1">
        <v>2018</v>
      </c>
      <c r="C1018" s="1" t="s">
        <v>2505</v>
      </c>
      <c r="D1018" s="1" t="s">
        <v>2506</v>
      </c>
      <c r="E1018" s="1" t="s">
        <v>2019</v>
      </c>
      <c r="F1018" s="1" t="s">
        <v>102</v>
      </c>
      <c r="G1018" s="6">
        <v>11571</v>
      </c>
      <c r="H1018" t="str">
        <f>IFERROR(VLOOKUP(F1018,'LEAID Match'!$A$2:$B$142,2,FALSE),"")</f>
        <v/>
      </c>
    </row>
    <row r="1019" spans="1:8" x14ac:dyDescent="0.2">
      <c r="A1019" t="str">
        <f t="shared" si="15"/>
        <v/>
      </c>
      <c r="B1019" s="1">
        <v>2019</v>
      </c>
      <c r="C1019" s="1" t="s">
        <v>2505</v>
      </c>
      <c r="D1019" s="1" t="s">
        <v>2506</v>
      </c>
      <c r="E1019" s="1" t="s">
        <v>2019</v>
      </c>
      <c r="F1019" s="1" t="s">
        <v>102</v>
      </c>
      <c r="G1019" s="6">
        <v>11651</v>
      </c>
      <c r="H1019" t="str">
        <f>IFERROR(VLOOKUP(F1019,'LEAID Match'!$A$2:$B$142,2,FALSE),"")</f>
        <v/>
      </c>
    </row>
    <row r="1020" spans="1:8" x14ac:dyDescent="0.2">
      <c r="A1020" t="str">
        <f t="shared" si="15"/>
        <v/>
      </c>
      <c r="B1020" s="1">
        <v>2020</v>
      </c>
      <c r="C1020" s="1" t="s">
        <v>2505</v>
      </c>
      <c r="D1020" s="1" t="s">
        <v>2506</v>
      </c>
      <c r="E1020" s="1" t="s">
        <v>2019</v>
      </c>
      <c r="F1020" s="1" t="s">
        <v>102</v>
      </c>
      <c r="G1020" s="6">
        <v>13242</v>
      </c>
      <c r="H1020" t="str">
        <f>IFERROR(VLOOKUP(F1020,'LEAID Match'!$A$2:$B$142,2,FALSE),"")</f>
        <v/>
      </c>
    </row>
    <row r="1021" spans="1:8" x14ac:dyDescent="0.2">
      <c r="A1021" t="str">
        <f t="shared" si="15"/>
        <v/>
      </c>
      <c r="B1021" s="1">
        <v>2021</v>
      </c>
      <c r="C1021" s="1" t="s">
        <v>2505</v>
      </c>
      <c r="D1021" s="1" t="s">
        <v>2506</v>
      </c>
      <c r="E1021" s="1" t="s">
        <v>2019</v>
      </c>
      <c r="F1021" s="1" t="s">
        <v>102</v>
      </c>
      <c r="G1021" s="6">
        <v>13547</v>
      </c>
      <c r="H1021" t="str">
        <f>IFERROR(VLOOKUP(F1021,'LEAID Match'!$A$2:$B$142,2,FALSE),"")</f>
        <v/>
      </c>
    </row>
    <row r="1022" spans="1:8" x14ac:dyDescent="0.2">
      <c r="A1022" t="str">
        <f t="shared" si="15"/>
        <v/>
      </c>
      <c r="B1022" s="1">
        <v>2022</v>
      </c>
      <c r="C1022" s="1" t="s">
        <v>2505</v>
      </c>
      <c r="D1022" s="1" t="s">
        <v>2506</v>
      </c>
      <c r="E1022" s="1" t="s">
        <v>2019</v>
      </c>
      <c r="F1022" s="1" t="s">
        <v>102</v>
      </c>
      <c r="G1022" s="6">
        <v>14699</v>
      </c>
      <c r="H1022" t="str">
        <f>IFERROR(VLOOKUP(F1022,'LEAID Match'!$A$2:$B$142,2,FALSE),"")</f>
        <v/>
      </c>
    </row>
    <row r="1023" spans="1:8" x14ac:dyDescent="0.2">
      <c r="A1023" t="str">
        <f t="shared" si="15"/>
        <v/>
      </c>
      <c r="B1023" s="1">
        <v>2023</v>
      </c>
      <c r="C1023" s="1" t="s">
        <v>2505</v>
      </c>
      <c r="D1023" s="1" t="s">
        <v>2506</v>
      </c>
      <c r="E1023" s="1" t="s">
        <v>2019</v>
      </c>
      <c r="F1023" s="1" t="s">
        <v>102</v>
      </c>
      <c r="G1023" s="6">
        <v>5646</v>
      </c>
      <c r="H1023" t="str">
        <f>IFERROR(VLOOKUP(F1023,'LEAID Match'!$A$2:$B$142,2,FALSE),"")</f>
        <v/>
      </c>
    </row>
    <row r="1024" spans="1:8" x14ac:dyDescent="0.2">
      <c r="A1024" t="str">
        <f t="shared" si="15"/>
        <v/>
      </c>
      <c r="B1024" s="1">
        <v>2024</v>
      </c>
      <c r="C1024" s="1" t="s">
        <v>2505</v>
      </c>
      <c r="D1024" s="1" t="s">
        <v>2506</v>
      </c>
      <c r="E1024" s="1" t="s">
        <v>2019</v>
      </c>
      <c r="F1024" s="1" t="s">
        <v>102</v>
      </c>
      <c r="G1024" s="6">
        <v>21981</v>
      </c>
      <c r="H1024" t="str">
        <f>IFERROR(VLOOKUP(F1024,'LEAID Match'!$A$2:$B$142,2,FALSE),"")</f>
        <v/>
      </c>
    </row>
    <row r="1025" spans="1:8" x14ac:dyDescent="0.2">
      <c r="A1025" t="str">
        <f t="shared" si="15"/>
        <v/>
      </c>
      <c r="B1025" s="1">
        <v>2019</v>
      </c>
      <c r="C1025" s="1" t="s">
        <v>2505</v>
      </c>
      <c r="D1025" s="1" t="s">
        <v>2506</v>
      </c>
      <c r="E1025" s="1" t="s">
        <v>2019</v>
      </c>
      <c r="F1025" s="1" t="s">
        <v>103</v>
      </c>
      <c r="G1025" s="6">
        <v>3968</v>
      </c>
      <c r="H1025" t="str">
        <f>IFERROR(VLOOKUP(F1025,'LEAID Match'!$A$2:$B$142,2,FALSE),"")</f>
        <v/>
      </c>
    </row>
    <row r="1026" spans="1:8" x14ac:dyDescent="0.2">
      <c r="A1026" t="str">
        <f t="shared" si="15"/>
        <v/>
      </c>
      <c r="B1026" s="1">
        <v>2020</v>
      </c>
      <c r="C1026" s="1" t="s">
        <v>2505</v>
      </c>
      <c r="D1026" s="1" t="s">
        <v>2506</v>
      </c>
      <c r="E1026" s="1" t="s">
        <v>2019</v>
      </c>
      <c r="F1026" s="1" t="s">
        <v>103</v>
      </c>
      <c r="G1026" s="6">
        <v>10395</v>
      </c>
      <c r="H1026" t="str">
        <f>IFERROR(VLOOKUP(F1026,'LEAID Match'!$A$2:$B$142,2,FALSE),"")</f>
        <v/>
      </c>
    </row>
    <row r="1027" spans="1:8" x14ac:dyDescent="0.2">
      <c r="A1027" t="str">
        <f t="shared" ref="A1027:A1090" si="16">H1027</f>
        <v/>
      </c>
      <c r="B1027" s="1">
        <v>2021</v>
      </c>
      <c r="C1027" s="1" t="s">
        <v>2505</v>
      </c>
      <c r="D1027" s="1" t="s">
        <v>2506</v>
      </c>
      <c r="E1027" s="1" t="s">
        <v>2019</v>
      </c>
      <c r="F1027" s="1" t="s">
        <v>103</v>
      </c>
      <c r="G1027" s="6">
        <v>10272</v>
      </c>
      <c r="H1027" t="str">
        <f>IFERROR(VLOOKUP(F1027,'LEAID Match'!$A$2:$B$142,2,FALSE),"")</f>
        <v/>
      </c>
    </row>
    <row r="1028" spans="1:8" x14ac:dyDescent="0.2">
      <c r="A1028" t="str">
        <f t="shared" si="16"/>
        <v/>
      </c>
      <c r="B1028" s="1">
        <v>2022</v>
      </c>
      <c r="C1028" s="1" t="s">
        <v>2505</v>
      </c>
      <c r="D1028" s="1" t="s">
        <v>2506</v>
      </c>
      <c r="E1028" s="1" t="s">
        <v>2019</v>
      </c>
      <c r="F1028" s="1" t="s">
        <v>103</v>
      </c>
      <c r="G1028" s="6">
        <v>9341</v>
      </c>
      <c r="H1028" t="str">
        <f>IFERROR(VLOOKUP(F1028,'LEAID Match'!$A$2:$B$142,2,FALSE),"")</f>
        <v/>
      </c>
    </row>
    <row r="1029" spans="1:8" x14ac:dyDescent="0.2">
      <c r="A1029" t="str">
        <f t="shared" si="16"/>
        <v/>
      </c>
      <c r="B1029" s="1">
        <v>2023</v>
      </c>
      <c r="C1029" s="1" t="s">
        <v>2505</v>
      </c>
      <c r="D1029" s="1" t="s">
        <v>2506</v>
      </c>
      <c r="E1029" s="1" t="s">
        <v>2019</v>
      </c>
      <c r="F1029" s="1" t="s">
        <v>103</v>
      </c>
      <c r="G1029" s="6">
        <v>10264</v>
      </c>
      <c r="H1029" t="str">
        <f>IFERROR(VLOOKUP(F1029,'LEAID Match'!$A$2:$B$142,2,FALSE),"")</f>
        <v/>
      </c>
    </row>
    <row r="1030" spans="1:8" x14ac:dyDescent="0.2">
      <c r="A1030" t="str">
        <f t="shared" si="16"/>
        <v/>
      </c>
      <c r="B1030" s="1">
        <v>2024</v>
      </c>
      <c r="C1030" s="1" t="s">
        <v>2505</v>
      </c>
      <c r="D1030" s="1" t="s">
        <v>2506</v>
      </c>
      <c r="E1030" s="1" t="s">
        <v>2019</v>
      </c>
      <c r="F1030" s="1" t="s">
        <v>103</v>
      </c>
      <c r="G1030" s="6">
        <v>11293</v>
      </c>
      <c r="H1030" t="str">
        <f>IFERROR(VLOOKUP(F1030,'LEAID Match'!$A$2:$B$142,2,FALSE),"")</f>
        <v/>
      </c>
    </row>
    <row r="1031" spans="1:8" x14ac:dyDescent="0.2">
      <c r="A1031" t="str">
        <f t="shared" si="16"/>
        <v/>
      </c>
      <c r="B1031" s="1">
        <v>2015</v>
      </c>
      <c r="C1031" s="1" t="s">
        <v>2505</v>
      </c>
      <c r="D1031" s="1" t="s">
        <v>2506</v>
      </c>
      <c r="E1031" s="1" t="s">
        <v>2019</v>
      </c>
      <c r="F1031" s="1" t="s">
        <v>104</v>
      </c>
      <c r="G1031" s="6">
        <v>423006</v>
      </c>
      <c r="H1031" t="str">
        <f>IFERROR(VLOOKUP(F1031,'LEAID Match'!$A$2:$B$142,2,FALSE),"")</f>
        <v/>
      </c>
    </row>
    <row r="1032" spans="1:8" x14ac:dyDescent="0.2">
      <c r="A1032" t="str">
        <f t="shared" si="16"/>
        <v/>
      </c>
      <c r="B1032">
        <v>2016</v>
      </c>
      <c r="C1032" s="1" t="s">
        <v>2505</v>
      </c>
      <c r="D1032" s="1" t="s">
        <v>2506</v>
      </c>
      <c r="E1032" s="1" t="s">
        <v>2019</v>
      </c>
      <c r="F1032" s="1" t="s">
        <v>104</v>
      </c>
      <c r="G1032" s="12">
        <v>462955</v>
      </c>
      <c r="H1032" t="str">
        <f>IFERROR(VLOOKUP(F1032,'LEAID Match'!$A$2:$B$142,2,FALSE),"")</f>
        <v/>
      </c>
    </row>
    <row r="1033" spans="1:8" x14ac:dyDescent="0.2">
      <c r="A1033" t="str">
        <f t="shared" si="16"/>
        <v/>
      </c>
      <c r="B1033" s="1">
        <v>2017</v>
      </c>
      <c r="C1033" s="1" t="s">
        <v>2505</v>
      </c>
      <c r="D1033" s="1" t="s">
        <v>2506</v>
      </c>
      <c r="E1033" s="1" t="s">
        <v>2019</v>
      </c>
      <c r="F1033" s="1" t="s">
        <v>104</v>
      </c>
      <c r="G1033" s="47">
        <v>503343</v>
      </c>
      <c r="H1033" t="str">
        <f>IFERROR(VLOOKUP(F1033,'LEAID Match'!$A$2:$B$142,2,FALSE),"")</f>
        <v/>
      </c>
    </row>
    <row r="1034" spans="1:8" x14ac:dyDescent="0.2">
      <c r="A1034" t="str">
        <f t="shared" si="16"/>
        <v/>
      </c>
      <c r="B1034" s="1">
        <v>2018</v>
      </c>
      <c r="C1034" s="1" t="s">
        <v>2505</v>
      </c>
      <c r="D1034" s="1" t="s">
        <v>2506</v>
      </c>
      <c r="E1034" s="1" t="s">
        <v>2019</v>
      </c>
      <c r="F1034" s="1" t="s">
        <v>104</v>
      </c>
      <c r="G1034" s="6">
        <v>527858</v>
      </c>
      <c r="H1034" t="str">
        <f>IFERROR(VLOOKUP(F1034,'LEAID Match'!$A$2:$B$142,2,FALSE),"")</f>
        <v/>
      </c>
    </row>
    <row r="1035" spans="1:8" x14ac:dyDescent="0.2">
      <c r="A1035" t="str">
        <f t="shared" si="16"/>
        <v/>
      </c>
      <c r="B1035" s="1">
        <v>2019</v>
      </c>
      <c r="C1035" s="1" t="s">
        <v>2505</v>
      </c>
      <c r="D1035" s="1" t="s">
        <v>2506</v>
      </c>
      <c r="E1035" s="1" t="s">
        <v>2019</v>
      </c>
      <c r="F1035" s="1" t="s">
        <v>104</v>
      </c>
      <c r="G1035" s="6">
        <v>583888</v>
      </c>
      <c r="H1035" t="str">
        <f>IFERROR(VLOOKUP(F1035,'LEAID Match'!$A$2:$B$142,2,FALSE),"")</f>
        <v/>
      </c>
    </row>
    <row r="1036" spans="1:8" x14ac:dyDescent="0.2">
      <c r="A1036" t="str">
        <f t="shared" si="16"/>
        <v/>
      </c>
      <c r="B1036" s="1">
        <v>2020</v>
      </c>
      <c r="C1036" s="1" t="s">
        <v>2505</v>
      </c>
      <c r="D1036" s="1" t="s">
        <v>2506</v>
      </c>
      <c r="E1036" s="1" t="s">
        <v>2019</v>
      </c>
      <c r="F1036" s="1" t="s">
        <v>104</v>
      </c>
      <c r="G1036" s="6">
        <v>665765</v>
      </c>
      <c r="H1036" t="str">
        <f>IFERROR(VLOOKUP(F1036,'LEAID Match'!$A$2:$B$142,2,FALSE),"")</f>
        <v/>
      </c>
    </row>
    <row r="1037" spans="1:8" x14ac:dyDescent="0.2">
      <c r="A1037" t="str">
        <f t="shared" si="16"/>
        <v/>
      </c>
      <c r="B1037" s="1">
        <v>2021</v>
      </c>
      <c r="C1037" s="1" t="s">
        <v>2505</v>
      </c>
      <c r="D1037" s="1" t="s">
        <v>2506</v>
      </c>
      <c r="E1037" s="1" t="s">
        <v>2019</v>
      </c>
      <c r="F1037" s="1" t="s">
        <v>104</v>
      </c>
      <c r="G1037" s="6">
        <v>673713</v>
      </c>
      <c r="H1037" t="str">
        <f>IFERROR(VLOOKUP(F1037,'LEAID Match'!$A$2:$B$142,2,FALSE),"")</f>
        <v/>
      </c>
    </row>
    <row r="1038" spans="1:8" x14ac:dyDescent="0.2">
      <c r="A1038" t="str">
        <f t="shared" si="16"/>
        <v/>
      </c>
      <c r="B1038" s="1">
        <v>2022</v>
      </c>
      <c r="C1038" s="1" t="s">
        <v>2505</v>
      </c>
      <c r="D1038" s="1" t="s">
        <v>2506</v>
      </c>
      <c r="E1038" s="1" t="s">
        <v>2019</v>
      </c>
      <c r="F1038" s="1" t="s">
        <v>104</v>
      </c>
      <c r="G1038" s="6">
        <v>658402</v>
      </c>
      <c r="H1038" t="str">
        <f>IFERROR(VLOOKUP(F1038,'LEAID Match'!$A$2:$B$142,2,FALSE),"")</f>
        <v/>
      </c>
    </row>
    <row r="1039" spans="1:8" x14ac:dyDescent="0.2">
      <c r="A1039" t="str">
        <f t="shared" si="16"/>
        <v/>
      </c>
      <c r="B1039" s="1">
        <v>2023</v>
      </c>
      <c r="C1039" s="1" t="s">
        <v>2505</v>
      </c>
      <c r="D1039" s="1" t="s">
        <v>2506</v>
      </c>
      <c r="E1039" s="1" t="s">
        <v>2019</v>
      </c>
      <c r="F1039" s="1" t="s">
        <v>104</v>
      </c>
      <c r="G1039" s="6">
        <v>739843</v>
      </c>
      <c r="H1039" t="str">
        <f>IFERROR(VLOOKUP(F1039,'LEAID Match'!$A$2:$B$142,2,FALSE),"")</f>
        <v/>
      </c>
    </row>
    <row r="1040" spans="1:8" x14ac:dyDescent="0.2">
      <c r="A1040" t="str">
        <f t="shared" si="16"/>
        <v/>
      </c>
      <c r="B1040" s="1">
        <v>2024</v>
      </c>
      <c r="C1040" s="1" t="s">
        <v>2505</v>
      </c>
      <c r="D1040" s="1" t="s">
        <v>2506</v>
      </c>
      <c r="E1040" s="1" t="s">
        <v>2019</v>
      </c>
      <c r="F1040" s="1" t="s">
        <v>104</v>
      </c>
      <c r="G1040" s="6">
        <v>750216</v>
      </c>
      <c r="H1040" t="str">
        <f>IFERROR(VLOOKUP(F1040,'LEAID Match'!$A$2:$B$142,2,FALSE),"")</f>
        <v/>
      </c>
    </row>
    <row r="1041" spans="1:8" x14ac:dyDescent="0.2">
      <c r="A1041" t="str">
        <f t="shared" si="16"/>
        <v/>
      </c>
      <c r="B1041" s="1">
        <v>2022</v>
      </c>
      <c r="C1041" s="1" t="s">
        <v>2505</v>
      </c>
      <c r="D1041" s="1" t="s">
        <v>2506</v>
      </c>
      <c r="E1041" s="1" t="s">
        <v>2019</v>
      </c>
      <c r="F1041" s="1" t="s">
        <v>105</v>
      </c>
      <c r="G1041" s="6">
        <v>8707</v>
      </c>
      <c r="H1041" t="str">
        <f>IFERROR(VLOOKUP(F1041,'LEAID Match'!$A$2:$B$142,2,FALSE),"")</f>
        <v/>
      </c>
    </row>
    <row r="1042" spans="1:8" x14ac:dyDescent="0.2">
      <c r="A1042" t="str">
        <f t="shared" si="16"/>
        <v/>
      </c>
      <c r="B1042" s="1">
        <v>2023</v>
      </c>
      <c r="C1042" s="1" t="s">
        <v>2505</v>
      </c>
      <c r="D1042" s="1" t="s">
        <v>2506</v>
      </c>
      <c r="E1042" s="1" t="s">
        <v>2019</v>
      </c>
      <c r="F1042" s="1" t="s">
        <v>105</v>
      </c>
      <c r="G1042" s="6">
        <v>180449</v>
      </c>
      <c r="H1042" t="str">
        <f>IFERROR(VLOOKUP(F1042,'LEAID Match'!$A$2:$B$142,2,FALSE),"")</f>
        <v/>
      </c>
    </row>
    <row r="1043" spans="1:8" x14ac:dyDescent="0.2">
      <c r="A1043" t="str">
        <f t="shared" si="16"/>
        <v/>
      </c>
      <c r="B1043" s="1">
        <v>2024</v>
      </c>
      <c r="C1043" s="1" t="s">
        <v>2505</v>
      </c>
      <c r="D1043" s="1" t="s">
        <v>2506</v>
      </c>
      <c r="E1043" s="1" t="s">
        <v>2019</v>
      </c>
      <c r="F1043" s="1" t="s">
        <v>105</v>
      </c>
      <c r="G1043" s="6">
        <v>260739</v>
      </c>
      <c r="H1043" t="str">
        <f>IFERROR(VLOOKUP(F1043,'LEAID Match'!$A$2:$B$142,2,FALSE),"")</f>
        <v/>
      </c>
    </row>
    <row r="1044" spans="1:8" x14ac:dyDescent="0.2">
      <c r="A1044" t="str">
        <f t="shared" si="16"/>
        <v/>
      </c>
      <c r="B1044" s="1">
        <v>2015</v>
      </c>
      <c r="C1044" s="1" t="s">
        <v>2505</v>
      </c>
      <c r="D1044" s="1" t="s">
        <v>2506</v>
      </c>
      <c r="E1044" s="1" t="s">
        <v>2019</v>
      </c>
      <c r="F1044" s="1" t="s">
        <v>106</v>
      </c>
      <c r="G1044" s="6">
        <v>1776772</v>
      </c>
      <c r="H1044" t="str">
        <f>IFERROR(VLOOKUP(F1044,'LEAID Match'!$A$2:$B$142,2,FALSE),"")</f>
        <v/>
      </c>
    </row>
    <row r="1045" spans="1:8" x14ac:dyDescent="0.2">
      <c r="A1045" t="str">
        <f t="shared" si="16"/>
        <v/>
      </c>
      <c r="B1045">
        <v>2016</v>
      </c>
      <c r="C1045" s="1" t="s">
        <v>2505</v>
      </c>
      <c r="D1045" s="1" t="s">
        <v>2506</v>
      </c>
      <c r="E1045" s="1" t="s">
        <v>2019</v>
      </c>
      <c r="F1045" s="1" t="s">
        <v>106</v>
      </c>
      <c r="G1045" s="12">
        <v>1792550</v>
      </c>
      <c r="H1045" t="str">
        <f>IFERROR(VLOOKUP(F1045,'LEAID Match'!$A$2:$B$142,2,FALSE),"")</f>
        <v/>
      </c>
    </row>
    <row r="1046" spans="1:8" x14ac:dyDescent="0.2">
      <c r="A1046" t="str">
        <f t="shared" si="16"/>
        <v/>
      </c>
      <c r="B1046" s="1">
        <v>2017</v>
      </c>
      <c r="C1046" s="1" t="s">
        <v>2505</v>
      </c>
      <c r="D1046" s="1" t="s">
        <v>2506</v>
      </c>
      <c r="E1046" s="1" t="s">
        <v>2019</v>
      </c>
      <c r="F1046" s="1" t="s">
        <v>106</v>
      </c>
      <c r="G1046" s="47">
        <v>1553974</v>
      </c>
      <c r="H1046" t="str">
        <f>IFERROR(VLOOKUP(F1046,'LEAID Match'!$A$2:$B$142,2,FALSE),"")</f>
        <v/>
      </c>
    </row>
    <row r="1047" spans="1:8" x14ac:dyDescent="0.2">
      <c r="A1047" t="str">
        <f t="shared" si="16"/>
        <v/>
      </c>
      <c r="B1047" s="1">
        <v>2018</v>
      </c>
      <c r="C1047" s="1" t="s">
        <v>2505</v>
      </c>
      <c r="D1047" s="1" t="s">
        <v>2506</v>
      </c>
      <c r="E1047" s="1" t="s">
        <v>2019</v>
      </c>
      <c r="F1047" s="1" t="s">
        <v>106</v>
      </c>
      <c r="G1047" s="6">
        <v>1429740</v>
      </c>
      <c r="H1047" t="str">
        <f>IFERROR(VLOOKUP(F1047,'LEAID Match'!$A$2:$B$142,2,FALSE),"")</f>
        <v/>
      </c>
    </row>
    <row r="1048" spans="1:8" x14ac:dyDescent="0.2">
      <c r="A1048" t="str">
        <f t="shared" si="16"/>
        <v/>
      </c>
      <c r="B1048" s="1">
        <v>2019</v>
      </c>
      <c r="C1048" s="1" t="s">
        <v>2505</v>
      </c>
      <c r="D1048" s="1" t="s">
        <v>2506</v>
      </c>
      <c r="E1048" s="1" t="s">
        <v>2019</v>
      </c>
      <c r="F1048" s="1" t="s">
        <v>106</v>
      </c>
      <c r="G1048" s="6">
        <v>1535963</v>
      </c>
      <c r="H1048" t="str">
        <f>IFERROR(VLOOKUP(F1048,'LEAID Match'!$A$2:$B$142,2,FALSE),"")</f>
        <v/>
      </c>
    </row>
    <row r="1049" spans="1:8" x14ac:dyDescent="0.2">
      <c r="A1049" t="str">
        <f t="shared" si="16"/>
        <v/>
      </c>
      <c r="B1049" s="1">
        <v>2020</v>
      </c>
      <c r="C1049" s="1" t="s">
        <v>2505</v>
      </c>
      <c r="D1049" s="1" t="s">
        <v>2506</v>
      </c>
      <c r="E1049" s="1" t="s">
        <v>2019</v>
      </c>
      <c r="F1049" s="1" t="s">
        <v>106</v>
      </c>
      <c r="G1049" s="6">
        <v>2098593</v>
      </c>
      <c r="H1049" t="str">
        <f>IFERROR(VLOOKUP(F1049,'LEAID Match'!$A$2:$B$142,2,FALSE),"")</f>
        <v/>
      </c>
    </row>
    <row r="1050" spans="1:8" x14ac:dyDescent="0.2">
      <c r="A1050" t="str">
        <f t="shared" si="16"/>
        <v/>
      </c>
      <c r="B1050" s="1">
        <v>2021</v>
      </c>
      <c r="C1050" s="1" t="s">
        <v>2505</v>
      </c>
      <c r="D1050" s="1" t="s">
        <v>2506</v>
      </c>
      <c r="E1050" s="1" t="s">
        <v>2019</v>
      </c>
      <c r="F1050" s="1" t="s">
        <v>106</v>
      </c>
      <c r="G1050" s="6">
        <v>1925307</v>
      </c>
      <c r="H1050" t="str">
        <f>IFERROR(VLOOKUP(F1050,'LEAID Match'!$A$2:$B$142,2,FALSE),"")</f>
        <v/>
      </c>
    </row>
    <row r="1051" spans="1:8" x14ac:dyDescent="0.2">
      <c r="A1051" t="str">
        <f t="shared" si="16"/>
        <v/>
      </c>
      <c r="B1051" s="1">
        <v>2022</v>
      </c>
      <c r="C1051" s="1" t="s">
        <v>2505</v>
      </c>
      <c r="D1051" s="1" t="s">
        <v>2506</v>
      </c>
      <c r="E1051" s="1" t="s">
        <v>2019</v>
      </c>
      <c r="F1051" s="1" t="s">
        <v>106</v>
      </c>
      <c r="G1051" s="6">
        <v>2266201</v>
      </c>
      <c r="H1051" t="str">
        <f>IFERROR(VLOOKUP(F1051,'LEAID Match'!$A$2:$B$142,2,FALSE),"")</f>
        <v/>
      </c>
    </row>
    <row r="1052" spans="1:8" x14ac:dyDescent="0.2">
      <c r="A1052" t="str">
        <f t="shared" si="16"/>
        <v/>
      </c>
      <c r="B1052" s="1">
        <v>2023</v>
      </c>
      <c r="C1052" s="1" t="s">
        <v>2505</v>
      </c>
      <c r="D1052" s="1" t="s">
        <v>2506</v>
      </c>
      <c r="E1052" s="1" t="s">
        <v>2019</v>
      </c>
      <c r="F1052" s="1" t="s">
        <v>106</v>
      </c>
      <c r="G1052" s="6">
        <v>2296304</v>
      </c>
      <c r="H1052" t="str">
        <f>IFERROR(VLOOKUP(F1052,'LEAID Match'!$A$2:$B$142,2,FALSE),"")</f>
        <v/>
      </c>
    </row>
    <row r="1053" spans="1:8" x14ac:dyDescent="0.2">
      <c r="A1053" t="str">
        <f t="shared" si="16"/>
        <v/>
      </c>
      <c r="B1053" s="1">
        <v>2024</v>
      </c>
      <c r="C1053" s="1" t="s">
        <v>2505</v>
      </c>
      <c r="D1053" s="1" t="s">
        <v>2506</v>
      </c>
      <c r="E1053" s="1" t="s">
        <v>2019</v>
      </c>
      <c r="F1053" s="1" t="s">
        <v>106</v>
      </c>
      <c r="G1053" s="6">
        <v>2230184</v>
      </c>
      <c r="H1053" t="str">
        <f>IFERROR(VLOOKUP(F1053,'LEAID Match'!$A$2:$B$142,2,FALSE),"")</f>
        <v/>
      </c>
    </row>
    <row r="1054" spans="1:8" x14ac:dyDescent="0.2">
      <c r="A1054" t="str">
        <f t="shared" si="16"/>
        <v/>
      </c>
      <c r="B1054" s="1">
        <v>2018</v>
      </c>
      <c r="C1054" s="1" t="s">
        <v>2505</v>
      </c>
      <c r="D1054" s="1" t="s">
        <v>2506</v>
      </c>
      <c r="E1054" s="1" t="s">
        <v>2019</v>
      </c>
      <c r="F1054" s="1" t="s">
        <v>107</v>
      </c>
      <c r="G1054" s="6">
        <v>66436</v>
      </c>
      <c r="H1054" t="str">
        <f>IFERROR(VLOOKUP(F1054,'LEAID Match'!$A$2:$B$142,2,FALSE),"")</f>
        <v/>
      </c>
    </row>
    <row r="1055" spans="1:8" x14ac:dyDescent="0.2">
      <c r="A1055" t="str">
        <f t="shared" si="16"/>
        <v/>
      </c>
      <c r="B1055" s="1">
        <v>2019</v>
      </c>
      <c r="C1055" s="1" t="s">
        <v>2505</v>
      </c>
      <c r="D1055" s="1" t="s">
        <v>2506</v>
      </c>
      <c r="E1055" s="1" t="s">
        <v>2019</v>
      </c>
      <c r="F1055" s="1" t="s">
        <v>107</v>
      </c>
      <c r="G1055" s="6">
        <v>71233</v>
      </c>
      <c r="H1055" t="str">
        <f>IFERROR(VLOOKUP(F1055,'LEAID Match'!$A$2:$B$142,2,FALSE),"")</f>
        <v/>
      </c>
    </row>
    <row r="1056" spans="1:8" x14ac:dyDescent="0.2">
      <c r="A1056" t="str">
        <f t="shared" si="16"/>
        <v/>
      </c>
      <c r="B1056" s="1">
        <v>2020</v>
      </c>
      <c r="C1056" s="1" t="s">
        <v>2505</v>
      </c>
      <c r="D1056" s="1" t="s">
        <v>2506</v>
      </c>
      <c r="E1056" s="1" t="s">
        <v>2019</v>
      </c>
      <c r="F1056" s="1" t="s">
        <v>107</v>
      </c>
      <c r="G1056" s="6">
        <v>82695</v>
      </c>
      <c r="H1056" t="str">
        <f>IFERROR(VLOOKUP(F1056,'LEAID Match'!$A$2:$B$142,2,FALSE),"")</f>
        <v/>
      </c>
    </row>
    <row r="1057" spans="1:8" x14ac:dyDescent="0.2">
      <c r="A1057" t="str">
        <f t="shared" si="16"/>
        <v/>
      </c>
      <c r="B1057" s="1">
        <v>2021</v>
      </c>
      <c r="C1057" s="1" t="s">
        <v>2505</v>
      </c>
      <c r="D1057" s="1" t="s">
        <v>2506</v>
      </c>
      <c r="E1057" s="1" t="s">
        <v>2019</v>
      </c>
      <c r="F1057" s="1" t="s">
        <v>107</v>
      </c>
      <c r="G1057" s="6">
        <v>80455</v>
      </c>
      <c r="H1057" t="str">
        <f>IFERROR(VLOOKUP(F1057,'LEAID Match'!$A$2:$B$142,2,FALSE),"")</f>
        <v/>
      </c>
    </row>
    <row r="1058" spans="1:8" x14ac:dyDescent="0.2">
      <c r="A1058" t="str">
        <f t="shared" si="16"/>
        <v/>
      </c>
      <c r="B1058" s="1">
        <v>2022</v>
      </c>
      <c r="C1058" s="1" t="s">
        <v>2505</v>
      </c>
      <c r="D1058" s="1" t="s">
        <v>2506</v>
      </c>
      <c r="E1058" s="1" t="s">
        <v>2019</v>
      </c>
      <c r="F1058" s="1" t="s">
        <v>107</v>
      </c>
      <c r="G1058" s="6">
        <v>91050</v>
      </c>
      <c r="H1058" t="str">
        <f>IFERROR(VLOOKUP(F1058,'LEAID Match'!$A$2:$B$142,2,FALSE),"")</f>
        <v/>
      </c>
    </row>
    <row r="1059" spans="1:8" x14ac:dyDescent="0.2">
      <c r="A1059" t="str">
        <f t="shared" si="16"/>
        <v/>
      </c>
      <c r="B1059" s="1">
        <v>2023</v>
      </c>
      <c r="C1059" s="1" t="s">
        <v>2505</v>
      </c>
      <c r="D1059" s="1" t="s">
        <v>2506</v>
      </c>
      <c r="E1059" s="1" t="s">
        <v>2019</v>
      </c>
      <c r="F1059" s="1" t="s">
        <v>107</v>
      </c>
      <c r="G1059" s="6">
        <v>107678</v>
      </c>
      <c r="H1059" t="str">
        <f>IFERROR(VLOOKUP(F1059,'LEAID Match'!$A$2:$B$142,2,FALSE),"")</f>
        <v/>
      </c>
    </row>
    <row r="1060" spans="1:8" x14ac:dyDescent="0.2">
      <c r="A1060" t="str">
        <f t="shared" si="16"/>
        <v/>
      </c>
      <c r="B1060" s="1">
        <v>2024</v>
      </c>
      <c r="C1060" s="1" t="s">
        <v>2505</v>
      </c>
      <c r="D1060" s="1" t="s">
        <v>2506</v>
      </c>
      <c r="E1060" s="1" t="s">
        <v>2019</v>
      </c>
      <c r="F1060" s="1" t="s">
        <v>107</v>
      </c>
      <c r="G1060" s="6">
        <v>108769</v>
      </c>
      <c r="H1060" t="str">
        <f>IFERROR(VLOOKUP(F1060,'LEAID Match'!$A$2:$B$142,2,FALSE),"")</f>
        <v/>
      </c>
    </row>
    <row r="1061" spans="1:8" x14ac:dyDescent="0.2">
      <c r="A1061" t="str">
        <f t="shared" si="16"/>
        <v/>
      </c>
      <c r="B1061" s="1">
        <v>2015</v>
      </c>
      <c r="C1061" s="1" t="s">
        <v>2505</v>
      </c>
      <c r="D1061" s="1" t="s">
        <v>2506</v>
      </c>
      <c r="E1061" s="1" t="s">
        <v>2019</v>
      </c>
      <c r="F1061" s="1" t="s">
        <v>108</v>
      </c>
      <c r="G1061" s="6">
        <v>104033</v>
      </c>
      <c r="H1061" t="str">
        <f>IFERROR(VLOOKUP(F1061,'LEAID Match'!$A$2:$B$142,2,FALSE),"")</f>
        <v/>
      </c>
    </row>
    <row r="1062" spans="1:8" x14ac:dyDescent="0.2">
      <c r="A1062" t="str">
        <f t="shared" si="16"/>
        <v/>
      </c>
      <c r="B1062">
        <v>2016</v>
      </c>
      <c r="C1062" s="1" t="s">
        <v>2505</v>
      </c>
      <c r="D1062" s="1" t="s">
        <v>2506</v>
      </c>
      <c r="E1062" s="1" t="s">
        <v>2019</v>
      </c>
      <c r="F1062" s="1" t="s">
        <v>108</v>
      </c>
      <c r="G1062" s="12">
        <v>106941</v>
      </c>
      <c r="H1062" t="str">
        <f>IFERROR(VLOOKUP(F1062,'LEAID Match'!$A$2:$B$142,2,FALSE),"")</f>
        <v/>
      </c>
    </row>
    <row r="1063" spans="1:8" x14ac:dyDescent="0.2">
      <c r="A1063" t="str">
        <f t="shared" si="16"/>
        <v/>
      </c>
      <c r="B1063" s="1">
        <v>2017</v>
      </c>
      <c r="C1063" s="1" t="s">
        <v>2505</v>
      </c>
      <c r="D1063" s="1" t="s">
        <v>2506</v>
      </c>
      <c r="E1063" s="1" t="s">
        <v>2019</v>
      </c>
      <c r="F1063" s="1" t="s">
        <v>108</v>
      </c>
      <c r="G1063" s="47">
        <v>121393</v>
      </c>
      <c r="H1063" t="str">
        <f>IFERROR(VLOOKUP(F1063,'LEAID Match'!$A$2:$B$142,2,FALSE),"")</f>
        <v/>
      </c>
    </row>
    <row r="1064" spans="1:8" x14ac:dyDescent="0.2">
      <c r="A1064" t="str">
        <f t="shared" si="16"/>
        <v/>
      </c>
      <c r="B1064" s="1">
        <v>2018</v>
      </c>
      <c r="C1064" s="1" t="s">
        <v>2505</v>
      </c>
      <c r="D1064" s="1" t="s">
        <v>2506</v>
      </c>
      <c r="E1064" s="1" t="s">
        <v>2019</v>
      </c>
      <c r="F1064" s="1" t="s">
        <v>108</v>
      </c>
      <c r="G1064" s="6">
        <v>127439</v>
      </c>
      <c r="H1064" t="str">
        <f>IFERROR(VLOOKUP(F1064,'LEAID Match'!$A$2:$B$142,2,FALSE),"")</f>
        <v/>
      </c>
    </row>
    <row r="1065" spans="1:8" x14ac:dyDescent="0.2">
      <c r="A1065" t="str">
        <f t="shared" si="16"/>
        <v/>
      </c>
      <c r="B1065" s="1">
        <v>2019</v>
      </c>
      <c r="C1065" s="1" t="s">
        <v>2505</v>
      </c>
      <c r="D1065" s="1" t="s">
        <v>2506</v>
      </c>
      <c r="E1065" s="1" t="s">
        <v>2019</v>
      </c>
      <c r="F1065" s="1" t="s">
        <v>108</v>
      </c>
      <c r="G1065" s="6">
        <v>129035</v>
      </c>
      <c r="H1065" t="str">
        <f>IFERROR(VLOOKUP(F1065,'LEAID Match'!$A$2:$B$142,2,FALSE),"")</f>
        <v/>
      </c>
    </row>
    <row r="1066" spans="1:8" x14ac:dyDescent="0.2">
      <c r="A1066" t="str">
        <f t="shared" si="16"/>
        <v/>
      </c>
      <c r="B1066" s="1">
        <v>2020</v>
      </c>
      <c r="C1066" s="1" t="s">
        <v>2505</v>
      </c>
      <c r="D1066" s="1" t="s">
        <v>2506</v>
      </c>
      <c r="E1066" s="1" t="s">
        <v>2019</v>
      </c>
      <c r="F1066" s="1" t="s">
        <v>108</v>
      </c>
      <c r="G1066" s="6">
        <v>147907</v>
      </c>
      <c r="H1066" t="str">
        <f>IFERROR(VLOOKUP(F1066,'LEAID Match'!$A$2:$B$142,2,FALSE),"")</f>
        <v/>
      </c>
    </row>
    <row r="1067" spans="1:8" x14ac:dyDescent="0.2">
      <c r="A1067" t="str">
        <f t="shared" si="16"/>
        <v/>
      </c>
      <c r="B1067" s="1">
        <v>2021</v>
      </c>
      <c r="C1067" s="1" t="s">
        <v>2505</v>
      </c>
      <c r="D1067" s="1" t="s">
        <v>2506</v>
      </c>
      <c r="E1067" s="1" t="s">
        <v>2019</v>
      </c>
      <c r="F1067" s="1" t="s">
        <v>108</v>
      </c>
      <c r="G1067" s="6">
        <v>169622</v>
      </c>
      <c r="H1067" t="str">
        <f>IFERROR(VLOOKUP(F1067,'LEAID Match'!$A$2:$B$142,2,FALSE),"")</f>
        <v/>
      </c>
    </row>
    <row r="1068" spans="1:8" x14ac:dyDescent="0.2">
      <c r="A1068" t="str">
        <f t="shared" si="16"/>
        <v/>
      </c>
      <c r="B1068" s="1">
        <v>2022</v>
      </c>
      <c r="C1068" s="1" t="s">
        <v>2505</v>
      </c>
      <c r="D1068" s="1" t="s">
        <v>2506</v>
      </c>
      <c r="E1068" s="1" t="s">
        <v>2019</v>
      </c>
      <c r="F1068" s="1" t="s">
        <v>108</v>
      </c>
      <c r="G1068" s="6">
        <v>172248</v>
      </c>
      <c r="H1068" t="str">
        <f>IFERROR(VLOOKUP(F1068,'LEAID Match'!$A$2:$B$142,2,FALSE),"")</f>
        <v/>
      </c>
    </row>
    <row r="1069" spans="1:8" x14ac:dyDescent="0.2">
      <c r="A1069" t="str">
        <f t="shared" si="16"/>
        <v/>
      </c>
      <c r="B1069" s="1">
        <v>2023</v>
      </c>
      <c r="C1069" s="1" t="s">
        <v>2505</v>
      </c>
      <c r="D1069" s="1" t="s">
        <v>2506</v>
      </c>
      <c r="E1069" s="1" t="s">
        <v>2019</v>
      </c>
      <c r="F1069" s="1" t="s">
        <v>108</v>
      </c>
      <c r="G1069" s="6">
        <v>166606</v>
      </c>
      <c r="H1069" t="str">
        <f>IFERROR(VLOOKUP(F1069,'LEAID Match'!$A$2:$B$142,2,FALSE),"")</f>
        <v/>
      </c>
    </row>
    <row r="1070" spans="1:8" x14ac:dyDescent="0.2">
      <c r="A1070" t="str">
        <f t="shared" si="16"/>
        <v/>
      </c>
      <c r="B1070" s="1">
        <v>2024</v>
      </c>
      <c r="C1070" s="1" t="s">
        <v>2505</v>
      </c>
      <c r="D1070" s="1" t="s">
        <v>2506</v>
      </c>
      <c r="E1070" s="1" t="s">
        <v>2019</v>
      </c>
      <c r="F1070" s="1" t="s">
        <v>108</v>
      </c>
      <c r="G1070" s="6">
        <v>178427</v>
      </c>
      <c r="H1070" t="str">
        <f>IFERROR(VLOOKUP(F1070,'LEAID Match'!$A$2:$B$142,2,FALSE),"")</f>
        <v/>
      </c>
    </row>
    <row r="1071" spans="1:8" x14ac:dyDescent="0.2">
      <c r="A1071">
        <f t="shared" si="16"/>
        <v>2801020</v>
      </c>
      <c r="B1071" s="1">
        <v>2015</v>
      </c>
      <c r="C1071" s="1" t="s">
        <v>2505</v>
      </c>
      <c r="D1071" s="1" t="s">
        <v>2506</v>
      </c>
      <c r="E1071" s="1" t="s">
        <v>2019</v>
      </c>
      <c r="F1071" s="1" t="s">
        <v>109</v>
      </c>
      <c r="G1071" s="6">
        <v>1294537</v>
      </c>
      <c r="H1071">
        <f>IFERROR(VLOOKUP(F1071,'LEAID Match'!$A$2:$B$142,2,FALSE),"")</f>
        <v>2801020</v>
      </c>
    </row>
    <row r="1072" spans="1:8" x14ac:dyDescent="0.2">
      <c r="A1072">
        <f t="shared" si="16"/>
        <v>2801020</v>
      </c>
      <c r="B1072">
        <v>2016</v>
      </c>
      <c r="C1072" s="1" t="s">
        <v>2505</v>
      </c>
      <c r="D1072" s="1" t="s">
        <v>2506</v>
      </c>
      <c r="E1072" s="1" t="s">
        <v>2019</v>
      </c>
      <c r="F1072" s="1" t="s">
        <v>109</v>
      </c>
      <c r="G1072" s="12">
        <v>1350102</v>
      </c>
      <c r="H1072">
        <f>IFERROR(VLOOKUP(F1072,'LEAID Match'!$A$2:$B$142,2,FALSE),"")</f>
        <v>2801020</v>
      </c>
    </row>
    <row r="1073" spans="1:8" x14ac:dyDescent="0.2">
      <c r="A1073">
        <f t="shared" si="16"/>
        <v>2801020</v>
      </c>
      <c r="B1073" s="1">
        <v>2017</v>
      </c>
      <c r="C1073" s="1" t="s">
        <v>2505</v>
      </c>
      <c r="D1073" s="1" t="s">
        <v>2506</v>
      </c>
      <c r="E1073" s="1" t="s">
        <v>2019</v>
      </c>
      <c r="F1073" s="1" t="s">
        <v>109</v>
      </c>
      <c r="G1073" s="47">
        <v>1340777</v>
      </c>
      <c r="H1073">
        <f>IFERROR(VLOOKUP(F1073,'LEAID Match'!$A$2:$B$142,2,FALSE),"")</f>
        <v>2801020</v>
      </c>
    </row>
    <row r="1074" spans="1:8" x14ac:dyDescent="0.2">
      <c r="A1074">
        <f t="shared" si="16"/>
        <v>2801020</v>
      </c>
      <c r="B1074" s="1">
        <v>2018</v>
      </c>
      <c r="C1074" s="1" t="s">
        <v>2505</v>
      </c>
      <c r="D1074" s="1" t="s">
        <v>2506</v>
      </c>
      <c r="E1074" s="1" t="s">
        <v>2019</v>
      </c>
      <c r="F1074" s="1" t="s">
        <v>109</v>
      </c>
      <c r="G1074" s="6">
        <v>1344961</v>
      </c>
      <c r="H1074">
        <f>IFERROR(VLOOKUP(F1074,'LEAID Match'!$A$2:$B$142,2,FALSE),"")</f>
        <v>2801020</v>
      </c>
    </row>
    <row r="1075" spans="1:8" x14ac:dyDescent="0.2">
      <c r="A1075">
        <f t="shared" si="16"/>
        <v>2801020</v>
      </c>
      <c r="B1075" s="1">
        <v>2019</v>
      </c>
      <c r="C1075" s="1" t="s">
        <v>2505</v>
      </c>
      <c r="D1075" s="1" t="s">
        <v>2506</v>
      </c>
      <c r="E1075" s="1" t="s">
        <v>2019</v>
      </c>
      <c r="F1075" s="1" t="s">
        <v>109</v>
      </c>
      <c r="G1075" s="6">
        <v>1297485</v>
      </c>
      <c r="H1075">
        <f>IFERROR(VLOOKUP(F1075,'LEAID Match'!$A$2:$B$142,2,FALSE),"")</f>
        <v>2801020</v>
      </c>
    </row>
    <row r="1076" spans="1:8" x14ac:dyDescent="0.2">
      <c r="A1076">
        <f t="shared" si="16"/>
        <v>2801020</v>
      </c>
      <c r="B1076" s="1">
        <v>2020</v>
      </c>
      <c r="C1076" s="1" t="s">
        <v>2505</v>
      </c>
      <c r="D1076" s="1" t="s">
        <v>2506</v>
      </c>
      <c r="E1076" s="1" t="s">
        <v>2019</v>
      </c>
      <c r="F1076" s="1" t="s">
        <v>109</v>
      </c>
      <c r="G1076" s="6">
        <v>1539682</v>
      </c>
      <c r="H1076">
        <f>IFERROR(VLOOKUP(F1076,'LEAID Match'!$A$2:$B$142,2,FALSE),"")</f>
        <v>2801020</v>
      </c>
    </row>
    <row r="1077" spans="1:8" x14ac:dyDescent="0.2">
      <c r="A1077">
        <f t="shared" si="16"/>
        <v>2801020</v>
      </c>
      <c r="B1077" s="1">
        <v>2021</v>
      </c>
      <c r="C1077" s="1" t="s">
        <v>2505</v>
      </c>
      <c r="D1077" s="1" t="s">
        <v>2506</v>
      </c>
      <c r="E1077" s="1" t="s">
        <v>2019</v>
      </c>
      <c r="F1077" s="1" t="s">
        <v>109</v>
      </c>
      <c r="G1077" s="6">
        <v>1508807</v>
      </c>
      <c r="H1077">
        <f>IFERROR(VLOOKUP(F1077,'LEAID Match'!$A$2:$B$142,2,FALSE),"")</f>
        <v>2801020</v>
      </c>
    </row>
    <row r="1078" spans="1:8" x14ac:dyDescent="0.2">
      <c r="A1078">
        <f t="shared" si="16"/>
        <v>2801020</v>
      </c>
      <c r="B1078" s="1">
        <v>2022</v>
      </c>
      <c r="C1078" s="1" t="s">
        <v>2505</v>
      </c>
      <c r="D1078" s="1" t="s">
        <v>2506</v>
      </c>
      <c r="E1078" s="1" t="s">
        <v>2019</v>
      </c>
      <c r="F1078" s="1" t="s">
        <v>109</v>
      </c>
      <c r="G1078" s="6">
        <v>1525181</v>
      </c>
      <c r="H1078">
        <f>IFERROR(VLOOKUP(F1078,'LEAID Match'!$A$2:$B$142,2,FALSE),"")</f>
        <v>2801020</v>
      </c>
    </row>
    <row r="1079" spans="1:8" x14ac:dyDescent="0.2">
      <c r="A1079">
        <f t="shared" si="16"/>
        <v>2801020</v>
      </c>
      <c r="B1079" s="1">
        <v>2023</v>
      </c>
      <c r="C1079" s="1" t="s">
        <v>2505</v>
      </c>
      <c r="D1079" s="1" t="s">
        <v>2506</v>
      </c>
      <c r="E1079" s="1" t="s">
        <v>2019</v>
      </c>
      <c r="F1079" s="1" t="s">
        <v>109</v>
      </c>
      <c r="G1079" s="6">
        <v>1615654</v>
      </c>
      <c r="H1079">
        <f>IFERROR(VLOOKUP(F1079,'LEAID Match'!$A$2:$B$142,2,FALSE),"")</f>
        <v>2801020</v>
      </c>
    </row>
    <row r="1080" spans="1:8" x14ac:dyDescent="0.2">
      <c r="A1080">
        <f t="shared" si="16"/>
        <v>2801020</v>
      </c>
      <c r="B1080" s="1">
        <v>2024</v>
      </c>
      <c r="C1080" s="1" t="s">
        <v>2505</v>
      </c>
      <c r="D1080" s="1" t="s">
        <v>2506</v>
      </c>
      <c r="E1080" s="1" t="s">
        <v>2019</v>
      </c>
      <c r="F1080" s="1" t="s">
        <v>109</v>
      </c>
      <c r="G1080" s="6">
        <v>1611711</v>
      </c>
      <c r="H1080">
        <f>IFERROR(VLOOKUP(F1080,'LEAID Match'!$A$2:$B$142,2,FALSE),"")</f>
        <v>2801020</v>
      </c>
    </row>
    <row r="1081" spans="1:8" x14ac:dyDescent="0.2">
      <c r="A1081" t="str">
        <f t="shared" si="16"/>
        <v/>
      </c>
      <c r="B1081" s="1">
        <v>2015</v>
      </c>
      <c r="C1081" s="1" t="s">
        <v>2505</v>
      </c>
      <c r="D1081" s="1" t="s">
        <v>2506</v>
      </c>
      <c r="E1081" s="1" t="s">
        <v>2019</v>
      </c>
      <c r="F1081" s="1" t="s">
        <v>110</v>
      </c>
      <c r="G1081" s="6">
        <v>520801</v>
      </c>
      <c r="H1081" t="str">
        <f>IFERROR(VLOOKUP(F1081,'LEAID Match'!$A$2:$B$142,2,FALSE),"")</f>
        <v/>
      </c>
    </row>
    <row r="1082" spans="1:8" x14ac:dyDescent="0.2">
      <c r="A1082" t="str">
        <f t="shared" si="16"/>
        <v/>
      </c>
      <c r="B1082">
        <v>2016</v>
      </c>
      <c r="C1082" s="1" t="s">
        <v>2505</v>
      </c>
      <c r="D1082" s="1" t="s">
        <v>2506</v>
      </c>
      <c r="E1082" s="1" t="s">
        <v>2019</v>
      </c>
      <c r="F1082" s="1" t="s">
        <v>110</v>
      </c>
      <c r="G1082" s="12">
        <v>507090</v>
      </c>
      <c r="H1082" t="str">
        <f>IFERROR(VLOOKUP(F1082,'LEAID Match'!$A$2:$B$142,2,FALSE),"")</f>
        <v/>
      </c>
    </row>
    <row r="1083" spans="1:8" x14ac:dyDescent="0.2">
      <c r="A1083" t="str">
        <f t="shared" si="16"/>
        <v/>
      </c>
      <c r="B1083" s="1">
        <v>2017</v>
      </c>
      <c r="C1083" s="1" t="s">
        <v>2505</v>
      </c>
      <c r="D1083" s="1" t="s">
        <v>2506</v>
      </c>
      <c r="E1083" s="1" t="s">
        <v>2019</v>
      </c>
      <c r="F1083" s="1" t="s">
        <v>110</v>
      </c>
      <c r="G1083" s="47">
        <v>492873</v>
      </c>
      <c r="H1083" t="str">
        <f>IFERROR(VLOOKUP(F1083,'LEAID Match'!$A$2:$B$142,2,FALSE),"")</f>
        <v/>
      </c>
    </row>
    <row r="1084" spans="1:8" x14ac:dyDescent="0.2">
      <c r="A1084" t="str">
        <f t="shared" si="16"/>
        <v/>
      </c>
      <c r="B1084" s="1">
        <v>2018</v>
      </c>
      <c r="C1084" s="1" t="s">
        <v>2505</v>
      </c>
      <c r="D1084" s="1" t="s">
        <v>2506</v>
      </c>
      <c r="E1084" s="1" t="s">
        <v>2019</v>
      </c>
      <c r="F1084" s="1" t="s">
        <v>110</v>
      </c>
      <c r="G1084" s="6">
        <v>518203</v>
      </c>
      <c r="H1084" t="str">
        <f>IFERROR(VLOOKUP(F1084,'LEAID Match'!$A$2:$B$142,2,FALSE),"")</f>
        <v/>
      </c>
    </row>
    <row r="1085" spans="1:8" x14ac:dyDescent="0.2">
      <c r="A1085" t="str">
        <f t="shared" si="16"/>
        <v/>
      </c>
      <c r="B1085" s="1">
        <v>2019</v>
      </c>
      <c r="C1085" s="1" t="s">
        <v>2505</v>
      </c>
      <c r="D1085" s="1" t="s">
        <v>2506</v>
      </c>
      <c r="E1085" s="1" t="s">
        <v>2019</v>
      </c>
      <c r="F1085" s="1" t="s">
        <v>110</v>
      </c>
      <c r="G1085" s="6">
        <v>515364</v>
      </c>
      <c r="H1085" t="str">
        <f>IFERROR(VLOOKUP(F1085,'LEAID Match'!$A$2:$B$142,2,FALSE),"")</f>
        <v/>
      </c>
    </row>
    <row r="1086" spans="1:8" x14ac:dyDescent="0.2">
      <c r="A1086" t="str">
        <f t="shared" si="16"/>
        <v/>
      </c>
      <c r="B1086" s="1">
        <v>2020</v>
      </c>
      <c r="C1086" s="1" t="s">
        <v>2505</v>
      </c>
      <c r="D1086" s="1" t="s">
        <v>2506</v>
      </c>
      <c r="E1086" s="1" t="s">
        <v>2019</v>
      </c>
      <c r="F1086" s="1" t="s">
        <v>110</v>
      </c>
      <c r="G1086" s="6">
        <v>559892</v>
      </c>
      <c r="H1086" t="str">
        <f>IFERROR(VLOOKUP(F1086,'LEAID Match'!$A$2:$B$142,2,FALSE),"")</f>
        <v/>
      </c>
    </row>
    <row r="1087" spans="1:8" x14ac:dyDescent="0.2">
      <c r="A1087" t="str">
        <f t="shared" si="16"/>
        <v/>
      </c>
      <c r="B1087" s="1">
        <v>2021</v>
      </c>
      <c r="C1087" s="1" t="s">
        <v>2505</v>
      </c>
      <c r="D1087" s="1" t="s">
        <v>2506</v>
      </c>
      <c r="E1087" s="1" t="s">
        <v>2019</v>
      </c>
      <c r="F1087" s="1" t="s">
        <v>110</v>
      </c>
      <c r="G1087" s="6">
        <v>573505</v>
      </c>
      <c r="H1087" t="str">
        <f>IFERROR(VLOOKUP(F1087,'LEAID Match'!$A$2:$B$142,2,FALSE),"")</f>
        <v/>
      </c>
    </row>
    <row r="1088" spans="1:8" x14ac:dyDescent="0.2">
      <c r="A1088" t="str">
        <f t="shared" si="16"/>
        <v/>
      </c>
      <c r="B1088" s="1">
        <v>2022</v>
      </c>
      <c r="C1088" s="1" t="s">
        <v>2505</v>
      </c>
      <c r="D1088" s="1" t="s">
        <v>2506</v>
      </c>
      <c r="E1088" s="1" t="s">
        <v>2019</v>
      </c>
      <c r="F1088" s="1" t="s">
        <v>110</v>
      </c>
      <c r="G1088" s="6">
        <v>605194</v>
      </c>
      <c r="H1088" t="str">
        <f>IFERROR(VLOOKUP(F1088,'LEAID Match'!$A$2:$B$142,2,FALSE),"")</f>
        <v/>
      </c>
    </row>
    <row r="1089" spans="1:8" x14ac:dyDescent="0.2">
      <c r="A1089" t="str">
        <f t="shared" si="16"/>
        <v/>
      </c>
      <c r="B1089" s="1">
        <v>2023</v>
      </c>
      <c r="C1089" s="1" t="s">
        <v>2505</v>
      </c>
      <c r="D1089" s="1" t="s">
        <v>2506</v>
      </c>
      <c r="E1089" s="1" t="s">
        <v>2019</v>
      </c>
      <c r="F1089" s="1" t="s">
        <v>110</v>
      </c>
      <c r="G1089" s="6">
        <v>664976</v>
      </c>
      <c r="H1089" t="str">
        <f>IFERROR(VLOOKUP(F1089,'LEAID Match'!$A$2:$B$142,2,FALSE),"")</f>
        <v/>
      </c>
    </row>
    <row r="1090" spans="1:8" x14ac:dyDescent="0.2">
      <c r="A1090" t="str">
        <f t="shared" si="16"/>
        <v/>
      </c>
      <c r="B1090" s="1">
        <v>2024</v>
      </c>
      <c r="C1090" s="1" t="s">
        <v>2505</v>
      </c>
      <c r="D1090" s="1" t="s">
        <v>2506</v>
      </c>
      <c r="E1090" s="1" t="s">
        <v>2019</v>
      </c>
      <c r="F1090" s="1" t="s">
        <v>110</v>
      </c>
      <c r="G1090" s="6">
        <v>664245</v>
      </c>
      <c r="H1090" t="str">
        <f>IFERROR(VLOOKUP(F1090,'LEAID Match'!$A$2:$B$142,2,FALSE),"")</f>
        <v/>
      </c>
    </row>
    <row r="1091" spans="1:8" x14ac:dyDescent="0.2">
      <c r="A1091" t="str">
        <f t="shared" ref="A1091:A1154" si="17">H1091</f>
        <v/>
      </c>
      <c r="B1091" s="1">
        <v>2015</v>
      </c>
      <c r="C1091" s="1" t="s">
        <v>2505</v>
      </c>
      <c r="D1091" s="1" t="s">
        <v>2506</v>
      </c>
      <c r="E1091" s="1" t="s">
        <v>2019</v>
      </c>
      <c r="F1091" s="1" t="s">
        <v>111</v>
      </c>
      <c r="G1091" s="6">
        <v>516655</v>
      </c>
      <c r="H1091" t="str">
        <f>IFERROR(VLOOKUP(F1091,'LEAID Match'!$A$2:$B$142,2,FALSE),"")</f>
        <v/>
      </c>
    </row>
    <row r="1092" spans="1:8" x14ac:dyDescent="0.2">
      <c r="A1092" t="str">
        <f t="shared" si="17"/>
        <v/>
      </c>
      <c r="B1092">
        <v>2016</v>
      </c>
      <c r="C1092" s="1" t="s">
        <v>2505</v>
      </c>
      <c r="D1092" s="1" t="s">
        <v>2506</v>
      </c>
      <c r="E1092" s="1" t="s">
        <v>2019</v>
      </c>
      <c r="F1092" s="1" t="s">
        <v>111</v>
      </c>
      <c r="G1092" s="12">
        <v>668005</v>
      </c>
      <c r="H1092" t="str">
        <f>IFERROR(VLOOKUP(F1092,'LEAID Match'!$A$2:$B$142,2,FALSE),"")</f>
        <v/>
      </c>
    </row>
    <row r="1093" spans="1:8" x14ac:dyDescent="0.2">
      <c r="A1093" t="str">
        <f t="shared" si="17"/>
        <v/>
      </c>
      <c r="B1093" s="1">
        <v>2017</v>
      </c>
      <c r="C1093" s="1" t="s">
        <v>2505</v>
      </c>
      <c r="D1093" s="1" t="s">
        <v>2506</v>
      </c>
      <c r="E1093" s="1" t="s">
        <v>2019</v>
      </c>
      <c r="F1093" s="1" t="s">
        <v>111</v>
      </c>
      <c r="G1093" s="47">
        <v>645408</v>
      </c>
      <c r="H1093" t="str">
        <f>IFERROR(VLOOKUP(F1093,'LEAID Match'!$A$2:$B$142,2,FALSE),"")</f>
        <v/>
      </c>
    </row>
    <row r="1094" spans="1:8" x14ac:dyDescent="0.2">
      <c r="A1094" t="str">
        <f t="shared" si="17"/>
        <v/>
      </c>
      <c r="B1094" s="1">
        <v>2018</v>
      </c>
      <c r="C1094" s="1" t="s">
        <v>2505</v>
      </c>
      <c r="D1094" s="1" t="s">
        <v>2506</v>
      </c>
      <c r="E1094" s="1" t="s">
        <v>2019</v>
      </c>
      <c r="F1094" s="1" t="s">
        <v>111</v>
      </c>
      <c r="G1094" s="6">
        <v>479974</v>
      </c>
      <c r="H1094" t="str">
        <f>IFERROR(VLOOKUP(F1094,'LEAID Match'!$A$2:$B$142,2,FALSE),"")</f>
        <v/>
      </c>
    </row>
    <row r="1095" spans="1:8" x14ac:dyDescent="0.2">
      <c r="A1095" t="str">
        <f t="shared" si="17"/>
        <v/>
      </c>
      <c r="B1095" s="1">
        <v>2019</v>
      </c>
      <c r="C1095" s="1" t="s">
        <v>2505</v>
      </c>
      <c r="D1095" s="1" t="s">
        <v>2506</v>
      </c>
      <c r="E1095" s="1" t="s">
        <v>2019</v>
      </c>
      <c r="F1095" s="1" t="s">
        <v>111</v>
      </c>
      <c r="G1095" s="6">
        <v>513563</v>
      </c>
      <c r="H1095" t="str">
        <f>IFERROR(VLOOKUP(F1095,'LEAID Match'!$A$2:$B$142,2,FALSE),"")</f>
        <v/>
      </c>
    </row>
    <row r="1096" spans="1:8" x14ac:dyDescent="0.2">
      <c r="A1096" t="str">
        <f t="shared" si="17"/>
        <v/>
      </c>
      <c r="B1096" s="1">
        <v>2020</v>
      </c>
      <c r="C1096" s="1" t="s">
        <v>2505</v>
      </c>
      <c r="D1096" s="1" t="s">
        <v>2506</v>
      </c>
      <c r="E1096" s="1" t="s">
        <v>2019</v>
      </c>
      <c r="F1096" s="1" t="s">
        <v>111</v>
      </c>
      <c r="G1096" s="6">
        <v>574954</v>
      </c>
      <c r="H1096" t="str">
        <f>IFERROR(VLOOKUP(F1096,'LEAID Match'!$A$2:$B$142,2,FALSE),"")</f>
        <v/>
      </c>
    </row>
    <row r="1097" spans="1:8" x14ac:dyDescent="0.2">
      <c r="A1097" t="str">
        <f t="shared" si="17"/>
        <v/>
      </c>
      <c r="B1097" s="1">
        <v>2021</v>
      </c>
      <c r="C1097" s="1" t="s">
        <v>2505</v>
      </c>
      <c r="D1097" s="1" t="s">
        <v>2506</v>
      </c>
      <c r="E1097" s="1" t="s">
        <v>2019</v>
      </c>
      <c r="F1097" s="1" t="s">
        <v>111</v>
      </c>
      <c r="G1097" s="6">
        <v>640069</v>
      </c>
      <c r="H1097" t="str">
        <f>IFERROR(VLOOKUP(F1097,'LEAID Match'!$A$2:$B$142,2,FALSE),"")</f>
        <v/>
      </c>
    </row>
    <row r="1098" spans="1:8" x14ac:dyDescent="0.2">
      <c r="A1098" t="str">
        <f t="shared" si="17"/>
        <v/>
      </c>
      <c r="B1098" s="1">
        <v>2022</v>
      </c>
      <c r="C1098" s="1" t="s">
        <v>2505</v>
      </c>
      <c r="D1098" s="1" t="s">
        <v>2506</v>
      </c>
      <c r="E1098" s="1" t="s">
        <v>2019</v>
      </c>
      <c r="F1098" s="1" t="s">
        <v>111</v>
      </c>
      <c r="G1098" s="6">
        <v>610562</v>
      </c>
      <c r="H1098" t="str">
        <f>IFERROR(VLOOKUP(F1098,'LEAID Match'!$A$2:$B$142,2,FALSE),"")</f>
        <v/>
      </c>
    </row>
    <row r="1099" spans="1:8" x14ac:dyDescent="0.2">
      <c r="A1099" t="str">
        <f t="shared" si="17"/>
        <v/>
      </c>
      <c r="B1099" s="1">
        <v>2023</v>
      </c>
      <c r="C1099" s="1" t="s">
        <v>2505</v>
      </c>
      <c r="D1099" s="1" t="s">
        <v>2506</v>
      </c>
      <c r="E1099" s="1" t="s">
        <v>2019</v>
      </c>
      <c r="F1099" s="1" t="s">
        <v>111</v>
      </c>
      <c r="G1099" s="6">
        <v>650706</v>
      </c>
      <c r="H1099" t="str">
        <f>IFERROR(VLOOKUP(F1099,'LEAID Match'!$A$2:$B$142,2,FALSE),"")</f>
        <v/>
      </c>
    </row>
    <row r="1100" spans="1:8" x14ac:dyDescent="0.2">
      <c r="A1100" t="str">
        <f t="shared" si="17"/>
        <v/>
      </c>
      <c r="B1100" s="1">
        <v>2024</v>
      </c>
      <c r="C1100" s="1" t="s">
        <v>2505</v>
      </c>
      <c r="D1100" s="1" t="s">
        <v>2506</v>
      </c>
      <c r="E1100" s="1" t="s">
        <v>2019</v>
      </c>
      <c r="F1100" s="1" t="s">
        <v>111</v>
      </c>
      <c r="G1100" s="6">
        <v>660946</v>
      </c>
      <c r="H1100" t="str">
        <f>IFERROR(VLOOKUP(F1100,'LEAID Match'!$A$2:$B$142,2,FALSE),"")</f>
        <v/>
      </c>
    </row>
    <row r="1101" spans="1:8" x14ac:dyDescent="0.2">
      <c r="A1101" t="str">
        <f t="shared" si="17"/>
        <v/>
      </c>
      <c r="B1101" s="1">
        <v>2015</v>
      </c>
      <c r="C1101" s="1" t="s">
        <v>2505</v>
      </c>
      <c r="D1101" s="1" t="s">
        <v>2506</v>
      </c>
      <c r="E1101" s="1" t="s">
        <v>2019</v>
      </c>
      <c r="F1101" s="1" t="s">
        <v>112</v>
      </c>
      <c r="G1101" s="6">
        <v>57299</v>
      </c>
      <c r="H1101" t="str">
        <f>IFERROR(VLOOKUP(F1101,'LEAID Match'!$A$2:$B$142,2,FALSE),"")</f>
        <v/>
      </c>
    </row>
    <row r="1102" spans="1:8" x14ac:dyDescent="0.2">
      <c r="A1102" t="str">
        <f t="shared" si="17"/>
        <v/>
      </c>
      <c r="B1102">
        <v>2016</v>
      </c>
      <c r="C1102" s="1" t="s">
        <v>2505</v>
      </c>
      <c r="D1102" s="1" t="s">
        <v>2506</v>
      </c>
      <c r="E1102" s="1" t="s">
        <v>2019</v>
      </c>
      <c r="F1102" s="1" t="s">
        <v>112</v>
      </c>
      <c r="G1102" s="12">
        <v>67636</v>
      </c>
      <c r="H1102" t="str">
        <f>IFERROR(VLOOKUP(F1102,'LEAID Match'!$A$2:$B$142,2,FALSE),"")</f>
        <v/>
      </c>
    </row>
    <row r="1103" spans="1:8" x14ac:dyDescent="0.2">
      <c r="A1103" t="str">
        <f t="shared" si="17"/>
        <v/>
      </c>
      <c r="B1103" s="1">
        <v>2017</v>
      </c>
      <c r="C1103" s="1" t="s">
        <v>2505</v>
      </c>
      <c r="D1103" s="1" t="s">
        <v>2506</v>
      </c>
      <c r="E1103" s="1" t="s">
        <v>2019</v>
      </c>
      <c r="F1103" s="1" t="s">
        <v>112</v>
      </c>
      <c r="G1103" s="47">
        <v>71628</v>
      </c>
      <c r="H1103" t="str">
        <f>IFERROR(VLOOKUP(F1103,'LEAID Match'!$A$2:$B$142,2,FALSE),"")</f>
        <v/>
      </c>
    </row>
    <row r="1104" spans="1:8" x14ac:dyDescent="0.2">
      <c r="A1104" t="str">
        <f t="shared" si="17"/>
        <v/>
      </c>
      <c r="B1104" s="1">
        <v>2018</v>
      </c>
      <c r="C1104" s="1" t="s">
        <v>2505</v>
      </c>
      <c r="D1104" s="1" t="s">
        <v>2506</v>
      </c>
      <c r="E1104" s="1" t="s">
        <v>2019</v>
      </c>
      <c r="F1104" s="1" t="s">
        <v>112</v>
      </c>
      <c r="G1104" s="6">
        <v>70347</v>
      </c>
      <c r="H1104" t="str">
        <f>IFERROR(VLOOKUP(F1104,'LEAID Match'!$A$2:$B$142,2,FALSE),"")</f>
        <v/>
      </c>
    </row>
    <row r="1105" spans="1:8" x14ac:dyDescent="0.2">
      <c r="A1105" t="str">
        <f t="shared" si="17"/>
        <v/>
      </c>
      <c r="B1105" s="1">
        <v>2019</v>
      </c>
      <c r="C1105" s="1" t="s">
        <v>2505</v>
      </c>
      <c r="D1105" s="1" t="s">
        <v>2506</v>
      </c>
      <c r="E1105" s="1" t="s">
        <v>2019</v>
      </c>
      <c r="F1105" s="1" t="s">
        <v>112</v>
      </c>
      <c r="G1105" s="6">
        <v>75551</v>
      </c>
      <c r="H1105" t="str">
        <f>IFERROR(VLOOKUP(F1105,'LEAID Match'!$A$2:$B$142,2,FALSE),"")</f>
        <v/>
      </c>
    </row>
    <row r="1106" spans="1:8" x14ac:dyDescent="0.2">
      <c r="A1106" t="str">
        <f t="shared" si="17"/>
        <v/>
      </c>
      <c r="B1106" s="1">
        <v>2020</v>
      </c>
      <c r="C1106" s="1" t="s">
        <v>2505</v>
      </c>
      <c r="D1106" s="1" t="s">
        <v>2506</v>
      </c>
      <c r="E1106" s="1" t="s">
        <v>2019</v>
      </c>
      <c r="F1106" s="1" t="s">
        <v>112</v>
      </c>
      <c r="G1106" s="6">
        <v>105815</v>
      </c>
      <c r="H1106" t="str">
        <f>IFERROR(VLOOKUP(F1106,'LEAID Match'!$A$2:$B$142,2,FALSE),"")</f>
        <v/>
      </c>
    </row>
    <row r="1107" spans="1:8" x14ac:dyDescent="0.2">
      <c r="A1107" t="str">
        <f t="shared" si="17"/>
        <v/>
      </c>
      <c r="B1107" s="1">
        <v>2021</v>
      </c>
      <c r="C1107" s="1" t="s">
        <v>2505</v>
      </c>
      <c r="D1107" s="1" t="s">
        <v>2506</v>
      </c>
      <c r="E1107" s="1" t="s">
        <v>2019</v>
      </c>
      <c r="F1107" s="1" t="s">
        <v>112</v>
      </c>
      <c r="G1107" s="6">
        <v>123807</v>
      </c>
      <c r="H1107" t="str">
        <f>IFERROR(VLOOKUP(F1107,'LEAID Match'!$A$2:$B$142,2,FALSE),"")</f>
        <v/>
      </c>
    </row>
    <row r="1108" spans="1:8" x14ac:dyDescent="0.2">
      <c r="A1108" t="str">
        <f t="shared" si="17"/>
        <v/>
      </c>
      <c r="B1108" s="1">
        <v>2022</v>
      </c>
      <c r="C1108" s="1" t="s">
        <v>2505</v>
      </c>
      <c r="D1108" s="1" t="s">
        <v>2506</v>
      </c>
      <c r="E1108" s="1" t="s">
        <v>2019</v>
      </c>
      <c r="F1108" s="1" t="s">
        <v>112</v>
      </c>
      <c r="G1108" s="6">
        <v>135595</v>
      </c>
      <c r="H1108" t="str">
        <f>IFERROR(VLOOKUP(F1108,'LEAID Match'!$A$2:$B$142,2,FALSE),"")</f>
        <v/>
      </c>
    </row>
    <row r="1109" spans="1:8" x14ac:dyDescent="0.2">
      <c r="A1109" t="str">
        <f t="shared" si="17"/>
        <v/>
      </c>
      <c r="B1109" s="1">
        <v>2023</v>
      </c>
      <c r="C1109" s="1" t="s">
        <v>2505</v>
      </c>
      <c r="D1109" s="1" t="s">
        <v>2506</v>
      </c>
      <c r="E1109" s="1" t="s">
        <v>2019</v>
      </c>
      <c r="F1109" s="1" t="s">
        <v>112</v>
      </c>
      <c r="G1109" s="6">
        <v>160687</v>
      </c>
      <c r="H1109" t="str">
        <f>IFERROR(VLOOKUP(F1109,'LEAID Match'!$A$2:$B$142,2,FALSE),"")</f>
        <v/>
      </c>
    </row>
    <row r="1110" spans="1:8" x14ac:dyDescent="0.2">
      <c r="A1110" t="str">
        <f t="shared" si="17"/>
        <v/>
      </c>
      <c r="B1110" s="1">
        <v>2024</v>
      </c>
      <c r="C1110" s="1" t="s">
        <v>2505</v>
      </c>
      <c r="D1110" s="1" t="s">
        <v>2506</v>
      </c>
      <c r="E1110" s="1" t="s">
        <v>2019</v>
      </c>
      <c r="F1110" s="1" t="s">
        <v>112</v>
      </c>
      <c r="G1110" s="6">
        <v>160098</v>
      </c>
      <c r="H1110" t="str">
        <f>IFERROR(VLOOKUP(F1110,'LEAID Match'!$A$2:$B$142,2,FALSE),"")</f>
        <v/>
      </c>
    </row>
    <row r="1111" spans="1:8" x14ac:dyDescent="0.2">
      <c r="A1111" t="str">
        <f t="shared" si="17"/>
        <v/>
      </c>
      <c r="B1111" s="1">
        <v>2015</v>
      </c>
      <c r="C1111" s="1" t="s">
        <v>2505</v>
      </c>
      <c r="D1111" s="1" t="s">
        <v>2506</v>
      </c>
      <c r="E1111" s="1" t="s">
        <v>2019</v>
      </c>
      <c r="F1111" s="1" t="s">
        <v>113</v>
      </c>
      <c r="G1111" s="6">
        <v>578569</v>
      </c>
      <c r="H1111" t="str">
        <f>IFERROR(VLOOKUP(F1111,'LEAID Match'!$A$2:$B$142,2,FALSE),"")</f>
        <v/>
      </c>
    </row>
    <row r="1112" spans="1:8" x14ac:dyDescent="0.2">
      <c r="A1112" t="str">
        <f t="shared" si="17"/>
        <v/>
      </c>
      <c r="B1112">
        <v>2016</v>
      </c>
      <c r="C1112" s="1" t="s">
        <v>2505</v>
      </c>
      <c r="D1112" s="1" t="s">
        <v>2506</v>
      </c>
      <c r="E1112" s="1" t="s">
        <v>2019</v>
      </c>
      <c r="F1112" s="1" t="s">
        <v>113</v>
      </c>
      <c r="G1112" s="12">
        <v>587779</v>
      </c>
      <c r="H1112" t="str">
        <f>IFERROR(VLOOKUP(F1112,'LEAID Match'!$A$2:$B$142,2,FALSE),"")</f>
        <v/>
      </c>
    </row>
    <row r="1113" spans="1:8" x14ac:dyDescent="0.2">
      <c r="A1113" t="str">
        <f t="shared" si="17"/>
        <v/>
      </c>
      <c r="B1113" s="1">
        <v>2017</v>
      </c>
      <c r="C1113" s="1" t="s">
        <v>2505</v>
      </c>
      <c r="D1113" s="1" t="s">
        <v>2506</v>
      </c>
      <c r="E1113" s="1" t="s">
        <v>2019</v>
      </c>
      <c r="F1113" s="1" t="s">
        <v>113</v>
      </c>
      <c r="G1113" s="47">
        <v>596510</v>
      </c>
      <c r="H1113" t="str">
        <f>IFERROR(VLOOKUP(F1113,'LEAID Match'!$A$2:$B$142,2,FALSE),"")</f>
        <v/>
      </c>
    </row>
    <row r="1114" spans="1:8" x14ac:dyDescent="0.2">
      <c r="A1114" t="str">
        <f t="shared" si="17"/>
        <v/>
      </c>
      <c r="B1114" s="1">
        <v>2018</v>
      </c>
      <c r="C1114" s="1" t="s">
        <v>2505</v>
      </c>
      <c r="D1114" s="1" t="s">
        <v>2506</v>
      </c>
      <c r="E1114" s="1" t="s">
        <v>2019</v>
      </c>
      <c r="F1114" s="1" t="s">
        <v>113</v>
      </c>
      <c r="G1114" s="6">
        <v>610486</v>
      </c>
      <c r="H1114" t="str">
        <f>IFERROR(VLOOKUP(F1114,'LEAID Match'!$A$2:$B$142,2,FALSE),"")</f>
        <v/>
      </c>
    </row>
    <row r="1115" spans="1:8" x14ac:dyDescent="0.2">
      <c r="A1115" t="str">
        <f t="shared" si="17"/>
        <v/>
      </c>
      <c r="B1115" s="1">
        <v>2019</v>
      </c>
      <c r="C1115" s="1" t="s">
        <v>2505</v>
      </c>
      <c r="D1115" s="1" t="s">
        <v>2506</v>
      </c>
      <c r="E1115" s="1" t="s">
        <v>2019</v>
      </c>
      <c r="F1115" s="1" t="s">
        <v>113</v>
      </c>
      <c r="G1115" s="6">
        <v>602419</v>
      </c>
      <c r="H1115" t="str">
        <f>IFERROR(VLOOKUP(F1115,'LEAID Match'!$A$2:$B$142,2,FALSE),"")</f>
        <v/>
      </c>
    </row>
    <row r="1116" spans="1:8" x14ac:dyDescent="0.2">
      <c r="A1116" t="str">
        <f t="shared" si="17"/>
        <v/>
      </c>
      <c r="B1116" s="1">
        <v>2020</v>
      </c>
      <c r="C1116" s="1" t="s">
        <v>2505</v>
      </c>
      <c r="D1116" s="1" t="s">
        <v>2506</v>
      </c>
      <c r="E1116" s="1" t="s">
        <v>2019</v>
      </c>
      <c r="F1116" s="1" t="s">
        <v>113</v>
      </c>
      <c r="G1116" s="6">
        <v>673326</v>
      </c>
      <c r="H1116" t="str">
        <f>IFERROR(VLOOKUP(F1116,'LEAID Match'!$A$2:$B$142,2,FALSE),"")</f>
        <v/>
      </c>
    </row>
    <row r="1117" spans="1:8" x14ac:dyDescent="0.2">
      <c r="A1117" t="str">
        <f t="shared" si="17"/>
        <v/>
      </c>
      <c r="B1117" s="1">
        <v>2021</v>
      </c>
      <c r="C1117" s="1" t="s">
        <v>2505</v>
      </c>
      <c r="D1117" s="1" t="s">
        <v>2506</v>
      </c>
      <c r="E1117" s="1" t="s">
        <v>2019</v>
      </c>
      <c r="F1117" s="1" t="s">
        <v>113</v>
      </c>
      <c r="G1117" s="6">
        <v>721204</v>
      </c>
      <c r="H1117" t="str">
        <f>IFERROR(VLOOKUP(F1117,'LEAID Match'!$A$2:$B$142,2,FALSE),"")</f>
        <v/>
      </c>
    </row>
    <row r="1118" spans="1:8" x14ac:dyDescent="0.2">
      <c r="A1118" t="str">
        <f t="shared" si="17"/>
        <v/>
      </c>
      <c r="B1118" s="1">
        <v>2022</v>
      </c>
      <c r="C1118" s="1" t="s">
        <v>2505</v>
      </c>
      <c r="D1118" s="1" t="s">
        <v>2506</v>
      </c>
      <c r="E1118" s="1" t="s">
        <v>2019</v>
      </c>
      <c r="F1118" s="1" t="s">
        <v>113</v>
      </c>
      <c r="G1118" s="6">
        <v>712175</v>
      </c>
      <c r="H1118" t="str">
        <f>IFERROR(VLOOKUP(F1118,'LEAID Match'!$A$2:$B$142,2,FALSE),"")</f>
        <v/>
      </c>
    </row>
    <row r="1119" spans="1:8" x14ac:dyDescent="0.2">
      <c r="A1119" t="str">
        <f t="shared" si="17"/>
        <v/>
      </c>
      <c r="B1119" s="1">
        <v>2023</v>
      </c>
      <c r="C1119" s="1" t="s">
        <v>2505</v>
      </c>
      <c r="D1119" s="1" t="s">
        <v>2506</v>
      </c>
      <c r="E1119" s="1" t="s">
        <v>2019</v>
      </c>
      <c r="F1119" s="1" t="s">
        <v>113</v>
      </c>
      <c r="G1119" s="6">
        <v>787746</v>
      </c>
      <c r="H1119" t="str">
        <f>IFERROR(VLOOKUP(F1119,'LEAID Match'!$A$2:$B$142,2,FALSE),"")</f>
        <v/>
      </c>
    </row>
    <row r="1120" spans="1:8" x14ac:dyDescent="0.2">
      <c r="A1120" t="str">
        <f t="shared" si="17"/>
        <v/>
      </c>
      <c r="B1120" s="1">
        <v>2024</v>
      </c>
      <c r="C1120" s="1" t="s">
        <v>2505</v>
      </c>
      <c r="D1120" s="1" t="s">
        <v>2506</v>
      </c>
      <c r="E1120" s="1" t="s">
        <v>2019</v>
      </c>
      <c r="F1120" s="1" t="s">
        <v>113</v>
      </c>
      <c r="G1120" s="6">
        <v>819045</v>
      </c>
      <c r="H1120" t="str">
        <f>IFERROR(VLOOKUP(F1120,'LEAID Match'!$A$2:$B$142,2,FALSE),"")</f>
        <v/>
      </c>
    </row>
    <row r="1121" spans="1:8" x14ac:dyDescent="0.2">
      <c r="A1121" t="str">
        <f t="shared" si="17"/>
        <v/>
      </c>
      <c r="B1121" s="1">
        <v>2015</v>
      </c>
      <c r="C1121" s="1" t="s">
        <v>2505</v>
      </c>
      <c r="D1121" s="1" t="s">
        <v>2506</v>
      </c>
      <c r="E1121" s="1" t="s">
        <v>2019</v>
      </c>
      <c r="F1121" s="1" t="s">
        <v>114</v>
      </c>
      <c r="G1121" s="6">
        <v>795215</v>
      </c>
      <c r="H1121" t="str">
        <f>IFERROR(VLOOKUP(F1121,'LEAID Match'!$A$2:$B$142,2,FALSE),"")</f>
        <v/>
      </c>
    </row>
    <row r="1122" spans="1:8" x14ac:dyDescent="0.2">
      <c r="A1122" t="str">
        <f t="shared" si="17"/>
        <v/>
      </c>
      <c r="B1122">
        <v>2016</v>
      </c>
      <c r="C1122" s="1" t="s">
        <v>2505</v>
      </c>
      <c r="D1122" s="1" t="s">
        <v>2506</v>
      </c>
      <c r="E1122" s="1" t="s">
        <v>2019</v>
      </c>
      <c r="F1122" s="1" t="s">
        <v>114</v>
      </c>
      <c r="G1122" s="12">
        <v>840779</v>
      </c>
      <c r="H1122" t="str">
        <f>IFERROR(VLOOKUP(F1122,'LEAID Match'!$A$2:$B$142,2,FALSE),"")</f>
        <v/>
      </c>
    </row>
    <row r="1123" spans="1:8" x14ac:dyDescent="0.2">
      <c r="A1123" t="str">
        <f t="shared" si="17"/>
        <v/>
      </c>
      <c r="B1123" s="1">
        <v>2017</v>
      </c>
      <c r="C1123" s="1" t="s">
        <v>2505</v>
      </c>
      <c r="D1123" s="1" t="s">
        <v>2506</v>
      </c>
      <c r="E1123" s="1" t="s">
        <v>2019</v>
      </c>
      <c r="F1123" s="1" t="s">
        <v>114</v>
      </c>
      <c r="G1123" s="47">
        <v>877684</v>
      </c>
      <c r="H1123" t="str">
        <f>IFERROR(VLOOKUP(F1123,'LEAID Match'!$A$2:$B$142,2,FALSE),"")</f>
        <v/>
      </c>
    </row>
    <row r="1124" spans="1:8" x14ac:dyDescent="0.2">
      <c r="A1124" t="str">
        <f t="shared" si="17"/>
        <v/>
      </c>
      <c r="B1124" s="1">
        <v>2018</v>
      </c>
      <c r="C1124" s="1" t="s">
        <v>2505</v>
      </c>
      <c r="D1124" s="1" t="s">
        <v>2506</v>
      </c>
      <c r="E1124" s="1" t="s">
        <v>2019</v>
      </c>
      <c r="F1124" s="1" t="s">
        <v>114</v>
      </c>
      <c r="G1124" s="6">
        <v>879946</v>
      </c>
      <c r="H1124" t="str">
        <f>IFERROR(VLOOKUP(F1124,'LEAID Match'!$A$2:$B$142,2,FALSE),"")</f>
        <v/>
      </c>
    </row>
    <row r="1125" spans="1:8" x14ac:dyDescent="0.2">
      <c r="A1125" t="str">
        <f t="shared" si="17"/>
        <v/>
      </c>
      <c r="B1125" s="1">
        <v>2019</v>
      </c>
      <c r="C1125" s="1" t="s">
        <v>2505</v>
      </c>
      <c r="D1125" s="1" t="s">
        <v>2506</v>
      </c>
      <c r="E1125" s="1" t="s">
        <v>2019</v>
      </c>
      <c r="F1125" s="1" t="s">
        <v>114</v>
      </c>
      <c r="G1125" s="6">
        <v>829995</v>
      </c>
      <c r="H1125" t="str">
        <f>IFERROR(VLOOKUP(F1125,'LEAID Match'!$A$2:$B$142,2,FALSE),"")</f>
        <v/>
      </c>
    </row>
    <row r="1126" spans="1:8" x14ac:dyDescent="0.2">
      <c r="A1126" t="str">
        <f t="shared" si="17"/>
        <v/>
      </c>
      <c r="B1126" s="1">
        <v>2020</v>
      </c>
      <c r="C1126" s="1" t="s">
        <v>2505</v>
      </c>
      <c r="D1126" s="1" t="s">
        <v>2506</v>
      </c>
      <c r="E1126" s="1" t="s">
        <v>2019</v>
      </c>
      <c r="F1126" s="1" t="s">
        <v>114</v>
      </c>
      <c r="G1126" s="6">
        <v>957266</v>
      </c>
      <c r="H1126" t="str">
        <f>IFERROR(VLOOKUP(F1126,'LEAID Match'!$A$2:$B$142,2,FALSE),"")</f>
        <v/>
      </c>
    </row>
    <row r="1127" spans="1:8" x14ac:dyDescent="0.2">
      <c r="A1127" t="str">
        <f t="shared" si="17"/>
        <v/>
      </c>
      <c r="B1127" s="1">
        <v>2021</v>
      </c>
      <c r="C1127" s="1" t="s">
        <v>2505</v>
      </c>
      <c r="D1127" s="1" t="s">
        <v>2506</v>
      </c>
      <c r="E1127" s="1" t="s">
        <v>2019</v>
      </c>
      <c r="F1127" s="1" t="s">
        <v>114</v>
      </c>
      <c r="G1127" s="6">
        <v>957530</v>
      </c>
      <c r="H1127" t="str">
        <f>IFERROR(VLOOKUP(F1127,'LEAID Match'!$A$2:$B$142,2,FALSE),"")</f>
        <v/>
      </c>
    </row>
    <row r="1128" spans="1:8" x14ac:dyDescent="0.2">
      <c r="A1128" t="str">
        <f t="shared" si="17"/>
        <v/>
      </c>
      <c r="B1128" s="1">
        <v>2022</v>
      </c>
      <c r="C1128" s="1" t="s">
        <v>2505</v>
      </c>
      <c r="D1128" s="1" t="s">
        <v>2506</v>
      </c>
      <c r="E1128" s="1" t="s">
        <v>2019</v>
      </c>
      <c r="F1128" s="1" t="s">
        <v>114</v>
      </c>
      <c r="G1128" s="6">
        <v>1059756</v>
      </c>
      <c r="H1128" t="str">
        <f>IFERROR(VLOOKUP(F1128,'LEAID Match'!$A$2:$B$142,2,FALSE),"")</f>
        <v/>
      </c>
    </row>
    <row r="1129" spans="1:8" x14ac:dyDescent="0.2">
      <c r="A1129" t="str">
        <f t="shared" si="17"/>
        <v/>
      </c>
      <c r="B1129" s="1">
        <v>2023</v>
      </c>
      <c r="C1129" s="1" t="s">
        <v>2505</v>
      </c>
      <c r="D1129" s="1" t="s">
        <v>2506</v>
      </c>
      <c r="E1129" s="1" t="s">
        <v>2019</v>
      </c>
      <c r="F1129" s="1" t="s">
        <v>114</v>
      </c>
      <c r="G1129" s="6">
        <v>1049733</v>
      </c>
      <c r="H1129" t="str">
        <f>IFERROR(VLOOKUP(F1129,'LEAID Match'!$A$2:$B$142,2,FALSE),"")</f>
        <v/>
      </c>
    </row>
    <row r="1130" spans="1:8" x14ac:dyDescent="0.2">
      <c r="A1130" t="str">
        <f t="shared" si="17"/>
        <v/>
      </c>
      <c r="B1130" s="1">
        <v>2024</v>
      </c>
      <c r="C1130" s="1" t="s">
        <v>2505</v>
      </c>
      <c r="D1130" s="1" t="s">
        <v>2506</v>
      </c>
      <c r="E1130" s="1" t="s">
        <v>2019</v>
      </c>
      <c r="F1130" s="1" t="s">
        <v>114</v>
      </c>
      <c r="G1130" s="6">
        <v>1040175</v>
      </c>
      <c r="H1130" t="str">
        <f>IFERROR(VLOOKUP(F1130,'LEAID Match'!$A$2:$B$142,2,FALSE),"")</f>
        <v/>
      </c>
    </row>
    <row r="1131" spans="1:8" x14ac:dyDescent="0.2">
      <c r="A1131" t="str">
        <f t="shared" si="17"/>
        <v/>
      </c>
      <c r="B1131" s="1">
        <v>2015</v>
      </c>
      <c r="C1131" s="1" t="s">
        <v>2505</v>
      </c>
      <c r="D1131" s="1" t="s">
        <v>2506</v>
      </c>
      <c r="E1131" s="1" t="s">
        <v>2019</v>
      </c>
      <c r="F1131" s="1" t="s">
        <v>115</v>
      </c>
      <c r="G1131" s="6">
        <v>67910</v>
      </c>
      <c r="H1131" t="str">
        <f>IFERROR(VLOOKUP(F1131,'LEAID Match'!$A$2:$B$142,2,FALSE),"")</f>
        <v/>
      </c>
    </row>
    <row r="1132" spans="1:8" x14ac:dyDescent="0.2">
      <c r="A1132" t="str">
        <f t="shared" si="17"/>
        <v/>
      </c>
      <c r="B1132">
        <v>2016</v>
      </c>
      <c r="C1132" s="1" t="s">
        <v>2505</v>
      </c>
      <c r="D1132" s="1" t="s">
        <v>2506</v>
      </c>
      <c r="E1132" s="1" t="s">
        <v>2019</v>
      </c>
      <c r="F1132" s="1" t="s">
        <v>115</v>
      </c>
      <c r="G1132" s="12">
        <v>66474</v>
      </c>
      <c r="H1132" t="str">
        <f>IFERROR(VLOOKUP(F1132,'LEAID Match'!$A$2:$B$142,2,FALSE),"")</f>
        <v/>
      </c>
    </row>
    <row r="1133" spans="1:8" x14ac:dyDescent="0.2">
      <c r="A1133" t="str">
        <f t="shared" si="17"/>
        <v/>
      </c>
      <c r="B1133" s="1">
        <v>2017</v>
      </c>
      <c r="C1133" s="1" t="s">
        <v>2505</v>
      </c>
      <c r="D1133" s="1" t="s">
        <v>2506</v>
      </c>
      <c r="E1133" s="1" t="s">
        <v>2019</v>
      </c>
      <c r="F1133" s="1" t="s">
        <v>115</v>
      </c>
      <c r="G1133" s="47">
        <v>74881</v>
      </c>
      <c r="H1133" t="str">
        <f>IFERROR(VLOOKUP(F1133,'LEAID Match'!$A$2:$B$142,2,FALSE),"")</f>
        <v/>
      </c>
    </row>
    <row r="1134" spans="1:8" x14ac:dyDescent="0.2">
      <c r="A1134" t="str">
        <f t="shared" si="17"/>
        <v/>
      </c>
      <c r="B1134" s="1">
        <v>2018</v>
      </c>
      <c r="C1134" s="1" t="s">
        <v>2505</v>
      </c>
      <c r="D1134" s="1" t="s">
        <v>2506</v>
      </c>
      <c r="E1134" s="1" t="s">
        <v>2019</v>
      </c>
      <c r="F1134" s="1" t="s">
        <v>115</v>
      </c>
      <c r="G1134" s="6">
        <v>82610</v>
      </c>
      <c r="H1134" t="str">
        <f>IFERROR(VLOOKUP(F1134,'LEAID Match'!$A$2:$B$142,2,FALSE),"")</f>
        <v/>
      </c>
    </row>
    <row r="1135" spans="1:8" x14ac:dyDescent="0.2">
      <c r="A1135" t="str">
        <f t="shared" si="17"/>
        <v/>
      </c>
      <c r="B1135" s="1">
        <v>2019</v>
      </c>
      <c r="C1135" s="1" t="s">
        <v>2505</v>
      </c>
      <c r="D1135" s="1" t="s">
        <v>2506</v>
      </c>
      <c r="E1135" s="1" t="s">
        <v>2019</v>
      </c>
      <c r="F1135" s="1" t="s">
        <v>115</v>
      </c>
      <c r="G1135" s="6">
        <v>83724</v>
      </c>
      <c r="H1135" t="str">
        <f>IFERROR(VLOOKUP(F1135,'LEAID Match'!$A$2:$B$142,2,FALSE),"")</f>
        <v/>
      </c>
    </row>
    <row r="1136" spans="1:8" x14ac:dyDescent="0.2">
      <c r="A1136" t="str">
        <f t="shared" si="17"/>
        <v/>
      </c>
      <c r="B1136" s="1">
        <v>2020</v>
      </c>
      <c r="C1136" s="1" t="s">
        <v>2505</v>
      </c>
      <c r="D1136" s="1" t="s">
        <v>2506</v>
      </c>
      <c r="E1136" s="1" t="s">
        <v>2019</v>
      </c>
      <c r="F1136" s="1" t="s">
        <v>115</v>
      </c>
      <c r="G1136" s="6">
        <v>92311</v>
      </c>
      <c r="H1136" t="str">
        <f>IFERROR(VLOOKUP(F1136,'LEAID Match'!$A$2:$B$142,2,FALSE),"")</f>
        <v/>
      </c>
    </row>
    <row r="1137" spans="1:8" x14ac:dyDescent="0.2">
      <c r="A1137" t="str">
        <f t="shared" si="17"/>
        <v/>
      </c>
      <c r="B1137" s="1">
        <v>2021</v>
      </c>
      <c r="C1137" s="1" t="s">
        <v>2505</v>
      </c>
      <c r="D1137" s="1" t="s">
        <v>2506</v>
      </c>
      <c r="E1137" s="1" t="s">
        <v>2019</v>
      </c>
      <c r="F1137" s="1" t="s">
        <v>115</v>
      </c>
      <c r="G1137" s="6">
        <v>83612</v>
      </c>
      <c r="H1137" t="str">
        <f>IFERROR(VLOOKUP(F1137,'LEAID Match'!$A$2:$B$142,2,FALSE),"")</f>
        <v/>
      </c>
    </row>
    <row r="1138" spans="1:8" x14ac:dyDescent="0.2">
      <c r="A1138" t="str">
        <f t="shared" si="17"/>
        <v/>
      </c>
      <c r="B1138" s="1">
        <v>2022</v>
      </c>
      <c r="C1138" s="1" t="s">
        <v>2505</v>
      </c>
      <c r="D1138" s="1" t="s">
        <v>2506</v>
      </c>
      <c r="E1138" s="1" t="s">
        <v>2019</v>
      </c>
      <c r="F1138" s="1" t="s">
        <v>115</v>
      </c>
      <c r="G1138" s="6">
        <v>84604</v>
      </c>
      <c r="H1138" t="str">
        <f>IFERROR(VLOOKUP(F1138,'LEAID Match'!$A$2:$B$142,2,FALSE),"")</f>
        <v/>
      </c>
    </row>
    <row r="1139" spans="1:8" x14ac:dyDescent="0.2">
      <c r="A1139" t="str">
        <f t="shared" si="17"/>
        <v/>
      </c>
      <c r="B1139" s="1">
        <v>2023</v>
      </c>
      <c r="C1139" s="1" t="s">
        <v>2505</v>
      </c>
      <c r="D1139" s="1" t="s">
        <v>2506</v>
      </c>
      <c r="E1139" s="1" t="s">
        <v>2019</v>
      </c>
      <c r="F1139" s="1" t="s">
        <v>115</v>
      </c>
      <c r="G1139" s="6">
        <v>92450</v>
      </c>
      <c r="H1139" t="str">
        <f>IFERROR(VLOOKUP(F1139,'LEAID Match'!$A$2:$B$142,2,FALSE),"")</f>
        <v/>
      </c>
    </row>
    <row r="1140" spans="1:8" x14ac:dyDescent="0.2">
      <c r="A1140" t="str">
        <f t="shared" si="17"/>
        <v/>
      </c>
      <c r="B1140" s="1">
        <v>2024</v>
      </c>
      <c r="C1140" s="1" t="s">
        <v>2505</v>
      </c>
      <c r="D1140" s="1" t="s">
        <v>2506</v>
      </c>
      <c r="E1140" s="1" t="s">
        <v>2019</v>
      </c>
      <c r="F1140" s="1" t="s">
        <v>115</v>
      </c>
      <c r="G1140" s="6">
        <v>93865</v>
      </c>
      <c r="H1140" t="str">
        <f>IFERROR(VLOOKUP(F1140,'LEAID Match'!$A$2:$B$142,2,FALSE),"")</f>
        <v/>
      </c>
    </row>
    <row r="1141" spans="1:8" x14ac:dyDescent="0.2">
      <c r="A1141">
        <f t="shared" si="17"/>
        <v>2801050</v>
      </c>
      <c r="B1141" s="1">
        <v>2015</v>
      </c>
      <c r="C1141" s="1" t="s">
        <v>2505</v>
      </c>
      <c r="D1141" s="1" t="s">
        <v>2506</v>
      </c>
      <c r="E1141" s="1" t="s">
        <v>2019</v>
      </c>
      <c r="F1141" s="1" t="s">
        <v>116</v>
      </c>
      <c r="G1141" s="6">
        <v>2500982</v>
      </c>
      <c r="H1141">
        <f>IFERROR(VLOOKUP(F1141,'LEAID Match'!$A$2:$B$142,2,FALSE),"")</f>
        <v>2801050</v>
      </c>
    </row>
    <row r="1142" spans="1:8" x14ac:dyDescent="0.2">
      <c r="A1142">
        <f t="shared" si="17"/>
        <v>2801050</v>
      </c>
      <c r="B1142">
        <v>2016</v>
      </c>
      <c r="C1142" s="1" t="s">
        <v>2505</v>
      </c>
      <c r="D1142" s="1" t="s">
        <v>2506</v>
      </c>
      <c r="E1142" s="1" t="s">
        <v>2019</v>
      </c>
      <c r="F1142" s="1" t="s">
        <v>116</v>
      </c>
      <c r="G1142" s="12">
        <v>2487571</v>
      </c>
      <c r="H1142">
        <f>IFERROR(VLOOKUP(F1142,'LEAID Match'!$A$2:$B$142,2,FALSE),"")</f>
        <v>2801050</v>
      </c>
    </row>
    <row r="1143" spans="1:8" x14ac:dyDescent="0.2">
      <c r="A1143">
        <f t="shared" si="17"/>
        <v>2801050</v>
      </c>
      <c r="B1143" s="1">
        <v>2017</v>
      </c>
      <c r="C1143" s="1" t="s">
        <v>2505</v>
      </c>
      <c r="D1143" s="1" t="s">
        <v>2506</v>
      </c>
      <c r="E1143" s="1" t="s">
        <v>2019</v>
      </c>
      <c r="F1143" s="1" t="s">
        <v>116</v>
      </c>
      <c r="G1143" s="47">
        <v>2280051</v>
      </c>
      <c r="H1143">
        <f>IFERROR(VLOOKUP(F1143,'LEAID Match'!$A$2:$B$142,2,FALSE),"")</f>
        <v>2801050</v>
      </c>
    </row>
    <row r="1144" spans="1:8" x14ac:dyDescent="0.2">
      <c r="A1144">
        <f t="shared" si="17"/>
        <v>2801050</v>
      </c>
      <c r="B1144" s="1">
        <v>2018</v>
      </c>
      <c r="C1144" s="1" t="s">
        <v>2505</v>
      </c>
      <c r="D1144" s="1" t="s">
        <v>2506</v>
      </c>
      <c r="E1144" s="1" t="s">
        <v>2019</v>
      </c>
      <c r="F1144" s="1" t="s">
        <v>116</v>
      </c>
      <c r="G1144" s="6">
        <v>1980967</v>
      </c>
      <c r="H1144">
        <f>IFERROR(VLOOKUP(F1144,'LEAID Match'!$A$2:$B$142,2,FALSE),"")</f>
        <v>2801050</v>
      </c>
    </row>
    <row r="1145" spans="1:8" x14ac:dyDescent="0.2">
      <c r="A1145">
        <f t="shared" si="17"/>
        <v>2801050</v>
      </c>
      <c r="B1145" s="1">
        <v>2019</v>
      </c>
      <c r="C1145" s="1" t="s">
        <v>2505</v>
      </c>
      <c r="D1145" s="1" t="s">
        <v>2506</v>
      </c>
      <c r="E1145" s="1" t="s">
        <v>2019</v>
      </c>
      <c r="F1145" s="1" t="s">
        <v>116</v>
      </c>
      <c r="G1145" s="6">
        <v>1975351</v>
      </c>
      <c r="H1145">
        <f>IFERROR(VLOOKUP(F1145,'LEAID Match'!$A$2:$B$142,2,FALSE),"")</f>
        <v>2801050</v>
      </c>
    </row>
    <row r="1146" spans="1:8" x14ac:dyDescent="0.2">
      <c r="A1146">
        <f t="shared" si="17"/>
        <v>2801050</v>
      </c>
      <c r="B1146" s="1">
        <v>2020</v>
      </c>
      <c r="C1146" s="1" t="s">
        <v>2505</v>
      </c>
      <c r="D1146" s="1" t="s">
        <v>2506</v>
      </c>
      <c r="E1146" s="1" t="s">
        <v>2019</v>
      </c>
      <c r="F1146" s="1" t="s">
        <v>116</v>
      </c>
      <c r="G1146" s="6">
        <v>2261841</v>
      </c>
      <c r="H1146">
        <f>IFERROR(VLOOKUP(F1146,'LEAID Match'!$A$2:$B$142,2,FALSE),"")</f>
        <v>2801050</v>
      </c>
    </row>
    <row r="1147" spans="1:8" x14ac:dyDescent="0.2">
      <c r="A1147">
        <f t="shared" si="17"/>
        <v>2801050</v>
      </c>
      <c r="B1147" s="1">
        <v>2021</v>
      </c>
      <c r="C1147" s="1" t="s">
        <v>2505</v>
      </c>
      <c r="D1147" s="1" t="s">
        <v>2506</v>
      </c>
      <c r="E1147" s="1" t="s">
        <v>2019</v>
      </c>
      <c r="F1147" s="1" t="s">
        <v>116</v>
      </c>
      <c r="G1147" s="6">
        <v>2180270</v>
      </c>
      <c r="H1147">
        <f>IFERROR(VLOOKUP(F1147,'LEAID Match'!$A$2:$B$142,2,FALSE),"")</f>
        <v>2801050</v>
      </c>
    </row>
    <row r="1148" spans="1:8" x14ac:dyDescent="0.2">
      <c r="A1148">
        <f t="shared" si="17"/>
        <v>2801050</v>
      </c>
      <c r="B1148" s="1">
        <v>2022</v>
      </c>
      <c r="C1148" s="1" t="s">
        <v>2505</v>
      </c>
      <c r="D1148" s="1" t="s">
        <v>2506</v>
      </c>
      <c r="E1148" s="1" t="s">
        <v>2019</v>
      </c>
      <c r="F1148" s="1" t="s">
        <v>116</v>
      </c>
      <c r="G1148" s="6">
        <v>2424256</v>
      </c>
      <c r="H1148">
        <f>IFERROR(VLOOKUP(F1148,'LEAID Match'!$A$2:$B$142,2,FALSE),"")</f>
        <v>2801050</v>
      </c>
    </row>
    <row r="1149" spans="1:8" x14ac:dyDescent="0.2">
      <c r="A1149">
        <f t="shared" si="17"/>
        <v>2801050</v>
      </c>
      <c r="B1149" s="1">
        <v>2023</v>
      </c>
      <c r="C1149" s="1" t="s">
        <v>2505</v>
      </c>
      <c r="D1149" s="1" t="s">
        <v>2506</v>
      </c>
      <c r="E1149" s="1" t="s">
        <v>2019</v>
      </c>
      <c r="F1149" s="1" t="s">
        <v>116</v>
      </c>
      <c r="G1149" s="6">
        <v>2682751</v>
      </c>
      <c r="H1149">
        <f>IFERROR(VLOOKUP(F1149,'LEAID Match'!$A$2:$B$142,2,FALSE),"")</f>
        <v>2801050</v>
      </c>
    </row>
    <row r="1150" spans="1:8" x14ac:dyDescent="0.2">
      <c r="A1150">
        <f t="shared" si="17"/>
        <v>2801050</v>
      </c>
      <c r="B1150" s="1">
        <v>2024</v>
      </c>
      <c r="C1150" s="1" t="s">
        <v>2505</v>
      </c>
      <c r="D1150" s="1" t="s">
        <v>2506</v>
      </c>
      <c r="E1150" s="1" t="s">
        <v>2019</v>
      </c>
      <c r="F1150" s="1" t="s">
        <v>116</v>
      </c>
      <c r="G1150" s="6">
        <v>2448134</v>
      </c>
      <c r="H1150">
        <f>IFERROR(VLOOKUP(F1150,'LEAID Match'!$A$2:$B$142,2,FALSE),"")</f>
        <v>2801050</v>
      </c>
    </row>
    <row r="1151" spans="1:8" x14ac:dyDescent="0.2">
      <c r="A1151" t="str">
        <f t="shared" si="17"/>
        <v/>
      </c>
      <c r="B1151" s="1">
        <v>2015</v>
      </c>
      <c r="C1151" s="1" t="s">
        <v>2505</v>
      </c>
      <c r="D1151" s="1" t="s">
        <v>2506</v>
      </c>
      <c r="E1151" s="1" t="s">
        <v>2019</v>
      </c>
      <c r="F1151" s="1" t="s">
        <v>117</v>
      </c>
      <c r="G1151" s="6">
        <v>23846</v>
      </c>
      <c r="H1151" t="str">
        <f>IFERROR(VLOOKUP(F1151,'LEAID Match'!$A$2:$B$142,2,FALSE),"")</f>
        <v/>
      </c>
    </row>
    <row r="1152" spans="1:8" x14ac:dyDescent="0.2">
      <c r="A1152" t="str">
        <f t="shared" si="17"/>
        <v/>
      </c>
      <c r="B1152">
        <v>2016</v>
      </c>
      <c r="C1152" s="1" t="s">
        <v>2505</v>
      </c>
      <c r="D1152" s="1" t="s">
        <v>2506</v>
      </c>
      <c r="E1152" s="1" t="s">
        <v>2019</v>
      </c>
      <c r="F1152" s="1" t="s">
        <v>117</v>
      </c>
      <c r="G1152" s="12">
        <v>25647</v>
      </c>
      <c r="H1152" t="str">
        <f>IFERROR(VLOOKUP(F1152,'LEAID Match'!$A$2:$B$142,2,FALSE),"")</f>
        <v/>
      </c>
    </row>
    <row r="1153" spans="1:8" x14ac:dyDescent="0.2">
      <c r="A1153" t="str">
        <f t="shared" si="17"/>
        <v/>
      </c>
      <c r="B1153" s="1">
        <v>2017</v>
      </c>
      <c r="C1153" s="1" t="s">
        <v>2505</v>
      </c>
      <c r="D1153" s="1" t="s">
        <v>2506</v>
      </c>
      <c r="E1153" s="1" t="s">
        <v>2019</v>
      </c>
      <c r="F1153" s="1" t="s">
        <v>117</v>
      </c>
      <c r="G1153" s="47">
        <v>24961</v>
      </c>
      <c r="H1153" t="str">
        <f>IFERROR(VLOOKUP(F1153,'LEAID Match'!$A$2:$B$142,2,FALSE),"")</f>
        <v/>
      </c>
    </row>
    <row r="1154" spans="1:8" x14ac:dyDescent="0.2">
      <c r="A1154" t="str">
        <f t="shared" si="17"/>
        <v/>
      </c>
      <c r="B1154" s="1">
        <v>2018</v>
      </c>
      <c r="C1154" s="1" t="s">
        <v>2505</v>
      </c>
      <c r="D1154" s="1" t="s">
        <v>2506</v>
      </c>
      <c r="E1154" s="1" t="s">
        <v>2019</v>
      </c>
      <c r="F1154" s="1" t="s">
        <v>117</v>
      </c>
      <c r="G1154" s="6">
        <v>28651</v>
      </c>
      <c r="H1154" t="str">
        <f>IFERROR(VLOOKUP(F1154,'LEAID Match'!$A$2:$B$142,2,FALSE),"")</f>
        <v/>
      </c>
    </row>
    <row r="1155" spans="1:8" x14ac:dyDescent="0.2">
      <c r="A1155" t="str">
        <f t="shared" ref="A1155:A1218" si="18">H1155</f>
        <v/>
      </c>
      <c r="B1155" s="1">
        <v>2019</v>
      </c>
      <c r="C1155" s="1" t="s">
        <v>2505</v>
      </c>
      <c r="D1155" s="1" t="s">
        <v>2506</v>
      </c>
      <c r="E1155" s="1" t="s">
        <v>2019</v>
      </c>
      <c r="F1155" s="1" t="s">
        <v>117</v>
      </c>
      <c r="G1155" s="6">
        <v>29850</v>
      </c>
      <c r="H1155" t="str">
        <f>IFERROR(VLOOKUP(F1155,'LEAID Match'!$A$2:$B$142,2,FALSE),"")</f>
        <v/>
      </c>
    </row>
    <row r="1156" spans="1:8" x14ac:dyDescent="0.2">
      <c r="A1156" t="str">
        <f t="shared" si="18"/>
        <v/>
      </c>
      <c r="B1156" s="1">
        <v>2020</v>
      </c>
      <c r="C1156" s="1" t="s">
        <v>2505</v>
      </c>
      <c r="D1156" s="1" t="s">
        <v>2506</v>
      </c>
      <c r="E1156" s="1" t="s">
        <v>2019</v>
      </c>
      <c r="F1156" s="1" t="s">
        <v>117</v>
      </c>
      <c r="G1156" s="6">
        <v>32982</v>
      </c>
      <c r="H1156" t="str">
        <f>IFERROR(VLOOKUP(F1156,'LEAID Match'!$A$2:$B$142,2,FALSE),"")</f>
        <v/>
      </c>
    </row>
    <row r="1157" spans="1:8" x14ac:dyDescent="0.2">
      <c r="A1157" t="str">
        <f t="shared" si="18"/>
        <v/>
      </c>
      <c r="B1157" s="1">
        <v>2021</v>
      </c>
      <c r="C1157" s="1" t="s">
        <v>2505</v>
      </c>
      <c r="D1157" s="1" t="s">
        <v>2506</v>
      </c>
      <c r="E1157" s="1" t="s">
        <v>2019</v>
      </c>
      <c r="F1157" s="1" t="s">
        <v>117</v>
      </c>
      <c r="G1157" s="6">
        <v>31945</v>
      </c>
      <c r="H1157" t="str">
        <f>IFERROR(VLOOKUP(F1157,'LEAID Match'!$A$2:$B$142,2,FALSE),"")</f>
        <v/>
      </c>
    </row>
    <row r="1158" spans="1:8" x14ac:dyDescent="0.2">
      <c r="A1158" t="str">
        <f t="shared" si="18"/>
        <v/>
      </c>
      <c r="B1158" s="1">
        <v>2022</v>
      </c>
      <c r="C1158" s="1" t="s">
        <v>2505</v>
      </c>
      <c r="D1158" s="1" t="s">
        <v>2506</v>
      </c>
      <c r="E1158" s="1" t="s">
        <v>2019</v>
      </c>
      <c r="F1158" s="1" t="s">
        <v>117</v>
      </c>
      <c r="G1158" s="6">
        <v>36245</v>
      </c>
      <c r="H1158" t="str">
        <f>IFERROR(VLOOKUP(F1158,'LEAID Match'!$A$2:$B$142,2,FALSE),"")</f>
        <v/>
      </c>
    </row>
    <row r="1159" spans="1:8" x14ac:dyDescent="0.2">
      <c r="A1159" t="str">
        <f t="shared" si="18"/>
        <v/>
      </c>
      <c r="B1159" s="1">
        <v>2023</v>
      </c>
      <c r="C1159" s="1" t="s">
        <v>2505</v>
      </c>
      <c r="D1159" s="1" t="s">
        <v>2506</v>
      </c>
      <c r="E1159" s="1" t="s">
        <v>2019</v>
      </c>
      <c r="F1159" s="1" t="s">
        <v>117</v>
      </c>
      <c r="G1159" s="6">
        <v>33891</v>
      </c>
      <c r="H1159" t="str">
        <f>IFERROR(VLOOKUP(F1159,'LEAID Match'!$A$2:$B$142,2,FALSE),"")</f>
        <v/>
      </c>
    </row>
    <row r="1160" spans="1:8" x14ac:dyDescent="0.2">
      <c r="A1160" t="str">
        <f t="shared" si="18"/>
        <v/>
      </c>
      <c r="B1160" s="1">
        <v>2024</v>
      </c>
      <c r="C1160" s="1" t="s">
        <v>2505</v>
      </c>
      <c r="D1160" s="1" t="s">
        <v>2506</v>
      </c>
      <c r="E1160" s="1" t="s">
        <v>2019</v>
      </c>
      <c r="F1160" s="1" t="s">
        <v>117</v>
      </c>
      <c r="G1160" s="6">
        <v>33743</v>
      </c>
      <c r="H1160" t="str">
        <f>IFERROR(VLOOKUP(F1160,'LEAID Match'!$A$2:$B$142,2,FALSE),"")</f>
        <v/>
      </c>
    </row>
    <row r="1161" spans="1:8" x14ac:dyDescent="0.2">
      <c r="A1161" t="str">
        <f t="shared" si="18"/>
        <v/>
      </c>
      <c r="B1161" s="1">
        <v>2015</v>
      </c>
      <c r="C1161" s="1" t="s">
        <v>2505</v>
      </c>
      <c r="D1161" s="1" t="s">
        <v>2506</v>
      </c>
      <c r="E1161" s="1" t="s">
        <v>2019</v>
      </c>
      <c r="F1161" s="1" t="s">
        <v>118</v>
      </c>
      <c r="G1161" s="6">
        <v>594851</v>
      </c>
      <c r="H1161" t="str">
        <f>IFERROR(VLOOKUP(F1161,'LEAID Match'!$A$2:$B$142,2,FALSE),"")</f>
        <v/>
      </c>
    </row>
    <row r="1162" spans="1:8" x14ac:dyDescent="0.2">
      <c r="A1162" t="str">
        <f t="shared" si="18"/>
        <v/>
      </c>
      <c r="B1162">
        <v>2016</v>
      </c>
      <c r="C1162" s="1" t="s">
        <v>2505</v>
      </c>
      <c r="D1162" s="1" t="s">
        <v>2506</v>
      </c>
      <c r="E1162" s="1" t="s">
        <v>2019</v>
      </c>
      <c r="F1162" s="1" t="s">
        <v>118</v>
      </c>
      <c r="G1162" s="12">
        <v>613539</v>
      </c>
      <c r="H1162" t="str">
        <f>IFERROR(VLOOKUP(F1162,'LEAID Match'!$A$2:$B$142,2,FALSE),"")</f>
        <v/>
      </c>
    </row>
    <row r="1163" spans="1:8" x14ac:dyDescent="0.2">
      <c r="A1163" t="str">
        <f t="shared" si="18"/>
        <v/>
      </c>
      <c r="B1163" s="1">
        <v>2017</v>
      </c>
      <c r="C1163" s="1" t="s">
        <v>2505</v>
      </c>
      <c r="D1163" s="1" t="s">
        <v>2506</v>
      </c>
      <c r="E1163" s="1" t="s">
        <v>2019</v>
      </c>
      <c r="F1163" s="1" t="s">
        <v>118</v>
      </c>
      <c r="G1163" s="47">
        <v>594777</v>
      </c>
      <c r="H1163" t="str">
        <f>IFERROR(VLOOKUP(F1163,'LEAID Match'!$A$2:$B$142,2,FALSE),"")</f>
        <v/>
      </c>
    </row>
    <row r="1164" spans="1:8" x14ac:dyDescent="0.2">
      <c r="A1164" t="str">
        <f t="shared" si="18"/>
        <v/>
      </c>
      <c r="B1164" s="1">
        <v>2018</v>
      </c>
      <c r="C1164" s="1" t="s">
        <v>2505</v>
      </c>
      <c r="D1164" s="1" t="s">
        <v>2506</v>
      </c>
      <c r="E1164" s="1" t="s">
        <v>2019</v>
      </c>
      <c r="F1164" s="1" t="s">
        <v>118</v>
      </c>
      <c r="G1164" s="6">
        <v>648566</v>
      </c>
      <c r="H1164" t="str">
        <f>IFERROR(VLOOKUP(F1164,'LEAID Match'!$A$2:$B$142,2,FALSE),"")</f>
        <v/>
      </c>
    </row>
    <row r="1165" spans="1:8" x14ac:dyDescent="0.2">
      <c r="A1165" t="str">
        <f t="shared" si="18"/>
        <v/>
      </c>
      <c r="B1165" s="1">
        <v>2019</v>
      </c>
      <c r="C1165" s="1" t="s">
        <v>2505</v>
      </c>
      <c r="D1165" s="1" t="s">
        <v>2506</v>
      </c>
      <c r="E1165" s="1" t="s">
        <v>2019</v>
      </c>
      <c r="F1165" s="1" t="s">
        <v>118</v>
      </c>
      <c r="G1165" s="6">
        <v>702763</v>
      </c>
      <c r="H1165" t="str">
        <f>IFERROR(VLOOKUP(F1165,'LEAID Match'!$A$2:$B$142,2,FALSE),"")</f>
        <v/>
      </c>
    </row>
    <row r="1166" spans="1:8" x14ac:dyDescent="0.2">
      <c r="A1166" t="str">
        <f t="shared" si="18"/>
        <v/>
      </c>
      <c r="B1166" s="1">
        <v>2020</v>
      </c>
      <c r="C1166" s="1" t="s">
        <v>2505</v>
      </c>
      <c r="D1166" s="1" t="s">
        <v>2506</v>
      </c>
      <c r="E1166" s="1" t="s">
        <v>2019</v>
      </c>
      <c r="F1166" s="1" t="s">
        <v>118</v>
      </c>
      <c r="G1166" s="6">
        <v>668039</v>
      </c>
      <c r="H1166" t="str">
        <f>IFERROR(VLOOKUP(F1166,'LEAID Match'!$A$2:$B$142,2,FALSE),"")</f>
        <v/>
      </c>
    </row>
    <row r="1167" spans="1:8" x14ac:dyDescent="0.2">
      <c r="A1167" t="str">
        <f t="shared" si="18"/>
        <v/>
      </c>
      <c r="B1167" s="1">
        <v>2021</v>
      </c>
      <c r="C1167" s="1" t="s">
        <v>2505</v>
      </c>
      <c r="D1167" s="1" t="s">
        <v>2506</v>
      </c>
      <c r="E1167" s="1" t="s">
        <v>2019</v>
      </c>
      <c r="F1167" s="1" t="s">
        <v>118</v>
      </c>
      <c r="G1167" s="6">
        <v>652775</v>
      </c>
      <c r="H1167" t="str">
        <f>IFERROR(VLOOKUP(F1167,'LEAID Match'!$A$2:$B$142,2,FALSE),"")</f>
        <v/>
      </c>
    </row>
    <row r="1168" spans="1:8" x14ac:dyDescent="0.2">
      <c r="A1168" t="str">
        <f t="shared" si="18"/>
        <v/>
      </c>
      <c r="B1168" s="1">
        <v>2022</v>
      </c>
      <c r="C1168" s="1" t="s">
        <v>2505</v>
      </c>
      <c r="D1168" s="1" t="s">
        <v>2506</v>
      </c>
      <c r="E1168" s="1" t="s">
        <v>2019</v>
      </c>
      <c r="F1168" s="1" t="s">
        <v>118</v>
      </c>
      <c r="G1168" s="6">
        <v>615681</v>
      </c>
      <c r="H1168" t="str">
        <f>IFERROR(VLOOKUP(F1168,'LEAID Match'!$A$2:$B$142,2,FALSE),"")</f>
        <v/>
      </c>
    </row>
    <row r="1169" spans="1:8" x14ac:dyDescent="0.2">
      <c r="A1169" t="str">
        <f t="shared" si="18"/>
        <v/>
      </c>
      <c r="B1169" s="1">
        <v>2023</v>
      </c>
      <c r="C1169" s="1" t="s">
        <v>2505</v>
      </c>
      <c r="D1169" s="1" t="s">
        <v>2506</v>
      </c>
      <c r="E1169" s="1" t="s">
        <v>2019</v>
      </c>
      <c r="F1169" s="1" t="s">
        <v>118</v>
      </c>
      <c r="G1169" s="6">
        <v>686418</v>
      </c>
      <c r="H1169" t="str">
        <f>IFERROR(VLOOKUP(F1169,'LEAID Match'!$A$2:$B$142,2,FALSE),"")</f>
        <v/>
      </c>
    </row>
    <row r="1170" spans="1:8" x14ac:dyDescent="0.2">
      <c r="A1170" t="str">
        <f t="shared" si="18"/>
        <v/>
      </c>
      <c r="B1170" s="1">
        <v>2024</v>
      </c>
      <c r="C1170" s="1" t="s">
        <v>2505</v>
      </c>
      <c r="D1170" s="1" t="s">
        <v>2506</v>
      </c>
      <c r="E1170" s="1" t="s">
        <v>2019</v>
      </c>
      <c r="F1170" s="1" t="s">
        <v>118</v>
      </c>
      <c r="G1170" s="6">
        <v>716949</v>
      </c>
      <c r="H1170" t="str">
        <f>IFERROR(VLOOKUP(F1170,'LEAID Match'!$A$2:$B$142,2,FALSE),"")</f>
        <v/>
      </c>
    </row>
    <row r="1171" spans="1:8" x14ac:dyDescent="0.2">
      <c r="A1171" t="str">
        <f t="shared" si="18"/>
        <v/>
      </c>
      <c r="B1171" s="1">
        <v>2015</v>
      </c>
      <c r="C1171" s="1" t="s">
        <v>2505</v>
      </c>
      <c r="D1171" s="1" t="s">
        <v>2506</v>
      </c>
      <c r="E1171" s="1" t="s">
        <v>2019</v>
      </c>
      <c r="F1171" s="1" t="s">
        <v>119</v>
      </c>
      <c r="G1171" s="6">
        <v>486541</v>
      </c>
      <c r="H1171" t="str">
        <f>IFERROR(VLOOKUP(F1171,'LEAID Match'!$A$2:$B$142,2,FALSE),"")</f>
        <v/>
      </c>
    </row>
    <row r="1172" spans="1:8" x14ac:dyDescent="0.2">
      <c r="A1172" t="str">
        <f t="shared" si="18"/>
        <v/>
      </c>
      <c r="B1172">
        <v>2016</v>
      </c>
      <c r="C1172" s="1" t="s">
        <v>2505</v>
      </c>
      <c r="D1172" s="1" t="s">
        <v>2506</v>
      </c>
      <c r="E1172" s="1" t="s">
        <v>2019</v>
      </c>
      <c r="F1172" s="1" t="s">
        <v>119</v>
      </c>
      <c r="G1172" s="12">
        <v>494699</v>
      </c>
      <c r="H1172" t="str">
        <f>IFERROR(VLOOKUP(F1172,'LEAID Match'!$A$2:$B$142,2,FALSE),"")</f>
        <v/>
      </c>
    </row>
    <row r="1173" spans="1:8" x14ac:dyDescent="0.2">
      <c r="A1173" t="str">
        <f t="shared" si="18"/>
        <v/>
      </c>
      <c r="B1173" s="1">
        <v>2017</v>
      </c>
      <c r="C1173" s="1" t="s">
        <v>2505</v>
      </c>
      <c r="D1173" s="1" t="s">
        <v>2506</v>
      </c>
      <c r="E1173" s="1" t="s">
        <v>2019</v>
      </c>
      <c r="F1173" s="1" t="s">
        <v>119</v>
      </c>
      <c r="G1173" s="47">
        <v>502737</v>
      </c>
      <c r="H1173" t="str">
        <f>IFERROR(VLOOKUP(F1173,'LEAID Match'!$A$2:$B$142,2,FALSE),"")</f>
        <v/>
      </c>
    </row>
    <row r="1174" spans="1:8" x14ac:dyDescent="0.2">
      <c r="A1174" t="str">
        <f t="shared" si="18"/>
        <v/>
      </c>
      <c r="B1174" s="1">
        <v>2018</v>
      </c>
      <c r="C1174" s="1" t="s">
        <v>2505</v>
      </c>
      <c r="D1174" s="1" t="s">
        <v>2506</v>
      </c>
      <c r="E1174" s="1" t="s">
        <v>2019</v>
      </c>
      <c r="F1174" s="1" t="s">
        <v>119</v>
      </c>
      <c r="G1174" s="6">
        <v>509981</v>
      </c>
      <c r="H1174" t="str">
        <f>IFERROR(VLOOKUP(F1174,'LEAID Match'!$A$2:$B$142,2,FALSE),"")</f>
        <v/>
      </c>
    </row>
    <row r="1175" spans="1:8" x14ac:dyDescent="0.2">
      <c r="A1175" t="str">
        <f t="shared" si="18"/>
        <v/>
      </c>
      <c r="B1175" s="1">
        <v>2019</v>
      </c>
      <c r="C1175" s="1" t="s">
        <v>2505</v>
      </c>
      <c r="D1175" s="1" t="s">
        <v>2506</v>
      </c>
      <c r="E1175" s="1" t="s">
        <v>2019</v>
      </c>
      <c r="F1175" s="1" t="s">
        <v>119</v>
      </c>
      <c r="G1175" s="6">
        <v>514800</v>
      </c>
      <c r="H1175" t="str">
        <f>IFERROR(VLOOKUP(F1175,'LEAID Match'!$A$2:$B$142,2,FALSE),"")</f>
        <v/>
      </c>
    </row>
    <row r="1176" spans="1:8" x14ac:dyDescent="0.2">
      <c r="A1176" t="str">
        <f t="shared" si="18"/>
        <v/>
      </c>
      <c r="B1176" s="1">
        <v>2020</v>
      </c>
      <c r="C1176" s="1" t="s">
        <v>2505</v>
      </c>
      <c r="D1176" s="1" t="s">
        <v>2506</v>
      </c>
      <c r="E1176" s="1" t="s">
        <v>2019</v>
      </c>
      <c r="F1176" s="1" t="s">
        <v>119</v>
      </c>
      <c r="G1176" s="6">
        <v>582485</v>
      </c>
      <c r="H1176" t="str">
        <f>IFERROR(VLOOKUP(F1176,'LEAID Match'!$A$2:$B$142,2,FALSE),"")</f>
        <v/>
      </c>
    </row>
    <row r="1177" spans="1:8" x14ac:dyDescent="0.2">
      <c r="A1177" t="str">
        <f t="shared" si="18"/>
        <v/>
      </c>
      <c r="B1177" s="1">
        <v>2021</v>
      </c>
      <c r="C1177" s="1" t="s">
        <v>2505</v>
      </c>
      <c r="D1177" s="1" t="s">
        <v>2506</v>
      </c>
      <c r="E1177" s="1" t="s">
        <v>2019</v>
      </c>
      <c r="F1177" s="1" t="s">
        <v>119</v>
      </c>
      <c r="G1177" s="6">
        <v>590670</v>
      </c>
      <c r="H1177" t="str">
        <f>IFERROR(VLOOKUP(F1177,'LEAID Match'!$A$2:$B$142,2,FALSE),"")</f>
        <v/>
      </c>
    </row>
    <row r="1178" spans="1:8" x14ac:dyDescent="0.2">
      <c r="A1178" t="str">
        <f t="shared" si="18"/>
        <v/>
      </c>
      <c r="B1178" s="1">
        <v>2022</v>
      </c>
      <c r="C1178" s="1" t="s">
        <v>2505</v>
      </c>
      <c r="D1178" s="1" t="s">
        <v>2506</v>
      </c>
      <c r="E1178" s="1" t="s">
        <v>2019</v>
      </c>
      <c r="F1178" s="1" t="s">
        <v>119</v>
      </c>
      <c r="G1178" s="6">
        <v>621791</v>
      </c>
      <c r="H1178" t="str">
        <f>IFERROR(VLOOKUP(F1178,'LEAID Match'!$A$2:$B$142,2,FALSE),"")</f>
        <v/>
      </c>
    </row>
    <row r="1179" spans="1:8" x14ac:dyDescent="0.2">
      <c r="A1179" t="str">
        <f t="shared" si="18"/>
        <v/>
      </c>
      <c r="B1179" s="1">
        <v>2023</v>
      </c>
      <c r="C1179" s="1" t="s">
        <v>2505</v>
      </c>
      <c r="D1179" s="1" t="s">
        <v>2506</v>
      </c>
      <c r="E1179" s="1" t="s">
        <v>2019</v>
      </c>
      <c r="F1179" s="1" t="s">
        <v>119</v>
      </c>
      <c r="G1179" s="6">
        <v>661330</v>
      </c>
      <c r="H1179" t="str">
        <f>IFERROR(VLOOKUP(F1179,'LEAID Match'!$A$2:$B$142,2,FALSE),"")</f>
        <v/>
      </c>
    </row>
    <row r="1180" spans="1:8" x14ac:dyDescent="0.2">
      <c r="A1180" t="str">
        <f t="shared" si="18"/>
        <v/>
      </c>
      <c r="B1180" s="1">
        <v>2024</v>
      </c>
      <c r="C1180" s="1" t="s">
        <v>2505</v>
      </c>
      <c r="D1180" s="1" t="s">
        <v>2506</v>
      </c>
      <c r="E1180" s="1" t="s">
        <v>2019</v>
      </c>
      <c r="F1180" s="1" t="s">
        <v>119</v>
      </c>
      <c r="G1180" s="6">
        <v>710906</v>
      </c>
      <c r="H1180" t="str">
        <f>IFERROR(VLOOKUP(F1180,'LEAID Match'!$A$2:$B$142,2,FALSE),"")</f>
        <v/>
      </c>
    </row>
    <row r="1181" spans="1:8" x14ac:dyDescent="0.2">
      <c r="A1181" t="str">
        <f t="shared" si="18"/>
        <v/>
      </c>
      <c r="B1181" s="1">
        <v>2015</v>
      </c>
      <c r="C1181" s="1" t="s">
        <v>2505</v>
      </c>
      <c r="D1181" s="1" t="s">
        <v>2506</v>
      </c>
      <c r="E1181" s="1" t="s">
        <v>2019</v>
      </c>
      <c r="F1181" s="1" t="s">
        <v>2123</v>
      </c>
      <c r="G1181" s="6">
        <v>188744</v>
      </c>
      <c r="H1181" t="str">
        <f>IFERROR(VLOOKUP(F1181,'LEAID Match'!$A$2:$B$142,2,FALSE),"")</f>
        <v/>
      </c>
    </row>
    <row r="1182" spans="1:8" x14ac:dyDescent="0.2">
      <c r="A1182" t="str">
        <f t="shared" si="18"/>
        <v/>
      </c>
      <c r="B1182" s="1">
        <v>2015</v>
      </c>
      <c r="C1182" s="1" t="s">
        <v>2505</v>
      </c>
      <c r="D1182" s="1" t="s">
        <v>2506</v>
      </c>
      <c r="E1182" s="1" t="s">
        <v>2019</v>
      </c>
      <c r="F1182" s="1" t="s">
        <v>120</v>
      </c>
      <c r="G1182" s="6">
        <v>30674</v>
      </c>
      <c r="H1182" t="str">
        <f>IFERROR(VLOOKUP(F1182,'LEAID Match'!$A$2:$B$142,2,FALSE),"")</f>
        <v/>
      </c>
    </row>
    <row r="1183" spans="1:8" x14ac:dyDescent="0.2">
      <c r="A1183" t="str">
        <f t="shared" si="18"/>
        <v/>
      </c>
      <c r="B1183">
        <v>2016</v>
      </c>
      <c r="C1183" s="1" t="s">
        <v>2505</v>
      </c>
      <c r="D1183" s="1" t="s">
        <v>2506</v>
      </c>
      <c r="E1183" s="1" t="s">
        <v>2019</v>
      </c>
      <c r="F1183" s="1" t="s">
        <v>120</v>
      </c>
      <c r="G1183" s="12">
        <v>26236</v>
      </c>
      <c r="H1183" t="str">
        <f>IFERROR(VLOOKUP(F1183,'LEAID Match'!$A$2:$B$142,2,FALSE),"")</f>
        <v/>
      </c>
    </row>
    <row r="1184" spans="1:8" x14ac:dyDescent="0.2">
      <c r="A1184" t="str">
        <f t="shared" si="18"/>
        <v/>
      </c>
      <c r="B1184" s="1">
        <v>2017</v>
      </c>
      <c r="C1184" s="1" t="s">
        <v>2505</v>
      </c>
      <c r="D1184" s="1" t="s">
        <v>2506</v>
      </c>
      <c r="E1184" s="1" t="s">
        <v>2019</v>
      </c>
      <c r="F1184" s="1" t="s">
        <v>120</v>
      </c>
      <c r="G1184" s="47">
        <v>29749</v>
      </c>
      <c r="H1184" t="str">
        <f>IFERROR(VLOOKUP(F1184,'LEAID Match'!$A$2:$B$142,2,FALSE),"")</f>
        <v/>
      </c>
    </row>
    <row r="1185" spans="1:8" x14ac:dyDescent="0.2">
      <c r="A1185" t="str">
        <f t="shared" si="18"/>
        <v/>
      </c>
      <c r="B1185" s="1">
        <v>2018</v>
      </c>
      <c r="C1185" s="1" t="s">
        <v>2505</v>
      </c>
      <c r="D1185" s="1" t="s">
        <v>2506</v>
      </c>
      <c r="E1185" s="1" t="s">
        <v>2019</v>
      </c>
      <c r="F1185" s="1" t="s">
        <v>120</v>
      </c>
      <c r="G1185" s="6">
        <v>27102</v>
      </c>
      <c r="H1185" t="str">
        <f>IFERROR(VLOOKUP(F1185,'LEAID Match'!$A$2:$B$142,2,FALSE),"")</f>
        <v/>
      </c>
    </row>
    <row r="1186" spans="1:8" x14ac:dyDescent="0.2">
      <c r="A1186" t="str">
        <f t="shared" si="18"/>
        <v/>
      </c>
      <c r="B1186" s="1">
        <v>2019</v>
      </c>
      <c r="C1186" s="1" t="s">
        <v>2505</v>
      </c>
      <c r="D1186" s="1" t="s">
        <v>2506</v>
      </c>
      <c r="E1186" s="1" t="s">
        <v>2019</v>
      </c>
      <c r="F1186" s="1" t="s">
        <v>120</v>
      </c>
      <c r="G1186" s="6">
        <v>30394</v>
      </c>
      <c r="H1186" t="str">
        <f>IFERROR(VLOOKUP(F1186,'LEAID Match'!$A$2:$B$142,2,FALSE),"")</f>
        <v/>
      </c>
    </row>
    <row r="1187" spans="1:8" x14ac:dyDescent="0.2">
      <c r="A1187" t="str">
        <f t="shared" si="18"/>
        <v/>
      </c>
      <c r="B1187" s="1">
        <v>2020</v>
      </c>
      <c r="C1187" s="1" t="s">
        <v>2505</v>
      </c>
      <c r="D1187" s="1" t="s">
        <v>2506</v>
      </c>
      <c r="E1187" s="1" t="s">
        <v>2019</v>
      </c>
      <c r="F1187" s="1" t="s">
        <v>120</v>
      </c>
      <c r="G1187" s="6">
        <v>30928</v>
      </c>
      <c r="H1187" t="str">
        <f>IFERROR(VLOOKUP(F1187,'LEAID Match'!$A$2:$B$142,2,FALSE),"")</f>
        <v/>
      </c>
    </row>
    <row r="1188" spans="1:8" x14ac:dyDescent="0.2">
      <c r="A1188" t="str">
        <f t="shared" si="18"/>
        <v/>
      </c>
      <c r="B1188" s="1">
        <v>2021</v>
      </c>
      <c r="C1188" s="1" t="s">
        <v>2505</v>
      </c>
      <c r="D1188" s="1" t="s">
        <v>2506</v>
      </c>
      <c r="E1188" s="1" t="s">
        <v>2019</v>
      </c>
      <c r="F1188" s="1" t="s">
        <v>120</v>
      </c>
      <c r="G1188" s="6">
        <v>33052</v>
      </c>
      <c r="H1188" t="str">
        <f>IFERROR(VLOOKUP(F1188,'LEAID Match'!$A$2:$B$142,2,FALSE),"")</f>
        <v/>
      </c>
    </row>
    <row r="1189" spans="1:8" x14ac:dyDescent="0.2">
      <c r="A1189" t="str">
        <f t="shared" si="18"/>
        <v/>
      </c>
      <c r="B1189" s="1">
        <v>2022</v>
      </c>
      <c r="C1189" s="1" t="s">
        <v>2505</v>
      </c>
      <c r="D1189" s="1" t="s">
        <v>2506</v>
      </c>
      <c r="E1189" s="1" t="s">
        <v>2019</v>
      </c>
      <c r="F1189" s="1" t="s">
        <v>120</v>
      </c>
      <c r="G1189" s="6">
        <v>34831</v>
      </c>
      <c r="H1189" t="str">
        <f>IFERROR(VLOOKUP(F1189,'LEAID Match'!$A$2:$B$142,2,FALSE),"")</f>
        <v/>
      </c>
    </row>
    <row r="1190" spans="1:8" x14ac:dyDescent="0.2">
      <c r="A1190" t="str">
        <f t="shared" si="18"/>
        <v/>
      </c>
      <c r="B1190" s="1">
        <v>2023</v>
      </c>
      <c r="C1190" s="1" t="s">
        <v>2505</v>
      </c>
      <c r="D1190" s="1" t="s">
        <v>2506</v>
      </c>
      <c r="E1190" s="1" t="s">
        <v>2019</v>
      </c>
      <c r="F1190" s="1" t="s">
        <v>120</v>
      </c>
      <c r="G1190" s="6">
        <v>34538</v>
      </c>
      <c r="H1190" t="str">
        <f>IFERROR(VLOOKUP(F1190,'LEAID Match'!$A$2:$B$142,2,FALSE),"")</f>
        <v/>
      </c>
    </row>
    <row r="1191" spans="1:8" x14ac:dyDescent="0.2">
      <c r="A1191" t="str">
        <f t="shared" si="18"/>
        <v/>
      </c>
      <c r="B1191" s="1">
        <v>2024</v>
      </c>
      <c r="C1191" s="1" t="s">
        <v>2505</v>
      </c>
      <c r="D1191" s="1" t="s">
        <v>2506</v>
      </c>
      <c r="E1191" s="1" t="s">
        <v>2019</v>
      </c>
      <c r="F1191" s="1" t="s">
        <v>120</v>
      </c>
      <c r="G1191" s="6">
        <v>40670</v>
      </c>
      <c r="H1191" t="str">
        <f>IFERROR(VLOOKUP(F1191,'LEAID Match'!$A$2:$B$142,2,FALSE),"")</f>
        <v/>
      </c>
    </row>
    <row r="1192" spans="1:8" x14ac:dyDescent="0.2">
      <c r="A1192" t="str">
        <f t="shared" si="18"/>
        <v/>
      </c>
      <c r="B1192" s="1">
        <v>2015</v>
      </c>
      <c r="C1192" s="1" t="s">
        <v>2505</v>
      </c>
      <c r="D1192" s="1" t="s">
        <v>2506</v>
      </c>
      <c r="E1192" s="1" t="s">
        <v>2019</v>
      </c>
      <c r="F1192" s="1" t="s">
        <v>121</v>
      </c>
      <c r="G1192" s="6">
        <v>691555</v>
      </c>
      <c r="H1192" t="str">
        <f>IFERROR(VLOOKUP(F1192,'LEAID Match'!$A$2:$B$142,2,FALSE),"")</f>
        <v/>
      </c>
    </row>
    <row r="1193" spans="1:8" x14ac:dyDescent="0.2">
      <c r="A1193" t="str">
        <f t="shared" si="18"/>
        <v/>
      </c>
      <c r="B1193">
        <v>2016</v>
      </c>
      <c r="C1193" s="1" t="s">
        <v>2505</v>
      </c>
      <c r="D1193" s="1" t="s">
        <v>2506</v>
      </c>
      <c r="E1193" s="1" t="s">
        <v>2019</v>
      </c>
      <c r="F1193" s="1" t="s">
        <v>121</v>
      </c>
      <c r="G1193" s="12">
        <v>732699</v>
      </c>
      <c r="H1193" t="str">
        <f>IFERROR(VLOOKUP(F1193,'LEAID Match'!$A$2:$B$142,2,FALSE),"")</f>
        <v/>
      </c>
    </row>
    <row r="1194" spans="1:8" x14ac:dyDescent="0.2">
      <c r="A1194" t="str">
        <f t="shared" si="18"/>
        <v/>
      </c>
      <c r="B1194" s="1">
        <v>2017</v>
      </c>
      <c r="C1194" s="1" t="s">
        <v>2505</v>
      </c>
      <c r="D1194" s="1" t="s">
        <v>2506</v>
      </c>
      <c r="E1194" s="1" t="s">
        <v>2019</v>
      </c>
      <c r="F1194" s="1" t="s">
        <v>121</v>
      </c>
      <c r="G1194" s="47">
        <v>766814</v>
      </c>
      <c r="H1194" t="str">
        <f>IFERROR(VLOOKUP(F1194,'LEAID Match'!$A$2:$B$142,2,FALSE),"")</f>
        <v/>
      </c>
    </row>
    <row r="1195" spans="1:8" x14ac:dyDescent="0.2">
      <c r="A1195" t="str">
        <f t="shared" si="18"/>
        <v/>
      </c>
      <c r="B1195" s="1">
        <v>2018</v>
      </c>
      <c r="C1195" s="1" t="s">
        <v>2505</v>
      </c>
      <c r="D1195" s="1" t="s">
        <v>2506</v>
      </c>
      <c r="E1195" s="1" t="s">
        <v>2019</v>
      </c>
      <c r="F1195" s="1" t="s">
        <v>121</v>
      </c>
      <c r="G1195" s="6">
        <v>798036</v>
      </c>
      <c r="H1195" t="str">
        <f>IFERROR(VLOOKUP(F1195,'LEAID Match'!$A$2:$B$142,2,FALSE),"")</f>
        <v/>
      </c>
    </row>
    <row r="1196" spans="1:8" x14ac:dyDescent="0.2">
      <c r="A1196" t="str">
        <f t="shared" si="18"/>
        <v/>
      </c>
      <c r="B1196" s="1">
        <v>2019</v>
      </c>
      <c r="C1196" s="1" t="s">
        <v>2505</v>
      </c>
      <c r="D1196" s="1" t="s">
        <v>2506</v>
      </c>
      <c r="E1196" s="1" t="s">
        <v>2019</v>
      </c>
      <c r="F1196" s="1" t="s">
        <v>121</v>
      </c>
      <c r="G1196" s="6">
        <v>830332</v>
      </c>
      <c r="H1196" t="str">
        <f>IFERROR(VLOOKUP(F1196,'LEAID Match'!$A$2:$B$142,2,FALSE),"")</f>
        <v/>
      </c>
    </row>
    <row r="1197" spans="1:8" x14ac:dyDescent="0.2">
      <c r="A1197" t="str">
        <f t="shared" si="18"/>
        <v/>
      </c>
      <c r="B1197" s="1">
        <v>2020</v>
      </c>
      <c r="C1197" s="1" t="s">
        <v>2505</v>
      </c>
      <c r="D1197" s="1" t="s">
        <v>2506</v>
      </c>
      <c r="E1197" s="1" t="s">
        <v>2019</v>
      </c>
      <c r="F1197" s="1" t="s">
        <v>121</v>
      </c>
      <c r="G1197" s="6">
        <v>936158</v>
      </c>
      <c r="H1197" t="str">
        <f>IFERROR(VLOOKUP(F1197,'LEAID Match'!$A$2:$B$142,2,FALSE),"")</f>
        <v/>
      </c>
    </row>
    <row r="1198" spans="1:8" x14ac:dyDescent="0.2">
      <c r="A1198" t="str">
        <f t="shared" si="18"/>
        <v/>
      </c>
      <c r="B1198" s="1">
        <v>2021</v>
      </c>
      <c r="C1198" s="1" t="s">
        <v>2505</v>
      </c>
      <c r="D1198" s="1" t="s">
        <v>2506</v>
      </c>
      <c r="E1198" s="1" t="s">
        <v>2019</v>
      </c>
      <c r="F1198" s="1" t="s">
        <v>121</v>
      </c>
      <c r="G1198" s="6">
        <v>910026</v>
      </c>
      <c r="H1198" t="str">
        <f>IFERROR(VLOOKUP(F1198,'LEAID Match'!$A$2:$B$142,2,FALSE),"")</f>
        <v/>
      </c>
    </row>
    <row r="1199" spans="1:8" x14ac:dyDescent="0.2">
      <c r="A1199" t="str">
        <f t="shared" si="18"/>
        <v/>
      </c>
      <c r="B1199" s="1">
        <v>2022</v>
      </c>
      <c r="C1199" s="1" t="s">
        <v>2505</v>
      </c>
      <c r="D1199" s="1" t="s">
        <v>2506</v>
      </c>
      <c r="E1199" s="1" t="s">
        <v>2019</v>
      </c>
      <c r="F1199" s="1" t="s">
        <v>121</v>
      </c>
      <c r="G1199" s="6">
        <v>943296</v>
      </c>
      <c r="H1199" t="str">
        <f>IFERROR(VLOOKUP(F1199,'LEAID Match'!$A$2:$B$142,2,FALSE),"")</f>
        <v/>
      </c>
    </row>
    <row r="1200" spans="1:8" x14ac:dyDescent="0.2">
      <c r="A1200" t="str">
        <f t="shared" si="18"/>
        <v/>
      </c>
      <c r="B1200" s="1">
        <v>2023</v>
      </c>
      <c r="C1200" s="1" t="s">
        <v>2505</v>
      </c>
      <c r="D1200" s="1" t="s">
        <v>2506</v>
      </c>
      <c r="E1200" s="1" t="s">
        <v>2019</v>
      </c>
      <c r="F1200" s="1" t="s">
        <v>121</v>
      </c>
      <c r="G1200" s="6">
        <v>1069541</v>
      </c>
      <c r="H1200" t="str">
        <f>IFERROR(VLOOKUP(F1200,'LEAID Match'!$A$2:$B$142,2,FALSE),"")</f>
        <v/>
      </c>
    </row>
    <row r="1201" spans="1:8" x14ac:dyDescent="0.2">
      <c r="A1201" t="str">
        <f t="shared" si="18"/>
        <v/>
      </c>
      <c r="B1201" s="1">
        <v>2024</v>
      </c>
      <c r="C1201" s="1" t="s">
        <v>2505</v>
      </c>
      <c r="D1201" s="1" t="s">
        <v>2506</v>
      </c>
      <c r="E1201" s="1" t="s">
        <v>2019</v>
      </c>
      <c r="F1201" s="1" t="s">
        <v>121</v>
      </c>
      <c r="G1201" s="6">
        <v>1109538</v>
      </c>
      <c r="H1201" t="str">
        <f>IFERROR(VLOOKUP(F1201,'LEAID Match'!$A$2:$B$142,2,FALSE),"")</f>
        <v/>
      </c>
    </row>
    <row r="1202" spans="1:8" x14ac:dyDescent="0.2">
      <c r="A1202">
        <f t="shared" si="18"/>
        <v>2800750</v>
      </c>
      <c r="B1202" s="1">
        <v>2015</v>
      </c>
      <c r="C1202" s="1" t="s">
        <v>2505</v>
      </c>
      <c r="D1202" s="1" t="s">
        <v>2506</v>
      </c>
      <c r="E1202" s="1" t="s">
        <v>2019</v>
      </c>
      <c r="F1202" s="1" t="s">
        <v>122</v>
      </c>
      <c r="G1202" s="6">
        <v>2840366</v>
      </c>
      <c r="H1202">
        <f>IFERROR(VLOOKUP(F1202,'LEAID Match'!$A$2:$B$142,2,FALSE),"")</f>
        <v>2800750</v>
      </c>
    </row>
    <row r="1203" spans="1:8" x14ac:dyDescent="0.2">
      <c r="A1203">
        <f t="shared" si="18"/>
        <v>2800750</v>
      </c>
      <c r="B1203">
        <v>2016</v>
      </c>
      <c r="C1203" s="1" t="s">
        <v>2505</v>
      </c>
      <c r="D1203" s="1" t="s">
        <v>2506</v>
      </c>
      <c r="E1203" s="1" t="s">
        <v>2019</v>
      </c>
      <c r="F1203" s="1" t="s">
        <v>122</v>
      </c>
      <c r="G1203" s="12">
        <v>2888150</v>
      </c>
      <c r="H1203">
        <f>IFERROR(VLOOKUP(F1203,'LEAID Match'!$A$2:$B$142,2,FALSE),"")</f>
        <v>2800750</v>
      </c>
    </row>
    <row r="1204" spans="1:8" x14ac:dyDescent="0.2">
      <c r="A1204">
        <f t="shared" si="18"/>
        <v>2800750</v>
      </c>
      <c r="B1204" s="1">
        <v>2017</v>
      </c>
      <c r="C1204" s="1" t="s">
        <v>2505</v>
      </c>
      <c r="D1204" s="1" t="s">
        <v>2506</v>
      </c>
      <c r="E1204" s="1" t="s">
        <v>2019</v>
      </c>
      <c r="F1204" s="1" t="s">
        <v>122</v>
      </c>
      <c r="G1204" s="47">
        <v>2854663</v>
      </c>
      <c r="H1204">
        <f>IFERROR(VLOOKUP(F1204,'LEAID Match'!$A$2:$B$142,2,FALSE),"")</f>
        <v>2800750</v>
      </c>
    </row>
    <row r="1205" spans="1:8" x14ac:dyDescent="0.2">
      <c r="A1205">
        <f t="shared" si="18"/>
        <v>2800750</v>
      </c>
      <c r="B1205" s="1">
        <v>2018</v>
      </c>
      <c r="C1205" s="1" t="s">
        <v>2505</v>
      </c>
      <c r="D1205" s="1" t="s">
        <v>2506</v>
      </c>
      <c r="E1205" s="1" t="s">
        <v>2019</v>
      </c>
      <c r="F1205" s="1" t="s">
        <v>122</v>
      </c>
      <c r="G1205" s="6">
        <v>2815358</v>
      </c>
      <c r="H1205">
        <f>IFERROR(VLOOKUP(F1205,'LEAID Match'!$A$2:$B$142,2,FALSE),"")</f>
        <v>2800750</v>
      </c>
    </row>
    <row r="1206" spans="1:8" x14ac:dyDescent="0.2">
      <c r="A1206">
        <f t="shared" si="18"/>
        <v>2800750</v>
      </c>
      <c r="B1206" s="1">
        <v>2019</v>
      </c>
      <c r="C1206" s="1" t="s">
        <v>2505</v>
      </c>
      <c r="D1206" s="1" t="s">
        <v>2506</v>
      </c>
      <c r="E1206" s="1" t="s">
        <v>2019</v>
      </c>
      <c r="F1206" s="1" t="s">
        <v>122</v>
      </c>
      <c r="G1206" s="6">
        <v>2744372</v>
      </c>
      <c r="H1206">
        <f>IFERROR(VLOOKUP(F1206,'LEAID Match'!$A$2:$B$142,2,FALSE),"")</f>
        <v>2800750</v>
      </c>
    </row>
    <row r="1207" spans="1:8" x14ac:dyDescent="0.2">
      <c r="A1207">
        <f t="shared" si="18"/>
        <v>2800750</v>
      </c>
      <c r="B1207" s="1">
        <v>2020</v>
      </c>
      <c r="C1207" s="1" t="s">
        <v>2505</v>
      </c>
      <c r="D1207" s="1" t="s">
        <v>2506</v>
      </c>
      <c r="E1207" s="1" t="s">
        <v>2019</v>
      </c>
      <c r="F1207" s="1" t="s">
        <v>122</v>
      </c>
      <c r="G1207" s="6">
        <v>3106207</v>
      </c>
      <c r="H1207">
        <f>IFERROR(VLOOKUP(F1207,'LEAID Match'!$A$2:$B$142,2,FALSE),"")</f>
        <v>2800750</v>
      </c>
    </row>
    <row r="1208" spans="1:8" x14ac:dyDescent="0.2">
      <c r="A1208">
        <f t="shared" si="18"/>
        <v>2800750</v>
      </c>
      <c r="B1208" s="1">
        <v>2021</v>
      </c>
      <c r="C1208" s="1" t="s">
        <v>2505</v>
      </c>
      <c r="D1208" s="1" t="s">
        <v>2506</v>
      </c>
      <c r="E1208" s="1" t="s">
        <v>2019</v>
      </c>
      <c r="F1208" s="1" t="s">
        <v>122</v>
      </c>
      <c r="G1208" s="6">
        <v>3262234</v>
      </c>
      <c r="H1208">
        <f>IFERROR(VLOOKUP(F1208,'LEAID Match'!$A$2:$B$142,2,FALSE),"")</f>
        <v>2800750</v>
      </c>
    </row>
    <row r="1209" spans="1:8" x14ac:dyDescent="0.2">
      <c r="A1209">
        <f t="shared" si="18"/>
        <v>2800750</v>
      </c>
      <c r="B1209" s="1">
        <v>2022</v>
      </c>
      <c r="C1209" s="1" t="s">
        <v>2505</v>
      </c>
      <c r="D1209" s="1" t="s">
        <v>2506</v>
      </c>
      <c r="E1209" s="1" t="s">
        <v>2019</v>
      </c>
      <c r="F1209" s="1" t="s">
        <v>122</v>
      </c>
      <c r="G1209" s="6">
        <v>3074424</v>
      </c>
      <c r="H1209">
        <f>IFERROR(VLOOKUP(F1209,'LEAID Match'!$A$2:$B$142,2,FALSE),"")</f>
        <v>2800750</v>
      </c>
    </row>
    <row r="1210" spans="1:8" x14ac:dyDescent="0.2">
      <c r="A1210">
        <f t="shared" si="18"/>
        <v>2800750</v>
      </c>
      <c r="B1210" s="1">
        <v>2023</v>
      </c>
      <c r="C1210" s="1" t="s">
        <v>2505</v>
      </c>
      <c r="D1210" s="1" t="s">
        <v>2506</v>
      </c>
      <c r="E1210" s="1" t="s">
        <v>2019</v>
      </c>
      <c r="F1210" s="1" t="s">
        <v>122</v>
      </c>
      <c r="G1210" s="6">
        <v>3426444</v>
      </c>
      <c r="H1210">
        <f>IFERROR(VLOOKUP(F1210,'LEAID Match'!$A$2:$B$142,2,FALSE),"")</f>
        <v>2800750</v>
      </c>
    </row>
    <row r="1211" spans="1:8" x14ac:dyDescent="0.2">
      <c r="A1211">
        <f t="shared" si="18"/>
        <v>2800750</v>
      </c>
      <c r="B1211" s="1">
        <v>2024</v>
      </c>
      <c r="C1211" s="1" t="s">
        <v>2505</v>
      </c>
      <c r="D1211" s="1" t="s">
        <v>2506</v>
      </c>
      <c r="E1211" s="1" t="s">
        <v>2019</v>
      </c>
      <c r="F1211" s="1" t="s">
        <v>122</v>
      </c>
      <c r="G1211" s="6">
        <v>3488110</v>
      </c>
      <c r="H1211">
        <f>IFERROR(VLOOKUP(F1211,'LEAID Match'!$A$2:$B$142,2,FALSE),"")</f>
        <v>2800750</v>
      </c>
    </row>
    <row r="1212" spans="1:8" x14ac:dyDescent="0.2">
      <c r="A1212" t="str">
        <f t="shared" si="18"/>
        <v/>
      </c>
      <c r="B1212" s="1">
        <v>2015</v>
      </c>
      <c r="C1212" s="1" t="s">
        <v>2505</v>
      </c>
      <c r="D1212" s="1" t="s">
        <v>2506</v>
      </c>
      <c r="E1212" s="1" t="s">
        <v>2019</v>
      </c>
      <c r="F1212" s="1" t="s">
        <v>123</v>
      </c>
      <c r="G1212" s="6">
        <v>1165627</v>
      </c>
      <c r="H1212" t="str">
        <f>IFERROR(VLOOKUP(F1212,'LEAID Match'!$A$2:$B$142,2,FALSE),"")</f>
        <v/>
      </c>
    </row>
    <row r="1213" spans="1:8" x14ac:dyDescent="0.2">
      <c r="A1213" t="str">
        <f t="shared" si="18"/>
        <v/>
      </c>
      <c r="B1213">
        <v>2016</v>
      </c>
      <c r="C1213" s="1" t="s">
        <v>2505</v>
      </c>
      <c r="D1213" s="1" t="s">
        <v>2506</v>
      </c>
      <c r="E1213" s="1" t="s">
        <v>2019</v>
      </c>
      <c r="F1213" s="1" t="s">
        <v>123</v>
      </c>
      <c r="G1213" s="12">
        <v>1187622</v>
      </c>
      <c r="H1213" t="str">
        <f>IFERROR(VLOOKUP(F1213,'LEAID Match'!$A$2:$B$142,2,FALSE),"")</f>
        <v/>
      </c>
    </row>
    <row r="1214" spans="1:8" x14ac:dyDescent="0.2">
      <c r="A1214" t="str">
        <f t="shared" si="18"/>
        <v/>
      </c>
      <c r="B1214" s="1">
        <v>2017</v>
      </c>
      <c r="C1214" s="1" t="s">
        <v>2505</v>
      </c>
      <c r="D1214" s="1" t="s">
        <v>2506</v>
      </c>
      <c r="E1214" s="1" t="s">
        <v>2019</v>
      </c>
      <c r="F1214" s="1" t="s">
        <v>123</v>
      </c>
      <c r="G1214" s="47">
        <v>1263011</v>
      </c>
      <c r="H1214" t="str">
        <f>IFERROR(VLOOKUP(F1214,'LEAID Match'!$A$2:$B$142,2,FALSE),"")</f>
        <v/>
      </c>
    </row>
    <row r="1215" spans="1:8" x14ac:dyDescent="0.2">
      <c r="A1215" t="str">
        <f t="shared" si="18"/>
        <v/>
      </c>
      <c r="B1215" s="1">
        <v>2018</v>
      </c>
      <c r="C1215" s="1" t="s">
        <v>2505</v>
      </c>
      <c r="D1215" s="1" t="s">
        <v>2506</v>
      </c>
      <c r="E1215" s="1" t="s">
        <v>2019</v>
      </c>
      <c r="F1215" s="1" t="s">
        <v>123</v>
      </c>
      <c r="G1215" s="6">
        <v>1349508</v>
      </c>
      <c r="H1215" t="str">
        <f>IFERROR(VLOOKUP(F1215,'LEAID Match'!$A$2:$B$142,2,FALSE),"")</f>
        <v/>
      </c>
    </row>
    <row r="1216" spans="1:8" x14ac:dyDescent="0.2">
      <c r="A1216" t="str">
        <f t="shared" si="18"/>
        <v/>
      </c>
      <c r="B1216" s="1">
        <v>2019</v>
      </c>
      <c r="C1216" s="1" t="s">
        <v>2505</v>
      </c>
      <c r="D1216" s="1" t="s">
        <v>2506</v>
      </c>
      <c r="E1216" s="1" t="s">
        <v>2019</v>
      </c>
      <c r="F1216" s="1" t="s">
        <v>123</v>
      </c>
      <c r="G1216" s="6">
        <v>1448648</v>
      </c>
      <c r="H1216" t="str">
        <f>IFERROR(VLOOKUP(F1216,'LEAID Match'!$A$2:$B$142,2,FALSE),"")</f>
        <v/>
      </c>
    </row>
    <row r="1217" spans="1:8" x14ac:dyDescent="0.2">
      <c r="A1217" t="str">
        <f t="shared" si="18"/>
        <v/>
      </c>
      <c r="B1217" s="1">
        <v>2020</v>
      </c>
      <c r="C1217" s="1" t="s">
        <v>2505</v>
      </c>
      <c r="D1217" s="1" t="s">
        <v>2506</v>
      </c>
      <c r="E1217" s="1" t="s">
        <v>2019</v>
      </c>
      <c r="F1217" s="1" t="s">
        <v>123</v>
      </c>
      <c r="G1217" s="6">
        <v>1665003</v>
      </c>
      <c r="H1217" t="str">
        <f>IFERROR(VLOOKUP(F1217,'LEAID Match'!$A$2:$B$142,2,FALSE),"")</f>
        <v/>
      </c>
    </row>
    <row r="1218" spans="1:8" x14ac:dyDescent="0.2">
      <c r="A1218" t="str">
        <f t="shared" si="18"/>
        <v/>
      </c>
      <c r="B1218" s="1">
        <v>2021</v>
      </c>
      <c r="C1218" s="1" t="s">
        <v>2505</v>
      </c>
      <c r="D1218" s="1" t="s">
        <v>2506</v>
      </c>
      <c r="E1218" s="1" t="s">
        <v>2019</v>
      </c>
      <c r="F1218" s="1" t="s">
        <v>123</v>
      </c>
      <c r="G1218" s="6">
        <v>1711147</v>
      </c>
      <c r="H1218" t="str">
        <f>IFERROR(VLOOKUP(F1218,'LEAID Match'!$A$2:$B$142,2,FALSE),"")</f>
        <v/>
      </c>
    </row>
    <row r="1219" spans="1:8" x14ac:dyDescent="0.2">
      <c r="A1219" t="str">
        <f t="shared" ref="A1219:A1282" si="19">H1219</f>
        <v/>
      </c>
      <c r="B1219" s="1">
        <v>2022</v>
      </c>
      <c r="C1219" s="1" t="s">
        <v>2505</v>
      </c>
      <c r="D1219" s="1" t="s">
        <v>2506</v>
      </c>
      <c r="E1219" s="1" t="s">
        <v>2019</v>
      </c>
      <c r="F1219" s="1" t="s">
        <v>123</v>
      </c>
      <c r="G1219" s="6">
        <v>1794171</v>
      </c>
      <c r="H1219" t="str">
        <f>IFERROR(VLOOKUP(F1219,'LEAID Match'!$A$2:$B$142,2,FALSE),"")</f>
        <v/>
      </c>
    </row>
    <row r="1220" spans="1:8" x14ac:dyDescent="0.2">
      <c r="A1220" t="str">
        <f t="shared" si="19"/>
        <v/>
      </c>
      <c r="B1220" s="1">
        <v>2023</v>
      </c>
      <c r="C1220" s="1" t="s">
        <v>2505</v>
      </c>
      <c r="D1220" s="1" t="s">
        <v>2506</v>
      </c>
      <c r="E1220" s="1" t="s">
        <v>2019</v>
      </c>
      <c r="F1220" s="1" t="s">
        <v>123</v>
      </c>
      <c r="G1220" s="6">
        <v>1880766</v>
      </c>
      <c r="H1220" t="str">
        <f>IFERROR(VLOOKUP(F1220,'LEAID Match'!$A$2:$B$142,2,FALSE),"")</f>
        <v/>
      </c>
    </row>
    <row r="1221" spans="1:8" x14ac:dyDescent="0.2">
      <c r="A1221" t="str">
        <f t="shared" si="19"/>
        <v/>
      </c>
      <c r="B1221" s="1">
        <v>2024</v>
      </c>
      <c r="C1221" s="1" t="s">
        <v>2505</v>
      </c>
      <c r="D1221" s="1" t="s">
        <v>2506</v>
      </c>
      <c r="E1221" s="1" t="s">
        <v>2019</v>
      </c>
      <c r="F1221" s="1" t="s">
        <v>123</v>
      </c>
      <c r="G1221" s="6">
        <v>2037187</v>
      </c>
      <c r="H1221" t="str">
        <f>IFERROR(VLOOKUP(F1221,'LEAID Match'!$A$2:$B$142,2,FALSE),"")</f>
        <v/>
      </c>
    </row>
    <row r="1222" spans="1:8" x14ac:dyDescent="0.2">
      <c r="A1222">
        <f t="shared" si="19"/>
        <v>2801090</v>
      </c>
      <c r="B1222" s="1">
        <v>2015</v>
      </c>
      <c r="C1222" s="1" t="s">
        <v>2505</v>
      </c>
      <c r="D1222" s="1" t="s">
        <v>2506</v>
      </c>
      <c r="E1222" s="1" t="s">
        <v>2019</v>
      </c>
      <c r="F1222" s="1" t="s">
        <v>124</v>
      </c>
      <c r="G1222" s="6">
        <v>3292346</v>
      </c>
      <c r="H1222">
        <f>IFERROR(VLOOKUP(F1222,'LEAID Match'!$A$2:$B$142,2,FALSE),"")</f>
        <v>2801090</v>
      </c>
    </row>
    <row r="1223" spans="1:8" x14ac:dyDescent="0.2">
      <c r="A1223">
        <f t="shared" si="19"/>
        <v>2801090</v>
      </c>
      <c r="B1223">
        <v>2016</v>
      </c>
      <c r="C1223" s="1" t="s">
        <v>2505</v>
      </c>
      <c r="D1223" s="1" t="s">
        <v>2506</v>
      </c>
      <c r="E1223" s="1" t="s">
        <v>2019</v>
      </c>
      <c r="F1223" s="1" t="s">
        <v>124</v>
      </c>
      <c r="G1223" s="12">
        <v>3563916</v>
      </c>
      <c r="H1223">
        <f>IFERROR(VLOOKUP(F1223,'LEAID Match'!$A$2:$B$142,2,FALSE),"")</f>
        <v>2801090</v>
      </c>
    </row>
    <row r="1224" spans="1:8" x14ac:dyDescent="0.2">
      <c r="A1224">
        <f t="shared" si="19"/>
        <v>2801090</v>
      </c>
      <c r="B1224" s="1">
        <v>2017</v>
      </c>
      <c r="C1224" s="1" t="s">
        <v>2505</v>
      </c>
      <c r="D1224" s="1" t="s">
        <v>2506</v>
      </c>
      <c r="E1224" s="1" t="s">
        <v>2019</v>
      </c>
      <c r="F1224" s="1" t="s">
        <v>124</v>
      </c>
      <c r="G1224" s="47">
        <v>3615383</v>
      </c>
      <c r="H1224">
        <f>IFERROR(VLOOKUP(F1224,'LEAID Match'!$A$2:$B$142,2,FALSE),"")</f>
        <v>2801090</v>
      </c>
    </row>
    <row r="1225" spans="1:8" x14ac:dyDescent="0.2">
      <c r="A1225">
        <f t="shared" si="19"/>
        <v>2801090</v>
      </c>
      <c r="B1225" s="1">
        <v>2018</v>
      </c>
      <c r="C1225" s="1" t="s">
        <v>2505</v>
      </c>
      <c r="D1225" s="1" t="s">
        <v>2506</v>
      </c>
      <c r="E1225" s="1" t="s">
        <v>2019</v>
      </c>
      <c r="F1225" s="1" t="s">
        <v>124</v>
      </c>
      <c r="G1225" s="6">
        <v>3658985</v>
      </c>
      <c r="H1225">
        <f>IFERROR(VLOOKUP(F1225,'LEAID Match'!$A$2:$B$142,2,FALSE),"")</f>
        <v>2801090</v>
      </c>
    </row>
    <row r="1226" spans="1:8" x14ac:dyDescent="0.2">
      <c r="A1226">
        <f t="shared" si="19"/>
        <v>2801090</v>
      </c>
      <c r="B1226" s="1">
        <v>2019</v>
      </c>
      <c r="C1226" s="1" t="s">
        <v>2505</v>
      </c>
      <c r="D1226" s="1" t="s">
        <v>2506</v>
      </c>
      <c r="E1226" s="1" t="s">
        <v>2019</v>
      </c>
      <c r="F1226" s="1" t="s">
        <v>124</v>
      </c>
      <c r="G1226" s="6">
        <v>3804016</v>
      </c>
      <c r="H1226">
        <f>IFERROR(VLOOKUP(F1226,'LEAID Match'!$A$2:$B$142,2,FALSE),"")</f>
        <v>2801090</v>
      </c>
    </row>
    <row r="1227" spans="1:8" x14ac:dyDescent="0.2">
      <c r="A1227">
        <f t="shared" si="19"/>
        <v>2801090</v>
      </c>
      <c r="B1227" s="1">
        <v>2020</v>
      </c>
      <c r="C1227" s="1" t="s">
        <v>2505</v>
      </c>
      <c r="D1227" s="1" t="s">
        <v>2506</v>
      </c>
      <c r="E1227" s="1" t="s">
        <v>2019</v>
      </c>
      <c r="F1227" s="1" t="s">
        <v>124</v>
      </c>
      <c r="G1227" s="6">
        <v>4356159</v>
      </c>
      <c r="H1227">
        <f>IFERROR(VLOOKUP(F1227,'LEAID Match'!$A$2:$B$142,2,FALSE),"")</f>
        <v>2801090</v>
      </c>
    </row>
    <row r="1228" spans="1:8" x14ac:dyDescent="0.2">
      <c r="A1228">
        <f t="shared" si="19"/>
        <v>2801090</v>
      </c>
      <c r="B1228" s="1">
        <v>2021</v>
      </c>
      <c r="C1228" s="1" t="s">
        <v>2505</v>
      </c>
      <c r="D1228" s="1" t="s">
        <v>2506</v>
      </c>
      <c r="E1228" s="1" t="s">
        <v>2019</v>
      </c>
      <c r="F1228" s="1" t="s">
        <v>124</v>
      </c>
      <c r="G1228" s="6">
        <v>4452269</v>
      </c>
      <c r="H1228">
        <f>IFERROR(VLOOKUP(F1228,'LEAID Match'!$A$2:$B$142,2,FALSE),"")</f>
        <v>2801090</v>
      </c>
    </row>
    <row r="1229" spans="1:8" x14ac:dyDescent="0.2">
      <c r="A1229">
        <f t="shared" si="19"/>
        <v>2801090</v>
      </c>
      <c r="B1229" s="1">
        <v>2022</v>
      </c>
      <c r="C1229" s="1" t="s">
        <v>2505</v>
      </c>
      <c r="D1229" s="1" t="s">
        <v>2506</v>
      </c>
      <c r="E1229" s="1" t="s">
        <v>2019</v>
      </c>
      <c r="F1229" s="1" t="s">
        <v>124</v>
      </c>
      <c r="G1229" s="6">
        <v>4638027</v>
      </c>
      <c r="H1229">
        <f>IFERROR(VLOOKUP(F1229,'LEAID Match'!$A$2:$B$142,2,FALSE),"")</f>
        <v>2801090</v>
      </c>
    </row>
    <row r="1230" spans="1:8" x14ac:dyDescent="0.2">
      <c r="A1230">
        <f t="shared" si="19"/>
        <v>2801090</v>
      </c>
      <c r="B1230" s="1">
        <v>2023</v>
      </c>
      <c r="C1230" s="1" t="s">
        <v>2505</v>
      </c>
      <c r="D1230" s="1" t="s">
        <v>2506</v>
      </c>
      <c r="E1230" s="1" t="s">
        <v>2019</v>
      </c>
      <c r="F1230" s="1" t="s">
        <v>124</v>
      </c>
      <c r="G1230" s="6">
        <v>5178725</v>
      </c>
      <c r="H1230">
        <f>IFERROR(VLOOKUP(F1230,'LEAID Match'!$A$2:$B$142,2,FALSE),"")</f>
        <v>2801090</v>
      </c>
    </row>
    <row r="1231" spans="1:8" x14ac:dyDescent="0.2">
      <c r="A1231">
        <f t="shared" si="19"/>
        <v>2801090</v>
      </c>
      <c r="B1231" s="1">
        <v>2024</v>
      </c>
      <c r="C1231" s="1" t="s">
        <v>2505</v>
      </c>
      <c r="D1231" s="1" t="s">
        <v>2506</v>
      </c>
      <c r="E1231" s="1" t="s">
        <v>2019</v>
      </c>
      <c r="F1231" s="1" t="s">
        <v>124</v>
      </c>
      <c r="G1231" s="6">
        <v>5748070</v>
      </c>
      <c r="H1231">
        <f>IFERROR(VLOOKUP(F1231,'LEAID Match'!$A$2:$B$142,2,FALSE),"")</f>
        <v>2801090</v>
      </c>
    </row>
    <row r="1232" spans="1:8" x14ac:dyDescent="0.2">
      <c r="A1232">
        <f t="shared" si="19"/>
        <v>2801110</v>
      </c>
      <c r="B1232" s="1">
        <v>2015</v>
      </c>
      <c r="C1232" s="1" t="s">
        <v>2505</v>
      </c>
      <c r="D1232" s="1" t="s">
        <v>2506</v>
      </c>
      <c r="E1232" s="1" t="s">
        <v>2019</v>
      </c>
      <c r="F1232" s="1" t="s">
        <v>125</v>
      </c>
      <c r="G1232" s="6">
        <v>1386665</v>
      </c>
      <c r="H1232">
        <f>IFERROR(VLOOKUP(F1232,'LEAID Match'!$A$2:$B$142,2,FALSE),"")</f>
        <v>2801110</v>
      </c>
    </row>
    <row r="1233" spans="1:8" x14ac:dyDescent="0.2">
      <c r="A1233">
        <f t="shared" si="19"/>
        <v>2801110</v>
      </c>
      <c r="B1233">
        <v>2016</v>
      </c>
      <c r="C1233" s="1" t="s">
        <v>2505</v>
      </c>
      <c r="D1233" s="1" t="s">
        <v>2506</v>
      </c>
      <c r="E1233" s="1" t="s">
        <v>2019</v>
      </c>
      <c r="F1233" s="1" t="s">
        <v>125</v>
      </c>
      <c r="G1233" s="12">
        <v>1424783</v>
      </c>
      <c r="H1233">
        <f>IFERROR(VLOOKUP(F1233,'LEAID Match'!$A$2:$B$142,2,FALSE),"")</f>
        <v>2801110</v>
      </c>
    </row>
    <row r="1234" spans="1:8" x14ac:dyDescent="0.2">
      <c r="A1234">
        <f t="shared" si="19"/>
        <v>2801110</v>
      </c>
      <c r="B1234" s="1">
        <v>2017</v>
      </c>
      <c r="C1234" s="1" t="s">
        <v>2505</v>
      </c>
      <c r="D1234" s="1" t="s">
        <v>2506</v>
      </c>
      <c r="E1234" s="1" t="s">
        <v>2019</v>
      </c>
      <c r="F1234" s="1" t="s">
        <v>125</v>
      </c>
      <c r="G1234" s="47">
        <v>1374870</v>
      </c>
      <c r="H1234">
        <f>IFERROR(VLOOKUP(F1234,'LEAID Match'!$A$2:$B$142,2,FALSE),"")</f>
        <v>2801110</v>
      </c>
    </row>
    <row r="1235" spans="1:8" x14ac:dyDescent="0.2">
      <c r="A1235">
        <f t="shared" si="19"/>
        <v>2801110</v>
      </c>
      <c r="B1235" s="1">
        <v>2018</v>
      </c>
      <c r="C1235" s="1" t="s">
        <v>2505</v>
      </c>
      <c r="D1235" s="1" t="s">
        <v>2506</v>
      </c>
      <c r="E1235" s="1" t="s">
        <v>2019</v>
      </c>
      <c r="F1235" s="1" t="s">
        <v>125</v>
      </c>
      <c r="G1235" s="6">
        <v>1190588</v>
      </c>
      <c r="H1235">
        <f>IFERROR(VLOOKUP(F1235,'LEAID Match'!$A$2:$B$142,2,FALSE),"")</f>
        <v>2801110</v>
      </c>
    </row>
    <row r="1236" spans="1:8" x14ac:dyDescent="0.2">
      <c r="A1236">
        <f t="shared" si="19"/>
        <v>2801110</v>
      </c>
      <c r="B1236" s="1">
        <v>2019</v>
      </c>
      <c r="C1236" s="1" t="s">
        <v>2505</v>
      </c>
      <c r="D1236" s="1" t="s">
        <v>2506</v>
      </c>
      <c r="E1236" s="1" t="s">
        <v>2019</v>
      </c>
      <c r="F1236" s="1" t="s">
        <v>125</v>
      </c>
      <c r="G1236" s="6">
        <v>1415111</v>
      </c>
      <c r="H1236">
        <f>IFERROR(VLOOKUP(F1236,'LEAID Match'!$A$2:$B$142,2,FALSE),"")</f>
        <v>2801110</v>
      </c>
    </row>
    <row r="1237" spans="1:8" x14ac:dyDescent="0.2">
      <c r="A1237">
        <f t="shared" si="19"/>
        <v>2801110</v>
      </c>
      <c r="B1237" s="1">
        <v>2020</v>
      </c>
      <c r="C1237" s="1" t="s">
        <v>2505</v>
      </c>
      <c r="D1237" s="1" t="s">
        <v>2506</v>
      </c>
      <c r="E1237" s="1" t="s">
        <v>2019</v>
      </c>
      <c r="F1237" s="1" t="s">
        <v>125</v>
      </c>
      <c r="G1237" s="6">
        <v>1515808</v>
      </c>
      <c r="H1237">
        <f>IFERROR(VLOOKUP(F1237,'LEAID Match'!$A$2:$B$142,2,FALSE),"")</f>
        <v>2801110</v>
      </c>
    </row>
    <row r="1238" spans="1:8" x14ac:dyDescent="0.2">
      <c r="A1238">
        <f t="shared" si="19"/>
        <v>2801110</v>
      </c>
      <c r="B1238" s="1">
        <v>2021</v>
      </c>
      <c r="C1238" s="1" t="s">
        <v>2505</v>
      </c>
      <c r="D1238" s="1" t="s">
        <v>2506</v>
      </c>
      <c r="E1238" s="1" t="s">
        <v>2019</v>
      </c>
      <c r="F1238" s="1" t="s">
        <v>125</v>
      </c>
      <c r="G1238" s="6">
        <v>1480163</v>
      </c>
      <c r="H1238">
        <f>IFERROR(VLOOKUP(F1238,'LEAID Match'!$A$2:$B$142,2,FALSE),"")</f>
        <v>2801110</v>
      </c>
    </row>
    <row r="1239" spans="1:8" x14ac:dyDescent="0.2">
      <c r="A1239">
        <f t="shared" si="19"/>
        <v>2801110</v>
      </c>
      <c r="B1239" s="1">
        <v>2022</v>
      </c>
      <c r="C1239" s="1" t="s">
        <v>2505</v>
      </c>
      <c r="D1239" s="1" t="s">
        <v>2506</v>
      </c>
      <c r="E1239" s="1" t="s">
        <v>2019</v>
      </c>
      <c r="F1239" s="1" t="s">
        <v>125</v>
      </c>
      <c r="G1239" s="6">
        <v>1432711</v>
      </c>
      <c r="H1239">
        <f>IFERROR(VLOOKUP(F1239,'LEAID Match'!$A$2:$B$142,2,FALSE),"")</f>
        <v>2801110</v>
      </c>
    </row>
    <row r="1240" spans="1:8" x14ac:dyDescent="0.2">
      <c r="A1240">
        <f t="shared" si="19"/>
        <v>2801110</v>
      </c>
      <c r="B1240" s="1">
        <v>2023</v>
      </c>
      <c r="C1240" s="1" t="s">
        <v>2505</v>
      </c>
      <c r="D1240" s="1" t="s">
        <v>2506</v>
      </c>
      <c r="E1240" s="1" t="s">
        <v>2019</v>
      </c>
      <c r="F1240" s="1" t="s">
        <v>125</v>
      </c>
      <c r="G1240" s="6">
        <v>1452474</v>
      </c>
      <c r="H1240">
        <f>IFERROR(VLOOKUP(F1240,'LEAID Match'!$A$2:$B$142,2,FALSE),"")</f>
        <v>2801110</v>
      </c>
    </row>
    <row r="1241" spans="1:8" x14ac:dyDescent="0.2">
      <c r="A1241">
        <f t="shared" si="19"/>
        <v>2801110</v>
      </c>
      <c r="B1241" s="1">
        <v>2024</v>
      </c>
      <c r="C1241" s="1" t="s">
        <v>2505</v>
      </c>
      <c r="D1241" s="1" t="s">
        <v>2506</v>
      </c>
      <c r="E1241" s="1" t="s">
        <v>2019</v>
      </c>
      <c r="F1241" s="1" t="s">
        <v>125</v>
      </c>
      <c r="G1241" s="6">
        <v>1663735</v>
      </c>
      <c r="H1241">
        <f>IFERROR(VLOOKUP(F1241,'LEAID Match'!$A$2:$B$142,2,FALSE),"")</f>
        <v>2801110</v>
      </c>
    </row>
    <row r="1242" spans="1:8" x14ac:dyDescent="0.2">
      <c r="A1242" t="str">
        <f t="shared" si="19"/>
        <v/>
      </c>
      <c r="B1242" s="1">
        <v>2015</v>
      </c>
      <c r="C1242" s="1" t="s">
        <v>2505</v>
      </c>
      <c r="D1242" s="1" t="s">
        <v>2506</v>
      </c>
      <c r="E1242" s="1" t="s">
        <v>2019</v>
      </c>
      <c r="F1242" s="1" t="s">
        <v>126</v>
      </c>
      <c r="G1242" s="6">
        <v>796556</v>
      </c>
      <c r="H1242" t="str">
        <f>IFERROR(VLOOKUP(F1242,'LEAID Match'!$A$2:$B$142,2,FALSE),"")</f>
        <v/>
      </c>
    </row>
    <row r="1243" spans="1:8" x14ac:dyDescent="0.2">
      <c r="A1243" t="str">
        <f t="shared" si="19"/>
        <v/>
      </c>
      <c r="B1243">
        <v>2016</v>
      </c>
      <c r="C1243" s="1" t="s">
        <v>2505</v>
      </c>
      <c r="D1243" s="1" t="s">
        <v>2506</v>
      </c>
      <c r="E1243" s="1" t="s">
        <v>2019</v>
      </c>
      <c r="F1243" s="1" t="s">
        <v>126</v>
      </c>
      <c r="G1243" s="12">
        <v>800281</v>
      </c>
      <c r="H1243" t="str">
        <f>IFERROR(VLOOKUP(F1243,'LEAID Match'!$A$2:$B$142,2,FALSE),"")</f>
        <v/>
      </c>
    </row>
    <row r="1244" spans="1:8" x14ac:dyDescent="0.2">
      <c r="A1244" t="str">
        <f t="shared" si="19"/>
        <v/>
      </c>
      <c r="B1244" s="1">
        <v>2017</v>
      </c>
      <c r="C1244" s="1" t="s">
        <v>2505</v>
      </c>
      <c r="D1244" s="1" t="s">
        <v>2506</v>
      </c>
      <c r="E1244" s="1" t="s">
        <v>2019</v>
      </c>
      <c r="F1244" s="1" t="s">
        <v>126</v>
      </c>
      <c r="G1244" s="47">
        <v>791690</v>
      </c>
      <c r="H1244" t="str">
        <f>IFERROR(VLOOKUP(F1244,'LEAID Match'!$A$2:$B$142,2,FALSE),"")</f>
        <v/>
      </c>
    </row>
    <row r="1245" spans="1:8" x14ac:dyDescent="0.2">
      <c r="A1245" t="str">
        <f t="shared" si="19"/>
        <v/>
      </c>
      <c r="B1245" s="1">
        <v>2018</v>
      </c>
      <c r="C1245" s="1" t="s">
        <v>2505</v>
      </c>
      <c r="D1245" s="1" t="s">
        <v>2506</v>
      </c>
      <c r="E1245" s="1" t="s">
        <v>2019</v>
      </c>
      <c r="F1245" s="1" t="s">
        <v>126</v>
      </c>
      <c r="G1245" s="6">
        <v>816984</v>
      </c>
      <c r="H1245" t="str">
        <f>IFERROR(VLOOKUP(F1245,'LEAID Match'!$A$2:$B$142,2,FALSE),"")</f>
        <v/>
      </c>
    </row>
    <row r="1246" spans="1:8" x14ac:dyDescent="0.2">
      <c r="A1246" t="str">
        <f t="shared" si="19"/>
        <v/>
      </c>
      <c r="B1246" s="1">
        <v>2019</v>
      </c>
      <c r="C1246" s="1" t="s">
        <v>2505</v>
      </c>
      <c r="D1246" s="1" t="s">
        <v>2506</v>
      </c>
      <c r="E1246" s="1" t="s">
        <v>2019</v>
      </c>
      <c r="F1246" s="1" t="s">
        <v>126</v>
      </c>
      <c r="G1246" s="6">
        <v>858071</v>
      </c>
      <c r="H1246" t="str">
        <f>IFERROR(VLOOKUP(F1246,'LEAID Match'!$A$2:$B$142,2,FALSE),"")</f>
        <v/>
      </c>
    </row>
    <row r="1247" spans="1:8" x14ac:dyDescent="0.2">
      <c r="A1247" t="str">
        <f t="shared" si="19"/>
        <v/>
      </c>
      <c r="B1247" s="1">
        <v>2020</v>
      </c>
      <c r="C1247" s="1" t="s">
        <v>2505</v>
      </c>
      <c r="D1247" s="1" t="s">
        <v>2506</v>
      </c>
      <c r="E1247" s="1" t="s">
        <v>2019</v>
      </c>
      <c r="F1247" s="1" t="s">
        <v>126</v>
      </c>
      <c r="G1247" s="6">
        <v>937036</v>
      </c>
      <c r="H1247" t="str">
        <f>IFERROR(VLOOKUP(F1247,'LEAID Match'!$A$2:$B$142,2,FALSE),"")</f>
        <v/>
      </c>
    </row>
    <row r="1248" spans="1:8" x14ac:dyDescent="0.2">
      <c r="A1248" t="str">
        <f t="shared" si="19"/>
        <v/>
      </c>
      <c r="B1248" s="1">
        <v>2021</v>
      </c>
      <c r="C1248" s="1" t="s">
        <v>2505</v>
      </c>
      <c r="D1248" s="1" t="s">
        <v>2506</v>
      </c>
      <c r="E1248" s="1" t="s">
        <v>2019</v>
      </c>
      <c r="F1248" s="1" t="s">
        <v>126</v>
      </c>
      <c r="G1248" s="6">
        <v>931642</v>
      </c>
      <c r="H1248" t="str">
        <f>IFERROR(VLOOKUP(F1248,'LEAID Match'!$A$2:$B$142,2,FALSE),"")</f>
        <v/>
      </c>
    </row>
    <row r="1249" spans="1:8" x14ac:dyDescent="0.2">
      <c r="A1249" t="str">
        <f t="shared" si="19"/>
        <v/>
      </c>
      <c r="B1249" s="1">
        <v>2022</v>
      </c>
      <c r="C1249" s="1" t="s">
        <v>2505</v>
      </c>
      <c r="D1249" s="1" t="s">
        <v>2506</v>
      </c>
      <c r="E1249" s="1" t="s">
        <v>2019</v>
      </c>
      <c r="F1249" s="1" t="s">
        <v>126</v>
      </c>
      <c r="G1249" s="6">
        <v>961150</v>
      </c>
      <c r="H1249" t="str">
        <f>IFERROR(VLOOKUP(F1249,'LEAID Match'!$A$2:$B$142,2,FALSE),"")</f>
        <v/>
      </c>
    </row>
    <row r="1250" spans="1:8" x14ac:dyDescent="0.2">
      <c r="A1250" t="str">
        <f t="shared" si="19"/>
        <v/>
      </c>
      <c r="B1250" s="1">
        <v>2023</v>
      </c>
      <c r="C1250" s="1" t="s">
        <v>2505</v>
      </c>
      <c r="D1250" s="1" t="s">
        <v>2506</v>
      </c>
      <c r="E1250" s="1" t="s">
        <v>2019</v>
      </c>
      <c r="F1250" s="1" t="s">
        <v>126</v>
      </c>
      <c r="G1250" s="6">
        <v>1053403</v>
      </c>
      <c r="H1250" t="str">
        <f>IFERROR(VLOOKUP(F1250,'LEAID Match'!$A$2:$B$142,2,FALSE),"")</f>
        <v/>
      </c>
    </row>
    <row r="1251" spans="1:8" x14ac:dyDescent="0.2">
      <c r="A1251" t="str">
        <f t="shared" si="19"/>
        <v/>
      </c>
      <c r="B1251" s="1">
        <v>2024</v>
      </c>
      <c r="C1251" s="1" t="s">
        <v>2505</v>
      </c>
      <c r="D1251" s="1" t="s">
        <v>2506</v>
      </c>
      <c r="E1251" s="1" t="s">
        <v>2019</v>
      </c>
      <c r="F1251" s="1" t="s">
        <v>126</v>
      </c>
      <c r="G1251" s="6">
        <v>1014740</v>
      </c>
      <c r="H1251" t="str">
        <f>IFERROR(VLOOKUP(F1251,'LEAID Match'!$A$2:$B$142,2,FALSE),"")</f>
        <v/>
      </c>
    </row>
    <row r="1252" spans="1:8" x14ac:dyDescent="0.2">
      <c r="A1252" t="str">
        <f t="shared" si="19"/>
        <v/>
      </c>
      <c r="B1252" s="1">
        <v>2015</v>
      </c>
      <c r="C1252" s="1" t="s">
        <v>2505</v>
      </c>
      <c r="D1252" s="1" t="s">
        <v>2506</v>
      </c>
      <c r="E1252" s="1" t="s">
        <v>2019</v>
      </c>
      <c r="F1252" s="1" t="s">
        <v>127</v>
      </c>
      <c r="G1252" s="6">
        <v>4537</v>
      </c>
      <c r="H1252" t="str">
        <f>IFERROR(VLOOKUP(F1252,'LEAID Match'!$A$2:$B$142,2,FALSE),"")</f>
        <v/>
      </c>
    </row>
    <row r="1253" spans="1:8" x14ac:dyDescent="0.2">
      <c r="A1253" t="str">
        <f t="shared" si="19"/>
        <v/>
      </c>
      <c r="B1253">
        <v>2016</v>
      </c>
      <c r="C1253" s="1" t="s">
        <v>2505</v>
      </c>
      <c r="D1253" s="1" t="s">
        <v>2506</v>
      </c>
      <c r="E1253" s="1" t="s">
        <v>2019</v>
      </c>
      <c r="F1253" s="1" t="s">
        <v>127</v>
      </c>
      <c r="G1253" s="12">
        <v>4537</v>
      </c>
      <c r="H1253" t="str">
        <f>IFERROR(VLOOKUP(F1253,'LEAID Match'!$A$2:$B$142,2,FALSE),"")</f>
        <v/>
      </c>
    </row>
    <row r="1254" spans="1:8" x14ac:dyDescent="0.2">
      <c r="A1254" t="str">
        <f t="shared" si="19"/>
        <v/>
      </c>
      <c r="B1254" s="1">
        <v>2017</v>
      </c>
      <c r="C1254" s="1" t="s">
        <v>2505</v>
      </c>
      <c r="D1254" s="1" t="s">
        <v>2506</v>
      </c>
      <c r="E1254" s="1" t="s">
        <v>2019</v>
      </c>
      <c r="F1254" s="1" t="s">
        <v>127</v>
      </c>
      <c r="G1254" s="47">
        <v>4817</v>
      </c>
      <c r="H1254" t="str">
        <f>IFERROR(VLOOKUP(F1254,'LEAID Match'!$A$2:$B$142,2,FALSE),"")</f>
        <v/>
      </c>
    </row>
    <row r="1255" spans="1:8" x14ac:dyDescent="0.2">
      <c r="A1255" t="str">
        <f t="shared" si="19"/>
        <v/>
      </c>
      <c r="B1255" s="1">
        <v>2018</v>
      </c>
      <c r="C1255" s="1" t="s">
        <v>2505</v>
      </c>
      <c r="D1255" s="1" t="s">
        <v>2506</v>
      </c>
      <c r="E1255" s="1" t="s">
        <v>2019</v>
      </c>
      <c r="F1255" s="1" t="s">
        <v>127</v>
      </c>
      <c r="G1255" s="6">
        <v>4450</v>
      </c>
      <c r="H1255" t="str">
        <f>IFERROR(VLOOKUP(F1255,'LEAID Match'!$A$2:$B$142,2,FALSE),"")</f>
        <v/>
      </c>
    </row>
    <row r="1256" spans="1:8" x14ac:dyDescent="0.2">
      <c r="A1256" t="str">
        <f t="shared" si="19"/>
        <v/>
      </c>
      <c r="B1256" s="1">
        <v>2019</v>
      </c>
      <c r="C1256" s="1" t="s">
        <v>2505</v>
      </c>
      <c r="D1256" s="1" t="s">
        <v>2506</v>
      </c>
      <c r="E1256" s="1" t="s">
        <v>2019</v>
      </c>
      <c r="F1256" s="1" t="s">
        <v>127</v>
      </c>
      <c r="G1256" s="6">
        <v>4607</v>
      </c>
      <c r="H1256" t="str">
        <f>IFERROR(VLOOKUP(F1256,'LEAID Match'!$A$2:$B$142,2,FALSE),"")</f>
        <v/>
      </c>
    </row>
    <row r="1257" spans="1:8" x14ac:dyDescent="0.2">
      <c r="A1257" t="str">
        <f t="shared" si="19"/>
        <v/>
      </c>
      <c r="B1257" s="1">
        <v>2020</v>
      </c>
      <c r="C1257" s="1" t="s">
        <v>2505</v>
      </c>
      <c r="D1257" s="1" t="s">
        <v>2506</v>
      </c>
      <c r="E1257" s="1" t="s">
        <v>2019</v>
      </c>
      <c r="F1257" s="1" t="s">
        <v>127</v>
      </c>
      <c r="G1257" s="6">
        <v>5051</v>
      </c>
      <c r="H1257" t="str">
        <f>IFERROR(VLOOKUP(F1257,'LEAID Match'!$A$2:$B$142,2,FALSE),"")</f>
        <v/>
      </c>
    </row>
    <row r="1258" spans="1:8" x14ac:dyDescent="0.2">
      <c r="A1258" t="str">
        <f t="shared" si="19"/>
        <v/>
      </c>
      <c r="B1258" s="1">
        <v>2021</v>
      </c>
      <c r="C1258" s="1" t="s">
        <v>2505</v>
      </c>
      <c r="D1258" s="1" t="s">
        <v>2506</v>
      </c>
      <c r="E1258" s="1" t="s">
        <v>2019</v>
      </c>
      <c r="F1258" s="1" t="s">
        <v>127</v>
      </c>
      <c r="G1258" s="6">
        <v>5032</v>
      </c>
      <c r="H1258" t="str">
        <f>IFERROR(VLOOKUP(F1258,'LEAID Match'!$A$2:$B$142,2,FALSE),"")</f>
        <v/>
      </c>
    </row>
    <row r="1259" spans="1:8" x14ac:dyDescent="0.2">
      <c r="A1259" t="str">
        <f t="shared" si="19"/>
        <v/>
      </c>
      <c r="B1259" s="1">
        <v>2022</v>
      </c>
      <c r="C1259" s="1" t="s">
        <v>2505</v>
      </c>
      <c r="D1259" s="1" t="s">
        <v>2506</v>
      </c>
      <c r="E1259" s="1" t="s">
        <v>2019</v>
      </c>
      <c r="F1259" s="1" t="s">
        <v>127</v>
      </c>
      <c r="G1259" s="6">
        <v>4762</v>
      </c>
      <c r="H1259" t="str">
        <f>IFERROR(VLOOKUP(F1259,'LEAID Match'!$A$2:$B$142,2,FALSE),"")</f>
        <v/>
      </c>
    </row>
    <row r="1260" spans="1:8" x14ac:dyDescent="0.2">
      <c r="A1260" t="str">
        <f t="shared" si="19"/>
        <v/>
      </c>
      <c r="B1260" s="1">
        <v>2023</v>
      </c>
      <c r="C1260" s="1" t="s">
        <v>2505</v>
      </c>
      <c r="D1260" s="1" t="s">
        <v>2506</v>
      </c>
      <c r="E1260" s="1" t="s">
        <v>2019</v>
      </c>
      <c r="F1260" s="1" t="s">
        <v>127</v>
      </c>
      <c r="G1260" s="6">
        <v>5205</v>
      </c>
      <c r="H1260" t="str">
        <f>IFERROR(VLOOKUP(F1260,'LEAID Match'!$A$2:$B$142,2,FALSE),"")</f>
        <v/>
      </c>
    </row>
    <row r="1261" spans="1:8" x14ac:dyDescent="0.2">
      <c r="A1261" t="str">
        <f t="shared" si="19"/>
        <v/>
      </c>
      <c r="B1261" s="1">
        <v>2024</v>
      </c>
      <c r="C1261" s="1" t="s">
        <v>2505</v>
      </c>
      <c r="D1261" s="1" t="s">
        <v>2506</v>
      </c>
      <c r="E1261" s="1" t="s">
        <v>2019</v>
      </c>
      <c r="F1261" s="1" t="s">
        <v>127</v>
      </c>
      <c r="G1261" s="6">
        <v>5013</v>
      </c>
      <c r="H1261" t="str">
        <f>IFERROR(VLOOKUP(F1261,'LEAID Match'!$A$2:$B$142,2,FALSE),"")</f>
        <v/>
      </c>
    </row>
    <row r="1262" spans="1:8" x14ac:dyDescent="0.2">
      <c r="A1262" t="str">
        <f t="shared" si="19"/>
        <v/>
      </c>
      <c r="B1262" s="1">
        <v>2015</v>
      </c>
      <c r="C1262" s="1" t="s">
        <v>2505</v>
      </c>
      <c r="D1262" s="1" t="s">
        <v>2506</v>
      </c>
      <c r="E1262" s="1" t="s">
        <v>2019</v>
      </c>
      <c r="F1262" s="1" t="s">
        <v>128</v>
      </c>
      <c r="G1262" s="6">
        <v>1919023</v>
      </c>
      <c r="H1262" t="str">
        <f>IFERROR(VLOOKUP(F1262,'LEAID Match'!$A$2:$B$142,2,FALSE),"")</f>
        <v/>
      </c>
    </row>
    <row r="1263" spans="1:8" x14ac:dyDescent="0.2">
      <c r="A1263" t="str">
        <f t="shared" si="19"/>
        <v/>
      </c>
      <c r="B1263">
        <v>2016</v>
      </c>
      <c r="C1263" s="1" t="s">
        <v>2505</v>
      </c>
      <c r="D1263" s="1" t="s">
        <v>2506</v>
      </c>
      <c r="E1263" s="1" t="s">
        <v>2019</v>
      </c>
      <c r="F1263" s="1" t="s">
        <v>128</v>
      </c>
      <c r="G1263" s="12">
        <v>2012389</v>
      </c>
      <c r="H1263" t="str">
        <f>IFERROR(VLOOKUP(F1263,'LEAID Match'!$A$2:$B$142,2,FALSE),"")</f>
        <v/>
      </c>
    </row>
    <row r="1264" spans="1:8" x14ac:dyDescent="0.2">
      <c r="A1264" t="str">
        <f t="shared" si="19"/>
        <v/>
      </c>
      <c r="B1264" s="1">
        <v>2017</v>
      </c>
      <c r="C1264" s="1" t="s">
        <v>2505</v>
      </c>
      <c r="D1264" s="1" t="s">
        <v>2506</v>
      </c>
      <c r="E1264" s="1" t="s">
        <v>2019</v>
      </c>
      <c r="F1264" s="1" t="s">
        <v>128</v>
      </c>
      <c r="G1264" s="47">
        <v>1902427</v>
      </c>
      <c r="H1264" t="str">
        <f>IFERROR(VLOOKUP(F1264,'LEAID Match'!$A$2:$B$142,2,FALSE),"")</f>
        <v/>
      </c>
    </row>
    <row r="1265" spans="1:8" x14ac:dyDescent="0.2">
      <c r="A1265" t="str">
        <f t="shared" si="19"/>
        <v/>
      </c>
      <c r="B1265" s="1">
        <v>2018</v>
      </c>
      <c r="C1265" s="1" t="s">
        <v>2505</v>
      </c>
      <c r="D1265" s="1" t="s">
        <v>2506</v>
      </c>
      <c r="E1265" s="1" t="s">
        <v>2019</v>
      </c>
      <c r="F1265" s="1" t="s">
        <v>128</v>
      </c>
      <c r="G1265" s="6">
        <v>1925445</v>
      </c>
      <c r="H1265" t="str">
        <f>IFERROR(VLOOKUP(F1265,'LEAID Match'!$A$2:$B$142,2,FALSE),"")</f>
        <v/>
      </c>
    </row>
    <row r="1266" spans="1:8" x14ac:dyDescent="0.2">
      <c r="A1266" t="str">
        <f t="shared" si="19"/>
        <v/>
      </c>
      <c r="B1266" s="1">
        <v>2019</v>
      </c>
      <c r="C1266" s="1" t="s">
        <v>2505</v>
      </c>
      <c r="D1266" s="1" t="s">
        <v>2506</v>
      </c>
      <c r="E1266" s="1" t="s">
        <v>2019</v>
      </c>
      <c r="F1266" s="1" t="s">
        <v>128</v>
      </c>
      <c r="G1266" s="6">
        <v>1968735</v>
      </c>
      <c r="H1266" t="str">
        <f>IFERROR(VLOOKUP(F1266,'LEAID Match'!$A$2:$B$142,2,FALSE),"")</f>
        <v/>
      </c>
    </row>
    <row r="1267" spans="1:8" x14ac:dyDescent="0.2">
      <c r="A1267" t="str">
        <f t="shared" si="19"/>
        <v/>
      </c>
      <c r="B1267" s="1">
        <v>2020</v>
      </c>
      <c r="C1267" s="1" t="s">
        <v>2505</v>
      </c>
      <c r="D1267" s="1" t="s">
        <v>2506</v>
      </c>
      <c r="E1267" s="1" t="s">
        <v>2019</v>
      </c>
      <c r="F1267" s="1" t="s">
        <v>128</v>
      </c>
      <c r="G1267" s="6">
        <v>2247156</v>
      </c>
      <c r="H1267" t="str">
        <f>IFERROR(VLOOKUP(F1267,'LEAID Match'!$A$2:$B$142,2,FALSE),"")</f>
        <v/>
      </c>
    </row>
    <row r="1268" spans="1:8" x14ac:dyDescent="0.2">
      <c r="A1268" t="str">
        <f t="shared" si="19"/>
        <v/>
      </c>
      <c r="B1268" s="1">
        <v>2021</v>
      </c>
      <c r="C1268" s="1" t="s">
        <v>2505</v>
      </c>
      <c r="D1268" s="1" t="s">
        <v>2506</v>
      </c>
      <c r="E1268" s="1" t="s">
        <v>2019</v>
      </c>
      <c r="F1268" s="1" t="s">
        <v>128</v>
      </c>
      <c r="G1268" s="6">
        <v>2132078</v>
      </c>
      <c r="H1268" t="str">
        <f>IFERROR(VLOOKUP(F1268,'LEAID Match'!$A$2:$B$142,2,FALSE),"")</f>
        <v/>
      </c>
    </row>
    <row r="1269" spans="1:8" x14ac:dyDescent="0.2">
      <c r="A1269" t="str">
        <f t="shared" si="19"/>
        <v/>
      </c>
      <c r="B1269" s="1">
        <v>2022</v>
      </c>
      <c r="C1269" s="1" t="s">
        <v>2505</v>
      </c>
      <c r="D1269" s="1" t="s">
        <v>2506</v>
      </c>
      <c r="E1269" s="1" t="s">
        <v>2019</v>
      </c>
      <c r="F1269" s="1" t="s">
        <v>128</v>
      </c>
      <c r="G1269" s="6">
        <v>1950684</v>
      </c>
      <c r="H1269" t="str">
        <f>IFERROR(VLOOKUP(F1269,'LEAID Match'!$A$2:$B$142,2,FALSE),"")</f>
        <v/>
      </c>
    </row>
    <row r="1270" spans="1:8" x14ac:dyDescent="0.2">
      <c r="A1270" t="str">
        <f t="shared" si="19"/>
        <v/>
      </c>
      <c r="B1270" s="1">
        <v>2023</v>
      </c>
      <c r="C1270" s="1" t="s">
        <v>2505</v>
      </c>
      <c r="D1270" s="1" t="s">
        <v>2506</v>
      </c>
      <c r="E1270" s="1" t="s">
        <v>2019</v>
      </c>
      <c r="F1270" s="1" t="s">
        <v>128</v>
      </c>
      <c r="G1270" s="6">
        <v>2071275</v>
      </c>
      <c r="H1270" t="str">
        <f>IFERROR(VLOOKUP(F1270,'LEAID Match'!$A$2:$B$142,2,FALSE),"")</f>
        <v/>
      </c>
    </row>
    <row r="1271" spans="1:8" x14ac:dyDescent="0.2">
      <c r="A1271" t="str">
        <f t="shared" si="19"/>
        <v/>
      </c>
      <c r="B1271" s="1">
        <v>2024</v>
      </c>
      <c r="C1271" s="1" t="s">
        <v>2505</v>
      </c>
      <c r="D1271" s="1" t="s">
        <v>2506</v>
      </c>
      <c r="E1271" s="1" t="s">
        <v>2019</v>
      </c>
      <c r="F1271" s="1" t="s">
        <v>128</v>
      </c>
      <c r="G1271" s="6">
        <v>2106405</v>
      </c>
      <c r="H1271" t="str">
        <f>IFERROR(VLOOKUP(F1271,'LEAID Match'!$A$2:$B$142,2,FALSE),"")</f>
        <v/>
      </c>
    </row>
    <row r="1272" spans="1:8" x14ac:dyDescent="0.2">
      <c r="A1272" t="str">
        <f t="shared" si="19"/>
        <v/>
      </c>
      <c r="B1272" s="1">
        <v>2015</v>
      </c>
      <c r="C1272" s="1" t="s">
        <v>2505</v>
      </c>
      <c r="D1272" s="1" t="s">
        <v>2506</v>
      </c>
      <c r="E1272" s="1" t="s">
        <v>2019</v>
      </c>
      <c r="F1272" s="1" t="s">
        <v>129</v>
      </c>
      <c r="G1272" s="6">
        <v>191973</v>
      </c>
      <c r="H1272" t="str">
        <f>IFERROR(VLOOKUP(F1272,'LEAID Match'!$A$2:$B$142,2,FALSE),"")</f>
        <v/>
      </c>
    </row>
    <row r="1273" spans="1:8" x14ac:dyDescent="0.2">
      <c r="A1273" t="str">
        <f t="shared" si="19"/>
        <v/>
      </c>
      <c r="B1273">
        <v>2016</v>
      </c>
      <c r="C1273" s="1" t="s">
        <v>2505</v>
      </c>
      <c r="D1273" s="1" t="s">
        <v>2506</v>
      </c>
      <c r="E1273" s="1" t="s">
        <v>2019</v>
      </c>
      <c r="F1273" s="1" t="s">
        <v>129</v>
      </c>
      <c r="G1273" s="12">
        <v>192595</v>
      </c>
      <c r="H1273" t="str">
        <f>IFERROR(VLOOKUP(F1273,'LEAID Match'!$A$2:$B$142,2,FALSE),"")</f>
        <v/>
      </c>
    </row>
    <row r="1274" spans="1:8" x14ac:dyDescent="0.2">
      <c r="A1274" t="str">
        <f t="shared" si="19"/>
        <v/>
      </c>
      <c r="B1274" s="1">
        <v>2017</v>
      </c>
      <c r="C1274" s="1" t="s">
        <v>2505</v>
      </c>
      <c r="D1274" s="1" t="s">
        <v>2506</v>
      </c>
      <c r="E1274" s="1" t="s">
        <v>2019</v>
      </c>
      <c r="F1274" s="1" t="s">
        <v>129</v>
      </c>
      <c r="G1274" s="47">
        <v>193249</v>
      </c>
      <c r="H1274" t="str">
        <f>IFERROR(VLOOKUP(F1274,'LEAID Match'!$A$2:$B$142,2,FALSE),"")</f>
        <v/>
      </c>
    </row>
    <row r="1275" spans="1:8" x14ac:dyDescent="0.2">
      <c r="A1275" t="str">
        <f t="shared" si="19"/>
        <v/>
      </c>
      <c r="B1275" s="1">
        <v>2018</v>
      </c>
      <c r="C1275" s="1" t="s">
        <v>2505</v>
      </c>
      <c r="D1275" s="1" t="s">
        <v>2506</v>
      </c>
      <c r="E1275" s="1" t="s">
        <v>2019</v>
      </c>
      <c r="F1275" s="1" t="s">
        <v>129</v>
      </c>
      <c r="G1275" s="6">
        <v>189153</v>
      </c>
      <c r="H1275" t="str">
        <f>IFERROR(VLOOKUP(F1275,'LEAID Match'!$A$2:$B$142,2,FALSE),"")</f>
        <v/>
      </c>
    </row>
    <row r="1276" spans="1:8" x14ac:dyDescent="0.2">
      <c r="A1276" t="str">
        <f t="shared" si="19"/>
        <v/>
      </c>
      <c r="B1276" s="1">
        <v>2019</v>
      </c>
      <c r="C1276" s="1" t="s">
        <v>2505</v>
      </c>
      <c r="D1276" s="1" t="s">
        <v>2506</v>
      </c>
      <c r="E1276" s="1" t="s">
        <v>2019</v>
      </c>
      <c r="F1276" s="1" t="s">
        <v>129</v>
      </c>
      <c r="G1276" s="6">
        <v>201735</v>
      </c>
      <c r="H1276" t="str">
        <f>IFERROR(VLOOKUP(F1276,'LEAID Match'!$A$2:$B$142,2,FALSE),"")</f>
        <v/>
      </c>
    </row>
    <row r="1277" spans="1:8" x14ac:dyDescent="0.2">
      <c r="A1277" t="str">
        <f t="shared" si="19"/>
        <v/>
      </c>
      <c r="B1277" s="1">
        <v>2020</v>
      </c>
      <c r="C1277" s="1" t="s">
        <v>2505</v>
      </c>
      <c r="D1277" s="1" t="s">
        <v>2506</v>
      </c>
      <c r="E1277" s="1" t="s">
        <v>2019</v>
      </c>
      <c r="F1277" s="1" t="s">
        <v>129</v>
      </c>
      <c r="G1277" s="6">
        <v>224271</v>
      </c>
      <c r="H1277" t="str">
        <f>IFERROR(VLOOKUP(F1277,'LEAID Match'!$A$2:$B$142,2,FALSE),"")</f>
        <v/>
      </c>
    </row>
    <row r="1278" spans="1:8" x14ac:dyDescent="0.2">
      <c r="A1278" t="str">
        <f t="shared" si="19"/>
        <v/>
      </c>
      <c r="B1278" s="1">
        <v>2021</v>
      </c>
      <c r="C1278" s="1" t="s">
        <v>2505</v>
      </c>
      <c r="D1278" s="1" t="s">
        <v>2506</v>
      </c>
      <c r="E1278" s="1" t="s">
        <v>2019</v>
      </c>
      <c r="F1278" s="1" t="s">
        <v>129</v>
      </c>
      <c r="G1278" s="6">
        <v>164240</v>
      </c>
      <c r="H1278" t="str">
        <f>IFERROR(VLOOKUP(F1278,'LEAID Match'!$A$2:$B$142,2,FALSE),"")</f>
        <v/>
      </c>
    </row>
    <row r="1279" spans="1:8" x14ac:dyDescent="0.2">
      <c r="A1279" t="str">
        <f t="shared" si="19"/>
        <v/>
      </c>
      <c r="B1279" s="1">
        <v>2022</v>
      </c>
      <c r="C1279" s="1" t="s">
        <v>2505</v>
      </c>
      <c r="D1279" s="1" t="s">
        <v>2506</v>
      </c>
      <c r="E1279" s="1" t="s">
        <v>2019</v>
      </c>
      <c r="F1279" s="1" t="s">
        <v>129</v>
      </c>
      <c r="G1279" s="6">
        <v>201020</v>
      </c>
      <c r="H1279" t="str">
        <f>IFERROR(VLOOKUP(F1279,'LEAID Match'!$A$2:$B$142,2,FALSE),"")</f>
        <v/>
      </c>
    </row>
    <row r="1280" spans="1:8" x14ac:dyDescent="0.2">
      <c r="A1280" t="str">
        <f t="shared" si="19"/>
        <v/>
      </c>
      <c r="B1280" s="1">
        <v>2023</v>
      </c>
      <c r="C1280" s="1" t="s">
        <v>2505</v>
      </c>
      <c r="D1280" s="1" t="s">
        <v>2506</v>
      </c>
      <c r="E1280" s="1" t="s">
        <v>2019</v>
      </c>
      <c r="F1280" s="1" t="s">
        <v>129</v>
      </c>
      <c r="G1280" s="6">
        <v>222502</v>
      </c>
      <c r="H1280" t="str">
        <f>IFERROR(VLOOKUP(F1280,'LEAID Match'!$A$2:$B$142,2,FALSE),"")</f>
        <v/>
      </c>
    </row>
    <row r="1281" spans="1:8" x14ac:dyDescent="0.2">
      <c r="A1281" t="str">
        <f t="shared" si="19"/>
        <v/>
      </c>
      <c r="B1281" s="1">
        <v>2024</v>
      </c>
      <c r="C1281" s="1" t="s">
        <v>2505</v>
      </c>
      <c r="D1281" s="1" t="s">
        <v>2506</v>
      </c>
      <c r="E1281" s="1" t="s">
        <v>2019</v>
      </c>
      <c r="F1281" s="1" t="s">
        <v>129</v>
      </c>
      <c r="G1281" s="6">
        <v>259120</v>
      </c>
      <c r="H1281" t="str">
        <f>IFERROR(VLOOKUP(F1281,'LEAID Match'!$A$2:$B$142,2,FALSE),"")</f>
        <v/>
      </c>
    </row>
    <row r="1282" spans="1:8" x14ac:dyDescent="0.2">
      <c r="A1282">
        <f t="shared" si="19"/>
        <v>2801140</v>
      </c>
      <c r="B1282" s="1">
        <v>2015</v>
      </c>
      <c r="C1282" s="1" t="s">
        <v>2505</v>
      </c>
      <c r="D1282" s="1" t="s">
        <v>2506</v>
      </c>
      <c r="E1282" s="1" t="s">
        <v>2019</v>
      </c>
      <c r="F1282" s="1" t="s">
        <v>130</v>
      </c>
      <c r="G1282" s="6">
        <v>559378</v>
      </c>
      <c r="H1282">
        <f>IFERROR(VLOOKUP(F1282,'LEAID Match'!$A$2:$B$142,2,FALSE),"")</f>
        <v>2801140</v>
      </c>
    </row>
    <row r="1283" spans="1:8" x14ac:dyDescent="0.2">
      <c r="A1283">
        <f t="shared" ref="A1283:A1346" si="20">H1283</f>
        <v>2801140</v>
      </c>
      <c r="B1283">
        <v>2016</v>
      </c>
      <c r="C1283" s="1" t="s">
        <v>2505</v>
      </c>
      <c r="D1283" s="1" t="s">
        <v>2506</v>
      </c>
      <c r="E1283" s="1" t="s">
        <v>2019</v>
      </c>
      <c r="F1283" s="1" t="s">
        <v>130</v>
      </c>
      <c r="G1283" s="12">
        <v>538678</v>
      </c>
      <c r="H1283">
        <f>IFERROR(VLOOKUP(F1283,'LEAID Match'!$A$2:$B$142,2,FALSE),"")</f>
        <v>2801140</v>
      </c>
    </row>
    <row r="1284" spans="1:8" x14ac:dyDescent="0.2">
      <c r="A1284">
        <f t="shared" si="20"/>
        <v>2801140</v>
      </c>
      <c r="B1284" s="1">
        <v>2017</v>
      </c>
      <c r="C1284" s="1" t="s">
        <v>2505</v>
      </c>
      <c r="D1284" s="1" t="s">
        <v>2506</v>
      </c>
      <c r="E1284" s="1" t="s">
        <v>2019</v>
      </c>
      <c r="F1284" s="1" t="s">
        <v>130</v>
      </c>
      <c r="G1284" s="47">
        <v>503396</v>
      </c>
      <c r="H1284">
        <f>IFERROR(VLOOKUP(F1284,'LEAID Match'!$A$2:$B$142,2,FALSE),"")</f>
        <v>2801140</v>
      </c>
    </row>
    <row r="1285" spans="1:8" x14ac:dyDescent="0.2">
      <c r="A1285">
        <f t="shared" si="20"/>
        <v>2801140</v>
      </c>
      <c r="B1285" s="1">
        <v>2018</v>
      </c>
      <c r="C1285" s="1" t="s">
        <v>2505</v>
      </c>
      <c r="D1285" s="1" t="s">
        <v>2506</v>
      </c>
      <c r="E1285" s="1" t="s">
        <v>2019</v>
      </c>
      <c r="F1285" s="1" t="s">
        <v>130</v>
      </c>
      <c r="G1285" s="6">
        <v>523267</v>
      </c>
      <c r="H1285">
        <f>IFERROR(VLOOKUP(F1285,'LEAID Match'!$A$2:$B$142,2,FALSE),"")</f>
        <v>2801140</v>
      </c>
    </row>
    <row r="1286" spans="1:8" x14ac:dyDescent="0.2">
      <c r="A1286">
        <f t="shared" si="20"/>
        <v>2801140</v>
      </c>
      <c r="B1286" s="1">
        <v>2019</v>
      </c>
      <c r="C1286" s="1" t="s">
        <v>2505</v>
      </c>
      <c r="D1286" s="1" t="s">
        <v>2506</v>
      </c>
      <c r="E1286" s="1" t="s">
        <v>2019</v>
      </c>
      <c r="F1286" s="1" t="s">
        <v>130</v>
      </c>
      <c r="G1286" s="6">
        <v>501767</v>
      </c>
      <c r="H1286">
        <f>IFERROR(VLOOKUP(F1286,'LEAID Match'!$A$2:$B$142,2,FALSE),"")</f>
        <v>2801140</v>
      </c>
    </row>
    <row r="1287" spans="1:8" x14ac:dyDescent="0.2">
      <c r="A1287">
        <f t="shared" si="20"/>
        <v>2801140</v>
      </c>
      <c r="B1287" s="1">
        <v>2020</v>
      </c>
      <c r="C1287" s="1" t="s">
        <v>2505</v>
      </c>
      <c r="D1287" s="1" t="s">
        <v>2506</v>
      </c>
      <c r="E1287" s="1" t="s">
        <v>2019</v>
      </c>
      <c r="F1287" s="1" t="s">
        <v>130</v>
      </c>
      <c r="G1287" s="6">
        <v>581984</v>
      </c>
      <c r="H1287">
        <f>IFERROR(VLOOKUP(F1287,'LEAID Match'!$A$2:$B$142,2,FALSE),"")</f>
        <v>2801140</v>
      </c>
    </row>
    <row r="1288" spans="1:8" x14ac:dyDescent="0.2">
      <c r="A1288">
        <f t="shared" si="20"/>
        <v>2801140</v>
      </c>
      <c r="B1288" s="1">
        <v>2021</v>
      </c>
      <c r="C1288" s="1" t="s">
        <v>2505</v>
      </c>
      <c r="D1288" s="1" t="s">
        <v>2506</v>
      </c>
      <c r="E1288" s="1" t="s">
        <v>2019</v>
      </c>
      <c r="F1288" s="1" t="s">
        <v>130</v>
      </c>
      <c r="G1288" s="6">
        <v>442620</v>
      </c>
      <c r="H1288">
        <f>IFERROR(VLOOKUP(F1288,'LEAID Match'!$A$2:$B$142,2,FALSE),"")</f>
        <v>2801140</v>
      </c>
    </row>
    <row r="1289" spans="1:8" x14ac:dyDescent="0.2">
      <c r="A1289">
        <f t="shared" si="20"/>
        <v>2801140</v>
      </c>
      <c r="B1289" s="1">
        <v>2022</v>
      </c>
      <c r="C1289" s="1" t="s">
        <v>2505</v>
      </c>
      <c r="D1289" s="1" t="s">
        <v>2506</v>
      </c>
      <c r="E1289" s="1" t="s">
        <v>2019</v>
      </c>
      <c r="F1289" s="1" t="s">
        <v>130</v>
      </c>
      <c r="G1289" s="6">
        <v>606390</v>
      </c>
      <c r="H1289">
        <f>IFERROR(VLOOKUP(F1289,'LEAID Match'!$A$2:$B$142,2,FALSE),"")</f>
        <v>2801140</v>
      </c>
    </row>
    <row r="1290" spans="1:8" x14ac:dyDescent="0.2">
      <c r="A1290">
        <f t="shared" si="20"/>
        <v>2801140</v>
      </c>
      <c r="B1290" s="1">
        <v>2023</v>
      </c>
      <c r="C1290" s="1" t="s">
        <v>2505</v>
      </c>
      <c r="D1290" s="1" t="s">
        <v>2506</v>
      </c>
      <c r="E1290" s="1" t="s">
        <v>2019</v>
      </c>
      <c r="F1290" s="1" t="s">
        <v>130</v>
      </c>
      <c r="G1290" s="6">
        <v>595973</v>
      </c>
      <c r="H1290">
        <f>IFERROR(VLOOKUP(F1290,'LEAID Match'!$A$2:$B$142,2,FALSE),"")</f>
        <v>2801140</v>
      </c>
    </row>
    <row r="1291" spans="1:8" x14ac:dyDescent="0.2">
      <c r="A1291">
        <f t="shared" si="20"/>
        <v>2801140</v>
      </c>
      <c r="B1291" s="1">
        <v>2024</v>
      </c>
      <c r="C1291" s="1" t="s">
        <v>2505</v>
      </c>
      <c r="D1291" s="1" t="s">
        <v>2506</v>
      </c>
      <c r="E1291" s="1" t="s">
        <v>2019</v>
      </c>
      <c r="F1291" s="1" t="s">
        <v>130</v>
      </c>
      <c r="G1291" s="6">
        <v>577034</v>
      </c>
      <c r="H1291">
        <f>IFERROR(VLOOKUP(F1291,'LEAID Match'!$A$2:$B$142,2,FALSE),"")</f>
        <v>2801140</v>
      </c>
    </row>
    <row r="1292" spans="1:8" x14ac:dyDescent="0.2">
      <c r="A1292" t="str">
        <f t="shared" si="20"/>
        <v/>
      </c>
      <c r="B1292" s="1">
        <v>2015</v>
      </c>
      <c r="C1292" s="1" t="s">
        <v>2505</v>
      </c>
      <c r="D1292" s="1" t="s">
        <v>2506</v>
      </c>
      <c r="E1292" s="1" t="s">
        <v>2019</v>
      </c>
      <c r="F1292" s="1" t="s">
        <v>131</v>
      </c>
      <c r="G1292" s="6">
        <v>39718</v>
      </c>
      <c r="H1292" t="str">
        <f>IFERROR(VLOOKUP(F1292,'LEAID Match'!$A$2:$B$142,2,FALSE),"")</f>
        <v/>
      </c>
    </row>
    <row r="1293" spans="1:8" x14ac:dyDescent="0.2">
      <c r="A1293" t="str">
        <f t="shared" si="20"/>
        <v/>
      </c>
      <c r="B1293">
        <v>2016</v>
      </c>
      <c r="C1293" s="1" t="s">
        <v>2505</v>
      </c>
      <c r="D1293" s="1" t="s">
        <v>2506</v>
      </c>
      <c r="E1293" s="1" t="s">
        <v>2019</v>
      </c>
      <c r="F1293" s="1" t="s">
        <v>131</v>
      </c>
      <c r="G1293" s="12">
        <v>40979</v>
      </c>
      <c r="H1293" t="str">
        <f>IFERROR(VLOOKUP(F1293,'LEAID Match'!$A$2:$B$142,2,FALSE),"")</f>
        <v/>
      </c>
    </row>
    <row r="1294" spans="1:8" x14ac:dyDescent="0.2">
      <c r="A1294" t="str">
        <f t="shared" si="20"/>
        <v/>
      </c>
      <c r="B1294" s="1">
        <v>2017</v>
      </c>
      <c r="C1294" s="1" t="s">
        <v>2505</v>
      </c>
      <c r="D1294" s="1" t="s">
        <v>2506</v>
      </c>
      <c r="E1294" s="1" t="s">
        <v>2019</v>
      </c>
      <c r="F1294" s="1" t="s">
        <v>131</v>
      </c>
      <c r="G1294" s="47">
        <v>37466</v>
      </c>
      <c r="H1294" t="str">
        <f>IFERROR(VLOOKUP(F1294,'LEAID Match'!$A$2:$B$142,2,FALSE),"")</f>
        <v/>
      </c>
    </row>
    <row r="1295" spans="1:8" x14ac:dyDescent="0.2">
      <c r="A1295" t="str">
        <f t="shared" si="20"/>
        <v/>
      </c>
      <c r="B1295" s="1">
        <v>2018</v>
      </c>
      <c r="C1295" s="1" t="s">
        <v>2505</v>
      </c>
      <c r="D1295" s="1" t="s">
        <v>2506</v>
      </c>
      <c r="E1295" s="1" t="s">
        <v>2019</v>
      </c>
      <c r="F1295" s="1" t="s">
        <v>131</v>
      </c>
      <c r="G1295" s="6">
        <v>41379</v>
      </c>
      <c r="H1295" t="str">
        <f>IFERROR(VLOOKUP(F1295,'LEAID Match'!$A$2:$B$142,2,FALSE),"")</f>
        <v/>
      </c>
    </row>
    <row r="1296" spans="1:8" x14ac:dyDescent="0.2">
      <c r="A1296" t="str">
        <f t="shared" si="20"/>
        <v/>
      </c>
      <c r="B1296" s="1">
        <v>2019</v>
      </c>
      <c r="C1296" s="1" t="s">
        <v>2505</v>
      </c>
      <c r="D1296" s="1" t="s">
        <v>2506</v>
      </c>
      <c r="E1296" s="1" t="s">
        <v>2019</v>
      </c>
      <c r="F1296" s="1" t="s">
        <v>131</v>
      </c>
      <c r="G1296" s="6">
        <v>40424</v>
      </c>
      <c r="H1296" t="str">
        <f>IFERROR(VLOOKUP(F1296,'LEAID Match'!$A$2:$B$142,2,FALSE),"")</f>
        <v/>
      </c>
    </row>
    <row r="1297" spans="1:8" x14ac:dyDescent="0.2">
      <c r="A1297" t="str">
        <f t="shared" si="20"/>
        <v/>
      </c>
      <c r="B1297" s="1">
        <v>2020</v>
      </c>
      <c r="C1297" s="1" t="s">
        <v>2505</v>
      </c>
      <c r="D1297" s="1" t="s">
        <v>2506</v>
      </c>
      <c r="E1297" s="1" t="s">
        <v>2019</v>
      </c>
      <c r="F1297" s="1" t="s">
        <v>131</v>
      </c>
      <c r="G1297" s="6">
        <v>41512</v>
      </c>
      <c r="H1297" t="str">
        <f>IFERROR(VLOOKUP(F1297,'LEAID Match'!$A$2:$B$142,2,FALSE),"")</f>
        <v/>
      </c>
    </row>
    <row r="1298" spans="1:8" x14ac:dyDescent="0.2">
      <c r="A1298" t="str">
        <f t="shared" si="20"/>
        <v/>
      </c>
      <c r="B1298" s="1">
        <v>2021</v>
      </c>
      <c r="C1298" s="1" t="s">
        <v>2505</v>
      </c>
      <c r="D1298" s="1" t="s">
        <v>2506</v>
      </c>
      <c r="E1298" s="1" t="s">
        <v>2019</v>
      </c>
      <c r="F1298" s="1" t="s">
        <v>131</v>
      </c>
      <c r="G1298" s="6">
        <v>40831</v>
      </c>
      <c r="H1298" t="str">
        <f>IFERROR(VLOOKUP(F1298,'LEAID Match'!$A$2:$B$142,2,FALSE),"")</f>
        <v/>
      </c>
    </row>
    <row r="1299" spans="1:8" x14ac:dyDescent="0.2">
      <c r="A1299" t="str">
        <f t="shared" si="20"/>
        <v/>
      </c>
      <c r="B1299" s="1">
        <v>2022</v>
      </c>
      <c r="C1299" s="1" t="s">
        <v>2505</v>
      </c>
      <c r="D1299" s="1" t="s">
        <v>2506</v>
      </c>
      <c r="E1299" s="1" t="s">
        <v>2019</v>
      </c>
      <c r="F1299" s="1" t="s">
        <v>131</v>
      </c>
      <c r="G1299" s="6">
        <v>44420</v>
      </c>
      <c r="H1299" t="str">
        <f>IFERROR(VLOOKUP(F1299,'LEAID Match'!$A$2:$B$142,2,FALSE),"")</f>
        <v/>
      </c>
    </row>
    <row r="1300" spans="1:8" x14ac:dyDescent="0.2">
      <c r="A1300" t="str">
        <f t="shared" si="20"/>
        <v/>
      </c>
      <c r="B1300" s="1">
        <v>2023</v>
      </c>
      <c r="C1300" s="1" t="s">
        <v>2505</v>
      </c>
      <c r="D1300" s="1" t="s">
        <v>2506</v>
      </c>
      <c r="E1300" s="1" t="s">
        <v>2019</v>
      </c>
      <c r="F1300" s="1" t="s">
        <v>131</v>
      </c>
      <c r="G1300" s="6">
        <v>54917</v>
      </c>
      <c r="H1300" t="str">
        <f>IFERROR(VLOOKUP(F1300,'LEAID Match'!$A$2:$B$142,2,FALSE),"")</f>
        <v/>
      </c>
    </row>
    <row r="1301" spans="1:8" x14ac:dyDescent="0.2">
      <c r="A1301" t="str">
        <f t="shared" si="20"/>
        <v/>
      </c>
      <c r="B1301" s="1">
        <v>2024</v>
      </c>
      <c r="C1301" s="1" t="s">
        <v>2505</v>
      </c>
      <c r="D1301" s="1" t="s">
        <v>2506</v>
      </c>
      <c r="E1301" s="1" t="s">
        <v>2019</v>
      </c>
      <c r="F1301" s="1" t="s">
        <v>131</v>
      </c>
      <c r="G1301" s="6">
        <v>54587</v>
      </c>
      <c r="H1301" t="str">
        <f>IFERROR(VLOOKUP(F1301,'LEAID Match'!$A$2:$B$142,2,FALSE),"")</f>
        <v/>
      </c>
    </row>
    <row r="1302" spans="1:8" x14ac:dyDescent="0.2">
      <c r="A1302" t="str">
        <f t="shared" si="20"/>
        <v/>
      </c>
      <c r="B1302" s="1">
        <v>2015</v>
      </c>
      <c r="C1302" s="1" t="s">
        <v>2505</v>
      </c>
      <c r="D1302" s="1" t="s">
        <v>2506</v>
      </c>
      <c r="E1302" s="1" t="s">
        <v>2019</v>
      </c>
      <c r="F1302" s="1" t="s">
        <v>132</v>
      </c>
      <c r="G1302" s="6">
        <v>39460</v>
      </c>
      <c r="H1302" t="str">
        <f>IFERROR(VLOOKUP(F1302,'LEAID Match'!$A$2:$B$142,2,FALSE),"")</f>
        <v/>
      </c>
    </row>
    <row r="1303" spans="1:8" x14ac:dyDescent="0.2">
      <c r="A1303" t="str">
        <f t="shared" si="20"/>
        <v/>
      </c>
      <c r="B1303">
        <v>2016</v>
      </c>
      <c r="C1303" s="1" t="s">
        <v>2505</v>
      </c>
      <c r="D1303" s="1" t="s">
        <v>2506</v>
      </c>
      <c r="E1303" s="1" t="s">
        <v>2019</v>
      </c>
      <c r="F1303" s="1" t="s">
        <v>132</v>
      </c>
      <c r="G1303" s="12">
        <v>36289</v>
      </c>
      <c r="H1303" t="str">
        <f>IFERROR(VLOOKUP(F1303,'LEAID Match'!$A$2:$B$142,2,FALSE),"")</f>
        <v/>
      </c>
    </row>
    <row r="1304" spans="1:8" x14ac:dyDescent="0.2">
      <c r="A1304" t="str">
        <f t="shared" si="20"/>
        <v/>
      </c>
      <c r="B1304" s="1">
        <v>2017</v>
      </c>
      <c r="C1304" s="1" t="s">
        <v>2505</v>
      </c>
      <c r="D1304" s="1" t="s">
        <v>2506</v>
      </c>
      <c r="E1304" s="1" t="s">
        <v>2019</v>
      </c>
      <c r="F1304" s="1" t="s">
        <v>132</v>
      </c>
      <c r="G1304" s="47">
        <v>36413</v>
      </c>
      <c r="H1304" t="str">
        <f>IFERROR(VLOOKUP(F1304,'LEAID Match'!$A$2:$B$142,2,FALSE),"")</f>
        <v/>
      </c>
    </row>
    <row r="1305" spans="1:8" x14ac:dyDescent="0.2">
      <c r="A1305" t="str">
        <f t="shared" si="20"/>
        <v/>
      </c>
      <c r="B1305" s="1">
        <v>2018</v>
      </c>
      <c r="C1305" s="1" t="s">
        <v>2505</v>
      </c>
      <c r="D1305" s="1" t="s">
        <v>2506</v>
      </c>
      <c r="E1305" s="1" t="s">
        <v>2019</v>
      </c>
      <c r="F1305" s="1" t="s">
        <v>132</v>
      </c>
      <c r="G1305" s="6">
        <v>41011</v>
      </c>
      <c r="H1305" t="str">
        <f>IFERROR(VLOOKUP(F1305,'LEAID Match'!$A$2:$B$142,2,FALSE),"")</f>
        <v/>
      </c>
    </row>
    <row r="1306" spans="1:8" x14ac:dyDescent="0.2">
      <c r="A1306" t="str">
        <f t="shared" si="20"/>
        <v/>
      </c>
      <c r="B1306" s="1">
        <v>2019</v>
      </c>
      <c r="C1306" s="1" t="s">
        <v>2505</v>
      </c>
      <c r="D1306" s="1" t="s">
        <v>2506</v>
      </c>
      <c r="E1306" s="1" t="s">
        <v>2019</v>
      </c>
      <c r="F1306" s="1" t="s">
        <v>132</v>
      </c>
      <c r="G1306" s="6">
        <v>42222</v>
      </c>
      <c r="H1306" t="str">
        <f>IFERROR(VLOOKUP(F1306,'LEAID Match'!$A$2:$B$142,2,FALSE),"")</f>
        <v/>
      </c>
    </row>
    <row r="1307" spans="1:8" x14ac:dyDescent="0.2">
      <c r="A1307" t="str">
        <f t="shared" si="20"/>
        <v/>
      </c>
      <c r="B1307" s="1">
        <v>2020</v>
      </c>
      <c r="C1307" s="1" t="s">
        <v>2505</v>
      </c>
      <c r="D1307" s="1" t="s">
        <v>2506</v>
      </c>
      <c r="E1307" s="1" t="s">
        <v>2019</v>
      </c>
      <c r="F1307" s="1" t="s">
        <v>132</v>
      </c>
      <c r="G1307" s="6">
        <v>56168</v>
      </c>
      <c r="H1307" t="str">
        <f>IFERROR(VLOOKUP(F1307,'LEAID Match'!$A$2:$B$142,2,FALSE),"")</f>
        <v/>
      </c>
    </row>
    <row r="1308" spans="1:8" x14ac:dyDescent="0.2">
      <c r="A1308" t="str">
        <f t="shared" si="20"/>
        <v/>
      </c>
      <c r="B1308" s="1">
        <v>2021</v>
      </c>
      <c r="C1308" s="1" t="s">
        <v>2505</v>
      </c>
      <c r="D1308" s="1" t="s">
        <v>2506</v>
      </c>
      <c r="E1308" s="1" t="s">
        <v>2019</v>
      </c>
      <c r="F1308" s="1" t="s">
        <v>132</v>
      </c>
      <c r="G1308" s="6">
        <v>56395</v>
      </c>
      <c r="H1308" t="str">
        <f>IFERROR(VLOOKUP(F1308,'LEAID Match'!$A$2:$B$142,2,FALSE),"")</f>
        <v/>
      </c>
    </row>
    <row r="1309" spans="1:8" x14ac:dyDescent="0.2">
      <c r="A1309" t="str">
        <f t="shared" si="20"/>
        <v/>
      </c>
      <c r="B1309" s="1">
        <v>2022</v>
      </c>
      <c r="C1309" s="1" t="s">
        <v>2505</v>
      </c>
      <c r="D1309" s="1" t="s">
        <v>2506</v>
      </c>
      <c r="E1309" s="1" t="s">
        <v>2019</v>
      </c>
      <c r="F1309" s="1" t="s">
        <v>132</v>
      </c>
      <c r="G1309" s="6">
        <v>62672</v>
      </c>
      <c r="H1309" t="str">
        <f>IFERROR(VLOOKUP(F1309,'LEAID Match'!$A$2:$B$142,2,FALSE),"")</f>
        <v/>
      </c>
    </row>
    <row r="1310" spans="1:8" x14ac:dyDescent="0.2">
      <c r="A1310" t="str">
        <f t="shared" si="20"/>
        <v/>
      </c>
      <c r="B1310" s="1">
        <v>2023</v>
      </c>
      <c r="C1310" s="1" t="s">
        <v>2505</v>
      </c>
      <c r="D1310" s="1" t="s">
        <v>2506</v>
      </c>
      <c r="E1310" s="1" t="s">
        <v>2019</v>
      </c>
      <c r="F1310" s="1" t="s">
        <v>132</v>
      </c>
      <c r="G1310" s="6">
        <v>74929</v>
      </c>
      <c r="H1310" t="str">
        <f>IFERROR(VLOOKUP(F1310,'LEAID Match'!$A$2:$B$142,2,FALSE),"")</f>
        <v/>
      </c>
    </row>
    <row r="1311" spans="1:8" x14ac:dyDescent="0.2">
      <c r="A1311" t="str">
        <f t="shared" si="20"/>
        <v/>
      </c>
      <c r="B1311" s="1">
        <v>2024</v>
      </c>
      <c r="C1311" s="1" t="s">
        <v>2505</v>
      </c>
      <c r="D1311" s="1" t="s">
        <v>2506</v>
      </c>
      <c r="E1311" s="1" t="s">
        <v>2019</v>
      </c>
      <c r="F1311" s="1" t="s">
        <v>132</v>
      </c>
      <c r="G1311" s="6">
        <v>64475</v>
      </c>
      <c r="H1311" t="str">
        <f>IFERROR(VLOOKUP(F1311,'LEAID Match'!$A$2:$B$142,2,FALSE),"")</f>
        <v/>
      </c>
    </row>
    <row r="1312" spans="1:8" x14ac:dyDescent="0.2">
      <c r="A1312" t="str">
        <f t="shared" si="20"/>
        <v/>
      </c>
      <c r="B1312" s="1">
        <v>2015</v>
      </c>
      <c r="C1312" s="1" t="s">
        <v>2505</v>
      </c>
      <c r="D1312" s="1" t="s">
        <v>2506</v>
      </c>
      <c r="E1312" s="1" t="s">
        <v>2019</v>
      </c>
      <c r="F1312" s="1" t="s">
        <v>133</v>
      </c>
      <c r="G1312" s="6">
        <v>276209</v>
      </c>
      <c r="H1312" t="str">
        <f>IFERROR(VLOOKUP(F1312,'LEAID Match'!$A$2:$B$142,2,FALSE),"")</f>
        <v/>
      </c>
    </row>
    <row r="1313" spans="1:8" x14ac:dyDescent="0.2">
      <c r="A1313" t="str">
        <f t="shared" si="20"/>
        <v/>
      </c>
      <c r="B1313">
        <v>2016</v>
      </c>
      <c r="C1313" s="1" t="s">
        <v>2505</v>
      </c>
      <c r="D1313" s="1" t="s">
        <v>2506</v>
      </c>
      <c r="E1313" s="1" t="s">
        <v>2019</v>
      </c>
      <c r="F1313" s="1" t="s">
        <v>133</v>
      </c>
      <c r="G1313" s="12">
        <v>289852</v>
      </c>
      <c r="H1313" t="str">
        <f>IFERROR(VLOOKUP(F1313,'LEAID Match'!$A$2:$B$142,2,FALSE),"")</f>
        <v/>
      </c>
    </row>
    <row r="1314" spans="1:8" x14ac:dyDescent="0.2">
      <c r="A1314" t="str">
        <f t="shared" si="20"/>
        <v/>
      </c>
      <c r="B1314" s="1">
        <v>2017</v>
      </c>
      <c r="C1314" s="1" t="s">
        <v>2505</v>
      </c>
      <c r="D1314" s="1" t="s">
        <v>2506</v>
      </c>
      <c r="E1314" s="1" t="s">
        <v>2019</v>
      </c>
      <c r="F1314" s="1" t="s">
        <v>133</v>
      </c>
      <c r="G1314" s="47">
        <v>278245</v>
      </c>
      <c r="H1314" t="str">
        <f>IFERROR(VLOOKUP(F1314,'LEAID Match'!$A$2:$B$142,2,FALSE),"")</f>
        <v/>
      </c>
    </row>
    <row r="1315" spans="1:8" x14ac:dyDescent="0.2">
      <c r="A1315" t="str">
        <f t="shared" si="20"/>
        <v/>
      </c>
      <c r="B1315" s="1">
        <v>2018</v>
      </c>
      <c r="C1315" s="1" t="s">
        <v>2505</v>
      </c>
      <c r="D1315" s="1" t="s">
        <v>2506</v>
      </c>
      <c r="E1315" s="1" t="s">
        <v>2019</v>
      </c>
      <c r="F1315" s="1" t="s">
        <v>133</v>
      </c>
      <c r="G1315" s="6">
        <v>299070</v>
      </c>
      <c r="H1315" t="str">
        <f>IFERROR(VLOOKUP(F1315,'LEAID Match'!$A$2:$B$142,2,FALSE),"")</f>
        <v/>
      </c>
    </row>
    <row r="1316" spans="1:8" x14ac:dyDescent="0.2">
      <c r="A1316" t="str">
        <f t="shared" si="20"/>
        <v/>
      </c>
      <c r="B1316" s="1">
        <v>2019</v>
      </c>
      <c r="C1316" s="1" t="s">
        <v>2505</v>
      </c>
      <c r="D1316" s="1" t="s">
        <v>2506</v>
      </c>
      <c r="E1316" s="1" t="s">
        <v>2019</v>
      </c>
      <c r="F1316" s="1" t="s">
        <v>133</v>
      </c>
      <c r="G1316" s="6">
        <v>306694</v>
      </c>
      <c r="H1316" t="str">
        <f>IFERROR(VLOOKUP(F1316,'LEAID Match'!$A$2:$B$142,2,FALSE),"")</f>
        <v/>
      </c>
    </row>
    <row r="1317" spans="1:8" x14ac:dyDescent="0.2">
      <c r="A1317" t="str">
        <f t="shared" si="20"/>
        <v/>
      </c>
      <c r="B1317" s="1">
        <v>2020</v>
      </c>
      <c r="C1317" s="1" t="s">
        <v>2505</v>
      </c>
      <c r="D1317" s="1" t="s">
        <v>2506</v>
      </c>
      <c r="E1317" s="1" t="s">
        <v>2019</v>
      </c>
      <c r="F1317" s="1" t="s">
        <v>133</v>
      </c>
      <c r="G1317" s="6">
        <v>354732</v>
      </c>
      <c r="H1317" t="str">
        <f>IFERROR(VLOOKUP(F1317,'LEAID Match'!$A$2:$B$142,2,FALSE),"")</f>
        <v/>
      </c>
    </row>
    <row r="1318" spans="1:8" x14ac:dyDescent="0.2">
      <c r="A1318" t="str">
        <f t="shared" si="20"/>
        <v/>
      </c>
      <c r="B1318" s="1">
        <v>2021</v>
      </c>
      <c r="C1318" s="1" t="s">
        <v>2505</v>
      </c>
      <c r="D1318" s="1" t="s">
        <v>2506</v>
      </c>
      <c r="E1318" s="1" t="s">
        <v>2019</v>
      </c>
      <c r="F1318" s="1" t="s">
        <v>133</v>
      </c>
      <c r="G1318" s="6">
        <v>395366</v>
      </c>
      <c r="H1318" t="str">
        <f>IFERROR(VLOOKUP(F1318,'LEAID Match'!$A$2:$B$142,2,FALSE),"")</f>
        <v/>
      </c>
    </row>
    <row r="1319" spans="1:8" x14ac:dyDescent="0.2">
      <c r="A1319" t="str">
        <f t="shared" si="20"/>
        <v/>
      </c>
      <c r="B1319" s="1">
        <v>2022</v>
      </c>
      <c r="C1319" s="1" t="s">
        <v>2505</v>
      </c>
      <c r="D1319" s="1" t="s">
        <v>2506</v>
      </c>
      <c r="E1319" s="1" t="s">
        <v>2019</v>
      </c>
      <c r="F1319" s="1" t="s">
        <v>133</v>
      </c>
      <c r="G1319" s="6">
        <v>428746</v>
      </c>
      <c r="H1319" t="str">
        <f>IFERROR(VLOOKUP(F1319,'LEAID Match'!$A$2:$B$142,2,FALSE),"")</f>
        <v/>
      </c>
    </row>
    <row r="1320" spans="1:8" x14ac:dyDescent="0.2">
      <c r="A1320" t="str">
        <f t="shared" si="20"/>
        <v/>
      </c>
      <c r="B1320" s="1">
        <v>2023</v>
      </c>
      <c r="C1320" s="1" t="s">
        <v>2505</v>
      </c>
      <c r="D1320" s="1" t="s">
        <v>2506</v>
      </c>
      <c r="E1320" s="1" t="s">
        <v>2019</v>
      </c>
      <c r="F1320" s="1" t="s">
        <v>133</v>
      </c>
      <c r="G1320" s="6">
        <v>468153</v>
      </c>
      <c r="H1320" t="str">
        <f>IFERROR(VLOOKUP(F1320,'LEAID Match'!$A$2:$B$142,2,FALSE),"")</f>
        <v/>
      </c>
    </row>
    <row r="1321" spans="1:8" x14ac:dyDescent="0.2">
      <c r="A1321" t="str">
        <f t="shared" si="20"/>
        <v/>
      </c>
      <c r="B1321" s="1">
        <v>2024</v>
      </c>
      <c r="C1321" s="1" t="s">
        <v>2505</v>
      </c>
      <c r="D1321" s="1" t="s">
        <v>2506</v>
      </c>
      <c r="E1321" s="1" t="s">
        <v>2019</v>
      </c>
      <c r="F1321" s="1" t="s">
        <v>133</v>
      </c>
      <c r="G1321" s="6">
        <v>483732</v>
      </c>
      <c r="H1321" t="str">
        <f>IFERROR(VLOOKUP(F1321,'LEAID Match'!$A$2:$B$142,2,FALSE),"")</f>
        <v/>
      </c>
    </row>
    <row r="1322" spans="1:8" x14ac:dyDescent="0.2">
      <c r="A1322" t="str">
        <f t="shared" si="20"/>
        <v/>
      </c>
      <c r="B1322" s="1">
        <v>2015</v>
      </c>
      <c r="C1322" s="1" t="s">
        <v>2505</v>
      </c>
      <c r="D1322" s="1" t="s">
        <v>2506</v>
      </c>
      <c r="E1322" s="1" t="s">
        <v>2019</v>
      </c>
      <c r="F1322" s="1" t="s">
        <v>134</v>
      </c>
      <c r="G1322" s="6">
        <v>436209</v>
      </c>
      <c r="H1322" t="str">
        <f>IFERROR(VLOOKUP(F1322,'LEAID Match'!$A$2:$B$142,2,FALSE),"")</f>
        <v/>
      </c>
    </row>
    <row r="1323" spans="1:8" x14ac:dyDescent="0.2">
      <c r="A1323" t="str">
        <f t="shared" si="20"/>
        <v/>
      </c>
      <c r="B1323">
        <v>2016</v>
      </c>
      <c r="C1323" s="1" t="s">
        <v>2505</v>
      </c>
      <c r="D1323" s="1" t="s">
        <v>2506</v>
      </c>
      <c r="E1323" s="1" t="s">
        <v>2019</v>
      </c>
      <c r="F1323" s="1" t="s">
        <v>134</v>
      </c>
      <c r="G1323" s="12">
        <v>431997</v>
      </c>
      <c r="H1323" t="str">
        <f>IFERROR(VLOOKUP(F1323,'LEAID Match'!$A$2:$B$142,2,FALSE),"")</f>
        <v/>
      </c>
    </row>
    <row r="1324" spans="1:8" x14ac:dyDescent="0.2">
      <c r="A1324" t="str">
        <f t="shared" si="20"/>
        <v/>
      </c>
      <c r="B1324" s="1">
        <v>2017</v>
      </c>
      <c r="C1324" s="1" t="s">
        <v>2505</v>
      </c>
      <c r="D1324" s="1" t="s">
        <v>2506</v>
      </c>
      <c r="E1324" s="1" t="s">
        <v>2019</v>
      </c>
      <c r="F1324" s="1" t="s">
        <v>134</v>
      </c>
      <c r="G1324" s="47">
        <v>433181</v>
      </c>
      <c r="H1324" t="str">
        <f>IFERROR(VLOOKUP(F1324,'LEAID Match'!$A$2:$B$142,2,FALSE),"")</f>
        <v/>
      </c>
    </row>
    <row r="1325" spans="1:8" x14ac:dyDescent="0.2">
      <c r="A1325" t="str">
        <f t="shared" si="20"/>
        <v/>
      </c>
      <c r="B1325" s="1">
        <v>2018</v>
      </c>
      <c r="C1325" s="1" t="s">
        <v>2505</v>
      </c>
      <c r="D1325" s="1" t="s">
        <v>2506</v>
      </c>
      <c r="E1325" s="1" t="s">
        <v>2019</v>
      </c>
      <c r="F1325" s="1" t="s">
        <v>134</v>
      </c>
      <c r="G1325" s="6">
        <v>399221</v>
      </c>
      <c r="H1325" t="str">
        <f>IFERROR(VLOOKUP(F1325,'LEAID Match'!$A$2:$B$142,2,FALSE),"")</f>
        <v/>
      </c>
    </row>
    <row r="1326" spans="1:8" x14ac:dyDescent="0.2">
      <c r="A1326" t="str">
        <f t="shared" si="20"/>
        <v/>
      </c>
      <c r="B1326" s="1">
        <v>2019</v>
      </c>
      <c r="C1326" s="1" t="s">
        <v>2505</v>
      </c>
      <c r="D1326" s="1" t="s">
        <v>2506</v>
      </c>
      <c r="E1326" s="1" t="s">
        <v>2019</v>
      </c>
      <c r="F1326" s="1" t="s">
        <v>134</v>
      </c>
      <c r="G1326" s="6">
        <v>418906</v>
      </c>
      <c r="H1326" t="str">
        <f>IFERROR(VLOOKUP(F1326,'LEAID Match'!$A$2:$B$142,2,FALSE),"")</f>
        <v/>
      </c>
    </row>
    <row r="1327" spans="1:8" x14ac:dyDescent="0.2">
      <c r="A1327" t="str">
        <f t="shared" si="20"/>
        <v/>
      </c>
      <c r="B1327" s="1">
        <v>2020</v>
      </c>
      <c r="C1327" s="1" t="s">
        <v>2505</v>
      </c>
      <c r="D1327" s="1" t="s">
        <v>2506</v>
      </c>
      <c r="E1327" s="1" t="s">
        <v>2019</v>
      </c>
      <c r="F1327" s="1" t="s">
        <v>134</v>
      </c>
      <c r="G1327" s="6">
        <v>476373</v>
      </c>
      <c r="H1327" t="str">
        <f>IFERROR(VLOOKUP(F1327,'LEAID Match'!$A$2:$B$142,2,FALSE),"")</f>
        <v/>
      </c>
    </row>
    <row r="1328" spans="1:8" x14ac:dyDescent="0.2">
      <c r="A1328" t="str">
        <f t="shared" si="20"/>
        <v/>
      </c>
      <c r="B1328" s="1">
        <v>2021</v>
      </c>
      <c r="C1328" s="1" t="s">
        <v>2505</v>
      </c>
      <c r="D1328" s="1" t="s">
        <v>2506</v>
      </c>
      <c r="E1328" s="1" t="s">
        <v>2019</v>
      </c>
      <c r="F1328" s="1" t="s">
        <v>134</v>
      </c>
      <c r="G1328" s="6">
        <v>476679</v>
      </c>
      <c r="H1328" t="str">
        <f>IFERROR(VLOOKUP(F1328,'LEAID Match'!$A$2:$B$142,2,FALSE),"")</f>
        <v/>
      </c>
    </row>
    <row r="1329" spans="1:8" x14ac:dyDescent="0.2">
      <c r="A1329" t="str">
        <f t="shared" si="20"/>
        <v/>
      </c>
      <c r="B1329" s="1">
        <v>2022</v>
      </c>
      <c r="C1329" s="1" t="s">
        <v>2505</v>
      </c>
      <c r="D1329" s="1" t="s">
        <v>2506</v>
      </c>
      <c r="E1329" s="1" t="s">
        <v>2019</v>
      </c>
      <c r="F1329" s="1" t="s">
        <v>134</v>
      </c>
      <c r="G1329" s="6">
        <v>530754</v>
      </c>
      <c r="H1329" t="str">
        <f>IFERROR(VLOOKUP(F1329,'LEAID Match'!$A$2:$B$142,2,FALSE),"")</f>
        <v/>
      </c>
    </row>
    <row r="1330" spans="1:8" x14ac:dyDescent="0.2">
      <c r="A1330" t="str">
        <f t="shared" si="20"/>
        <v/>
      </c>
      <c r="B1330" s="1">
        <v>2023</v>
      </c>
      <c r="C1330" s="1" t="s">
        <v>2505</v>
      </c>
      <c r="D1330" s="1" t="s">
        <v>2506</v>
      </c>
      <c r="E1330" s="1" t="s">
        <v>2019</v>
      </c>
      <c r="F1330" s="1" t="s">
        <v>134</v>
      </c>
      <c r="G1330" s="6">
        <v>604943</v>
      </c>
      <c r="H1330" t="str">
        <f>IFERROR(VLOOKUP(F1330,'LEAID Match'!$A$2:$B$142,2,FALSE),"")</f>
        <v/>
      </c>
    </row>
    <row r="1331" spans="1:8" x14ac:dyDescent="0.2">
      <c r="A1331" t="str">
        <f t="shared" si="20"/>
        <v/>
      </c>
      <c r="B1331" s="1">
        <v>2024</v>
      </c>
      <c r="C1331" s="1" t="s">
        <v>2505</v>
      </c>
      <c r="D1331" s="1" t="s">
        <v>2506</v>
      </c>
      <c r="E1331" s="1" t="s">
        <v>2019</v>
      </c>
      <c r="F1331" s="1" t="s">
        <v>134</v>
      </c>
      <c r="G1331" s="6">
        <v>633401</v>
      </c>
      <c r="H1331" t="str">
        <f>IFERROR(VLOOKUP(F1331,'LEAID Match'!$A$2:$B$142,2,FALSE),"")</f>
        <v/>
      </c>
    </row>
    <row r="1332" spans="1:8" x14ac:dyDescent="0.2">
      <c r="A1332">
        <f t="shared" si="20"/>
        <v>2801170</v>
      </c>
      <c r="B1332" s="1">
        <v>2015</v>
      </c>
      <c r="C1332" s="1" t="s">
        <v>2505</v>
      </c>
      <c r="D1332" s="1" t="s">
        <v>2506</v>
      </c>
      <c r="E1332" s="1" t="s">
        <v>2019</v>
      </c>
      <c r="F1332" s="1" t="s">
        <v>135</v>
      </c>
      <c r="G1332" s="6">
        <v>1416494</v>
      </c>
      <c r="H1332">
        <f>IFERROR(VLOOKUP(F1332,'LEAID Match'!$A$2:$B$142,2,FALSE),"")</f>
        <v>2801170</v>
      </c>
    </row>
    <row r="1333" spans="1:8" x14ac:dyDescent="0.2">
      <c r="A1333">
        <f t="shared" si="20"/>
        <v>2801170</v>
      </c>
      <c r="B1333">
        <v>2016</v>
      </c>
      <c r="C1333" s="1" t="s">
        <v>2505</v>
      </c>
      <c r="D1333" s="1" t="s">
        <v>2506</v>
      </c>
      <c r="E1333" s="1" t="s">
        <v>2019</v>
      </c>
      <c r="F1333" s="1" t="s">
        <v>135</v>
      </c>
      <c r="G1333" s="12">
        <v>1430617</v>
      </c>
      <c r="H1333">
        <f>IFERROR(VLOOKUP(F1333,'LEAID Match'!$A$2:$B$142,2,FALSE),"")</f>
        <v>2801170</v>
      </c>
    </row>
    <row r="1334" spans="1:8" x14ac:dyDescent="0.2">
      <c r="A1334">
        <f t="shared" si="20"/>
        <v>2801170</v>
      </c>
      <c r="B1334" s="1">
        <v>2017</v>
      </c>
      <c r="C1334" s="1" t="s">
        <v>2505</v>
      </c>
      <c r="D1334" s="1" t="s">
        <v>2506</v>
      </c>
      <c r="E1334" s="1" t="s">
        <v>2019</v>
      </c>
      <c r="F1334" s="1" t="s">
        <v>135</v>
      </c>
      <c r="G1334" s="47">
        <v>1424893</v>
      </c>
      <c r="H1334">
        <f>IFERROR(VLOOKUP(F1334,'LEAID Match'!$A$2:$B$142,2,FALSE),"")</f>
        <v>2801170</v>
      </c>
    </row>
    <row r="1335" spans="1:8" x14ac:dyDescent="0.2">
      <c r="A1335">
        <f t="shared" si="20"/>
        <v>2801170</v>
      </c>
      <c r="B1335" s="1">
        <v>2018</v>
      </c>
      <c r="C1335" s="1" t="s">
        <v>2505</v>
      </c>
      <c r="D1335" s="1" t="s">
        <v>2506</v>
      </c>
      <c r="E1335" s="1" t="s">
        <v>2019</v>
      </c>
      <c r="F1335" s="1" t="s">
        <v>135</v>
      </c>
      <c r="G1335" s="6">
        <v>1356776</v>
      </c>
      <c r="H1335">
        <f>IFERROR(VLOOKUP(F1335,'LEAID Match'!$A$2:$B$142,2,FALSE),"")</f>
        <v>2801170</v>
      </c>
    </row>
    <row r="1336" spans="1:8" x14ac:dyDescent="0.2">
      <c r="A1336">
        <f t="shared" si="20"/>
        <v>2801170</v>
      </c>
      <c r="B1336" s="1">
        <v>2019</v>
      </c>
      <c r="C1336" s="1" t="s">
        <v>2505</v>
      </c>
      <c r="D1336" s="1" t="s">
        <v>2506</v>
      </c>
      <c r="E1336" s="1" t="s">
        <v>2019</v>
      </c>
      <c r="F1336" s="1" t="s">
        <v>135</v>
      </c>
      <c r="G1336" s="6">
        <v>1414616</v>
      </c>
      <c r="H1336">
        <f>IFERROR(VLOOKUP(F1336,'LEAID Match'!$A$2:$B$142,2,FALSE),"")</f>
        <v>2801170</v>
      </c>
    </row>
    <row r="1337" spans="1:8" x14ac:dyDescent="0.2">
      <c r="A1337">
        <f t="shared" si="20"/>
        <v>2801170</v>
      </c>
      <c r="B1337" s="1">
        <v>2020</v>
      </c>
      <c r="C1337" s="1" t="s">
        <v>2505</v>
      </c>
      <c r="D1337" s="1" t="s">
        <v>2506</v>
      </c>
      <c r="E1337" s="1" t="s">
        <v>2019</v>
      </c>
      <c r="F1337" s="1" t="s">
        <v>135</v>
      </c>
      <c r="G1337" s="6">
        <v>1619089</v>
      </c>
      <c r="H1337">
        <f>IFERROR(VLOOKUP(F1337,'LEAID Match'!$A$2:$B$142,2,FALSE),"")</f>
        <v>2801170</v>
      </c>
    </row>
    <row r="1338" spans="1:8" x14ac:dyDescent="0.2">
      <c r="A1338">
        <f t="shared" si="20"/>
        <v>2801170</v>
      </c>
      <c r="B1338" s="1">
        <v>2021</v>
      </c>
      <c r="C1338" s="1" t="s">
        <v>2505</v>
      </c>
      <c r="D1338" s="1" t="s">
        <v>2506</v>
      </c>
      <c r="E1338" s="1" t="s">
        <v>2019</v>
      </c>
      <c r="F1338" s="1" t="s">
        <v>135</v>
      </c>
      <c r="G1338" s="6">
        <v>1635897</v>
      </c>
      <c r="H1338">
        <f>IFERROR(VLOOKUP(F1338,'LEAID Match'!$A$2:$B$142,2,FALSE),"")</f>
        <v>2801170</v>
      </c>
    </row>
    <row r="1339" spans="1:8" x14ac:dyDescent="0.2">
      <c r="A1339">
        <f t="shared" si="20"/>
        <v>2801170</v>
      </c>
      <c r="B1339" s="1">
        <v>2022</v>
      </c>
      <c r="C1339" s="1" t="s">
        <v>2505</v>
      </c>
      <c r="D1339" s="1" t="s">
        <v>2506</v>
      </c>
      <c r="E1339" s="1" t="s">
        <v>2019</v>
      </c>
      <c r="F1339" s="1" t="s">
        <v>135</v>
      </c>
      <c r="G1339" s="6">
        <v>1823013</v>
      </c>
      <c r="H1339">
        <f>IFERROR(VLOOKUP(F1339,'LEAID Match'!$A$2:$B$142,2,FALSE),"")</f>
        <v>2801170</v>
      </c>
    </row>
    <row r="1340" spans="1:8" x14ac:dyDescent="0.2">
      <c r="A1340">
        <f t="shared" si="20"/>
        <v>2801170</v>
      </c>
      <c r="B1340" s="1">
        <v>2023</v>
      </c>
      <c r="C1340" s="1" t="s">
        <v>2505</v>
      </c>
      <c r="D1340" s="1" t="s">
        <v>2506</v>
      </c>
      <c r="E1340" s="1" t="s">
        <v>2019</v>
      </c>
      <c r="F1340" s="1" t="s">
        <v>135</v>
      </c>
      <c r="G1340" s="6">
        <v>2042074</v>
      </c>
      <c r="H1340">
        <f>IFERROR(VLOOKUP(F1340,'LEAID Match'!$A$2:$B$142,2,FALSE),"")</f>
        <v>2801170</v>
      </c>
    </row>
    <row r="1341" spans="1:8" x14ac:dyDescent="0.2">
      <c r="A1341">
        <f t="shared" si="20"/>
        <v>2801170</v>
      </c>
      <c r="B1341" s="1">
        <v>2024</v>
      </c>
      <c r="C1341" s="1" t="s">
        <v>2505</v>
      </c>
      <c r="D1341" s="1" t="s">
        <v>2506</v>
      </c>
      <c r="E1341" s="1" t="s">
        <v>2019</v>
      </c>
      <c r="F1341" s="1" t="s">
        <v>135</v>
      </c>
      <c r="G1341" s="6">
        <v>2179619</v>
      </c>
      <c r="H1341">
        <f>IFERROR(VLOOKUP(F1341,'LEAID Match'!$A$2:$B$142,2,FALSE),"")</f>
        <v>2801170</v>
      </c>
    </row>
    <row r="1342" spans="1:8" x14ac:dyDescent="0.2">
      <c r="A1342" t="str">
        <f t="shared" si="20"/>
        <v/>
      </c>
      <c r="B1342" s="1">
        <v>2015</v>
      </c>
      <c r="C1342" s="1" t="s">
        <v>2505</v>
      </c>
      <c r="D1342" s="1" t="s">
        <v>2506</v>
      </c>
      <c r="E1342" s="1" t="s">
        <v>2019</v>
      </c>
      <c r="F1342" s="1" t="s">
        <v>136</v>
      </c>
      <c r="G1342" s="6">
        <v>1449360</v>
      </c>
      <c r="H1342" t="str">
        <f>IFERROR(VLOOKUP(F1342,'LEAID Match'!$A$2:$B$142,2,FALSE),"")</f>
        <v/>
      </c>
    </row>
    <row r="1343" spans="1:8" x14ac:dyDescent="0.2">
      <c r="A1343" t="str">
        <f t="shared" si="20"/>
        <v/>
      </c>
      <c r="B1343">
        <v>2016</v>
      </c>
      <c r="C1343" s="1" t="s">
        <v>2505</v>
      </c>
      <c r="D1343" s="1" t="s">
        <v>2506</v>
      </c>
      <c r="E1343" s="1" t="s">
        <v>2019</v>
      </c>
      <c r="F1343" s="1" t="s">
        <v>136</v>
      </c>
      <c r="G1343" s="12">
        <v>1492367</v>
      </c>
      <c r="H1343" t="str">
        <f>IFERROR(VLOOKUP(F1343,'LEAID Match'!$A$2:$B$142,2,FALSE),"")</f>
        <v/>
      </c>
    </row>
    <row r="1344" spans="1:8" x14ac:dyDescent="0.2">
      <c r="A1344" t="str">
        <f t="shared" si="20"/>
        <v/>
      </c>
      <c r="B1344" s="1">
        <v>2017</v>
      </c>
      <c r="C1344" s="1" t="s">
        <v>2505</v>
      </c>
      <c r="D1344" s="1" t="s">
        <v>2506</v>
      </c>
      <c r="E1344" s="1" t="s">
        <v>2019</v>
      </c>
      <c r="F1344" s="1" t="s">
        <v>136</v>
      </c>
      <c r="G1344" s="47">
        <v>1537301</v>
      </c>
      <c r="H1344" t="str">
        <f>IFERROR(VLOOKUP(F1344,'LEAID Match'!$A$2:$B$142,2,FALSE),"")</f>
        <v/>
      </c>
    </row>
    <row r="1345" spans="1:8" x14ac:dyDescent="0.2">
      <c r="A1345" t="str">
        <f t="shared" si="20"/>
        <v/>
      </c>
      <c r="B1345" s="1">
        <v>2018</v>
      </c>
      <c r="C1345" s="1" t="s">
        <v>2505</v>
      </c>
      <c r="D1345" s="1" t="s">
        <v>2506</v>
      </c>
      <c r="E1345" s="1" t="s">
        <v>2019</v>
      </c>
      <c r="F1345" s="1" t="s">
        <v>136</v>
      </c>
      <c r="G1345" s="6">
        <v>1681634</v>
      </c>
      <c r="H1345" t="str">
        <f>IFERROR(VLOOKUP(F1345,'LEAID Match'!$A$2:$B$142,2,FALSE),"")</f>
        <v/>
      </c>
    </row>
    <row r="1346" spans="1:8" x14ac:dyDescent="0.2">
      <c r="A1346" t="str">
        <f t="shared" si="20"/>
        <v/>
      </c>
      <c r="B1346" s="1">
        <v>2019</v>
      </c>
      <c r="C1346" s="1" t="s">
        <v>2505</v>
      </c>
      <c r="D1346" s="1" t="s">
        <v>2506</v>
      </c>
      <c r="E1346" s="1" t="s">
        <v>2019</v>
      </c>
      <c r="F1346" s="1" t="s">
        <v>136</v>
      </c>
      <c r="G1346" s="6">
        <v>1679907</v>
      </c>
      <c r="H1346" t="str">
        <f>IFERROR(VLOOKUP(F1346,'LEAID Match'!$A$2:$B$142,2,FALSE),"")</f>
        <v/>
      </c>
    </row>
    <row r="1347" spans="1:8" x14ac:dyDescent="0.2">
      <c r="A1347" t="str">
        <f t="shared" ref="A1347:A1410" si="21">H1347</f>
        <v/>
      </c>
      <c r="B1347" s="1">
        <v>2020</v>
      </c>
      <c r="C1347" s="1" t="s">
        <v>2505</v>
      </c>
      <c r="D1347" s="1" t="s">
        <v>2506</v>
      </c>
      <c r="E1347" s="1" t="s">
        <v>2019</v>
      </c>
      <c r="F1347" s="1" t="s">
        <v>136</v>
      </c>
      <c r="G1347" s="6">
        <v>1652044</v>
      </c>
      <c r="H1347" t="str">
        <f>IFERROR(VLOOKUP(F1347,'LEAID Match'!$A$2:$B$142,2,FALSE),"")</f>
        <v/>
      </c>
    </row>
    <row r="1348" spans="1:8" x14ac:dyDescent="0.2">
      <c r="A1348" t="str">
        <f t="shared" si="21"/>
        <v/>
      </c>
      <c r="B1348" s="1">
        <v>2021</v>
      </c>
      <c r="C1348" s="1" t="s">
        <v>2505</v>
      </c>
      <c r="D1348" s="1" t="s">
        <v>2506</v>
      </c>
      <c r="E1348" s="1" t="s">
        <v>2019</v>
      </c>
      <c r="F1348" s="1" t="s">
        <v>136</v>
      </c>
      <c r="G1348" s="6">
        <v>1643460</v>
      </c>
      <c r="H1348" t="str">
        <f>IFERROR(VLOOKUP(F1348,'LEAID Match'!$A$2:$B$142,2,FALSE),"")</f>
        <v/>
      </c>
    </row>
    <row r="1349" spans="1:8" x14ac:dyDescent="0.2">
      <c r="A1349" t="str">
        <f t="shared" si="21"/>
        <v/>
      </c>
      <c r="B1349" s="1">
        <v>2022</v>
      </c>
      <c r="C1349" s="1" t="s">
        <v>2505</v>
      </c>
      <c r="D1349" s="1" t="s">
        <v>2506</v>
      </c>
      <c r="E1349" s="1" t="s">
        <v>2019</v>
      </c>
      <c r="F1349" s="1" t="s">
        <v>136</v>
      </c>
      <c r="G1349" s="6">
        <v>1650727</v>
      </c>
      <c r="H1349" t="str">
        <f>IFERROR(VLOOKUP(F1349,'LEAID Match'!$A$2:$B$142,2,FALSE),"")</f>
        <v/>
      </c>
    </row>
    <row r="1350" spans="1:8" x14ac:dyDescent="0.2">
      <c r="A1350" t="str">
        <f t="shared" si="21"/>
        <v/>
      </c>
      <c r="B1350" s="1">
        <v>2023</v>
      </c>
      <c r="C1350" s="1" t="s">
        <v>2505</v>
      </c>
      <c r="D1350" s="1" t="s">
        <v>2506</v>
      </c>
      <c r="E1350" s="1" t="s">
        <v>2019</v>
      </c>
      <c r="F1350" s="1" t="s">
        <v>136</v>
      </c>
      <c r="G1350" s="6">
        <v>1780432</v>
      </c>
      <c r="H1350" t="str">
        <f>IFERROR(VLOOKUP(F1350,'LEAID Match'!$A$2:$B$142,2,FALSE),"")</f>
        <v/>
      </c>
    </row>
    <row r="1351" spans="1:8" x14ac:dyDescent="0.2">
      <c r="A1351" t="str">
        <f t="shared" si="21"/>
        <v/>
      </c>
      <c r="B1351" s="1">
        <v>2024</v>
      </c>
      <c r="C1351" s="1" t="s">
        <v>2505</v>
      </c>
      <c r="D1351" s="1" t="s">
        <v>2506</v>
      </c>
      <c r="E1351" s="1" t="s">
        <v>2019</v>
      </c>
      <c r="F1351" s="1" t="s">
        <v>136</v>
      </c>
      <c r="G1351" s="6">
        <v>1819779</v>
      </c>
      <c r="H1351" t="str">
        <f>IFERROR(VLOOKUP(F1351,'LEAID Match'!$A$2:$B$142,2,FALSE),"")</f>
        <v/>
      </c>
    </row>
    <row r="1352" spans="1:8" x14ac:dyDescent="0.2">
      <c r="A1352" t="str">
        <f t="shared" si="21"/>
        <v/>
      </c>
      <c r="B1352" s="1">
        <v>2015</v>
      </c>
      <c r="C1352" s="1" t="s">
        <v>2505</v>
      </c>
      <c r="D1352" s="1" t="s">
        <v>2506</v>
      </c>
      <c r="E1352" s="1" t="s">
        <v>2019</v>
      </c>
      <c r="F1352" s="1" t="s">
        <v>137</v>
      </c>
      <c r="G1352" s="6">
        <v>105196</v>
      </c>
      <c r="H1352" t="str">
        <f>IFERROR(VLOOKUP(F1352,'LEAID Match'!$A$2:$B$142,2,FALSE),"")</f>
        <v/>
      </c>
    </row>
    <row r="1353" spans="1:8" x14ac:dyDescent="0.2">
      <c r="A1353" t="str">
        <f t="shared" si="21"/>
        <v/>
      </c>
      <c r="B1353">
        <v>2016</v>
      </c>
      <c r="C1353" s="1" t="s">
        <v>2505</v>
      </c>
      <c r="D1353" s="1" t="s">
        <v>2506</v>
      </c>
      <c r="E1353" s="1" t="s">
        <v>2019</v>
      </c>
      <c r="F1353" s="1" t="s">
        <v>137</v>
      </c>
      <c r="G1353" s="12">
        <v>110793</v>
      </c>
      <c r="H1353" t="str">
        <f>IFERROR(VLOOKUP(F1353,'LEAID Match'!$A$2:$B$142,2,FALSE),"")</f>
        <v/>
      </c>
    </row>
    <row r="1354" spans="1:8" x14ac:dyDescent="0.2">
      <c r="A1354" t="str">
        <f t="shared" si="21"/>
        <v/>
      </c>
      <c r="B1354" s="1">
        <v>2017</v>
      </c>
      <c r="C1354" s="1" t="s">
        <v>2505</v>
      </c>
      <c r="D1354" s="1" t="s">
        <v>2506</v>
      </c>
      <c r="E1354" s="1" t="s">
        <v>2019</v>
      </c>
      <c r="F1354" s="1" t="s">
        <v>137</v>
      </c>
      <c r="G1354" s="47">
        <v>107573</v>
      </c>
      <c r="H1354" t="str">
        <f>IFERROR(VLOOKUP(F1354,'LEAID Match'!$A$2:$B$142,2,FALSE),"")</f>
        <v/>
      </c>
    </row>
    <row r="1355" spans="1:8" x14ac:dyDescent="0.2">
      <c r="A1355" t="str">
        <f t="shared" si="21"/>
        <v/>
      </c>
      <c r="B1355" s="1">
        <v>2018</v>
      </c>
      <c r="C1355" s="1" t="s">
        <v>2505</v>
      </c>
      <c r="D1355" s="1" t="s">
        <v>2506</v>
      </c>
      <c r="E1355" s="1" t="s">
        <v>2019</v>
      </c>
      <c r="F1355" s="1" t="s">
        <v>137</v>
      </c>
      <c r="G1355" s="6">
        <v>94853</v>
      </c>
      <c r="H1355" t="str">
        <f>IFERROR(VLOOKUP(F1355,'LEAID Match'!$A$2:$B$142,2,FALSE),"")</f>
        <v/>
      </c>
    </row>
    <row r="1356" spans="1:8" x14ac:dyDescent="0.2">
      <c r="A1356" t="str">
        <f t="shared" si="21"/>
        <v/>
      </c>
      <c r="B1356" s="1">
        <v>2019</v>
      </c>
      <c r="C1356" s="1" t="s">
        <v>2505</v>
      </c>
      <c r="D1356" s="1" t="s">
        <v>2506</v>
      </c>
      <c r="E1356" s="1" t="s">
        <v>2019</v>
      </c>
      <c r="F1356" s="1" t="s">
        <v>137</v>
      </c>
      <c r="G1356" s="6">
        <v>92323</v>
      </c>
      <c r="H1356" t="str">
        <f>IFERROR(VLOOKUP(F1356,'LEAID Match'!$A$2:$B$142,2,FALSE),"")</f>
        <v/>
      </c>
    </row>
    <row r="1357" spans="1:8" x14ac:dyDescent="0.2">
      <c r="A1357" t="str">
        <f t="shared" si="21"/>
        <v/>
      </c>
      <c r="B1357" s="1">
        <v>2020</v>
      </c>
      <c r="C1357" s="1" t="s">
        <v>2505</v>
      </c>
      <c r="D1357" s="1" t="s">
        <v>2506</v>
      </c>
      <c r="E1357" s="1" t="s">
        <v>2019</v>
      </c>
      <c r="F1357" s="1" t="s">
        <v>137</v>
      </c>
      <c r="G1357" s="6">
        <v>108723</v>
      </c>
      <c r="H1357" t="str">
        <f>IFERROR(VLOOKUP(F1357,'LEAID Match'!$A$2:$B$142,2,FALSE),"")</f>
        <v/>
      </c>
    </row>
    <row r="1358" spans="1:8" x14ac:dyDescent="0.2">
      <c r="A1358" t="str">
        <f t="shared" si="21"/>
        <v/>
      </c>
      <c r="B1358" s="1">
        <v>2021</v>
      </c>
      <c r="C1358" s="1" t="s">
        <v>2505</v>
      </c>
      <c r="D1358" s="1" t="s">
        <v>2506</v>
      </c>
      <c r="E1358" s="1" t="s">
        <v>2019</v>
      </c>
      <c r="F1358" s="1" t="s">
        <v>137</v>
      </c>
      <c r="G1358" s="6">
        <v>110475</v>
      </c>
      <c r="H1358" t="str">
        <f>IFERROR(VLOOKUP(F1358,'LEAID Match'!$A$2:$B$142,2,FALSE),"")</f>
        <v/>
      </c>
    </row>
    <row r="1359" spans="1:8" x14ac:dyDescent="0.2">
      <c r="A1359" t="str">
        <f t="shared" si="21"/>
        <v/>
      </c>
      <c r="B1359" s="1">
        <v>2022</v>
      </c>
      <c r="C1359" s="1" t="s">
        <v>2505</v>
      </c>
      <c r="D1359" s="1" t="s">
        <v>2506</v>
      </c>
      <c r="E1359" s="1" t="s">
        <v>2019</v>
      </c>
      <c r="F1359" s="1" t="s">
        <v>137</v>
      </c>
      <c r="G1359" s="6">
        <v>125615</v>
      </c>
      <c r="H1359" t="str">
        <f>IFERROR(VLOOKUP(F1359,'LEAID Match'!$A$2:$B$142,2,FALSE),"")</f>
        <v/>
      </c>
    </row>
    <row r="1360" spans="1:8" x14ac:dyDescent="0.2">
      <c r="A1360" t="str">
        <f t="shared" si="21"/>
        <v/>
      </c>
      <c r="B1360" s="1">
        <v>2023</v>
      </c>
      <c r="C1360" s="1" t="s">
        <v>2505</v>
      </c>
      <c r="D1360" s="1" t="s">
        <v>2506</v>
      </c>
      <c r="E1360" s="1" t="s">
        <v>2019</v>
      </c>
      <c r="F1360" s="1" t="s">
        <v>137</v>
      </c>
      <c r="G1360" s="6">
        <v>136020</v>
      </c>
      <c r="H1360" t="str">
        <f>IFERROR(VLOOKUP(F1360,'LEAID Match'!$A$2:$B$142,2,FALSE),"")</f>
        <v/>
      </c>
    </row>
    <row r="1361" spans="1:8" x14ac:dyDescent="0.2">
      <c r="A1361" t="str">
        <f t="shared" si="21"/>
        <v/>
      </c>
      <c r="B1361" s="1">
        <v>2024</v>
      </c>
      <c r="C1361" s="1" t="s">
        <v>2505</v>
      </c>
      <c r="D1361" s="1" t="s">
        <v>2506</v>
      </c>
      <c r="E1361" s="1" t="s">
        <v>2019</v>
      </c>
      <c r="F1361" s="1" t="s">
        <v>137</v>
      </c>
      <c r="G1361" s="6">
        <v>138475</v>
      </c>
      <c r="H1361" t="str">
        <f>IFERROR(VLOOKUP(F1361,'LEAID Match'!$A$2:$B$142,2,FALSE),"")</f>
        <v/>
      </c>
    </row>
    <row r="1362" spans="1:8" x14ac:dyDescent="0.2">
      <c r="A1362" t="str">
        <f t="shared" si="21"/>
        <v/>
      </c>
      <c r="B1362" s="1">
        <v>2015</v>
      </c>
      <c r="C1362" s="1" t="s">
        <v>2505</v>
      </c>
      <c r="D1362" s="1" t="s">
        <v>2506</v>
      </c>
      <c r="E1362" s="1" t="s">
        <v>2019</v>
      </c>
      <c r="F1362" s="1" t="s">
        <v>138</v>
      </c>
      <c r="G1362" s="6">
        <v>748564</v>
      </c>
      <c r="H1362" t="str">
        <f>IFERROR(VLOOKUP(F1362,'LEAID Match'!$A$2:$B$142,2,FALSE),"")</f>
        <v/>
      </c>
    </row>
    <row r="1363" spans="1:8" x14ac:dyDescent="0.2">
      <c r="A1363" t="str">
        <f t="shared" si="21"/>
        <v/>
      </c>
      <c r="B1363">
        <v>2016</v>
      </c>
      <c r="C1363" s="1" t="s">
        <v>2505</v>
      </c>
      <c r="D1363" s="1" t="s">
        <v>2506</v>
      </c>
      <c r="E1363" s="1" t="s">
        <v>2019</v>
      </c>
      <c r="F1363" s="1" t="s">
        <v>138</v>
      </c>
      <c r="G1363" s="12">
        <v>726030</v>
      </c>
      <c r="H1363" t="str">
        <f>IFERROR(VLOOKUP(F1363,'LEAID Match'!$A$2:$B$142,2,FALSE),"")</f>
        <v/>
      </c>
    </row>
    <row r="1364" spans="1:8" x14ac:dyDescent="0.2">
      <c r="A1364" t="str">
        <f t="shared" si="21"/>
        <v/>
      </c>
      <c r="B1364" s="1">
        <v>2017</v>
      </c>
      <c r="C1364" s="1" t="s">
        <v>2505</v>
      </c>
      <c r="D1364" s="1" t="s">
        <v>2506</v>
      </c>
      <c r="E1364" s="1" t="s">
        <v>2019</v>
      </c>
      <c r="F1364" s="1" t="s">
        <v>138</v>
      </c>
      <c r="G1364" s="47">
        <v>709824</v>
      </c>
      <c r="H1364" t="str">
        <f>IFERROR(VLOOKUP(F1364,'LEAID Match'!$A$2:$B$142,2,FALSE),"")</f>
        <v/>
      </c>
    </row>
    <row r="1365" spans="1:8" x14ac:dyDescent="0.2">
      <c r="A1365" t="str">
        <f t="shared" si="21"/>
        <v/>
      </c>
      <c r="B1365" s="1">
        <v>2018</v>
      </c>
      <c r="C1365" s="1" t="s">
        <v>2505</v>
      </c>
      <c r="D1365" s="1" t="s">
        <v>2506</v>
      </c>
      <c r="E1365" s="1" t="s">
        <v>2019</v>
      </c>
      <c r="F1365" s="1" t="s">
        <v>138</v>
      </c>
      <c r="G1365" s="6">
        <v>772280</v>
      </c>
      <c r="H1365" t="str">
        <f>IFERROR(VLOOKUP(F1365,'LEAID Match'!$A$2:$B$142,2,FALSE),"")</f>
        <v/>
      </c>
    </row>
    <row r="1366" spans="1:8" x14ac:dyDescent="0.2">
      <c r="A1366" t="str">
        <f t="shared" si="21"/>
        <v/>
      </c>
      <c r="B1366" s="1">
        <v>2019</v>
      </c>
      <c r="C1366" s="1" t="s">
        <v>2505</v>
      </c>
      <c r="D1366" s="1" t="s">
        <v>2506</v>
      </c>
      <c r="E1366" s="1" t="s">
        <v>2019</v>
      </c>
      <c r="F1366" s="1" t="s">
        <v>138</v>
      </c>
      <c r="G1366" s="6">
        <v>821358</v>
      </c>
      <c r="H1366" t="str">
        <f>IFERROR(VLOOKUP(F1366,'LEAID Match'!$A$2:$B$142,2,FALSE),"")</f>
        <v/>
      </c>
    </row>
    <row r="1367" spans="1:8" x14ac:dyDescent="0.2">
      <c r="A1367" t="str">
        <f t="shared" si="21"/>
        <v/>
      </c>
      <c r="B1367" s="1">
        <v>2020</v>
      </c>
      <c r="C1367" s="1" t="s">
        <v>2505</v>
      </c>
      <c r="D1367" s="1" t="s">
        <v>2506</v>
      </c>
      <c r="E1367" s="1" t="s">
        <v>2019</v>
      </c>
      <c r="F1367" s="1" t="s">
        <v>138</v>
      </c>
      <c r="G1367" s="6">
        <v>886124</v>
      </c>
      <c r="H1367" t="str">
        <f>IFERROR(VLOOKUP(F1367,'LEAID Match'!$A$2:$B$142,2,FALSE),"")</f>
        <v/>
      </c>
    </row>
    <row r="1368" spans="1:8" x14ac:dyDescent="0.2">
      <c r="A1368" t="str">
        <f t="shared" si="21"/>
        <v/>
      </c>
      <c r="B1368" s="1">
        <v>2021</v>
      </c>
      <c r="C1368" s="1" t="s">
        <v>2505</v>
      </c>
      <c r="D1368" s="1" t="s">
        <v>2506</v>
      </c>
      <c r="E1368" s="1" t="s">
        <v>2019</v>
      </c>
      <c r="F1368" s="1" t="s">
        <v>138</v>
      </c>
      <c r="G1368" s="6">
        <v>889811</v>
      </c>
      <c r="H1368" t="str">
        <f>IFERROR(VLOOKUP(F1368,'LEAID Match'!$A$2:$B$142,2,FALSE),"")</f>
        <v/>
      </c>
    </row>
    <row r="1369" spans="1:8" x14ac:dyDescent="0.2">
      <c r="A1369" t="str">
        <f t="shared" si="21"/>
        <v/>
      </c>
      <c r="B1369" s="1">
        <v>2022</v>
      </c>
      <c r="C1369" s="1" t="s">
        <v>2505</v>
      </c>
      <c r="D1369" s="1" t="s">
        <v>2506</v>
      </c>
      <c r="E1369" s="1" t="s">
        <v>2019</v>
      </c>
      <c r="F1369" s="1" t="s">
        <v>138</v>
      </c>
      <c r="G1369" s="6">
        <v>967584</v>
      </c>
      <c r="H1369" t="str">
        <f>IFERROR(VLOOKUP(F1369,'LEAID Match'!$A$2:$B$142,2,FALSE),"")</f>
        <v/>
      </c>
    </row>
    <row r="1370" spans="1:8" x14ac:dyDescent="0.2">
      <c r="A1370" t="str">
        <f t="shared" si="21"/>
        <v/>
      </c>
      <c r="B1370" s="1">
        <v>2023</v>
      </c>
      <c r="C1370" s="1" t="s">
        <v>2505</v>
      </c>
      <c r="D1370" s="1" t="s">
        <v>2506</v>
      </c>
      <c r="E1370" s="1" t="s">
        <v>2019</v>
      </c>
      <c r="F1370" s="1" t="s">
        <v>138</v>
      </c>
      <c r="G1370" s="6">
        <v>1020768</v>
      </c>
      <c r="H1370" t="str">
        <f>IFERROR(VLOOKUP(F1370,'LEAID Match'!$A$2:$B$142,2,FALSE),"")</f>
        <v/>
      </c>
    </row>
    <row r="1371" spans="1:8" x14ac:dyDescent="0.2">
      <c r="A1371" t="str">
        <f t="shared" si="21"/>
        <v/>
      </c>
      <c r="B1371" s="1">
        <v>2024</v>
      </c>
      <c r="C1371" s="1" t="s">
        <v>2505</v>
      </c>
      <c r="D1371" s="1" t="s">
        <v>2506</v>
      </c>
      <c r="E1371" s="1" t="s">
        <v>2019</v>
      </c>
      <c r="F1371" s="1" t="s">
        <v>138</v>
      </c>
      <c r="G1371" s="6">
        <v>1044514</v>
      </c>
      <c r="H1371" t="str">
        <f>IFERROR(VLOOKUP(F1371,'LEAID Match'!$A$2:$B$142,2,FALSE),"")</f>
        <v/>
      </c>
    </row>
    <row r="1372" spans="1:8" x14ac:dyDescent="0.2">
      <c r="A1372">
        <f t="shared" si="21"/>
        <v>2801200</v>
      </c>
      <c r="B1372" s="1">
        <v>2015</v>
      </c>
      <c r="C1372" s="1" t="s">
        <v>2505</v>
      </c>
      <c r="D1372" s="1" t="s">
        <v>2506</v>
      </c>
      <c r="E1372" s="1" t="s">
        <v>2019</v>
      </c>
      <c r="F1372" s="1" t="s">
        <v>139</v>
      </c>
      <c r="G1372" s="6">
        <v>3322746</v>
      </c>
      <c r="H1372">
        <f>IFERROR(VLOOKUP(F1372,'LEAID Match'!$A$2:$B$142,2,FALSE),"")</f>
        <v>2801200</v>
      </c>
    </row>
    <row r="1373" spans="1:8" x14ac:dyDescent="0.2">
      <c r="A1373">
        <f t="shared" si="21"/>
        <v>2801200</v>
      </c>
      <c r="B1373">
        <v>2016</v>
      </c>
      <c r="C1373" s="1" t="s">
        <v>2505</v>
      </c>
      <c r="D1373" s="1" t="s">
        <v>2506</v>
      </c>
      <c r="E1373" s="1" t="s">
        <v>2019</v>
      </c>
      <c r="F1373" s="1" t="s">
        <v>139</v>
      </c>
      <c r="G1373" s="12">
        <v>3362290</v>
      </c>
      <c r="H1373">
        <f>IFERROR(VLOOKUP(F1373,'LEAID Match'!$A$2:$B$142,2,FALSE),"")</f>
        <v>2801200</v>
      </c>
    </row>
    <row r="1374" spans="1:8" x14ac:dyDescent="0.2">
      <c r="A1374">
        <f t="shared" si="21"/>
        <v>2801200</v>
      </c>
      <c r="B1374" s="1">
        <v>2017</v>
      </c>
      <c r="C1374" s="1" t="s">
        <v>2505</v>
      </c>
      <c r="D1374" s="1" t="s">
        <v>2506</v>
      </c>
      <c r="E1374" s="1" t="s">
        <v>2019</v>
      </c>
      <c r="F1374" s="1" t="s">
        <v>139</v>
      </c>
      <c r="G1374" s="47">
        <v>3310506</v>
      </c>
      <c r="H1374">
        <f>IFERROR(VLOOKUP(F1374,'LEAID Match'!$A$2:$B$142,2,FALSE),"")</f>
        <v>2801200</v>
      </c>
    </row>
    <row r="1375" spans="1:8" x14ac:dyDescent="0.2">
      <c r="A1375">
        <f t="shared" si="21"/>
        <v>2801200</v>
      </c>
      <c r="B1375" s="1">
        <v>2018</v>
      </c>
      <c r="C1375" s="1" t="s">
        <v>2505</v>
      </c>
      <c r="D1375" s="1" t="s">
        <v>2506</v>
      </c>
      <c r="E1375" s="1" t="s">
        <v>2019</v>
      </c>
      <c r="F1375" s="1" t="s">
        <v>139</v>
      </c>
      <c r="G1375" s="6">
        <v>2912437</v>
      </c>
      <c r="H1375">
        <f>IFERROR(VLOOKUP(F1375,'LEAID Match'!$A$2:$B$142,2,FALSE),"")</f>
        <v>2801200</v>
      </c>
    </row>
    <row r="1376" spans="1:8" x14ac:dyDescent="0.2">
      <c r="A1376">
        <f t="shared" si="21"/>
        <v>2801200</v>
      </c>
      <c r="B1376" s="1">
        <v>2019</v>
      </c>
      <c r="C1376" s="1" t="s">
        <v>2505</v>
      </c>
      <c r="D1376" s="1" t="s">
        <v>2506</v>
      </c>
      <c r="E1376" s="1" t="s">
        <v>2019</v>
      </c>
      <c r="F1376" s="1" t="s">
        <v>139</v>
      </c>
      <c r="G1376" s="6">
        <v>3052878</v>
      </c>
      <c r="H1376">
        <f>IFERROR(VLOOKUP(F1376,'LEAID Match'!$A$2:$B$142,2,FALSE),"")</f>
        <v>2801200</v>
      </c>
    </row>
    <row r="1377" spans="1:8" x14ac:dyDescent="0.2">
      <c r="A1377">
        <f t="shared" si="21"/>
        <v>2801200</v>
      </c>
      <c r="B1377" s="1">
        <v>2020</v>
      </c>
      <c r="C1377" s="1" t="s">
        <v>2505</v>
      </c>
      <c r="D1377" s="1" t="s">
        <v>2506</v>
      </c>
      <c r="E1377" s="1" t="s">
        <v>2019</v>
      </c>
      <c r="F1377" s="1" t="s">
        <v>139</v>
      </c>
      <c r="G1377" s="6">
        <v>3616637</v>
      </c>
      <c r="H1377">
        <f>IFERROR(VLOOKUP(F1377,'LEAID Match'!$A$2:$B$142,2,FALSE),"")</f>
        <v>2801200</v>
      </c>
    </row>
    <row r="1378" spans="1:8" x14ac:dyDescent="0.2">
      <c r="A1378">
        <f t="shared" si="21"/>
        <v>2801200</v>
      </c>
      <c r="B1378" s="1">
        <v>2021</v>
      </c>
      <c r="C1378" s="1" t="s">
        <v>2505</v>
      </c>
      <c r="D1378" s="1" t="s">
        <v>2506</v>
      </c>
      <c r="E1378" s="1" t="s">
        <v>2019</v>
      </c>
      <c r="F1378" s="1" t="s">
        <v>139</v>
      </c>
      <c r="G1378" s="6">
        <v>3522671</v>
      </c>
      <c r="H1378">
        <f>IFERROR(VLOOKUP(F1378,'LEAID Match'!$A$2:$B$142,2,FALSE),"")</f>
        <v>2801200</v>
      </c>
    </row>
    <row r="1379" spans="1:8" x14ac:dyDescent="0.2">
      <c r="A1379">
        <f t="shared" si="21"/>
        <v>2801200</v>
      </c>
      <c r="B1379" s="1">
        <v>2022</v>
      </c>
      <c r="C1379" s="1" t="s">
        <v>2505</v>
      </c>
      <c r="D1379" s="1" t="s">
        <v>2506</v>
      </c>
      <c r="E1379" s="1" t="s">
        <v>2019</v>
      </c>
      <c r="F1379" s="1" t="s">
        <v>139</v>
      </c>
      <c r="G1379" s="6">
        <v>3779131</v>
      </c>
      <c r="H1379">
        <f>IFERROR(VLOOKUP(F1379,'LEAID Match'!$A$2:$B$142,2,FALSE),"")</f>
        <v>2801200</v>
      </c>
    </row>
    <row r="1380" spans="1:8" x14ac:dyDescent="0.2">
      <c r="A1380">
        <f t="shared" si="21"/>
        <v>2801200</v>
      </c>
      <c r="B1380" s="1">
        <v>2023</v>
      </c>
      <c r="C1380" s="1" t="s">
        <v>2505</v>
      </c>
      <c r="D1380" s="1" t="s">
        <v>2506</v>
      </c>
      <c r="E1380" s="1" t="s">
        <v>2019</v>
      </c>
      <c r="F1380" s="1" t="s">
        <v>139</v>
      </c>
      <c r="G1380" s="6">
        <v>4167246</v>
      </c>
      <c r="H1380">
        <f>IFERROR(VLOOKUP(F1380,'LEAID Match'!$A$2:$B$142,2,FALSE),"")</f>
        <v>2801200</v>
      </c>
    </row>
    <row r="1381" spans="1:8" x14ac:dyDescent="0.2">
      <c r="A1381">
        <f t="shared" si="21"/>
        <v>2801200</v>
      </c>
      <c r="B1381" s="1">
        <v>2024</v>
      </c>
      <c r="C1381" s="1" t="s">
        <v>2505</v>
      </c>
      <c r="D1381" s="1" t="s">
        <v>2506</v>
      </c>
      <c r="E1381" s="1" t="s">
        <v>2019</v>
      </c>
      <c r="F1381" s="1" t="s">
        <v>139</v>
      </c>
      <c r="G1381" s="6">
        <v>4311214</v>
      </c>
      <c r="H1381">
        <f>IFERROR(VLOOKUP(F1381,'LEAID Match'!$A$2:$B$142,2,FALSE),"")</f>
        <v>2801200</v>
      </c>
    </row>
    <row r="1382" spans="1:8" x14ac:dyDescent="0.2">
      <c r="A1382" t="str">
        <f t="shared" si="21"/>
        <v/>
      </c>
      <c r="B1382" s="1">
        <v>2015</v>
      </c>
      <c r="C1382" s="1" t="s">
        <v>2505</v>
      </c>
      <c r="D1382" s="1" t="s">
        <v>2506</v>
      </c>
      <c r="E1382" s="1" t="s">
        <v>2019</v>
      </c>
      <c r="F1382" t="s">
        <v>1292</v>
      </c>
      <c r="G1382" s="6">
        <v>61584</v>
      </c>
      <c r="H1382" t="str">
        <f>IFERROR(VLOOKUP(F1382,'LEAID Match'!$A$2:$B$142,2,FALSE),"")</f>
        <v/>
      </c>
    </row>
    <row r="1383" spans="1:8" x14ac:dyDescent="0.2">
      <c r="A1383" t="str">
        <f t="shared" si="21"/>
        <v/>
      </c>
      <c r="B1383">
        <v>2016</v>
      </c>
      <c r="C1383" s="1" t="s">
        <v>2505</v>
      </c>
      <c r="D1383" s="1" t="s">
        <v>2506</v>
      </c>
      <c r="E1383" s="1" t="s">
        <v>2019</v>
      </c>
      <c r="F1383" t="s">
        <v>1292</v>
      </c>
      <c r="G1383" s="12">
        <v>64875</v>
      </c>
      <c r="H1383" t="str">
        <f>IFERROR(VLOOKUP(F1383,'LEAID Match'!$A$2:$B$142,2,FALSE),"")</f>
        <v/>
      </c>
    </row>
    <row r="1384" spans="1:8" x14ac:dyDescent="0.2">
      <c r="A1384" t="str">
        <f t="shared" si="21"/>
        <v/>
      </c>
      <c r="B1384" s="1">
        <v>2017</v>
      </c>
      <c r="C1384" s="1" t="s">
        <v>2505</v>
      </c>
      <c r="D1384" s="1" t="s">
        <v>2506</v>
      </c>
      <c r="E1384" s="1" t="s">
        <v>2019</v>
      </c>
      <c r="F1384" t="s">
        <v>1292</v>
      </c>
      <c r="G1384" s="47">
        <v>66681</v>
      </c>
      <c r="H1384" t="str">
        <f>IFERROR(VLOOKUP(F1384,'LEAID Match'!$A$2:$B$142,2,FALSE),"")</f>
        <v/>
      </c>
    </row>
    <row r="1385" spans="1:8" x14ac:dyDescent="0.2">
      <c r="A1385" t="str">
        <f t="shared" si="21"/>
        <v/>
      </c>
      <c r="B1385" s="1">
        <v>2018</v>
      </c>
      <c r="C1385" s="1" t="s">
        <v>2505</v>
      </c>
      <c r="D1385" s="1" t="s">
        <v>2506</v>
      </c>
      <c r="E1385" s="1" t="s">
        <v>2019</v>
      </c>
      <c r="F1385" t="s">
        <v>1292</v>
      </c>
      <c r="G1385" s="6">
        <v>16736</v>
      </c>
      <c r="H1385" t="str">
        <f>IFERROR(VLOOKUP(F1385,'LEAID Match'!$A$2:$B$142,2,FALSE),"")</f>
        <v/>
      </c>
    </row>
    <row r="1386" spans="1:8" x14ac:dyDescent="0.2">
      <c r="A1386" t="str">
        <f t="shared" si="21"/>
        <v/>
      </c>
      <c r="B1386" s="1">
        <v>2015</v>
      </c>
      <c r="C1386" s="1" t="s">
        <v>2505</v>
      </c>
      <c r="D1386" s="1" t="s">
        <v>2506</v>
      </c>
      <c r="E1386" s="1" t="s">
        <v>2019</v>
      </c>
      <c r="F1386" s="1" t="s">
        <v>140</v>
      </c>
      <c r="G1386" s="6">
        <v>59263</v>
      </c>
      <c r="H1386" t="str">
        <f>IFERROR(VLOOKUP(F1386,'LEAID Match'!$A$2:$B$142,2,FALSE),"")</f>
        <v/>
      </c>
    </row>
    <row r="1387" spans="1:8" x14ac:dyDescent="0.2">
      <c r="A1387" t="str">
        <f t="shared" si="21"/>
        <v/>
      </c>
      <c r="B1387">
        <v>2016</v>
      </c>
      <c r="C1387" s="1" t="s">
        <v>2505</v>
      </c>
      <c r="D1387" s="1" t="s">
        <v>2506</v>
      </c>
      <c r="E1387" s="1" t="s">
        <v>2019</v>
      </c>
      <c r="F1387" s="1" t="s">
        <v>140</v>
      </c>
      <c r="G1387" s="12">
        <v>58669</v>
      </c>
      <c r="H1387" t="str">
        <f>IFERROR(VLOOKUP(F1387,'LEAID Match'!$A$2:$B$142,2,FALSE),"")</f>
        <v/>
      </c>
    </row>
    <row r="1388" spans="1:8" x14ac:dyDescent="0.2">
      <c r="A1388" t="str">
        <f t="shared" si="21"/>
        <v/>
      </c>
      <c r="B1388" s="1">
        <v>2017</v>
      </c>
      <c r="C1388" s="1" t="s">
        <v>2505</v>
      </c>
      <c r="D1388" s="1" t="s">
        <v>2506</v>
      </c>
      <c r="E1388" s="1" t="s">
        <v>2019</v>
      </c>
      <c r="F1388" s="1" t="s">
        <v>140</v>
      </c>
      <c r="G1388" s="47">
        <v>59764</v>
      </c>
      <c r="H1388" t="str">
        <f>IFERROR(VLOOKUP(F1388,'LEAID Match'!$A$2:$B$142,2,FALSE),"")</f>
        <v/>
      </c>
    </row>
    <row r="1389" spans="1:8" x14ac:dyDescent="0.2">
      <c r="A1389" t="str">
        <f t="shared" si="21"/>
        <v/>
      </c>
      <c r="B1389" s="1">
        <v>2018</v>
      </c>
      <c r="C1389" s="1" t="s">
        <v>2505</v>
      </c>
      <c r="D1389" s="1" t="s">
        <v>2506</v>
      </c>
      <c r="E1389" s="1" t="s">
        <v>2019</v>
      </c>
      <c r="F1389" s="1" t="s">
        <v>140</v>
      </c>
      <c r="G1389" s="6">
        <v>59157</v>
      </c>
      <c r="H1389" t="str">
        <f>IFERROR(VLOOKUP(F1389,'LEAID Match'!$A$2:$B$142,2,FALSE),"")</f>
        <v/>
      </c>
    </row>
    <row r="1390" spans="1:8" x14ac:dyDescent="0.2">
      <c r="A1390" t="str">
        <f t="shared" si="21"/>
        <v/>
      </c>
      <c r="B1390" s="1">
        <v>2019</v>
      </c>
      <c r="C1390" s="1" t="s">
        <v>2505</v>
      </c>
      <c r="D1390" s="1" t="s">
        <v>2506</v>
      </c>
      <c r="E1390" s="1" t="s">
        <v>2019</v>
      </c>
      <c r="F1390" s="1" t="s">
        <v>140</v>
      </c>
      <c r="G1390" s="6">
        <v>60194</v>
      </c>
      <c r="H1390" t="str">
        <f>IFERROR(VLOOKUP(F1390,'LEAID Match'!$A$2:$B$142,2,FALSE),"")</f>
        <v/>
      </c>
    </row>
    <row r="1391" spans="1:8" x14ac:dyDescent="0.2">
      <c r="A1391" t="str">
        <f t="shared" si="21"/>
        <v/>
      </c>
      <c r="B1391" s="1">
        <v>2020</v>
      </c>
      <c r="C1391" s="1" t="s">
        <v>2505</v>
      </c>
      <c r="D1391" s="1" t="s">
        <v>2506</v>
      </c>
      <c r="E1391" s="1" t="s">
        <v>2019</v>
      </c>
      <c r="F1391" s="1" t="s">
        <v>140</v>
      </c>
      <c r="G1391" s="6">
        <v>68641</v>
      </c>
      <c r="H1391" t="str">
        <f>IFERROR(VLOOKUP(F1391,'LEAID Match'!$A$2:$B$142,2,FALSE),"")</f>
        <v/>
      </c>
    </row>
    <row r="1392" spans="1:8" x14ac:dyDescent="0.2">
      <c r="A1392" t="str">
        <f t="shared" si="21"/>
        <v/>
      </c>
      <c r="B1392" s="1">
        <v>2021</v>
      </c>
      <c r="C1392" s="1" t="s">
        <v>2505</v>
      </c>
      <c r="D1392" s="1" t="s">
        <v>2506</v>
      </c>
      <c r="E1392" s="1" t="s">
        <v>2019</v>
      </c>
      <c r="F1392" s="1" t="s">
        <v>140</v>
      </c>
      <c r="G1392" s="6">
        <v>67879</v>
      </c>
      <c r="H1392" t="str">
        <f>IFERROR(VLOOKUP(F1392,'LEAID Match'!$A$2:$B$142,2,FALSE),"")</f>
        <v/>
      </c>
    </row>
    <row r="1393" spans="1:8" x14ac:dyDescent="0.2">
      <c r="A1393" t="str">
        <f t="shared" si="21"/>
        <v/>
      </c>
      <c r="B1393" s="1">
        <v>2024</v>
      </c>
      <c r="C1393" s="1" t="s">
        <v>2505</v>
      </c>
      <c r="D1393" s="1" t="s">
        <v>2506</v>
      </c>
      <c r="E1393" s="1" t="s">
        <v>2019</v>
      </c>
      <c r="F1393" s="1" t="s">
        <v>140</v>
      </c>
      <c r="G1393" s="6">
        <v>69258</v>
      </c>
      <c r="H1393" t="str">
        <f>IFERROR(VLOOKUP(F1393,'LEAID Match'!$A$2:$B$142,2,FALSE),"")</f>
        <v/>
      </c>
    </row>
    <row r="1394" spans="1:8" x14ac:dyDescent="0.2">
      <c r="A1394" t="str">
        <f t="shared" si="21"/>
        <v/>
      </c>
      <c r="B1394" s="1">
        <v>2022</v>
      </c>
      <c r="C1394" s="1" t="s">
        <v>2505</v>
      </c>
      <c r="D1394" s="1" t="s">
        <v>2506</v>
      </c>
      <c r="E1394" s="1" t="s">
        <v>2019</v>
      </c>
      <c r="F1394" s="1" t="s">
        <v>864</v>
      </c>
      <c r="G1394" s="6">
        <v>70424</v>
      </c>
      <c r="H1394" t="str">
        <f>IFERROR(VLOOKUP(F1394,'LEAID Match'!$A$2:$B$142,2,FALSE),"")</f>
        <v/>
      </c>
    </row>
    <row r="1395" spans="1:8" x14ac:dyDescent="0.2">
      <c r="A1395" t="str">
        <f t="shared" si="21"/>
        <v/>
      </c>
      <c r="B1395" s="1">
        <v>2023</v>
      </c>
      <c r="C1395" s="1" t="s">
        <v>2505</v>
      </c>
      <c r="D1395" s="1" t="s">
        <v>2506</v>
      </c>
      <c r="E1395" s="1" t="s">
        <v>2019</v>
      </c>
      <c r="F1395" s="1" t="s">
        <v>864</v>
      </c>
      <c r="G1395" s="6">
        <v>74222</v>
      </c>
      <c r="H1395" t="str">
        <f>IFERROR(VLOOKUP(F1395,'LEAID Match'!$A$2:$B$142,2,FALSE),"")</f>
        <v/>
      </c>
    </row>
    <row r="1396" spans="1:8" x14ac:dyDescent="0.2">
      <c r="A1396" t="str">
        <f t="shared" si="21"/>
        <v/>
      </c>
      <c r="B1396" s="1">
        <v>2015</v>
      </c>
      <c r="C1396" s="1" t="s">
        <v>2505</v>
      </c>
      <c r="D1396" s="1" t="s">
        <v>2506</v>
      </c>
      <c r="E1396" s="1" t="s">
        <v>2019</v>
      </c>
      <c r="F1396" s="1" t="s">
        <v>141</v>
      </c>
      <c r="G1396" s="6">
        <v>29183</v>
      </c>
      <c r="H1396" t="str">
        <f>IFERROR(VLOOKUP(F1396,'LEAID Match'!$A$2:$B$142,2,FALSE),"")</f>
        <v/>
      </c>
    </row>
    <row r="1397" spans="1:8" x14ac:dyDescent="0.2">
      <c r="A1397" t="str">
        <f t="shared" si="21"/>
        <v/>
      </c>
      <c r="B1397">
        <v>2016</v>
      </c>
      <c r="C1397" s="1" t="s">
        <v>2505</v>
      </c>
      <c r="D1397" s="1" t="s">
        <v>2506</v>
      </c>
      <c r="E1397" s="1" t="s">
        <v>2019</v>
      </c>
      <c r="F1397" s="1" t="s">
        <v>141</v>
      </c>
      <c r="G1397" s="12">
        <v>32756</v>
      </c>
      <c r="H1397" t="str">
        <f>IFERROR(VLOOKUP(F1397,'LEAID Match'!$A$2:$B$142,2,FALSE),"")</f>
        <v/>
      </c>
    </row>
    <row r="1398" spans="1:8" x14ac:dyDescent="0.2">
      <c r="A1398" t="str">
        <f t="shared" si="21"/>
        <v/>
      </c>
      <c r="B1398" s="1">
        <v>2017</v>
      </c>
      <c r="C1398" s="1" t="s">
        <v>2505</v>
      </c>
      <c r="D1398" s="1" t="s">
        <v>2506</v>
      </c>
      <c r="E1398" s="1" t="s">
        <v>2019</v>
      </c>
      <c r="F1398" s="1" t="s">
        <v>141</v>
      </c>
      <c r="G1398" s="47">
        <v>39314</v>
      </c>
      <c r="H1398" t="str">
        <f>IFERROR(VLOOKUP(F1398,'LEAID Match'!$A$2:$B$142,2,FALSE),"")</f>
        <v/>
      </c>
    </row>
    <row r="1399" spans="1:8" x14ac:dyDescent="0.2">
      <c r="A1399" t="str">
        <f t="shared" si="21"/>
        <v/>
      </c>
      <c r="B1399" s="1">
        <v>2018</v>
      </c>
      <c r="C1399" s="1" t="s">
        <v>2505</v>
      </c>
      <c r="D1399" s="1" t="s">
        <v>2506</v>
      </c>
      <c r="E1399" s="1" t="s">
        <v>2019</v>
      </c>
      <c r="F1399" s="1" t="s">
        <v>141</v>
      </c>
      <c r="G1399" s="6">
        <v>48311</v>
      </c>
      <c r="H1399" t="str">
        <f>IFERROR(VLOOKUP(F1399,'LEAID Match'!$A$2:$B$142,2,FALSE),"")</f>
        <v/>
      </c>
    </row>
    <row r="1400" spans="1:8" x14ac:dyDescent="0.2">
      <c r="A1400" t="str">
        <f t="shared" si="21"/>
        <v/>
      </c>
      <c r="B1400" s="1">
        <v>2019</v>
      </c>
      <c r="C1400" s="1" t="s">
        <v>2505</v>
      </c>
      <c r="D1400" s="1" t="s">
        <v>2506</v>
      </c>
      <c r="E1400" s="1" t="s">
        <v>2019</v>
      </c>
      <c r="F1400" s="1" t="s">
        <v>141</v>
      </c>
      <c r="G1400" s="6">
        <v>52835</v>
      </c>
      <c r="H1400" t="str">
        <f>IFERROR(VLOOKUP(F1400,'LEAID Match'!$A$2:$B$142,2,FALSE),"")</f>
        <v/>
      </c>
    </row>
    <row r="1401" spans="1:8" x14ac:dyDescent="0.2">
      <c r="A1401" t="str">
        <f t="shared" si="21"/>
        <v/>
      </c>
      <c r="B1401" s="1">
        <v>2020</v>
      </c>
      <c r="C1401" s="1" t="s">
        <v>2505</v>
      </c>
      <c r="D1401" s="1" t="s">
        <v>2506</v>
      </c>
      <c r="E1401" s="1" t="s">
        <v>2019</v>
      </c>
      <c r="F1401" s="1" t="s">
        <v>141</v>
      </c>
      <c r="G1401" s="6">
        <v>46520</v>
      </c>
      <c r="H1401" t="str">
        <f>IFERROR(VLOOKUP(F1401,'LEAID Match'!$A$2:$B$142,2,FALSE),"")</f>
        <v/>
      </c>
    </row>
    <row r="1402" spans="1:8" x14ac:dyDescent="0.2">
      <c r="A1402" t="str">
        <f t="shared" si="21"/>
        <v/>
      </c>
      <c r="B1402" s="1">
        <v>2021</v>
      </c>
      <c r="C1402" s="1" t="s">
        <v>2505</v>
      </c>
      <c r="D1402" s="1" t="s">
        <v>2506</v>
      </c>
      <c r="E1402" s="1" t="s">
        <v>2019</v>
      </c>
      <c r="F1402" s="1" t="s">
        <v>141</v>
      </c>
      <c r="G1402" s="6">
        <v>38727</v>
      </c>
      <c r="H1402" t="str">
        <f>IFERROR(VLOOKUP(F1402,'LEAID Match'!$A$2:$B$142,2,FALSE),"")</f>
        <v/>
      </c>
    </row>
    <row r="1403" spans="1:8" x14ac:dyDescent="0.2">
      <c r="A1403" t="str">
        <f t="shared" si="21"/>
        <v/>
      </c>
      <c r="B1403" s="1">
        <v>2022</v>
      </c>
      <c r="C1403" s="1" t="s">
        <v>2505</v>
      </c>
      <c r="D1403" s="1" t="s">
        <v>2506</v>
      </c>
      <c r="E1403" s="1" t="s">
        <v>2019</v>
      </c>
      <c r="F1403" s="1" t="s">
        <v>141</v>
      </c>
      <c r="G1403" s="6">
        <v>46302</v>
      </c>
      <c r="H1403" t="str">
        <f>IFERROR(VLOOKUP(F1403,'LEAID Match'!$A$2:$B$142,2,FALSE),"")</f>
        <v/>
      </c>
    </row>
    <row r="1404" spans="1:8" x14ac:dyDescent="0.2">
      <c r="A1404" t="str">
        <f t="shared" si="21"/>
        <v/>
      </c>
      <c r="B1404" s="1">
        <v>2023</v>
      </c>
      <c r="C1404" s="1" t="s">
        <v>2505</v>
      </c>
      <c r="D1404" s="1" t="s">
        <v>2506</v>
      </c>
      <c r="E1404" s="1" t="s">
        <v>2019</v>
      </c>
      <c r="F1404" s="1" t="s">
        <v>141</v>
      </c>
      <c r="G1404" s="6">
        <v>62011</v>
      </c>
      <c r="H1404" t="str">
        <f>IFERROR(VLOOKUP(F1404,'LEAID Match'!$A$2:$B$142,2,FALSE),"")</f>
        <v/>
      </c>
    </row>
    <row r="1405" spans="1:8" x14ac:dyDescent="0.2">
      <c r="A1405" t="str">
        <f t="shared" si="21"/>
        <v/>
      </c>
      <c r="B1405" s="1">
        <v>2024</v>
      </c>
      <c r="C1405" s="1" t="s">
        <v>2505</v>
      </c>
      <c r="D1405" s="1" t="s">
        <v>2506</v>
      </c>
      <c r="E1405" s="1" t="s">
        <v>2019</v>
      </c>
      <c r="F1405" s="1" t="s">
        <v>141</v>
      </c>
      <c r="G1405" s="6">
        <v>64075</v>
      </c>
      <c r="H1405" t="str">
        <f>IFERROR(VLOOKUP(F1405,'LEAID Match'!$A$2:$B$142,2,FALSE),"")</f>
        <v/>
      </c>
    </row>
    <row r="1406" spans="1:8" x14ac:dyDescent="0.2">
      <c r="A1406">
        <f t="shared" si="21"/>
        <v>2801220</v>
      </c>
      <c r="B1406" s="1">
        <v>2015</v>
      </c>
      <c r="C1406" s="1" t="s">
        <v>2505</v>
      </c>
      <c r="D1406" s="1" t="s">
        <v>2506</v>
      </c>
      <c r="E1406" s="1" t="s">
        <v>2019</v>
      </c>
      <c r="F1406" s="1" t="s">
        <v>142</v>
      </c>
      <c r="G1406" s="6">
        <v>1825835</v>
      </c>
      <c r="H1406">
        <f>IFERROR(VLOOKUP(F1406,'LEAID Match'!$A$2:$B$142,2,FALSE),"")</f>
        <v>2801220</v>
      </c>
    </row>
    <row r="1407" spans="1:8" x14ac:dyDescent="0.2">
      <c r="A1407">
        <f t="shared" si="21"/>
        <v>2801220</v>
      </c>
      <c r="B1407">
        <v>2016</v>
      </c>
      <c r="C1407" s="1" t="s">
        <v>2505</v>
      </c>
      <c r="D1407" s="1" t="s">
        <v>2506</v>
      </c>
      <c r="E1407" s="1" t="s">
        <v>2019</v>
      </c>
      <c r="F1407" s="1" t="s">
        <v>142</v>
      </c>
      <c r="G1407" s="12">
        <v>1873918</v>
      </c>
      <c r="H1407">
        <f>IFERROR(VLOOKUP(F1407,'LEAID Match'!$A$2:$B$142,2,FALSE),"")</f>
        <v>2801220</v>
      </c>
    </row>
    <row r="1408" spans="1:8" x14ac:dyDescent="0.2">
      <c r="A1408">
        <f t="shared" si="21"/>
        <v>2801220</v>
      </c>
      <c r="B1408" s="1">
        <v>2017</v>
      </c>
      <c r="C1408" s="1" t="s">
        <v>2505</v>
      </c>
      <c r="D1408" s="1" t="s">
        <v>2506</v>
      </c>
      <c r="E1408" s="1" t="s">
        <v>2019</v>
      </c>
      <c r="F1408" s="1" t="s">
        <v>142</v>
      </c>
      <c r="G1408" s="47">
        <v>1899555</v>
      </c>
      <c r="H1408">
        <f>IFERROR(VLOOKUP(F1408,'LEAID Match'!$A$2:$B$142,2,FALSE),"")</f>
        <v>2801220</v>
      </c>
    </row>
    <row r="1409" spans="1:8" x14ac:dyDescent="0.2">
      <c r="A1409">
        <f t="shared" si="21"/>
        <v>2801220</v>
      </c>
      <c r="B1409" s="1">
        <v>2018</v>
      </c>
      <c r="C1409" s="1" t="s">
        <v>2505</v>
      </c>
      <c r="D1409" s="1" t="s">
        <v>2506</v>
      </c>
      <c r="E1409" s="1" t="s">
        <v>2019</v>
      </c>
      <c r="F1409" s="1" t="s">
        <v>142</v>
      </c>
      <c r="G1409" s="6">
        <v>1908315</v>
      </c>
      <c r="H1409">
        <f>IFERROR(VLOOKUP(F1409,'LEAID Match'!$A$2:$B$142,2,FALSE),"")</f>
        <v>2801220</v>
      </c>
    </row>
    <row r="1410" spans="1:8" x14ac:dyDescent="0.2">
      <c r="A1410">
        <f t="shared" si="21"/>
        <v>2801220</v>
      </c>
      <c r="B1410" s="1">
        <v>2019</v>
      </c>
      <c r="C1410" s="1" t="s">
        <v>2505</v>
      </c>
      <c r="D1410" s="1" t="s">
        <v>2506</v>
      </c>
      <c r="E1410" s="1" t="s">
        <v>2019</v>
      </c>
      <c r="F1410" s="1" t="s">
        <v>142</v>
      </c>
      <c r="G1410" s="6">
        <v>1924013</v>
      </c>
      <c r="H1410">
        <f>IFERROR(VLOOKUP(F1410,'LEAID Match'!$A$2:$B$142,2,FALSE),"")</f>
        <v>2801220</v>
      </c>
    </row>
    <row r="1411" spans="1:8" x14ac:dyDescent="0.2">
      <c r="A1411">
        <f t="shared" ref="A1411:A1474" si="22">H1411</f>
        <v>2801220</v>
      </c>
      <c r="B1411" s="1">
        <v>2020</v>
      </c>
      <c r="C1411" s="1" t="s">
        <v>2505</v>
      </c>
      <c r="D1411" s="1" t="s">
        <v>2506</v>
      </c>
      <c r="E1411" s="1" t="s">
        <v>2019</v>
      </c>
      <c r="F1411" s="1" t="s">
        <v>142</v>
      </c>
      <c r="G1411" s="6">
        <v>2117720</v>
      </c>
      <c r="H1411">
        <f>IFERROR(VLOOKUP(F1411,'LEAID Match'!$A$2:$B$142,2,FALSE),"")</f>
        <v>2801220</v>
      </c>
    </row>
    <row r="1412" spans="1:8" x14ac:dyDescent="0.2">
      <c r="A1412">
        <f t="shared" si="22"/>
        <v>2801220</v>
      </c>
      <c r="B1412" s="1">
        <v>2021</v>
      </c>
      <c r="C1412" s="1" t="s">
        <v>2505</v>
      </c>
      <c r="D1412" s="1" t="s">
        <v>2506</v>
      </c>
      <c r="E1412" s="1" t="s">
        <v>2019</v>
      </c>
      <c r="F1412" s="1" t="s">
        <v>142</v>
      </c>
      <c r="G1412" s="6">
        <v>2078727</v>
      </c>
      <c r="H1412">
        <f>IFERROR(VLOOKUP(F1412,'LEAID Match'!$A$2:$B$142,2,FALSE),"")</f>
        <v>2801220</v>
      </c>
    </row>
    <row r="1413" spans="1:8" x14ac:dyDescent="0.2">
      <c r="A1413">
        <f t="shared" si="22"/>
        <v>2801220</v>
      </c>
      <c r="B1413" s="1">
        <v>2022</v>
      </c>
      <c r="C1413" s="1" t="s">
        <v>2505</v>
      </c>
      <c r="D1413" s="1" t="s">
        <v>2506</v>
      </c>
      <c r="E1413" s="1" t="s">
        <v>2019</v>
      </c>
      <c r="F1413" s="1" t="s">
        <v>142</v>
      </c>
      <c r="G1413" s="6">
        <v>2164559</v>
      </c>
      <c r="H1413">
        <f>IFERROR(VLOOKUP(F1413,'LEAID Match'!$A$2:$B$142,2,FALSE),"")</f>
        <v>2801220</v>
      </c>
    </row>
    <row r="1414" spans="1:8" x14ac:dyDescent="0.2">
      <c r="A1414">
        <f t="shared" si="22"/>
        <v>2801220</v>
      </c>
      <c r="B1414" s="1">
        <v>2023</v>
      </c>
      <c r="C1414" s="1" t="s">
        <v>2505</v>
      </c>
      <c r="D1414" s="1" t="s">
        <v>2506</v>
      </c>
      <c r="E1414" s="1" t="s">
        <v>2019</v>
      </c>
      <c r="F1414" s="1" t="s">
        <v>142</v>
      </c>
      <c r="G1414" s="6">
        <v>2320090</v>
      </c>
      <c r="H1414">
        <f>IFERROR(VLOOKUP(F1414,'LEAID Match'!$A$2:$B$142,2,FALSE),"")</f>
        <v>2801220</v>
      </c>
    </row>
    <row r="1415" spans="1:8" x14ac:dyDescent="0.2">
      <c r="A1415">
        <f t="shared" si="22"/>
        <v>2801220</v>
      </c>
      <c r="B1415" s="1">
        <v>2024</v>
      </c>
      <c r="C1415" s="1" t="s">
        <v>2505</v>
      </c>
      <c r="D1415" s="1" t="s">
        <v>2506</v>
      </c>
      <c r="E1415" s="1" t="s">
        <v>2019</v>
      </c>
      <c r="F1415" s="1" t="s">
        <v>142</v>
      </c>
      <c r="G1415" s="6">
        <v>2398456</v>
      </c>
      <c r="H1415">
        <f>IFERROR(VLOOKUP(F1415,'LEAID Match'!$A$2:$B$142,2,FALSE),"")</f>
        <v>2801220</v>
      </c>
    </row>
    <row r="1416" spans="1:8" x14ac:dyDescent="0.2">
      <c r="A1416" t="str">
        <f t="shared" si="22"/>
        <v/>
      </c>
      <c r="B1416" s="1">
        <v>2015</v>
      </c>
      <c r="C1416" s="1" t="s">
        <v>2505</v>
      </c>
      <c r="D1416" s="1" t="s">
        <v>2506</v>
      </c>
      <c r="E1416" s="1" t="s">
        <v>2019</v>
      </c>
      <c r="F1416" s="1" t="s">
        <v>143</v>
      </c>
      <c r="G1416" s="6">
        <v>643925</v>
      </c>
      <c r="H1416" t="str">
        <f>IFERROR(VLOOKUP(F1416,'LEAID Match'!$A$2:$B$142,2,FALSE),"")</f>
        <v/>
      </c>
    </row>
    <row r="1417" spans="1:8" x14ac:dyDescent="0.2">
      <c r="A1417" t="str">
        <f t="shared" si="22"/>
        <v/>
      </c>
      <c r="B1417">
        <v>2016</v>
      </c>
      <c r="C1417" s="1" t="s">
        <v>2505</v>
      </c>
      <c r="D1417" s="1" t="s">
        <v>2506</v>
      </c>
      <c r="E1417" s="1" t="s">
        <v>2019</v>
      </c>
      <c r="F1417" s="1" t="s">
        <v>143</v>
      </c>
      <c r="G1417" s="12">
        <v>676776</v>
      </c>
      <c r="H1417" t="str">
        <f>IFERROR(VLOOKUP(F1417,'LEAID Match'!$A$2:$B$142,2,FALSE),"")</f>
        <v/>
      </c>
    </row>
    <row r="1418" spans="1:8" x14ac:dyDescent="0.2">
      <c r="A1418" t="str">
        <f t="shared" si="22"/>
        <v/>
      </c>
      <c r="B1418" s="1">
        <v>2017</v>
      </c>
      <c r="C1418" s="1" t="s">
        <v>2505</v>
      </c>
      <c r="D1418" s="1" t="s">
        <v>2506</v>
      </c>
      <c r="E1418" s="1" t="s">
        <v>2019</v>
      </c>
      <c r="F1418" s="1" t="s">
        <v>143</v>
      </c>
      <c r="G1418" s="47">
        <v>693597</v>
      </c>
      <c r="H1418" t="str">
        <f>IFERROR(VLOOKUP(F1418,'LEAID Match'!$A$2:$B$142,2,FALSE),"")</f>
        <v/>
      </c>
    </row>
    <row r="1419" spans="1:8" x14ac:dyDescent="0.2">
      <c r="A1419" t="str">
        <f t="shared" si="22"/>
        <v/>
      </c>
      <c r="B1419" s="1">
        <v>2018</v>
      </c>
      <c r="C1419" s="1" t="s">
        <v>2505</v>
      </c>
      <c r="D1419" s="1" t="s">
        <v>2506</v>
      </c>
      <c r="E1419" s="1" t="s">
        <v>2019</v>
      </c>
      <c r="F1419" s="1" t="s">
        <v>143</v>
      </c>
      <c r="G1419" s="6">
        <v>698162</v>
      </c>
      <c r="H1419" t="str">
        <f>IFERROR(VLOOKUP(F1419,'LEAID Match'!$A$2:$B$142,2,FALSE),"")</f>
        <v/>
      </c>
    </row>
    <row r="1420" spans="1:8" x14ac:dyDescent="0.2">
      <c r="A1420" t="str">
        <f t="shared" si="22"/>
        <v/>
      </c>
      <c r="B1420" s="1">
        <v>2019</v>
      </c>
      <c r="C1420" s="1" t="s">
        <v>2505</v>
      </c>
      <c r="D1420" s="1" t="s">
        <v>2506</v>
      </c>
      <c r="E1420" s="1" t="s">
        <v>2019</v>
      </c>
      <c r="F1420" s="1" t="s">
        <v>143</v>
      </c>
      <c r="G1420" s="6">
        <v>713149</v>
      </c>
      <c r="H1420" t="str">
        <f>IFERROR(VLOOKUP(F1420,'LEAID Match'!$A$2:$B$142,2,FALSE),"")</f>
        <v/>
      </c>
    </row>
    <row r="1421" spans="1:8" x14ac:dyDescent="0.2">
      <c r="A1421" t="str">
        <f t="shared" si="22"/>
        <v/>
      </c>
      <c r="B1421" s="1">
        <v>2020</v>
      </c>
      <c r="C1421" s="1" t="s">
        <v>2505</v>
      </c>
      <c r="D1421" s="1" t="s">
        <v>2506</v>
      </c>
      <c r="E1421" s="1" t="s">
        <v>2019</v>
      </c>
      <c r="F1421" s="1" t="s">
        <v>143</v>
      </c>
      <c r="G1421" s="6">
        <v>830348</v>
      </c>
      <c r="H1421" t="str">
        <f>IFERROR(VLOOKUP(F1421,'LEAID Match'!$A$2:$B$142,2,FALSE),"")</f>
        <v/>
      </c>
    </row>
    <row r="1422" spans="1:8" x14ac:dyDescent="0.2">
      <c r="A1422" t="str">
        <f t="shared" si="22"/>
        <v/>
      </c>
      <c r="B1422" s="1">
        <v>2021</v>
      </c>
      <c r="C1422" s="1" t="s">
        <v>2505</v>
      </c>
      <c r="D1422" s="1" t="s">
        <v>2506</v>
      </c>
      <c r="E1422" s="1" t="s">
        <v>2019</v>
      </c>
      <c r="F1422" s="1" t="s">
        <v>143</v>
      </c>
      <c r="G1422" s="6">
        <v>862596</v>
      </c>
      <c r="H1422" t="str">
        <f>IFERROR(VLOOKUP(F1422,'LEAID Match'!$A$2:$B$142,2,FALSE),"")</f>
        <v/>
      </c>
    </row>
    <row r="1423" spans="1:8" x14ac:dyDescent="0.2">
      <c r="A1423" t="str">
        <f t="shared" si="22"/>
        <v/>
      </c>
      <c r="B1423" s="1">
        <v>2022</v>
      </c>
      <c r="C1423" s="1" t="s">
        <v>2505</v>
      </c>
      <c r="D1423" s="1" t="s">
        <v>2506</v>
      </c>
      <c r="E1423" s="1" t="s">
        <v>2019</v>
      </c>
      <c r="F1423" s="1" t="s">
        <v>143</v>
      </c>
      <c r="G1423" s="6">
        <v>849170</v>
      </c>
      <c r="H1423" t="str">
        <f>IFERROR(VLOOKUP(F1423,'LEAID Match'!$A$2:$B$142,2,FALSE),"")</f>
        <v/>
      </c>
    </row>
    <row r="1424" spans="1:8" x14ac:dyDescent="0.2">
      <c r="A1424" t="str">
        <f t="shared" si="22"/>
        <v/>
      </c>
      <c r="B1424" s="1">
        <v>2023</v>
      </c>
      <c r="C1424" s="1" t="s">
        <v>2505</v>
      </c>
      <c r="D1424" s="1" t="s">
        <v>2506</v>
      </c>
      <c r="E1424" s="1" t="s">
        <v>2019</v>
      </c>
      <c r="F1424" s="1" t="s">
        <v>143</v>
      </c>
      <c r="G1424" s="6">
        <v>968905</v>
      </c>
      <c r="H1424" t="str">
        <f>IFERROR(VLOOKUP(F1424,'LEAID Match'!$A$2:$B$142,2,FALSE),"")</f>
        <v/>
      </c>
    </row>
    <row r="1425" spans="1:8" x14ac:dyDescent="0.2">
      <c r="A1425" t="str">
        <f t="shared" si="22"/>
        <v/>
      </c>
      <c r="B1425" s="1">
        <v>2024</v>
      </c>
      <c r="C1425" s="1" t="s">
        <v>2505</v>
      </c>
      <c r="D1425" s="1" t="s">
        <v>2506</v>
      </c>
      <c r="E1425" s="1" t="s">
        <v>2019</v>
      </c>
      <c r="F1425" s="1" t="s">
        <v>143</v>
      </c>
      <c r="G1425" s="6">
        <v>1010719</v>
      </c>
      <c r="H1425" t="str">
        <f>IFERROR(VLOOKUP(F1425,'LEAID Match'!$A$2:$B$142,2,FALSE),"")</f>
        <v/>
      </c>
    </row>
    <row r="1426" spans="1:8" x14ac:dyDescent="0.2">
      <c r="A1426" t="str">
        <f t="shared" si="22"/>
        <v/>
      </c>
      <c r="B1426" s="1">
        <v>2015</v>
      </c>
      <c r="C1426" s="1" t="s">
        <v>2505</v>
      </c>
      <c r="D1426" s="1" t="s">
        <v>2506</v>
      </c>
      <c r="E1426" s="1" t="s">
        <v>2019</v>
      </c>
      <c r="F1426" s="1" t="s">
        <v>144</v>
      </c>
      <c r="G1426" s="6">
        <v>46647</v>
      </c>
      <c r="H1426" t="str">
        <f>IFERROR(VLOOKUP(F1426,'LEAID Match'!$A$2:$B$142,2,FALSE),"")</f>
        <v/>
      </c>
    </row>
    <row r="1427" spans="1:8" x14ac:dyDescent="0.2">
      <c r="A1427" t="str">
        <f t="shared" si="22"/>
        <v/>
      </c>
      <c r="B1427">
        <v>2016</v>
      </c>
      <c r="C1427" s="1" t="s">
        <v>2505</v>
      </c>
      <c r="D1427" s="1" t="s">
        <v>2506</v>
      </c>
      <c r="E1427" s="1" t="s">
        <v>2019</v>
      </c>
      <c r="F1427" s="1" t="s">
        <v>144</v>
      </c>
      <c r="G1427" s="12">
        <v>46165</v>
      </c>
      <c r="H1427" t="str">
        <f>IFERROR(VLOOKUP(F1427,'LEAID Match'!$A$2:$B$142,2,FALSE),"")</f>
        <v/>
      </c>
    </row>
    <row r="1428" spans="1:8" x14ac:dyDescent="0.2">
      <c r="A1428" t="str">
        <f t="shared" si="22"/>
        <v/>
      </c>
      <c r="B1428" s="1">
        <v>2017</v>
      </c>
      <c r="C1428" s="1" t="s">
        <v>2505</v>
      </c>
      <c r="D1428" s="1" t="s">
        <v>2506</v>
      </c>
      <c r="E1428" s="1" t="s">
        <v>2019</v>
      </c>
      <c r="F1428" s="1" t="s">
        <v>144</v>
      </c>
      <c r="G1428" s="47">
        <v>46872</v>
      </c>
      <c r="H1428" t="str">
        <f>IFERROR(VLOOKUP(F1428,'LEAID Match'!$A$2:$B$142,2,FALSE),"")</f>
        <v/>
      </c>
    </row>
    <row r="1429" spans="1:8" x14ac:dyDescent="0.2">
      <c r="A1429" t="str">
        <f t="shared" si="22"/>
        <v/>
      </c>
      <c r="B1429" s="1">
        <v>2018</v>
      </c>
      <c r="C1429" s="1" t="s">
        <v>2505</v>
      </c>
      <c r="D1429" s="1" t="s">
        <v>2506</v>
      </c>
      <c r="E1429" s="1" t="s">
        <v>2019</v>
      </c>
      <c r="F1429" s="1" t="s">
        <v>144</v>
      </c>
      <c r="G1429" s="6">
        <v>47194</v>
      </c>
      <c r="H1429" t="str">
        <f>IFERROR(VLOOKUP(F1429,'LEAID Match'!$A$2:$B$142,2,FALSE),"")</f>
        <v/>
      </c>
    </row>
    <row r="1430" spans="1:8" x14ac:dyDescent="0.2">
      <c r="A1430" t="str">
        <f t="shared" si="22"/>
        <v/>
      </c>
      <c r="B1430" s="1">
        <v>2019</v>
      </c>
      <c r="C1430" s="1" t="s">
        <v>2505</v>
      </c>
      <c r="D1430" s="1" t="s">
        <v>2506</v>
      </c>
      <c r="E1430" s="1" t="s">
        <v>2019</v>
      </c>
      <c r="F1430" s="1" t="s">
        <v>144</v>
      </c>
      <c r="G1430" s="6">
        <v>48650</v>
      </c>
      <c r="H1430" t="str">
        <f>IFERROR(VLOOKUP(F1430,'LEAID Match'!$A$2:$B$142,2,FALSE),"")</f>
        <v/>
      </c>
    </row>
    <row r="1431" spans="1:8" x14ac:dyDescent="0.2">
      <c r="A1431" t="str">
        <f t="shared" si="22"/>
        <v/>
      </c>
      <c r="B1431" s="1">
        <v>2020</v>
      </c>
      <c r="C1431" s="1" t="s">
        <v>2505</v>
      </c>
      <c r="D1431" s="1" t="s">
        <v>2506</v>
      </c>
      <c r="E1431" s="1" t="s">
        <v>2019</v>
      </c>
      <c r="F1431" s="1" t="s">
        <v>144</v>
      </c>
      <c r="G1431" s="6">
        <v>47561</v>
      </c>
      <c r="H1431" t="str">
        <f>IFERROR(VLOOKUP(F1431,'LEAID Match'!$A$2:$B$142,2,FALSE),"")</f>
        <v/>
      </c>
    </row>
    <row r="1432" spans="1:8" x14ac:dyDescent="0.2">
      <c r="A1432" t="str">
        <f t="shared" si="22"/>
        <v/>
      </c>
      <c r="B1432" s="1">
        <v>2021</v>
      </c>
      <c r="C1432" s="1" t="s">
        <v>2505</v>
      </c>
      <c r="D1432" s="1" t="s">
        <v>2506</v>
      </c>
      <c r="E1432" s="1" t="s">
        <v>2019</v>
      </c>
      <c r="F1432" s="1" t="s">
        <v>144</v>
      </c>
      <c r="G1432" s="6">
        <v>40652</v>
      </c>
      <c r="H1432" t="str">
        <f>IFERROR(VLOOKUP(F1432,'LEAID Match'!$A$2:$B$142,2,FALSE),"")</f>
        <v/>
      </c>
    </row>
    <row r="1433" spans="1:8" x14ac:dyDescent="0.2">
      <c r="A1433" t="str">
        <f t="shared" si="22"/>
        <v/>
      </c>
      <c r="B1433" s="1">
        <v>2022</v>
      </c>
      <c r="C1433" s="1" t="s">
        <v>2505</v>
      </c>
      <c r="D1433" s="1" t="s">
        <v>2506</v>
      </c>
      <c r="E1433" s="1" t="s">
        <v>2019</v>
      </c>
      <c r="F1433" s="1" t="s">
        <v>144</v>
      </c>
      <c r="G1433" s="6">
        <v>43920</v>
      </c>
      <c r="H1433" t="str">
        <f>IFERROR(VLOOKUP(F1433,'LEAID Match'!$A$2:$B$142,2,FALSE),"")</f>
        <v/>
      </c>
    </row>
    <row r="1434" spans="1:8" x14ac:dyDescent="0.2">
      <c r="A1434" t="str">
        <f t="shared" si="22"/>
        <v/>
      </c>
      <c r="B1434" s="1">
        <v>2023</v>
      </c>
      <c r="C1434" s="1" t="s">
        <v>2505</v>
      </c>
      <c r="D1434" s="1" t="s">
        <v>2506</v>
      </c>
      <c r="E1434" s="1" t="s">
        <v>2019</v>
      </c>
      <c r="F1434" s="1" t="s">
        <v>144</v>
      </c>
      <c r="G1434" s="6">
        <v>44413</v>
      </c>
      <c r="H1434" t="str">
        <f>IFERROR(VLOOKUP(F1434,'LEAID Match'!$A$2:$B$142,2,FALSE),"")</f>
        <v/>
      </c>
    </row>
    <row r="1435" spans="1:8" x14ac:dyDescent="0.2">
      <c r="A1435" t="str">
        <f t="shared" si="22"/>
        <v/>
      </c>
      <c r="B1435" s="1">
        <v>2024</v>
      </c>
      <c r="C1435" s="1" t="s">
        <v>2505</v>
      </c>
      <c r="D1435" s="1" t="s">
        <v>2506</v>
      </c>
      <c r="E1435" s="1" t="s">
        <v>2019</v>
      </c>
      <c r="F1435" s="1" t="s">
        <v>144</v>
      </c>
      <c r="G1435" s="6">
        <v>42097</v>
      </c>
      <c r="H1435" t="str">
        <f>IFERROR(VLOOKUP(F1435,'LEAID Match'!$A$2:$B$142,2,FALSE),"")</f>
        <v/>
      </c>
    </row>
    <row r="1436" spans="1:8" x14ac:dyDescent="0.2">
      <c r="A1436" t="str">
        <f t="shared" si="22"/>
        <v/>
      </c>
      <c r="B1436" s="1">
        <v>2015</v>
      </c>
      <c r="C1436" s="1" t="s">
        <v>2505</v>
      </c>
      <c r="D1436" s="1" t="s">
        <v>2506</v>
      </c>
      <c r="E1436" s="1" t="s">
        <v>2019</v>
      </c>
      <c r="F1436" s="1" t="s">
        <v>145</v>
      </c>
      <c r="G1436" s="6">
        <v>27543</v>
      </c>
      <c r="H1436" t="str">
        <f>IFERROR(VLOOKUP(F1436,'LEAID Match'!$A$2:$B$142,2,FALSE),"")</f>
        <v/>
      </c>
    </row>
    <row r="1437" spans="1:8" x14ac:dyDescent="0.2">
      <c r="A1437" t="str">
        <f t="shared" si="22"/>
        <v/>
      </c>
      <c r="B1437">
        <v>2016</v>
      </c>
      <c r="C1437" s="1" t="s">
        <v>2505</v>
      </c>
      <c r="D1437" s="1" t="s">
        <v>2506</v>
      </c>
      <c r="E1437" s="1" t="s">
        <v>2019</v>
      </c>
      <c r="F1437" s="1" t="s">
        <v>145</v>
      </c>
      <c r="G1437" s="12">
        <v>25315</v>
      </c>
      <c r="H1437" t="str">
        <f>IFERROR(VLOOKUP(F1437,'LEAID Match'!$A$2:$B$142,2,FALSE),"")</f>
        <v/>
      </c>
    </row>
    <row r="1438" spans="1:8" x14ac:dyDescent="0.2">
      <c r="A1438" t="str">
        <f t="shared" si="22"/>
        <v/>
      </c>
      <c r="B1438" s="1">
        <v>2017</v>
      </c>
      <c r="C1438" s="1" t="s">
        <v>2505</v>
      </c>
      <c r="D1438" s="1" t="s">
        <v>2506</v>
      </c>
      <c r="E1438" s="1" t="s">
        <v>2019</v>
      </c>
      <c r="F1438" s="1" t="s">
        <v>145</v>
      </c>
      <c r="G1438" s="47">
        <v>26998</v>
      </c>
      <c r="H1438" t="str">
        <f>IFERROR(VLOOKUP(F1438,'LEAID Match'!$A$2:$B$142,2,FALSE),"")</f>
        <v/>
      </c>
    </row>
    <row r="1439" spans="1:8" x14ac:dyDescent="0.2">
      <c r="A1439" t="str">
        <f t="shared" si="22"/>
        <v/>
      </c>
      <c r="B1439" s="1">
        <v>2018</v>
      </c>
      <c r="C1439" s="1" t="s">
        <v>2505</v>
      </c>
      <c r="D1439" s="1" t="s">
        <v>2506</v>
      </c>
      <c r="E1439" s="1" t="s">
        <v>2019</v>
      </c>
      <c r="F1439" s="1" t="s">
        <v>145</v>
      </c>
      <c r="G1439" s="6">
        <v>22928</v>
      </c>
      <c r="H1439" t="str">
        <f>IFERROR(VLOOKUP(F1439,'LEAID Match'!$A$2:$B$142,2,FALSE),"")</f>
        <v/>
      </c>
    </row>
    <row r="1440" spans="1:8" x14ac:dyDescent="0.2">
      <c r="A1440" t="str">
        <f t="shared" si="22"/>
        <v/>
      </c>
      <c r="B1440" s="1">
        <v>2019</v>
      </c>
      <c r="C1440" s="1" t="s">
        <v>2505</v>
      </c>
      <c r="D1440" s="1" t="s">
        <v>2506</v>
      </c>
      <c r="E1440" s="1" t="s">
        <v>2019</v>
      </c>
      <c r="F1440" s="1" t="s">
        <v>145</v>
      </c>
      <c r="G1440" s="6">
        <v>19462</v>
      </c>
      <c r="H1440" t="str">
        <f>IFERROR(VLOOKUP(F1440,'LEAID Match'!$A$2:$B$142,2,FALSE),"")</f>
        <v/>
      </c>
    </row>
    <row r="1441" spans="1:8" x14ac:dyDescent="0.2">
      <c r="A1441" t="str">
        <f t="shared" si="22"/>
        <v/>
      </c>
      <c r="B1441" s="1">
        <v>2020</v>
      </c>
      <c r="C1441" s="1" t="s">
        <v>2505</v>
      </c>
      <c r="D1441" s="1" t="s">
        <v>2506</v>
      </c>
      <c r="E1441" s="1" t="s">
        <v>2019</v>
      </c>
      <c r="F1441" s="1" t="s">
        <v>145</v>
      </c>
      <c r="G1441" s="6">
        <v>23314</v>
      </c>
      <c r="H1441" t="str">
        <f>IFERROR(VLOOKUP(F1441,'LEAID Match'!$A$2:$B$142,2,FALSE),"")</f>
        <v/>
      </c>
    </row>
    <row r="1442" spans="1:8" x14ac:dyDescent="0.2">
      <c r="A1442" t="str">
        <f t="shared" si="22"/>
        <v/>
      </c>
      <c r="B1442" s="1">
        <v>2021</v>
      </c>
      <c r="C1442" s="1" t="s">
        <v>2505</v>
      </c>
      <c r="D1442" s="1" t="s">
        <v>2506</v>
      </c>
      <c r="E1442" s="1" t="s">
        <v>2019</v>
      </c>
      <c r="F1442" s="1" t="s">
        <v>145</v>
      </c>
      <c r="G1442" s="6">
        <v>21748</v>
      </c>
      <c r="H1442" t="str">
        <f>IFERROR(VLOOKUP(F1442,'LEAID Match'!$A$2:$B$142,2,FALSE),"")</f>
        <v/>
      </c>
    </row>
    <row r="1443" spans="1:8" x14ac:dyDescent="0.2">
      <c r="A1443" t="str">
        <f t="shared" si="22"/>
        <v/>
      </c>
      <c r="B1443" s="1">
        <v>2022</v>
      </c>
      <c r="C1443" s="1" t="s">
        <v>2505</v>
      </c>
      <c r="D1443" s="1" t="s">
        <v>2506</v>
      </c>
      <c r="E1443" s="1" t="s">
        <v>2019</v>
      </c>
      <c r="F1443" s="1" t="s">
        <v>145</v>
      </c>
      <c r="G1443" s="6">
        <v>21093</v>
      </c>
      <c r="H1443" t="str">
        <f>IFERROR(VLOOKUP(F1443,'LEAID Match'!$A$2:$B$142,2,FALSE),"")</f>
        <v/>
      </c>
    </row>
    <row r="1444" spans="1:8" x14ac:dyDescent="0.2">
      <c r="A1444" t="str">
        <f t="shared" si="22"/>
        <v/>
      </c>
      <c r="B1444" s="1">
        <v>2023</v>
      </c>
      <c r="C1444" s="1" t="s">
        <v>2505</v>
      </c>
      <c r="D1444" s="1" t="s">
        <v>2506</v>
      </c>
      <c r="E1444" s="1" t="s">
        <v>2019</v>
      </c>
      <c r="F1444" s="1" t="s">
        <v>145</v>
      </c>
      <c r="G1444" s="6">
        <v>19319</v>
      </c>
      <c r="H1444" t="str">
        <f>IFERROR(VLOOKUP(F1444,'LEAID Match'!$A$2:$B$142,2,FALSE),"")</f>
        <v/>
      </c>
    </row>
    <row r="1445" spans="1:8" x14ac:dyDescent="0.2">
      <c r="A1445" t="str">
        <f t="shared" si="22"/>
        <v/>
      </c>
      <c r="B1445" s="1">
        <v>2024</v>
      </c>
      <c r="C1445" s="1" t="s">
        <v>2505</v>
      </c>
      <c r="D1445" s="1" t="s">
        <v>2506</v>
      </c>
      <c r="E1445" s="1" t="s">
        <v>2019</v>
      </c>
      <c r="F1445" s="1" t="s">
        <v>145</v>
      </c>
      <c r="G1445" s="6">
        <v>20248</v>
      </c>
      <c r="H1445" t="str">
        <f>IFERROR(VLOOKUP(F1445,'LEAID Match'!$A$2:$B$142,2,FALSE),"")</f>
        <v/>
      </c>
    </row>
    <row r="1446" spans="1:8" x14ac:dyDescent="0.2">
      <c r="A1446" t="str">
        <f t="shared" si="22"/>
        <v/>
      </c>
      <c r="B1446" s="1">
        <v>2015</v>
      </c>
      <c r="C1446" s="1" t="s">
        <v>2505</v>
      </c>
      <c r="D1446" s="1" t="s">
        <v>2506</v>
      </c>
      <c r="E1446" s="1" t="s">
        <v>2019</v>
      </c>
      <c r="F1446" s="1" t="s">
        <v>146</v>
      </c>
      <c r="G1446" s="6">
        <v>2285020</v>
      </c>
      <c r="H1446" t="str">
        <f>IFERROR(VLOOKUP(F1446,'LEAID Match'!$A$2:$B$142,2,FALSE),"")</f>
        <v/>
      </c>
    </row>
    <row r="1447" spans="1:8" x14ac:dyDescent="0.2">
      <c r="A1447" t="str">
        <f t="shared" si="22"/>
        <v/>
      </c>
      <c r="B1447">
        <v>2016</v>
      </c>
      <c r="C1447" s="1" t="s">
        <v>2505</v>
      </c>
      <c r="D1447" s="1" t="s">
        <v>2506</v>
      </c>
      <c r="E1447" s="1" t="s">
        <v>2019</v>
      </c>
      <c r="F1447" s="1" t="s">
        <v>146</v>
      </c>
      <c r="G1447" s="12">
        <v>2264674</v>
      </c>
      <c r="H1447" t="str">
        <f>IFERROR(VLOOKUP(F1447,'LEAID Match'!$A$2:$B$142,2,FALSE),"")</f>
        <v/>
      </c>
    </row>
    <row r="1448" spans="1:8" x14ac:dyDescent="0.2">
      <c r="A1448" t="str">
        <f t="shared" si="22"/>
        <v/>
      </c>
      <c r="B1448" s="1">
        <v>2017</v>
      </c>
      <c r="C1448" s="1" t="s">
        <v>2505</v>
      </c>
      <c r="D1448" s="1" t="s">
        <v>2506</v>
      </c>
      <c r="E1448" s="1" t="s">
        <v>2019</v>
      </c>
      <c r="F1448" s="1" t="s">
        <v>146</v>
      </c>
      <c r="G1448" s="47">
        <v>2263970</v>
      </c>
      <c r="H1448" t="str">
        <f>IFERROR(VLOOKUP(F1448,'LEAID Match'!$A$2:$B$142,2,FALSE),"")</f>
        <v/>
      </c>
    </row>
    <row r="1449" spans="1:8" x14ac:dyDescent="0.2">
      <c r="A1449" t="str">
        <f t="shared" si="22"/>
        <v/>
      </c>
      <c r="B1449" s="1">
        <v>2018</v>
      </c>
      <c r="C1449" s="1" t="s">
        <v>2505</v>
      </c>
      <c r="D1449" s="1" t="s">
        <v>2506</v>
      </c>
      <c r="E1449" s="1" t="s">
        <v>2019</v>
      </c>
      <c r="F1449" s="1" t="s">
        <v>146</v>
      </c>
      <c r="G1449" s="6">
        <v>2236068</v>
      </c>
      <c r="H1449" t="str">
        <f>IFERROR(VLOOKUP(F1449,'LEAID Match'!$A$2:$B$142,2,FALSE),"")</f>
        <v/>
      </c>
    </row>
    <row r="1450" spans="1:8" x14ac:dyDescent="0.2">
      <c r="A1450" t="str">
        <f t="shared" si="22"/>
        <v/>
      </c>
      <c r="B1450" s="1">
        <v>2019</v>
      </c>
      <c r="C1450" s="1" t="s">
        <v>2505</v>
      </c>
      <c r="D1450" s="1" t="s">
        <v>2506</v>
      </c>
      <c r="E1450" s="1" t="s">
        <v>2019</v>
      </c>
      <c r="F1450" s="1" t="s">
        <v>146</v>
      </c>
      <c r="G1450" s="6">
        <v>2316057</v>
      </c>
      <c r="H1450" t="str">
        <f>IFERROR(VLOOKUP(F1450,'LEAID Match'!$A$2:$B$142,2,FALSE),"")</f>
        <v/>
      </c>
    </row>
    <row r="1451" spans="1:8" x14ac:dyDescent="0.2">
      <c r="A1451" t="str">
        <f t="shared" si="22"/>
        <v/>
      </c>
      <c r="B1451" s="1">
        <v>2020</v>
      </c>
      <c r="C1451" s="1" t="s">
        <v>2505</v>
      </c>
      <c r="D1451" s="1" t="s">
        <v>2506</v>
      </c>
      <c r="E1451" s="1" t="s">
        <v>2019</v>
      </c>
      <c r="F1451" s="1" t="s">
        <v>146</v>
      </c>
      <c r="G1451" s="6">
        <v>2561103</v>
      </c>
      <c r="H1451" t="str">
        <f>IFERROR(VLOOKUP(F1451,'LEAID Match'!$A$2:$B$142,2,FALSE),"")</f>
        <v/>
      </c>
    </row>
    <row r="1452" spans="1:8" x14ac:dyDescent="0.2">
      <c r="A1452" t="str">
        <f t="shared" si="22"/>
        <v/>
      </c>
      <c r="B1452" s="1">
        <v>2021</v>
      </c>
      <c r="C1452" s="1" t="s">
        <v>2505</v>
      </c>
      <c r="D1452" s="1" t="s">
        <v>2506</v>
      </c>
      <c r="E1452" s="1" t="s">
        <v>2019</v>
      </c>
      <c r="F1452" s="1" t="s">
        <v>146</v>
      </c>
      <c r="G1452" s="6">
        <v>2470807</v>
      </c>
      <c r="H1452" t="str">
        <f>IFERROR(VLOOKUP(F1452,'LEAID Match'!$A$2:$B$142,2,FALSE),"")</f>
        <v/>
      </c>
    </row>
    <row r="1453" spans="1:8" x14ac:dyDescent="0.2">
      <c r="A1453" t="str">
        <f t="shared" si="22"/>
        <v/>
      </c>
      <c r="B1453" s="1">
        <v>2024</v>
      </c>
      <c r="C1453" s="1" t="s">
        <v>2505</v>
      </c>
      <c r="D1453" s="1" t="s">
        <v>2506</v>
      </c>
      <c r="E1453" s="1" t="s">
        <v>2019</v>
      </c>
      <c r="F1453" s="1" t="s">
        <v>146</v>
      </c>
      <c r="G1453" s="6">
        <v>2775332</v>
      </c>
      <c r="H1453" t="str">
        <f>IFERROR(VLOOKUP(F1453,'LEAID Match'!$A$2:$B$142,2,FALSE),"")</f>
        <v/>
      </c>
    </row>
    <row r="1454" spans="1:8" x14ac:dyDescent="0.2">
      <c r="A1454" t="str">
        <f t="shared" si="22"/>
        <v/>
      </c>
      <c r="B1454" s="1">
        <v>2022</v>
      </c>
      <c r="C1454" s="1" t="s">
        <v>2505</v>
      </c>
      <c r="D1454" s="1" t="s">
        <v>2506</v>
      </c>
      <c r="E1454" s="1" t="s">
        <v>2019</v>
      </c>
      <c r="F1454" s="1" t="s">
        <v>865</v>
      </c>
      <c r="G1454" s="6">
        <v>2624211</v>
      </c>
      <c r="H1454" t="str">
        <f>IFERROR(VLOOKUP(F1454,'LEAID Match'!$A$2:$B$142,2,FALSE),"")</f>
        <v/>
      </c>
    </row>
    <row r="1455" spans="1:8" x14ac:dyDescent="0.2">
      <c r="A1455" t="str">
        <f t="shared" si="22"/>
        <v/>
      </c>
      <c r="B1455" s="1">
        <v>2023</v>
      </c>
      <c r="C1455" s="1" t="s">
        <v>2505</v>
      </c>
      <c r="D1455" s="1" t="s">
        <v>2506</v>
      </c>
      <c r="E1455" s="1" t="s">
        <v>2019</v>
      </c>
      <c r="F1455" s="1" t="s">
        <v>865</v>
      </c>
      <c r="G1455" s="6">
        <v>2760373</v>
      </c>
      <c r="H1455" t="str">
        <f>IFERROR(VLOOKUP(F1455,'LEAID Match'!$A$2:$B$142,2,FALSE),"")</f>
        <v/>
      </c>
    </row>
    <row r="1456" spans="1:8" x14ac:dyDescent="0.2">
      <c r="A1456" t="str">
        <f t="shared" si="22"/>
        <v/>
      </c>
      <c r="B1456" s="1">
        <v>2015</v>
      </c>
      <c r="C1456" s="1" t="s">
        <v>2505</v>
      </c>
      <c r="D1456" s="1" t="s">
        <v>2506</v>
      </c>
      <c r="E1456" s="1" t="s">
        <v>2019</v>
      </c>
      <c r="F1456" s="1" t="s">
        <v>147</v>
      </c>
      <c r="G1456" s="6">
        <v>879962</v>
      </c>
      <c r="H1456" t="str">
        <f>IFERROR(VLOOKUP(F1456,'LEAID Match'!$A$2:$B$142,2,FALSE),"")</f>
        <v/>
      </c>
    </row>
    <row r="1457" spans="1:8" x14ac:dyDescent="0.2">
      <c r="A1457" t="str">
        <f t="shared" si="22"/>
        <v/>
      </c>
      <c r="B1457">
        <v>2016</v>
      </c>
      <c r="C1457" s="1" t="s">
        <v>2505</v>
      </c>
      <c r="D1457" s="1" t="s">
        <v>2506</v>
      </c>
      <c r="E1457" s="1" t="s">
        <v>2019</v>
      </c>
      <c r="F1457" s="1" t="s">
        <v>147</v>
      </c>
      <c r="G1457" s="12">
        <v>925183</v>
      </c>
      <c r="H1457" t="str">
        <f>IFERROR(VLOOKUP(F1457,'LEAID Match'!$A$2:$B$142,2,FALSE),"")</f>
        <v/>
      </c>
    </row>
    <row r="1458" spans="1:8" x14ac:dyDescent="0.2">
      <c r="A1458" t="str">
        <f t="shared" si="22"/>
        <v/>
      </c>
      <c r="B1458" s="1">
        <v>2017</v>
      </c>
      <c r="C1458" s="1" t="s">
        <v>2505</v>
      </c>
      <c r="D1458" s="1" t="s">
        <v>2506</v>
      </c>
      <c r="E1458" s="1" t="s">
        <v>2019</v>
      </c>
      <c r="F1458" s="1" t="s">
        <v>147</v>
      </c>
      <c r="G1458" s="47">
        <v>916380</v>
      </c>
      <c r="H1458" t="str">
        <f>IFERROR(VLOOKUP(F1458,'LEAID Match'!$A$2:$B$142,2,FALSE),"")</f>
        <v/>
      </c>
    </row>
    <row r="1459" spans="1:8" x14ac:dyDescent="0.2">
      <c r="A1459" t="str">
        <f t="shared" si="22"/>
        <v/>
      </c>
      <c r="B1459" s="1">
        <v>2018</v>
      </c>
      <c r="C1459" s="1" t="s">
        <v>2505</v>
      </c>
      <c r="D1459" s="1" t="s">
        <v>2506</v>
      </c>
      <c r="E1459" s="1" t="s">
        <v>2019</v>
      </c>
      <c r="F1459" s="1" t="s">
        <v>147</v>
      </c>
      <c r="G1459" s="6">
        <v>942844</v>
      </c>
      <c r="H1459" t="str">
        <f>IFERROR(VLOOKUP(F1459,'LEAID Match'!$A$2:$B$142,2,FALSE),"")</f>
        <v/>
      </c>
    </row>
    <row r="1460" spans="1:8" x14ac:dyDescent="0.2">
      <c r="A1460" t="str">
        <f t="shared" si="22"/>
        <v/>
      </c>
      <c r="B1460" s="1">
        <v>2019</v>
      </c>
      <c r="C1460" s="1" t="s">
        <v>2505</v>
      </c>
      <c r="D1460" s="1" t="s">
        <v>2506</v>
      </c>
      <c r="E1460" s="1" t="s">
        <v>2019</v>
      </c>
      <c r="F1460" s="1" t="s">
        <v>147</v>
      </c>
      <c r="G1460" s="6">
        <v>884409</v>
      </c>
      <c r="H1460" t="str">
        <f>IFERROR(VLOOKUP(F1460,'LEAID Match'!$A$2:$B$142,2,FALSE),"")</f>
        <v/>
      </c>
    </row>
    <row r="1461" spans="1:8" x14ac:dyDescent="0.2">
      <c r="A1461" t="str">
        <f t="shared" si="22"/>
        <v/>
      </c>
      <c r="B1461" s="1">
        <v>2020</v>
      </c>
      <c r="C1461" s="1" t="s">
        <v>2505</v>
      </c>
      <c r="D1461" s="1" t="s">
        <v>2506</v>
      </c>
      <c r="E1461" s="1" t="s">
        <v>2019</v>
      </c>
      <c r="F1461" s="1" t="s">
        <v>147</v>
      </c>
      <c r="G1461" s="6">
        <v>990230</v>
      </c>
      <c r="H1461" t="str">
        <f>IFERROR(VLOOKUP(F1461,'LEAID Match'!$A$2:$B$142,2,FALSE),"")</f>
        <v/>
      </c>
    </row>
    <row r="1462" spans="1:8" x14ac:dyDescent="0.2">
      <c r="A1462" t="str">
        <f t="shared" si="22"/>
        <v/>
      </c>
      <c r="B1462" s="1">
        <v>2021</v>
      </c>
      <c r="C1462" s="1" t="s">
        <v>2505</v>
      </c>
      <c r="D1462" s="1" t="s">
        <v>2506</v>
      </c>
      <c r="E1462" s="1" t="s">
        <v>2019</v>
      </c>
      <c r="F1462" s="1" t="s">
        <v>147</v>
      </c>
      <c r="G1462" s="6">
        <v>1006006</v>
      </c>
      <c r="H1462" t="str">
        <f>IFERROR(VLOOKUP(F1462,'LEAID Match'!$A$2:$B$142,2,FALSE),"")</f>
        <v/>
      </c>
    </row>
    <row r="1463" spans="1:8" x14ac:dyDescent="0.2">
      <c r="A1463" t="str">
        <f t="shared" si="22"/>
        <v/>
      </c>
      <c r="B1463" s="1">
        <v>2022</v>
      </c>
      <c r="C1463" s="1" t="s">
        <v>2505</v>
      </c>
      <c r="D1463" s="1" t="s">
        <v>2506</v>
      </c>
      <c r="E1463" s="1" t="s">
        <v>2019</v>
      </c>
      <c r="F1463" s="1" t="s">
        <v>147</v>
      </c>
      <c r="G1463" s="6">
        <v>1069346</v>
      </c>
      <c r="H1463" t="str">
        <f>IFERROR(VLOOKUP(F1463,'LEAID Match'!$A$2:$B$142,2,FALSE),"")</f>
        <v/>
      </c>
    </row>
    <row r="1464" spans="1:8" x14ac:dyDescent="0.2">
      <c r="A1464" t="str">
        <f t="shared" si="22"/>
        <v/>
      </c>
      <c r="B1464" s="1">
        <v>2023</v>
      </c>
      <c r="C1464" s="1" t="s">
        <v>2505</v>
      </c>
      <c r="D1464" s="1" t="s">
        <v>2506</v>
      </c>
      <c r="E1464" s="1" t="s">
        <v>2019</v>
      </c>
      <c r="F1464" s="1" t="s">
        <v>147</v>
      </c>
      <c r="G1464" s="6">
        <v>1110147</v>
      </c>
      <c r="H1464" t="str">
        <f>IFERROR(VLOOKUP(F1464,'LEAID Match'!$A$2:$B$142,2,FALSE),"")</f>
        <v/>
      </c>
    </row>
    <row r="1465" spans="1:8" x14ac:dyDescent="0.2">
      <c r="A1465" t="str">
        <f t="shared" si="22"/>
        <v/>
      </c>
      <c r="B1465" s="1">
        <v>2024</v>
      </c>
      <c r="C1465" s="1" t="s">
        <v>2505</v>
      </c>
      <c r="D1465" s="1" t="s">
        <v>2506</v>
      </c>
      <c r="E1465" s="1" t="s">
        <v>2019</v>
      </c>
      <c r="F1465" s="1" t="s">
        <v>147</v>
      </c>
      <c r="G1465" s="6">
        <v>1168937</v>
      </c>
      <c r="H1465" t="str">
        <f>IFERROR(VLOOKUP(F1465,'LEAID Match'!$A$2:$B$142,2,FALSE),"")</f>
        <v/>
      </c>
    </row>
    <row r="1466" spans="1:8" x14ac:dyDescent="0.2">
      <c r="A1466" t="str">
        <f t="shared" si="22"/>
        <v/>
      </c>
      <c r="B1466" s="1">
        <v>2015</v>
      </c>
      <c r="C1466" s="1" t="s">
        <v>2505</v>
      </c>
      <c r="D1466" s="1" t="s">
        <v>2506</v>
      </c>
      <c r="E1466" s="1" t="s">
        <v>2019</v>
      </c>
      <c r="F1466" s="1" t="s">
        <v>148</v>
      </c>
      <c r="G1466" s="6">
        <v>291627</v>
      </c>
      <c r="H1466" t="str">
        <f>IFERROR(VLOOKUP(F1466,'LEAID Match'!$A$2:$B$142,2,FALSE),"")</f>
        <v/>
      </c>
    </row>
    <row r="1467" spans="1:8" x14ac:dyDescent="0.2">
      <c r="A1467" t="str">
        <f t="shared" si="22"/>
        <v/>
      </c>
      <c r="B1467">
        <v>2016</v>
      </c>
      <c r="C1467" s="1" t="s">
        <v>2505</v>
      </c>
      <c r="D1467" s="1" t="s">
        <v>2506</v>
      </c>
      <c r="E1467" s="1" t="s">
        <v>2019</v>
      </c>
      <c r="F1467" s="1" t="s">
        <v>148</v>
      </c>
      <c r="G1467" s="12">
        <v>297893</v>
      </c>
      <c r="H1467" t="str">
        <f>IFERROR(VLOOKUP(F1467,'LEAID Match'!$A$2:$B$142,2,FALSE),"")</f>
        <v/>
      </c>
    </row>
    <row r="1468" spans="1:8" x14ac:dyDescent="0.2">
      <c r="A1468" t="str">
        <f t="shared" si="22"/>
        <v/>
      </c>
      <c r="B1468" s="1">
        <v>2017</v>
      </c>
      <c r="C1468" s="1" t="s">
        <v>2505</v>
      </c>
      <c r="D1468" s="1" t="s">
        <v>2506</v>
      </c>
      <c r="E1468" s="1" t="s">
        <v>2019</v>
      </c>
      <c r="F1468" s="1" t="s">
        <v>148</v>
      </c>
      <c r="G1468" s="47">
        <v>322687</v>
      </c>
      <c r="H1468" t="str">
        <f>IFERROR(VLOOKUP(F1468,'LEAID Match'!$A$2:$B$142,2,FALSE),"")</f>
        <v/>
      </c>
    </row>
    <row r="1469" spans="1:8" x14ac:dyDescent="0.2">
      <c r="A1469" t="str">
        <f t="shared" si="22"/>
        <v/>
      </c>
      <c r="B1469" s="1">
        <v>2018</v>
      </c>
      <c r="C1469" s="1" t="s">
        <v>2505</v>
      </c>
      <c r="D1469" s="1" t="s">
        <v>2506</v>
      </c>
      <c r="E1469" s="1" t="s">
        <v>2019</v>
      </c>
      <c r="F1469" s="1" t="s">
        <v>148</v>
      </c>
      <c r="G1469" s="6">
        <v>318464</v>
      </c>
      <c r="H1469" t="str">
        <f>IFERROR(VLOOKUP(F1469,'LEAID Match'!$A$2:$B$142,2,FALSE),"")</f>
        <v/>
      </c>
    </row>
    <row r="1470" spans="1:8" x14ac:dyDescent="0.2">
      <c r="A1470" t="str">
        <f t="shared" si="22"/>
        <v/>
      </c>
      <c r="B1470" s="1">
        <v>2019</v>
      </c>
      <c r="C1470" s="1" t="s">
        <v>2505</v>
      </c>
      <c r="D1470" s="1" t="s">
        <v>2506</v>
      </c>
      <c r="E1470" s="1" t="s">
        <v>2019</v>
      </c>
      <c r="F1470" s="1" t="s">
        <v>148</v>
      </c>
      <c r="G1470" s="6">
        <v>342114</v>
      </c>
      <c r="H1470" t="str">
        <f>IFERROR(VLOOKUP(F1470,'LEAID Match'!$A$2:$B$142,2,FALSE),"")</f>
        <v/>
      </c>
    </row>
    <row r="1471" spans="1:8" x14ac:dyDescent="0.2">
      <c r="A1471" t="str">
        <f t="shared" si="22"/>
        <v/>
      </c>
      <c r="B1471" s="1">
        <v>2020</v>
      </c>
      <c r="C1471" s="1" t="s">
        <v>2505</v>
      </c>
      <c r="D1471" s="1" t="s">
        <v>2506</v>
      </c>
      <c r="E1471" s="1" t="s">
        <v>2019</v>
      </c>
      <c r="F1471" s="1" t="s">
        <v>148</v>
      </c>
      <c r="G1471" s="6">
        <v>396753</v>
      </c>
      <c r="H1471" t="str">
        <f>IFERROR(VLOOKUP(F1471,'LEAID Match'!$A$2:$B$142,2,FALSE),"")</f>
        <v/>
      </c>
    </row>
    <row r="1472" spans="1:8" x14ac:dyDescent="0.2">
      <c r="A1472" t="str">
        <f t="shared" si="22"/>
        <v/>
      </c>
      <c r="B1472" s="1">
        <v>2021</v>
      </c>
      <c r="C1472" s="1" t="s">
        <v>2505</v>
      </c>
      <c r="D1472" s="1" t="s">
        <v>2506</v>
      </c>
      <c r="E1472" s="1" t="s">
        <v>2019</v>
      </c>
      <c r="F1472" s="1" t="s">
        <v>148</v>
      </c>
      <c r="G1472" s="6">
        <v>397023</v>
      </c>
      <c r="H1472" t="str">
        <f>IFERROR(VLOOKUP(F1472,'LEAID Match'!$A$2:$B$142,2,FALSE),"")</f>
        <v/>
      </c>
    </row>
    <row r="1473" spans="1:8" x14ac:dyDescent="0.2">
      <c r="A1473" t="str">
        <f t="shared" si="22"/>
        <v/>
      </c>
      <c r="B1473" s="1">
        <v>2022</v>
      </c>
      <c r="C1473" s="1" t="s">
        <v>2505</v>
      </c>
      <c r="D1473" s="1" t="s">
        <v>2506</v>
      </c>
      <c r="E1473" s="1" t="s">
        <v>2019</v>
      </c>
      <c r="F1473" s="1" t="s">
        <v>148</v>
      </c>
      <c r="G1473" s="6">
        <v>383412</v>
      </c>
      <c r="H1473" t="str">
        <f>IFERROR(VLOOKUP(F1473,'LEAID Match'!$A$2:$B$142,2,FALSE),"")</f>
        <v/>
      </c>
    </row>
    <row r="1474" spans="1:8" x14ac:dyDescent="0.2">
      <c r="A1474" t="str">
        <f t="shared" si="22"/>
        <v/>
      </c>
      <c r="B1474" s="1">
        <v>2023</v>
      </c>
      <c r="C1474" s="1" t="s">
        <v>2505</v>
      </c>
      <c r="D1474" s="1" t="s">
        <v>2506</v>
      </c>
      <c r="E1474" s="1" t="s">
        <v>2019</v>
      </c>
      <c r="F1474" s="1" t="s">
        <v>148</v>
      </c>
      <c r="G1474" s="6">
        <v>432564</v>
      </c>
      <c r="H1474" t="str">
        <f>IFERROR(VLOOKUP(F1474,'LEAID Match'!$A$2:$B$142,2,FALSE),"")</f>
        <v/>
      </c>
    </row>
    <row r="1475" spans="1:8" x14ac:dyDescent="0.2">
      <c r="A1475" t="str">
        <f t="shared" ref="A1475:A1538" si="23">H1475</f>
        <v/>
      </c>
      <c r="B1475" s="1">
        <v>2024</v>
      </c>
      <c r="C1475" s="1" t="s">
        <v>2505</v>
      </c>
      <c r="D1475" s="1" t="s">
        <v>2506</v>
      </c>
      <c r="E1475" s="1" t="s">
        <v>2019</v>
      </c>
      <c r="F1475" s="1" t="s">
        <v>148</v>
      </c>
      <c r="G1475" s="6">
        <v>464654</v>
      </c>
      <c r="H1475" t="str">
        <f>IFERROR(VLOOKUP(F1475,'LEAID Match'!$A$2:$B$142,2,FALSE),"")</f>
        <v/>
      </c>
    </row>
    <row r="1476" spans="1:8" x14ac:dyDescent="0.2">
      <c r="A1476" t="str">
        <f t="shared" si="23"/>
        <v/>
      </c>
      <c r="B1476" s="1">
        <v>2015</v>
      </c>
      <c r="C1476" s="1" t="s">
        <v>2505</v>
      </c>
      <c r="D1476" s="1" t="s">
        <v>2506</v>
      </c>
      <c r="E1476" s="1" t="s">
        <v>2019</v>
      </c>
      <c r="F1476" s="1" t="s">
        <v>149</v>
      </c>
      <c r="G1476" s="6">
        <v>73750</v>
      </c>
      <c r="H1476" t="str">
        <f>IFERROR(VLOOKUP(F1476,'LEAID Match'!$A$2:$B$142,2,FALSE),"")</f>
        <v/>
      </c>
    </row>
    <row r="1477" spans="1:8" x14ac:dyDescent="0.2">
      <c r="A1477" t="str">
        <f t="shared" si="23"/>
        <v/>
      </c>
      <c r="B1477">
        <v>2016</v>
      </c>
      <c r="C1477" s="1" t="s">
        <v>2505</v>
      </c>
      <c r="D1477" s="1" t="s">
        <v>2506</v>
      </c>
      <c r="E1477" s="1" t="s">
        <v>2019</v>
      </c>
      <c r="F1477" s="1" t="s">
        <v>149</v>
      </c>
      <c r="G1477" s="12">
        <v>75617</v>
      </c>
      <c r="H1477" t="str">
        <f>IFERROR(VLOOKUP(F1477,'LEAID Match'!$A$2:$B$142,2,FALSE),"")</f>
        <v/>
      </c>
    </row>
    <row r="1478" spans="1:8" x14ac:dyDescent="0.2">
      <c r="A1478" t="str">
        <f t="shared" si="23"/>
        <v/>
      </c>
      <c r="B1478" s="1">
        <v>2017</v>
      </c>
      <c r="C1478" s="1" t="s">
        <v>2505</v>
      </c>
      <c r="D1478" s="1" t="s">
        <v>2506</v>
      </c>
      <c r="E1478" s="1" t="s">
        <v>2019</v>
      </c>
      <c r="F1478" s="1" t="s">
        <v>149</v>
      </c>
      <c r="G1478" s="47">
        <v>70676</v>
      </c>
      <c r="H1478" t="str">
        <f>IFERROR(VLOOKUP(F1478,'LEAID Match'!$A$2:$B$142,2,FALSE),"")</f>
        <v/>
      </c>
    </row>
    <row r="1479" spans="1:8" x14ac:dyDescent="0.2">
      <c r="A1479" t="str">
        <f t="shared" si="23"/>
        <v/>
      </c>
      <c r="B1479" s="1">
        <v>2018</v>
      </c>
      <c r="C1479" s="1" t="s">
        <v>2505</v>
      </c>
      <c r="D1479" s="1" t="s">
        <v>2506</v>
      </c>
      <c r="E1479" s="1" t="s">
        <v>2019</v>
      </c>
      <c r="F1479" s="1" t="s">
        <v>149</v>
      </c>
      <c r="G1479" s="6">
        <v>62025</v>
      </c>
      <c r="H1479" t="str">
        <f>IFERROR(VLOOKUP(F1479,'LEAID Match'!$A$2:$B$142,2,FALSE),"")</f>
        <v/>
      </c>
    </row>
    <row r="1480" spans="1:8" x14ac:dyDescent="0.2">
      <c r="A1480" t="str">
        <f t="shared" si="23"/>
        <v/>
      </c>
      <c r="B1480" s="1">
        <v>2019</v>
      </c>
      <c r="C1480" s="1" t="s">
        <v>2505</v>
      </c>
      <c r="D1480" s="1" t="s">
        <v>2506</v>
      </c>
      <c r="E1480" s="1" t="s">
        <v>2019</v>
      </c>
      <c r="F1480" s="1" t="s">
        <v>149</v>
      </c>
      <c r="G1480" s="6">
        <v>64099</v>
      </c>
      <c r="H1480" t="str">
        <f>IFERROR(VLOOKUP(F1480,'LEAID Match'!$A$2:$B$142,2,FALSE),"")</f>
        <v/>
      </c>
    </row>
    <row r="1481" spans="1:8" x14ac:dyDescent="0.2">
      <c r="A1481" t="str">
        <f t="shared" si="23"/>
        <v/>
      </c>
      <c r="B1481" s="1">
        <v>2020</v>
      </c>
      <c r="C1481" s="1" t="s">
        <v>2505</v>
      </c>
      <c r="D1481" s="1" t="s">
        <v>2506</v>
      </c>
      <c r="E1481" s="1" t="s">
        <v>2019</v>
      </c>
      <c r="F1481" s="1" t="s">
        <v>149</v>
      </c>
      <c r="G1481" s="6">
        <v>66271</v>
      </c>
      <c r="H1481" t="str">
        <f>IFERROR(VLOOKUP(F1481,'LEAID Match'!$A$2:$B$142,2,FALSE),"")</f>
        <v/>
      </c>
    </row>
    <row r="1482" spans="1:8" x14ac:dyDescent="0.2">
      <c r="A1482" t="str">
        <f t="shared" si="23"/>
        <v/>
      </c>
      <c r="B1482" s="1">
        <v>2021</v>
      </c>
      <c r="C1482" s="1" t="s">
        <v>2505</v>
      </c>
      <c r="D1482" s="1" t="s">
        <v>2506</v>
      </c>
      <c r="E1482" s="1" t="s">
        <v>2019</v>
      </c>
      <c r="F1482" s="1" t="s">
        <v>149</v>
      </c>
      <c r="G1482" s="6">
        <v>69669</v>
      </c>
      <c r="H1482" t="str">
        <f>IFERROR(VLOOKUP(F1482,'LEAID Match'!$A$2:$B$142,2,FALSE),"")</f>
        <v/>
      </c>
    </row>
    <row r="1483" spans="1:8" x14ac:dyDescent="0.2">
      <c r="A1483" t="str">
        <f t="shared" si="23"/>
        <v/>
      </c>
      <c r="B1483" s="1">
        <v>2022</v>
      </c>
      <c r="C1483" s="1" t="s">
        <v>2505</v>
      </c>
      <c r="D1483" s="1" t="s">
        <v>2506</v>
      </c>
      <c r="E1483" s="1" t="s">
        <v>2019</v>
      </c>
      <c r="F1483" s="1" t="s">
        <v>149</v>
      </c>
      <c r="G1483" s="6">
        <v>70880</v>
      </c>
      <c r="H1483" t="str">
        <f>IFERROR(VLOOKUP(F1483,'LEAID Match'!$A$2:$B$142,2,FALSE),"")</f>
        <v/>
      </c>
    </row>
    <row r="1484" spans="1:8" x14ac:dyDescent="0.2">
      <c r="A1484" t="str">
        <f t="shared" si="23"/>
        <v/>
      </c>
      <c r="B1484" s="1">
        <v>2023</v>
      </c>
      <c r="C1484" s="1" t="s">
        <v>2505</v>
      </c>
      <c r="D1484" s="1" t="s">
        <v>2506</v>
      </c>
      <c r="E1484" s="1" t="s">
        <v>2019</v>
      </c>
      <c r="F1484" s="1" t="s">
        <v>149</v>
      </c>
      <c r="G1484" s="6">
        <v>74006</v>
      </c>
      <c r="H1484" t="str">
        <f>IFERROR(VLOOKUP(F1484,'LEAID Match'!$A$2:$B$142,2,FALSE),"")</f>
        <v/>
      </c>
    </row>
    <row r="1485" spans="1:8" x14ac:dyDescent="0.2">
      <c r="A1485" t="str">
        <f t="shared" si="23"/>
        <v/>
      </c>
      <c r="B1485" s="1">
        <v>2024</v>
      </c>
      <c r="C1485" s="1" t="s">
        <v>2505</v>
      </c>
      <c r="D1485" s="1" t="s">
        <v>2506</v>
      </c>
      <c r="E1485" s="1" t="s">
        <v>2019</v>
      </c>
      <c r="F1485" s="1" t="s">
        <v>149</v>
      </c>
      <c r="G1485" s="6">
        <v>74862</v>
      </c>
      <c r="H1485" t="str">
        <f>IFERROR(VLOOKUP(F1485,'LEAID Match'!$A$2:$B$142,2,FALSE),"")</f>
        <v/>
      </c>
    </row>
    <row r="1486" spans="1:8" x14ac:dyDescent="0.2">
      <c r="A1486">
        <f t="shared" si="23"/>
        <v>2801260</v>
      </c>
      <c r="B1486" s="1">
        <v>2015</v>
      </c>
      <c r="C1486" s="1" t="s">
        <v>2505</v>
      </c>
      <c r="D1486" s="1" t="s">
        <v>2506</v>
      </c>
      <c r="E1486" s="1" t="s">
        <v>2019</v>
      </c>
      <c r="F1486" s="1" t="s">
        <v>150</v>
      </c>
      <c r="G1486" s="6">
        <v>1718230</v>
      </c>
      <c r="H1486">
        <f>IFERROR(VLOOKUP(F1486,'LEAID Match'!$A$2:$B$142,2,FALSE),"")</f>
        <v>2801260</v>
      </c>
    </row>
    <row r="1487" spans="1:8" x14ac:dyDescent="0.2">
      <c r="A1487">
        <f t="shared" si="23"/>
        <v>2801260</v>
      </c>
      <c r="B1487">
        <v>2016</v>
      </c>
      <c r="C1487" s="1" t="s">
        <v>2505</v>
      </c>
      <c r="D1487" s="1" t="s">
        <v>2506</v>
      </c>
      <c r="E1487" s="1" t="s">
        <v>2019</v>
      </c>
      <c r="F1487" s="1" t="s">
        <v>150</v>
      </c>
      <c r="G1487" s="12">
        <v>1823774</v>
      </c>
      <c r="H1487">
        <f>IFERROR(VLOOKUP(F1487,'LEAID Match'!$A$2:$B$142,2,FALSE),"")</f>
        <v>2801260</v>
      </c>
    </row>
    <row r="1488" spans="1:8" x14ac:dyDescent="0.2">
      <c r="A1488">
        <f t="shared" si="23"/>
        <v>2801260</v>
      </c>
      <c r="B1488" s="1">
        <v>2017</v>
      </c>
      <c r="C1488" s="1" t="s">
        <v>2505</v>
      </c>
      <c r="D1488" s="1" t="s">
        <v>2506</v>
      </c>
      <c r="E1488" s="1" t="s">
        <v>2019</v>
      </c>
      <c r="F1488" s="1" t="s">
        <v>150</v>
      </c>
      <c r="G1488" s="47">
        <v>1784264</v>
      </c>
      <c r="H1488">
        <f>IFERROR(VLOOKUP(F1488,'LEAID Match'!$A$2:$B$142,2,FALSE),"")</f>
        <v>2801260</v>
      </c>
    </row>
    <row r="1489" spans="1:8" x14ac:dyDescent="0.2">
      <c r="A1489">
        <f t="shared" si="23"/>
        <v>2801260</v>
      </c>
      <c r="B1489" s="1">
        <v>2018</v>
      </c>
      <c r="C1489" s="1" t="s">
        <v>2505</v>
      </c>
      <c r="D1489" s="1" t="s">
        <v>2506</v>
      </c>
      <c r="E1489" s="1" t="s">
        <v>2019</v>
      </c>
      <c r="F1489" s="1" t="s">
        <v>150</v>
      </c>
      <c r="G1489" s="6">
        <v>1836404</v>
      </c>
      <c r="H1489">
        <f>IFERROR(VLOOKUP(F1489,'LEAID Match'!$A$2:$B$142,2,FALSE),"")</f>
        <v>2801260</v>
      </c>
    </row>
    <row r="1490" spans="1:8" x14ac:dyDescent="0.2">
      <c r="A1490">
        <f t="shared" si="23"/>
        <v>2801260</v>
      </c>
      <c r="B1490" s="1">
        <v>2019</v>
      </c>
      <c r="C1490" s="1" t="s">
        <v>2505</v>
      </c>
      <c r="D1490" s="1" t="s">
        <v>2506</v>
      </c>
      <c r="E1490" s="1" t="s">
        <v>2019</v>
      </c>
      <c r="F1490" s="1" t="s">
        <v>150</v>
      </c>
      <c r="G1490" s="6">
        <v>1891213</v>
      </c>
      <c r="H1490">
        <f>IFERROR(VLOOKUP(F1490,'LEAID Match'!$A$2:$B$142,2,FALSE),"")</f>
        <v>2801260</v>
      </c>
    </row>
    <row r="1491" spans="1:8" x14ac:dyDescent="0.2">
      <c r="A1491">
        <f t="shared" si="23"/>
        <v>2801260</v>
      </c>
      <c r="B1491" s="1">
        <v>2020</v>
      </c>
      <c r="C1491" s="1" t="s">
        <v>2505</v>
      </c>
      <c r="D1491" s="1" t="s">
        <v>2506</v>
      </c>
      <c r="E1491" s="1" t="s">
        <v>2019</v>
      </c>
      <c r="F1491" s="1" t="s">
        <v>150</v>
      </c>
      <c r="G1491" s="6">
        <v>2249263</v>
      </c>
      <c r="H1491">
        <f>IFERROR(VLOOKUP(F1491,'LEAID Match'!$A$2:$B$142,2,FALSE),"")</f>
        <v>2801260</v>
      </c>
    </row>
    <row r="1492" spans="1:8" x14ac:dyDescent="0.2">
      <c r="A1492">
        <f t="shared" si="23"/>
        <v>2801260</v>
      </c>
      <c r="B1492" s="1">
        <v>2021</v>
      </c>
      <c r="C1492" s="1" t="s">
        <v>2505</v>
      </c>
      <c r="D1492" s="1" t="s">
        <v>2506</v>
      </c>
      <c r="E1492" s="1" t="s">
        <v>2019</v>
      </c>
      <c r="F1492" s="1" t="s">
        <v>150</v>
      </c>
      <c r="G1492" s="6">
        <v>2218251</v>
      </c>
      <c r="H1492">
        <f>IFERROR(VLOOKUP(F1492,'LEAID Match'!$A$2:$B$142,2,FALSE),"")</f>
        <v>2801260</v>
      </c>
    </row>
    <row r="1493" spans="1:8" x14ac:dyDescent="0.2">
      <c r="A1493">
        <f t="shared" si="23"/>
        <v>2801260</v>
      </c>
      <c r="B1493" s="1">
        <v>2022</v>
      </c>
      <c r="C1493" s="1" t="s">
        <v>2505</v>
      </c>
      <c r="D1493" s="1" t="s">
        <v>2506</v>
      </c>
      <c r="E1493" s="1" t="s">
        <v>2019</v>
      </c>
      <c r="F1493" s="1" t="s">
        <v>150</v>
      </c>
      <c r="G1493" s="6">
        <v>2274393</v>
      </c>
      <c r="H1493">
        <f>IFERROR(VLOOKUP(F1493,'LEAID Match'!$A$2:$B$142,2,FALSE),"")</f>
        <v>2801260</v>
      </c>
    </row>
    <row r="1494" spans="1:8" x14ac:dyDescent="0.2">
      <c r="A1494">
        <f t="shared" si="23"/>
        <v>2801260</v>
      </c>
      <c r="B1494" s="1">
        <v>2023</v>
      </c>
      <c r="C1494" s="1" t="s">
        <v>2505</v>
      </c>
      <c r="D1494" s="1" t="s">
        <v>2506</v>
      </c>
      <c r="E1494" s="1" t="s">
        <v>2019</v>
      </c>
      <c r="F1494" s="1" t="s">
        <v>150</v>
      </c>
      <c r="G1494" s="6">
        <v>2557222</v>
      </c>
      <c r="H1494">
        <f>IFERROR(VLOOKUP(F1494,'LEAID Match'!$A$2:$B$142,2,FALSE),"")</f>
        <v>2801260</v>
      </c>
    </row>
    <row r="1495" spans="1:8" x14ac:dyDescent="0.2">
      <c r="A1495">
        <f t="shared" si="23"/>
        <v>2801260</v>
      </c>
      <c r="B1495" s="1">
        <v>2024</v>
      </c>
      <c r="C1495" s="1" t="s">
        <v>2505</v>
      </c>
      <c r="D1495" s="1" t="s">
        <v>2506</v>
      </c>
      <c r="E1495" s="1" t="s">
        <v>2019</v>
      </c>
      <c r="F1495" s="1" t="s">
        <v>150</v>
      </c>
      <c r="G1495" s="6">
        <v>2782876</v>
      </c>
      <c r="H1495">
        <f>IFERROR(VLOOKUP(F1495,'LEAID Match'!$A$2:$B$142,2,FALSE),"")</f>
        <v>2801260</v>
      </c>
    </row>
    <row r="1496" spans="1:8" x14ac:dyDescent="0.2">
      <c r="A1496" t="str">
        <f t="shared" si="23"/>
        <v/>
      </c>
      <c r="B1496" s="1">
        <v>2015</v>
      </c>
      <c r="C1496" s="1" t="s">
        <v>2505</v>
      </c>
      <c r="D1496" s="1" t="s">
        <v>2506</v>
      </c>
      <c r="E1496" s="1" t="s">
        <v>2019</v>
      </c>
      <c r="F1496" s="1" t="s">
        <v>151</v>
      </c>
      <c r="G1496" s="6">
        <v>14485</v>
      </c>
      <c r="H1496" t="str">
        <f>IFERROR(VLOOKUP(F1496,'LEAID Match'!$A$2:$B$142,2,FALSE),"")</f>
        <v/>
      </c>
    </row>
    <row r="1497" spans="1:8" x14ac:dyDescent="0.2">
      <c r="A1497" t="str">
        <f t="shared" si="23"/>
        <v/>
      </c>
      <c r="B1497">
        <v>2016</v>
      </c>
      <c r="C1497" s="1" t="s">
        <v>2505</v>
      </c>
      <c r="D1497" s="1" t="s">
        <v>2506</v>
      </c>
      <c r="E1497" s="1" t="s">
        <v>2019</v>
      </c>
      <c r="F1497" s="1" t="s">
        <v>151</v>
      </c>
      <c r="G1497" s="12">
        <v>15090</v>
      </c>
      <c r="H1497" t="str">
        <f>IFERROR(VLOOKUP(F1497,'LEAID Match'!$A$2:$B$142,2,FALSE),"")</f>
        <v/>
      </c>
    </row>
    <row r="1498" spans="1:8" x14ac:dyDescent="0.2">
      <c r="A1498" t="str">
        <f t="shared" si="23"/>
        <v/>
      </c>
      <c r="B1498" s="1">
        <v>2017</v>
      </c>
      <c r="C1498" s="1" t="s">
        <v>2505</v>
      </c>
      <c r="D1498" s="1" t="s">
        <v>2506</v>
      </c>
      <c r="E1498" s="1" t="s">
        <v>2019</v>
      </c>
      <c r="F1498" s="1" t="s">
        <v>151</v>
      </c>
      <c r="G1498" s="47">
        <v>20332</v>
      </c>
      <c r="H1498" t="str">
        <f>IFERROR(VLOOKUP(F1498,'LEAID Match'!$A$2:$B$142,2,FALSE),"")</f>
        <v/>
      </c>
    </row>
    <row r="1499" spans="1:8" x14ac:dyDescent="0.2">
      <c r="A1499" t="str">
        <f t="shared" si="23"/>
        <v/>
      </c>
      <c r="B1499" s="1">
        <v>2018</v>
      </c>
      <c r="C1499" s="1" t="s">
        <v>2505</v>
      </c>
      <c r="D1499" s="1" t="s">
        <v>2506</v>
      </c>
      <c r="E1499" s="1" t="s">
        <v>2019</v>
      </c>
      <c r="F1499" s="1" t="s">
        <v>151</v>
      </c>
      <c r="G1499" s="6">
        <v>18337</v>
      </c>
      <c r="H1499" t="str">
        <f>IFERROR(VLOOKUP(F1499,'LEAID Match'!$A$2:$B$142,2,FALSE),"")</f>
        <v/>
      </c>
    </row>
    <row r="1500" spans="1:8" x14ac:dyDescent="0.2">
      <c r="A1500" t="str">
        <f t="shared" si="23"/>
        <v/>
      </c>
      <c r="B1500" s="1">
        <v>2019</v>
      </c>
      <c r="C1500" s="1" t="s">
        <v>2505</v>
      </c>
      <c r="D1500" s="1" t="s">
        <v>2506</v>
      </c>
      <c r="E1500" s="1" t="s">
        <v>2019</v>
      </c>
      <c r="F1500" s="1" t="s">
        <v>151</v>
      </c>
      <c r="G1500" s="6">
        <v>19660</v>
      </c>
      <c r="H1500" t="str">
        <f>IFERROR(VLOOKUP(F1500,'LEAID Match'!$A$2:$B$142,2,FALSE),"")</f>
        <v/>
      </c>
    </row>
    <row r="1501" spans="1:8" x14ac:dyDescent="0.2">
      <c r="A1501" t="str">
        <f t="shared" si="23"/>
        <v/>
      </c>
      <c r="B1501" s="1">
        <v>2020</v>
      </c>
      <c r="C1501" s="1" t="s">
        <v>2505</v>
      </c>
      <c r="D1501" s="1" t="s">
        <v>2506</v>
      </c>
      <c r="E1501" s="1" t="s">
        <v>2019</v>
      </c>
      <c r="F1501" s="1" t="s">
        <v>151</v>
      </c>
      <c r="G1501" s="6">
        <v>23310</v>
      </c>
      <c r="H1501" t="str">
        <f>IFERROR(VLOOKUP(F1501,'LEAID Match'!$A$2:$B$142,2,FALSE),"")</f>
        <v/>
      </c>
    </row>
    <row r="1502" spans="1:8" x14ac:dyDescent="0.2">
      <c r="A1502" t="str">
        <f t="shared" si="23"/>
        <v/>
      </c>
      <c r="B1502" s="1">
        <v>2021</v>
      </c>
      <c r="C1502" s="1" t="s">
        <v>2505</v>
      </c>
      <c r="D1502" s="1" t="s">
        <v>2506</v>
      </c>
      <c r="E1502" s="1" t="s">
        <v>2019</v>
      </c>
      <c r="F1502" s="1" t="s">
        <v>151</v>
      </c>
      <c r="G1502" s="6">
        <v>20290</v>
      </c>
      <c r="H1502" t="str">
        <f>IFERROR(VLOOKUP(F1502,'LEAID Match'!$A$2:$B$142,2,FALSE),"")</f>
        <v/>
      </c>
    </row>
    <row r="1503" spans="1:8" x14ac:dyDescent="0.2">
      <c r="A1503" t="str">
        <f t="shared" si="23"/>
        <v/>
      </c>
      <c r="B1503" s="1">
        <v>2024</v>
      </c>
      <c r="C1503" s="1" t="s">
        <v>2505</v>
      </c>
      <c r="D1503" s="1" t="s">
        <v>2506</v>
      </c>
      <c r="E1503" s="1" t="s">
        <v>2019</v>
      </c>
      <c r="F1503" s="1" t="s">
        <v>151</v>
      </c>
      <c r="G1503" s="6">
        <v>30951</v>
      </c>
      <c r="H1503" t="str">
        <f>IFERROR(VLOOKUP(F1503,'LEAID Match'!$A$2:$B$142,2,FALSE),"")</f>
        <v/>
      </c>
    </row>
    <row r="1504" spans="1:8" x14ac:dyDescent="0.2">
      <c r="A1504" t="str">
        <f t="shared" si="23"/>
        <v/>
      </c>
      <c r="B1504" s="1">
        <v>2019</v>
      </c>
      <c r="C1504" s="1" t="s">
        <v>2505</v>
      </c>
      <c r="D1504" s="1" t="s">
        <v>2506</v>
      </c>
      <c r="E1504" s="1" t="s">
        <v>2019</v>
      </c>
      <c r="F1504" s="1" t="s">
        <v>152</v>
      </c>
      <c r="G1504" s="6">
        <v>14840</v>
      </c>
      <c r="H1504" t="str">
        <f>IFERROR(VLOOKUP(F1504,'LEAID Match'!$A$2:$B$142,2,FALSE),"")</f>
        <v/>
      </c>
    </row>
    <row r="1505" spans="1:8" x14ac:dyDescent="0.2">
      <c r="A1505" t="str">
        <f t="shared" si="23"/>
        <v/>
      </c>
      <c r="B1505" s="1">
        <v>2020</v>
      </c>
      <c r="C1505" s="1" t="s">
        <v>2505</v>
      </c>
      <c r="D1505" s="1" t="s">
        <v>2506</v>
      </c>
      <c r="E1505" s="1" t="s">
        <v>2019</v>
      </c>
      <c r="F1505" s="1" t="s">
        <v>152</v>
      </c>
      <c r="G1505" s="6">
        <v>32660</v>
      </c>
      <c r="H1505" t="str">
        <f>IFERROR(VLOOKUP(F1505,'LEAID Match'!$A$2:$B$142,2,FALSE),"")</f>
        <v/>
      </c>
    </row>
    <row r="1506" spans="1:8" x14ac:dyDescent="0.2">
      <c r="A1506" t="str">
        <f t="shared" si="23"/>
        <v/>
      </c>
      <c r="B1506" s="1">
        <v>2021</v>
      </c>
      <c r="C1506" s="1" t="s">
        <v>2505</v>
      </c>
      <c r="D1506" s="1" t="s">
        <v>2506</v>
      </c>
      <c r="E1506" s="1" t="s">
        <v>2019</v>
      </c>
      <c r="F1506" s="1" t="s">
        <v>152</v>
      </c>
      <c r="G1506" s="6">
        <v>30884</v>
      </c>
      <c r="H1506" t="str">
        <f>IFERROR(VLOOKUP(F1506,'LEAID Match'!$A$2:$B$142,2,FALSE),"")</f>
        <v/>
      </c>
    </row>
    <row r="1507" spans="1:8" x14ac:dyDescent="0.2">
      <c r="A1507" t="str">
        <f t="shared" si="23"/>
        <v/>
      </c>
      <c r="B1507" s="1">
        <v>2022</v>
      </c>
      <c r="C1507" s="1" t="s">
        <v>2505</v>
      </c>
      <c r="D1507" s="1" t="s">
        <v>2506</v>
      </c>
      <c r="E1507" s="1" t="s">
        <v>2019</v>
      </c>
      <c r="F1507" s="1" t="s">
        <v>152</v>
      </c>
      <c r="G1507" s="6">
        <v>44754</v>
      </c>
      <c r="H1507" t="str">
        <f>IFERROR(VLOOKUP(F1507,'LEAID Match'!$A$2:$B$142,2,FALSE),"")</f>
        <v/>
      </c>
    </row>
    <row r="1508" spans="1:8" x14ac:dyDescent="0.2">
      <c r="A1508" t="str">
        <f t="shared" si="23"/>
        <v/>
      </c>
      <c r="B1508" s="1">
        <v>2023</v>
      </c>
      <c r="C1508" s="1" t="s">
        <v>2505</v>
      </c>
      <c r="D1508" s="1" t="s">
        <v>2506</v>
      </c>
      <c r="E1508" s="1" t="s">
        <v>2019</v>
      </c>
      <c r="F1508" s="1" t="s">
        <v>152</v>
      </c>
      <c r="G1508" s="6">
        <v>49356</v>
      </c>
      <c r="H1508" t="str">
        <f>IFERROR(VLOOKUP(F1508,'LEAID Match'!$A$2:$B$142,2,FALSE),"")</f>
        <v/>
      </c>
    </row>
    <row r="1509" spans="1:8" x14ac:dyDescent="0.2">
      <c r="A1509" t="str">
        <f t="shared" si="23"/>
        <v/>
      </c>
      <c r="B1509" s="1">
        <v>2024</v>
      </c>
      <c r="C1509" s="1" t="s">
        <v>2505</v>
      </c>
      <c r="D1509" s="1" t="s">
        <v>2506</v>
      </c>
      <c r="E1509" s="1" t="s">
        <v>2019</v>
      </c>
      <c r="F1509" s="1" t="s">
        <v>152</v>
      </c>
      <c r="G1509" s="6">
        <v>49714</v>
      </c>
      <c r="H1509" t="str">
        <f>IFERROR(VLOOKUP(F1509,'LEAID Match'!$A$2:$B$142,2,FALSE),"")</f>
        <v/>
      </c>
    </row>
    <row r="1510" spans="1:8" x14ac:dyDescent="0.2">
      <c r="A1510" t="str">
        <f t="shared" si="23"/>
        <v/>
      </c>
      <c r="B1510" s="1">
        <v>2015</v>
      </c>
      <c r="C1510" s="1" t="s">
        <v>2505</v>
      </c>
      <c r="D1510" s="1" t="s">
        <v>2506</v>
      </c>
      <c r="E1510" s="1" t="s">
        <v>2019</v>
      </c>
      <c r="F1510" s="1" t="s">
        <v>153</v>
      </c>
      <c r="G1510" s="6">
        <v>7866</v>
      </c>
      <c r="H1510" t="str">
        <f>IFERROR(VLOOKUP(F1510,'LEAID Match'!$A$2:$B$142,2,FALSE),"")</f>
        <v/>
      </c>
    </row>
    <row r="1511" spans="1:8" x14ac:dyDescent="0.2">
      <c r="A1511" t="str">
        <f t="shared" si="23"/>
        <v/>
      </c>
      <c r="B1511">
        <v>2016</v>
      </c>
      <c r="C1511" s="1" t="s">
        <v>2505</v>
      </c>
      <c r="D1511" s="1" t="s">
        <v>2506</v>
      </c>
      <c r="E1511" s="1" t="s">
        <v>2019</v>
      </c>
      <c r="F1511" s="1" t="s">
        <v>153</v>
      </c>
      <c r="G1511" s="12">
        <v>8934</v>
      </c>
      <c r="H1511" t="str">
        <f>IFERROR(VLOOKUP(F1511,'LEAID Match'!$A$2:$B$142,2,FALSE),"")</f>
        <v/>
      </c>
    </row>
    <row r="1512" spans="1:8" x14ac:dyDescent="0.2">
      <c r="A1512" t="str">
        <f t="shared" si="23"/>
        <v/>
      </c>
      <c r="B1512" s="1">
        <v>2017</v>
      </c>
      <c r="C1512" s="1" t="s">
        <v>2505</v>
      </c>
      <c r="D1512" s="1" t="s">
        <v>2506</v>
      </c>
      <c r="E1512" s="1" t="s">
        <v>2019</v>
      </c>
      <c r="F1512" s="1" t="s">
        <v>153</v>
      </c>
      <c r="G1512" s="47">
        <v>12239</v>
      </c>
      <c r="H1512" t="str">
        <f>IFERROR(VLOOKUP(F1512,'LEAID Match'!$A$2:$B$142,2,FALSE),"")</f>
        <v/>
      </c>
    </row>
    <row r="1513" spans="1:8" x14ac:dyDescent="0.2">
      <c r="A1513" t="str">
        <f t="shared" si="23"/>
        <v/>
      </c>
      <c r="B1513" s="1">
        <v>2018</v>
      </c>
      <c r="C1513" s="1" t="s">
        <v>2505</v>
      </c>
      <c r="D1513" s="1" t="s">
        <v>2506</v>
      </c>
      <c r="E1513" s="1" t="s">
        <v>2019</v>
      </c>
      <c r="F1513" s="1" t="s">
        <v>153</v>
      </c>
      <c r="G1513" s="6">
        <v>8184</v>
      </c>
      <c r="H1513" t="str">
        <f>IFERROR(VLOOKUP(F1513,'LEAID Match'!$A$2:$B$142,2,FALSE),"")</f>
        <v/>
      </c>
    </row>
    <row r="1514" spans="1:8" x14ac:dyDescent="0.2">
      <c r="A1514" t="str">
        <f t="shared" si="23"/>
        <v/>
      </c>
      <c r="B1514" s="1">
        <v>2019</v>
      </c>
      <c r="C1514" s="1" t="s">
        <v>2505</v>
      </c>
      <c r="D1514" s="1" t="s">
        <v>2506</v>
      </c>
      <c r="E1514" s="1" t="s">
        <v>2019</v>
      </c>
      <c r="F1514" s="1" t="s">
        <v>153</v>
      </c>
      <c r="G1514" s="6">
        <v>11333</v>
      </c>
      <c r="H1514" t="str">
        <f>IFERROR(VLOOKUP(F1514,'LEAID Match'!$A$2:$B$142,2,FALSE),"")</f>
        <v/>
      </c>
    </row>
    <row r="1515" spans="1:8" x14ac:dyDescent="0.2">
      <c r="A1515" t="str">
        <f t="shared" si="23"/>
        <v/>
      </c>
      <c r="B1515" s="1">
        <v>2020</v>
      </c>
      <c r="C1515" s="1" t="s">
        <v>2505</v>
      </c>
      <c r="D1515" s="1" t="s">
        <v>2506</v>
      </c>
      <c r="E1515" s="1" t="s">
        <v>2019</v>
      </c>
      <c r="F1515" s="1" t="s">
        <v>153</v>
      </c>
      <c r="G1515" s="6">
        <v>11526</v>
      </c>
      <c r="H1515" t="str">
        <f>IFERROR(VLOOKUP(F1515,'LEAID Match'!$A$2:$B$142,2,FALSE),"")</f>
        <v/>
      </c>
    </row>
    <row r="1516" spans="1:8" x14ac:dyDescent="0.2">
      <c r="A1516" t="str">
        <f t="shared" si="23"/>
        <v/>
      </c>
      <c r="B1516" s="1">
        <v>2021</v>
      </c>
      <c r="C1516" s="1" t="s">
        <v>2505</v>
      </c>
      <c r="D1516" s="1" t="s">
        <v>2506</v>
      </c>
      <c r="E1516" s="1" t="s">
        <v>2019</v>
      </c>
      <c r="F1516" s="1" t="s">
        <v>153</v>
      </c>
      <c r="G1516" s="6">
        <v>8398</v>
      </c>
      <c r="H1516" t="str">
        <f>IFERROR(VLOOKUP(F1516,'LEAID Match'!$A$2:$B$142,2,FALSE),"")</f>
        <v/>
      </c>
    </row>
    <row r="1517" spans="1:8" x14ac:dyDescent="0.2">
      <c r="A1517" t="str">
        <f t="shared" si="23"/>
        <v/>
      </c>
      <c r="B1517" s="1">
        <v>2022</v>
      </c>
      <c r="C1517" s="1" t="s">
        <v>2505</v>
      </c>
      <c r="D1517" s="1" t="s">
        <v>2506</v>
      </c>
      <c r="E1517" s="1" t="s">
        <v>2019</v>
      </c>
      <c r="F1517" s="1" t="s">
        <v>153</v>
      </c>
      <c r="G1517" s="6">
        <v>13274</v>
      </c>
      <c r="H1517" t="str">
        <f>IFERROR(VLOOKUP(F1517,'LEAID Match'!$A$2:$B$142,2,FALSE),"")</f>
        <v/>
      </c>
    </row>
    <row r="1518" spans="1:8" x14ac:dyDescent="0.2">
      <c r="A1518" t="str">
        <f t="shared" si="23"/>
        <v/>
      </c>
      <c r="B1518" s="1">
        <v>2023</v>
      </c>
      <c r="C1518" s="1" t="s">
        <v>2505</v>
      </c>
      <c r="D1518" s="1" t="s">
        <v>2506</v>
      </c>
      <c r="E1518" s="1" t="s">
        <v>2019</v>
      </c>
      <c r="F1518" s="1" t="s">
        <v>153</v>
      </c>
      <c r="G1518" s="6">
        <v>13776</v>
      </c>
      <c r="H1518" t="str">
        <f>IFERROR(VLOOKUP(F1518,'LEAID Match'!$A$2:$B$142,2,FALSE),"")</f>
        <v/>
      </c>
    </row>
    <row r="1519" spans="1:8" x14ac:dyDescent="0.2">
      <c r="A1519" t="str">
        <f t="shared" si="23"/>
        <v/>
      </c>
      <c r="B1519" s="1">
        <v>2024</v>
      </c>
      <c r="C1519" s="1" t="s">
        <v>2505</v>
      </c>
      <c r="D1519" s="1" t="s">
        <v>2506</v>
      </c>
      <c r="E1519" s="1" t="s">
        <v>2019</v>
      </c>
      <c r="F1519" s="1" t="s">
        <v>153</v>
      </c>
      <c r="G1519" s="6">
        <v>15499</v>
      </c>
      <c r="H1519" t="str">
        <f>IFERROR(VLOOKUP(F1519,'LEAID Match'!$A$2:$B$142,2,FALSE),"")</f>
        <v/>
      </c>
    </row>
    <row r="1520" spans="1:8" x14ac:dyDescent="0.2">
      <c r="A1520" t="str">
        <f t="shared" si="23"/>
        <v/>
      </c>
      <c r="B1520" s="1">
        <v>2022</v>
      </c>
      <c r="C1520" s="1" t="s">
        <v>2505</v>
      </c>
      <c r="D1520" s="1" t="s">
        <v>2506</v>
      </c>
      <c r="E1520" s="1" t="s">
        <v>2019</v>
      </c>
      <c r="F1520" s="1" t="s">
        <v>866</v>
      </c>
      <c r="G1520" s="6">
        <v>23321</v>
      </c>
      <c r="H1520" t="str">
        <f>IFERROR(VLOOKUP(F1520,'LEAID Match'!$A$2:$B$142,2,FALSE),"")</f>
        <v/>
      </c>
    </row>
    <row r="1521" spans="1:8" x14ac:dyDescent="0.2">
      <c r="A1521" t="str">
        <f t="shared" si="23"/>
        <v/>
      </c>
      <c r="B1521" s="1">
        <v>2023</v>
      </c>
      <c r="C1521" s="1" t="s">
        <v>2505</v>
      </c>
      <c r="D1521" s="1" t="s">
        <v>2506</v>
      </c>
      <c r="E1521" s="1" t="s">
        <v>2019</v>
      </c>
      <c r="F1521" s="1" t="s">
        <v>866</v>
      </c>
      <c r="G1521" s="6">
        <v>30190</v>
      </c>
      <c r="H1521" t="str">
        <f>IFERROR(VLOOKUP(F1521,'LEAID Match'!$A$2:$B$142,2,FALSE),"")</f>
        <v/>
      </c>
    </row>
    <row r="1522" spans="1:8" x14ac:dyDescent="0.2">
      <c r="A1522" t="str">
        <f t="shared" si="23"/>
        <v/>
      </c>
      <c r="B1522" s="1">
        <v>2015</v>
      </c>
      <c r="C1522" s="1" t="s">
        <v>2505</v>
      </c>
      <c r="D1522" s="1" t="s">
        <v>2506</v>
      </c>
      <c r="E1522" s="1" t="s">
        <v>2019</v>
      </c>
      <c r="F1522" s="1" t="s">
        <v>154</v>
      </c>
      <c r="G1522" s="6">
        <v>12663818</v>
      </c>
      <c r="H1522" t="str">
        <f>IFERROR(VLOOKUP(F1522,'LEAID Match'!$A$2:$B$142,2,FALSE),"")</f>
        <v/>
      </c>
    </row>
    <row r="1523" spans="1:8" x14ac:dyDescent="0.2">
      <c r="A1523" t="str">
        <f t="shared" si="23"/>
        <v/>
      </c>
      <c r="B1523">
        <v>2016</v>
      </c>
      <c r="C1523" s="1" t="s">
        <v>2505</v>
      </c>
      <c r="D1523" s="1" t="s">
        <v>2506</v>
      </c>
      <c r="E1523" s="1" t="s">
        <v>2019</v>
      </c>
      <c r="F1523" s="1" t="s">
        <v>154</v>
      </c>
      <c r="G1523" s="12">
        <v>13277970</v>
      </c>
      <c r="H1523" t="str">
        <f>IFERROR(VLOOKUP(F1523,'LEAID Match'!$A$2:$B$142,2,FALSE),"")</f>
        <v/>
      </c>
    </row>
    <row r="1524" spans="1:8" x14ac:dyDescent="0.2">
      <c r="A1524" t="str">
        <f t="shared" si="23"/>
        <v/>
      </c>
      <c r="B1524" s="1">
        <v>2017</v>
      </c>
      <c r="C1524" s="1" t="s">
        <v>2505</v>
      </c>
      <c r="D1524" s="1" t="s">
        <v>2506</v>
      </c>
      <c r="E1524" s="1" t="s">
        <v>2019</v>
      </c>
      <c r="F1524" s="1" t="s">
        <v>154</v>
      </c>
      <c r="G1524" s="47">
        <v>12547033</v>
      </c>
      <c r="H1524" t="str">
        <f>IFERROR(VLOOKUP(F1524,'LEAID Match'!$A$2:$B$142,2,FALSE),"")</f>
        <v/>
      </c>
    </row>
    <row r="1525" spans="1:8" x14ac:dyDescent="0.2">
      <c r="A1525" t="str">
        <f t="shared" si="23"/>
        <v/>
      </c>
      <c r="B1525" s="1">
        <v>2018</v>
      </c>
      <c r="C1525" s="1" t="s">
        <v>2505</v>
      </c>
      <c r="D1525" s="1" t="s">
        <v>2506</v>
      </c>
      <c r="E1525" s="1" t="s">
        <v>2019</v>
      </c>
      <c r="F1525" s="1" t="s">
        <v>154</v>
      </c>
      <c r="G1525" s="6">
        <v>12343071</v>
      </c>
      <c r="H1525" t="str">
        <f>IFERROR(VLOOKUP(F1525,'LEAID Match'!$A$2:$B$142,2,FALSE),"")</f>
        <v/>
      </c>
    </row>
    <row r="1526" spans="1:8" x14ac:dyDescent="0.2">
      <c r="A1526" t="str">
        <f t="shared" si="23"/>
        <v/>
      </c>
      <c r="B1526" s="1">
        <v>2019</v>
      </c>
      <c r="C1526" s="1" t="s">
        <v>2505</v>
      </c>
      <c r="D1526" s="1" t="s">
        <v>2506</v>
      </c>
      <c r="E1526" s="1" t="s">
        <v>2019</v>
      </c>
      <c r="F1526" s="1" t="s">
        <v>154</v>
      </c>
      <c r="G1526" s="6">
        <v>11726811</v>
      </c>
      <c r="H1526" t="str">
        <f>IFERROR(VLOOKUP(F1526,'LEAID Match'!$A$2:$B$142,2,FALSE),"")</f>
        <v/>
      </c>
    </row>
    <row r="1527" spans="1:8" x14ac:dyDescent="0.2">
      <c r="A1527" t="str">
        <f t="shared" si="23"/>
        <v/>
      </c>
      <c r="B1527" s="1">
        <v>2020</v>
      </c>
      <c r="C1527" s="1" t="s">
        <v>2505</v>
      </c>
      <c r="D1527" s="1" t="s">
        <v>2506</v>
      </c>
      <c r="E1527" s="1" t="s">
        <v>2019</v>
      </c>
      <c r="F1527" s="1" t="s">
        <v>154</v>
      </c>
      <c r="G1527" s="6">
        <v>12315554</v>
      </c>
      <c r="H1527" t="str">
        <f>IFERROR(VLOOKUP(F1527,'LEAID Match'!$A$2:$B$142,2,FALSE),"")</f>
        <v/>
      </c>
    </row>
    <row r="1528" spans="1:8" x14ac:dyDescent="0.2">
      <c r="A1528" t="str">
        <f t="shared" si="23"/>
        <v/>
      </c>
      <c r="B1528" s="1">
        <v>2021</v>
      </c>
      <c r="C1528" s="1" t="s">
        <v>2505</v>
      </c>
      <c r="D1528" s="1" t="s">
        <v>2506</v>
      </c>
      <c r="E1528" s="1" t="s">
        <v>2019</v>
      </c>
      <c r="F1528" s="1" t="s">
        <v>154</v>
      </c>
      <c r="G1528" s="6">
        <v>11853154</v>
      </c>
      <c r="H1528" t="str">
        <f>IFERROR(VLOOKUP(F1528,'LEAID Match'!$A$2:$B$142,2,FALSE),"")</f>
        <v/>
      </c>
    </row>
    <row r="1529" spans="1:8" x14ac:dyDescent="0.2">
      <c r="A1529" t="str">
        <f t="shared" si="23"/>
        <v/>
      </c>
      <c r="B1529" s="1">
        <v>2022</v>
      </c>
      <c r="C1529" s="1" t="s">
        <v>2505</v>
      </c>
      <c r="D1529" s="1" t="s">
        <v>2506</v>
      </c>
      <c r="E1529" s="1" t="s">
        <v>2019</v>
      </c>
      <c r="F1529" s="1" t="s">
        <v>154</v>
      </c>
      <c r="G1529" s="6">
        <v>12699366</v>
      </c>
      <c r="H1529" t="str">
        <f>IFERROR(VLOOKUP(F1529,'LEAID Match'!$A$2:$B$142,2,FALSE),"")</f>
        <v/>
      </c>
    </row>
    <row r="1530" spans="1:8" x14ac:dyDescent="0.2">
      <c r="A1530" t="str">
        <f t="shared" si="23"/>
        <v/>
      </c>
      <c r="B1530" s="1">
        <v>2023</v>
      </c>
      <c r="C1530" s="1" t="s">
        <v>2505</v>
      </c>
      <c r="D1530" s="1" t="s">
        <v>2506</v>
      </c>
      <c r="E1530" s="1" t="s">
        <v>2019</v>
      </c>
      <c r="F1530" s="1" t="s">
        <v>154</v>
      </c>
      <c r="G1530" s="6">
        <v>16096392</v>
      </c>
      <c r="H1530" t="str">
        <f>IFERROR(VLOOKUP(F1530,'LEAID Match'!$A$2:$B$142,2,FALSE),"")</f>
        <v/>
      </c>
    </row>
    <row r="1531" spans="1:8" x14ac:dyDescent="0.2">
      <c r="A1531" t="str">
        <f t="shared" si="23"/>
        <v/>
      </c>
      <c r="B1531" s="1">
        <v>2024</v>
      </c>
      <c r="C1531" s="1" t="s">
        <v>2505</v>
      </c>
      <c r="D1531" s="1" t="s">
        <v>2506</v>
      </c>
      <c r="E1531" s="1" t="s">
        <v>2019</v>
      </c>
      <c r="F1531" s="1" t="s">
        <v>154</v>
      </c>
      <c r="G1531" s="6">
        <v>17391166</v>
      </c>
      <c r="H1531" t="str">
        <f>IFERROR(VLOOKUP(F1531,'LEAID Match'!$A$2:$B$142,2,FALSE),"")</f>
        <v/>
      </c>
    </row>
    <row r="1532" spans="1:8" x14ac:dyDescent="0.2">
      <c r="A1532" t="str">
        <f t="shared" si="23"/>
        <v/>
      </c>
      <c r="B1532" s="1">
        <v>2015</v>
      </c>
      <c r="C1532" s="1" t="s">
        <v>2505</v>
      </c>
      <c r="D1532" s="1" t="s">
        <v>2506</v>
      </c>
      <c r="E1532" s="1" t="s">
        <v>2019</v>
      </c>
      <c r="F1532" s="1" t="s">
        <v>155</v>
      </c>
      <c r="G1532" s="6">
        <v>38668</v>
      </c>
      <c r="H1532" t="str">
        <f>IFERROR(VLOOKUP(F1532,'LEAID Match'!$A$2:$B$142,2,FALSE),"")</f>
        <v/>
      </c>
    </row>
    <row r="1533" spans="1:8" x14ac:dyDescent="0.2">
      <c r="A1533" t="str">
        <f t="shared" si="23"/>
        <v/>
      </c>
      <c r="B1533">
        <v>2016</v>
      </c>
      <c r="C1533" s="1" t="s">
        <v>2505</v>
      </c>
      <c r="D1533" s="1" t="s">
        <v>2506</v>
      </c>
      <c r="E1533" s="1" t="s">
        <v>2019</v>
      </c>
      <c r="F1533" s="1" t="s">
        <v>155</v>
      </c>
      <c r="G1533" s="12">
        <v>40477</v>
      </c>
      <c r="H1533" t="str">
        <f>IFERROR(VLOOKUP(F1533,'LEAID Match'!$A$2:$B$142,2,FALSE),"")</f>
        <v/>
      </c>
    </row>
    <row r="1534" spans="1:8" x14ac:dyDescent="0.2">
      <c r="A1534" t="str">
        <f t="shared" si="23"/>
        <v/>
      </c>
      <c r="B1534" s="1">
        <v>2017</v>
      </c>
      <c r="C1534" s="1" t="s">
        <v>2505</v>
      </c>
      <c r="D1534" s="1" t="s">
        <v>2506</v>
      </c>
      <c r="E1534" s="1" t="s">
        <v>2019</v>
      </c>
      <c r="F1534" s="1" t="s">
        <v>155</v>
      </c>
      <c r="G1534" s="47">
        <v>42474</v>
      </c>
      <c r="H1534" t="str">
        <f>IFERROR(VLOOKUP(F1534,'LEAID Match'!$A$2:$B$142,2,FALSE),"")</f>
        <v/>
      </c>
    </row>
    <row r="1535" spans="1:8" x14ac:dyDescent="0.2">
      <c r="A1535" t="str">
        <f t="shared" si="23"/>
        <v/>
      </c>
      <c r="B1535" s="1">
        <v>2018</v>
      </c>
      <c r="C1535" s="1" t="s">
        <v>2505</v>
      </c>
      <c r="D1535" s="1" t="s">
        <v>2506</v>
      </c>
      <c r="E1535" s="1" t="s">
        <v>2019</v>
      </c>
      <c r="F1535" s="1" t="s">
        <v>155</v>
      </c>
      <c r="G1535" s="6">
        <v>39632</v>
      </c>
      <c r="H1535" t="str">
        <f>IFERROR(VLOOKUP(F1535,'LEAID Match'!$A$2:$B$142,2,FALSE),"")</f>
        <v/>
      </c>
    </row>
    <row r="1536" spans="1:8" x14ac:dyDescent="0.2">
      <c r="A1536" t="str">
        <f t="shared" si="23"/>
        <v/>
      </c>
      <c r="B1536" s="1">
        <v>2019</v>
      </c>
      <c r="C1536" s="1" t="s">
        <v>2505</v>
      </c>
      <c r="D1536" s="1" t="s">
        <v>2506</v>
      </c>
      <c r="E1536" s="1" t="s">
        <v>2019</v>
      </c>
      <c r="F1536" s="1" t="s">
        <v>155</v>
      </c>
      <c r="G1536" s="6">
        <v>40033</v>
      </c>
      <c r="H1536" t="str">
        <f>IFERROR(VLOOKUP(F1536,'LEAID Match'!$A$2:$B$142,2,FALSE),"")</f>
        <v/>
      </c>
    </row>
    <row r="1537" spans="1:8" x14ac:dyDescent="0.2">
      <c r="A1537" t="str">
        <f t="shared" si="23"/>
        <v/>
      </c>
      <c r="B1537" s="1">
        <v>2020</v>
      </c>
      <c r="C1537" s="1" t="s">
        <v>2505</v>
      </c>
      <c r="D1537" s="1" t="s">
        <v>2506</v>
      </c>
      <c r="E1537" s="1" t="s">
        <v>2019</v>
      </c>
      <c r="F1537" s="1" t="s">
        <v>155</v>
      </c>
      <c r="G1537" s="6">
        <v>47788</v>
      </c>
      <c r="H1537" t="str">
        <f>IFERROR(VLOOKUP(F1537,'LEAID Match'!$A$2:$B$142,2,FALSE),"")</f>
        <v/>
      </c>
    </row>
    <row r="1538" spans="1:8" x14ac:dyDescent="0.2">
      <c r="A1538" t="str">
        <f t="shared" si="23"/>
        <v/>
      </c>
      <c r="B1538" s="1">
        <v>2021</v>
      </c>
      <c r="C1538" s="1" t="s">
        <v>2505</v>
      </c>
      <c r="D1538" s="1" t="s">
        <v>2506</v>
      </c>
      <c r="E1538" s="1" t="s">
        <v>2019</v>
      </c>
      <c r="F1538" s="1" t="s">
        <v>155</v>
      </c>
      <c r="G1538" s="6">
        <v>50336</v>
      </c>
      <c r="H1538" t="str">
        <f>IFERROR(VLOOKUP(F1538,'LEAID Match'!$A$2:$B$142,2,FALSE),"")</f>
        <v/>
      </c>
    </row>
    <row r="1539" spans="1:8" x14ac:dyDescent="0.2">
      <c r="A1539" t="str">
        <f t="shared" ref="A1539:A1602" si="24">H1539</f>
        <v/>
      </c>
      <c r="B1539" s="1">
        <v>2022</v>
      </c>
      <c r="C1539" s="1" t="s">
        <v>2505</v>
      </c>
      <c r="D1539" s="1" t="s">
        <v>2506</v>
      </c>
      <c r="E1539" s="1" t="s">
        <v>2019</v>
      </c>
      <c r="F1539" s="1" t="s">
        <v>155</v>
      </c>
      <c r="G1539" s="6">
        <v>47953</v>
      </c>
      <c r="H1539" t="str">
        <f>IFERROR(VLOOKUP(F1539,'LEAID Match'!$A$2:$B$142,2,FALSE),"")</f>
        <v/>
      </c>
    </row>
    <row r="1540" spans="1:8" x14ac:dyDescent="0.2">
      <c r="A1540" t="str">
        <f t="shared" si="24"/>
        <v/>
      </c>
      <c r="B1540" s="1">
        <v>2023</v>
      </c>
      <c r="C1540" s="1" t="s">
        <v>2505</v>
      </c>
      <c r="D1540" s="1" t="s">
        <v>2506</v>
      </c>
      <c r="E1540" s="1" t="s">
        <v>2019</v>
      </c>
      <c r="F1540" s="1" t="s">
        <v>155</v>
      </c>
      <c r="G1540" s="6">
        <v>40312</v>
      </c>
      <c r="H1540" t="str">
        <f>IFERROR(VLOOKUP(F1540,'LEAID Match'!$A$2:$B$142,2,FALSE),"")</f>
        <v/>
      </c>
    </row>
    <row r="1541" spans="1:8" x14ac:dyDescent="0.2">
      <c r="A1541" t="str">
        <f t="shared" si="24"/>
        <v/>
      </c>
      <c r="B1541" s="1">
        <v>2024</v>
      </c>
      <c r="C1541" s="1" t="s">
        <v>2505</v>
      </c>
      <c r="D1541" s="1" t="s">
        <v>2506</v>
      </c>
      <c r="E1541" s="1" t="s">
        <v>2019</v>
      </c>
      <c r="F1541" s="1" t="s">
        <v>155</v>
      </c>
      <c r="G1541" s="6">
        <v>70810</v>
      </c>
      <c r="H1541" t="str">
        <f>IFERROR(VLOOKUP(F1541,'LEAID Match'!$A$2:$B$142,2,FALSE),"")</f>
        <v/>
      </c>
    </row>
    <row r="1542" spans="1:8" x14ac:dyDescent="0.2">
      <c r="A1542">
        <f t="shared" si="24"/>
        <v>2801290</v>
      </c>
      <c r="B1542" s="1">
        <v>2015</v>
      </c>
      <c r="C1542" s="1" t="s">
        <v>2505</v>
      </c>
      <c r="D1542" s="1" t="s">
        <v>2506</v>
      </c>
      <c r="E1542" s="1" t="s">
        <v>2019</v>
      </c>
      <c r="F1542" s="1" t="s">
        <v>156</v>
      </c>
      <c r="G1542" s="6">
        <v>2320357</v>
      </c>
      <c r="H1542">
        <f>IFERROR(VLOOKUP(F1542,'LEAID Match'!$A$2:$B$142,2,FALSE),"")</f>
        <v>2801290</v>
      </c>
    </row>
    <row r="1543" spans="1:8" x14ac:dyDescent="0.2">
      <c r="A1543">
        <f t="shared" si="24"/>
        <v>2801290</v>
      </c>
      <c r="B1543">
        <v>2016</v>
      </c>
      <c r="C1543" s="1" t="s">
        <v>2505</v>
      </c>
      <c r="D1543" s="1" t="s">
        <v>2506</v>
      </c>
      <c r="E1543" s="1" t="s">
        <v>2019</v>
      </c>
      <c r="F1543" s="1" t="s">
        <v>156</v>
      </c>
      <c r="G1543" s="12">
        <v>2403271</v>
      </c>
      <c r="H1543">
        <f>IFERROR(VLOOKUP(F1543,'LEAID Match'!$A$2:$B$142,2,FALSE),"")</f>
        <v>2801290</v>
      </c>
    </row>
    <row r="1544" spans="1:8" x14ac:dyDescent="0.2">
      <c r="A1544">
        <f t="shared" si="24"/>
        <v>2801290</v>
      </c>
      <c r="B1544" s="1">
        <v>2017</v>
      </c>
      <c r="C1544" s="1" t="s">
        <v>2505</v>
      </c>
      <c r="D1544" s="1" t="s">
        <v>2506</v>
      </c>
      <c r="E1544" s="1" t="s">
        <v>2019</v>
      </c>
      <c r="F1544" s="1" t="s">
        <v>156</v>
      </c>
      <c r="G1544" s="50">
        <v>2395106</v>
      </c>
      <c r="H1544">
        <f>IFERROR(VLOOKUP(F1544,'LEAID Match'!$A$2:$B$142,2,FALSE),"")</f>
        <v>2801290</v>
      </c>
    </row>
    <row r="1545" spans="1:8" x14ac:dyDescent="0.2">
      <c r="A1545">
        <f t="shared" si="24"/>
        <v>2801290</v>
      </c>
      <c r="B1545" s="1">
        <v>2018</v>
      </c>
      <c r="C1545" s="1" t="s">
        <v>2505</v>
      </c>
      <c r="D1545" s="1" t="s">
        <v>2506</v>
      </c>
      <c r="E1545" s="1" t="s">
        <v>2019</v>
      </c>
      <c r="F1545" s="1" t="s">
        <v>156</v>
      </c>
      <c r="G1545" s="6">
        <v>2395374</v>
      </c>
      <c r="H1545">
        <f>IFERROR(VLOOKUP(F1545,'LEAID Match'!$A$2:$B$142,2,FALSE),"")</f>
        <v>2801290</v>
      </c>
    </row>
    <row r="1546" spans="1:8" x14ac:dyDescent="0.2">
      <c r="A1546">
        <f t="shared" si="24"/>
        <v>2801290</v>
      </c>
      <c r="B1546" s="1">
        <v>2019</v>
      </c>
      <c r="C1546" s="1" t="s">
        <v>2505</v>
      </c>
      <c r="D1546" s="1" t="s">
        <v>2506</v>
      </c>
      <c r="E1546" s="1" t="s">
        <v>2019</v>
      </c>
      <c r="F1546" s="1" t="s">
        <v>156</v>
      </c>
      <c r="G1546" s="6">
        <v>2409731</v>
      </c>
      <c r="H1546">
        <f>IFERROR(VLOOKUP(F1546,'LEAID Match'!$A$2:$B$142,2,FALSE),"")</f>
        <v>2801290</v>
      </c>
    </row>
    <row r="1547" spans="1:8" x14ac:dyDescent="0.2">
      <c r="A1547">
        <f t="shared" si="24"/>
        <v>2801290</v>
      </c>
      <c r="B1547" s="1">
        <v>2020</v>
      </c>
      <c r="C1547" s="1" t="s">
        <v>2505</v>
      </c>
      <c r="D1547" s="1" t="s">
        <v>2506</v>
      </c>
      <c r="E1547" s="1" t="s">
        <v>2019</v>
      </c>
      <c r="F1547" s="1" t="s">
        <v>156</v>
      </c>
      <c r="G1547" s="6">
        <v>2852571</v>
      </c>
      <c r="H1547">
        <f>IFERROR(VLOOKUP(F1547,'LEAID Match'!$A$2:$B$142,2,FALSE),"")</f>
        <v>2801290</v>
      </c>
    </row>
    <row r="1548" spans="1:8" x14ac:dyDescent="0.2">
      <c r="A1548">
        <f t="shared" si="24"/>
        <v>2801290</v>
      </c>
      <c r="B1548" s="1">
        <v>2021</v>
      </c>
      <c r="C1548" s="1" t="s">
        <v>2505</v>
      </c>
      <c r="D1548" s="1" t="s">
        <v>2506</v>
      </c>
      <c r="E1548" s="1" t="s">
        <v>2019</v>
      </c>
      <c r="F1548" s="1" t="s">
        <v>156</v>
      </c>
      <c r="G1548" s="6">
        <v>2855702</v>
      </c>
      <c r="H1548">
        <f>IFERROR(VLOOKUP(F1548,'LEAID Match'!$A$2:$B$142,2,FALSE),"")</f>
        <v>2801290</v>
      </c>
    </row>
    <row r="1549" spans="1:8" x14ac:dyDescent="0.2">
      <c r="A1549">
        <f t="shared" si="24"/>
        <v>2801290</v>
      </c>
      <c r="B1549" s="1">
        <v>2022</v>
      </c>
      <c r="C1549" s="1" t="s">
        <v>2505</v>
      </c>
      <c r="D1549" s="1" t="s">
        <v>2506</v>
      </c>
      <c r="E1549" s="1" t="s">
        <v>2019</v>
      </c>
      <c r="F1549" s="1" t="s">
        <v>156</v>
      </c>
      <c r="G1549" s="6">
        <v>3092576</v>
      </c>
      <c r="H1549">
        <f>IFERROR(VLOOKUP(F1549,'LEAID Match'!$A$2:$B$142,2,FALSE),"")</f>
        <v>2801290</v>
      </c>
    </row>
    <row r="1550" spans="1:8" x14ac:dyDescent="0.2">
      <c r="A1550">
        <f t="shared" si="24"/>
        <v>2801290</v>
      </c>
      <c r="B1550" s="1">
        <v>2023</v>
      </c>
      <c r="C1550" s="1" t="s">
        <v>2505</v>
      </c>
      <c r="D1550" s="1" t="s">
        <v>2506</v>
      </c>
      <c r="E1550" s="1" t="s">
        <v>2019</v>
      </c>
      <c r="F1550" s="1" t="s">
        <v>156</v>
      </c>
      <c r="G1550" s="6">
        <v>3354402</v>
      </c>
      <c r="H1550">
        <f>IFERROR(VLOOKUP(F1550,'LEAID Match'!$A$2:$B$142,2,FALSE),"")</f>
        <v>2801290</v>
      </c>
    </row>
    <row r="1551" spans="1:8" x14ac:dyDescent="0.2">
      <c r="A1551">
        <f t="shared" si="24"/>
        <v>2801290</v>
      </c>
      <c r="B1551" s="1">
        <v>2024</v>
      </c>
      <c r="C1551" s="1" t="s">
        <v>2505</v>
      </c>
      <c r="D1551" s="1" t="s">
        <v>2506</v>
      </c>
      <c r="E1551" s="1" t="s">
        <v>2019</v>
      </c>
      <c r="F1551" s="1" t="s">
        <v>156</v>
      </c>
      <c r="G1551" s="6">
        <v>3274773</v>
      </c>
      <c r="H1551">
        <f>IFERROR(VLOOKUP(F1551,'LEAID Match'!$A$2:$B$142,2,FALSE),"")</f>
        <v>2801290</v>
      </c>
    </row>
    <row r="1552" spans="1:8" x14ac:dyDescent="0.2">
      <c r="A1552" t="str">
        <f t="shared" si="24"/>
        <v/>
      </c>
      <c r="B1552" s="1">
        <v>2015</v>
      </c>
      <c r="C1552" s="1" t="s">
        <v>2505</v>
      </c>
      <c r="D1552" s="1" t="s">
        <v>2506</v>
      </c>
      <c r="E1552" s="1" t="s">
        <v>2019</v>
      </c>
      <c r="F1552" s="1" t="s">
        <v>157</v>
      </c>
      <c r="G1552" s="6">
        <v>469190</v>
      </c>
      <c r="H1552" t="str">
        <f>IFERROR(VLOOKUP(F1552,'LEAID Match'!$A$2:$B$142,2,FALSE),"")</f>
        <v/>
      </c>
    </row>
    <row r="1553" spans="1:8" x14ac:dyDescent="0.2">
      <c r="A1553" t="str">
        <f t="shared" si="24"/>
        <v/>
      </c>
      <c r="B1553">
        <v>2016</v>
      </c>
      <c r="C1553" s="1" t="s">
        <v>2505</v>
      </c>
      <c r="D1553" s="1" t="s">
        <v>2506</v>
      </c>
      <c r="E1553" s="1" t="s">
        <v>2019</v>
      </c>
      <c r="F1553" s="1" t="s">
        <v>157</v>
      </c>
      <c r="G1553" s="12">
        <v>496394</v>
      </c>
      <c r="H1553" t="str">
        <f>IFERROR(VLOOKUP(F1553,'LEAID Match'!$A$2:$B$142,2,FALSE),"")</f>
        <v/>
      </c>
    </row>
    <row r="1554" spans="1:8" x14ac:dyDescent="0.2">
      <c r="A1554" t="str">
        <f t="shared" si="24"/>
        <v/>
      </c>
      <c r="B1554" s="1">
        <v>2017</v>
      </c>
      <c r="C1554" s="1" t="s">
        <v>2505</v>
      </c>
      <c r="D1554" s="1" t="s">
        <v>2506</v>
      </c>
      <c r="E1554" s="1" t="s">
        <v>2019</v>
      </c>
      <c r="F1554" s="1" t="s">
        <v>157</v>
      </c>
      <c r="G1554" s="50">
        <v>511191</v>
      </c>
      <c r="H1554" t="str">
        <f>IFERROR(VLOOKUP(F1554,'LEAID Match'!$A$2:$B$142,2,FALSE),"")</f>
        <v/>
      </c>
    </row>
    <row r="1555" spans="1:8" x14ac:dyDescent="0.2">
      <c r="A1555" t="str">
        <f t="shared" si="24"/>
        <v/>
      </c>
      <c r="B1555" s="1">
        <v>2018</v>
      </c>
      <c r="C1555" s="1" t="s">
        <v>2505</v>
      </c>
      <c r="D1555" s="1" t="s">
        <v>2506</v>
      </c>
      <c r="E1555" s="1" t="s">
        <v>2019</v>
      </c>
      <c r="F1555" s="1" t="s">
        <v>157</v>
      </c>
      <c r="G1555" s="6">
        <v>537628</v>
      </c>
      <c r="H1555" t="str">
        <f>IFERROR(VLOOKUP(F1555,'LEAID Match'!$A$2:$B$142,2,FALSE),"")</f>
        <v/>
      </c>
    </row>
    <row r="1556" spans="1:8" x14ac:dyDescent="0.2">
      <c r="A1556" t="str">
        <f t="shared" si="24"/>
        <v/>
      </c>
      <c r="B1556" s="1">
        <v>2019</v>
      </c>
      <c r="C1556" s="1" t="s">
        <v>2505</v>
      </c>
      <c r="D1556" s="1" t="s">
        <v>2506</v>
      </c>
      <c r="E1556" s="1" t="s">
        <v>2019</v>
      </c>
      <c r="F1556" s="1" t="s">
        <v>157</v>
      </c>
      <c r="G1556" s="6">
        <v>559726</v>
      </c>
      <c r="H1556" t="str">
        <f>IFERROR(VLOOKUP(F1556,'LEAID Match'!$A$2:$B$142,2,FALSE),"")</f>
        <v/>
      </c>
    </row>
    <row r="1557" spans="1:8" x14ac:dyDescent="0.2">
      <c r="A1557" t="str">
        <f t="shared" si="24"/>
        <v/>
      </c>
      <c r="B1557" s="1">
        <v>2020</v>
      </c>
      <c r="C1557" s="1" t="s">
        <v>2505</v>
      </c>
      <c r="D1557" s="1" t="s">
        <v>2506</v>
      </c>
      <c r="E1557" s="1" t="s">
        <v>2019</v>
      </c>
      <c r="F1557" s="1" t="s">
        <v>157</v>
      </c>
      <c r="G1557" s="6">
        <v>652286</v>
      </c>
      <c r="H1557" t="str">
        <f>IFERROR(VLOOKUP(F1557,'LEAID Match'!$A$2:$B$142,2,FALSE),"")</f>
        <v/>
      </c>
    </row>
    <row r="1558" spans="1:8" x14ac:dyDescent="0.2">
      <c r="A1558" t="str">
        <f t="shared" si="24"/>
        <v/>
      </c>
      <c r="B1558" s="1">
        <v>2021</v>
      </c>
      <c r="C1558" s="1" t="s">
        <v>2505</v>
      </c>
      <c r="D1558" s="1" t="s">
        <v>2506</v>
      </c>
      <c r="E1558" s="1" t="s">
        <v>2019</v>
      </c>
      <c r="F1558" s="1" t="s">
        <v>157</v>
      </c>
      <c r="G1558" s="6">
        <v>701911</v>
      </c>
      <c r="H1558" t="str">
        <f>IFERROR(VLOOKUP(F1558,'LEAID Match'!$A$2:$B$142,2,FALSE),"")</f>
        <v/>
      </c>
    </row>
    <row r="1559" spans="1:8" x14ac:dyDescent="0.2">
      <c r="A1559" t="str">
        <f t="shared" si="24"/>
        <v/>
      </c>
      <c r="B1559" s="1">
        <v>2022</v>
      </c>
      <c r="C1559" s="1" t="s">
        <v>2505</v>
      </c>
      <c r="D1559" s="1" t="s">
        <v>2506</v>
      </c>
      <c r="E1559" s="1" t="s">
        <v>2019</v>
      </c>
      <c r="F1559" s="1" t="s">
        <v>157</v>
      </c>
      <c r="G1559" s="6">
        <v>769558</v>
      </c>
      <c r="H1559" t="str">
        <f>IFERROR(VLOOKUP(F1559,'LEAID Match'!$A$2:$B$142,2,FALSE),"")</f>
        <v/>
      </c>
    </row>
    <row r="1560" spans="1:8" x14ac:dyDescent="0.2">
      <c r="A1560" t="str">
        <f t="shared" si="24"/>
        <v/>
      </c>
      <c r="B1560" s="1">
        <v>2023</v>
      </c>
      <c r="C1560" s="1" t="s">
        <v>2505</v>
      </c>
      <c r="D1560" s="1" t="s">
        <v>2506</v>
      </c>
      <c r="E1560" s="1" t="s">
        <v>2019</v>
      </c>
      <c r="F1560" s="1" t="s">
        <v>157</v>
      </c>
      <c r="G1560" s="6">
        <v>846475</v>
      </c>
      <c r="H1560" t="str">
        <f>IFERROR(VLOOKUP(F1560,'LEAID Match'!$A$2:$B$142,2,FALSE),"")</f>
        <v/>
      </c>
    </row>
    <row r="1561" spans="1:8" x14ac:dyDescent="0.2">
      <c r="A1561" t="str">
        <f t="shared" si="24"/>
        <v/>
      </c>
      <c r="B1561" s="1">
        <v>2024</v>
      </c>
      <c r="C1561" s="1" t="s">
        <v>2505</v>
      </c>
      <c r="D1561" s="1" t="s">
        <v>2506</v>
      </c>
      <c r="E1561" s="1" t="s">
        <v>2019</v>
      </c>
      <c r="F1561" s="1" t="s">
        <v>157</v>
      </c>
      <c r="G1561" s="6">
        <v>898511</v>
      </c>
      <c r="H1561" t="str">
        <f>IFERROR(VLOOKUP(F1561,'LEAID Match'!$A$2:$B$142,2,FALSE),"")</f>
        <v/>
      </c>
    </row>
    <row r="1562" spans="1:8" x14ac:dyDescent="0.2">
      <c r="A1562" t="str">
        <f t="shared" si="24"/>
        <v/>
      </c>
      <c r="B1562" s="1">
        <v>2015</v>
      </c>
      <c r="C1562" s="1" t="s">
        <v>2505</v>
      </c>
      <c r="D1562" s="1" t="s">
        <v>2506</v>
      </c>
      <c r="E1562" s="1" t="s">
        <v>2019</v>
      </c>
      <c r="F1562" s="1" t="s">
        <v>158</v>
      </c>
      <c r="G1562" s="6">
        <v>16467</v>
      </c>
      <c r="H1562" t="str">
        <f>IFERROR(VLOOKUP(F1562,'LEAID Match'!$A$2:$B$142,2,FALSE),"")</f>
        <v/>
      </c>
    </row>
    <row r="1563" spans="1:8" x14ac:dyDescent="0.2">
      <c r="A1563" t="str">
        <f t="shared" si="24"/>
        <v/>
      </c>
      <c r="B1563">
        <v>2016</v>
      </c>
      <c r="C1563" s="1" t="s">
        <v>2505</v>
      </c>
      <c r="D1563" s="1" t="s">
        <v>2506</v>
      </c>
      <c r="E1563" s="1" t="s">
        <v>2019</v>
      </c>
      <c r="F1563" s="1" t="s">
        <v>158</v>
      </c>
      <c r="G1563" s="12">
        <v>17200</v>
      </c>
      <c r="H1563" t="str">
        <f>IFERROR(VLOOKUP(F1563,'LEAID Match'!$A$2:$B$142,2,FALSE),"")</f>
        <v/>
      </c>
    </row>
    <row r="1564" spans="1:8" x14ac:dyDescent="0.2">
      <c r="A1564" t="str">
        <f t="shared" si="24"/>
        <v/>
      </c>
      <c r="B1564" s="1">
        <v>2017</v>
      </c>
      <c r="C1564" s="1" t="s">
        <v>2505</v>
      </c>
      <c r="D1564" s="1" t="s">
        <v>2506</v>
      </c>
      <c r="E1564" s="1" t="s">
        <v>2019</v>
      </c>
      <c r="F1564" s="1" t="s">
        <v>158</v>
      </c>
      <c r="G1564" s="50">
        <v>19003</v>
      </c>
      <c r="H1564" t="str">
        <f>IFERROR(VLOOKUP(F1564,'LEAID Match'!$A$2:$B$142,2,FALSE),"")</f>
        <v/>
      </c>
    </row>
    <row r="1565" spans="1:8" x14ac:dyDescent="0.2">
      <c r="A1565" t="str">
        <f t="shared" si="24"/>
        <v/>
      </c>
      <c r="B1565" s="1">
        <v>2018</v>
      </c>
      <c r="C1565" s="1" t="s">
        <v>2505</v>
      </c>
      <c r="D1565" s="1" t="s">
        <v>2506</v>
      </c>
      <c r="E1565" s="1" t="s">
        <v>2019</v>
      </c>
      <c r="F1565" s="1" t="s">
        <v>158</v>
      </c>
      <c r="G1565" s="6">
        <v>20094</v>
      </c>
      <c r="H1565" t="str">
        <f>IFERROR(VLOOKUP(F1565,'LEAID Match'!$A$2:$B$142,2,FALSE),"")</f>
        <v/>
      </c>
    </row>
    <row r="1566" spans="1:8" x14ac:dyDescent="0.2">
      <c r="A1566" t="str">
        <f t="shared" si="24"/>
        <v/>
      </c>
      <c r="B1566" s="1">
        <v>2019</v>
      </c>
      <c r="C1566" s="1" t="s">
        <v>2505</v>
      </c>
      <c r="D1566" s="1" t="s">
        <v>2506</v>
      </c>
      <c r="E1566" s="1" t="s">
        <v>2019</v>
      </c>
      <c r="F1566" s="1" t="s">
        <v>158</v>
      </c>
      <c r="G1566" s="6">
        <v>19927</v>
      </c>
      <c r="H1566" t="str">
        <f>IFERROR(VLOOKUP(F1566,'LEAID Match'!$A$2:$B$142,2,FALSE),"")</f>
        <v/>
      </c>
    </row>
    <row r="1567" spans="1:8" x14ac:dyDescent="0.2">
      <c r="A1567" t="str">
        <f t="shared" si="24"/>
        <v/>
      </c>
      <c r="B1567" s="1">
        <v>2020</v>
      </c>
      <c r="C1567" s="1" t="s">
        <v>2505</v>
      </c>
      <c r="D1567" s="1" t="s">
        <v>2506</v>
      </c>
      <c r="E1567" s="1" t="s">
        <v>2019</v>
      </c>
      <c r="F1567" s="1" t="s">
        <v>158</v>
      </c>
      <c r="G1567" s="6">
        <v>23056</v>
      </c>
      <c r="H1567" t="str">
        <f>IFERROR(VLOOKUP(F1567,'LEAID Match'!$A$2:$B$142,2,FALSE),"")</f>
        <v/>
      </c>
    </row>
    <row r="1568" spans="1:8" x14ac:dyDescent="0.2">
      <c r="A1568" t="str">
        <f t="shared" si="24"/>
        <v/>
      </c>
      <c r="B1568" s="1">
        <v>2021</v>
      </c>
      <c r="C1568" s="1" t="s">
        <v>2505</v>
      </c>
      <c r="D1568" s="1" t="s">
        <v>2506</v>
      </c>
      <c r="E1568" s="1" t="s">
        <v>2019</v>
      </c>
      <c r="F1568" s="1" t="s">
        <v>158</v>
      </c>
      <c r="G1568" s="6">
        <v>23361</v>
      </c>
      <c r="H1568" t="str">
        <f>IFERROR(VLOOKUP(F1568,'LEAID Match'!$A$2:$B$142,2,FALSE),"")</f>
        <v/>
      </c>
    </row>
    <row r="1569" spans="1:8" x14ac:dyDescent="0.2">
      <c r="A1569" t="str">
        <f t="shared" si="24"/>
        <v/>
      </c>
      <c r="B1569" s="1">
        <v>2022</v>
      </c>
      <c r="C1569" s="1" t="s">
        <v>2505</v>
      </c>
      <c r="D1569" s="1" t="s">
        <v>2506</v>
      </c>
      <c r="E1569" s="1" t="s">
        <v>2019</v>
      </c>
      <c r="F1569" s="1" t="s">
        <v>158</v>
      </c>
      <c r="G1569" s="6">
        <v>23908</v>
      </c>
      <c r="H1569" t="str">
        <f>IFERROR(VLOOKUP(F1569,'LEAID Match'!$A$2:$B$142,2,FALSE),"")</f>
        <v/>
      </c>
    </row>
    <row r="1570" spans="1:8" x14ac:dyDescent="0.2">
      <c r="A1570" t="str">
        <f t="shared" si="24"/>
        <v/>
      </c>
      <c r="B1570" s="1">
        <v>2023</v>
      </c>
      <c r="C1570" s="1" t="s">
        <v>2505</v>
      </c>
      <c r="D1570" s="1" t="s">
        <v>2506</v>
      </c>
      <c r="E1570" s="1" t="s">
        <v>2019</v>
      </c>
      <c r="F1570" s="1" t="s">
        <v>158</v>
      </c>
      <c r="G1570" s="6">
        <v>25715</v>
      </c>
      <c r="H1570" t="str">
        <f>IFERROR(VLOOKUP(F1570,'LEAID Match'!$A$2:$B$142,2,FALSE),"")</f>
        <v/>
      </c>
    </row>
    <row r="1571" spans="1:8" x14ac:dyDescent="0.2">
      <c r="A1571" t="str">
        <f t="shared" si="24"/>
        <v/>
      </c>
      <c r="B1571" s="1">
        <v>2024</v>
      </c>
      <c r="C1571" s="1" t="s">
        <v>2505</v>
      </c>
      <c r="D1571" s="1" t="s">
        <v>2506</v>
      </c>
      <c r="E1571" s="1" t="s">
        <v>2019</v>
      </c>
      <c r="F1571" s="1" t="s">
        <v>158</v>
      </c>
      <c r="G1571" s="6">
        <v>27872</v>
      </c>
      <c r="H1571" t="str">
        <f>IFERROR(VLOOKUP(F1571,'LEAID Match'!$A$2:$B$142,2,FALSE),"")</f>
        <v/>
      </c>
    </row>
    <row r="1572" spans="1:8" x14ac:dyDescent="0.2">
      <c r="A1572" t="str">
        <f t="shared" si="24"/>
        <v/>
      </c>
      <c r="B1572" s="1">
        <v>2015</v>
      </c>
      <c r="C1572" s="1" t="s">
        <v>2505</v>
      </c>
      <c r="D1572" s="1" t="s">
        <v>2506</v>
      </c>
      <c r="E1572" s="1" t="s">
        <v>2019</v>
      </c>
      <c r="F1572" s="1" t="s">
        <v>159</v>
      </c>
      <c r="G1572" s="6">
        <v>3175</v>
      </c>
      <c r="H1572" t="str">
        <f>IFERROR(VLOOKUP(F1572,'LEAID Match'!$A$2:$B$142,2,FALSE),"")</f>
        <v/>
      </c>
    </row>
    <row r="1573" spans="1:8" x14ac:dyDescent="0.2">
      <c r="A1573" t="str">
        <f t="shared" si="24"/>
        <v/>
      </c>
      <c r="B1573">
        <v>2016</v>
      </c>
      <c r="C1573" s="1" t="s">
        <v>2505</v>
      </c>
      <c r="D1573" s="1" t="s">
        <v>2506</v>
      </c>
      <c r="E1573" s="1" t="s">
        <v>2019</v>
      </c>
      <c r="F1573" s="1" t="s">
        <v>159</v>
      </c>
      <c r="G1573" s="12">
        <v>3297</v>
      </c>
      <c r="H1573" t="str">
        <f>IFERROR(VLOOKUP(F1573,'LEAID Match'!$A$2:$B$142,2,FALSE),"")</f>
        <v/>
      </c>
    </row>
    <row r="1574" spans="1:8" x14ac:dyDescent="0.2">
      <c r="A1574" t="str">
        <f t="shared" si="24"/>
        <v/>
      </c>
      <c r="B1574" s="1">
        <v>2017</v>
      </c>
      <c r="C1574" s="1" t="s">
        <v>2505</v>
      </c>
      <c r="D1574" s="1" t="s">
        <v>2506</v>
      </c>
      <c r="E1574" s="1" t="s">
        <v>2019</v>
      </c>
      <c r="F1574" s="1" t="s">
        <v>159</v>
      </c>
      <c r="G1574" s="50">
        <v>3484</v>
      </c>
      <c r="H1574" t="str">
        <f>IFERROR(VLOOKUP(F1574,'LEAID Match'!$A$2:$B$142,2,FALSE),"")</f>
        <v/>
      </c>
    </row>
    <row r="1575" spans="1:8" x14ac:dyDescent="0.2">
      <c r="A1575" t="str">
        <f t="shared" si="24"/>
        <v/>
      </c>
      <c r="B1575" s="1">
        <v>2018</v>
      </c>
      <c r="C1575" s="1" t="s">
        <v>2505</v>
      </c>
      <c r="D1575" s="1" t="s">
        <v>2506</v>
      </c>
      <c r="E1575" s="1" t="s">
        <v>2019</v>
      </c>
      <c r="F1575" s="1" t="s">
        <v>159</v>
      </c>
      <c r="G1575" s="6">
        <v>3616</v>
      </c>
      <c r="H1575" t="str">
        <f>IFERROR(VLOOKUP(F1575,'LEAID Match'!$A$2:$B$142,2,FALSE),"")</f>
        <v/>
      </c>
    </row>
    <row r="1576" spans="1:8" x14ac:dyDescent="0.2">
      <c r="A1576" t="str">
        <f t="shared" si="24"/>
        <v/>
      </c>
      <c r="B1576" s="1">
        <v>2019</v>
      </c>
      <c r="C1576" s="1" t="s">
        <v>2505</v>
      </c>
      <c r="D1576" s="1" t="s">
        <v>2506</v>
      </c>
      <c r="E1576" s="1" t="s">
        <v>2019</v>
      </c>
      <c r="F1576" s="1" t="s">
        <v>159</v>
      </c>
      <c r="G1576" s="6">
        <v>4013</v>
      </c>
      <c r="H1576" t="str">
        <f>IFERROR(VLOOKUP(F1576,'LEAID Match'!$A$2:$B$142,2,FALSE),"")</f>
        <v/>
      </c>
    </row>
    <row r="1577" spans="1:8" x14ac:dyDescent="0.2">
      <c r="A1577" t="str">
        <f t="shared" si="24"/>
        <v/>
      </c>
      <c r="B1577" s="1">
        <v>2020</v>
      </c>
      <c r="C1577" s="1" t="s">
        <v>2505</v>
      </c>
      <c r="D1577" s="1" t="s">
        <v>2506</v>
      </c>
      <c r="E1577" s="1" t="s">
        <v>2019</v>
      </c>
      <c r="F1577" s="1" t="s">
        <v>159</v>
      </c>
      <c r="G1577" s="6">
        <v>4945</v>
      </c>
      <c r="H1577" t="str">
        <f>IFERROR(VLOOKUP(F1577,'LEAID Match'!$A$2:$B$142,2,FALSE),"")</f>
        <v/>
      </c>
    </row>
    <row r="1578" spans="1:8" x14ac:dyDescent="0.2">
      <c r="A1578" t="str">
        <f t="shared" si="24"/>
        <v/>
      </c>
      <c r="B1578" s="1">
        <v>2021</v>
      </c>
      <c r="C1578" s="1" t="s">
        <v>2505</v>
      </c>
      <c r="D1578" s="1" t="s">
        <v>2506</v>
      </c>
      <c r="E1578" s="1" t="s">
        <v>2019</v>
      </c>
      <c r="F1578" s="1" t="s">
        <v>159</v>
      </c>
      <c r="G1578" s="6">
        <v>5384</v>
      </c>
      <c r="H1578" t="str">
        <f>IFERROR(VLOOKUP(F1578,'LEAID Match'!$A$2:$B$142,2,FALSE),"")</f>
        <v/>
      </c>
    </row>
    <row r="1579" spans="1:8" x14ac:dyDescent="0.2">
      <c r="A1579" t="str">
        <f t="shared" si="24"/>
        <v/>
      </c>
      <c r="B1579" s="1">
        <v>2022</v>
      </c>
      <c r="C1579" s="1" t="s">
        <v>2505</v>
      </c>
      <c r="D1579" s="1" t="s">
        <v>2506</v>
      </c>
      <c r="E1579" s="1" t="s">
        <v>2019</v>
      </c>
      <c r="F1579" s="1" t="s">
        <v>159</v>
      </c>
      <c r="G1579" s="6">
        <v>5384</v>
      </c>
      <c r="H1579" t="str">
        <f>IFERROR(VLOOKUP(F1579,'LEAID Match'!$A$2:$B$142,2,FALSE),"")</f>
        <v/>
      </c>
    </row>
    <row r="1580" spans="1:8" x14ac:dyDescent="0.2">
      <c r="A1580" t="str">
        <f t="shared" si="24"/>
        <v/>
      </c>
      <c r="B1580" s="1">
        <v>2023</v>
      </c>
      <c r="C1580" s="1" t="s">
        <v>2505</v>
      </c>
      <c r="D1580" s="1" t="s">
        <v>2506</v>
      </c>
      <c r="E1580" s="1" t="s">
        <v>2019</v>
      </c>
      <c r="F1580" s="1" t="s">
        <v>159</v>
      </c>
      <c r="G1580" s="6">
        <v>5719</v>
      </c>
      <c r="H1580" t="str">
        <f>IFERROR(VLOOKUP(F1580,'LEAID Match'!$A$2:$B$142,2,FALSE),"")</f>
        <v/>
      </c>
    </row>
    <row r="1581" spans="1:8" x14ac:dyDescent="0.2">
      <c r="A1581" t="str">
        <f t="shared" si="24"/>
        <v/>
      </c>
      <c r="B1581" s="1">
        <v>2024</v>
      </c>
      <c r="C1581" s="1" t="s">
        <v>2505</v>
      </c>
      <c r="D1581" s="1" t="s">
        <v>2506</v>
      </c>
      <c r="E1581" s="1" t="s">
        <v>2019</v>
      </c>
      <c r="F1581" s="1" t="s">
        <v>159</v>
      </c>
      <c r="G1581" s="6">
        <v>5862</v>
      </c>
      <c r="H1581" t="str">
        <f>IFERROR(VLOOKUP(F1581,'LEAID Match'!$A$2:$B$142,2,FALSE),"")</f>
        <v/>
      </c>
    </row>
    <row r="1582" spans="1:8" x14ac:dyDescent="0.2">
      <c r="A1582" t="str">
        <f t="shared" si="24"/>
        <v/>
      </c>
      <c r="B1582" s="1">
        <v>2015</v>
      </c>
      <c r="C1582" s="1" t="s">
        <v>2505</v>
      </c>
      <c r="D1582" s="1" t="s">
        <v>2506</v>
      </c>
      <c r="E1582" s="1" t="s">
        <v>2019</v>
      </c>
      <c r="F1582" s="1" t="s">
        <v>160</v>
      </c>
      <c r="G1582" s="6">
        <v>4725</v>
      </c>
      <c r="H1582" t="str">
        <f>IFERROR(VLOOKUP(F1582,'LEAID Match'!$A$2:$B$142,2,FALSE),"")</f>
        <v/>
      </c>
    </row>
    <row r="1583" spans="1:8" x14ac:dyDescent="0.2">
      <c r="A1583" t="str">
        <f t="shared" si="24"/>
        <v/>
      </c>
      <c r="B1583">
        <v>2016</v>
      </c>
      <c r="C1583" s="1" t="s">
        <v>2505</v>
      </c>
      <c r="D1583" s="1" t="s">
        <v>2506</v>
      </c>
      <c r="E1583" s="1" t="s">
        <v>2019</v>
      </c>
      <c r="F1583" s="1" t="s">
        <v>160</v>
      </c>
      <c r="G1583" s="12">
        <v>4300</v>
      </c>
      <c r="H1583" t="str">
        <f>IFERROR(VLOOKUP(F1583,'LEAID Match'!$A$2:$B$142,2,FALSE),"")</f>
        <v/>
      </c>
    </row>
    <row r="1584" spans="1:8" x14ac:dyDescent="0.2">
      <c r="A1584" t="str">
        <f t="shared" si="24"/>
        <v/>
      </c>
      <c r="B1584" s="1">
        <v>2017</v>
      </c>
      <c r="C1584" s="1" t="s">
        <v>2505</v>
      </c>
      <c r="D1584" s="1" t="s">
        <v>2506</v>
      </c>
      <c r="E1584" s="1" t="s">
        <v>2019</v>
      </c>
      <c r="F1584" s="1" t="s">
        <v>160</v>
      </c>
      <c r="G1584" s="50">
        <v>4158</v>
      </c>
      <c r="H1584" t="str">
        <f>IFERROR(VLOOKUP(F1584,'LEAID Match'!$A$2:$B$142,2,FALSE),"")</f>
        <v/>
      </c>
    </row>
    <row r="1585" spans="1:8" x14ac:dyDescent="0.2">
      <c r="A1585" t="str">
        <f t="shared" si="24"/>
        <v/>
      </c>
      <c r="B1585" s="1">
        <v>2018</v>
      </c>
      <c r="C1585" s="1" t="s">
        <v>2505</v>
      </c>
      <c r="D1585" s="1" t="s">
        <v>2506</v>
      </c>
      <c r="E1585" s="1" t="s">
        <v>2019</v>
      </c>
      <c r="F1585" s="1" t="s">
        <v>160</v>
      </c>
      <c r="G1585" s="6">
        <v>6190</v>
      </c>
      <c r="H1585" t="str">
        <f>IFERROR(VLOOKUP(F1585,'LEAID Match'!$A$2:$B$142,2,FALSE),"")</f>
        <v/>
      </c>
    </row>
    <row r="1586" spans="1:8" x14ac:dyDescent="0.2">
      <c r="A1586" t="str">
        <f t="shared" si="24"/>
        <v/>
      </c>
      <c r="B1586" s="1">
        <v>2019</v>
      </c>
      <c r="C1586" s="1" t="s">
        <v>2505</v>
      </c>
      <c r="D1586" s="1" t="s">
        <v>2506</v>
      </c>
      <c r="E1586" s="1" t="s">
        <v>2019</v>
      </c>
      <c r="F1586" s="1" t="s">
        <v>160</v>
      </c>
      <c r="G1586" s="6">
        <v>6162</v>
      </c>
      <c r="H1586" t="str">
        <f>IFERROR(VLOOKUP(F1586,'LEAID Match'!$A$2:$B$142,2,FALSE),"")</f>
        <v/>
      </c>
    </row>
    <row r="1587" spans="1:8" x14ac:dyDescent="0.2">
      <c r="A1587" t="str">
        <f t="shared" si="24"/>
        <v/>
      </c>
      <c r="B1587" s="1">
        <v>2020</v>
      </c>
      <c r="C1587" s="1" t="s">
        <v>2505</v>
      </c>
      <c r="D1587" s="1" t="s">
        <v>2506</v>
      </c>
      <c r="E1587" s="1" t="s">
        <v>2019</v>
      </c>
      <c r="F1587" s="1" t="s">
        <v>160</v>
      </c>
      <c r="G1587" s="6">
        <v>6838</v>
      </c>
      <c r="H1587" t="str">
        <f>IFERROR(VLOOKUP(F1587,'LEAID Match'!$A$2:$B$142,2,FALSE),"")</f>
        <v/>
      </c>
    </row>
    <row r="1588" spans="1:8" x14ac:dyDescent="0.2">
      <c r="A1588" t="str">
        <f t="shared" si="24"/>
        <v/>
      </c>
      <c r="B1588" s="1">
        <v>2021</v>
      </c>
      <c r="C1588" s="1" t="s">
        <v>2505</v>
      </c>
      <c r="D1588" s="1" t="s">
        <v>2506</v>
      </c>
      <c r="E1588" s="1" t="s">
        <v>2019</v>
      </c>
      <c r="F1588" s="1" t="s">
        <v>160</v>
      </c>
      <c r="G1588" s="6">
        <v>6838</v>
      </c>
      <c r="H1588" t="str">
        <f>IFERROR(VLOOKUP(F1588,'LEAID Match'!$A$2:$B$142,2,FALSE),"")</f>
        <v/>
      </c>
    </row>
    <row r="1589" spans="1:8" x14ac:dyDescent="0.2">
      <c r="A1589" t="str">
        <f t="shared" si="24"/>
        <v/>
      </c>
      <c r="B1589" s="1">
        <v>2022</v>
      </c>
      <c r="C1589" s="1" t="s">
        <v>2505</v>
      </c>
      <c r="D1589" s="1" t="s">
        <v>2506</v>
      </c>
      <c r="E1589" s="1" t="s">
        <v>2019</v>
      </c>
      <c r="F1589" s="1" t="s">
        <v>160</v>
      </c>
      <c r="G1589" s="6">
        <v>7700</v>
      </c>
      <c r="H1589" t="str">
        <f>IFERROR(VLOOKUP(F1589,'LEAID Match'!$A$2:$B$142,2,FALSE),"")</f>
        <v/>
      </c>
    </row>
    <row r="1590" spans="1:8" x14ac:dyDescent="0.2">
      <c r="A1590" t="str">
        <f t="shared" si="24"/>
        <v/>
      </c>
      <c r="B1590" s="1">
        <v>2023</v>
      </c>
      <c r="C1590" s="1" t="s">
        <v>2505</v>
      </c>
      <c r="D1590" s="1" t="s">
        <v>2506</v>
      </c>
      <c r="E1590" s="1" t="s">
        <v>2019</v>
      </c>
      <c r="F1590" s="1" t="s">
        <v>160</v>
      </c>
      <c r="G1590" s="6">
        <v>8596</v>
      </c>
      <c r="H1590" t="str">
        <f>IFERROR(VLOOKUP(F1590,'LEAID Match'!$A$2:$B$142,2,FALSE),"")</f>
        <v/>
      </c>
    </row>
    <row r="1591" spans="1:8" x14ac:dyDescent="0.2">
      <c r="A1591" t="str">
        <f t="shared" si="24"/>
        <v/>
      </c>
      <c r="B1591" s="1">
        <v>2024</v>
      </c>
      <c r="C1591" s="1" t="s">
        <v>2505</v>
      </c>
      <c r="D1591" s="1" t="s">
        <v>2506</v>
      </c>
      <c r="E1591" s="1" t="s">
        <v>2019</v>
      </c>
      <c r="F1591" s="1" t="s">
        <v>160</v>
      </c>
      <c r="G1591" s="6">
        <v>9814</v>
      </c>
      <c r="H1591" t="str">
        <f>IFERROR(VLOOKUP(F1591,'LEAID Match'!$A$2:$B$142,2,FALSE),"")</f>
        <v/>
      </c>
    </row>
    <row r="1592" spans="1:8" x14ac:dyDescent="0.2">
      <c r="A1592" t="str">
        <f t="shared" si="24"/>
        <v/>
      </c>
      <c r="B1592" s="1">
        <v>2015</v>
      </c>
      <c r="C1592" s="1" t="s">
        <v>2505</v>
      </c>
      <c r="D1592" s="1" t="s">
        <v>2506</v>
      </c>
      <c r="E1592" s="1" t="s">
        <v>2019</v>
      </c>
      <c r="F1592" s="1" t="s">
        <v>161</v>
      </c>
      <c r="G1592" s="6">
        <v>20535</v>
      </c>
      <c r="H1592" t="str">
        <f>IFERROR(VLOOKUP(F1592,'LEAID Match'!$A$2:$B$142,2,FALSE),"")</f>
        <v/>
      </c>
    </row>
    <row r="1593" spans="1:8" x14ac:dyDescent="0.2">
      <c r="A1593" t="str">
        <f t="shared" si="24"/>
        <v/>
      </c>
      <c r="B1593">
        <v>2016</v>
      </c>
      <c r="C1593" s="1" t="s">
        <v>2505</v>
      </c>
      <c r="D1593" s="1" t="s">
        <v>2506</v>
      </c>
      <c r="E1593" s="1" t="s">
        <v>2019</v>
      </c>
      <c r="F1593" s="1" t="s">
        <v>161</v>
      </c>
      <c r="G1593" s="12">
        <v>21344</v>
      </c>
      <c r="H1593" t="str">
        <f>IFERROR(VLOOKUP(F1593,'LEAID Match'!$A$2:$B$142,2,FALSE),"")</f>
        <v/>
      </c>
    </row>
    <row r="1594" spans="1:8" x14ac:dyDescent="0.2">
      <c r="A1594" t="str">
        <f t="shared" si="24"/>
        <v/>
      </c>
      <c r="B1594" s="1">
        <v>2017</v>
      </c>
      <c r="C1594" s="1" t="s">
        <v>2505</v>
      </c>
      <c r="D1594" s="1" t="s">
        <v>2506</v>
      </c>
      <c r="E1594" s="1" t="s">
        <v>2019</v>
      </c>
      <c r="F1594" s="1" t="s">
        <v>161</v>
      </c>
      <c r="G1594" s="50">
        <v>22180</v>
      </c>
      <c r="H1594" t="str">
        <f>IFERROR(VLOOKUP(F1594,'LEAID Match'!$A$2:$B$142,2,FALSE),"")</f>
        <v/>
      </c>
    </row>
    <row r="1595" spans="1:8" x14ac:dyDescent="0.2">
      <c r="A1595" t="str">
        <f t="shared" si="24"/>
        <v/>
      </c>
      <c r="B1595" s="1">
        <v>2018</v>
      </c>
      <c r="C1595" s="1" t="s">
        <v>2505</v>
      </c>
      <c r="D1595" s="1" t="s">
        <v>2506</v>
      </c>
      <c r="E1595" s="1" t="s">
        <v>2019</v>
      </c>
      <c r="F1595" s="1" t="s">
        <v>161</v>
      </c>
      <c r="G1595" s="6">
        <v>19193</v>
      </c>
      <c r="H1595" t="str">
        <f>IFERROR(VLOOKUP(F1595,'LEAID Match'!$A$2:$B$142,2,FALSE),"")</f>
        <v/>
      </c>
    </row>
    <row r="1596" spans="1:8" x14ac:dyDescent="0.2">
      <c r="A1596" t="str">
        <f t="shared" si="24"/>
        <v/>
      </c>
      <c r="B1596" s="1">
        <v>2019</v>
      </c>
      <c r="C1596" s="1" t="s">
        <v>2505</v>
      </c>
      <c r="D1596" s="1" t="s">
        <v>2506</v>
      </c>
      <c r="E1596" s="1" t="s">
        <v>2019</v>
      </c>
      <c r="F1596" s="1" t="s">
        <v>161</v>
      </c>
      <c r="G1596" s="6">
        <v>18372</v>
      </c>
      <c r="H1596" t="str">
        <f>IFERROR(VLOOKUP(F1596,'LEAID Match'!$A$2:$B$142,2,FALSE),"")</f>
        <v/>
      </c>
    </row>
    <row r="1597" spans="1:8" x14ac:dyDescent="0.2">
      <c r="A1597" t="str">
        <f t="shared" si="24"/>
        <v/>
      </c>
      <c r="B1597" s="1">
        <v>2020</v>
      </c>
      <c r="C1597" s="1" t="s">
        <v>2505</v>
      </c>
      <c r="D1597" s="1" t="s">
        <v>2506</v>
      </c>
      <c r="E1597" s="1" t="s">
        <v>2019</v>
      </c>
      <c r="F1597" s="1" t="s">
        <v>161</v>
      </c>
      <c r="G1597" s="6">
        <v>19896</v>
      </c>
      <c r="H1597" t="str">
        <f>IFERROR(VLOOKUP(F1597,'LEAID Match'!$A$2:$B$142,2,FALSE),"")</f>
        <v/>
      </c>
    </row>
    <row r="1598" spans="1:8" x14ac:dyDescent="0.2">
      <c r="A1598" t="str">
        <f t="shared" si="24"/>
        <v/>
      </c>
      <c r="B1598" s="1">
        <v>2021</v>
      </c>
      <c r="C1598" s="1" t="s">
        <v>2505</v>
      </c>
      <c r="D1598" s="1" t="s">
        <v>2506</v>
      </c>
      <c r="E1598" s="1" t="s">
        <v>2019</v>
      </c>
      <c r="F1598" s="1" t="s">
        <v>161</v>
      </c>
      <c r="G1598" s="6">
        <v>21764</v>
      </c>
      <c r="H1598" t="str">
        <f>IFERROR(VLOOKUP(F1598,'LEAID Match'!$A$2:$B$142,2,FALSE),"")</f>
        <v/>
      </c>
    </row>
    <row r="1599" spans="1:8" x14ac:dyDescent="0.2">
      <c r="A1599" t="str">
        <f t="shared" si="24"/>
        <v/>
      </c>
      <c r="B1599" s="1">
        <v>2022</v>
      </c>
      <c r="C1599" s="1" t="s">
        <v>2505</v>
      </c>
      <c r="D1599" s="1" t="s">
        <v>2506</v>
      </c>
      <c r="E1599" s="1" t="s">
        <v>2019</v>
      </c>
      <c r="F1599" s="1" t="s">
        <v>161</v>
      </c>
      <c r="G1599" s="6">
        <v>16381</v>
      </c>
      <c r="H1599" t="str">
        <f>IFERROR(VLOOKUP(F1599,'LEAID Match'!$A$2:$B$142,2,FALSE),"")</f>
        <v/>
      </c>
    </row>
    <row r="1600" spans="1:8" x14ac:dyDescent="0.2">
      <c r="A1600" t="str">
        <f t="shared" si="24"/>
        <v/>
      </c>
      <c r="B1600" s="1">
        <v>2023</v>
      </c>
      <c r="C1600" s="1" t="s">
        <v>2505</v>
      </c>
      <c r="D1600" s="1" t="s">
        <v>2506</v>
      </c>
      <c r="E1600" s="1" t="s">
        <v>2019</v>
      </c>
      <c r="F1600" s="1" t="s">
        <v>161</v>
      </c>
      <c r="G1600" s="6">
        <v>8881</v>
      </c>
      <c r="H1600" t="str">
        <f>IFERROR(VLOOKUP(F1600,'LEAID Match'!$A$2:$B$142,2,FALSE),"")</f>
        <v/>
      </c>
    </row>
    <row r="1601" spans="1:8" x14ac:dyDescent="0.2">
      <c r="A1601" t="str">
        <f t="shared" si="24"/>
        <v/>
      </c>
      <c r="B1601" s="1">
        <v>2024</v>
      </c>
      <c r="C1601" s="1" t="s">
        <v>2505</v>
      </c>
      <c r="D1601" s="1" t="s">
        <v>2506</v>
      </c>
      <c r="E1601" s="1" t="s">
        <v>2019</v>
      </c>
      <c r="F1601" s="1" t="s">
        <v>161</v>
      </c>
      <c r="G1601" s="6">
        <v>14767</v>
      </c>
      <c r="H1601" t="str">
        <f>IFERROR(VLOOKUP(F1601,'LEAID Match'!$A$2:$B$142,2,FALSE),"")</f>
        <v/>
      </c>
    </row>
    <row r="1602" spans="1:8" x14ac:dyDescent="0.2">
      <c r="A1602" t="str">
        <f t="shared" si="24"/>
        <v/>
      </c>
      <c r="B1602" s="1">
        <v>2015</v>
      </c>
      <c r="C1602" s="1" t="s">
        <v>2505</v>
      </c>
      <c r="D1602" s="1" t="s">
        <v>2506</v>
      </c>
      <c r="E1602" s="1" t="s">
        <v>2019</v>
      </c>
      <c r="F1602" s="1" t="s">
        <v>162</v>
      </c>
      <c r="G1602" s="6">
        <v>805</v>
      </c>
      <c r="H1602" t="str">
        <f>IFERROR(VLOOKUP(F1602,'LEAID Match'!$A$2:$B$142,2,FALSE),"")</f>
        <v/>
      </c>
    </row>
    <row r="1603" spans="1:8" x14ac:dyDescent="0.2">
      <c r="A1603" t="str">
        <f t="shared" ref="A1603:A1666" si="25">H1603</f>
        <v/>
      </c>
      <c r="B1603">
        <v>2016</v>
      </c>
      <c r="C1603" s="1" t="s">
        <v>2505</v>
      </c>
      <c r="D1603" s="1" t="s">
        <v>2506</v>
      </c>
      <c r="E1603" s="1" t="s">
        <v>2019</v>
      </c>
      <c r="F1603" s="1" t="s">
        <v>162</v>
      </c>
      <c r="G1603" s="12">
        <v>869</v>
      </c>
      <c r="H1603" t="str">
        <f>IFERROR(VLOOKUP(F1603,'LEAID Match'!$A$2:$B$142,2,FALSE),"")</f>
        <v/>
      </c>
    </row>
    <row r="1604" spans="1:8" x14ac:dyDescent="0.2">
      <c r="A1604" t="str">
        <f t="shared" si="25"/>
        <v/>
      </c>
      <c r="B1604" s="1">
        <v>2017</v>
      </c>
      <c r="C1604" s="1" t="s">
        <v>2505</v>
      </c>
      <c r="D1604" s="1" t="s">
        <v>2506</v>
      </c>
      <c r="E1604" s="1" t="s">
        <v>2019</v>
      </c>
      <c r="F1604" s="1" t="s">
        <v>162</v>
      </c>
      <c r="G1604" s="50">
        <v>869</v>
      </c>
      <c r="H1604" t="str">
        <f>IFERROR(VLOOKUP(F1604,'LEAID Match'!$A$2:$B$142,2,FALSE),"")</f>
        <v/>
      </c>
    </row>
    <row r="1605" spans="1:8" x14ac:dyDescent="0.2">
      <c r="A1605" t="str">
        <f t="shared" si="25"/>
        <v/>
      </c>
      <c r="B1605" s="1">
        <v>2018</v>
      </c>
      <c r="C1605" s="1" t="s">
        <v>2505</v>
      </c>
      <c r="D1605" s="1" t="s">
        <v>2506</v>
      </c>
      <c r="E1605" s="1" t="s">
        <v>2019</v>
      </c>
      <c r="F1605" s="1" t="s">
        <v>162</v>
      </c>
      <c r="G1605" s="6">
        <v>1584</v>
      </c>
      <c r="H1605" t="str">
        <f>IFERROR(VLOOKUP(F1605,'LEAID Match'!$A$2:$B$142,2,FALSE),"")</f>
        <v/>
      </c>
    </row>
    <row r="1606" spans="1:8" x14ac:dyDescent="0.2">
      <c r="A1606" t="str">
        <f t="shared" si="25"/>
        <v/>
      </c>
      <c r="B1606" s="1">
        <v>2019</v>
      </c>
      <c r="C1606" s="1" t="s">
        <v>2505</v>
      </c>
      <c r="D1606" s="1" t="s">
        <v>2506</v>
      </c>
      <c r="E1606" s="1" t="s">
        <v>2019</v>
      </c>
      <c r="F1606" s="1" t="s">
        <v>162</v>
      </c>
      <c r="G1606" s="6">
        <v>4662</v>
      </c>
      <c r="H1606" t="str">
        <f>IFERROR(VLOOKUP(F1606,'LEAID Match'!$A$2:$B$142,2,FALSE),"")</f>
        <v/>
      </c>
    </row>
    <row r="1607" spans="1:8" x14ac:dyDescent="0.2">
      <c r="A1607" t="str">
        <f t="shared" si="25"/>
        <v/>
      </c>
      <c r="B1607" s="1">
        <v>2020</v>
      </c>
      <c r="C1607" s="1" t="s">
        <v>2505</v>
      </c>
      <c r="D1607" s="1" t="s">
        <v>2506</v>
      </c>
      <c r="E1607" s="1" t="s">
        <v>2019</v>
      </c>
      <c r="F1607" s="1" t="s">
        <v>162</v>
      </c>
      <c r="G1607" s="6">
        <v>5046</v>
      </c>
      <c r="H1607" t="str">
        <f>IFERROR(VLOOKUP(F1607,'LEAID Match'!$A$2:$B$142,2,FALSE),"")</f>
        <v/>
      </c>
    </row>
    <row r="1608" spans="1:8" x14ac:dyDescent="0.2">
      <c r="A1608" t="str">
        <f t="shared" si="25"/>
        <v/>
      </c>
      <c r="B1608" s="1">
        <v>2021</v>
      </c>
      <c r="C1608" s="1" t="s">
        <v>2505</v>
      </c>
      <c r="D1608" s="1" t="s">
        <v>2506</v>
      </c>
      <c r="E1608" s="1" t="s">
        <v>2019</v>
      </c>
      <c r="F1608" s="1" t="s">
        <v>162</v>
      </c>
      <c r="G1608" s="6">
        <v>4437</v>
      </c>
      <c r="H1608" t="str">
        <f>IFERROR(VLOOKUP(F1608,'LEAID Match'!$A$2:$B$142,2,FALSE),"")</f>
        <v/>
      </c>
    </row>
    <row r="1609" spans="1:8" x14ac:dyDescent="0.2">
      <c r="A1609" t="str">
        <f t="shared" si="25"/>
        <v/>
      </c>
      <c r="B1609" s="1">
        <v>2022</v>
      </c>
      <c r="C1609" s="1" t="s">
        <v>2505</v>
      </c>
      <c r="D1609" s="1" t="s">
        <v>2506</v>
      </c>
      <c r="E1609" s="1" t="s">
        <v>2019</v>
      </c>
      <c r="F1609" s="1" t="s">
        <v>162</v>
      </c>
      <c r="G1609" s="6">
        <v>4519</v>
      </c>
      <c r="H1609" t="str">
        <f>IFERROR(VLOOKUP(F1609,'LEAID Match'!$A$2:$B$142,2,FALSE),"")</f>
        <v/>
      </c>
    </row>
    <row r="1610" spans="1:8" x14ac:dyDescent="0.2">
      <c r="A1610" t="str">
        <f t="shared" si="25"/>
        <v/>
      </c>
      <c r="B1610" s="1">
        <v>2023</v>
      </c>
      <c r="C1610" s="1" t="s">
        <v>2505</v>
      </c>
      <c r="D1610" s="1" t="s">
        <v>2506</v>
      </c>
      <c r="E1610" s="1" t="s">
        <v>2019</v>
      </c>
      <c r="F1610" s="1" t="s">
        <v>162</v>
      </c>
      <c r="G1610" s="6">
        <v>4871</v>
      </c>
      <c r="H1610" t="str">
        <f>IFERROR(VLOOKUP(F1610,'LEAID Match'!$A$2:$B$142,2,FALSE),"")</f>
        <v/>
      </c>
    </row>
    <row r="1611" spans="1:8" x14ac:dyDescent="0.2">
      <c r="A1611" t="str">
        <f t="shared" si="25"/>
        <v/>
      </c>
      <c r="B1611" s="1">
        <v>2024</v>
      </c>
      <c r="C1611" s="1" t="s">
        <v>2505</v>
      </c>
      <c r="D1611" s="1" t="s">
        <v>2506</v>
      </c>
      <c r="E1611" s="1" t="s">
        <v>2019</v>
      </c>
      <c r="F1611" s="1" t="s">
        <v>162</v>
      </c>
      <c r="G1611" s="6">
        <v>6070</v>
      </c>
      <c r="H1611" t="str">
        <f>IFERROR(VLOOKUP(F1611,'LEAID Match'!$A$2:$B$142,2,FALSE),"")</f>
        <v/>
      </c>
    </row>
    <row r="1612" spans="1:8" x14ac:dyDescent="0.2">
      <c r="A1612" t="str">
        <f t="shared" si="25"/>
        <v/>
      </c>
      <c r="B1612" s="1">
        <v>2015</v>
      </c>
      <c r="C1612" s="1" t="s">
        <v>2505</v>
      </c>
      <c r="D1612" s="1" t="s">
        <v>2506</v>
      </c>
      <c r="E1612" s="1" t="s">
        <v>2019</v>
      </c>
      <c r="F1612" s="1" t="s">
        <v>163</v>
      </c>
      <c r="G1612" s="6">
        <v>212504</v>
      </c>
      <c r="H1612" t="str">
        <f>IFERROR(VLOOKUP(F1612,'LEAID Match'!$A$2:$B$142,2,FALSE),"")</f>
        <v/>
      </c>
    </row>
    <row r="1613" spans="1:8" x14ac:dyDescent="0.2">
      <c r="A1613" t="str">
        <f t="shared" si="25"/>
        <v/>
      </c>
      <c r="B1613">
        <v>2016</v>
      </c>
      <c r="C1613" s="1" t="s">
        <v>2505</v>
      </c>
      <c r="D1613" s="1" t="s">
        <v>2506</v>
      </c>
      <c r="E1613" s="1" t="s">
        <v>2019</v>
      </c>
      <c r="F1613" s="1" t="s">
        <v>163</v>
      </c>
      <c r="G1613" s="12">
        <v>206976</v>
      </c>
      <c r="H1613" t="str">
        <f>IFERROR(VLOOKUP(F1613,'LEAID Match'!$A$2:$B$142,2,FALSE),"")</f>
        <v/>
      </c>
    </row>
    <row r="1614" spans="1:8" x14ac:dyDescent="0.2">
      <c r="A1614" t="str">
        <f t="shared" si="25"/>
        <v/>
      </c>
      <c r="B1614" s="1">
        <v>2017</v>
      </c>
      <c r="C1614" s="1" t="s">
        <v>2505</v>
      </c>
      <c r="D1614" s="1" t="s">
        <v>2506</v>
      </c>
      <c r="E1614" s="1" t="s">
        <v>2019</v>
      </c>
      <c r="F1614" s="1" t="s">
        <v>163</v>
      </c>
      <c r="G1614" s="50">
        <v>228127</v>
      </c>
      <c r="H1614" t="str">
        <f>IFERROR(VLOOKUP(F1614,'LEAID Match'!$A$2:$B$142,2,FALSE),"")</f>
        <v/>
      </c>
    </row>
    <row r="1615" spans="1:8" x14ac:dyDescent="0.2">
      <c r="A1615" t="str">
        <f t="shared" si="25"/>
        <v/>
      </c>
      <c r="B1615" s="1">
        <v>2018</v>
      </c>
      <c r="C1615" s="1" t="s">
        <v>2505</v>
      </c>
      <c r="D1615" s="1" t="s">
        <v>2506</v>
      </c>
      <c r="E1615" s="1" t="s">
        <v>2019</v>
      </c>
      <c r="F1615" s="1" t="s">
        <v>163</v>
      </c>
      <c r="G1615" s="6">
        <v>228136</v>
      </c>
      <c r="H1615" t="str">
        <f>IFERROR(VLOOKUP(F1615,'LEAID Match'!$A$2:$B$142,2,FALSE),"")</f>
        <v/>
      </c>
    </row>
    <row r="1616" spans="1:8" x14ac:dyDescent="0.2">
      <c r="A1616" t="str">
        <f t="shared" si="25"/>
        <v/>
      </c>
      <c r="B1616" s="1">
        <v>2019</v>
      </c>
      <c r="C1616" s="1" t="s">
        <v>2505</v>
      </c>
      <c r="D1616" s="1" t="s">
        <v>2506</v>
      </c>
      <c r="E1616" s="1" t="s">
        <v>2019</v>
      </c>
      <c r="F1616" s="1" t="s">
        <v>163</v>
      </c>
      <c r="G1616" s="6">
        <v>220637</v>
      </c>
      <c r="H1616" t="str">
        <f>IFERROR(VLOOKUP(F1616,'LEAID Match'!$A$2:$B$142,2,FALSE),"")</f>
        <v/>
      </c>
    </row>
    <row r="1617" spans="1:8" x14ac:dyDescent="0.2">
      <c r="A1617" t="str">
        <f t="shared" si="25"/>
        <v/>
      </c>
      <c r="B1617" s="1">
        <v>2020</v>
      </c>
      <c r="C1617" s="1" t="s">
        <v>2505</v>
      </c>
      <c r="D1617" s="1" t="s">
        <v>2506</v>
      </c>
      <c r="E1617" s="1" t="s">
        <v>2019</v>
      </c>
      <c r="F1617" s="1" t="s">
        <v>163</v>
      </c>
      <c r="G1617" s="6">
        <v>240518</v>
      </c>
      <c r="H1617" t="str">
        <f>IFERROR(VLOOKUP(F1617,'LEAID Match'!$A$2:$B$142,2,FALSE),"")</f>
        <v/>
      </c>
    </row>
    <row r="1618" spans="1:8" x14ac:dyDescent="0.2">
      <c r="A1618" t="str">
        <f t="shared" si="25"/>
        <v/>
      </c>
      <c r="B1618" s="1">
        <v>2021</v>
      </c>
      <c r="C1618" s="1" t="s">
        <v>2505</v>
      </c>
      <c r="D1618" s="1" t="s">
        <v>2506</v>
      </c>
      <c r="E1618" s="1" t="s">
        <v>2019</v>
      </c>
      <c r="F1618" s="1" t="s">
        <v>163</v>
      </c>
      <c r="G1618" s="6">
        <v>242232</v>
      </c>
      <c r="H1618" t="str">
        <f>IFERROR(VLOOKUP(F1618,'LEAID Match'!$A$2:$B$142,2,FALSE),"")</f>
        <v/>
      </c>
    </row>
    <row r="1619" spans="1:8" x14ac:dyDescent="0.2">
      <c r="A1619" t="str">
        <f t="shared" si="25"/>
        <v/>
      </c>
      <c r="B1619" s="1">
        <v>2022</v>
      </c>
      <c r="C1619" s="1" t="s">
        <v>2505</v>
      </c>
      <c r="D1619" s="1" t="s">
        <v>2506</v>
      </c>
      <c r="E1619" s="1" t="s">
        <v>2019</v>
      </c>
      <c r="F1619" s="1" t="s">
        <v>163</v>
      </c>
      <c r="G1619" s="6">
        <v>256439</v>
      </c>
      <c r="H1619" t="str">
        <f>IFERROR(VLOOKUP(F1619,'LEAID Match'!$A$2:$B$142,2,FALSE),"")</f>
        <v/>
      </c>
    </row>
    <row r="1620" spans="1:8" x14ac:dyDescent="0.2">
      <c r="A1620" t="str">
        <f t="shared" si="25"/>
        <v/>
      </c>
      <c r="B1620" s="1">
        <v>2023</v>
      </c>
      <c r="C1620" s="1" t="s">
        <v>2505</v>
      </c>
      <c r="D1620" s="1" t="s">
        <v>2506</v>
      </c>
      <c r="E1620" s="1" t="s">
        <v>2019</v>
      </c>
      <c r="F1620" s="1" t="s">
        <v>163</v>
      </c>
      <c r="G1620" s="6">
        <v>274305</v>
      </c>
      <c r="H1620" t="str">
        <f>IFERROR(VLOOKUP(F1620,'LEAID Match'!$A$2:$B$142,2,FALSE),"")</f>
        <v/>
      </c>
    </row>
    <row r="1621" spans="1:8" x14ac:dyDescent="0.2">
      <c r="A1621" t="str">
        <f t="shared" si="25"/>
        <v/>
      </c>
      <c r="B1621" s="1">
        <v>2024</v>
      </c>
      <c r="C1621" s="1" t="s">
        <v>2505</v>
      </c>
      <c r="D1621" s="1" t="s">
        <v>2506</v>
      </c>
      <c r="E1621" s="1" t="s">
        <v>2019</v>
      </c>
      <c r="F1621" s="1" t="s">
        <v>163</v>
      </c>
      <c r="G1621" s="6">
        <v>257814</v>
      </c>
      <c r="H1621" t="str">
        <f>IFERROR(VLOOKUP(F1621,'LEAID Match'!$A$2:$B$142,2,FALSE),"")</f>
        <v/>
      </c>
    </row>
    <row r="1622" spans="1:8" x14ac:dyDescent="0.2">
      <c r="A1622" t="str">
        <f t="shared" si="25"/>
        <v/>
      </c>
      <c r="B1622" s="1">
        <v>2015</v>
      </c>
      <c r="C1622" s="1" t="s">
        <v>2505</v>
      </c>
      <c r="D1622" s="1" t="s">
        <v>2506</v>
      </c>
      <c r="E1622" s="1" t="s">
        <v>2019</v>
      </c>
      <c r="F1622" s="1" t="s">
        <v>164</v>
      </c>
      <c r="G1622" s="6">
        <v>85313</v>
      </c>
      <c r="H1622" t="str">
        <f>IFERROR(VLOOKUP(F1622,'LEAID Match'!$A$2:$B$142,2,FALSE),"")</f>
        <v/>
      </c>
    </row>
    <row r="1623" spans="1:8" x14ac:dyDescent="0.2">
      <c r="A1623" t="str">
        <f t="shared" si="25"/>
        <v/>
      </c>
      <c r="B1623">
        <v>2016</v>
      </c>
      <c r="C1623" s="1" t="s">
        <v>2505</v>
      </c>
      <c r="D1623" s="1" t="s">
        <v>2506</v>
      </c>
      <c r="E1623" s="1" t="s">
        <v>2019</v>
      </c>
      <c r="F1623" s="1" t="s">
        <v>164</v>
      </c>
      <c r="G1623" s="12">
        <v>79671</v>
      </c>
      <c r="H1623" t="str">
        <f>IFERROR(VLOOKUP(F1623,'LEAID Match'!$A$2:$B$142,2,FALSE),"")</f>
        <v/>
      </c>
    </row>
    <row r="1624" spans="1:8" x14ac:dyDescent="0.2">
      <c r="A1624" t="str">
        <f t="shared" si="25"/>
        <v/>
      </c>
      <c r="B1624" s="1">
        <v>2017</v>
      </c>
      <c r="C1624" s="1" t="s">
        <v>2505</v>
      </c>
      <c r="D1624" s="1" t="s">
        <v>2506</v>
      </c>
      <c r="E1624" s="1" t="s">
        <v>2019</v>
      </c>
      <c r="F1624" s="1" t="s">
        <v>164</v>
      </c>
      <c r="G1624" s="50">
        <v>82276</v>
      </c>
      <c r="H1624" t="str">
        <f>IFERROR(VLOOKUP(F1624,'LEAID Match'!$A$2:$B$142,2,FALSE),"")</f>
        <v/>
      </c>
    </row>
    <row r="1625" spans="1:8" x14ac:dyDescent="0.2">
      <c r="A1625" t="str">
        <f t="shared" si="25"/>
        <v/>
      </c>
      <c r="B1625" s="1">
        <v>2018</v>
      </c>
      <c r="C1625" s="1" t="s">
        <v>2505</v>
      </c>
      <c r="D1625" s="1" t="s">
        <v>2506</v>
      </c>
      <c r="E1625" s="1" t="s">
        <v>2019</v>
      </c>
      <c r="F1625" s="1" t="s">
        <v>164</v>
      </c>
      <c r="G1625" s="6">
        <v>83170</v>
      </c>
      <c r="H1625" t="str">
        <f>IFERROR(VLOOKUP(F1625,'LEAID Match'!$A$2:$B$142,2,FALSE),"")</f>
        <v/>
      </c>
    </row>
    <row r="1626" spans="1:8" x14ac:dyDescent="0.2">
      <c r="A1626" t="str">
        <f t="shared" si="25"/>
        <v/>
      </c>
      <c r="B1626" s="1">
        <v>2019</v>
      </c>
      <c r="C1626" s="1" t="s">
        <v>2505</v>
      </c>
      <c r="D1626" s="1" t="s">
        <v>2506</v>
      </c>
      <c r="E1626" s="1" t="s">
        <v>2019</v>
      </c>
      <c r="F1626" s="1" t="s">
        <v>164</v>
      </c>
      <c r="G1626" s="6">
        <v>84594</v>
      </c>
      <c r="H1626" t="str">
        <f>IFERROR(VLOOKUP(F1626,'LEAID Match'!$A$2:$B$142,2,FALSE),"")</f>
        <v/>
      </c>
    </row>
    <row r="1627" spans="1:8" x14ac:dyDescent="0.2">
      <c r="A1627" t="str">
        <f t="shared" si="25"/>
        <v/>
      </c>
      <c r="B1627" s="1">
        <v>2020</v>
      </c>
      <c r="C1627" s="1" t="s">
        <v>2505</v>
      </c>
      <c r="D1627" s="1" t="s">
        <v>2506</v>
      </c>
      <c r="E1627" s="1" t="s">
        <v>2019</v>
      </c>
      <c r="F1627" s="1" t="s">
        <v>164</v>
      </c>
      <c r="G1627" s="6">
        <v>92531</v>
      </c>
      <c r="H1627" t="str">
        <f>IFERROR(VLOOKUP(F1627,'LEAID Match'!$A$2:$B$142,2,FALSE),"")</f>
        <v/>
      </c>
    </row>
    <row r="1628" spans="1:8" x14ac:dyDescent="0.2">
      <c r="A1628" t="str">
        <f t="shared" si="25"/>
        <v/>
      </c>
      <c r="B1628" s="1">
        <v>2021</v>
      </c>
      <c r="C1628" s="1" t="s">
        <v>2505</v>
      </c>
      <c r="D1628" s="1" t="s">
        <v>2506</v>
      </c>
      <c r="E1628" s="1" t="s">
        <v>2019</v>
      </c>
      <c r="F1628" s="1" t="s">
        <v>164</v>
      </c>
      <c r="G1628" s="6">
        <v>99484</v>
      </c>
      <c r="H1628" t="str">
        <f>IFERROR(VLOOKUP(F1628,'LEAID Match'!$A$2:$B$142,2,FALSE),"")</f>
        <v/>
      </c>
    </row>
    <row r="1629" spans="1:8" x14ac:dyDescent="0.2">
      <c r="A1629" t="str">
        <f t="shared" si="25"/>
        <v/>
      </c>
      <c r="B1629" s="1">
        <v>2022</v>
      </c>
      <c r="C1629" s="1" t="s">
        <v>2505</v>
      </c>
      <c r="D1629" s="1" t="s">
        <v>2506</v>
      </c>
      <c r="E1629" s="1" t="s">
        <v>2019</v>
      </c>
      <c r="F1629" s="1" t="s">
        <v>164</v>
      </c>
      <c r="G1629" s="6">
        <v>113110</v>
      </c>
      <c r="H1629" t="str">
        <f>IFERROR(VLOOKUP(F1629,'LEAID Match'!$A$2:$B$142,2,FALSE),"")</f>
        <v/>
      </c>
    </row>
    <row r="1630" spans="1:8" x14ac:dyDescent="0.2">
      <c r="A1630" t="str">
        <f t="shared" si="25"/>
        <v/>
      </c>
      <c r="B1630" s="1">
        <v>2023</v>
      </c>
      <c r="C1630" s="1" t="s">
        <v>2505</v>
      </c>
      <c r="D1630" s="1" t="s">
        <v>2506</v>
      </c>
      <c r="E1630" s="1" t="s">
        <v>2019</v>
      </c>
      <c r="F1630" s="1" t="s">
        <v>164</v>
      </c>
      <c r="G1630" s="6">
        <v>121013</v>
      </c>
      <c r="H1630" t="str">
        <f>IFERROR(VLOOKUP(F1630,'LEAID Match'!$A$2:$B$142,2,FALSE),"")</f>
        <v/>
      </c>
    </row>
    <row r="1631" spans="1:8" x14ac:dyDescent="0.2">
      <c r="A1631" t="str">
        <f t="shared" si="25"/>
        <v/>
      </c>
      <c r="B1631" s="1">
        <v>2024</v>
      </c>
      <c r="C1631" s="1" t="s">
        <v>2505</v>
      </c>
      <c r="D1631" s="1" t="s">
        <v>2506</v>
      </c>
      <c r="E1631" s="1" t="s">
        <v>2019</v>
      </c>
      <c r="F1631" s="1" t="s">
        <v>164</v>
      </c>
      <c r="G1631" s="6">
        <v>133651</v>
      </c>
      <c r="H1631" t="str">
        <f>IFERROR(VLOOKUP(F1631,'LEAID Match'!$A$2:$B$142,2,FALSE),"")</f>
        <v/>
      </c>
    </row>
    <row r="1632" spans="1:8" x14ac:dyDescent="0.2">
      <c r="A1632" t="str">
        <f t="shared" si="25"/>
        <v/>
      </c>
      <c r="B1632" s="1">
        <v>2015</v>
      </c>
      <c r="C1632" s="1" t="s">
        <v>2505</v>
      </c>
      <c r="D1632" s="1" t="s">
        <v>2506</v>
      </c>
      <c r="E1632" s="1" t="s">
        <v>2019</v>
      </c>
      <c r="F1632" s="1" t="s">
        <v>179</v>
      </c>
      <c r="G1632" s="6">
        <v>744976</v>
      </c>
      <c r="H1632" t="str">
        <f>IFERROR(VLOOKUP(F1632,'LEAID Match'!$A$2:$B$142,2,FALSE),"")</f>
        <v/>
      </c>
    </row>
    <row r="1633" spans="1:8" x14ac:dyDescent="0.2">
      <c r="A1633" t="str">
        <f t="shared" si="25"/>
        <v/>
      </c>
      <c r="B1633">
        <v>2016</v>
      </c>
      <c r="C1633" s="1" t="s">
        <v>2505</v>
      </c>
      <c r="D1633" s="1" t="s">
        <v>2506</v>
      </c>
      <c r="E1633" s="1" t="s">
        <v>2019</v>
      </c>
      <c r="F1633" s="1" t="s">
        <v>179</v>
      </c>
      <c r="G1633" s="12">
        <v>829616</v>
      </c>
      <c r="H1633" t="str">
        <f>IFERROR(VLOOKUP(F1633,'LEAID Match'!$A$2:$B$142,2,FALSE),"")</f>
        <v/>
      </c>
    </row>
    <row r="1634" spans="1:8" x14ac:dyDescent="0.2">
      <c r="A1634" t="str">
        <f t="shared" si="25"/>
        <v/>
      </c>
      <c r="B1634" s="1">
        <v>2017</v>
      </c>
      <c r="C1634" s="1" t="s">
        <v>2505</v>
      </c>
      <c r="D1634" s="1" t="s">
        <v>2506</v>
      </c>
      <c r="E1634" s="1" t="s">
        <v>2019</v>
      </c>
      <c r="F1634" s="1" t="s">
        <v>179</v>
      </c>
      <c r="G1634" s="50">
        <v>924055</v>
      </c>
      <c r="H1634" t="str">
        <f>IFERROR(VLOOKUP(F1634,'LEAID Match'!$A$2:$B$142,2,FALSE),"")</f>
        <v/>
      </c>
    </row>
    <row r="1635" spans="1:8" x14ac:dyDescent="0.2">
      <c r="A1635" t="str">
        <f t="shared" si="25"/>
        <v/>
      </c>
      <c r="B1635" s="1">
        <v>2018</v>
      </c>
      <c r="C1635" s="1" t="s">
        <v>2505</v>
      </c>
      <c r="D1635" s="1" t="s">
        <v>2506</v>
      </c>
      <c r="E1635" s="1" t="s">
        <v>2019</v>
      </c>
      <c r="F1635" s="1" t="s">
        <v>179</v>
      </c>
      <c r="G1635" s="6">
        <v>961932</v>
      </c>
      <c r="H1635" t="str">
        <f>IFERROR(VLOOKUP(F1635,'LEAID Match'!$A$2:$B$142,2,FALSE),"")</f>
        <v/>
      </c>
    </row>
    <row r="1636" spans="1:8" x14ac:dyDescent="0.2">
      <c r="A1636" t="str">
        <f t="shared" si="25"/>
        <v/>
      </c>
      <c r="B1636" s="1">
        <v>2019</v>
      </c>
      <c r="C1636" s="1" t="s">
        <v>2505</v>
      </c>
      <c r="D1636" s="1" t="s">
        <v>2506</v>
      </c>
      <c r="E1636" s="1" t="s">
        <v>2019</v>
      </c>
      <c r="F1636" s="1" t="s">
        <v>179</v>
      </c>
      <c r="G1636" s="6">
        <v>974696</v>
      </c>
      <c r="H1636" t="str">
        <f>IFERROR(VLOOKUP(F1636,'LEAID Match'!$A$2:$B$142,2,FALSE),"")</f>
        <v/>
      </c>
    </row>
    <row r="1637" spans="1:8" x14ac:dyDescent="0.2">
      <c r="A1637" t="str">
        <f t="shared" si="25"/>
        <v/>
      </c>
      <c r="B1637" s="1">
        <v>2020</v>
      </c>
      <c r="C1637" s="1" t="s">
        <v>2505</v>
      </c>
      <c r="D1637" s="1" t="s">
        <v>2506</v>
      </c>
      <c r="E1637" s="1" t="s">
        <v>2019</v>
      </c>
      <c r="F1637" s="1" t="s">
        <v>179</v>
      </c>
      <c r="G1637" s="6">
        <v>1117578</v>
      </c>
      <c r="H1637" t="str">
        <f>IFERROR(VLOOKUP(F1637,'LEAID Match'!$A$2:$B$142,2,FALSE),"")</f>
        <v/>
      </c>
    </row>
    <row r="1638" spans="1:8" x14ac:dyDescent="0.2">
      <c r="A1638" t="str">
        <f t="shared" si="25"/>
        <v/>
      </c>
      <c r="B1638" s="1">
        <v>2021</v>
      </c>
      <c r="C1638" s="1" t="s">
        <v>2505</v>
      </c>
      <c r="D1638" s="1" t="s">
        <v>2506</v>
      </c>
      <c r="E1638" s="1" t="s">
        <v>2019</v>
      </c>
      <c r="F1638" s="1" t="s">
        <v>179</v>
      </c>
      <c r="G1638" s="6">
        <v>1163060</v>
      </c>
      <c r="H1638" t="str">
        <f>IFERROR(VLOOKUP(F1638,'LEAID Match'!$A$2:$B$142,2,FALSE),"")</f>
        <v/>
      </c>
    </row>
    <row r="1639" spans="1:8" x14ac:dyDescent="0.2">
      <c r="A1639" t="str">
        <f t="shared" si="25"/>
        <v/>
      </c>
      <c r="B1639" s="1">
        <v>2022</v>
      </c>
      <c r="C1639" s="1" t="s">
        <v>2505</v>
      </c>
      <c r="D1639" s="1" t="s">
        <v>2506</v>
      </c>
      <c r="E1639" s="1" t="s">
        <v>2019</v>
      </c>
      <c r="F1639" s="1" t="s">
        <v>179</v>
      </c>
      <c r="G1639" s="6">
        <v>1231008</v>
      </c>
      <c r="H1639" t="str">
        <f>IFERROR(VLOOKUP(F1639,'LEAID Match'!$A$2:$B$142,2,FALSE),"")</f>
        <v/>
      </c>
    </row>
    <row r="1640" spans="1:8" x14ac:dyDescent="0.2">
      <c r="A1640" t="str">
        <f t="shared" si="25"/>
        <v/>
      </c>
      <c r="B1640" s="1">
        <v>2023</v>
      </c>
      <c r="C1640" s="1" t="s">
        <v>2505</v>
      </c>
      <c r="D1640" s="1" t="s">
        <v>2506</v>
      </c>
      <c r="E1640" s="1" t="s">
        <v>2019</v>
      </c>
      <c r="F1640" s="1" t="s">
        <v>179</v>
      </c>
      <c r="G1640" s="6">
        <v>1338209</v>
      </c>
      <c r="H1640" t="str">
        <f>IFERROR(VLOOKUP(F1640,'LEAID Match'!$A$2:$B$142,2,FALSE),"")</f>
        <v/>
      </c>
    </row>
    <row r="1641" spans="1:8" x14ac:dyDescent="0.2">
      <c r="A1641" t="str">
        <f t="shared" si="25"/>
        <v/>
      </c>
      <c r="B1641" s="1">
        <v>2024</v>
      </c>
      <c r="C1641" s="1" t="s">
        <v>2505</v>
      </c>
      <c r="D1641" s="1" t="s">
        <v>2506</v>
      </c>
      <c r="E1641" s="1" t="s">
        <v>2019</v>
      </c>
      <c r="F1641" s="1" t="s">
        <v>179</v>
      </c>
      <c r="G1641" s="6">
        <v>1438384</v>
      </c>
      <c r="H1641" t="str">
        <f>IFERROR(VLOOKUP(F1641,'LEAID Match'!$A$2:$B$142,2,FALSE),"")</f>
        <v/>
      </c>
    </row>
    <row r="1642" spans="1:8" x14ac:dyDescent="0.2">
      <c r="A1642" t="str">
        <f t="shared" si="25"/>
        <v/>
      </c>
      <c r="B1642" s="1">
        <v>2015</v>
      </c>
      <c r="C1642" s="1" t="s">
        <v>2505</v>
      </c>
      <c r="D1642" s="1" t="s">
        <v>2506</v>
      </c>
      <c r="E1642" s="1" t="s">
        <v>2019</v>
      </c>
      <c r="F1642" s="1" t="s">
        <v>165</v>
      </c>
      <c r="G1642" s="6">
        <v>57484</v>
      </c>
      <c r="H1642" t="str">
        <f>IFERROR(VLOOKUP(F1642,'LEAID Match'!$A$2:$B$142,2,FALSE),"")</f>
        <v/>
      </c>
    </row>
    <row r="1643" spans="1:8" x14ac:dyDescent="0.2">
      <c r="A1643" t="str">
        <f t="shared" si="25"/>
        <v/>
      </c>
      <c r="B1643">
        <v>2016</v>
      </c>
      <c r="C1643" s="1" t="s">
        <v>2505</v>
      </c>
      <c r="D1643" s="1" t="s">
        <v>2506</v>
      </c>
      <c r="E1643" s="1" t="s">
        <v>2019</v>
      </c>
      <c r="F1643" s="1" t="s">
        <v>165</v>
      </c>
      <c r="G1643" s="12">
        <v>57932</v>
      </c>
      <c r="H1643" t="str">
        <f>IFERROR(VLOOKUP(F1643,'LEAID Match'!$A$2:$B$142,2,FALSE),"")</f>
        <v/>
      </c>
    </row>
    <row r="1644" spans="1:8" x14ac:dyDescent="0.2">
      <c r="A1644" t="str">
        <f t="shared" si="25"/>
        <v/>
      </c>
      <c r="B1644" s="1">
        <v>2017</v>
      </c>
      <c r="C1644" s="1" t="s">
        <v>2505</v>
      </c>
      <c r="D1644" s="1" t="s">
        <v>2506</v>
      </c>
      <c r="E1644" s="1" t="s">
        <v>2019</v>
      </c>
      <c r="F1644" s="1" t="s">
        <v>165</v>
      </c>
      <c r="G1644" s="50">
        <v>57215</v>
      </c>
      <c r="H1644" t="str">
        <f>IFERROR(VLOOKUP(F1644,'LEAID Match'!$A$2:$B$142,2,FALSE),"")</f>
        <v/>
      </c>
    </row>
    <row r="1645" spans="1:8" x14ac:dyDescent="0.2">
      <c r="A1645" t="str">
        <f t="shared" si="25"/>
        <v/>
      </c>
      <c r="B1645" s="1">
        <v>2018</v>
      </c>
      <c r="C1645" s="1" t="s">
        <v>2505</v>
      </c>
      <c r="D1645" s="1" t="s">
        <v>2506</v>
      </c>
      <c r="E1645" s="1" t="s">
        <v>2019</v>
      </c>
      <c r="F1645" s="1" t="s">
        <v>165</v>
      </c>
      <c r="G1645" s="6">
        <v>54770</v>
      </c>
      <c r="H1645" t="str">
        <f>IFERROR(VLOOKUP(F1645,'LEAID Match'!$A$2:$B$142,2,FALSE),"")</f>
        <v/>
      </c>
    </row>
    <row r="1646" spans="1:8" x14ac:dyDescent="0.2">
      <c r="A1646" t="str">
        <f t="shared" si="25"/>
        <v/>
      </c>
      <c r="B1646" s="1">
        <v>2019</v>
      </c>
      <c r="C1646" s="1" t="s">
        <v>2505</v>
      </c>
      <c r="D1646" s="1" t="s">
        <v>2506</v>
      </c>
      <c r="E1646" s="1" t="s">
        <v>2019</v>
      </c>
      <c r="F1646" s="1" t="s">
        <v>165</v>
      </c>
      <c r="G1646" s="6">
        <v>55946</v>
      </c>
      <c r="H1646" t="str">
        <f>IFERROR(VLOOKUP(F1646,'LEAID Match'!$A$2:$B$142,2,FALSE),"")</f>
        <v/>
      </c>
    </row>
    <row r="1647" spans="1:8" x14ac:dyDescent="0.2">
      <c r="A1647" t="str">
        <f t="shared" si="25"/>
        <v/>
      </c>
      <c r="B1647" s="1">
        <v>2020</v>
      </c>
      <c r="C1647" s="1" t="s">
        <v>2505</v>
      </c>
      <c r="D1647" s="1" t="s">
        <v>2506</v>
      </c>
      <c r="E1647" s="1" t="s">
        <v>2019</v>
      </c>
      <c r="F1647" s="1" t="s">
        <v>165</v>
      </c>
      <c r="G1647" s="6">
        <v>64935</v>
      </c>
      <c r="H1647" t="str">
        <f>IFERROR(VLOOKUP(F1647,'LEAID Match'!$A$2:$B$142,2,FALSE),"")</f>
        <v/>
      </c>
    </row>
    <row r="1648" spans="1:8" x14ac:dyDescent="0.2">
      <c r="A1648" t="str">
        <f t="shared" si="25"/>
        <v/>
      </c>
      <c r="B1648" s="1">
        <v>2021</v>
      </c>
      <c r="C1648" s="1" t="s">
        <v>2505</v>
      </c>
      <c r="D1648" s="1" t="s">
        <v>2506</v>
      </c>
      <c r="E1648" s="1" t="s">
        <v>2019</v>
      </c>
      <c r="F1648" s="1" t="s">
        <v>165</v>
      </c>
      <c r="G1648" s="6">
        <v>67024</v>
      </c>
      <c r="H1648" t="str">
        <f>IFERROR(VLOOKUP(F1648,'LEAID Match'!$A$2:$B$142,2,FALSE),"")</f>
        <v/>
      </c>
    </row>
    <row r="1649" spans="1:8" x14ac:dyDescent="0.2">
      <c r="A1649" t="str">
        <f t="shared" si="25"/>
        <v/>
      </c>
      <c r="B1649" s="1">
        <v>2022</v>
      </c>
      <c r="C1649" s="1" t="s">
        <v>2505</v>
      </c>
      <c r="D1649" s="1" t="s">
        <v>2506</v>
      </c>
      <c r="E1649" s="1" t="s">
        <v>2019</v>
      </c>
      <c r="F1649" s="1" t="s">
        <v>165</v>
      </c>
      <c r="G1649" s="6">
        <v>65664</v>
      </c>
      <c r="H1649" t="str">
        <f>IFERROR(VLOOKUP(F1649,'LEAID Match'!$A$2:$B$142,2,FALSE),"")</f>
        <v/>
      </c>
    </row>
    <row r="1650" spans="1:8" x14ac:dyDescent="0.2">
      <c r="A1650" t="str">
        <f t="shared" si="25"/>
        <v/>
      </c>
      <c r="B1650" s="1">
        <v>2023</v>
      </c>
      <c r="C1650" s="1" t="s">
        <v>2505</v>
      </c>
      <c r="D1650" s="1" t="s">
        <v>2506</v>
      </c>
      <c r="E1650" s="1" t="s">
        <v>2019</v>
      </c>
      <c r="F1650" s="1" t="s">
        <v>165</v>
      </c>
      <c r="G1650" s="6">
        <v>70026</v>
      </c>
      <c r="H1650" t="str">
        <f>IFERROR(VLOOKUP(F1650,'LEAID Match'!$A$2:$B$142,2,FALSE),"")</f>
        <v/>
      </c>
    </row>
    <row r="1651" spans="1:8" x14ac:dyDescent="0.2">
      <c r="A1651" t="str">
        <f t="shared" si="25"/>
        <v/>
      </c>
      <c r="B1651" s="1">
        <v>2024</v>
      </c>
      <c r="C1651" s="1" t="s">
        <v>2505</v>
      </c>
      <c r="D1651" s="1" t="s">
        <v>2506</v>
      </c>
      <c r="E1651" s="1" t="s">
        <v>2019</v>
      </c>
      <c r="F1651" s="1" t="s">
        <v>165</v>
      </c>
      <c r="G1651" s="6">
        <v>75358</v>
      </c>
      <c r="H1651" t="str">
        <f>IFERROR(VLOOKUP(F1651,'LEAID Match'!$A$2:$B$142,2,FALSE),"")</f>
        <v/>
      </c>
    </row>
    <row r="1652" spans="1:8" x14ac:dyDescent="0.2">
      <c r="A1652" t="str">
        <f t="shared" si="25"/>
        <v/>
      </c>
      <c r="B1652" s="1">
        <v>2015</v>
      </c>
      <c r="C1652" s="1" t="s">
        <v>2505</v>
      </c>
      <c r="D1652" s="1" t="s">
        <v>2506</v>
      </c>
      <c r="E1652" s="1" t="s">
        <v>2019</v>
      </c>
      <c r="F1652" s="1" t="s">
        <v>166</v>
      </c>
      <c r="G1652" s="6">
        <v>63647</v>
      </c>
      <c r="H1652" t="str">
        <f>IFERROR(VLOOKUP(F1652,'LEAID Match'!$A$2:$B$142,2,FALSE),"")</f>
        <v/>
      </c>
    </row>
    <row r="1653" spans="1:8" x14ac:dyDescent="0.2">
      <c r="A1653" t="str">
        <f t="shared" si="25"/>
        <v/>
      </c>
      <c r="B1653">
        <v>2016</v>
      </c>
      <c r="C1653" s="1" t="s">
        <v>2505</v>
      </c>
      <c r="D1653" s="1" t="s">
        <v>2506</v>
      </c>
      <c r="E1653" s="1" t="s">
        <v>2019</v>
      </c>
      <c r="F1653" s="1" t="s">
        <v>166</v>
      </c>
      <c r="G1653" s="12">
        <v>51626</v>
      </c>
      <c r="H1653" t="str">
        <f>IFERROR(VLOOKUP(F1653,'LEAID Match'!$A$2:$B$142,2,FALSE),"")</f>
        <v/>
      </c>
    </row>
    <row r="1654" spans="1:8" x14ac:dyDescent="0.2">
      <c r="A1654" t="str">
        <f t="shared" si="25"/>
        <v/>
      </c>
      <c r="B1654" s="1">
        <v>2017</v>
      </c>
      <c r="C1654" s="1" t="s">
        <v>2505</v>
      </c>
      <c r="D1654" s="1" t="s">
        <v>2506</v>
      </c>
      <c r="E1654" s="1" t="s">
        <v>2019</v>
      </c>
      <c r="F1654" s="1" t="s">
        <v>166</v>
      </c>
      <c r="G1654" s="50">
        <v>42000</v>
      </c>
      <c r="H1654" t="str">
        <f>IFERROR(VLOOKUP(F1654,'LEAID Match'!$A$2:$B$142,2,FALSE),"")</f>
        <v/>
      </c>
    </row>
    <row r="1655" spans="1:8" x14ac:dyDescent="0.2">
      <c r="A1655" t="str">
        <f t="shared" si="25"/>
        <v/>
      </c>
      <c r="B1655" s="1">
        <v>2018</v>
      </c>
      <c r="C1655" s="1" t="s">
        <v>2505</v>
      </c>
      <c r="D1655" s="1" t="s">
        <v>2506</v>
      </c>
      <c r="E1655" s="1" t="s">
        <v>2019</v>
      </c>
      <c r="F1655" s="1" t="s">
        <v>166</v>
      </c>
      <c r="G1655" s="6">
        <v>43647</v>
      </c>
      <c r="H1655" t="str">
        <f>IFERROR(VLOOKUP(F1655,'LEAID Match'!$A$2:$B$142,2,FALSE),"")</f>
        <v/>
      </c>
    </row>
    <row r="1656" spans="1:8" x14ac:dyDescent="0.2">
      <c r="A1656" t="str">
        <f t="shared" si="25"/>
        <v/>
      </c>
      <c r="B1656" s="1">
        <v>2019</v>
      </c>
      <c r="C1656" s="1" t="s">
        <v>2505</v>
      </c>
      <c r="D1656" s="1" t="s">
        <v>2506</v>
      </c>
      <c r="E1656" s="1" t="s">
        <v>2019</v>
      </c>
      <c r="F1656" s="1" t="s">
        <v>166</v>
      </c>
      <c r="G1656" s="6">
        <v>42866</v>
      </c>
      <c r="H1656" t="str">
        <f>IFERROR(VLOOKUP(F1656,'LEAID Match'!$A$2:$B$142,2,FALSE),"")</f>
        <v/>
      </c>
    </row>
    <row r="1657" spans="1:8" x14ac:dyDescent="0.2">
      <c r="A1657" t="str">
        <f t="shared" si="25"/>
        <v/>
      </c>
      <c r="B1657" s="1">
        <v>2020</v>
      </c>
      <c r="C1657" s="1" t="s">
        <v>2505</v>
      </c>
      <c r="D1657" s="1" t="s">
        <v>2506</v>
      </c>
      <c r="E1657" s="1" t="s">
        <v>2019</v>
      </c>
      <c r="F1657" s="1" t="s">
        <v>166</v>
      </c>
      <c r="G1657" s="6">
        <v>44605</v>
      </c>
      <c r="H1657" t="str">
        <f>IFERROR(VLOOKUP(F1657,'LEAID Match'!$A$2:$B$142,2,FALSE),"")</f>
        <v/>
      </c>
    </row>
    <row r="1658" spans="1:8" x14ac:dyDescent="0.2">
      <c r="A1658" t="str">
        <f t="shared" si="25"/>
        <v/>
      </c>
      <c r="B1658" s="1">
        <v>2021</v>
      </c>
      <c r="C1658" s="1" t="s">
        <v>2505</v>
      </c>
      <c r="D1658" s="1" t="s">
        <v>2506</v>
      </c>
      <c r="E1658" s="1" t="s">
        <v>2019</v>
      </c>
      <c r="F1658" s="1" t="s">
        <v>166</v>
      </c>
      <c r="G1658" s="6">
        <v>47552</v>
      </c>
      <c r="H1658" t="str">
        <f>IFERROR(VLOOKUP(F1658,'LEAID Match'!$A$2:$B$142,2,FALSE),"")</f>
        <v/>
      </c>
    </row>
    <row r="1659" spans="1:8" x14ac:dyDescent="0.2">
      <c r="A1659" t="str">
        <f t="shared" si="25"/>
        <v/>
      </c>
      <c r="B1659" s="1">
        <v>2022</v>
      </c>
      <c r="C1659" s="1" t="s">
        <v>2505</v>
      </c>
      <c r="D1659" s="1" t="s">
        <v>2506</v>
      </c>
      <c r="E1659" s="1" t="s">
        <v>2019</v>
      </c>
      <c r="F1659" s="1" t="s">
        <v>166</v>
      </c>
      <c r="G1659" s="6">
        <v>47592</v>
      </c>
      <c r="H1659" t="str">
        <f>IFERROR(VLOOKUP(F1659,'LEAID Match'!$A$2:$B$142,2,FALSE),"")</f>
        <v/>
      </c>
    </row>
    <row r="1660" spans="1:8" x14ac:dyDescent="0.2">
      <c r="A1660" t="str">
        <f t="shared" si="25"/>
        <v/>
      </c>
      <c r="B1660" s="1">
        <v>2023</v>
      </c>
      <c r="C1660" s="1" t="s">
        <v>2505</v>
      </c>
      <c r="D1660" s="1" t="s">
        <v>2506</v>
      </c>
      <c r="E1660" s="1" t="s">
        <v>2019</v>
      </c>
      <c r="F1660" s="1" t="s">
        <v>166</v>
      </c>
      <c r="G1660" s="6">
        <v>47380</v>
      </c>
      <c r="H1660" t="str">
        <f>IFERROR(VLOOKUP(F1660,'LEAID Match'!$A$2:$B$142,2,FALSE),"")</f>
        <v/>
      </c>
    </row>
    <row r="1661" spans="1:8" x14ac:dyDescent="0.2">
      <c r="A1661" t="str">
        <f t="shared" si="25"/>
        <v/>
      </c>
      <c r="B1661" s="1">
        <v>2024</v>
      </c>
      <c r="C1661" s="1" t="s">
        <v>2505</v>
      </c>
      <c r="D1661" s="1" t="s">
        <v>2506</v>
      </c>
      <c r="E1661" s="1" t="s">
        <v>2019</v>
      </c>
      <c r="F1661" s="1" t="s">
        <v>166</v>
      </c>
      <c r="G1661" s="6">
        <v>50441</v>
      </c>
      <c r="H1661" t="str">
        <f>IFERROR(VLOOKUP(F1661,'LEAID Match'!$A$2:$B$142,2,FALSE),"")</f>
        <v/>
      </c>
    </row>
    <row r="1662" spans="1:8" x14ac:dyDescent="0.2">
      <c r="A1662" t="str">
        <f t="shared" si="25"/>
        <v/>
      </c>
      <c r="B1662" s="1">
        <v>2015</v>
      </c>
      <c r="C1662" s="1" t="s">
        <v>2505</v>
      </c>
      <c r="D1662" s="1" t="s">
        <v>2506</v>
      </c>
      <c r="E1662" s="1" t="s">
        <v>2019</v>
      </c>
      <c r="F1662" s="1" t="s">
        <v>167</v>
      </c>
      <c r="G1662" s="6">
        <v>17174</v>
      </c>
      <c r="H1662" t="str">
        <f>IFERROR(VLOOKUP(F1662,'LEAID Match'!$A$2:$B$142,2,FALSE),"")</f>
        <v/>
      </c>
    </row>
    <row r="1663" spans="1:8" x14ac:dyDescent="0.2">
      <c r="A1663" t="str">
        <f t="shared" si="25"/>
        <v/>
      </c>
      <c r="B1663">
        <v>2016</v>
      </c>
      <c r="C1663" s="1" t="s">
        <v>2505</v>
      </c>
      <c r="D1663" s="1" t="s">
        <v>2506</v>
      </c>
      <c r="E1663" s="1" t="s">
        <v>2019</v>
      </c>
      <c r="F1663" s="1" t="s">
        <v>167</v>
      </c>
      <c r="G1663" s="12">
        <v>18388</v>
      </c>
      <c r="H1663" t="str">
        <f>IFERROR(VLOOKUP(F1663,'LEAID Match'!$A$2:$B$142,2,FALSE),"")</f>
        <v/>
      </c>
    </row>
    <row r="1664" spans="1:8" x14ac:dyDescent="0.2">
      <c r="A1664" t="str">
        <f t="shared" si="25"/>
        <v/>
      </c>
      <c r="B1664" s="1">
        <v>2017</v>
      </c>
      <c r="C1664" s="1" t="s">
        <v>2505</v>
      </c>
      <c r="D1664" s="1" t="s">
        <v>2506</v>
      </c>
      <c r="E1664" s="1" t="s">
        <v>2019</v>
      </c>
      <c r="F1664" s="1" t="s">
        <v>167</v>
      </c>
      <c r="G1664" s="50">
        <v>22049</v>
      </c>
      <c r="H1664" t="str">
        <f>IFERROR(VLOOKUP(F1664,'LEAID Match'!$A$2:$B$142,2,FALSE),"")</f>
        <v/>
      </c>
    </row>
    <row r="1665" spans="1:8" x14ac:dyDescent="0.2">
      <c r="A1665" t="str">
        <f t="shared" si="25"/>
        <v/>
      </c>
      <c r="B1665" s="1">
        <v>2018</v>
      </c>
      <c r="C1665" s="1" t="s">
        <v>2505</v>
      </c>
      <c r="D1665" s="1" t="s">
        <v>2506</v>
      </c>
      <c r="E1665" s="1" t="s">
        <v>2019</v>
      </c>
      <c r="F1665" s="1" t="s">
        <v>167</v>
      </c>
      <c r="G1665" s="6">
        <v>23879</v>
      </c>
      <c r="H1665" t="str">
        <f>IFERROR(VLOOKUP(F1665,'LEAID Match'!$A$2:$B$142,2,FALSE),"")</f>
        <v/>
      </c>
    </row>
    <row r="1666" spans="1:8" x14ac:dyDescent="0.2">
      <c r="A1666" t="str">
        <f t="shared" si="25"/>
        <v/>
      </c>
      <c r="B1666" s="1">
        <v>2019</v>
      </c>
      <c r="C1666" s="1" t="s">
        <v>2505</v>
      </c>
      <c r="D1666" s="1" t="s">
        <v>2506</v>
      </c>
      <c r="E1666" s="1" t="s">
        <v>2019</v>
      </c>
      <c r="F1666" s="1" t="s">
        <v>167</v>
      </c>
      <c r="G1666" s="6">
        <v>23077</v>
      </c>
      <c r="H1666" t="str">
        <f>IFERROR(VLOOKUP(F1666,'LEAID Match'!$A$2:$B$142,2,FALSE),"")</f>
        <v/>
      </c>
    </row>
    <row r="1667" spans="1:8" x14ac:dyDescent="0.2">
      <c r="A1667" t="str">
        <f t="shared" ref="A1667:A1730" si="26">H1667</f>
        <v/>
      </c>
      <c r="B1667" s="1">
        <v>2020</v>
      </c>
      <c r="C1667" s="1" t="s">
        <v>2505</v>
      </c>
      <c r="D1667" s="1" t="s">
        <v>2506</v>
      </c>
      <c r="E1667" s="1" t="s">
        <v>2019</v>
      </c>
      <c r="F1667" s="1" t="s">
        <v>167</v>
      </c>
      <c r="G1667" s="6">
        <v>24552</v>
      </c>
      <c r="H1667" t="str">
        <f>IFERROR(VLOOKUP(F1667,'LEAID Match'!$A$2:$B$142,2,FALSE),"")</f>
        <v/>
      </c>
    </row>
    <row r="1668" spans="1:8" x14ac:dyDescent="0.2">
      <c r="A1668" t="str">
        <f t="shared" si="26"/>
        <v/>
      </c>
      <c r="B1668" s="1">
        <v>2021</v>
      </c>
      <c r="C1668" s="1" t="s">
        <v>2505</v>
      </c>
      <c r="D1668" s="1" t="s">
        <v>2506</v>
      </c>
      <c r="E1668" s="1" t="s">
        <v>2019</v>
      </c>
      <c r="F1668" s="1" t="s">
        <v>167</v>
      </c>
      <c r="G1668" s="6">
        <v>25199</v>
      </c>
      <c r="H1668" t="str">
        <f>IFERROR(VLOOKUP(F1668,'LEAID Match'!$A$2:$B$142,2,FALSE),"")</f>
        <v/>
      </c>
    </row>
    <row r="1669" spans="1:8" x14ac:dyDescent="0.2">
      <c r="A1669" t="str">
        <f t="shared" si="26"/>
        <v/>
      </c>
      <c r="B1669" s="1">
        <v>2022</v>
      </c>
      <c r="C1669" s="1" t="s">
        <v>2505</v>
      </c>
      <c r="D1669" s="1" t="s">
        <v>2506</v>
      </c>
      <c r="E1669" s="1" t="s">
        <v>2019</v>
      </c>
      <c r="F1669" s="1" t="s">
        <v>167</v>
      </c>
      <c r="G1669" s="6">
        <v>24700</v>
      </c>
      <c r="H1669" t="str">
        <f>IFERROR(VLOOKUP(F1669,'LEAID Match'!$A$2:$B$142,2,FALSE),"")</f>
        <v/>
      </c>
    </row>
    <row r="1670" spans="1:8" x14ac:dyDescent="0.2">
      <c r="A1670" t="str">
        <f t="shared" si="26"/>
        <v/>
      </c>
      <c r="B1670" s="1">
        <v>2023</v>
      </c>
      <c r="C1670" s="1" t="s">
        <v>2505</v>
      </c>
      <c r="D1670" s="1" t="s">
        <v>2506</v>
      </c>
      <c r="E1670" s="1" t="s">
        <v>2019</v>
      </c>
      <c r="F1670" s="1" t="s">
        <v>167</v>
      </c>
      <c r="G1670" s="6">
        <v>25166</v>
      </c>
      <c r="H1670" t="str">
        <f>IFERROR(VLOOKUP(F1670,'LEAID Match'!$A$2:$B$142,2,FALSE),"")</f>
        <v/>
      </c>
    </row>
    <row r="1671" spans="1:8" x14ac:dyDescent="0.2">
      <c r="A1671" t="str">
        <f t="shared" si="26"/>
        <v/>
      </c>
      <c r="B1671" s="1">
        <v>2024</v>
      </c>
      <c r="C1671" s="1" t="s">
        <v>2505</v>
      </c>
      <c r="D1671" s="1" t="s">
        <v>2506</v>
      </c>
      <c r="E1671" s="1" t="s">
        <v>2019</v>
      </c>
      <c r="F1671" s="1" t="s">
        <v>167</v>
      </c>
      <c r="G1671" s="6">
        <v>26815</v>
      </c>
      <c r="H1671" t="str">
        <f>IFERROR(VLOOKUP(F1671,'LEAID Match'!$A$2:$B$142,2,FALSE),"")</f>
        <v/>
      </c>
    </row>
    <row r="1672" spans="1:8" x14ac:dyDescent="0.2">
      <c r="A1672" t="str">
        <f t="shared" si="26"/>
        <v/>
      </c>
      <c r="B1672" s="1">
        <v>2015</v>
      </c>
      <c r="C1672" s="1" t="s">
        <v>2505</v>
      </c>
      <c r="D1672" s="1" t="s">
        <v>2506</v>
      </c>
      <c r="E1672" s="1" t="s">
        <v>2019</v>
      </c>
      <c r="F1672" s="1" t="s">
        <v>168</v>
      </c>
      <c r="G1672" s="6">
        <v>2685024</v>
      </c>
      <c r="H1672" t="str">
        <f>IFERROR(VLOOKUP(F1672,'LEAID Match'!$A$2:$B$142,2,FALSE),"")</f>
        <v/>
      </c>
    </row>
    <row r="1673" spans="1:8" x14ac:dyDescent="0.2">
      <c r="A1673" t="str">
        <f t="shared" si="26"/>
        <v/>
      </c>
      <c r="B1673">
        <v>2016</v>
      </c>
      <c r="C1673" s="1" t="s">
        <v>2505</v>
      </c>
      <c r="D1673" s="1" t="s">
        <v>2506</v>
      </c>
      <c r="E1673" s="1" t="s">
        <v>2019</v>
      </c>
      <c r="F1673" s="1" t="s">
        <v>168</v>
      </c>
      <c r="G1673" s="12">
        <v>2664039</v>
      </c>
      <c r="H1673" t="str">
        <f>IFERROR(VLOOKUP(F1673,'LEAID Match'!$A$2:$B$142,2,FALSE),"")</f>
        <v/>
      </c>
    </row>
    <row r="1674" spans="1:8" x14ac:dyDescent="0.2">
      <c r="A1674" t="str">
        <f t="shared" si="26"/>
        <v/>
      </c>
      <c r="B1674" s="1">
        <v>2017</v>
      </c>
      <c r="C1674" s="1" t="s">
        <v>2505</v>
      </c>
      <c r="D1674" s="1" t="s">
        <v>2506</v>
      </c>
      <c r="E1674" s="1" t="s">
        <v>2019</v>
      </c>
      <c r="F1674" s="1" t="s">
        <v>168</v>
      </c>
      <c r="G1674" s="50">
        <v>2694921</v>
      </c>
      <c r="H1674" t="str">
        <f>IFERROR(VLOOKUP(F1674,'LEAID Match'!$A$2:$B$142,2,FALSE),"")</f>
        <v/>
      </c>
    </row>
    <row r="1675" spans="1:8" x14ac:dyDescent="0.2">
      <c r="A1675" t="str">
        <f t="shared" si="26"/>
        <v/>
      </c>
      <c r="B1675" s="1">
        <v>2018</v>
      </c>
      <c r="C1675" s="1" t="s">
        <v>2505</v>
      </c>
      <c r="D1675" s="1" t="s">
        <v>2506</v>
      </c>
      <c r="E1675" s="1" t="s">
        <v>2019</v>
      </c>
      <c r="F1675" s="1" t="s">
        <v>168</v>
      </c>
      <c r="G1675" s="6">
        <v>2713417</v>
      </c>
      <c r="H1675" t="str">
        <f>IFERROR(VLOOKUP(F1675,'LEAID Match'!$A$2:$B$142,2,FALSE),"")</f>
        <v/>
      </c>
    </row>
    <row r="1676" spans="1:8" x14ac:dyDescent="0.2">
      <c r="A1676" t="str">
        <f t="shared" si="26"/>
        <v/>
      </c>
      <c r="B1676" s="1">
        <v>2019</v>
      </c>
      <c r="C1676" s="1" t="s">
        <v>2505</v>
      </c>
      <c r="D1676" s="1" t="s">
        <v>2506</v>
      </c>
      <c r="E1676" s="1" t="s">
        <v>2019</v>
      </c>
      <c r="F1676" s="1" t="s">
        <v>168</v>
      </c>
      <c r="G1676" s="6">
        <v>2818411</v>
      </c>
      <c r="H1676" t="str">
        <f>IFERROR(VLOOKUP(F1676,'LEAID Match'!$A$2:$B$142,2,FALSE),"")</f>
        <v/>
      </c>
    </row>
    <row r="1677" spans="1:8" x14ac:dyDescent="0.2">
      <c r="A1677" t="str">
        <f t="shared" si="26"/>
        <v/>
      </c>
      <c r="B1677" s="1">
        <v>2020</v>
      </c>
      <c r="C1677" s="1" t="s">
        <v>2505</v>
      </c>
      <c r="D1677" s="1" t="s">
        <v>2506</v>
      </c>
      <c r="E1677" s="1" t="s">
        <v>2019</v>
      </c>
      <c r="F1677" s="1" t="s">
        <v>168</v>
      </c>
      <c r="G1677" s="6">
        <v>3058705</v>
      </c>
      <c r="H1677" t="str">
        <f>IFERROR(VLOOKUP(F1677,'LEAID Match'!$A$2:$B$142,2,FALSE),"")</f>
        <v/>
      </c>
    </row>
    <row r="1678" spans="1:8" x14ac:dyDescent="0.2">
      <c r="A1678" t="str">
        <f t="shared" si="26"/>
        <v/>
      </c>
      <c r="B1678" s="1">
        <v>2021</v>
      </c>
      <c r="C1678" s="1" t="s">
        <v>2505</v>
      </c>
      <c r="D1678" s="1" t="s">
        <v>2506</v>
      </c>
      <c r="E1678" s="1" t="s">
        <v>2019</v>
      </c>
      <c r="F1678" s="1" t="s">
        <v>168</v>
      </c>
      <c r="G1678" s="6">
        <v>3086744</v>
      </c>
      <c r="H1678" t="str">
        <f>IFERROR(VLOOKUP(F1678,'LEAID Match'!$A$2:$B$142,2,FALSE),"")</f>
        <v/>
      </c>
    </row>
    <row r="1679" spans="1:8" x14ac:dyDescent="0.2">
      <c r="A1679" t="str">
        <f t="shared" si="26"/>
        <v/>
      </c>
      <c r="B1679" s="1">
        <v>2022</v>
      </c>
      <c r="C1679" s="1" t="s">
        <v>2505</v>
      </c>
      <c r="D1679" s="1" t="s">
        <v>2506</v>
      </c>
      <c r="E1679" s="1" t="s">
        <v>2019</v>
      </c>
      <c r="F1679" s="1" t="s">
        <v>168</v>
      </c>
      <c r="G1679" s="6">
        <v>3272936</v>
      </c>
      <c r="H1679" t="str">
        <f>IFERROR(VLOOKUP(F1679,'LEAID Match'!$A$2:$B$142,2,FALSE),"")</f>
        <v/>
      </c>
    </row>
    <row r="1680" spans="1:8" x14ac:dyDescent="0.2">
      <c r="A1680" t="str">
        <f t="shared" si="26"/>
        <v/>
      </c>
      <c r="B1680" s="1">
        <v>2023</v>
      </c>
      <c r="C1680" s="1" t="s">
        <v>2505</v>
      </c>
      <c r="D1680" s="1" t="s">
        <v>2506</v>
      </c>
      <c r="E1680" s="1" t="s">
        <v>2019</v>
      </c>
      <c r="F1680" s="1" t="s">
        <v>168</v>
      </c>
      <c r="G1680" s="6">
        <v>3477207</v>
      </c>
      <c r="H1680" t="str">
        <f>IFERROR(VLOOKUP(F1680,'LEAID Match'!$A$2:$B$142,2,FALSE),"")</f>
        <v/>
      </c>
    </row>
    <row r="1681" spans="1:8" x14ac:dyDescent="0.2">
      <c r="A1681" t="str">
        <f t="shared" si="26"/>
        <v/>
      </c>
      <c r="B1681" s="1">
        <v>2024</v>
      </c>
      <c r="C1681" s="1" t="s">
        <v>2505</v>
      </c>
      <c r="D1681" s="1" t="s">
        <v>2506</v>
      </c>
      <c r="E1681" s="1" t="s">
        <v>2019</v>
      </c>
      <c r="F1681" s="1" t="s">
        <v>168</v>
      </c>
      <c r="G1681" s="6">
        <v>3341442</v>
      </c>
      <c r="H1681" t="str">
        <f>IFERROR(VLOOKUP(F1681,'LEAID Match'!$A$2:$B$142,2,FALSE),"")</f>
        <v/>
      </c>
    </row>
    <row r="1682" spans="1:8" x14ac:dyDescent="0.2">
      <c r="A1682" t="str">
        <f t="shared" si="26"/>
        <v/>
      </c>
      <c r="B1682" s="1">
        <v>2015</v>
      </c>
      <c r="C1682" s="1" t="s">
        <v>2505</v>
      </c>
      <c r="D1682" s="1" t="s">
        <v>2506</v>
      </c>
      <c r="E1682" s="1" t="s">
        <v>2019</v>
      </c>
      <c r="F1682" s="1" t="s">
        <v>169</v>
      </c>
      <c r="G1682" s="6">
        <v>4563974</v>
      </c>
      <c r="H1682" t="str">
        <f>IFERROR(VLOOKUP(F1682,'LEAID Match'!$A$2:$B$142,2,FALSE),"")</f>
        <v/>
      </c>
    </row>
    <row r="1683" spans="1:8" x14ac:dyDescent="0.2">
      <c r="A1683" t="str">
        <f t="shared" si="26"/>
        <v/>
      </c>
      <c r="B1683">
        <v>2016</v>
      </c>
      <c r="C1683" s="1" t="s">
        <v>2505</v>
      </c>
      <c r="D1683" s="1" t="s">
        <v>2506</v>
      </c>
      <c r="E1683" s="1" t="s">
        <v>2019</v>
      </c>
      <c r="F1683" s="1" t="s">
        <v>169</v>
      </c>
      <c r="G1683" s="12">
        <v>4761918</v>
      </c>
      <c r="H1683" t="str">
        <f>IFERROR(VLOOKUP(F1683,'LEAID Match'!$A$2:$B$142,2,FALSE),"")</f>
        <v/>
      </c>
    </row>
    <row r="1684" spans="1:8" x14ac:dyDescent="0.2">
      <c r="A1684" t="str">
        <f t="shared" si="26"/>
        <v/>
      </c>
      <c r="B1684" s="1">
        <v>2017</v>
      </c>
      <c r="C1684" s="1" t="s">
        <v>2505</v>
      </c>
      <c r="D1684" s="1" t="s">
        <v>2506</v>
      </c>
      <c r="E1684" s="1" t="s">
        <v>2019</v>
      </c>
      <c r="F1684" s="1" t="s">
        <v>169</v>
      </c>
      <c r="G1684" s="50">
        <v>4830283</v>
      </c>
      <c r="H1684" t="str">
        <f>IFERROR(VLOOKUP(F1684,'LEAID Match'!$A$2:$B$142,2,FALSE),"")</f>
        <v/>
      </c>
    </row>
    <row r="1685" spans="1:8" x14ac:dyDescent="0.2">
      <c r="A1685" t="str">
        <f t="shared" si="26"/>
        <v/>
      </c>
      <c r="B1685" s="1">
        <v>2018</v>
      </c>
      <c r="C1685" s="1" t="s">
        <v>2505</v>
      </c>
      <c r="D1685" s="1" t="s">
        <v>2506</v>
      </c>
      <c r="E1685" s="1" t="s">
        <v>2019</v>
      </c>
      <c r="F1685" s="1" t="s">
        <v>169</v>
      </c>
      <c r="G1685" s="6">
        <v>4777990</v>
      </c>
      <c r="H1685" t="str">
        <f>IFERROR(VLOOKUP(F1685,'LEAID Match'!$A$2:$B$142,2,FALSE),"")</f>
        <v/>
      </c>
    </row>
    <row r="1686" spans="1:8" x14ac:dyDescent="0.2">
      <c r="A1686" t="str">
        <f t="shared" si="26"/>
        <v/>
      </c>
      <c r="B1686" s="1">
        <v>2019</v>
      </c>
      <c r="C1686" s="1" t="s">
        <v>2505</v>
      </c>
      <c r="D1686" s="1" t="s">
        <v>2506</v>
      </c>
      <c r="E1686" s="1" t="s">
        <v>2019</v>
      </c>
      <c r="F1686" s="1" t="s">
        <v>169</v>
      </c>
      <c r="G1686" s="6">
        <v>4712371</v>
      </c>
      <c r="H1686" t="str">
        <f>IFERROR(VLOOKUP(F1686,'LEAID Match'!$A$2:$B$142,2,FALSE),"")</f>
        <v/>
      </c>
    </row>
    <row r="1687" spans="1:8" x14ac:dyDescent="0.2">
      <c r="A1687" t="str">
        <f t="shared" si="26"/>
        <v/>
      </c>
      <c r="B1687" s="1">
        <v>2020</v>
      </c>
      <c r="C1687" s="1" t="s">
        <v>2505</v>
      </c>
      <c r="D1687" s="1" t="s">
        <v>2506</v>
      </c>
      <c r="E1687" s="1" t="s">
        <v>2019</v>
      </c>
      <c r="F1687" s="1" t="s">
        <v>169</v>
      </c>
      <c r="G1687" s="6">
        <v>5385680</v>
      </c>
      <c r="H1687" t="str">
        <f>IFERROR(VLOOKUP(F1687,'LEAID Match'!$A$2:$B$142,2,FALSE),"")</f>
        <v/>
      </c>
    </row>
    <row r="1688" spans="1:8" x14ac:dyDescent="0.2">
      <c r="A1688" t="str">
        <f t="shared" si="26"/>
        <v/>
      </c>
      <c r="B1688" s="1">
        <v>2021</v>
      </c>
      <c r="C1688" s="1" t="s">
        <v>2505</v>
      </c>
      <c r="D1688" s="1" t="s">
        <v>2506</v>
      </c>
      <c r="E1688" s="1" t="s">
        <v>2019</v>
      </c>
      <c r="F1688" s="1" t="s">
        <v>169</v>
      </c>
      <c r="G1688" s="6">
        <v>5258215</v>
      </c>
      <c r="H1688" t="str">
        <f>IFERROR(VLOOKUP(F1688,'LEAID Match'!$A$2:$B$142,2,FALSE),"")</f>
        <v/>
      </c>
    </row>
    <row r="1689" spans="1:8" x14ac:dyDescent="0.2">
      <c r="A1689" t="str">
        <f t="shared" si="26"/>
        <v/>
      </c>
      <c r="B1689" s="1">
        <v>2022</v>
      </c>
      <c r="C1689" s="1" t="s">
        <v>2505</v>
      </c>
      <c r="D1689" s="1" t="s">
        <v>2506</v>
      </c>
      <c r="E1689" s="1" t="s">
        <v>2019</v>
      </c>
      <c r="F1689" s="1" t="s">
        <v>169</v>
      </c>
      <c r="G1689" s="6">
        <v>4597975</v>
      </c>
      <c r="H1689" t="str">
        <f>IFERROR(VLOOKUP(F1689,'LEAID Match'!$A$2:$B$142,2,FALSE),"")</f>
        <v/>
      </c>
    </row>
    <row r="1690" spans="1:8" x14ac:dyDescent="0.2">
      <c r="A1690" t="str">
        <f t="shared" si="26"/>
        <v/>
      </c>
      <c r="B1690" s="1">
        <v>2023</v>
      </c>
      <c r="C1690" s="1" t="s">
        <v>2505</v>
      </c>
      <c r="D1690" s="1" t="s">
        <v>2506</v>
      </c>
      <c r="E1690" s="1" t="s">
        <v>2019</v>
      </c>
      <c r="F1690" s="1" t="s">
        <v>169</v>
      </c>
      <c r="G1690" s="6">
        <v>4479394</v>
      </c>
      <c r="H1690" t="str">
        <f>IFERROR(VLOOKUP(F1690,'LEAID Match'!$A$2:$B$142,2,FALSE),"")</f>
        <v/>
      </c>
    </row>
    <row r="1691" spans="1:8" x14ac:dyDescent="0.2">
      <c r="A1691" t="str">
        <f t="shared" si="26"/>
        <v/>
      </c>
      <c r="B1691" s="1">
        <v>2024</v>
      </c>
      <c r="C1691" s="1" t="s">
        <v>2505</v>
      </c>
      <c r="D1691" s="1" t="s">
        <v>2506</v>
      </c>
      <c r="E1691" s="1" t="s">
        <v>2019</v>
      </c>
      <c r="F1691" s="1" t="s">
        <v>169</v>
      </c>
      <c r="G1691" s="6">
        <v>4674891</v>
      </c>
      <c r="H1691" t="str">
        <f>IFERROR(VLOOKUP(F1691,'LEAID Match'!$A$2:$B$142,2,FALSE),"")</f>
        <v/>
      </c>
    </row>
    <row r="1692" spans="1:8" x14ac:dyDescent="0.2">
      <c r="A1692" t="str">
        <f t="shared" si="26"/>
        <v/>
      </c>
      <c r="B1692" s="1">
        <v>2015</v>
      </c>
      <c r="C1692" s="1" t="s">
        <v>2505</v>
      </c>
      <c r="D1692" s="1" t="s">
        <v>2506</v>
      </c>
      <c r="E1692" s="1" t="s">
        <v>2019</v>
      </c>
      <c r="F1692" s="1" t="s">
        <v>170</v>
      </c>
      <c r="G1692" s="6">
        <v>3457499</v>
      </c>
      <c r="H1692" t="str">
        <f>IFERROR(VLOOKUP(F1692,'LEAID Match'!$A$2:$B$142,2,FALSE),"")</f>
        <v/>
      </c>
    </row>
    <row r="1693" spans="1:8" x14ac:dyDescent="0.2">
      <c r="A1693" t="str">
        <f t="shared" si="26"/>
        <v/>
      </c>
      <c r="B1693">
        <v>2016</v>
      </c>
      <c r="C1693" s="1" t="s">
        <v>2505</v>
      </c>
      <c r="D1693" s="1" t="s">
        <v>2506</v>
      </c>
      <c r="E1693" s="1" t="s">
        <v>2019</v>
      </c>
      <c r="F1693" s="1" t="s">
        <v>170</v>
      </c>
      <c r="G1693" s="12">
        <v>3431616</v>
      </c>
      <c r="H1693" t="str">
        <f>IFERROR(VLOOKUP(F1693,'LEAID Match'!$A$2:$B$142,2,FALSE),"")</f>
        <v/>
      </c>
    </row>
    <row r="1694" spans="1:8" x14ac:dyDescent="0.2">
      <c r="A1694" t="str">
        <f t="shared" si="26"/>
        <v/>
      </c>
      <c r="B1694" s="1">
        <v>2017</v>
      </c>
      <c r="C1694" s="1" t="s">
        <v>2505</v>
      </c>
      <c r="D1694" s="1" t="s">
        <v>2506</v>
      </c>
      <c r="E1694" s="1" t="s">
        <v>2019</v>
      </c>
      <c r="F1694" s="1" t="s">
        <v>170</v>
      </c>
      <c r="G1694" s="50">
        <v>3344667</v>
      </c>
      <c r="H1694" t="str">
        <f>IFERROR(VLOOKUP(F1694,'LEAID Match'!$A$2:$B$142,2,FALSE),"")</f>
        <v/>
      </c>
    </row>
    <row r="1695" spans="1:8" x14ac:dyDescent="0.2">
      <c r="A1695" t="str">
        <f t="shared" si="26"/>
        <v/>
      </c>
      <c r="B1695" s="1">
        <v>2018</v>
      </c>
      <c r="C1695" s="1" t="s">
        <v>2505</v>
      </c>
      <c r="D1695" s="1" t="s">
        <v>2506</v>
      </c>
      <c r="E1695" s="1" t="s">
        <v>2019</v>
      </c>
      <c r="F1695" s="1" t="s">
        <v>170</v>
      </c>
      <c r="G1695" s="6">
        <v>3291028</v>
      </c>
      <c r="H1695" t="str">
        <f>IFERROR(VLOOKUP(F1695,'LEAID Match'!$A$2:$B$142,2,FALSE),"")</f>
        <v/>
      </c>
    </row>
    <row r="1696" spans="1:8" x14ac:dyDescent="0.2">
      <c r="A1696" t="str">
        <f t="shared" si="26"/>
        <v/>
      </c>
      <c r="B1696" s="1">
        <v>2019</v>
      </c>
      <c r="C1696" s="1" t="s">
        <v>2505</v>
      </c>
      <c r="D1696" s="1" t="s">
        <v>2506</v>
      </c>
      <c r="E1696" s="1" t="s">
        <v>2019</v>
      </c>
      <c r="F1696" s="1" t="s">
        <v>170</v>
      </c>
      <c r="G1696" s="6">
        <v>3319770</v>
      </c>
      <c r="H1696" t="str">
        <f>IFERROR(VLOOKUP(F1696,'LEAID Match'!$A$2:$B$142,2,FALSE),"")</f>
        <v/>
      </c>
    </row>
    <row r="1697" spans="1:8" x14ac:dyDescent="0.2">
      <c r="A1697" t="str">
        <f t="shared" si="26"/>
        <v/>
      </c>
      <c r="B1697" s="1">
        <v>2020</v>
      </c>
      <c r="C1697" s="1" t="s">
        <v>2505</v>
      </c>
      <c r="D1697" s="1" t="s">
        <v>2506</v>
      </c>
      <c r="E1697" s="1" t="s">
        <v>2019</v>
      </c>
      <c r="F1697" s="1" t="s">
        <v>170</v>
      </c>
      <c r="G1697" s="6">
        <v>3857000</v>
      </c>
      <c r="H1697" t="str">
        <f>IFERROR(VLOOKUP(F1697,'LEAID Match'!$A$2:$B$142,2,FALSE),"")</f>
        <v/>
      </c>
    </row>
    <row r="1698" spans="1:8" x14ac:dyDescent="0.2">
      <c r="A1698" t="str">
        <f t="shared" si="26"/>
        <v/>
      </c>
      <c r="B1698" s="1">
        <v>2021</v>
      </c>
      <c r="C1698" s="1" t="s">
        <v>2505</v>
      </c>
      <c r="D1698" s="1" t="s">
        <v>2506</v>
      </c>
      <c r="E1698" s="1" t="s">
        <v>2019</v>
      </c>
      <c r="F1698" s="1" t="s">
        <v>170</v>
      </c>
      <c r="G1698" s="6">
        <v>3724983</v>
      </c>
      <c r="H1698" t="str">
        <f>IFERROR(VLOOKUP(F1698,'LEAID Match'!$A$2:$B$142,2,FALSE),"")</f>
        <v/>
      </c>
    </row>
    <row r="1699" spans="1:8" x14ac:dyDescent="0.2">
      <c r="A1699" t="str">
        <f t="shared" si="26"/>
        <v/>
      </c>
      <c r="B1699" s="1">
        <v>2022</v>
      </c>
      <c r="C1699" s="1" t="s">
        <v>2505</v>
      </c>
      <c r="D1699" s="1" t="s">
        <v>2506</v>
      </c>
      <c r="E1699" s="1" t="s">
        <v>2019</v>
      </c>
      <c r="F1699" s="1" t="s">
        <v>170</v>
      </c>
      <c r="G1699" s="6">
        <v>3659031</v>
      </c>
      <c r="H1699" t="str">
        <f>IFERROR(VLOOKUP(F1699,'LEAID Match'!$A$2:$B$142,2,FALSE),"")</f>
        <v/>
      </c>
    </row>
    <row r="1700" spans="1:8" x14ac:dyDescent="0.2">
      <c r="A1700" t="str">
        <f t="shared" si="26"/>
        <v/>
      </c>
      <c r="B1700" s="1">
        <v>2023</v>
      </c>
      <c r="C1700" s="1" t="s">
        <v>2505</v>
      </c>
      <c r="D1700" s="1" t="s">
        <v>2506</v>
      </c>
      <c r="E1700" s="1" t="s">
        <v>2019</v>
      </c>
      <c r="F1700" s="1" t="s">
        <v>170</v>
      </c>
      <c r="G1700" s="6">
        <v>3832462</v>
      </c>
      <c r="H1700" t="str">
        <f>IFERROR(VLOOKUP(F1700,'LEAID Match'!$A$2:$B$142,2,FALSE),"")</f>
        <v/>
      </c>
    </row>
    <row r="1701" spans="1:8" x14ac:dyDescent="0.2">
      <c r="A1701" t="str">
        <f t="shared" si="26"/>
        <v/>
      </c>
      <c r="B1701" s="1">
        <v>2024</v>
      </c>
      <c r="C1701" s="1" t="s">
        <v>2505</v>
      </c>
      <c r="D1701" s="1" t="s">
        <v>2506</v>
      </c>
      <c r="E1701" s="1" t="s">
        <v>2019</v>
      </c>
      <c r="F1701" s="1" t="s">
        <v>170</v>
      </c>
      <c r="G1701" s="6">
        <v>3937734</v>
      </c>
      <c r="H1701" t="str">
        <f>IFERROR(VLOOKUP(F1701,'LEAID Match'!$A$2:$B$142,2,FALSE),"")</f>
        <v/>
      </c>
    </row>
    <row r="1702" spans="1:8" x14ac:dyDescent="0.2">
      <c r="A1702" t="str">
        <f t="shared" si="26"/>
        <v/>
      </c>
      <c r="B1702" s="1">
        <v>2015</v>
      </c>
      <c r="C1702" s="1" t="s">
        <v>2505</v>
      </c>
      <c r="D1702" s="1" t="s">
        <v>2506</v>
      </c>
      <c r="E1702" s="1" t="s">
        <v>2019</v>
      </c>
      <c r="F1702" s="1" t="s">
        <v>171</v>
      </c>
      <c r="G1702" s="6">
        <v>16681716</v>
      </c>
      <c r="H1702" t="str">
        <f>IFERROR(VLOOKUP(F1702,'LEAID Match'!$A$2:$B$142,2,FALSE),"")</f>
        <v/>
      </c>
    </row>
    <row r="1703" spans="1:8" x14ac:dyDescent="0.2">
      <c r="A1703" t="str">
        <f t="shared" si="26"/>
        <v/>
      </c>
      <c r="B1703">
        <v>2016</v>
      </c>
      <c r="C1703" s="1" t="s">
        <v>2505</v>
      </c>
      <c r="D1703" s="1" t="s">
        <v>2506</v>
      </c>
      <c r="E1703" s="1" t="s">
        <v>2019</v>
      </c>
      <c r="F1703" s="1" t="s">
        <v>171</v>
      </c>
      <c r="G1703" s="12">
        <v>16669454</v>
      </c>
      <c r="H1703" t="str">
        <f>IFERROR(VLOOKUP(F1703,'LEAID Match'!$A$2:$B$142,2,FALSE),"")</f>
        <v/>
      </c>
    </row>
    <row r="1704" spans="1:8" x14ac:dyDescent="0.2">
      <c r="A1704" t="str">
        <f t="shared" si="26"/>
        <v/>
      </c>
      <c r="B1704" s="1">
        <v>2017</v>
      </c>
      <c r="C1704" s="1" t="s">
        <v>2505</v>
      </c>
      <c r="D1704" s="1" t="s">
        <v>2506</v>
      </c>
      <c r="E1704" s="1" t="s">
        <v>2019</v>
      </c>
      <c r="F1704" s="1" t="s">
        <v>171</v>
      </c>
      <c r="G1704" s="50">
        <v>17333264</v>
      </c>
      <c r="H1704" t="str">
        <f>IFERROR(VLOOKUP(F1704,'LEAID Match'!$A$2:$B$142,2,FALSE),"")</f>
        <v/>
      </c>
    </row>
    <row r="1705" spans="1:8" x14ac:dyDescent="0.2">
      <c r="A1705" t="str">
        <f t="shared" si="26"/>
        <v/>
      </c>
      <c r="B1705" s="1">
        <v>2018</v>
      </c>
      <c r="C1705" s="1" t="s">
        <v>2505</v>
      </c>
      <c r="D1705" s="1" t="s">
        <v>2506</v>
      </c>
      <c r="E1705" s="1" t="s">
        <v>2019</v>
      </c>
      <c r="F1705" s="1" t="s">
        <v>171</v>
      </c>
      <c r="G1705" s="6">
        <v>17231709</v>
      </c>
      <c r="H1705" t="str">
        <f>IFERROR(VLOOKUP(F1705,'LEAID Match'!$A$2:$B$142,2,FALSE),"")</f>
        <v/>
      </c>
    </row>
    <row r="1706" spans="1:8" x14ac:dyDescent="0.2">
      <c r="A1706" t="str">
        <f t="shared" si="26"/>
        <v/>
      </c>
      <c r="B1706" s="1">
        <v>2019</v>
      </c>
      <c r="C1706" s="1" t="s">
        <v>2505</v>
      </c>
      <c r="D1706" s="1" t="s">
        <v>2506</v>
      </c>
      <c r="E1706" s="1" t="s">
        <v>2019</v>
      </c>
      <c r="F1706" s="1" t="s">
        <v>171</v>
      </c>
      <c r="G1706" s="6">
        <v>16675751</v>
      </c>
      <c r="H1706" t="str">
        <f>IFERROR(VLOOKUP(F1706,'LEAID Match'!$A$2:$B$142,2,FALSE),"")</f>
        <v/>
      </c>
    </row>
    <row r="1707" spans="1:8" x14ac:dyDescent="0.2">
      <c r="A1707" t="str">
        <f t="shared" si="26"/>
        <v/>
      </c>
      <c r="B1707" s="1">
        <v>2020</v>
      </c>
      <c r="C1707" s="1" t="s">
        <v>2505</v>
      </c>
      <c r="D1707" s="1" t="s">
        <v>2506</v>
      </c>
      <c r="E1707" s="1" t="s">
        <v>2019</v>
      </c>
      <c r="F1707" s="1" t="s">
        <v>171</v>
      </c>
      <c r="G1707" s="6">
        <v>19138402</v>
      </c>
      <c r="H1707" t="str">
        <f>IFERROR(VLOOKUP(F1707,'LEAID Match'!$A$2:$B$142,2,FALSE),"")</f>
        <v/>
      </c>
    </row>
    <row r="1708" spans="1:8" x14ac:dyDescent="0.2">
      <c r="A1708" t="str">
        <f t="shared" si="26"/>
        <v/>
      </c>
      <c r="B1708" s="1">
        <v>2021</v>
      </c>
      <c r="C1708" s="1" t="s">
        <v>2505</v>
      </c>
      <c r="D1708" s="1" t="s">
        <v>2506</v>
      </c>
      <c r="E1708" s="1" t="s">
        <v>2019</v>
      </c>
      <c r="F1708" s="1" t="s">
        <v>171</v>
      </c>
      <c r="G1708" s="6">
        <v>19500735</v>
      </c>
      <c r="H1708" t="str">
        <f>IFERROR(VLOOKUP(F1708,'LEAID Match'!$A$2:$B$142,2,FALSE),"")</f>
        <v/>
      </c>
    </row>
    <row r="1709" spans="1:8" x14ac:dyDescent="0.2">
      <c r="A1709" t="str">
        <f t="shared" si="26"/>
        <v/>
      </c>
      <c r="B1709" s="1">
        <v>2022</v>
      </c>
      <c r="C1709" s="1" t="s">
        <v>2505</v>
      </c>
      <c r="D1709" s="1" t="s">
        <v>2506</v>
      </c>
      <c r="E1709" s="1" t="s">
        <v>2019</v>
      </c>
      <c r="F1709" s="1" t="s">
        <v>171</v>
      </c>
      <c r="G1709" s="6">
        <v>20282810</v>
      </c>
      <c r="H1709" t="str">
        <f>IFERROR(VLOOKUP(F1709,'LEAID Match'!$A$2:$B$142,2,FALSE),"")</f>
        <v/>
      </c>
    </row>
    <row r="1710" spans="1:8" x14ac:dyDescent="0.2">
      <c r="A1710" t="str">
        <f t="shared" si="26"/>
        <v/>
      </c>
      <c r="B1710" s="1">
        <v>2023</v>
      </c>
      <c r="C1710" s="1" t="s">
        <v>2505</v>
      </c>
      <c r="D1710" s="1" t="s">
        <v>2506</v>
      </c>
      <c r="E1710" s="1" t="s">
        <v>2019</v>
      </c>
      <c r="F1710" s="1" t="s">
        <v>171</v>
      </c>
      <c r="G1710" s="6">
        <v>22571182</v>
      </c>
      <c r="H1710" t="str">
        <f>IFERROR(VLOOKUP(F1710,'LEAID Match'!$A$2:$B$142,2,FALSE),"")</f>
        <v/>
      </c>
    </row>
    <row r="1711" spans="1:8" x14ac:dyDescent="0.2">
      <c r="A1711" t="str">
        <f t="shared" si="26"/>
        <v/>
      </c>
      <c r="B1711" s="1">
        <v>2024</v>
      </c>
      <c r="C1711" s="1" t="s">
        <v>2505</v>
      </c>
      <c r="D1711" s="1" t="s">
        <v>2506</v>
      </c>
      <c r="E1711" s="1" t="s">
        <v>2019</v>
      </c>
      <c r="F1711" s="1" t="s">
        <v>171</v>
      </c>
      <c r="G1711" s="6">
        <v>12980875</v>
      </c>
      <c r="H1711" t="str">
        <f>IFERROR(VLOOKUP(F1711,'LEAID Match'!$A$2:$B$142,2,FALSE),"")</f>
        <v/>
      </c>
    </row>
    <row r="1712" spans="1:8" x14ac:dyDescent="0.2">
      <c r="A1712" t="str">
        <f t="shared" si="26"/>
        <v/>
      </c>
      <c r="B1712" s="1">
        <v>2015</v>
      </c>
      <c r="C1712" s="1" t="s">
        <v>2505</v>
      </c>
      <c r="D1712" s="1" t="s">
        <v>2506</v>
      </c>
      <c r="E1712" s="1" t="s">
        <v>2019</v>
      </c>
      <c r="F1712" s="1" t="s">
        <v>172</v>
      </c>
      <c r="G1712" s="6">
        <v>23830</v>
      </c>
      <c r="H1712" t="str">
        <f>IFERROR(VLOOKUP(F1712,'LEAID Match'!$A$2:$B$142,2,FALSE),"")</f>
        <v/>
      </c>
    </row>
    <row r="1713" spans="1:8" x14ac:dyDescent="0.2">
      <c r="A1713" t="str">
        <f t="shared" si="26"/>
        <v/>
      </c>
      <c r="B1713">
        <v>2016</v>
      </c>
      <c r="C1713" s="1" t="s">
        <v>2505</v>
      </c>
      <c r="D1713" s="1" t="s">
        <v>2506</v>
      </c>
      <c r="E1713" s="1" t="s">
        <v>2019</v>
      </c>
      <c r="F1713" s="1" t="s">
        <v>172</v>
      </c>
      <c r="G1713" s="12">
        <v>23703</v>
      </c>
      <c r="H1713" t="str">
        <f>IFERROR(VLOOKUP(F1713,'LEAID Match'!$A$2:$B$142,2,FALSE),"")</f>
        <v/>
      </c>
    </row>
    <row r="1714" spans="1:8" x14ac:dyDescent="0.2">
      <c r="A1714" t="str">
        <f t="shared" si="26"/>
        <v/>
      </c>
      <c r="B1714" s="1">
        <v>2017</v>
      </c>
      <c r="C1714" s="1" t="s">
        <v>2505</v>
      </c>
      <c r="D1714" s="1" t="s">
        <v>2506</v>
      </c>
      <c r="E1714" s="1" t="s">
        <v>2019</v>
      </c>
      <c r="F1714" s="1" t="s">
        <v>172</v>
      </c>
      <c r="G1714" s="50">
        <v>25404</v>
      </c>
      <c r="H1714" t="str">
        <f>IFERROR(VLOOKUP(F1714,'LEAID Match'!$A$2:$B$142,2,FALSE),"")</f>
        <v/>
      </c>
    </row>
    <row r="1715" spans="1:8" x14ac:dyDescent="0.2">
      <c r="A1715" t="str">
        <f t="shared" si="26"/>
        <v/>
      </c>
      <c r="B1715" s="1">
        <v>2018</v>
      </c>
      <c r="C1715" s="1" t="s">
        <v>2505</v>
      </c>
      <c r="D1715" s="1" t="s">
        <v>2506</v>
      </c>
      <c r="E1715" s="1" t="s">
        <v>2019</v>
      </c>
      <c r="F1715" s="1" t="s">
        <v>172</v>
      </c>
      <c r="G1715" s="6">
        <v>24339</v>
      </c>
      <c r="H1715" t="str">
        <f>IFERROR(VLOOKUP(F1715,'LEAID Match'!$A$2:$B$142,2,FALSE),"")</f>
        <v/>
      </c>
    </row>
    <row r="1716" spans="1:8" x14ac:dyDescent="0.2">
      <c r="A1716" t="str">
        <f t="shared" si="26"/>
        <v/>
      </c>
      <c r="B1716" s="1">
        <v>2019</v>
      </c>
      <c r="C1716" s="1" t="s">
        <v>2505</v>
      </c>
      <c r="D1716" s="1" t="s">
        <v>2506</v>
      </c>
      <c r="E1716" s="1" t="s">
        <v>2019</v>
      </c>
      <c r="F1716" s="1" t="s">
        <v>172</v>
      </c>
      <c r="G1716" s="6">
        <v>24933</v>
      </c>
      <c r="H1716" t="str">
        <f>IFERROR(VLOOKUP(F1716,'LEAID Match'!$A$2:$B$142,2,FALSE),"")</f>
        <v/>
      </c>
    </row>
    <row r="1717" spans="1:8" x14ac:dyDescent="0.2">
      <c r="A1717" t="str">
        <f t="shared" si="26"/>
        <v/>
      </c>
      <c r="B1717" s="1">
        <v>2020</v>
      </c>
      <c r="C1717" s="1" t="s">
        <v>2505</v>
      </c>
      <c r="D1717" s="1" t="s">
        <v>2506</v>
      </c>
      <c r="E1717" s="1" t="s">
        <v>2019</v>
      </c>
      <c r="F1717" s="1" t="s">
        <v>172</v>
      </c>
      <c r="G1717" s="6">
        <v>31138</v>
      </c>
      <c r="H1717" t="str">
        <f>IFERROR(VLOOKUP(F1717,'LEAID Match'!$A$2:$B$142,2,FALSE),"")</f>
        <v/>
      </c>
    </row>
    <row r="1718" spans="1:8" x14ac:dyDescent="0.2">
      <c r="A1718" t="str">
        <f t="shared" si="26"/>
        <v/>
      </c>
      <c r="B1718" s="1">
        <v>2021</v>
      </c>
      <c r="C1718" s="1" t="s">
        <v>2505</v>
      </c>
      <c r="D1718" s="1" t="s">
        <v>2506</v>
      </c>
      <c r="E1718" s="1" t="s">
        <v>2019</v>
      </c>
      <c r="F1718" s="1" t="s">
        <v>172</v>
      </c>
      <c r="G1718" s="6">
        <v>33479</v>
      </c>
      <c r="H1718" t="str">
        <f>IFERROR(VLOOKUP(F1718,'LEAID Match'!$A$2:$B$142,2,FALSE),"")</f>
        <v/>
      </c>
    </row>
    <row r="1719" spans="1:8" x14ac:dyDescent="0.2">
      <c r="A1719" t="str">
        <f t="shared" si="26"/>
        <v/>
      </c>
      <c r="B1719" s="1">
        <v>2022</v>
      </c>
      <c r="C1719" s="1" t="s">
        <v>2505</v>
      </c>
      <c r="D1719" s="1" t="s">
        <v>2506</v>
      </c>
      <c r="E1719" s="1" t="s">
        <v>2019</v>
      </c>
      <c r="F1719" s="1" t="s">
        <v>172</v>
      </c>
      <c r="G1719" s="6">
        <v>40766</v>
      </c>
      <c r="H1719" t="str">
        <f>IFERROR(VLOOKUP(F1719,'LEAID Match'!$A$2:$B$142,2,FALSE),"")</f>
        <v/>
      </c>
    </row>
    <row r="1720" spans="1:8" x14ac:dyDescent="0.2">
      <c r="A1720" t="str">
        <f t="shared" si="26"/>
        <v/>
      </c>
      <c r="B1720" s="1">
        <v>2023</v>
      </c>
      <c r="C1720" s="1" t="s">
        <v>2505</v>
      </c>
      <c r="D1720" s="1" t="s">
        <v>2506</v>
      </c>
      <c r="E1720" s="1" t="s">
        <v>2019</v>
      </c>
      <c r="F1720" s="1" t="s">
        <v>172</v>
      </c>
      <c r="G1720" s="6">
        <v>43592</v>
      </c>
      <c r="H1720" t="str">
        <f>IFERROR(VLOOKUP(F1720,'LEAID Match'!$A$2:$B$142,2,FALSE),"")</f>
        <v/>
      </c>
    </row>
    <row r="1721" spans="1:8" x14ac:dyDescent="0.2">
      <c r="A1721" t="str">
        <f t="shared" si="26"/>
        <v/>
      </c>
      <c r="B1721" s="1">
        <v>2024</v>
      </c>
      <c r="C1721" s="1" t="s">
        <v>2505</v>
      </c>
      <c r="D1721" s="1" t="s">
        <v>2506</v>
      </c>
      <c r="E1721" s="1" t="s">
        <v>2019</v>
      </c>
      <c r="F1721" s="1" t="s">
        <v>172</v>
      </c>
      <c r="G1721" s="6">
        <v>39021</v>
      </c>
      <c r="H1721" t="str">
        <f>IFERROR(VLOOKUP(F1721,'LEAID Match'!$A$2:$B$142,2,FALSE),"")</f>
        <v/>
      </c>
    </row>
    <row r="1722" spans="1:8" x14ac:dyDescent="0.2">
      <c r="A1722">
        <f t="shared" si="26"/>
        <v>2801320</v>
      </c>
      <c r="B1722" s="1">
        <v>2015</v>
      </c>
      <c r="C1722" s="1" t="s">
        <v>2505</v>
      </c>
      <c r="D1722" s="1" t="s">
        <v>2506</v>
      </c>
      <c r="E1722" s="1" t="s">
        <v>2019</v>
      </c>
      <c r="F1722" s="1" t="s">
        <v>173</v>
      </c>
      <c r="G1722" s="6">
        <v>22313369</v>
      </c>
      <c r="H1722">
        <f>IFERROR(VLOOKUP(F1722,'LEAID Match'!$A$2:$B$142,2,FALSE),"")</f>
        <v>2801320</v>
      </c>
    </row>
    <row r="1723" spans="1:8" x14ac:dyDescent="0.2">
      <c r="A1723">
        <f t="shared" si="26"/>
        <v>2801320</v>
      </c>
      <c r="B1723">
        <v>2016</v>
      </c>
      <c r="C1723" s="1" t="s">
        <v>2505</v>
      </c>
      <c r="D1723" s="1" t="s">
        <v>2506</v>
      </c>
      <c r="E1723" s="1" t="s">
        <v>2019</v>
      </c>
      <c r="F1723" s="1" t="s">
        <v>173</v>
      </c>
      <c r="G1723" s="12">
        <v>23463829</v>
      </c>
      <c r="H1723">
        <f>IFERROR(VLOOKUP(F1723,'LEAID Match'!$A$2:$B$142,2,FALSE),"")</f>
        <v>2801320</v>
      </c>
    </row>
    <row r="1724" spans="1:8" x14ac:dyDescent="0.2">
      <c r="A1724">
        <f t="shared" si="26"/>
        <v>2801320</v>
      </c>
      <c r="B1724" s="1">
        <v>2017</v>
      </c>
      <c r="C1724" s="1" t="s">
        <v>2505</v>
      </c>
      <c r="D1724" s="1" t="s">
        <v>2506</v>
      </c>
      <c r="E1724" s="1" t="s">
        <v>2019</v>
      </c>
      <c r="F1724" s="1" t="s">
        <v>173</v>
      </c>
      <c r="G1724" s="50">
        <v>23627831</v>
      </c>
      <c r="H1724">
        <f>IFERROR(VLOOKUP(F1724,'LEAID Match'!$A$2:$B$142,2,FALSE),"")</f>
        <v>2801320</v>
      </c>
    </row>
    <row r="1725" spans="1:8" x14ac:dyDescent="0.2">
      <c r="A1725">
        <f t="shared" si="26"/>
        <v>2801320</v>
      </c>
      <c r="B1725" s="1">
        <v>2018</v>
      </c>
      <c r="C1725" s="1" t="s">
        <v>2505</v>
      </c>
      <c r="D1725" s="1" t="s">
        <v>2506</v>
      </c>
      <c r="E1725" s="1" t="s">
        <v>2019</v>
      </c>
      <c r="F1725" s="1" t="s">
        <v>173</v>
      </c>
      <c r="G1725" s="6">
        <v>23927870</v>
      </c>
      <c r="H1725">
        <f>IFERROR(VLOOKUP(F1725,'LEAID Match'!$A$2:$B$142,2,FALSE),"")</f>
        <v>2801320</v>
      </c>
    </row>
    <row r="1726" spans="1:8" x14ac:dyDescent="0.2">
      <c r="A1726">
        <f t="shared" si="26"/>
        <v>2801320</v>
      </c>
      <c r="B1726" s="1">
        <v>2019</v>
      </c>
      <c r="C1726" s="1" t="s">
        <v>2505</v>
      </c>
      <c r="D1726" s="1" t="s">
        <v>2506</v>
      </c>
      <c r="E1726" s="1" t="s">
        <v>2019</v>
      </c>
      <c r="F1726" s="1" t="s">
        <v>173</v>
      </c>
      <c r="G1726" s="6">
        <v>24934565</v>
      </c>
      <c r="H1726">
        <f>IFERROR(VLOOKUP(F1726,'LEAID Match'!$A$2:$B$142,2,FALSE),"")</f>
        <v>2801320</v>
      </c>
    </row>
    <row r="1727" spans="1:8" x14ac:dyDescent="0.2">
      <c r="A1727">
        <f t="shared" si="26"/>
        <v>2801320</v>
      </c>
      <c r="B1727" s="1">
        <v>2020</v>
      </c>
      <c r="C1727" s="1" t="s">
        <v>2505</v>
      </c>
      <c r="D1727" s="1" t="s">
        <v>2506</v>
      </c>
      <c r="E1727" s="1" t="s">
        <v>2019</v>
      </c>
      <c r="F1727" s="1" t="s">
        <v>173</v>
      </c>
      <c r="G1727" s="6">
        <v>29179304</v>
      </c>
      <c r="H1727">
        <f>IFERROR(VLOOKUP(F1727,'LEAID Match'!$A$2:$B$142,2,FALSE),"")</f>
        <v>2801320</v>
      </c>
    </row>
    <row r="1728" spans="1:8" x14ac:dyDescent="0.2">
      <c r="A1728">
        <f t="shared" si="26"/>
        <v>2801320</v>
      </c>
      <c r="B1728" s="1">
        <v>2021</v>
      </c>
      <c r="C1728" s="1" t="s">
        <v>2505</v>
      </c>
      <c r="D1728" s="1" t="s">
        <v>2506</v>
      </c>
      <c r="E1728" s="1" t="s">
        <v>2019</v>
      </c>
      <c r="F1728" s="1" t="s">
        <v>173</v>
      </c>
      <c r="G1728" s="6">
        <v>29441240</v>
      </c>
      <c r="H1728">
        <f>IFERROR(VLOOKUP(F1728,'LEAID Match'!$A$2:$B$142,2,FALSE),"")</f>
        <v>2801320</v>
      </c>
    </row>
    <row r="1729" spans="1:8" x14ac:dyDescent="0.2">
      <c r="A1729">
        <f t="shared" si="26"/>
        <v>2801320</v>
      </c>
      <c r="B1729" s="1">
        <v>2022</v>
      </c>
      <c r="C1729" s="1" t="s">
        <v>2505</v>
      </c>
      <c r="D1729" s="1" t="s">
        <v>2506</v>
      </c>
      <c r="E1729" s="1" t="s">
        <v>2019</v>
      </c>
      <c r="F1729" s="1" t="s">
        <v>173</v>
      </c>
      <c r="G1729" s="6">
        <v>30941609</v>
      </c>
      <c r="H1729">
        <f>IFERROR(VLOOKUP(F1729,'LEAID Match'!$A$2:$B$142,2,FALSE),"")</f>
        <v>2801320</v>
      </c>
    </row>
    <row r="1730" spans="1:8" x14ac:dyDescent="0.2">
      <c r="A1730">
        <f t="shared" si="26"/>
        <v>2801320</v>
      </c>
      <c r="B1730" s="1">
        <v>2023</v>
      </c>
      <c r="C1730" s="1" t="s">
        <v>2505</v>
      </c>
      <c r="D1730" s="1" t="s">
        <v>2506</v>
      </c>
      <c r="E1730" s="1" t="s">
        <v>2019</v>
      </c>
      <c r="F1730" s="1" t="s">
        <v>173</v>
      </c>
      <c r="G1730" s="6">
        <v>34061077</v>
      </c>
      <c r="H1730">
        <f>IFERROR(VLOOKUP(F1730,'LEAID Match'!$A$2:$B$142,2,FALSE),"")</f>
        <v>2801320</v>
      </c>
    </row>
    <row r="1731" spans="1:8" x14ac:dyDescent="0.2">
      <c r="A1731">
        <f t="shared" ref="A1731:A1794" si="27">H1731</f>
        <v>2801320</v>
      </c>
      <c r="B1731" s="1">
        <v>2024</v>
      </c>
      <c r="C1731" s="1" t="s">
        <v>2505</v>
      </c>
      <c r="D1731" s="1" t="s">
        <v>2506</v>
      </c>
      <c r="E1731" s="1" t="s">
        <v>2019</v>
      </c>
      <c r="F1731" s="1" t="s">
        <v>173</v>
      </c>
      <c r="G1731" s="6">
        <v>35802730</v>
      </c>
      <c r="H1731">
        <f>IFERROR(VLOOKUP(F1731,'LEAID Match'!$A$2:$B$142,2,FALSE),"")</f>
        <v>2801320</v>
      </c>
    </row>
    <row r="1732" spans="1:8" x14ac:dyDescent="0.2">
      <c r="A1732" t="str">
        <f t="shared" si="27"/>
        <v/>
      </c>
      <c r="B1732" s="1">
        <v>2015</v>
      </c>
      <c r="C1732" s="1" t="s">
        <v>2505</v>
      </c>
      <c r="D1732" s="1" t="s">
        <v>2506</v>
      </c>
      <c r="E1732" s="1" t="s">
        <v>2019</v>
      </c>
      <c r="F1732" s="1" t="s">
        <v>174</v>
      </c>
      <c r="G1732" s="6">
        <v>3813611</v>
      </c>
      <c r="H1732" t="str">
        <f>IFERROR(VLOOKUP(F1732,'LEAID Match'!$A$2:$B$142,2,FALSE),"")</f>
        <v/>
      </c>
    </row>
    <row r="1733" spans="1:8" x14ac:dyDescent="0.2">
      <c r="A1733" t="str">
        <f t="shared" si="27"/>
        <v/>
      </c>
      <c r="B1733">
        <v>2016</v>
      </c>
      <c r="C1733" s="1" t="s">
        <v>2505</v>
      </c>
      <c r="D1733" s="1" t="s">
        <v>2506</v>
      </c>
      <c r="E1733" s="1" t="s">
        <v>2019</v>
      </c>
      <c r="F1733" s="1" t="s">
        <v>174</v>
      </c>
      <c r="G1733" s="12">
        <v>3891124</v>
      </c>
      <c r="H1733" t="str">
        <f>IFERROR(VLOOKUP(F1733,'LEAID Match'!$A$2:$B$142,2,FALSE),"")</f>
        <v/>
      </c>
    </row>
    <row r="1734" spans="1:8" x14ac:dyDescent="0.2">
      <c r="A1734" t="str">
        <f t="shared" si="27"/>
        <v/>
      </c>
      <c r="B1734" s="1">
        <v>2017</v>
      </c>
      <c r="C1734" s="1" t="s">
        <v>2505</v>
      </c>
      <c r="D1734" s="1" t="s">
        <v>2506</v>
      </c>
      <c r="E1734" s="1" t="s">
        <v>2019</v>
      </c>
      <c r="F1734" s="1" t="s">
        <v>174</v>
      </c>
      <c r="G1734" s="50">
        <v>4309756</v>
      </c>
      <c r="H1734" t="str">
        <f>IFERROR(VLOOKUP(F1734,'LEAID Match'!$A$2:$B$142,2,FALSE),"")</f>
        <v/>
      </c>
    </row>
    <row r="1735" spans="1:8" x14ac:dyDescent="0.2">
      <c r="A1735" t="str">
        <f t="shared" si="27"/>
        <v/>
      </c>
      <c r="B1735" s="1">
        <v>2018</v>
      </c>
      <c r="C1735" s="1" t="s">
        <v>2505</v>
      </c>
      <c r="D1735" s="1" t="s">
        <v>2506</v>
      </c>
      <c r="E1735" s="1" t="s">
        <v>2019</v>
      </c>
      <c r="F1735" s="1" t="s">
        <v>174</v>
      </c>
      <c r="G1735" s="6">
        <v>4282884</v>
      </c>
      <c r="H1735" t="str">
        <f>IFERROR(VLOOKUP(F1735,'LEAID Match'!$A$2:$B$142,2,FALSE),"")</f>
        <v/>
      </c>
    </row>
    <row r="1736" spans="1:8" x14ac:dyDescent="0.2">
      <c r="A1736" t="str">
        <f t="shared" si="27"/>
        <v/>
      </c>
      <c r="B1736" s="1">
        <v>2019</v>
      </c>
      <c r="C1736" s="1" t="s">
        <v>2505</v>
      </c>
      <c r="D1736" s="1" t="s">
        <v>2506</v>
      </c>
      <c r="E1736" s="1" t="s">
        <v>2019</v>
      </c>
      <c r="F1736" s="1" t="s">
        <v>174</v>
      </c>
      <c r="G1736" s="6">
        <v>4469060</v>
      </c>
      <c r="H1736" t="str">
        <f>IFERROR(VLOOKUP(F1736,'LEAID Match'!$A$2:$B$142,2,FALSE),"")</f>
        <v/>
      </c>
    </row>
    <row r="1737" spans="1:8" x14ac:dyDescent="0.2">
      <c r="A1737" t="str">
        <f t="shared" si="27"/>
        <v/>
      </c>
      <c r="B1737" s="1">
        <v>2020</v>
      </c>
      <c r="C1737" s="1" t="s">
        <v>2505</v>
      </c>
      <c r="D1737" s="1" t="s">
        <v>2506</v>
      </c>
      <c r="E1737" s="1" t="s">
        <v>2019</v>
      </c>
      <c r="F1737" s="1" t="s">
        <v>174</v>
      </c>
      <c r="G1737" s="6">
        <v>5096861</v>
      </c>
      <c r="H1737" t="str">
        <f>IFERROR(VLOOKUP(F1737,'LEAID Match'!$A$2:$B$142,2,FALSE),"")</f>
        <v/>
      </c>
    </row>
    <row r="1738" spans="1:8" x14ac:dyDescent="0.2">
      <c r="A1738" t="str">
        <f t="shared" si="27"/>
        <v/>
      </c>
      <c r="B1738" s="1">
        <v>2021</v>
      </c>
      <c r="C1738" s="1" t="s">
        <v>2505</v>
      </c>
      <c r="D1738" s="1" t="s">
        <v>2506</v>
      </c>
      <c r="E1738" s="1" t="s">
        <v>2019</v>
      </c>
      <c r="F1738" s="1" t="s">
        <v>174</v>
      </c>
      <c r="G1738" s="6">
        <v>5390557</v>
      </c>
      <c r="H1738" t="str">
        <f>IFERROR(VLOOKUP(F1738,'LEAID Match'!$A$2:$B$142,2,FALSE),"")</f>
        <v/>
      </c>
    </row>
    <row r="1739" spans="1:8" x14ac:dyDescent="0.2">
      <c r="A1739" t="str">
        <f t="shared" si="27"/>
        <v/>
      </c>
      <c r="B1739" s="1">
        <v>2022</v>
      </c>
      <c r="C1739" s="1" t="s">
        <v>2505</v>
      </c>
      <c r="D1739" s="1" t="s">
        <v>2506</v>
      </c>
      <c r="E1739" s="1" t="s">
        <v>2019</v>
      </c>
      <c r="F1739" s="1" t="s">
        <v>174</v>
      </c>
      <c r="G1739" s="6">
        <v>5748705</v>
      </c>
      <c r="H1739" t="str">
        <f>IFERROR(VLOOKUP(F1739,'LEAID Match'!$A$2:$B$142,2,FALSE),"")</f>
        <v/>
      </c>
    </row>
    <row r="1740" spans="1:8" x14ac:dyDescent="0.2">
      <c r="A1740" t="str">
        <f t="shared" si="27"/>
        <v/>
      </c>
      <c r="B1740" s="1">
        <v>2023</v>
      </c>
      <c r="C1740" s="1" t="s">
        <v>2505</v>
      </c>
      <c r="D1740" s="1" t="s">
        <v>2506</v>
      </c>
      <c r="E1740" s="1" t="s">
        <v>2019</v>
      </c>
      <c r="F1740" s="1" t="s">
        <v>174</v>
      </c>
      <c r="G1740" s="6">
        <v>6380232</v>
      </c>
      <c r="H1740" t="str">
        <f>IFERROR(VLOOKUP(F1740,'LEAID Match'!$A$2:$B$142,2,FALSE),"")</f>
        <v/>
      </c>
    </row>
    <row r="1741" spans="1:8" x14ac:dyDescent="0.2">
      <c r="A1741" t="str">
        <f t="shared" si="27"/>
        <v/>
      </c>
      <c r="B1741" s="1">
        <v>2024</v>
      </c>
      <c r="C1741" s="1" t="s">
        <v>2505</v>
      </c>
      <c r="D1741" s="1" t="s">
        <v>2506</v>
      </c>
      <c r="E1741" s="1" t="s">
        <v>2019</v>
      </c>
      <c r="F1741" s="1" t="s">
        <v>174</v>
      </c>
      <c r="G1741" s="6">
        <v>6862265</v>
      </c>
      <c r="H1741" t="str">
        <f>IFERROR(VLOOKUP(F1741,'LEAID Match'!$A$2:$B$142,2,FALSE),"")</f>
        <v/>
      </c>
    </row>
    <row r="1742" spans="1:8" x14ac:dyDescent="0.2">
      <c r="A1742" t="str">
        <f t="shared" si="27"/>
        <v/>
      </c>
      <c r="B1742" s="1">
        <v>2015</v>
      </c>
      <c r="C1742" s="1" t="s">
        <v>2505</v>
      </c>
      <c r="D1742" s="1" t="s">
        <v>2506</v>
      </c>
      <c r="E1742" s="1" t="s">
        <v>2019</v>
      </c>
      <c r="F1742" s="1" t="s">
        <v>175</v>
      </c>
      <c r="G1742" s="6">
        <v>189113</v>
      </c>
      <c r="H1742" t="str">
        <f>IFERROR(VLOOKUP(F1742,'LEAID Match'!$A$2:$B$142,2,FALSE),"")</f>
        <v/>
      </c>
    </row>
    <row r="1743" spans="1:8" x14ac:dyDescent="0.2">
      <c r="A1743" t="str">
        <f t="shared" si="27"/>
        <v/>
      </c>
      <c r="B1743">
        <v>2016</v>
      </c>
      <c r="C1743" s="1" t="s">
        <v>2505</v>
      </c>
      <c r="D1743" s="1" t="s">
        <v>2506</v>
      </c>
      <c r="E1743" s="1" t="s">
        <v>2019</v>
      </c>
      <c r="F1743" s="1" t="s">
        <v>175</v>
      </c>
      <c r="G1743" s="12">
        <v>202526</v>
      </c>
      <c r="H1743" t="str">
        <f>IFERROR(VLOOKUP(F1743,'LEAID Match'!$A$2:$B$142,2,FALSE),"")</f>
        <v/>
      </c>
    </row>
    <row r="1744" spans="1:8" x14ac:dyDescent="0.2">
      <c r="A1744" t="str">
        <f t="shared" si="27"/>
        <v/>
      </c>
      <c r="B1744" s="1">
        <v>2017</v>
      </c>
      <c r="C1744" s="1" t="s">
        <v>2505</v>
      </c>
      <c r="D1744" s="1" t="s">
        <v>2506</v>
      </c>
      <c r="E1744" s="1" t="s">
        <v>2019</v>
      </c>
      <c r="F1744" s="1" t="s">
        <v>175</v>
      </c>
      <c r="G1744" s="50">
        <v>218557</v>
      </c>
      <c r="H1744" t="str">
        <f>IFERROR(VLOOKUP(F1744,'LEAID Match'!$A$2:$B$142,2,FALSE),"")</f>
        <v/>
      </c>
    </row>
    <row r="1745" spans="1:8" x14ac:dyDescent="0.2">
      <c r="A1745" t="str">
        <f t="shared" si="27"/>
        <v/>
      </c>
      <c r="B1745" s="1">
        <v>2018</v>
      </c>
      <c r="C1745" s="1" t="s">
        <v>2505</v>
      </c>
      <c r="D1745" s="1" t="s">
        <v>2506</v>
      </c>
      <c r="E1745" s="1" t="s">
        <v>2019</v>
      </c>
      <c r="F1745" s="1" t="s">
        <v>175</v>
      </c>
      <c r="G1745" s="6">
        <v>232052</v>
      </c>
      <c r="H1745" t="str">
        <f>IFERROR(VLOOKUP(F1745,'LEAID Match'!$A$2:$B$142,2,FALSE),"")</f>
        <v/>
      </c>
    </row>
    <row r="1746" spans="1:8" x14ac:dyDescent="0.2">
      <c r="A1746" t="str">
        <f t="shared" si="27"/>
        <v/>
      </c>
      <c r="B1746" s="1">
        <v>2019</v>
      </c>
      <c r="C1746" s="1" t="s">
        <v>2505</v>
      </c>
      <c r="D1746" s="1" t="s">
        <v>2506</v>
      </c>
      <c r="E1746" s="1" t="s">
        <v>2019</v>
      </c>
      <c r="F1746" s="1" t="s">
        <v>175</v>
      </c>
      <c r="G1746" s="6">
        <v>265374</v>
      </c>
      <c r="H1746" t="str">
        <f>IFERROR(VLOOKUP(F1746,'LEAID Match'!$A$2:$B$142,2,FALSE),"")</f>
        <v/>
      </c>
    </row>
    <row r="1747" spans="1:8" x14ac:dyDescent="0.2">
      <c r="A1747" t="str">
        <f t="shared" si="27"/>
        <v/>
      </c>
      <c r="B1747" s="1">
        <v>2020</v>
      </c>
      <c r="C1747" s="1" t="s">
        <v>2505</v>
      </c>
      <c r="D1747" s="1" t="s">
        <v>2506</v>
      </c>
      <c r="E1747" s="1" t="s">
        <v>2019</v>
      </c>
      <c r="F1747" s="1" t="s">
        <v>175</v>
      </c>
      <c r="G1747" s="6">
        <v>292811</v>
      </c>
      <c r="H1747" t="str">
        <f>IFERROR(VLOOKUP(F1747,'LEAID Match'!$A$2:$B$142,2,FALSE),"")</f>
        <v/>
      </c>
    </row>
    <row r="1748" spans="1:8" x14ac:dyDescent="0.2">
      <c r="A1748" t="str">
        <f t="shared" si="27"/>
        <v/>
      </c>
      <c r="B1748" s="1">
        <v>2021</v>
      </c>
      <c r="C1748" s="1" t="s">
        <v>2505</v>
      </c>
      <c r="D1748" s="1" t="s">
        <v>2506</v>
      </c>
      <c r="E1748" s="1" t="s">
        <v>2019</v>
      </c>
      <c r="F1748" s="1" t="s">
        <v>175</v>
      </c>
      <c r="G1748" s="6">
        <v>278679</v>
      </c>
      <c r="H1748" t="str">
        <f>IFERROR(VLOOKUP(F1748,'LEAID Match'!$A$2:$B$142,2,FALSE),"")</f>
        <v/>
      </c>
    </row>
    <row r="1749" spans="1:8" x14ac:dyDescent="0.2">
      <c r="A1749" t="str">
        <f t="shared" si="27"/>
        <v/>
      </c>
      <c r="B1749" s="1">
        <v>2022</v>
      </c>
      <c r="C1749" s="1" t="s">
        <v>2505</v>
      </c>
      <c r="D1749" s="1" t="s">
        <v>2506</v>
      </c>
      <c r="E1749" s="1" t="s">
        <v>2019</v>
      </c>
      <c r="F1749" s="1" t="s">
        <v>175</v>
      </c>
      <c r="G1749" s="6">
        <v>324452</v>
      </c>
      <c r="H1749" t="str">
        <f>IFERROR(VLOOKUP(F1749,'LEAID Match'!$A$2:$B$142,2,FALSE),"")</f>
        <v/>
      </c>
    </row>
    <row r="1750" spans="1:8" x14ac:dyDescent="0.2">
      <c r="A1750" t="str">
        <f t="shared" si="27"/>
        <v/>
      </c>
      <c r="B1750" s="1">
        <v>2023</v>
      </c>
      <c r="C1750" s="1" t="s">
        <v>2505</v>
      </c>
      <c r="D1750" s="1" t="s">
        <v>2506</v>
      </c>
      <c r="E1750" s="1" t="s">
        <v>2019</v>
      </c>
      <c r="F1750" s="1" t="s">
        <v>175</v>
      </c>
      <c r="G1750" s="6">
        <v>388779</v>
      </c>
      <c r="H1750" t="str">
        <f>IFERROR(VLOOKUP(F1750,'LEAID Match'!$A$2:$B$142,2,FALSE),"")</f>
        <v/>
      </c>
    </row>
    <row r="1751" spans="1:8" x14ac:dyDescent="0.2">
      <c r="A1751" t="str">
        <f t="shared" si="27"/>
        <v/>
      </c>
      <c r="B1751" s="1">
        <v>2024</v>
      </c>
      <c r="C1751" s="1" t="s">
        <v>2505</v>
      </c>
      <c r="D1751" s="1" t="s">
        <v>2506</v>
      </c>
      <c r="E1751" s="1" t="s">
        <v>2019</v>
      </c>
      <c r="F1751" s="1" t="s">
        <v>175</v>
      </c>
      <c r="G1751" s="6">
        <v>410445</v>
      </c>
      <c r="H1751" t="str">
        <f>IFERROR(VLOOKUP(F1751,'LEAID Match'!$A$2:$B$142,2,FALSE),"")</f>
        <v/>
      </c>
    </row>
    <row r="1752" spans="1:8" x14ac:dyDescent="0.2">
      <c r="A1752" t="str">
        <f t="shared" si="27"/>
        <v/>
      </c>
      <c r="B1752" s="1">
        <v>2015</v>
      </c>
      <c r="C1752" s="1" t="s">
        <v>2505</v>
      </c>
      <c r="D1752" s="1" t="s">
        <v>2506</v>
      </c>
      <c r="E1752" s="1" t="s">
        <v>2019</v>
      </c>
      <c r="F1752" s="1" t="s">
        <v>176</v>
      </c>
      <c r="G1752" s="6">
        <v>10276</v>
      </c>
      <c r="H1752" t="str">
        <f>IFERROR(VLOOKUP(F1752,'LEAID Match'!$A$2:$B$142,2,FALSE),"")</f>
        <v/>
      </c>
    </row>
    <row r="1753" spans="1:8" x14ac:dyDescent="0.2">
      <c r="A1753" t="str">
        <f t="shared" si="27"/>
        <v/>
      </c>
      <c r="B1753">
        <v>2016</v>
      </c>
      <c r="C1753" s="1" t="s">
        <v>2505</v>
      </c>
      <c r="D1753" s="1" t="s">
        <v>2506</v>
      </c>
      <c r="E1753" s="1" t="s">
        <v>2019</v>
      </c>
      <c r="F1753" s="1" t="s">
        <v>176</v>
      </c>
      <c r="G1753" s="12">
        <v>10527</v>
      </c>
      <c r="H1753" t="str">
        <f>IFERROR(VLOOKUP(F1753,'LEAID Match'!$A$2:$B$142,2,FALSE),"")</f>
        <v/>
      </c>
    </row>
    <row r="1754" spans="1:8" x14ac:dyDescent="0.2">
      <c r="A1754" t="str">
        <f t="shared" si="27"/>
        <v/>
      </c>
      <c r="B1754" s="1">
        <v>2017</v>
      </c>
      <c r="C1754" s="1" t="s">
        <v>2505</v>
      </c>
      <c r="D1754" s="1" t="s">
        <v>2506</v>
      </c>
      <c r="E1754" s="1" t="s">
        <v>2019</v>
      </c>
      <c r="F1754" s="1" t="s">
        <v>176</v>
      </c>
      <c r="G1754" s="50">
        <v>10685</v>
      </c>
      <c r="H1754" t="str">
        <f>IFERROR(VLOOKUP(F1754,'LEAID Match'!$A$2:$B$142,2,FALSE),"")</f>
        <v/>
      </c>
    </row>
    <row r="1755" spans="1:8" x14ac:dyDescent="0.2">
      <c r="A1755" t="str">
        <f t="shared" si="27"/>
        <v/>
      </c>
      <c r="B1755" s="1">
        <v>2018</v>
      </c>
      <c r="C1755" s="1" t="s">
        <v>2505</v>
      </c>
      <c r="D1755" s="1" t="s">
        <v>2506</v>
      </c>
      <c r="E1755" s="1" t="s">
        <v>2019</v>
      </c>
      <c r="F1755" s="1" t="s">
        <v>176</v>
      </c>
      <c r="G1755" s="6">
        <v>10951</v>
      </c>
      <c r="H1755" t="str">
        <f>IFERROR(VLOOKUP(F1755,'LEAID Match'!$A$2:$B$142,2,FALSE),"")</f>
        <v/>
      </c>
    </row>
    <row r="1756" spans="1:8" x14ac:dyDescent="0.2">
      <c r="A1756" t="str">
        <f t="shared" si="27"/>
        <v/>
      </c>
      <c r="B1756" s="1">
        <v>2019</v>
      </c>
      <c r="C1756" s="1" t="s">
        <v>2505</v>
      </c>
      <c r="D1756" s="1" t="s">
        <v>2506</v>
      </c>
      <c r="E1756" s="1" t="s">
        <v>2019</v>
      </c>
      <c r="F1756" s="1" t="s">
        <v>176</v>
      </c>
      <c r="G1756" s="6">
        <v>11170</v>
      </c>
      <c r="H1756" t="str">
        <f>IFERROR(VLOOKUP(F1756,'LEAID Match'!$A$2:$B$142,2,FALSE),"")</f>
        <v/>
      </c>
    </row>
    <row r="1757" spans="1:8" x14ac:dyDescent="0.2">
      <c r="A1757" t="str">
        <f t="shared" si="27"/>
        <v/>
      </c>
      <c r="B1757" s="1">
        <v>2020</v>
      </c>
      <c r="C1757" s="1" t="s">
        <v>2505</v>
      </c>
      <c r="D1757" s="1" t="s">
        <v>2506</v>
      </c>
      <c r="E1757" s="1" t="s">
        <v>2019</v>
      </c>
      <c r="F1757" s="1" t="s">
        <v>176</v>
      </c>
      <c r="G1757" s="6">
        <v>12618</v>
      </c>
      <c r="H1757" t="str">
        <f>IFERROR(VLOOKUP(F1757,'LEAID Match'!$A$2:$B$142,2,FALSE),"")</f>
        <v/>
      </c>
    </row>
    <row r="1758" spans="1:8" x14ac:dyDescent="0.2">
      <c r="A1758" t="str">
        <f t="shared" si="27"/>
        <v/>
      </c>
      <c r="B1758" s="1">
        <v>2021</v>
      </c>
      <c r="C1758" s="1" t="s">
        <v>2505</v>
      </c>
      <c r="D1758" s="1" t="s">
        <v>2506</v>
      </c>
      <c r="E1758" s="1" t="s">
        <v>2019</v>
      </c>
      <c r="F1758" s="1" t="s">
        <v>176</v>
      </c>
      <c r="G1758" s="6">
        <v>12861</v>
      </c>
      <c r="H1758" t="str">
        <f>IFERROR(VLOOKUP(F1758,'LEAID Match'!$A$2:$B$142,2,FALSE),"")</f>
        <v/>
      </c>
    </row>
    <row r="1759" spans="1:8" x14ac:dyDescent="0.2">
      <c r="A1759" t="str">
        <f t="shared" si="27"/>
        <v/>
      </c>
      <c r="B1759" s="1">
        <v>2022</v>
      </c>
      <c r="C1759" s="1" t="s">
        <v>2505</v>
      </c>
      <c r="D1759" s="1" t="s">
        <v>2506</v>
      </c>
      <c r="E1759" s="1" t="s">
        <v>2019</v>
      </c>
      <c r="F1759" s="1" t="s">
        <v>176</v>
      </c>
      <c r="G1759" s="6">
        <v>6474</v>
      </c>
      <c r="H1759" t="str">
        <f>IFERROR(VLOOKUP(F1759,'LEAID Match'!$A$2:$B$142,2,FALSE),"")</f>
        <v/>
      </c>
    </row>
    <row r="1760" spans="1:8" x14ac:dyDescent="0.2">
      <c r="A1760" t="str">
        <f t="shared" si="27"/>
        <v/>
      </c>
      <c r="B1760" s="1">
        <v>2023</v>
      </c>
      <c r="C1760" s="1" t="s">
        <v>2505</v>
      </c>
      <c r="D1760" s="1" t="s">
        <v>2506</v>
      </c>
      <c r="E1760" s="1" t="s">
        <v>2019</v>
      </c>
      <c r="F1760" s="1" t="s">
        <v>176</v>
      </c>
      <c r="G1760" s="6">
        <v>6411</v>
      </c>
      <c r="H1760" t="str">
        <f>IFERROR(VLOOKUP(F1760,'LEAID Match'!$A$2:$B$142,2,FALSE),"")</f>
        <v/>
      </c>
    </row>
    <row r="1761" spans="1:8" x14ac:dyDescent="0.2">
      <c r="A1761" t="str">
        <f t="shared" si="27"/>
        <v/>
      </c>
      <c r="B1761" s="1">
        <v>2024</v>
      </c>
      <c r="C1761" s="1" t="s">
        <v>2505</v>
      </c>
      <c r="D1761" s="1" t="s">
        <v>2506</v>
      </c>
      <c r="E1761" s="1" t="s">
        <v>2019</v>
      </c>
      <c r="F1761" s="1" t="s">
        <v>176</v>
      </c>
      <c r="G1761" s="6">
        <v>13398</v>
      </c>
      <c r="H1761" t="str">
        <f>IFERROR(VLOOKUP(F1761,'LEAID Match'!$A$2:$B$142,2,FALSE),"")</f>
        <v/>
      </c>
    </row>
    <row r="1762" spans="1:8" x14ac:dyDescent="0.2">
      <c r="A1762" t="str">
        <f t="shared" si="27"/>
        <v/>
      </c>
      <c r="B1762" s="1">
        <v>2015</v>
      </c>
      <c r="C1762" s="1" t="s">
        <v>2505</v>
      </c>
      <c r="D1762" s="1" t="s">
        <v>2506</v>
      </c>
      <c r="E1762" s="1" t="s">
        <v>2019</v>
      </c>
      <c r="F1762" s="1" t="s">
        <v>177</v>
      </c>
      <c r="G1762" s="6">
        <v>10811</v>
      </c>
      <c r="H1762" t="str">
        <f>IFERROR(VLOOKUP(F1762,'LEAID Match'!$A$2:$B$142,2,FALSE),"")</f>
        <v/>
      </c>
    </row>
    <row r="1763" spans="1:8" x14ac:dyDescent="0.2">
      <c r="A1763" t="str">
        <f t="shared" si="27"/>
        <v/>
      </c>
      <c r="B1763">
        <v>2016</v>
      </c>
      <c r="C1763" s="1" t="s">
        <v>2505</v>
      </c>
      <c r="D1763" s="1" t="s">
        <v>2506</v>
      </c>
      <c r="E1763" s="1" t="s">
        <v>2019</v>
      </c>
      <c r="F1763" s="1" t="s">
        <v>177</v>
      </c>
      <c r="G1763" s="12">
        <v>11067</v>
      </c>
      <c r="H1763" t="str">
        <f>IFERROR(VLOOKUP(F1763,'LEAID Match'!$A$2:$B$142,2,FALSE),"")</f>
        <v/>
      </c>
    </row>
    <row r="1764" spans="1:8" x14ac:dyDescent="0.2">
      <c r="A1764" t="str">
        <f t="shared" si="27"/>
        <v/>
      </c>
      <c r="B1764" s="1">
        <v>2017</v>
      </c>
      <c r="C1764" s="1" t="s">
        <v>2505</v>
      </c>
      <c r="D1764" s="1" t="s">
        <v>2506</v>
      </c>
      <c r="E1764" s="1" t="s">
        <v>2019</v>
      </c>
      <c r="F1764" s="1" t="s">
        <v>177</v>
      </c>
      <c r="G1764" s="50">
        <v>10985</v>
      </c>
      <c r="H1764" t="str">
        <f>IFERROR(VLOOKUP(F1764,'LEAID Match'!$A$2:$B$142,2,FALSE),"")</f>
        <v/>
      </c>
    </row>
    <row r="1765" spans="1:8" x14ac:dyDescent="0.2">
      <c r="A1765" t="str">
        <f t="shared" si="27"/>
        <v/>
      </c>
      <c r="B1765" s="1">
        <v>2018</v>
      </c>
      <c r="C1765" s="1" t="s">
        <v>2505</v>
      </c>
      <c r="D1765" s="1" t="s">
        <v>2506</v>
      </c>
      <c r="E1765" s="1" t="s">
        <v>2019</v>
      </c>
      <c r="F1765" s="1" t="s">
        <v>177</v>
      </c>
      <c r="G1765" s="6">
        <v>11236</v>
      </c>
      <c r="H1765" t="str">
        <f>IFERROR(VLOOKUP(F1765,'LEAID Match'!$A$2:$B$142,2,FALSE),"")</f>
        <v/>
      </c>
    </row>
    <row r="1766" spans="1:8" x14ac:dyDescent="0.2">
      <c r="A1766" t="str">
        <f t="shared" si="27"/>
        <v/>
      </c>
      <c r="B1766" s="1">
        <v>2019</v>
      </c>
      <c r="C1766" s="1" t="s">
        <v>2505</v>
      </c>
      <c r="D1766" s="1" t="s">
        <v>2506</v>
      </c>
      <c r="E1766" s="1" t="s">
        <v>2019</v>
      </c>
      <c r="F1766" s="1" t="s">
        <v>177</v>
      </c>
      <c r="G1766" s="6">
        <v>11461</v>
      </c>
      <c r="H1766" t="str">
        <f>IFERROR(VLOOKUP(F1766,'LEAID Match'!$A$2:$B$142,2,FALSE),"")</f>
        <v/>
      </c>
    </row>
    <row r="1767" spans="1:8" x14ac:dyDescent="0.2">
      <c r="A1767" t="str">
        <f t="shared" si="27"/>
        <v/>
      </c>
      <c r="B1767" s="1">
        <v>2020</v>
      </c>
      <c r="C1767" s="1" t="s">
        <v>2505</v>
      </c>
      <c r="D1767" s="1" t="s">
        <v>2506</v>
      </c>
      <c r="E1767" s="1" t="s">
        <v>2019</v>
      </c>
      <c r="F1767" s="1" t="s">
        <v>177</v>
      </c>
      <c r="G1767" s="6">
        <v>12962</v>
      </c>
      <c r="H1767" t="str">
        <f>IFERROR(VLOOKUP(F1767,'LEAID Match'!$A$2:$B$142,2,FALSE),"")</f>
        <v/>
      </c>
    </row>
    <row r="1768" spans="1:8" x14ac:dyDescent="0.2">
      <c r="A1768" t="str">
        <f t="shared" si="27"/>
        <v/>
      </c>
      <c r="B1768" s="1">
        <v>2021</v>
      </c>
      <c r="C1768" s="1" t="s">
        <v>2505</v>
      </c>
      <c r="D1768" s="1" t="s">
        <v>2506</v>
      </c>
      <c r="E1768" s="1" t="s">
        <v>2019</v>
      </c>
      <c r="F1768" s="1" t="s">
        <v>177</v>
      </c>
      <c r="G1768" s="6">
        <v>13528</v>
      </c>
      <c r="H1768" t="str">
        <f>IFERROR(VLOOKUP(F1768,'LEAID Match'!$A$2:$B$142,2,FALSE),"")</f>
        <v/>
      </c>
    </row>
    <row r="1769" spans="1:8" x14ac:dyDescent="0.2">
      <c r="A1769" t="str">
        <f t="shared" si="27"/>
        <v/>
      </c>
      <c r="B1769" s="1">
        <v>2022</v>
      </c>
      <c r="C1769" s="1" t="s">
        <v>2505</v>
      </c>
      <c r="D1769" s="1" t="s">
        <v>2506</v>
      </c>
      <c r="E1769" s="1" t="s">
        <v>2019</v>
      </c>
      <c r="F1769" s="1" t="s">
        <v>177</v>
      </c>
      <c r="G1769" s="6">
        <v>14028</v>
      </c>
      <c r="H1769" t="str">
        <f>IFERROR(VLOOKUP(F1769,'LEAID Match'!$A$2:$B$142,2,FALSE),"")</f>
        <v/>
      </c>
    </row>
    <row r="1770" spans="1:8" x14ac:dyDescent="0.2">
      <c r="A1770" t="str">
        <f t="shared" si="27"/>
        <v/>
      </c>
      <c r="B1770" s="1">
        <v>2023</v>
      </c>
      <c r="C1770" s="1" t="s">
        <v>2505</v>
      </c>
      <c r="D1770" s="1" t="s">
        <v>2506</v>
      </c>
      <c r="E1770" s="1" t="s">
        <v>2019</v>
      </c>
      <c r="F1770" s="1" t="s">
        <v>177</v>
      </c>
      <c r="G1770" s="6">
        <v>14643</v>
      </c>
      <c r="H1770" t="str">
        <f>IFERROR(VLOOKUP(F1770,'LEAID Match'!$A$2:$B$142,2,FALSE),"")</f>
        <v/>
      </c>
    </row>
    <row r="1771" spans="1:8" x14ac:dyDescent="0.2">
      <c r="A1771" t="str">
        <f t="shared" si="27"/>
        <v/>
      </c>
      <c r="B1771" s="1">
        <v>2024</v>
      </c>
      <c r="C1771" s="1" t="s">
        <v>2505</v>
      </c>
      <c r="D1771" s="1" t="s">
        <v>2506</v>
      </c>
      <c r="E1771" s="1" t="s">
        <v>2019</v>
      </c>
      <c r="F1771" s="1" t="s">
        <v>177</v>
      </c>
      <c r="G1771" s="6">
        <v>15272</v>
      </c>
      <c r="H1771" t="str">
        <f>IFERROR(VLOOKUP(F1771,'LEAID Match'!$A$2:$B$142,2,FALSE),"")</f>
        <v/>
      </c>
    </row>
    <row r="1772" spans="1:8" x14ac:dyDescent="0.2">
      <c r="A1772" t="str">
        <f t="shared" si="27"/>
        <v/>
      </c>
      <c r="B1772" s="1">
        <v>2015</v>
      </c>
      <c r="C1772" s="1" t="s">
        <v>2505</v>
      </c>
      <c r="D1772" s="1" t="s">
        <v>2506</v>
      </c>
      <c r="E1772" s="1" t="s">
        <v>2019</v>
      </c>
      <c r="F1772" s="1" t="s">
        <v>178</v>
      </c>
      <c r="G1772" s="6">
        <v>129065</v>
      </c>
      <c r="H1772" t="str">
        <f>IFERROR(VLOOKUP(F1772,'LEAID Match'!$A$2:$B$142,2,FALSE),"")</f>
        <v/>
      </c>
    </row>
    <row r="1773" spans="1:8" x14ac:dyDescent="0.2">
      <c r="A1773" t="str">
        <f t="shared" si="27"/>
        <v/>
      </c>
      <c r="B1773">
        <v>2016</v>
      </c>
      <c r="C1773" s="1" t="s">
        <v>2505</v>
      </c>
      <c r="D1773" s="1" t="s">
        <v>2506</v>
      </c>
      <c r="E1773" s="1" t="s">
        <v>2019</v>
      </c>
      <c r="F1773" s="1" t="s">
        <v>178</v>
      </c>
      <c r="G1773" s="12">
        <v>121361</v>
      </c>
      <c r="H1773" t="str">
        <f>IFERROR(VLOOKUP(F1773,'LEAID Match'!$A$2:$B$142,2,FALSE),"")</f>
        <v/>
      </c>
    </row>
    <row r="1774" spans="1:8" x14ac:dyDescent="0.2">
      <c r="A1774" t="str">
        <f t="shared" si="27"/>
        <v/>
      </c>
      <c r="B1774" s="1">
        <v>2017</v>
      </c>
      <c r="C1774" s="1" t="s">
        <v>2505</v>
      </c>
      <c r="D1774" s="1" t="s">
        <v>2506</v>
      </c>
      <c r="E1774" s="1" t="s">
        <v>2019</v>
      </c>
      <c r="F1774" s="1" t="s">
        <v>178</v>
      </c>
      <c r="G1774" s="50">
        <v>132002</v>
      </c>
      <c r="H1774" t="str">
        <f>IFERROR(VLOOKUP(F1774,'LEAID Match'!$A$2:$B$142,2,FALSE),"")</f>
        <v/>
      </c>
    </row>
    <row r="1775" spans="1:8" x14ac:dyDescent="0.2">
      <c r="A1775" t="str">
        <f t="shared" si="27"/>
        <v/>
      </c>
      <c r="B1775" s="1">
        <v>2018</v>
      </c>
      <c r="C1775" s="1" t="s">
        <v>2505</v>
      </c>
      <c r="D1775" s="1" t="s">
        <v>2506</v>
      </c>
      <c r="E1775" s="1" t="s">
        <v>2019</v>
      </c>
      <c r="F1775" s="1" t="s">
        <v>178</v>
      </c>
      <c r="G1775" s="6">
        <v>129417</v>
      </c>
      <c r="H1775" t="str">
        <f>IFERROR(VLOOKUP(F1775,'LEAID Match'!$A$2:$B$142,2,FALSE),"")</f>
        <v/>
      </c>
    </row>
    <row r="1776" spans="1:8" x14ac:dyDescent="0.2">
      <c r="A1776" t="str">
        <f t="shared" si="27"/>
        <v/>
      </c>
      <c r="B1776" s="1">
        <v>2019</v>
      </c>
      <c r="C1776" s="1" t="s">
        <v>2505</v>
      </c>
      <c r="D1776" s="1" t="s">
        <v>2506</v>
      </c>
      <c r="E1776" s="1" t="s">
        <v>2019</v>
      </c>
      <c r="F1776" s="1" t="s">
        <v>178</v>
      </c>
      <c r="G1776" s="6">
        <v>132997</v>
      </c>
      <c r="H1776" t="str">
        <f>IFERROR(VLOOKUP(F1776,'LEAID Match'!$A$2:$B$142,2,FALSE),"")</f>
        <v/>
      </c>
    </row>
    <row r="1777" spans="1:8" x14ac:dyDescent="0.2">
      <c r="A1777" t="str">
        <f t="shared" si="27"/>
        <v/>
      </c>
      <c r="B1777" s="1">
        <v>2020</v>
      </c>
      <c r="C1777" s="1" t="s">
        <v>2505</v>
      </c>
      <c r="D1777" s="1" t="s">
        <v>2506</v>
      </c>
      <c r="E1777" s="1" t="s">
        <v>2019</v>
      </c>
      <c r="F1777" s="1" t="s">
        <v>178</v>
      </c>
      <c r="G1777" s="6">
        <v>140382</v>
      </c>
      <c r="H1777" t="str">
        <f>IFERROR(VLOOKUP(F1777,'LEAID Match'!$A$2:$B$142,2,FALSE),"")</f>
        <v/>
      </c>
    </row>
    <row r="1778" spans="1:8" x14ac:dyDescent="0.2">
      <c r="A1778" t="str">
        <f t="shared" si="27"/>
        <v/>
      </c>
      <c r="B1778" s="1">
        <v>2021</v>
      </c>
      <c r="C1778" s="1" t="s">
        <v>2505</v>
      </c>
      <c r="D1778" s="1" t="s">
        <v>2506</v>
      </c>
      <c r="E1778" s="1" t="s">
        <v>2019</v>
      </c>
      <c r="F1778" s="1" t="s">
        <v>178</v>
      </c>
      <c r="G1778" s="6">
        <v>149684</v>
      </c>
      <c r="H1778" t="str">
        <f>IFERROR(VLOOKUP(F1778,'LEAID Match'!$A$2:$B$142,2,FALSE),"")</f>
        <v/>
      </c>
    </row>
    <row r="1779" spans="1:8" x14ac:dyDescent="0.2">
      <c r="A1779" t="str">
        <f t="shared" si="27"/>
        <v/>
      </c>
      <c r="B1779" s="1">
        <v>2022</v>
      </c>
      <c r="C1779" s="1" t="s">
        <v>2505</v>
      </c>
      <c r="D1779" s="1" t="s">
        <v>2506</v>
      </c>
      <c r="E1779" s="1" t="s">
        <v>2019</v>
      </c>
      <c r="F1779" s="1" t="s">
        <v>178</v>
      </c>
      <c r="G1779" s="6">
        <v>169310</v>
      </c>
      <c r="H1779" t="str">
        <f>IFERROR(VLOOKUP(F1779,'LEAID Match'!$A$2:$B$142,2,FALSE),"")</f>
        <v/>
      </c>
    </row>
    <row r="1780" spans="1:8" x14ac:dyDescent="0.2">
      <c r="A1780" t="str">
        <f t="shared" si="27"/>
        <v/>
      </c>
      <c r="B1780" s="1">
        <v>2023</v>
      </c>
      <c r="C1780" s="1" t="s">
        <v>2505</v>
      </c>
      <c r="D1780" s="1" t="s">
        <v>2506</v>
      </c>
      <c r="E1780" s="1" t="s">
        <v>2019</v>
      </c>
      <c r="F1780" s="1" t="s">
        <v>178</v>
      </c>
      <c r="G1780" s="6">
        <v>179228</v>
      </c>
      <c r="H1780" t="str">
        <f>IFERROR(VLOOKUP(F1780,'LEAID Match'!$A$2:$B$142,2,FALSE),"")</f>
        <v/>
      </c>
    </row>
    <row r="1781" spans="1:8" x14ac:dyDescent="0.2">
      <c r="A1781" t="str">
        <f t="shared" si="27"/>
        <v/>
      </c>
      <c r="B1781" s="1">
        <v>2024</v>
      </c>
      <c r="C1781" s="1" t="s">
        <v>2505</v>
      </c>
      <c r="D1781" s="1" t="s">
        <v>2506</v>
      </c>
      <c r="E1781" s="1" t="s">
        <v>2019</v>
      </c>
      <c r="F1781" s="1" t="s">
        <v>178</v>
      </c>
      <c r="G1781" s="6">
        <v>185120</v>
      </c>
      <c r="H1781" t="str">
        <f>IFERROR(VLOOKUP(F1781,'LEAID Match'!$A$2:$B$142,2,FALSE),"")</f>
        <v/>
      </c>
    </row>
    <row r="1782" spans="1:8" x14ac:dyDescent="0.2">
      <c r="A1782" t="str">
        <f t="shared" si="27"/>
        <v/>
      </c>
      <c r="B1782" s="1">
        <v>2015</v>
      </c>
      <c r="C1782" s="1" t="s">
        <v>2505</v>
      </c>
      <c r="D1782" s="1" t="s">
        <v>2506</v>
      </c>
      <c r="E1782" s="1" t="s">
        <v>2019</v>
      </c>
      <c r="F1782" s="1" t="s">
        <v>180</v>
      </c>
      <c r="G1782" s="6">
        <v>2618620</v>
      </c>
      <c r="H1782" t="str">
        <f>IFERROR(VLOOKUP(F1782,'LEAID Match'!$A$2:$B$142,2,FALSE),"")</f>
        <v/>
      </c>
    </row>
    <row r="1783" spans="1:8" x14ac:dyDescent="0.2">
      <c r="A1783" t="str">
        <f t="shared" si="27"/>
        <v/>
      </c>
      <c r="B1783">
        <v>2016</v>
      </c>
      <c r="C1783" s="1" t="s">
        <v>2505</v>
      </c>
      <c r="D1783" s="1" t="s">
        <v>2506</v>
      </c>
      <c r="E1783" s="1" t="s">
        <v>2019</v>
      </c>
      <c r="F1783" s="1" t="s">
        <v>180</v>
      </c>
      <c r="G1783" s="12">
        <v>2868367</v>
      </c>
      <c r="H1783" t="str">
        <f>IFERROR(VLOOKUP(F1783,'LEAID Match'!$A$2:$B$142,2,FALSE),"")</f>
        <v/>
      </c>
    </row>
    <row r="1784" spans="1:8" x14ac:dyDescent="0.2">
      <c r="A1784" t="str">
        <f t="shared" si="27"/>
        <v/>
      </c>
      <c r="B1784" s="1">
        <v>2017</v>
      </c>
      <c r="C1784" s="1" t="s">
        <v>2505</v>
      </c>
      <c r="D1784" s="1" t="s">
        <v>2506</v>
      </c>
      <c r="E1784" s="1" t="s">
        <v>2019</v>
      </c>
      <c r="F1784" s="1" t="s">
        <v>180</v>
      </c>
      <c r="G1784" s="50">
        <v>2954844</v>
      </c>
      <c r="H1784" t="str">
        <f>IFERROR(VLOOKUP(F1784,'LEAID Match'!$A$2:$B$142,2,FALSE),"")</f>
        <v/>
      </c>
    </row>
    <row r="1785" spans="1:8" x14ac:dyDescent="0.2">
      <c r="A1785" t="str">
        <f t="shared" si="27"/>
        <v/>
      </c>
      <c r="B1785" s="1">
        <v>2018</v>
      </c>
      <c r="C1785" s="1" t="s">
        <v>2505</v>
      </c>
      <c r="D1785" s="1" t="s">
        <v>2506</v>
      </c>
      <c r="E1785" s="1" t="s">
        <v>2019</v>
      </c>
      <c r="F1785" s="1" t="s">
        <v>180</v>
      </c>
      <c r="G1785" s="6">
        <v>2959100</v>
      </c>
      <c r="H1785" t="str">
        <f>IFERROR(VLOOKUP(F1785,'LEAID Match'!$A$2:$B$142,2,FALSE),"")</f>
        <v/>
      </c>
    </row>
    <row r="1786" spans="1:8" x14ac:dyDescent="0.2">
      <c r="A1786" t="str">
        <f t="shared" si="27"/>
        <v/>
      </c>
      <c r="B1786" s="1">
        <v>2019</v>
      </c>
      <c r="C1786" s="1" t="s">
        <v>2505</v>
      </c>
      <c r="D1786" s="1" t="s">
        <v>2506</v>
      </c>
      <c r="E1786" s="1" t="s">
        <v>2019</v>
      </c>
      <c r="F1786" s="1" t="s">
        <v>180</v>
      </c>
      <c r="G1786" s="6">
        <v>2957165</v>
      </c>
      <c r="H1786" t="str">
        <f>IFERROR(VLOOKUP(F1786,'LEAID Match'!$A$2:$B$142,2,FALSE),"")</f>
        <v/>
      </c>
    </row>
    <row r="1787" spans="1:8" x14ac:dyDescent="0.2">
      <c r="A1787" t="str">
        <f t="shared" si="27"/>
        <v/>
      </c>
      <c r="B1787" s="1">
        <v>2020</v>
      </c>
      <c r="C1787" s="1" t="s">
        <v>2505</v>
      </c>
      <c r="D1787" s="1" t="s">
        <v>2506</v>
      </c>
      <c r="E1787" s="1" t="s">
        <v>2019</v>
      </c>
      <c r="F1787" s="1" t="s">
        <v>180</v>
      </c>
      <c r="G1787" s="6">
        <v>3268357</v>
      </c>
      <c r="H1787" t="str">
        <f>IFERROR(VLOOKUP(F1787,'LEAID Match'!$A$2:$B$142,2,FALSE),"")</f>
        <v/>
      </c>
    </row>
    <row r="1788" spans="1:8" x14ac:dyDescent="0.2">
      <c r="A1788" t="str">
        <f t="shared" si="27"/>
        <v/>
      </c>
      <c r="B1788" s="1">
        <v>2021</v>
      </c>
      <c r="C1788" s="1" t="s">
        <v>2505</v>
      </c>
      <c r="D1788" s="1" t="s">
        <v>2506</v>
      </c>
      <c r="E1788" s="1" t="s">
        <v>2019</v>
      </c>
      <c r="F1788" s="1" t="s">
        <v>180</v>
      </c>
      <c r="G1788" s="6">
        <v>3278103</v>
      </c>
      <c r="H1788" t="str">
        <f>IFERROR(VLOOKUP(F1788,'LEAID Match'!$A$2:$B$142,2,FALSE),"")</f>
        <v/>
      </c>
    </row>
    <row r="1789" spans="1:8" x14ac:dyDescent="0.2">
      <c r="A1789" t="str">
        <f t="shared" si="27"/>
        <v/>
      </c>
      <c r="B1789" s="1">
        <v>2022</v>
      </c>
      <c r="C1789" s="1" t="s">
        <v>2505</v>
      </c>
      <c r="D1789" s="1" t="s">
        <v>2506</v>
      </c>
      <c r="E1789" s="1" t="s">
        <v>2019</v>
      </c>
      <c r="F1789" s="1" t="s">
        <v>180</v>
      </c>
      <c r="G1789" s="6">
        <v>3291588</v>
      </c>
      <c r="H1789" t="str">
        <f>IFERROR(VLOOKUP(F1789,'LEAID Match'!$A$2:$B$142,2,FALSE),"")</f>
        <v/>
      </c>
    </row>
    <row r="1790" spans="1:8" x14ac:dyDescent="0.2">
      <c r="A1790" t="str">
        <f t="shared" si="27"/>
        <v/>
      </c>
      <c r="B1790" s="1">
        <v>2023</v>
      </c>
      <c r="C1790" s="1" t="s">
        <v>2505</v>
      </c>
      <c r="D1790" s="1" t="s">
        <v>2506</v>
      </c>
      <c r="E1790" s="1" t="s">
        <v>2019</v>
      </c>
      <c r="F1790" s="1" t="s">
        <v>180</v>
      </c>
      <c r="G1790" s="6">
        <v>3471576</v>
      </c>
      <c r="H1790" t="str">
        <f>IFERROR(VLOOKUP(F1790,'LEAID Match'!$A$2:$B$142,2,FALSE),"")</f>
        <v/>
      </c>
    </row>
    <row r="1791" spans="1:8" x14ac:dyDescent="0.2">
      <c r="A1791" t="str">
        <f t="shared" si="27"/>
        <v/>
      </c>
      <c r="B1791" s="1">
        <v>2024</v>
      </c>
      <c r="C1791" s="1" t="s">
        <v>2505</v>
      </c>
      <c r="D1791" s="1" t="s">
        <v>2506</v>
      </c>
      <c r="E1791" s="1" t="s">
        <v>2019</v>
      </c>
      <c r="F1791" s="1" t="s">
        <v>180</v>
      </c>
      <c r="G1791" s="6">
        <v>3881650</v>
      </c>
      <c r="H1791" t="str">
        <f>IFERROR(VLOOKUP(F1791,'LEAID Match'!$A$2:$B$142,2,FALSE),"")</f>
        <v/>
      </c>
    </row>
    <row r="1792" spans="1:8" x14ac:dyDescent="0.2">
      <c r="A1792" t="str">
        <f t="shared" si="27"/>
        <v/>
      </c>
      <c r="B1792" s="1">
        <v>2015</v>
      </c>
      <c r="C1792" s="1" t="s">
        <v>2505</v>
      </c>
      <c r="D1792" s="1" t="s">
        <v>2506</v>
      </c>
      <c r="E1792" s="1" t="s">
        <v>2019</v>
      </c>
      <c r="F1792" s="1" t="s">
        <v>181</v>
      </c>
      <c r="G1792" s="6">
        <v>61530</v>
      </c>
      <c r="H1792" t="str">
        <f>IFERROR(VLOOKUP(F1792,'LEAID Match'!$A$2:$B$142,2,FALSE),"")</f>
        <v/>
      </c>
    </row>
    <row r="1793" spans="1:8" x14ac:dyDescent="0.2">
      <c r="A1793" t="str">
        <f t="shared" si="27"/>
        <v/>
      </c>
      <c r="B1793">
        <v>2016</v>
      </c>
      <c r="C1793" s="1" t="s">
        <v>2505</v>
      </c>
      <c r="D1793" s="1" t="s">
        <v>2506</v>
      </c>
      <c r="E1793" s="1" t="s">
        <v>2019</v>
      </c>
      <c r="F1793" s="1" t="s">
        <v>181</v>
      </c>
      <c r="G1793" s="12">
        <v>59673</v>
      </c>
      <c r="H1793" t="str">
        <f>IFERROR(VLOOKUP(F1793,'LEAID Match'!$A$2:$B$142,2,FALSE),"")</f>
        <v/>
      </c>
    </row>
    <row r="1794" spans="1:8" x14ac:dyDescent="0.2">
      <c r="A1794" t="str">
        <f t="shared" si="27"/>
        <v/>
      </c>
      <c r="B1794" s="1">
        <v>2017</v>
      </c>
      <c r="C1794" s="1" t="s">
        <v>2505</v>
      </c>
      <c r="D1794" s="1" t="s">
        <v>2506</v>
      </c>
      <c r="E1794" s="1" t="s">
        <v>2019</v>
      </c>
      <c r="F1794" s="1" t="s">
        <v>181</v>
      </c>
      <c r="G1794" s="50">
        <v>60896</v>
      </c>
      <c r="H1794" t="str">
        <f>IFERROR(VLOOKUP(F1794,'LEAID Match'!$A$2:$B$142,2,FALSE),"")</f>
        <v/>
      </c>
    </row>
    <row r="1795" spans="1:8" x14ac:dyDescent="0.2">
      <c r="A1795" t="str">
        <f t="shared" ref="A1795:A1858" si="28">H1795</f>
        <v/>
      </c>
      <c r="B1795" s="1">
        <v>2018</v>
      </c>
      <c r="C1795" s="1" t="s">
        <v>2505</v>
      </c>
      <c r="D1795" s="1" t="s">
        <v>2506</v>
      </c>
      <c r="E1795" s="1" t="s">
        <v>2019</v>
      </c>
      <c r="F1795" s="1" t="s">
        <v>181</v>
      </c>
      <c r="G1795" s="6">
        <v>61226</v>
      </c>
      <c r="H1795" t="str">
        <f>IFERROR(VLOOKUP(F1795,'LEAID Match'!$A$2:$B$142,2,FALSE),"")</f>
        <v/>
      </c>
    </row>
    <row r="1796" spans="1:8" x14ac:dyDescent="0.2">
      <c r="A1796" t="str">
        <f t="shared" si="28"/>
        <v/>
      </c>
      <c r="B1796" s="1">
        <v>2019</v>
      </c>
      <c r="C1796" s="1" t="s">
        <v>2505</v>
      </c>
      <c r="D1796" s="1" t="s">
        <v>2506</v>
      </c>
      <c r="E1796" s="1" t="s">
        <v>2019</v>
      </c>
      <c r="F1796" s="1" t="s">
        <v>181</v>
      </c>
      <c r="G1796" s="6">
        <v>61947</v>
      </c>
      <c r="H1796" t="str">
        <f>IFERROR(VLOOKUP(F1796,'LEAID Match'!$A$2:$B$142,2,FALSE),"")</f>
        <v/>
      </c>
    </row>
    <row r="1797" spans="1:8" x14ac:dyDescent="0.2">
      <c r="A1797" t="str">
        <f t="shared" si="28"/>
        <v/>
      </c>
      <c r="B1797" s="1">
        <v>2020</v>
      </c>
      <c r="C1797" s="1" t="s">
        <v>2505</v>
      </c>
      <c r="D1797" s="1" t="s">
        <v>2506</v>
      </c>
      <c r="E1797" s="1" t="s">
        <v>2019</v>
      </c>
      <c r="F1797" s="1" t="s">
        <v>181</v>
      </c>
      <c r="G1797" s="6">
        <v>69445</v>
      </c>
      <c r="H1797" t="str">
        <f>IFERROR(VLOOKUP(F1797,'LEAID Match'!$A$2:$B$142,2,FALSE),"")</f>
        <v/>
      </c>
    </row>
    <row r="1798" spans="1:8" x14ac:dyDescent="0.2">
      <c r="A1798" t="str">
        <f t="shared" si="28"/>
        <v/>
      </c>
      <c r="B1798" s="1">
        <v>2021</v>
      </c>
      <c r="C1798" s="1" t="s">
        <v>2505</v>
      </c>
      <c r="D1798" s="1" t="s">
        <v>2506</v>
      </c>
      <c r="E1798" s="1" t="s">
        <v>2019</v>
      </c>
      <c r="F1798" s="1" t="s">
        <v>181</v>
      </c>
      <c r="G1798" s="6">
        <v>67782</v>
      </c>
      <c r="H1798" t="str">
        <f>IFERROR(VLOOKUP(F1798,'LEAID Match'!$A$2:$B$142,2,FALSE),"")</f>
        <v/>
      </c>
    </row>
    <row r="1799" spans="1:8" x14ac:dyDescent="0.2">
      <c r="A1799" t="str">
        <f t="shared" si="28"/>
        <v/>
      </c>
      <c r="B1799" s="1">
        <v>2022</v>
      </c>
      <c r="C1799" s="1" t="s">
        <v>2505</v>
      </c>
      <c r="D1799" s="1" t="s">
        <v>2506</v>
      </c>
      <c r="E1799" s="1" t="s">
        <v>2019</v>
      </c>
      <c r="F1799" s="1" t="s">
        <v>181</v>
      </c>
      <c r="G1799" s="6">
        <v>60216</v>
      </c>
      <c r="H1799" t="str">
        <f>IFERROR(VLOOKUP(F1799,'LEAID Match'!$A$2:$B$142,2,FALSE),"")</f>
        <v/>
      </c>
    </row>
    <row r="1800" spans="1:8" x14ac:dyDescent="0.2">
      <c r="A1800" t="str">
        <f t="shared" si="28"/>
        <v/>
      </c>
      <c r="B1800" s="1">
        <v>2023</v>
      </c>
      <c r="C1800" s="1" t="s">
        <v>2505</v>
      </c>
      <c r="D1800" s="1" t="s">
        <v>2506</v>
      </c>
      <c r="E1800" s="1" t="s">
        <v>2019</v>
      </c>
      <c r="F1800" s="1" t="s">
        <v>181</v>
      </c>
      <c r="G1800" s="6">
        <v>60216</v>
      </c>
      <c r="H1800" t="str">
        <f>IFERROR(VLOOKUP(F1800,'LEAID Match'!$A$2:$B$142,2,FALSE),"")</f>
        <v/>
      </c>
    </row>
    <row r="1801" spans="1:8" x14ac:dyDescent="0.2">
      <c r="A1801" t="str">
        <f t="shared" si="28"/>
        <v/>
      </c>
      <c r="B1801" s="1">
        <v>2024</v>
      </c>
      <c r="C1801" s="1" t="s">
        <v>2505</v>
      </c>
      <c r="D1801" s="1" t="s">
        <v>2506</v>
      </c>
      <c r="E1801" s="1" t="s">
        <v>2019</v>
      </c>
      <c r="F1801" s="1" t="s">
        <v>181</v>
      </c>
      <c r="G1801" s="6">
        <v>61672</v>
      </c>
      <c r="H1801" t="str">
        <f>IFERROR(VLOOKUP(F1801,'LEAID Match'!$A$2:$B$142,2,FALSE),"")</f>
        <v/>
      </c>
    </row>
    <row r="1802" spans="1:8" x14ac:dyDescent="0.2">
      <c r="A1802" t="str">
        <f t="shared" si="28"/>
        <v/>
      </c>
      <c r="B1802" s="1">
        <v>2015</v>
      </c>
      <c r="C1802" s="1" t="s">
        <v>2505</v>
      </c>
      <c r="D1802" s="1" t="s">
        <v>2506</v>
      </c>
      <c r="E1802" s="1" t="s">
        <v>2019</v>
      </c>
      <c r="F1802" s="1" t="s">
        <v>182</v>
      </c>
      <c r="G1802" s="6">
        <v>83751</v>
      </c>
      <c r="H1802" t="str">
        <f>IFERROR(VLOOKUP(F1802,'LEAID Match'!$A$2:$B$142,2,FALSE),"")</f>
        <v/>
      </c>
    </row>
    <row r="1803" spans="1:8" x14ac:dyDescent="0.2">
      <c r="A1803" t="str">
        <f t="shared" si="28"/>
        <v/>
      </c>
      <c r="B1803">
        <v>2016</v>
      </c>
      <c r="C1803" s="1" t="s">
        <v>2505</v>
      </c>
      <c r="D1803" s="1" t="s">
        <v>2506</v>
      </c>
      <c r="E1803" s="1" t="s">
        <v>2019</v>
      </c>
      <c r="F1803" s="1" t="s">
        <v>182</v>
      </c>
      <c r="G1803" s="12">
        <v>80471</v>
      </c>
      <c r="H1803" t="str">
        <f>IFERROR(VLOOKUP(F1803,'LEAID Match'!$A$2:$B$142,2,FALSE),"")</f>
        <v/>
      </c>
    </row>
    <row r="1804" spans="1:8" x14ac:dyDescent="0.2">
      <c r="A1804" t="str">
        <f t="shared" si="28"/>
        <v/>
      </c>
      <c r="B1804" s="1">
        <v>2017</v>
      </c>
      <c r="C1804" s="1" t="s">
        <v>2505</v>
      </c>
      <c r="D1804" s="1" t="s">
        <v>2506</v>
      </c>
      <c r="E1804" s="1" t="s">
        <v>2019</v>
      </c>
      <c r="F1804" s="1" t="s">
        <v>182</v>
      </c>
      <c r="G1804" s="50">
        <v>78067</v>
      </c>
      <c r="H1804" t="str">
        <f>IFERROR(VLOOKUP(F1804,'LEAID Match'!$A$2:$B$142,2,FALSE),"")</f>
        <v/>
      </c>
    </row>
    <row r="1805" spans="1:8" x14ac:dyDescent="0.2">
      <c r="A1805" t="str">
        <f t="shared" si="28"/>
        <v/>
      </c>
      <c r="B1805" s="1">
        <v>2018</v>
      </c>
      <c r="C1805" s="1" t="s">
        <v>2505</v>
      </c>
      <c r="D1805" s="1" t="s">
        <v>2506</v>
      </c>
      <c r="E1805" s="1" t="s">
        <v>2019</v>
      </c>
      <c r="F1805" s="1" t="s">
        <v>182</v>
      </c>
      <c r="G1805" s="6">
        <v>70264</v>
      </c>
      <c r="H1805" t="str">
        <f>IFERROR(VLOOKUP(F1805,'LEAID Match'!$A$2:$B$142,2,FALSE),"")</f>
        <v/>
      </c>
    </row>
    <row r="1806" spans="1:8" x14ac:dyDescent="0.2">
      <c r="A1806" t="str">
        <f t="shared" si="28"/>
        <v/>
      </c>
      <c r="B1806" s="1">
        <v>2019</v>
      </c>
      <c r="C1806" s="1" t="s">
        <v>2505</v>
      </c>
      <c r="D1806" s="1" t="s">
        <v>2506</v>
      </c>
      <c r="E1806" s="1" t="s">
        <v>2019</v>
      </c>
      <c r="F1806" s="1" t="s">
        <v>182</v>
      </c>
      <c r="G1806" s="6">
        <v>63747</v>
      </c>
      <c r="H1806" t="str">
        <f>IFERROR(VLOOKUP(F1806,'LEAID Match'!$A$2:$B$142,2,FALSE),"")</f>
        <v/>
      </c>
    </row>
    <row r="1807" spans="1:8" x14ac:dyDescent="0.2">
      <c r="A1807" t="str">
        <f t="shared" si="28"/>
        <v/>
      </c>
      <c r="B1807" s="1">
        <v>2020</v>
      </c>
      <c r="C1807" s="1" t="s">
        <v>2505</v>
      </c>
      <c r="D1807" s="1" t="s">
        <v>2506</v>
      </c>
      <c r="E1807" s="1" t="s">
        <v>2019</v>
      </c>
      <c r="F1807" s="1" t="s">
        <v>182</v>
      </c>
      <c r="G1807" s="6">
        <v>70383</v>
      </c>
      <c r="H1807" t="str">
        <f>IFERROR(VLOOKUP(F1807,'LEAID Match'!$A$2:$B$142,2,FALSE),"")</f>
        <v/>
      </c>
    </row>
    <row r="1808" spans="1:8" x14ac:dyDescent="0.2">
      <c r="A1808" t="str">
        <f t="shared" si="28"/>
        <v/>
      </c>
      <c r="B1808" s="1">
        <v>2021</v>
      </c>
      <c r="C1808" s="1" t="s">
        <v>2505</v>
      </c>
      <c r="D1808" s="1" t="s">
        <v>2506</v>
      </c>
      <c r="E1808" s="1" t="s">
        <v>2019</v>
      </c>
      <c r="F1808" s="1" t="s">
        <v>182</v>
      </c>
      <c r="G1808" s="6">
        <v>63675</v>
      </c>
      <c r="H1808" t="str">
        <f>IFERROR(VLOOKUP(F1808,'LEAID Match'!$A$2:$B$142,2,FALSE),"")</f>
        <v/>
      </c>
    </row>
    <row r="1809" spans="1:8" x14ac:dyDescent="0.2">
      <c r="A1809" t="str">
        <f t="shared" si="28"/>
        <v/>
      </c>
      <c r="B1809" s="1">
        <v>2022</v>
      </c>
      <c r="C1809" s="1" t="s">
        <v>2505</v>
      </c>
      <c r="D1809" s="1" t="s">
        <v>2506</v>
      </c>
      <c r="E1809" s="1" t="s">
        <v>2019</v>
      </c>
      <c r="F1809" s="1" t="s">
        <v>182</v>
      </c>
      <c r="G1809" s="6">
        <v>67488</v>
      </c>
      <c r="H1809" t="str">
        <f>IFERROR(VLOOKUP(F1809,'LEAID Match'!$A$2:$B$142,2,FALSE),"")</f>
        <v/>
      </c>
    </row>
    <row r="1810" spans="1:8" x14ac:dyDescent="0.2">
      <c r="A1810" t="str">
        <f t="shared" si="28"/>
        <v/>
      </c>
      <c r="B1810" s="1">
        <v>2023</v>
      </c>
      <c r="C1810" s="1" t="s">
        <v>2505</v>
      </c>
      <c r="D1810" s="1" t="s">
        <v>2506</v>
      </c>
      <c r="E1810" s="1" t="s">
        <v>2019</v>
      </c>
      <c r="F1810" s="1" t="s">
        <v>182</v>
      </c>
      <c r="G1810" s="6">
        <v>71929</v>
      </c>
      <c r="H1810" t="str">
        <f>IFERROR(VLOOKUP(F1810,'LEAID Match'!$A$2:$B$142,2,FALSE),"")</f>
        <v/>
      </c>
    </row>
    <row r="1811" spans="1:8" x14ac:dyDescent="0.2">
      <c r="A1811" t="str">
        <f t="shared" si="28"/>
        <v/>
      </c>
      <c r="B1811" s="1">
        <v>2024</v>
      </c>
      <c r="C1811" s="1" t="s">
        <v>2505</v>
      </c>
      <c r="D1811" s="1" t="s">
        <v>2506</v>
      </c>
      <c r="E1811" s="1" t="s">
        <v>2019</v>
      </c>
      <c r="F1811" s="1" t="s">
        <v>182</v>
      </c>
      <c r="G1811" s="6">
        <v>82656</v>
      </c>
      <c r="H1811" t="str">
        <f>IFERROR(VLOOKUP(F1811,'LEAID Match'!$A$2:$B$142,2,FALSE),"")</f>
        <v/>
      </c>
    </row>
    <row r="1812" spans="1:8" x14ac:dyDescent="0.2">
      <c r="A1812" t="str">
        <f t="shared" si="28"/>
        <v/>
      </c>
      <c r="B1812" s="1">
        <v>2015</v>
      </c>
      <c r="C1812" s="1" t="s">
        <v>2505</v>
      </c>
      <c r="D1812" s="1" t="s">
        <v>2506</v>
      </c>
      <c r="E1812" s="1" t="s">
        <v>2019</v>
      </c>
      <c r="F1812" s="1" t="s">
        <v>183</v>
      </c>
      <c r="G1812" s="6">
        <v>27694</v>
      </c>
      <c r="H1812" t="str">
        <f>IFERROR(VLOOKUP(F1812,'LEAID Match'!$A$2:$B$142,2,FALSE),"")</f>
        <v/>
      </c>
    </row>
    <row r="1813" spans="1:8" x14ac:dyDescent="0.2">
      <c r="A1813" t="str">
        <f t="shared" si="28"/>
        <v/>
      </c>
      <c r="B1813">
        <v>2016</v>
      </c>
      <c r="C1813" s="1" t="s">
        <v>2505</v>
      </c>
      <c r="D1813" s="1" t="s">
        <v>2506</v>
      </c>
      <c r="E1813" s="1" t="s">
        <v>2019</v>
      </c>
      <c r="F1813" s="1" t="s">
        <v>183</v>
      </c>
      <c r="G1813" s="12">
        <v>25985</v>
      </c>
      <c r="H1813" t="str">
        <f>IFERROR(VLOOKUP(F1813,'LEAID Match'!$A$2:$B$142,2,FALSE),"")</f>
        <v/>
      </c>
    </row>
    <row r="1814" spans="1:8" x14ac:dyDescent="0.2">
      <c r="A1814" t="str">
        <f t="shared" si="28"/>
        <v/>
      </c>
      <c r="B1814" s="1">
        <v>2017</v>
      </c>
      <c r="C1814" s="1" t="s">
        <v>2505</v>
      </c>
      <c r="D1814" s="1" t="s">
        <v>2506</v>
      </c>
      <c r="E1814" s="1" t="s">
        <v>2019</v>
      </c>
      <c r="F1814" s="1" t="s">
        <v>183</v>
      </c>
      <c r="G1814" s="50">
        <v>26831</v>
      </c>
      <c r="H1814" t="str">
        <f>IFERROR(VLOOKUP(F1814,'LEAID Match'!$A$2:$B$142,2,FALSE),"")</f>
        <v/>
      </c>
    </row>
    <row r="1815" spans="1:8" x14ac:dyDescent="0.2">
      <c r="A1815" t="str">
        <f t="shared" si="28"/>
        <v/>
      </c>
      <c r="B1815" s="1">
        <v>2018</v>
      </c>
      <c r="C1815" s="1" t="s">
        <v>2505</v>
      </c>
      <c r="D1815" s="1" t="s">
        <v>2506</v>
      </c>
      <c r="E1815" s="1" t="s">
        <v>2019</v>
      </c>
      <c r="F1815" s="1" t="s">
        <v>183</v>
      </c>
      <c r="G1815" s="6">
        <v>25575</v>
      </c>
      <c r="H1815" t="str">
        <f>IFERROR(VLOOKUP(F1815,'LEAID Match'!$A$2:$B$142,2,FALSE),"")</f>
        <v/>
      </c>
    </row>
    <row r="1816" spans="1:8" x14ac:dyDescent="0.2">
      <c r="A1816" t="str">
        <f t="shared" si="28"/>
        <v/>
      </c>
      <c r="B1816" s="1">
        <v>2019</v>
      </c>
      <c r="C1816" s="1" t="s">
        <v>2505</v>
      </c>
      <c r="D1816" s="1" t="s">
        <v>2506</v>
      </c>
      <c r="E1816" s="1" t="s">
        <v>2019</v>
      </c>
      <c r="F1816" s="1" t="s">
        <v>183</v>
      </c>
      <c r="G1816" s="6">
        <v>25660</v>
      </c>
      <c r="H1816" t="str">
        <f>IFERROR(VLOOKUP(F1816,'LEAID Match'!$A$2:$B$142,2,FALSE),"")</f>
        <v/>
      </c>
    </row>
    <row r="1817" spans="1:8" x14ac:dyDescent="0.2">
      <c r="A1817" t="str">
        <f t="shared" si="28"/>
        <v/>
      </c>
      <c r="B1817" s="1">
        <v>2020</v>
      </c>
      <c r="C1817" s="1" t="s">
        <v>2505</v>
      </c>
      <c r="D1817" s="1" t="s">
        <v>2506</v>
      </c>
      <c r="E1817" s="1" t="s">
        <v>2019</v>
      </c>
      <c r="F1817" s="1" t="s">
        <v>183</v>
      </c>
      <c r="G1817" s="6">
        <v>28675</v>
      </c>
      <c r="H1817" t="str">
        <f>IFERROR(VLOOKUP(F1817,'LEAID Match'!$A$2:$B$142,2,FALSE),"")</f>
        <v/>
      </c>
    </row>
    <row r="1818" spans="1:8" x14ac:dyDescent="0.2">
      <c r="A1818" t="str">
        <f t="shared" si="28"/>
        <v/>
      </c>
      <c r="B1818" s="1">
        <v>2021</v>
      </c>
      <c r="C1818" s="1" t="s">
        <v>2505</v>
      </c>
      <c r="D1818" s="1" t="s">
        <v>2506</v>
      </c>
      <c r="E1818" s="1" t="s">
        <v>2019</v>
      </c>
      <c r="F1818" s="1" t="s">
        <v>183</v>
      </c>
      <c r="G1818" s="6">
        <v>38444</v>
      </c>
      <c r="H1818" t="str">
        <f>IFERROR(VLOOKUP(F1818,'LEAID Match'!$A$2:$B$142,2,FALSE),"")</f>
        <v/>
      </c>
    </row>
    <row r="1819" spans="1:8" x14ac:dyDescent="0.2">
      <c r="A1819" t="str">
        <f t="shared" si="28"/>
        <v/>
      </c>
      <c r="B1819" s="1">
        <v>2022</v>
      </c>
      <c r="C1819" s="1" t="s">
        <v>2505</v>
      </c>
      <c r="D1819" s="1" t="s">
        <v>2506</v>
      </c>
      <c r="E1819" s="1" t="s">
        <v>2019</v>
      </c>
      <c r="F1819" s="1" t="s">
        <v>183</v>
      </c>
      <c r="G1819" s="6">
        <v>42307</v>
      </c>
      <c r="H1819" t="str">
        <f>IFERROR(VLOOKUP(F1819,'LEAID Match'!$A$2:$B$142,2,FALSE),"")</f>
        <v/>
      </c>
    </row>
    <row r="1820" spans="1:8" x14ac:dyDescent="0.2">
      <c r="A1820" t="str">
        <f t="shared" si="28"/>
        <v/>
      </c>
      <c r="B1820" s="1">
        <v>2023</v>
      </c>
      <c r="C1820" s="1" t="s">
        <v>2505</v>
      </c>
      <c r="D1820" s="1" t="s">
        <v>2506</v>
      </c>
      <c r="E1820" s="1" t="s">
        <v>2019</v>
      </c>
      <c r="F1820" s="1" t="s">
        <v>183</v>
      </c>
      <c r="G1820" s="6">
        <v>40252</v>
      </c>
      <c r="H1820" t="str">
        <f>IFERROR(VLOOKUP(F1820,'LEAID Match'!$A$2:$B$142,2,FALSE),"")</f>
        <v/>
      </c>
    </row>
    <row r="1821" spans="1:8" x14ac:dyDescent="0.2">
      <c r="A1821" t="str">
        <f t="shared" si="28"/>
        <v/>
      </c>
      <c r="B1821" s="1">
        <v>2024</v>
      </c>
      <c r="C1821" s="1" t="s">
        <v>2505</v>
      </c>
      <c r="D1821" s="1" t="s">
        <v>2506</v>
      </c>
      <c r="E1821" s="1" t="s">
        <v>2019</v>
      </c>
      <c r="F1821" s="1" t="s">
        <v>183</v>
      </c>
      <c r="G1821" s="6">
        <v>35268</v>
      </c>
      <c r="H1821" t="str">
        <f>IFERROR(VLOOKUP(F1821,'LEAID Match'!$A$2:$B$142,2,FALSE),"")</f>
        <v/>
      </c>
    </row>
    <row r="1822" spans="1:8" x14ac:dyDescent="0.2">
      <c r="A1822" t="str">
        <f t="shared" si="28"/>
        <v/>
      </c>
      <c r="B1822" s="1">
        <v>2015</v>
      </c>
      <c r="C1822" s="1" t="s">
        <v>2505</v>
      </c>
      <c r="D1822" s="1" t="s">
        <v>2506</v>
      </c>
      <c r="E1822" s="1" t="s">
        <v>2019</v>
      </c>
      <c r="F1822" s="1" t="s">
        <v>184</v>
      </c>
      <c r="G1822" s="6">
        <v>116710</v>
      </c>
      <c r="H1822" t="str">
        <f>IFERROR(VLOOKUP(F1822,'LEAID Match'!$A$2:$B$142,2,FALSE),"")</f>
        <v/>
      </c>
    </row>
    <row r="1823" spans="1:8" x14ac:dyDescent="0.2">
      <c r="A1823" t="str">
        <f t="shared" si="28"/>
        <v/>
      </c>
      <c r="B1823">
        <v>2016</v>
      </c>
      <c r="C1823" s="1" t="s">
        <v>2505</v>
      </c>
      <c r="D1823" s="1" t="s">
        <v>2506</v>
      </c>
      <c r="E1823" s="1" t="s">
        <v>2019</v>
      </c>
      <c r="F1823" s="1" t="s">
        <v>184</v>
      </c>
      <c r="G1823" s="12">
        <v>111334</v>
      </c>
      <c r="H1823" t="str">
        <f>IFERROR(VLOOKUP(F1823,'LEAID Match'!$A$2:$B$142,2,FALSE),"")</f>
        <v/>
      </c>
    </row>
    <row r="1824" spans="1:8" x14ac:dyDescent="0.2">
      <c r="A1824" t="str">
        <f t="shared" si="28"/>
        <v/>
      </c>
      <c r="B1824" s="1">
        <v>2017</v>
      </c>
      <c r="C1824" s="1" t="s">
        <v>2505</v>
      </c>
      <c r="D1824" s="1" t="s">
        <v>2506</v>
      </c>
      <c r="E1824" s="1" t="s">
        <v>2019</v>
      </c>
      <c r="F1824" s="1" t="s">
        <v>184</v>
      </c>
      <c r="G1824" s="50">
        <v>122535</v>
      </c>
      <c r="H1824" t="str">
        <f>IFERROR(VLOOKUP(F1824,'LEAID Match'!$A$2:$B$142,2,FALSE),"")</f>
        <v/>
      </c>
    </row>
    <row r="1825" spans="1:8" x14ac:dyDescent="0.2">
      <c r="A1825" t="str">
        <f t="shared" si="28"/>
        <v/>
      </c>
      <c r="B1825" s="1">
        <v>2018</v>
      </c>
      <c r="C1825" s="1" t="s">
        <v>2505</v>
      </c>
      <c r="D1825" s="1" t="s">
        <v>2506</v>
      </c>
      <c r="E1825" s="1" t="s">
        <v>2019</v>
      </c>
      <c r="F1825" s="1" t="s">
        <v>184</v>
      </c>
      <c r="G1825" s="6">
        <v>138816</v>
      </c>
      <c r="H1825" t="str">
        <f>IFERROR(VLOOKUP(F1825,'LEAID Match'!$A$2:$B$142,2,FALSE),"")</f>
        <v/>
      </c>
    </row>
    <row r="1826" spans="1:8" x14ac:dyDescent="0.2">
      <c r="A1826" t="str">
        <f t="shared" si="28"/>
        <v/>
      </c>
      <c r="B1826" s="1">
        <v>2019</v>
      </c>
      <c r="C1826" s="1" t="s">
        <v>2505</v>
      </c>
      <c r="D1826" s="1" t="s">
        <v>2506</v>
      </c>
      <c r="E1826" s="1" t="s">
        <v>2019</v>
      </c>
      <c r="F1826" s="1" t="s">
        <v>184</v>
      </c>
      <c r="G1826" s="6">
        <v>130581</v>
      </c>
      <c r="H1826" t="str">
        <f>IFERROR(VLOOKUP(F1826,'LEAID Match'!$A$2:$B$142,2,FALSE),"")</f>
        <v/>
      </c>
    </row>
    <row r="1827" spans="1:8" x14ac:dyDescent="0.2">
      <c r="A1827" t="str">
        <f t="shared" si="28"/>
        <v/>
      </c>
      <c r="B1827" s="1">
        <v>2020</v>
      </c>
      <c r="C1827" s="1" t="s">
        <v>2505</v>
      </c>
      <c r="D1827" s="1" t="s">
        <v>2506</v>
      </c>
      <c r="E1827" s="1" t="s">
        <v>2019</v>
      </c>
      <c r="F1827" s="1" t="s">
        <v>184</v>
      </c>
      <c r="G1827" s="6">
        <v>143037</v>
      </c>
      <c r="H1827" t="str">
        <f>IFERROR(VLOOKUP(F1827,'LEAID Match'!$A$2:$B$142,2,FALSE),"")</f>
        <v/>
      </c>
    </row>
    <row r="1828" spans="1:8" x14ac:dyDescent="0.2">
      <c r="A1828" t="str">
        <f t="shared" si="28"/>
        <v/>
      </c>
      <c r="B1828" s="1">
        <v>2021</v>
      </c>
      <c r="C1828" s="1" t="s">
        <v>2505</v>
      </c>
      <c r="D1828" s="1" t="s">
        <v>2506</v>
      </c>
      <c r="E1828" s="1" t="s">
        <v>2019</v>
      </c>
      <c r="F1828" s="1" t="s">
        <v>184</v>
      </c>
      <c r="G1828" s="6">
        <v>120114</v>
      </c>
      <c r="H1828" t="str">
        <f>IFERROR(VLOOKUP(F1828,'LEAID Match'!$A$2:$B$142,2,FALSE),"")</f>
        <v/>
      </c>
    </row>
    <row r="1829" spans="1:8" x14ac:dyDescent="0.2">
      <c r="A1829" t="str">
        <f t="shared" si="28"/>
        <v/>
      </c>
      <c r="B1829" s="1">
        <v>2022</v>
      </c>
      <c r="C1829" s="1" t="s">
        <v>2505</v>
      </c>
      <c r="D1829" s="1" t="s">
        <v>2506</v>
      </c>
      <c r="E1829" s="1" t="s">
        <v>2019</v>
      </c>
      <c r="F1829" s="1" t="s">
        <v>184</v>
      </c>
      <c r="G1829" s="6">
        <v>126746</v>
      </c>
      <c r="H1829" t="str">
        <f>IFERROR(VLOOKUP(F1829,'LEAID Match'!$A$2:$B$142,2,FALSE),"")</f>
        <v/>
      </c>
    </row>
    <row r="1830" spans="1:8" x14ac:dyDescent="0.2">
      <c r="A1830" t="str">
        <f t="shared" si="28"/>
        <v/>
      </c>
      <c r="B1830" s="1">
        <v>2023</v>
      </c>
      <c r="C1830" s="1" t="s">
        <v>2505</v>
      </c>
      <c r="D1830" s="1" t="s">
        <v>2506</v>
      </c>
      <c r="E1830" s="1" t="s">
        <v>2019</v>
      </c>
      <c r="F1830" s="1" t="s">
        <v>184</v>
      </c>
      <c r="G1830" s="6">
        <v>152781</v>
      </c>
      <c r="H1830" t="str">
        <f>IFERROR(VLOOKUP(F1830,'LEAID Match'!$A$2:$B$142,2,FALSE),"")</f>
        <v/>
      </c>
    </row>
    <row r="1831" spans="1:8" x14ac:dyDescent="0.2">
      <c r="A1831" t="str">
        <f t="shared" si="28"/>
        <v/>
      </c>
      <c r="B1831" s="1">
        <v>2024</v>
      </c>
      <c r="C1831" s="1" t="s">
        <v>2505</v>
      </c>
      <c r="D1831" s="1" t="s">
        <v>2506</v>
      </c>
      <c r="E1831" s="1" t="s">
        <v>2019</v>
      </c>
      <c r="F1831" s="1" t="s">
        <v>184</v>
      </c>
      <c r="G1831" s="6">
        <v>144490</v>
      </c>
      <c r="H1831" t="str">
        <f>IFERROR(VLOOKUP(F1831,'LEAID Match'!$A$2:$B$142,2,FALSE),"")</f>
        <v/>
      </c>
    </row>
    <row r="1832" spans="1:8" x14ac:dyDescent="0.2">
      <c r="A1832" t="str">
        <f t="shared" si="28"/>
        <v/>
      </c>
      <c r="B1832" s="1">
        <v>2015</v>
      </c>
      <c r="C1832" s="1" t="s">
        <v>2505</v>
      </c>
      <c r="D1832" s="1" t="s">
        <v>2506</v>
      </c>
      <c r="E1832" s="1" t="s">
        <v>2019</v>
      </c>
      <c r="F1832" t="s">
        <v>1337</v>
      </c>
      <c r="G1832" s="6">
        <v>359545</v>
      </c>
      <c r="H1832" t="str">
        <f>IFERROR(VLOOKUP(F1832,'LEAID Match'!$A$2:$B$142,2,FALSE),"")</f>
        <v/>
      </c>
    </row>
    <row r="1833" spans="1:8" x14ac:dyDescent="0.2">
      <c r="A1833" t="str">
        <f t="shared" si="28"/>
        <v/>
      </c>
      <c r="B1833">
        <v>2016</v>
      </c>
      <c r="C1833" s="1" t="s">
        <v>2505</v>
      </c>
      <c r="D1833" s="1" t="s">
        <v>2506</v>
      </c>
      <c r="E1833" s="1" t="s">
        <v>2019</v>
      </c>
      <c r="F1833" t="s">
        <v>1337</v>
      </c>
      <c r="G1833" s="12">
        <v>378684</v>
      </c>
      <c r="H1833" t="str">
        <f>IFERROR(VLOOKUP(F1833,'LEAID Match'!$A$2:$B$142,2,FALSE),"")</f>
        <v/>
      </c>
    </row>
    <row r="1834" spans="1:8" x14ac:dyDescent="0.2">
      <c r="A1834" t="str">
        <f t="shared" si="28"/>
        <v/>
      </c>
      <c r="B1834" s="1">
        <v>2017</v>
      </c>
      <c r="C1834" s="1" t="s">
        <v>2505</v>
      </c>
      <c r="D1834" s="1" t="s">
        <v>2506</v>
      </c>
      <c r="E1834" s="1" t="s">
        <v>2019</v>
      </c>
      <c r="F1834" t="s">
        <v>1337</v>
      </c>
      <c r="G1834" s="50">
        <v>343386</v>
      </c>
      <c r="H1834" t="str">
        <f>IFERROR(VLOOKUP(F1834,'LEAID Match'!$A$2:$B$142,2,FALSE),"")</f>
        <v/>
      </c>
    </row>
    <row r="1835" spans="1:8" x14ac:dyDescent="0.2">
      <c r="A1835" t="str">
        <f t="shared" si="28"/>
        <v/>
      </c>
      <c r="B1835" s="1">
        <v>2018</v>
      </c>
      <c r="C1835" s="1" t="s">
        <v>2505</v>
      </c>
      <c r="D1835" s="1" t="s">
        <v>2506</v>
      </c>
      <c r="E1835" s="1" t="s">
        <v>2019</v>
      </c>
      <c r="F1835" t="s">
        <v>1337</v>
      </c>
      <c r="G1835" s="6">
        <v>344102</v>
      </c>
      <c r="H1835" t="str">
        <f>IFERROR(VLOOKUP(F1835,'LEAID Match'!$A$2:$B$142,2,FALSE),"")</f>
        <v/>
      </c>
    </row>
    <row r="1836" spans="1:8" x14ac:dyDescent="0.2">
      <c r="A1836" t="str">
        <f t="shared" si="28"/>
        <v/>
      </c>
      <c r="B1836" s="1">
        <v>2015</v>
      </c>
      <c r="C1836" s="1" t="s">
        <v>2505</v>
      </c>
      <c r="D1836" s="1" t="s">
        <v>2506</v>
      </c>
      <c r="E1836" s="1" t="s">
        <v>2019</v>
      </c>
      <c r="F1836" s="1" t="s">
        <v>185</v>
      </c>
      <c r="G1836" s="6">
        <v>1688561</v>
      </c>
      <c r="H1836" t="str">
        <f>IFERROR(VLOOKUP(F1836,'LEAID Match'!$A$2:$B$142,2,FALSE),"")</f>
        <v/>
      </c>
    </row>
    <row r="1837" spans="1:8" x14ac:dyDescent="0.2">
      <c r="A1837" t="str">
        <f t="shared" si="28"/>
        <v/>
      </c>
      <c r="B1837">
        <v>2016</v>
      </c>
      <c r="C1837" s="1" t="s">
        <v>2505</v>
      </c>
      <c r="D1837" s="1" t="s">
        <v>2506</v>
      </c>
      <c r="E1837" s="1" t="s">
        <v>2019</v>
      </c>
      <c r="F1837" s="1" t="s">
        <v>185</v>
      </c>
      <c r="G1837" s="12">
        <v>1757602</v>
      </c>
      <c r="H1837" t="str">
        <f>IFERROR(VLOOKUP(F1837,'LEAID Match'!$A$2:$B$142,2,FALSE),"")</f>
        <v/>
      </c>
    </row>
    <row r="1838" spans="1:8" x14ac:dyDescent="0.2">
      <c r="A1838" t="str">
        <f t="shared" si="28"/>
        <v/>
      </c>
      <c r="B1838" s="1">
        <v>2017</v>
      </c>
      <c r="C1838" s="1" t="s">
        <v>2505</v>
      </c>
      <c r="D1838" s="1" t="s">
        <v>2506</v>
      </c>
      <c r="E1838" s="1" t="s">
        <v>2019</v>
      </c>
      <c r="F1838" s="1" t="s">
        <v>185</v>
      </c>
      <c r="G1838" s="50">
        <v>1799171</v>
      </c>
      <c r="H1838" t="str">
        <f>IFERROR(VLOOKUP(F1838,'LEAID Match'!$A$2:$B$142,2,FALSE),"")</f>
        <v/>
      </c>
    </row>
    <row r="1839" spans="1:8" x14ac:dyDescent="0.2">
      <c r="A1839" t="str">
        <f t="shared" si="28"/>
        <v/>
      </c>
      <c r="B1839" s="1">
        <v>2018</v>
      </c>
      <c r="C1839" s="1" t="s">
        <v>2505</v>
      </c>
      <c r="D1839" s="1" t="s">
        <v>2506</v>
      </c>
      <c r="E1839" s="1" t="s">
        <v>2019</v>
      </c>
      <c r="F1839" s="1" t="s">
        <v>185</v>
      </c>
      <c r="G1839" s="6">
        <v>1692159</v>
      </c>
      <c r="H1839" t="str">
        <f>IFERROR(VLOOKUP(F1839,'LEAID Match'!$A$2:$B$142,2,FALSE),"")</f>
        <v/>
      </c>
    </row>
    <row r="1840" spans="1:8" x14ac:dyDescent="0.2">
      <c r="A1840" t="str">
        <f t="shared" si="28"/>
        <v/>
      </c>
      <c r="B1840" s="1">
        <v>2019</v>
      </c>
      <c r="C1840" s="1" t="s">
        <v>2505</v>
      </c>
      <c r="D1840" s="1" t="s">
        <v>2506</v>
      </c>
      <c r="E1840" s="1" t="s">
        <v>2019</v>
      </c>
      <c r="F1840" s="1" t="s">
        <v>185</v>
      </c>
      <c r="G1840" s="6">
        <v>1738657</v>
      </c>
      <c r="H1840" t="str">
        <f>IFERROR(VLOOKUP(F1840,'LEAID Match'!$A$2:$B$142,2,FALSE),"")</f>
        <v/>
      </c>
    </row>
    <row r="1841" spans="1:8" x14ac:dyDescent="0.2">
      <c r="A1841" t="str">
        <f t="shared" si="28"/>
        <v/>
      </c>
      <c r="B1841" s="1">
        <v>2020</v>
      </c>
      <c r="C1841" s="1" t="s">
        <v>2505</v>
      </c>
      <c r="D1841" s="1" t="s">
        <v>2506</v>
      </c>
      <c r="E1841" s="1" t="s">
        <v>2019</v>
      </c>
      <c r="F1841" s="1" t="s">
        <v>185</v>
      </c>
      <c r="G1841" s="6">
        <v>1909860</v>
      </c>
      <c r="H1841" t="str">
        <f>IFERROR(VLOOKUP(F1841,'LEAID Match'!$A$2:$B$142,2,FALSE),"")</f>
        <v/>
      </c>
    </row>
    <row r="1842" spans="1:8" x14ac:dyDescent="0.2">
      <c r="A1842" t="str">
        <f t="shared" si="28"/>
        <v/>
      </c>
      <c r="B1842" s="1">
        <v>2021</v>
      </c>
      <c r="C1842" s="1" t="s">
        <v>2505</v>
      </c>
      <c r="D1842" s="1" t="s">
        <v>2506</v>
      </c>
      <c r="E1842" s="1" t="s">
        <v>2019</v>
      </c>
      <c r="F1842" s="1" t="s">
        <v>185</v>
      </c>
      <c r="G1842" s="6">
        <v>1896943</v>
      </c>
      <c r="H1842" t="str">
        <f>IFERROR(VLOOKUP(F1842,'LEAID Match'!$A$2:$B$142,2,FALSE),"")</f>
        <v/>
      </c>
    </row>
    <row r="1843" spans="1:8" x14ac:dyDescent="0.2">
      <c r="A1843" t="str">
        <f t="shared" si="28"/>
        <v/>
      </c>
      <c r="B1843" s="1">
        <v>2022</v>
      </c>
      <c r="C1843" s="1" t="s">
        <v>2505</v>
      </c>
      <c r="D1843" s="1" t="s">
        <v>2506</v>
      </c>
      <c r="E1843" s="1" t="s">
        <v>2019</v>
      </c>
      <c r="F1843" s="1" t="s">
        <v>185</v>
      </c>
      <c r="G1843" s="6">
        <v>1969685</v>
      </c>
      <c r="H1843" t="str">
        <f>IFERROR(VLOOKUP(F1843,'LEAID Match'!$A$2:$B$142,2,FALSE),"")</f>
        <v/>
      </c>
    </row>
    <row r="1844" spans="1:8" x14ac:dyDescent="0.2">
      <c r="A1844" t="str">
        <f t="shared" si="28"/>
        <v/>
      </c>
      <c r="B1844" s="1">
        <v>2023</v>
      </c>
      <c r="C1844" s="1" t="s">
        <v>2505</v>
      </c>
      <c r="D1844" s="1" t="s">
        <v>2506</v>
      </c>
      <c r="E1844" s="1" t="s">
        <v>2019</v>
      </c>
      <c r="F1844" s="1" t="s">
        <v>185</v>
      </c>
      <c r="G1844" s="6">
        <v>2073329</v>
      </c>
      <c r="H1844" t="str">
        <f>IFERROR(VLOOKUP(F1844,'LEAID Match'!$A$2:$B$142,2,FALSE),"")</f>
        <v/>
      </c>
    </row>
    <row r="1845" spans="1:8" x14ac:dyDescent="0.2">
      <c r="A1845" t="str">
        <f t="shared" si="28"/>
        <v/>
      </c>
      <c r="B1845" s="1">
        <v>2024</v>
      </c>
      <c r="C1845" s="1" t="s">
        <v>2505</v>
      </c>
      <c r="D1845" s="1" t="s">
        <v>2506</v>
      </c>
      <c r="E1845" s="1" t="s">
        <v>2019</v>
      </c>
      <c r="F1845" s="1" t="s">
        <v>185</v>
      </c>
      <c r="G1845" s="6">
        <v>2184918</v>
      </c>
      <c r="H1845" t="str">
        <f>IFERROR(VLOOKUP(F1845,'LEAID Match'!$A$2:$B$142,2,FALSE),"")</f>
        <v/>
      </c>
    </row>
    <row r="1846" spans="1:8" x14ac:dyDescent="0.2">
      <c r="A1846">
        <f t="shared" si="28"/>
        <v>2801380</v>
      </c>
      <c r="B1846" s="1">
        <v>2015</v>
      </c>
      <c r="C1846" s="1" t="s">
        <v>2505</v>
      </c>
      <c r="D1846" s="1" t="s">
        <v>2506</v>
      </c>
      <c r="E1846" s="1" t="s">
        <v>2019</v>
      </c>
      <c r="F1846" s="1" t="s">
        <v>186</v>
      </c>
      <c r="G1846" s="6">
        <v>806700</v>
      </c>
      <c r="H1846">
        <f>IFERROR(VLOOKUP(F1846,'LEAID Match'!$A$2:$B$142,2,FALSE),"")</f>
        <v>2801380</v>
      </c>
    </row>
    <row r="1847" spans="1:8" x14ac:dyDescent="0.2">
      <c r="A1847">
        <f t="shared" si="28"/>
        <v>2801380</v>
      </c>
      <c r="B1847">
        <v>2016</v>
      </c>
      <c r="C1847" s="1" t="s">
        <v>2505</v>
      </c>
      <c r="D1847" s="1" t="s">
        <v>2506</v>
      </c>
      <c r="E1847" s="1" t="s">
        <v>2019</v>
      </c>
      <c r="F1847" s="1" t="s">
        <v>186</v>
      </c>
      <c r="G1847" s="12">
        <v>817227</v>
      </c>
      <c r="H1847">
        <f>IFERROR(VLOOKUP(F1847,'LEAID Match'!$A$2:$B$142,2,FALSE),"")</f>
        <v>2801380</v>
      </c>
    </row>
    <row r="1848" spans="1:8" x14ac:dyDescent="0.2">
      <c r="A1848">
        <f t="shared" si="28"/>
        <v>2801380</v>
      </c>
      <c r="B1848" s="1">
        <v>2017</v>
      </c>
      <c r="C1848" s="1" t="s">
        <v>2505</v>
      </c>
      <c r="D1848" s="1" t="s">
        <v>2506</v>
      </c>
      <c r="E1848" s="1" t="s">
        <v>2019</v>
      </c>
      <c r="F1848" s="1" t="s">
        <v>186</v>
      </c>
      <c r="G1848" s="50">
        <v>795389</v>
      </c>
      <c r="H1848">
        <f>IFERROR(VLOOKUP(F1848,'LEAID Match'!$A$2:$B$142,2,FALSE),"")</f>
        <v>2801380</v>
      </c>
    </row>
    <row r="1849" spans="1:8" x14ac:dyDescent="0.2">
      <c r="A1849">
        <f t="shared" si="28"/>
        <v>2801380</v>
      </c>
      <c r="B1849" s="1">
        <v>2018</v>
      </c>
      <c r="C1849" s="1" t="s">
        <v>2505</v>
      </c>
      <c r="D1849" s="1" t="s">
        <v>2506</v>
      </c>
      <c r="E1849" s="1" t="s">
        <v>2019</v>
      </c>
      <c r="F1849" s="1" t="s">
        <v>186</v>
      </c>
      <c r="G1849" s="6">
        <v>793584</v>
      </c>
      <c r="H1849">
        <f>IFERROR(VLOOKUP(F1849,'LEAID Match'!$A$2:$B$142,2,FALSE),"")</f>
        <v>2801380</v>
      </c>
    </row>
    <row r="1850" spans="1:8" x14ac:dyDescent="0.2">
      <c r="A1850">
        <f t="shared" si="28"/>
        <v>2801380</v>
      </c>
      <c r="B1850" s="1">
        <v>2019</v>
      </c>
      <c r="C1850" s="1" t="s">
        <v>2505</v>
      </c>
      <c r="D1850" s="1" t="s">
        <v>2506</v>
      </c>
      <c r="E1850" s="1" t="s">
        <v>2019</v>
      </c>
      <c r="F1850" s="1" t="s">
        <v>186</v>
      </c>
      <c r="G1850" s="6">
        <v>901493</v>
      </c>
      <c r="H1850">
        <f>IFERROR(VLOOKUP(F1850,'LEAID Match'!$A$2:$B$142,2,FALSE),"")</f>
        <v>2801380</v>
      </c>
    </row>
    <row r="1851" spans="1:8" x14ac:dyDescent="0.2">
      <c r="A1851">
        <f t="shared" si="28"/>
        <v>2801380</v>
      </c>
      <c r="B1851" s="1">
        <v>2020</v>
      </c>
      <c r="C1851" s="1" t="s">
        <v>2505</v>
      </c>
      <c r="D1851" s="1" t="s">
        <v>2506</v>
      </c>
      <c r="E1851" s="1" t="s">
        <v>2019</v>
      </c>
      <c r="F1851" s="1" t="s">
        <v>186</v>
      </c>
      <c r="G1851" s="6">
        <v>1020990</v>
      </c>
      <c r="H1851">
        <f>IFERROR(VLOOKUP(F1851,'LEAID Match'!$A$2:$B$142,2,FALSE),"")</f>
        <v>2801380</v>
      </c>
    </row>
    <row r="1852" spans="1:8" x14ac:dyDescent="0.2">
      <c r="A1852">
        <f t="shared" si="28"/>
        <v>2801380</v>
      </c>
      <c r="B1852" s="1">
        <v>2021</v>
      </c>
      <c r="C1852" s="1" t="s">
        <v>2505</v>
      </c>
      <c r="D1852" s="1" t="s">
        <v>2506</v>
      </c>
      <c r="E1852" s="1" t="s">
        <v>2019</v>
      </c>
      <c r="F1852" s="1" t="s">
        <v>186</v>
      </c>
      <c r="G1852" s="6">
        <v>961082</v>
      </c>
      <c r="H1852">
        <f>IFERROR(VLOOKUP(F1852,'LEAID Match'!$A$2:$B$142,2,FALSE),"")</f>
        <v>2801380</v>
      </c>
    </row>
    <row r="1853" spans="1:8" x14ac:dyDescent="0.2">
      <c r="A1853">
        <f t="shared" si="28"/>
        <v>2801380</v>
      </c>
      <c r="B1853" s="1">
        <v>2022</v>
      </c>
      <c r="C1853" s="1" t="s">
        <v>2505</v>
      </c>
      <c r="D1853" s="1" t="s">
        <v>2506</v>
      </c>
      <c r="E1853" s="1" t="s">
        <v>2019</v>
      </c>
      <c r="F1853" s="1" t="s">
        <v>186</v>
      </c>
      <c r="G1853" s="6">
        <v>1056101</v>
      </c>
      <c r="H1853">
        <f>IFERROR(VLOOKUP(F1853,'LEAID Match'!$A$2:$B$142,2,FALSE),"")</f>
        <v>2801380</v>
      </c>
    </row>
    <row r="1854" spans="1:8" x14ac:dyDescent="0.2">
      <c r="A1854">
        <f t="shared" si="28"/>
        <v>2801380</v>
      </c>
      <c r="B1854" s="1">
        <v>2023</v>
      </c>
      <c r="C1854" s="1" t="s">
        <v>2505</v>
      </c>
      <c r="D1854" s="1" t="s">
        <v>2506</v>
      </c>
      <c r="E1854" s="1" t="s">
        <v>2019</v>
      </c>
      <c r="F1854" s="1" t="s">
        <v>186</v>
      </c>
      <c r="G1854" s="6">
        <v>1175867</v>
      </c>
      <c r="H1854">
        <f>IFERROR(VLOOKUP(F1854,'LEAID Match'!$A$2:$B$142,2,FALSE),"")</f>
        <v>2801380</v>
      </c>
    </row>
    <row r="1855" spans="1:8" x14ac:dyDescent="0.2">
      <c r="A1855">
        <f t="shared" si="28"/>
        <v>2801380</v>
      </c>
      <c r="B1855" s="1">
        <v>2024</v>
      </c>
      <c r="C1855" s="1" t="s">
        <v>2505</v>
      </c>
      <c r="D1855" s="1" t="s">
        <v>2506</v>
      </c>
      <c r="E1855" s="1" t="s">
        <v>2019</v>
      </c>
      <c r="F1855" s="1" t="s">
        <v>186</v>
      </c>
      <c r="G1855" s="6">
        <v>1121496</v>
      </c>
      <c r="H1855">
        <f>IFERROR(VLOOKUP(F1855,'LEAID Match'!$A$2:$B$142,2,FALSE),"")</f>
        <v>2801380</v>
      </c>
    </row>
    <row r="1856" spans="1:8" x14ac:dyDescent="0.2">
      <c r="A1856" t="str">
        <f t="shared" si="28"/>
        <v/>
      </c>
      <c r="B1856" s="1">
        <v>2015</v>
      </c>
      <c r="C1856" s="1" t="s">
        <v>2505</v>
      </c>
      <c r="D1856" s="1" t="s">
        <v>2506</v>
      </c>
      <c r="E1856" s="1" t="s">
        <v>2019</v>
      </c>
      <c r="F1856" s="1" t="s">
        <v>187</v>
      </c>
      <c r="G1856" s="6">
        <v>47871</v>
      </c>
      <c r="H1856" t="str">
        <f>IFERROR(VLOOKUP(F1856,'LEAID Match'!$A$2:$B$142,2,FALSE),"")</f>
        <v/>
      </c>
    </row>
    <row r="1857" spans="1:8" x14ac:dyDescent="0.2">
      <c r="A1857" t="str">
        <f t="shared" si="28"/>
        <v/>
      </c>
      <c r="B1857">
        <v>2016</v>
      </c>
      <c r="C1857" s="1" t="s">
        <v>2505</v>
      </c>
      <c r="D1857" s="1" t="s">
        <v>2506</v>
      </c>
      <c r="E1857" s="1" t="s">
        <v>2019</v>
      </c>
      <c r="F1857" s="1" t="s">
        <v>187</v>
      </c>
      <c r="G1857" s="12">
        <v>47851</v>
      </c>
      <c r="H1857" t="str">
        <f>IFERROR(VLOOKUP(F1857,'LEAID Match'!$A$2:$B$142,2,FALSE),"")</f>
        <v/>
      </c>
    </row>
    <row r="1858" spans="1:8" x14ac:dyDescent="0.2">
      <c r="A1858" t="str">
        <f t="shared" si="28"/>
        <v/>
      </c>
      <c r="B1858" s="1">
        <v>2017</v>
      </c>
      <c r="C1858" s="1" t="s">
        <v>2505</v>
      </c>
      <c r="D1858" s="1" t="s">
        <v>2506</v>
      </c>
      <c r="E1858" s="1" t="s">
        <v>2019</v>
      </c>
      <c r="F1858" s="1" t="s">
        <v>187</v>
      </c>
      <c r="G1858" s="50">
        <v>51831</v>
      </c>
      <c r="H1858" t="str">
        <f>IFERROR(VLOOKUP(F1858,'LEAID Match'!$A$2:$B$142,2,FALSE),"")</f>
        <v/>
      </c>
    </row>
    <row r="1859" spans="1:8" x14ac:dyDescent="0.2">
      <c r="A1859" t="str">
        <f t="shared" ref="A1859:A1922" si="29">H1859</f>
        <v/>
      </c>
      <c r="B1859" s="1">
        <v>2018</v>
      </c>
      <c r="C1859" s="1" t="s">
        <v>2505</v>
      </c>
      <c r="D1859" s="1" t="s">
        <v>2506</v>
      </c>
      <c r="E1859" s="1" t="s">
        <v>2019</v>
      </c>
      <c r="F1859" s="1" t="s">
        <v>187</v>
      </c>
      <c r="G1859" s="6">
        <v>52146</v>
      </c>
      <c r="H1859" t="str">
        <f>IFERROR(VLOOKUP(F1859,'LEAID Match'!$A$2:$B$142,2,FALSE),"")</f>
        <v/>
      </c>
    </row>
    <row r="1860" spans="1:8" x14ac:dyDescent="0.2">
      <c r="A1860" t="str">
        <f t="shared" si="29"/>
        <v/>
      </c>
      <c r="B1860" s="1">
        <v>2019</v>
      </c>
      <c r="C1860" s="1" t="s">
        <v>2505</v>
      </c>
      <c r="D1860" s="1" t="s">
        <v>2506</v>
      </c>
      <c r="E1860" s="1" t="s">
        <v>2019</v>
      </c>
      <c r="F1860" s="1" t="s">
        <v>187</v>
      </c>
      <c r="G1860" s="6">
        <v>46933</v>
      </c>
      <c r="H1860" t="str">
        <f>IFERROR(VLOOKUP(F1860,'LEAID Match'!$A$2:$B$142,2,FALSE),"")</f>
        <v/>
      </c>
    </row>
    <row r="1861" spans="1:8" x14ac:dyDescent="0.2">
      <c r="A1861" t="str">
        <f t="shared" si="29"/>
        <v/>
      </c>
      <c r="B1861" s="1">
        <v>2020</v>
      </c>
      <c r="C1861" s="1" t="s">
        <v>2505</v>
      </c>
      <c r="D1861" s="1" t="s">
        <v>2506</v>
      </c>
      <c r="E1861" s="1" t="s">
        <v>2019</v>
      </c>
      <c r="F1861" s="1" t="s">
        <v>187</v>
      </c>
      <c r="G1861" s="6">
        <v>54232</v>
      </c>
      <c r="H1861" t="str">
        <f>IFERROR(VLOOKUP(F1861,'LEAID Match'!$A$2:$B$142,2,FALSE),"")</f>
        <v/>
      </c>
    </row>
    <row r="1862" spans="1:8" x14ac:dyDescent="0.2">
      <c r="A1862" t="str">
        <f t="shared" si="29"/>
        <v/>
      </c>
      <c r="B1862" s="1">
        <v>2021</v>
      </c>
      <c r="C1862" s="1" t="s">
        <v>2505</v>
      </c>
      <c r="D1862" s="1" t="s">
        <v>2506</v>
      </c>
      <c r="E1862" s="1" t="s">
        <v>2019</v>
      </c>
      <c r="F1862" s="1" t="s">
        <v>187</v>
      </c>
      <c r="G1862" s="6">
        <v>57668</v>
      </c>
      <c r="H1862" t="str">
        <f>IFERROR(VLOOKUP(F1862,'LEAID Match'!$A$2:$B$142,2,FALSE),"")</f>
        <v/>
      </c>
    </row>
    <row r="1863" spans="1:8" x14ac:dyDescent="0.2">
      <c r="A1863" t="str">
        <f t="shared" si="29"/>
        <v/>
      </c>
      <c r="B1863" s="1">
        <v>2022</v>
      </c>
      <c r="C1863" s="1" t="s">
        <v>2505</v>
      </c>
      <c r="D1863" s="1" t="s">
        <v>2506</v>
      </c>
      <c r="E1863" s="1" t="s">
        <v>2019</v>
      </c>
      <c r="F1863" s="1" t="s">
        <v>187</v>
      </c>
      <c r="G1863" s="6">
        <v>61307</v>
      </c>
      <c r="H1863" t="str">
        <f>IFERROR(VLOOKUP(F1863,'LEAID Match'!$A$2:$B$142,2,FALSE),"")</f>
        <v/>
      </c>
    </row>
    <row r="1864" spans="1:8" x14ac:dyDescent="0.2">
      <c r="A1864" t="str">
        <f t="shared" si="29"/>
        <v/>
      </c>
      <c r="B1864" s="1">
        <v>2023</v>
      </c>
      <c r="C1864" s="1" t="s">
        <v>2505</v>
      </c>
      <c r="D1864" s="1" t="s">
        <v>2506</v>
      </c>
      <c r="E1864" s="1" t="s">
        <v>2019</v>
      </c>
      <c r="F1864" s="1" t="s">
        <v>187</v>
      </c>
      <c r="G1864" s="6">
        <v>62796</v>
      </c>
      <c r="H1864" t="str">
        <f>IFERROR(VLOOKUP(F1864,'LEAID Match'!$A$2:$B$142,2,FALSE),"")</f>
        <v/>
      </c>
    </row>
    <row r="1865" spans="1:8" x14ac:dyDescent="0.2">
      <c r="A1865" t="str">
        <f t="shared" si="29"/>
        <v/>
      </c>
      <c r="B1865" s="1">
        <v>2024</v>
      </c>
      <c r="C1865" s="1" t="s">
        <v>2505</v>
      </c>
      <c r="D1865" s="1" t="s">
        <v>2506</v>
      </c>
      <c r="E1865" s="1" t="s">
        <v>2019</v>
      </c>
      <c r="F1865" s="1" t="s">
        <v>187</v>
      </c>
      <c r="G1865" s="6">
        <v>63906</v>
      </c>
      <c r="H1865" t="str">
        <f>IFERROR(VLOOKUP(F1865,'LEAID Match'!$A$2:$B$142,2,FALSE),"")</f>
        <v/>
      </c>
    </row>
    <row r="1866" spans="1:8" x14ac:dyDescent="0.2">
      <c r="A1866" t="str">
        <f t="shared" si="29"/>
        <v/>
      </c>
      <c r="B1866" s="1">
        <v>2015</v>
      </c>
      <c r="C1866" s="1" t="s">
        <v>2505</v>
      </c>
      <c r="D1866" s="1" t="s">
        <v>2506</v>
      </c>
      <c r="E1866" s="1" t="s">
        <v>2019</v>
      </c>
      <c r="F1866" s="1" t="s">
        <v>188</v>
      </c>
      <c r="G1866" s="6">
        <v>2718176</v>
      </c>
      <c r="H1866" t="str">
        <f>IFERROR(VLOOKUP(F1866,'LEAID Match'!$A$2:$B$142,2,FALSE),"")</f>
        <v/>
      </c>
    </row>
    <row r="1867" spans="1:8" x14ac:dyDescent="0.2">
      <c r="A1867" t="str">
        <f t="shared" si="29"/>
        <v/>
      </c>
      <c r="B1867">
        <v>2016</v>
      </c>
      <c r="C1867" s="1" t="s">
        <v>2505</v>
      </c>
      <c r="D1867" s="1" t="s">
        <v>2506</v>
      </c>
      <c r="E1867" s="1" t="s">
        <v>2019</v>
      </c>
      <c r="F1867" s="1" t="s">
        <v>188</v>
      </c>
      <c r="G1867" s="12">
        <v>2735392</v>
      </c>
      <c r="H1867" t="str">
        <f>IFERROR(VLOOKUP(F1867,'LEAID Match'!$A$2:$B$142,2,FALSE),"")</f>
        <v/>
      </c>
    </row>
    <row r="1868" spans="1:8" x14ac:dyDescent="0.2">
      <c r="A1868" t="str">
        <f t="shared" si="29"/>
        <v/>
      </c>
      <c r="B1868" s="1">
        <v>2017</v>
      </c>
      <c r="C1868" s="1" t="s">
        <v>2505</v>
      </c>
      <c r="D1868" s="1" t="s">
        <v>2506</v>
      </c>
      <c r="E1868" s="1" t="s">
        <v>2019</v>
      </c>
      <c r="F1868" s="1" t="s">
        <v>188</v>
      </c>
      <c r="G1868" s="50">
        <v>2845330</v>
      </c>
      <c r="H1868" t="str">
        <f>IFERROR(VLOOKUP(F1868,'LEAID Match'!$A$2:$B$142,2,FALSE),"")</f>
        <v/>
      </c>
    </row>
    <row r="1869" spans="1:8" x14ac:dyDescent="0.2">
      <c r="A1869" t="str">
        <f t="shared" si="29"/>
        <v/>
      </c>
      <c r="B1869" s="1">
        <v>2018</v>
      </c>
      <c r="C1869" s="1" t="s">
        <v>2505</v>
      </c>
      <c r="D1869" s="1" t="s">
        <v>2506</v>
      </c>
      <c r="E1869" s="1" t="s">
        <v>2019</v>
      </c>
      <c r="F1869" s="1" t="s">
        <v>188</v>
      </c>
      <c r="G1869" s="6">
        <v>2720510</v>
      </c>
      <c r="H1869" t="str">
        <f>IFERROR(VLOOKUP(F1869,'LEAID Match'!$A$2:$B$142,2,FALSE),"")</f>
        <v/>
      </c>
    </row>
    <row r="1870" spans="1:8" x14ac:dyDescent="0.2">
      <c r="A1870" t="str">
        <f t="shared" si="29"/>
        <v/>
      </c>
      <c r="B1870" s="1">
        <v>2019</v>
      </c>
      <c r="C1870" s="1" t="s">
        <v>2505</v>
      </c>
      <c r="D1870" s="1" t="s">
        <v>2506</v>
      </c>
      <c r="E1870" s="1" t="s">
        <v>2019</v>
      </c>
      <c r="F1870" s="1" t="s">
        <v>188</v>
      </c>
      <c r="G1870" s="6">
        <v>2680589</v>
      </c>
      <c r="H1870" t="str">
        <f>IFERROR(VLOOKUP(F1870,'LEAID Match'!$A$2:$B$142,2,FALSE),"")</f>
        <v/>
      </c>
    </row>
    <row r="1871" spans="1:8" x14ac:dyDescent="0.2">
      <c r="A1871" t="str">
        <f t="shared" si="29"/>
        <v/>
      </c>
      <c r="B1871" s="1">
        <v>2020</v>
      </c>
      <c r="C1871" s="1" t="s">
        <v>2505</v>
      </c>
      <c r="D1871" s="1" t="s">
        <v>2506</v>
      </c>
      <c r="E1871" s="1" t="s">
        <v>2019</v>
      </c>
      <c r="F1871" s="1" t="s">
        <v>188</v>
      </c>
      <c r="G1871" s="6">
        <v>2888437</v>
      </c>
      <c r="H1871" t="str">
        <f>IFERROR(VLOOKUP(F1871,'LEAID Match'!$A$2:$B$142,2,FALSE),"")</f>
        <v/>
      </c>
    </row>
    <row r="1872" spans="1:8" x14ac:dyDescent="0.2">
      <c r="A1872" t="str">
        <f t="shared" si="29"/>
        <v/>
      </c>
      <c r="B1872" s="1">
        <v>2021</v>
      </c>
      <c r="C1872" s="1" t="s">
        <v>2505</v>
      </c>
      <c r="D1872" s="1" t="s">
        <v>2506</v>
      </c>
      <c r="E1872" s="1" t="s">
        <v>2019</v>
      </c>
      <c r="F1872" s="1" t="s">
        <v>188</v>
      </c>
      <c r="G1872" s="6">
        <v>2733234</v>
      </c>
      <c r="H1872" t="str">
        <f>IFERROR(VLOOKUP(F1872,'LEAID Match'!$A$2:$B$142,2,FALSE),"")</f>
        <v/>
      </c>
    </row>
    <row r="1873" spans="1:8" x14ac:dyDescent="0.2">
      <c r="A1873" t="str">
        <f t="shared" si="29"/>
        <v/>
      </c>
      <c r="B1873" s="1">
        <v>2022</v>
      </c>
      <c r="C1873" s="1" t="s">
        <v>2505</v>
      </c>
      <c r="D1873" s="1" t="s">
        <v>2506</v>
      </c>
      <c r="E1873" s="1" t="s">
        <v>2019</v>
      </c>
      <c r="F1873" s="1" t="s">
        <v>188</v>
      </c>
      <c r="G1873" s="6">
        <v>2878612</v>
      </c>
      <c r="H1873" t="str">
        <f>IFERROR(VLOOKUP(F1873,'LEAID Match'!$A$2:$B$142,2,FALSE),"")</f>
        <v/>
      </c>
    </row>
    <row r="1874" spans="1:8" x14ac:dyDescent="0.2">
      <c r="A1874" t="str">
        <f t="shared" si="29"/>
        <v/>
      </c>
      <c r="B1874" s="1">
        <v>2023</v>
      </c>
      <c r="C1874" s="1" t="s">
        <v>2505</v>
      </c>
      <c r="D1874" s="1" t="s">
        <v>2506</v>
      </c>
      <c r="E1874" s="1" t="s">
        <v>2019</v>
      </c>
      <c r="F1874" s="1" t="s">
        <v>188</v>
      </c>
      <c r="G1874" s="6">
        <v>3031451</v>
      </c>
      <c r="H1874" t="str">
        <f>IFERROR(VLOOKUP(F1874,'LEAID Match'!$A$2:$B$142,2,FALSE),"")</f>
        <v/>
      </c>
    </row>
    <row r="1875" spans="1:8" x14ac:dyDescent="0.2">
      <c r="A1875" t="str">
        <f t="shared" si="29"/>
        <v/>
      </c>
      <c r="B1875" s="1">
        <v>2024</v>
      </c>
      <c r="C1875" s="1" t="s">
        <v>2505</v>
      </c>
      <c r="D1875" s="1" t="s">
        <v>2506</v>
      </c>
      <c r="E1875" s="1" t="s">
        <v>2019</v>
      </c>
      <c r="F1875" s="1" t="s">
        <v>188</v>
      </c>
      <c r="G1875" s="6">
        <v>3154340</v>
      </c>
      <c r="H1875" t="str">
        <f>IFERROR(VLOOKUP(F1875,'LEAID Match'!$A$2:$B$142,2,FALSE),"")</f>
        <v/>
      </c>
    </row>
    <row r="1876" spans="1:8" x14ac:dyDescent="0.2">
      <c r="A1876" t="str">
        <f t="shared" si="29"/>
        <v/>
      </c>
      <c r="B1876" s="1">
        <v>2015</v>
      </c>
      <c r="C1876" s="1" t="s">
        <v>2505</v>
      </c>
      <c r="D1876" s="1" t="s">
        <v>2506</v>
      </c>
      <c r="E1876" s="1" t="s">
        <v>2019</v>
      </c>
      <c r="F1876" s="1" t="s">
        <v>189</v>
      </c>
      <c r="G1876" s="6">
        <v>33509</v>
      </c>
      <c r="H1876" t="str">
        <f>IFERROR(VLOOKUP(F1876,'LEAID Match'!$A$2:$B$142,2,FALSE),"")</f>
        <v/>
      </c>
    </row>
    <row r="1877" spans="1:8" x14ac:dyDescent="0.2">
      <c r="A1877" t="str">
        <f t="shared" si="29"/>
        <v/>
      </c>
      <c r="B1877">
        <v>2016</v>
      </c>
      <c r="C1877" s="1" t="s">
        <v>2505</v>
      </c>
      <c r="D1877" s="1" t="s">
        <v>2506</v>
      </c>
      <c r="E1877" s="1" t="s">
        <v>2019</v>
      </c>
      <c r="F1877" s="1" t="s">
        <v>189</v>
      </c>
      <c r="G1877" s="12">
        <v>32595</v>
      </c>
      <c r="H1877" t="str">
        <f>IFERROR(VLOOKUP(F1877,'LEAID Match'!$A$2:$B$142,2,FALSE),"")</f>
        <v/>
      </c>
    </row>
    <row r="1878" spans="1:8" x14ac:dyDescent="0.2">
      <c r="A1878" t="str">
        <f t="shared" si="29"/>
        <v/>
      </c>
      <c r="B1878" s="1">
        <v>2017</v>
      </c>
      <c r="C1878" s="1" t="s">
        <v>2505</v>
      </c>
      <c r="D1878" s="1" t="s">
        <v>2506</v>
      </c>
      <c r="E1878" s="1" t="s">
        <v>2019</v>
      </c>
      <c r="F1878" s="1" t="s">
        <v>189</v>
      </c>
      <c r="G1878" s="50">
        <v>32625</v>
      </c>
      <c r="H1878" t="str">
        <f>IFERROR(VLOOKUP(F1878,'LEAID Match'!$A$2:$B$142,2,FALSE),"")</f>
        <v/>
      </c>
    </row>
    <row r="1879" spans="1:8" x14ac:dyDescent="0.2">
      <c r="A1879" t="str">
        <f t="shared" si="29"/>
        <v/>
      </c>
      <c r="B1879" s="1">
        <v>2018</v>
      </c>
      <c r="C1879" s="1" t="s">
        <v>2505</v>
      </c>
      <c r="D1879" s="1" t="s">
        <v>2506</v>
      </c>
      <c r="E1879" s="1" t="s">
        <v>2019</v>
      </c>
      <c r="F1879" s="1" t="s">
        <v>189</v>
      </c>
      <c r="G1879" s="6">
        <v>32571</v>
      </c>
      <c r="H1879" t="str">
        <f>IFERROR(VLOOKUP(F1879,'LEAID Match'!$A$2:$B$142,2,FALSE),"")</f>
        <v/>
      </c>
    </row>
    <row r="1880" spans="1:8" x14ac:dyDescent="0.2">
      <c r="A1880" t="str">
        <f t="shared" si="29"/>
        <v/>
      </c>
      <c r="B1880" s="1">
        <v>2019</v>
      </c>
      <c r="C1880" s="1" t="s">
        <v>2505</v>
      </c>
      <c r="D1880" s="1" t="s">
        <v>2506</v>
      </c>
      <c r="E1880" s="1" t="s">
        <v>2019</v>
      </c>
      <c r="F1880" s="1" t="s">
        <v>189</v>
      </c>
      <c r="G1880" s="6">
        <v>32244</v>
      </c>
      <c r="H1880" t="str">
        <f>IFERROR(VLOOKUP(F1880,'LEAID Match'!$A$2:$B$142,2,FALSE),"")</f>
        <v/>
      </c>
    </row>
    <row r="1881" spans="1:8" x14ac:dyDescent="0.2">
      <c r="A1881" t="str">
        <f t="shared" si="29"/>
        <v/>
      </c>
      <c r="B1881" s="1">
        <v>2020</v>
      </c>
      <c r="C1881" s="1" t="s">
        <v>2505</v>
      </c>
      <c r="D1881" s="1" t="s">
        <v>2506</v>
      </c>
      <c r="E1881" s="1" t="s">
        <v>2019</v>
      </c>
      <c r="F1881" s="1" t="s">
        <v>189</v>
      </c>
      <c r="G1881" s="6">
        <v>35956</v>
      </c>
      <c r="H1881" t="str">
        <f>IFERROR(VLOOKUP(F1881,'LEAID Match'!$A$2:$B$142,2,FALSE),"")</f>
        <v/>
      </c>
    </row>
    <row r="1882" spans="1:8" x14ac:dyDescent="0.2">
      <c r="A1882" t="str">
        <f t="shared" si="29"/>
        <v/>
      </c>
      <c r="B1882" s="1">
        <v>2021</v>
      </c>
      <c r="C1882" s="1" t="s">
        <v>2505</v>
      </c>
      <c r="D1882" s="1" t="s">
        <v>2506</v>
      </c>
      <c r="E1882" s="1" t="s">
        <v>2019</v>
      </c>
      <c r="F1882" s="1" t="s">
        <v>189</v>
      </c>
      <c r="G1882" s="6">
        <v>34848</v>
      </c>
      <c r="H1882" t="str">
        <f>IFERROR(VLOOKUP(F1882,'LEAID Match'!$A$2:$B$142,2,FALSE),"")</f>
        <v/>
      </c>
    </row>
    <row r="1883" spans="1:8" x14ac:dyDescent="0.2">
      <c r="A1883" t="str">
        <f t="shared" si="29"/>
        <v/>
      </c>
      <c r="B1883" s="1">
        <v>2022</v>
      </c>
      <c r="C1883" s="1" t="s">
        <v>2505</v>
      </c>
      <c r="D1883" s="1" t="s">
        <v>2506</v>
      </c>
      <c r="E1883" s="1" t="s">
        <v>2019</v>
      </c>
      <c r="F1883" s="1" t="s">
        <v>189</v>
      </c>
      <c r="G1883" s="6">
        <v>34063</v>
      </c>
      <c r="H1883" t="str">
        <f>IFERROR(VLOOKUP(F1883,'LEAID Match'!$A$2:$B$142,2,FALSE),"")</f>
        <v/>
      </c>
    </row>
    <row r="1884" spans="1:8" x14ac:dyDescent="0.2">
      <c r="A1884" t="str">
        <f t="shared" si="29"/>
        <v/>
      </c>
      <c r="B1884" s="1">
        <v>2023</v>
      </c>
      <c r="C1884" s="1" t="s">
        <v>2505</v>
      </c>
      <c r="D1884" s="1" t="s">
        <v>2506</v>
      </c>
      <c r="E1884" s="1" t="s">
        <v>2019</v>
      </c>
      <c r="F1884" s="1" t="s">
        <v>189</v>
      </c>
      <c r="G1884" s="6">
        <v>36581</v>
      </c>
      <c r="H1884" t="str">
        <f>IFERROR(VLOOKUP(F1884,'LEAID Match'!$A$2:$B$142,2,FALSE),"")</f>
        <v/>
      </c>
    </row>
    <row r="1885" spans="1:8" x14ac:dyDescent="0.2">
      <c r="A1885" t="str">
        <f t="shared" si="29"/>
        <v/>
      </c>
      <c r="B1885" s="1">
        <v>2024</v>
      </c>
      <c r="C1885" s="1" t="s">
        <v>2505</v>
      </c>
      <c r="D1885" s="1" t="s">
        <v>2506</v>
      </c>
      <c r="E1885" s="1" t="s">
        <v>2019</v>
      </c>
      <c r="F1885" s="1" t="s">
        <v>189</v>
      </c>
      <c r="G1885" s="6">
        <v>41704</v>
      </c>
      <c r="H1885" t="str">
        <f>IFERROR(VLOOKUP(F1885,'LEAID Match'!$A$2:$B$142,2,FALSE),"")</f>
        <v/>
      </c>
    </row>
    <row r="1886" spans="1:8" x14ac:dyDescent="0.2">
      <c r="A1886" t="str">
        <f t="shared" si="29"/>
        <v/>
      </c>
      <c r="B1886" s="1">
        <v>2015</v>
      </c>
      <c r="C1886" s="1" t="s">
        <v>2505</v>
      </c>
      <c r="D1886" s="1" t="s">
        <v>2506</v>
      </c>
      <c r="E1886" s="1" t="s">
        <v>2019</v>
      </c>
      <c r="F1886" s="1" t="s">
        <v>190</v>
      </c>
      <c r="G1886" s="6">
        <v>4569983</v>
      </c>
      <c r="H1886" t="str">
        <f>IFERROR(VLOOKUP(F1886,'LEAID Match'!$A$2:$B$142,2,FALSE),"")</f>
        <v/>
      </c>
    </row>
    <row r="1887" spans="1:8" x14ac:dyDescent="0.2">
      <c r="A1887" t="str">
        <f t="shared" si="29"/>
        <v/>
      </c>
      <c r="B1887">
        <v>2016</v>
      </c>
      <c r="C1887" s="1" t="s">
        <v>2505</v>
      </c>
      <c r="D1887" s="1" t="s">
        <v>2506</v>
      </c>
      <c r="E1887" s="1" t="s">
        <v>2019</v>
      </c>
      <c r="F1887" s="1" t="s">
        <v>190</v>
      </c>
      <c r="G1887" s="12">
        <v>4620034</v>
      </c>
      <c r="H1887" t="str">
        <f>IFERROR(VLOOKUP(F1887,'LEAID Match'!$A$2:$B$142,2,FALSE),"")</f>
        <v/>
      </c>
    </row>
    <row r="1888" spans="1:8" x14ac:dyDescent="0.2">
      <c r="A1888" t="str">
        <f t="shared" si="29"/>
        <v/>
      </c>
      <c r="B1888" s="1">
        <v>2017</v>
      </c>
      <c r="C1888" s="1" t="s">
        <v>2505</v>
      </c>
      <c r="D1888" s="1" t="s">
        <v>2506</v>
      </c>
      <c r="E1888" s="1" t="s">
        <v>2019</v>
      </c>
      <c r="F1888" s="1" t="s">
        <v>190</v>
      </c>
      <c r="G1888" s="50">
        <v>4384350</v>
      </c>
      <c r="H1888" t="str">
        <f>IFERROR(VLOOKUP(F1888,'LEAID Match'!$A$2:$B$142,2,FALSE),"")</f>
        <v/>
      </c>
    </row>
    <row r="1889" spans="1:8" x14ac:dyDescent="0.2">
      <c r="A1889" t="str">
        <f t="shared" si="29"/>
        <v/>
      </c>
      <c r="B1889" s="1">
        <v>2018</v>
      </c>
      <c r="C1889" s="1" t="s">
        <v>2505</v>
      </c>
      <c r="D1889" s="1" t="s">
        <v>2506</v>
      </c>
      <c r="E1889" s="1" t="s">
        <v>2019</v>
      </c>
      <c r="F1889" s="1" t="s">
        <v>190</v>
      </c>
      <c r="G1889" s="6">
        <v>5273809</v>
      </c>
      <c r="H1889" t="str">
        <f>IFERROR(VLOOKUP(F1889,'LEAID Match'!$A$2:$B$142,2,FALSE),"")</f>
        <v/>
      </c>
    </row>
    <row r="1890" spans="1:8" x14ac:dyDescent="0.2">
      <c r="A1890" t="str">
        <f t="shared" si="29"/>
        <v/>
      </c>
      <c r="B1890" s="1">
        <v>2019</v>
      </c>
      <c r="C1890" s="1" t="s">
        <v>2505</v>
      </c>
      <c r="D1890" s="1" t="s">
        <v>2506</v>
      </c>
      <c r="E1890" s="1" t="s">
        <v>2019</v>
      </c>
      <c r="F1890" s="1" t="s">
        <v>190</v>
      </c>
      <c r="G1890" s="6">
        <v>5326180</v>
      </c>
      <c r="H1890" t="str">
        <f>IFERROR(VLOOKUP(F1890,'LEAID Match'!$A$2:$B$142,2,FALSE),"")</f>
        <v/>
      </c>
    </row>
    <row r="1891" spans="1:8" x14ac:dyDescent="0.2">
      <c r="A1891" t="str">
        <f t="shared" si="29"/>
        <v/>
      </c>
      <c r="B1891" s="1">
        <v>2020</v>
      </c>
      <c r="C1891" s="1" t="s">
        <v>2505</v>
      </c>
      <c r="D1891" s="1" t="s">
        <v>2506</v>
      </c>
      <c r="E1891" s="1" t="s">
        <v>2019</v>
      </c>
      <c r="F1891" s="1" t="s">
        <v>190</v>
      </c>
      <c r="G1891" s="6">
        <v>5876238</v>
      </c>
      <c r="H1891" t="str">
        <f>IFERROR(VLOOKUP(F1891,'LEAID Match'!$A$2:$B$142,2,FALSE),"")</f>
        <v/>
      </c>
    </row>
    <row r="1892" spans="1:8" x14ac:dyDescent="0.2">
      <c r="A1892" t="str">
        <f t="shared" si="29"/>
        <v/>
      </c>
      <c r="B1892" s="1">
        <v>2021</v>
      </c>
      <c r="C1892" s="1" t="s">
        <v>2505</v>
      </c>
      <c r="D1892" s="1" t="s">
        <v>2506</v>
      </c>
      <c r="E1892" s="1" t="s">
        <v>2019</v>
      </c>
      <c r="F1892" s="1" t="s">
        <v>190</v>
      </c>
      <c r="G1892" s="6">
        <v>5546614</v>
      </c>
      <c r="H1892" t="str">
        <f>IFERROR(VLOOKUP(F1892,'LEAID Match'!$A$2:$B$142,2,FALSE),"")</f>
        <v/>
      </c>
    </row>
    <row r="1893" spans="1:8" x14ac:dyDescent="0.2">
      <c r="A1893" t="str">
        <f t="shared" si="29"/>
        <v/>
      </c>
      <c r="B1893" s="1">
        <v>2022</v>
      </c>
      <c r="C1893" s="1" t="s">
        <v>2505</v>
      </c>
      <c r="D1893" s="1" t="s">
        <v>2506</v>
      </c>
      <c r="E1893" s="1" t="s">
        <v>2019</v>
      </c>
      <c r="F1893" s="1" t="s">
        <v>190</v>
      </c>
      <c r="G1893" s="6">
        <v>5580298</v>
      </c>
      <c r="H1893" t="str">
        <f>IFERROR(VLOOKUP(F1893,'LEAID Match'!$A$2:$B$142,2,FALSE),"")</f>
        <v/>
      </c>
    </row>
    <row r="1894" spans="1:8" x14ac:dyDescent="0.2">
      <c r="A1894" t="str">
        <f t="shared" si="29"/>
        <v/>
      </c>
      <c r="B1894" s="1">
        <v>2023</v>
      </c>
      <c r="C1894" s="1" t="s">
        <v>2505</v>
      </c>
      <c r="D1894" s="1" t="s">
        <v>2506</v>
      </c>
      <c r="E1894" s="1" t="s">
        <v>2019</v>
      </c>
      <c r="F1894" s="1" t="s">
        <v>190</v>
      </c>
      <c r="G1894" s="6">
        <v>5428249</v>
      </c>
      <c r="H1894" t="str">
        <f>IFERROR(VLOOKUP(F1894,'LEAID Match'!$A$2:$B$142,2,FALSE),"")</f>
        <v/>
      </c>
    </row>
    <row r="1895" spans="1:8" x14ac:dyDescent="0.2">
      <c r="A1895" t="str">
        <f t="shared" si="29"/>
        <v/>
      </c>
      <c r="B1895" s="1">
        <v>2024</v>
      </c>
      <c r="C1895" s="1" t="s">
        <v>2505</v>
      </c>
      <c r="D1895" s="1" t="s">
        <v>2506</v>
      </c>
      <c r="E1895" s="1" t="s">
        <v>2019</v>
      </c>
      <c r="F1895" s="1" t="s">
        <v>190</v>
      </c>
      <c r="G1895" s="6">
        <v>5461663</v>
      </c>
      <c r="H1895" t="str">
        <f>IFERROR(VLOOKUP(F1895,'LEAID Match'!$A$2:$B$142,2,FALSE),"")</f>
        <v/>
      </c>
    </row>
    <row r="1896" spans="1:8" x14ac:dyDescent="0.2">
      <c r="A1896">
        <f t="shared" si="29"/>
        <v>2801410</v>
      </c>
      <c r="B1896" s="1">
        <v>2015</v>
      </c>
      <c r="C1896" s="1" t="s">
        <v>2505</v>
      </c>
      <c r="D1896" s="1" t="s">
        <v>2506</v>
      </c>
      <c r="E1896" s="1" t="s">
        <v>2019</v>
      </c>
      <c r="F1896" s="1" t="s">
        <v>191</v>
      </c>
      <c r="G1896" s="6">
        <v>920644</v>
      </c>
      <c r="H1896">
        <f>IFERROR(VLOOKUP(F1896,'LEAID Match'!$A$2:$B$142,2,FALSE),"")</f>
        <v>2801410</v>
      </c>
    </row>
    <row r="1897" spans="1:8" x14ac:dyDescent="0.2">
      <c r="A1897">
        <f t="shared" si="29"/>
        <v>2801410</v>
      </c>
      <c r="B1897">
        <v>2016</v>
      </c>
      <c r="C1897" s="1" t="s">
        <v>2505</v>
      </c>
      <c r="D1897" s="1" t="s">
        <v>2506</v>
      </c>
      <c r="E1897" s="1" t="s">
        <v>2019</v>
      </c>
      <c r="F1897" s="1" t="s">
        <v>191</v>
      </c>
      <c r="G1897" s="12">
        <v>945083</v>
      </c>
      <c r="H1897">
        <f>IFERROR(VLOOKUP(F1897,'LEAID Match'!$A$2:$B$142,2,FALSE),"")</f>
        <v>2801410</v>
      </c>
    </row>
    <row r="1898" spans="1:8" x14ac:dyDescent="0.2">
      <c r="A1898">
        <f t="shared" si="29"/>
        <v>2801410</v>
      </c>
      <c r="B1898" s="1">
        <v>2017</v>
      </c>
      <c r="C1898" s="1" t="s">
        <v>2505</v>
      </c>
      <c r="D1898" s="1" t="s">
        <v>2506</v>
      </c>
      <c r="E1898" s="1" t="s">
        <v>2019</v>
      </c>
      <c r="F1898" s="1" t="s">
        <v>191</v>
      </c>
      <c r="G1898" s="50">
        <v>935835</v>
      </c>
      <c r="H1898">
        <f>IFERROR(VLOOKUP(F1898,'LEAID Match'!$A$2:$B$142,2,FALSE),"")</f>
        <v>2801410</v>
      </c>
    </row>
    <row r="1899" spans="1:8" x14ac:dyDescent="0.2">
      <c r="A1899">
        <f t="shared" si="29"/>
        <v>2801410</v>
      </c>
      <c r="B1899" s="1">
        <v>2018</v>
      </c>
      <c r="C1899" s="1" t="s">
        <v>2505</v>
      </c>
      <c r="D1899" s="1" t="s">
        <v>2506</v>
      </c>
      <c r="E1899" s="1" t="s">
        <v>2019</v>
      </c>
      <c r="F1899" s="1" t="s">
        <v>191</v>
      </c>
      <c r="G1899" s="6">
        <v>954686</v>
      </c>
      <c r="H1899">
        <f>IFERROR(VLOOKUP(F1899,'LEAID Match'!$A$2:$B$142,2,FALSE),"")</f>
        <v>2801410</v>
      </c>
    </row>
    <row r="1900" spans="1:8" x14ac:dyDescent="0.2">
      <c r="A1900">
        <f t="shared" si="29"/>
        <v>2801410</v>
      </c>
      <c r="B1900" s="1">
        <v>2019</v>
      </c>
      <c r="C1900" s="1" t="s">
        <v>2505</v>
      </c>
      <c r="D1900" s="1" t="s">
        <v>2506</v>
      </c>
      <c r="E1900" s="1" t="s">
        <v>2019</v>
      </c>
      <c r="F1900" s="1" t="s">
        <v>191</v>
      </c>
      <c r="G1900" s="6">
        <v>958985</v>
      </c>
      <c r="H1900">
        <f>IFERROR(VLOOKUP(F1900,'LEAID Match'!$A$2:$B$142,2,FALSE),"")</f>
        <v>2801410</v>
      </c>
    </row>
    <row r="1901" spans="1:8" x14ac:dyDescent="0.2">
      <c r="A1901">
        <f t="shared" si="29"/>
        <v>2801410</v>
      </c>
      <c r="B1901" s="1">
        <v>2020</v>
      </c>
      <c r="C1901" s="1" t="s">
        <v>2505</v>
      </c>
      <c r="D1901" s="1" t="s">
        <v>2506</v>
      </c>
      <c r="E1901" s="1" t="s">
        <v>2019</v>
      </c>
      <c r="F1901" s="1" t="s">
        <v>191</v>
      </c>
      <c r="G1901" s="6">
        <v>978607</v>
      </c>
      <c r="H1901">
        <f>IFERROR(VLOOKUP(F1901,'LEAID Match'!$A$2:$B$142,2,FALSE),"")</f>
        <v>2801410</v>
      </c>
    </row>
    <row r="1902" spans="1:8" x14ac:dyDescent="0.2">
      <c r="A1902">
        <f t="shared" si="29"/>
        <v>2801410</v>
      </c>
      <c r="B1902" s="1">
        <v>2021</v>
      </c>
      <c r="C1902" s="1" t="s">
        <v>2505</v>
      </c>
      <c r="D1902" s="1" t="s">
        <v>2506</v>
      </c>
      <c r="E1902" s="1" t="s">
        <v>2019</v>
      </c>
      <c r="F1902" s="1" t="s">
        <v>191</v>
      </c>
      <c r="G1902" s="6">
        <v>885658</v>
      </c>
      <c r="H1902">
        <f>IFERROR(VLOOKUP(F1902,'LEAID Match'!$A$2:$B$142,2,FALSE),"")</f>
        <v>2801410</v>
      </c>
    </row>
    <row r="1903" spans="1:8" x14ac:dyDescent="0.2">
      <c r="A1903">
        <f t="shared" si="29"/>
        <v>2801410</v>
      </c>
      <c r="B1903" s="1">
        <v>2022</v>
      </c>
      <c r="C1903" s="1" t="s">
        <v>2505</v>
      </c>
      <c r="D1903" s="1" t="s">
        <v>2506</v>
      </c>
      <c r="E1903" s="1" t="s">
        <v>2019</v>
      </c>
      <c r="F1903" s="1" t="s">
        <v>191</v>
      </c>
      <c r="G1903" s="6">
        <v>981985</v>
      </c>
      <c r="H1903">
        <f>IFERROR(VLOOKUP(F1903,'LEAID Match'!$A$2:$B$142,2,FALSE),"")</f>
        <v>2801410</v>
      </c>
    </row>
    <row r="1904" spans="1:8" x14ac:dyDescent="0.2">
      <c r="A1904">
        <f t="shared" si="29"/>
        <v>2801410</v>
      </c>
      <c r="B1904" s="1">
        <v>2023</v>
      </c>
      <c r="C1904" s="1" t="s">
        <v>2505</v>
      </c>
      <c r="D1904" s="1" t="s">
        <v>2506</v>
      </c>
      <c r="E1904" s="1" t="s">
        <v>2019</v>
      </c>
      <c r="F1904" s="1" t="s">
        <v>191</v>
      </c>
      <c r="G1904" s="6">
        <v>1036488</v>
      </c>
      <c r="H1904">
        <f>IFERROR(VLOOKUP(F1904,'LEAID Match'!$A$2:$B$142,2,FALSE),"")</f>
        <v>2801410</v>
      </c>
    </row>
    <row r="1905" spans="1:8" x14ac:dyDescent="0.2">
      <c r="A1905">
        <f t="shared" si="29"/>
        <v>2801410</v>
      </c>
      <c r="B1905" s="1">
        <v>2024</v>
      </c>
      <c r="C1905" s="1" t="s">
        <v>2505</v>
      </c>
      <c r="D1905" s="1" t="s">
        <v>2506</v>
      </c>
      <c r="E1905" s="1" t="s">
        <v>2019</v>
      </c>
      <c r="F1905" s="1" t="s">
        <v>191</v>
      </c>
      <c r="G1905" s="6">
        <v>1125270</v>
      </c>
      <c r="H1905">
        <f>IFERROR(VLOOKUP(F1905,'LEAID Match'!$A$2:$B$142,2,FALSE),"")</f>
        <v>2801410</v>
      </c>
    </row>
    <row r="1906" spans="1:8" x14ac:dyDescent="0.2">
      <c r="A1906" t="str">
        <f t="shared" si="29"/>
        <v/>
      </c>
      <c r="B1906" s="1">
        <v>2015</v>
      </c>
      <c r="C1906" s="1" t="s">
        <v>2505</v>
      </c>
      <c r="D1906" s="1" t="s">
        <v>2506</v>
      </c>
      <c r="E1906" s="1" t="s">
        <v>2019</v>
      </c>
      <c r="F1906" s="1" t="s">
        <v>192</v>
      </c>
      <c r="G1906" s="6">
        <v>55954</v>
      </c>
      <c r="H1906" t="str">
        <f>IFERROR(VLOOKUP(F1906,'LEAID Match'!$A$2:$B$142,2,FALSE),"")</f>
        <v/>
      </c>
    </row>
    <row r="1907" spans="1:8" x14ac:dyDescent="0.2">
      <c r="A1907" t="str">
        <f t="shared" si="29"/>
        <v/>
      </c>
      <c r="B1907">
        <v>2016</v>
      </c>
      <c r="C1907" s="1" t="s">
        <v>2505</v>
      </c>
      <c r="D1907" s="1" t="s">
        <v>2506</v>
      </c>
      <c r="E1907" s="1" t="s">
        <v>2019</v>
      </c>
      <c r="F1907" s="1" t="s">
        <v>192</v>
      </c>
      <c r="G1907" s="12">
        <v>56661</v>
      </c>
      <c r="H1907" t="str">
        <f>IFERROR(VLOOKUP(F1907,'LEAID Match'!$A$2:$B$142,2,FALSE),"")</f>
        <v/>
      </c>
    </row>
    <row r="1908" spans="1:8" x14ac:dyDescent="0.2">
      <c r="A1908" t="str">
        <f t="shared" si="29"/>
        <v/>
      </c>
      <c r="B1908" s="1">
        <v>2017</v>
      </c>
      <c r="C1908" s="1" t="s">
        <v>2505</v>
      </c>
      <c r="D1908" s="1" t="s">
        <v>2506</v>
      </c>
      <c r="E1908" s="1" t="s">
        <v>2019</v>
      </c>
      <c r="F1908" s="1" t="s">
        <v>192</v>
      </c>
      <c r="G1908" s="50">
        <v>57867</v>
      </c>
      <c r="H1908" t="str">
        <f>IFERROR(VLOOKUP(F1908,'LEAID Match'!$A$2:$B$142,2,FALSE),"")</f>
        <v/>
      </c>
    </row>
    <row r="1909" spans="1:8" x14ac:dyDescent="0.2">
      <c r="A1909" t="str">
        <f t="shared" si="29"/>
        <v/>
      </c>
      <c r="B1909" s="1">
        <v>2018</v>
      </c>
      <c r="C1909" s="1" t="s">
        <v>2505</v>
      </c>
      <c r="D1909" s="1" t="s">
        <v>2506</v>
      </c>
      <c r="E1909" s="1" t="s">
        <v>2019</v>
      </c>
      <c r="F1909" s="1" t="s">
        <v>192</v>
      </c>
      <c r="G1909" s="6">
        <v>50317</v>
      </c>
      <c r="H1909" t="str">
        <f>IFERROR(VLOOKUP(F1909,'LEAID Match'!$A$2:$B$142,2,FALSE),"")</f>
        <v/>
      </c>
    </row>
    <row r="1910" spans="1:8" x14ac:dyDescent="0.2">
      <c r="A1910" t="str">
        <f t="shared" si="29"/>
        <v/>
      </c>
      <c r="B1910" s="1">
        <v>2019</v>
      </c>
      <c r="C1910" s="1" t="s">
        <v>2505</v>
      </c>
      <c r="D1910" s="1" t="s">
        <v>2506</v>
      </c>
      <c r="E1910" s="1" t="s">
        <v>2019</v>
      </c>
      <c r="F1910" s="1" t="s">
        <v>192</v>
      </c>
      <c r="G1910" s="6">
        <v>51756</v>
      </c>
      <c r="H1910" t="str">
        <f>IFERROR(VLOOKUP(F1910,'LEAID Match'!$A$2:$B$142,2,FALSE),"")</f>
        <v/>
      </c>
    </row>
    <row r="1911" spans="1:8" x14ac:dyDescent="0.2">
      <c r="A1911" t="str">
        <f t="shared" si="29"/>
        <v/>
      </c>
      <c r="B1911" s="1">
        <v>2020</v>
      </c>
      <c r="C1911" s="1" t="s">
        <v>2505</v>
      </c>
      <c r="D1911" s="1" t="s">
        <v>2506</v>
      </c>
      <c r="E1911" s="1" t="s">
        <v>2019</v>
      </c>
      <c r="F1911" s="1" t="s">
        <v>192</v>
      </c>
      <c r="G1911" s="6">
        <v>59425</v>
      </c>
      <c r="H1911" t="str">
        <f>IFERROR(VLOOKUP(F1911,'LEAID Match'!$A$2:$B$142,2,FALSE),"")</f>
        <v/>
      </c>
    </row>
    <row r="1912" spans="1:8" x14ac:dyDescent="0.2">
      <c r="A1912" t="str">
        <f t="shared" si="29"/>
        <v/>
      </c>
      <c r="B1912" s="1">
        <v>2021</v>
      </c>
      <c r="C1912" s="1" t="s">
        <v>2505</v>
      </c>
      <c r="D1912" s="1" t="s">
        <v>2506</v>
      </c>
      <c r="E1912" s="1" t="s">
        <v>2019</v>
      </c>
      <c r="F1912" s="1" t="s">
        <v>192</v>
      </c>
      <c r="G1912" s="6">
        <v>58285</v>
      </c>
      <c r="H1912" t="str">
        <f>IFERROR(VLOOKUP(F1912,'LEAID Match'!$A$2:$B$142,2,FALSE),"")</f>
        <v/>
      </c>
    </row>
    <row r="1913" spans="1:8" x14ac:dyDescent="0.2">
      <c r="A1913" t="str">
        <f t="shared" si="29"/>
        <v/>
      </c>
      <c r="B1913" s="1">
        <v>2022</v>
      </c>
      <c r="C1913" s="1" t="s">
        <v>2505</v>
      </c>
      <c r="D1913" s="1" t="s">
        <v>2506</v>
      </c>
      <c r="E1913" s="1" t="s">
        <v>2019</v>
      </c>
      <c r="F1913" s="1" t="s">
        <v>192</v>
      </c>
      <c r="G1913" s="6">
        <v>60182</v>
      </c>
      <c r="H1913" t="str">
        <f>IFERROR(VLOOKUP(F1913,'LEAID Match'!$A$2:$B$142,2,FALSE),"")</f>
        <v/>
      </c>
    </row>
    <row r="1914" spans="1:8" x14ac:dyDescent="0.2">
      <c r="A1914" t="str">
        <f t="shared" si="29"/>
        <v/>
      </c>
      <c r="B1914" s="1">
        <v>2023</v>
      </c>
      <c r="C1914" s="1" t="s">
        <v>2505</v>
      </c>
      <c r="D1914" s="1" t="s">
        <v>2506</v>
      </c>
      <c r="E1914" s="1" t="s">
        <v>2019</v>
      </c>
      <c r="F1914" s="1" t="s">
        <v>192</v>
      </c>
      <c r="G1914" s="6">
        <v>82504</v>
      </c>
      <c r="H1914" t="str">
        <f>IFERROR(VLOOKUP(F1914,'LEAID Match'!$A$2:$B$142,2,FALSE),"")</f>
        <v/>
      </c>
    </row>
    <row r="1915" spans="1:8" x14ac:dyDescent="0.2">
      <c r="A1915" t="str">
        <f t="shared" si="29"/>
        <v/>
      </c>
      <c r="B1915" s="1">
        <v>2024</v>
      </c>
      <c r="C1915" s="1" t="s">
        <v>2505</v>
      </c>
      <c r="D1915" s="1" t="s">
        <v>2506</v>
      </c>
      <c r="E1915" s="1" t="s">
        <v>2019</v>
      </c>
      <c r="F1915" s="1" t="s">
        <v>192</v>
      </c>
      <c r="G1915" s="6">
        <v>104074</v>
      </c>
      <c r="H1915" t="str">
        <f>IFERROR(VLOOKUP(F1915,'LEAID Match'!$A$2:$B$142,2,FALSE),"")</f>
        <v/>
      </c>
    </row>
    <row r="1916" spans="1:8" x14ac:dyDescent="0.2">
      <c r="A1916" t="str">
        <f t="shared" si="29"/>
        <v/>
      </c>
      <c r="B1916" s="1">
        <v>2015</v>
      </c>
      <c r="C1916" s="1" t="s">
        <v>2505</v>
      </c>
      <c r="D1916" s="1" t="s">
        <v>2506</v>
      </c>
      <c r="E1916" s="1" t="s">
        <v>2019</v>
      </c>
      <c r="F1916" s="1" t="s">
        <v>193</v>
      </c>
      <c r="G1916" s="6">
        <v>45852</v>
      </c>
      <c r="H1916" t="str">
        <f>IFERROR(VLOOKUP(F1916,'LEAID Match'!$A$2:$B$142,2,FALSE),"")</f>
        <v/>
      </c>
    </row>
    <row r="1917" spans="1:8" x14ac:dyDescent="0.2">
      <c r="A1917" t="str">
        <f t="shared" si="29"/>
        <v/>
      </c>
      <c r="B1917">
        <v>2016</v>
      </c>
      <c r="C1917" s="1" t="s">
        <v>2505</v>
      </c>
      <c r="D1917" s="1" t="s">
        <v>2506</v>
      </c>
      <c r="E1917" s="1" t="s">
        <v>2019</v>
      </c>
      <c r="F1917" s="1" t="s">
        <v>193</v>
      </c>
      <c r="G1917" s="12">
        <v>49004</v>
      </c>
      <c r="H1917" t="str">
        <f>IFERROR(VLOOKUP(F1917,'LEAID Match'!$A$2:$B$142,2,FALSE),"")</f>
        <v/>
      </c>
    </row>
    <row r="1918" spans="1:8" x14ac:dyDescent="0.2">
      <c r="A1918" t="str">
        <f t="shared" si="29"/>
        <v/>
      </c>
      <c r="B1918" s="1">
        <v>2017</v>
      </c>
      <c r="C1918" s="1" t="s">
        <v>2505</v>
      </c>
      <c r="D1918" s="1" t="s">
        <v>2506</v>
      </c>
      <c r="E1918" s="1" t="s">
        <v>2019</v>
      </c>
      <c r="F1918" s="1" t="s">
        <v>193</v>
      </c>
      <c r="G1918" s="47">
        <v>35699</v>
      </c>
      <c r="H1918" t="str">
        <f>IFERROR(VLOOKUP(F1918,'LEAID Match'!$A$2:$B$142,2,FALSE),"")</f>
        <v/>
      </c>
    </row>
    <row r="1919" spans="1:8" x14ac:dyDescent="0.2">
      <c r="A1919" t="str">
        <f t="shared" si="29"/>
        <v/>
      </c>
      <c r="B1919" s="1">
        <v>2018</v>
      </c>
      <c r="C1919" s="1" t="s">
        <v>2505</v>
      </c>
      <c r="D1919" s="1" t="s">
        <v>2506</v>
      </c>
      <c r="E1919" s="1" t="s">
        <v>2019</v>
      </c>
      <c r="F1919" s="1" t="s">
        <v>193</v>
      </c>
      <c r="G1919" s="6">
        <v>45237</v>
      </c>
      <c r="H1919" t="str">
        <f>IFERROR(VLOOKUP(F1919,'LEAID Match'!$A$2:$B$142,2,FALSE),"")</f>
        <v/>
      </c>
    </row>
    <row r="1920" spans="1:8" x14ac:dyDescent="0.2">
      <c r="A1920" t="str">
        <f t="shared" si="29"/>
        <v/>
      </c>
      <c r="B1920" s="1">
        <v>2019</v>
      </c>
      <c r="C1920" s="1" t="s">
        <v>2505</v>
      </c>
      <c r="D1920" s="1" t="s">
        <v>2506</v>
      </c>
      <c r="E1920" s="1" t="s">
        <v>2019</v>
      </c>
      <c r="F1920" s="1" t="s">
        <v>193</v>
      </c>
      <c r="G1920" s="6">
        <v>47866</v>
      </c>
      <c r="H1920" t="str">
        <f>IFERROR(VLOOKUP(F1920,'LEAID Match'!$A$2:$B$142,2,FALSE),"")</f>
        <v/>
      </c>
    </row>
    <row r="1921" spans="1:8" x14ac:dyDescent="0.2">
      <c r="A1921" t="str">
        <f t="shared" si="29"/>
        <v/>
      </c>
      <c r="B1921" s="1">
        <v>2020</v>
      </c>
      <c r="C1921" s="1" t="s">
        <v>2505</v>
      </c>
      <c r="D1921" s="1" t="s">
        <v>2506</v>
      </c>
      <c r="E1921" s="1" t="s">
        <v>2019</v>
      </c>
      <c r="F1921" s="1" t="s">
        <v>193</v>
      </c>
      <c r="G1921" s="6">
        <v>62491</v>
      </c>
      <c r="H1921" t="str">
        <f>IFERROR(VLOOKUP(F1921,'LEAID Match'!$A$2:$B$142,2,FALSE),"")</f>
        <v/>
      </c>
    </row>
    <row r="1922" spans="1:8" x14ac:dyDescent="0.2">
      <c r="A1922" t="str">
        <f t="shared" si="29"/>
        <v/>
      </c>
      <c r="B1922" s="1">
        <v>2021</v>
      </c>
      <c r="C1922" s="1" t="s">
        <v>2505</v>
      </c>
      <c r="D1922" s="1" t="s">
        <v>2506</v>
      </c>
      <c r="E1922" s="1" t="s">
        <v>2019</v>
      </c>
      <c r="F1922" s="1" t="s">
        <v>193</v>
      </c>
      <c r="G1922" s="6">
        <v>68431</v>
      </c>
      <c r="H1922" t="str">
        <f>IFERROR(VLOOKUP(F1922,'LEAID Match'!$A$2:$B$142,2,FALSE),"")</f>
        <v/>
      </c>
    </row>
    <row r="1923" spans="1:8" x14ac:dyDescent="0.2">
      <c r="A1923" t="str">
        <f t="shared" ref="A1923:A1986" si="30">H1923</f>
        <v/>
      </c>
      <c r="B1923" s="1">
        <v>2022</v>
      </c>
      <c r="C1923" s="1" t="s">
        <v>2505</v>
      </c>
      <c r="D1923" s="1" t="s">
        <v>2506</v>
      </c>
      <c r="E1923" s="1" t="s">
        <v>2019</v>
      </c>
      <c r="F1923" s="1" t="s">
        <v>193</v>
      </c>
      <c r="G1923" s="6">
        <v>81984</v>
      </c>
      <c r="H1923" t="str">
        <f>IFERROR(VLOOKUP(F1923,'LEAID Match'!$A$2:$B$142,2,FALSE),"")</f>
        <v/>
      </c>
    </row>
    <row r="1924" spans="1:8" x14ac:dyDescent="0.2">
      <c r="A1924" t="str">
        <f t="shared" si="30"/>
        <v/>
      </c>
      <c r="B1924" s="1">
        <v>2023</v>
      </c>
      <c r="C1924" s="1" t="s">
        <v>2505</v>
      </c>
      <c r="D1924" s="1" t="s">
        <v>2506</v>
      </c>
      <c r="E1924" s="1" t="s">
        <v>2019</v>
      </c>
      <c r="F1924" s="1" t="s">
        <v>193</v>
      </c>
      <c r="G1924" s="6">
        <v>83812</v>
      </c>
      <c r="H1924" t="str">
        <f>IFERROR(VLOOKUP(F1924,'LEAID Match'!$A$2:$B$142,2,FALSE),"")</f>
        <v/>
      </c>
    </row>
    <row r="1925" spans="1:8" x14ac:dyDescent="0.2">
      <c r="A1925" t="str">
        <f t="shared" si="30"/>
        <v/>
      </c>
      <c r="B1925" s="1">
        <v>2024</v>
      </c>
      <c r="C1925" s="1" t="s">
        <v>2505</v>
      </c>
      <c r="D1925" s="1" t="s">
        <v>2506</v>
      </c>
      <c r="E1925" s="1" t="s">
        <v>2019</v>
      </c>
      <c r="F1925" s="1" t="s">
        <v>193</v>
      </c>
      <c r="G1925" s="6">
        <v>83065</v>
      </c>
      <c r="H1925" t="str">
        <f>IFERROR(VLOOKUP(F1925,'LEAID Match'!$A$2:$B$142,2,FALSE),"")</f>
        <v/>
      </c>
    </row>
    <row r="1926" spans="1:8" x14ac:dyDescent="0.2">
      <c r="A1926" t="str">
        <f t="shared" si="30"/>
        <v/>
      </c>
      <c r="B1926" s="1">
        <v>2015</v>
      </c>
      <c r="C1926" s="1" t="s">
        <v>2505</v>
      </c>
      <c r="D1926" s="1" t="s">
        <v>2506</v>
      </c>
      <c r="E1926" s="1" t="s">
        <v>2019</v>
      </c>
      <c r="F1926" s="1" t="s">
        <v>194</v>
      </c>
      <c r="G1926" s="6">
        <v>666155</v>
      </c>
      <c r="H1926" t="str">
        <f>IFERROR(VLOOKUP(F1926,'LEAID Match'!$A$2:$B$142,2,FALSE),"")</f>
        <v/>
      </c>
    </row>
    <row r="1927" spans="1:8" x14ac:dyDescent="0.2">
      <c r="A1927" t="str">
        <f t="shared" si="30"/>
        <v/>
      </c>
      <c r="B1927">
        <v>2016</v>
      </c>
      <c r="C1927" s="1" t="s">
        <v>2505</v>
      </c>
      <c r="D1927" s="1" t="s">
        <v>2506</v>
      </c>
      <c r="E1927" s="1" t="s">
        <v>2019</v>
      </c>
      <c r="F1927" s="1" t="s">
        <v>194</v>
      </c>
      <c r="G1927" s="12">
        <v>699593</v>
      </c>
      <c r="H1927" t="str">
        <f>IFERROR(VLOOKUP(F1927,'LEAID Match'!$A$2:$B$142,2,FALSE),"")</f>
        <v/>
      </c>
    </row>
    <row r="1928" spans="1:8" x14ac:dyDescent="0.2">
      <c r="A1928" t="str">
        <f t="shared" si="30"/>
        <v/>
      </c>
      <c r="B1928" s="1">
        <v>2017</v>
      </c>
      <c r="C1928" s="1" t="s">
        <v>2505</v>
      </c>
      <c r="D1928" s="1" t="s">
        <v>2506</v>
      </c>
      <c r="E1928" s="1" t="s">
        <v>2019</v>
      </c>
      <c r="F1928" s="1" t="s">
        <v>194</v>
      </c>
      <c r="G1928" s="47">
        <v>649030</v>
      </c>
      <c r="H1928" t="str">
        <f>IFERROR(VLOOKUP(F1928,'LEAID Match'!$A$2:$B$142,2,FALSE),"")</f>
        <v/>
      </c>
    </row>
    <row r="1929" spans="1:8" x14ac:dyDescent="0.2">
      <c r="A1929" t="str">
        <f t="shared" si="30"/>
        <v/>
      </c>
      <c r="B1929" s="1">
        <v>2018</v>
      </c>
      <c r="C1929" s="1" t="s">
        <v>2505</v>
      </c>
      <c r="D1929" s="1" t="s">
        <v>2506</v>
      </c>
      <c r="E1929" s="1" t="s">
        <v>2019</v>
      </c>
      <c r="F1929" s="1" t="s">
        <v>194</v>
      </c>
      <c r="G1929" s="6">
        <v>603706</v>
      </c>
      <c r="H1929" t="str">
        <f>IFERROR(VLOOKUP(F1929,'LEAID Match'!$A$2:$B$142,2,FALSE),"")</f>
        <v/>
      </c>
    </row>
    <row r="1930" spans="1:8" x14ac:dyDescent="0.2">
      <c r="A1930" t="str">
        <f t="shared" si="30"/>
        <v/>
      </c>
      <c r="B1930" s="1">
        <v>2019</v>
      </c>
      <c r="C1930" s="1" t="s">
        <v>2505</v>
      </c>
      <c r="D1930" s="1" t="s">
        <v>2506</v>
      </c>
      <c r="E1930" s="1" t="s">
        <v>2019</v>
      </c>
      <c r="F1930" s="1" t="s">
        <v>194</v>
      </c>
      <c r="G1930" s="6">
        <v>608000</v>
      </c>
      <c r="H1930" t="str">
        <f>IFERROR(VLOOKUP(F1930,'LEAID Match'!$A$2:$B$142,2,FALSE),"")</f>
        <v/>
      </c>
    </row>
    <row r="1931" spans="1:8" x14ac:dyDescent="0.2">
      <c r="A1931" t="str">
        <f t="shared" si="30"/>
        <v/>
      </c>
      <c r="B1931" s="1">
        <v>2020</v>
      </c>
      <c r="C1931" s="1" t="s">
        <v>2505</v>
      </c>
      <c r="D1931" s="1" t="s">
        <v>2506</v>
      </c>
      <c r="E1931" s="1" t="s">
        <v>2019</v>
      </c>
      <c r="F1931" s="1" t="s">
        <v>194</v>
      </c>
      <c r="G1931" s="6">
        <v>683924</v>
      </c>
      <c r="H1931" t="str">
        <f>IFERROR(VLOOKUP(F1931,'LEAID Match'!$A$2:$B$142,2,FALSE),"")</f>
        <v/>
      </c>
    </row>
    <row r="1932" spans="1:8" x14ac:dyDescent="0.2">
      <c r="A1932" t="str">
        <f t="shared" si="30"/>
        <v/>
      </c>
      <c r="B1932" s="1">
        <v>2021</v>
      </c>
      <c r="C1932" s="1" t="s">
        <v>2505</v>
      </c>
      <c r="D1932" s="1" t="s">
        <v>2506</v>
      </c>
      <c r="E1932" s="1" t="s">
        <v>2019</v>
      </c>
      <c r="F1932" s="1" t="s">
        <v>194</v>
      </c>
      <c r="G1932" s="6">
        <v>689554</v>
      </c>
      <c r="H1932" t="str">
        <f>IFERROR(VLOOKUP(F1932,'LEAID Match'!$A$2:$B$142,2,FALSE),"")</f>
        <v/>
      </c>
    </row>
    <row r="1933" spans="1:8" x14ac:dyDescent="0.2">
      <c r="A1933" t="str">
        <f t="shared" si="30"/>
        <v/>
      </c>
      <c r="B1933" s="1">
        <v>2022</v>
      </c>
      <c r="C1933" s="1" t="s">
        <v>2505</v>
      </c>
      <c r="D1933" s="1" t="s">
        <v>2506</v>
      </c>
      <c r="E1933" s="1" t="s">
        <v>2019</v>
      </c>
      <c r="F1933" s="1" t="s">
        <v>194</v>
      </c>
      <c r="G1933" s="6">
        <v>672287</v>
      </c>
      <c r="H1933" t="str">
        <f>IFERROR(VLOOKUP(F1933,'LEAID Match'!$A$2:$B$142,2,FALSE),"")</f>
        <v/>
      </c>
    </row>
    <row r="1934" spans="1:8" x14ac:dyDescent="0.2">
      <c r="A1934" t="str">
        <f t="shared" si="30"/>
        <v/>
      </c>
      <c r="B1934" s="1">
        <v>2023</v>
      </c>
      <c r="C1934" s="1" t="s">
        <v>2505</v>
      </c>
      <c r="D1934" s="1" t="s">
        <v>2506</v>
      </c>
      <c r="E1934" s="1" t="s">
        <v>2019</v>
      </c>
      <c r="F1934" s="1" t="s">
        <v>194</v>
      </c>
      <c r="G1934" s="6">
        <v>723890</v>
      </c>
      <c r="H1934" t="str">
        <f>IFERROR(VLOOKUP(F1934,'LEAID Match'!$A$2:$B$142,2,FALSE),"")</f>
        <v/>
      </c>
    </row>
    <row r="1935" spans="1:8" x14ac:dyDescent="0.2">
      <c r="A1935" t="str">
        <f t="shared" si="30"/>
        <v/>
      </c>
      <c r="B1935" s="1">
        <v>2024</v>
      </c>
      <c r="C1935" s="1" t="s">
        <v>2505</v>
      </c>
      <c r="D1935" s="1" t="s">
        <v>2506</v>
      </c>
      <c r="E1935" s="1" t="s">
        <v>2019</v>
      </c>
      <c r="F1935" s="1" t="s">
        <v>194</v>
      </c>
      <c r="G1935" s="6">
        <v>733494</v>
      </c>
      <c r="H1935" t="str">
        <f>IFERROR(VLOOKUP(F1935,'LEAID Match'!$A$2:$B$142,2,FALSE),"")</f>
        <v/>
      </c>
    </row>
    <row r="1936" spans="1:8" x14ac:dyDescent="0.2">
      <c r="A1936" t="str">
        <f t="shared" si="30"/>
        <v/>
      </c>
      <c r="B1936" s="1">
        <v>2015</v>
      </c>
      <c r="C1936" s="1" t="s">
        <v>2505</v>
      </c>
      <c r="D1936" s="1" t="s">
        <v>2506</v>
      </c>
      <c r="E1936" s="1" t="s">
        <v>2019</v>
      </c>
      <c r="F1936" s="1" t="s">
        <v>195</v>
      </c>
      <c r="G1936" s="6">
        <v>8026</v>
      </c>
      <c r="H1936" t="str">
        <f>IFERROR(VLOOKUP(F1936,'LEAID Match'!$A$2:$B$142,2,FALSE),"")</f>
        <v/>
      </c>
    </row>
    <row r="1937" spans="1:8" x14ac:dyDescent="0.2">
      <c r="A1937" t="str">
        <f t="shared" si="30"/>
        <v/>
      </c>
      <c r="B1937">
        <v>2016</v>
      </c>
      <c r="C1937" s="1" t="s">
        <v>2505</v>
      </c>
      <c r="D1937" s="1" t="s">
        <v>2506</v>
      </c>
      <c r="E1937" s="1" t="s">
        <v>2019</v>
      </c>
      <c r="F1937" s="1" t="s">
        <v>195</v>
      </c>
      <c r="G1937" s="12">
        <v>15899</v>
      </c>
      <c r="H1937" t="str">
        <f>IFERROR(VLOOKUP(F1937,'LEAID Match'!$A$2:$B$142,2,FALSE),"")</f>
        <v/>
      </c>
    </row>
    <row r="1938" spans="1:8" x14ac:dyDescent="0.2">
      <c r="A1938" t="str">
        <f t="shared" si="30"/>
        <v/>
      </c>
      <c r="B1938" s="1">
        <v>2017</v>
      </c>
      <c r="C1938" s="1" t="s">
        <v>2505</v>
      </c>
      <c r="D1938" s="1" t="s">
        <v>2506</v>
      </c>
      <c r="E1938" s="1" t="s">
        <v>2019</v>
      </c>
      <c r="F1938" s="1" t="s">
        <v>195</v>
      </c>
      <c r="G1938" s="47">
        <v>35389</v>
      </c>
      <c r="H1938" t="str">
        <f>IFERROR(VLOOKUP(F1938,'LEAID Match'!$A$2:$B$142,2,FALSE),"")</f>
        <v/>
      </c>
    </row>
    <row r="1939" spans="1:8" x14ac:dyDescent="0.2">
      <c r="A1939" t="str">
        <f t="shared" si="30"/>
        <v/>
      </c>
      <c r="B1939" s="1">
        <v>2018</v>
      </c>
      <c r="C1939" s="1" t="s">
        <v>2505</v>
      </c>
      <c r="D1939" s="1" t="s">
        <v>2506</v>
      </c>
      <c r="E1939" s="1" t="s">
        <v>2019</v>
      </c>
      <c r="F1939" s="1" t="s">
        <v>195</v>
      </c>
      <c r="G1939" s="6">
        <v>36925</v>
      </c>
      <c r="H1939" t="str">
        <f>IFERROR(VLOOKUP(F1939,'LEAID Match'!$A$2:$B$142,2,FALSE),"")</f>
        <v/>
      </c>
    </row>
    <row r="1940" spans="1:8" x14ac:dyDescent="0.2">
      <c r="A1940" t="str">
        <f t="shared" si="30"/>
        <v/>
      </c>
      <c r="B1940" s="1">
        <v>2019</v>
      </c>
      <c r="C1940" s="1" t="s">
        <v>2505</v>
      </c>
      <c r="D1940" s="1" t="s">
        <v>2506</v>
      </c>
      <c r="E1940" s="1" t="s">
        <v>2019</v>
      </c>
      <c r="F1940" s="1" t="s">
        <v>195</v>
      </c>
      <c r="G1940" s="6">
        <v>38295</v>
      </c>
      <c r="H1940" t="str">
        <f>IFERROR(VLOOKUP(F1940,'LEAID Match'!$A$2:$B$142,2,FALSE),"")</f>
        <v/>
      </c>
    </row>
    <row r="1941" spans="1:8" x14ac:dyDescent="0.2">
      <c r="A1941" t="str">
        <f t="shared" si="30"/>
        <v/>
      </c>
      <c r="B1941" s="1">
        <v>2020</v>
      </c>
      <c r="C1941" s="1" t="s">
        <v>2505</v>
      </c>
      <c r="D1941" s="1" t="s">
        <v>2506</v>
      </c>
      <c r="E1941" s="1" t="s">
        <v>2019</v>
      </c>
      <c r="F1941" s="1" t="s">
        <v>195</v>
      </c>
      <c r="G1941" s="6">
        <v>41458</v>
      </c>
      <c r="H1941" t="str">
        <f>IFERROR(VLOOKUP(F1941,'LEAID Match'!$A$2:$B$142,2,FALSE),"")</f>
        <v/>
      </c>
    </row>
    <row r="1942" spans="1:8" x14ac:dyDescent="0.2">
      <c r="A1942" t="str">
        <f t="shared" si="30"/>
        <v/>
      </c>
      <c r="B1942" s="1">
        <v>2021</v>
      </c>
      <c r="C1942" s="1" t="s">
        <v>2505</v>
      </c>
      <c r="D1942" s="1" t="s">
        <v>2506</v>
      </c>
      <c r="E1942" s="1" t="s">
        <v>2019</v>
      </c>
      <c r="F1942" s="1" t="s">
        <v>195</v>
      </c>
      <c r="G1942" s="6">
        <v>42891</v>
      </c>
      <c r="H1942" t="str">
        <f>IFERROR(VLOOKUP(F1942,'LEAID Match'!$A$2:$B$142,2,FALSE),"")</f>
        <v/>
      </c>
    </row>
    <row r="1943" spans="1:8" x14ac:dyDescent="0.2">
      <c r="A1943" t="str">
        <f t="shared" si="30"/>
        <v/>
      </c>
      <c r="B1943" s="1">
        <v>2022</v>
      </c>
      <c r="C1943" s="1" t="s">
        <v>2505</v>
      </c>
      <c r="D1943" s="1" t="s">
        <v>2506</v>
      </c>
      <c r="E1943" s="1" t="s">
        <v>2019</v>
      </c>
      <c r="F1943" s="1" t="s">
        <v>195</v>
      </c>
      <c r="G1943" s="6">
        <v>47610</v>
      </c>
      <c r="H1943" t="str">
        <f>IFERROR(VLOOKUP(F1943,'LEAID Match'!$A$2:$B$142,2,FALSE),"")</f>
        <v/>
      </c>
    </row>
    <row r="1944" spans="1:8" x14ac:dyDescent="0.2">
      <c r="A1944" t="str">
        <f t="shared" si="30"/>
        <v/>
      </c>
      <c r="B1944" s="1">
        <v>2023</v>
      </c>
      <c r="C1944" s="1" t="s">
        <v>2505</v>
      </c>
      <c r="D1944" s="1" t="s">
        <v>2506</v>
      </c>
      <c r="E1944" s="1" t="s">
        <v>2019</v>
      </c>
      <c r="F1944" s="1" t="s">
        <v>195</v>
      </c>
      <c r="G1944" s="6">
        <v>46435</v>
      </c>
      <c r="H1944" t="str">
        <f>IFERROR(VLOOKUP(F1944,'LEAID Match'!$A$2:$B$142,2,FALSE),"")</f>
        <v/>
      </c>
    </row>
    <row r="1945" spans="1:8" x14ac:dyDescent="0.2">
      <c r="A1945" t="str">
        <f t="shared" si="30"/>
        <v/>
      </c>
      <c r="B1945" s="1">
        <v>2024</v>
      </c>
      <c r="C1945" s="1" t="s">
        <v>2505</v>
      </c>
      <c r="D1945" s="1" t="s">
        <v>2506</v>
      </c>
      <c r="E1945" s="1" t="s">
        <v>2019</v>
      </c>
      <c r="F1945" s="1" t="s">
        <v>195</v>
      </c>
      <c r="G1945" s="6">
        <v>43737</v>
      </c>
      <c r="H1945" t="str">
        <f>IFERROR(VLOOKUP(F1945,'LEAID Match'!$A$2:$B$142,2,FALSE),"")</f>
        <v/>
      </c>
    </row>
    <row r="1946" spans="1:8" x14ac:dyDescent="0.2">
      <c r="A1946" t="str">
        <f t="shared" si="30"/>
        <v/>
      </c>
      <c r="B1946" s="1">
        <v>2015</v>
      </c>
      <c r="C1946" s="1" t="s">
        <v>2505</v>
      </c>
      <c r="D1946" s="1" t="s">
        <v>2506</v>
      </c>
      <c r="E1946" s="1" t="s">
        <v>2019</v>
      </c>
      <c r="F1946" s="1" t="s">
        <v>196</v>
      </c>
      <c r="G1946" s="6">
        <v>27856</v>
      </c>
      <c r="H1946" t="str">
        <f>IFERROR(VLOOKUP(F1946,'LEAID Match'!$A$2:$B$142,2,FALSE),"")</f>
        <v/>
      </c>
    </row>
    <row r="1947" spans="1:8" x14ac:dyDescent="0.2">
      <c r="A1947" t="str">
        <f t="shared" si="30"/>
        <v/>
      </c>
      <c r="B1947">
        <v>2016</v>
      </c>
      <c r="C1947" s="1" t="s">
        <v>2505</v>
      </c>
      <c r="D1947" s="1" t="s">
        <v>2506</v>
      </c>
      <c r="E1947" s="1" t="s">
        <v>2019</v>
      </c>
      <c r="F1947" s="1" t="s">
        <v>196</v>
      </c>
      <c r="G1947" s="12">
        <v>27447</v>
      </c>
      <c r="H1947" t="str">
        <f>IFERROR(VLOOKUP(F1947,'LEAID Match'!$A$2:$B$142,2,FALSE),"")</f>
        <v/>
      </c>
    </row>
    <row r="1948" spans="1:8" x14ac:dyDescent="0.2">
      <c r="A1948" t="str">
        <f t="shared" si="30"/>
        <v/>
      </c>
      <c r="B1948" s="1">
        <v>2017</v>
      </c>
      <c r="C1948" s="1" t="s">
        <v>2505</v>
      </c>
      <c r="D1948" s="1" t="s">
        <v>2506</v>
      </c>
      <c r="E1948" s="1" t="s">
        <v>2019</v>
      </c>
      <c r="F1948" s="1" t="s">
        <v>196</v>
      </c>
      <c r="G1948" s="47">
        <v>26189</v>
      </c>
      <c r="H1948" t="str">
        <f>IFERROR(VLOOKUP(F1948,'LEAID Match'!$A$2:$B$142,2,FALSE),"")</f>
        <v/>
      </c>
    </row>
    <row r="1949" spans="1:8" x14ac:dyDescent="0.2">
      <c r="A1949" t="str">
        <f t="shared" si="30"/>
        <v/>
      </c>
      <c r="B1949" s="1">
        <v>2018</v>
      </c>
      <c r="C1949" s="1" t="s">
        <v>2505</v>
      </c>
      <c r="D1949" s="1" t="s">
        <v>2506</v>
      </c>
      <c r="E1949" s="1" t="s">
        <v>2019</v>
      </c>
      <c r="F1949" s="1" t="s">
        <v>196</v>
      </c>
      <c r="G1949" s="6">
        <v>22764</v>
      </c>
      <c r="H1949" t="str">
        <f>IFERROR(VLOOKUP(F1949,'LEAID Match'!$A$2:$B$142,2,FALSE),"")</f>
        <v/>
      </c>
    </row>
    <row r="1950" spans="1:8" x14ac:dyDescent="0.2">
      <c r="A1950" t="str">
        <f t="shared" si="30"/>
        <v/>
      </c>
      <c r="B1950" s="1">
        <v>2019</v>
      </c>
      <c r="C1950" s="1" t="s">
        <v>2505</v>
      </c>
      <c r="D1950" s="1" t="s">
        <v>2506</v>
      </c>
      <c r="E1950" s="1" t="s">
        <v>2019</v>
      </c>
      <c r="F1950" s="1" t="s">
        <v>196</v>
      </c>
      <c r="G1950" s="6">
        <v>22816</v>
      </c>
      <c r="H1950" t="str">
        <f>IFERROR(VLOOKUP(F1950,'LEAID Match'!$A$2:$B$142,2,FALSE),"")</f>
        <v/>
      </c>
    </row>
    <row r="1951" spans="1:8" x14ac:dyDescent="0.2">
      <c r="A1951" t="str">
        <f t="shared" si="30"/>
        <v/>
      </c>
      <c r="B1951" s="1">
        <v>2020</v>
      </c>
      <c r="C1951" s="1" t="s">
        <v>2505</v>
      </c>
      <c r="D1951" s="1" t="s">
        <v>2506</v>
      </c>
      <c r="E1951" s="1" t="s">
        <v>2019</v>
      </c>
      <c r="F1951" s="1" t="s">
        <v>196</v>
      </c>
      <c r="G1951" s="6">
        <v>25380</v>
      </c>
      <c r="H1951" t="str">
        <f>IFERROR(VLOOKUP(F1951,'LEAID Match'!$A$2:$B$142,2,FALSE),"")</f>
        <v/>
      </c>
    </row>
    <row r="1952" spans="1:8" x14ac:dyDescent="0.2">
      <c r="A1952" t="str">
        <f t="shared" si="30"/>
        <v/>
      </c>
      <c r="B1952" s="1">
        <v>2021</v>
      </c>
      <c r="C1952" s="1" t="s">
        <v>2505</v>
      </c>
      <c r="D1952" s="1" t="s">
        <v>2506</v>
      </c>
      <c r="E1952" s="1" t="s">
        <v>2019</v>
      </c>
      <c r="F1952" s="1" t="s">
        <v>196</v>
      </c>
      <c r="G1952" s="6">
        <v>24520</v>
      </c>
      <c r="H1952" t="str">
        <f>IFERROR(VLOOKUP(F1952,'LEAID Match'!$A$2:$B$142,2,FALSE),"")</f>
        <v/>
      </c>
    </row>
    <row r="1953" spans="1:8" x14ac:dyDescent="0.2">
      <c r="A1953" t="str">
        <f t="shared" si="30"/>
        <v/>
      </c>
      <c r="B1953" s="1">
        <v>2022</v>
      </c>
      <c r="C1953" s="1" t="s">
        <v>2505</v>
      </c>
      <c r="D1953" s="1" t="s">
        <v>2506</v>
      </c>
      <c r="E1953" s="1" t="s">
        <v>2019</v>
      </c>
      <c r="F1953" s="1" t="s">
        <v>196</v>
      </c>
      <c r="G1953" s="6">
        <v>25309</v>
      </c>
      <c r="H1953" t="str">
        <f>IFERROR(VLOOKUP(F1953,'LEAID Match'!$A$2:$B$142,2,FALSE),"")</f>
        <v/>
      </c>
    </row>
    <row r="1954" spans="1:8" x14ac:dyDescent="0.2">
      <c r="A1954" t="str">
        <f t="shared" si="30"/>
        <v/>
      </c>
      <c r="B1954" s="1">
        <v>2023</v>
      </c>
      <c r="C1954" s="1" t="s">
        <v>2505</v>
      </c>
      <c r="D1954" s="1" t="s">
        <v>2506</v>
      </c>
      <c r="E1954" s="1" t="s">
        <v>2019</v>
      </c>
      <c r="F1954" s="1" t="s">
        <v>196</v>
      </c>
      <c r="G1954" s="6">
        <v>25596</v>
      </c>
      <c r="H1954" t="str">
        <f>IFERROR(VLOOKUP(F1954,'LEAID Match'!$A$2:$B$142,2,FALSE),"")</f>
        <v/>
      </c>
    </row>
    <row r="1955" spans="1:8" x14ac:dyDescent="0.2">
      <c r="A1955" t="str">
        <f t="shared" si="30"/>
        <v/>
      </c>
      <c r="B1955" s="1">
        <v>2024</v>
      </c>
      <c r="C1955" s="1" t="s">
        <v>2505</v>
      </c>
      <c r="D1955" s="1" t="s">
        <v>2506</v>
      </c>
      <c r="E1955" s="1" t="s">
        <v>2019</v>
      </c>
      <c r="F1955" s="1" t="s">
        <v>196</v>
      </c>
      <c r="G1955" s="6">
        <v>27642</v>
      </c>
      <c r="H1955" t="str">
        <f>IFERROR(VLOOKUP(F1955,'LEAID Match'!$A$2:$B$142,2,FALSE),"")</f>
        <v/>
      </c>
    </row>
    <row r="1956" spans="1:8" x14ac:dyDescent="0.2">
      <c r="A1956" t="str">
        <f t="shared" si="30"/>
        <v/>
      </c>
      <c r="B1956" s="1">
        <v>2015</v>
      </c>
      <c r="C1956" s="1" t="s">
        <v>2505</v>
      </c>
      <c r="D1956" s="1" t="s">
        <v>2506</v>
      </c>
      <c r="E1956" s="1" t="s">
        <v>2019</v>
      </c>
      <c r="F1956" s="1" t="s">
        <v>197</v>
      </c>
      <c r="G1956" s="6">
        <v>215401</v>
      </c>
      <c r="H1956" t="str">
        <f>IFERROR(VLOOKUP(F1956,'LEAID Match'!$A$2:$B$142,2,FALSE),"")</f>
        <v/>
      </c>
    </row>
    <row r="1957" spans="1:8" x14ac:dyDescent="0.2">
      <c r="A1957" t="str">
        <f t="shared" si="30"/>
        <v/>
      </c>
      <c r="B1957">
        <v>2016</v>
      </c>
      <c r="C1957" s="1" t="s">
        <v>2505</v>
      </c>
      <c r="D1957" s="1" t="s">
        <v>2506</v>
      </c>
      <c r="E1957" s="1" t="s">
        <v>2019</v>
      </c>
      <c r="F1957" s="1" t="s">
        <v>197</v>
      </c>
      <c r="G1957" s="12">
        <v>242611</v>
      </c>
      <c r="H1957" t="str">
        <f>IFERROR(VLOOKUP(F1957,'LEAID Match'!$A$2:$B$142,2,FALSE),"")</f>
        <v/>
      </c>
    </row>
    <row r="1958" spans="1:8" x14ac:dyDescent="0.2">
      <c r="A1958" t="str">
        <f t="shared" si="30"/>
        <v/>
      </c>
      <c r="B1958" s="1">
        <v>2017</v>
      </c>
      <c r="C1958" s="1" t="s">
        <v>2505</v>
      </c>
      <c r="D1958" s="1" t="s">
        <v>2506</v>
      </c>
      <c r="E1958" s="1" t="s">
        <v>2019</v>
      </c>
      <c r="F1958" s="1" t="s">
        <v>197</v>
      </c>
      <c r="G1958" s="47">
        <v>263587</v>
      </c>
      <c r="H1958" t="str">
        <f>IFERROR(VLOOKUP(F1958,'LEAID Match'!$A$2:$B$142,2,FALSE),"")</f>
        <v/>
      </c>
    </row>
    <row r="1959" spans="1:8" x14ac:dyDescent="0.2">
      <c r="A1959" t="str">
        <f t="shared" si="30"/>
        <v/>
      </c>
      <c r="B1959" s="1">
        <v>2018</v>
      </c>
      <c r="C1959" s="1" t="s">
        <v>2505</v>
      </c>
      <c r="D1959" s="1" t="s">
        <v>2506</v>
      </c>
      <c r="E1959" s="1" t="s">
        <v>2019</v>
      </c>
      <c r="F1959" s="1" t="s">
        <v>197</v>
      </c>
      <c r="G1959" s="6">
        <v>249784</v>
      </c>
      <c r="H1959" t="str">
        <f>IFERROR(VLOOKUP(F1959,'LEAID Match'!$A$2:$B$142,2,FALSE),"")</f>
        <v/>
      </c>
    </row>
    <row r="1960" spans="1:8" x14ac:dyDescent="0.2">
      <c r="A1960" t="str">
        <f t="shared" si="30"/>
        <v/>
      </c>
      <c r="B1960" s="1">
        <v>2019</v>
      </c>
      <c r="C1960" s="1" t="s">
        <v>2505</v>
      </c>
      <c r="D1960" s="1" t="s">
        <v>2506</v>
      </c>
      <c r="E1960" s="1" t="s">
        <v>2019</v>
      </c>
      <c r="F1960" s="1" t="s">
        <v>197</v>
      </c>
      <c r="G1960" s="6">
        <v>220237</v>
      </c>
      <c r="H1960" t="str">
        <f>IFERROR(VLOOKUP(F1960,'LEAID Match'!$A$2:$B$142,2,FALSE),"")</f>
        <v/>
      </c>
    </row>
    <row r="1961" spans="1:8" x14ac:dyDescent="0.2">
      <c r="A1961" t="str">
        <f t="shared" si="30"/>
        <v/>
      </c>
      <c r="B1961" s="1">
        <v>2020</v>
      </c>
      <c r="C1961" s="1" t="s">
        <v>2505</v>
      </c>
      <c r="D1961" s="1" t="s">
        <v>2506</v>
      </c>
      <c r="E1961" s="1" t="s">
        <v>2019</v>
      </c>
      <c r="F1961" s="1" t="s">
        <v>197</v>
      </c>
      <c r="G1961" s="6">
        <v>244907</v>
      </c>
      <c r="H1961" t="str">
        <f>IFERROR(VLOOKUP(F1961,'LEAID Match'!$A$2:$B$142,2,FALSE),"")</f>
        <v/>
      </c>
    </row>
    <row r="1962" spans="1:8" x14ac:dyDescent="0.2">
      <c r="A1962" t="str">
        <f t="shared" si="30"/>
        <v/>
      </c>
      <c r="B1962" s="1">
        <v>2021</v>
      </c>
      <c r="C1962" s="1" t="s">
        <v>2505</v>
      </c>
      <c r="D1962" s="1" t="s">
        <v>2506</v>
      </c>
      <c r="E1962" s="1" t="s">
        <v>2019</v>
      </c>
      <c r="F1962" s="1" t="s">
        <v>197</v>
      </c>
      <c r="G1962" s="6">
        <v>235671</v>
      </c>
      <c r="H1962" t="str">
        <f>IFERROR(VLOOKUP(F1962,'LEAID Match'!$A$2:$B$142,2,FALSE),"")</f>
        <v/>
      </c>
    </row>
    <row r="1963" spans="1:8" x14ac:dyDescent="0.2">
      <c r="A1963" t="str">
        <f t="shared" si="30"/>
        <v/>
      </c>
      <c r="B1963" s="1">
        <v>2022</v>
      </c>
      <c r="C1963" s="1" t="s">
        <v>2505</v>
      </c>
      <c r="D1963" s="1" t="s">
        <v>2506</v>
      </c>
      <c r="E1963" s="1" t="s">
        <v>2019</v>
      </c>
      <c r="F1963" s="1" t="s">
        <v>197</v>
      </c>
      <c r="G1963" s="6">
        <v>246645</v>
      </c>
      <c r="H1963" t="str">
        <f>IFERROR(VLOOKUP(F1963,'LEAID Match'!$A$2:$B$142,2,FALSE),"")</f>
        <v/>
      </c>
    </row>
    <row r="1964" spans="1:8" x14ac:dyDescent="0.2">
      <c r="A1964" t="str">
        <f t="shared" si="30"/>
        <v/>
      </c>
      <c r="B1964" s="1">
        <v>2023</v>
      </c>
      <c r="C1964" s="1" t="s">
        <v>2505</v>
      </c>
      <c r="D1964" s="1" t="s">
        <v>2506</v>
      </c>
      <c r="E1964" s="1" t="s">
        <v>2019</v>
      </c>
      <c r="F1964" s="1" t="s">
        <v>197</v>
      </c>
      <c r="G1964" s="6">
        <v>282246</v>
      </c>
      <c r="H1964" t="str">
        <f>IFERROR(VLOOKUP(F1964,'LEAID Match'!$A$2:$B$142,2,FALSE),"")</f>
        <v/>
      </c>
    </row>
    <row r="1965" spans="1:8" x14ac:dyDescent="0.2">
      <c r="A1965" t="str">
        <f t="shared" si="30"/>
        <v/>
      </c>
      <c r="B1965" s="1">
        <v>2024</v>
      </c>
      <c r="C1965" s="1" t="s">
        <v>2505</v>
      </c>
      <c r="D1965" s="1" t="s">
        <v>2506</v>
      </c>
      <c r="E1965" s="1" t="s">
        <v>2019</v>
      </c>
      <c r="F1965" s="1" t="s">
        <v>197</v>
      </c>
      <c r="G1965" s="6">
        <v>311336</v>
      </c>
      <c r="H1965" t="str">
        <f>IFERROR(VLOOKUP(F1965,'LEAID Match'!$A$2:$B$142,2,FALSE),"")</f>
        <v/>
      </c>
    </row>
    <row r="1966" spans="1:8" x14ac:dyDescent="0.2">
      <c r="A1966">
        <f t="shared" si="30"/>
        <v>2801192</v>
      </c>
      <c r="B1966" s="1">
        <v>2015</v>
      </c>
      <c r="C1966" s="1" t="s">
        <v>2505</v>
      </c>
      <c r="D1966" s="1" t="s">
        <v>2506</v>
      </c>
      <c r="E1966" s="1" t="s">
        <v>2019</v>
      </c>
      <c r="F1966" s="1" t="s">
        <v>198</v>
      </c>
      <c r="G1966" s="6">
        <v>5930616</v>
      </c>
      <c r="H1966">
        <f>IFERROR(VLOOKUP(F1966,'LEAID Match'!$A$2:$B$142,2,FALSE),"")</f>
        <v>2801192</v>
      </c>
    </row>
    <row r="1967" spans="1:8" x14ac:dyDescent="0.2">
      <c r="A1967">
        <f t="shared" si="30"/>
        <v>2801192</v>
      </c>
      <c r="B1967">
        <v>2016</v>
      </c>
      <c r="C1967" s="1" t="s">
        <v>2505</v>
      </c>
      <c r="D1967" s="1" t="s">
        <v>2506</v>
      </c>
      <c r="E1967" s="1" t="s">
        <v>2019</v>
      </c>
      <c r="F1967" s="1" t="s">
        <v>198</v>
      </c>
      <c r="G1967" s="12">
        <v>5814139</v>
      </c>
      <c r="H1967">
        <f>IFERROR(VLOOKUP(F1967,'LEAID Match'!$A$2:$B$142,2,FALSE),"")</f>
        <v>2801192</v>
      </c>
    </row>
    <row r="1968" spans="1:8" x14ac:dyDescent="0.2">
      <c r="A1968">
        <f t="shared" si="30"/>
        <v>2801192</v>
      </c>
      <c r="B1968" s="1">
        <v>2017</v>
      </c>
      <c r="C1968" s="1" t="s">
        <v>2505</v>
      </c>
      <c r="D1968" s="1" t="s">
        <v>2506</v>
      </c>
      <c r="E1968" s="1" t="s">
        <v>2019</v>
      </c>
      <c r="F1968" s="1" t="s">
        <v>198</v>
      </c>
      <c r="G1968" s="47">
        <v>5688738</v>
      </c>
      <c r="H1968">
        <f>IFERROR(VLOOKUP(F1968,'LEAID Match'!$A$2:$B$142,2,FALSE),"")</f>
        <v>2801192</v>
      </c>
    </row>
    <row r="1969" spans="1:8" x14ac:dyDescent="0.2">
      <c r="A1969">
        <f t="shared" si="30"/>
        <v>2801192</v>
      </c>
      <c r="B1969" s="1">
        <v>2018</v>
      </c>
      <c r="C1969" s="1" t="s">
        <v>2505</v>
      </c>
      <c r="D1969" s="1" t="s">
        <v>2506</v>
      </c>
      <c r="E1969" s="1" t="s">
        <v>2019</v>
      </c>
      <c r="F1969" s="1" t="s">
        <v>198</v>
      </c>
      <c r="G1969" s="6">
        <v>5258287</v>
      </c>
      <c r="H1969">
        <f>IFERROR(VLOOKUP(F1969,'LEAID Match'!$A$2:$B$142,2,FALSE),"")</f>
        <v>2801192</v>
      </c>
    </row>
    <row r="1970" spans="1:8" x14ac:dyDescent="0.2">
      <c r="A1970">
        <f t="shared" si="30"/>
        <v>2801192</v>
      </c>
      <c r="B1970" s="1">
        <v>2019</v>
      </c>
      <c r="C1970" s="1" t="s">
        <v>2505</v>
      </c>
      <c r="D1970" s="1" t="s">
        <v>2506</v>
      </c>
      <c r="E1970" s="1" t="s">
        <v>2019</v>
      </c>
      <c r="F1970" s="1" t="s">
        <v>198</v>
      </c>
      <c r="G1970" s="6">
        <v>7064159</v>
      </c>
      <c r="H1970">
        <f>IFERROR(VLOOKUP(F1970,'LEAID Match'!$A$2:$B$142,2,FALSE),"")</f>
        <v>2801192</v>
      </c>
    </row>
    <row r="1971" spans="1:8" x14ac:dyDescent="0.2">
      <c r="A1971">
        <f t="shared" si="30"/>
        <v>2801192</v>
      </c>
      <c r="B1971" s="1">
        <v>2020</v>
      </c>
      <c r="C1971" s="1" t="s">
        <v>2505</v>
      </c>
      <c r="D1971" s="1" t="s">
        <v>2506</v>
      </c>
      <c r="E1971" s="1" t="s">
        <v>2019</v>
      </c>
      <c r="F1971" s="1" t="s">
        <v>198</v>
      </c>
      <c r="G1971" s="6">
        <v>7967261</v>
      </c>
      <c r="H1971">
        <f>IFERROR(VLOOKUP(F1971,'LEAID Match'!$A$2:$B$142,2,FALSE),"")</f>
        <v>2801192</v>
      </c>
    </row>
    <row r="1972" spans="1:8" x14ac:dyDescent="0.2">
      <c r="A1972">
        <f t="shared" si="30"/>
        <v>2801192</v>
      </c>
      <c r="B1972" s="1">
        <v>2021</v>
      </c>
      <c r="C1972" s="1" t="s">
        <v>2505</v>
      </c>
      <c r="D1972" s="1" t="s">
        <v>2506</v>
      </c>
      <c r="E1972" s="1" t="s">
        <v>2019</v>
      </c>
      <c r="F1972" s="1" t="s">
        <v>198</v>
      </c>
      <c r="G1972" s="6">
        <v>7301467</v>
      </c>
      <c r="H1972">
        <f>IFERROR(VLOOKUP(F1972,'LEAID Match'!$A$2:$B$142,2,FALSE),"")</f>
        <v>2801192</v>
      </c>
    </row>
    <row r="1973" spans="1:8" x14ac:dyDescent="0.2">
      <c r="A1973">
        <f t="shared" si="30"/>
        <v>2801192</v>
      </c>
      <c r="B1973" s="1">
        <v>2022</v>
      </c>
      <c r="C1973" s="1" t="s">
        <v>2505</v>
      </c>
      <c r="D1973" s="1" t="s">
        <v>2506</v>
      </c>
      <c r="E1973" s="1" t="s">
        <v>2019</v>
      </c>
      <c r="F1973" s="1" t="s">
        <v>198</v>
      </c>
      <c r="G1973" s="6">
        <v>7320761</v>
      </c>
      <c r="H1973">
        <f>IFERROR(VLOOKUP(F1973,'LEAID Match'!$A$2:$B$142,2,FALSE),"")</f>
        <v>2801192</v>
      </c>
    </row>
    <row r="1974" spans="1:8" x14ac:dyDescent="0.2">
      <c r="A1974">
        <f t="shared" si="30"/>
        <v>2801192</v>
      </c>
      <c r="B1974" s="1">
        <v>2023</v>
      </c>
      <c r="C1974" s="1" t="s">
        <v>2505</v>
      </c>
      <c r="D1974" s="1" t="s">
        <v>2506</v>
      </c>
      <c r="E1974" s="1" t="s">
        <v>2019</v>
      </c>
      <c r="F1974" s="1" t="s">
        <v>198</v>
      </c>
      <c r="G1974" s="6">
        <v>7391484</v>
      </c>
      <c r="H1974">
        <f>IFERROR(VLOOKUP(F1974,'LEAID Match'!$A$2:$B$142,2,FALSE),"")</f>
        <v>2801192</v>
      </c>
    </row>
    <row r="1975" spans="1:8" x14ac:dyDescent="0.2">
      <c r="A1975">
        <f t="shared" si="30"/>
        <v>2801192</v>
      </c>
      <c r="B1975" s="1">
        <v>2024</v>
      </c>
      <c r="C1975" s="1" t="s">
        <v>2505</v>
      </c>
      <c r="D1975" s="1" t="s">
        <v>2506</v>
      </c>
      <c r="E1975" s="1" t="s">
        <v>2019</v>
      </c>
      <c r="F1975" s="1" t="s">
        <v>198</v>
      </c>
      <c r="G1975" s="6">
        <v>7852499</v>
      </c>
      <c r="H1975">
        <f>IFERROR(VLOOKUP(F1975,'LEAID Match'!$A$2:$B$142,2,FALSE),"")</f>
        <v>2801192</v>
      </c>
    </row>
    <row r="1976" spans="1:8" x14ac:dyDescent="0.2">
      <c r="A1976" t="str">
        <f t="shared" si="30"/>
        <v/>
      </c>
      <c r="B1976" s="1">
        <v>2015</v>
      </c>
      <c r="C1976" s="1" t="s">
        <v>2505</v>
      </c>
      <c r="D1976" s="1" t="s">
        <v>2506</v>
      </c>
      <c r="E1976" s="1" t="s">
        <v>2019</v>
      </c>
      <c r="F1976" s="1" t="s">
        <v>199</v>
      </c>
      <c r="G1976" s="6">
        <v>947738</v>
      </c>
      <c r="H1976" t="str">
        <f>IFERROR(VLOOKUP(F1976,'LEAID Match'!$A$2:$B$142,2,FALSE),"")</f>
        <v/>
      </c>
    </row>
    <row r="1977" spans="1:8" x14ac:dyDescent="0.2">
      <c r="A1977" t="str">
        <f t="shared" si="30"/>
        <v/>
      </c>
      <c r="B1977">
        <v>2016</v>
      </c>
      <c r="C1977" s="1" t="s">
        <v>2505</v>
      </c>
      <c r="D1977" s="1" t="s">
        <v>2506</v>
      </c>
      <c r="E1977" s="1" t="s">
        <v>2019</v>
      </c>
      <c r="F1977" s="1" t="s">
        <v>199</v>
      </c>
      <c r="G1977" s="12">
        <v>885744</v>
      </c>
      <c r="H1977" t="str">
        <f>IFERROR(VLOOKUP(F1977,'LEAID Match'!$A$2:$B$142,2,FALSE),"")</f>
        <v/>
      </c>
    </row>
    <row r="1978" spans="1:8" x14ac:dyDescent="0.2">
      <c r="A1978" t="str">
        <f t="shared" si="30"/>
        <v/>
      </c>
      <c r="B1978" s="1">
        <v>2017</v>
      </c>
      <c r="C1978" s="1" t="s">
        <v>2505</v>
      </c>
      <c r="D1978" s="1" t="s">
        <v>2506</v>
      </c>
      <c r="E1978" s="1" t="s">
        <v>2019</v>
      </c>
      <c r="F1978" s="1" t="s">
        <v>199</v>
      </c>
      <c r="G1978" s="47">
        <v>900064</v>
      </c>
      <c r="H1978" t="str">
        <f>IFERROR(VLOOKUP(F1978,'LEAID Match'!$A$2:$B$142,2,FALSE),"")</f>
        <v/>
      </c>
    </row>
    <row r="1979" spans="1:8" x14ac:dyDescent="0.2">
      <c r="A1979" t="str">
        <f t="shared" si="30"/>
        <v/>
      </c>
      <c r="B1979" s="1">
        <v>2018</v>
      </c>
      <c r="C1979" s="1" t="s">
        <v>2505</v>
      </c>
      <c r="D1979" s="1" t="s">
        <v>2506</v>
      </c>
      <c r="E1979" s="1" t="s">
        <v>2019</v>
      </c>
      <c r="F1979" s="1" t="s">
        <v>199</v>
      </c>
      <c r="G1979" s="6">
        <v>888212</v>
      </c>
      <c r="H1979" t="str">
        <f>IFERROR(VLOOKUP(F1979,'LEAID Match'!$A$2:$B$142,2,FALSE),"")</f>
        <v/>
      </c>
    </row>
    <row r="1980" spans="1:8" x14ac:dyDescent="0.2">
      <c r="A1980" t="str">
        <f t="shared" si="30"/>
        <v/>
      </c>
      <c r="B1980" s="1">
        <v>2019</v>
      </c>
      <c r="C1980" s="1" t="s">
        <v>2505</v>
      </c>
      <c r="D1980" s="1" t="s">
        <v>2506</v>
      </c>
      <c r="E1980" s="1" t="s">
        <v>2019</v>
      </c>
      <c r="F1980" s="1" t="s">
        <v>199</v>
      </c>
      <c r="G1980" s="6">
        <v>911030</v>
      </c>
      <c r="H1980" t="str">
        <f>IFERROR(VLOOKUP(F1980,'LEAID Match'!$A$2:$B$142,2,FALSE),"")</f>
        <v/>
      </c>
    </row>
    <row r="1981" spans="1:8" x14ac:dyDescent="0.2">
      <c r="A1981" t="str">
        <f t="shared" si="30"/>
        <v/>
      </c>
      <c r="B1981" s="1">
        <v>2020</v>
      </c>
      <c r="C1981" s="1" t="s">
        <v>2505</v>
      </c>
      <c r="D1981" s="1" t="s">
        <v>2506</v>
      </c>
      <c r="E1981" s="1" t="s">
        <v>2019</v>
      </c>
      <c r="F1981" s="1" t="s">
        <v>199</v>
      </c>
      <c r="G1981" s="6">
        <v>1072539</v>
      </c>
      <c r="H1981" t="str">
        <f>IFERROR(VLOOKUP(F1981,'LEAID Match'!$A$2:$B$142,2,FALSE),"")</f>
        <v/>
      </c>
    </row>
    <row r="1982" spans="1:8" x14ac:dyDescent="0.2">
      <c r="A1982" t="str">
        <f t="shared" si="30"/>
        <v/>
      </c>
      <c r="B1982" s="1">
        <v>2021</v>
      </c>
      <c r="C1982" s="1" t="s">
        <v>2505</v>
      </c>
      <c r="D1982" s="1" t="s">
        <v>2506</v>
      </c>
      <c r="E1982" s="1" t="s">
        <v>2019</v>
      </c>
      <c r="F1982" s="1" t="s">
        <v>199</v>
      </c>
      <c r="G1982" s="6">
        <v>1291513</v>
      </c>
      <c r="H1982" t="str">
        <f>IFERROR(VLOOKUP(F1982,'LEAID Match'!$A$2:$B$142,2,FALSE),"")</f>
        <v/>
      </c>
    </row>
    <row r="1983" spans="1:8" x14ac:dyDescent="0.2">
      <c r="A1983" t="str">
        <f t="shared" si="30"/>
        <v/>
      </c>
      <c r="B1983" s="1">
        <v>2022</v>
      </c>
      <c r="C1983" s="1" t="s">
        <v>2505</v>
      </c>
      <c r="D1983" s="1" t="s">
        <v>2506</v>
      </c>
      <c r="E1983" s="1" t="s">
        <v>2019</v>
      </c>
      <c r="F1983" s="1" t="s">
        <v>199</v>
      </c>
      <c r="G1983" s="6">
        <v>1284295</v>
      </c>
      <c r="H1983" t="str">
        <f>IFERROR(VLOOKUP(F1983,'LEAID Match'!$A$2:$B$142,2,FALSE),"")</f>
        <v/>
      </c>
    </row>
    <row r="1984" spans="1:8" x14ac:dyDescent="0.2">
      <c r="A1984" t="str">
        <f t="shared" si="30"/>
        <v/>
      </c>
      <c r="B1984" s="1">
        <v>2023</v>
      </c>
      <c r="C1984" s="1" t="s">
        <v>2505</v>
      </c>
      <c r="D1984" s="1" t="s">
        <v>2506</v>
      </c>
      <c r="E1984" s="1" t="s">
        <v>2019</v>
      </c>
      <c r="F1984" s="1" t="s">
        <v>199</v>
      </c>
      <c r="G1984" s="6">
        <v>1417423</v>
      </c>
      <c r="H1984" t="str">
        <f>IFERROR(VLOOKUP(F1984,'LEAID Match'!$A$2:$B$142,2,FALSE),"")</f>
        <v/>
      </c>
    </row>
    <row r="1985" spans="1:8" x14ac:dyDescent="0.2">
      <c r="A1985" t="str">
        <f t="shared" si="30"/>
        <v/>
      </c>
      <c r="B1985" s="1">
        <v>2024</v>
      </c>
      <c r="C1985" s="1" t="s">
        <v>2505</v>
      </c>
      <c r="D1985" s="1" t="s">
        <v>2506</v>
      </c>
      <c r="E1985" s="1" t="s">
        <v>2019</v>
      </c>
      <c r="F1985" s="1" t="s">
        <v>199</v>
      </c>
      <c r="G1985" s="6">
        <v>1408205</v>
      </c>
      <c r="H1985" t="str">
        <f>IFERROR(VLOOKUP(F1985,'LEAID Match'!$A$2:$B$142,2,FALSE),"")</f>
        <v/>
      </c>
    </row>
    <row r="1986" spans="1:8" x14ac:dyDescent="0.2">
      <c r="A1986" t="str">
        <f t="shared" si="30"/>
        <v/>
      </c>
      <c r="B1986" s="1">
        <v>2015</v>
      </c>
      <c r="C1986" s="1" t="s">
        <v>2505</v>
      </c>
      <c r="D1986" s="1" t="s">
        <v>2506</v>
      </c>
      <c r="E1986" s="1" t="s">
        <v>2019</v>
      </c>
      <c r="F1986" s="1" t="s">
        <v>200</v>
      </c>
      <c r="G1986" s="6">
        <v>62273</v>
      </c>
      <c r="H1986" t="str">
        <f>IFERROR(VLOOKUP(F1986,'LEAID Match'!$A$2:$B$142,2,FALSE),"")</f>
        <v/>
      </c>
    </row>
    <row r="1987" spans="1:8" x14ac:dyDescent="0.2">
      <c r="A1987" t="str">
        <f t="shared" ref="A1987:A2050" si="31">H1987</f>
        <v/>
      </c>
      <c r="B1987">
        <v>2016</v>
      </c>
      <c r="C1987" s="1" t="s">
        <v>2505</v>
      </c>
      <c r="D1987" s="1" t="s">
        <v>2506</v>
      </c>
      <c r="E1987" s="1" t="s">
        <v>2019</v>
      </c>
      <c r="F1987" s="1" t="s">
        <v>200</v>
      </c>
      <c r="G1987" s="12">
        <v>60726</v>
      </c>
      <c r="H1987" t="str">
        <f>IFERROR(VLOOKUP(F1987,'LEAID Match'!$A$2:$B$142,2,FALSE),"")</f>
        <v/>
      </c>
    </row>
    <row r="1988" spans="1:8" x14ac:dyDescent="0.2">
      <c r="A1988" t="str">
        <f t="shared" si="31"/>
        <v/>
      </c>
      <c r="B1988" s="1">
        <v>2017</v>
      </c>
      <c r="C1988" s="1" t="s">
        <v>2505</v>
      </c>
      <c r="D1988" s="1" t="s">
        <v>2506</v>
      </c>
      <c r="E1988" s="1" t="s">
        <v>2019</v>
      </c>
      <c r="F1988" s="1" t="s">
        <v>200</v>
      </c>
      <c r="G1988" s="47">
        <v>62470</v>
      </c>
      <c r="H1988" t="str">
        <f>IFERROR(VLOOKUP(F1988,'LEAID Match'!$A$2:$B$142,2,FALSE),"")</f>
        <v/>
      </c>
    </row>
    <row r="1989" spans="1:8" x14ac:dyDescent="0.2">
      <c r="A1989" t="str">
        <f t="shared" si="31"/>
        <v/>
      </c>
      <c r="B1989" s="1">
        <v>2018</v>
      </c>
      <c r="C1989" s="1" t="s">
        <v>2505</v>
      </c>
      <c r="D1989" s="1" t="s">
        <v>2506</v>
      </c>
      <c r="E1989" s="1" t="s">
        <v>2019</v>
      </c>
      <c r="F1989" s="1" t="s">
        <v>200</v>
      </c>
      <c r="G1989" s="6">
        <v>59220</v>
      </c>
      <c r="H1989" t="str">
        <f>IFERROR(VLOOKUP(F1989,'LEAID Match'!$A$2:$B$142,2,FALSE),"")</f>
        <v/>
      </c>
    </row>
    <row r="1990" spans="1:8" x14ac:dyDescent="0.2">
      <c r="A1990" t="str">
        <f t="shared" si="31"/>
        <v/>
      </c>
      <c r="B1990" s="1">
        <v>2019</v>
      </c>
      <c r="C1990" s="1" t="s">
        <v>2505</v>
      </c>
      <c r="D1990" s="1" t="s">
        <v>2506</v>
      </c>
      <c r="E1990" s="1" t="s">
        <v>2019</v>
      </c>
      <c r="F1990" s="1" t="s">
        <v>200</v>
      </c>
      <c r="G1990" s="6">
        <v>60985</v>
      </c>
      <c r="H1990" t="str">
        <f>IFERROR(VLOOKUP(F1990,'LEAID Match'!$A$2:$B$142,2,FALSE),"")</f>
        <v/>
      </c>
    </row>
    <row r="1991" spans="1:8" x14ac:dyDescent="0.2">
      <c r="A1991" t="str">
        <f t="shared" si="31"/>
        <v/>
      </c>
      <c r="B1991" s="1">
        <v>2020</v>
      </c>
      <c r="C1991" s="1" t="s">
        <v>2505</v>
      </c>
      <c r="D1991" s="1" t="s">
        <v>2506</v>
      </c>
      <c r="E1991" s="1" t="s">
        <v>2019</v>
      </c>
      <c r="F1991" s="1" t="s">
        <v>200</v>
      </c>
      <c r="G1991" s="6">
        <v>76059</v>
      </c>
      <c r="H1991" t="str">
        <f>IFERROR(VLOOKUP(F1991,'LEAID Match'!$A$2:$B$142,2,FALSE),"")</f>
        <v/>
      </c>
    </row>
    <row r="1992" spans="1:8" x14ac:dyDescent="0.2">
      <c r="A1992" t="str">
        <f t="shared" si="31"/>
        <v/>
      </c>
      <c r="B1992" s="1">
        <v>2021</v>
      </c>
      <c r="C1992" s="1" t="s">
        <v>2505</v>
      </c>
      <c r="D1992" s="1" t="s">
        <v>2506</v>
      </c>
      <c r="E1992" s="1" t="s">
        <v>2019</v>
      </c>
      <c r="F1992" s="1" t="s">
        <v>200</v>
      </c>
      <c r="G1992" s="6">
        <v>79740</v>
      </c>
      <c r="H1992" t="str">
        <f>IFERROR(VLOOKUP(F1992,'LEAID Match'!$A$2:$B$142,2,FALSE),"")</f>
        <v/>
      </c>
    </row>
    <row r="1993" spans="1:8" x14ac:dyDescent="0.2">
      <c r="A1993" t="str">
        <f t="shared" si="31"/>
        <v/>
      </c>
      <c r="B1993" s="1">
        <v>2022</v>
      </c>
      <c r="C1993" s="1" t="s">
        <v>2505</v>
      </c>
      <c r="D1993" s="1" t="s">
        <v>2506</v>
      </c>
      <c r="E1993" s="1" t="s">
        <v>2019</v>
      </c>
      <c r="F1993" s="1" t="s">
        <v>200</v>
      </c>
      <c r="G1993" s="6">
        <v>74580</v>
      </c>
      <c r="H1993" t="str">
        <f>IFERROR(VLOOKUP(F1993,'LEAID Match'!$A$2:$B$142,2,FALSE),"")</f>
        <v/>
      </c>
    </row>
    <row r="1994" spans="1:8" x14ac:dyDescent="0.2">
      <c r="A1994" t="str">
        <f t="shared" si="31"/>
        <v/>
      </c>
      <c r="B1994" s="1">
        <v>2023</v>
      </c>
      <c r="C1994" s="1" t="s">
        <v>2505</v>
      </c>
      <c r="D1994" s="1" t="s">
        <v>2506</v>
      </c>
      <c r="E1994" s="1" t="s">
        <v>2019</v>
      </c>
      <c r="F1994" s="1" t="s">
        <v>200</v>
      </c>
      <c r="G1994" s="6">
        <v>79123</v>
      </c>
      <c r="H1994" t="str">
        <f>IFERROR(VLOOKUP(F1994,'LEAID Match'!$A$2:$B$142,2,FALSE),"")</f>
        <v/>
      </c>
    </row>
    <row r="1995" spans="1:8" x14ac:dyDescent="0.2">
      <c r="A1995" t="str">
        <f t="shared" si="31"/>
        <v/>
      </c>
      <c r="B1995" s="1">
        <v>2024</v>
      </c>
      <c r="C1995" s="1" t="s">
        <v>2505</v>
      </c>
      <c r="D1995" s="1" t="s">
        <v>2506</v>
      </c>
      <c r="E1995" s="1" t="s">
        <v>2019</v>
      </c>
      <c r="F1995" s="1" t="s">
        <v>200</v>
      </c>
      <c r="G1995" s="6">
        <v>63546</v>
      </c>
      <c r="H1995" t="str">
        <f>IFERROR(VLOOKUP(F1995,'LEAID Match'!$A$2:$B$142,2,FALSE),"")</f>
        <v/>
      </c>
    </row>
    <row r="1996" spans="1:8" x14ac:dyDescent="0.2">
      <c r="A1996">
        <f t="shared" si="31"/>
        <v>2801440</v>
      </c>
      <c r="B1996" s="1">
        <v>2015</v>
      </c>
      <c r="C1996" s="1" t="s">
        <v>2505</v>
      </c>
      <c r="D1996" s="1" t="s">
        <v>2506</v>
      </c>
      <c r="E1996" s="1" t="s">
        <v>2019</v>
      </c>
      <c r="F1996" s="1" t="s">
        <v>201</v>
      </c>
      <c r="G1996" s="6">
        <v>704327</v>
      </c>
      <c r="H1996">
        <f>IFERROR(VLOOKUP(F1996,'LEAID Match'!$A$2:$B$142,2,FALSE),"")</f>
        <v>2801440</v>
      </c>
    </row>
    <row r="1997" spans="1:8" x14ac:dyDescent="0.2">
      <c r="A1997">
        <f t="shared" si="31"/>
        <v>2801440</v>
      </c>
      <c r="B1997">
        <v>2016</v>
      </c>
      <c r="C1997" s="1" t="s">
        <v>2505</v>
      </c>
      <c r="D1997" s="1" t="s">
        <v>2506</v>
      </c>
      <c r="E1997" s="1" t="s">
        <v>2019</v>
      </c>
      <c r="F1997" s="1" t="s">
        <v>201</v>
      </c>
      <c r="G1997" s="12">
        <v>733577</v>
      </c>
      <c r="H1997">
        <f>IFERROR(VLOOKUP(F1997,'LEAID Match'!$A$2:$B$142,2,FALSE),"")</f>
        <v>2801440</v>
      </c>
    </row>
    <row r="1998" spans="1:8" x14ac:dyDescent="0.2">
      <c r="A1998">
        <f t="shared" si="31"/>
        <v>2801440</v>
      </c>
      <c r="B1998" s="1">
        <v>2017</v>
      </c>
      <c r="C1998" s="1" t="s">
        <v>2505</v>
      </c>
      <c r="D1998" s="1" t="s">
        <v>2506</v>
      </c>
      <c r="E1998" s="1" t="s">
        <v>2019</v>
      </c>
      <c r="F1998" s="1" t="s">
        <v>201</v>
      </c>
      <c r="G1998" s="47">
        <v>772433</v>
      </c>
      <c r="H1998">
        <f>IFERROR(VLOOKUP(F1998,'LEAID Match'!$A$2:$B$142,2,FALSE),"")</f>
        <v>2801440</v>
      </c>
    </row>
    <row r="1999" spans="1:8" x14ac:dyDescent="0.2">
      <c r="A1999">
        <f t="shared" si="31"/>
        <v>2801440</v>
      </c>
      <c r="B1999" s="1">
        <v>2018</v>
      </c>
      <c r="C1999" s="1" t="s">
        <v>2505</v>
      </c>
      <c r="D1999" s="1" t="s">
        <v>2506</v>
      </c>
      <c r="E1999" s="1" t="s">
        <v>2019</v>
      </c>
      <c r="F1999" s="1" t="s">
        <v>201</v>
      </c>
      <c r="G1999" s="6">
        <v>757058</v>
      </c>
      <c r="H1999">
        <f>IFERROR(VLOOKUP(F1999,'LEAID Match'!$A$2:$B$142,2,FALSE),"")</f>
        <v>2801440</v>
      </c>
    </row>
    <row r="2000" spans="1:8" x14ac:dyDescent="0.2">
      <c r="A2000">
        <f t="shared" si="31"/>
        <v>2801440</v>
      </c>
      <c r="B2000" s="1">
        <v>2019</v>
      </c>
      <c r="C2000" s="1" t="s">
        <v>2505</v>
      </c>
      <c r="D2000" s="1" t="s">
        <v>2506</v>
      </c>
      <c r="E2000" s="1" t="s">
        <v>2019</v>
      </c>
      <c r="F2000" s="1" t="s">
        <v>201</v>
      </c>
      <c r="G2000" s="6">
        <v>761490</v>
      </c>
      <c r="H2000">
        <f>IFERROR(VLOOKUP(F2000,'LEAID Match'!$A$2:$B$142,2,FALSE),"")</f>
        <v>2801440</v>
      </c>
    </row>
    <row r="2001" spans="1:8" x14ac:dyDescent="0.2">
      <c r="A2001">
        <f t="shared" si="31"/>
        <v>2801440</v>
      </c>
      <c r="B2001" s="1">
        <v>2020</v>
      </c>
      <c r="C2001" s="1" t="s">
        <v>2505</v>
      </c>
      <c r="D2001" s="1" t="s">
        <v>2506</v>
      </c>
      <c r="E2001" s="1" t="s">
        <v>2019</v>
      </c>
      <c r="F2001" s="1" t="s">
        <v>201</v>
      </c>
      <c r="G2001" s="6">
        <v>890803</v>
      </c>
      <c r="H2001">
        <f>IFERROR(VLOOKUP(F2001,'LEAID Match'!$A$2:$B$142,2,FALSE),"")</f>
        <v>2801440</v>
      </c>
    </row>
    <row r="2002" spans="1:8" x14ac:dyDescent="0.2">
      <c r="A2002">
        <f t="shared" si="31"/>
        <v>2801440</v>
      </c>
      <c r="B2002" s="1">
        <v>2021</v>
      </c>
      <c r="C2002" s="1" t="s">
        <v>2505</v>
      </c>
      <c r="D2002" s="1" t="s">
        <v>2506</v>
      </c>
      <c r="E2002" s="1" t="s">
        <v>2019</v>
      </c>
      <c r="F2002" s="1" t="s">
        <v>201</v>
      </c>
      <c r="G2002" s="6">
        <v>905955</v>
      </c>
      <c r="H2002">
        <f>IFERROR(VLOOKUP(F2002,'LEAID Match'!$A$2:$B$142,2,FALSE),"")</f>
        <v>2801440</v>
      </c>
    </row>
    <row r="2003" spans="1:8" x14ac:dyDescent="0.2">
      <c r="A2003">
        <f t="shared" si="31"/>
        <v>2801440</v>
      </c>
      <c r="B2003" s="1">
        <v>2022</v>
      </c>
      <c r="C2003" s="1" t="s">
        <v>2505</v>
      </c>
      <c r="D2003" s="1" t="s">
        <v>2506</v>
      </c>
      <c r="E2003" s="1" t="s">
        <v>2019</v>
      </c>
      <c r="F2003" s="1" t="s">
        <v>201</v>
      </c>
      <c r="G2003" s="6">
        <v>949058</v>
      </c>
      <c r="H2003">
        <f>IFERROR(VLOOKUP(F2003,'LEAID Match'!$A$2:$B$142,2,FALSE),"")</f>
        <v>2801440</v>
      </c>
    </row>
    <row r="2004" spans="1:8" x14ac:dyDescent="0.2">
      <c r="A2004">
        <f t="shared" si="31"/>
        <v>2801440</v>
      </c>
      <c r="B2004" s="1">
        <v>2023</v>
      </c>
      <c r="C2004" s="1" t="s">
        <v>2505</v>
      </c>
      <c r="D2004" s="1" t="s">
        <v>2506</v>
      </c>
      <c r="E2004" s="1" t="s">
        <v>2019</v>
      </c>
      <c r="F2004" s="1" t="s">
        <v>201</v>
      </c>
      <c r="G2004" s="6">
        <v>1100908</v>
      </c>
      <c r="H2004">
        <f>IFERROR(VLOOKUP(F2004,'LEAID Match'!$A$2:$B$142,2,FALSE),"")</f>
        <v>2801440</v>
      </c>
    </row>
    <row r="2005" spans="1:8" x14ac:dyDescent="0.2">
      <c r="A2005">
        <f t="shared" si="31"/>
        <v>2801440</v>
      </c>
      <c r="B2005" s="1">
        <v>2024</v>
      </c>
      <c r="C2005" s="1" t="s">
        <v>2505</v>
      </c>
      <c r="D2005" s="1" t="s">
        <v>2506</v>
      </c>
      <c r="E2005" s="1" t="s">
        <v>2019</v>
      </c>
      <c r="F2005" s="1" t="s">
        <v>201</v>
      </c>
      <c r="G2005" s="6">
        <v>1132574</v>
      </c>
      <c r="H2005">
        <f>IFERROR(VLOOKUP(F2005,'LEAID Match'!$A$2:$B$142,2,FALSE),"")</f>
        <v>2801440</v>
      </c>
    </row>
    <row r="2006" spans="1:8" x14ac:dyDescent="0.2">
      <c r="A2006" t="str">
        <f t="shared" si="31"/>
        <v/>
      </c>
      <c r="B2006" s="1">
        <v>2015</v>
      </c>
      <c r="C2006" s="1" t="s">
        <v>2505</v>
      </c>
      <c r="D2006" s="1" t="s">
        <v>2506</v>
      </c>
      <c r="E2006" s="1" t="s">
        <v>2019</v>
      </c>
      <c r="F2006" s="1" t="s">
        <v>202</v>
      </c>
      <c r="G2006" s="6">
        <v>27026</v>
      </c>
      <c r="H2006" t="str">
        <f>IFERROR(VLOOKUP(F2006,'LEAID Match'!$A$2:$B$142,2,FALSE),"")</f>
        <v/>
      </c>
    </row>
    <row r="2007" spans="1:8" x14ac:dyDescent="0.2">
      <c r="A2007" t="str">
        <f t="shared" si="31"/>
        <v/>
      </c>
      <c r="B2007">
        <v>2016</v>
      </c>
      <c r="C2007" s="1" t="s">
        <v>2505</v>
      </c>
      <c r="D2007" s="1" t="s">
        <v>2506</v>
      </c>
      <c r="E2007" s="1" t="s">
        <v>2019</v>
      </c>
      <c r="F2007" s="1" t="s">
        <v>202</v>
      </c>
      <c r="G2007" s="12">
        <v>27071</v>
      </c>
      <c r="H2007" t="str">
        <f>IFERROR(VLOOKUP(F2007,'LEAID Match'!$A$2:$B$142,2,FALSE),"")</f>
        <v/>
      </c>
    </row>
    <row r="2008" spans="1:8" x14ac:dyDescent="0.2">
      <c r="A2008" t="str">
        <f t="shared" si="31"/>
        <v/>
      </c>
      <c r="B2008" s="1">
        <v>2017</v>
      </c>
      <c r="C2008" s="1" t="s">
        <v>2505</v>
      </c>
      <c r="D2008" s="1" t="s">
        <v>2506</v>
      </c>
      <c r="E2008" s="1" t="s">
        <v>2019</v>
      </c>
      <c r="F2008" s="1" t="s">
        <v>202</v>
      </c>
      <c r="G2008" s="47">
        <v>30179</v>
      </c>
      <c r="H2008" t="str">
        <f>IFERROR(VLOOKUP(F2008,'LEAID Match'!$A$2:$B$142,2,FALSE),"")</f>
        <v/>
      </c>
    </row>
    <row r="2009" spans="1:8" x14ac:dyDescent="0.2">
      <c r="A2009" t="str">
        <f t="shared" si="31"/>
        <v/>
      </c>
      <c r="B2009" s="1">
        <v>2018</v>
      </c>
      <c r="C2009" s="1" t="s">
        <v>2505</v>
      </c>
      <c r="D2009" s="1" t="s">
        <v>2506</v>
      </c>
      <c r="E2009" s="1" t="s">
        <v>2019</v>
      </c>
      <c r="F2009" s="1" t="s">
        <v>202</v>
      </c>
      <c r="G2009" s="6">
        <v>28459</v>
      </c>
      <c r="H2009" t="str">
        <f>IFERROR(VLOOKUP(F2009,'LEAID Match'!$A$2:$B$142,2,FALSE),"")</f>
        <v/>
      </c>
    </row>
    <row r="2010" spans="1:8" x14ac:dyDescent="0.2">
      <c r="A2010" t="str">
        <f t="shared" si="31"/>
        <v/>
      </c>
      <c r="B2010" s="1">
        <v>2019</v>
      </c>
      <c r="C2010" s="1" t="s">
        <v>2505</v>
      </c>
      <c r="D2010" s="1" t="s">
        <v>2506</v>
      </c>
      <c r="E2010" s="1" t="s">
        <v>2019</v>
      </c>
      <c r="F2010" s="1" t="s">
        <v>202</v>
      </c>
      <c r="G2010" s="6">
        <v>25933</v>
      </c>
      <c r="H2010" t="str">
        <f>IFERROR(VLOOKUP(F2010,'LEAID Match'!$A$2:$B$142,2,FALSE),"")</f>
        <v/>
      </c>
    </row>
    <row r="2011" spans="1:8" x14ac:dyDescent="0.2">
      <c r="A2011" t="str">
        <f t="shared" si="31"/>
        <v/>
      </c>
      <c r="B2011" s="1">
        <v>2020</v>
      </c>
      <c r="C2011" s="1" t="s">
        <v>2505</v>
      </c>
      <c r="D2011" s="1" t="s">
        <v>2506</v>
      </c>
      <c r="E2011" s="1" t="s">
        <v>2019</v>
      </c>
      <c r="F2011" s="1" t="s">
        <v>202</v>
      </c>
      <c r="G2011" s="6">
        <v>30265</v>
      </c>
      <c r="H2011" t="str">
        <f>IFERROR(VLOOKUP(F2011,'LEAID Match'!$A$2:$B$142,2,FALSE),"")</f>
        <v/>
      </c>
    </row>
    <row r="2012" spans="1:8" x14ac:dyDescent="0.2">
      <c r="A2012" t="str">
        <f t="shared" si="31"/>
        <v/>
      </c>
      <c r="B2012" s="1">
        <v>2021</v>
      </c>
      <c r="C2012" s="1" t="s">
        <v>2505</v>
      </c>
      <c r="D2012" s="1" t="s">
        <v>2506</v>
      </c>
      <c r="E2012" s="1" t="s">
        <v>2019</v>
      </c>
      <c r="F2012" s="1" t="s">
        <v>202</v>
      </c>
      <c r="G2012" s="6">
        <v>30106</v>
      </c>
      <c r="H2012" t="str">
        <f>IFERROR(VLOOKUP(F2012,'LEAID Match'!$A$2:$B$142,2,FALSE),"")</f>
        <v/>
      </c>
    </row>
    <row r="2013" spans="1:8" x14ac:dyDescent="0.2">
      <c r="A2013" t="str">
        <f t="shared" si="31"/>
        <v/>
      </c>
      <c r="B2013" s="1">
        <v>2022</v>
      </c>
      <c r="C2013" s="1" t="s">
        <v>2505</v>
      </c>
      <c r="D2013" s="1" t="s">
        <v>2506</v>
      </c>
      <c r="E2013" s="1" t="s">
        <v>2019</v>
      </c>
      <c r="F2013" s="1" t="s">
        <v>202</v>
      </c>
      <c r="G2013" s="6">
        <v>36100</v>
      </c>
      <c r="H2013" t="str">
        <f>IFERROR(VLOOKUP(F2013,'LEAID Match'!$A$2:$B$142,2,FALSE),"")</f>
        <v/>
      </c>
    </row>
    <row r="2014" spans="1:8" x14ac:dyDescent="0.2">
      <c r="A2014" t="str">
        <f t="shared" si="31"/>
        <v/>
      </c>
      <c r="B2014" s="1">
        <v>2023</v>
      </c>
      <c r="C2014" s="1" t="s">
        <v>2505</v>
      </c>
      <c r="D2014" s="1" t="s">
        <v>2506</v>
      </c>
      <c r="E2014" s="1" t="s">
        <v>2019</v>
      </c>
      <c r="F2014" s="1" t="s">
        <v>202</v>
      </c>
      <c r="G2014" s="6">
        <v>40308</v>
      </c>
      <c r="H2014" t="str">
        <f>IFERROR(VLOOKUP(F2014,'LEAID Match'!$A$2:$B$142,2,FALSE),"")</f>
        <v/>
      </c>
    </row>
    <row r="2015" spans="1:8" x14ac:dyDescent="0.2">
      <c r="A2015" t="str">
        <f t="shared" si="31"/>
        <v/>
      </c>
      <c r="B2015" s="1">
        <v>2024</v>
      </c>
      <c r="C2015" s="1" t="s">
        <v>2505</v>
      </c>
      <c r="D2015" s="1" t="s">
        <v>2506</v>
      </c>
      <c r="E2015" s="1" t="s">
        <v>2019</v>
      </c>
      <c r="F2015" s="1" t="s">
        <v>202</v>
      </c>
      <c r="G2015" s="6">
        <v>38735</v>
      </c>
      <c r="H2015" t="str">
        <f>IFERROR(VLOOKUP(F2015,'LEAID Match'!$A$2:$B$142,2,FALSE),"")</f>
        <v/>
      </c>
    </row>
    <row r="2016" spans="1:8" x14ac:dyDescent="0.2">
      <c r="A2016" t="str">
        <f t="shared" si="31"/>
        <v/>
      </c>
      <c r="B2016" s="1">
        <v>2015</v>
      </c>
      <c r="C2016" s="1" t="s">
        <v>2505</v>
      </c>
      <c r="D2016" s="1" t="s">
        <v>2506</v>
      </c>
      <c r="E2016" s="1" t="s">
        <v>2019</v>
      </c>
      <c r="F2016" s="1" t="s">
        <v>203</v>
      </c>
      <c r="G2016" s="6">
        <v>4440</v>
      </c>
      <c r="H2016" t="str">
        <f>IFERROR(VLOOKUP(F2016,'LEAID Match'!$A$2:$B$142,2,FALSE),"")</f>
        <v/>
      </c>
    </row>
    <row r="2017" spans="1:8" x14ac:dyDescent="0.2">
      <c r="A2017" t="str">
        <f t="shared" si="31"/>
        <v/>
      </c>
      <c r="B2017">
        <v>2016</v>
      </c>
      <c r="C2017" s="1" t="s">
        <v>2505</v>
      </c>
      <c r="D2017" s="1" t="s">
        <v>2506</v>
      </c>
      <c r="E2017" s="1" t="s">
        <v>2019</v>
      </c>
      <c r="F2017" s="1" t="s">
        <v>203</v>
      </c>
      <c r="G2017" s="12">
        <v>6157</v>
      </c>
      <c r="H2017" t="str">
        <f>IFERROR(VLOOKUP(F2017,'LEAID Match'!$A$2:$B$142,2,FALSE),"")</f>
        <v/>
      </c>
    </row>
    <row r="2018" spans="1:8" x14ac:dyDescent="0.2">
      <c r="A2018" t="str">
        <f t="shared" si="31"/>
        <v/>
      </c>
      <c r="B2018" s="1">
        <v>2017</v>
      </c>
      <c r="C2018" s="1" t="s">
        <v>2505</v>
      </c>
      <c r="D2018" s="1" t="s">
        <v>2506</v>
      </c>
      <c r="E2018" s="1" t="s">
        <v>2019</v>
      </c>
      <c r="F2018" s="1" t="s">
        <v>203</v>
      </c>
      <c r="G2018" s="47">
        <v>7221</v>
      </c>
      <c r="H2018" t="str">
        <f>IFERROR(VLOOKUP(F2018,'LEAID Match'!$A$2:$B$142,2,FALSE),"")</f>
        <v/>
      </c>
    </row>
    <row r="2019" spans="1:8" x14ac:dyDescent="0.2">
      <c r="A2019" t="str">
        <f t="shared" si="31"/>
        <v/>
      </c>
      <c r="B2019" s="1">
        <v>2018</v>
      </c>
      <c r="C2019" s="1" t="s">
        <v>2505</v>
      </c>
      <c r="D2019" s="1" t="s">
        <v>2506</v>
      </c>
      <c r="E2019" s="1" t="s">
        <v>2019</v>
      </c>
      <c r="F2019" s="1" t="s">
        <v>203</v>
      </c>
      <c r="G2019" s="6">
        <v>7684</v>
      </c>
      <c r="H2019" t="str">
        <f>IFERROR(VLOOKUP(F2019,'LEAID Match'!$A$2:$B$142,2,FALSE),"")</f>
        <v/>
      </c>
    </row>
    <row r="2020" spans="1:8" x14ac:dyDescent="0.2">
      <c r="A2020" t="str">
        <f t="shared" si="31"/>
        <v/>
      </c>
      <c r="B2020" s="1">
        <v>2019</v>
      </c>
      <c r="C2020" s="1" t="s">
        <v>2505</v>
      </c>
      <c r="D2020" s="1" t="s">
        <v>2506</v>
      </c>
      <c r="E2020" s="1" t="s">
        <v>2019</v>
      </c>
      <c r="F2020" s="1" t="s">
        <v>203</v>
      </c>
      <c r="G2020" s="6">
        <v>6627</v>
      </c>
      <c r="H2020" t="str">
        <f>IFERROR(VLOOKUP(F2020,'LEAID Match'!$A$2:$B$142,2,FALSE),"")</f>
        <v/>
      </c>
    </row>
    <row r="2021" spans="1:8" x14ac:dyDescent="0.2">
      <c r="A2021" t="str">
        <f t="shared" si="31"/>
        <v/>
      </c>
      <c r="B2021" s="1">
        <v>2020</v>
      </c>
      <c r="C2021" s="1" t="s">
        <v>2505</v>
      </c>
      <c r="D2021" s="1" t="s">
        <v>2506</v>
      </c>
      <c r="E2021" s="1" t="s">
        <v>2019</v>
      </c>
      <c r="F2021" s="1" t="s">
        <v>203</v>
      </c>
      <c r="G2021" s="6">
        <v>3278</v>
      </c>
      <c r="H2021" t="str">
        <f>IFERROR(VLOOKUP(F2021,'LEAID Match'!$A$2:$B$142,2,FALSE),"")</f>
        <v/>
      </c>
    </row>
    <row r="2022" spans="1:8" x14ac:dyDescent="0.2">
      <c r="A2022" t="str">
        <f t="shared" si="31"/>
        <v/>
      </c>
      <c r="B2022" s="1">
        <v>2021</v>
      </c>
      <c r="C2022" s="1" t="s">
        <v>2505</v>
      </c>
      <c r="D2022" s="1" t="s">
        <v>2506</v>
      </c>
      <c r="E2022" s="1" t="s">
        <v>2019</v>
      </c>
      <c r="F2022" s="1" t="s">
        <v>203</v>
      </c>
      <c r="G2022" s="6">
        <v>3241</v>
      </c>
      <c r="H2022" t="str">
        <f>IFERROR(VLOOKUP(F2022,'LEAID Match'!$A$2:$B$142,2,FALSE),"")</f>
        <v/>
      </c>
    </row>
    <row r="2023" spans="1:8" x14ac:dyDescent="0.2">
      <c r="A2023" t="str">
        <f t="shared" si="31"/>
        <v/>
      </c>
      <c r="B2023" s="1">
        <v>2022</v>
      </c>
      <c r="C2023" s="1" t="s">
        <v>2505</v>
      </c>
      <c r="D2023" s="1" t="s">
        <v>2506</v>
      </c>
      <c r="E2023" s="1" t="s">
        <v>2019</v>
      </c>
      <c r="F2023" s="1" t="s">
        <v>203</v>
      </c>
      <c r="G2023" s="6">
        <v>4050</v>
      </c>
      <c r="H2023" t="str">
        <f>IFERROR(VLOOKUP(F2023,'LEAID Match'!$A$2:$B$142,2,FALSE),"")</f>
        <v/>
      </c>
    </row>
    <row r="2024" spans="1:8" x14ac:dyDescent="0.2">
      <c r="A2024" t="str">
        <f t="shared" si="31"/>
        <v/>
      </c>
      <c r="B2024" s="1">
        <v>2023</v>
      </c>
      <c r="C2024" s="1" t="s">
        <v>2505</v>
      </c>
      <c r="D2024" s="1" t="s">
        <v>2506</v>
      </c>
      <c r="E2024" s="1" t="s">
        <v>2019</v>
      </c>
      <c r="F2024" s="1" t="s">
        <v>203</v>
      </c>
      <c r="G2024" s="6">
        <v>4453</v>
      </c>
      <c r="H2024" t="str">
        <f>IFERROR(VLOOKUP(F2024,'LEAID Match'!$A$2:$B$142,2,FALSE),"")</f>
        <v/>
      </c>
    </row>
    <row r="2025" spans="1:8" x14ac:dyDescent="0.2">
      <c r="A2025" t="str">
        <f t="shared" si="31"/>
        <v/>
      </c>
      <c r="B2025" s="1">
        <v>2024</v>
      </c>
      <c r="C2025" s="1" t="s">
        <v>2505</v>
      </c>
      <c r="D2025" s="1" t="s">
        <v>2506</v>
      </c>
      <c r="E2025" s="1" t="s">
        <v>2019</v>
      </c>
      <c r="F2025" s="1" t="s">
        <v>203</v>
      </c>
      <c r="G2025" s="6">
        <v>6052</v>
      </c>
      <c r="H2025" t="str">
        <f>IFERROR(VLOOKUP(F2025,'LEAID Match'!$A$2:$B$142,2,FALSE),"")</f>
        <v/>
      </c>
    </row>
    <row r="2026" spans="1:8" x14ac:dyDescent="0.2">
      <c r="A2026" t="str">
        <f t="shared" si="31"/>
        <v/>
      </c>
      <c r="B2026" s="1">
        <v>2015</v>
      </c>
      <c r="C2026" s="1" t="s">
        <v>2505</v>
      </c>
      <c r="D2026" s="1" t="s">
        <v>2506</v>
      </c>
      <c r="E2026" s="1" t="s">
        <v>2019</v>
      </c>
      <c r="F2026" s="1" t="s">
        <v>204</v>
      </c>
      <c r="G2026" s="6">
        <v>58989</v>
      </c>
      <c r="H2026" t="str">
        <f>IFERROR(VLOOKUP(F2026,'LEAID Match'!$A$2:$B$142,2,FALSE),"")</f>
        <v/>
      </c>
    </row>
    <row r="2027" spans="1:8" x14ac:dyDescent="0.2">
      <c r="A2027" t="str">
        <f t="shared" si="31"/>
        <v/>
      </c>
      <c r="B2027">
        <v>2016</v>
      </c>
      <c r="C2027" s="1" t="s">
        <v>2505</v>
      </c>
      <c r="D2027" s="1" t="s">
        <v>2506</v>
      </c>
      <c r="E2027" s="1" t="s">
        <v>2019</v>
      </c>
      <c r="F2027" s="1" t="s">
        <v>204</v>
      </c>
      <c r="G2027" s="12">
        <v>61049</v>
      </c>
      <c r="H2027" t="str">
        <f>IFERROR(VLOOKUP(F2027,'LEAID Match'!$A$2:$B$142,2,FALSE),"")</f>
        <v/>
      </c>
    </row>
    <row r="2028" spans="1:8" x14ac:dyDescent="0.2">
      <c r="A2028" t="str">
        <f t="shared" si="31"/>
        <v/>
      </c>
      <c r="B2028" s="1">
        <v>2017</v>
      </c>
      <c r="C2028" s="1" t="s">
        <v>2505</v>
      </c>
      <c r="D2028" s="1" t="s">
        <v>2506</v>
      </c>
      <c r="E2028" s="1" t="s">
        <v>2019</v>
      </c>
      <c r="F2028" s="1" t="s">
        <v>204</v>
      </c>
      <c r="G2028" s="47">
        <v>61474</v>
      </c>
      <c r="H2028" t="str">
        <f>IFERROR(VLOOKUP(F2028,'LEAID Match'!$A$2:$B$142,2,FALSE),"")</f>
        <v/>
      </c>
    </row>
    <row r="2029" spans="1:8" x14ac:dyDescent="0.2">
      <c r="A2029" t="str">
        <f t="shared" si="31"/>
        <v/>
      </c>
      <c r="B2029" s="1">
        <v>2018</v>
      </c>
      <c r="C2029" s="1" t="s">
        <v>2505</v>
      </c>
      <c r="D2029" s="1" t="s">
        <v>2506</v>
      </c>
      <c r="E2029" s="1" t="s">
        <v>2019</v>
      </c>
      <c r="F2029" s="1" t="s">
        <v>204</v>
      </c>
      <c r="G2029" s="6">
        <v>52171</v>
      </c>
      <c r="H2029" t="str">
        <f>IFERROR(VLOOKUP(F2029,'LEAID Match'!$A$2:$B$142,2,FALSE),"")</f>
        <v/>
      </c>
    </row>
    <row r="2030" spans="1:8" x14ac:dyDescent="0.2">
      <c r="A2030" t="str">
        <f t="shared" si="31"/>
        <v/>
      </c>
      <c r="B2030" s="1">
        <v>2019</v>
      </c>
      <c r="C2030" s="1" t="s">
        <v>2505</v>
      </c>
      <c r="D2030" s="1" t="s">
        <v>2506</v>
      </c>
      <c r="E2030" s="1" t="s">
        <v>2019</v>
      </c>
      <c r="F2030" s="1" t="s">
        <v>204</v>
      </c>
      <c r="G2030" s="6">
        <v>61365</v>
      </c>
      <c r="H2030" t="str">
        <f>IFERROR(VLOOKUP(F2030,'LEAID Match'!$A$2:$B$142,2,FALSE),"")</f>
        <v/>
      </c>
    </row>
    <row r="2031" spans="1:8" x14ac:dyDescent="0.2">
      <c r="A2031" t="str">
        <f t="shared" si="31"/>
        <v/>
      </c>
      <c r="B2031" s="1">
        <v>2020</v>
      </c>
      <c r="C2031" s="1" t="s">
        <v>2505</v>
      </c>
      <c r="D2031" s="1" t="s">
        <v>2506</v>
      </c>
      <c r="E2031" s="1" t="s">
        <v>2019</v>
      </c>
      <c r="F2031" s="1" t="s">
        <v>204</v>
      </c>
      <c r="G2031" s="6">
        <v>70944</v>
      </c>
      <c r="H2031" t="str">
        <f>IFERROR(VLOOKUP(F2031,'LEAID Match'!$A$2:$B$142,2,FALSE),"")</f>
        <v/>
      </c>
    </row>
    <row r="2032" spans="1:8" x14ac:dyDescent="0.2">
      <c r="A2032" t="str">
        <f t="shared" si="31"/>
        <v/>
      </c>
      <c r="B2032" s="1">
        <v>2021</v>
      </c>
      <c r="C2032" s="1" t="s">
        <v>2505</v>
      </c>
      <c r="D2032" s="1" t="s">
        <v>2506</v>
      </c>
      <c r="E2032" s="1" t="s">
        <v>2019</v>
      </c>
      <c r="F2032" s="1" t="s">
        <v>204</v>
      </c>
      <c r="G2032" s="6">
        <v>70931</v>
      </c>
      <c r="H2032" t="str">
        <f>IFERROR(VLOOKUP(F2032,'LEAID Match'!$A$2:$B$142,2,FALSE),"")</f>
        <v/>
      </c>
    </row>
    <row r="2033" spans="1:8" x14ac:dyDescent="0.2">
      <c r="A2033" t="str">
        <f t="shared" si="31"/>
        <v/>
      </c>
      <c r="B2033" s="1">
        <v>2022</v>
      </c>
      <c r="C2033" s="1" t="s">
        <v>2505</v>
      </c>
      <c r="D2033" s="1" t="s">
        <v>2506</v>
      </c>
      <c r="E2033" s="1" t="s">
        <v>2019</v>
      </c>
      <c r="F2033" s="1" t="s">
        <v>204</v>
      </c>
      <c r="G2033" s="6">
        <v>72518</v>
      </c>
      <c r="H2033" t="str">
        <f>IFERROR(VLOOKUP(F2033,'LEAID Match'!$A$2:$B$142,2,FALSE),"")</f>
        <v/>
      </c>
    </row>
    <row r="2034" spans="1:8" x14ac:dyDescent="0.2">
      <c r="A2034" t="str">
        <f t="shared" si="31"/>
        <v/>
      </c>
      <c r="B2034" s="1">
        <v>2023</v>
      </c>
      <c r="C2034" s="1" t="s">
        <v>2505</v>
      </c>
      <c r="D2034" s="1" t="s">
        <v>2506</v>
      </c>
      <c r="E2034" s="1" t="s">
        <v>2019</v>
      </c>
      <c r="F2034" s="1" t="s">
        <v>204</v>
      </c>
      <c r="G2034" s="6">
        <v>79631</v>
      </c>
      <c r="H2034" t="str">
        <f>IFERROR(VLOOKUP(F2034,'LEAID Match'!$A$2:$B$142,2,FALSE),"")</f>
        <v/>
      </c>
    </row>
    <row r="2035" spans="1:8" x14ac:dyDescent="0.2">
      <c r="A2035" t="str">
        <f t="shared" si="31"/>
        <v/>
      </c>
      <c r="B2035" s="1">
        <v>2024</v>
      </c>
      <c r="C2035" s="1" t="s">
        <v>2505</v>
      </c>
      <c r="D2035" s="1" t="s">
        <v>2506</v>
      </c>
      <c r="E2035" s="1" t="s">
        <v>2019</v>
      </c>
      <c r="F2035" s="1" t="s">
        <v>204</v>
      </c>
      <c r="G2035" s="6">
        <v>82763</v>
      </c>
      <c r="H2035" t="str">
        <f>IFERROR(VLOOKUP(F2035,'LEAID Match'!$A$2:$B$142,2,FALSE),"")</f>
        <v/>
      </c>
    </row>
    <row r="2036" spans="1:8" x14ac:dyDescent="0.2">
      <c r="A2036" t="str">
        <f t="shared" si="31"/>
        <v/>
      </c>
      <c r="B2036" s="1">
        <v>2015</v>
      </c>
      <c r="C2036" s="1" t="s">
        <v>2505</v>
      </c>
      <c r="D2036" s="1" t="s">
        <v>2506</v>
      </c>
      <c r="E2036" s="1" t="s">
        <v>2019</v>
      </c>
      <c r="F2036" s="1" t="s">
        <v>205</v>
      </c>
      <c r="G2036" s="6">
        <v>89125</v>
      </c>
      <c r="H2036" t="str">
        <f>IFERROR(VLOOKUP(F2036,'LEAID Match'!$A$2:$B$142,2,FALSE),"")</f>
        <v/>
      </c>
    </row>
    <row r="2037" spans="1:8" x14ac:dyDescent="0.2">
      <c r="A2037" t="str">
        <f t="shared" si="31"/>
        <v/>
      </c>
      <c r="B2037">
        <v>2016</v>
      </c>
      <c r="C2037" s="1" t="s">
        <v>2505</v>
      </c>
      <c r="D2037" s="1" t="s">
        <v>2506</v>
      </c>
      <c r="E2037" s="1" t="s">
        <v>2019</v>
      </c>
      <c r="F2037" s="1" t="s">
        <v>205</v>
      </c>
      <c r="G2037" s="12">
        <v>98536</v>
      </c>
      <c r="H2037" t="str">
        <f>IFERROR(VLOOKUP(F2037,'LEAID Match'!$A$2:$B$142,2,FALSE),"")</f>
        <v/>
      </c>
    </row>
    <row r="2038" spans="1:8" x14ac:dyDescent="0.2">
      <c r="A2038" t="str">
        <f t="shared" si="31"/>
        <v/>
      </c>
      <c r="B2038" s="1">
        <v>2017</v>
      </c>
      <c r="C2038" s="1" t="s">
        <v>2505</v>
      </c>
      <c r="D2038" s="1" t="s">
        <v>2506</v>
      </c>
      <c r="E2038" s="1" t="s">
        <v>2019</v>
      </c>
      <c r="F2038" s="1" t="s">
        <v>205</v>
      </c>
      <c r="G2038" s="47">
        <v>90507</v>
      </c>
      <c r="H2038" t="str">
        <f>IFERROR(VLOOKUP(F2038,'LEAID Match'!$A$2:$B$142,2,FALSE),"")</f>
        <v/>
      </c>
    </row>
    <row r="2039" spans="1:8" x14ac:dyDescent="0.2">
      <c r="A2039" t="str">
        <f t="shared" si="31"/>
        <v/>
      </c>
      <c r="B2039" s="1">
        <v>2018</v>
      </c>
      <c r="C2039" s="1" t="s">
        <v>2505</v>
      </c>
      <c r="D2039" s="1" t="s">
        <v>2506</v>
      </c>
      <c r="E2039" s="1" t="s">
        <v>2019</v>
      </c>
      <c r="F2039" s="1" t="s">
        <v>205</v>
      </c>
      <c r="G2039" s="6">
        <v>101559</v>
      </c>
      <c r="H2039" t="str">
        <f>IFERROR(VLOOKUP(F2039,'LEAID Match'!$A$2:$B$142,2,FALSE),"")</f>
        <v/>
      </c>
    </row>
    <row r="2040" spans="1:8" x14ac:dyDescent="0.2">
      <c r="A2040" t="str">
        <f t="shared" si="31"/>
        <v/>
      </c>
      <c r="B2040" s="1">
        <v>2019</v>
      </c>
      <c r="C2040" s="1" t="s">
        <v>2505</v>
      </c>
      <c r="D2040" s="1" t="s">
        <v>2506</v>
      </c>
      <c r="E2040" s="1" t="s">
        <v>2019</v>
      </c>
      <c r="F2040" s="1" t="s">
        <v>205</v>
      </c>
      <c r="G2040" s="6">
        <v>107349</v>
      </c>
      <c r="H2040" t="str">
        <f>IFERROR(VLOOKUP(F2040,'LEAID Match'!$A$2:$B$142,2,FALSE),"")</f>
        <v/>
      </c>
    </row>
    <row r="2041" spans="1:8" x14ac:dyDescent="0.2">
      <c r="A2041" t="str">
        <f t="shared" si="31"/>
        <v/>
      </c>
      <c r="B2041" s="1">
        <v>2020</v>
      </c>
      <c r="C2041" s="1" t="s">
        <v>2505</v>
      </c>
      <c r="D2041" s="1" t="s">
        <v>2506</v>
      </c>
      <c r="E2041" s="1" t="s">
        <v>2019</v>
      </c>
      <c r="F2041" s="1" t="s">
        <v>205</v>
      </c>
      <c r="G2041" s="6">
        <v>127004</v>
      </c>
      <c r="H2041" t="str">
        <f>IFERROR(VLOOKUP(F2041,'LEAID Match'!$A$2:$B$142,2,FALSE),"")</f>
        <v/>
      </c>
    </row>
    <row r="2042" spans="1:8" x14ac:dyDescent="0.2">
      <c r="A2042" t="str">
        <f t="shared" si="31"/>
        <v/>
      </c>
      <c r="B2042" s="1">
        <v>2021</v>
      </c>
      <c r="C2042" s="1" t="s">
        <v>2505</v>
      </c>
      <c r="D2042" s="1" t="s">
        <v>2506</v>
      </c>
      <c r="E2042" s="1" t="s">
        <v>2019</v>
      </c>
      <c r="F2042" s="1" t="s">
        <v>205</v>
      </c>
      <c r="G2042" s="6">
        <v>128372</v>
      </c>
      <c r="H2042" t="str">
        <f>IFERROR(VLOOKUP(F2042,'LEAID Match'!$A$2:$B$142,2,FALSE),"")</f>
        <v/>
      </c>
    </row>
    <row r="2043" spans="1:8" x14ac:dyDescent="0.2">
      <c r="A2043" t="str">
        <f t="shared" si="31"/>
        <v/>
      </c>
      <c r="B2043" s="1">
        <v>2022</v>
      </c>
      <c r="C2043" s="1" t="s">
        <v>2505</v>
      </c>
      <c r="D2043" s="1" t="s">
        <v>2506</v>
      </c>
      <c r="E2043" s="1" t="s">
        <v>2019</v>
      </c>
      <c r="F2043" s="1" t="s">
        <v>205</v>
      </c>
      <c r="G2043" s="6">
        <v>128113</v>
      </c>
      <c r="H2043" t="str">
        <f>IFERROR(VLOOKUP(F2043,'LEAID Match'!$A$2:$B$142,2,FALSE),"")</f>
        <v/>
      </c>
    </row>
    <row r="2044" spans="1:8" x14ac:dyDescent="0.2">
      <c r="A2044" t="str">
        <f t="shared" si="31"/>
        <v/>
      </c>
      <c r="B2044" s="1">
        <v>2023</v>
      </c>
      <c r="C2044" s="1" t="s">
        <v>2505</v>
      </c>
      <c r="D2044" s="1" t="s">
        <v>2506</v>
      </c>
      <c r="E2044" s="1" t="s">
        <v>2019</v>
      </c>
      <c r="F2044" s="1" t="s">
        <v>205</v>
      </c>
      <c r="G2044" s="6">
        <v>145581</v>
      </c>
      <c r="H2044" t="str">
        <f>IFERROR(VLOOKUP(F2044,'LEAID Match'!$A$2:$B$142,2,FALSE),"")</f>
        <v/>
      </c>
    </row>
    <row r="2045" spans="1:8" x14ac:dyDescent="0.2">
      <c r="A2045" t="str">
        <f t="shared" si="31"/>
        <v/>
      </c>
      <c r="B2045" s="1">
        <v>2024</v>
      </c>
      <c r="C2045" s="1" t="s">
        <v>2505</v>
      </c>
      <c r="D2045" s="1" t="s">
        <v>2506</v>
      </c>
      <c r="E2045" s="1" t="s">
        <v>2019</v>
      </c>
      <c r="F2045" s="1" t="s">
        <v>205</v>
      </c>
      <c r="G2045" s="6">
        <v>151030</v>
      </c>
      <c r="H2045" t="str">
        <f>IFERROR(VLOOKUP(F2045,'LEAID Match'!$A$2:$B$142,2,FALSE),"")</f>
        <v/>
      </c>
    </row>
    <row r="2046" spans="1:8" x14ac:dyDescent="0.2">
      <c r="A2046" t="str">
        <f t="shared" si="31"/>
        <v/>
      </c>
      <c r="B2046" s="1">
        <v>2015</v>
      </c>
      <c r="C2046" s="1" t="s">
        <v>2505</v>
      </c>
      <c r="D2046" s="1" t="s">
        <v>2506</v>
      </c>
      <c r="E2046" s="1" t="s">
        <v>2019</v>
      </c>
      <c r="F2046" s="1" t="s">
        <v>206</v>
      </c>
      <c r="G2046" s="6">
        <v>8605</v>
      </c>
      <c r="H2046" t="str">
        <f>IFERROR(VLOOKUP(F2046,'LEAID Match'!$A$2:$B$142,2,FALSE),"")</f>
        <v/>
      </c>
    </row>
    <row r="2047" spans="1:8" x14ac:dyDescent="0.2">
      <c r="A2047" t="str">
        <f t="shared" si="31"/>
        <v/>
      </c>
      <c r="B2047">
        <v>2016</v>
      </c>
      <c r="C2047" s="1" t="s">
        <v>2505</v>
      </c>
      <c r="D2047" s="1" t="s">
        <v>2506</v>
      </c>
      <c r="E2047" s="1" t="s">
        <v>2019</v>
      </c>
      <c r="F2047" s="1" t="s">
        <v>206</v>
      </c>
      <c r="G2047" s="12">
        <v>8901</v>
      </c>
      <c r="H2047" t="str">
        <f>IFERROR(VLOOKUP(F2047,'LEAID Match'!$A$2:$B$142,2,FALSE),"")</f>
        <v/>
      </c>
    </row>
    <row r="2048" spans="1:8" x14ac:dyDescent="0.2">
      <c r="A2048" t="str">
        <f t="shared" si="31"/>
        <v/>
      </c>
      <c r="B2048" s="1">
        <v>2017</v>
      </c>
      <c r="C2048" s="1" t="s">
        <v>2505</v>
      </c>
      <c r="D2048" s="1" t="s">
        <v>2506</v>
      </c>
      <c r="E2048" s="1" t="s">
        <v>2019</v>
      </c>
      <c r="F2048" s="1" t="s">
        <v>206</v>
      </c>
      <c r="G2048" s="47">
        <v>8225</v>
      </c>
      <c r="H2048" t="str">
        <f>IFERROR(VLOOKUP(F2048,'LEAID Match'!$A$2:$B$142,2,FALSE),"")</f>
        <v/>
      </c>
    </row>
    <row r="2049" spans="1:8" x14ac:dyDescent="0.2">
      <c r="A2049" t="str">
        <f t="shared" si="31"/>
        <v/>
      </c>
      <c r="B2049" s="1">
        <v>2018</v>
      </c>
      <c r="C2049" s="1" t="s">
        <v>2505</v>
      </c>
      <c r="D2049" s="1" t="s">
        <v>2506</v>
      </c>
      <c r="E2049" s="1" t="s">
        <v>2019</v>
      </c>
      <c r="F2049" s="1" t="s">
        <v>206</v>
      </c>
      <c r="G2049" s="6">
        <v>9136</v>
      </c>
      <c r="H2049" t="str">
        <f>IFERROR(VLOOKUP(F2049,'LEAID Match'!$A$2:$B$142,2,FALSE),"")</f>
        <v/>
      </c>
    </row>
    <row r="2050" spans="1:8" x14ac:dyDescent="0.2">
      <c r="A2050" t="str">
        <f t="shared" si="31"/>
        <v/>
      </c>
      <c r="B2050" s="1">
        <v>2019</v>
      </c>
      <c r="C2050" s="1" t="s">
        <v>2505</v>
      </c>
      <c r="D2050" s="1" t="s">
        <v>2506</v>
      </c>
      <c r="E2050" s="1" t="s">
        <v>2019</v>
      </c>
      <c r="F2050" s="1" t="s">
        <v>206</v>
      </c>
      <c r="G2050" s="6">
        <v>9108</v>
      </c>
      <c r="H2050" t="str">
        <f>IFERROR(VLOOKUP(F2050,'LEAID Match'!$A$2:$B$142,2,FALSE),"")</f>
        <v/>
      </c>
    </row>
    <row r="2051" spans="1:8" x14ac:dyDescent="0.2">
      <c r="A2051" t="str">
        <f t="shared" ref="A2051:A2114" si="32">H2051</f>
        <v/>
      </c>
      <c r="B2051" s="1">
        <v>2020</v>
      </c>
      <c r="C2051" s="1" t="s">
        <v>2505</v>
      </c>
      <c r="D2051" s="1" t="s">
        <v>2506</v>
      </c>
      <c r="E2051" s="1" t="s">
        <v>2019</v>
      </c>
      <c r="F2051" s="1" t="s">
        <v>206</v>
      </c>
      <c r="G2051" s="6">
        <v>10096</v>
      </c>
      <c r="H2051" t="str">
        <f>IFERROR(VLOOKUP(F2051,'LEAID Match'!$A$2:$B$142,2,FALSE),"")</f>
        <v/>
      </c>
    </row>
    <row r="2052" spans="1:8" x14ac:dyDescent="0.2">
      <c r="A2052" t="str">
        <f t="shared" si="32"/>
        <v/>
      </c>
      <c r="B2052" s="1">
        <v>2021</v>
      </c>
      <c r="C2052" s="1" t="s">
        <v>2505</v>
      </c>
      <c r="D2052" s="1" t="s">
        <v>2506</v>
      </c>
      <c r="E2052" s="1" t="s">
        <v>2019</v>
      </c>
      <c r="F2052" s="1" t="s">
        <v>206</v>
      </c>
      <c r="G2052" s="6">
        <v>10030</v>
      </c>
      <c r="H2052" t="str">
        <f>IFERROR(VLOOKUP(F2052,'LEAID Match'!$A$2:$B$142,2,FALSE),"")</f>
        <v/>
      </c>
    </row>
    <row r="2053" spans="1:8" x14ac:dyDescent="0.2">
      <c r="A2053" t="str">
        <f t="shared" si="32"/>
        <v/>
      </c>
      <c r="B2053" s="1">
        <v>2022</v>
      </c>
      <c r="C2053" s="1" t="s">
        <v>2505</v>
      </c>
      <c r="D2053" s="1" t="s">
        <v>2506</v>
      </c>
      <c r="E2053" s="1" t="s">
        <v>2019</v>
      </c>
      <c r="F2053" s="1" t="s">
        <v>206</v>
      </c>
      <c r="G2053" s="6">
        <v>10953</v>
      </c>
      <c r="H2053" t="str">
        <f>IFERROR(VLOOKUP(F2053,'LEAID Match'!$A$2:$B$142,2,FALSE),"")</f>
        <v/>
      </c>
    </row>
    <row r="2054" spans="1:8" x14ac:dyDescent="0.2">
      <c r="A2054" t="str">
        <f t="shared" si="32"/>
        <v/>
      </c>
      <c r="B2054" s="1">
        <v>2023</v>
      </c>
      <c r="C2054" s="1" t="s">
        <v>2505</v>
      </c>
      <c r="D2054" s="1" t="s">
        <v>2506</v>
      </c>
      <c r="E2054" s="1" t="s">
        <v>2019</v>
      </c>
      <c r="F2054" s="1" t="s">
        <v>206</v>
      </c>
      <c r="G2054" s="6">
        <v>10538</v>
      </c>
      <c r="H2054" t="str">
        <f>IFERROR(VLOOKUP(F2054,'LEAID Match'!$A$2:$B$142,2,FALSE),"")</f>
        <v/>
      </c>
    </row>
    <row r="2055" spans="1:8" x14ac:dyDescent="0.2">
      <c r="A2055" t="str">
        <f t="shared" si="32"/>
        <v/>
      </c>
      <c r="B2055" s="1">
        <v>2024</v>
      </c>
      <c r="C2055" s="1" t="s">
        <v>2505</v>
      </c>
      <c r="D2055" s="1" t="s">
        <v>2506</v>
      </c>
      <c r="E2055" s="1" t="s">
        <v>2019</v>
      </c>
      <c r="F2055" s="1" t="s">
        <v>206</v>
      </c>
      <c r="G2055" s="6">
        <v>13826</v>
      </c>
      <c r="H2055" t="str">
        <f>IFERROR(VLOOKUP(F2055,'LEAID Match'!$A$2:$B$142,2,FALSE),"")</f>
        <v/>
      </c>
    </row>
    <row r="2056" spans="1:8" x14ac:dyDescent="0.2">
      <c r="A2056" t="str">
        <f t="shared" si="32"/>
        <v/>
      </c>
      <c r="B2056" s="1">
        <v>2015</v>
      </c>
      <c r="C2056" s="1" t="s">
        <v>2505</v>
      </c>
      <c r="D2056" s="1" t="s">
        <v>2506</v>
      </c>
      <c r="E2056" s="1" t="s">
        <v>2019</v>
      </c>
      <c r="F2056" s="1" t="s">
        <v>908</v>
      </c>
      <c r="G2056" s="6">
        <v>131392</v>
      </c>
      <c r="H2056" t="str">
        <f>IFERROR(VLOOKUP(F2056,'LEAID Match'!$A$2:$B$142,2,FALSE),"")</f>
        <v/>
      </c>
    </row>
    <row r="2057" spans="1:8" x14ac:dyDescent="0.2">
      <c r="A2057" t="str">
        <f t="shared" si="32"/>
        <v/>
      </c>
      <c r="B2057">
        <v>2016</v>
      </c>
      <c r="C2057" s="1" t="s">
        <v>2505</v>
      </c>
      <c r="D2057" s="1" t="s">
        <v>2506</v>
      </c>
      <c r="E2057" s="1" t="s">
        <v>2019</v>
      </c>
      <c r="F2057" s="1" t="s">
        <v>908</v>
      </c>
      <c r="G2057" s="12">
        <v>114890</v>
      </c>
      <c r="H2057" t="str">
        <f>IFERROR(VLOOKUP(F2057,'LEAID Match'!$A$2:$B$142,2,FALSE),"")</f>
        <v/>
      </c>
    </row>
    <row r="2058" spans="1:8" x14ac:dyDescent="0.2">
      <c r="A2058" t="str">
        <f t="shared" si="32"/>
        <v/>
      </c>
      <c r="B2058" s="1">
        <v>2017</v>
      </c>
      <c r="C2058" s="1" t="s">
        <v>2505</v>
      </c>
      <c r="D2058" s="1" t="s">
        <v>2506</v>
      </c>
      <c r="E2058" s="1" t="s">
        <v>2019</v>
      </c>
      <c r="F2058" s="1" t="s">
        <v>908</v>
      </c>
      <c r="G2058" s="47">
        <v>122130</v>
      </c>
      <c r="H2058" t="str">
        <f>IFERROR(VLOOKUP(F2058,'LEAID Match'!$A$2:$B$142,2,FALSE),"")</f>
        <v/>
      </c>
    </row>
    <row r="2059" spans="1:8" x14ac:dyDescent="0.2">
      <c r="A2059" t="str">
        <f t="shared" si="32"/>
        <v/>
      </c>
      <c r="B2059" s="1">
        <v>2018</v>
      </c>
      <c r="C2059" s="1" t="s">
        <v>2505</v>
      </c>
      <c r="D2059" s="1" t="s">
        <v>2506</v>
      </c>
      <c r="E2059" s="1" t="s">
        <v>2019</v>
      </c>
      <c r="F2059" s="1" t="s">
        <v>908</v>
      </c>
      <c r="G2059" s="6">
        <v>111608</v>
      </c>
      <c r="H2059" t="str">
        <f>IFERROR(VLOOKUP(F2059,'LEAID Match'!$A$2:$B$142,2,FALSE),"")</f>
        <v/>
      </c>
    </row>
    <row r="2060" spans="1:8" x14ac:dyDescent="0.2">
      <c r="A2060" t="str">
        <f t="shared" si="32"/>
        <v/>
      </c>
      <c r="B2060" s="1">
        <v>2019</v>
      </c>
      <c r="C2060" s="1" t="s">
        <v>2505</v>
      </c>
      <c r="D2060" s="1" t="s">
        <v>2506</v>
      </c>
      <c r="E2060" s="1" t="s">
        <v>2019</v>
      </c>
      <c r="F2060" s="1" t="s">
        <v>908</v>
      </c>
      <c r="G2060" s="6">
        <v>134864</v>
      </c>
      <c r="H2060" t="str">
        <f>IFERROR(VLOOKUP(F2060,'LEAID Match'!$A$2:$B$142,2,FALSE),"")</f>
        <v/>
      </c>
    </row>
    <row r="2061" spans="1:8" x14ac:dyDescent="0.2">
      <c r="A2061" t="str">
        <f t="shared" si="32"/>
        <v/>
      </c>
      <c r="B2061" s="1">
        <v>2020</v>
      </c>
      <c r="C2061" s="1" t="s">
        <v>2505</v>
      </c>
      <c r="D2061" s="1" t="s">
        <v>2506</v>
      </c>
      <c r="E2061" s="1" t="s">
        <v>2019</v>
      </c>
      <c r="F2061" s="1" t="s">
        <v>908</v>
      </c>
      <c r="G2061" s="6">
        <v>156977</v>
      </c>
      <c r="H2061" t="str">
        <f>IFERROR(VLOOKUP(F2061,'LEAID Match'!$A$2:$B$142,2,FALSE),"")</f>
        <v/>
      </c>
    </row>
    <row r="2062" spans="1:8" x14ac:dyDescent="0.2">
      <c r="A2062" t="str">
        <f t="shared" si="32"/>
        <v/>
      </c>
      <c r="B2062" s="1">
        <v>2021</v>
      </c>
      <c r="C2062" s="1" t="s">
        <v>2505</v>
      </c>
      <c r="D2062" s="1" t="s">
        <v>2506</v>
      </c>
      <c r="E2062" s="1" t="s">
        <v>2019</v>
      </c>
      <c r="F2062" s="1" t="s">
        <v>908</v>
      </c>
      <c r="G2062" s="6">
        <v>1491</v>
      </c>
      <c r="H2062" t="str">
        <f>IFERROR(VLOOKUP(F2062,'LEAID Match'!$A$2:$B$142,2,FALSE),"")</f>
        <v/>
      </c>
    </row>
    <row r="2063" spans="1:8" x14ac:dyDescent="0.2">
      <c r="A2063" t="str">
        <f t="shared" si="32"/>
        <v/>
      </c>
      <c r="B2063" s="1">
        <v>2015</v>
      </c>
      <c r="C2063" s="1" t="s">
        <v>2505</v>
      </c>
      <c r="D2063" s="1" t="s">
        <v>2506</v>
      </c>
      <c r="E2063" s="1" t="s">
        <v>2019</v>
      </c>
      <c r="F2063" s="1" t="s">
        <v>207</v>
      </c>
      <c r="G2063" s="6">
        <v>14756</v>
      </c>
      <c r="H2063" t="str">
        <f>IFERROR(VLOOKUP(F2063,'LEAID Match'!$A$2:$B$142,2,FALSE),"")</f>
        <v/>
      </c>
    </row>
    <row r="2064" spans="1:8" x14ac:dyDescent="0.2">
      <c r="A2064" t="str">
        <f t="shared" si="32"/>
        <v/>
      </c>
      <c r="B2064">
        <v>2016</v>
      </c>
      <c r="C2064" s="1" t="s">
        <v>2505</v>
      </c>
      <c r="D2064" s="1" t="s">
        <v>2506</v>
      </c>
      <c r="E2064" s="1" t="s">
        <v>2019</v>
      </c>
      <c r="F2064" s="1" t="s">
        <v>207</v>
      </c>
      <c r="G2064" s="12">
        <v>16515</v>
      </c>
      <c r="H2064" t="str">
        <f>IFERROR(VLOOKUP(F2064,'LEAID Match'!$A$2:$B$142,2,FALSE),"")</f>
        <v/>
      </c>
    </row>
    <row r="2065" spans="1:8" x14ac:dyDescent="0.2">
      <c r="A2065" t="str">
        <f t="shared" si="32"/>
        <v/>
      </c>
      <c r="B2065" s="1">
        <v>2017</v>
      </c>
      <c r="C2065" s="1" t="s">
        <v>2505</v>
      </c>
      <c r="D2065" s="1" t="s">
        <v>2506</v>
      </c>
      <c r="E2065" s="1" t="s">
        <v>2019</v>
      </c>
      <c r="F2065" s="1" t="s">
        <v>207</v>
      </c>
      <c r="G2065" s="47">
        <v>17271</v>
      </c>
      <c r="H2065" t="str">
        <f>IFERROR(VLOOKUP(F2065,'LEAID Match'!$A$2:$B$142,2,FALSE),"")</f>
        <v/>
      </c>
    </row>
    <row r="2066" spans="1:8" x14ac:dyDescent="0.2">
      <c r="A2066" t="str">
        <f t="shared" si="32"/>
        <v/>
      </c>
      <c r="B2066" s="1">
        <v>2018</v>
      </c>
      <c r="C2066" s="1" t="s">
        <v>2505</v>
      </c>
      <c r="D2066" s="1" t="s">
        <v>2506</v>
      </c>
      <c r="E2066" s="1" t="s">
        <v>2019</v>
      </c>
      <c r="F2066" s="1" t="s">
        <v>207</v>
      </c>
      <c r="G2066" s="6">
        <v>16969</v>
      </c>
      <c r="H2066" t="str">
        <f>IFERROR(VLOOKUP(F2066,'LEAID Match'!$A$2:$B$142,2,FALSE),"")</f>
        <v/>
      </c>
    </row>
    <row r="2067" spans="1:8" x14ac:dyDescent="0.2">
      <c r="A2067" t="str">
        <f t="shared" si="32"/>
        <v/>
      </c>
      <c r="B2067" s="1">
        <v>2019</v>
      </c>
      <c r="C2067" s="1" t="s">
        <v>2505</v>
      </c>
      <c r="D2067" s="1" t="s">
        <v>2506</v>
      </c>
      <c r="E2067" s="1" t="s">
        <v>2019</v>
      </c>
      <c r="F2067" s="1" t="s">
        <v>207</v>
      </c>
      <c r="G2067" s="6">
        <v>18851</v>
      </c>
      <c r="H2067" t="str">
        <f>IFERROR(VLOOKUP(F2067,'LEAID Match'!$A$2:$B$142,2,FALSE),"")</f>
        <v/>
      </c>
    </row>
    <row r="2068" spans="1:8" x14ac:dyDescent="0.2">
      <c r="A2068" t="str">
        <f t="shared" si="32"/>
        <v/>
      </c>
      <c r="B2068" s="1">
        <v>2020</v>
      </c>
      <c r="C2068" s="1" t="s">
        <v>2505</v>
      </c>
      <c r="D2068" s="1" t="s">
        <v>2506</v>
      </c>
      <c r="E2068" s="1" t="s">
        <v>2019</v>
      </c>
      <c r="F2068" s="1" t="s">
        <v>207</v>
      </c>
      <c r="G2068" s="6">
        <v>21470</v>
      </c>
      <c r="H2068" t="str">
        <f>IFERROR(VLOOKUP(F2068,'LEAID Match'!$A$2:$B$142,2,FALSE),"")</f>
        <v/>
      </c>
    </row>
    <row r="2069" spans="1:8" x14ac:dyDescent="0.2">
      <c r="A2069" t="str">
        <f t="shared" si="32"/>
        <v/>
      </c>
      <c r="B2069" s="1">
        <v>2021</v>
      </c>
      <c r="C2069" s="1" t="s">
        <v>2505</v>
      </c>
      <c r="D2069" s="1" t="s">
        <v>2506</v>
      </c>
      <c r="E2069" s="1" t="s">
        <v>2019</v>
      </c>
      <c r="F2069" s="1" t="s">
        <v>207</v>
      </c>
      <c r="G2069" s="6">
        <v>21467</v>
      </c>
      <c r="H2069" t="str">
        <f>IFERROR(VLOOKUP(F2069,'LEAID Match'!$A$2:$B$142,2,FALSE),"")</f>
        <v/>
      </c>
    </row>
    <row r="2070" spans="1:8" x14ac:dyDescent="0.2">
      <c r="A2070" t="str">
        <f t="shared" si="32"/>
        <v/>
      </c>
      <c r="B2070" s="1">
        <v>2022</v>
      </c>
      <c r="C2070" s="1" t="s">
        <v>2505</v>
      </c>
      <c r="D2070" s="1" t="s">
        <v>2506</v>
      </c>
      <c r="E2070" s="1" t="s">
        <v>2019</v>
      </c>
      <c r="F2070" s="1" t="s">
        <v>207</v>
      </c>
      <c r="G2070" s="6">
        <v>21629</v>
      </c>
      <c r="H2070" t="str">
        <f>IFERROR(VLOOKUP(F2070,'LEAID Match'!$A$2:$B$142,2,FALSE),"")</f>
        <v/>
      </c>
    </row>
    <row r="2071" spans="1:8" x14ac:dyDescent="0.2">
      <c r="A2071" t="str">
        <f t="shared" si="32"/>
        <v/>
      </c>
      <c r="B2071" s="1">
        <v>2023</v>
      </c>
      <c r="C2071" s="1" t="s">
        <v>2505</v>
      </c>
      <c r="D2071" s="1" t="s">
        <v>2506</v>
      </c>
      <c r="E2071" s="1" t="s">
        <v>2019</v>
      </c>
      <c r="F2071" s="1" t="s">
        <v>207</v>
      </c>
      <c r="G2071" s="6">
        <v>21084</v>
      </c>
      <c r="H2071" t="str">
        <f>IFERROR(VLOOKUP(F2071,'LEAID Match'!$A$2:$B$142,2,FALSE),"")</f>
        <v/>
      </c>
    </row>
    <row r="2072" spans="1:8" x14ac:dyDescent="0.2">
      <c r="A2072" t="str">
        <f t="shared" si="32"/>
        <v/>
      </c>
      <c r="B2072" s="1">
        <v>2024</v>
      </c>
      <c r="C2072" s="1" t="s">
        <v>2505</v>
      </c>
      <c r="D2072" s="1" t="s">
        <v>2506</v>
      </c>
      <c r="E2072" s="1" t="s">
        <v>2019</v>
      </c>
      <c r="F2072" s="1" t="s">
        <v>207</v>
      </c>
      <c r="G2072" s="6">
        <v>21310</v>
      </c>
      <c r="H2072" t="str">
        <f>IFERROR(VLOOKUP(F2072,'LEAID Match'!$A$2:$B$142,2,FALSE),"")</f>
        <v/>
      </c>
    </row>
    <row r="2073" spans="1:8" x14ac:dyDescent="0.2">
      <c r="A2073" t="str">
        <f t="shared" si="32"/>
        <v/>
      </c>
      <c r="B2073" s="1">
        <v>2015</v>
      </c>
      <c r="C2073" s="1" t="s">
        <v>2505</v>
      </c>
      <c r="D2073" s="1" t="s">
        <v>2506</v>
      </c>
      <c r="E2073" s="1" t="s">
        <v>2019</v>
      </c>
      <c r="F2073" s="1" t="s">
        <v>208</v>
      </c>
      <c r="G2073" s="6">
        <v>1092520</v>
      </c>
      <c r="H2073" t="str">
        <f>IFERROR(VLOOKUP(F2073,'LEAID Match'!$A$2:$B$142,2,FALSE),"")</f>
        <v/>
      </c>
    </row>
    <row r="2074" spans="1:8" x14ac:dyDescent="0.2">
      <c r="A2074" t="str">
        <f t="shared" si="32"/>
        <v/>
      </c>
      <c r="B2074">
        <v>2016</v>
      </c>
      <c r="C2074" s="1" t="s">
        <v>2505</v>
      </c>
      <c r="D2074" s="1" t="s">
        <v>2506</v>
      </c>
      <c r="E2074" s="1" t="s">
        <v>2019</v>
      </c>
      <c r="F2074" s="1" t="s">
        <v>208</v>
      </c>
      <c r="G2074" s="12">
        <v>1105392</v>
      </c>
      <c r="H2074" t="str">
        <f>IFERROR(VLOOKUP(F2074,'LEAID Match'!$A$2:$B$142,2,FALSE),"")</f>
        <v/>
      </c>
    </row>
    <row r="2075" spans="1:8" x14ac:dyDescent="0.2">
      <c r="A2075" t="str">
        <f t="shared" si="32"/>
        <v/>
      </c>
      <c r="B2075" s="1">
        <v>2017</v>
      </c>
      <c r="C2075" s="1" t="s">
        <v>2505</v>
      </c>
      <c r="D2075" s="1" t="s">
        <v>2506</v>
      </c>
      <c r="E2075" s="1" t="s">
        <v>2019</v>
      </c>
      <c r="F2075" s="1" t="s">
        <v>208</v>
      </c>
      <c r="G2075" s="47">
        <v>1215721</v>
      </c>
      <c r="H2075" t="str">
        <f>IFERROR(VLOOKUP(F2075,'LEAID Match'!$A$2:$B$142,2,FALSE),"")</f>
        <v/>
      </c>
    </row>
    <row r="2076" spans="1:8" x14ac:dyDescent="0.2">
      <c r="A2076" t="str">
        <f t="shared" si="32"/>
        <v/>
      </c>
      <c r="B2076" s="1">
        <v>2018</v>
      </c>
      <c r="C2076" s="1" t="s">
        <v>2505</v>
      </c>
      <c r="D2076" s="1" t="s">
        <v>2506</v>
      </c>
      <c r="E2076" s="1" t="s">
        <v>2019</v>
      </c>
      <c r="F2076" s="1" t="s">
        <v>208</v>
      </c>
      <c r="G2076" s="6">
        <v>1260215</v>
      </c>
      <c r="H2076" t="str">
        <f>IFERROR(VLOOKUP(F2076,'LEAID Match'!$A$2:$B$142,2,FALSE),"")</f>
        <v/>
      </c>
    </row>
    <row r="2077" spans="1:8" x14ac:dyDescent="0.2">
      <c r="A2077" t="str">
        <f t="shared" si="32"/>
        <v/>
      </c>
      <c r="B2077" s="1">
        <v>2019</v>
      </c>
      <c r="C2077" s="1" t="s">
        <v>2505</v>
      </c>
      <c r="D2077" s="1" t="s">
        <v>2506</v>
      </c>
      <c r="E2077" s="1" t="s">
        <v>2019</v>
      </c>
      <c r="F2077" s="1" t="s">
        <v>208</v>
      </c>
      <c r="G2077" s="6">
        <v>1267532</v>
      </c>
      <c r="H2077" t="str">
        <f>IFERROR(VLOOKUP(F2077,'LEAID Match'!$A$2:$B$142,2,FALSE),"")</f>
        <v/>
      </c>
    </row>
    <row r="2078" spans="1:8" x14ac:dyDescent="0.2">
      <c r="A2078" t="str">
        <f t="shared" si="32"/>
        <v/>
      </c>
      <c r="B2078" s="1">
        <v>2020</v>
      </c>
      <c r="C2078" s="1" t="s">
        <v>2505</v>
      </c>
      <c r="D2078" s="1" t="s">
        <v>2506</v>
      </c>
      <c r="E2078" s="1" t="s">
        <v>2019</v>
      </c>
      <c r="F2078" s="1" t="s">
        <v>208</v>
      </c>
      <c r="G2078" s="6">
        <v>1167478</v>
      </c>
      <c r="H2078" t="str">
        <f>IFERROR(VLOOKUP(F2078,'LEAID Match'!$A$2:$B$142,2,FALSE),"")</f>
        <v/>
      </c>
    </row>
    <row r="2079" spans="1:8" x14ac:dyDescent="0.2">
      <c r="A2079" t="str">
        <f t="shared" si="32"/>
        <v/>
      </c>
      <c r="B2079" s="1">
        <v>2021</v>
      </c>
      <c r="C2079" s="1" t="s">
        <v>2505</v>
      </c>
      <c r="D2079" s="1" t="s">
        <v>2506</v>
      </c>
      <c r="E2079" s="1" t="s">
        <v>2019</v>
      </c>
      <c r="F2079" s="1" t="s">
        <v>208</v>
      </c>
      <c r="G2079" s="6">
        <v>1276548</v>
      </c>
      <c r="H2079" t="str">
        <f>IFERROR(VLOOKUP(F2079,'LEAID Match'!$A$2:$B$142,2,FALSE),"")</f>
        <v/>
      </c>
    </row>
    <row r="2080" spans="1:8" x14ac:dyDescent="0.2">
      <c r="A2080" t="str">
        <f t="shared" si="32"/>
        <v/>
      </c>
      <c r="B2080" s="1">
        <v>2022</v>
      </c>
      <c r="C2080" s="1" t="s">
        <v>2505</v>
      </c>
      <c r="D2080" s="1" t="s">
        <v>2506</v>
      </c>
      <c r="E2080" s="1" t="s">
        <v>2019</v>
      </c>
      <c r="F2080" s="1" t="s">
        <v>208</v>
      </c>
      <c r="G2080" s="6">
        <v>1269749</v>
      </c>
      <c r="H2080" t="str">
        <f>IFERROR(VLOOKUP(F2080,'LEAID Match'!$A$2:$B$142,2,FALSE),"")</f>
        <v/>
      </c>
    </row>
    <row r="2081" spans="1:8" x14ac:dyDescent="0.2">
      <c r="A2081" t="str">
        <f t="shared" si="32"/>
        <v/>
      </c>
      <c r="B2081" s="1">
        <v>2023</v>
      </c>
      <c r="C2081" s="1" t="s">
        <v>2505</v>
      </c>
      <c r="D2081" s="1" t="s">
        <v>2506</v>
      </c>
      <c r="E2081" s="1" t="s">
        <v>2019</v>
      </c>
      <c r="F2081" s="1" t="s">
        <v>208</v>
      </c>
      <c r="G2081" s="6">
        <v>1298044</v>
      </c>
      <c r="H2081" t="str">
        <f>IFERROR(VLOOKUP(F2081,'LEAID Match'!$A$2:$B$142,2,FALSE),"")</f>
        <v/>
      </c>
    </row>
    <row r="2082" spans="1:8" x14ac:dyDescent="0.2">
      <c r="A2082" t="str">
        <f t="shared" si="32"/>
        <v/>
      </c>
      <c r="B2082" s="1">
        <v>2024</v>
      </c>
      <c r="C2082" s="1" t="s">
        <v>2505</v>
      </c>
      <c r="D2082" s="1" t="s">
        <v>2506</v>
      </c>
      <c r="E2082" s="1" t="s">
        <v>2019</v>
      </c>
      <c r="F2082" s="1" t="s">
        <v>208</v>
      </c>
      <c r="G2082" s="6">
        <v>1381365</v>
      </c>
      <c r="H2082" t="str">
        <f>IFERROR(VLOOKUP(F2082,'LEAID Match'!$A$2:$B$142,2,FALSE),"")</f>
        <v/>
      </c>
    </row>
    <row r="2083" spans="1:8" x14ac:dyDescent="0.2">
      <c r="A2083" t="str">
        <f t="shared" si="32"/>
        <v/>
      </c>
      <c r="B2083" s="1">
        <v>2015</v>
      </c>
      <c r="C2083" s="1" t="s">
        <v>2505</v>
      </c>
      <c r="D2083" s="1" t="s">
        <v>2506</v>
      </c>
      <c r="E2083" s="1" t="s">
        <v>2019</v>
      </c>
      <c r="F2083" s="1" t="s">
        <v>209</v>
      </c>
      <c r="G2083" s="6">
        <v>2962026</v>
      </c>
      <c r="H2083" t="str">
        <f>IFERROR(VLOOKUP(F2083,'LEAID Match'!$A$2:$B$142,2,FALSE),"")</f>
        <v/>
      </c>
    </row>
    <row r="2084" spans="1:8" x14ac:dyDescent="0.2">
      <c r="A2084" t="str">
        <f t="shared" si="32"/>
        <v/>
      </c>
      <c r="B2084">
        <v>2016</v>
      </c>
      <c r="C2084" s="1" t="s">
        <v>2505</v>
      </c>
      <c r="D2084" s="1" t="s">
        <v>2506</v>
      </c>
      <c r="E2084" s="1" t="s">
        <v>2019</v>
      </c>
      <c r="F2084" s="1" t="s">
        <v>209</v>
      </c>
      <c r="G2084" s="12">
        <v>3083398</v>
      </c>
      <c r="H2084" t="str">
        <f>IFERROR(VLOOKUP(F2084,'LEAID Match'!$A$2:$B$142,2,FALSE),"")</f>
        <v/>
      </c>
    </row>
    <row r="2085" spans="1:8" x14ac:dyDescent="0.2">
      <c r="A2085" t="str">
        <f t="shared" si="32"/>
        <v/>
      </c>
      <c r="B2085" s="1">
        <v>2017</v>
      </c>
      <c r="C2085" s="1" t="s">
        <v>2505</v>
      </c>
      <c r="D2085" s="1" t="s">
        <v>2506</v>
      </c>
      <c r="E2085" s="1" t="s">
        <v>2019</v>
      </c>
      <c r="F2085" s="1" t="s">
        <v>209</v>
      </c>
      <c r="G2085" s="47">
        <v>3046576</v>
      </c>
      <c r="H2085" t="str">
        <f>IFERROR(VLOOKUP(F2085,'LEAID Match'!$A$2:$B$142,2,FALSE),"")</f>
        <v/>
      </c>
    </row>
    <row r="2086" spans="1:8" x14ac:dyDescent="0.2">
      <c r="A2086" t="str">
        <f t="shared" si="32"/>
        <v/>
      </c>
      <c r="B2086" s="1">
        <v>2018</v>
      </c>
      <c r="C2086" s="1" t="s">
        <v>2505</v>
      </c>
      <c r="D2086" s="1" t="s">
        <v>2506</v>
      </c>
      <c r="E2086" s="1" t="s">
        <v>2019</v>
      </c>
      <c r="F2086" s="1" t="s">
        <v>209</v>
      </c>
      <c r="G2086" s="6">
        <v>3085352</v>
      </c>
      <c r="H2086" t="str">
        <f>IFERROR(VLOOKUP(F2086,'LEAID Match'!$A$2:$B$142,2,FALSE),"")</f>
        <v/>
      </c>
    </row>
    <row r="2087" spans="1:8" x14ac:dyDescent="0.2">
      <c r="A2087" t="str">
        <f t="shared" si="32"/>
        <v/>
      </c>
      <c r="B2087" s="1">
        <v>2019</v>
      </c>
      <c r="C2087" s="1" t="s">
        <v>2505</v>
      </c>
      <c r="D2087" s="1" t="s">
        <v>2506</v>
      </c>
      <c r="E2087" s="1" t="s">
        <v>2019</v>
      </c>
      <c r="F2087" s="1" t="s">
        <v>209</v>
      </c>
      <c r="G2087" s="6">
        <v>3141476</v>
      </c>
      <c r="H2087" t="str">
        <f>IFERROR(VLOOKUP(F2087,'LEAID Match'!$A$2:$B$142,2,FALSE),"")</f>
        <v/>
      </c>
    </row>
    <row r="2088" spans="1:8" x14ac:dyDescent="0.2">
      <c r="A2088" t="str">
        <f t="shared" si="32"/>
        <v/>
      </c>
      <c r="B2088" s="1">
        <v>2020</v>
      </c>
      <c r="C2088" s="1" t="s">
        <v>2505</v>
      </c>
      <c r="D2088" s="1" t="s">
        <v>2506</v>
      </c>
      <c r="E2088" s="1" t="s">
        <v>2019</v>
      </c>
      <c r="F2088" s="1" t="s">
        <v>209</v>
      </c>
      <c r="G2088" s="6">
        <v>3723849</v>
      </c>
      <c r="H2088" t="str">
        <f>IFERROR(VLOOKUP(F2088,'LEAID Match'!$A$2:$B$142,2,FALSE),"")</f>
        <v/>
      </c>
    </row>
    <row r="2089" spans="1:8" x14ac:dyDescent="0.2">
      <c r="A2089" t="str">
        <f t="shared" si="32"/>
        <v/>
      </c>
      <c r="B2089" s="1">
        <v>2021</v>
      </c>
      <c r="C2089" s="1" t="s">
        <v>2505</v>
      </c>
      <c r="D2089" s="1" t="s">
        <v>2506</v>
      </c>
      <c r="E2089" s="1" t="s">
        <v>2019</v>
      </c>
      <c r="F2089" s="1" t="s">
        <v>209</v>
      </c>
      <c r="G2089" s="6">
        <v>3631010</v>
      </c>
      <c r="H2089" t="str">
        <f>IFERROR(VLOOKUP(F2089,'LEAID Match'!$A$2:$B$142,2,FALSE),"")</f>
        <v/>
      </c>
    </row>
    <row r="2090" spans="1:8" x14ac:dyDescent="0.2">
      <c r="A2090" t="str">
        <f t="shared" si="32"/>
        <v/>
      </c>
      <c r="B2090" s="1">
        <v>2022</v>
      </c>
      <c r="C2090" s="1" t="s">
        <v>2505</v>
      </c>
      <c r="D2090" s="1" t="s">
        <v>2506</v>
      </c>
      <c r="E2090" s="1" t="s">
        <v>2019</v>
      </c>
      <c r="F2090" s="1" t="s">
        <v>209</v>
      </c>
      <c r="G2090" s="6">
        <v>2968397</v>
      </c>
      <c r="H2090" t="str">
        <f>IFERROR(VLOOKUP(F2090,'LEAID Match'!$A$2:$B$142,2,FALSE),"")</f>
        <v/>
      </c>
    </row>
    <row r="2091" spans="1:8" x14ac:dyDescent="0.2">
      <c r="A2091" t="str">
        <f t="shared" si="32"/>
        <v/>
      </c>
      <c r="B2091" s="1">
        <v>2023</v>
      </c>
      <c r="C2091" s="1" t="s">
        <v>2505</v>
      </c>
      <c r="D2091" s="1" t="s">
        <v>2506</v>
      </c>
      <c r="E2091" s="1" t="s">
        <v>2019</v>
      </c>
      <c r="F2091" s="1" t="s">
        <v>209</v>
      </c>
      <c r="G2091" s="6">
        <v>3153713</v>
      </c>
      <c r="H2091" t="str">
        <f>IFERROR(VLOOKUP(F2091,'LEAID Match'!$A$2:$B$142,2,FALSE),"")</f>
        <v/>
      </c>
    </row>
    <row r="2092" spans="1:8" x14ac:dyDescent="0.2">
      <c r="A2092" t="str">
        <f t="shared" si="32"/>
        <v/>
      </c>
      <c r="B2092" s="1">
        <v>2024</v>
      </c>
      <c r="C2092" s="1" t="s">
        <v>2505</v>
      </c>
      <c r="D2092" s="1" t="s">
        <v>2506</v>
      </c>
      <c r="E2092" s="1" t="s">
        <v>2019</v>
      </c>
      <c r="F2092" s="1" t="s">
        <v>209</v>
      </c>
      <c r="G2092" s="6">
        <v>3205190</v>
      </c>
      <c r="H2092" t="str">
        <f>IFERROR(VLOOKUP(F2092,'LEAID Match'!$A$2:$B$142,2,FALSE),"")</f>
        <v/>
      </c>
    </row>
    <row r="2093" spans="1:8" x14ac:dyDescent="0.2">
      <c r="A2093" t="str">
        <f t="shared" si="32"/>
        <v/>
      </c>
      <c r="B2093" s="1">
        <v>2015</v>
      </c>
      <c r="C2093" s="1" t="s">
        <v>2505</v>
      </c>
      <c r="D2093" s="1" t="s">
        <v>2506</v>
      </c>
      <c r="E2093" s="1" t="s">
        <v>2019</v>
      </c>
      <c r="F2093" s="1" t="s">
        <v>210</v>
      </c>
      <c r="G2093" s="6">
        <v>412564</v>
      </c>
      <c r="H2093" t="str">
        <f>IFERROR(VLOOKUP(F2093,'LEAID Match'!$A$2:$B$142,2,FALSE),"")</f>
        <v/>
      </c>
    </row>
    <row r="2094" spans="1:8" x14ac:dyDescent="0.2">
      <c r="A2094" t="str">
        <f t="shared" si="32"/>
        <v/>
      </c>
      <c r="B2094">
        <v>2016</v>
      </c>
      <c r="C2094" s="1" t="s">
        <v>2505</v>
      </c>
      <c r="D2094" s="1" t="s">
        <v>2506</v>
      </c>
      <c r="E2094" s="1" t="s">
        <v>2019</v>
      </c>
      <c r="F2094" s="1" t="s">
        <v>210</v>
      </c>
      <c r="G2094" s="12">
        <v>422966</v>
      </c>
      <c r="H2094" t="str">
        <f>IFERROR(VLOOKUP(F2094,'LEAID Match'!$A$2:$B$142,2,FALSE),"")</f>
        <v/>
      </c>
    </row>
    <row r="2095" spans="1:8" x14ac:dyDescent="0.2">
      <c r="A2095" t="str">
        <f t="shared" si="32"/>
        <v/>
      </c>
      <c r="B2095" s="1">
        <v>2017</v>
      </c>
      <c r="C2095" s="1" t="s">
        <v>2505</v>
      </c>
      <c r="D2095" s="1" t="s">
        <v>2506</v>
      </c>
      <c r="E2095" s="1" t="s">
        <v>2019</v>
      </c>
      <c r="F2095" s="1" t="s">
        <v>210</v>
      </c>
      <c r="G2095" s="47">
        <v>417950</v>
      </c>
      <c r="H2095" t="str">
        <f>IFERROR(VLOOKUP(F2095,'LEAID Match'!$A$2:$B$142,2,FALSE),"")</f>
        <v/>
      </c>
    </row>
    <row r="2096" spans="1:8" x14ac:dyDescent="0.2">
      <c r="A2096" t="str">
        <f t="shared" si="32"/>
        <v/>
      </c>
      <c r="B2096" s="1">
        <v>2018</v>
      </c>
      <c r="C2096" s="1" t="s">
        <v>2505</v>
      </c>
      <c r="D2096" s="1" t="s">
        <v>2506</v>
      </c>
      <c r="E2096" s="1" t="s">
        <v>2019</v>
      </c>
      <c r="F2096" s="1" t="s">
        <v>210</v>
      </c>
      <c r="G2096" s="6">
        <v>410721</v>
      </c>
      <c r="H2096" t="str">
        <f>IFERROR(VLOOKUP(F2096,'LEAID Match'!$A$2:$B$142,2,FALSE),"")</f>
        <v/>
      </c>
    </row>
    <row r="2097" spans="1:8" x14ac:dyDescent="0.2">
      <c r="A2097" t="str">
        <f t="shared" si="32"/>
        <v/>
      </c>
      <c r="B2097" s="1">
        <v>2019</v>
      </c>
      <c r="C2097" s="1" t="s">
        <v>2505</v>
      </c>
      <c r="D2097" s="1" t="s">
        <v>2506</v>
      </c>
      <c r="E2097" s="1" t="s">
        <v>2019</v>
      </c>
      <c r="F2097" s="1" t="s">
        <v>210</v>
      </c>
      <c r="G2097" s="6">
        <v>396448</v>
      </c>
      <c r="H2097" t="str">
        <f>IFERROR(VLOOKUP(F2097,'LEAID Match'!$A$2:$B$142,2,FALSE),"")</f>
        <v/>
      </c>
    </row>
    <row r="2098" spans="1:8" x14ac:dyDescent="0.2">
      <c r="A2098" t="str">
        <f t="shared" si="32"/>
        <v/>
      </c>
      <c r="B2098" s="1">
        <v>2020</v>
      </c>
      <c r="C2098" s="1" t="s">
        <v>2505</v>
      </c>
      <c r="D2098" s="1" t="s">
        <v>2506</v>
      </c>
      <c r="E2098" s="1" t="s">
        <v>2019</v>
      </c>
      <c r="F2098" s="1" t="s">
        <v>210</v>
      </c>
      <c r="G2098" s="6">
        <v>459355</v>
      </c>
      <c r="H2098" t="str">
        <f>IFERROR(VLOOKUP(F2098,'LEAID Match'!$A$2:$B$142,2,FALSE),"")</f>
        <v/>
      </c>
    </row>
    <row r="2099" spans="1:8" x14ac:dyDescent="0.2">
      <c r="A2099" t="str">
        <f t="shared" si="32"/>
        <v/>
      </c>
      <c r="B2099" s="1">
        <v>2021</v>
      </c>
      <c r="C2099" s="1" t="s">
        <v>2505</v>
      </c>
      <c r="D2099" s="1" t="s">
        <v>2506</v>
      </c>
      <c r="E2099" s="1" t="s">
        <v>2019</v>
      </c>
      <c r="F2099" s="1" t="s">
        <v>210</v>
      </c>
      <c r="G2099" s="6">
        <v>451123</v>
      </c>
      <c r="H2099" t="str">
        <f>IFERROR(VLOOKUP(F2099,'LEAID Match'!$A$2:$B$142,2,FALSE),"")</f>
        <v/>
      </c>
    </row>
    <row r="2100" spans="1:8" x14ac:dyDescent="0.2">
      <c r="A2100" t="str">
        <f t="shared" si="32"/>
        <v/>
      </c>
      <c r="B2100" s="1">
        <v>2022</v>
      </c>
      <c r="C2100" s="1" t="s">
        <v>2505</v>
      </c>
      <c r="D2100" s="1" t="s">
        <v>2506</v>
      </c>
      <c r="E2100" s="1" t="s">
        <v>2019</v>
      </c>
      <c r="F2100" s="1" t="s">
        <v>210</v>
      </c>
      <c r="G2100" s="6">
        <v>470015</v>
      </c>
      <c r="H2100" t="str">
        <f>IFERROR(VLOOKUP(F2100,'LEAID Match'!$A$2:$B$142,2,FALSE),"")</f>
        <v/>
      </c>
    </row>
    <row r="2101" spans="1:8" x14ac:dyDescent="0.2">
      <c r="A2101" t="str">
        <f t="shared" si="32"/>
        <v/>
      </c>
      <c r="B2101" s="1">
        <v>2023</v>
      </c>
      <c r="C2101" s="1" t="s">
        <v>2505</v>
      </c>
      <c r="D2101" s="1" t="s">
        <v>2506</v>
      </c>
      <c r="E2101" s="1" t="s">
        <v>2019</v>
      </c>
      <c r="F2101" s="1" t="s">
        <v>210</v>
      </c>
      <c r="G2101" s="6">
        <v>518375</v>
      </c>
      <c r="H2101" t="str">
        <f>IFERROR(VLOOKUP(F2101,'LEAID Match'!$A$2:$B$142,2,FALSE),"")</f>
        <v/>
      </c>
    </row>
    <row r="2102" spans="1:8" x14ac:dyDescent="0.2">
      <c r="A2102" t="str">
        <f t="shared" si="32"/>
        <v/>
      </c>
      <c r="B2102" s="1">
        <v>2024</v>
      </c>
      <c r="C2102" s="1" t="s">
        <v>2505</v>
      </c>
      <c r="D2102" s="1" t="s">
        <v>2506</v>
      </c>
      <c r="E2102" s="1" t="s">
        <v>2019</v>
      </c>
      <c r="F2102" s="1" t="s">
        <v>210</v>
      </c>
      <c r="G2102" s="6">
        <v>520219</v>
      </c>
      <c r="H2102" t="str">
        <f>IFERROR(VLOOKUP(F2102,'LEAID Match'!$A$2:$B$142,2,FALSE),"")</f>
        <v/>
      </c>
    </row>
    <row r="2103" spans="1:8" x14ac:dyDescent="0.2">
      <c r="A2103" t="str">
        <f t="shared" si="32"/>
        <v/>
      </c>
      <c r="B2103" s="1">
        <v>2015</v>
      </c>
      <c r="C2103" s="1" t="s">
        <v>2505</v>
      </c>
      <c r="D2103" s="1" t="s">
        <v>2506</v>
      </c>
      <c r="E2103" s="1" t="s">
        <v>2019</v>
      </c>
      <c r="F2103" s="1" t="s">
        <v>211</v>
      </c>
      <c r="G2103" s="6">
        <v>81257</v>
      </c>
      <c r="H2103" t="str">
        <f>IFERROR(VLOOKUP(F2103,'LEAID Match'!$A$2:$B$142,2,FALSE),"")</f>
        <v/>
      </c>
    </row>
    <row r="2104" spans="1:8" x14ac:dyDescent="0.2">
      <c r="A2104" t="str">
        <f t="shared" si="32"/>
        <v/>
      </c>
      <c r="B2104">
        <v>2016</v>
      </c>
      <c r="C2104" s="1" t="s">
        <v>2505</v>
      </c>
      <c r="D2104" s="1" t="s">
        <v>2506</v>
      </c>
      <c r="E2104" s="1" t="s">
        <v>2019</v>
      </c>
      <c r="F2104" s="1" t="s">
        <v>211</v>
      </c>
      <c r="G2104" s="12">
        <v>84558</v>
      </c>
      <c r="H2104" t="str">
        <f>IFERROR(VLOOKUP(F2104,'LEAID Match'!$A$2:$B$142,2,FALSE),"")</f>
        <v/>
      </c>
    </row>
    <row r="2105" spans="1:8" x14ac:dyDescent="0.2">
      <c r="A2105" t="str">
        <f t="shared" si="32"/>
        <v/>
      </c>
      <c r="B2105" s="1">
        <v>2017</v>
      </c>
      <c r="C2105" s="1" t="s">
        <v>2505</v>
      </c>
      <c r="D2105" s="1" t="s">
        <v>2506</v>
      </c>
      <c r="E2105" s="1" t="s">
        <v>2019</v>
      </c>
      <c r="F2105" s="1" t="s">
        <v>211</v>
      </c>
      <c r="G2105" s="47">
        <v>81066</v>
      </c>
      <c r="H2105" t="str">
        <f>IFERROR(VLOOKUP(F2105,'LEAID Match'!$A$2:$B$142,2,FALSE),"")</f>
        <v/>
      </c>
    </row>
    <row r="2106" spans="1:8" x14ac:dyDescent="0.2">
      <c r="A2106" t="str">
        <f t="shared" si="32"/>
        <v/>
      </c>
      <c r="B2106" s="1">
        <v>2018</v>
      </c>
      <c r="C2106" s="1" t="s">
        <v>2505</v>
      </c>
      <c r="D2106" s="1" t="s">
        <v>2506</v>
      </c>
      <c r="E2106" s="1" t="s">
        <v>2019</v>
      </c>
      <c r="F2106" s="1" t="s">
        <v>211</v>
      </c>
      <c r="G2106" s="6">
        <v>87275</v>
      </c>
      <c r="H2106" t="str">
        <f>IFERROR(VLOOKUP(F2106,'LEAID Match'!$A$2:$B$142,2,FALSE),"")</f>
        <v/>
      </c>
    </row>
    <row r="2107" spans="1:8" x14ac:dyDescent="0.2">
      <c r="A2107" t="str">
        <f t="shared" si="32"/>
        <v/>
      </c>
      <c r="B2107" s="1">
        <v>2019</v>
      </c>
      <c r="C2107" s="1" t="s">
        <v>2505</v>
      </c>
      <c r="D2107" s="1" t="s">
        <v>2506</v>
      </c>
      <c r="E2107" s="1" t="s">
        <v>2019</v>
      </c>
      <c r="F2107" s="1" t="s">
        <v>211</v>
      </c>
      <c r="G2107" s="6">
        <v>90702</v>
      </c>
      <c r="H2107" t="str">
        <f>IFERROR(VLOOKUP(F2107,'LEAID Match'!$A$2:$B$142,2,FALSE),"")</f>
        <v/>
      </c>
    </row>
    <row r="2108" spans="1:8" x14ac:dyDescent="0.2">
      <c r="A2108" t="str">
        <f t="shared" si="32"/>
        <v/>
      </c>
      <c r="B2108" s="1">
        <v>2020</v>
      </c>
      <c r="C2108" s="1" t="s">
        <v>2505</v>
      </c>
      <c r="D2108" s="1" t="s">
        <v>2506</v>
      </c>
      <c r="E2108" s="1" t="s">
        <v>2019</v>
      </c>
      <c r="F2108" s="1" t="s">
        <v>211</v>
      </c>
      <c r="G2108" s="6">
        <v>107389</v>
      </c>
      <c r="H2108" t="str">
        <f>IFERROR(VLOOKUP(F2108,'LEAID Match'!$A$2:$B$142,2,FALSE),"")</f>
        <v/>
      </c>
    </row>
    <row r="2109" spans="1:8" x14ac:dyDescent="0.2">
      <c r="A2109" t="str">
        <f t="shared" si="32"/>
        <v/>
      </c>
      <c r="B2109" s="1">
        <v>2021</v>
      </c>
      <c r="C2109" s="1" t="s">
        <v>2505</v>
      </c>
      <c r="D2109" s="1" t="s">
        <v>2506</v>
      </c>
      <c r="E2109" s="1" t="s">
        <v>2019</v>
      </c>
      <c r="F2109" s="1" t="s">
        <v>211</v>
      </c>
      <c r="G2109" s="6">
        <v>108252</v>
      </c>
      <c r="H2109" t="str">
        <f>IFERROR(VLOOKUP(F2109,'LEAID Match'!$A$2:$B$142,2,FALSE),"")</f>
        <v/>
      </c>
    </row>
    <row r="2110" spans="1:8" x14ac:dyDescent="0.2">
      <c r="A2110" t="str">
        <f t="shared" si="32"/>
        <v/>
      </c>
      <c r="B2110" s="1">
        <v>2022</v>
      </c>
      <c r="C2110" s="1" t="s">
        <v>2505</v>
      </c>
      <c r="D2110" s="1" t="s">
        <v>2506</v>
      </c>
      <c r="E2110" s="1" t="s">
        <v>2019</v>
      </c>
      <c r="F2110" s="1" t="s">
        <v>211</v>
      </c>
      <c r="G2110" s="6">
        <v>113723</v>
      </c>
      <c r="H2110" t="str">
        <f>IFERROR(VLOOKUP(F2110,'LEAID Match'!$A$2:$B$142,2,FALSE),"")</f>
        <v/>
      </c>
    </row>
    <row r="2111" spans="1:8" x14ac:dyDescent="0.2">
      <c r="A2111" t="str">
        <f t="shared" si="32"/>
        <v/>
      </c>
      <c r="B2111" s="1">
        <v>2023</v>
      </c>
      <c r="C2111" s="1" t="s">
        <v>2505</v>
      </c>
      <c r="D2111" s="1" t="s">
        <v>2506</v>
      </c>
      <c r="E2111" s="1" t="s">
        <v>2019</v>
      </c>
      <c r="F2111" s="1" t="s">
        <v>211</v>
      </c>
      <c r="G2111" s="6">
        <v>124438</v>
      </c>
      <c r="H2111" t="str">
        <f>IFERROR(VLOOKUP(F2111,'LEAID Match'!$A$2:$B$142,2,FALSE),"")</f>
        <v/>
      </c>
    </row>
    <row r="2112" spans="1:8" x14ac:dyDescent="0.2">
      <c r="A2112" t="str">
        <f t="shared" si="32"/>
        <v/>
      </c>
      <c r="B2112" s="1">
        <v>2024</v>
      </c>
      <c r="C2112" s="1" t="s">
        <v>2505</v>
      </c>
      <c r="D2112" s="1" t="s">
        <v>2506</v>
      </c>
      <c r="E2112" s="1" t="s">
        <v>2019</v>
      </c>
      <c r="F2112" s="1" t="s">
        <v>211</v>
      </c>
      <c r="G2112" s="6">
        <v>133183</v>
      </c>
      <c r="H2112" t="str">
        <f>IFERROR(VLOOKUP(F2112,'LEAID Match'!$A$2:$B$142,2,FALSE),"")</f>
        <v/>
      </c>
    </row>
    <row r="2113" spans="1:8" x14ac:dyDescent="0.2">
      <c r="A2113" t="str">
        <f t="shared" si="32"/>
        <v/>
      </c>
      <c r="B2113" s="1">
        <v>2015</v>
      </c>
      <c r="C2113" s="1" t="s">
        <v>2505</v>
      </c>
      <c r="D2113" s="1" t="s">
        <v>2506</v>
      </c>
      <c r="E2113" s="1" t="s">
        <v>2019</v>
      </c>
      <c r="F2113" s="1" t="s">
        <v>212</v>
      </c>
      <c r="G2113" s="6">
        <v>179183</v>
      </c>
      <c r="H2113" t="str">
        <f>IFERROR(VLOOKUP(F2113,'LEAID Match'!$A$2:$B$142,2,FALSE),"")</f>
        <v/>
      </c>
    </row>
    <row r="2114" spans="1:8" x14ac:dyDescent="0.2">
      <c r="A2114" t="str">
        <f t="shared" si="32"/>
        <v/>
      </c>
      <c r="B2114">
        <v>2016</v>
      </c>
      <c r="C2114" s="1" t="s">
        <v>2505</v>
      </c>
      <c r="D2114" s="1" t="s">
        <v>2506</v>
      </c>
      <c r="E2114" s="1" t="s">
        <v>2019</v>
      </c>
      <c r="F2114" s="1" t="s">
        <v>212</v>
      </c>
      <c r="G2114" s="12">
        <v>188780</v>
      </c>
      <c r="H2114" t="str">
        <f>IFERROR(VLOOKUP(F2114,'LEAID Match'!$A$2:$B$142,2,FALSE),"")</f>
        <v/>
      </c>
    </row>
    <row r="2115" spans="1:8" x14ac:dyDescent="0.2">
      <c r="A2115" t="str">
        <f t="shared" ref="A2115:A2178" si="33">H2115</f>
        <v/>
      </c>
      <c r="B2115" s="1">
        <v>2017</v>
      </c>
      <c r="C2115" s="1" t="s">
        <v>2505</v>
      </c>
      <c r="D2115" s="1" t="s">
        <v>2506</v>
      </c>
      <c r="E2115" s="1" t="s">
        <v>2019</v>
      </c>
      <c r="F2115" s="1" t="s">
        <v>212</v>
      </c>
      <c r="G2115" s="47">
        <v>206296</v>
      </c>
      <c r="H2115" t="str">
        <f>IFERROR(VLOOKUP(F2115,'LEAID Match'!$A$2:$B$142,2,FALSE),"")</f>
        <v/>
      </c>
    </row>
    <row r="2116" spans="1:8" x14ac:dyDescent="0.2">
      <c r="A2116" t="str">
        <f t="shared" si="33"/>
        <v/>
      </c>
      <c r="B2116" s="1">
        <v>2018</v>
      </c>
      <c r="C2116" s="1" t="s">
        <v>2505</v>
      </c>
      <c r="D2116" s="1" t="s">
        <v>2506</v>
      </c>
      <c r="E2116" s="1" t="s">
        <v>2019</v>
      </c>
      <c r="F2116" s="1" t="s">
        <v>212</v>
      </c>
      <c r="G2116" s="6">
        <v>191961</v>
      </c>
      <c r="H2116" t="str">
        <f>IFERROR(VLOOKUP(F2116,'LEAID Match'!$A$2:$B$142,2,FALSE),"")</f>
        <v/>
      </c>
    </row>
    <row r="2117" spans="1:8" x14ac:dyDescent="0.2">
      <c r="A2117" t="str">
        <f t="shared" si="33"/>
        <v/>
      </c>
      <c r="B2117" s="1">
        <v>2019</v>
      </c>
      <c r="C2117" s="1" t="s">
        <v>2505</v>
      </c>
      <c r="D2117" s="1" t="s">
        <v>2506</v>
      </c>
      <c r="E2117" s="1" t="s">
        <v>2019</v>
      </c>
      <c r="F2117" s="1" t="s">
        <v>212</v>
      </c>
      <c r="G2117" s="6">
        <v>206918</v>
      </c>
      <c r="H2117" t="str">
        <f>IFERROR(VLOOKUP(F2117,'LEAID Match'!$A$2:$B$142,2,FALSE),"")</f>
        <v/>
      </c>
    </row>
    <row r="2118" spans="1:8" x14ac:dyDescent="0.2">
      <c r="A2118" t="str">
        <f t="shared" si="33"/>
        <v/>
      </c>
      <c r="B2118" s="1">
        <v>2020</v>
      </c>
      <c r="C2118" s="1" t="s">
        <v>2505</v>
      </c>
      <c r="D2118" s="1" t="s">
        <v>2506</v>
      </c>
      <c r="E2118" s="1" t="s">
        <v>2019</v>
      </c>
      <c r="F2118" s="1" t="s">
        <v>212</v>
      </c>
      <c r="G2118" s="6">
        <v>245234</v>
      </c>
      <c r="H2118" t="str">
        <f>IFERROR(VLOOKUP(F2118,'LEAID Match'!$A$2:$B$142,2,FALSE),"")</f>
        <v/>
      </c>
    </row>
    <row r="2119" spans="1:8" x14ac:dyDescent="0.2">
      <c r="A2119" t="str">
        <f t="shared" si="33"/>
        <v/>
      </c>
      <c r="B2119" s="1">
        <v>2021</v>
      </c>
      <c r="C2119" s="1" t="s">
        <v>2505</v>
      </c>
      <c r="D2119" s="1" t="s">
        <v>2506</v>
      </c>
      <c r="E2119" s="1" t="s">
        <v>2019</v>
      </c>
      <c r="F2119" s="1" t="s">
        <v>212</v>
      </c>
      <c r="G2119" s="6">
        <v>247088</v>
      </c>
      <c r="H2119" t="str">
        <f>IFERROR(VLOOKUP(F2119,'LEAID Match'!$A$2:$B$142,2,FALSE),"")</f>
        <v/>
      </c>
    </row>
    <row r="2120" spans="1:8" x14ac:dyDescent="0.2">
      <c r="A2120" t="str">
        <f t="shared" si="33"/>
        <v/>
      </c>
      <c r="B2120" s="1">
        <v>2022</v>
      </c>
      <c r="C2120" s="1" t="s">
        <v>2505</v>
      </c>
      <c r="D2120" s="1" t="s">
        <v>2506</v>
      </c>
      <c r="E2120" s="1" t="s">
        <v>2019</v>
      </c>
      <c r="F2120" s="1" t="s">
        <v>212</v>
      </c>
      <c r="G2120" s="6">
        <v>267645</v>
      </c>
      <c r="H2120" t="str">
        <f>IFERROR(VLOOKUP(F2120,'LEAID Match'!$A$2:$B$142,2,FALSE),"")</f>
        <v/>
      </c>
    </row>
    <row r="2121" spans="1:8" x14ac:dyDescent="0.2">
      <c r="A2121" t="str">
        <f t="shared" si="33"/>
        <v/>
      </c>
      <c r="B2121" s="1">
        <v>2023</v>
      </c>
      <c r="C2121" s="1" t="s">
        <v>2505</v>
      </c>
      <c r="D2121" s="1" t="s">
        <v>2506</v>
      </c>
      <c r="E2121" s="1" t="s">
        <v>2019</v>
      </c>
      <c r="F2121" s="1" t="s">
        <v>212</v>
      </c>
      <c r="G2121" s="6">
        <v>303086</v>
      </c>
      <c r="H2121" t="str">
        <f>IFERROR(VLOOKUP(F2121,'LEAID Match'!$A$2:$B$142,2,FALSE),"")</f>
        <v/>
      </c>
    </row>
    <row r="2122" spans="1:8" x14ac:dyDescent="0.2">
      <c r="A2122" t="str">
        <f t="shared" si="33"/>
        <v/>
      </c>
      <c r="B2122" s="1">
        <v>2024</v>
      </c>
      <c r="C2122" s="1" t="s">
        <v>2505</v>
      </c>
      <c r="D2122" s="1" t="s">
        <v>2506</v>
      </c>
      <c r="E2122" s="1" t="s">
        <v>2019</v>
      </c>
      <c r="F2122" s="1" t="s">
        <v>212</v>
      </c>
      <c r="G2122" s="6">
        <v>319768</v>
      </c>
      <c r="H2122" t="str">
        <f>IFERROR(VLOOKUP(F2122,'LEAID Match'!$A$2:$B$142,2,FALSE),"")</f>
        <v/>
      </c>
    </row>
    <row r="2123" spans="1:8" x14ac:dyDescent="0.2">
      <c r="A2123" t="str">
        <f t="shared" si="33"/>
        <v/>
      </c>
      <c r="B2123" s="1">
        <v>2015</v>
      </c>
      <c r="C2123" s="1" t="s">
        <v>2505</v>
      </c>
      <c r="D2123" s="1" t="s">
        <v>2506</v>
      </c>
      <c r="E2123" s="1" t="s">
        <v>2019</v>
      </c>
      <c r="F2123" s="1" t="s">
        <v>213</v>
      </c>
      <c r="G2123" s="6">
        <v>1473019</v>
      </c>
      <c r="H2123" t="str">
        <f>IFERROR(VLOOKUP(F2123,'LEAID Match'!$A$2:$B$142,2,FALSE),"")</f>
        <v/>
      </c>
    </row>
    <row r="2124" spans="1:8" x14ac:dyDescent="0.2">
      <c r="A2124" t="str">
        <f t="shared" si="33"/>
        <v/>
      </c>
      <c r="B2124">
        <v>2016</v>
      </c>
      <c r="C2124" s="1" t="s">
        <v>2505</v>
      </c>
      <c r="D2124" s="1" t="s">
        <v>2506</v>
      </c>
      <c r="E2124" s="1" t="s">
        <v>2019</v>
      </c>
      <c r="F2124" s="1" t="s">
        <v>213</v>
      </c>
      <c r="G2124" s="12">
        <v>1505795</v>
      </c>
      <c r="H2124" t="str">
        <f>IFERROR(VLOOKUP(F2124,'LEAID Match'!$A$2:$B$142,2,FALSE),"")</f>
        <v/>
      </c>
    </row>
    <row r="2125" spans="1:8" x14ac:dyDescent="0.2">
      <c r="A2125" t="str">
        <f t="shared" si="33"/>
        <v/>
      </c>
      <c r="B2125" s="1">
        <v>2017</v>
      </c>
      <c r="C2125" s="1" t="s">
        <v>2505</v>
      </c>
      <c r="D2125" s="1" t="s">
        <v>2506</v>
      </c>
      <c r="E2125" s="1" t="s">
        <v>2019</v>
      </c>
      <c r="F2125" s="1" t="s">
        <v>213</v>
      </c>
      <c r="G2125" s="47">
        <v>1540679</v>
      </c>
      <c r="H2125" t="str">
        <f>IFERROR(VLOOKUP(F2125,'LEAID Match'!$A$2:$B$142,2,FALSE),"")</f>
        <v/>
      </c>
    </row>
    <row r="2126" spans="1:8" x14ac:dyDescent="0.2">
      <c r="A2126" t="str">
        <f t="shared" si="33"/>
        <v/>
      </c>
      <c r="B2126" s="1">
        <v>2018</v>
      </c>
      <c r="C2126" s="1" t="s">
        <v>2505</v>
      </c>
      <c r="D2126" s="1" t="s">
        <v>2506</v>
      </c>
      <c r="E2126" s="1" t="s">
        <v>2019</v>
      </c>
      <c r="F2126" s="1" t="s">
        <v>213</v>
      </c>
      <c r="G2126" s="6">
        <v>1589434</v>
      </c>
      <c r="H2126" t="str">
        <f>IFERROR(VLOOKUP(F2126,'LEAID Match'!$A$2:$B$142,2,FALSE),"")</f>
        <v/>
      </c>
    </row>
    <row r="2127" spans="1:8" x14ac:dyDescent="0.2">
      <c r="A2127" t="str">
        <f t="shared" si="33"/>
        <v/>
      </c>
      <c r="B2127" s="1">
        <v>2019</v>
      </c>
      <c r="C2127" s="1" t="s">
        <v>2505</v>
      </c>
      <c r="D2127" s="1" t="s">
        <v>2506</v>
      </c>
      <c r="E2127" s="1" t="s">
        <v>2019</v>
      </c>
      <c r="F2127" s="1" t="s">
        <v>213</v>
      </c>
      <c r="G2127" s="6">
        <v>1572330</v>
      </c>
      <c r="H2127" t="str">
        <f>IFERROR(VLOOKUP(F2127,'LEAID Match'!$A$2:$B$142,2,FALSE),"")</f>
        <v/>
      </c>
    </row>
    <row r="2128" spans="1:8" x14ac:dyDescent="0.2">
      <c r="A2128" t="str">
        <f t="shared" si="33"/>
        <v/>
      </c>
      <c r="B2128" s="1">
        <v>2020</v>
      </c>
      <c r="C2128" s="1" t="s">
        <v>2505</v>
      </c>
      <c r="D2128" s="1" t="s">
        <v>2506</v>
      </c>
      <c r="E2128" s="1" t="s">
        <v>2019</v>
      </c>
      <c r="F2128" s="1" t="s">
        <v>213</v>
      </c>
      <c r="G2128" s="6">
        <v>1723374</v>
      </c>
      <c r="H2128" t="str">
        <f>IFERROR(VLOOKUP(F2128,'LEAID Match'!$A$2:$B$142,2,FALSE),"")</f>
        <v/>
      </c>
    </row>
    <row r="2129" spans="1:8" x14ac:dyDescent="0.2">
      <c r="A2129" t="str">
        <f t="shared" si="33"/>
        <v/>
      </c>
      <c r="B2129" s="1">
        <v>2021</v>
      </c>
      <c r="C2129" s="1" t="s">
        <v>2505</v>
      </c>
      <c r="D2129" s="1" t="s">
        <v>2506</v>
      </c>
      <c r="E2129" s="1" t="s">
        <v>2019</v>
      </c>
      <c r="F2129" s="1" t="s">
        <v>213</v>
      </c>
      <c r="G2129" s="6">
        <v>1765726</v>
      </c>
      <c r="H2129" t="str">
        <f>IFERROR(VLOOKUP(F2129,'LEAID Match'!$A$2:$B$142,2,FALSE),"")</f>
        <v/>
      </c>
    </row>
    <row r="2130" spans="1:8" x14ac:dyDescent="0.2">
      <c r="A2130" t="str">
        <f t="shared" si="33"/>
        <v/>
      </c>
      <c r="B2130" s="1">
        <v>2022</v>
      </c>
      <c r="C2130" s="1" t="s">
        <v>2505</v>
      </c>
      <c r="D2130" s="1" t="s">
        <v>2506</v>
      </c>
      <c r="E2130" s="1" t="s">
        <v>2019</v>
      </c>
      <c r="F2130" s="1" t="s">
        <v>213</v>
      </c>
      <c r="G2130" s="6">
        <v>1811015</v>
      </c>
      <c r="H2130" t="str">
        <f>IFERROR(VLOOKUP(F2130,'LEAID Match'!$A$2:$B$142,2,FALSE),"")</f>
        <v/>
      </c>
    </row>
    <row r="2131" spans="1:8" x14ac:dyDescent="0.2">
      <c r="A2131" t="str">
        <f t="shared" si="33"/>
        <v/>
      </c>
      <c r="B2131" s="1">
        <v>2023</v>
      </c>
      <c r="C2131" s="1" t="s">
        <v>2505</v>
      </c>
      <c r="D2131" s="1" t="s">
        <v>2506</v>
      </c>
      <c r="E2131" s="1" t="s">
        <v>2019</v>
      </c>
      <c r="F2131" s="1" t="s">
        <v>213</v>
      </c>
      <c r="G2131" s="6">
        <v>1945917</v>
      </c>
      <c r="H2131" t="str">
        <f>IFERROR(VLOOKUP(F2131,'LEAID Match'!$A$2:$B$142,2,FALSE),"")</f>
        <v/>
      </c>
    </row>
    <row r="2132" spans="1:8" x14ac:dyDescent="0.2">
      <c r="A2132" t="str">
        <f t="shared" si="33"/>
        <v/>
      </c>
      <c r="B2132" s="1">
        <v>2024</v>
      </c>
      <c r="C2132" s="1" t="s">
        <v>2505</v>
      </c>
      <c r="D2132" s="1" t="s">
        <v>2506</v>
      </c>
      <c r="E2132" s="1" t="s">
        <v>2019</v>
      </c>
      <c r="F2132" s="1" t="s">
        <v>213</v>
      </c>
      <c r="G2132" s="6">
        <v>2098128</v>
      </c>
      <c r="H2132" t="str">
        <f>IFERROR(VLOOKUP(F2132,'LEAID Match'!$A$2:$B$142,2,FALSE),"")</f>
        <v/>
      </c>
    </row>
    <row r="2133" spans="1:8" x14ac:dyDescent="0.2">
      <c r="A2133" t="str">
        <f t="shared" si="33"/>
        <v/>
      </c>
      <c r="B2133" s="1">
        <v>2015</v>
      </c>
      <c r="C2133" s="1" t="s">
        <v>2505</v>
      </c>
      <c r="D2133" s="1" t="s">
        <v>2506</v>
      </c>
      <c r="E2133" s="1" t="s">
        <v>2019</v>
      </c>
      <c r="F2133" s="1" t="s">
        <v>214</v>
      </c>
      <c r="G2133" s="6">
        <v>437469</v>
      </c>
      <c r="H2133" t="str">
        <f>IFERROR(VLOOKUP(F2133,'LEAID Match'!$A$2:$B$142,2,FALSE),"")</f>
        <v/>
      </c>
    </row>
    <row r="2134" spans="1:8" x14ac:dyDescent="0.2">
      <c r="A2134" t="str">
        <f t="shared" si="33"/>
        <v/>
      </c>
      <c r="B2134">
        <v>2016</v>
      </c>
      <c r="C2134" s="1" t="s">
        <v>2505</v>
      </c>
      <c r="D2134" s="1" t="s">
        <v>2506</v>
      </c>
      <c r="E2134" s="1" t="s">
        <v>2019</v>
      </c>
      <c r="F2134" s="1" t="s">
        <v>214</v>
      </c>
      <c r="G2134" s="12">
        <v>438383</v>
      </c>
      <c r="H2134" t="str">
        <f>IFERROR(VLOOKUP(F2134,'LEAID Match'!$A$2:$B$142,2,FALSE),"")</f>
        <v/>
      </c>
    </row>
    <row r="2135" spans="1:8" x14ac:dyDescent="0.2">
      <c r="A2135" t="str">
        <f t="shared" si="33"/>
        <v/>
      </c>
      <c r="B2135" s="1">
        <v>2017</v>
      </c>
      <c r="C2135" s="1" t="s">
        <v>2505</v>
      </c>
      <c r="D2135" s="1" t="s">
        <v>2506</v>
      </c>
      <c r="E2135" s="1" t="s">
        <v>2019</v>
      </c>
      <c r="F2135" s="1" t="s">
        <v>214</v>
      </c>
      <c r="G2135" s="47">
        <v>450894</v>
      </c>
      <c r="H2135" t="str">
        <f>IFERROR(VLOOKUP(F2135,'LEAID Match'!$A$2:$B$142,2,FALSE),"")</f>
        <v/>
      </c>
    </row>
    <row r="2136" spans="1:8" x14ac:dyDescent="0.2">
      <c r="A2136" t="str">
        <f t="shared" si="33"/>
        <v/>
      </c>
      <c r="B2136" s="1">
        <v>2018</v>
      </c>
      <c r="C2136" s="1" t="s">
        <v>2505</v>
      </c>
      <c r="D2136" s="1" t="s">
        <v>2506</v>
      </c>
      <c r="E2136" s="1" t="s">
        <v>2019</v>
      </c>
      <c r="F2136" s="1" t="s">
        <v>214</v>
      </c>
      <c r="G2136" s="6">
        <v>452661</v>
      </c>
      <c r="H2136" t="str">
        <f>IFERROR(VLOOKUP(F2136,'LEAID Match'!$A$2:$B$142,2,FALSE),"")</f>
        <v/>
      </c>
    </row>
    <row r="2137" spans="1:8" x14ac:dyDescent="0.2">
      <c r="A2137" t="str">
        <f t="shared" si="33"/>
        <v/>
      </c>
      <c r="B2137" s="1">
        <v>2019</v>
      </c>
      <c r="C2137" s="1" t="s">
        <v>2505</v>
      </c>
      <c r="D2137" s="1" t="s">
        <v>2506</v>
      </c>
      <c r="E2137" s="1" t="s">
        <v>2019</v>
      </c>
      <c r="F2137" s="1" t="s">
        <v>214</v>
      </c>
      <c r="G2137" s="6">
        <v>465686</v>
      </c>
      <c r="H2137" t="str">
        <f>IFERROR(VLOOKUP(F2137,'LEAID Match'!$A$2:$B$142,2,FALSE),"")</f>
        <v/>
      </c>
    </row>
    <row r="2138" spans="1:8" x14ac:dyDescent="0.2">
      <c r="A2138" t="str">
        <f t="shared" si="33"/>
        <v/>
      </c>
      <c r="B2138" s="1">
        <v>2020</v>
      </c>
      <c r="C2138" s="1" t="s">
        <v>2505</v>
      </c>
      <c r="D2138" s="1" t="s">
        <v>2506</v>
      </c>
      <c r="E2138" s="1" t="s">
        <v>2019</v>
      </c>
      <c r="F2138" s="1" t="s">
        <v>214</v>
      </c>
      <c r="G2138" s="6">
        <v>538604</v>
      </c>
      <c r="H2138" t="str">
        <f>IFERROR(VLOOKUP(F2138,'LEAID Match'!$A$2:$B$142,2,FALSE),"")</f>
        <v/>
      </c>
    </row>
    <row r="2139" spans="1:8" x14ac:dyDescent="0.2">
      <c r="A2139" t="str">
        <f t="shared" si="33"/>
        <v/>
      </c>
      <c r="B2139" s="1">
        <v>2021</v>
      </c>
      <c r="C2139" s="1" t="s">
        <v>2505</v>
      </c>
      <c r="D2139" s="1" t="s">
        <v>2506</v>
      </c>
      <c r="E2139" s="1" t="s">
        <v>2019</v>
      </c>
      <c r="F2139" s="1" t="s">
        <v>214</v>
      </c>
      <c r="G2139" s="6">
        <v>556052</v>
      </c>
      <c r="H2139" t="str">
        <f>IFERROR(VLOOKUP(F2139,'LEAID Match'!$A$2:$B$142,2,FALSE),"")</f>
        <v/>
      </c>
    </row>
    <row r="2140" spans="1:8" x14ac:dyDescent="0.2">
      <c r="A2140" t="str">
        <f t="shared" si="33"/>
        <v/>
      </c>
      <c r="B2140" s="1">
        <v>2022</v>
      </c>
      <c r="C2140" s="1" t="s">
        <v>2505</v>
      </c>
      <c r="D2140" s="1" t="s">
        <v>2506</v>
      </c>
      <c r="E2140" s="1" t="s">
        <v>2019</v>
      </c>
      <c r="F2140" s="1" t="s">
        <v>214</v>
      </c>
      <c r="G2140" s="6">
        <v>545719</v>
      </c>
      <c r="H2140" t="str">
        <f>IFERROR(VLOOKUP(F2140,'LEAID Match'!$A$2:$B$142,2,FALSE),"")</f>
        <v/>
      </c>
    </row>
    <row r="2141" spans="1:8" x14ac:dyDescent="0.2">
      <c r="A2141" t="str">
        <f t="shared" si="33"/>
        <v/>
      </c>
      <c r="B2141" s="1">
        <v>2023</v>
      </c>
      <c r="C2141" s="1" t="s">
        <v>2505</v>
      </c>
      <c r="D2141" s="1" t="s">
        <v>2506</v>
      </c>
      <c r="E2141" s="1" t="s">
        <v>2019</v>
      </c>
      <c r="F2141" s="1" t="s">
        <v>214</v>
      </c>
      <c r="G2141" s="6">
        <v>551763</v>
      </c>
      <c r="H2141" t="str">
        <f>IFERROR(VLOOKUP(F2141,'LEAID Match'!$A$2:$B$142,2,FALSE),"")</f>
        <v/>
      </c>
    </row>
    <row r="2142" spans="1:8" x14ac:dyDescent="0.2">
      <c r="A2142" t="str">
        <f t="shared" si="33"/>
        <v/>
      </c>
      <c r="B2142" s="1">
        <v>2024</v>
      </c>
      <c r="C2142" s="1" t="s">
        <v>2505</v>
      </c>
      <c r="D2142" s="1" t="s">
        <v>2506</v>
      </c>
      <c r="E2142" s="1" t="s">
        <v>2019</v>
      </c>
      <c r="F2142" s="1" t="s">
        <v>214</v>
      </c>
      <c r="G2142" s="6">
        <v>582456</v>
      </c>
      <c r="H2142" t="str">
        <f>IFERROR(VLOOKUP(F2142,'LEAID Match'!$A$2:$B$142,2,FALSE),"")</f>
        <v/>
      </c>
    </row>
    <row r="2143" spans="1:8" x14ac:dyDescent="0.2">
      <c r="A2143" t="str">
        <f t="shared" si="33"/>
        <v/>
      </c>
      <c r="B2143" s="1">
        <v>2015</v>
      </c>
      <c r="C2143" s="1" t="s">
        <v>2505</v>
      </c>
      <c r="D2143" s="1" t="s">
        <v>2506</v>
      </c>
      <c r="E2143" s="1" t="s">
        <v>2019</v>
      </c>
      <c r="F2143" s="1" t="s">
        <v>215</v>
      </c>
      <c r="G2143" s="6">
        <v>25233</v>
      </c>
      <c r="H2143" t="str">
        <f>IFERROR(VLOOKUP(F2143,'LEAID Match'!$A$2:$B$142,2,FALSE),"")</f>
        <v/>
      </c>
    </row>
    <row r="2144" spans="1:8" x14ac:dyDescent="0.2">
      <c r="A2144" t="str">
        <f t="shared" si="33"/>
        <v/>
      </c>
      <c r="B2144">
        <v>2016</v>
      </c>
      <c r="C2144" s="1" t="s">
        <v>2505</v>
      </c>
      <c r="D2144" s="1" t="s">
        <v>2506</v>
      </c>
      <c r="E2144" s="1" t="s">
        <v>2019</v>
      </c>
      <c r="F2144" s="1" t="s">
        <v>215</v>
      </c>
      <c r="G2144" s="12">
        <v>26658</v>
      </c>
      <c r="H2144" t="str">
        <f>IFERROR(VLOOKUP(F2144,'LEAID Match'!$A$2:$B$142,2,FALSE),"")</f>
        <v/>
      </c>
    </row>
    <row r="2145" spans="1:8" x14ac:dyDescent="0.2">
      <c r="A2145" t="str">
        <f t="shared" si="33"/>
        <v/>
      </c>
      <c r="B2145" s="1">
        <v>2017</v>
      </c>
      <c r="C2145" s="1" t="s">
        <v>2505</v>
      </c>
      <c r="D2145" s="1" t="s">
        <v>2506</v>
      </c>
      <c r="E2145" s="1" t="s">
        <v>2019</v>
      </c>
      <c r="F2145" s="1" t="s">
        <v>215</v>
      </c>
      <c r="G2145" s="47">
        <v>23505</v>
      </c>
      <c r="H2145" t="str">
        <f>IFERROR(VLOOKUP(F2145,'LEAID Match'!$A$2:$B$142,2,FALSE),"")</f>
        <v/>
      </c>
    </row>
    <row r="2146" spans="1:8" x14ac:dyDescent="0.2">
      <c r="A2146" t="str">
        <f t="shared" si="33"/>
        <v/>
      </c>
      <c r="B2146" s="1">
        <v>2018</v>
      </c>
      <c r="C2146" s="1" t="s">
        <v>2505</v>
      </c>
      <c r="D2146" s="1" t="s">
        <v>2506</v>
      </c>
      <c r="E2146" s="1" t="s">
        <v>2019</v>
      </c>
      <c r="F2146" s="1" t="s">
        <v>215</v>
      </c>
      <c r="G2146" s="6">
        <v>24176</v>
      </c>
      <c r="H2146" t="str">
        <f>IFERROR(VLOOKUP(F2146,'LEAID Match'!$A$2:$B$142,2,FALSE),"")</f>
        <v/>
      </c>
    </row>
    <row r="2147" spans="1:8" x14ac:dyDescent="0.2">
      <c r="A2147" t="str">
        <f t="shared" si="33"/>
        <v/>
      </c>
      <c r="B2147" s="1">
        <v>2019</v>
      </c>
      <c r="C2147" s="1" t="s">
        <v>2505</v>
      </c>
      <c r="D2147" s="1" t="s">
        <v>2506</v>
      </c>
      <c r="E2147" s="1" t="s">
        <v>2019</v>
      </c>
      <c r="F2147" s="1" t="s">
        <v>215</v>
      </c>
      <c r="G2147" s="6">
        <v>20903</v>
      </c>
      <c r="H2147" t="str">
        <f>IFERROR(VLOOKUP(F2147,'LEAID Match'!$A$2:$B$142,2,FALSE),"")</f>
        <v/>
      </c>
    </row>
    <row r="2148" spans="1:8" x14ac:dyDescent="0.2">
      <c r="A2148" t="str">
        <f t="shared" si="33"/>
        <v/>
      </c>
      <c r="B2148" s="1">
        <v>2020</v>
      </c>
      <c r="C2148" s="1" t="s">
        <v>2505</v>
      </c>
      <c r="D2148" s="1" t="s">
        <v>2506</v>
      </c>
      <c r="E2148" s="1" t="s">
        <v>2019</v>
      </c>
      <c r="F2148" s="1" t="s">
        <v>215</v>
      </c>
      <c r="G2148" s="6">
        <v>21876</v>
      </c>
      <c r="H2148" t="str">
        <f>IFERROR(VLOOKUP(F2148,'LEAID Match'!$A$2:$B$142,2,FALSE),"")</f>
        <v/>
      </c>
    </row>
    <row r="2149" spans="1:8" x14ac:dyDescent="0.2">
      <c r="A2149" t="str">
        <f t="shared" si="33"/>
        <v/>
      </c>
      <c r="B2149" s="1">
        <v>2021</v>
      </c>
      <c r="C2149" s="1" t="s">
        <v>2505</v>
      </c>
      <c r="D2149" s="1" t="s">
        <v>2506</v>
      </c>
      <c r="E2149" s="1" t="s">
        <v>2019</v>
      </c>
      <c r="F2149" s="1" t="s">
        <v>215</v>
      </c>
      <c r="G2149" s="6">
        <v>21349</v>
      </c>
      <c r="H2149" t="str">
        <f>IFERROR(VLOOKUP(F2149,'LEAID Match'!$A$2:$B$142,2,FALSE),"")</f>
        <v/>
      </c>
    </row>
    <row r="2150" spans="1:8" x14ac:dyDescent="0.2">
      <c r="A2150" t="str">
        <f t="shared" si="33"/>
        <v/>
      </c>
      <c r="B2150" s="1">
        <v>2022</v>
      </c>
      <c r="C2150" s="1" t="s">
        <v>2505</v>
      </c>
      <c r="D2150" s="1" t="s">
        <v>2506</v>
      </c>
      <c r="E2150" s="1" t="s">
        <v>2019</v>
      </c>
      <c r="F2150" s="1" t="s">
        <v>215</v>
      </c>
      <c r="G2150" s="6">
        <v>23300</v>
      </c>
      <c r="H2150" t="str">
        <f>IFERROR(VLOOKUP(F2150,'LEAID Match'!$A$2:$B$142,2,FALSE),"")</f>
        <v/>
      </c>
    </row>
    <row r="2151" spans="1:8" x14ac:dyDescent="0.2">
      <c r="A2151" t="str">
        <f t="shared" si="33"/>
        <v/>
      </c>
      <c r="B2151" s="1">
        <v>2023</v>
      </c>
      <c r="C2151" s="1" t="s">
        <v>2505</v>
      </c>
      <c r="D2151" s="1" t="s">
        <v>2506</v>
      </c>
      <c r="E2151" s="1" t="s">
        <v>2019</v>
      </c>
      <c r="F2151" s="1" t="s">
        <v>215</v>
      </c>
      <c r="G2151" s="6">
        <v>24610</v>
      </c>
      <c r="H2151" t="str">
        <f>IFERROR(VLOOKUP(F2151,'LEAID Match'!$A$2:$B$142,2,FALSE),"")</f>
        <v/>
      </c>
    </row>
    <row r="2152" spans="1:8" x14ac:dyDescent="0.2">
      <c r="A2152" t="str">
        <f t="shared" si="33"/>
        <v/>
      </c>
      <c r="B2152" s="1">
        <v>2024</v>
      </c>
      <c r="C2152" s="1" t="s">
        <v>2505</v>
      </c>
      <c r="D2152" s="1" t="s">
        <v>2506</v>
      </c>
      <c r="E2152" s="1" t="s">
        <v>2019</v>
      </c>
      <c r="F2152" s="1" t="s">
        <v>215</v>
      </c>
      <c r="G2152" s="6">
        <v>25639</v>
      </c>
      <c r="H2152" t="str">
        <f>IFERROR(VLOOKUP(F2152,'LEAID Match'!$A$2:$B$142,2,FALSE),"")</f>
        <v/>
      </c>
    </row>
    <row r="2153" spans="1:8" x14ac:dyDescent="0.2">
      <c r="A2153">
        <f t="shared" si="33"/>
        <v>2801470</v>
      </c>
      <c r="B2153" s="1">
        <v>2015</v>
      </c>
      <c r="C2153" s="1" t="s">
        <v>2505</v>
      </c>
      <c r="D2153" s="1" t="s">
        <v>2506</v>
      </c>
      <c r="E2153" s="1" t="s">
        <v>2019</v>
      </c>
      <c r="F2153" s="1" t="s">
        <v>216</v>
      </c>
      <c r="G2153" s="6">
        <v>1119040</v>
      </c>
      <c r="H2153">
        <f>IFERROR(VLOOKUP(F2153,'LEAID Match'!$A$2:$B$142,2,FALSE),"")</f>
        <v>2801470</v>
      </c>
    </row>
    <row r="2154" spans="1:8" x14ac:dyDescent="0.2">
      <c r="A2154">
        <f t="shared" si="33"/>
        <v>2801470</v>
      </c>
      <c r="B2154">
        <v>2016</v>
      </c>
      <c r="C2154" s="1" t="s">
        <v>2505</v>
      </c>
      <c r="D2154" s="1" t="s">
        <v>2506</v>
      </c>
      <c r="E2154" s="1" t="s">
        <v>2019</v>
      </c>
      <c r="F2154" s="1" t="s">
        <v>216</v>
      </c>
      <c r="G2154" s="12">
        <v>1144508</v>
      </c>
      <c r="H2154">
        <f>IFERROR(VLOOKUP(F2154,'LEAID Match'!$A$2:$B$142,2,FALSE),"")</f>
        <v>2801470</v>
      </c>
    </row>
    <row r="2155" spans="1:8" x14ac:dyDescent="0.2">
      <c r="A2155">
        <f t="shared" si="33"/>
        <v>2801470</v>
      </c>
      <c r="B2155" s="1">
        <v>2017</v>
      </c>
      <c r="C2155" s="1" t="s">
        <v>2505</v>
      </c>
      <c r="D2155" s="1" t="s">
        <v>2506</v>
      </c>
      <c r="E2155" s="1" t="s">
        <v>2019</v>
      </c>
      <c r="F2155" s="1" t="s">
        <v>216</v>
      </c>
      <c r="G2155" s="47">
        <v>1189896</v>
      </c>
      <c r="H2155">
        <f>IFERROR(VLOOKUP(F2155,'LEAID Match'!$A$2:$B$142,2,FALSE),"")</f>
        <v>2801470</v>
      </c>
    </row>
    <row r="2156" spans="1:8" x14ac:dyDescent="0.2">
      <c r="A2156">
        <f t="shared" si="33"/>
        <v>2801470</v>
      </c>
      <c r="B2156" s="1">
        <v>2018</v>
      </c>
      <c r="C2156" s="1" t="s">
        <v>2505</v>
      </c>
      <c r="D2156" s="1" t="s">
        <v>2506</v>
      </c>
      <c r="E2156" s="1" t="s">
        <v>2019</v>
      </c>
      <c r="F2156" s="1" t="s">
        <v>216</v>
      </c>
      <c r="G2156" s="6">
        <v>1136321</v>
      </c>
      <c r="H2156">
        <f>IFERROR(VLOOKUP(F2156,'LEAID Match'!$A$2:$B$142,2,FALSE),"")</f>
        <v>2801470</v>
      </c>
    </row>
    <row r="2157" spans="1:8" x14ac:dyDescent="0.2">
      <c r="A2157">
        <f t="shared" si="33"/>
        <v>2801470</v>
      </c>
      <c r="B2157" s="1">
        <v>2019</v>
      </c>
      <c r="C2157" s="1" t="s">
        <v>2505</v>
      </c>
      <c r="D2157" s="1" t="s">
        <v>2506</v>
      </c>
      <c r="E2157" s="1" t="s">
        <v>2019</v>
      </c>
      <c r="F2157" s="1" t="s">
        <v>216</v>
      </c>
      <c r="G2157" s="6">
        <v>1234457</v>
      </c>
      <c r="H2157">
        <f>IFERROR(VLOOKUP(F2157,'LEAID Match'!$A$2:$B$142,2,FALSE),"")</f>
        <v>2801470</v>
      </c>
    </row>
    <row r="2158" spans="1:8" x14ac:dyDescent="0.2">
      <c r="A2158">
        <f t="shared" si="33"/>
        <v>2801470</v>
      </c>
      <c r="B2158" s="1">
        <v>2020</v>
      </c>
      <c r="C2158" s="1" t="s">
        <v>2505</v>
      </c>
      <c r="D2158" s="1" t="s">
        <v>2506</v>
      </c>
      <c r="E2158" s="1" t="s">
        <v>2019</v>
      </c>
      <c r="F2158" s="1" t="s">
        <v>216</v>
      </c>
      <c r="G2158" s="6">
        <v>1401513</v>
      </c>
      <c r="H2158">
        <f>IFERROR(VLOOKUP(F2158,'LEAID Match'!$A$2:$B$142,2,FALSE),"")</f>
        <v>2801470</v>
      </c>
    </row>
    <row r="2159" spans="1:8" x14ac:dyDescent="0.2">
      <c r="A2159">
        <f t="shared" si="33"/>
        <v>2801470</v>
      </c>
      <c r="B2159" s="1">
        <v>2021</v>
      </c>
      <c r="C2159" s="1" t="s">
        <v>2505</v>
      </c>
      <c r="D2159" s="1" t="s">
        <v>2506</v>
      </c>
      <c r="E2159" s="1" t="s">
        <v>2019</v>
      </c>
      <c r="F2159" s="1" t="s">
        <v>216</v>
      </c>
      <c r="G2159" s="6">
        <v>1439527</v>
      </c>
      <c r="H2159">
        <f>IFERROR(VLOOKUP(F2159,'LEAID Match'!$A$2:$B$142,2,FALSE),"")</f>
        <v>2801470</v>
      </c>
    </row>
    <row r="2160" spans="1:8" x14ac:dyDescent="0.2">
      <c r="A2160">
        <f t="shared" si="33"/>
        <v>2801470</v>
      </c>
      <c r="B2160" s="1">
        <v>2022</v>
      </c>
      <c r="C2160" s="1" t="s">
        <v>2505</v>
      </c>
      <c r="D2160" s="1" t="s">
        <v>2506</v>
      </c>
      <c r="E2160" s="1" t="s">
        <v>2019</v>
      </c>
      <c r="F2160" s="1" t="s">
        <v>216</v>
      </c>
      <c r="G2160" s="6">
        <v>1623680</v>
      </c>
      <c r="H2160">
        <f>IFERROR(VLOOKUP(F2160,'LEAID Match'!$A$2:$B$142,2,FALSE),"")</f>
        <v>2801470</v>
      </c>
    </row>
    <row r="2161" spans="1:8" x14ac:dyDescent="0.2">
      <c r="A2161">
        <f t="shared" si="33"/>
        <v>2801470</v>
      </c>
      <c r="B2161" s="1">
        <v>2023</v>
      </c>
      <c r="C2161" s="1" t="s">
        <v>2505</v>
      </c>
      <c r="D2161" s="1" t="s">
        <v>2506</v>
      </c>
      <c r="E2161" s="1" t="s">
        <v>2019</v>
      </c>
      <c r="F2161" s="1" t="s">
        <v>216</v>
      </c>
      <c r="G2161" s="6">
        <v>1876330</v>
      </c>
      <c r="H2161">
        <f>IFERROR(VLOOKUP(F2161,'LEAID Match'!$A$2:$B$142,2,FALSE),"")</f>
        <v>2801470</v>
      </c>
    </row>
    <row r="2162" spans="1:8" x14ac:dyDescent="0.2">
      <c r="A2162">
        <f t="shared" si="33"/>
        <v>2801470</v>
      </c>
      <c r="B2162" s="1">
        <v>2024</v>
      </c>
      <c r="C2162" s="1" t="s">
        <v>2505</v>
      </c>
      <c r="D2162" s="1" t="s">
        <v>2506</v>
      </c>
      <c r="E2162" s="1" t="s">
        <v>2019</v>
      </c>
      <c r="F2162" s="1" t="s">
        <v>216</v>
      </c>
      <c r="G2162" s="6">
        <v>1789014</v>
      </c>
      <c r="H2162">
        <f>IFERROR(VLOOKUP(F2162,'LEAID Match'!$A$2:$B$142,2,FALSE),"")</f>
        <v>2801470</v>
      </c>
    </row>
    <row r="2163" spans="1:8" x14ac:dyDescent="0.2">
      <c r="A2163" t="str">
        <f t="shared" si="33"/>
        <v/>
      </c>
      <c r="B2163" s="1">
        <v>2015</v>
      </c>
      <c r="C2163" s="1" t="s">
        <v>2505</v>
      </c>
      <c r="D2163" s="1" t="s">
        <v>2506</v>
      </c>
      <c r="E2163" s="1" t="s">
        <v>2019</v>
      </c>
      <c r="F2163" s="1" t="s">
        <v>217</v>
      </c>
      <c r="G2163" s="6">
        <v>2074956</v>
      </c>
      <c r="H2163" t="str">
        <f>IFERROR(VLOOKUP(F2163,'LEAID Match'!$A$2:$B$142,2,FALSE),"")</f>
        <v/>
      </c>
    </row>
    <row r="2164" spans="1:8" x14ac:dyDescent="0.2">
      <c r="A2164" t="str">
        <f t="shared" si="33"/>
        <v/>
      </c>
      <c r="B2164">
        <v>2016</v>
      </c>
      <c r="C2164" s="1" t="s">
        <v>2505</v>
      </c>
      <c r="D2164" s="1" t="s">
        <v>2506</v>
      </c>
      <c r="E2164" s="1" t="s">
        <v>2019</v>
      </c>
      <c r="F2164" s="1" t="s">
        <v>217</v>
      </c>
      <c r="G2164" s="12">
        <v>2025473</v>
      </c>
      <c r="H2164" t="str">
        <f>IFERROR(VLOOKUP(F2164,'LEAID Match'!$A$2:$B$142,2,FALSE),"")</f>
        <v/>
      </c>
    </row>
    <row r="2165" spans="1:8" x14ac:dyDescent="0.2">
      <c r="A2165" t="str">
        <f t="shared" si="33"/>
        <v/>
      </c>
      <c r="B2165" s="1">
        <v>2017</v>
      </c>
      <c r="C2165" s="1" t="s">
        <v>2505</v>
      </c>
      <c r="D2165" s="1" t="s">
        <v>2506</v>
      </c>
      <c r="E2165" s="1" t="s">
        <v>2019</v>
      </c>
      <c r="F2165" s="1" t="s">
        <v>217</v>
      </c>
      <c r="G2165" s="47">
        <v>1828715</v>
      </c>
      <c r="H2165" t="str">
        <f>IFERROR(VLOOKUP(F2165,'LEAID Match'!$A$2:$B$142,2,FALSE),"")</f>
        <v/>
      </c>
    </row>
    <row r="2166" spans="1:8" x14ac:dyDescent="0.2">
      <c r="A2166" t="str">
        <f t="shared" si="33"/>
        <v/>
      </c>
      <c r="B2166" s="1">
        <v>2018</v>
      </c>
      <c r="C2166" s="1" t="s">
        <v>2505</v>
      </c>
      <c r="D2166" s="1" t="s">
        <v>2506</v>
      </c>
      <c r="E2166" s="1" t="s">
        <v>2019</v>
      </c>
      <c r="F2166" s="1" t="s">
        <v>217</v>
      </c>
      <c r="G2166" s="6">
        <v>1389855</v>
      </c>
      <c r="H2166" t="str">
        <f>IFERROR(VLOOKUP(F2166,'LEAID Match'!$A$2:$B$142,2,FALSE),"")</f>
        <v/>
      </c>
    </row>
    <row r="2167" spans="1:8" x14ac:dyDescent="0.2">
      <c r="A2167" t="str">
        <f t="shared" si="33"/>
        <v/>
      </c>
      <c r="B2167" s="1">
        <v>2019</v>
      </c>
      <c r="C2167" s="1" t="s">
        <v>2505</v>
      </c>
      <c r="D2167" s="1" t="s">
        <v>2506</v>
      </c>
      <c r="E2167" s="1" t="s">
        <v>2019</v>
      </c>
      <c r="F2167" s="1" t="s">
        <v>217</v>
      </c>
      <c r="G2167" s="6">
        <v>1463399</v>
      </c>
      <c r="H2167" t="str">
        <f>IFERROR(VLOOKUP(F2167,'LEAID Match'!$A$2:$B$142,2,FALSE),"")</f>
        <v/>
      </c>
    </row>
    <row r="2168" spans="1:8" x14ac:dyDescent="0.2">
      <c r="A2168" t="str">
        <f t="shared" si="33"/>
        <v/>
      </c>
      <c r="B2168" s="1">
        <v>2020</v>
      </c>
      <c r="C2168" s="1" t="s">
        <v>2505</v>
      </c>
      <c r="D2168" s="1" t="s">
        <v>2506</v>
      </c>
      <c r="E2168" s="1" t="s">
        <v>2019</v>
      </c>
      <c r="F2168" s="1" t="s">
        <v>217</v>
      </c>
      <c r="G2168" s="6">
        <v>1757816</v>
      </c>
      <c r="H2168" t="str">
        <f>IFERROR(VLOOKUP(F2168,'LEAID Match'!$A$2:$B$142,2,FALSE),"")</f>
        <v/>
      </c>
    </row>
    <row r="2169" spans="1:8" x14ac:dyDescent="0.2">
      <c r="A2169" t="str">
        <f t="shared" si="33"/>
        <v/>
      </c>
      <c r="B2169" s="1">
        <v>2021</v>
      </c>
      <c r="C2169" s="1" t="s">
        <v>2505</v>
      </c>
      <c r="D2169" s="1" t="s">
        <v>2506</v>
      </c>
      <c r="E2169" s="1" t="s">
        <v>2019</v>
      </c>
      <c r="F2169" s="1" t="s">
        <v>217</v>
      </c>
      <c r="G2169" s="6">
        <v>1768070</v>
      </c>
      <c r="H2169" t="str">
        <f>IFERROR(VLOOKUP(F2169,'LEAID Match'!$A$2:$B$142,2,FALSE),"")</f>
        <v/>
      </c>
    </row>
    <row r="2170" spans="1:8" x14ac:dyDescent="0.2">
      <c r="A2170" t="str">
        <f t="shared" si="33"/>
        <v/>
      </c>
      <c r="B2170" s="1">
        <v>2022</v>
      </c>
      <c r="C2170" s="1" t="s">
        <v>2505</v>
      </c>
      <c r="D2170" s="1" t="s">
        <v>2506</v>
      </c>
      <c r="E2170" s="1" t="s">
        <v>2019</v>
      </c>
      <c r="F2170" s="1" t="s">
        <v>217</v>
      </c>
      <c r="G2170" s="6">
        <v>1734323</v>
      </c>
      <c r="H2170" t="str">
        <f>IFERROR(VLOOKUP(F2170,'LEAID Match'!$A$2:$B$142,2,FALSE),"")</f>
        <v/>
      </c>
    </row>
    <row r="2171" spans="1:8" x14ac:dyDescent="0.2">
      <c r="A2171" t="str">
        <f t="shared" si="33"/>
        <v/>
      </c>
      <c r="B2171" s="1">
        <v>2023</v>
      </c>
      <c r="C2171" s="1" t="s">
        <v>2505</v>
      </c>
      <c r="D2171" s="1" t="s">
        <v>2506</v>
      </c>
      <c r="E2171" s="1" t="s">
        <v>2019</v>
      </c>
      <c r="F2171" s="1" t="s">
        <v>217</v>
      </c>
      <c r="G2171" s="6">
        <v>1894426</v>
      </c>
      <c r="H2171" t="str">
        <f>IFERROR(VLOOKUP(F2171,'LEAID Match'!$A$2:$B$142,2,FALSE),"")</f>
        <v/>
      </c>
    </row>
    <row r="2172" spans="1:8" x14ac:dyDescent="0.2">
      <c r="A2172" t="str">
        <f t="shared" si="33"/>
        <v/>
      </c>
      <c r="B2172" s="1">
        <v>2024</v>
      </c>
      <c r="C2172" s="1" t="s">
        <v>2505</v>
      </c>
      <c r="D2172" s="1" t="s">
        <v>2506</v>
      </c>
      <c r="E2172" s="1" t="s">
        <v>2019</v>
      </c>
      <c r="F2172" s="1" t="s">
        <v>217</v>
      </c>
      <c r="G2172" s="6">
        <v>1961465</v>
      </c>
      <c r="H2172" t="str">
        <f>IFERROR(VLOOKUP(F2172,'LEAID Match'!$A$2:$B$142,2,FALSE),"")</f>
        <v/>
      </c>
    </row>
    <row r="2173" spans="1:8" x14ac:dyDescent="0.2">
      <c r="A2173">
        <f t="shared" si="33"/>
        <v>2801510</v>
      </c>
      <c r="B2173" s="1">
        <v>2015</v>
      </c>
      <c r="C2173" s="1" t="s">
        <v>2505</v>
      </c>
      <c r="D2173" s="1" t="s">
        <v>2506</v>
      </c>
      <c r="E2173" s="1" t="s">
        <v>2019</v>
      </c>
      <c r="F2173" s="1" t="s">
        <v>218</v>
      </c>
      <c r="G2173" s="6">
        <v>492657</v>
      </c>
      <c r="H2173">
        <f>IFERROR(VLOOKUP(F2173,'LEAID Match'!$A$2:$B$142,2,FALSE),"")</f>
        <v>2801510</v>
      </c>
    </row>
    <row r="2174" spans="1:8" x14ac:dyDescent="0.2">
      <c r="A2174">
        <f t="shared" si="33"/>
        <v>2801510</v>
      </c>
      <c r="B2174">
        <v>2016</v>
      </c>
      <c r="C2174" s="1" t="s">
        <v>2505</v>
      </c>
      <c r="D2174" s="1" t="s">
        <v>2506</v>
      </c>
      <c r="E2174" s="1" t="s">
        <v>2019</v>
      </c>
      <c r="F2174" s="1" t="s">
        <v>218</v>
      </c>
      <c r="G2174" s="12">
        <v>521465</v>
      </c>
      <c r="H2174">
        <f>IFERROR(VLOOKUP(F2174,'LEAID Match'!$A$2:$B$142,2,FALSE),"")</f>
        <v>2801510</v>
      </c>
    </row>
    <row r="2175" spans="1:8" x14ac:dyDescent="0.2">
      <c r="A2175">
        <f t="shared" si="33"/>
        <v>2801510</v>
      </c>
      <c r="B2175" s="1">
        <v>2017</v>
      </c>
      <c r="C2175" s="1" t="s">
        <v>2505</v>
      </c>
      <c r="D2175" s="1" t="s">
        <v>2506</v>
      </c>
      <c r="E2175" s="1" t="s">
        <v>2019</v>
      </c>
      <c r="F2175" s="1" t="s">
        <v>218</v>
      </c>
      <c r="G2175" s="47">
        <v>533422</v>
      </c>
      <c r="H2175">
        <f>IFERROR(VLOOKUP(F2175,'LEAID Match'!$A$2:$B$142,2,FALSE),"")</f>
        <v>2801510</v>
      </c>
    </row>
    <row r="2176" spans="1:8" x14ac:dyDescent="0.2">
      <c r="A2176">
        <f t="shared" si="33"/>
        <v>2801510</v>
      </c>
      <c r="B2176" s="1">
        <v>2018</v>
      </c>
      <c r="C2176" s="1" t="s">
        <v>2505</v>
      </c>
      <c r="D2176" s="1" t="s">
        <v>2506</v>
      </c>
      <c r="E2176" s="1" t="s">
        <v>2019</v>
      </c>
      <c r="F2176" s="1" t="s">
        <v>218</v>
      </c>
      <c r="G2176" s="6">
        <v>543302</v>
      </c>
      <c r="H2176">
        <f>IFERROR(VLOOKUP(F2176,'LEAID Match'!$A$2:$B$142,2,FALSE),"")</f>
        <v>2801510</v>
      </c>
    </row>
    <row r="2177" spans="1:8" x14ac:dyDescent="0.2">
      <c r="A2177">
        <f t="shared" si="33"/>
        <v>2801510</v>
      </c>
      <c r="B2177" s="1">
        <v>2019</v>
      </c>
      <c r="C2177" s="1" t="s">
        <v>2505</v>
      </c>
      <c r="D2177" s="1" t="s">
        <v>2506</v>
      </c>
      <c r="E2177" s="1" t="s">
        <v>2019</v>
      </c>
      <c r="F2177" s="1" t="s">
        <v>218</v>
      </c>
      <c r="G2177" s="6">
        <v>529591</v>
      </c>
      <c r="H2177">
        <f>IFERROR(VLOOKUP(F2177,'LEAID Match'!$A$2:$B$142,2,FALSE),"")</f>
        <v>2801510</v>
      </c>
    </row>
    <row r="2178" spans="1:8" x14ac:dyDescent="0.2">
      <c r="A2178">
        <f t="shared" si="33"/>
        <v>2801510</v>
      </c>
      <c r="B2178" s="1">
        <v>2020</v>
      </c>
      <c r="C2178" s="1" t="s">
        <v>2505</v>
      </c>
      <c r="D2178" s="1" t="s">
        <v>2506</v>
      </c>
      <c r="E2178" s="1" t="s">
        <v>2019</v>
      </c>
      <c r="F2178" s="1" t="s">
        <v>218</v>
      </c>
      <c r="G2178" s="6">
        <v>615402</v>
      </c>
      <c r="H2178">
        <f>IFERROR(VLOOKUP(F2178,'LEAID Match'!$A$2:$B$142,2,FALSE),"")</f>
        <v>2801510</v>
      </c>
    </row>
    <row r="2179" spans="1:8" x14ac:dyDescent="0.2">
      <c r="A2179">
        <f t="shared" ref="A2179:A2242" si="34">H2179</f>
        <v>2801510</v>
      </c>
      <c r="B2179" s="1">
        <v>2021</v>
      </c>
      <c r="C2179" s="1" t="s">
        <v>2505</v>
      </c>
      <c r="D2179" s="1" t="s">
        <v>2506</v>
      </c>
      <c r="E2179" s="1" t="s">
        <v>2019</v>
      </c>
      <c r="F2179" s="1" t="s">
        <v>218</v>
      </c>
      <c r="G2179" s="6">
        <v>611965</v>
      </c>
      <c r="H2179">
        <f>IFERROR(VLOOKUP(F2179,'LEAID Match'!$A$2:$B$142,2,FALSE),"")</f>
        <v>2801510</v>
      </c>
    </row>
    <row r="2180" spans="1:8" x14ac:dyDescent="0.2">
      <c r="A2180">
        <f t="shared" si="34"/>
        <v>2801510</v>
      </c>
      <c r="B2180" s="1">
        <v>2022</v>
      </c>
      <c r="C2180" s="1" t="s">
        <v>2505</v>
      </c>
      <c r="D2180" s="1" t="s">
        <v>2506</v>
      </c>
      <c r="E2180" s="1" t="s">
        <v>2019</v>
      </c>
      <c r="F2180" s="1" t="s">
        <v>218</v>
      </c>
      <c r="G2180" s="6">
        <v>690408</v>
      </c>
      <c r="H2180">
        <f>IFERROR(VLOOKUP(F2180,'LEAID Match'!$A$2:$B$142,2,FALSE),"")</f>
        <v>2801510</v>
      </c>
    </row>
    <row r="2181" spans="1:8" x14ac:dyDescent="0.2">
      <c r="A2181">
        <f t="shared" si="34"/>
        <v>2801510</v>
      </c>
      <c r="B2181" s="1">
        <v>2023</v>
      </c>
      <c r="C2181" s="1" t="s">
        <v>2505</v>
      </c>
      <c r="D2181" s="1" t="s">
        <v>2506</v>
      </c>
      <c r="E2181" s="1" t="s">
        <v>2019</v>
      </c>
      <c r="F2181" s="1" t="s">
        <v>218</v>
      </c>
      <c r="G2181" s="6">
        <v>750456</v>
      </c>
      <c r="H2181">
        <f>IFERROR(VLOOKUP(F2181,'LEAID Match'!$A$2:$B$142,2,FALSE),"")</f>
        <v>2801510</v>
      </c>
    </row>
    <row r="2182" spans="1:8" x14ac:dyDescent="0.2">
      <c r="A2182">
        <f t="shared" si="34"/>
        <v>2801510</v>
      </c>
      <c r="B2182" s="1">
        <v>2024</v>
      </c>
      <c r="C2182" s="1" t="s">
        <v>2505</v>
      </c>
      <c r="D2182" s="1" t="s">
        <v>2506</v>
      </c>
      <c r="E2182" s="1" t="s">
        <v>2019</v>
      </c>
      <c r="F2182" s="1" t="s">
        <v>218</v>
      </c>
      <c r="G2182" s="6">
        <v>799181</v>
      </c>
      <c r="H2182">
        <f>IFERROR(VLOOKUP(F2182,'LEAID Match'!$A$2:$B$142,2,FALSE),"")</f>
        <v>2801510</v>
      </c>
    </row>
    <row r="2183" spans="1:8" x14ac:dyDescent="0.2">
      <c r="A2183">
        <f t="shared" si="34"/>
        <v>2801490</v>
      </c>
      <c r="B2183" s="1">
        <v>2015</v>
      </c>
      <c r="C2183" s="1" t="s">
        <v>2505</v>
      </c>
      <c r="D2183" s="1" t="s">
        <v>2506</v>
      </c>
      <c r="E2183" s="1" t="s">
        <v>2019</v>
      </c>
      <c r="F2183" s="1" t="s">
        <v>219</v>
      </c>
      <c r="G2183" s="6">
        <v>2088126</v>
      </c>
      <c r="H2183">
        <f>IFERROR(VLOOKUP(F2183,'LEAID Match'!$A$2:$B$142,2,FALSE),"")</f>
        <v>2801490</v>
      </c>
    </row>
    <row r="2184" spans="1:8" x14ac:dyDescent="0.2">
      <c r="A2184">
        <f t="shared" si="34"/>
        <v>2801490</v>
      </c>
      <c r="B2184">
        <v>2016</v>
      </c>
      <c r="C2184" s="1" t="s">
        <v>2505</v>
      </c>
      <c r="D2184" s="1" t="s">
        <v>2506</v>
      </c>
      <c r="E2184" s="1" t="s">
        <v>2019</v>
      </c>
      <c r="F2184" s="1" t="s">
        <v>219</v>
      </c>
      <c r="G2184" s="12">
        <v>2077547</v>
      </c>
      <c r="H2184">
        <f>IFERROR(VLOOKUP(F2184,'LEAID Match'!$A$2:$B$142,2,FALSE),"")</f>
        <v>2801490</v>
      </c>
    </row>
    <row r="2185" spans="1:8" x14ac:dyDescent="0.2">
      <c r="A2185">
        <f t="shared" si="34"/>
        <v>2801490</v>
      </c>
      <c r="B2185" s="1">
        <v>2017</v>
      </c>
      <c r="C2185" s="1" t="s">
        <v>2505</v>
      </c>
      <c r="D2185" s="1" t="s">
        <v>2506</v>
      </c>
      <c r="E2185" s="1" t="s">
        <v>2019</v>
      </c>
      <c r="F2185" s="1" t="s">
        <v>219</v>
      </c>
      <c r="G2185" s="47">
        <v>2067932</v>
      </c>
      <c r="H2185">
        <f>IFERROR(VLOOKUP(F2185,'LEAID Match'!$A$2:$B$142,2,FALSE),"")</f>
        <v>2801490</v>
      </c>
    </row>
    <row r="2186" spans="1:8" x14ac:dyDescent="0.2">
      <c r="A2186">
        <f t="shared" si="34"/>
        <v>2801490</v>
      </c>
      <c r="B2186" s="1">
        <v>2018</v>
      </c>
      <c r="C2186" s="1" t="s">
        <v>2505</v>
      </c>
      <c r="D2186" s="1" t="s">
        <v>2506</v>
      </c>
      <c r="E2186" s="1" t="s">
        <v>2019</v>
      </c>
      <c r="F2186" s="1" t="s">
        <v>219</v>
      </c>
      <c r="G2186" s="6">
        <v>2189370</v>
      </c>
      <c r="H2186">
        <f>IFERROR(VLOOKUP(F2186,'LEAID Match'!$A$2:$B$142,2,FALSE),"")</f>
        <v>2801490</v>
      </c>
    </row>
    <row r="2187" spans="1:8" x14ac:dyDescent="0.2">
      <c r="A2187">
        <f t="shared" si="34"/>
        <v>2801490</v>
      </c>
      <c r="B2187" s="1">
        <v>2019</v>
      </c>
      <c r="C2187" s="1" t="s">
        <v>2505</v>
      </c>
      <c r="D2187" s="1" t="s">
        <v>2506</v>
      </c>
      <c r="E2187" s="1" t="s">
        <v>2019</v>
      </c>
      <c r="F2187" s="1" t="s">
        <v>219</v>
      </c>
      <c r="G2187" s="6">
        <v>2386722</v>
      </c>
      <c r="H2187">
        <f>IFERROR(VLOOKUP(F2187,'LEAID Match'!$A$2:$B$142,2,FALSE),"")</f>
        <v>2801490</v>
      </c>
    </row>
    <row r="2188" spans="1:8" x14ac:dyDescent="0.2">
      <c r="A2188">
        <f t="shared" si="34"/>
        <v>2801490</v>
      </c>
      <c r="B2188" s="1">
        <v>2020</v>
      </c>
      <c r="C2188" s="1" t="s">
        <v>2505</v>
      </c>
      <c r="D2188" s="1" t="s">
        <v>2506</v>
      </c>
      <c r="E2188" s="1" t="s">
        <v>2019</v>
      </c>
      <c r="F2188" s="1" t="s">
        <v>219</v>
      </c>
      <c r="G2188" s="6">
        <v>2688373</v>
      </c>
      <c r="H2188">
        <f>IFERROR(VLOOKUP(F2188,'LEAID Match'!$A$2:$B$142,2,FALSE),"")</f>
        <v>2801490</v>
      </c>
    </row>
    <row r="2189" spans="1:8" x14ac:dyDescent="0.2">
      <c r="A2189">
        <f t="shared" si="34"/>
        <v>2801490</v>
      </c>
      <c r="B2189" s="1">
        <v>2021</v>
      </c>
      <c r="C2189" s="1" t="s">
        <v>2505</v>
      </c>
      <c r="D2189" s="1" t="s">
        <v>2506</v>
      </c>
      <c r="E2189" s="1" t="s">
        <v>2019</v>
      </c>
      <c r="F2189" s="1" t="s">
        <v>219</v>
      </c>
      <c r="G2189" s="6">
        <v>2754469</v>
      </c>
      <c r="H2189">
        <f>IFERROR(VLOOKUP(F2189,'LEAID Match'!$A$2:$B$142,2,FALSE),"")</f>
        <v>2801490</v>
      </c>
    </row>
    <row r="2190" spans="1:8" x14ac:dyDescent="0.2">
      <c r="A2190">
        <f t="shared" si="34"/>
        <v>2801490</v>
      </c>
      <c r="B2190" s="1">
        <v>2022</v>
      </c>
      <c r="C2190" s="1" t="s">
        <v>2505</v>
      </c>
      <c r="D2190" s="1" t="s">
        <v>2506</v>
      </c>
      <c r="E2190" s="1" t="s">
        <v>2019</v>
      </c>
      <c r="F2190" s="1" t="s">
        <v>219</v>
      </c>
      <c r="G2190" s="6">
        <v>3045195</v>
      </c>
      <c r="H2190">
        <f>IFERROR(VLOOKUP(F2190,'LEAID Match'!$A$2:$B$142,2,FALSE),"")</f>
        <v>2801490</v>
      </c>
    </row>
    <row r="2191" spans="1:8" x14ac:dyDescent="0.2">
      <c r="A2191">
        <f t="shared" si="34"/>
        <v>2801490</v>
      </c>
      <c r="B2191" s="1">
        <v>2023</v>
      </c>
      <c r="C2191" s="1" t="s">
        <v>2505</v>
      </c>
      <c r="D2191" s="1" t="s">
        <v>2506</v>
      </c>
      <c r="E2191" s="1" t="s">
        <v>2019</v>
      </c>
      <c r="F2191" s="1" t="s">
        <v>219</v>
      </c>
      <c r="G2191" s="6">
        <v>3256932</v>
      </c>
      <c r="H2191">
        <f>IFERROR(VLOOKUP(F2191,'LEAID Match'!$A$2:$B$142,2,FALSE),"")</f>
        <v>2801490</v>
      </c>
    </row>
    <row r="2192" spans="1:8" x14ac:dyDescent="0.2">
      <c r="A2192">
        <f t="shared" si="34"/>
        <v>2801490</v>
      </c>
      <c r="B2192" s="1">
        <v>2024</v>
      </c>
      <c r="C2192" s="1" t="s">
        <v>2505</v>
      </c>
      <c r="D2192" s="1" t="s">
        <v>2506</v>
      </c>
      <c r="E2192" s="1" t="s">
        <v>2019</v>
      </c>
      <c r="F2192" s="1" t="s">
        <v>219</v>
      </c>
      <c r="G2192" s="6">
        <v>3110475</v>
      </c>
      <c r="H2192">
        <f>IFERROR(VLOOKUP(F2192,'LEAID Match'!$A$2:$B$142,2,FALSE),"")</f>
        <v>2801490</v>
      </c>
    </row>
    <row r="2193" spans="1:8" x14ac:dyDescent="0.2">
      <c r="A2193" t="str">
        <f t="shared" si="34"/>
        <v/>
      </c>
      <c r="B2193" s="1">
        <v>2015</v>
      </c>
      <c r="C2193" s="1" t="s">
        <v>2505</v>
      </c>
      <c r="D2193" s="1" t="s">
        <v>2506</v>
      </c>
      <c r="E2193" s="1" t="s">
        <v>2019</v>
      </c>
      <c r="F2193" s="1" t="s">
        <v>220</v>
      </c>
      <c r="G2193" s="6">
        <v>1998618</v>
      </c>
      <c r="H2193" t="str">
        <f>IFERROR(VLOOKUP(F2193,'LEAID Match'!$A$2:$B$142,2,FALSE),"")</f>
        <v/>
      </c>
    </row>
    <row r="2194" spans="1:8" x14ac:dyDescent="0.2">
      <c r="A2194" t="str">
        <f t="shared" si="34"/>
        <v/>
      </c>
      <c r="B2194">
        <v>2016</v>
      </c>
      <c r="C2194" s="1" t="s">
        <v>2505</v>
      </c>
      <c r="D2194" s="1" t="s">
        <v>2506</v>
      </c>
      <c r="E2194" s="1" t="s">
        <v>2019</v>
      </c>
      <c r="F2194" s="1" t="s">
        <v>220</v>
      </c>
      <c r="G2194" s="12">
        <v>2140319</v>
      </c>
      <c r="H2194" t="str">
        <f>IFERROR(VLOOKUP(F2194,'LEAID Match'!$A$2:$B$142,2,FALSE),"")</f>
        <v/>
      </c>
    </row>
    <row r="2195" spans="1:8" x14ac:dyDescent="0.2">
      <c r="A2195" t="str">
        <f t="shared" si="34"/>
        <v/>
      </c>
      <c r="B2195" s="1">
        <v>2017</v>
      </c>
      <c r="C2195" s="1" t="s">
        <v>2505</v>
      </c>
      <c r="D2195" s="1" t="s">
        <v>2506</v>
      </c>
      <c r="E2195" s="1" t="s">
        <v>2019</v>
      </c>
      <c r="F2195" s="1" t="s">
        <v>220</v>
      </c>
      <c r="G2195" s="47">
        <v>2181134</v>
      </c>
      <c r="H2195" t="str">
        <f>IFERROR(VLOOKUP(F2195,'LEAID Match'!$A$2:$B$142,2,FALSE),"")</f>
        <v/>
      </c>
    </row>
    <row r="2196" spans="1:8" x14ac:dyDescent="0.2">
      <c r="A2196" t="str">
        <f t="shared" si="34"/>
        <v/>
      </c>
      <c r="B2196" s="1">
        <v>2018</v>
      </c>
      <c r="C2196" s="1" t="s">
        <v>2505</v>
      </c>
      <c r="D2196" s="1" t="s">
        <v>2506</v>
      </c>
      <c r="E2196" s="1" t="s">
        <v>2019</v>
      </c>
      <c r="F2196" s="1" t="s">
        <v>220</v>
      </c>
      <c r="G2196" s="6">
        <v>2199673</v>
      </c>
      <c r="H2196" t="str">
        <f>IFERROR(VLOOKUP(F2196,'LEAID Match'!$A$2:$B$142,2,FALSE),"")</f>
        <v/>
      </c>
    </row>
    <row r="2197" spans="1:8" x14ac:dyDescent="0.2">
      <c r="A2197" t="str">
        <f t="shared" si="34"/>
        <v/>
      </c>
      <c r="B2197" s="1">
        <v>2019</v>
      </c>
      <c r="C2197" s="1" t="s">
        <v>2505</v>
      </c>
      <c r="D2197" s="1" t="s">
        <v>2506</v>
      </c>
      <c r="E2197" s="1" t="s">
        <v>2019</v>
      </c>
      <c r="F2197" s="1" t="s">
        <v>220</v>
      </c>
      <c r="G2197" s="6">
        <v>2278214</v>
      </c>
      <c r="H2197" t="str">
        <f>IFERROR(VLOOKUP(F2197,'LEAID Match'!$A$2:$B$142,2,FALSE),"")</f>
        <v/>
      </c>
    </row>
    <row r="2198" spans="1:8" x14ac:dyDescent="0.2">
      <c r="A2198" t="str">
        <f t="shared" si="34"/>
        <v/>
      </c>
      <c r="B2198" s="1">
        <v>2020</v>
      </c>
      <c r="C2198" s="1" t="s">
        <v>2505</v>
      </c>
      <c r="D2198" s="1" t="s">
        <v>2506</v>
      </c>
      <c r="E2198" s="1" t="s">
        <v>2019</v>
      </c>
      <c r="F2198" s="1" t="s">
        <v>220</v>
      </c>
      <c r="G2198" s="6">
        <v>2539064</v>
      </c>
      <c r="H2198" t="str">
        <f>IFERROR(VLOOKUP(F2198,'LEAID Match'!$A$2:$B$142,2,FALSE),"")</f>
        <v/>
      </c>
    </row>
    <row r="2199" spans="1:8" x14ac:dyDescent="0.2">
      <c r="A2199" t="str">
        <f t="shared" si="34"/>
        <v/>
      </c>
      <c r="B2199" s="1">
        <v>2021</v>
      </c>
      <c r="C2199" s="1" t="s">
        <v>2505</v>
      </c>
      <c r="D2199" s="1" t="s">
        <v>2506</v>
      </c>
      <c r="E2199" s="1" t="s">
        <v>2019</v>
      </c>
      <c r="F2199" s="1" t="s">
        <v>220</v>
      </c>
      <c r="G2199" s="6">
        <v>2449004</v>
      </c>
      <c r="H2199" t="str">
        <f>IFERROR(VLOOKUP(F2199,'LEAID Match'!$A$2:$B$142,2,FALSE),"")</f>
        <v/>
      </c>
    </row>
    <row r="2200" spans="1:8" x14ac:dyDescent="0.2">
      <c r="A2200" t="str">
        <f t="shared" si="34"/>
        <v/>
      </c>
      <c r="B2200" s="1">
        <v>2022</v>
      </c>
      <c r="C2200" s="1" t="s">
        <v>2505</v>
      </c>
      <c r="D2200" s="1" t="s">
        <v>2506</v>
      </c>
      <c r="E2200" s="1" t="s">
        <v>2019</v>
      </c>
      <c r="F2200" s="1" t="s">
        <v>220</v>
      </c>
      <c r="G2200" s="6">
        <v>2645103</v>
      </c>
      <c r="H2200" t="str">
        <f>IFERROR(VLOOKUP(F2200,'LEAID Match'!$A$2:$B$142,2,FALSE),"")</f>
        <v/>
      </c>
    </row>
    <row r="2201" spans="1:8" x14ac:dyDescent="0.2">
      <c r="A2201" t="str">
        <f t="shared" si="34"/>
        <v/>
      </c>
      <c r="B2201" s="1">
        <v>2023</v>
      </c>
      <c r="C2201" s="1" t="s">
        <v>2505</v>
      </c>
      <c r="D2201" s="1" t="s">
        <v>2506</v>
      </c>
      <c r="E2201" s="1" t="s">
        <v>2019</v>
      </c>
      <c r="F2201" s="1" t="s">
        <v>220</v>
      </c>
      <c r="G2201" s="6">
        <v>2801830</v>
      </c>
      <c r="H2201" t="str">
        <f>IFERROR(VLOOKUP(F2201,'LEAID Match'!$A$2:$B$142,2,FALSE),"")</f>
        <v/>
      </c>
    </row>
    <row r="2202" spans="1:8" x14ac:dyDescent="0.2">
      <c r="A2202" t="str">
        <f t="shared" si="34"/>
        <v/>
      </c>
      <c r="B2202" s="1">
        <v>2024</v>
      </c>
      <c r="C2202" s="1" t="s">
        <v>2505</v>
      </c>
      <c r="D2202" s="1" t="s">
        <v>2506</v>
      </c>
      <c r="E2202" s="1" t="s">
        <v>2019</v>
      </c>
      <c r="F2202" s="1" t="s">
        <v>220</v>
      </c>
      <c r="G2202" s="6">
        <v>2892464</v>
      </c>
      <c r="H2202" t="str">
        <f>IFERROR(VLOOKUP(F2202,'LEAID Match'!$A$2:$B$142,2,FALSE),"")</f>
        <v/>
      </c>
    </row>
    <row r="2203" spans="1:8" x14ac:dyDescent="0.2">
      <c r="A2203" t="str">
        <f t="shared" si="34"/>
        <v/>
      </c>
      <c r="B2203" s="1">
        <v>2015</v>
      </c>
      <c r="C2203" s="1" t="s">
        <v>2505</v>
      </c>
      <c r="D2203" s="1" t="s">
        <v>2506</v>
      </c>
      <c r="E2203" s="1" t="s">
        <v>2019</v>
      </c>
      <c r="F2203" s="1" t="s">
        <v>221</v>
      </c>
      <c r="G2203" s="6">
        <v>10346</v>
      </c>
      <c r="H2203" t="str">
        <f>IFERROR(VLOOKUP(F2203,'LEAID Match'!$A$2:$B$142,2,FALSE),"")</f>
        <v/>
      </c>
    </row>
    <row r="2204" spans="1:8" x14ac:dyDescent="0.2">
      <c r="A2204" t="str">
        <f t="shared" si="34"/>
        <v/>
      </c>
      <c r="B2204">
        <v>2016</v>
      </c>
      <c r="C2204" s="1" t="s">
        <v>2505</v>
      </c>
      <c r="D2204" s="1" t="s">
        <v>2506</v>
      </c>
      <c r="E2204" s="1" t="s">
        <v>2019</v>
      </c>
      <c r="F2204" s="1" t="s">
        <v>221</v>
      </c>
      <c r="G2204" s="12">
        <v>10580</v>
      </c>
      <c r="H2204" t="str">
        <f>IFERROR(VLOOKUP(F2204,'LEAID Match'!$A$2:$B$142,2,FALSE),"")</f>
        <v/>
      </c>
    </row>
    <row r="2205" spans="1:8" x14ac:dyDescent="0.2">
      <c r="A2205" t="str">
        <f t="shared" si="34"/>
        <v/>
      </c>
      <c r="B2205" s="1">
        <v>2017</v>
      </c>
      <c r="C2205" s="1" t="s">
        <v>2505</v>
      </c>
      <c r="D2205" s="1" t="s">
        <v>2506</v>
      </c>
      <c r="E2205" s="1" t="s">
        <v>2019</v>
      </c>
      <c r="F2205" s="1" t="s">
        <v>221</v>
      </c>
      <c r="G2205" s="47">
        <v>10938</v>
      </c>
      <c r="H2205" t="str">
        <f>IFERROR(VLOOKUP(F2205,'LEAID Match'!$A$2:$B$142,2,FALSE),"")</f>
        <v/>
      </c>
    </row>
    <row r="2206" spans="1:8" x14ac:dyDescent="0.2">
      <c r="A2206" t="str">
        <f t="shared" si="34"/>
        <v/>
      </c>
      <c r="B2206" s="1">
        <v>2018</v>
      </c>
      <c r="C2206" s="1" t="s">
        <v>2505</v>
      </c>
      <c r="D2206" s="1" t="s">
        <v>2506</v>
      </c>
      <c r="E2206" s="1" t="s">
        <v>2019</v>
      </c>
      <c r="F2206" s="1" t="s">
        <v>221</v>
      </c>
      <c r="G2206" s="6">
        <v>11440</v>
      </c>
      <c r="H2206" t="str">
        <f>IFERROR(VLOOKUP(F2206,'LEAID Match'!$A$2:$B$142,2,FALSE),"")</f>
        <v/>
      </c>
    </row>
    <row r="2207" spans="1:8" x14ac:dyDescent="0.2">
      <c r="A2207" t="str">
        <f t="shared" si="34"/>
        <v/>
      </c>
      <c r="B2207" s="1">
        <v>2019</v>
      </c>
      <c r="C2207" s="1" t="s">
        <v>2505</v>
      </c>
      <c r="D2207" s="1" t="s">
        <v>2506</v>
      </c>
      <c r="E2207" s="1" t="s">
        <v>2019</v>
      </c>
      <c r="F2207" s="1" t="s">
        <v>221</v>
      </c>
      <c r="G2207" s="6">
        <v>10816</v>
      </c>
      <c r="H2207" t="str">
        <f>IFERROR(VLOOKUP(F2207,'LEAID Match'!$A$2:$B$142,2,FALSE),"")</f>
        <v/>
      </c>
    </row>
    <row r="2208" spans="1:8" x14ac:dyDescent="0.2">
      <c r="A2208" t="str">
        <f t="shared" si="34"/>
        <v/>
      </c>
      <c r="B2208" s="1">
        <v>2020</v>
      </c>
      <c r="C2208" s="1" t="s">
        <v>2505</v>
      </c>
      <c r="D2208" s="1" t="s">
        <v>2506</v>
      </c>
      <c r="E2208" s="1" t="s">
        <v>2019</v>
      </c>
      <c r="F2208" s="1" t="s">
        <v>221</v>
      </c>
      <c r="G2208" s="6">
        <v>11605</v>
      </c>
      <c r="H2208" t="str">
        <f>IFERROR(VLOOKUP(F2208,'LEAID Match'!$A$2:$B$142,2,FALSE),"")</f>
        <v/>
      </c>
    </row>
    <row r="2209" spans="1:8" x14ac:dyDescent="0.2">
      <c r="A2209" t="str">
        <f t="shared" si="34"/>
        <v/>
      </c>
      <c r="B2209" s="1">
        <v>2021</v>
      </c>
      <c r="C2209" s="1" t="s">
        <v>2505</v>
      </c>
      <c r="D2209" s="1" t="s">
        <v>2506</v>
      </c>
      <c r="E2209" s="1" t="s">
        <v>2019</v>
      </c>
      <c r="F2209" s="1" t="s">
        <v>221</v>
      </c>
      <c r="G2209" s="6">
        <v>6358</v>
      </c>
      <c r="H2209" t="str">
        <f>IFERROR(VLOOKUP(F2209,'LEAID Match'!$A$2:$B$142,2,FALSE),"")</f>
        <v/>
      </c>
    </row>
    <row r="2210" spans="1:8" x14ac:dyDescent="0.2">
      <c r="A2210" t="str">
        <f t="shared" si="34"/>
        <v/>
      </c>
      <c r="B2210" s="1">
        <v>2022</v>
      </c>
      <c r="C2210" s="1" t="s">
        <v>2505</v>
      </c>
      <c r="D2210" s="1" t="s">
        <v>2506</v>
      </c>
      <c r="E2210" s="1" t="s">
        <v>2019</v>
      </c>
      <c r="F2210" s="1" t="s">
        <v>221</v>
      </c>
      <c r="G2210" s="6">
        <v>8098</v>
      </c>
      <c r="H2210" t="str">
        <f>IFERROR(VLOOKUP(F2210,'LEAID Match'!$A$2:$B$142,2,FALSE),"")</f>
        <v/>
      </c>
    </row>
    <row r="2211" spans="1:8" x14ac:dyDescent="0.2">
      <c r="A2211" t="str">
        <f t="shared" si="34"/>
        <v/>
      </c>
      <c r="B2211" s="1">
        <v>2023</v>
      </c>
      <c r="C2211" s="1" t="s">
        <v>2505</v>
      </c>
      <c r="D2211" s="1" t="s">
        <v>2506</v>
      </c>
      <c r="E2211" s="1" t="s">
        <v>2019</v>
      </c>
      <c r="F2211" s="1" t="s">
        <v>221</v>
      </c>
      <c r="G2211" s="6">
        <v>7486</v>
      </c>
      <c r="H2211" t="str">
        <f>IFERROR(VLOOKUP(F2211,'LEAID Match'!$A$2:$B$142,2,FALSE),"")</f>
        <v/>
      </c>
    </row>
    <row r="2212" spans="1:8" x14ac:dyDescent="0.2">
      <c r="A2212" t="str">
        <f t="shared" si="34"/>
        <v/>
      </c>
      <c r="B2212" s="1">
        <v>2024</v>
      </c>
      <c r="C2212" s="1" t="s">
        <v>2505</v>
      </c>
      <c r="D2212" s="1" t="s">
        <v>2506</v>
      </c>
      <c r="E2212" s="1" t="s">
        <v>2019</v>
      </c>
      <c r="F2212" s="1" t="s">
        <v>221</v>
      </c>
      <c r="G2212" s="6">
        <v>8560</v>
      </c>
      <c r="H2212" t="str">
        <f>IFERROR(VLOOKUP(F2212,'LEAID Match'!$A$2:$B$142,2,FALSE),"")</f>
        <v/>
      </c>
    </row>
    <row r="2213" spans="1:8" x14ac:dyDescent="0.2">
      <c r="A2213">
        <f t="shared" si="34"/>
        <v>2801530</v>
      </c>
      <c r="B2213" s="1">
        <v>2015</v>
      </c>
      <c r="C2213" s="1" t="s">
        <v>2505</v>
      </c>
      <c r="D2213" s="1" t="s">
        <v>2506</v>
      </c>
      <c r="E2213" s="1" t="s">
        <v>2019</v>
      </c>
      <c r="F2213" s="1" t="s">
        <v>222</v>
      </c>
      <c r="G2213" s="6">
        <v>1261278</v>
      </c>
      <c r="H2213">
        <f>IFERROR(VLOOKUP(F2213,'LEAID Match'!$A$2:$B$142,2,FALSE),"")</f>
        <v>2801530</v>
      </c>
    </row>
    <row r="2214" spans="1:8" x14ac:dyDescent="0.2">
      <c r="A2214">
        <f t="shared" si="34"/>
        <v>2801530</v>
      </c>
      <c r="B2214">
        <v>2016</v>
      </c>
      <c r="C2214" s="1" t="s">
        <v>2505</v>
      </c>
      <c r="D2214" s="1" t="s">
        <v>2506</v>
      </c>
      <c r="E2214" s="1" t="s">
        <v>2019</v>
      </c>
      <c r="F2214" s="1" t="s">
        <v>222</v>
      </c>
      <c r="G2214" s="12">
        <v>1279278</v>
      </c>
      <c r="H2214">
        <f>IFERROR(VLOOKUP(F2214,'LEAID Match'!$A$2:$B$142,2,FALSE),"")</f>
        <v>2801530</v>
      </c>
    </row>
    <row r="2215" spans="1:8" x14ac:dyDescent="0.2">
      <c r="A2215">
        <f t="shared" si="34"/>
        <v>2801530</v>
      </c>
      <c r="B2215" s="1">
        <v>2017</v>
      </c>
      <c r="C2215" s="1" t="s">
        <v>2505</v>
      </c>
      <c r="D2215" s="1" t="s">
        <v>2506</v>
      </c>
      <c r="E2215" s="1" t="s">
        <v>2019</v>
      </c>
      <c r="F2215" s="1" t="s">
        <v>222</v>
      </c>
      <c r="G2215" s="47">
        <v>1246966</v>
      </c>
      <c r="H2215">
        <f>IFERROR(VLOOKUP(F2215,'LEAID Match'!$A$2:$B$142,2,FALSE),"")</f>
        <v>2801530</v>
      </c>
    </row>
    <row r="2216" spans="1:8" x14ac:dyDescent="0.2">
      <c r="A2216">
        <f t="shared" si="34"/>
        <v>2801530</v>
      </c>
      <c r="B2216" s="1">
        <v>2018</v>
      </c>
      <c r="C2216" s="1" t="s">
        <v>2505</v>
      </c>
      <c r="D2216" s="1" t="s">
        <v>2506</v>
      </c>
      <c r="E2216" s="1" t="s">
        <v>2019</v>
      </c>
      <c r="F2216" s="1" t="s">
        <v>222</v>
      </c>
      <c r="G2216" s="6">
        <v>1241589</v>
      </c>
      <c r="H2216">
        <f>IFERROR(VLOOKUP(F2216,'LEAID Match'!$A$2:$B$142,2,FALSE),"")</f>
        <v>2801530</v>
      </c>
    </row>
    <row r="2217" spans="1:8" x14ac:dyDescent="0.2">
      <c r="A2217">
        <f t="shared" si="34"/>
        <v>2801530</v>
      </c>
      <c r="B2217" s="1">
        <v>2019</v>
      </c>
      <c r="C2217" s="1" t="s">
        <v>2505</v>
      </c>
      <c r="D2217" s="1" t="s">
        <v>2506</v>
      </c>
      <c r="E2217" s="1" t="s">
        <v>2019</v>
      </c>
      <c r="F2217" s="1" t="s">
        <v>222</v>
      </c>
      <c r="G2217" s="6">
        <v>1263941</v>
      </c>
      <c r="H2217">
        <f>IFERROR(VLOOKUP(F2217,'LEAID Match'!$A$2:$B$142,2,FALSE),"")</f>
        <v>2801530</v>
      </c>
    </row>
    <row r="2218" spans="1:8" x14ac:dyDescent="0.2">
      <c r="A2218">
        <f t="shared" si="34"/>
        <v>2801530</v>
      </c>
      <c r="B2218" s="1">
        <v>2020</v>
      </c>
      <c r="C2218" s="1" t="s">
        <v>2505</v>
      </c>
      <c r="D2218" s="1" t="s">
        <v>2506</v>
      </c>
      <c r="E2218" s="1" t="s">
        <v>2019</v>
      </c>
      <c r="F2218" s="1" t="s">
        <v>222</v>
      </c>
      <c r="G2218" s="6">
        <v>1445403</v>
      </c>
      <c r="H2218">
        <f>IFERROR(VLOOKUP(F2218,'LEAID Match'!$A$2:$B$142,2,FALSE),"")</f>
        <v>2801530</v>
      </c>
    </row>
    <row r="2219" spans="1:8" x14ac:dyDescent="0.2">
      <c r="A2219">
        <f t="shared" si="34"/>
        <v>2801530</v>
      </c>
      <c r="B2219" s="1">
        <v>2021</v>
      </c>
      <c r="C2219" s="1" t="s">
        <v>2505</v>
      </c>
      <c r="D2219" s="1" t="s">
        <v>2506</v>
      </c>
      <c r="E2219" s="1" t="s">
        <v>2019</v>
      </c>
      <c r="F2219" s="1" t="s">
        <v>222</v>
      </c>
      <c r="G2219" s="6">
        <v>1462606</v>
      </c>
      <c r="H2219">
        <f>IFERROR(VLOOKUP(F2219,'LEAID Match'!$A$2:$B$142,2,FALSE),"")</f>
        <v>2801530</v>
      </c>
    </row>
    <row r="2220" spans="1:8" x14ac:dyDescent="0.2">
      <c r="A2220">
        <f t="shared" si="34"/>
        <v>2801530</v>
      </c>
      <c r="B2220" s="1">
        <v>2022</v>
      </c>
      <c r="C2220" s="1" t="s">
        <v>2505</v>
      </c>
      <c r="D2220" s="1" t="s">
        <v>2506</v>
      </c>
      <c r="E2220" s="1" t="s">
        <v>2019</v>
      </c>
      <c r="F2220" s="1" t="s">
        <v>222</v>
      </c>
      <c r="G2220" s="6">
        <v>1504694</v>
      </c>
      <c r="H2220">
        <f>IFERROR(VLOOKUP(F2220,'LEAID Match'!$A$2:$B$142,2,FALSE),"")</f>
        <v>2801530</v>
      </c>
    </row>
    <row r="2221" spans="1:8" x14ac:dyDescent="0.2">
      <c r="A2221">
        <f t="shared" si="34"/>
        <v>2801530</v>
      </c>
      <c r="B2221" s="1">
        <v>2023</v>
      </c>
      <c r="C2221" s="1" t="s">
        <v>2505</v>
      </c>
      <c r="D2221" s="1" t="s">
        <v>2506</v>
      </c>
      <c r="E2221" s="1" t="s">
        <v>2019</v>
      </c>
      <c r="F2221" s="1" t="s">
        <v>222</v>
      </c>
      <c r="G2221" s="6">
        <v>1650373</v>
      </c>
      <c r="H2221">
        <f>IFERROR(VLOOKUP(F2221,'LEAID Match'!$A$2:$B$142,2,FALSE),"")</f>
        <v>2801530</v>
      </c>
    </row>
    <row r="2222" spans="1:8" x14ac:dyDescent="0.2">
      <c r="A2222">
        <f t="shared" si="34"/>
        <v>2801530</v>
      </c>
      <c r="B2222" s="1">
        <v>2024</v>
      </c>
      <c r="C2222" s="1" t="s">
        <v>2505</v>
      </c>
      <c r="D2222" s="1" t="s">
        <v>2506</v>
      </c>
      <c r="E2222" s="1" t="s">
        <v>2019</v>
      </c>
      <c r="F2222" s="1" t="s">
        <v>222</v>
      </c>
      <c r="G2222" s="6">
        <v>1635601</v>
      </c>
      <c r="H2222">
        <f>IFERROR(VLOOKUP(F2222,'LEAID Match'!$A$2:$B$142,2,FALSE),"")</f>
        <v>2801530</v>
      </c>
    </row>
    <row r="2223" spans="1:8" x14ac:dyDescent="0.2">
      <c r="A2223" t="str">
        <f t="shared" si="34"/>
        <v/>
      </c>
      <c r="B2223" s="1">
        <v>2015</v>
      </c>
      <c r="C2223" s="1" t="s">
        <v>2505</v>
      </c>
      <c r="D2223" s="1" t="s">
        <v>2506</v>
      </c>
      <c r="E2223" s="1" t="s">
        <v>2019</v>
      </c>
      <c r="F2223" s="1" t="s">
        <v>223</v>
      </c>
      <c r="G2223" s="6">
        <v>306323</v>
      </c>
      <c r="H2223" t="str">
        <f>IFERROR(VLOOKUP(F2223,'LEAID Match'!$A$2:$B$142,2,FALSE),"")</f>
        <v/>
      </c>
    </row>
    <row r="2224" spans="1:8" x14ac:dyDescent="0.2">
      <c r="A2224" t="str">
        <f t="shared" si="34"/>
        <v/>
      </c>
      <c r="B2224">
        <v>2016</v>
      </c>
      <c r="C2224" s="1" t="s">
        <v>2505</v>
      </c>
      <c r="D2224" s="1" t="s">
        <v>2506</v>
      </c>
      <c r="E2224" s="1" t="s">
        <v>2019</v>
      </c>
      <c r="F2224" s="1" t="s">
        <v>223</v>
      </c>
      <c r="G2224" s="12">
        <v>298469</v>
      </c>
      <c r="H2224" t="str">
        <f>IFERROR(VLOOKUP(F2224,'LEAID Match'!$A$2:$B$142,2,FALSE),"")</f>
        <v/>
      </c>
    </row>
    <row r="2225" spans="1:8" x14ac:dyDescent="0.2">
      <c r="A2225" t="str">
        <f t="shared" si="34"/>
        <v/>
      </c>
      <c r="B2225" s="1">
        <v>2017</v>
      </c>
      <c r="C2225" s="1" t="s">
        <v>2505</v>
      </c>
      <c r="D2225" s="1" t="s">
        <v>2506</v>
      </c>
      <c r="E2225" s="1" t="s">
        <v>2019</v>
      </c>
      <c r="F2225" s="1" t="s">
        <v>223</v>
      </c>
      <c r="G2225" s="47">
        <v>304209</v>
      </c>
      <c r="H2225" t="str">
        <f>IFERROR(VLOOKUP(F2225,'LEAID Match'!$A$2:$B$142,2,FALSE),"")</f>
        <v/>
      </c>
    </row>
    <row r="2226" spans="1:8" x14ac:dyDescent="0.2">
      <c r="A2226" t="str">
        <f t="shared" si="34"/>
        <v/>
      </c>
      <c r="B2226" s="1">
        <v>2018</v>
      </c>
      <c r="C2226" s="1" t="s">
        <v>2505</v>
      </c>
      <c r="D2226" s="1" t="s">
        <v>2506</v>
      </c>
      <c r="E2226" s="1" t="s">
        <v>2019</v>
      </c>
      <c r="F2226" s="1" t="s">
        <v>223</v>
      </c>
      <c r="G2226" s="6">
        <v>303479</v>
      </c>
      <c r="H2226" t="str">
        <f>IFERROR(VLOOKUP(F2226,'LEAID Match'!$A$2:$B$142,2,FALSE),"")</f>
        <v/>
      </c>
    </row>
    <row r="2227" spans="1:8" x14ac:dyDescent="0.2">
      <c r="A2227" t="str">
        <f t="shared" si="34"/>
        <v/>
      </c>
      <c r="B2227" s="1">
        <v>2019</v>
      </c>
      <c r="C2227" s="1" t="s">
        <v>2505</v>
      </c>
      <c r="D2227" s="1" t="s">
        <v>2506</v>
      </c>
      <c r="E2227" s="1" t="s">
        <v>2019</v>
      </c>
      <c r="F2227" s="1" t="s">
        <v>223</v>
      </c>
      <c r="G2227" s="6">
        <v>291685</v>
      </c>
      <c r="H2227" t="str">
        <f>IFERROR(VLOOKUP(F2227,'LEAID Match'!$A$2:$B$142,2,FALSE),"")</f>
        <v/>
      </c>
    </row>
    <row r="2228" spans="1:8" x14ac:dyDescent="0.2">
      <c r="A2228" t="str">
        <f t="shared" si="34"/>
        <v/>
      </c>
      <c r="B2228" s="1">
        <v>2020</v>
      </c>
      <c r="C2228" s="1" t="s">
        <v>2505</v>
      </c>
      <c r="D2228" s="1" t="s">
        <v>2506</v>
      </c>
      <c r="E2228" s="1" t="s">
        <v>2019</v>
      </c>
      <c r="F2228" s="1" t="s">
        <v>223</v>
      </c>
      <c r="G2228" s="6">
        <v>342724</v>
      </c>
      <c r="H2228" t="str">
        <f>IFERROR(VLOOKUP(F2228,'LEAID Match'!$A$2:$B$142,2,FALSE),"")</f>
        <v/>
      </c>
    </row>
    <row r="2229" spans="1:8" x14ac:dyDescent="0.2">
      <c r="A2229" t="str">
        <f t="shared" si="34"/>
        <v/>
      </c>
      <c r="B2229" s="1">
        <v>2021</v>
      </c>
      <c r="C2229" s="1" t="s">
        <v>2505</v>
      </c>
      <c r="D2229" s="1" t="s">
        <v>2506</v>
      </c>
      <c r="E2229" s="1" t="s">
        <v>2019</v>
      </c>
      <c r="F2229" s="1" t="s">
        <v>223</v>
      </c>
      <c r="G2229" s="6">
        <v>348069</v>
      </c>
      <c r="H2229" t="str">
        <f>IFERROR(VLOOKUP(F2229,'LEAID Match'!$A$2:$B$142,2,FALSE),"")</f>
        <v/>
      </c>
    </row>
    <row r="2230" spans="1:8" x14ac:dyDescent="0.2">
      <c r="A2230" t="str">
        <f t="shared" si="34"/>
        <v/>
      </c>
      <c r="B2230" s="1">
        <v>2022</v>
      </c>
      <c r="C2230" s="1" t="s">
        <v>2505</v>
      </c>
      <c r="D2230" s="1" t="s">
        <v>2506</v>
      </c>
      <c r="E2230" s="1" t="s">
        <v>2019</v>
      </c>
      <c r="F2230" s="1" t="s">
        <v>223</v>
      </c>
      <c r="G2230" s="6">
        <v>358514</v>
      </c>
      <c r="H2230" t="str">
        <f>IFERROR(VLOOKUP(F2230,'LEAID Match'!$A$2:$B$142,2,FALSE),"")</f>
        <v/>
      </c>
    </row>
    <row r="2231" spans="1:8" x14ac:dyDescent="0.2">
      <c r="A2231" t="str">
        <f t="shared" si="34"/>
        <v/>
      </c>
      <c r="B2231" s="1">
        <v>2023</v>
      </c>
      <c r="C2231" s="1" t="s">
        <v>2505</v>
      </c>
      <c r="D2231" s="1" t="s">
        <v>2506</v>
      </c>
      <c r="E2231" s="1" t="s">
        <v>2019</v>
      </c>
      <c r="F2231" s="1" t="s">
        <v>223</v>
      </c>
      <c r="G2231" s="6">
        <v>397280</v>
      </c>
      <c r="H2231" t="str">
        <f>IFERROR(VLOOKUP(F2231,'LEAID Match'!$A$2:$B$142,2,FALSE),"")</f>
        <v/>
      </c>
    </row>
    <row r="2232" spans="1:8" x14ac:dyDescent="0.2">
      <c r="A2232" t="str">
        <f t="shared" si="34"/>
        <v/>
      </c>
      <c r="B2232" s="1">
        <v>2024</v>
      </c>
      <c r="C2232" s="1" t="s">
        <v>2505</v>
      </c>
      <c r="D2232" s="1" t="s">
        <v>2506</v>
      </c>
      <c r="E2232" s="1" t="s">
        <v>2019</v>
      </c>
      <c r="F2232" s="1" t="s">
        <v>223</v>
      </c>
      <c r="G2232" s="6">
        <v>406212</v>
      </c>
      <c r="H2232" t="str">
        <f>IFERROR(VLOOKUP(F2232,'LEAID Match'!$A$2:$B$142,2,FALSE),"")</f>
        <v/>
      </c>
    </row>
    <row r="2233" spans="1:8" x14ac:dyDescent="0.2">
      <c r="A2233" t="str">
        <f t="shared" si="34"/>
        <v/>
      </c>
      <c r="B2233" s="1">
        <v>2015</v>
      </c>
      <c r="C2233" s="1" t="s">
        <v>2505</v>
      </c>
      <c r="D2233" s="1" t="s">
        <v>2506</v>
      </c>
      <c r="E2233" s="1" t="s">
        <v>2019</v>
      </c>
      <c r="F2233" s="1" t="s">
        <v>224</v>
      </c>
      <c r="G2233" s="6">
        <v>1300623</v>
      </c>
      <c r="H2233" t="str">
        <f>IFERROR(VLOOKUP(F2233,'LEAID Match'!$A$2:$B$142,2,FALSE),"")</f>
        <v/>
      </c>
    </row>
    <row r="2234" spans="1:8" x14ac:dyDescent="0.2">
      <c r="A2234" t="str">
        <f t="shared" si="34"/>
        <v/>
      </c>
      <c r="B2234">
        <v>2016</v>
      </c>
      <c r="C2234" s="1" t="s">
        <v>2505</v>
      </c>
      <c r="D2234" s="1" t="s">
        <v>2506</v>
      </c>
      <c r="E2234" s="1" t="s">
        <v>2019</v>
      </c>
      <c r="F2234" s="1" t="s">
        <v>224</v>
      </c>
      <c r="G2234" s="12">
        <v>1338176</v>
      </c>
      <c r="H2234" t="str">
        <f>IFERROR(VLOOKUP(F2234,'LEAID Match'!$A$2:$B$142,2,FALSE),"")</f>
        <v/>
      </c>
    </row>
    <row r="2235" spans="1:8" x14ac:dyDescent="0.2">
      <c r="A2235" t="str">
        <f t="shared" si="34"/>
        <v/>
      </c>
      <c r="B2235" s="1">
        <v>2017</v>
      </c>
      <c r="C2235" s="1" t="s">
        <v>2505</v>
      </c>
      <c r="D2235" s="1" t="s">
        <v>2506</v>
      </c>
      <c r="E2235" s="1" t="s">
        <v>2019</v>
      </c>
      <c r="F2235" s="1" t="s">
        <v>224</v>
      </c>
      <c r="G2235" s="47">
        <v>1456160</v>
      </c>
      <c r="H2235" t="str">
        <f>IFERROR(VLOOKUP(F2235,'LEAID Match'!$A$2:$B$142,2,FALSE),"")</f>
        <v/>
      </c>
    </row>
    <row r="2236" spans="1:8" x14ac:dyDescent="0.2">
      <c r="A2236" t="str">
        <f t="shared" si="34"/>
        <v/>
      </c>
      <c r="B2236" s="1">
        <v>2018</v>
      </c>
      <c r="C2236" s="1" t="s">
        <v>2505</v>
      </c>
      <c r="D2236" s="1" t="s">
        <v>2506</v>
      </c>
      <c r="E2236" s="1" t="s">
        <v>2019</v>
      </c>
      <c r="F2236" s="1" t="s">
        <v>224</v>
      </c>
      <c r="G2236" s="6">
        <v>1384172</v>
      </c>
      <c r="H2236" t="str">
        <f>IFERROR(VLOOKUP(F2236,'LEAID Match'!$A$2:$B$142,2,FALSE),"")</f>
        <v/>
      </c>
    </row>
    <row r="2237" spans="1:8" x14ac:dyDescent="0.2">
      <c r="A2237" t="str">
        <f t="shared" si="34"/>
        <v/>
      </c>
      <c r="B2237" s="1">
        <v>2019</v>
      </c>
      <c r="C2237" s="1" t="s">
        <v>2505</v>
      </c>
      <c r="D2237" s="1" t="s">
        <v>2506</v>
      </c>
      <c r="E2237" s="1" t="s">
        <v>2019</v>
      </c>
      <c r="F2237" s="1" t="s">
        <v>224</v>
      </c>
      <c r="G2237" s="6">
        <v>1346910</v>
      </c>
      <c r="H2237" t="str">
        <f>IFERROR(VLOOKUP(F2237,'LEAID Match'!$A$2:$B$142,2,FALSE),"")</f>
        <v/>
      </c>
    </row>
    <row r="2238" spans="1:8" x14ac:dyDescent="0.2">
      <c r="A2238" t="str">
        <f t="shared" si="34"/>
        <v/>
      </c>
      <c r="B2238" s="1">
        <v>2020</v>
      </c>
      <c r="C2238" s="1" t="s">
        <v>2505</v>
      </c>
      <c r="D2238" s="1" t="s">
        <v>2506</v>
      </c>
      <c r="E2238" s="1" t="s">
        <v>2019</v>
      </c>
      <c r="F2238" s="1" t="s">
        <v>224</v>
      </c>
      <c r="G2238" s="6">
        <v>1440831</v>
      </c>
      <c r="H2238" t="str">
        <f>IFERROR(VLOOKUP(F2238,'LEAID Match'!$A$2:$B$142,2,FALSE),"")</f>
        <v/>
      </c>
    </row>
    <row r="2239" spans="1:8" x14ac:dyDescent="0.2">
      <c r="A2239" t="str">
        <f t="shared" si="34"/>
        <v/>
      </c>
      <c r="B2239" s="1">
        <v>2021</v>
      </c>
      <c r="C2239" s="1" t="s">
        <v>2505</v>
      </c>
      <c r="D2239" s="1" t="s">
        <v>2506</v>
      </c>
      <c r="E2239" s="1" t="s">
        <v>2019</v>
      </c>
      <c r="F2239" s="1" t="s">
        <v>224</v>
      </c>
      <c r="G2239" s="6">
        <v>1395774</v>
      </c>
      <c r="H2239" t="str">
        <f>IFERROR(VLOOKUP(F2239,'LEAID Match'!$A$2:$B$142,2,FALSE),"")</f>
        <v/>
      </c>
    </row>
    <row r="2240" spans="1:8" x14ac:dyDescent="0.2">
      <c r="A2240" t="str">
        <f t="shared" si="34"/>
        <v/>
      </c>
      <c r="B2240" s="1">
        <v>2022</v>
      </c>
      <c r="C2240" s="1" t="s">
        <v>2505</v>
      </c>
      <c r="D2240" s="1" t="s">
        <v>2506</v>
      </c>
      <c r="E2240" s="1" t="s">
        <v>2019</v>
      </c>
      <c r="F2240" s="1" t="s">
        <v>224</v>
      </c>
      <c r="G2240" s="6">
        <v>1371960</v>
      </c>
      <c r="H2240" t="str">
        <f>IFERROR(VLOOKUP(F2240,'LEAID Match'!$A$2:$B$142,2,FALSE),"")</f>
        <v/>
      </c>
    </row>
    <row r="2241" spans="1:8" x14ac:dyDescent="0.2">
      <c r="A2241" t="str">
        <f t="shared" si="34"/>
        <v/>
      </c>
      <c r="B2241" s="1">
        <v>2023</v>
      </c>
      <c r="C2241" s="1" t="s">
        <v>2505</v>
      </c>
      <c r="D2241" s="1" t="s">
        <v>2506</v>
      </c>
      <c r="E2241" s="1" t="s">
        <v>2019</v>
      </c>
      <c r="F2241" s="1" t="s">
        <v>224</v>
      </c>
      <c r="G2241" s="6">
        <v>1399778</v>
      </c>
      <c r="H2241" t="str">
        <f>IFERROR(VLOOKUP(F2241,'LEAID Match'!$A$2:$B$142,2,FALSE),"")</f>
        <v/>
      </c>
    </row>
    <row r="2242" spans="1:8" x14ac:dyDescent="0.2">
      <c r="A2242" t="str">
        <f t="shared" si="34"/>
        <v/>
      </c>
      <c r="B2242" s="1">
        <v>2024</v>
      </c>
      <c r="C2242" s="1" t="s">
        <v>2505</v>
      </c>
      <c r="D2242" s="1" t="s">
        <v>2506</v>
      </c>
      <c r="E2242" s="1" t="s">
        <v>2019</v>
      </c>
      <c r="F2242" s="1" t="s">
        <v>224</v>
      </c>
      <c r="G2242" s="6">
        <v>1548361</v>
      </c>
      <c r="H2242" t="str">
        <f>IFERROR(VLOOKUP(F2242,'LEAID Match'!$A$2:$B$142,2,FALSE),"")</f>
        <v/>
      </c>
    </row>
    <row r="2243" spans="1:8" x14ac:dyDescent="0.2">
      <c r="A2243" t="str">
        <f t="shared" ref="A2243:A2306" si="35">H2243</f>
        <v/>
      </c>
      <c r="B2243" s="1">
        <v>2015</v>
      </c>
      <c r="C2243" s="1" t="s">
        <v>2505</v>
      </c>
      <c r="D2243" s="1" t="s">
        <v>2506</v>
      </c>
      <c r="E2243" s="1" t="s">
        <v>2019</v>
      </c>
      <c r="F2243" s="1" t="s">
        <v>225</v>
      </c>
      <c r="G2243" s="6">
        <v>277969</v>
      </c>
      <c r="H2243" t="str">
        <f>IFERROR(VLOOKUP(F2243,'LEAID Match'!$A$2:$B$142,2,FALSE),"")</f>
        <v/>
      </c>
    </row>
    <row r="2244" spans="1:8" x14ac:dyDescent="0.2">
      <c r="A2244" t="str">
        <f t="shared" si="35"/>
        <v/>
      </c>
      <c r="B2244">
        <v>2016</v>
      </c>
      <c r="C2244" s="1" t="s">
        <v>2505</v>
      </c>
      <c r="D2244" s="1" t="s">
        <v>2506</v>
      </c>
      <c r="E2244" s="1" t="s">
        <v>2019</v>
      </c>
      <c r="F2244" s="1" t="s">
        <v>225</v>
      </c>
      <c r="G2244" s="12">
        <v>263563</v>
      </c>
      <c r="H2244" t="str">
        <f>IFERROR(VLOOKUP(F2244,'LEAID Match'!$A$2:$B$142,2,FALSE),"")</f>
        <v/>
      </c>
    </row>
    <row r="2245" spans="1:8" x14ac:dyDescent="0.2">
      <c r="A2245" t="str">
        <f t="shared" si="35"/>
        <v/>
      </c>
      <c r="B2245" s="1">
        <v>2017</v>
      </c>
      <c r="C2245" s="1" t="s">
        <v>2505</v>
      </c>
      <c r="D2245" s="1" t="s">
        <v>2506</v>
      </c>
      <c r="E2245" s="1" t="s">
        <v>2019</v>
      </c>
      <c r="F2245" s="1" t="s">
        <v>225</v>
      </c>
      <c r="G2245" s="47">
        <v>270026</v>
      </c>
      <c r="H2245" t="str">
        <f>IFERROR(VLOOKUP(F2245,'LEAID Match'!$A$2:$B$142,2,FALSE),"")</f>
        <v/>
      </c>
    </row>
    <row r="2246" spans="1:8" x14ac:dyDescent="0.2">
      <c r="A2246" t="str">
        <f t="shared" si="35"/>
        <v/>
      </c>
      <c r="B2246" s="1">
        <v>2018</v>
      </c>
      <c r="C2246" s="1" t="s">
        <v>2505</v>
      </c>
      <c r="D2246" s="1" t="s">
        <v>2506</v>
      </c>
      <c r="E2246" s="1" t="s">
        <v>2019</v>
      </c>
      <c r="F2246" s="1" t="s">
        <v>225</v>
      </c>
      <c r="G2246" s="6">
        <v>267854</v>
      </c>
      <c r="H2246" t="str">
        <f>IFERROR(VLOOKUP(F2246,'LEAID Match'!$A$2:$B$142,2,FALSE),"")</f>
        <v/>
      </c>
    </row>
    <row r="2247" spans="1:8" x14ac:dyDescent="0.2">
      <c r="A2247" t="str">
        <f t="shared" si="35"/>
        <v/>
      </c>
      <c r="B2247" s="1">
        <v>2019</v>
      </c>
      <c r="C2247" s="1" t="s">
        <v>2505</v>
      </c>
      <c r="D2247" s="1" t="s">
        <v>2506</v>
      </c>
      <c r="E2247" s="1" t="s">
        <v>2019</v>
      </c>
      <c r="F2247" s="1" t="s">
        <v>225</v>
      </c>
      <c r="G2247" s="6">
        <v>265781</v>
      </c>
      <c r="H2247" t="str">
        <f>IFERROR(VLOOKUP(F2247,'LEAID Match'!$A$2:$B$142,2,FALSE),"")</f>
        <v/>
      </c>
    </row>
    <row r="2248" spans="1:8" x14ac:dyDescent="0.2">
      <c r="A2248" t="str">
        <f t="shared" si="35"/>
        <v/>
      </c>
      <c r="B2248" s="1">
        <v>2020</v>
      </c>
      <c r="C2248" s="1" t="s">
        <v>2505</v>
      </c>
      <c r="D2248" s="1" t="s">
        <v>2506</v>
      </c>
      <c r="E2248" s="1" t="s">
        <v>2019</v>
      </c>
      <c r="F2248" s="1" t="s">
        <v>225</v>
      </c>
      <c r="G2248" s="6">
        <v>309751</v>
      </c>
      <c r="H2248" t="str">
        <f>IFERROR(VLOOKUP(F2248,'LEAID Match'!$A$2:$B$142,2,FALSE),"")</f>
        <v/>
      </c>
    </row>
    <row r="2249" spans="1:8" x14ac:dyDescent="0.2">
      <c r="A2249" t="str">
        <f t="shared" si="35"/>
        <v/>
      </c>
      <c r="B2249" s="1">
        <v>2021</v>
      </c>
      <c r="C2249" s="1" t="s">
        <v>2505</v>
      </c>
      <c r="D2249" s="1" t="s">
        <v>2506</v>
      </c>
      <c r="E2249" s="1" t="s">
        <v>2019</v>
      </c>
      <c r="F2249" s="1" t="s">
        <v>225</v>
      </c>
      <c r="G2249" s="6">
        <v>307594</v>
      </c>
      <c r="H2249" t="str">
        <f>IFERROR(VLOOKUP(F2249,'LEAID Match'!$A$2:$B$142,2,FALSE),"")</f>
        <v/>
      </c>
    </row>
    <row r="2250" spans="1:8" x14ac:dyDescent="0.2">
      <c r="A2250" t="str">
        <f t="shared" si="35"/>
        <v/>
      </c>
      <c r="B2250" s="1">
        <v>2022</v>
      </c>
      <c r="C2250" s="1" t="s">
        <v>2505</v>
      </c>
      <c r="D2250" s="1" t="s">
        <v>2506</v>
      </c>
      <c r="E2250" s="1" t="s">
        <v>2019</v>
      </c>
      <c r="F2250" s="1" t="s">
        <v>225</v>
      </c>
      <c r="G2250" s="6">
        <v>316918</v>
      </c>
      <c r="H2250" t="str">
        <f>IFERROR(VLOOKUP(F2250,'LEAID Match'!$A$2:$B$142,2,FALSE),"")</f>
        <v/>
      </c>
    </row>
    <row r="2251" spans="1:8" x14ac:dyDescent="0.2">
      <c r="A2251" t="str">
        <f t="shared" si="35"/>
        <v/>
      </c>
      <c r="B2251" s="1">
        <v>2023</v>
      </c>
      <c r="C2251" s="1" t="s">
        <v>2505</v>
      </c>
      <c r="D2251" s="1" t="s">
        <v>2506</v>
      </c>
      <c r="E2251" s="1" t="s">
        <v>2019</v>
      </c>
      <c r="F2251" s="1" t="s">
        <v>225</v>
      </c>
      <c r="G2251" s="6">
        <v>343395</v>
      </c>
      <c r="H2251" t="str">
        <f>IFERROR(VLOOKUP(F2251,'LEAID Match'!$A$2:$B$142,2,FALSE),"")</f>
        <v/>
      </c>
    </row>
    <row r="2252" spans="1:8" x14ac:dyDescent="0.2">
      <c r="A2252" t="str">
        <f t="shared" si="35"/>
        <v/>
      </c>
      <c r="B2252" s="1">
        <v>2024</v>
      </c>
      <c r="C2252" s="1" t="s">
        <v>2505</v>
      </c>
      <c r="D2252" s="1" t="s">
        <v>2506</v>
      </c>
      <c r="E2252" s="1" t="s">
        <v>2019</v>
      </c>
      <c r="F2252" s="1" t="s">
        <v>225</v>
      </c>
      <c r="G2252" s="6">
        <v>350114</v>
      </c>
      <c r="H2252" t="str">
        <f>IFERROR(VLOOKUP(F2252,'LEAID Match'!$A$2:$B$142,2,FALSE),"")</f>
        <v/>
      </c>
    </row>
    <row r="2253" spans="1:8" x14ac:dyDescent="0.2">
      <c r="A2253" t="str">
        <f t="shared" si="35"/>
        <v/>
      </c>
      <c r="B2253" s="1">
        <v>2015</v>
      </c>
      <c r="C2253" s="1" t="s">
        <v>2505</v>
      </c>
      <c r="D2253" s="1" t="s">
        <v>2506</v>
      </c>
      <c r="E2253" s="1" t="s">
        <v>2019</v>
      </c>
      <c r="F2253" s="1" t="s">
        <v>226</v>
      </c>
      <c r="G2253" s="6">
        <v>661348</v>
      </c>
      <c r="H2253" t="str">
        <f>IFERROR(VLOOKUP(F2253,'LEAID Match'!$A$2:$B$142,2,FALSE),"")</f>
        <v/>
      </c>
    </row>
    <row r="2254" spans="1:8" x14ac:dyDescent="0.2">
      <c r="A2254" t="str">
        <f t="shared" si="35"/>
        <v/>
      </c>
      <c r="B2254">
        <v>2016</v>
      </c>
      <c r="C2254" s="1" t="s">
        <v>2505</v>
      </c>
      <c r="D2254" s="1" t="s">
        <v>2506</v>
      </c>
      <c r="E2254" s="1" t="s">
        <v>2019</v>
      </c>
      <c r="F2254" s="1" t="s">
        <v>226</v>
      </c>
      <c r="G2254" s="12">
        <v>672412</v>
      </c>
      <c r="H2254" t="str">
        <f>IFERROR(VLOOKUP(F2254,'LEAID Match'!$A$2:$B$142,2,FALSE),"")</f>
        <v/>
      </c>
    </row>
    <row r="2255" spans="1:8" x14ac:dyDescent="0.2">
      <c r="A2255" t="str">
        <f t="shared" si="35"/>
        <v/>
      </c>
      <c r="B2255" s="1">
        <v>2017</v>
      </c>
      <c r="C2255" s="1" t="s">
        <v>2505</v>
      </c>
      <c r="D2255" s="1" t="s">
        <v>2506</v>
      </c>
      <c r="E2255" s="1" t="s">
        <v>2019</v>
      </c>
      <c r="F2255" s="1" t="s">
        <v>226</v>
      </c>
      <c r="G2255" s="47">
        <v>709100</v>
      </c>
      <c r="H2255" t="str">
        <f>IFERROR(VLOOKUP(F2255,'LEAID Match'!$A$2:$B$142,2,FALSE),"")</f>
        <v/>
      </c>
    </row>
    <row r="2256" spans="1:8" x14ac:dyDescent="0.2">
      <c r="A2256" t="str">
        <f t="shared" si="35"/>
        <v/>
      </c>
      <c r="B2256" s="1">
        <v>2018</v>
      </c>
      <c r="C2256" s="1" t="s">
        <v>2505</v>
      </c>
      <c r="D2256" s="1" t="s">
        <v>2506</v>
      </c>
      <c r="E2256" s="1" t="s">
        <v>2019</v>
      </c>
      <c r="F2256" s="1" t="s">
        <v>226</v>
      </c>
      <c r="G2256" s="6">
        <v>711370</v>
      </c>
      <c r="H2256" t="str">
        <f>IFERROR(VLOOKUP(F2256,'LEAID Match'!$A$2:$B$142,2,FALSE),"")</f>
        <v/>
      </c>
    </row>
    <row r="2257" spans="1:8" x14ac:dyDescent="0.2">
      <c r="A2257" t="str">
        <f t="shared" si="35"/>
        <v/>
      </c>
      <c r="B2257" s="1">
        <v>2019</v>
      </c>
      <c r="C2257" s="1" t="s">
        <v>2505</v>
      </c>
      <c r="D2257" s="1" t="s">
        <v>2506</v>
      </c>
      <c r="E2257" s="1" t="s">
        <v>2019</v>
      </c>
      <c r="F2257" s="1" t="s">
        <v>226</v>
      </c>
      <c r="G2257" s="6">
        <v>736165</v>
      </c>
      <c r="H2257" t="str">
        <f>IFERROR(VLOOKUP(F2257,'LEAID Match'!$A$2:$B$142,2,FALSE),"")</f>
        <v/>
      </c>
    </row>
    <row r="2258" spans="1:8" x14ac:dyDescent="0.2">
      <c r="A2258" t="str">
        <f t="shared" si="35"/>
        <v/>
      </c>
      <c r="B2258" s="1">
        <v>2020</v>
      </c>
      <c r="C2258" s="1" t="s">
        <v>2505</v>
      </c>
      <c r="D2258" s="1" t="s">
        <v>2506</v>
      </c>
      <c r="E2258" s="1" t="s">
        <v>2019</v>
      </c>
      <c r="F2258" s="1" t="s">
        <v>226</v>
      </c>
      <c r="G2258" s="6">
        <v>823046</v>
      </c>
      <c r="H2258" t="str">
        <f>IFERROR(VLOOKUP(F2258,'LEAID Match'!$A$2:$B$142,2,FALSE),"")</f>
        <v/>
      </c>
    </row>
    <row r="2259" spans="1:8" x14ac:dyDescent="0.2">
      <c r="A2259" t="str">
        <f t="shared" si="35"/>
        <v/>
      </c>
      <c r="B2259" s="1">
        <v>2021</v>
      </c>
      <c r="C2259" s="1" t="s">
        <v>2505</v>
      </c>
      <c r="D2259" s="1" t="s">
        <v>2506</v>
      </c>
      <c r="E2259" s="1" t="s">
        <v>2019</v>
      </c>
      <c r="F2259" s="1" t="s">
        <v>226</v>
      </c>
      <c r="G2259" s="6">
        <v>816982</v>
      </c>
      <c r="H2259" t="str">
        <f>IFERROR(VLOOKUP(F2259,'LEAID Match'!$A$2:$B$142,2,FALSE),"")</f>
        <v/>
      </c>
    </row>
    <row r="2260" spans="1:8" x14ac:dyDescent="0.2">
      <c r="A2260" t="str">
        <f t="shared" si="35"/>
        <v/>
      </c>
      <c r="B2260" s="1">
        <v>2022</v>
      </c>
      <c r="C2260" s="1" t="s">
        <v>2505</v>
      </c>
      <c r="D2260" s="1" t="s">
        <v>2506</v>
      </c>
      <c r="E2260" s="1" t="s">
        <v>2019</v>
      </c>
      <c r="F2260" s="1" t="s">
        <v>226</v>
      </c>
      <c r="G2260" s="6">
        <v>932187</v>
      </c>
      <c r="H2260" t="str">
        <f>IFERROR(VLOOKUP(F2260,'LEAID Match'!$A$2:$B$142,2,FALSE),"")</f>
        <v/>
      </c>
    </row>
    <row r="2261" spans="1:8" x14ac:dyDescent="0.2">
      <c r="A2261" t="str">
        <f t="shared" si="35"/>
        <v/>
      </c>
      <c r="B2261" s="1">
        <v>2023</v>
      </c>
      <c r="C2261" s="1" t="s">
        <v>2505</v>
      </c>
      <c r="D2261" s="1" t="s">
        <v>2506</v>
      </c>
      <c r="E2261" s="1" t="s">
        <v>2019</v>
      </c>
      <c r="F2261" s="1" t="s">
        <v>226</v>
      </c>
      <c r="G2261" s="6">
        <v>1013612</v>
      </c>
      <c r="H2261" t="str">
        <f>IFERROR(VLOOKUP(F2261,'LEAID Match'!$A$2:$B$142,2,FALSE),"")</f>
        <v/>
      </c>
    </row>
    <row r="2262" spans="1:8" x14ac:dyDescent="0.2">
      <c r="A2262" t="str">
        <f t="shared" si="35"/>
        <v/>
      </c>
      <c r="B2262" s="1">
        <v>2024</v>
      </c>
      <c r="C2262" s="1" t="s">
        <v>2505</v>
      </c>
      <c r="D2262" s="1" t="s">
        <v>2506</v>
      </c>
      <c r="E2262" s="1" t="s">
        <v>2019</v>
      </c>
      <c r="F2262" s="1" t="s">
        <v>226</v>
      </c>
      <c r="G2262" s="6">
        <v>1031604</v>
      </c>
      <c r="H2262" t="str">
        <f>IFERROR(VLOOKUP(F2262,'LEAID Match'!$A$2:$B$142,2,FALSE),"")</f>
        <v/>
      </c>
    </row>
    <row r="2263" spans="1:8" x14ac:dyDescent="0.2">
      <c r="A2263" t="str">
        <f t="shared" si="35"/>
        <v/>
      </c>
      <c r="B2263" s="1">
        <v>2015</v>
      </c>
      <c r="C2263" s="1" t="s">
        <v>2505</v>
      </c>
      <c r="D2263" s="1" t="s">
        <v>2506</v>
      </c>
      <c r="E2263" s="1" t="s">
        <v>2019</v>
      </c>
      <c r="F2263" s="1" t="s">
        <v>227</v>
      </c>
      <c r="G2263" s="6">
        <v>689893</v>
      </c>
      <c r="H2263" t="str">
        <f>IFERROR(VLOOKUP(F2263,'LEAID Match'!$A$2:$B$142,2,FALSE),"")</f>
        <v/>
      </c>
    </row>
    <row r="2264" spans="1:8" x14ac:dyDescent="0.2">
      <c r="A2264" t="str">
        <f t="shared" si="35"/>
        <v/>
      </c>
      <c r="B2264">
        <v>2016</v>
      </c>
      <c r="C2264" s="1" t="s">
        <v>2505</v>
      </c>
      <c r="D2264" s="1" t="s">
        <v>2506</v>
      </c>
      <c r="E2264" s="1" t="s">
        <v>2019</v>
      </c>
      <c r="F2264" s="1" t="s">
        <v>227</v>
      </c>
      <c r="G2264" s="12">
        <v>695661</v>
      </c>
      <c r="H2264" t="str">
        <f>IFERROR(VLOOKUP(F2264,'LEAID Match'!$A$2:$B$142,2,FALSE),"")</f>
        <v/>
      </c>
    </row>
    <row r="2265" spans="1:8" x14ac:dyDescent="0.2">
      <c r="A2265" t="str">
        <f t="shared" si="35"/>
        <v/>
      </c>
      <c r="B2265" s="1">
        <v>2017</v>
      </c>
      <c r="C2265" s="1" t="s">
        <v>2505</v>
      </c>
      <c r="D2265" s="1" t="s">
        <v>2506</v>
      </c>
      <c r="E2265" s="1" t="s">
        <v>2019</v>
      </c>
      <c r="F2265" s="1" t="s">
        <v>227</v>
      </c>
      <c r="G2265" s="47">
        <v>724593</v>
      </c>
      <c r="H2265" t="str">
        <f>IFERROR(VLOOKUP(F2265,'LEAID Match'!$A$2:$B$142,2,FALSE),"")</f>
        <v/>
      </c>
    </row>
    <row r="2266" spans="1:8" x14ac:dyDescent="0.2">
      <c r="A2266" t="str">
        <f t="shared" si="35"/>
        <v/>
      </c>
      <c r="B2266" s="1">
        <v>2018</v>
      </c>
      <c r="C2266" s="1" t="s">
        <v>2505</v>
      </c>
      <c r="D2266" s="1" t="s">
        <v>2506</v>
      </c>
      <c r="E2266" s="1" t="s">
        <v>2019</v>
      </c>
      <c r="F2266" s="1" t="s">
        <v>227</v>
      </c>
      <c r="G2266" s="6">
        <v>706143</v>
      </c>
      <c r="H2266" t="str">
        <f>IFERROR(VLOOKUP(F2266,'LEAID Match'!$A$2:$B$142,2,FALSE),"")</f>
        <v/>
      </c>
    </row>
    <row r="2267" spans="1:8" x14ac:dyDescent="0.2">
      <c r="A2267" t="str">
        <f t="shared" si="35"/>
        <v/>
      </c>
      <c r="B2267" s="1">
        <v>2019</v>
      </c>
      <c r="C2267" s="1" t="s">
        <v>2505</v>
      </c>
      <c r="D2267" s="1" t="s">
        <v>2506</v>
      </c>
      <c r="E2267" s="1" t="s">
        <v>2019</v>
      </c>
      <c r="F2267" s="1" t="s">
        <v>227</v>
      </c>
      <c r="G2267" s="6">
        <v>692192</v>
      </c>
      <c r="H2267" t="str">
        <f>IFERROR(VLOOKUP(F2267,'LEAID Match'!$A$2:$B$142,2,FALSE),"")</f>
        <v/>
      </c>
    </row>
    <row r="2268" spans="1:8" x14ac:dyDescent="0.2">
      <c r="A2268" t="str">
        <f t="shared" si="35"/>
        <v/>
      </c>
      <c r="B2268" s="1">
        <v>2020</v>
      </c>
      <c r="C2268" s="1" t="s">
        <v>2505</v>
      </c>
      <c r="D2268" s="1" t="s">
        <v>2506</v>
      </c>
      <c r="E2268" s="1" t="s">
        <v>2019</v>
      </c>
      <c r="F2268" s="1" t="s">
        <v>227</v>
      </c>
      <c r="G2268" s="6">
        <v>795637</v>
      </c>
      <c r="H2268" t="str">
        <f>IFERROR(VLOOKUP(F2268,'LEAID Match'!$A$2:$B$142,2,FALSE),"")</f>
        <v/>
      </c>
    </row>
    <row r="2269" spans="1:8" x14ac:dyDescent="0.2">
      <c r="A2269" t="str">
        <f t="shared" si="35"/>
        <v/>
      </c>
      <c r="B2269" s="1">
        <v>2021</v>
      </c>
      <c r="C2269" s="1" t="s">
        <v>2505</v>
      </c>
      <c r="D2269" s="1" t="s">
        <v>2506</v>
      </c>
      <c r="E2269" s="1" t="s">
        <v>2019</v>
      </c>
      <c r="F2269" s="1" t="s">
        <v>227</v>
      </c>
      <c r="G2269" s="6">
        <v>827018</v>
      </c>
      <c r="H2269" t="str">
        <f>IFERROR(VLOOKUP(F2269,'LEAID Match'!$A$2:$B$142,2,FALSE),"")</f>
        <v/>
      </c>
    </row>
    <row r="2270" spans="1:8" x14ac:dyDescent="0.2">
      <c r="A2270" t="str">
        <f t="shared" si="35"/>
        <v/>
      </c>
      <c r="B2270" s="1">
        <v>2022</v>
      </c>
      <c r="C2270" s="1" t="s">
        <v>2505</v>
      </c>
      <c r="D2270" s="1" t="s">
        <v>2506</v>
      </c>
      <c r="E2270" s="1" t="s">
        <v>2019</v>
      </c>
      <c r="F2270" s="1" t="s">
        <v>227</v>
      </c>
      <c r="G2270" s="6">
        <v>849567</v>
      </c>
      <c r="H2270" t="str">
        <f>IFERROR(VLOOKUP(F2270,'LEAID Match'!$A$2:$B$142,2,FALSE),"")</f>
        <v/>
      </c>
    </row>
    <row r="2271" spans="1:8" x14ac:dyDescent="0.2">
      <c r="A2271" t="str">
        <f t="shared" si="35"/>
        <v/>
      </c>
      <c r="B2271" s="1">
        <v>2023</v>
      </c>
      <c r="C2271" s="1" t="s">
        <v>2505</v>
      </c>
      <c r="D2271" s="1" t="s">
        <v>2506</v>
      </c>
      <c r="E2271" s="1" t="s">
        <v>2019</v>
      </c>
      <c r="F2271" s="1" t="s">
        <v>227</v>
      </c>
      <c r="G2271" s="6">
        <v>881277</v>
      </c>
      <c r="H2271" t="str">
        <f>IFERROR(VLOOKUP(F2271,'LEAID Match'!$A$2:$B$142,2,FALSE),"")</f>
        <v/>
      </c>
    </row>
    <row r="2272" spans="1:8" x14ac:dyDescent="0.2">
      <c r="A2272" t="str">
        <f t="shared" si="35"/>
        <v/>
      </c>
      <c r="B2272" s="1">
        <v>2024</v>
      </c>
      <c r="C2272" s="1" t="s">
        <v>2505</v>
      </c>
      <c r="D2272" s="1" t="s">
        <v>2506</v>
      </c>
      <c r="E2272" s="1" t="s">
        <v>2019</v>
      </c>
      <c r="F2272" s="1" t="s">
        <v>227</v>
      </c>
      <c r="G2272" s="6">
        <v>935367</v>
      </c>
      <c r="H2272" t="str">
        <f>IFERROR(VLOOKUP(F2272,'LEAID Match'!$A$2:$B$142,2,FALSE),"")</f>
        <v/>
      </c>
    </row>
    <row r="2273" spans="1:8" x14ac:dyDescent="0.2">
      <c r="A2273" t="str">
        <f t="shared" si="35"/>
        <v/>
      </c>
      <c r="B2273" s="1">
        <v>2015</v>
      </c>
      <c r="C2273" s="1" t="s">
        <v>2505</v>
      </c>
      <c r="D2273" s="1" t="s">
        <v>2506</v>
      </c>
      <c r="E2273" s="1" t="s">
        <v>2019</v>
      </c>
      <c r="F2273" s="1" t="s">
        <v>904</v>
      </c>
      <c r="G2273" s="6">
        <v>1210</v>
      </c>
      <c r="H2273" t="str">
        <f>IFERROR(VLOOKUP(F2273,'LEAID Match'!$A$2:$B$142,2,FALSE),"")</f>
        <v/>
      </c>
    </row>
    <row r="2274" spans="1:8" x14ac:dyDescent="0.2">
      <c r="A2274" t="str">
        <f t="shared" si="35"/>
        <v/>
      </c>
      <c r="B2274">
        <v>2016</v>
      </c>
      <c r="C2274" s="1" t="s">
        <v>2505</v>
      </c>
      <c r="D2274" s="1" t="s">
        <v>2506</v>
      </c>
      <c r="E2274" s="1" t="s">
        <v>2019</v>
      </c>
      <c r="F2274" s="1" t="s">
        <v>904</v>
      </c>
      <c r="G2274" s="12">
        <v>1210</v>
      </c>
      <c r="H2274" t="str">
        <f>IFERROR(VLOOKUP(F2274,'LEAID Match'!$A$2:$B$142,2,FALSE),"")</f>
        <v/>
      </c>
    </row>
    <row r="2275" spans="1:8" x14ac:dyDescent="0.2">
      <c r="A2275" t="str">
        <f t="shared" si="35"/>
        <v/>
      </c>
      <c r="B2275" s="1">
        <v>2017</v>
      </c>
      <c r="C2275" s="1" t="s">
        <v>2505</v>
      </c>
      <c r="D2275" s="1" t="s">
        <v>2506</v>
      </c>
      <c r="E2275" s="1" t="s">
        <v>2019</v>
      </c>
      <c r="F2275" s="1" t="s">
        <v>904</v>
      </c>
      <c r="G2275" s="47">
        <v>1210</v>
      </c>
      <c r="H2275" t="str">
        <f>IFERROR(VLOOKUP(F2275,'LEAID Match'!$A$2:$B$142,2,FALSE),"")</f>
        <v/>
      </c>
    </row>
    <row r="2276" spans="1:8" x14ac:dyDescent="0.2">
      <c r="A2276" t="str">
        <f t="shared" si="35"/>
        <v/>
      </c>
      <c r="B2276" s="1">
        <v>2018</v>
      </c>
      <c r="C2276" s="1" t="s">
        <v>2505</v>
      </c>
      <c r="D2276" s="1" t="s">
        <v>2506</v>
      </c>
      <c r="E2276" s="1" t="s">
        <v>2019</v>
      </c>
      <c r="F2276" s="1" t="s">
        <v>904</v>
      </c>
      <c r="G2276" s="6">
        <v>1210</v>
      </c>
      <c r="H2276" t="str">
        <f>IFERROR(VLOOKUP(F2276,'LEAID Match'!$A$2:$B$142,2,FALSE),"")</f>
        <v/>
      </c>
    </row>
    <row r="2277" spans="1:8" x14ac:dyDescent="0.2">
      <c r="A2277" t="str">
        <f t="shared" si="35"/>
        <v/>
      </c>
      <c r="B2277" s="1">
        <v>2019</v>
      </c>
      <c r="C2277" s="1" t="s">
        <v>2505</v>
      </c>
      <c r="D2277" s="1" t="s">
        <v>2506</v>
      </c>
      <c r="E2277" s="1" t="s">
        <v>2019</v>
      </c>
      <c r="F2277" s="1" t="s">
        <v>904</v>
      </c>
      <c r="G2277" s="6">
        <v>1210</v>
      </c>
      <c r="H2277" t="str">
        <f>IFERROR(VLOOKUP(F2277,'LEAID Match'!$A$2:$B$142,2,FALSE),"")</f>
        <v/>
      </c>
    </row>
    <row r="2278" spans="1:8" x14ac:dyDescent="0.2">
      <c r="A2278" t="str">
        <f t="shared" si="35"/>
        <v/>
      </c>
      <c r="B2278" s="1">
        <v>2020</v>
      </c>
      <c r="C2278" s="1" t="s">
        <v>2505</v>
      </c>
      <c r="D2278" s="1" t="s">
        <v>2506</v>
      </c>
      <c r="E2278" s="1" t="s">
        <v>2019</v>
      </c>
      <c r="F2278" s="1" t="s">
        <v>904</v>
      </c>
      <c r="G2278" s="6">
        <v>1336</v>
      </c>
      <c r="H2278" t="str">
        <f>IFERROR(VLOOKUP(F2278,'LEAID Match'!$A$2:$B$142,2,FALSE),"")</f>
        <v/>
      </c>
    </row>
    <row r="2279" spans="1:8" x14ac:dyDescent="0.2">
      <c r="A2279" t="str">
        <f t="shared" si="35"/>
        <v/>
      </c>
      <c r="B2279" s="1">
        <v>2021</v>
      </c>
      <c r="C2279" s="1" t="s">
        <v>2505</v>
      </c>
      <c r="D2279" s="1" t="s">
        <v>2506</v>
      </c>
      <c r="E2279" s="1" t="s">
        <v>2019</v>
      </c>
      <c r="F2279" s="1" t="s">
        <v>904</v>
      </c>
      <c r="G2279" s="6">
        <v>1336</v>
      </c>
      <c r="H2279" t="str">
        <f>IFERROR(VLOOKUP(F2279,'LEAID Match'!$A$2:$B$142,2,FALSE),"")</f>
        <v/>
      </c>
    </row>
    <row r="2280" spans="1:8" x14ac:dyDescent="0.2">
      <c r="A2280" t="str">
        <f t="shared" si="35"/>
        <v/>
      </c>
      <c r="B2280" s="1">
        <v>2022</v>
      </c>
      <c r="C2280" s="1" t="s">
        <v>2505</v>
      </c>
      <c r="D2280" s="1" t="s">
        <v>2506</v>
      </c>
      <c r="E2280" s="1" t="s">
        <v>2019</v>
      </c>
      <c r="F2280" s="1" t="s">
        <v>904</v>
      </c>
      <c r="G2280" s="6">
        <v>1336</v>
      </c>
      <c r="H2280" t="str">
        <f>IFERROR(VLOOKUP(F2280,'LEAID Match'!$A$2:$B$142,2,FALSE),"")</f>
        <v/>
      </c>
    </row>
    <row r="2281" spans="1:8" x14ac:dyDescent="0.2">
      <c r="A2281">
        <f t="shared" si="35"/>
        <v>2801560</v>
      </c>
      <c r="B2281" s="1">
        <v>2015</v>
      </c>
      <c r="C2281" s="1" t="s">
        <v>2505</v>
      </c>
      <c r="D2281" s="1" t="s">
        <v>2506</v>
      </c>
      <c r="E2281" s="1" t="s">
        <v>2019</v>
      </c>
      <c r="F2281" s="1" t="s">
        <v>228</v>
      </c>
      <c r="G2281" s="6">
        <v>2912507</v>
      </c>
      <c r="H2281">
        <f>IFERROR(VLOOKUP(F2281,'LEAID Match'!$A$2:$B$142,2,FALSE),"")</f>
        <v>2801560</v>
      </c>
    </row>
    <row r="2282" spans="1:8" x14ac:dyDescent="0.2">
      <c r="A2282">
        <f t="shared" si="35"/>
        <v>2801560</v>
      </c>
      <c r="B2282">
        <v>2016</v>
      </c>
      <c r="C2282" s="1" t="s">
        <v>2505</v>
      </c>
      <c r="D2282" s="1" t="s">
        <v>2506</v>
      </c>
      <c r="E2282" s="1" t="s">
        <v>2019</v>
      </c>
      <c r="F2282" s="1" t="s">
        <v>228</v>
      </c>
      <c r="G2282" s="12">
        <v>2999749</v>
      </c>
      <c r="H2282">
        <f>IFERROR(VLOOKUP(F2282,'LEAID Match'!$A$2:$B$142,2,FALSE),"")</f>
        <v>2801560</v>
      </c>
    </row>
    <row r="2283" spans="1:8" x14ac:dyDescent="0.2">
      <c r="A2283">
        <f t="shared" si="35"/>
        <v>2801560</v>
      </c>
      <c r="B2283" s="1">
        <v>2017</v>
      </c>
      <c r="C2283" s="1" t="s">
        <v>2505</v>
      </c>
      <c r="D2283" s="1" t="s">
        <v>2506</v>
      </c>
      <c r="E2283" s="1" t="s">
        <v>2019</v>
      </c>
      <c r="F2283" s="1" t="s">
        <v>228</v>
      </c>
      <c r="G2283" s="47">
        <v>3046009</v>
      </c>
      <c r="H2283">
        <f>IFERROR(VLOOKUP(F2283,'LEAID Match'!$A$2:$B$142,2,FALSE),"")</f>
        <v>2801560</v>
      </c>
    </row>
    <row r="2284" spans="1:8" x14ac:dyDescent="0.2">
      <c r="A2284">
        <f t="shared" si="35"/>
        <v>2801560</v>
      </c>
      <c r="B2284" s="1">
        <v>2018</v>
      </c>
      <c r="C2284" s="1" t="s">
        <v>2505</v>
      </c>
      <c r="D2284" s="1" t="s">
        <v>2506</v>
      </c>
      <c r="E2284" s="1" t="s">
        <v>2019</v>
      </c>
      <c r="F2284" s="1" t="s">
        <v>228</v>
      </c>
      <c r="G2284" s="6">
        <v>3093850</v>
      </c>
      <c r="H2284">
        <f>IFERROR(VLOOKUP(F2284,'LEAID Match'!$A$2:$B$142,2,FALSE),"")</f>
        <v>2801560</v>
      </c>
    </row>
    <row r="2285" spans="1:8" x14ac:dyDescent="0.2">
      <c r="A2285">
        <f t="shared" si="35"/>
        <v>2801560</v>
      </c>
      <c r="B2285" s="1">
        <v>2020</v>
      </c>
      <c r="C2285" s="1" t="s">
        <v>2505</v>
      </c>
      <c r="D2285" s="1" t="s">
        <v>2506</v>
      </c>
      <c r="E2285" s="1" t="s">
        <v>2019</v>
      </c>
      <c r="F2285" s="1" t="s">
        <v>228</v>
      </c>
      <c r="G2285" s="6">
        <v>3689343</v>
      </c>
      <c r="H2285">
        <f>IFERROR(VLOOKUP(F2285,'LEAID Match'!$A$2:$B$142,2,FALSE),"")</f>
        <v>2801560</v>
      </c>
    </row>
    <row r="2286" spans="1:8" x14ac:dyDescent="0.2">
      <c r="A2286">
        <f t="shared" si="35"/>
        <v>2801560</v>
      </c>
      <c r="B2286" s="1">
        <v>2021</v>
      </c>
      <c r="C2286" s="1" t="s">
        <v>2505</v>
      </c>
      <c r="D2286" s="1" t="s">
        <v>2506</v>
      </c>
      <c r="E2286" s="1" t="s">
        <v>2019</v>
      </c>
      <c r="F2286" s="1" t="s">
        <v>228</v>
      </c>
      <c r="G2286" s="6">
        <v>3668250</v>
      </c>
      <c r="H2286">
        <f>IFERROR(VLOOKUP(F2286,'LEAID Match'!$A$2:$B$142,2,FALSE),"")</f>
        <v>2801560</v>
      </c>
    </row>
    <row r="2287" spans="1:8" x14ac:dyDescent="0.2">
      <c r="A2287">
        <f t="shared" si="35"/>
        <v>2801560</v>
      </c>
      <c r="B2287" s="1">
        <v>2022</v>
      </c>
      <c r="C2287" s="1" t="s">
        <v>2505</v>
      </c>
      <c r="D2287" s="1" t="s">
        <v>2506</v>
      </c>
      <c r="E2287" s="1" t="s">
        <v>2019</v>
      </c>
      <c r="F2287" s="1" t="s">
        <v>228</v>
      </c>
      <c r="G2287" s="6">
        <v>3797775</v>
      </c>
      <c r="H2287">
        <f>IFERROR(VLOOKUP(F2287,'LEAID Match'!$A$2:$B$142,2,FALSE),"")</f>
        <v>2801560</v>
      </c>
    </row>
    <row r="2288" spans="1:8" x14ac:dyDescent="0.2">
      <c r="A2288">
        <f t="shared" si="35"/>
        <v>2801560</v>
      </c>
      <c r="B2288" s="1">
        <v>2023</v>
      </c>
      <c r="C2288" s="1" t="s">
        <v>2505</v>
      </c>
      <c r="D2288" s="1" t="s">
        <v>2506</v>
      </c>
      <c r="E2288" s="1" t="s">
        <v>2019</v>
      </c>
      <c r="F2288" s="1" t="s">
        <v>228</v>
      </c>
      <c r="G2288" s="6">
        <v>4265710</v>
      </c>
      <c r="H2288">
        <f>IFERROR(VLOOKUP(F2288,'LEAID Match'!$A$2:$B$142,2,FALSE),"")</f>
        <v>2801560</v>
      </c>
    </row>
    <row r="2289" spans="1:8" x14ac:dyDescent="0.2">
      <c r="A2289">
        <f t="shared" si="35"/>
        <v>2801560</v>
      </c>
      <c r="B2289" s="1">
        <v>2024</v>
      </c>
      <c r="C2289" s="1" t="s">
        <v>2505</v>
      </c>
      <c r="D2289" s="1" t="s">
        <v>2506</v>
      </c>
      <c r="E2289" s="1" t="s">
        <v>2019</v>
      </c>
      <c r="F2289" s="1" t="s">
        <v>228</v>
      </c>
      <c r="G2289" s="6">
        <v>4198206</v>
      </c>
      <c r="H2289">
        <f>IFERROR(VLOOKUP(F2289,'LEAID Match'!$A$2:$B$142,2,FALSE),"")</f>
        <v>2801560</v>
      </c>
    </row>
    <row r="2290" spans="1:8" x14ac:dyDescent="0.2">
      <c r="A2290">
        <f t="shared" si="35"/>
        <v>2801560</v>
      </c>
      <c r="B2290" s="1">
        <v>2019</v>
      </c>
      <c r="C2290" s="1" t="s">
        <v>2505</v>
      </c>
      <c r="D2290" s="1" t="s">
        <v>2506</v>
      </c>
      <c r="E2290" s="1" t="s">
        <v>2019</v>
      </c>
      <c r="F2290" s="1" t="s">
        <v>228</v>
      </c>
      <c r="G2290" s="6">
        <v>3409971</v>
      </c>
      <c r="H2290">
        <f>IFERROR(VLOOKUP(F2290,'LEAID Match'!$A$2:$B$142,2,FALSE),"")</f>
        <v>2801560</v>
      </c>
    </row>
    <row r="2291" spans="1:8" x14ac:dyDescent="0.2">
      <c r="A2291" t="str">
        <f t="shared" si="35"/>
        <v/>
      </c>
      <c r="B2291" s="1">
        <v>2015</v>
      </c>
      <c r="C2291" s="1" t="s">
        <v>2505</v>
      </c>
      <c r="D2291" s="1" t="s">
        <v>2506</v>
      </c>
      <c r="E2291" s="1" t="s">
        <v>2019</v>
      </c>
      <c r="F2291" s="1" t="s">
        <v>229</v>
      </c>
      <c r="G2291" s="6">
        <v>15616</v>
      </c>
      <c r="H2291" t="str">
        <f>IFERROR(VLOOKUP(F2291,'LEAID Match'!$A$2:$B$142,2,FALSE),"")</f>
        <v/>
      </c>
    </row>
    <row r="2292" spans="1:8" x14ac:dyDescent="0.2">
      <c r="A2292" t="str">
        <f t="shared" si="35"/>
        <v/>
      </c>
      <c r="B2292">
        <v>2016</v>
      </c>
      <c r="C2292" s="1" t="s">
        <v>2505</v>
      </c>
      <c r="D2292" s="1" t="s">
        <v>2506</v>
      </c>
      <c r="E2292" s="1" t="s">
        <v>2019</v>
      </c>
      <c r="F2292" s="1" t="s">
        <v>229</v>
      </c>
      <c r="G2292" s="12">
        <v>21131</v>
      </c>
      <c r="H2292" t="str">
        <f>IFERROR(VLOOKUP(F2292,'LEAID Match'!$A$2:$B$142,2,FALSE),"")</f>
        <v/>
      </c>
    </row>
    <row r="2293" spans="1:8" x14ac:dyDescent="0.2">
      <c r="A2293" t="str">
        <f t="shared" si="35"/>
        <v/>
      </c>
      <c r="B2293" s="1">
        <v>2017</v>
      </c>
      <c r="C2293" s="1" t="s">
        <v>2505</v>
      </c>
      <c r="D2293" s="1" t="s">
        <v>2506</v>
      </c>
      <c r="E2293" s="1" t="s">
        <v>2019</v>
      </c>
      <c r="F2293" s="1" t="s">
        <v>229</v>
      </c>
      <c r="G2293" s="47">
        <v>16909</v>
      </c>
      <c r="H2293" t="str">
        <f>IFERROR(VLOOKUP(F2293,'LEAID Match'!$A$2:$B$142,2,FALSE),"")</f>
        <v/>
      </c>
    </row>
    <row r="2294" spans="1:8" x14ac:dyDescent="0.2">
      <c r="A2294" t="str">
        <f t="shared" si="35"/>
        <v/>
      </c>
      <c r="B2294" s="1">
        <v>2018</v>
      </c>
      <c r="C2294" s="1" t="s">
        <v>2505</v>
      </c>
      <c r="D2294" s="1" t="s">
        <v>2506</v>
      </c>
      <c r="E2294" s="1" t="s">
        <v>2019</v>
      </c>
      <c r="F2294" s="1" t="s">
        <v>229</v>
      </c>
      <c r="G2294" s="6">
        <v>12096</v>
      </c>
      <c r="H2294" t="str">
        <f>IFERROR(VLOOKUP(F2294,'LEAID Match'!$A$2:$B$142,2,FALSE),"")</f>
        <v/>
      </c>
    </row>
    <row r="2295" spans="1:8" x14ac:dyDescent="0.2">
      <c r="A2295" t="str">
        <f t="shared" si="35"/>
        <v/>
      </c>
      <c r="B2295" s="1">
        <v>2019</v>
      </c>
      <c r="C2295" s="1" t="s">
        <v>2505</v>
      </c>
      <c r="D2295" s="1" t="s">
        <v>2506</v>
      </c>
      <c r="E2295" s="1" t="s">
        <v>2019</v>
      </c>
      <c r="F2295" s="1" t="s">
        <v>229</v>
      </c>
      <c r="G2295" s="6">
        <v>23206</v>
      </c>
      <c r="H2295" t="str">
        <f>IFERROR(VLOOKUP(F2295,'LEAID Match'!$A$2:$B$142,2,FALSE),"")</f>
        <v/>
      </c>
    </row>
    <row r="2296" spans="1:8" x14ac:dyDescent="0.2">
      <c r="A2296" t="str">
        <f t="shared" si="35"/>
        <v/>
      </c>
      <c r="B2296" s="1">
        <v>2020</v>
      </c>
      <c r="C2296" s="1" t="s">
        <v>2505</v>
      </c>
      <c r="D2296" s="1" t="s">
        <v>2506</v>
      </c>
      <c r="E2296" s="1" t="s">
        <v>2019</v>
      </c>
      <c r="F2296" s="1" t="s">
        <v>229</v>
      </c>
      <c r="G2296" s="6">
        <v>25209</v>
      </c>
      <c r="H2296" t="str">
        <f>IFERROR(VLOOKUP(F2296,'LEAID Match'!$A$2:$B$142,2,FALSE),"")</f>
        <v/>
      </c>
    </row>
    <row r="2297" spans="1:8" x14ac:dyDescent="0.2">
      <c r="A2297" t="str">
        <f t="shared" si="35"/>
        <v/>
      </c>
      <c r="B2297" s="1">
        <v>2021</v>
      </c>
      <c r="C2297" s="1" t="s">
        <v>2505</v>
      </c>
      <c r="D2297" s="1" t="s">
        <v>2506</v>
      </c>
      <c r="E2297" s="1" t="s">
        <v>2019</v>
      </c>
      <c r="F2297" s="1" t="s">
        <v>229</v>
      </c>
      <c r="G2297" s="6">
        <v>30568</v>
      </c>
      <c r="H2297" t="str">
        <f>IFERROR(VLOOKUP(F2297,'LEAID Match'!$A$2:$B$142,2,FALSE),"")</f>
        <v/>
      </c>
    </row>
    <row r="2298" spans="1:8" x14ac:dyDescent="0.2">
      <c r="A2298" t="str">
        <f t="shared" si="35"/>
        <v/>
      </c>
      <c r="B2298" s="1">
        <v>2022</v>
      </c>
      <c r="C2298" s="1" t="s">
        <v>2505</v>
      </c>
      <c r="D2298" s="1" t="s">
        <v>2506</v>
      </c>
      <c r="E2298" s="1" t="s">
        <v>2019</v>
      </c>
      <c r="F2298" s="1" t="s">
        <v>229</v>
      </c>
      <c r="G2298" s="6">
        <v>38037</v>
      </c>
      <c r="H2298" t="str">
        <f>IFERROR(VLOOKUP(F2298,'LEAID Match'!$A$2:$B$142,2,FALSE),"")</f>
        <v/>
      </c>
    </row>
    <row r="2299" spans="1:8" x14ac:dyDescent="0.2">
      <c r="A2299" t="str">
        <f t="shared" si="35"/>
        <v/>
      </c>
      <c r="B2299" s="1">
        <v>2023</v>
      </c>
      <c r="C2299" s="1" t="s">
        <v>2505</v>
      </c>
      <c r="D2299" s="1" t="s">
        <v>2506</v>
      </c>
      <c r="E2299" s="1" t="s">
        <v>2019</v>
      </c>
      <c r="F2299" s="1" t="s">
        <v>229</v>
      </c>
      <c r="G2299" s="6">
        <v>37215</v>
      </c>
      <c r="H2299" t="str">
        <f>IFERROR(VLOOKUP(F2299,'LEAID Match'!$A$2:$B$142,2,FALSE),"")</f>
        <v/>
      </c>
    </row>
    <row r="2300" spans="1:8" x14ac:dyDescent="0.2">
      <c r="A2300" t="str">
        <f t="shared" si="35"/>
        <v/>
      </c>
      <c r="B2300" s="1">
        <v>2024</v>
      </c>
      <c r="C2300" s="1" t="s">
        <v>2505</v>
      </c>
      <c r="D2300" s="1" t="s">
        <v>2506</v>
      </c>
      <c r="E2300" s="1" t="s">
        <v>2019</v>
      </c>
      <c r="F2300" s="1" t="s">
        <v>229</v>
      </c>
      <c r="G2300" s="6">
        <v>46944</v>
      </c>
      <c r="H2300" t="str">
        <f>IFERROR(VLOOKUP(F2300,'LEAID Match'!$A$2:$B$142,2,FALSE),"")</f>
        <v/>
      </c>
    </row>
    <row r="2301" spans="1:8" x14ac:dyDescent="0.2">
      <c r="A2301" t="str">
        <f t="shared" si="35"/>
        <v/>
      </c>
      <c r="B2301" s="1">
        <v>2015</v>
      </c>
      <c r="C2301" s="1" t="s">
        <v>2505</v>
      </c>
      <c r="D2301" s="1" t="s">
        <v>2506</v>
      </c>
      <c r="E2301" s="1" t="s">
        <v>2019</v>
      </c>
      <c r="F2301" s="1" t="s">
        <v>230</v>
      </c>
      <c r="G2301" s="6">
        <v>57333</v>
      </c>
      <c r="H2301" t="str">
        <f>IFERROR(VLOOKUP(F2301,'LEAID Match'!$A$2:$B$142,2,FALSE),"")</f>
        <v/>
      </c>
    </row>
    <row r="2302" spans="1:8" x14ac:dyDescent="0.2">
      <c r="A2302" t="str">
        <f t="shared" si="35"/>
        <v/>
      </c>
      <c r="B2302">
        <v>2016</v>
      </c>
      <c r="C2302" s="1" t="s">
        <v>2505</v>
      </c>
      <c r="D2302" s="1" t="s">
        <v>2506</v>
      </c>
      <c r="E2302" s="1" t="s">
        <v>2019</v>
      </c>
      <c r="F2302" s="1" t="s">
        <v>230</v>
      </c>
      <c r="G2302" s="12">
        <v>68425</v>
      </c>
      <c r="H2302" t="str">
        <f>IFERROR(VLOOKUP(F2302,'LEAID Match'!$A$2:$B$142,2,FALSE),"")</f>
        <v/>
      </c>
    </row>
    <row r="2303" spans="1:8" x14ac:dyDescent="0.2">
      <c r="A2303" t="str">
        <f t="shared" si="35"/>
        <v/>
      </c>
      <c r="B2303" s="1">
        <v>2017</v>
      </c>
      <c r="C2303" s="1" t="s">
        <v>2505</v>
      </c>
      <c r="D2303" s="1" t="s">
        <v>2506</v>
      </c>
      <c r="E2303" s="1" t="s">
        <v>2019</v>
      </c>
      <c r="F2303" s="1" t="s">
        <v>230</v>
      </c>
      <c r="G2303" s="47">
        <v>76944</v>
      </c>
      <c r="H2303" t="str">
        <f>IFERROR(VLOOKUP(F2303,'LEAID Match'!$A$2:$B$142,2,FALSE),"")</f>
        <v/>
      </c>
    </row>
    <row r="2304" spans="1:8" x14ac:dyDescent="0.2">
      <c r="A2304" t="str">
        <f t="shared" si="35"/>
        <v/>
      </c>
      <c r="B2304" s="1">
        <v>2018</v>
      </c>
      <c r="C2304" s="1" t="s">
        <v>2505</v>
      </c>
      <c r="D2304" s="1" t="s">
        <v>2506</v>
      </c>
      <c r="E2304" s="1" t="s">
        <v>2019</v>
      </c>
      <c r="F2304" s="1" t="s">
        <v>230</v>
      </c>
      <c r="G2304" s="6">
        <v>74852</v>
      </c>
      <c r="H2304" t="str">
        <f>IFERROR(VLOOKUP(F2304,'LEAID Match'!$A$2:$B$142,2,FALSE),"")</f>
        <v/>
      </c>
    </row>
    <row r="2305" spans="1:8" x14ac:dyDescent="0.2">
      <c r="A2305" t="str">
        <f t="shared" si="35"/>
        <v/>
      </c>
      <c r="B2305" s="1">
        <v>2019</v>
      </c>
      <c r="C2305" s="1" t="s">
        <v>2505</v>
      </c>
      <c r="D2305" s="1" t="s">
        <v>2506</v>
      </c>
      <c r="E2305" s="1" t="s">
        <v>2019</v>
      </c>
      <c r="F2305" s="1" t="s">
        <v>230</v>
      </c>
      <c r="G2305" s="6">
        <v>85404</v>
      </c>
      <c r="H2305" t="str">
        <f>IFERROR(VLOOKUP(F2305,'LEAID Match'!$A$2:$B$142,2,FALSE),"")</f>
        <v/>
      </c>
    </row>
    <row r="2306" spans="1:8" x14ac:dyDescent="0.2">
      <c r="A2306" t="str">
        <f t="shared" si="35"/>
        <v/>
      </c>
      <c r="B2306" s="1">
        <v>2020</v>
      </c>
      <c r="C2306" s="1" t="s">
        <v>2505</v>
      </c>
      <c r="D2306" s="1" t="s">
        <v>2506</v>
      </c>
      <c r="E2306" s="1" t="s">
        <v>2019</v>
      </c>
      <c r="F2306" s="1" t="s">
        <v>230</v>
      </c>
      <c r="G2306" s="6">
        <v>99247</v>
      </c>
      <c r="H2306" t="str">
        <f>IFERROR(VLOOKUP(F2306,'LEAID Match'!$A$2:$B$142,2,FALSE),"")</f>
        <v/>
      </c>
    </row>
    <row r="2307" spans="1:8" x14ac:dyDescent="0.2">
      <c r="A2307" t="str">
        <f t="shared" ref="A2307:A2370" si="36">H2307</f>
        <v/>
      </c>
      <c r="B2307" s="1">
        <v>2021</v>
      </c>
      <c r="C2307" s="1" t="s">
        <v>2505</v>
      </c>
      <c r="D2307" s="1" t="s">
        <v>2506</v>
      </c>
      <c r="E2307" s="1" t="s">
        <v>2019</v>
      </c>
      <c r="F2307" s="1" t="s">
        <v>230</v>
      </c>
      <c r="G2307" s="6">
        <v>115713</v>
      </c>
      <c r="H2307" t="str">
        <f>IFERROR(VLOOKUP(F2307,'LEAID Match'!$A$2:$B$142,2,FALSE),"")</f>
        <v/>
      </c>
    </row>
    <row r="2308" spans="1:8" x14ac:dyDescent="0.2">
      <c r="A2308" t="str">
        <f t="shared" si="36"/>
        <v/>
      </c>
      <c r="B2308" s="1">
        <v>2022</v>
      </c>
      <c r="C2308" s="1" t="s">
        <v>2505</v>
      </c>
      <c r="D2308" s="1" t="s">
        <v>2506</v>
      </c>
      <c r="E2308" s="1" t="s">
        <v>2019</v>
      </c>
      <c r="F2308" s="1" t="s">
        <v>230</v>
      </c>
      <c r="G2308" s="6">
        <v>121869</v>
      </c>
      <c r="H2308" t="str">
        <f>IFERROR(VLOOKUP(F2308,'LEAID Match'!$A$2:$B$142,2,FALSE),"")</f>
        <v/>
      </c>
    </row>
    <row r="2309" spans="1:8" x14ac:dyDescent="0.2">
      <c r="A2309" t="str">
        <f t="shared" si="36"/>
        <v/>
      </c>
      <c r="B2309" s="1">
        <v>2023</v>
      </c>
      <c r="C2309" s="1" t="s">
        <v>2505</v>
      </c>
      <c r="D2309" s="1" t="s">
        <v>2506</v>
      </c>
      <c r="E2309" s="1" t="s">
        <v>2019</v>
      </c>
      <c r="F2309" s="1" t="s">
        <v>230</v>
      </c>
      <c r="G2309" s="6">
        <v>139528</v>
      </c>
      <c r="H2309" t="str">
        <f>IFERROR(VLOOKUP(F2309,'LEAID Match'!$A$2:$B$142,2,FALSE),"")</f>
        <v/>
      </c>
    </row>
    <row r="2310" spans="1:8" x14ac:dyDescent="0.2">
      <c r="A2310" t="str">
        <f t="shared" si="36"/>
        <v/>
      </c>
      <c r="B2310" s="1">
        <v>2024</v>
      </c>
      <c r="C2310" s="1" t="s">
        <v>2505</v>
      </c>
      <c r="D2310" s="1" t="s">
        <v>2506</v>
      </c>
      <c r="E2310" s="1" t="s">
        <v>2019</v>
      </c>
      <c r="F2310" s="1" t="s">
        <v>230</v>
      </c>
      <c r="G2310" s="6">
        <v>165133</v>
      </c>
      <c r="H2310" t="str">
        <f>IFERROR(VLOOKUP(F2310,'LEAID Match'!$A$2:$B$142,2,FALSE),"")</f>
        <v/>
      </c>
    </row>
    <row r="2311" spans="1:8" x14ac:dyDescent="0.2">
      <c r="A2311" t="str">
        <f t="shared" si="36"/>
        <v/>
      </c>
      <c r="B2311" s="1">
        <v>2015</v>
      </c>
      <c r="C2311" s="1" t="s">
        <v>2505</v>
      </c>
      <c r="D2311" s="1" t="s">
        <v>2506</v>
      </c>
      <c r="E2311" s="1" t="s">
        <v>2019</v>
      </c>
      <c r="F2311" s="1" t="s">
        <v>231</v>
      </c>
      <c r="G2311" s="6">
        <v>121240</v>
      </c>
      <c r="H2311" t="str">
        <f>IFERROR(VLOOKUP(F2311,'LEAID Match'!$A$2:$B$142,2,FALSE),"")</f>
        <v/>
      </c>
    </row>
    <row r="2312" spans="1:8" x14ac:dyDescent="0.2">
      <c r="A2312" t="str">
        <f t="shared" si="36"/>
        <v/>
      </c>
      <c r="B2312">
        <v>2016</v>
      </c>
      <c r="C2312" s="1" t="s">
        <v>2505</v>
      </c>
      <c r="D2312" s="1" t="s">
        <v>2506</v>
      </c>
      <c r="E2312" s="1" t="s">
        <v>2019</v>
      </c>
      <c r="F2312" s="1" t="s">
        <v>231</v>
      </c>
      <c r="G2312" s="12">
        <v>125971</v>
      </c>
      <c r="H2312" t="str">
        <f>IFERROR(VLOOKUP(F2312,'LEAID Match'!$A$2:$B$142,2,FALSE),"")</f>
        <v/>
      </c>
    </row>
    <row r="2313" spans="1:8" x14ac:dyDescent="0.2">
      <c r="A2313" t="str">
        <f t="shared" si="36"/>
        <v/>
      </c>
      <c r="B2313" s="1">
        <v>2017</v>
      </c>
      <c r="C2313" s="1" t="s">
        <v>2505</v>
      </c>
      <c r="D2313" s="1" t="s">
        <v>2506</v>
      </c>
      <c r="E2313" s="1" t="s">
        <v>2019</v>
      </c>
      <c r="F2313" s="1" t="s">
        <v>231</v>
      </c>
      <c r="G2313" s="47">
        <v>127237</v>
      </c>
      <c r="H2313" t="str">
        <f>IFERROR(VLOOKUP(F2313,'LEAID Match'!$A$2:$B$142,2,FALSE),"")</f>
        <v/>
      </c>
    </row>
    <row r="2314" spans="1:8" x14ac:dyDescent="0.2">
      <c r="A2314" t="str">
        <f t="shared" si="36"/>
        <v/>
      </c>
      <c r="B2314" s="1">
        <v>2018</v>
      </c>
      <c r="C2314" s="1" t="s">
        <v>2505</v>
      </c>
      <c r="D2314" s="1" t="s">
        <v>2506</v>
      </c>
      <c r="E2314" s="1" t="s">
        <v>2019</v>
      </c>
      <c r="F2314" s="1" t="s">
        <v>231</v>
      </c>
      <c r="G2314" s="6">
        <v>125268</v>
      </c>
      <c r="H2314" t="str">
        <f>IFERROR(VLOOKUP(F2314,'LEAID Match'!$A$2:$B$142,2,FALSE),"")</f>
        <v/>
      </c>
    </row>
    <row r="2315" spans="1:8" x14ac:dyDescent="0.2">
      <c r="A2315" t="str">
        <f t="shared" si="36"/>
        <v/>
      </c>
      <c r="B2315" s="1">
        <v>2019</v>
      </c>
      <c r="C2315" s="1" t="s">
        <v>2505</v>
      </c>
      <c r="D2315" s="1" t="s">
        <v>2506</v>
      </c>
      <c r="E2315" s="1" t="s">
        <v>2019</v>
      </c>
      <c r="F2315" s="1" t="s">
        <v>231</v>
      </c>
      <c r="G2315" s="6">
        <v>131722</v>
      </c>
      <c r="H2315" t="str">
        <f>IFERROR(VLOOKUP(F2315,'LEAID Match'!$A$2:$B$142,2,FALSE),"")</f>
        <v/>
      </c>
    </row>
    <row r="2316" spans="1:8" x14ac:dyDescent="0.2">
      <c r="A2316" t="str">
        <f t="shared" si="36"/>
        <v/>
      </c>
      <c r="B2316" s="1">
        <v>2020</v>
      </c>
      <c r="C2316" s="1" t="s">
        <v>2505</v>
      </c>
      <c r="D2316" s="1" t="s">
        <v>2506</v>
      </c>
      <c r="E2316" s="1" t="s">
        <v>2019</v>
      </c>
      <c r="F2316" s="1" t="s">
        <v>231</v>
      </c>
      <c r="G2316" s="6">
        <v>157844</v>
      </c>
      <c r="H2316" t="str">
        <f>IFERROR(VLOOKUP(F2316,'LEAID Match'!$A$2:$B$142,2,FALSE),"")</f>
        <v/>
      </c>
    </row>
    <row r="2317" spans="1:8" x14ac:dyDescent="0.2">
      <c r="A2317" t="str">
        <f t="shared" si="36"/>
        <v/>
      </c>
      <c r="B2317" s="1">
        <v>2021</v>
      </c>
      <c r="C2317" s="1" t="s">
        <v>2505</v>
      </c>
      <c r="D2317" s="1" t="s">
        <v>2506</v>
      </c>
      <c r="E2317" s="1" t="s">
        <v>2019</v>
      </c>
      <c r="F2317" s="1" t="s">
        <v>231</v>
      </c>
      <c r="G2317" s="6">
        <v>151500</v>
      </c>
      <c r="H2317" t="str">
        <f>IFERROR(VLOOKUP(F2317,'LEAID Match'!$A$2:$B$142,2,FALSE),"")</f>
        <v/>
      </c>
    </row>
    <row r="2318" spans="1:8" x14ac:dyDescent="0.2">
      <c r="A2318" t="str">
        <f t="shared" si="36"/>
        <v/>
      </c>
      <c r="B2318" s="1">
        <v>2022</v>
      </c>
      <c r="C2318" s="1" t="s">
        <v>2505</v>
      </c>
      <c r="D2318" s="1" t="s">
        <v>2506</v>
      </c>
      <c r="E2318" s="1" t="s">
        <v>2019</v>
      </c>
      <c r="F2318" s="1" t="s">
        <v>231</v>
      </c>
      <c r="G2318" s="6">
        <v>160530</v>
      </c>
      <c r="H2318" t="str">
        <f>IFERROR(VLOOKUP(F2318,'LEAID Match'!$A$2:$B$142,2,FALSE),"")</f>
        <v/>
      </c>
    </row>
    <row r="2319" spans="1:8" x14ac:dyDescent="0.2">
      <c r="A2319" t="str">
        <f t="shared" si="36"/>
        <v/>
      </c>
      <c r="B2319" s="1">
        <v>2023</v>
      </c>
      <c r="C2319" s="1" t="s">
        <v>2505</v>
      </c>
      <c r="D2319" s="1" t="s">
        <v>2506</v>
      </c>
      <c r="E2319" s="1" t="s">
        <v>2019</v>
      </c>
      <c r="F2319" s="1" t="s">
        <v>231</v>
      </c>
      <c r="G2319" s="6">
        <v>170835</v>
      </c>
      <c r="H2319" t="str">
        <f>IFERROR(VLOOKUP(F2319,'LEAID Match'!$A$2:$B$142,2,FALSE),"")</f>
        <v/>
      </c>
    </row>
    <row r="2320" spans="1:8" x14ac:dyDescent="0.2">
      <c r="A2320" t="str">
        <f t="shared" si="36"/>
        <v/>
      </c>
      <c r="B2320" s="1">
        <v>2024</v>
      </c>
      <c r="C2320" s="1" t="s">
        <v>2505</v>
      </c>
      <c r="D2320" s="1" t="s">
        <v>2506</v>
      </c>
      <c r="E2320" s="1" t="s">
        <v>2019</v>
      </c>
      <c r="F2320" s="1" t="s">
        <v>231</v>
      </c>
      <c r="G2320" s="6">
        <v>167062</v>
      </c>
      <c r="H2320" t="str">
        <f>IFERROR(VLOOKUP(F2320,'LEAID Match'!$A$2:$B$142,2,FALSE),"")</f>
        <v/>
      </c>
    </row>
    <row r="2321" spans="1:8" x14ac:dyDescent="0.2">
      <c r="A2321" t="str">
        <f t="shared" si="36"/>
        <v/>
      </c>
      <c r="B2321" s="1">
        <v>2015</v>
      </c>
      <c r="C2321" s="1" t="s">
        <v>2505</v>
      </c>
      <c r="D2321" s="1" t="s">
        <v>2506</v>
      </c>
      <c r="E2321" s="1" t="s">
        <v>2019</v>
      </c>
      <c r="F2321" s="1" t="s">
        <v>232</v>
      </c>
      <c r="G2321" s="6">
        <v>218083</v>
      </c>
      <c r="H2321" t="str">
        <f>IFERROR(VLOOKUP(F2321,'LEAID Match'!$A$2:$B$142,2,FALSE),"")</f>
        <v/>
      </c>
    </row>
    <row r="2322" spans="1:8" x14ac:dyDescent="0.2">
      <c r="A2322" t="str">
        <f t="shared" si="36"/>
        <v/>
      </c>
      <c r="B2322">
        <v>2016</v>
      </c>
      <c r="C2322" s="1" t="s">
        <v>2505</v>
      </c>
      <c r="D2322" s="1" t="s">
        <v>2506</v>
      </c>
      <c r="E2322" s="1" t="s">
        <v>2019</v>
      </c>
      <c r="F2322" s="1" t="s">
        <v>232</v>
      </c>
      <c r="G2322" s="12">
        <v>228075</v>
      </c>
      <c r="H2322" t="str">
        <f>IFERROR(VLOOKUP(F2322,'LEAID Match'!$A$2:$B$142,2,FALSE),"")</f>
        <v/>
      </c>
    </row>
    <row r="2323" spans="1:8" x14ac:dyDescent="0.2">
      <c r="A2323" t="str">
        <f t="shared" si="36"/>
        <v/>
      </c>
      <c r="B2323" s="1">
        <v>2017</v>
      </c>
      <c r="C2323" s="1" t="s">
        <v>2505</v>
      </c>
      <c r="D2323" s="1" t="s">
        <v>2506</v>
      </c>
      <c r="E2323" s="1" t="s">
        <v>2019</v>
      </c>
      <c r="F2323" s="1" t="s">
        <v>232</v>
      </c>
      <c r="G2323" s="47">
        <v>232466</v>
      </c>
      <c r="H2323" t="str">
        <f>IFERROR(VLOOKUP(F2323,'LEAID Match'!$A$2:$B$142,2,FALSE),"")</f>
        <v/>
      </c>
    </row>
    <row r="2324" spans="1:8" x14ac:dyDescent="0.2">
      <c r="A2324" t="str">
        <f t="shared" si="36"/>
        <v/>
      </c>
      <c r="B2324" s="1">
        <v>2018</v>
      </c>
      <c r="C2324" s="1" t="s">
        <v>2505</v>
      </c>
      <c r="D2324" s="1" t="s">
        <v>2506</v>
      </c>
      <c r="E2324" s="1" t="s">
        <v>2019</v>
      </c>
      <c r="F2324" s="1" t="s">
        <v>232</v>
      </c>
      <c r="G2324" s="6">
        <v>239960</v>
      </c>
      <c r="H2324" t="str">
        <f>IFERROR(VLOOKUP(F2324,'LEAID Match'!$A$2:$B$142,2,FALSE),"")</f>
        <v/>
      </c>
    </row>
    <row r="2325" spans="1:8" x14ac:dyDescent="0.2">
      <c r="A2325" t="str">
        <f t="shared" si="36"/>
        <v/>
      </c>
      <c r="B2325" s="1">
        <v>2019</v>
      </c>
      <c r="C2325" s="1" t="s">
        <v>2505</v>
      </c>
      <c r="D2325" s="1" t="s">
        <v>2506</v>
      </c>
      <c r="E2325" s="1" t="s">
        <v>2019</v>
      </c>
      <c r="F2325" s="1" t="s">
        <v>232</v>
      </c>
      <c r="G2325" s="6">
        <v>245221</v>
      </c>
      <c r="H2325" t="str">
        <f>IFERROR(VLOOKUP(F2325,'LEAID Match'!$A$2:$B$142,2,FALSE),"")</f>
        <v/>
      </c>
    </row>
    <row r="2326" spans="1:8" x14ac:dyDescent="0.2">
      <c r="A2326" t="str">
        <f t="shared" si="36"/>
        <v/>
      </c>
      <c r="B2326" s="1">
        <v>2020</v>
      </c>
      <c r="C2326" s="1" t="s">
        <v>2505</v>
      </c>
      <c r="D2326" s="1" t="s">
        <v>2506</v>
      </c>
      <c r="E2326" s="1" t="s">
        <v>2019</v>
      </c>
      <c r="F2326" s="1" t="s">
        <v>232</v>
      </c>
      <c r="G2326" s="6">
        <v>321035</v>
      </c>
      <c r="H2326" t="str">
        <f>IFERROR(VLOOKUP(F2326,'LEAID Match'!$A$2:$B$142,2,FALSE),"")</f>
        <v/>
      </c>
    </row>
    <row r="2327" spans="1:8" x14ac:dyDescent="0.2">
      <c r="A2327" t="str">
        <f t="shared" si="36"/>
        <v/>
      </c>
      <c r="B2327" s="1">
        <v>2021</v>
      </c>
      <c r="C2327" s="1" t="s">
        <v>2505</v>
      </c>
      <c r="D2327" s="1" t="s">
        <v>2506</v>
      </c>
      <c r="E2327" s="1" t="s">
        <v>2019</v>
      </c>
      <c r="F2327" s="1" t="s">
        <v>232</v>
      </c>
      <c r="G2327" s="6">
        <v>286792</v>
      </c>
      <c r="H2327" t="str">
        <f>IFERROR(VLOOKUP(F2327,'LEAID Match'!$A$2:$B$142,2,FALSE),"")</f>
        <v/>
      </c>
    </row>
    <row r="2328" spans="1:8" x14ac:dyDescent="0.2">
      <c r="A2328" t="str">
        <f t="shared" si="36"/>
        <v/>
      </c>
      <c r="B2328" s="1">
        <v>2022</v>
      </c>
      <c r="C2328" s="1" t="s">
        <v>2505</v>
      </c>
      <c r="D2328" s="1" t="s">
        <v>2506</v>
      </c>
      <c r="E2328" s="1" t="s">
        <v>2019</v>
      </c>
      <c r="F2328" s="1" t="s">
        <v>232</v>
      </c>
      <c r="G2328" s="6">
        <v>321962</v>
      </c>
      <c r="H2328" t="str">
        <f>IFERROR(VLOOKUP(F2328,'LEAID Match'!$A$2:$B$142,2,FALSE),"")</f>
        <v/>
      </c>
    </row>
    <row r="2329" spans="1:8" x14ac:dyDescent="0.2">
      <c r="A2329" t="str">
        <f t="shared" si="36"/>
        <v/>
      </c>
      <c r="B2329" s="1">
        <v>2023</v>
      </c>
      <c r="C2329" s="1" t="s">
        <v>2505</v>
      </c>
      <c r="D2329" s="1" t="s">
        <v>2506</v>
      </c>
      <c r="E2329" s="1" t="s">
        <v>2019</v>
      </c>
      <c r="F2329" s="1" t="s">
        <v>232</v>
      </c>
      <c r="G2329" s="6">
        <v>325056</v>
      </c>
      <c r="H2329" t="str">
        <f>IFERROR(VLOOKUP(F2329,'LEAID Match'!$A$2:$B$142,2,FALSE),"")</f>
        <v/>
      </c>
    </row>
    <row r="2330" spans="1:8" x14ac:dyDescent="0.2">
      <c r="A2330" t="str">
        <f t="shared" si="36"/>
        <v/>
      </c>
      <c r="B2330" s="1">
        <v>2024</v>
      </c>
      <c r="C2330" s="1" t="s">
        <v>2505</v>
      </c>
      <c r="D2330" s="1" t="s">
        <v>2506</v>
      </c>
      <c r="E2330" s="1" t="s">
        <v>2019</v>
      </c>
      <c r="F2330" s="1" t="s">
        <v>232</v>
      </c>
      <c r="G2330" s="6">
        <v>351192</v>
      </c>
      <c r="H2330" t="str">
        <f>IFERROR(VLOOKUP(F2330,'LEAID Match'!$A$2:$B$142,2,FALSE),"")</f>
        <v/>
      </c>
    </row>
    <row r="2331" spans="1:8" x14ac:dyDescent="0.2">
      <c r="A2331" t="str">
        <f t="shared" si="36"/>
        <v/>
      </c>
      <c r="B2331" s="1">
        <v>2015</v>
      </c>
      <c r="C2331" s="1" t="s">
        <v>2505</v>
      </c>
      <c r="D2331" s="1" t="s">
        <v>2506</v>
      </c>
      <c r="E2331" s="1" t="s">
        <v>2019</v>
      </c>
      <c r="F2331" s="1" t="s">
        <v>233</v>
      </c>
      <c r="G2331" s="6">
        <v>79244</v>
      </c>
      <c r="H2331" t="str">
        <f>IFERROR(VLOOKUP(F2331,'LEAID Match'!$A$2:$B$142,2,FALSE),"")</f>
        <v/>
      </c>
    </row>
    <row r="2332" spans="1:8" x14ac:dyDescent="0.2">
      <c r="A2332" t="str">
        <f t="shared" si="36"/>
        <v/>
      </c>
      <c r="B2332">
        <v>2016</v>
      </c>
      <c r="C2332" s="1" t="s">
        <v>2505</v>
      </c>
      <c r="D2332" s="1" t="s">
        <v>2506</v>
      </c>
      <c r="E2332" s="1" t="s">
        <v>2019</v>
      </c>
      <c r="F2332" s="1" t="s">
        <v>233</v>
      </c>
      <c r="G2332" s="12">
        <v>80609</v>
      </c>
      <c r="H2332" t="str">
        <f>IFERROR(VLOOKUP(F2332,'LEAID Match'!$A$2:$B$142,2,FALSE),"")</f>
        <v/>
      </c>
    </row>
    <row r="2333" spans="1:8" x14ac:dyDescent="0.2">
      <c r="A2333" t="str">
        <f t="shared" si="36"/>
        <v/>
      </c>
      <c r="B2333" s="1">
        <v>2017</v>
      </c>
      <c r="C2333" s="1" t="s">
        <v>2505</v>
      </c>
      <c r="D2333" s="1" t="s">
        <v>2506</v>
      </c>
      <c r="E2333" s="1" t="s">
        <v>2019</v>
      </c>
      <c r="F2333" s="1" t="s">
        <v>233</v>
      </c>
      <c r="G2333" s="47">
        <v>89061</v>
      </c>
      <c r="H2333" t="str">
        <f>IFERROR(VLOOKUP(F2333,'LEAID Match'!$A$2:$B$142,2,FALSE),"")</f>
        <v/>
      </c>
    </row>
    <row r="2334" spans="1:8" x14ac:dyDescent="0.2">
      <c r="A2334" t="str">
        <f t="shared" si="36"/>
        <v/>
      </c>
      <c r="B2334" s="1">
        <v>2018</v>
      </c>
      <c r="C2334" s="1" t="s">
        <v>2505</v>
      </c>
      <c r="D2334" s="1" t="s">
        <v>2506</v>
      </c>
      <c r="E2334" s="1" t="s">
        <v>2019</v>
      </c>
      <c r="F2334" s="1" t="s">
        <v>233</v>
      </c>
      <c r="G2334" s="6">
        <v>91189</v>
      </c>
      <c r="H2334" t="str">
        <f>IFERROR(VLOOKUP(F2334,'LEAID Match'!$A$2:$B$142,2,FALSE),"")</f>
        <v/>
      </c>
    </row>
    <row r="2335" spans="1:8" x14ac:dyDescent="0.2">
      <c r="A2335" t="str">
        <f t="shared" si="36"/>
        <v/>
      </c>
      <c r="B2335" s="1">
        <v>2019</v>
      </c>
      <c r="C2335" s="1" t="s">
        <v>2505</v>
      </c>
      <c r="D2335" s="1" t="s">
        <v>2506</v>
      </c>
      <c r="E2335" s="1" t="s">
        <v>2019</v>
      </c>
      <c r="F2335" s="1" t="s">
        <v>233</v>
      </c>
      <c r="G2335" s="6">
        <v>92090</v>
      </c>
      <c r="H2335" t="str">
        <f>IFERROR(VLOOKUP(F2335,'LEAID Match'!$A$2:$B$142,2,FALSE),"")</f>
        <v/>
      </c>
    </row>
    <row r="2336" spans="1:8" x14ac:dyDescent="0.2">
      <c r="A2336" t="str">
        <f t="shared" si="36"/>
        <v/>
      </c>
      <c r="B2336" s="1">
        <v>2020</v>
      </c>
      <c r="C2336" s="1" t="s">
        <v>2505</v>
      </c>
      <c r="D2336" s="1" t="s">
        <v>2506</v>
      </c>
      <c r="E2336" s="1" t="s">
        <v>2019</v>
      </c>
      <c r="F2336" s="1" t="s">
        <v>233</v>
      </c>
      <c r="G2336" s="6">
        <v>108871</v>
      </c>
      <c r="H2336" t="str">
        <f>IFERROR(VLOOKUP(F2336,'LEAID Match'!$A$2:$B$142,2,FALSE),"")</f>
        <v/>
      </c>
    </row>
    <row r="2337" spans="1:8" x14ac:dyDescent="0.2">
      <c r="A2337" t="str">
        <f t="shared" si="36"/>
        <v/>
      </c>
      <c r="B2337" s="1">
        <v>2021</v>
      </c>
      <c r="C2337" s="1" t="s">
        <v>2505</v>
      </c>
      <c r="D2337" s="1" t="s">
        <v>2506</v>
      </c>
      <c r="E2337" s="1" t="s">
        <v>2019</v>
      </c>
      <c r="F2337" s="1" t="s">
        <v>233</v>
      </c>
      <c r="G2337" s="6">
        <v>117176</v>
      </c>
      <c r="H2337" t="str">
        <f>IFERROR(VLOOKUP(F2337,'LEAID Match'!$A$2:$B$142,2,FALSE),"")</f>
        <v/>
      </c>
    </row>
    <row r="2338" spans="1:8" x14ac:dyDescent="0.2">
      <c r="A2338" t="str">
        <f t="shared" si="36"/>
        <v/>
      </c>
      <c r="B2338" s="1">
        <v>2022</v>
      </c>
      <c r="C2338" s="1" t="s">
        <v>2505</v>
      </c>
      <c r="D2338" s="1" t="s">
        <v>2506</v>
      </c>
      <c r="E2338" s="1" t="s">
        <v>2019</v>
      </c>
      <c r="F2338" s="1" t="s">
        <v>233</v>
      </c>
      <c r="G2338" s="6">
        <v>144063</v>
      </c>
      <c r="H2338" t="str">
        <f>IFERROR(VLOOKUP(F2338,'LEAID Match'!$A$2:$B$142,2,FALSE),"")</f>
        <v/>
      </c>
    </row>
    <row r="2339" spans="1:8" x14ac:dyDescent="0.2">
      <c r="A2339" t="str">
        <f t="shared" si="36"/>
        <v/>
      </c>
      <c r="B2339" s="1">
        <v>2023</v>
      </c>
      <c r="C2339" s="1" t="s">
        <v>2505</v>
      </c>
      <c r="D2339" s="1" t="s">
        <v>2506</v>
      </c>
      <c r="E2339" s="1" t="s">
        <v>2019</v>
      </c>
      <c r="F2339" s="1" t="s">
        <v>233</v>
      </c>
      <c r="G2339" s="6">
        <v>120075</v>
      </c>
      <c r="H2339" t="str">
        <f>IFERROR(VLOOKUP(F2339,'LEAID Match'!$A$2:$B$142,2,FALSE),"")</f>
        <v/>
      </c>
    </row>
    <row r="2340" spans="1:8" x14ac:dyDescent="0.2">
      <c r="A2340" t="str">
        <f t="shared" si="36"/>
        <v/>
      </c>
      <c r="B2340" s="1">
        <v>2024</v>
      </c>
      <c r="C2340" s="1" t="s">
        <v>2505</v>
      </c>
      <c r="D2340" s="1" t="s">
        <v>2506</v>
      </c>
      <c r="E2340" s="1" t="s">
        <v>2019</v>
      </c>
      <c r="F2340" s="1" t="s">
        <v>233</v>
      </c>
      <c r="G2340" s="6">
        <v>125827</v>
      </c>
      <c r="H2340" t="str">
        <f>IFERROR(VLOOKUP(F2340,'LEAID Match'!$A$2:$B$142,2,FALSE),"")</f>
        <v/>
      </c>
    </row>
    <row r="2341" spans="1:8" x14ac:dyDescent="0.2">
      <c r="A2341" t="str">
        <f t="shared" si="36"/>
        <v/>
      </c>
      <c r="B2341" s="1">
        <v>2015</v>
      </c>
      <c r="C2341" s="1" t="s">
        <v>2505</v>
      </c>
      <c r="D2341" s="1" t="s">
        <v>2506</v>
      </c>
      <c r="E2341" s="1" t="s">
        <v>2019</v>
      </c>
      <c r="F2341" s="1" t="s">
        <v>234</v>
      </c>
      <c r="G2341" s="6">
        <v>11104</v>
      </c>
      <c r="H2341" t="str">
        <f>IFERROR(VLOOKUP(F2341,'LEAID Match'!$A$2:$B$142,2,FALSE),"")</f>
        <v/>
      </c>
    </row>
    <row r="2342" spans="1:8" x14ac:dyDescent="0.2">
      <c r="A2342" t="str">
        <f t="shared" si="36"/>
        <v/>
      </c>
      <c r="B2342">
        <v>2016</v>
      </c>
      <c r="C2342" s="1" t="s">
        <v>2505</v>
      </c>
      <c r="D2342" s="1" t="s">
        <v>2506</v>
      </c>
      <c r="E2342" s="1" t="s">
        <v>2019</v>
      </c>
      <c r="F2342" s="1" t="s">
        <v>234</v>
      </c>
      <c r="G2342" s="12">
        <v>8245</v>
      </c>
      <c r="H2342" t="str">
        <f>IFERROR(VLOOKUP(F2342,'LEAID Match'!$A$2:$B$142,2,FALSE),"")</f>
        <v/>
      </c>
    </row>
    <row r="2343" spans="1:8" x14ac:dyDescent="0.2">
      <c r="A2343" t="str">
        <f t="shared" si="36"/>
        <v/>
      </c>
      <c r="B2343" s="1">
        <v>2017</v>
      </c>
      <c r="C2343" s="1" t="s">
        <v>2505</v>
      </c>
      <c r="D2343" s="1" t="s">
        <v>2506</v>
      </c>
      <c r="E2343" s="1" t="s">
        <v>2019</v>
      </c>
      <c r="F2343" s="1" t="s">
        <v>234</v>
      </c>
      <c r="G2343" s="47">
        <v>6616</v>
      </c>
      <c r="H2343" t="str">
        <f>IFERROR(VLOOKUP(F2343,'LEAID Match'!$A$2:$B$142,2,FALSE),"")</f>
        <v/>
      </c>
    </row>
    <row r="2344" spans="1:8" x14ac:dyDescent="0.2">
      <c r="A2344" t="str">
        <f t="shared" si="36"/>
        <v/>
      </c>
      <c r="B2344" s="1">
        <v>2018</v>
      </c>
      <c r="C2344" s="1" t="s">
        <v>2505</v>
      </c>
      <c r="D2344" s="1" t="s">
        <v>2506</v>
      </c>
      <c r="E2344" s="1" t="s">
        <v>2019</v>
      </c>
      <c r="F2344" s="1" t="s">
        <v>234</v>
      </c>
      <c r="G2344" s="6">
        <v>5296</v>
      </c>
      <c r="H2344" t="str">
        <f>IFERROR(VLOOKUP(F2344,'LEAID Match'!$A$2:$B$142,2,FALSE),"")</f>
        <v/>
      </c>
    </row>
    <row r="2345" spans="1:8" x14ac:dyDescent="0.2">
      <c r="A2345" t="str">
        <f t="shared" si="36"/>
        <v/>
      </c>
      <c r="B2345" s="1">
        <v>2019</v>
      </c>
      <c r="C2345" s="1" t="s">
        <v>2505</v>
      </c>
      <c r="D2345" s="1" t="s">
        <v>2506</v>
      </c>
      <c r="E2345" s="1" t="s">
        <v>2019</v>
      </c>
      <c r="F2345" s="1" t="s">
        <v>234</v>
      </c>
      <c r="G2345" s="6">
        <v>3901</v>
      </c>
      <c r="H2345" t="str">
        <f>IFERROR(VLOOKUP(F2345,'LEAID Match'!$A$2:$B$142,2,FALSE),"")</f>
        <v/>
      </c>
    </row>
    <row r="2346" spans="1:8" x14ac:dyDescent="0.2">
      <c r="A2346" t="str">
        <f t="shared" si="36"/>
        <v/>
      </c>
      <c r="B2346" s="1">
        <v>2020</v>
      </c>
      <c r="C2346" s="1" t="s">
        <v>2505</v>
      </c>
      <c r="D2346" s="1" t="s">
        <v>2506</v>
      </c>
      <c r="E2346" s="1" t="s">
        <v>2019</v>
      </c>
      <c r="F2346" s="1" t="s">
        <v>234</v>
      </c>
      <c r="G2346" s="6">
        <v>4594</v>
      </c>
      <c r="H2346" t="str">
        <f>IFERROR(VLOOKUP(F2346,'LEAID Match'!$A$2:$B$142,2,FALSE),"")</f>
        <v/>
      </c>
    </row>
    <row r="2347" spans="1:8" x14ac:dyDescent="0.2">
      <c r="A2347" t="str">
        <f t="shared" si="36"/>
        <v/>
      </c>
      <c r="B2347" s="1">
        <v>2021</v>
      </c>
      <c r="C2347" s="1" t="s">
        <v>2505</v>
      </c>
      <c r="D2347" s="1" t="s">
        <v>2506</v>
      </c>
      <c r="E2347" s="1" t="s">
        <v>2019</v>
      </c>
      <c r="F2347" s="1" t="s">
        <v>234</v>
      </c>
      <c r="G2347" s="6">
        <v>15704</v>
      </c>
      <c r="H2347" t="str">
        <f>IFERROR(VLOOKUP(F2347,'LEAID Match'!$A$2:$B$142,2,FALSE),"")</f>
        <v/>
      </c>
    </row>
    <row r="2348" spans="1:8" x14ac:dyDescent="0.2">
      <c r="A2348" t="str">
        <f t="shared" si="36"/>
        <v/>
      </c>
      <c r="B2348" s="1">
        <v>2022</v>
      </c>
      <c r="C2348" s="1" t="s">
        <v>2505</v>
      </c>
      <c r="D2348" s="1" t="s">
        <v>2506</v>
      </c>
      <c r="E2348" s="1" t="s">
        <v>2019</v>
      </c>
      <c r="F2348" s="1" t="s">
        <v>234</v>
      </c>
      <c r="G2348" s="6">
        <v>24962</v>
      </c>
      <c r="H2348" t="str">
        <f>IFERROR(VLOOKUP(F2348,'LEAID Match'!$A$2:$B$142,2,FALSE),"")</f>
        <v/>
      </c>
    </row>
    <row r="2349" spans="1:8" x14ac:dyDescent="0.2">
      <c r="A2349" t="str">
        <f t="shared" si="36"/>
        <v/>
      </c>
      <c r="B2349" s="1">
        <v>2023</v>
      </c>
      <c r="C2349" s="1" t="s">
        <v>2505</v>
      </c>
      <c r="D2349" s="1" t="s">
        <v>2506</v>
      </c>
      <c r="E2349" s="1" t="s">
        <v>2019</v>
      </c>
      <c r="F2349" s="1" t="s">
        <v>234</v>
      </c>
      <c r="G2349" s="6">
        <v>17385</v>
      </c>
      <c r="H2349" t="str">
        <f>IFERROR(VLOOKUP(F2349,'LEAID Match'!$A$2:$B$142,2,FALSE),"")</f>
        <v/>
      </c>
    </row>
    <row r="2350" spans="1:8" x14ac:dyDescent="0.2">
      <c r="A2350" t="str">
        <f t="shared" si="36"/>
        <v/>
      </c>
      <c r="B2350" s="1">
        <v>2024</v>
      </c>
      <c r="C2350" s="1" t="s">
        <v>2505</v>
      </c>
      <c r="D2350" s="1" t="s">
        <v>2506</v>
      </c>
      <c r="E2350" s="1" t="s">
        <v>2019</v>
      </c>
      <c r="F2350" s="1" t="s">
        <v>234</v>
      </c>
      <c r="G2350" s="6">
        <v>12992</v>
      </c>
      <c r="H2350" t="str">
        <f>IFERROR(VLOOKUP(F2350,'LEAID Match'!$A$2:$B$142,2,FALSE),"")</f>
        <v/>
      </c>
    </row>
    <row r="2351" spans="1:8" x14ac:dyDescent="0.2">
      <c r="A2351" t="str">
        <f t="shared" si="36"/>
        <v/>
      </c>
      <c r="B2351" s="1">
        <v>2015</v>
      </c>
      <c r="C2351" s="1" t="s">
        <v>2505</v>
      </c>
      <c r="D2351" s="1" t="s">
        <v>2506</v>
      </c>
      <c r="E2351" s="1" t="s">
        <v>2019</v>
      </c>
      <c r="F2351" s="1" t="s">
        <v>2028</v>
      </c>
      <c r="G2351" s="6">
        <v>33863</v>
      </c>
      <c r="H2351" t="str">
        <f>IFERROR(VLOOKUP(F2351,'LEAID Match'!$A$2:$B$142,2,FALSE),"")</f>
        <v/>
      </c>
    </row>
    <row r="2352" spans="1:8" x14ac:dyDescent="0.2">
      <c r="A2352" t="str">
        <f t="shared" si="36"/>
        <v/>
      </c>
      <c r="B2352">
        <v>2016</v>
      </c>
      <c r="C2352" s="1" t="s">
        <v>2505</v>
      </c>
      <c r="D2352" s="1" t="s">
        <v>2506</v>
      </c>
      <c r="E2352" s="1" t="s">
        <v>2019</v>
      </c>
      <c r="F2352" t="s">
        <v>2028</v>
      </c>
      <c r="G2352" s="12">
        <v>33863</v>
      </c>
      <c r="H2352" t="str">
        <f>IFERROR(VLOOKUP(F2352,'LEAID Match'!$A$2:$B$142,2,FALSE),"")</f>
        <v/>
      </c>
    </row>
    <row r="2353" spans="1:8" x14ac:dyDescent="0.2">
      <c r="A2353" t="str">
        <f t="shared" si="36"/>
        <v/>
      </c>
      <c r="B2353" s="1">
        <v>2015</v>
      </c>
      <c r="C2353" s="1" t="s">
        <v>2505</v>
      </c>
      <c r="D2353" s="1" t="s">
        <v>2506</v>
      </c>
      <c r="E2353" s="1" t="s">
        <v>2019</v>
      </c>
      <c r="F2353" s="1" t="s">
        <v>235</v>
      </c>
      <c r="G2353" s="6">
        <v>252020</v>
      </c>
      <c r="H2353" t="str">
        <f>IFERROR(VLOOKUP(F2353,'LEAID Match'!$A$2:$B$142,2,FALSE),"")</f>
        <v/>
      </c>
    </row>
    <row r="2354" spans="1:8" x14ac:dyDescent="0.2">
      <c r="A2354" t="str">
        <f t="shared" si="36"/>
        <v/>
      </c>
      <c r="B2354">
        <v>2016</v>
      </c>
      <c r="C2354" s="1" t="s">
        <v>2505</v>
      </c>
      <c r="D2354" s="1" t="s">
        <v>2506</v>
      </c>
      <c r="E2354" s="1" t="s">
        <v>2019</v>
      </c>
      <c r="F2354" s="1" t="s">
        <v>235</v>
      </c>
      <c r="G2354" s="12">
        <v>240059</v>
      </c>
      <c r="H2354" t="str">
        <f>IFERROR(VLOOKUP(F2354,'LEAID Match'!$A$2:$B$142,2,FALSE),"")</f>
        <v/>
      </c>
    </row>
    <row r="2355" spans="1:8" x14ac:dyDescent="0.2">
      <c r="A2355" t="str">
        <f t="shared" si="36"/>
        <v/>
      </c>
      <c r="B2355" s="1">
        <v>2017</v>
      </c>
      <c r="C2355" s="1" t="s">
        <v>2505</v>
      </c>
      <c r="D2355" s="1" t="s">
        <v>2506</v>
      </c>
      <c r="E2355" s="1" t="s">
        <v>2019</v>
      </c>
      <c r="F2355" s="1" t="s">
        <v>235</v>
      </c>
      <c r="G2355" s="47">
        <v>251931</v>
      </c>
      <c r="H2355" t="str">
        <f>IFERROR(VLOOKUP(F2355,'LEAID Match'!$A$2:$B$142,2,FALSE),"")</f>
        <v/>
      </c>
    </row>
    <row r="2356" spans="1:8" x14ac:dyDescent="0.2">
      <c r="A2356" t="str">
        <f t="shared" si="36"/>
        <v/>
      </c>
      <c r="B2356" s="1">
        <v>2018</v>
      </c>
      <c r="C2356" s="1" t="s">
        <v>2505</v>
      </c>
      <c r="D2356" s="1" t="s">
        <v>2506</v>
      </c>
      <c r="E2356" s="1" t="s">
        <v>2019</v>
      </c>
      <c r="F2356" s="1" t="s">
        <v>235</v>
      </c>
      <c r="G2356" s="6">
        <v>255952</v>
      </c>
      <c r="H2356" t="str">
        <f>IFERROR(VLOOKUP(F2356,'LEAID Match'!$A$2:$B$142,2,FALSE),"")</f>
        <v/>
      </c>
    </row>
    <row r="2357" spans="1:8" x14ac:dyDescent="0.2">
      <c r="A2357" t="str">
        <f t="shared" si="36"/>
        <v/>
      </c>
      <c r="B2357" s="1">
        <v>2019</v>
      </c>
      <c r="C2357" s="1" t="s">
        <v>2505</v>
      </c>
      <c r="D2357" s="1" t="s">
        <v>2506</v>
      </c>
      <c r="E2357" s="1" t="s">
        <v>2019</v>
      </c>
      <c r="F2357" s="1" t="s">
        <v>235</v>
      </c>
      <c r="G2357" s="6">
        <v>306136</v>
      </c>
      <c r="H2357" t="str">
        <f>IFERROR(VLOOKUP(F2357,'LEAID Match'!$A$2:$B$142,2,FALSE),"")</f>
        <v/>
      </c>
    </row>
    <row r="2358" spans="1:8" x14ac:dyDescent="0.2">
      <c r="A2358" t="str">
        <f t="shared" si="36"/>
        <v/>
      </c>
      <c r="B2358" s="1">
        <v>2020</v>
      </c>
      <c r="C2358" s="1" t="s">
        <v>2505</v>
      </c>
      <c r="D2358" s="1" t="s">
        <v>2506</v>
      </c>
      <c r="E2358" s="1" t="s">
        <v>2019</v>
      </c>
      <c r="F2358" s="1" t="s">
        <v>235</v>
      </c>
      <c r="G2358" s="6">
        <v>340393</v>
      </c>
      <c r="H2358" t="str">
        <f>IFERROR(VLOOKUP(F2358,'LEAID Match'!$A$2:$B$142,2,FALSE),"")</f>
        <v/>
      </c>
    </row>
    <row r="2359" spans="1:8" x14ac:dyDescent="0.2">
      <c r="A2359" t="str">
        <f t="shared" si="36"/>
        <v/>
      </c>
      <c r="B2359" s="1">
        <v>2021</v>
      </c>
      <c r="C2359" s="1" t="s">
        <v>2505</v>
      </c>
      <c r="D2359" s="1" t="s">
        <v>2506</v>
      </c>
      <c r="E2359" s="1" t="s">
        <v>2019</v>
      </c>
      <c r="F2359" s="1" t="s">
        <v>235</v>
      </c>
      <c r="G2359" s="6">
        <v>300389</v>
      </c>
      <c r="H2359" t="str">
        <f>IFERROR(VLOOKUP(F2359,'LEAID Match'!$A$2:$B$142,2,FALSE),"")</f>
        <v/>
      </c>
    </row>
    <row r="2360" spans="1:8" x14ac:dyDescent="0.2">
      <c r="A2360" t="str">
        <f t="shared" si="36"/>
        <v/>
      </c>
      <c r="B2360" s="1">
        <v>2022</v>
      </c>
      <c r="C2360" s="1" t="s">
        <v>2505</v>
      </c>
      <c r="D2360" s="1" t="s">
        <v>2506</v>
      </c>
      <c r="E2360" s="1" t="s">
        <v>2019</v>
      </c>
      <c r="F2360" s="1" t="s">
        <v>235</v>
      </c>
      <c r="G2360" s="6">
        <v>299303</v>
      </c>
      <c r="H2360" t="str">
        <f>IFERROR(VLOOKUP(F2360,'LEAID Match'!$A$2:$B$142,2,FALSE),"")</f>
        <v/>
      </c>
    </row>
    <row r="2361" spans="1:8" x14ac:dyDescent="0.2">
      <c r="A2361" t="str">
        <f t="shared" si="36"/>
        <v/>
      </c>
      <c r="B2361" s="1">
        <v>2023</v>
      </c>
      <c r="C2361" s="1" t="s">
        <v>2505</v>
      </c>
      <c r="D2361" s="1" t="s">
        <v>2506</v>
      </c>
      <c r="E2361" s="1" t="s">
        <v>2019</v>
      </c>
      <c r="F2361" s="1" t="s">
        <v>235</v>
      </c>
      <c r="G2361" s="6">
        <v>309657</v>
      </c>
      <c r="H2361" t="str">
        <f>IFERROR(VLOOKUP(F2361,'LEAID Match'!$A$2:$B$142,2,FALSE),"")</f>
        <v/>
      </c>
    </row>
    <row r="2362" spans="1:8" x14ac:dyDescent="0.2">
      <c r="A2362" t="str">
        <f t="shared" si="36"/>
        <v/>
      </c>
      <c r="B2362" s="1">
        <v>2024</v>
      </c>
      <c r="C2362" s="1" t="s">
        <v>2505</v>
      </c>
      <c r="D2362" s="1" t="s">
        <v>2506</v>
      </c>
      <c r="E2362" s="1" t="s">
        <v>2019</v>
      </c>
      <c r="F2362" s="1" t="s">
        <v>235</v>
      </c>
      <c r="G2362" s="6">
        <v>341040</v>
      </c>
      <c r="H2362" t="str">
        <f>IFERROR(VLOOKUP(F2362,'LEAID Match'!$A$2:$B$142,2,FALSE),"")</f>
        <v/>
      </c>
    </row>
    <row r="2363" spans="1:8" x14ac:dyDescent="0.2">
      <c r="A2363" t="str">
        <f t="shared" si="36"/>
        <v/>
      </c>
      <c r="B2363" s="1">
        <v>2015</v>
      </c>
      <c r="C2363" s="1" t="s">
        <v>2505</v>
      </c>
      <c r="D2363" s="1" t="s">
        <v>2506</v>
      </c>
      <c r="E2363" s="1" t="s">
        <v>2019</v>
      </c>
      <c r="F2363" s="1" t="s">
        <v>236</v>
      </c>
      <c r="G2363" s="6">
        <v>26756</v>
      </c>
      <c r="H2363" t="str">
        <f>IFERROR(VLOOKUP(F2363,'LEAID Match'!$A$2:$B$142,2,FALSE),"")</f>
        <v/>
      </c>
    </row>
    <row r="2364" spans="1:8" x14ac:dyDescent="0.2">
      <c r="A2364" t="str">
        <f t="shared" si="36"/>
        <v/>
      </c>
      <c r="B2364">
        <v>2016</v>
      </c>
      <c r="C2364" s="1" t="s">
        <v>2505</v>
      </c>
      <c r="D2364" s="1" t="s">
        <v>2506</v>
      </c>
      <c r="E2364" s="1" t="s">
        <v>2019</v>
      </c>
      <c r="F2364" s="1" t="s">
        <v>236</v>
      </c>
      <c r="G2364" s="12">
        <v>26753</v>
      </c>
      <c r="H2364" t="str">
        <f>IFERROR(VLOOKUP(F2364,'LEAID Match'!$A$2:$B$142,2,FALSE),"")</f>
        <v/>
      </c>
    </row>
    <row r="2365" spans="1:8" x14ac:dyDescent="0.2">
      <c r="A2365" t="str">
        <f t="shared" si="36"/>
        <v/>
      </c>
      <c r="B2365" s="1">
        <v>2017</v>
      </c>
      <c r="C2365" s="1" t="s">
        <v>2505</v>
      </c>
      <c r="D2365" s="1" t="s">
        <v>2506</v>
      </c>
      <c r="E2365" s="1" t="s">
        <v>2019</v>
      </c>
      <c r="F2365" s="1" t="s">
        <v>236</v>
      </c>
      <c r="G2365" s="47">
        <v>24357</v>
      </c>
      <c r="H2365" t="str">
        <f>IFERROR(VLOOKUP(F2365,'LEAID Match'!$A$2:$B$142,2,FALSE),"")</f>
        <v/>
      </c>
    </row>
    <row r="2366" spans="1:8" x14ac:dyDescent="0.2">
      <c r="A2366" t="str">
        <f t="shared" si="36"/>
        <v/>
      </c>
      <c r="B2366" s="1">
        <v>2018</v>
      </c>
      <c r="C2366" s="1" t="s">
        <v>2505</v>
      </c>
      <c r="D2366" s="1" t="s">
        <v>2506</v>
      </c>
      <c r="E2366" s="1" t="s">
        <v>2019</v>
      </c>
      <c r="F2366" s="1" t="s">
        <v>236</v>
      </c>
      <c r="G2366" s="6">
        <v>20927</v>
      </c>
      <c r="H2366" t="str">
        <f>IFERROR(VLOOKUP(F2366,'LEAID Match'!$A$2:$B$142,2,FALSE),"")</f>
        <v/>
      </c>
    </row>
    <row r="2367" spans="1:8" x14ac:dyDescent="0.2">
      <c r="A2367" t="str">
        <f t="shared" si="36"/>
        <v/>
      </c>
      <c r="B2367" s="1">
        <v>2019</v>
      </c>
      <c r="C2367" s="1" t="s">
        <v>2505</v>
      </c>
      <c r="D2367" s="1" t="s">
        <v>2506</v>
      </c>
      <c r="E2367" s="1" t="s">
        <v>2019</v>
      </c>
      <c r="F2367" s="1" t="s">
        <v>236</v>
      </c>
      <c r="G2367" s="6">
        <v>20755</v>
      </c>
      <c r="H2367" t="str">
        <f>IFERROR(VLOOKUP(F2367,'LEAID Match'!$A$2:$B$142,2,FALSE),"")</f>
        <v/>
      </c>
    </row>
    <row r="2368" spans="1:8" x14ac:dyDescent="0.2">
      <c r="A2368" t="str">
        <f t="shared" si="36"/>
        <v/>
      </c>
      <c r="B2368" s="1">
        <v>2020</v>
      </c>
      <c r="C2368" s="1" t="s">
        <v>2505</v>
      </c>
      <c r="D2368" s="1" t="s">
        <v>2506</v>
      </c>
      <c r="E2368" s="1" t="s">
        <v>2019</v>
      </c>
      <c r="F2368" s="1" t="s">
        <v>236</v>
      </c>
      <c r="G2368" s="6">
        <v>21203</v>
      </c>
      <c r="H2368" t="str">
        <f>IFERROR(VLOOKUP(F2368,'LEAID Match'!$A$2:$B$142,2,FALSE),"")</f>
        <v/>
      </c>
    </row>
    <row r="2369" spans="1:8" x14ac:dyDescent="0.2">
      <c r="A2369" t="str">
        <f t="shared" si="36"/>
        <v/>
      </c>
      <c r="B2369" s="1">
        <v>2021</v>
      </c>
      <c r="C2369" s="1" t="s">
        <v>2505</v>
      </c>
      <c r="D2369" s="1" t="s">
        <v>2506</v>
      </c>
      <c r="E2369" s="1" t="s">
        <v>2019</v>
      </c>
      <c r="F2369" s="1" t="s">
        <v>236</v>
      </c>
      <c r="G2369" s="6">
        <v>22921</v>
      </c>
      <c r="H2369" t="str">
        <f>IFERROR(VLOOKUP(F2369,'LEAID Match'!$A$2:$B$142,2,FALSE),"")</f>
        <v/>
      </c>
    </row>
    <row r="2370" spans="1:8" x14ac:dyDescent="0.2">
      <c r="A2370" t="str">
        <f t="shared" si="36"/>
        <v/>
      </c>
      <c r="B2370" s="1">
        <v>2022</v>
      </c>
      <c r="C2370" s="1" t="s">
        <v>2505</v>
      </c>
      <c r="D2370" s="1" t="s">
        <v>2506</v>
      </c>
      <c r="E2370" s="1" t="s">
        <v>2019</v>
      </c>
      <c r="F2370" s="1" t="s">
        <v>236</v>
      </c>
      <c r="G2370" s="6">
        <v>24115</v>
      </c>
      <c r="H2370" t="str">
        <f>IFERROR(VLOOKUP(F2370,'LEAID Match'!$A$2:$B$142,2,FALSE),"")</f>
        <v/>
      </c>
    </row>
    <row r="2371" spans="1:8" x14ac:dyDescent="0.2">
      <c r="A2371" t="str">
        <f t="shared" ref="A2371:A2434" si="37">H2371</f>
        <v/>
      </c>
      <c r="B2371" s="1">
        <v>2023</v>
      </c>
      <c r="C2371" s="1" t="s">
        <v>2505</v>
      </c>
      <c r="D2371" s="1" t="s">
        <v>2506</v>
      </c>
      <c r="E2371" s="1" t="s">
        <v>2019</v>
      </c>
      <c r="F2371" s="1" t="s">
        <v>236</v>
      </c>
      <c r="G2371" s="6">
        <v>27806</v>
      </c>
      <c r="H2371" t="str">
        <f>IFERROR(VLOOKUP(F2371,'LEAID Match'!$A$2:$B$142,2,FALSE),"")</f>
        <v/>
      </c>
    </row>
    <row r="2372" spans="1:8" x14ac:dyDescent="0.2">
      <c r="A2372" t="str">
        <f t="shared" si="37"/>
        <v/>
      </c>
      <c r="B2372" s="1">
        <v>2024</v>
      </c>
      <c r="C2372" s="1" t="s">
        <v>2505</v>
      </c>
      <c r="D2372" s="1" t="s">
        <v>2506</v>
      </c>
      <c r="E2372" s="1" t="s">
        <v>2019</v>
      </c>
      <c r="F2372" s="1" t="s">
        <v>236</v>
      </c>
      <c r="G2372" s="6">
        <v>24044</v>
      </c>
      <c r="H2372" t="str">
        <f>IFERROR(VLOOKUP(F2372,'LEAID Match'!$A$2:$B$142,2,FALSE),"")</f>
        <v/>
      </c>
    </row>
    <row r="2373" spans="1:8" x14ac:dyDescent="0.2">
      <c r="A2373">
        <f t="shared" si="37"/>
        <v>2801590</v>
      </c>
      <c r="B2373" s="1">
        <v>2015</v>
      </c>
      <c r="C2373" s="1" t="s">
        <v>2505</v>
      </c>
      <c r="D2373" s="1" t="s">
        <v>2506</v>
      </c>
      <c r="E2373" s="1" t="s">
        <v>2019</v>
      </c>
      <c r="F2373" s="1" t="s">
        <v>237</v>
      </c>
      <c r="G2373" s="6">
        <v>1618619</v>
      </c>
      <c r="H2373">
        <f>IFERROR(VLOOKUP(F2373,'LEAID Match'!$A$2:$B$142,2,FALSE),"")</f>
        <v>2801590</v>
      </c>
    </row>
    <row r="2374" spans="1:8" x14ac:dyDescent="0.2">
      <c r="A2374">
        <f t="shared" si="37"/>
        <v>2801590</v>
      </c>
      <c r="B2374">
        <v>2016</v>
      </c>
      <c r="C2374" s="1" t="s">
        <v>2505</v>
      </c>
      <c r="D2374" s="1" t="s">
        <v>2506</v>
      </c>
      <c r="E2374" s="1" t="s">
        <v>2019</v>
      </c>
      <c r="F2374" s="1" t="s">
        <v>237</v>
      </c>
      <c r="G2374" s="12">
        <v>1671828</v>
      </c>
      <c r="H2374">
        <f>IFERROR(VLOOKUP(F2374,'LEAID Match'!$A$2:$B$142,2,FALSE),"")</f>
        <v>2801590</v>
      </c>
    </row>
    <row r="2375" spans="1:8" x14ac:dyDescent="0.2">
      <c r="A2375">
        <f t="shared" si="37"/>
        <v>2801590</v>
      </c>
      <c r="B2375" s="1">
        <v>2017</v>
      </c>
      <c r="C2375" s="1" t="s">
        <v>2505</v>
      </c>
      <c r="D2375" s="1" t="s">
        <v>2506</v>
      </c>
      <c r="E2375" s="1" t="s">
        <v>2019</v>
      </c>
      <c r="F2375" s="1" t="s">
        <v>237</v>
      </c>
      <c r="G2375" s="47">
        <v>1620396</v>
      </c>
      <c r="H2375">
        <f>IFERROR(VLOOKUP(F2375,'LEAID Match'!$A$2:$B$142,2,FALSE),"")</f>
        <v>2801590</v>
      </c>
    </row>
    <row r="2376" spans="1:8" x14ac:dyDescent="0.2">
      <c r="A2376">
        <f t="shared" si="37"/>
        <v>2801590</v>
      </c>
      <c r="B2376" s="1">
        <v>2018</v>
      </c>
      <c r="C2376" s="1" t="s">
        <v>2505</v>
      </c>
      <c r="D2376" s="1" t="s">
        <v>2506</v>
      </c>
      <c r="E2376" s="1" t="s">
        <v>2019</v>
      </c>
      <c r="F2376" s="1" t="s">
        <v>237</v>
      </c>
      <c r="G2376" s="6">
        <v>1503406</v>
      </c>
      <c r="H2376">
        <f>IFERROR(VLOOKUP(F2376,'LEAID Match'!$A$2:$B$142,2,FALSE),"")</f>
        <v>2801590</v>
      </c>
    </row>
    <row r="2377" spans="1:8" x14ac:dyDescent="0.2">
      <c r="A2377">
        <f t="shared" si="37"/>
        <v>2801590</v>
      </c>
      <c r="B2377" s="1">
        <v>2019</v>
      </c>
      <c r="C2377" s="1" t="s">
        <v>2505</v>
      </c>
      <c r="D2377" s="1" t="s">
        <v>2506</v>
      </c>
      <c r="E2377" s="1" t="s">
        <v>2019</v>
      </c>
      <c r="F2377" s="1" t="s">
        <v>237</v>
      </c>
      <c r="G2377" s="6">
        <v>1685816</v>
      </c>
      <c r="H2377">
        <f>IFERROR(VLOOKUP(F2377,'LEAID Match'!$A$2:$B$142,2,FALSE),"")</f>
        <v>2801590</v>
      </c>
    </row>
    <row r="2378" spans="1:8" x14ac:dyDescent="0.2">
      <c r="A2378">
        <f t="shared" si="37"/>
        <v>2801590</v>
      </c>
      <c r="B2378" s="1">
        <v>2020</v>
      </c>
      <c r="C2378" s="1" t="s">
        <v>2505</v>
      </c>
      <c r="D2378" s="1" t="s">
        <v>2506</v>
      </c>
      <c r="E2378" s="1" t="s">
        <v>2019</v>
      </c>
      <c r="F2378" s="1" t="s">
        <v>237</v>
      </c>
      <c r="G2378" s="6">
        <v>1699716</v>
      </c>
      <c r="H2378">
        <f>IFERROR(VLOOKUP(F2378,'LEAID Match'!$A$2:$B$142,2,FALSE),"")</f>
        <v>2801590</v>
      </c>
    </row>
    <row r="2379" spans="1:8" x14ac:dyDescent="0.2">
      <c r="A2379">
        <f t="shared" si="37"/>
        <v>2801590</v>
      </c>
      <c r="B2379" s="1">
        <v>2021</v>
      </c>
      <c r="C2379" s="1" t="s">
        <v>2505</v>
      </c>
      <c r="D2379" s="1" t="s">
        <v>2506</v>
      </c>
      <c r="E2379" s="1" t="s">
        <v>2019</v>
      </c>
      <c r="F2379" s="1" t="s">
        <v>237</v>
      </c>
      <c r="G2379" s="6">
        <v>1770235</v>
      </c>
      <c r="H2379">
        <f>IFERROR(VLOOKUP(F2379,'LEAID Match'!$A$2:$B$142,2,FALSE),"")</f>
        <v>2801590</v>
      </c>
    </row>
    <row r="2380" spans="1:8" x14ac:dyDescent="0.2">
      <c r="A2380">
        <f t="shared" si="37"/>
        <v>2801590</v>
      </c>
      <c r="B2380" s="1">
        <v>2022</v>
      </c>
      <c r="C2380" s="1" t="s">
        <v>2505</v>
      </c>
      <c r="D2380" s="1" t="s">
        <v>2506</v>
      </c>
      <c r="E2380" s="1" t="s">
        <v>2019</v>
      </c>
      <c r="F2380" s="1" t="s">
        <v>237</v>
      </c>
      <c r="G2380" s="6">
        <v>1861925</v>
      </c>
      <c r="H2380">
        <f>IFERROR(VLOOKUP(F2380,'LEAID Match'!$A$2:$B$142,2,FALSE),"")</f>
        <v>2801590</v>
      </c>
    </row>
    <row r="2381" spans="1:8" x14ac:dyDescent="0.2">
      <c r="A2381">
        <f t="shared" si="37"/>
        <v>2801590</v>
      </c>
      <c r="B2381" s="1">
        <v>2023</v>
      </c>
      <c r="C2381" s="1" t="s">
        <v>2505</v>
      </c>
      <c r="D2381" s="1" t="s">
        <v>2506</v>
      </c>
      <c r="E2381" s="1" t="s">
        <v>2019</v>
      </c>
      <c r="F2381" s="1" t="s">
        <v>237</v>
      </c>
      <c r="G2381" s="6">
        <v>2028871</v>
      </c>
      <c r="H2381">
        <f>IFERROR(VLOOKUP(F2381,'LEAID Match'!$A$2:$B$142,2,FALSE),"")</f>
        <v>2801590</v>
      </c>
    </row>
    <row r="2382" spans="1:8" x14ac:dyDescent="0.2">
      <c r="A2382">
        <f t="shared" si="37"/>
        <v>2801590</v>
      </c>
      <c r="B2382" s="1">
        <v>2024</v>
      </c>
      <c r="C2382" s="1" t="s">
        <v>2505</v>
      </c>
      <c r="D2382" s="1" t="s">
        <v>2506</v>
      </c>
      <c r="E2382" s="1" t="s">
        <v>2019</v>
      </c>
      <c r="F2382" s="1" t="s">
        <v>237</v>
      </c>
      <c r="G2382" s="6">
        <v>2041650</v>
      </c>
      <c r="H2382">
        <f>IFERROR(VLOOKUP(F2382,'LEAID Match'!$A$2:$B$142,2,FALSE),"")</f>
        <v>2801590</v>
      </c>
    </row>
    <row r="2383" spans="1:8" x14ac:dyDescent="0.2">
      <c r="A2383" t="str">
        <f t="shared" si="37"/>
        <v/>
      </c>
      <c r="B2383" s="1">
        <v>2015</v>
      </c>
      <c r="C2383" s="1" t="s">
        <v>2505</v>
      </c>
      <c r="D2383" s="1" t="s">
        <v>2506</v>
      </c>
      <c r="E2383" s="1" t="s">
        <v>2019</v>
      </c>
      <c r="F2383" s="1" t="s">
        <v>238</v>
      </c>
      <c r="G2383" s="6">
        <v>422612</v>
      </c>
      <c r="H2383" t="str">
        <f>IFERROR(VLOOKUP(F2383,'LEAID Match'!$A$2:$B$142,2,FALSE),"")</f>
        <v/>
      </c>
    </row>
    <row r="2384" spans="1:8" x14ac:dyDescent="0.2">
      <c r="A2384" t="str">
        <f t="shared" si="37"/>
        <v/>
      </c>
      <c r="B2384">
        <v>2016</v>
      </c>
      <c r="C2384" s="1" t="s">
        <v>2505</v>
      </c>
      <c r="D2384" s="1" t="s">
        <v>2506</v>
      </c>
      <c r="E2384" s="1" t="s">
        <v>2019</v>
      </c>
      <c r="F2384" s="1" t="s">
        <v>238</v>
      </c>
      <c r="G2384" s="12">
        <v>437294</v>
      </c>
      <c r="H2384" t="str">
        <f>IFERROR(VLOOKUP(F2384,'LEAID Match'!$A$2:$B$142,2,FALSE),"")</f>
        <v/>
      </c>
    </row>
    <row r="2385" spans="1:8" x14ac:dyDescent="0.2">
      <c r="A2385" t="str">
        <f t="shared" si="37"/>
        <v/>
      </c>
      <c r="B2385" s="1">
        <v>2017</v>
      </c>
      <c r="C2385" s="1" t="s">
        <v>2505</v>
      </c>
      <c r="D2385" s="1" t="s">
        <v>2506</v>
      </c>
      <c r="E2385" s="1" t="s">
        <v>2019</v>
      </c>
      <c r="F2385" s="1" t="s">
        <v>238</v>
      </c>
      <c r="G2385" s="47">
        <v>452221</v>
      </c>
      <c r="H2385" t="str">
        <f>IFERROR(VLOOKUP(F2385,'LEAID Match'!$A$2:$B$142,2,FALSE),"")</f>
        <v/>
      </c>
    </row>
    <row r="2386" spans="1:8" x14ac:dyDescent="0.2">
      <c r="A2386" t="str">
        <f t="shared" si="37"/>
        <v/>
      </c>
      <c r="B2386" s="1">
        <v>2018</v>
      </c>
      <c r="C2386" s="1" t="s">
        <v>2505</v>
      </c>
      <c r="D2386" s="1" t="s">
        <v>2506</v>
      </c>
      <c r="E2386" s="1" t="s">
        <v>2019</v>
      </c>
      <c r="F2386" s="1" t="s">
        <v>238</v>
      </c>
      <c r="G2386" s="6">
        <v>460360</v>
      </c>
      <c r="H2386" t="str">
        <f>IFERROR(VLOOKUP(F2386,'LEAID Match'!$A$2:$B$142,2,FALSE),"")</f>
        <v/>
      </c>
    </row>
    <row r="2387" spans="1:8" x14ac:dyDescent="0.2">
      <c r="A2387" t="str">
        <f t="shared" si="37"/>
        <v/>
      </c>
      <c r="B2387" s="1">
        <v>2019</v>
      </c>
      <c r="C2387" s="1" t="s">
        <v>2505</v>
      </c>
      <c r="D2387" s="1" t="s">
        <v>2506</v>
      </c>
      <c r="E2387" s="1" t="s">
        <v>2019</v>
      </c>
      <c r="F2387" s="1" t="s">
        <v>238</v>
      </c>
      <c r="G2387" s="6">
        <v>478855</v>
      </c>
      <c r="H2387" t="str">
        <f>IFERROR(VLOOKUP(F2387,'LEAID Match'!$A$2:$B$142,2,FALSE),"")</f>
        <v/>
      </c>
    </row>
    <row r="2388" spans="1:8" x14ac:dyDescent="0.2">
      <c r="A2388" t="str">
        <f t="shared" si="37"/>
        <v/>
      </c>
      <c r="B2388" s="1">
        <v>2020</v>
      </c>
      <c r="C2388" s="1" t="s">
        <v>2505</v>
      </c>
      <c r="D2388" s="1" t="s">
        <v>2506</v>
      </c>
      <c r="E2388" s="1" t="s">
        <v>2019</v>
      </c>
      <c r="F2388" s="1" t="s">
        <v>238</v>
      </c>
      <c r="G2388" s="6">
        <v>549206</v>
      </c>
      <c r="H2388" t="str">
        <f>IFERROR(VLOOKUP(F2388,'LEAID Match'!$A$2:$B$142,2,FALSE),"")</f>
        <v/>
      </c>
    </row>
    <row r="2389" spans="1:8" x14ac:dyDescent="0.2">
      <c r="A2389" t="str">
        <f t="shared" si="37"/>
        <v/>
      </c>
      <c r="B2389" s="1">
        <v>2021</v>
      </c>
      <c r="C2389" s="1" t="s">
        <v>2505</v>
      </c>
      <c r="D2389" s="1" t="s">
        <v>2506</v>
      </c>
      <c r="E2389" s="1" t="s">
        <v>2019</v>
      </c>
      <c r="F2389" s="1" t="s">
        <v>238</v>
      </c>
      <c r="G2389" s="6">
        <v>550914</v>
      </c>
      <c r="H2389" t="str">
        <f>IFERROR(VLOOKUP(F2389,'LEAID Match'!$A$2:$B$142,2,FALSE),"")</f>
        <v/>
      </c>
    </row>
    <row r="2390" spans="1:8" x14ac:dyDescent="0.2">
      <c r="A2390" t="str">
        <f t="shared" si="37"/>
        <v/>
      </c>
      <c r="B2390" s="1">
        <v>2022</v>
      </c>
      <c r="C2390" s="1" t="s">
        <v>2505</v>
      </c>
      <c r="D2390" s="1" t="s">
        <v>2506</v>
      </c>
      <c r="E2390" s="1" t="s">
        <v>2019</v>
      </c>
      <c r="F2390" s="1" t="s">
        <v>238</v>
      </c>
      <c r="G2390" s="6">
        <v>555922</v>
      </c>
      <c r="H2390" t="str">
        <f>IFERROR(VLOOKUP(F2390,'LEAID Match'!$A$2:$B$142,2,FALSE),"")</f>
        <v/>
      </c>
    </row>
    <row r="2391" spans="1:8" x14ac:dyDescent="0.2">
      <c r="A2391" t="str">
        <f t="shared" si="37"/>
        <v/>
      </c>
      <c r="B2391" s="1">
        <v>2023</v>
      </c>
      <c r="C2391" s="1" t="s">
        <v>2505</v>
      </c>
      <c r="D2391" s="1" t="s">
        <v>2506</v>
      </c>
      <c r="E2391" s="1" t="s">
        <v>2019</v>
      </c>
      <c r="F2391" s="1" t="s">
        <v>238</v>
      </c>
      <c r="G2391" s="6">
        <v>578610</v>
      </c>
      <c r="H2391" t="str">
        <f>IFERROR(VLOOKUP(F2391,'LEAID Match'!$A$2:$B$142,2,FALSE),"")</f>
        <v/>
      </c>
    </row>
    <row r="2392" spans="1:8" x14ac:dyDescent="0.2">
      <c r="A2392" t="str">
        <f t="shared" si="37"/>
        <v/>
      </c>
      <c r="B2392" s="1">
        <v>2024</v>
      </c>
      <c r="C2392" s="1" t="s">
        <v>2505</v>
      </c>
      <c r="D2392" s="1" t="s">
        <v>2506</v>
      </c>
      <c r="E2392" s="1" t="s">
        <v>2019</v>
      </c>
      <c r="F2392" s="1" t="s">
        <v>238</v>
      </c>
      <c r="G2392" s="6">
        <v>568754</v>
      </c>
      <c r="H2392" t="str">
        <f>IFERROR(VLOOKUP(F2392,'LEAID Match'!$A$2:$B$142,2,FALSE),"")</f>
        <v/>
      </c>
    </row>
    <row r="2393" spans="1:8" x14ac:dyDescent="0.2">
      <c r="A2393" t="str">
        <f t="shared" si="37"/>
        <v/>
      </c>
      <c r="B2393" s="1">
        <v>2015</v>
      </c>
      <c r="C2393" s="1" t="s">
        <v>2505</v>
      </c>
      <c r="D2393" s="1" t="s">
        <v>2506</v>
      </c>
      <c r="E2393" s="1" t="s">
        <v>2019</v>
      </c>
      <c r="F2393" s="1" t="s">
        <v>239</v>
      </c>
      <c r="G2393" s="6">
        <v>82016</v>
      </c>
      <c r="H2393" t="str">
        <f>IFERROR(VLOOKUP(F2393,'LEAID Match'!$A$2:$B$142,2,FALSE),"")</f>
        <v/>
      </c>
    </row>
    <row r="2394" spans="1:8" x14ac:dyDescent="0.2">
      <c r="A2394" t="str">
        <f t="shared" si="37"/>
        <v/>
      </c>
      <c r="B2394">
        <v>2016</v>
      </c>
      <c r="C2394" s="1" t="s">
        <v>2505</v>
      </c>
      <c r="D2394" s="1" t="s">
        <v>2506</v>
      </c>
      <c r="E2394" s="1" t="s">
        <v>2019</v>
      </c>
      <c r="F2394" s="1" t="s">
        <v>239</v>
      </c>
      <c r="G2394" s="12">
        <v>72606</v>
      </c>
      <c r="H2394" t="str">
        <f>IFERROR(VLOOKUP(F2394,'LEAID Match'!$A$2:$B$142,2,FALSE),"")</f>
        <v/>
      </c>
    </row>
    <row r="2395" spans="1:8" x14ac:dyDescent="0.2">
      <c r="A2395" t="str">
        <f t="shared" si="37"/>
        <v/>
      </c>
      <c r="B2395" s="1">
        <v>2017</v>
      </c>
      <c r="C2395" s="1" t="s">
        <v>2505</v>
      </c>
      <c r="D2395" s="1" t="s">
        <v>2506</v>
      </c>
      <c r="E2395" s="1" t="s">
        <v>2019</v>
      </c>
      <c r="F2395" s="1" t="s">
        <v>239</v>
      </c>
      <c r="G2395" s="47">
        <v>75519</v>
      </c>
      <c r="H2395" t="str">
        <f>IFERROR(VLOOKUP(F2395,'LEAID Match'!$A$2:$B$142,2,FALSE),"")</f>
        <v/>
      </c>
    </row>
    <row r="2396" spans="1:8" x14ac:dyDescent="0.2">
      <c r="A2396" t="str">
        <f t="shared" si="37"/>
        <v/>
      </c>
      <c r="B2396" s="1">
        <v>2018</v>
      </c>
      <c r="C2396" s="1" t="s">
        <v>2505</v>
      </c>
      <c r="D2396" s="1" t="s">
        <v>2506</v>
      </c>
      <c r="E2396" s="1" t="s">
        <v>2019</v>
      </c>
      <c r="F2396" s="1" t="s">
        <v>239</v>
      </c>
      <c r="G2396" s="6">
        <v>72007</v>
      </c>
      <c r="H2396" t="str">
        <f>IFERROR(VLOOKUP(F2396,'LEAID Match'!$A$2:$B$142,2,FALSE),"")</f>
        <v/>
      </c>
    </row>
    <row r="2397" spans="1:8" x14ac:dyDescent="0.2">
      <c r="A2397" t="str">
        <f t="shared" si="37"/>
        <v/>
      </c>
      <c r="B2397" s="1">
        <v>2019</v>
      </c>
      <c r="C2397" s="1" t="s">
        <v>2505</v>
      </c>
      <c r="D2397" s="1" t="s">
        <v>2506</v>
      </c>
      <c r="E2397" s="1" t="s">
        <v>2019</v>
      </c>
      <c r="F2397" s="1" t="s">
        <v>239</v>
      </c>
      <c r="G2397" s="6">
        <v>73318</v>
      </c>
      <c r="H2397" t="str">
        <f>IFERROR(VLOOKUP(F2397,'LEAID Match'!$A$2:$B$142,2,FALSE),"")</f>
        <v/>
      </c>
    </row>
    <row r="2398" spans="1:8" x14ac:dyDescent="0.2">
      <c r="A2398" t="str">
        <f t="shared" si="37"/>
        <v/>
      </c>
      <c r="B2398" s="1">
        <v>2020</v>
      </c>
      <c r="C2398" s="1" t="s">
        <v>2505</v>
      </c>
      <c r="D2398" s="1" t="s">
        <v>2506</v>
      </c>
      <c r="E2398" s="1" t="s">
        <v>2019</v>
      </c>
      <c r="F2398" s="1" t="s">
        <v>239</v>
      </c>
      <c r="G2398" s="6">
        <v>86970</v>
      </c>
      <c r="H2398" t="str">
        <f>IFERROR(VLOOKUP(F2398,'LEAID Match'!$A$2:$B$142,2,FALSE),"")</f>
        <v/>
      </c>
    </row>
    <row r="2399" spans="1:8" x14ac:dyDescent="0.2">
      <c r="A2399" t="str">
        <f t="shared" si="37"/>
        <v/>
      </c>
      <c r="B2399" s="1">
        <v>2021</v>
      </c>
      <c r="C2399" s="1" t="s">
        <v>2505</v>
      </c>
      <c r="D2399" s="1" t="s">
        <v>2506</v>
      </c>
      <c r="E2399" s="1" t="s">
        <v>2019</v>
      </c>
      <c r="F2399" s="1" t="s">
        <v>239</v>
      </c>
      <c r="G2399" s="6">
        <v>85900</v>
      </c>
      <c r="H2399" t="str">
        <f>IFERROR(VLOOKUP(F2399,'LEAID Match'!$A$2:$B$142,2,FALSE),"")</f>
        <v/>
      </c>
    </row>
    <row r="2400" spans="1:8" x14ac:dyDescent="0.2">
      <c r="A2400" t="str">
        <f t="shared" si="37"/>
        <v/>
      </c>
      <c r="B2400" s="1">
        <v>2022</v>
      </c>
      <c r="C2400" s="1" t="s">
        <v>2505</v>
      </c>
      <c r="D2400" s="1" t="s">
        <v>2506</v>
      </c>
      <c r="E2400" s="1" t="s">
        <v>2019</v>
      </c>
      <c r="F2400" s="1" t="s">
        <v>239</v>
      </c>
      <c r="G2400" s="6">
        <v>92801</v>
      </c>
      <c r="H2400" t="str">
        <f>IFERROR(VLOOKUP(F2400,'LEAID Match'!$A$2:$B$142,2,FALSE),"")</f>
        <v/>
      </c>
    </row>
    <row r="2401" spans="1:8" x14ac:dyDescent="0.2">
      <c r="A2401" t="str">
        <f t="shared" si="37"/>
        <v/>
      </c>
      <c r="B2401" s="1">
        <v>2023</v>
      </c>
      <c r="C2401" s="1" t="s">
        <v>2505</v>
      </c>
      <c r="D2401" s="1" t="s">
        <v>2506</v>
      </c>
      <c r="E2401" s="1" t="s">
        <v>2019</v>
      </c>
      <c r="F2401" s="1" t="s">
        <v>239</v>
      </c>
      <c r="G2401" s="6">
        <v>104985</v>
      </c>
      <c r="H2401" t="str">
        <f>IFERROR(VLOOKUP(F2401,'LEAID Match'!$A$2:$B$142,2,FALSE),"")</f>
        <v/>
      </c>
    </row>
    <row r="2402" spans="1:8" x14ac:dyDescent="0.2">
      <c r="A2402" t="str">
        <f t="shared" si="37"/>
        <v/>
      </c>
      <c r="B2402" s="1">
        <v>2024</v>
      </c>
      <c r="C2402" s="1" t="s">
        <v>2505</v>
      </c>
      <c r="D2402" s="1" t="s">
        <v>2506</v>
      </c>
      <c r="E2402" s="1" t="s">
        <v>2019</v>
      </c>
      <c r="F2402" s="1" t="s">
        <v>239</v>
      </c>
      <c r="G2402" s="6">
        <v>116820</v>
      </c>
      <c r="H2402" t="str">
        <f>IFERROR(VLOOKUP(F2402,'LEAID Match'!$A$2:$B$142,2,FALSE),"")</f>
        <v/>
      </c>
    </row>
    <row r="2403" spans="1:8" x14ac:dyDescent="0.2">
      <c r="A2403">
        <f t="shared" si="37"/>
        <v>2801620</v>
      </c>
      <c r="B2403" s="1">
        <v>2015</v>
      </c>
      <c r="C2403" s="1" t="s">
        <v>2505</v>
      </c>
      <c r="D2403" s="1" t="s">
        <v>2506</v>
      </c>
      <c r="E2403" s="1" t="s">
        <v>2019</v>
      </c>
      <c r="F2403" s="1" t="s">
        <v>240</v>
      </c>
      <c r="G2403" s="6">
        <v>4625535</v>
      </c>
      <c r="H2403">
        <f>IFERROR(VLOOKUP(F2403,'LEAID Match'!$A$2:$B$142,2,FALSE),"")</f>
        <v>2801620</v>
      </c>
    </row>
    <row r="2404" spans="1:8" x14ac:dyDescent="0.2">
      <c r="A2404">
        <f t="shared" si="37"/>
        <v>2801620</v>
      </c>
      <c r="B2404">
        <v>2016</v>
      </c>
      <c r="C2404" s="1" t="s">
        <v>2505</v>
      </c>
      <c r="D2404" s="1" t="s">
        <v>2506</v>
      </c>
      <c r="E2404" s="1" t="s">
        <v>2019</v>
      </c>
      <c r="F2404" s="1" t="s">
        <v>240</v>
      </c>
      <c r="G2404" s="12">
        <v>4420898</v>
      </c>
      <c r="H2404">
        <f>IFERROR(VLOOKUP(F2404,'LEAID Match'!$A$2:$B$142,2,FALSE),"")</f>
        <v>2801620</v>
      </c>
    </row>
    <row r="2405" spans="1:8" x14ac:dyDescent="0.2">
      <c r="A2405">
        <f t="shared" si="37"/>
        <v>2801620</v>
      </c>
      <c r="B2405" s="1">
        <v>2017</v>
      </c>
      <c r="C2405" s="1" t="s">
        <v>2505</v>
      </c>
      <c r="D2405" s="1" t="s">
        <v>2506</v>
      </c>
      <c r="E2405" s="1" t="s">
        <v>2019</v>
      </c>
      <c r="F2405" s="1" t="s">
        <v>240</v>
      </c>
      <c r="G2405" s="47">
        <v>3991469</v>
      </c>
      <c r="H2405">
        <f>IFERROR(VLOOKUP(F2405,'LEAID Match'!$A$2:$B$142,2,FALSE),"")</f>
        <v>2801620</v>
      </c>
    </row>
    <row r="2406" spans="1:8" x14ac:dyDescent="0.2">
      <c r="A2406">
        <f t="shared" si="37"/>
        <v>2801620</v>
      </c>
      <c r="B2406" s="1">
        <v>2018</v>
      </c>
      <c r="C2406" s="1" t="s">
        <v>2505</v>
      </c>
      <c r="D2406" s="1" t="s">
        <v>2506</v>
      </c>
      <c r="E2406" s="1" t="s">
        <v>2019</v>
      </c>
      <c r="F2406" s="1" t="s">
        <v>240</v>
      </c>
      <c r="G2406" s="6">
        <v>4071912</v>
      </c>
      <c r="H2406">
        <f>IFERROR(VLOOKUP(F2406,'LEAID Match'!$A$2:$B$142,2,FALSE),"")</f>
        <v>2801620</v>
      </c>
    </row>
    <row r="2407" spans="1:8" x14ac:dyDescent="0.2">
      <c r="A2407">
        <f t="shared" si="37"/>
        <v>2801620</v>
      </c>
      <c r="B2407" s="1">
        <v>2019</v>
      </c>
      <c r="C2407" s="1" t="s">
        <v>2505</v>
      </c>
      <c r="D2407" s="1" t="s">
        <v>2506</v>
      </c>
      <c r="E2407" s="1" t="s">
        <v>2019</v>
      </c>
      <c r="F2407" s="1" t="s">
        <v>240</v>
      </c>
      <c r="G2407" s="6">
        <v>4009398</v>
      </c>
      <c r="H2407">
        <f>IFERROR(VLOOKUP(F2407,'LEAID Match'!$A$2:$B$142,2,FALSE),"")</f>
        <v>2801620</v>
      </c>
    </row>
    <row r="2408" spans="1:8" x14ac:dyDescent="0.2">
      <c r="A2408">
        <f t="shared" si="37"/>
        <v>2801620</v>
      </c>
      <c r="B2408" s="1">
        <v>2020</v>
      </c>
      <c r="C2408" s="1" t="s">
        <v>2505</v>
      </c>
      <c r="D2408" s="1" t="s">
        <v>2506</v>
      </c>
      <c r="E2408" s="1" t="s">
        <v>2019</v>
      </c>
      <c r="F2408" s="1" t="s">
        <v>240</v>
      </c>
      <c r="G2408" s="6">
        <v>4416542</v>
      </c>
      <c r="H2408">
        <f>IFERROR(VLOOKUP(F2408,'LEAID Match'!$A$2:$B$142,2,FALSE),"")</f>
        <v>2801620</v>
      </c>
    </row>
    <row r="2409" spans="1:8" x14ac:dyDescent="0.2">
      <c r="A2409">
        <f t="shared" si="37"/>
        <v>2801620</v>
      </c>
      <c r="B2409" s="1">
        <v>2021</v>
      </c>
      <c r="C2409" s="1" t="s">
        <v>2505</v>
      </c>
      <c r="D2409" s="1" t="s">
        <v>2506</v>
      </c>
      <c r="E2409" s="1" t="s">
        <v>2019</v>
      </c>
      <c r="F2409" s="1" t="s">
        <v>240</v>
      </c>
      <c r="G2409" s="6">
        <v>4255277</v>
      </c>
      <c r="H2409">
        <f>IFERROR(VLOOKUP(F2409,'LEAID Match'!$A$2:$B$142,2,FALSE),"")</f>
        <v>2801620</v>
      </c>
    </row>
    <row r="2410" spans="1:8" x14ac:dyDescent="0.2">
      <c r="A2410">
        <f t="shared" si="37"/>
        <v>2801620</v>
      </c>
      <c r="B2410" s="1">
        <v>2022</v>
      </c>
      <c r="C2410" s="1" t="s">
        <v>2505</v>
      </c>
      <c r="D2410" s="1" t="s">
        <v>2506</v>
      </c>
      <c r="E2410" s="1" t="s">
        <v>2019</v>
      </c>
      <c r="F2410" s="1" t="s">
        <v>240</v>
      </c>
      <c r="G2410" s="6">
        <v>4293878</v>
      </c>
      <c r="H2410">
        <f>IFERROR(VLOOKUP(F2410,'LEAID Match'!$A$2:$B$142,2,FALSE),"")</f>
        <v>2801620</v>
      </c>
    </row>
    <row r="2411" spans="1:8" x14ac:dyDescent="0.2">
      <c r="A2411">
        <f t="shared" si="37"/>
        <v>2801620</v>
      </c>
      <c r="B2411" s="1">
        <v>2023</v>
      </c>
      <c r="C2411" s="1" t="s">
        <v>2505</v>
      </c>
      <c r="D2411" s="1" t="s">
        <v>2506</v>
      </c>
      <c r="E2411" s="1" t="s">
        <v>2019</v>
      </c>
      <c r="F2411" s="1" t="s">
        <v>240</v>
      </c>
      <c r="G2411" s="6">
        <v>4519685</v>
      </c>
      <c r="H2411">
        <f>IFERROR(VLOOKUP(F2411,'LEAID Match'!$A$2:$B$142,2,FALSE),"")</f>
        <v>2801620</v>
      </c>
    </row>
    <row r="2412" spans="1:8" x14ac:dyDescent="0.2">
      <c r="A2412">
        <f t="shared" si="37"/>
        <v>2801620</v>
      </c>
      <c r="B2412" s="1">
        <v>2024</v>
      </c>
      <c r="C2412" s="1" t="s">
        <v>2505</v>
      </c>
      <c r="D2412" s="1" t="s">
        <v>2506</v>
      </c>
      <c r="E2412" s="1" t="s">
        <v>2019</v>
      </c>
      <c r="F2412" s="1" t="s">
        <v>240</v>
      </c>
      <c r="G2412" s="6">
        <v>4787691</v>
      </c>
      <c r="H2412">
        <f>IFERROR(VLOOKUP(F2412,'LEAID Match'!$A$2:$B$142,2,FALSE),"")</f>
        <v>2801620</v>
      </c>
    </row>
    <row r="2413" spans="1:8" x14ac:dyDescent="0.2">
      <c r="A2413" t="str">
        <f t="shared" si="37"/>
        <v/>
      </c>
      <c r="B2413" s="1">
        <v>2015</v>
      </c>
      <c r="C2413" s="1" t="s">
        <v>2505</v>
      </c>
      <c r="D2413" s="1" t="s">
        <v>2506</v>
      </c>
      <c r="E2413" s="1" t="s">
        <v>2019</v>
      </c>
      <c r="F2413" s="1" t="s">
        <v>241</v>
      </c>
      <c r="G2413" s="6">
        <v>1116917</v>
      </c>
      <c r="H2413" t="str">
        <f>IFERROR(VLOOKUP(F2413,'LEAID Match'!$A$2:$B$142,2,FALSE),"")</f>
        <v/>
      </c>
    </row>
    <row r="2414" spans="1:8" x14ac:dyDescent="0.2">
      <c r="A2414" t="str">
        <f t="shared" si="37"/>
        <v/>
      </c>
      <c r="B2414">
        <v>2016</v>
      </c>
      <c r="C2414" s="1" t="s">
        <v>2505</v>
      </c>
      <c r="D2414" s="1" t="s">
        <v>2506</v>
      </c>
      <c r="E2414" s="1" t="s">
        <v>2019</v>
      </c>
      <c r="F2414" s="1" t="s">
        <v>241</v>
      </c>
      <c r="G2414" s="12">
        <v>1100571</v>
      </c>
      <c r="H2414" t="str">
        <f>IFERROR(VLOOKUP(F2414,'LEAID Match'!$A$2:$B$142,2,FALSE),"")</f>
        <v/>
      </c>
    </row>
    <row r="2415" spans="1:8" x14ac:dyDescent="0.2">
      <c r="A2415" t="str">
        <f t="shared" si="37"/>
        <v/>
      </c>
      <c r="B2415" s="1">
        <v>2017</v>
      </c>
      <c r="C2415" s="1" t="s">
        <v>2505</v>
      </c>
      <c r="D2415" s="1" t="s">
        <v>2506</v>
      </c>
      <c r="E2415" s="1" t="s">
        <v>2019</v>
      </c>
      <c r="F2415" s="1" t="s">
        <v>241</v>
      </c>
      <c r="G2415" s="47">
        <v>1114224</v>
      </c>
      <c r="H2415" t="str">
        <f>IFERROR(VLOOKUP(F2415,'LEAID Match'!$A$2:$B$142,2,FALSE),"")</f>
        <v/>
      </c>
    </row>
    <row r="2416" spans="1:8" x14ac:dyDescent="0.2">
      <c r="A2416" t="str">
        <f t="shared" si="37"/>
        <v/>
      </c>
      <c r="B2416" s="1">
        <v>2018</v>
      </c>
      <c r="C2416" s="1" t="s">
        <v>2505</v>
      </c>
      <c r="D2416" s="1" t="s">
        <v>2506</v>
      </c>
      <c r="E2416" s="1" t="s">
        <v>2019</v>
      </c>
      <c r="F2416" s="1" t="s">
        <v>241</v>
      </c>
      <c r="G2416" s="6">
        <v>1099198</v>
      </c>
      <c r="H2416" t="str">
        <f>IFERROR(VLOOKUP(F2416,'LEAID Match'!$A$2:$B$142,2,FALSE),"")</f>
        <v/>
      </c>
    </row>
    <row r="2417" spans="1:8" x14ac:dyDescent="0.2">
      <c r="A2417" t="str">
        <f t="shared" si="37"/>
        <v/>
      </c>
      <c r="B2417" s="1">
        <v>2019</v>
      </c>
      <c r="C2417" s="1" t="s">
        <v>2505</v>
      </c>
      <c r="D2417" s="1" t="s">
        <v>2506</v>
      </c>
      <c r="E2417" s="1" t="s">
        <v>2019</v>
      </c>
      <c r="F2417" s="1" t="s">
        <v>241</v>
      </c>
      <c r="G2417" s="6">
        <v>1093094</v>
      </c>
      <c r="H2417" t="str">
        <f>IFERROR(VLOOKUP(F2417,'LEAID Match'!$A$2:$B$142,2,FALSE),"")</f>
        <v/>
      </c>
    </row>
    <row r="2418" spans="1:8" x14ac:dyDescent="0.2">
      <c r="A2418" t="str">
        <f t="shared" si="37"/>
        <v/>
      </c>
      <c r="B2418" s="1">
        <v>2020</v>
      </c>
      <c r="C2418" s="1" t="s">
        <v>2505</v>
      </c>
      <c r="D2418" s="1" t="s">
        <v>2506</v>
      </c>
      <c r="E2418" s="1" t="s">
        <v>2019</v>
      </c>
      <c r="F2418" s="1" t="s">
        <v>241</v>
      </c>
      <c r="G2418" s="6">
        <v>1217622</v>
      </c>
      <c r="H2418" t="str">
        <f>IFERROR(VLOOKUP(F2418,'LEAID Match'!$A$2:$B$142,2,FALSE),"")</f>
        <v/>
      </c>
    </row>
    <row r="2419" spans="1:8" x14ac:dyDescent="0.2">
      <c r="A2419" t="str">
        <f t="shared" si="37"/>
        <v/>
      </c>
      <c r="B2419" s="1">
        <v>2021</v>
      </c>
      <c r="C2419" s="1" t="s">
        <v>2505</v>
      </c>
      <c r="D2419" s="1" t="s">
        <v>2506</v>
      </c>
      <c r="E2419" s="1" t="s">
        <v>2019</v>
      </c>
      <c r="F2419" s="1" t="s">
        <v>241</v>
      </c>
      <c r="G2419" s="6">
        <v>1234334</v>
      </c>
      <c r="H2419" t="str">
        <f>IFERROR(VLOOKUP(F2419,'LEAID Match'!$A$2:$B$142,2,FALSE),"")</f>
        <v/>
      </c>
    </row>
    <row r="2420" spans="1:8" x14ac:dyDescent="0.2">
      <c r="A2420" t="str">
        <f t="shared" si="37"/>
        <v/>
      </c>
      <c r="B2420" s="1">
        <v>2022</v>
      </c>
      <c r="C2420" s="1" t="s">
        <v>2505</v>
      </c>
      <c r="D2420" s="1" t="s">
        <v>2506</v>
      </c>
      <c r="E2420" s="1" t="s">
        <v>2019</v>
      </c>
      <c r="F2420" s="1" t="s">
        <v>241</v>
      </c>
      <c r="G2420" s="6">
        <v>1225952</v>
      </c>
      <c r="H2420" t="str">
        <f>IFERROR(VLOOKUP(F2420,'LEAID Match'!$A$2:$B$142,2,FALSE),"")</f>
        <v/>
      </c>
    </row>
    <row r="2421" spans="1:8" x14ac:dyDescent="0.2">
      <c r="A2421" t="str">
        <f t="shared" si="37"/>
        <v/>
      </c>
      <c r="B2421" s="1">
        <v>2023</v>
      </c>
      <c r="C2421" s="1" t="s">
        <v>2505</v>
      </c>
      <c r="D2421" s="1" t="s">
        <v>2506</v>
      </c>
      <c r="E2421" s="1" t="s">
        <v>2019</v>
      </c>
      <c r="F2421" s="1" t="s">
        <v>241</v>
      </c>
      <c r="G2421" s="6">
        <v>1237953</v>
      </c>
      <c r="H2421" t="str">
        <f>IFERROR(VLOOKUP(F2421,'LEAID Match'!$A$2:$B$142,2,FALSE),"")</f>
        <v/>
      </c>
    </row>
    <row r="2422" spans="1:8" x14ac:dyDescent="0.2">
      <c r="A2422" t="str">
        <f t="shared" si="37"/>
        <v/>
      </c>
      <c r="B2422" s="1">
        <v>2024</v>
      </c>
      <c r="C2422" s="1" t="s">
        <v>2505</v>
      </c>
      <c r="D2422" s="1" t="s">
        <v>2506</v>
      </c>
      <c r="E2422" s="1" t="s">
        <v>2019</v>
      </c>
      <c r="F2422" s="1" t="s">
        <v>241</v>
      </c>
      <c r="G2422" s="6">
        <v>1303036</v>
      </c>
      <c r="H2422" t="str">
        <f>IFERROR(VLOOKUP(F2422,'LEAID Match'!$A$2:$B$142,2,FALSE),"")</f>
        <v/>
      </c>
    </row>
    <row r="2423" spans="1:8" x14ac:dyDescent="0.2">
      <c r="A2423" t="str">
        <f t="shared" si="37"/>
        <v/>
      </c>
      <c r="B2423" s="1">
        <v>2015</v>
      </c>
      <c r="C2423" s="1" t="s">
        <v>2505</v>
      </c>
      <c r="D2423" s="1" t="s">
        <v>2506</v>
      </c>
      <c r="E2423" s="1" t="s">
        <v>2019</v>
      </c>
      <c r="F2423" s="1" t="s">
        <v>242</v>
      </c>
      <c r="G2423" s="6">
        <v>88185</v>
      </c>
      <c r="H2423" t="str">
        <f>IFERROR(VLOOKUP(F2423,'LEAID Match'!$A$2:$B$142,2,FALSE),"")</f>
        <v/>
      </c>
    </row>
    <row r="2424" spans="1:8" x14ac:dyDescent="0.2">
      <c r="A2424" t="str">
        <f t="shared" si="37"/>
        <v/>
      </c>
      <c r="B2424">
        <v>2016</v>
      </c>
      <c r="C2424" s="1" t="s">
        <v>2505</v>
      </c>
      <c r="D2424" s="1" t="s">
        <v>2506</v>
      </c>
      <c r="E2424" s="1" t="s">
        <v>2019</v>
      </c>
      <c r="F2424" s="1" t="s">
        <v>242</v>
      </c>
      <c r="G2424" s="12">
        <v>85171</v>
      </c>
      <c r="H2424" t="str">
        <f>IFERROR(VLOOKUP(F2424,'LEAID Match'!$A$2:$B$142,2,FALSE),"")</f>
        <v/>
      </c>
    </row>
    <row r="2425" spans="1:8" x14ac:dyDescent="0.2">
      <c r="A2425" t="str">
        <f t="shared" si="37"/>
        <v/>
      </c>
      <c r="B2425" s="1">
        <v>2017</v>
      </c>
      <c r="C2425" s="1" t="s">
        <v>2505</v>
      </c>
      <c r="D2425" s="1" t="s">
        <v>2506</v>
      </c>
      <c r="E2425" s="1" t="s">
        <v>2019</v>
      </c>
      <c r="F2425" s="1" t="s">
        <v>242</v>
      </c>
      <c r="G2425" s="47">
        <v>92489</v>
      </c>
      <c r="H2425" t="str">
        <f>IFERROR(VLOOKUP(F2425,'LEAID Match'!$A$2:$B$142,2,FALSE),"")</f>
        <v/>
      </c>
    </row>
    <row r="2426" spans="1:8" x14ac:dyDescent="0.2">
      <c r="A2426" t="str">
        <f t="shared" si="37"/>
        <v/>
      </c>
      <c r="B2426" s="1">
        <v>2018</v>
      </c>
      <c r="C2426" s="1" t="s">
        <v>2505</v>
      </c>
      <c r="D2426" s="1" t="s">
        <v>2506</v>
      </c>
      <c r="E2426" s="1" t="s">
        <v>2019</v>
      </c>
      <c r="F2426" s="1" t="s">
        <v>242</v>
      </c>
      <c r="G2426" s="6">
        <v>82749</v>
      </c>
      <c r="H2426" t="str">
        <f>IFERROR(VLOOKUP(F2426,'LEAID Match'!$A$2:$B$142,2,FALSE),"")</f>
        <v/>
      </c>
    </row>
    <row r="2427" spans="1:8" x14ac:dyDescent="0.2">
      <c r="A2427" t="str">
        <f t="shared" si="37"/>
        <v/>
      </c>
      <c r="B2427" s="1">
        <v>2019</v>
      </c>
      <c r="C2427" s="1" t="s">
        <v>2505</v>
      </c>
      <c r="D2427" s="1" t="s">
        <v>2506</v>
      </c>
      <c r="E2427" s="1" t="s">
        <v>2019</v>
      </c>
      <c r="F2427" s="1" t="s">
        <v>242</v>
      </c>
      <c r="G2427" s="6">
        <v>85832</v>
      </c>
      <c r="H2427" t="str">
        <f>IFERROR(VLOOKUP(F2427,'LEAID Match'!$A$2:$B$142,2,FALSE),"")</f>
        <v/>
      </c>
    </row>
    <row r="2428" spans="1:8" x14ac:dyDescent="0.2">
      <c r="A2428" t="str">
        <f t="shared" si="37"/>
        <v/>
      </c>
      <c r="B2428" s="1">
        <v>2020</v>
      </c>
      <c r="C2428" s="1" t="s">
        <v>2505</v>
      </c>
      <c r="D2428" s="1" t="s">
        <v>2506</v>
      </c>
      <c r="E2428" s="1" t="s">
        <v>2019</v>
      </c>
      <c r="F2428" s="1" t="s">
        <v>242</v>
      </c>
      <c r="G2428" s="6">
        <v>95139</v>
      </c>
      <c r="H2428" t="str">
        <f>IFERROR(VLOOKUP(F2428,'LEAID Match'!$A$2:$B$142,2,FALSE),"")</f>
        <v/>
      </c>
    </row>
    <row r="2429" spans="1:8" x14ac:dyDescent="0.2">
      <c r="A2429" t="str">
        <f t="shared" si="37"/>
        <v/>
      </c>
      <c r="B2429" s="1">
        <v>2021</v>
      </c>
      <c r="C2429" s="1" t="s">
        <v>2505</v>
      </c>
      <c r="D2429" s="1" t="s">
        <v>2506</v>
      </c>
      <c r="E2429" s="1" t="s">
        <v>2019</v>
      </c>
      <c r="F2429" s="1" t="s">
        <v>242</v>
      </c>
      <c r="G2429" s="6">
        <v>95852</v>
      </c>
      <c r="H2429" t="str">
        <f>IFERROR(VLOOKUP(F2429,'LEAID Match'!$A$2:$B$142,2,FALSE),"")</f>
        <v/>
      </c>
    </row>
    <row r="2430" spans="1:8" x14ac:dyDescent="0.2">
      <c r="A2430" t="str">
        <f t="shared" si="37"/>
        <v/>
      </c>
      <c r="B2430" s="1">
        <v>2022</v>
      </c>
      <c r="C2430" s="1" t="s">
        <v>2505</v>
      </c>
      <c r="D2430" s="1" t="s">
        <v>2506</v>
      </c>
      <c r="E2430" s="1" t="s">
        <v>2019</v>
      </c>
      <c r="F2430" s="1" t="s">
        <v>242</v>
      </c>
      <c r="G2430" s="6">
        <v>88273</v>
      </c>
      <c r="H2430" t="str">
        <f>IFERROR(VLOOKUP(F2430,'LEAID Match'!$A$2:$B$142,2,FALSE),"")</f>
        <v/>
      </c>
    </row>
    <row r="2431" spans="1:8" x14ac:dyDescent="0.2">
      <c r="A2431" t="str">
        <f t="shared" si="37"/>
        <v/>
      </c>
      <c r="B2431" s="1">
        <v>2023</v>
      </c>
      <c r="C2431" s="1" t="s">
        <v>2505</v>
      </c>
      <c r="D2431" s="1" t="s">
        <v>2506</v>
      </c>
      <c r="E2431" s="1" t="s">
        <v>2019</v>
      </c>
      <c r="F2431" s="1" t="s">
        <v>242</v>
      </c>
      <c r="G2431" s="6">
        <v>94909</v>
      </c>
      <c r="H2431" t="str">
        <f>IFERROR(VLOOKUP(F2431,'LEAID Match'!$A$2:$B$142,2,FALSE),"")</f>
        <v/>
      </c>
    </row>
    <row r="2432" spans="1:8" x14ac:dyDescent="0.2">
      <c r="A2432" t="str">
        <f t="shared" si="37"/>
        <v/>
      </c>
      <c r="B2432" s="1">
        <v>2024</v>
      </c>
      <c r="C2432" s="1" t="s">
        <v>2505</v>
      </c>
      <c r="D2432" s="1" t="s">
        <v>2506</v>
      </c>
      <c r="E2432" s="1" t="s">
        <v>2019</v>
      </c>
      <c r="F2432" s="1" t="s">
        <v>242</v>
      </c>
      <c r="G2432" s="6">
        <v>89920</v>
      </c>
      <c r="H2432" t="str">
        <f>IFERROR(VLOOKUP(F2432,'LEAID Match'!$A$2:$B$142,2,FALSE),"")</f>
        <v/>
      </c>
    </row>
    <row r="2433" spans="1:8" x14ac:dyDescent="0.2">
      <c r="A2433" t="str">
        <f t="shared" si="37"/>
        <v/>
      </c>
      <c r="B2433" s="1">
        <v>2015</v>
      </c>
      <c r="C2433" s="1" t="s">
        <v>2505</v>
      </c>
      <c r="D2433" s="1" t="s">
        <v>2506</v>
      </c>
      <c r="E2433" s="1" t="s">
        <v>2019</v>
      </c>
      <c r="F2433" s="1" t="s">
        <v>243</v>
      </c>
      <c r="G2433" s="6">
        <v>15911</v>
      </c>
      <c r="H2433" t="str">
        <f>IFERROR(VLOOKUP(F2433,'LEAID Match'!$A$2:$B$142,2,FALSE),"")</f>
        <v/>
      </c>
    </row>
    <row r="2434" spans="1:8" x14ac:dyDescent="0.2">
      <c r="A2434" t="str">
        <f t="shared" si="37"/>
        <v/>
      </c>
      <c r="B2434">
        <v>2016</v>
      </c>
      <c r="C2434" s="1" t="s">
        <v>2505</v>
      </c>
      <c r="D2434" s="1" t="s">
        <v>2506</v>
      </c>
      <c r="E2434" s="1" t="s">
        <v>2019</v>
      </c>
      <c r="F2434" s="1" t="s">
        <v>243</v>
      </c>
      <c r="G2434" s="12">
        <v>14878</v>
      </c>
      <c r="H2434" t="str">
        <f>IFERROR(VLOOKUP(F2434,'LEAID Match'!$A$2:$B$142,2,FALSE),"")</f>
        <v/>
      </c>
    </row>
    <row r="2435" spans="1:8" x14ac:dyDescent="0.2">
      <c r="A2435" t="str">
        <f t="shared" ref="A2435:A2498" si="38">H2435</f>
        <v/>
      </c>
      <c r="B2435" s="1">
        <v>2017</v>
      </c>
      <c r="C2435" s="1" t="s">
        <v>2505</v>
      </c>
      <c r="D2435" s="1" t="s">
        <v>2506</v>
      </c>
      <c r="E2435" s="1" t="s">
        <v>2019</v>
      </c>
      <c r="F2435" s="1" t="s">
        <v>243</v>
      </c>
      <c r="G2435" s="47">
        <v>10254</v>
      </c>
      <c r="H2435" t="str">
        <f>IFERROR(VLOOKUP(F2435,'LEAID Match'!$A$2:$B$142,2,FALSE),"")</f>
        <v/>
      </c>
    </row>
    <row r="2436" spans="1:8" x14ac:dyDescent="0.2">
      <c r="A2436" t="str">
        <f t="shared" si="38"/>
        <v/>
      </c>
      <c r="B2436" s="1">
        <v>2018</v>
      </c>
      <c r="C2436" s="1" t="s">
        <v>2505</v>
      </c>
      <c r="D2436" s="1" t="s">
        <v>2506</v>
      </c>
      <c r="E2436" s="1" t="s">
        <v>2019</v>
      </c>
      <c r="F2436" s="1" t="s">
        <v>243</v>
      </c>
      <c r="G2436" s="6">
        <v>13866</v>
      </c>
      <c r="H2436" t="str">
        <f>IFERROR(VLOOKUP(F2436,'LEAID Match'!$A$2:$B$142,2,FALSE),"")</f>
        <v/>
      </c>
    </row>
    <row r="2437" spans="1:8" x14ac:dyDescent="0.2">
      <c r="A2437" t="str">
        <f t="shared" si="38"/>
        <v/>
      </c>
      <c r="B2437" s="1">
        <v>2019</v>
      </c>
      <c r="C2437" s="1" t="s">
        <v>2505</v>
      </c>
      <c r="D2437" s="1" t="s">
        <v>2506</v>
      </c>
      <c r="E2437" s="1" t="s">
        <v>2019</v>
      </c>
      <c r="F2437" s="1" t="s">
        <v>243</v>
      </c>
      <c r="G2437" s="6">
        <v>15598</v>
      </c>
      <c r="H2437" t="str">
        <f>IFERROR(VLOOKUP(F2437,'LEAID Match'!$A$2:$B$142,2,FALSE),"")</f>
        <v/>
      </c>
    </row>
    <row r="2438" spans="1:8" x14ac:dyDescent="0.2">
      <c r="A2438" t="str">
        <f t="shared" si="38"/>
        <v/>
      </c>
      <c r="B2438" s="1">
        <v>2020</v>
      </c>
      <c r="C2438" s="1" t="s">
        <v>2505</v>
      </c>
      <c r="D2438" s="1" t="s">
        <v>2506</v>
      </c>
      <c r="E2438" s="1" t="s">
        <v>2019</v>
      </c>
      <c r="F2438" s="1" t="s">
        <v>243</v>
      </c>
      <c r="G2438" s="6">
        <v>15885</v>
      </c>
      <c r="H2438" t="str">
        <f>IFERROR(VLOOKUP(F2438,'LEAID Match'!$A$2:$B$142,2,FALSE),"")</f>
        <v/>
      </c>
    </row>
    <row r="2439" spans="1:8" x14ac:dyDescent="0.2">
      <c r="A2439" t="str">
        <f t="shared" si="38"/>
        <v/>
      </c>
      <c r="B2439" s="1">
        <v>2021</v>
      </c>
      <c r="C2439" s="1" t="s">
        <v>2505</v>
      </c>
      <c r="D2439" s="1" t="s">
        <v>2506</v>
      </c>
      <c r="E2439" s="1" t="s">
        <v>2019</v>
      </c>
      <c r="F2439" s="1" t="s">
        <v>243</v>
      </c>
      <c r="G2439" s="6">
        <v>12810</v>
      </c>
      <c r="H2439" t="str">
        <f>IFERROR(VLOOKUP(F2439,'LEAID Match'!$A$2:$B$142,2,FALSE),"")</f>
        <v/>
      </c>
    </row>
    <row r="2440" spans="1:8" x14ac:dyDescent="0.2">
      <c r="A2440" t="str">
        <f t="shared" si="38"/>
        <v/>
      </c>
      <c r="B2440" s="1">
        <v>2022</v>
      </c>
      <c r="C2440" s="1" t="s">
        <v>2505</v>
      </c>
      <c r="D2440" s="1" t="s">
        <v>2506</v>
      </c>
      <c r="E2440" s="1" t="s">
        <v>2019</v>
      </c>
      <c r="F2440" s="1" t="s">
        <v>243</v>
      </c>
      <c r="G2440" s="6">
        <v>12078</v>
      </c>
      <c r="H2440" t="str">
        <f>IFERROR(VLOOKUP(F2440,'LEAID Match'!$A$2:$B$142,2,FALSE),"")</f>
        <v/>
      </c>
    </row>
    <row r="2441" spans="1:8" x14ac:dyDescent="0.2">
      <c r="A2441" t="str">
        <f t="shared" si="38"/>
        <v/>
      </c>
      <c r="B2441" s="1">
        <v>2023</v>
      </c>
      <c r="C2441" s="1" t="s">
        <v>2505</v>
      </c>
      <c r="D2441" s="1" t="s">
        <v>2506</v>
      </c>
      <c r="E2441" s="1" t="s">
        <v>2019</v>
      </c>
      <c r="F2441" s="1" t="s">
        <v>243</v>
      </c>
      <c r="G2441" s="6">
        <v>17838</v>
      </c>
      <c r="H2441" t="str">
        <f>IFERROR(VLOOKUP(F2441,'LEAID Match'!$A$2:$B$142,2,FALSE),"")</f>
        <v/>
      </c>
    </row>
    <row r="2442" spans="1:8" x14ac:dyDescent="0.2">
      <c r="A2442" t="str">
        <f t="shared" si="38"/>
        <v/>
      </c>
      <c r="B2442" s="1">
        <v>2024</v>
      </c>
      <c r="C2442" s="1" t="s">
        <v>2505</v>
      </c>
      <c r="D2442" s="1" t="s">
        <v>2506</v>
      </c>
      <c r="E2442" s="1" t="s">
        <v>2019</v>
      </c>
      <c r="F2442" s="1" t="s">
        <v>243</v>
      </c>
      <c r="G2442" s="6">
        <v>17855</v>
      </c>
      <c r="H2442" t="str">
        <f>IFERROR(VLOOKUP(F2442,'LEAID Match'!$A$2:$B$142,2,FALSE),"")</f>
        <v/>
      </c>
    </row>
    <row r="2443" spans="1:8" x14ac:dyDescent="0.2">
      <c r="A2443" t="str">
        <f t="shared" si="38"/>
        <v/>
      </c>
      <c r="B2443" s="1">
        <v>2015</v>
      </c>
      <c r="C2443" s="1" t="s">
        <v>2505</v>
      </c>
      <c r="D2443" s="1" t="s">
        <v>2506</v>
      </c>
      <c r="E2443" s="1" t="s">
        <v>2019</v>
      </c>
      <c r="F2443" s="1" t="s">
        <v>244</v>
      </c>
      <c r="G2443" s="6">
        <v>603168</v>
      </c>
      <c r="H2443" t="str">
        <f>IFERROR(VLOOKUP(F2443,'LEAID Match'!$A$2:$B$142,2,FALSE),"")</f>
        <v/>
      </c>
    </row>
    <row r="2444" spans="1:8" x14ac:dyDescent="0.2">
      <c r="A2444" t="str">
        <f t="shared" si="38"/>
        <v/>
      </c>
      <c r="B2444">
        <v>2016</v>
      </c>
      <c r="C2444" s="1" t="s">
        <v>2505</v>
      </c>
      <c r="D2444" s="1" t="s">
        <v>2506</v>
      </c>
      <c r="E2444" s="1" t="s">
        <v>2019</v>
      </c>
      <c r="F2444" s="1" t="s">
        <v>244</v>
      </c>
      <c r="G2444" s="12">
        <v>619523</v>
      </c>
      <c r="H2444" t="str">
        <f>IFERROR(VLOOKUP(F2444,'LEAID Match'!$A$2:$B$142,2,FALSE),"")</f>
        <v/>
      </c>
    </row>
    <row r="2445" spans="1:8" x14ac:dyDescent="0.2">
      <c r="A2445" t="str">
        <f t="shared" si="38"/>
        <v/>
      </c>
      <c r="B2445" s="1">
        <v>2017</v>
      </c>
      <c r="C2445" s="1" t="s">
        <v>2505</v>
      </c>
      <c r="D2445" s="1" t="s">
        <v>2506</v>
      </c>
      <c r="E2445" s="1" t="s">
        <v>2019</v>
      </c>
      <c r="F2445" s="1" t="s">
        <v>244</v>
      </c>
      <c r="G2445" s="47">
        <v>652174</v>
      </c>
      <c r="H2445" t="str">
        <f>IFERROR(VLOOKUP(F2445,'LEAID Match'!$A$2:$B$142,2,FALSE),"")</f>
        <v/>
      </c>
    </row>
    <row r="2446" spans="1:8" x14ac:dyDescent="0.2">
      <c r="A2446" t="str">
        <f t="shared" si="38"/>
        <v/>
      </c>
      <c r="B2446" s="1">
        <v>2018</v>
      </c>
      <c r="C2446" s="1" t="s">
        <v>2505</v>
      </c>
      <c r="D2446" s="1" t="s">
        <v>2506</v>
      </c>
      <c r="E2446" s="1" t="s">
        <v>2019</v>
      </c>
      <c r="F2446" s="1" t="s">
        <v>244</v>
      </c>
      <c r="G2446" s="6">
        <v>673006</v>
      </c>
      <c r="H2446" t="str">
        <f>IFERROR(VLOOKUP(F2446,'LEAID Match'!$A$2:$B$142,2,FALSE),"")</f>
        <v/>
      </c>
    </row>
    <row r="2447" spans="1:8" x14ac:dyDescent="0.2">
      <c r="A2447" t="str">
        <f t="shared" si="38"/>
        <v/>
      </c>
      <c r="B2447" s="1">
        <v>2019</v>
      </c>
      <c r="C2447" s="1" t="s">
        <v>2505</v>
      </c>
      <c r="D2447" s="1" t="s">
        <v>2506</v>
      </c>
      <c r="E2447" s="1" t="s">
        <v>2019</v>
      </c>
      <c r="F2447" s="1" t="s">
        <v>244</v>
      </c>
      <c r="G2447" s="6">
        <v>639593</v>
      </c>
      <c r="H2447" t="str">
        <f>IFERROR(VLOOKUP(F2447,'LEAID Match'!$A$2:$B$142,2,FALSE),"")</f>
        <v/>
      </c>
    </row>
    <row r="2448" spans="1:8" x14ac:dyDescent="0.2">
      <c r="A2448" t="str">
        <f t="shared" si="38"/>
        <v/>
      </c>
      <c r="B2448" s="1">
        <v>2020</v>
      </c>
      <c r="C2448" s="1" t="s">
        <v>2505</v>
      </c>
      <c r="D2448" s="1" t="s">
        <v>2506</v>
      </c>
      <c r="E2448" s="1" t="s">
        <v>2019</v>
      </c>
      <c r="F2448" s="1" t="s">
        <v>244</v>
      </c>
      <c r="G2448" s="6">
        <v>712202</v>
      </c>
      <c r="H2448" t="str">
        <f>IFERROR(VLOOKUP(F2448,'LEAID Match'!$A$2:$B$142,2,FALSE),"")</f>
        <v/>
      </c>
    </row>
    <row r="2449" spans="1:8" x14ac:dyDescent="0.2">
      <c r="A2449" t="str">
        <f t="shared" si="38"/>
        <v/>
      </c>
      <c r="B2449" s="1">
        <v>2021</v>
      </c>
      <c r="C2449" s="1" t="s">
        <v>2505</v>
      </c>
      <c r="D2449" s="1" t="s">
        <v>2506</v>
      </c>
      <c r="E2449" s="1" t="s">
        <v>2019</v>
      </c>
      <c r="F2449" s="1" t="s">
        <v>244</v>
      </c>
      <c r="G2449" s="6">
        <v>657680</v>
      </c>
      <c r="H2449" t="str">
        <f>IFERROR(VLOOKUP(F2449,'LEAID Match'!$A$2:$B$142,2,FALSE),"")</f>
        <v/>
      </c>
    </row>
    <row r="2450" spans="1:8" x14ac:dyDescent="0.2">
      <c r="A2450" t="str">
        <f t="shared" si="38"/>
        <v/>
      </c>
      <c r="B2450" s="1">
        <v>2022</v>
      </c>
      <c r="C2450" s="1" t="s">
        <v>2505</v>
      </c>
      <c r="D2450" s="1" t="s">
        <v>2506</v>
      </c>
      <c r="E2450" s="1" t="s">
        <v>2019</v>
      </c>
      <c r="F2450" s="1" t="s">
        <v>244</v>
      </c>
      <c r="G2450" s="6">
        <v>623386</v>
      </c>
      <c r="H2450" t="str">
        <f>IFERROR(VLOOKUP(F2450,'LEAID Match'!$A$2:$B$142,2,FALSE),"")</f>
        <v/>
      </c>
    </row>
    <row r="2451" spans="1:8" x14ac:dyDescent="0.2">
      <c r="A2451" t="str">
        <f t="shared" si="38"/>
        <v/>
      </c>
      <c r="B2451" s="1">
        <v>2023</v>
      </c>
      <c r="C2451" s="1" t="s">
        <v>2505</v>
      </c>
      <c r="D2451" s="1" t="s">
        <v>2506</v>
      </c>
      <c r="E2451" s="1" t="s">
        <v>2019</v>
      </c>
      <c r="F2451" s="1" t="s">
        <v>244</v>
      </c>
      <c r="G2451" s="6">
        <v>626940</v>
      </c>
      <c r="H2451" t="str">
        <f>IFERROR(VLOOKUP(F2451,'LEAID Match'!$A$2:$B$142,2,FALSE),"")</f>
        <v/>
      </c>
    </row>
    <row r="2452" spans="1:8" x14ac:dyDescent="0.2">
      <c r="A2452" t="str">
        <f t="shared" si="38"/>
        <v/>
      </c>
      <c r="B2452" s="1">
        <v>2024</v>
      </c>
      <c r="C2452" s="1" t="s">
        <v>2505</v>
      </c>
      <c r="D2452" s="1" t="s">
        <v>2506</v>
      </c>
      <c r="E2452" s="1" t="s">
        <v>2019</v>
      </c>
      <c r="F2452" s="1" t="s">
        <v>244</v>
      </c>
      <c r="G2452" s="6">
        <v>592551</v>
      </c>
      <c r="H2452" t="str">
        <f>IFERROR(VLOOKUP(F2452,'LEAID Match'!$A$2:$B$142,2,FALSE),"")</f>
        <v/>
      </c>
    </row>
    <row r="2453" spans="1:8" x14ac:dyDescent="0.2">
      <c r="A2453" t="str">
        <f t="shared" si="38"/>
        <v/>
      </c>
      <c r="B2453" s="1">
        <v>2015</v>
      </c>
      <c r="C2453" s="1" t="s">
        <v>2505</v>
      </c>
      <c r="D2453" s="1" t="s">
        <v>2506</v>
      </c>
      <c r="E2453" s="1" t="s">
        <v>2019</v>
      </c>
      <c r="F2453" s="1" t="s">
        <v>246</v>
      </c>
      <c r="G2453" s="6">
        <v>38207</v>
      </c>
      <c r="H2453" t="str">
        <f>IFERROR(VLOOKUP(F2453,'LEAID Match'!$A$2:$B$142,2,FALSE),"")</f>
        <v/>
      </c>
    </row>
    <row r="2454" spans="1:8" x14ac:dyDescent="0.2">
      <c r="A2454" t="str">
        <f t="shared" si="38"/>
        <v/>
      </c>
      <c r="B2454">
        <v>2016</v>
      </c>
      <c r="C2454" s="1" t="s">
        <v>2505</v>
      </c>
      <c r="D2454" s="1" t="s">
        <v>2506</v>
      </c>
      <c r="E2454" s="1" t="s">
        <v>2019</v>
      </c>
      <c r="F2454" s="1" t="s">
        <v>246</v>
      </c>
      <c r="G2454" s="12">
        <v>41350</v>
      </c>
      <c r="H2454" t="str">
        <f>IFERROR(VLOOKUP(F2454,'LEAID Match'!$A$2:$B$142,2,FALSE),"")</f>
        <v/>
      </c>
    </row>
    <row r="2455" spans="1:8" x14ac:dyDescent="0.2">
      <c r="A2455" t="str">
        <f t="shared" si="38"/>
        <v/>
      </c>
      <c r="B2455" s="1">
        <v>2017</v>
      </c>
      <c r="C2455" s="1" t="s">
        <v>2505</v>
      </c>
      <c r="D2455" s="1" t="s">
        <v>2506</v>
      </c>
      <c r="E2455" s="1" t="s">
        <v>2019</v>
      </c>
      <c r="F2455" s="1" t="s">
        <v>246</v>
      </c>
      <c r="G2455" s="47">
        <v>41184</v>
      </c>
      <c r="H2455" t="str">
        <f>IFERROR(VLOOKUP(F2455,'LEAID Match'!$A$2:$B$142,2,FALSE),"")</f>
        <v/>
      </c>
    </row>
    <row r="2456" spans="1:8" x14ac:dyDescent="0.2">
      <c r="A2456" t="str">
        <f t="shared" si="38"/>
        <v/>
      </c>
      <c r="B2456" s="1">
        <v>2018</v>
      </c>
      <c r="C2456" s="1" t="s">
        <v>2505</v>
      </c>
      <c r="D2456" s="1" t="s">
        <v>2506</v>
      </c>
      <c r="E2456" s="1" t="s">
        <v>2019</v>
      </c>
      <c r="F2456" s="1" t="s">
        <v>246</v>
      </c>
      <c r="G2456" s="6">
        <v>42545</v>
      </c>
      <c r="H2456" t="str">
        <f>IFERROR(VLOOKUP(F2456,'LEAID Match'!$A$2:$B$142,2,FALSE),"")</f>
        <v/>
      </c>
    </row>
    <row r="2457" spans="1:8" x14ac:dyDescent="0.2">
      <c r="A2457" t="str">
        <f t="shared" si="38"/>
        <v/>
      </c>
      <c r="B2457" s="1">
        <v>2020</v>
      </c>
      <c r="C2457" s="1" t="s">
        <v>2505</v>
      </c>
      <c r="D2457" s="1" t="s">
        <v>2506</v>
      </c>
      <c r="E2457" s="1" t="s">
        <v>2019</v>
      </c>
      <c r="F2457" s="1" t="s">
        <v>246</v>
      </c>
      <c r="G2457" s="6">
        <v>45280</v>
      </c>
      <c r="H2457" t="str">
        <f>IFERROR(VLOOKUP(F2457,'LEAID Match'!$A$2:$B$142,2,FALSE),"")</f>
        <v/>
      </c>
    </row>
    <row r="2458" spans="1:8" x14ac:dyDescent="0.2">
      <c r="A2458" t="str">
        <f t="shared" si="38"/>
        <v/>
      </c>
      <c r="B2458" s="1">
        <v>2021</v>
      </c>
      <c r="C2458" s="1" t="s">
        <v>2505</v>
      </c>
      <c r="D2458" s="1" t="s">
        <v>2506</v>
      </c>
      <c r="E2458" s="1" t="s">
        <v>2019</v>
      </c>
      <c r="F2458" s="1" t="s">
        <v>246</v>
      </c>
      <c r="G2458" s="6">
        <v>41128</v>
      </c>
      <c r="H2458" t="str">
        <f>IFERROR(VLOOKUP(F2458,'LEAID Match'!$A$2:$B$142,2,FALSE),"")</f>
        <v/>
      </c>
    </row>
    <row r="2459" spans="1:8" x14ac:dyDescent="0.2">
      <c r="A2459" t="str">
        <f t="shared" si="38"/>
        <v/>
      </c>
      <c r="B2459" s="1">
        <v>2022</v>
      </c>
      <c r="C2459" s="1" t="s">
        <v>2505</v>
      </c>
      <c r="D2459" s="1" t="s">
        <v>2506</v>
      </c>
      <c r="E2459" s="1" t="s">
        <v>2019</v>
      </c>
      <c r="F2459" s="1" t="s">
        <v>246</v>
      </c>
      <c r="G2459" s="6">
        <v>43630</v>
      </c>
      <c r="H2459" t="str">
        <f>IFERROR(VLOOKUP(F2459,'LEAID Match'!$A$2:$B$142,2,FALSE),"")</f>
        <v/>
      </c>
    </row>
    <row r="2460" spans="1:8" x14ac:dyDescent="0.2">
      <c r="A2460" t="str">
        <f t="shared" si="38"/>
        <v/>
      </c>
      <c r="B2460" s="1">
        <v>2023</v>
      </c>
      <c r="C2460" s="1" t="s">
        <v>2505</v>
      </c>
      <c r="D2460" s="1" t="s">
        <v>2506</v>
      </c>
      <c r="E2460" s="1" t="s">
        <v>2019</v>
      </c>
      <c r="F2460" s="1" t="s">
        <v>246</v>
      </c>
      <c r="G2460" s="6">
        <v>41079</v>
      </c>
      <c r="H2460" t="str">
        <f>IFERROR(VLOOKUP(F2460,'LEAID Match'!$A$2:$B$142,2,FALSE),"")</f>
        <v/>
      </c>
    </row>
    <row r="2461" spans="1:8" x14ac:dyDescent="0.2">
      <c r="A2461" t="str">
        <f t="shared" si="38"/>
        <v/>
      </c>
      <c r="B2461" s="1">
        <v>2024</v>
      </c>
      <c r="C2461" s="1" t="s">
        <v>2505</v>
      </c>
      <c r="D2461" s="1" t="s">
        <v>2506</v>
      </c>
      <c r="E2461" s="1" t="s">
        <v>2019</v>
      </c>
      <c r="F2461" s="1" t="s">
        <v>246</v>
      </c>
      <c r="G2461" s="6">
        <v>37466</v>
      </c>
      <c r="H2461" t="str">
        <f>IFERROR(VLOOKUP(F2461,'LEAID Match'!$A$2:$B$142,2,FALSE),"")</f>
        <v/>
      </c>
    </row>
    <row r="2462" spans="1:8" x14ac:dyDescent="0.2">
      <c r="A2462" t="str">
        <f t="shared" si="38"/>
        <v/>
      </c>
      <c r="B2462" s="1">
        <v>2019</v>
      </c>
      <c r="C2462" s="1" t="s">
        <v>2505</v>
      </c>
      <c r="D2462" s="1" t="s">
        <v>2506</v>
      </c>
      <c r="E2462" s="1" t="s">
        <v>2019</v>
      </c>
      <c r="F2462" s="1" t="s">
        <v>968</v>
      </c>
      <c r="G2462" s="6">
        <v>42436</v>
      </c>
      <c r="H2462" t="str">
        <f>IFERROR(VLOOKUP(F2462,'LEAID Match'!$A$2:$B$142,2,FALSE),"")</f>
        <v/>
      </c>
    </row>
    <row r="2463" spans="1:8" x14ac:dyDescent="0.2">
      <c r="A2463">
        <f t="shared" si="38"/>
        <v>2800198</v>
      </c>
      <c r="B2463" s="1">
        <v>2015</v>
      </c>
      <c r="C2463" s="1" t="s">
        <v>2505</v>
      </c>
      <c r="D2463" s="1" t="s">
        <v>2506</v>
      </c>
      <c r="E2463" s="1" t="s">
        <v>2019</v>
      </c>
      <c r="F2463" s="1" t="s">
        <v>869</v>
      </c>
      <c r="G2463" s="6">
        <v>2341177</v>
      </c>
      <c r="H2463">
        <f>IFERROR(VLOOKUP(F2463,'LEAID Match'!$A$2:$B$142,2,FALSE),"")</f>
        <v>2800198</v>
      </c>
    </row>
    <row r="2464" spans="1:8" x14ac:dyDescent="0.2">
      <c r="A2464">
        <f t="shared" si="38"/>
        <v>2800198</v>
      </c>
      <c r="B2464">
        <v>2016</v>
      </c>
      <c r="C2464" s="1" t="s">
        <v>2505</v>
      </c>
      <c r="D2464" s="1" t="s">
        <v>2506</v>
      </c>
      <c r="E2464" s="1" t="s">
        <v>2019</v>
      </c>
      <c r="F2464" s="1" t="s">
        <v>869</v>
      </c>
      <c r="G2464" s="12">
        <v>2325378</v>
      </c>
      <c r="H2464">
        <f>IFERROR(VLOOKUP(F2464,'LEAID Match'!$A$2:$B$142,2,FALSE),"")</f>
        <v>2800198</v>
      </c>
    </row>
    <row r="2465" spans="1:8" x14ac:dyDescent="0.2">
      <c r="A2465">
        <f t="shared" si="38"/>
        <v>2800198</v>
      </c>
      <c r="B2465" s="1">
        <v>2017</v>
      </c>
      <c r="C2465" s="1" t="s">
        <v>2505</v>
      </c>
      <c r="D2465" s="1" t="s">
        <v>2506</v>
      </c>
      <c r="E2465" s="1" t="s">
        <v>2019</v>
      </c>
      <c r="F2465" s="1" t="s">
        <v>869</v>
      </c>
      <c r="G2465" s="47">
        <v>2113769</v>
      </c>
      <c r="H2465">
        <f>IFERROR(VLOOKUP(F2465,'LEAID Match'!$A$2:$B$142,2,FALSE),"")</f>
        <v>2800198</v>
      </c>
    </row>
    <row r="2466" spans="1:8" x14ac:dyDescent="0.2">
      <c r="A2466">
        <f t="shared" si="38"/>
        <v>2800198</v>
      </c>
      <c r="B2466" s="1">
        <v>2018</v>
      </c>
      <c r="C2466" s="1" t="s">
        <v>2505</v>
      </c>
      <c r="D2466" s="1" t="s">
        <v>2506</v>
      </c>
      <c r="E2466" s="1" t="s">
        <v>2019</v>
      </c>
      <c r="F2466" s="1" t="s">
        <v>869</v>
      </c>
      <c r="G2466" s="6">
        <v>2268736</v>
      </c>
      <c r="H2466">
        <f>IFERROR(VLOOKUP(F2466,'LEAID Match'!$A$2:$B$142,2,FALSE),"")</f>
        <v>2800198</v>
      </c>
    </row>
    <row r="2467" spans="1:8" x14ac:dyDescent="0.2">
      <c r="A2467">
        <f t="shared" si="38"/>
        <v>2800198</v>
      </c>
      <c r="B2467" s="1">
        <v>2019</v>
      </c>
      <c r="C2467" s="1" t="s">
        <v>2505</v>
      </c>
      <c r="D2467" s="1" t="s">
        <v>2506</v>
      </c>
      <c r="E2467" s="1" t="s">
        <v>2019</v>
      </c>
      <c r="F2467" s="1" t="s">
        <v>869</v>
      </c>
      <c r="G2467" s="6">
        <v>2538229</v>
      </c>
      <c r="H2467">
        <f>IFERROR(VLOOKUP(F2467,'LEAID Match'!$A$2:$B$142,2,FALSE),"")</f>
        <v>2800198</v>
      </c>
    </row>
    <row r="2468" spans="1:8" x14ac:dyDescent="0.2">
      <c r="A2468">
        <f t="shared" si="38"/>
        <v>2800198</v>
      </c>
      <c r="B2468" s="1">
        <v>2020</v>
      </c>
      <c r="C2468" s="1" t="s">
        <v>2505</v>
      </c>
      <c r="D2468" s="1" t="s">
        <v>2506</v>
      </c>
      <c r="E2468" s="1" t="s">
        <v>2019</v>
      </c>
      <c r="F2468" s="1" t="s">
        <v>869</v>
      </c>
      <c r="G2468" s="6">
        <v>5033512</v>
      </c>
      <c r="H2468">
        <f>IFERROR(VLOOKUP(F2468,'LEAID Match'!$A$2:$B$142,2,FALSE),"")</f>
        <v>2800198</v>
      </c>
    </row>
    <row r="2469" spans="1:8" x14ac:dyDescent="0.2">
      <c r="A2469">
        <f t="shared" si="38"/>
        <v>2800198</v>
      </c>
      <c r="B2469" s="1">
        <v>2021</v>
      </c>
      <c r="C2469" s="1" t="s">
        <v>2505</v>
      </c>
      <c r="D2469" s="1" t="s">
        <v>2506</v>
      </c>
      <c r="E2469" s="1" t="s">
        <v>2019</v>
      </c>
      <c r="F2469" s="1" t="s">
        <v>869</v>
      </c>
      <c r="G2469" s="6">
        <v>4682558</v>
      </c>
      <c r="H2469">
        <f>IFERROR(VLOOKUP(F2469,'LEAID Match'!$A$2:$B$142,2,FALSE),"")</f>
        <v>2800198</v>
      </c>
    </row>
    <row r="2470" spans="1:8" x14ac:dyDescent="0.2">
      <c r="A2470">
        <f t="shared" si="38"/>
        <v>2800198</v>
      </c>
      <c r="B2470" s="1">
        <v>2022</v>
      </c>
      <c r="C2470" s="1" t="s">
        <v>2505</v>
      </c>
      <c r="D2470" s="1" t="s">
        <v>2506</v>
      </c>
      <c r="E2470" s="1" t="s">
        <v>2019</v>
      </c>
      <c r="F2470" s="1" t="s">
        <v>869</v>
      </c>
      <c r="G2470" s="6">
        <v>4730413</v>
      </c>
      <c r="H2470">
        <f>IFERROR(VLOOKUP(F2470,'LEAID Match'!$A$2:$B$142,2,FALSE),"")</f>
        <v>2800198</v>
      </c>
    </row>
    <row r="2471" spans="1:8" x14ac:dyDescent="0.2">
      <c r="A2471">
        <f t="shared" si="38"/>
        <v>2800198</v>
      </c>
      <c r="B2471" s="1">
        <v>2023</v>
      </c>
      <c r="C2471" s="1" t="s">
        <v>2505</v>
      </c>
      <c r="D2471" s="1" t="s">
        <v>2506</v>
      </c>
      <c r="E2471" s="1" t="s">
        <v>2019</v>
      </c>
      <c r="F2471" s="1" t="s">
        <v>869</v>
      </c>
      <c r="G2471" s="6">
        <v>5232731</v>
      </c>
      <c r="H2471">
        <f>IFERROR(VLOOKUP(F2471,'LEAID Match'!$A$2:$B$142,2,FALSE),"")</f>
        <v>2800198</v>
      </c>
    </row>
    <row r="2472" spans="1:8" x14ac:dyDescent="0.2">
      <c r="A2472">
        <f t="shared" si="38"/>
        <v>2800198</v>
      </c>
      <c r="B2472" s="1">
        <v>2024</v>
      </c>
      <c r="C2472" s="1" t="s">
        <v>2505</v>
      </c>
      <c r="D2472" s="1" t="s">
        <v>2506</v>
      </c>
      <c r="E2472" s="1" t="s">
        <v>2019</v>
      </c>
      <c r="F2472" s="1" t="s">
        <v>869</v>
      </c>
      <c r="G2472" s="6">
        <v>5072833</v>
      </c>
      <c r="H2472">
        <f>IFERROR(VLOOKUP(F2472,'LEAID Match'!$A$2:$B$142,2,FALSE),"")</f>
        <v>2800198</v>
      </c>
    </row>
    <row r="2473" spans="1:8" x14ac:dyDescent="0.2">
      <c r="A2473" t="str">
        <f t="shared" si="38"/>
        <v/>
      </c>
      <c r="B2473" s="1">
        <v>2015</v>
      </c>
      <c r="C2473" s="1" t="s">
        <v>2505</v>
      </c>
      <c r="D2473" s="1" t="s">
        <v>2506</v>
      </c>
      <c r="E2473" s="1" t="s">
        <v>2019</v>
      </c>
      <c r="F2473" s="1" t="s">
        <v>247</v>
      </c>
      <c r="G2473" s="6">
        <v>894374</v>
      </c>
      <c r="H2473" t="str">
        <f>IFERROR(VLOOKUP(F2473,'LEAID Match'!$A$2:$B$142,2,FALSE),"")</f>
        <v/>
      </c>
    </row>
    <row r="2474" spans="1:8" x14ac:dyDescent="0.2">
      <c r="A2474" t="str">
        <f t="shared" si="38"/>
        <v/>
      </c>
      <c r="B2474">
        <v>2016</v>
      </c>
      <c r="C2474" s="1" t="s">
        <v>2505</v>
      </c>
      <c r="D2474" s="1" t="s">
        <v>2506</v>
      </c>
      <c r="E2474" s="1" t="s">
        <v>2019</v>
      </c>
      <c r="F2474" s="1" t="s">
        <v>247</v>
      </c>
      <c r="G2474" s="12">
        <v>925696</v>
      </c>
      <c r="H2474" t="str">
        <f>IFERROR(VLOOKUP(F2474,'LEAID Match'!$A$2:$B$142,2,FALSE),"")</f>
        <v/>
      </c>
    </row>
    <row r="2475" spans="1:8" x14ac:dyDescent="0.2">
      <c r="A2475" t="str">
        <f t="shared" si="38"/>
        <v/>
      </c>
      <c r="B2475" s="1">
        <v>2017</v>
      </c>
      <c r="C2475" s="1" t="s">
        <v>2505</v>
      </c>
      <c r="D2475" s="1" t="s">
        <v>2506</v>
      </c>
      <c r="E2475" s="1" t="s">
        <v>2019</v>
      </c>
      <c r="F2475" s="1" t="s">
        <v>247</v>
      </c>
      <c r="G2475" s="47">
        <v>968448</v>
      </c>
      <c r="H2475" t="str">
        <f>IFERROR(VLOOKUP(F2475,'LEAID Match'!$A$2:$B$142,2,FALSE),"")</f>
        <v/>
      </c>
    </row>
    <row r="2476" spans="1:8" x14ac:dyDescent="0.2">
      <c r="A2476" t="str">
        <f t="shared" si="38"/>
        <v/>
      </c>
      <c r="B2476" s="1">
        <v>2018</v>
      </c>
      <c r="C2476" s="1" t="s">
        <v>2505</v>
      </c>
      <c r="D2476" s="1" t="s">
        <v>2506</v>
      </c>
      <c r="E2476" s="1" t="s">
        <v>2019</v>
      </c>
      <c r="F2476" s="1" t="s">
        <v>247</v>
      </c>
      <c r="G2476" s="6">
        <v>961139</v>
      </c>
      <c r="H2476" t="str">
        <f>IFERROR(VLOOKUP(F2476,'LEAID Match'!$A$2:$B$142,2,FALSE),"")</f>
        <v/>
      </c>
    </row>
    <row r="2477" spans="1:8" x14ac:dyDescent="0.2">
      <c r="A2477" t="str">
        <f t="shared" si="38"/>
        <v/>
      </c>
      <c r="B2477" s="1">
        <v>2019</v>
      </c>
      <c r="C2477" s="1" t="s">
        <v>2505</v>
      </c>
      <c r="D2477" s="1" t="s">
        <v>2506</v>
      </c>
      <c r="E2477" s="1" t="s">
        <v>2019</v>
      </c>
      <c r="F2477" s="1" t="s">
        <v>247</v>
      </c>
      <c r="G2477" s="6">
        <v>958010</v>
      </c>
      <c r="H2477" t="str">
        <f>IFERROR(VLOOKUP(F2477,'LEAID Match'!$A$2:$B$142,2,FALSE),"")</f>
        <v/>
      </c>
    </row>
    <row r="2478" spans="1:8" x14ac:dyDescent="0.2">
      <c r="A2478" t="str">
        <f t="shared" si="38"/>
        <v/>
      </c>
      <c r="B2478" s="1">
        <v>2020</v>
      </c>
      <c r="C2478" s="1" t="s">
        <v>2505</v>
      </c>
      <c r="D2478" s="1" t="s">
        <v>2506</v>
      </c>
      <c r="E2478" s="1" t="s">
        <v>2019</v>
      </c>
      <c r="F2478" s="1" t="s">
        <v>247</v>
      </c>
      <c r="G2478" s="6">
        <v>1041261</v>
      </c>
      <c r="H2478" t="str">
        <f>IFERROR(VLOOKUP(F2478,'LEAID Match'!$A$2:$B$142,2,FALSE),"")</f>
        <v/>
      </c>
    </row>
    <row r="2479" spans="1:8" x14ac:dyDescent="0.2">
      <c r="A2479" t="str">
        <f t="shared" si="38"/>
        <v/>
      </c>
      <c r="B2479" s="1">
        <v>2021</v>
      </c>
      <c r="C2479" s="1" t="s">
        <v>2505</v>
      </c>
      <c r="D2479" s="1" t="s">
        <v>2506</v>
      </c>
      <c r="E2479" s="1" t="s">
        <v>2019</v>
      </c>
      <c r="F2479" s="1" t="s">
        <v>247</v>
      </c>
      <c r="G2479" s="6">
        <v>1012489</v>
      </c>
      <c r="H2479" t="str">
        <f>IFERROR(VLOOKUP(F2479,'LEAID Match'!$A$2:$B$142,2,FALSE),"")</f>
        <v/>
      </c>
    </row>
    <row r="2480" spans="1:8" x14ac:dyDescent="0.2">
      <c r="A2480" t="str">
        <f t="shared" si="38"/>
        <v/>
      </c>
      <c r="B2480" s="1">
        <v>2022</v>
      </c>
      <c r="C2480" s="1" t="s">
        <v>2505</v>
      </c>
      <c r="D2480" s="1" t="s">
        <v>2506</v>
      </c>
      <c r="E2480" s="1" t="s">
        <v>2019</v>
      </c>
      <c r="F2480" s="1" t="s">
        <v>247</v>
      </c>
      <c r="G2480" s="6">
        <v>989764</v>
      </c>
      <c r="H2480" t="str">
        <f>IFERROR(VLOOKUP(F2480,'LEAID Match'!$A$2:$B$142,2,FALSE),"")</f>
        <v/>
      </c>
    </row>
    <row r="2481" spans="1:8" x14ac:dyDescent="0.2">
      <c r="A2481" t="str">
        <f t="shared" si="38"/>
        <v/>
      </c>
      <c r="B2481" s="1">
        <v>2023</v>
      </c>
      <c r="C2481" s="1" t="s">
        <v>2505</v>
      </c>
      <c r="D2481" s="1" t="s">
        <v>2506</v>
      </c>
      <c r="E2481" s="1" t="s">
        <v>2019</v>
      </c>
      <c r="F2481" s="1" t="s">
        <v>247</v>
      </c>
      <c r="G2481" s="6">
        <v>1034998</v>
      </c>
      <c r="H2481" t="str">
        <f>IFERROR(VLOOKUP(F2481,'LEAID Match'!$A$2:$B$142,2,FALSE),"")</f>
        <v/>
      </c>
    </row>
    <row r="2482" spans="1:8" x14ac:dyDescent="0.2">
      <c r="A2482" t="str">
        <f t="shared" si="38"/>
        <v/>
      </c>
      <c r="B2482" s="1">
        <v>2024</v>
      </c>
      <c r="C2482" s="1" t="s">
        <v>2505</v>
      </c>
      <c r="D2482" s="1" t="s">
        <v>2506</v>
      </c>
      <c r="E2482" s="1" t="s">
        <v>2019</v>
      </c>
      <c r="F2482" s="1" t="s">
        <v>247</v>
      </c>
      <c r="G2482" s="6">
        <v>1031841</v>
      </c>
      <c r="H2482" t="str">
        <f>IFERROR(VLOOKUP(F2482,'LEAID Match'!$A$2:$B$142,2,FALSE),"")</f>
        <v/>
      </c>
    </row>
    <row r="2483" spans="1:8" x14ac:dyDescent="0.2">
      <c r="A2483" t="str">
        <f t="shared" si="38"/>
        <v/>
      </c>
      <c r="B2483" s="1">
        <v>2015</v>
      </c>
      <c r="C2483" s="1" t="s">
        <v>2505</v>
      </c>
      <c r="D2483" s="1" t="s">
        <v>2506</v>
      </c>
      <c r="E2483" s="1" t="s">
        <v>2019</v>
      </c>
      <c r="F2483" s="1" t="s">
        <v>248</v>
      </c>
      <c r="G2483" s="6">
        <v>583905</v>
      </c>
      <c r="H2483" t="str">
        <f>IFERROR(VLOOKUP(F2483,'LEAID Match'!$A$2:$B$142,2,FALSE),"")</f>
        <v/>
      </c>
    </row>
    <row r="2484" spans="1:8" x14ac:dyDescent="0.2">
      <c r="A2484" t="str">
        <f t="shared" si="38"/>
        <v/>
      </c>
      <c r="B2484">
        <v>2016</v>
      </c>
      <c r="C2484" s="1" t="s">
        <v>2505</v>
      </c>
      <c r="D2484" s="1" t="s">
        <v>2506</v>
      </c>
      <c r="E2484" s="1" t="s">
        <v>2019</v>
      </c>
      <c r="F2484" s="1" t="s">
        <v>248</v>
      </c>
      <c r="G2484" s="12">
        <v>599075</v>
      </c>
      <c r="H2484" t="str">
        <f>IFERROR(VLOOKUP(F2484,'LEAID Match'!$A$2:$B$142,2,FALSE),"")</f>
        <v/>
      </c>
    </row>
    <row r="2485" spans="1:8" x14ac:dyDescent="0.2">
      <c r="A2485" t="str">
        <f t="shared" si="38"/>
        <v/>
      </c>
      <c r="B2485" s="1">
        <v>2017</v>
      </c>
      <c r="C2485" s="1" t="s">
        <v>2505</v>
      </c>
      <c r="D2485" s="1" t="s">
        <v>2506</v>
      </c>
      <c r="E2485" s="1" t="s">
        <v>2019</v>
      </c>
      <c r="F2485" s="1" t="s">
        <v>248</v>
      </c>
      <c r="G2485" s="47">
        <v>655957</v>
      </c>
      <c r="H2485" t="str">
        <f>IFERROR(VLOOKUP(F2485,'LEAID Match'!$A$2:$B$142,2,FALSE),"")</f>
        <v/>
      </c>
    </row>
    <row r="2486" spans="1:8" x14ac:dyDescent="0.2">
      <c r="A2486" t="str">
        <f t="shared" si="38"/>
        <v/>
      </c>
      <c r="B2486" s="1">
        <v>2018</v>
      </c>
      <c r="C2486" s="1" t="s">
        <v>2505</v>
      </c>
      <c r="D2486" s="1" t="s">
        <v>2506</v>
      </c>
      <c r="E2486" s="1" t="s">
        <v>2019</v>
      </c>
      <c r="F2486" s="1" t="s">
        <v>248</v>
      </c>
      <c r="G2486" s="6">
        <v>575837</v>
      </c>
      <c r="H2486" t="str">
        <f>IFERROR(VLOOKUP(F2486,'LEAID Match'!$A$2:$B$142,2,FALSE),"")</f>
        <v/>
      </c>
    </row>
    <row r="2487" spans="1:8" x14ac:dyDescent="0.2">
      <c r="A2487" t="str">
        <f t="shared" si="38"/>
        <v/>
      </c>
      <c r="B2487" s="1">
        <v>2019</v>
      </c>
      <c r="C2487" s="1" t="s">
        <v>2505</v>
      </c>
      <c r="D2487" s="1" t="s">
        <v>2506</v>
      </c>
      <c r="E2487" s="1" t="s">
        <v>2019</v>
      </c>
      <c r="F2487" s="1" t="s">
        <v>248</v>
      </c>
      <c r="G2487" s="6">
        <v>592555</v>
      </c>
      <c r="H2487" t="str">
        <f>IFERROR(VLOOKUP(F2487,'LEAID Match'!$A$2:$B$142,2,FALSE),"")</f>
        <v/>
      </c>
    </row>
    <row r="2488" spans="1:8" x14ac:dyDescent="0.2">
      <c r="A2488" t="str">
        <f t="shared" si="38"/>
        <v/>
      </c>
      <c r="B2488" s="1">
        <v>2020</v>
      </c>
      <c r="C2488" s="1" t="s">
        <v>2505</v>
      </c>
      <c r="D2488" s="1" t="s">
        <v>2506</v>
      </c>
      <c r="E2488" s="1" t="s">
        <v>2019</v>
      </c>
      <c r="F2488" s="1" t="s">
        <v>248</v>
      </c>
      <c r="G2488" s="6">
        <v>673987</v>
      </c>
      <c r="H2488" t="str">
        <f>IFERROR(VLOOKUP(F2488,'LEAID Match'!$A$2:$B$142,2,FALSE),"")</f>
        <v/>
      </c>
    </row>
    <row r="2489" spans="1:8" x14ac:dyDescent="0.2">
      <c r="A2489" t="str">
        <f t="shared" si="38"/>
        <v/>
      </c>
      <c r="B2489" s="1">
        <v>2021</v>
      </c>
      <c r="C2489" s="1" t="s">
        <v>2505</v>
      </c>
      <c r="D2489" s="1" t="s">
        <v>2506</v>
      </c>
      <c r="E2489" s="1" t="s">
        <v>2019</v>
      </c>
      <c r="F2489" s="1" t="s">
        <v>248</v>
      </c>
      <c r="G2489" s="6">
        <v>691412</v>
      </c>
      <c r="H2489" t="str">
        <f>IFERROR(VLOOKUP(F2489,'LEAID Match'!$A$2:$B$142,2,FALSE),"")</f>
        <v/>
      </c>
    </row>
    <row r="2490" spans="1:8" x14ac:dyDescent="0.2">
      <c r="A2490" t="str">
        <f t="shared" si="38"/>
        <v/>
      </c>
      <c r="B2490" s="1">
        <v>2022</v>
      </c>
      <c r="C2490" s="1" t="s">
        <v>2505</v>
      </c>
      <c r="D2490" s="1" t="s">
        <v>2506</v>
      </c>
      <c r="E2490" s="1" t="s">
        <v>2019</v>
      </c>
      <c r="F2490" s="1" t="s">
        <v>248</v>
      </c>
      <c r="G2490" s="6">
        <v>692544</v>
      </c>
      <c r="H2490" t="str">
        <f>IFERROR(VLOOKUP(F2490,'LEAID Match'!$A$2:$B$142,2,FALSE),"")</f>
        <v/>
      </c>
    </row>
    <row r="2491" spans="1:8" x14ac:dyDescent="0.2">
      <c r="A2491" t="str">
        <f t="shared" si="38"/>
        <v/>
      </c>
      <c r="B2491" s="1">
        <v>2023</v>
      </c>
      <c r="C2491" s="1" t="s">
        <v>2505</v>
      </c>
      <c r="D2491" s="1" t="s">
        <v>2506</v>
      </c>
      <c r="E2491" s="1" t="s">
        <v>2019</v>
      </c>
      <c r="F2491" s="1" t="s">
        <v>248</v>
      </c>
      <c r="G2491" s="6">
        <v>734216</v>
      </c>
      <c r="H2491" t="str">
        <f>IFERROR(VLOOKUP(F2491,'LEAID Match'!$A$2:$B$142,2,FALSE),"")</f>
        <v/>
      </c>
    </row>
    <row r="2492" spans="1:8" x14ac:dyDescent="0.2">
      <c r="A2492" t="str">
        <f t="shared" si="38"/>
        <v/>
      </c>
      <c r="B2492" s="1">
        <v>2024</v>
      </c>
      <c r="C2492" s="1" t="s">
        <v>2505</v>
      </c>
      <c r="D2492" s="1" t="s">
        <v>2506</v>
      </c>
      <c r="E2492" s="1" t="s">
        <v>2019</v>
      </c>
      <c r="F2492" s="1" t="s">
        <v>248</v>
      </c>
      <c r="G2492" s="6">
        <v>740721</v>
      </c>
      <c r="H2492" t="str">
        <f>IFERROR(VLOOKUP(F2492,'LEAID Match'!$A$2:$B$142,2,FALSE),"")</f>
        <v/>
      </c>
    </row>
    <row r="2493" spans="1:8" x14ac:dyDescent="0.2">
      <c r="A2493" t="str">
        <f t="shared" si="38"/>
        <v/>
      </c>
      <c r="B2493" s="1">
        <v>2015</v>
      </c>
      <c r="C2493" s="1" t="s">
        <v>2505</v>
      </c>
      <c r="D2493" s="1" t="s">
        <v>2506</v>
      </c>
      <c r="E2493" s="1" t="s">
        <v>2019</v>
      </c>
      <c r="F2493" s="1" t="s">
        <v>249</v>
      </c>
      <c r="G2493" s="6">
        <v>3946</v>
      </c>
      <c r="H2493" t="str">
        <f>IFERROR(VLOOKUP(F2493,'LEAID Match'!$A$2:$B$142,2,FALSE),"")</f>
        <v/>
      </c>
    </row>
    <row r="2494" spans="1:8" x14ac:dyDescent="0.2">
      <c r="A2494" t="str">
        <f t="shared" si="38"/>
        <v/>
      </c>
      <c r="B2494">
        <v>2016</v>
      </c>
      <c r="C2494" s="1" t="s">
        <v>2505</v>
      </c>
      <c r="D2494" s="1" t="s">
        <v>2506</v>
      </c>
      <c r="E2494" s="1" t="s">
        <v>2019</v>
      </c>
      <c r="F2494" s="1" t="s">
        <v>249</v>
      </c>
      <c r="G2494" s="12">
        <v>3961</v>
      </c>
      <c r="H2494" t="str">
        <f>IFERROR(VLOOKUP(F2494,'LEAID Match'!$A$2:$B$142,2,FALSE),"")</f>
        <v/>
      </c>
    </row>
    <row r="2495" spans="1:8" x14ac:dyDescent="0.2">
      <c r="A2495" t="str">
        <f t="shared" si="38"/>
        <v/>
      </c>
      <c r="B2495" s="1">
        <v>2017</v>
      </c>
      <c r="C2495" s="1" t="s">
        <v>2505</v>
      </c>
      <c r="D2495" s="1" t="s">
        <v>2506</v>
      </c>
      <c r="E2495" s="1" t="s">
        <v>2019</v>
      </c>
      <c r="F2495" s="1" t="s">
        <v>249</v>
      </c>
      <c r="G2495" s="47">
        <v>4192</v>
      </c>
      <c r="H2495" t="str">
        <f>IFERROR(VLOOKUP(F2495,'LEAID Match'!$A$2:$B$142,2,FALSE),"")</f>
        <v/>
      </c>
    </row>
    <row r="2496" spans="1:8" x14ac:dyDescent="0.2">
      <c r="A2496" t="str">
        <f t="shared" si="38"/>
        <v/>
      </c>
      <c r="B2496" s="1">
        <v>2018</v>
      </c>
      <c r="C2496" s="1" t="s">
        <v>2505</v>
      </c>
      <c r="D2496" s="1" t="s">
        <v>2506</v>
      </c>
      <c r="E2496" s="1" t="s">
        <v>2019</v>
      </c>
      <c r="F2496" s="1" t="s">
        <v>249</v>
      </c>
      <c r="G2496" s="6">
        <v>4259</v>
      </c>
      <c r="H2496" t="str">
        <f>IFERROR(VLOOKUP(F2496,'LEAID Match'!$A$2:$B$142,2,FALSE),"")</f>
        <v/>
      </c>
    </row>
    <row r="2497" spans="1:8" x14ac:dyDescent="0.2">
      <c r="A2497" t="str">
        <f t="shared" si="38"/>
        <v/>
      </c>
      <c r="B2497" s="1">
        <v>2019</v>
      </c>
      <c r="C2497" s="1" t="s">
        <v>2505</v>
      </c>
      <c r="D2497" s="1" t="s">
        <v>2506</v>
      </c>
      <c r="E2497" s="1" t="s">
        <v>2019</v>
      </c>
      <c r="F2497" s="1" t="s">
        <v>249</v>
      </c>
      <c r="G2497" s="6">
        <v>4177</v>
      </c>
      <c r="H2497" t="str">
        <f>IFERROR(VLOOKUP(F2497,'LEAID Match'!$A$2:$B$142,2,FALSE),"")</f>
        <v/>
      </c>
    </row>
    <row r="2498" spans="1:8" x14ac:dyDescent="0.2">
      <c r="A2498" t="str">
        <f t="shared" si="38"/>
        <v/>
      </c>
      <c r="B2498" s="1">
        <v>2020</v>
      </c>
      <c r="C2498" s="1" t="s">
        <v>2505</v>
      </c>
      <c r="D2498" s="1" t="s">
        <v>2506</v>
      </c>
      <c r="E2498" s="1" t="s">
        <v>2019</v>
      </c>
      <c r="F2498" s="1" t="s">
        <v>249</v>
      </c>
      <c r="G2498" s="6">
        <v>4544</v>
      </c>
      <c r="H2498" t="str">
        <f>IFERROR(VLOOKUP(F2498,'LEAID Match'!$A$2:$B$142,2,FALSE),"")</f>
        <v/>
      </c>
    </row>
    <row r="2499" spans="1:8" x14ac:dyDescent="0.2">
      <c r="A2499" t="str">
        <f t="shared" ref="A2499:A2562" si="39">H2499</f>
        <v/>
      </c>
      <c r="B2499" s="1">
        <v>2021</v>
      </c>
      <c r="C2499" s="1" t="s">
        <v>2505</v>
      </c>
      <c r="D2499" s="1" t="s">
        <v>2506</v>
      </c>
      <c r="E2499" s="1" t="s">
        <v>2019</v>
      </c>
      <c r="F2499" s="1" t="s">
        <v>249</v>
      </c>
      <c r="G2499" s="6">
        <v>5067</v>
      </c>
      <c r="H2499" t="str">
        <f>IFERROR(VLOOKUP(F2499,'LEAID Match'!$A$2:$B$142,2,FALSE),"")</f>
        <v/>
      </c>
    </row>
    <row r="2500" spans="1:8" x14ac:dyDescent="0.2">
      <c r="A2500" t="str">
        <f t="shared" si="39"/>
        <v/>
      </c>
      <c r="B2500" s="1">
        <v>2022</v>
      </c>
      <c r="C2500" s="1" t="s">
        <v>2505</v>
      </c>
      <c r="D2500" s="1" t="s">
        <v>2506</v>
      </c>
      <c r="E2500" s="1" t="s">
        <v>2019</v>
      </c>
      <c r="F2500" s="1" t="s">
        <v>249</v>
      </c>
      <c r="G2500" s="6">
        <v>4814</v>
      </c>
      <c r="H2500" t="str">
        <f>IFERROR(VLOOKUP(F2500,'LEAID Match'!$A$2:$B$142,2,FALSE),"")</f>
        <v/>
      </c>
    </row>
    <row r="2501" spans="1:8" x14ac:dyDescent="0.2">
      <c r="A2501" t="str">
        <f t="shared" si="39"/>
        <v/>
      </c>
      <c r="B2501" s="1">
        <v>2023</v>
      </c>
      <c r="C2501" s="1" t="s">
        <v>2505</v>
      </c>
      <c r="D2501" s="1" t="s">
        <v>2506</v>
      </c>
      <c r="E2501" s="1" t="s">
        <v>2019</v>
      </c>
      <c r="F2501" s="1" t="s">
        <v>249</v>
      </c>
      <c r="G2501" s="6">
        <v>5262</v>
      </c>
      <c r="H2501" t="str">
        <f>IFERROR(VLOOKUP(F2501,'LEAID Match'!$A$2:$B$142,2,FALSE),"")</f>
        <v/>
      </c>
    </row>
    <row r="2502" spans="1:8" x14ac:dyDescent="0.2">
      <c r="A2502" t="str">
        <f t="shared" si="39"/>
        <v/>
      </c>
      <c r="B2502" s="1">
        <v>2024</v>
      </c>
      <c r="C2502" s="1" t="s">
        <v>2505</v>
      </c>
      <c r="D2502" s="1" t="s">
        <v>2506</v>
      </c>
      <c r="E2502" s="1" t="s">
        <v>2019</v>
      </c>
      <c r="F2502" s="1" t="s">
        <v>249</v>
      </c>
      <c r="G2502" s="6">
        <v>5066</v>
      </c>
      <c r="H2502" t="str">
        <f>IFERROR(VLOOKUP(F2502,'LEAID Match'!$A$2:$B$142,2,FALSE),"")</f>
        <v/>
      </c>
    </row>
    <row r="2503" spans="1:8" x14ac:dyDescent="0.2">
      <c r="A2503" t="str">
        <f t="shared" si="39"/>
        <v/>
      </c>
      <c r="B2503" s="1">
        <v>2015</v>
      </c>
      <c r="C2503" s="1" t="s">
        <v>2505</v>
      </c>
      <c r="D2503" s="1" t="s">
        <v>2506</v>
      </c>
      <c r="E2503" s="1" t="s">
        <v>2019</v>
      </c>
      <c r="F2503" s="1" t="s">
        <v>250</v>
      </c>
      <c r="G2503" s="6">
        <v>13387</v>
      </c>
      <c r="H2503" t="str">
        <f>IFERROR(VLOOKUP(F2503,'LEAID Match'!$A$2:$B$142,2,FALSE),"")</f>
        <v/>
      </c>
    </row>
    <row r="2504" spans="1:8" x14ac:dyDescent="0.2">
      <c r="A2504" t="str">
        <f t="shared" si="39"/>
        <v/>
      </c>
      <c r="B2504">
        <v>2016</v>
      </c>
      <c r="C2504" s="1" t="s">
        <v>2505</v>
      </c>
      <c r="D2504" s="1" t="s">
        <v>2506</v>
      </c>
      <c r="E2504" s="1" t="s">
        <v>2019</v>
      </c>
      <c r="F2504" s="1" t="s">
        <v>250</v>
      </c>
      <c r="G2504" s="12">
        <v>13978</v>
      </c>
      <c r="H2504" t="str">
        <f>IFERROR(VLOOKUP(F2504,'LEAID Match'!$A$2:$B$142,2,FALSE),"")</f>
        <v/>
      </c>
    </row>
    <row r="2505" spans="1:8" x14ac:dyDescent="0.2">
      <c r="A2505" t="str">
        <f t="shared" si="39"/>
        <v/>
      </c>
      <c r="B2505" s="1">
        <v>2017</v>
      </c>
      <c r="C2505" s="1" t="s">
        <v>2505</v>
      </c>
      <c r="D2505" s="1" t="s">
        <v>2506</v>
      </c>
      <c r="E2505" s="1" t="s">
        <v>2019</v>
      </c>
      <c r="F2505" s="1" t="s">
        <v>250</v>
      </c>
      <c r="G2505" s="47">
        <v>14017</v>
      </c>
      <c r="H2505" t="str">
        <f>IFERROR(VLOOKUP(F2505,'LEAID Match'!$A$2:$B$142,2,FALSE),"")</f>
        <v/>
      </c>
    </row>
    <row r="2506" spans="1:8" x14ac:dyDescent="0.2">
      <c r="A2506" t="str">
        <f t="shared" si="39"/>
        <v/>
      </c>
      <c r="B2506" s="1">
        <v>2018</v>
      </c>
      <c r="C2506" s="1" t="s">
        <v>2505</v>
      </c>
      <c r="D2506" s="1" t="s">
        <v>2506</v>
      </c>
      <c r="E2506" s="1" t="s">
        <v>2019</v>
      </c>
      <c r="F2506" s="1" t="s">
        <v>250</v>
      </c>
      <c r="G2506" s="6">
        <v>13179</v>
      </c>
      <c r="H2506" t="str">
        <f>IFERROR(VLOOKUP(F2506,'LEAID Match'!$A$2:$B$142,2,FALSE),"")</f>
        <v/>
      </c>
    </row>
    <row r="2507" spans="1:8" x14ac:dyDescent="0.2">
      <c r="A2507" t="str">
        <f t="shared" si="39"/>
        <v/>
      </c>
      <c r="B2507" s="1">
        <v>2019</v>
      </c>
      <c r="C2507" s="1" t="s">
        <v>2505</v>
      </c>
      <c r="D2507" s="1" t="s">
        <v>2506</v>
      </c>
      <c r="E2507" s="1" t="s">
        <v>2019</v>
      </c>
      <c r="F2507" s="1" t="s">
        <v>250</v>
      </c>
      <c r="G2507" s="6">
        <v>13490</v>
      </c>
      <c r="H2507" t="str">
        <f>IFERROR(VLOOKUP(F2507,'LEAID Match'!$A$2:$B$142,2,FALSE),"")</f>
        <v/>
      </c>
    </row>
    <row r="2508" spans="1:8" x14ac:dyDescent="0.2">
      <c r="A2508" t="str">
        <f t="shared" si="39"/>
        <v/>
      </c>
      <c r="B2508" s="1">
        <v>2020</v>
      </c>
      <c r="C2508" s="1" t="s">
        <v>2505</v>
      </c>
      <c r="D2508" s="1" t="s">
        <v>2506</v>
      </c>
      <c r="E2508" s="1" t="s">
        <v>2019</v>
      </c>
      <c r="F2508" s="1" t="s">
        <v>250</v>
      </c>
      <c r="G2508" s="6">
        <v>16905</v>
      </c>
      <c r="H2508" t="str">
        <f>IFERROR(VLOOKUP(F2508,'LEAID Match'!$A$2:$B$142,2,FALSE),"")</f>
        <v/>
      </c>
    </row>
    <row r="2509" spans="1:8" x14ac:dyDescent="0.2">
      <c r="A2509" t="str">
        <f t="shared" si="39"/>
        <v/>
      </c>
      <c r="B2509" s="1">
        <v>2021</v>
      </c>
      <c r="C2509" s="1" t="s">
        <v>2505</v>
      </c>
      <c r="D2509" s="1" t="s">
        <v>2506</v>
      </c>
      <c r="E2509" s="1" t="s">
        <v>2019</v>
      </c>
      <c r="F2509" s="1" t="s">
        <v>250</v>
      </c>
      <c r="G2509" s="6">
        <v>17145</v>
      </c>
      <c r="H2509" t="str">
        <f>IFERROR(VLOOKUP(F2509,'LEAID Match'!$A$2:$B$142,2,FALSE),"")</f>
        <v/>
      </c>
    </row>
    <row r="2510" spans="1:8" x14ac:dyDescent="0.2">
      <c r="A2510" t="str">
        <f t="shared" si="39"/>
        <v/>
      </c>
      <c r="B2510" s="1">
        <v>2022</v>
      </c>
      <c r="C2510" s="1" t="s">
        <v>2505</v>
      </c>
      <c r="D2510" s="1" t="s">
        <v>2506</v>
      </c>
      <c r="E2510" s="1" t="s">
        <v>2019</v>
      </c>
      <c r="F2510" s="1" t="s">
        <v>250</v>
      </c>
      <c r="G2510" s="6">
        <v>15929</v>
      </c>
      <c r="H2510" t="str">
        <f>IFERROR(VLOOKUP(F2510,'LEAID Match'!$A$2:$B$142,2,FALSE),"")</f>
        <v/>
      </c>
    </row>
    <row r="2511" spans="1:8" x14ac:dyDescent="0.2">
      <c r="A2511" t="str">
        <f t="shared" si="39"/>
        <v/>
      </c>
      <c r="B2511" s="1">
        <v>2023</v>
      </c>
      <c r="C2511" s="1" t="s">
        <v>2505</v>
      </c>
      <c r="D2511" s="1" t="s">
        <v>2506</v>
      </c>
      <c r="E2511" s="1" t="s">
        <v>2019</v>
      </c>
      <c r="F2511" s="1" t="s">
        <v>250</v>
      </c>
      <c r="G2511" s="6">
        <v>17674</v>
      </c>
      <c r="H2511" t="str">
        <f>IFERROR(VLOOKUP(F2511,'LEAID Match'!$A$2:$B$142,2,FALSE),"")</f>
        <v/>
      </c>
    </row>
    <row r="2512" spans="1:8" x14ac:dyDescent="0.2">
      <c r="A2512" t="str">
        <f t="shared" si="39"/>
        <v/>
      </c>
      <c r="B2512" s="1">
        <v>2024</v>
      </c>
      <c r="C2512" s="1" t="s">
        <v>2505</v>
      </c>
      <c r="D2512" s="1" t="s">
        <v>2506</v>
      </c>
      <c r="E2512" s="1" t="s">
        <v>2019</v>
      </c>
      <c r="F2512" s="1" t="s">
        <v>250</v>
      </c>
      <c r="G2512" s="6">
        <v>18938</v>
      </c>
      <c r="H2512" t="str">
        <f>IFERROR(VLOOKUP(F2512,'LEAID Match'!$A$2:$B$142,2,FALSE),"")</f>
        <v/>
      </c>
    </row>
    <row r="2513" spans="1:8" x14ac:dyDescent="0.2">
      <c r="A2513">
        <f t="shared" si="39"/>
        <v>2801680</v>
      </c>
      <c r="B2513" s="1">
        <v>2015</v>
      </c>
      <c r="C2513" s="1" t="s">
        <v>2505</v>
      </c>
      <c r="D2513" s="1" t="s">
        <v>2506</v>
      </c>
      <c r="E2513" s="1" t="s">
        <v>2019</v>
      </c>
      <c r="F2513" s="1" t="s">
        <v>251</v>
      </c>
      <c r="G2513" s="6">
        <v>3137919</v>
      </c>
      <c r="H2513">
        <f>IFERROR(VLOOKUP(F2513,'LEAID Match'!$A$2:$B$142,2,FALSE),"")</f>
        <v>2801680</v>
      </c>
    </row>
    <row r="2514" spans="1:8" x14ac:dyDescent="0.2">
      <c r="A2514">
        <f t="shared" si="39"/>
        <v>2801680</v>
      </c>
      <c r="B2514">
        <v>2016</v>
      </c>
      <c r="C2514" s="1" t="s">
        <v>2505</v>
      </c>
      <c r="D2514" s="1" t="s">
        <v>2506</v>
      </c>
      <c r="E2514" s="1" t="s">
        <v>2019</v>
      </c>
      <c r="F2514" s="1" t="s">
        <v>251</v>
      </c>
      <c r="G2514" s="12">
        <v>3192400</v>
      </c>
      <c r="H2514">
        <f>IFERROR(VLOOKUP(F2514,'LEAID Match'!$A$2:$B$142,2,FALSE),"")</f>
        <v>2801680</v>
      </c>
    </row>
    <row r="2515" spans="1:8" x14ac:dyDescent="0.2">
      <c r="A2515">
        <f t="shared" si="39"/>
        <v>2801680</v>
      </c>
      <c r="B2515" s="1">
        <v>2017</v>
      </c>
      <c r="C2515" s="1" t="s">
        <v>2505</v>
      </c>
      <c r="D2515" s="1" t="s">
        <v>2506</v>
      </c>
      <c r="E2515" s="1" t="s">
        <v>2019</v>
      </c>
      <c r="F2515" s="1" t="s">
        <v>251</v>
      </c>
      <c r="G2515" s="47">
        <v>3265613</v>
      </c>
      <c r="H2515">
        <f>IFERROR(VLOOKUP(F2515,'LEAID Match'!$A$2:$B$142,2,FALSE),"")</f>
        <v>2801680</v>
      </c>
    </row>
    <row r="2516" spans="1:8" x14ac:dyDescent="0.2">
      <c r="A2516">
        <f t="shared" si="39"/>
        <v>2801680</v>
      </c>
      <c r="B2516" s="1">
        <v>2018</v>
      </c>
      <c r="C2516" s="1" t="s">
        <v>2505</v>
      </c>
      <c r="D2516" s="1" t="s">
        <v>2506</v>
      </c>
      <c r="E2516" s="1" t="s">
        <v>2019</v>
      </c>
      <c r="F2516" s="1" t="s">
        <v>251</v>
      </c>
      <c r="G2516" s="6">
        <v>3246708</v>
      </c>
      <c r="H2516">
        <f>IFERROR(VLOOKUP(F2516,'LEAID Match'!$A$2:$B$142,2,FALSE),"")</f>
        <v>2801680</v>
      </c>
    </row>
    <row r="2517" spans="1:8" x14ac:dyDescent="0.2">
      <c r="A2517">
        <f t="shared" si="39"/>
        <v>2801680</v>
      </c>
      <c r="B2517" s="1">
        <v>2019</v>
      </c>
      <c r="C2517" s="1" t="s">
        <v>2505</v>
      </c>
      <c r="D2517" s="1" t="s">
        <v>2506</v>
      </c>
      <c r="E2517" s="1" t="s">
        <v>2019</v>
      </c>
      <c r="F2517" s="1" t="s">
        <v>251</v>
      </c>
      <c r="G2517" s="6">
        <v>3314822</v>
      </c>
      <c r="H2517">
        <f>IFERROR(VLOOKUP(F2517,'LEAID Match'!$A$2:$B$142,2,FALSE),"")</f>
        <v>2801680</v>
      </c>
    </row>
    <row r="2518" spans="1:8" x14ac:dyDescent="0.2">
      <c r="A2518">
        <f t="shared" si="39"/>
        <v>2801680</v>
      </c>
      <c r="B2518" s="1">
        <v>2020</v>
      </c>
      <c r="C2518" s="1" t="s">
        <v>2505</v>
      </c>
      <c r="D2518" s="1" t="s">
        <v>2506</v>
      </c>
      <c r="E2518" s="1" t="s">
        <v>2019</v>
      </c>
      <c r="F2518" s="1" t="s">
        <v>251</v>
      </c>
      <c r="G2518" s="6">
        <v>3811754</v>
      </c>
      <c r="H2518">
        <f>IFERROR(VLOOKUP(F2518,'LEAID Match'!$A$2:$B$142,2,FALSE),"")</f>
        <v>2801680</v>
      </c>
    </row>
    <row r="2519" spans="1:8" x14ac:dyDescent="0.2">
      <c r="A2519">
        <f t="shared" si="39"/>
        <v>2801680</v>
      </c>
      <c r="B2519" s="1">
        <v>2021</v>
      </c>
      <c r="C2519" s="1" t="s">
        <v>2505</v>
      </c>
      <c r="D2519" s="1" t="s">
        <v>2506</v>
      </c>
      <c r="E2519" s="1" t="s">
        <v>2019</v>
      </c>
      <c r="F2519" s="1" t="s">
        <v>251</v>
      </c>
      <c r="G2519" s="6">
        <v>3749659</v>
      </c>
      <c r="H2519">
        <f>IFERROR(VLOOKUP(F2519,'LEAID Match'!$A$2:$B$142,2,FALSE),"")</f>
        <v>2801680</v>
      </c>
    </row>
    <row r="2520" spans="1:8" x14ac:dyDescent="0.2">
      <c r="A2520">
        <f t="shared" si="39"/>
        <v>2801680</v>
      </c>
      <c r="B2520" s="1">
        <v>2022</v>
      </c>
      <c r="C2520" s="1" t="s">
        <v>2505</v>
      </c>
      <c r="D2520" s="1" t="s">
        <v>2506</v>
      </c>
      <c r="E2520" s="1" t="s">
        <v>2019</v>
      </c>
      <c r="F2520" s="1" t="s">
        <v>251</v>
      </c>
      <c r="G2520" s="6">
        <v>3997718</v>
      </c>
      <c r="H2520">
        <f>IFERROR(VLOOKUP(F2520,'LEAID Match'!$A$2:$B$142,2,FALSE),"")</f>
        <v>2801680</v>
      </c>
    </row>
    <row r="2521" spans="1:8" x14ac:dyDescent="0.2">
      <c r="A2521">
        <f t="shared" si="39"/>
        <v>2801680</v>
      </c>
      <c r="B2521" s="1">
        <v>2023</v>
      </c>
      <c r="C2521" s="1" t="s">
        <v>2505</v>
      </c>
      <c r="D2521" s="1" t="s">
        <v>2506</v>
      </c>
      <c r="E2521" s="1" t="s">
        <v>2019</v>
      </c>
      <c r="F2521" s="1" t="s">
        <v>251</v>
      </c>
      <c r="G2521" s="6">
        <v>4513455</v>
      </c>
      <c r="H2521">
        <f>IFERROR(VLOOKUP(F2521,'LEAID Match'!$A$2:$B$142,2,FALSE),"")</f>
        <v>2801680</v>
      </c>
    </row>
    <row r="2522" spans="1:8" x14ac:dyDescent="0.2">
      <c r="A2522">
        <f t="shared" si="39"/>
        <v>2801680</v>
      </c>
      <c r="B2522" s="1">
        <v>2024</v>
      </c>
      <c r="C2522" s="1" t="s">
        <v>2505</v>
      </c>
      <c r="D2522" s="1" t="s">
        <v>2506</v>
      </c>
      <c r="E2522" s="1" t="s">
        <v>2019</v>
      </c>
      <c r="F2522" s="1" t="s">
        <v>251</v>
      </c>
      <c r="G2522" s="6">
        <v>4568583</v>
      </c>
      <c r="H2522">
        <f>IFERROR(VLOOKUP(F2522,'LEAID Match'!$A$2:$B$142,2,FALSE),"")</f>
        <v>2801680</v>
      </c>
    </row>
    <row r="2523" spans="1:8" x14ac:dyDescent="0.2">
      <c r="A2523" t="str">
        <f t="shared" si="39"/>
        <v/>
      </c>
      <c r="B2523" s="1">
        <v>2019</v>
      </c>
      <c r="C2523" s="1" t="s">
        <v>2505</v>
      </c>
      <c r="D2523" s="1" t="s">
        <v>2506</v>
      </c>
      <c r="E2523" s="1" t="s">
        <v>2019</v>
      </c>
      <c r="F2523" s="1" t="s">
        <v>252</v>
      </c>
      <c r="G2523" s="6">
        <v>3727</v>
      </c>
      <c r="H2523" t="str">
        <f>IFERROR(VLOOKUP(F2523,'LEAID Match'!$A$2:$B$142,2,FALSE),"")</f>
        <v/>
      </c>
    </row>
    <row r="2524" spans="1:8" x14ac:dyDescent="0.2">
      <c r="A2524" t="str">
        <f t="shared" si="39"/>
        <v/>
      </c>
      <c r="B2524" s="1">
        <v>2020</v>
      </c>
      <c r="C2524" s="1" t="s">
        <v>2505</v>
      </c>
      <c r="D2524" s="1" t="s">
        <v>2506</v>
      </c>
      <c r="E2524" s="1" t="s">
        <v>2019</v>
      </c>
      <c r="F2524" s="1" t="s">
        <v>252</v>
      </c>
      <c r="G2524" s="6">
        <v>29247</v>
      </c>
      <c r="H2524" t="str">
        <f>IFERROR(VLOOKUP(F2524,'LEAID Match'!$A$2:$B$142,2,FALSE),"")</f>
        <v/>
      </c>
    </row>
    <row r="2525" spans="1:8" x14ac:dyDescent="0.2">
      <c r="A2525" t="str">
        <f t="shared" si="39"/>
        <v/>
      </c>
      <c r="B2525" s="1">
        <v>2021</v>
      </c>
      <c r="C2525" s="1" t="s">
        <v>2505</v>
      </c>
      <c r="D2525" s="1" t="s">
        <v>2506</v>
      </c>
      <c r="E2525" s="1" t="s">
        <v>2019</v>
      </c>
      <c r="F2525" s="1" t="s">
        <v>252</v>
      </c>
      <c r="G2525" s="6">
        <v>32082</v>
      </c>
      <c r="H2525" t="str">
        <f>IFERROR(VLOOKUP(F2525,'LEAID Match'!$A$2:$B$142,2,FALSE),"")</f>
        <v/>
      </c>
    </row>
    <row r="2526" spans="1:8" x14ac:dyDescent="0.2">
      <c r="A2526" t="str">
        <f t="shared" si="39"/>
        <v/>
      </c>
      <c r="B2526" s="1">
        <v>2022</v>
      </c>
      <c r="C2526" s="1" t="s">
        <v>2505</v>
      </c>
      <c r="D2526" s="1" t="s">
        <v>2506</v>
      </c>
      <c r="E2526" s="1" t="s">
        <v>2019</v>
      </c>
      <c r="F2526" s="1" t="s">
        <v>252</v>
      </c>
      <c r="G2526" s="6">
        <v>32578</v>
      </c>
      <c r="H2526" t="str">
        <f>IFERROR(VLOOKUP(F2526,'LEAID Match'!$A$2:$B$142,2,FALSE),"")</f>
        <v/>
      </c>
    </row>
    <row r="2527" spans="1:8" x14ac:dyDescent="0.2">
      <c r="A2527" t="str">
        <f t="shared" si="39"/>
        <v/>
      </c>
      <c r="B2527" s="1">
        <v>2023</v>
      </c>
      <c r="C2527" s="1" t="s">
        <v>2505</v>
      </c>
      <c r="D2527" s="1" t="s">
        <v>2506</v>
      </c>
      <c r="E2527" s="1" t="s">
        <v>2019</v>
      </c>
      <c r="F2527" s="1" t="s">
        <v>252</v>
      </c>
      <c r="G2527" s="6">
        <v>35665</v>
      </c>
      <c r="H2527" t="str">
        <f>IFERROR(VLOOKUP(F2527,'LEAID Match'!$A$2:$B$142,2,FALSE),"")</f>
        <v/>
      </c>
    </row>
    <row r="2528" spans="1:8" x14ac:dyDescent="0.2">
      <c r="A2528" t="str">
        <f t="shared" si="39"/>
        <v/>
      </c>
      <c r="B2528" s="1">
        <v>2024</v>
      </c>
      <c r="C2528" s="1" t="s">
        <v>2505</v>
      </c>
      <c r="D2528" s="1" t="s">
        <v>2506</v>
      </c>
      <c r="E2528" s="1" t="s">
        <v>2019</v>
      </c>
      <c r="F2528" s="1" t="s">
        <v>252</v>
      </c>
      <c r="G2528" s="6">
        <v>39598</v>
      </c>
      <c r="H2528" t="str">
        <f>IFERROR(VLOOKUP(F2528,'LEAID Match'!$A$2:$B$142,2,FALSE),"")</f>
        <v/>
      </c>
    </row>
    <row r="2529" spans="1:8" x14ac:dyDescent="0.2">
      <c r="A2529" t="str">
        <f t="shared" si="39"/>
        <v/>
      </c>
      <c r="B2529" s="1">
        <v>2015</v>
      </c>
      <c r="C2529" s="1" t="s">
        <v>2505</v>
      </c>
      <c r="D2529" s="1" t="s">
        <v>2506</v>
      </c>
      <c r="E2529" s="1" t="s">
        <v>2019</v>
      </c>
      <c r="F2529" s="1" t="s">
        <v>253</v>
      </c>
      <c r="G2529" s="6">
        <v>117798</v>
      </c>
      <c r="H2529" t="str">
        <f>IFERROR(VLOOKUP(F2529,'LEAID Match'!$A$2:$B$142,2,FALSE),"")</f>
        <v/>
      </c>
    </row>
    <row r="2530" spans="1:8" x14ac:dyDescent="0.2">
      <c r="A2530" t="str">
        <f t="shared" si="39"/>
        <v/>
      </c>
      <c r="B2530">
        <v>2016</v>
      </c>
      <c r="C2530" s="1" t="s">
        <v>2505</v>
      </c>
      <c r="D2530" s="1" t="s">
        <v>2506</v>
      </c>
      <c r="E2530" s="1" t="s">
        <v>2019</v>
      </c>
      <c r="F2530" s="1" t="s">
        <v>253</v>
      </c>
      <c r="G2530" s="12">
        <v>116536</v>
      </c>
      <c r="H2530" t="str">
        <f>IFERROR(VLOOKUP(F2530,'LEAID Match'!$A$2:$B$142,2,FALSE),"")</f>
        <v/>
      </c>
    </row>
    <row r="2531" spans="1:8" x14ac:dyDescent="0.2">
      <c r="A2531" t="str">
        <f t="shared" si="39"/>
        <v/>
      </c>
      <c r="B2531" s="1">
        <v>2017</v>
      </c>
      <c r="C2531" s="1" t="s">
        <v>2505</v>
      </c>
      <c r="D2531" s="1" t="s">
        <v>2506</v>
      </c>
      <c r="E2531" s="1" t="s">
        <v>2019</v>
      </c>
      <c r="F2531" s="1" t="s">
        <v>253</v>
      </c>
      <c r="G2531" s="47">
        <v>120200</v>
      </c>
      <c r="H2531" t="str">
        <f>IFERROR(VLOOKUP(F2531,'LEAID Match'!$A$2:$B$142,2,FALSE),"")</f>
        <v/>
      </c>
    </row>
    <row r="2532" spans="1:8" x14ac:dyDescent="0.2">
      <c r="A2532" t="str">
        <f t="shared" si="39"/>
        <v/>
      </c>
      <c r="B2532" s="1">
        <v>2018</v>
      </c>
      <c r="C2532" s="1" t="s">
        <v>2505</v>
      </c>
      <c r="D2532" s="1" t="s">
        <v>2506</v>
      </c>
      <c r="E2532" s="1" t="s">
        <v>2019</v>
      </c>
      <c r="F2532" s="1" t="s">
        <v>253</v>
      </c>
      <c r="G2532" s="6">
        <v>113554</v>
      </c>
      <c r="H2532" t="str">
        <f>IFERROR(VLOOKUP(F2532,'LEAID Match'!$A$2:$B$142,2,FALSE),"")</f>
        <v/>
      </c>
    </row>
    <row r="2533" spans="1:8" x14ac:dyDescent="0.2">
      <c r="A2533" t="str">
        <f t="shared" si="39"/>
        <v/>
      </c>
      <c r="B2533" s="1">
        <v>2019</v>
      </c>
      <c r="C2533" s="1" t="s">
        <v>2505</v>
      </c>
      <c r="D2533" s="1" t="s">
        <v>2506</v>
      </c>
      <c r="E2533" s="1" t="s">
        <v>2019</v>
      </c>
      <c r="F2533" s="1" t="s">
        <v>253</v>
      </c>
      <c r="G2533" s="6">
        <v>111423</v>
      </c>
      <c r="H2533" t="str">
        <f>IFERROR(VLOOKUP(F2533,'LEAID Match'!$A$2:$B$142,2,FALSE),"")</f>
        <v/>
      </c>
    </row>
    <row r="2534" spans="1:8" x14ac:dyDescent="0.2">
      <c r="A2534" t="str">
        <f t="shared" si="39"/>
        <v/>
      </c>
      <c r="B2534" s="1">
        <v>2020</v>
      </c>
      <c r="C2534" s="1" t="s">
        <v>2505</v>
      </c>
      <c r="D2534" s="1" t="s">
        <v>2506</v>
      </c>
      <c r="E2534" s="1" t="s">
        <v>2019</v>
      </c>
      <c r="F2534" s="1" t="s">
        <v>253</v>
      </c>
      <c r="G2534" s="6">
        <v>95418</v>
      </c>
      <c r="H2534" t="str">
        <f>IFERROR(VLOOKUP(F2534,'LEAID Match'!$A$2:$B$142,2,FALSE),"")</f>
        <v/>
      </c>
    </row>
    <row r="2535" spans="1:8" x14ac:dyDescent="0.2">
      <c r="A2535" t="str">
        <f t="shared" si="39"/>
        <v/>
      </c>
      <c r="B2535" s="1">
        <v>2021</v>
      </c>
      <c r="C2535" s="1" t="s">
        <v>2505</v>
      </c>
      <c r="D2535" s="1" t="s">
        <v>2506</v>
      </c>
      <c r="E2535" s="1" t="s">
        <v>2019</v>
      </c>
      <c r="F2535" s="1" t="s">
        <v>253</v>
      </c>
      <c r="G2535" s="6">
        <v>95948</v>
      </c>
      <c r="H2535" t="str">
        <f>IFERROR(VLOOKUP(F2535,'LEAID Match'!$A$2:$B$142,2,FALSE),"")</f>
        <v/>
      </c>
    </row>
    <row r="2536" spans="1:8" x14ac:dyDescent="0.2">
      <c r="A2536" t="str">
        <f t="shared" si="39"/>
        <v/>
      </c>
      <c r="B2536" s="1">
        <v>2022</v>
      </c>
      <c r="C2536" s="1" t="s">
        <v>2505</v>
      </c>
      <c r="D2536" s="1" t="s">
        <v>2506</v>
      </c>
      <c r="E2536" s="1" t="s">
        <v>2019</v>
      </c>
      <c r="F2536" s="1" t="s">
        <v>253</v>
      </c>
      <c r="G2536" s="6">
        <v>82911</v>
      </c>
      <c r="H2536" t="str">
        <f>IFERROR(VLOOKUP(F2536,'LEAID Match'!$A$2:$B$142,2,FALSE),"")</f>
        <v/>
      </c>
    </row>
    <row r="2537" spans="1:8" x14ac:dyDescent="0.2">
      <c r="A2537" t="str">
        <f t="shared" si="39"/>
        <v/>
      </c>
      <c r="B2537" s="1">
        <v>2023</v>
      </c>
      <c r="C2537" s="1" t="s">
        <v>2505</v>
      </c>
      <c r="D2537" s="1" t="s">
        <v>2506</v>
      </c>
      <c r="E2537" s="1" t="s">
        <v>2019</v>
      </c>
      <c r="F2537" s="1" t="s">
        <v>253</v>
      </c>
      <c r="G2537" s="6">
        <v>90769</v>
      </c>
      <c r="H2537" t="str">
        <f>IFERROR(VLOOKUP(F2537,'LEAID Match'!$A$2:$B$142,2,FALSE),"")</f>
        <v/>
      </c>
    </row>
    <row r="2538" spans="1:8" x14ac:dyDescent="0.2">
      <c r="A2538" t="str">
        <f t="shared" si="39"/>
        <v/>
      </c>
      <c r="B2538" s="1">
        <v>2024</v>
      </c>
      <c r="C2538" s="1" t="s">
        <v>2505</v>
      </c>
      <c r="D2538" s="1" t="s">
        <v>2506</v>
      </c>
      <c r="E2538" s="1" t="s">
        <v>2019</v>
      </c>
      <c r="F2538" s="1" t="s">
        <v>253</v>
      </c>
      <c r="G2538" s="6">
        <v>74542</v>
      </c>
      <c r="H2538" t="str">
        <f>IFERROR(VLOOKUP(F2538,'LEAID Match'!$A$2:$B$142,2,FALSE),"")</f>
        <v/>
      </c>
    </row>
    <row r="2539" spans="1:8" x14ac:dyDescent="0.2">
      <c r="A2539" t="str">
        <f t="shared" si="39"/>
        <v/>
      </c>
      <c r="B2539" s="1">
        <v>2015</v>
      </c>
      <c r="C2539" s="1" t="s">
        <v>2505</v>
      </c>
      <c r="D2539" s="1" t="s">
        <v>2506</v>
      </c>
      <c r="E2539" s="1" t="s">
        <v>2019</v>
      </c>
      <c r="F2539" s="1" t="s">
        <v>254</v>
      </c>
      <c r="G2539" s="6">
        <v>4130509</v>
      </c>
      <c r="H2539" t="str">
        <f>IFERROR(VLOOKUP(F2539,'LEAID Match'!$A$2:$B$142,2,FALSE),"")</f>
        <v/>
      </c>
    </row>
    <row r="2540" spans="1:8" x14ac:dyDescent="0.2">
      <c r="A2540" t="str">
        <f t="shared" si="39"/>
        <v/>
      </c>
      <c r="B2540">
        <v>2016</v>
      </c>
      <c r="C2540" s="1" t="s">
        <v>2505</v>
      </c>
      <c r="D2540" s="1" t="s">
        <v>2506</v>
      </c>
      <c r="E2540" s="1" t="s">
        <v>2019</v>
      </c>
      <c r="F2540" s="1" t="s">
        <v>254</v>
      </c>
      <c r="G2540" s="12">
        <v>4183706</v>
      </c>
      <c r="H2540" t="str">
        <f>IFERROR(VLOOKUP(F2540,'LEAID Match'!$A$2:$B$142,2,FALSE),"")</f>
        <v/>
      </c>
    </row>
    <row r="2541" spans="1:8" x14ac:dyDescent="0.2">
      <c r="A2541" t="str">
        <f t="shared" si="39"/>
        <v/>
      </c>
      <c r="B2541" s="1">
        <v>2017</v>
      </c>
      <c r="C2541" s="1" t="s">
        <v>2505</v>
      </c>
      <c r="D2541" s="1" t="s">
        <v>2506</v>
      </c>
      <c r="E2541" s="1" t="s">
        <v>2019</v>
      </c>
      <c r="F2541" s="1" t="s">
        <v>254</v>
      </c>
      <c r="G2541" s="47">
        <v>4281907</v>
      </c>
      <c r="H2541" t="str">
        <f>IFERROR(VLOOKUP(F2541,'LEAID Match'!$A$2:$B$142,2,FALSE),"")</f>
        <v/>
      </c>
    </row>
    <row r="2542" spans="1:8" x14ac:dyDescent="0.2">
      <c r="A2542" t="str">
        <f t="shared" si="39"/>
        <v/>
      </c>
      <c r="B2542" s="1">
        <v>2018</v>
      </c>
      <c r="C2542" s="1" t="s">
        <v>2505</v>
      </c>
      <c r="D2542" s="1" t="s">
        <v>2506</v>
      </c>
      <c r="E2542" s="1" t="s">
        <v>2019</v>
      </c>
      <c r="F2542" s="1" t="s">
        <v>254</v>
      </c>
      <c r="G2542" s="6">
        <v>4292050</v>
      </c>
      <c r="H2542" t="str">
        <f>IFERROR(VLOOKUP(F2542,'LEAID Match'!$A$2:$B$142,2,FALSE),"")</f>
        <v/>
      </c>
    </row>
    <row r="2543" spans="1:8" x14ac:dyDescent="0.2">
      <c r="A2543" t="str">
        <f t="shared" si="39"/>
        <v/>
      </c>
      <c r="B2543" s="1">
        <v>2019</v>
      </c>
      <c r="C2543" s="1" t="s">
        <v>2505</v>
      </c>
      <c r="D2543" s="1" t="s">
        <v>2506</v>
      </c>
      <c r="E2543" s="1" t="s">
        <v>2019</v>
      </c>
      <c r="F2543" s="1" t="s">
        <v>254</v>
      </c>
      <c r="G2543" s="6">
        <v>4288479</v>
      </c>
      <c r="H2543" t="str">
        <f>IFERROR(VLOOKUP(F2543,'LEAID Match'!$A$2:$B$142,2,FALSE),"")</f>
        <v/>
      </c>
    </row>
    <row r="2544" spans="1:8" x14ac:dyDescent="0.2">
      <c r="A2544" t="str">
        <f t="shared" si="39"/>
        <v/>
      </c>
      <c r="B2544" s="1">
        <v>2020</v>
      </c>
      <c r="C2544" s="1" t="s">
        <v>2505</v>
      </c>
      <c r="D2544" s="1" t="s">
        <v>2506</v>
      </c>
      <c r="E2544" s="1" t="s">
        <v>2019</v>
      </c>
      <c r="F2544" s="1" t="s">
        <v>254</v>
      </c>
      <c r="G2544" s="6">
        <v>4689551</v>
      </c>
      <c r="H2544" t="str">
        <f>IFERROR(VLOOKUP(F2544,'LEAID Match'!$A$2:$B$142,2,FALSE),"")</f>
        <v/>
      </c>
    </row>
    <row r="2545" spans="1:8" x14ac:dyDescent="0.2">
      <c r="A2545" t="str">
        <f t="shared" si="39"/>
        <v/>
      </c>
      <c r="B2545" s="1">
        <v>2021</v>
      </c>
      <c r="C2545" s="1" t="s">
        <v>2505</v>
      </c>
      <c r="D2545" s="1" t="s">
        <v>2506</v>
      </c>
      <c r="E2545" s="1" t="s">
        <v>2019</v>
      </c>
      <c r="F2545" s="1" t="s">
        <v>254</v>
      </c>
      <c r="G2545" s="6">
        <v>4631585</v>
      </c>
      <c r="H2545" t="str">
        <f>IFERROR(VLOOKUP(F2545,'LEAID Match'!$A$2:$B$142,2,FALSE),"")</f>
        <v/>
      </c>
    </row>
    <row r="2546" spans="1:8" x14ac:dyDescent="0.2">
      <c r="A2546" t="str">
        <f t="shared" si="39"/>
        <v/>
      </c>
      <c r="B2546" s="1">
        <v>2022</v>
      </c>
      <c r="C2546" s="1" t="s">
        <v>2505</v>
      </c>
      <c r="D2546" s="1" t="s">
        <v>2506</v>
      </c>
      <c r="E2546" s="1" t="s">
        <v>2019</v>
      </c>
      <c r="F2546" s="1" t="s">
        <v>254</v>
      </c>
      <c r="G2546" s="6">
        <v>5199377</v>
      </c>
      <c r="H2546" t="str">
        <f>IFERROR(VLOOKUP(F2546,'LEAID Match'!$A$2:$B$142,2,FALSE),"")</f>
        <v/>
      </c>
    </row>
    <row r="2547" spans="1:8" x14ac:dyDescent="0.2">
      <c r="A2547" t="str">
        <f t="shared" si="39"/>
        <v/>
      </c>
      <c r="B2547" s="1">
        <v>2023</v>
      </c>
      <c r="C2547" s="1" t="s">
        <v>2505</v>
      </c>
      <c r="D2547" s="1" t="s">
        <v>2506</v>
      </c>
      <c r="E2547" s="1" t="s">
        <v>2019</v>
      </c>
      <c r="F2547" s="1" t="s">
        <v>254</v>
      </c>
      <c r="G2547" s="6">
        <v>4961257</v>
      </c>
      <c r="H2547" t="str">
        <f>IFERROR(VLOOKUP(F2547,'LEAID Match'!$A$2:$B$142,2,FALSE),"")</f>
        <v/>
      </c>
    </row>
    <row r="2548" spans="1:8" x14ac:dyDescent="0.2">
      <c r="A2548" t="str">
        <f t="shared" si="39"/>
        <v/>
      </c>
      <c r="B2548" s="1">
        <v>2024</v>
      </c>
      <c r="C2548" s="1" t="s">
        <v>2505</v>
      </c>
      <c r="D2548" s="1" t="s">
        <v>2506</v>
      </c>
      <c r="E2548" s="1" t="s">
        <v>2019</v>
      </c>
      <c r="F2548" s="1" t="s">
        <v>254</v>
      </c>
      <c r="G2548" s="6">
        <v>5044197</v>
      </c>
      <c r="H2548" t="str">
        <f>IFERROR(VLOOKUP(F2548,'LEAID Match'!$A$2:$B$142,2,FALSE),"")</f>
        <v/>
      </c>
    </row>
    <row r="2549" spans="1:8" x14ac:dyDescent="0.2">
      <c r="A2549">
        <f t="shared" si="39"/>
        <v>2801710</v>
      </c>
      <c r="B2549" s="1">
        <v>2015</v>
      </c>
      <c r="C2549" s="1" t="s">
        <v>2505</v>
      </c>
      <c r="D2549" s="1" t="s">
        <v>2506</v>
      </c>
      <c r="E2549" s="1" t="s">
        <v>2019</v>
      </c>
      <c r="F2549" s="1" t="s">
        <v>255</v>
      </c>
      <c r="G2549" s="6">
        <v>4975905</v>
      </c>
      <c r="H2549">
        <f>IFERROR(VLOOKUP(F2549,'LEAID Match'!$A$2:$B$142,2,FALSE),"")</f>
        <v>2801710</v>
      </c>
    </row>
    <row r="2550" spans="1:8" x14ac:dyDescent="0.2">
      <c r="A2550">
        <f t="shared" si="39"/>
        <v>2801710</v>
      </c>
      <c r="B2550">
        <v>2016</v>
      </c>
      <c r="C2550" s="1" t="s">
        <v>2505</v>
      </c>
      <c r="D2550" s="1" t="s">
        <v>2506</v>
      </c>
      <c r="E2550" s="1" t="s">
        <v>2019</v>
      </c>
      <c r="F2550" s="1" t="s">
        <v>255</v>
      </c>
      <c r="G2550" s="12">
        <v>5223475</v>
      </c>
      <c r="H2550">
        <f>IFERROR(VLOOKUP(F2550,'LEAID Match'!$A$2:$B$142,2,FALSE),"")</f>
        <v>2801710</v>
      </c>
    </row>
    <row r="2551" spans="1:8" x14ac:dyDescent="0.2">
      <c r="A2551">
        <f t="shared" si="39"/>
        <v>2801710</v>
      </c>
      <c r="B2551" s="1">
        <v>2017</v>
      </c>
      <c r="C2551" s="1" t="s">
        <v>2505</v>
      </c>
      <c r="D2551" s="1" t="s">
        <v>2506</v>
      </c>
      <c r="E2551" s="1" t="s">
        <v>2019</v>
      </c>
      <c r="F2551" s="1" t="s">
        <v>255</v>
      </c>
      <c r="G2551" s="47">
        <v>5255932</v>
      </c>
      <c r="H2551">
        <f>IFERROR(VLOOKUP(F2551,'LEAID Match'!$A$2:$B$142,2,FALSE),"")</f>
        <v>2801710</v>
      </c>
    </row>
    <row r="2552" spans="1:8" x14ac:dyDescent="0.2">
      <c r="A2552">
        <f t="shared" si="39"/>
        <v>2801710</v>
      </c>
      <c r="B2552" s="1">
        <v>2018</v>
      </c>
      <c r="C2552" s="1" t="s">
        <v>2505</v>
      </c>
      <c r="D2552" s="1" t="s">
        <v>2506</v>
      </c>
      <c r="E2552" s="1" t="s">
        <v>2019</v>
      </c>
      <c r="F2552" s="1" t="s">
        <v>255</v>
      </c>
      <c r="G2552" s="6">
        <v>5283817</v>
      </c>
      <c r="H2552">
        <f>IFERROR(VLOOKUP(F2552,'LEAID Match'!$A$2:$B$142,2,FALSE),"")</f>
        <v>2801710</v>
      </c>
    </row>
    <row r="2553" spans="1:8" x14ac:dyDescent="0.2">
      <c r="A2553">
        <f t="shared" si="39"/>
        <v>2801710</v>
      </c>
      <c r="B2553" s="1">
        <v>2019</v>
      </c>
      <c r="C2553" s="1" t="s">
        <v>2505</v>
      </c>
      <c r="D2553" s="1" t="s">
        <v>2506</v>
      </c>
      <c r="E2553" s="1" t="s">
        <v>2019</v>
      </c>
      <c r="F2553" s="1" t="s">
        <v>255</v>
      </c>
      <c r="G2553" s="6">
        <v>5703587</v>
      </c>
      <c r="H2553">
        <f>IFERROR(VLOOKUP(F2553,'LEAID Match'!$A$2:$B$142,2,FALSE),"")</f>
        <v>2801710</v>
      </c>
    </row>
    <row r="2554" spans="1:8" x14ac:dyDescent="0.2">
      <c r="A2554">
        <f t="shared" si="39"/>
        <v>2801710</v>
      </c>
      <c r="B2554" s="1">
        <v>2020</v>
      </c>
      <c r="C2554" s="1" t="s">
        <v>2505</v>
      </c>
      <c r="D2554" s="1" t="s">
        <v>2506</v>
      </c>
      <c r="E2554" s="1" t="s">
        <v>2019</v>
      </c>
      <c r="F2554" s="1" t="s">
        <v>255</v>
      </c>
      <c r="G2554" s="6">
        <v>6093580</v>
      </c>
      <c r="H2554">
        <f>IFERROR(VLOOKUP(F2554,'LEAID Match'!$A$2:$B$142,2,FALSE),"")</f>
        <v>2801710</v>
      </c>
    </row>
    <row r="2555" spans="1:8" x14ac:dyDescent="0.2">
      <c r="A2555">
        <f t="shared" si="39"/>
        <v>2801710</v>
      </c>
      <c r="B2555" s="1">
        <v>2021</v>
      </c>
      <c r="C2555" s="1" t="s">
        <v>2505</v>
      </c>
      <c r="D2555" s="1" t="s">
        <v>2506</v>
      </c>
      <c r="E2555" s="1" t="s">
        <v>2019</v>
      </c>
      <c r="F2555" s="1" t="s">
        <v>255</v>
      </c>
      <c r="G2555" s="6">
        <v>6328769</v>
      </c>
      <c r="H2555">
        <f>IFERROR(VLOOKUP(F2555,'LEAID Match'!$A$2:$B$142,2,FALSE),"")</f>
        <v>2801710</v>
      </c>
    </row>
    <row r="2556" spans="1:8" x14ac:dyDescent="0.2">
      <c r="A2556">
        <f t="shared" si="39"/>
        <v>2801710</v>
      </c>
      <c r="B2556" s="1">
        <v>2022</v>
      </c>
      <c r="C2556" s="1" t="s">
        <v>2505</v>
      </c>
      <c r="D2556" s="1" t="s">
        <v>2506</v>
      </c>
      <c r="E2556" s="1" t="s">
        <v>2019</v>
      </c>
      <c r="F2556" s="1" t="s">
        <v>255</v>
      </c>
      <c r="G2556" s="6">
        <v>6489894</v>
      </c>
      <c r="H2556">
        <f>IFERROR(VLOOKUP(F2556,'LEAID Match'!$A$2:$B$142,2,FALSE),"")</f>
        <v>2801710</v>
      </c>
    </row>
    <row r="2557" spans="1:8" x14ac:dyDescent="0.2">
      <c r="A2557">
        <f t="shared" si="39"/>
        <v>2801710</v>
      </c>
      <c r="B2557" s="1">
        <v>2023</v>
      </c>
      <c r="C2557" s="1" t="s">
        <v>2505</v>
      </c>
      <c r="D2557" s="1" t="s">
        <v>2506</v>
      </c>
      <c r="E2557" s="1" t="s">
        <v>2019</v>
      </c>
      <c r="F2557" s="1" t="s">
        <v>255</v>
      </c>
      <c r="G2557" s="6">
        <v>7146342</v>
      </c>
      <c r="H2557">
        <f>IFERROR(VLOOKUP(F2557,'LEAID Match'!$A$2:$B$142,2,FALSE),"")</f>
        <v>2801710</v>
      </c>
    </row>
    <row r="2558" spans="1:8" x14ac:dyDescent="0.2">
      <c r="A2558">
        <f t="shared" si="39"/>
        <v>2801710</v>
      </c>
      <c r="B2558" s="1">
        <v>2024</v>
      </c>
      <c r="C2558" s="1" t="s">
        <v>2505</v>
      </c>
      <c r="D2558" s="1" t="s">
        <v>2506</v>
      </c>
      <c r="E2558" s="1" t="s">
        <v>2019</v>
      </c>
      <c r="F2558" s="1" t="s">
        <v>255</v>
      </c>
      <c r="G2558" s="6">
        <v>7188833</v>
      </c>
      <c r="H2558">
        <f>IFERROR(VLOOKUP(F2558,'LEAID Match'!$A$2:$B$142,2,FALSE),"")</f>
        <v>2801710</v>
      </c>
    </row>
    <row r="2559" spans="1:8" x14ac:dyDescent="0.2">
      <c r="A2559" t="str">
        <f t="shared" si="39"/>
        <v/>
      </c>
      <c r="B2559" s="1">
        <v>2015</v>
      </c>
      <c r="C2559" s="1" t="s">
        <v>2505</v>
      </c>
      <c r="D2559" s="1" t="s">
        <v>2506</v>
      </c>
      <c r="E2559" s="1" t="s">
        <v>2019</v>
      </c>
      <c r="F2559" s="1" t="s">
        <v>256</v>
      </c>
      <c r="G2559" s="6">
        <v>341515</v>
      </c>
      <c r="H2559" t="str">
        <f>IFERROR(VLOOKUP(F2559,'LEAID Match'!$A$2:$B$142,2,FALSE),"")</f>
        <v/>
      </c>
    </row>
    <row r="2560" spans="1:8" x14ac:dyDescent="0.2">
      <c r="A2560" t="str">
        <f t="shared" si="39"/>
        <v/>
      </c>
      <c r="B2560">
        <v>2016</v>
      </c>
      <c r="C2560" s="1" t="s">
        <v>2505</v>
      </c>
      <c r="D2560" s="1" t="s">
        <v>2506</v>
      </c>
      <c r="E2560" s="1" t="s">
        <v>2019</v>
      </c>
      <c r="F2560" s="1" t="s">
        <v>256</v>
      </c>
      <c r="G2560" s="12">
        <v>334049</v>
      </c>
      <c r="H2560" t="str">
        <f>IFERROR(VLOOKUP(F2560,'LEAID Match'!$A$2:$B$142,2,FALSE),"")</f>
        <v/>
      </c>
    </row>
    <row r="2561" spans="1:8" x14ac:dyDescent="0.2">
      <c r="A2561" t="str">
        <f t="shared" si="39"/>
        <v/>
      </c>
      <c r="B2561" s="1">
        <v>2017</v>
      </c>
      <c r="C2561" s="1" t="s">
        <v>2505</v>
      </c>
      <c r="D2561" s="1" t="s">
        <v>2506</v>
      </c>
      <c r="E2561" s="1" t="s">
        <v>2019</v>
      </c>
      <c r="F2561" s="1" t="s">
        <v>256</v>
      </c>
      <c r="G2561" s="47">
        <v>343049</v>
      </c>
      <c r="H2561" t="str">
        <f>IFERROR(VLOOKUP(F2561,'LEAID Match'!$A$2:$B$142,2,FALSE),"")</f>
        <v/>
      </c>
    </row>
    <row r="2562" spans="1:8" x14ac:dyDescent="0.2">
      <c r="A2562" t="str">
        <f t="shared" si="39"/>
        <v/>
      </c>
      <c r="B2562" s="1">
        <v>2018</v>
      </c>
      <c r="C2562" s="1" t="s">
        <v>2505</v>
      </c>
      <c r="D2562" s="1" t="s">
        <v>2506</v>
      </c>
      <c r="E2562" s="1" t="s">
        <v>2019</v>
      </c>
      <c r="F2562" s="1" t="s">
        <v>256</v>
      </c>
      <c r="G2562" s="6">
        <v>338131</v>
      </c>
      <c r="H2562" t="str">
        <f>IFERROR(VLOOKUP(F2562,'LEAID Match'!$A$2:$B$142,2,FALSE),"")</f>
        <v/>
      </c>
    </row>
    <row r="2563" spans="1:8" x14ac:dyDescent="0.2">
      <c r="A2563" t="str">
        <f t="shared" ref="A2563:A2626" si="40">H2563</f>
        <v/>
      </c>
      <c r="B2563" s="1">
        <v>2019</v>
      </c>
      <c r="C2563" s="1" t="s">
        <v>2505</v>
      </c>
      <c r="D2563" s="1" t="s">
        <v>2506</v>
      </c>
      <c r="E2563" s="1" t="s">
        <v>2019</v>
      </c>
      <c r="F2563" s="1" t="s">
        <v>256</v>
      </c>
      <c r="G2563" s="6">
        <v>323123</v>
      </c>
      <c r="H2563" t="str">
        <f>IFERROR(VLOOKUP(F2563,'LEAID Match'!$A$2:$B$142,2,FALSE),"")</f>
        <v/>
      </c>
    </row>
    <row r="2564" spans="1:8" x14ac:dyDescent="0.2">
      <c r="A2564" t="str">
        <f t="shared" si="40"/>
        <v/>
      </c>
      <c r="B2564" s="1">
        <v>2020</v>
      </c>
      <c r="C2564" s="1" t="s">
        <v>2505</v>
      </c>
      <c r="D2564" s="1" t="s">
        <v>2506</v>
      </c>
      <c r="E2564" s="1" t="s">
        <v>2019</v>
      </c>
      <c r="F2564" s="1" t="s">
        <v>256</v>
      </c>
      <c r="G2564" s="6">
        <v>351612</v>
      </c>
      <c r="H2564" t="str">
        <f>IFERROR(VLOOKUP(F2564,'LEAID Match'!$A$2:$B$142,2,FALSE),"")</f>
        <v/>
      </c>
    </row>
    <row r="2565" spans="1:8" x14ac:dyDescent="0.2">
      <c r="A2565" t="str">
        <f t="shared" si="40"/>
        <v/>
      </c>
      <c r="B2565" s="1">
        <v>2021</v>
      </c>
      <c r="C2565" s="1" t="s">
        <v>2505</v>
      </c>
      <c r="D2565" s="1" t="s">
        <v>2506</v>
      </c>
      <c r="E2565" s="1" t="s">
        <v>2019</v>
      </c>
      <c r="F2565" s="1" t="s">
        <v>256</v>
      </c>
      <c r="G2565" s="6">
        <v>376408</v>
      </c>
      <c r="H2565" t="str">
        <f>IFERROR(VLOOKUP(F2565,'LEAID Match'!$A$2:$B$142,2,FALSE),"")</f>
        <v/>
      </c>
    </row>
    <row r="2566" spans="1:8" x14ac:dyDescent="0.2">
      <c r="A2566" t="str">
        <f t="shared" si="40"/>
        <v/>
      </c>
      <c r="B2566" s="1">
        <v>2022</v>
      </c>
      <c r="C2566" s="1" t="s">
        <v>2505</v>
      </c>
      <c r="D2566" s="1" t="s">
        <v>2506</v>
      </c>
      <c r="E2566" s="1" t="s">
        <v>2019</v>
      </c>
      <c r="F2566" s="1" t="s">
        <v>256</v>
      </c>
      <c r="G2566" s="6">
        <v>363243</v>
      </c>
      <c r="H2566" t="str">
        <f>IFERROR(VLOOKUP(F2566,'LEAID Match'!$A$2:$B$142,2,FALSE),"")</f>
        <v/>
      </c>
    </row>
    <row r="2567" spans="1:8" x14ac:dyDescent="0.2">
      <c r="A2567" t="str">
        <f t="shared" si="40"/>
        <v/>
      </c>
      <c r="B2567" s="1">
        <v>2023</v>
      </c>
      <c r="C2567" s="1" t="s">
        <v>2505</v>
      </c>
      <c r="D2567" s="1" t="s">
        <v>2506</v>
      </c>
      <c r="E2567" s="1" t="s">
        <v>2019</v>
      </c>
      <c r="F2567" s="1" t="s">
        <v>256</v>
      </c>
      <c r="G2567" s="6">
        <v>398985</v>
      </c>
      <c r="H2567" t="str">
        <f>IFERROR(VLOOKUP(F2567,'LEAID Match'!$A$2:$B$142,2,FALSE),"")</f>
        <v/>
      </c>
    </row>
    <row r="2568" spans="1:8" x14ac:dyDescent="0.2">
      <c r="A2568" t="str">
        <f t="shared" si="40"/>
        <v/>
      </c>
      <c r="B2568" s="1">
        <v>2024</v>
      </c>
      <c r="C2568" s="1" t="s">
        <v>2505</v>
      </c>
      <c r="D2568" s="1" t="s">
        <v>2506</v>
      </c>
      <c r="E2568" s="1" t="s">
        <v>2019</v>
      </c>
      <c r="F2568" s="1" t="s">
        <v>256</v>
      </c>
      <c r="G2568" s="6">
        <v>440105</v>
      </c>
      <c r="H2568" t="str">
        <f>IFERROR(VLOOKUP(F2568,'LEAID Match'!$A$2:$B$142,2,FALSE),"")</f>
        <v/>
      </c>
    </row>
    <row r="2569" spans="1:8" x14ac:dyDescent="0.2">
      <c r="A2569" t="str">
        <f t="shared" si="40"/>
        <v/>
      </c>
      <c r="B2569" s="1">
        <v>2015</v>
      </c>
      <c r="C2569" s="1" t="s">
        <v>2505</v>
      </c>
      <c r="D2569" s="1" t="s">
        <v>2506</v>
      </c>
      <c r="E2569" s="1" t="s">
        <v>2019</v>
      </c>
      <c r="F2569" s="1" t="s">
        <v>2029</v>
      </c>
      <c r="G2569" s="6">
        <v>66030</v>
      </c>
      <c r="H2569" t="str">
        <f>IFERROR(VLOOKUP(F2569,'LEAID Match'!$A$2:$B$142,2,FALSE),"")</f>
        <v/>
      </c>
    </row>
    <row r="2570" spans="1:8" x14ac:dyDescent="0.2">
      <c r="A2570" t="str">
        <f t="shared" si="40"/>
        <v/>
      </c>
      <c r="B2570">
        <v>2016</v>
      </c>
      <c r="C2570" s="1" t="s">
        <v>2505</v>
      </c>
      <c r="D2570" s="1" t="s">
        <v>2506</v>
      </c>
      <c r="E2570" s="1" t="s">
        <v>2019</v>
      </c>
      <c r="F2570" t="s">
        <v>2029</v>
      </c>
      <c r="G2570" s="12">
        <v>63212</v>
      </c>
      <c r="H2570" t="str">
        <f>IFERROR(VLOOKUP(F2570,'LEAID Match'!$A$2:$B$142,2,FALSE),"")</f>
        <v/>
      </c>
    </row>
    <row r="2571" spans="1:8" x14ac:dyDescent="0.2">
      <c r="A2571" t="str">
        <f t="shared" si="40"/>
        <v/>
      </c>
      <c r="B2571" s="1">
        <v>2017</v>
      </c>
      <c r="C2571" s="1" t="s">
        <v>2505</v>
      </c>
      <c r="D2571" s="1" t="s">
        <v>2506</v>
      </c>
      <c r="E2571" s="1" t="s">
        <v>2019</v>
      </c>
      <c r="F2571" s="37" t="s">
        <v>2029</v>
      </c>
      <c r="G2571" s="47">
        <v>64464</v>
      </c>
      <c r="H2571" t="str">
        <f>IFERROR(VLOOKUP(F2571,'LEAID Match'!$A$2:$B$142,2,FALSE),"")</f>
        <v/>
      </c>
    </row>
    <row r="2572" spans="1:8" x14ac:dyDescent="0.2">
      <c r="A2572">
        <f t="shared" si="40"/>
        <v>2801740</v>
      </c>
      <c r="B2572" s="1">
        <v>2015</v>
      </c>
      <c r="C2572" s="1" t="s">
        <v>2505</v>
      </c>
      <c r="D2572" s="1" t="s">
        <v>2506</v>
      </c>
      <c r="E2572" s="1" t="s">
        <v>2019</v>
      </c>
      <c r="F2572" s="1" t="s">
        <v>257</v>
      </c>
      <c r="G2572" s="6">
        <v>3117311</v>
      </c>
      <c r="H2572">
        <f>IFERROR(VLOOKUP(F2572,'LEAID Match'!$A$2:$B$142,2,FALSE),"")</f>
        <v>2801740</v>
      </c>
    </row>
    <row r="2573" spans="1:8" x14ac:dyDescent="0.2">
      <c r="A2573">
        <f t="shared" si="40"/>
        <v>2801740</v>
      </c>
      <c r="B2573">
        <v>2016</v>
      </c>
      <c r="C2573" s="1" t="s">
        <v>2505</v>
      </c>
      <c r="D2573" s="1" t="s">
        <v>2506</v>
      </c>
      <c r="E2573" s="1" t="s">
        <v>2019</v>
      </c>
      <c r="F2573" s="1" t="s">
        <v>257</v>
      </c>
      <c r="G2573" s="12">
        <v>3178632</v>
      </c>
      <c r="H2573">
        <f>IFERROR(VLOOKUP(F2573,'LEAID Match'!$A$2:$B$142,2,FALSE),"")</f>
        <v>2801740</v>
      </c>
    </row>
    <row r="2574" spans="1:8" x14ac:dyDescent="0.2">
      <c r="A2574">
        <f t="shared" si="40"/>
        <v>2801740</v>
      </c>
      <c r="B2574" s="1">
        <v>2017</v>
      </c>
      <c r="C2574" s="1" t="s">
        <v>2505</v>
      </c>
      <c r="D2574" s="1" t="s">
        <v>2506</v>
      </c>
      <c r="E2574" s="1" t="s">
        <v>2019</v>
      </c>
      <c r="F2574" s="1" t="s">
        <v>257</v>
      </c>
      <c r="G2574" s="47">
        <v>3238889</v>
      </c>
      <c r="H2574">
        <f>IFERROR(VLOOKUP(F2574,'LEAID Match'!$A$2:$B$142,2,FALSE),"")</f>
        <v>2801740</v>
      </c>
    </row>
    <row r="2575" spans="1:8" x14ac:dyDescent="0.2">
      <c r="A2575">
        <f t="shared" si="40"/>
        <v>2801740</v>
      </c>
      <c r="B2575" s="1">
        <v>2018</v>
      </c>
      <c r="C2575" s="1" t="s">
        <v>2505</v>
      </c>
      <c r="D2575" s="1" t="s">
        <v>2506</v>
      </c>
      <c r="E2575" s="1" t="s">
        <v>2019</v>
      </c>
      <c r="F2575" s="1" t="s">
        <v>257</v>
      </c>
      <c r="G2575" s="6">
        <v>3286895</v>
      </c>
      <c r="H2575">
        <f>IFERROR(VLOOKUP(F2575,'LEAID Match'!$A$2:$B$142,2,FALSE),"")</f>
        <v>2801740</v>
      </c>
    </row>
    <row r="2576" spans="1:8" x14ac:dyDescent="0.2">
      <c r="A2576">
        <f t="shared" si="40"/>
        <v>2801740</v>
      </c>
      <c r="B2576" s="1">
        <v>2019</v>
      </c>
      <c r="C2576" s="1" t="s">
        <v>2505</v>
      </c>
      <c r="D2576" s="1" t="s">
        <v>2506</v>
      </c>
      <c r="E2576" s="1" t="s">
        <v>2019</v>
      </c>
      <c r="F2576" s="1" t="s">
        <v>257</v>
      </c>
      <c r="G2576" s="6">
        <v>3342597</v>
      </c>
      <c r="H2576">
        <f>IFERROR(VLOOKUP(F2576,'LEAID Match'!$A$2:$B$142,2,FALSE),"")</f>
        <v>2801740</v>
      </c>
    </row>
    <row r="2577" spans="1:8" x14ac:dyDescent="0.2">
      <c r="A2577">
        <f t="shared" si="40"/>
        <v>2801740</v>
      </c>
      <c r="B2577" s="1">
        <v>2020</v>
      </c>
      <c r="C2577" s="1" t="s">
        <v>2505</v>
      </c>
      <c r="D2577" s="1" t="s">
        <v>2506</v>
      </c>
      <c r="E2577" s="1" t="s">
        <v>2019</v>
      </c>
      <c r="F2577" s="1" t="s">
        <v>257</v>
      </c>
      <c r="G2577" s="6">
        <v>3818438</v>
      </c>
      <c r="H2577">
        <f>IFERROR(VLOOKUP(F2577,'LEAID Match'!$A$2:$B$142,2,FALSE),"")</f>
        <v>2801740</v>
      </c>
    </row>
    <row r="2578" spans="1:8" x14ac:dyDescent="0.2">
      <c r="A2578">
        <f t="shared" si="40"/>
        <v>2801740</v>
      </c>
      <c r="B2578" s="1">
        <v>2021</v>
      </c>
      <c r="C2578" s="1" t="s">
        <v>2505</v>
      </c>
      <c r="D2578" s="1" t="s">
        <v>2506</v>
      </c>
      <c r="E2578" s="1" t="s">
        <v>2019</v>
      </c>
      <c r="F2578" s="1" t="s">
        <v>257</v>
      </c>
      <c r="G2578" s="6">
        <v>3850148</v>
      </c>
      <c r="H2578">
        <f>IFERROR(VLOOKUP(F2578,'LEAID Match'!$A$2:$B$142,2,FALSE),"")</f>
        <v>2801740</v>
      </c>
    </row>
    <row r="2579" spans="1:8" x14ac:dyDescent="0.2">
      <c r="A2579">
        <f t="shared" si="40"/>
        <v>2801740</v>
      </c>
      <c r="B2579" s="1">
        <v>2022</v>
      </c>
      <c r="C2579" s="1" t="s">
        <v>2505</v>
      </c>
      <c r="D2579" s="1" t="s">
        <v>2506</v>
      </c>
      <c r="E2579" s="1" t="s">
        <v>2019</v>
      </c>
      <c r="F2579" s="1" t="s">
        <v>257</v>
      </c>
      <c r="G2579" s="6">
        <v>4209613</v>
      </c>
      <c r="H2579">
        <f>IFERROR(VLOOKUP(F2579,'LEAID Match'!$A$2:$B$142,2,FALSE),"")</f>
        <v>2801740</v>
      </c>
    </row>
    <row r="2580" spans="1:8" x14ac:dyDescent="0.2">
      <c r="A2580">
        <f t="shared" si="40"/>
        <v>2801740</v>
      </c>
      <c r="B2580" s="1">
        <v>2023</v>
      </c>
      <c r="C2580" s="1" t="s">
        <v>2505</v>
      </c>
      <c r="D2580" s="1" t="s">
        <v>2506</v>
      </c>
      <c r="E2580" s="1" t="s">
        <v>2019</v>
      </c>
      <c r="F2580" s="1" t="s">
        <v>257</v>
      </c>
      <c r="G2580" s="6">
        <v>4703410</v>
      </c>
      <c r="H2580">
        <f>IFERROR(VLOOKUP(F2580,'LEAID Match'!$A$2:$B$142,2,FALSE),"")</f>
        <v>2801740</v>
      </c>
    </row>
    <row r="2581" spans="1:8" x14ac:dyDescent="0.2">
      <c r="A2581">
        <f t="shared" si="40"/>
        <v>2801740</v>
      </c>
      <c r="B2581" s="1">
        <v>2024</v>
      </c>
      <c r="C2581" s="1" t="s">
        <v>2505</v>
      </c>
      <c r="D2581" s="1" t="s">
        <v>2506</v>
      </c>
      <c r="E2581" s="1" t="s">
        <v>2019</v>
      </c>
      <c r="F2581" s="1" t="s">
        <v>257</v>
      </c>
      <c r="G2581" s="6">
        <v>4714876</v>
      </c>
      <c r="H2581">
        <f>IFERROR(VLOOKUP(F2581,'LEAID Match'!$A$2:$B$142,2,FALSE),"")</f>
        <v>2801740</v>
      </c>
    </row>
    <row r="2582" spans="1:8" x14ac:dyDescent="0.2">
      <c r="A2582" t="str">
        <f t="shared" si="40"/>
        <v/>
      </c>
      <c r="B2582" s="1">
        <v>2015</v>
      </c>
      <c r="C2582" s="1" t="s">
        <v>2505</v>
      </c>
      <c r="D2582" s="1" t="s">
        <v>2506</v>
      </c>
      <c r="E2582" s="1" t="s">
        <v>2019</v>
      </c>
      <c r="F2582" s="1" t="s">
        <v>258</v>
      </c>
      <c r="G2582" s="6">
        <v>1553968</v>
      </c>
      <c r="H2582" t="str">
        <f>IFERROR(VLOOKUP(F2582,'LEAID Match'!$A$2:$B$142,2,FALSE),"")</f>
        <v/>
      </c>
    </row>
    <row r="2583" spans="1:8" x14ac:dyDescent="0.2">
      <c r="A2583" t="str">
        <f t="shared" si="40"/>
        <v/>
      </c>
      <c r="B2583">
        <v>2016</v>
      </c>
      <c r="C2583" s="1" t="s">
        <v>2505</v>
      </c>
      <c r="D2583" s="1" t="s">
        <v>2506</v>
      </c>
      <c r="E2583" s="1" t="s">
        <v>2019</v>
      </c>
      <c r="F2583" s="1" t="s">
        <v>258</v>
      </c>
      <c r="G2583" s="12">
        <v>1549313</v>
      </c>
      <c r="H2583" t="str">
        <f>IFERROR(VLOOKUP(F2583,'LEAID Match'!$A$2:$B$142,2,FALSE),"")</f>
        <v/>
      </c>
    </row>
    <row r="2584" spans="1:8" x14ac:dyDescent="0.2">
      <c r="A2584" t="str">
        <f t="shared" si="40"/>
        <v/>
      </c>
      <c r="B2584" s="1">
        <v>2017</v>
      </c>
      <c r="C2584" s="1" t="s">
        <v>2505</v>
      </c>
      <c r="D2584" s="1" t="s">
        <v>2506</v>
      </c>
      <c r="E2584" s="1" t="s">
        <v>2019</v>
      </c>
      <c r="F2584" s="1" t="s">
        <v>258</v>
      </c>
      <c r="G2584" s="47">
        <v>1637280</v>
      </c>
      <c r="H2584" t="str">
        <f>IFERROR(VLOOKUP(F2584,'LEAID Match'!$A$2:$B$142,2,FALSE),"")</f>
        <v/>
      </c>
    </row>
    <row r="2585" spans="1:8" x14ac:dyDescent="0.2">
      <c r="A2585" t="str">
        <f t="shared" si="40"/>
        <v/>
      </c>
      <c r="B2585" s="1">
        <v>2018</v>
      </c>
      <c r="C2585" s="1" t="s">
        <v>2505</v>
      </c>
      <c r="D2585" s="1" t="s">
        <v>2506</v>
      </c>
      <c r="E2585" s="1" t="s">
        <v>2019</v>
      </c>
      <c r="F2585" s="1" t="s">
        <v>258</v>
      </c>
      <c r="G2585" s="6">
        <v>1664640</v>
      </c>
      <c r="H2585" t="str">
        <f>IFERROR(VLOOKUP(F2585,'LEAID Match'!$A$2:$B$142,2,FALSE),"")</f>
        <v/>
      </c>
    </row>
    <row r="2586" spans="1:8" x14ac:dyDescent="0.2">
      <c r="A2586" t="str">
        <f t="shared" si="40"/>
        <v/>
      </c>
      <c r="B2586" s="1">
        <v>2019</v>
      </c>
      <c r="C2586" s="1" t="s">
        <v>2505</v>
      </c>
      <c r="D2586" s="1" t="s">
        <v>2506</v>
      </c>
      <c r="E2586" s="1" t="s">
        <v>2019</v>
      </c>
      <c r="F2586" s="1" t="s">
        <v>258</v>
      </c>
      <c r="G2586" s="6">
        <v>1753104</v>
      </c>
      <c r="H2586" t="str">
        <f>IFERROR(VLOOKUP(F2586,'LEAID Match'!$A$2:$B$142,2,FALSE),"")</f>
        <v/>
      </c>
    </row>
    <row r="2587" spans="1:8" x14ac:dyDescent="0.2">
      <c r="A2587" t="str">
        <f t="shared" si="40"/>
        <v/>
      </c>
      <c r="B2587" s="1">
        <v>2020</v>
      </c>
      <c r="C2587" s="1" t="s">
        <v>2505</v>
      </c>
      <c r="D2587" s="1" t="s">
        <v>2506</v>
      </c>
      <c r="E2587" s="1" t="s">
        <v>2019</v>
      </c>
      <c r="F2587" s="1" t="s">
        <v>258</v>
      </c>
      <c r="G2587" s="6">
        <v>2129678</v>
      </c>
      <c r="H2587" t="str">
        <f>IFERROR(VLOOKUP(F2587,'LEAID Match'!$A$2:$B$142,2,FALSE),"")</f>
        <v/>
      </c>
    </row>
    <row r="2588" spans="1:8" x14ac:dyDescent="0.2">
      <c r="A2588" t="str">
        <f t="shared" si="40"/>
        <v/>
      </c>
      <c r="B2588" s="1">
        <v>2021</v>
      </c>
      <c r="C2588" s="1" t="s">
        <v>2505</v>
      </c>
      <c r="D2588" s="1" t="s">
        <v>2506</v>
      </c>
      <c r="E2588" s="1" t="s">
        <v>2019</v>
      </c>
      <c r="F2588" s="1" t="s">
        <v>258</v>
      </c>
      <c r="G2588" s="6">
        <v>2175482</v>
      </c>
      <c r="H2588" t="str">
        <f>IFERROR(VLOOKUP(F2588,'LEAID Match'!$A$2:$B$142,2,FALSE),"")</f>
        <v/>
      </c>
    </row>
    <row r="2589" spans="1:8" x14ac:dyDescent="0.2">
      <c r="A2589" t="str">
        <f t="shared" si="40"/>
        <v/>
      </c>
      <c r="B2589" s="1">
        <v>2022</v>
      </c>
      <c r="C2589" s="1" t="s">
        <v>2505</v>
      </c>
      <c r="D2589" s="1" t="s">
        <v>2506</v>
      </c>
      <c r="E2589" s="1" t="s">
        <v>2019</v>
      </c>
      <c r="F2589" s="1" t="s">
        <v>258</v>
      </c>
      <c r="G2589" s="6">
        <v>2268791</v>
      </c>
      <c r="H2589" t="str">
        <f>IFERROR(VLOOKUP(F2589,'LEAID Match'!$A$2:$B$142,2,FALSE),"")</f>
        <v/>
      </c>
    </row>
    <row r="2590" spans="1:8" x14ac:dyDescent="0.2">
      <c r="A2590" t="str">
        <f t="shared" si="40"/>
        <v/>
      </c>
      <c r="B2590" s="1">
        <v>2023</v>
      </c>
      <c r="C2590" s="1" t="s">
        <v>2505</v>
      </c>
      <c r="D2590" s="1" t="s">
        <v>2506</v>
      </c>
      <c r="E2590" s="1" t="s">
        <v>2019</v>
      </c>
      <c r="F2590" s="1" t="s">
        <v>258</v>
      </c>
      <c r="G2590" s="6">
        <v>2436957</v>
      </c>
      <c r="H2590" t="str">
        <f>IFERROR(VLOOKUP(F2590,'LEAID Match'!$A$2:$B$142,2,FALSE),"")</f>
        <v/>
      </c>
    </row>
    <row r="2591" spans="1:8" x14ac:dyDescent="0.2">
      <c r="A2591" t="str">
        <f t="shared" si="40"/>
        <v/>
      </c>
      <c r="B2591" s="1">
        <v>2024</v>
      </c>
      <c r="C2591" s="1" t="s">
        <v>2505</v>
      </c>
      <c r="D2591" s="1" t="s">
        <v>2506</v>
      </c>
      <c r="E2591" s="1" t="s">
        <v>2019</v>
      </c>
      <c r="F2591" s="1" t="s">
        <v>258</v>
      </c>
      <c r="G2591" s="6">
        <v>2582767</v>
      </c>
      <c r="H2591" t="str">
        <f>IFERROR(VLOOKUP(F2591,'LEAID Match'!$A$2:$B$142,2,FALSE),"")</f>
        <v/>
      </c>
    </row>
    <row r="2592" spans="1:8" x14ac:dyDescent="0.2">
      <c r="A2592" t="str">
        <f t="shared" si="40"/>
        <v/>
      </c>
      <c r="B2592" s="1">
        <v>2015</v>
      </c>
      <c r="C2592" s="1" t="s">
        <v>2505</v>
      </c>
      <c r="D2592" s="1" t="s">
        <v>2506</v>
      </c>
      <c r="E2592" s="1" t="s">
        <v>2019</v>
      </c>
      <c r="F2592" s="1" t="s">
        <v>259</v>
      </c>
      <c r="G2592" s="6">
        <v>145888</v>
      </c>
      <c r="H2592" t="str">
        <f>IFERROR(VLOOKUP(F2592,'LEAID Match'!$A$2:$B$142,2,FALSE),"")</f>
        <v/>
      </c>
    </row>
    <row r="2593" spans="1:8" x14ac:dyDescent="0.2">
      <c r="A2593" t="str">
        <f t="shared" si="40"/>
        <v/>
      </c>
      <c r="B2593">
        <v>2016</v>
      </c>
      <c r="C2593" s="1" t="s">
        <v>2505</v>
      </c>
      <c r="D2593" s="1" t="s">
        <v>2506</v>
      </c>
      <c r="E2593" s="1" t="s">
        <v>2019</v>
      </c>
      <c r="F2593" s="1" t="s">
        <v>259</v>
      </c>
      <c r="G2593" s="12">
        <v>168236</v>
      </c>
      <c r="H2593" t="str">
        <f>IFERROR(VLOOKUP(F2593,'LEAID Match'!$A$2:$B$142,2,FALSE),"")</f>
        <v/>
      </c>
    </row>
    <row r="2594" spans="1:8" x14ac:dyDescent="0.2">
      <c r="A2594" t="str">
        <f t="shared" si="40"/>
        <v/>
      </c>
      <c r="B2594" s="1">
        <v>2017</v>
      </c>
      <c r="C2594" s="1" t="s">
        <v>2505</v>
      </c>
      <c r="D2594" s="1" t="s">
        <v>2506</v>
      </c>
      <c r="E2594" s="1" t="s">
        <v>2019</v>
      </c>
      <c r="F2594" s="1" t="s">
        <v>259</v>
      </c>
      <c r="G2594" s="47">
        <v>210383</v>
      </c>
      <c r="H2594" t="str">
        <f>IFERROR(VLOOKUP(F2594,'LEAID Match'!$A$2:$B$142,2,FALSE),"")</f>
        <v/>
      </c>
    </row>
    <row r="2595" spans="1:8" x14ac:dyDescent="0.2">
      <c r="A2595" t="str">
        <f t="shared" si="40"/>
        <v/>
      </c>
      <c r="B2595" s="1">
        <v>2018</v>
      </c>
      <c r="C2595" s="1" t="s">
        <v>2505</v>
      </c>
      <c r="D2595" s="1" t="s">
        <v>2506</v>
      </c>
      <c r="E2595" s="1" t="s">
        <v>2019</v>
      </c>
      <c r="F2595" s="1" t="s">
        <v>259</v>
      </c>
      <c r="G2595" s="6">
        <v>202572</v>
      </c>
      <c r="H2595" t="str">
        <f>IFERROR(VLOOKUP(F2595,'LEAID Match'!$A$2:$B$142,2,FALSE),"")</f>
        <v/>
      </c>
    </row>
    <row r="2596" spans="1:8" x14ac:dyDescent="0.2">
      <c r="A2596" t="str">
        <f t="shared" si="40"/>
        <v/>
      </c>
      <c r="B2596" s="1">
        <v>2019</v>
      </c>
      <c r="C2596" s="1" t="s">
        <v>2505</v>
      </c>
      <c r="D2596" s="1" t="s">
        <v>2506</v>
      </c>
      <c r="E2596" s="1" t="s">
        <v>2019</v>
      </c>
      <c r="F2596" s="1" t="s">
        <v>259</v>
      </c>
      <c r="G2596" s="6">
        <v>194016</v>
      </c>
      <c r="H2596" t="str">
        <f>IFERROR(VLOOKUP(F2596,'LEAID Match'!$A$2:$B$142,2,FALSE),"")</f>
        <v/>
      </c>
    </row>
    <row r="2597" spans="1:8" x14ac:dyDescent="0.2">
      <c r="A2597" t="str">
        <f t="shared" si="40"/>
        <v/>
      </c>
      <c r="B2597" s="1">
        <v>2020</v>
      </c>
      <c r="C2597" s="1" t="s">
        <v>2505</v>
      </c>
      <c r="D2597" s="1" t="s">
        <v>2506</v>
      </c>
      <c r="E2597" s="1" t="s">
        <v>2019</v>
      </c>
      <c r="F2597" s="1" t="s">
        <v>259</v>
      </c>
      <c r="G2597" s="6">
        <v>158966</v>
      </c>
      <c r="H2597" t="str">
        <f>IFERROR(VLOOKUP(F2597,'LEAID Match'!$A$2:$B$142,2,FALSE),"")</f>
        <v/>
      </c>
    </row>
    <row r="2598" spans="1:8" x14ac:dyDescent="0.2">
      <c r="A2598" t="str">
        <f t="shared" si="40"/>
        <v/>
      </c>
      <c r="B2598" s="1">
        <v>2021</v>
      </c>
      <c r="C2598" s="1" t="s">
        <v>2505</v>
      </c>
      <c r="D2598" s="1" t="s">
        <v>2506</v>
      </c>
      <c r="E2598" s="1" t="s">
        <v>2019</v>
      </c>
      <c r="F2598" s="1" t="s">
        <v>259</v>
      </c>
      <c r="G2598" s="6">
        <v>135334</v>
      </c>
      <c r="H2598" t="str">
        <f>IFERROR(VLOOKUP(F2598,'LEAID Match'!$A$2:$B$142,2,FALSE),"")</f>
        <v/>
      </c>
    </row>
    <row r="2599" spans="1:8" x14ac:dyDescent="0.2">
      <c r="A2599" t="str">
        <f t="shared" si="40"/>
        <v/>
      </c>
      <c r="B2599" s="1">
        <v>2022</v>
      </c>
      <c r="C2599" s="1" t="s">
        <v>2505</v>
      </c>
      <c r="D2599" s="1" t="s">
        <v>2506</v>
      </c>
      <c r="E2599" s="1" t="s">
        <v>2019</v>
      </c>
      <c r="F2599" s="1" t="s">
        <v>259</v>
      </c>
      <c r="G2599" s="6">
        <v>197942</v>
      </c>
      <c r="H2599" t="str">
        <f>IFERROR(VLOOKUP(F2599,'LEAID Match'!$A$2:$B$142,2,FALSE),"")</f>
        <v/>
      </c>
    </row>
    <row r="2600" spans="1:8" x14ac:dyDescent="0.2">
      <c r="A2600" t="str">
        <f t="shared" si="40"/>
        <v/>
      </c>
      <c r="B2600" s="1">
        <v>2023</v>
      </c>
      <c r="C2600" s="1" t="s">
        <v>2505</v>
      </c>
      <c r="D2600" s="1" t="s">
        <v>2506</v>
      </c>
      <c r="E2600" s="1" t="s">
        <v>2019</v>
      </c>
      <c r="F2600" s="1" t="s">
        <v>259</v>
      </c>
      <c r="G2600" s="6">
        <v>205372</v>
      </c>
      <c r="H2600" t="str">
        <f>IFERROR(VLOOKUP(F2600,'LEAID Match'!$A$2:$B$142,2,FALSE),"")</f>
        <v/>
      </c>
    </row>
    <row r="2601" spans="1:8" x14ac:dyDescent="0.2">
      <c r="A2601" t="str">
        <f t="shared" si="40"/>
        <v/>
      </c>
      <c r="B2601" s="1">
        <v>2024</v>
      </c>
      <c r="C2601" s="1" t="s">
        <v>2505</v>
      </c>
      <c r="D2601" s="1" t="s">
        <v>2506</v>
      </c>
      <c r="E2601" s="1" t="s">
        <v>2019</v>
      </c>
      <c r="F2601" s="1" t="s">
        <v>259</v>
      </c>
      <c r="G2601" s="6">
        <v>197548</v>
      </c>
      <c r="H2601" t="str">
        <f>IFERROR(VLOOKUP(F2601,'LEAID Match'!$A$2:$B$142,2,FALSE),"")</f>
        <v/>
      </c>
    </row>
    <row r="2602" spans="1:8" x14ac:dyDescent="0.2">
      <c r="A2602" t="str">
        <f t="shared" si="40"/>
        <v/>
      </c>
      <c r="B2602" s="1">
        <v>2015</v>
      </c>
      <c r="C2602" s="1" t="s">
        <v>2505</v>
      </c>
      <c r="D2602" s="1" t="s">
        <v>2506</v>
      </c>
      <c r="E2602" s="1" t="s">
        <v>2019</v>
      </c>
      <c r="F2602" s="1" t="s">
        <v>260</v>
      </c>
      <c r="G2602" s="6">
        <v>142085</v>
      </c>
      <c r="H2602" t="str">
        <f>IFERROR(VLOOKUP(F2602,'LEAID Match'!$A$2:$B$142,2,FALSE),"")</f>
        <v/>
      </c>
    </row>
    <row r="2603" spans="1:8" x14ac:dyDescent="0.2">
      <c r="A2603" t="str">
        <f t="shared" si="40"/>
        <v/>
      </c>
      <c r="B2603">
        <v>2016</v>
      </c>
      <c r="C2603" s="1" t="s">
        <v>2505</v>
      </c>
      <c r="D2603" s="1" t="s">
        <v>2506</v>
      </c>
      <c r="E2603" s="1" t="s">
        <v>2019</v>
      </c>
      <c r="F2603" s="1" t="s">
        <v>260</v>
      </c>
      <c r="G2603" s="12">
        <v>139193</v>
      </c>
      <c r="H2603" t="str">
        <f>IFERROR(VLOOKUP(F2603,'LEAID Match'!$A$2:$B$142,2,FALSE),"")</f>
        <v/>
      </c>
    </row>
    <row r="2604" spans="1:8" x14ac:dyDescent="0.2">
      <c r="A2604" t="str">
        <f t="shared" si="40"/>
        <v/>
      </c>
      <c r="B2604" s="1">
        <v>2017</v>
      </c>
      <c r="C2604" s="1" t="s">
        <v>2505</v>
      </c>
      <c r="D2604" s="1" t="s">
        <v>2506</v>
      </c>
      <c r="E2604" s="1" t="s">
        <v>2019</v>
      </c>
      <c r="F2604" s="1" t="s">
        <v>260</v>
      </c>
      <c r="G2604" s="47">
        <v>135953</v>
      </c>
      <c r="H2604" t="str">
        <f>IFERROR(VLOOKUP(F2604,'LEAID Match'!$A$2:$B$142,2,FALSE),"")</f>
        <v/>
      </c>
    </row>
    <row r="2605" spans="1:8" x14ac:dyDescent="0.2">
      <c r="A2605" t="str">
        <f t="shared" si="40"/>
        <v/>
      </c>
      <c r="B2605" s="1">
        <v>2018</v>
      </c>
      <c r="C2605" s="1" t="s">
        <v>2505</v>
      </c>
      <c r="D2605" s="1" t="s">
        <v>2506</v>
      </c>
      <c r="E2605" s="1" t="s">
        <v>2019</v>
      </c>
      <c r="F2605" s="1" t="s">
        <v>260</v>
      </c>
      <c r="G2605" s="6">
        <v>124290</v>
      </c>
      <c r="H2605" t="str">
        <f>IFERROR(VLOOKUP(F2605,'LEAID Match'!$A$2:$B$142,2,FALSE),"")</f>
        <v/>
      </c>
    </row>
    <row r="2606" spans="1:8" x14ac:dyDescent="0.2">
      <c r="A2606" t="str">
        <f t="shared" si="40"/>
        <v/>
      </c>
      <c r="B2606" s="1">
        <v>2019</v>
      </c>
      <c r="C2606" s="1" t="s">
        <v>2505</v>
      </c>
      <c r="D2606" s="1" t="s">
        <v>2506</v>
      </c>
      <c r="E2606" s="1" t="s">
        <v>2019</v>
      </c>
      <c r="F2606" s="1" t="s">
        <v>260</v>
      </c>
      <c r="G2606" s="6">
        <v>123252</v>
      </c>
      <c r="H2606" t="str">
        <f>IFERROR(VLOOKUP(F2606,'LEAID Match'!$A$2:$B$142,2,FALSE),"")</f>
        <v/>
      </c>
    </row>
    <row r="2607" spans="1:8" x14ac:dyDescent="0.2">
      <c r="A2607" t="str">
        <f t="shared" si="40"/>
        <v/>
      </c>
      <c r="B2607" s="1">
        <v>2020</v>
      </c>
      <c r="C2607" s="1" t="s">
        <v>2505</v>
      </c>
      <c r="D2607" s="1" t="s">
        <v>2506</v>
      </c>
      <c r="E2607" s="1" t="s">
        <v>2019</v>
      </c>
      <c r="F2607" s="1" t="s">
        <v>260</v>
      </c>
      <c r="G2607" s="6">
        <v>131893</v>
      </c>
      <c r="H2607" t="str">
        <f>IFERROR(VLOOKUP(F2607,'LEAID Match'!$A$2:$B$142,2,FALSE),"")</f>
        <v/>
      </c>
    </row>
    <row r="2608" spans="1:8" x14ac:dyDescent="0.2">
      <c r="A2608" t="str">
        <f t="shared" si="40"/>
        <v/>
      </c>
      <c r="B2608" s="1">
        <v>2021</v>
      </c>
      <c r="C2608" s="1" t="s">
        <v>2505</v>
      </c>
      <c r="D2608" s="1" t="s">
        <v>2506</v>
      </c>
      <c r="E2608" s="1" t="s">
        <v>2019</v>
      </c>
      <c r="F2608" s="1" t="s">
        <v>260</v>
      </c>
      <c r="G2608" s="6">
        <v>133371</v>
      </c>
      <c r="H2608" t="str">
        <f>IFERROR(VLOOKUP(F2608,'LEAID Match'!$A$2:$B$142,2,FALSE),"")</f>
        <v/>
      </c>
    </row>
    <row r="2609" spans="1:8" x14ac:dyDescent="0.2">
      <c r="A2609" t="str">
        <f t="shared" si="40"/>
        <v/>
      </c>
      <c r="B2609" s="1">
        <v>2022</v>
      </c>
      <c r="C2609" s="1" t="s">
        <v>2505</v>
      </c>
      <c r="D2609" s="1" t="s">
        <v>2506</v>
      </c>
      <c r="E2609" s="1" t="s">
        <v>2019</v>
      </c>
      <c r="F2609" s="1" t="s">
        <v>260</v>
      </c>
      <c r="G2609" s="6">
        <v>129325</v>
      </c>
      <c r="H2609" t="str">
        <f>IFERROR(VLOOKUP(F2609,'LEAID Match'!$A$2:$B$142,2,FALSE),"")</f>
        <v/>
      </c>
    </row>
    <row r="2610" spans="1:8" x14ac:dyDescent="0.2">
      <c r="A2610" t="str">
        <f t="shared" si="40"/>
        <v/>
      </c>
      <c r="B2610" s="1">
        <v>2023</v>
      </c>
      <c r="C2610" s="1" t="s">
        <v>2505</v>
      </c>
      <c r="D2610" s="1" t="s">
        <v>2506</v>
      </c>
      <c r="E2610" s="1" t="s">
        <v>2019</v>
      </c>
      <c r="F2610" s="1" t="s">
        <v>260</v>
      </c>
      <c r="G2610" s="6">
        <v>139110</v>
      </c>
      <c r="H2610" t="str">
        <f>IFERROR(VLOOKUP(F2610,'LEAID Match'!$A$2:$B$142,2,FALSE),"")</f>
        <v/>
      </c>
    </row>
    <row r="2611" spans="1:8" x14ac:dyDescent="0.2">
      <c r="A2611" t="str">
        <f t="shared" si="40"/>
        <v/>
      </c>
      <c r="B2611" s="1">
        <v>2024</v>
      </c>
      <c r="C2611" s="1" t="s">
        <v>2505</v>
      </c>
      <c r="D2611" s="1" t="s">
        <v>2506</v>
      </c>
      <c r="E2611" s="1" t="s">
        <v>2019</v>
      </c>
      <c r="F2611" s="1" t="s">
        <v>260</v>
      </c>
      <c r="G2611" s="6">
        <v>156572</v>
      </c>
      <c r="H2611" t="str">
        <f>IFERROR(VLOOKUP(F2611,'LEAID Match'!$A$2:$B$142,2,FALSE),"")</f>
        <v/>
      </c>
    </row>
    <row r="2612" spans="1:8" x14ac:dyDescent="0.2">
      <c r="A2612" t="str">
        <f t="shared" si="40"/>
        <v/>
      </c>
      <c r="B2612" s="1">
        <v>2015</v>
      </c>
      <c r="C2612" s="1" t="s">
        <v>2505</v>
      </c>
      <c r="D2612" s="1" t="s">
        <v>2506</v>
      </c>
      <c r="E2612" s="1" t="s">
        <v>2019</v>
      </c>
      <c r="F2612" s="1" t="s">
        <v>261</v>
      </c>
      <c r="G2612" s="6">
        <v>28822</v>
      </c>
      <c r="H2612" t="str">
        <f>IFERROR(VLOOKUP(F2612,'LEAID Match'!$A$2:$B$142,2,FALSE),"")</f>
        <v/>
      </c>
    </row>
    <row r="2613" spans="1:8" x14ac:dyDescent="0.2">
      <c r="A2613" t="str">
        <f t="shared" si="40"/>
        <v/>
      </c>
      <c r="B2613">
        <v>2016</v>
      </c>
      <c r="C2613" s="1" t="s">
        <v>2505</v>
      </c>
      <c r="D2613" s="1" t="s">
        <v>2506</v>
      </c>
      <c r="E2613" s="1" t="s">
        <v>2019</v>
      </c>
      <c r="F2613" s="1" t="s">
        <v>261</v>
      </c>
      <c r="G2613" s="12">
        <v>25711</v>
      </c>
      <c r="H2613" t="str">
        <f>IFERROR(VLOOKUP(F2613,'LEAID Match'!$A$2:$B$142,2,FALSE),"")</f>
        <v/>
      </c>
    </row>
    <row r="2614" spans="1:8" x14ac:dyDescent="0.2">
      <c r="A2614" t="str">
        <f t="shared" si="40"/>
        <v/>
      </c>
      <c r="B2614" s="1">
        <v>2017</v>
      </c>
      <c r="C2614" s="1" t="s">
        <v>2505</v>
      </c>
      <c r="D2614" s="1" t="s">
        <v>2506</v>
      </c>
      <c r="E2614" s="1" t="s">
        <v>2019</v>
      </c>
      <c r="F2614" s="1" t="s">
        <v>261</v>
      </c>
      <c r="G2614" s="47">
        <v>29482</v>
      </c>
      <c r="H2614" t="str">
        <f>IFERROR(VLOOKUP(F2614,'LEAID Match'!$A$2:$B$142,2,FALSE),"")</f>
        <v/>
      </c>
    </row>
    <row r="2615" spans="1:8" x14ac:dyDescent="0.2">
      <c r="A2615" t="str">
        <f t="shared" si="40"/>
        <v/>
      </c>
      <c r="B2615" s="1">
        <v>2018</v>
      </c>
      <c r="C2615" s="1" t="s">
        <v>2505</v>
      </c>
      <c r="D2615" s="1" t="s">
        <v>2506</v>
      </c>
      <c r="E2615" s="1" t="s">
        <v>2019</v>
      </c>
      <c r="F2615" s="1" t="s">
        <v>261</v>
      </c>
      <c r="G2615" s="6">
        <v>29674</v>
      </c>
      <c r="H2615" t="str">
        <f>IFERROR(VLOOKUP(F2615,'LEAID Match'!$A$2:$B$142,2,FALSE),"")</f>
        <v/>
      </c>
    </row>
    <row r="2616" spans="1:8" x14ac:dyDescent="0.2">
      <c r="A2616" t="str">
        <f t="shared" si="40"/>
        <v/>
      </c>
      <c r="B2616" s="1">
        <v>2019</v>
      </c>
      <c r="C2616" s="1" t="s">
        <v>2505</v>
      </c>
      <c r="D2616" s="1" t="s">
        <v>2506</v>
      </c>
      <c r="E2616" s="1" t="s">
        <v>2019</v>
      </c>
      <c r="F2616" s="1" t="s">
        <v>261</v>
      </c>
      <c r="G2616" s="6">
        <v>30564</v>
      </c>
      <c r="H2616" t="str">
        <f>IFERROR(VLOOKUP(F2616,'LEAID Match'!$A$2:$B$142,2,FALSE),"")</f>
        <v/>
      </c>
    </row>
    <row r="2617" spans="1:8" x14ac:dyDescent="0.2">
      <c r="A2617" t="str">
        <f t="shared" si="40"/>
        <v/>
      </c>
      <c r="B2617" s="1">
        <v>2020</v>
      </c>
      <c r="C2617" s="1" t="s">
        <v>2505</v>
      </c>
      <c r="D2617" s="1" t="s">
        <v>2506</v>
      </c>
      <c r="E2617" s="1" t="s">
        <v>2019</v>
      </c>
      <c r="F2617" s="1" t="s">
        <v>261</v>
      </c>
      <c r="G2617" s="6">
        <v>35506</v>
      </c>
      <c r="H2617" t="str">
        <f>IFERROR(VLOOKUP(F2617,'LEAID Match'!$A$2:$B$142,2,FALSE),"")</f>
        <v/>
      </c>
    </row>
    <row r="2618" spans="1:8" x14ac:dyDescent="0.2">
      <c r="A2618" t="str">
        <f t="shared" si="40"/>
        <v/>
      </c>
      <c r="B2618" s="1">
        <v>2021</v>
      </c>
      <c r="C2618" s="1" t="s">
        <v>2505</v>
      </c>
      <c r="D2618" s="1" t="s">
        <v>2506</v>
      </c>
      <c r="E2618" s="1" t="s">
        <v>2019</v>
      </c>
      <c r="F2618" s="1" t="s">
        <v>261</v>
      </c>
      <c r="G2618" s="6">
        <v>28760</v>
      </c>
      <c r="H2618" t="str">
        <f>IFERROR(VLOOKUP(F2618,'LEAID Match'!$A$2:$B$142,2,FALSE),"")</f>
        <v/>
      </c>
    </row>
    <row r="2619" spans="1:8" x14ac:dyDescent="0.2">
      <c r="A2619" t="str">
        <f t="shared" si="40"/>
        <v/>
      </c>
      <c r="B2619" s="1">
        <v>2022</v>
      </c>
      <c r="C2619" s="1" t="s">
        <v>2505</v>
      </c>
      <c r="D2619" s="1" t="s">
        <v>2506</v>
      </c>
      <c r="E2619" s="1" t="s">
        <v>2019</v>
      </c>
      <c r="F2619" s="1" t="s">
        <v>261</v>
      </c>
      <c r="G2619" s="6">
        <v>27049</v>
      </c>
      <c r="H2619" t="str">
        <f>IFERROR(VLOOKUP(F2619,'LEAID Match'!$A$2:$B$142,2,FALSE),"")</f>
        <v/>
      </c>
    </row>
    <row r="2620" spans="1:8" x14ac:dyDescent="0.2">
      <c r="A2620" t="str">
        <f t="shared" si="40"/>
        <v/>
      </c>
      <c r="B2620" s="1">
        <v>2023</v>
      </c>
      <c r="C2620" s="1" t="s">
        <v>2505</v>
      </c>
      <c r="D2620" s="1" t="s">
        <v>2506</v>
      </c>
      <c r="E2620" s="1" t="s">
        <v>2019</v>
      </c>
      <c r="F2620" s="1" t="s">
        <v>261</v>
      </c>
      <c r="G2620" s="6">
        <v>23735</v>
      </c>
      <c r="H2620" t="str">
        <f>IFERROR(VLOOKUP(F2620,'LEAID Match'!$A$2:$B$142,2,FALSE),"")</f>
        <v/>
      </c>
    </row>
    <row r="2621" spans="1:8" x14ac:dyDescent="0.2">
      <c r="A2621" t="str">
        <f t="shared" si="40"/>
        <v/>
      </c>
      <c r="B2621" s="1">
        <v>2024</v>
      </c>
      <c r="C2621" s="1" t="s">
        <v>2505</v>
      </c>
      <c r="D2621" s="1" t="s">
        <v>2506</v>
      </c>
      <c r="E2621" s="1" t="s">
        <v>2019</v>
      </c>
      <c r="F2621" s="1" t="s">
        <v>261</v>
      </c>
      <c r="G2621" s="6">
        <v>25889</v>
      </c>
      <c r="H2621" t="str">
        <f>IFERROR(VLOOKUP(F2621,'LEAID Match'!$A$2:$B$142,2,FALSE),"")</f>
        <v/>
      </c>
    </row>
    <row r="2622" spans="1:8" x14ac:dyDescent="0.2">
      <c r="A2622" t="str">
        <f t="shared" si="40"/>
        <v/>
      </c>
      <c r="B2622" s="1">
        <v>2015</v>
      </c>
      <c r="C2622" s="1" t="s">
        <v>2505</v>
      </c>
      <c r="D2622" s="1" t="s">
        <v>2506</v>
      </c>
      <c r="E2622" s="1" t="s">
        <v>2019</v>
      </c>
      <c r="F2622" s="1" t="s">
        <v>262</v>
      </c>
      <c r="G2622" s="6">
        <v>213820</v>
      </c>
      <c r="H2622" t="str">
        <f>IFERROR(VLOOKUP(F2622,'LEAID Match'!$A$2:$B$142,2,FALSE),"")</f>
        <v/>
      </c>
    </row>
    <row r="2623" spans="1:8" x14ac:dyDescent="0.2">
      <c r="A2623" t="str">
        <f t="shared" si="40"/>
        <v/>
      </c>
      <c r="B2623">
        <v>2016</v>
      </c>
      <c r="C2623" s="1" t="s">
        <v>2505</v>
      </c>
      <c r="D2623" s="1" t="s">
        <v>2506</v>
      </c>
      <c r="E2623" s="1" t="s">
        <v>2019</v>
      </c>
      <c r="F2623" s="1" t="s">
        <v>262</v>
      </c>
      <c r="G2623" s="12">
        <v>192896</v>
      </c>
      <c r="H2623" t="str">
        <f>IFERROR(VLOOKUP(F2623,'LEAID Match'!$A$2:$B$142,2,FALSE),"")</f>
        <v/>
      </c>
    </row>
    <row r="2624" spans="1:8" x14ac:dyDescent="0.2">
      <c r="A2624" t="str">
        <f t="shared" si="40"/>
        <v/>
      </c>
      <c r="B2624" s="1">
        <v>2017</v>
      </c>
      <c r="C2624" s="1" t="s">
        <v>2505</v>
      </c>
      <c r="D2624" s="1" t="s">
        <v>2506</v>
      </c>
      <c r="E2624" s="1" t="s">
        <v>2019</v>
      </c>
      <c r="F2624" s="1" t="s">
        <v>262</v>
      </c>
      <c r="G2624" s="47">
        <v>185719</v>
      </c>
      <c r="H2624" t="str">
        <f>IFERROR(VLOOKUP(F2624,'LEAID Match'!$A$2:$B$142,2,FALSE),"")</f>
        <v/>
      </c>
    </row>
    <row r="2625" spans="1:8" x14ac:dyDescent="0.2">
      <c r="A2625" t="str">
        <f t="shared" si="40"/>
        <v/>
      </c>
      <c r="B2625" s="1">
        <v>2018</v>
      </c>
      <c r="C2625" s="1" t="s">
        <v>2505</v>
      </c>
      <c r="D2625" s="1" t="s">
        <v>2506</v>
      </c>
      <c r="E2625" s="1" t="s">
        <v>2019</v>
      </c>
      <c r="F2625" s="1" t="s">
        <v>262</v>
      </c>
      <c r="G2625" s="6">
        <v>184096</v>
      </c>
      <c r="H2625" t="str">
        <f>IFERROR(VLOOKUP(F2625,'LEAID Match'!$A$2:$B$142,2,FALSE),"")</f>
        <v/>
      </c>
    </row>
    <row r="2626" spans="1:8" x14ac:dyDescent="0.2">
      <c r="A2626" t="str">
        <f t="shared" si="40"/>
        <v/>
      </c>
      <c r="B2626" s="1">
        <v>2019</v>
      </c>
      <c r="C2626" s="1" t="s">
        <v>2505</v>
      </c>
      <c r="D2626" s="1" t="s">
        <v>2506</v>
      </c>
      <c r="E2626" s="1" t="s">
        <v>2019</v>
      </c>
      <c r="F2626" s="1" t="s">
        <v>262</v>
      </c>
      <c r="G2626" s="6">
        <v>183119</v>
      </c>
      <c r="H2626" t="str">
        <f>IFERROR(VLOOKUP(F2626,'LEAID Match'!$A$2:$B$142,2,FALSE),"")</f>
        <v/>
      </c>
    </row>
    <row r="2627" spans="1:8" x14ac:dyDescent="0.2">
      <c r="A2627" t="str">
        <f t="shared" ref="A2627:A2690" si="41">H2627</f>
        <v/>
      </c>
      <c r="B2627" s="1">
        <v>2020</v>
      </c>
      <c r="C2627" s="1" t="s">
        <v>2505</v>
      </c>
      <c r="D2627" s="1" t="s">
        <v>2506</v>
      </c>
      <c r="E2627" s="1" t="s">
        <v>2019</v>
      </c>
      <c r="F2627" s="1" t="s">
        <v>262</v>
      </c>
      <c r="G2627" s="6">
        <v>207013</v>
      </c>
      <c r="H2627" t="str">
        <f>IFERROR(VLOOKUP(F2627,'LEAID Match'!$A$2:$B$142,2,FALSE),"")</f>
        <v/>
      </c>
    </row>
    <row r="2628" spans="1:8" x14ac:dyDescent="0.2">
      <c r="A2628" t="str">
        <f t="shared" si="41"/>
        <v/>
      </c>
      <c r="B2628" s="1">
        <v>2021</v>
      </c>
      <c r="C2628" s="1" t="s">
        <v>2505</v>
      </c>
      <c r="D2628" s="1" t="s">
        <v>2506</v>
      </c>
      <c r="E2628" s="1" t="s">
        <v>2019</v>
      </c>
      <c r="F2628" s="1" t="s">
        <v>262</v>
      </c>
      <c r="G2628" s="6">
        <v>218723</v>
      </c>
      <c r="H2628" t="str">
        <f>IFERROR(VLOOKUP(F2628,'LEAID Match'!$A$2:$B$142,2,FALSE),"")</f>
        <v/>
      </c>
    </row>
    <row r="2629" spans="1:8" x14ac:dyDescent="0.2">
      <c r="A2629" t="str">
        <f t="shared" si="41"/>
        <v/>
      </c>
      <c r="B2629" s="1">
        <v>2022</v>
      </c>
      <c r="C2629" s="1" t="s">
        <v>2505</v>
      </c>
      <c r="D2629" s="1" t="s">
        <v>2506</v>
      </c>
      <c r="E2629" s="1" t="s">
        <v>2019</v>
      </c>
      <c r="F2629" s="1" t="s">
        <v>262</v>
      </c>
      <c r="G2629" s="6">
        <v>255088</v>
      </c>
      <c r="H2629" t="str">
        <f>IFERROR(VLOOKUP(F2629,'LEAID Match'!$A$2:$B$142,2,FALSE),"")</f>
        <v/>
      </c>
    </row>
    <row r="2630" spans="1:8" x14ac:dyDescent="0.2">
      <c r="A2630" t="str">
        <f t="shared" si="41"/>
        <v/>
      </c>
      <c r="B2630" s="1">
        <v>2023</v>
      </c>
      <c r="C2630" s="1" t="s">
        <v>2505</v>
      </c>
      <c r="D2630" s="1" t="s">
        <v>2506</v>
      </c>
      <c r="E2630" s="1" t="s">
        <v>2019</v>
      </c>
      <c r="F2630" s="1" t="s">
        <v>262</v>
      </c>
      <c r="G2630" s="6">
        <v>241121</v>
      </c>
      <c r="H2630" t="str">
        <f>IFERROR(VLOOKUP(F2630,'LEAID Match'!$A$2:$B$142,2,FALSE),"")</f>
        <v/>
      </c>
    </row>
    <row r="2631" spans="1:8" x14ac:dyDescent="0.2">
      <c r="A2631" t="str">
        <f t="shared" si="41"/>
        <v/>
      </c>
      <c r="B2631" s="1">
        <v>2024</v>
      </c>
      <c r="C2631" s="1" t="s">
        <v>2505</v>
      </c>
      <c r="D2631" s="1" t="s">
        <v>2506</v>
      </c>
      <c r="E2631" s="1" t="s">
        <v>2019</v>
      </c>
      <c r="F2631" s="1" t="s">
        <v>262</v>
      </c>
      <c r="G2631" s="6">
        <v>263804</v>
      </c>
      <c r="H2631" t="str">
        <f>IFERROR(VLOOKUP(F2631,'LEAID Match'!$A$2:$B$142,2,FALSE),"")</f>
        <v/>
      </c>
    </row>
    <row r="2632" spans="1:8" x14ac:dyDescent="0.2">
      <c r="A2632" t="str">
        <f t="shared" si="41"/>
        <v/>
      </c>
      <c r="B2632" s="1">
        <v>2015</v>
      </c>
      <c r="C2632" s="1" t="s">
        <v>2505</v>
      </c>
      <c r="D2632" s="1" t="s">
        <v>2506</v>
      </c>
      <c r="E2632" s="1" t="s">
        <v>2019</v>
      </c>
      <c r="F2632" s="1" t="s">
        <v>263</v>
      </c>
      <c r="G2632" s="6">
        <v>11655</v>
      </c>
      <c r="H2632" t="str">
        <f>IFERROR(VLOOKUP(F2632,'LEAID Match'!$A$2:$B$142,2,FALSE),"")</f>
        <v/>
      </c>
    </row>
    <row r="2633" spans="1:8" x14ac:dyDescent="0.2">
      <c r="A2633" t="str">
        <f t="shared" si="41"/>
        <v/>
      </c>
      <c r="B2633">
        <v>2016</v>
      </c>
      <c r="C2633" s="1" t="s">
        <v>2505</v>
      </c>
      <c r="D2633" s="1" t="s">
        <v>2506</v>
      </c>
      <c r="E2633" s="1" t="s">
        <v>2019</v>
      </c>
      <c r="F2633" s="1" t="s">
        <v>263</v>
      </c>
      <c r="G2633" s="12">
        <v>11766</v>
      </c>
      <c r="H2633" t="str">
        <f>IFERROR(VLOOKUP(F2633,'LEAID Match'!$A$2:$B$142,2,FALSE),"")</f>
        <v/>
      </c>
    </row>
    <row r="2634" spans="1:8" x14ac:dyDescent="0.2">
      <c r="A2634" t="str">
        <f t="shared" si="41"/>
        <v/>
      </c>
      <c r="B2634" s="1">
        <v>2017</v>
      </c>
      <c r="C2634" s="1" t="s">
        <v>2505</v>
      </c>
      <c r="D2634" s="1" t="s">
        <v>2506</v>
      </c>
      <c r="E2634" s="1" t="s">
        <v>2019</v>
      </c>
      <c r="F2634" s="1" t="s">
        <v>263</v>
      </c>
      <c r="G2634" s="47">
        <v>11719</v>
      </c>
      <c r="H2634" t="str">
        <f>IFERROR(VLOOKUP(F2634,'LEAID Match'!$A$2:$B$142,2,FALSE),"")</f>
        <v/>
      </c>
    </row>
    <row r="2635" spans="1:8" x14ac:dyDescent="0.2">
      <c r="A2635" t="str">
        <f t="shared" si="41"/>
        <v/>
      </c>
      <c r="B2635" s="1">
        <v>2018</v>
      </c>
      <c r="C2635" s="1" t="s">
        <v>2505</v>
      </c>
      <c r="D2635" s="1" t="s">
        <v>2506</v>
      </c>
      <c r="E2635" s="1" t="s">
        <v>2019</v>
      </c>
      <c r="F2635" s="1" t="s">
        <v>263</v>
      </c>
      <c r="G2635" s="6">
        <v>11857</v>
      </c>
      <c r="H2635" t="str">
        <f>IFERROR(VLOOKUP(F2635,'LEAID Match'!$A$2:$B$142,2,FALSE),"")</f>
        <v/>
      </c>
    </row>
    <row r="2636" spans="1:8" x14ac:dyDescent="0.2">
      <c r="A2636" t="str">
        <f t="shared" si="41"/>
        <v/>
      </c>
      <c r="B2636" s="1">
        <v>2019</v>
      </c>
      <c r="C2636" s="1" t="s">
        <v>2505</v>
      </c>
      <c r="D2636" s="1" t="s">
        <v>2506</v>
      </c>
      <c r="E2636" s="1" t="s">
        <v>2019</v>
      </c>
      <c r="F2636" s="1" t="s">
        <v>263</v>
      </c>
      <c r="G2636" s="6">
        <v>11843</v>
      </c>
      <c r="H2636" t="str">
        <f>IFERROR(VLOOKUP(F2636,'LEAID Match'!$A$2:$B$142,2,FALSE),"")</f>
        <v/>
      </c>
    </row>
    <row r="2637" spans="1:8" x14ac:dyDescent="0.2">
      <c r="A2637" t="str">
        <f t="shared" si="41"/>
        <v/>
      </c>
      <c r="B2637" s="1">
        <v>2020</v>
      </c>
      <c r="C2637" s="1" t="s">
        <v>2505</v>
      </c>
      <c r="D2637" s="1" t="s">
        <v>2506</v>
      </c>
      <c r="E2637" s="1" t="s">
        <v>2019</v>
      </c>
      <c r="F2637" s="1" t="s">
        <v>263</v>
      </c>
      <c r="G2637" s="6">
        <v>13083</v>
      </c>
      <c r="H2637" t="str">
        <f>IFERROR(VLOOKUP(F2637,'LEAID Match'!$A$2:$B$142,2,FALSE),"")</f>
        <v/>
      </c>
    </row>
    <row r="2638" spans="1:8" x14ac:dyDescent="0.2">
      <c r="A2638" t="str">
        <f t="shared" si="41"/>
        <v/>
      </c>
      <c r="B2638" s="1">
        <v>2021</v>
      </c>
      <c r="C2638" s="1" t="s">
        <v>2505</v>
      </c>
      <c r="D2638" s="1" t="s">
        <v>2506</v>
      </c>
      <c r="E2638" s="1" t="s">
        <v>2019</v>
      </c>
      <c r="F2638" s="1" t="s">
        <v>263</v>
      </c>
      <c r="G2638" s="6">
        <v>9855</v>
      </c>
      <c r="H2638" t="str">
        <f>IFERROR(VLOOKUP(F2638,'LEAID Match'!$A$2:$B$142,2,FALSE),"")</f>
        <v/>
      </c>
    </row>
    <row r="2639" spans="1:8" x14ac:dyDescent="0.2">
      <c r="A2639" t="str">
        <f t="shared" si="41"/>
        <v/>
      </c>
      <c r="B2639" s="1">
        <v>2022</v>
      </c>
      <c r="C2639" s="1" t="s">
        <v>2505</v>
      </c>
      <c r="D2639" s="1" t="s">
        <v>2506</v>
      </c>
      <c r="E2639" s="1" t="s">
        <v>2019</v>
      </c>
      <c r="F2639" s="1" t="s">
        <v>263</v>
      </c>
      <c r="G2639" s="6">
        <v>5513</v>
      </c>
      <c r="H2639" t="str">
        <f>IFERROR(VLOOKUP(F2639,'LEAID Match'!$A$2:$B$142,2,FALSE),"")</f>
        <v/>
      </c>
    </row>
    <row r="2640" spans="1:8" x14ac:dyDescent="0.2">
      <c r="A2640" t="str">
        <f t="shared" si="41"/>
        <v/>
      </c>
      <c r="B2640" s="1">
        <v>2023</v>
      </c>
      <c r="C2640" s="1" t="s">
        <v>2505</v>
      </c>
      <c r="D2640" s="1" t="s">
        <v>2506</v>
      </c>
      <c r="E2640" s="1" t="s">
        <v>2019</v>
      </c>
      <c r="F2640" s="1" t="s">
        <v>263</v>
      </c>
      <c r="G2640" s="6">
        <v>11970</v>
      </c>
      <c r="H2640" t="str">
        <f>IFERROR(VLOOKUP(F2640,'LEAID Match'!$A$2:$B$142,2,FALSE),"")</f>
        <v/>
      </c>
    </row>
    <row r="2641" spans="1:8" x14ac:dyDescent="0.2">
      <c r="A2641" t="str">
        <f t="shared" si="41"/>
        <v/>
      </c>
      <c r="B2641" s="1">
        <v>2024</v>
      </c>
      <c r="C2641" s="1" t="s">
        <v>2505</v>
      </c>
      <c r="D2641" s="1" t="s">
        <v>2506</v>
      </c>
      <c r="E2641" s="1" t="s">
        <v>2019</v>
      </c>
      <c r="F2641" s="1" t="s">
        <v>263</v>
      </c>
      <c r="G2641" s="6">
        <v>10653</v>
      </c>
      <c r="H2641" t="str">
        <f>IFERROR(VLOOKUP(F2641,'LEAID Match'!$A$2:$B$142,2,FALSE),"")</f>
        <v/>
      </c>
    </row>
    <row r="2642" spans="1:8" x14ac:dyDescent="0.2">
      <c r="A2642" t="str">
        <f t="shared" si="41"/>
        <v/>
      </c>
      <c r="B2642" s="1">
        <v>2015</v>
      </c>
      <c r="C2642" s="1" t="s">
        <v>2505</v>
      </c>
      <c r="D2642" s="1" t="s">
        <v>2506</v>
      </c>
      <c r="E2642" s="1" t="s">
        <v>2019</v>
      </c>
      <c r="F2642" s="1" t="s">
        <v>264</v>
      </c>
      <c r="G2642" s="6">
        <v>73583</v>
      </c>
      <c r="H2642" t="str">
        <f>IFERROR(VLOOKUP(F2642,'LEAID Match'!$A$2:$B$142,2,FALSE),"")</f>
        <v/>
      </c>
    </row>
    <row r="2643" spans="1:8" x14ac:dyDescent="0.2">
      <c r="A2643" t="str">
        <f t="shared" si="41"/>
        <v/>
      </c>
      <c r="B2643">
        <v>2016</v>
      </c>
      <c r="C2643" s="1" t="s">
        <v>2505</v>
      </c>
      <c r="D2643" s="1" t="s">
        <v>2506</v>
      </c>
      <c r="E2643" s="1" t="s">
        <v>2019</v>
      </c>
      <c r="F2643" s="1" t="s">
        <v>264</v>
      </c>
      <c r="G2643" s="12">
        <v>77448</v>
      </c>
      <c r="H2643" t="str">
        <f>IFERROR(VLOOKUP(F2643,'LEAID Match'!$A$2:$B$142,2,FALSE),"")</f>
        <v/>
      </c>
    </row>
    <row r="2644" spans="1:8" x14ac:dyDescent="0.2">
      <c r="A2644" t="str">
        <f t="shared" si="41"/>
        <v/>
      </c>
      <c r="B2644" s="1">
        <v>2017</v>
      </c>
      <c r="C2644" s="1" t="s">
        <v>2505</v>
      </c>
      <c r="D2644" s="1" t="s">
        <v>2506</v>
      </c>
      <c r="E2644" s="1" t="s">
        <v>2019</v>
      </c>
      <c r="F2644" s="1" t="s">
        <v>264</v>
      </c>
      <c r="G2644" s="47">
        <v>82344</v>
      </c>
      <c r="H2644" t="str">
        <f>IFERROR(VLOOKUP(F2644,'LEAID Match'!$A$2:$B$142,2,FALSE),"")</f>
        <v/>
      </c>
    </row>
    <row r="2645" spans="1:8" x14ac:dyDescent="0.2">
      <c r="A2645" t="str">
        <f t="shared" si="41"/>
        <v/>
      </c>
      <c r="B2645" s="1">
        <v>2018</v>
      </c>
      <c r="C2645" s="1" t="s">
        <v>2505</v>
      </c>
      <c r="D2645" s="1" t="s">
        <v>2506</v>
      </c>
      <c r="E2645" s="1" t="s">
        <v>2019</v>
      </c>
      <c r="F2645" s="1" t="s">
        <v>264</v>
      </c>
      <c r="G2645" s="6">
        <v>84558</v>
      </c>
      <c r="H2645" t="str">
        <f>IFERROR(VLOOKUP(F2645,'LEAID Match'!$A$2:$B$142,2,FALSE),"")</f>
        <v/>
      </c>
    </row>
    <row r="2646" spans="1:8" x14ac:dyDescent="0.2">
      <c r="A2646" t="str">
        <f t="shared" si="41"/>
        <v/>
      </c>
      <c r="B2646" s="1">
        <v>2019</v>
      </c>
      <c r="C2646" s="1" t="s">
        <v>2505</v>
      </c>
      <c r="D2646" s="1" t="s">
        <v>2506</v>
      </c>
      <c r="E2646" s="1" t="s">
        <v>2019</v>
      </c>
      <c r="F2646" s="1" t="s">
        <v>264</v>
      </c>
      <c r="G2646" s="6">
        <v>92934</v>
      </c>
      <c r="H2646" t="str">
        <f>IFERROR(VLOOKUP(F2646,'LEAID Match'!$A$2:$B$142,2,FALSE),"")</f>
        <v/>
      </c>
    </row>
    <row r="2647" spans="1:8" x14ac:dyDescent="0.2">
      <c r="A2647" t="str">
        <f t="shared" si="41"/>
        <v/>
      </c>
      <c r="B2647" s="1">
        <v>2020</v>
      </c>
      <c r="C2647" s="1" t="s">
        <v>2505</v>
      </c>
      <c r="D2647" s="1" t="s">
        <v>2506</v>
      </c>
      <c r="E2647" s="1" t="s">
        <v>2019</v>
      </c>
      <c r="F2647" s="1" t="s">
        <v>264</v>
      </c>
      <c r="G2647" s="6">
        <v>116015</v>
      </c>
      <c r="H2647" t="str">
        <f>IFERROR(VLOOKUP(F2647,'LEAID Match'!$A$2:$B$142,2,FALSE),"")</f>
        <v/>
      </c>
    </row>
    <row r="2648" spans="1:8" x14ac:dyDescent="0.2">
      <c r="A2648" t="str">
        <f t="shared" si="41"/>
        <v/>
      </c>
      <c r="B2648" s="1">
        <v>2021</v>
      </c>
      <c r="C2648" s="1" t="s">
        <v>2505</v>
      </c>
      <c r="D2648" s="1" t="s">
        <v>2506</v>
      </c>
      <c r="E2648" s="1" t="s">
        <v>2019</v>
      </c>
      <c r="F2648" s="1" t="s">
        <v>264</v>
      </c>
      <c r="G2648" s="6">
        <v>134095</v>
      </c>
      <c r="H2648" t="str">
        <f>IFERROR(VLOOKUP(F2648,'LEAID Match'!$A$2:$B$142,2,FALSE),"")</f>
        <v/>
      </c>
    </row>
    <row r="2649" spans="1:8" x14ac:dyDescent="0.2">
      <c r="A2649" t="str">
        <f t="shared" si="41"/>
        <v/>
      </c>
      <c r="B2649" s="1">
        <v>2022</v>
      </c>
      <c r="C2649" s="1" t="s">
        <v>2505</v>
      </c>
      <c r="D2649" s="1" t="s">
        <v>2506</v>
      </c>
      <c r="E2649" s="1" t="s">
        <v>2019</v>
      </c>
      <c r="F2649" s="1" t="s">
        <v>264</v>
      </c>
      <c r="G2649" s="6">
        <v>148360</v>
      </c>
      <c r="H2649" t="str">
        <f>IFERROR(VLOOKUP(F2649,'LEAID Match'!$A$2:$B$142,2,FALSE),"")</f>
        <v/>
      </c>
    </row>
    <row r="2650" spans="1:8" x14ac:dyDescent="0.2">
      <c r="A2650" t="str">
        <f t="shared" si="41"/>
        <v/>
      </c>
      <c r="B2650" s="1">
        <v>2023</v>
      </c>
      <c r="C2650" s="1" t="s">
        <v>2505</v>
      </c>
      <c r="D2650" s="1" t="s">
        <v>2506</v>
      </c>
      <c r="E2650" s="1" t="s">
        <v>2019</v>
      </c>
      <c r="F2650" s="1" t="s">
        <v>264</v>
      </c>
      <c r="G2650" s="6">
        <v>155313</v>
      </c>
      <c r="H2650" t="str">
        <f>IFERROR(VLOOKUP(F2650,'LEAID Match'!$A$2:$B$142,2,FALSE),"")</f>
        <v/>
      </c>
    </row>
    <row r="2651" spans="1:8" x14ac:dyDescent="0.2">
      <c r="A2651" t="str">
        <f t="shared" si="41"/>
        <v/>
      </c>
      <c r="B2651" s="1">
        <v>2024</v>
      </c>
      <c r="C2651" s="1" t="s">
        <v>2505</v>
      </c>
      <c r="D2651" s="1" t="s">
        <v>2506</v>
      </c>
      <c r="E2651" s="1" t="s">
        <v>2019</v>
      </c>
      <c r="F2651" s="1" t="s">
        <v>264</v>
      </c>
      <c r="G2651" s="6">
        <v>172784</v>
      </c>
      <c r="H2651" t="str">
        <f>IFERROR(VLOOKUP(F2651,'LEAID Match'!$A$2:$B$142,2,FALSE),"")</f>
        <v/>
      </c>
    </row>
    <row r="2652" spans="1:8" x14ac:dyDescent="0.2">
      <c r="A2652" t="str">
        <f t="shared" si="41"/>
        <v/>
      </c>
      <c r="B2652" s="1">
        <v>2015</v>
      </c>
      <c r="C2652" s="1" t="s">
        <v>2505</v>
      </c>
      <c r="D2652" s="1" t="s">
        <v>2506</v>
      </c>
      <c r="E2652" s="1" t="s">
        <v>2019</v>
      </c>
      <c r="F2652" s="1" t="s">
        <v>265</v>
      </c>
      <c r="G2652" s="6">
        <v>87446</v>
      </c>
      <c r="H2652" t="str">
        <f>IFERROR(VLOOKUP(F2652,'LEAID Match'!$A$2:$B$142,2,FALSE),"")</f>
        <v/>
      </c>
    </row>
    <row r="2653" spans="1:8" x14ac:dyDescent="0.2">
      <c r="A2653" t="str">
        <f t="shared" si="41"/>
        <v/>
      </c>
      <c r="B2653">
        <v>2016</v>
      </c>
      <c r="C2653" s="1" t="s">
        <v>2505</v>
      </c>
      <c r="D2653" s="1" t="s">
        <v>2506</v>
      </c>
      <c r="E2653" s="1" t="s">
        <v>2019</v>
      </c>
      <c r="F2653" s="1" t="s">
        <v>265</v>
      </c>
      <c r="G2653" s="12">
        <v>80898</v>
      </c>
      <c r="H2653" t="str">
        <f>IFERROR(VLOOKUP(F2653,'LEAID Match'!$A$2:$B$142,2,FALSE),"")</f>
        <v/>
      </c>
    </row>
    <row r="2654" spans="1:8" x14ac:dyDescent="0.2">
      <c r="A2654" t="str">
        <f t="shared" si="41"/>
        <v/>
      </c>
      <c r="B2654" s="1">
        <v>2017</v>
      </c>
      <c r="C2654" s="1" t="s">
        <v>2505</v>
      </c>
      <c r="D2654" s="1" t="s">
        <v>2506</v>
      </c>
      <c r="E2654" s="1" t="s">
        <v>2019</v>
      </c>
      <c r="F2654" s="1" t="s">
        <v>265</v>
      </c>
      <c r="G2654" s="47">
        <v>78164</v>
      </c>
      <c r="H2654" t="str">
        <f>IFERROR(VLOOKUP(F2654,'LEAID Match'!$A$2:$B$142,2,FALSE),"")</f>
        <v/>
      </c>
    </row>
    <row r="2655" spans="1:8" x14ac:dyDescent="0.2">
      <c r="A2655" t="str">
        <f t="shared" si="41"/>
        <v/>
      </c>
      <c r="B2655" s="1">
        <v>2018</v>
      </c>
      <c r="C2655" s="1" t="s">
        <v>2505</v>
      </c>
      <c r="D2655" s="1" t="s">
        <v>2506</v>
      </c>
      <c r="E2655" s="1" t="s">
        <v>2019</v>
      </c>
      <c r="F2655" s="1" t="s">
        <v>265</v>
      </c>
      <c r="G2655" s="6">
        <v>81105</v>
      </c>
      <c r="H2655" t="str">
        <f>IFERROR(VLOOKUP(F2655,'LEAID Match'!$A$2:$B$142,2,FALSE),"")</f>
        <v/>
      </c>
    </row>
    <row r="2656" spans="1:8" x14ac:dyDescent="0.2">
      <c r="A2656" t="str">
        <f t="shared" si="41"/>
        <v/>
      </c>
      <c r="B2656" s="1">
        <v>2019</v>
      </c>
      <c r="C2656" s="1" t="s">
        <v>2505</v>
      </c>
      <c r="D2656" s="1" t="s">
        <v>2506</v>
      </c>
      <c r="E2656" s="1" t="s">
        <v>2019</v>
      </c>
      <c r="F2656" s="1" t="s">
        <v>265</v>
      </c>
      <c r="G2656" s="6">
        <v>70486</v>
      </c>
      <c r="H2656" t="str">
        <f>IFERROR(VLOOKUP(F2656,'LEAID Match'!$A$2:$B$142,2,FALSE),"")</f>
        <v/>
      </c>
    </row>
    <row r="2657" spans="1:8" x14ac:dyDescent="0.2">
      <c r="A2657" t="str">
        <f t="shared" si="41"/>
        <v/>
      </c>
      <c r="B2657" s="1">
        <v>2020</v>
      </c>
      <c r="C2657" s="1" t="s">
        <v>2505</v>
      </c>
      <c r="D2657" s="1" t="s">
        <v>2506</v>
      </c>
      <c r="E2657" s="1" t="s">
        <v>2019</v>
      </c>
      <c r="F2657" s="1" t="s">
        <v>265</v>
      </c>
      <c r="G2657" s="6">
        <v>74834</v>
      </c>
      <c r="H2657" t="str">
        <f>IFERROR(VLOOKUP(F2657,'LEAID Match'!$A$2:$B$142,2,FALSE),"")</f>
        <v/>
      </c>
    </row>
    <row r="2658" spans="1:8" x14ac:dyDescent="0.2">
      <c r="A2658" t="str">
        <f t="shared" si="41"/>
        <v/>
      </c>
      <c r="B2658" s="1">
        <v>2021</v>
      </c>
      <c r="C2658" s="1" t="s">
        <v>2505</v>
      </c>
      <c r="D2658" s="1" t="s">
        <v>2506</v>
      </c>
      <c r="E2658" s="1" t="s">
        <v>2019</v>
      </c>
      <c r="F2658" s="1" t="s">
        <v>265</v>
      </c>
      <c r="G2658" s="6">
        <v>80762</v>
      </c>
      <c r="H2658" t="str">
        <f>IFERROR(VLOOKUP(F2658,'LEAID Match'!$A$2:$B$142,2,FALSE),"")</f>
        <v/>
      </c>
    </row>
    <row r="2659" spans="1:8" x14ac:dyDescent="0.2">
      <c r="A2659" t="str">
        <f t="shared" si="41"/>
        <v/>
      </c>
      <c r="B2659" s="1">
        <v>2022</v>
      </c>
      <c r="C2659" s="1" t="s">
        <v>2505</v>
      </c>
      <c r="D2659" s="1" t="s">
        <v>2506</v>
      </c>
      <c r="E2659" s="1" t="s">
        <v>2019</v>
      </c>
      <c r="F2659" s="1" t="s">
        <v>265</v>
      </c>
      <c r="G2659" s="6">
        <v>84382</v>
      </c>
      <c r="H2659" t="str">
        <f>IFERROR(VLOOKUP(F2659,'LEAID Match'!$A$2:$B$142,2,FALSE),"")</f>
        <v/>
      </c>
    </row>
    <row r="2660" spans="1:8" x14ac:dyDescent="0.2">
      <c r="A2660" t="str">
        <f t="shared" si="41"/>
        <v/>
      </c>
      <c r="B2660" s="1">
        <v>2023</v>
      </c>
      <c r="C2660" s="1" t="s">
        <v>2505</v>
      </c>
      <c r="D2660" s="1" t="s">
        <v>2506</v>
      </c>
      <c r="E2660" s="1" t="s">
        <v>2019</v>
      </c>
      <c r="F2660" s="1" t="s">
        <v>265</v>
      </c>
      <c r="G2660" s="6">
        <v>82952</v>
      </c>
      <c r="H2660" t="str">
        <f>IFERROR(VLOOKUP(F2660,'LEAID Match'!$A$2:$B$142,2,FALSE),"")</f>
        <v/>
      </c>
    </row>
    <row r="2661" spans="1:8" x14ac:dyDescent="0.2">
      <c r="A2661" t="str">
        <f t="shared" si="41"/>
        <v/>
      </c>
      <c r="B2661" s="1">
        <v>2024</v>
      </c>
      <c r="C2661" s="1" t="s">
        <v>2505</v>
      </c>
      <c r="D2661" s="1" t="s">
        <v>2506</v>
      </c>
      <c r="E2661" s="1" t="s">
        <v>2019</v>
      </c>
      <c r="F2661" s="1" t="s">
        <v>265</v>
      </c>
      <c r="G2661" s="6">
        <v>96450</v>
      </c>
      <c r="H2661" t="str">
        <f>IFERROR(VLOOKUP(F2661,'LEAID Match'!$A$2:$B$142,2,FALSE),"")</f>
        <v/>
      </c>
    </row>
    <row r="2662" spans="1:8" x14ac:dyDescent="0.2">
      <c r="A2662" t="str">
        <f t="shared" si="41"/>
        <v/>
      </c>
      <c r="B2662" s="1">
        <v>2015</v>
      </c>
      <c r="C2662" s="1" t="s">
        <v>2505</v>
      </c>
      <c r="D2662" s="1" t="s">
        <v>2506</v>
      </c>
      <c r="E2662" s="1" t="s">
        <v>2019</v>
      </c>
      <c r="F2662" s="1" t="s">
        <v>1420</v>
      </c>
      <c r="G2662" s="6">
        <v>1905283</v>
      </c>
      <c r="H2662" t="str">
        <f>IFERROR(VLOOKUP(F2662,'LEAID Match'!$A$2:$B$142,2,FALSE),"")</f>
        <v/>
      </c>
    </row>
    <row r="2663" spans="1:8" x14ac:dyDescent="0.2">
      <c r="A2663" t="str">
        <f t="shared" si="41"/>
        <v/>
      </c>
      <c r="B2663">
        <v>2016</v>
      </c>
      <c r="C2663" s="1" t="s">
        <v>2505</v>
      </c>
      <c r="D2663" s="1" t="s">
        <v>2506</v>
      </c>
      <c r="E2663" s="1" t="s">
        <v>2019</v>
      </c>
      <c r="F2663" t="s">
        <v>1420</v>
      </c>
      <c r="G2663" s="12">
        <v>1874092</v>
      </c>
      <c r="H2663" t="str">
        <f>IFERROR(VLOOKUP(F2663,'LEAID Match'!$A$2:$B$142,2,FALSE),"")</f>
        <v/>
      </c>
    </row>
    <row r="2664" spans="1:8" x14ac:dyDescent="0.2">
      <c r="A2664" t="str">
        <f t="shared" si="41"/>
        <v/>
      </c>
      <c r="B2664" s="1">
        <v>2017</v>
      </c>
      <c r="C2664" s="1" t="s">
        <v>2505</v>
      </c>
      <c r="D2664" s="1" t="s">
        <v>2506</v>
      </c>
      <c r="E2664" s="1" t="s">
        <v>2019</v>
      </c>
      <c r="F2664" s="37" t="s">
        <v>1420</v>
      </c>
      <c r="G2664" s="47">
        <v>1903812</v>
      </c>
      <c r="H2664" t="str">
        <f>IFERROR(VLOOKUP(F2664,'LEAID Match'!$A$2:$B$142,2,FALSE),"")</f>
        <v/>
      </c>
    </row>
    <row r="2665" spans="1:8" x14ac:dyDescent="0.2">
      <c r="A2665" t="str">
        <f t="shared" si="41"/>
        <v/>
      </c>
      <c r="B2665" s="1">
        <v>2018</v>
      </c>
      <c r="C2665" s="1" t="s">
        <v>2505</v>
      </c>
      <c r="D2665" s="1" t="s">
        <v>2506</v>
      </c>
      <c r="E2665" s="1" t="s">
        <v>2019</v>
      </c>
      <c r="F2665" s="1" t="s">
        <v>1420</v>
      </c>
      <c r="G2665" s="6">
        <v>1468361</v>
      </c>
      <c r="H2665" t="str">
        <f>IFERROR(VLOOKUP(F2665,'LEAID Match'!$A$2:$B$142,2,FALSE),"")</f>
        <v/>
      </c>
    </row>
    <row r="2666" spans="1:8" x14ac:dyDescent="0.2">
      <c r="A2666" t="str">
        <f t="shared" si="41"/>
        <v/>
      </c>
      <c r="B2666" s="1">
        <v>2015</v>
      </c>
      <c r="C2666" s="1" t="s">
        <v>2505</v>
      </c>
      <c r="D2666" s="1" t="s">
        <v>2506</v>
      </c>
      <c r="E2666" s="1" t="s">
        <v>2019</v>
      </c>
      <c r="F2666" s="1" t="s">
        <v>1421</v>
      </c>
      <c r="G2666" s="6">
        <v>7769</v>
      </c>
      <c r="H2666" t="str">
        <f>IFERROR(VLOOKUP(F2666,'LEAID Match'!$A$2:$B$142,2,FALSE),"")</f>
        <v/>
      </c>
    </row>
    <row r="2667" spans="1:8" x14ac:dyDescent="0.2">
      <c r="A2667" t="str">
        <f t="shared" si="41"/>
        <v/>
      </c>
      <c r="B2667">
        <v>2016</v>
      </c>
      <c r="C2667" s="1" t="s">
        <v>2505</v>
      </c>
      <c r="D2667" s="1" t="s">
        <v>2506</v>
      </c>
      <c r="E2667" s="1" t="s">
        <v>2019</v>
      </c>
      <c r="F2667" t="s">
        <v>1421</v>
      </c>
      <c r="G2667" s="12">
        <v>8633</v>
      </c>
      <c r="H2667" t="str">
        <f>IFERROR(VLOOKUP(F2667,'LEAID Match'!$A$2:$B$142,2,FALSE),"")</f>
        <v/>
      </c>
    </row>
    <row r="2668" spans="1:8" x14ac:dyDescent="0.2">
      <c r="A2668" t="str">
        <f t="shared" si="41"/>
        <v/>
      </c>
      <c r="B2668" s="1">
        <v>2017</v>
      </c>
      <c r="C2668" s="1" t="s">
        <v>2505</v>
      </c>
      <c r="D2668" s="1" t="s">
        <v>2506</v>
      </c>
      <c r="E2668" s="1" t="s">
        <v>2019</v>
      </c>
      <c r="F2668" s="40" t="s">
        <v>1421</v>
      </c>
      <c r="G2668" s="51">
        <v>8926</v>
      </c>
      <c r="H2668" t="str">
        <f>IFERROR(VLOOKUP(F2668,'LEAID Match'!$A$2:$B$142,2,FALSE),"")</f>
        <v/>
      </c>
    </row>
    <row r="2669" spans="1:8" x14ac:dyDescent="0.2">
      <c r="A2669" t="str">
        <f t="shared" si="41"/>
        <v/>
      </c>
      <c r="B2669" s="1">
        <v>2018</v>
      </c>
      <c r="C2669" s="1" t="s">
        <v>2505</v>
      </c>
      <c r="D2669" s="1" t="s">
        <v>2506</v>
      </c>
      <c r="E2669" s="1" t="s">
        <v>2019</v>
      </c>
      <c r="F2669" s="1" t="s">
        <v>1421</v>
      </c>
      <c r="G2669" s="6">
        <v>8926</v>
      </c>
      <c r="H2669" t="str">
        <f>IFERROR(VLOOKUP(F2669,'LEAID Match'!$A$2:$B$142,2,FALSE),"")</f>
        <v/>
      </c>
    </row>
    <row r="2670" spans="1:8" x14ac:dyDescent="0.2">
      <c r="A2670" t="str">
        <f t="shared" si="41"/>
        <v/>
      </c>
      <c r="B2670" s="1">
        <v>2019</v>
      </c>
      <c r="C2670" s="1" t="s">
        <v>2505</v>
      </c>
      <c r="D2670" s="1" t="s">
        <v>2506</v>
      </c>
      <c r="E2670" s="1" t="s">
        <v>2019</v>
      </c>
      <c r="F2670" s="1" t="s">
        <v>266</v>
      </c>
      <c r="G2670" s="6">
        <v>8926</v>
      </c>
      <c r="H2670" t="str">
        <f>IFERROR(VLOOKUP(F2670,'LEAID Match'!$A$2:$B$142,2,FALSE),"")</f>
        <v/>
      </c>
    </row>
    <row r="2671" spans="1:8" x14ac:dyDescent="0.2">
      <c r="A2671" t="str">
        <f t="shared" si="41"/>
        <v/>
      </c>
      <c r="B2671" s="1">
        <v>2020</v>
      </c>
      <c r="C2671" s="1" t="s">
        <v>2505</v>
      </c>
      <c r="D2671" s="1" t="s">
        <v>2506</v>
      </c>
      <c r="E2671" s="1" t="s">
        <v>2019</v>
      </c>
      <c r="F2671" s="1" t="s">
        <v>266</v>
      </c>
      <c r="G2671" s="6">
        <v>9861</v>
      </c>
      <c r="H2671" t="str">
        <f>IFERROR(VLOOKUP(F2671,'LEAID Match'!$A$2:$B$142,2,FALSE),"")</f>
        <v/>
      </c>
    </row>
    <row r="2672" spans="1:8" x14ac:dyDescent="0.2">
      <c r="A2672" t="str">
        <f t="shared" si="41"/>
        <v/>
      </c>
      <c r="B2672" s="1">
        <v>2021</v>
      </c>
      <c r="C2672" s="1" t="s">
        <v>2505</v>
      </c>
      <c r="D2672" s="1" t="s">
        <v>2506</v>
      </c>
      <c r="E2672" s="1" t="s">
        <v>2019</v>
      </c>
      <c r="F2672" s="1" t="s">
        <v>266</v>
      </c>
      <c r="G2672" s="6">
        <v>9861</v>
      </c>
      <c r="H2672" t="str">
        <f>IFERROR(VLOOKUP(F2672,'LEAID Match'!$A$2:$B$142,2,FALSE),"")</f>
        <v/>
      </c>
    </row>
    <row r="2673" spans="1:8" x14ac:dyDescent="0.2">
      <c r="A2673" t="str">
        <f t="shared" si="41"/>
        <v/>
      </c>
      <c r="B2673" s="1">
        <v>2022</v>
      </c>
      <c r="C2673" s="1" t="s">
        <v>2505</v>
      </c>
      <c r="D2673" s="1" t="s">
        <v>2506</v>
      </c>
      <c r="E2673" s="1" t="s">
        <v>2019</v>
      </c>
      <c r="F2673" s="1" t="s">
        <v>266</v>
      </c>
      <c r="G2673" s="6">
        <v>9861</v>
      </c>
      <c r="H2673" t="str">
        <f>IFERROR(VLOOKUP(F2673,'LEAID Match'!$A$2:$B$142,2,FALSE),"")</f>
        <v/>
      </c>
    </row>
    <row r="2674" spans="1:8" x14ac:dyDescent="0.2">
      <c r="A2674" t="str">
        <f t="shared" si="41"/>
        <v/>
      </c>
      <c r="B2674" s="1">
        <v>2023</v>
      </c>
      <c r="C2674" s="1" t="s">
        <v>2505</v>
      </c>
      <c r="D2674" s="1" t="s">
        <v>2506</v>
      </c>
      <c r="E2674" s="1" t="s">
        <v>2019</v>
      </c>
      <c r="F2674" s="1" t="s">
        <v>266</v>
      </c>
      <c r="G2674" s="6">
        <v>9861</v>
      </c>
      <c r="H2674" t="str">
        <f>IFERROR(VLOOKUP(F2674,'LEAID Match'!$A$2:$B$142,2,FALSE),"")</f>
        <v/>
      </c>
    </row>
    <row r="2675" spans="1:8" x14ac:dyDescent="0.2">
      <c r="A2675" t="str">
        <f t="shared" si="41"/>
        <v/>
      </c>
      <c r="B2675" s="1">
        <v>2024</v>
      </c>
      <c r="C2675" s="1" t="s">
        <v>2505</v>
      </c>
      <c r="D2675" s="1" t="s">
        <v>2506</v>
      </c>
      <c r="E2675" s="1" t="s">
        <v>2019</v>
      </c>
      <c r="F2675" s="1" t="s">
        <v>266</v>
      </c>
      <c r="G2675" s="6">
        <v>9861</v>
      </c>
      <c r="H2675" t="str">
        <f>IFERROR(VLOOKUP(F2675,'LEAID Match'!$A$2:$B$142,2,FALSE),"")</f>
        <v/>
      </c>
    </row>
    <row r="2676" spans="1:8" x14ac:dyDescent="0.2">
      <c r="A2676">
        <f t="shared" si="41"/>
        <v>2801770</v>
      </c>
      <c r="B2676" s="1">
        <v>2015</v>
      </c>
      <c r="C2676" s="1" t="s">
        <v>2505</v>
      </c>
      <c r="D2676" s="1" t="s">
        <v>2506</v>
      </c>
      <c r="E2676" s="1" t="s">
        <v>2019</v>
      </c>
      <c r="F2676" s="1" t="s">
        <v>267</v>
      </c>
      <c r="G2676" s="6">
        <v>11079906</v>
      </c>
      <c r="H2676">
        <f>IFERROR(VLOOKUP(F2676,'LEAID Match'!$A$2:$B$142,2,FALSE),"")</f>
        <v>2801770</v>
      </c>
    </row>
    <row r="2677" spans="1:8" x14ac:dyDescent="0.2">
      <c r="A2677">
        <f t="shared" si="41"/>
        <v>2801770</v>
      </c>
      <c r="B2677">
        <v>2016</v>
      </c>
      <c r="C2677" s="1" t="s">
        <v>2505</v>
      </c>
      <c r="D2677" s="1" t="s">
        <v>2506</v>
      </c>
      <c r="E2677" s="1" t="s">
        <v>2019</v>
      </c>
      <c r="F2677" s="1" t="s">
        <v>267</v>
      </c>
      <c r="G2677" s="12">
        <v>11543238</v>
      </c>
      <c r="H2677">
        <f>IFERROR(VLOOKUP(F2677,'LEAID Match'!$A$2:$B$142,2,FALSE),"")</f>
        <v>2801770</v>
      </c>
    </row>
    <row r="2678" spans="1:8" x14ac:dyDescent="0.2">
      <c r="A2678">
        <f t="shared" si="41"/>
        <v>2801770</v>
      </c>
      <c r="B2678" s="1">
        <v>2017</v>
      </c>
      <c r="C2678" s="1" t="s">
        <v>2505</v>
      </c>
      <c r="D2678" s="1" t="s">
        <v>2506</v>
      </c>
      <c r="E2678" s="1" t="s">
        <v>2019</v>
      </c>
      <c r="F2678" s="1" t="s">
        <v>267</v>
      </c>
      <c r="G2678" s="51">
        <v>11558370</v>
      </c>
      <c r="H2678">
        <f>IFERROR(VLOOKUP(F2678,'LEAID Match'!$A$2:$B$142,2,FALSE),"")</f>
        <v>2801770</v>
      </c>
    </row>
    <row r="2679" spans="1:8" x14ac:dyDescent="0.2">
      <c r="A2679">
        <f t="shared" si="41"/>
        <v>2801770</v>
      </c>
      <c r="B2679" s="1">
        <v>2018</v>
      </c>
      <c r="C2679" s="1" t="s">
        <v>2505</v>
      </c>
      <c r="D2679" s="1" t="s">
        <v>2506</v>
      </c>
      <c r="E2679" s="1" t="s">
        <v>2019</v>
      </c>
      <c r="F2679" s="1" t="s">
        <v>267</v>
      </c>
      <c r="G2679" s="6">
        <v>11648555</v>
      </c>
      <c r="H2679">
        <f>IFERROR(VLOOKUP(F2679,'LEAID Match'!$A$2:$B$142,2,FALSE),"")</f>
        <v>2801770</v>
      </c>
    </row>
    <row r="2680" spans="1:8" x14ac:dyDescent="0.2">
      <c r="A2680">
        <f t="shared" si="41"/>
        <v>2801770</v>
      </c>
      <c r="B2680" s="1">
        <v>2019</v>
      </c>
      <c r="C2680" s="1" t="s">
        <v>2505</v>
      </c>
      <c r="D2680" s="1" t="s">
        <v>2506</v>
      </c>
      <c r="E2680" s="1" t="s">
        <v>2019</v>
      </c>
      <c r="F2680" s="1" t="s">
        <v>267</v>
      </c>
      <c r="G2680" s="6">
        <v>11966348</v>
      </c>
      <c r="H2680">
        <f>IFERROR(VLOOKUP(F2680,'LEAID Match'!$A$2:$B$142,2,FALSE),"")</f>
        <v>2801770</v>
      </c>
    </row>
    <row r="2681" spans="1:8" x14ac:dyDescent="0.2">
      <c r="A2681">
        <f t="shared" si="41"/>
        <v>2801770</v>
      </c>
      <c r="B2681" s="1">
        <v>2020</v>
      </c>
      <c r="C2681" s="1" t="s">
        <v>2505</v>
      </c>
      <c r="D2681" s="1" t="s">
        <v>2506</v>
      </c>
      <c r="E2681" s="1" t="s">
        <v>2019</v>
      </c>
      <c r="F2681" s="1" t="s">
        <v>267</v>
      </c>
      <c r="G2681" s="6">
        <v>14081696</v>
      </c>
      <c r="H2681">
        <f>IFERROR(VLOOKUP(F2681,'LEAID Match'!$A$2:$B$142,2,FALSE),"")</f>
        <v>2801770</v>
      </c>
    </row>
    <row r="2682" spans="1:8" x14ac:dyDescent="0.2">
      <c r="A2682">
        <f t="shared" si="41"/>
        <v>2801770</v>
      </c>
      <c r="B2682" s="1">
        <v>2021</v>
      </c>
      <c r="C2682" s="1" t="s">
        <v>2505</v>
      </c>
      <c r="D2682" s="1" t="s">
        <v>2506</v>
      </c>
      <c r="E2682" s="1" t="s">
        <v>2019</v>
      </c>
      <c r="F2682" s="1" t="s">
        <v>267</v>
      </c>
      <c r="G2682" s="6">
        <v>14004259</v>
      </c>
      <c r="H2682">
        <f>IFERROR(VLOOKUP(F2682,'LEAID Match'!$A$2:$B$142,2,FALSE),"")</f>
        <v>2801770</v>
      </c>
    </row>
    <row r="2683" spans="1:8" x14ac:dyDescent="0.2">
      <c r="A2683">
        <f t="shared" si="41"/>
        <v>2801770</v>
      </c>
      <c r="B2683" s="1">
        <v>2022</v>
      </c>
      <c r="C2683" s="1" t="s">
        <v>2505</v>
      </c>
      <c r="D2683" s="1" t="s">
        <v>2506</v>
      </c>
      <c r="E2683" s="1" t="s">
        <v>2019</v>
      </c>
      <c r="F2683" s="1" t="s">
        <v>267</v>
      </c>
      <c r="G2683" s="6">
        <v>14557945</v>
      </c>
      <c r="H2683">
        <f>IFERROR(VLOOKUP(F2683,'LEAID Match'!$A$2:$B$142,2,FALSE),"")</f>
        <v>2801770</v>
      </c>
    </row>
    <row r="2684" spans="1:8" x14ac:dyDescent="0.2">
      <c r="A2684">
        <f t="shared" si="41"/>
        <v>2801770</v>
      </c>
      <c r="B2684" s="1">
        <v>2023</v>
      </c>
      <c r="C2684" s="1" t="s">
        <v>2505</v>
      </c>
      <c r="D2684" s="1" t="s">
        <v>2506</v>
      </c>
      <c r="E2684" s="1" t="s">
        <v>2019</v>
      </c>
      <c r="F2684" s="1" t="s">
        <v>267</v>
      </c>
      <c r="G2684" s="6">
        <v>16144301</v>
      </c>
      <c r="H2684">
        <f>IFERROR(VLOOKUP(F2684,'LEAID Match'!$A$2:$B$142,2,FALSE),"")</f>
        <v>2801770</v>
      </c>
    </row>
    <row r="2685" spans="1:8" x14ac:dyDescent="0.2">
      <c r="A2685">
        <f t="shared" si="41"/>
        <v>2801770</v>
      </c>
      <c r="B2685" s="1">
        <v>2024</v>
      </c>
      <c r="C2685" s="1" t="s">
        <v>2505</v>
      </c>
      <c r="D2685" s="1" t="s">
        <v>2506</v>
      </c>
      <c r="E2685" s="1" t="s">
        <v>2019</v>
      </c>
      <c r="F2685" s="1" t="s">
        <v>267</v>
      </c>
      <c r="G2685" s="6">
        <v>16236615</v>
      </c>
      <c r="H2685">
        <f>IFERROR(VLOOKUP(F2685,'LEAID Match'!$A$2:$B$142,2,FALSE),"")</f>
        <v>2801770</v>
      </c>
    </row>
    <row r="2686" spans="1:8" x14ac:dyDescent="0.2">
      <c r="A2686" t="str">
        <f t="shared" si="41"/>
        <v/>
      </c>
      <c r="B2686" s="1">
        <v>2015</v>
      </c>
      <c r="C2686" s="1" t="s">
        <v>2505</v>
      </c>
      <c r="D2686" s="1" t="s">
        <v>2506</v>
      </c>
      <c r="E2686" s="1" t="s">
        <v>2019</v>
      </c>
      <c r="F2686" s="1" t="s">
        <v>268</v>
      </c>
      <c r="G2686" s="6">
        <v>4677683</v>
      </c>
      <c r="H2686" t="str">
        <f>IFERROR(VLOOKUP(F2686,'LEAID Match'!$A$2:$B$142,2,FALSE),"")</f>
        <v/>
      </c>
    </row>
    <row r="2687" spans="1:8" x14ac:dyDescent="0.2">
      <c r="A2687" t="str">
        <f t="shared" si="41"/>
        <v/>
      </c>
      <c r="B2687">
        <v>2016</v>
      </c>
      <c r="C2687" s="1" t="s">
        <v>2505</v>
      </c>
      <c r="D2687" s="1" t="s">
        <v>2506</v>
      </c>
      <c r="E2687" s="1" t="s">
        <v>2019</v>
      </c>
      <c r="F2687" s="1" t="s">
        <v>268</v>
      </c>
      <c r="G2687" s="12">
        <v>4779395</v>
      </c>
      <c r="H2687" t="str">
        <f>IFERROR(VLOOKUP(F2687,'LEAID Match'!$A$2:$B$142,2,FALSE),"")</f>
        <v/>
      </c>
    </row>
    <row r="2688" spans="1:8" x14ac:dyDescent="0.2">
      <c r="A2688" t="str">
        <f t="shared" si="41"/>
        <v/>
      </c>
      <c r="B2688" s="1">
        <v>2017</v>
      </c>
      <c r="C2688" s="1" t="s">
        <v>2505</v>
      </c>
      <c r="D2688" s="1" t="s">
        <v>2506</v>
      </c>
      <c r="E2688" s="1" t="s">
        <v>2019</v>
      </c>
      <c r="F2688" s="1" t="s">
        <v>268</v>
      </c>
      <c r="G2688" s="51">
        <v>4853426</v>
      </c>
      <c r="H2688" t="str">
        <f>IFERROR(VLOOKUP(F2688,'LEAID Match'!$A$2:$B$142,2,FALSE),"")</f>
        <v/>
      </c>
    </row>
    <row r="2689" spans="1:8" x14ac:dyDescent="0.2">
      <c r="A2689" t="str">
        <f t="shared" si="41"/>
        <v/>
      </c>
      <c r="B2689" s="1">
        <v>2018</v>
      </c>
      <c r="C2689" s="1" t="s">
        <v>2505</v>
      </c>
      <c r="D2689" s="1" t="s">
        <v>2506</v>
      </c>
      <c r="E2689" s="1" t="s">
        <v>2019</v>
      </c>
      <c r="F2689" s="1" t="s">
        <v>268</v>
      </c>
      <c r="G2689" s="6">
        <v>4941018</v>
      </c>
      <c r="H2689" t="str">
        <f>IFERROR(VLOOKUP(F2689,'LEAID Match'!$A$2:$B$142,2,FALSE),"")</f>
        <v/>
      </c>
    </row>
    <row r="2690" spans="1:8" x14ac:dyDescent="0.2">
      <c r="A2690" t="str">
        <f t="shared" si="41"/>
        <v/>
      </c>
      <c r="B2690" s="1">
        <v>2019</v>
      </c>
      <c r="C2690" s="1" t="s">
        <v>2505</v>
      </c>
      <c r="D2690" s="1" t="s">
        <v>2506</v>
      </c>
      <c r="E2690" s="1" t="s">
        <v>2019</v>
      </c>
      <c r="F2690" s="1" t="s">
        <v>268</v>
      </c>
      <c r="G2690" s="6">
        <v>5153185</v>
      </c>
      <c r="H2690" t="str">
        <f>IFERROR(VLOOKUP(F2690,'LEAID Match'!$A$2:$B$142,2,FALSE),"")</f>
        <v/>
      </c>
    </row>
    <row r="2691" spans="1:8" x14ac:dyDescent="0.2">
      <c r="A2691" t="str">
        <f t="shared" ref="A2691:A2754" si="42">H2691</f>
        <v/>
      </c>
      <c r="B2691" s="1">
        <v>2020</v>
      </c>
      <c r="C2691" s="1" t="s">
        <v>2505</v>
      </c>
      <c r="D2691" s="1" t="s">
        <v>2506</v>
      </c>
      <c r="E2691" s="1" t="s">
        <v>2019</v>
      </c>
      <c r="F2691" s="1" t="s">
        <v>268</v>
      </c>
      <c r="G2691" s="6">
        <v>5964311</v>
      </c>
      <c r="H2691" t="str">
        <f>IFERROR(VLOOKUP(F2691,'LEAID Match'!$A$2:$B$142,2,FALSE),"")</f>
        <v/>
      </c>
    </row>
    <row r="2692" spans="1:8" x14ac:dyDescent="0.2">
      <c r="A2692" t="str">
        <f t="shared" si="42"/>
        <v/>
      </c>
      <c r="B2692" s="1">
        <v>2021</v>
      </c>
      <c r="C2692" s="1" t="s">
        <v>2505</v>
      </c>
      <c r="D2692" s="1" t="s">
        <v>2506</v>
      </c>
      <c r="E2692" s="1" t="s">
        <v>2019</v>
      </c>
      <c r="F2692" s="1" t="s">
        <v>268</v>
      </c>
      <c r="G2692" s="6">
        <v>6057229</v>
      </c>
      <c r="H2692" t="str">
        <f>IFERROR(VLOOKUP(F2692,'LEAID Match'!$A$2:$B$142,2,FALSE),"")</f>
        <v/>
      </c>
    </row>
    <row r="2693" spans="1:8" x14ac:dyDescent="0.2">
      <c r="A2693" t="str">
        <f t="shared" si="42"/>
        <v/>
      </c>
      <c r="B2693" s="1">
        <v>2022</v>
      </c>
      <c r="C2693" s="1" t="s">
        <v>2505</v>
      </c>
      <c r="D2693" s="1" t="s">
        <v>2506</v>
      </c>
      <c r="E2693" s="1" t="s">
        <v>2019</v>
      </c>
      <c r="F2693" s="1" t="s">
        <v>268</v>
      </c>
      <c r="G2693" s="6">
        <v>6444097</v>
      </c>
      <c r="H2693" t="str">
        <f>IFERROR(VLOOKUP(F2693,'LEAID Match'!$A$2:$B$142,2,FALSE),"")</f>
        <v/>
      </c>
    </row>
    <row r="2694" spans="1:8" x14ac:dyDescent="0.2">
      <c r="A2694" t="str">
        <f t="shared" si="42"/>
        <v/>
      </c>
      <c r="B2694" s="1">
        <v>2023</v>
      </c>
      <c r="C2694" s="1" t="s">
        <v>2505</v>
      </c>
      <c r="D2694" s="1" t="s">
        <v>2506</v>
      </c>
      <c r="E2694" s="1" t="s">
        <v>2019</v>
      </c>
      <c r="F2694" s="1" t="s">
        <v>268</v>
      </c>
      <c r="G2694" s="6">
        <v>7124686</v>
      </c>
      <c r="H2694" t="str">
        <f>IFERROR(VLOOKUP(F2694,'LEAID Match'!$A$2:$B$142,2,FALSE),"")</f>
        <v/>
      </c>
    </row>
    <row r="2695" spans="1:8" x14ac:dyDescent="0.2">
      <c r="A2695" t="str">
        <f t="shared" si="42"/>
        <v/>
      </c>
      <c r="B2695" s="1">
        <v>2024</v>
      </c>
      <c r="C2695" s="1" t="s">
        <v>2505</v>
      </c>
      <c r="D2695" s="1" t="s">
        <v>2506</v>
      </c>
      <c r="E2695" s="1" t="s">
        <v>2019</v>
      </c>
      <c r="F2695" s="1" t="s">
        <v>268</v>
      </c>
      <c r="G2695" s="6">
        <v>7201635</v>
      </c>
      <c r="H2695" t="str">
        <f>IFERROR(VLOOKUP(F2695,'LEAID Match'!$A$2:$B$142,2,FALSE),"")</f>
        <v/>
      </c>
    </row>
    <row r="2696" spans="1:8" x14ac:dyDescent="0.2">
      <c r="A2696" t="str">
        <f t="shared" si="42"/>
        <v/>
      </c>
      <c r="B2696" s="1">
        <v>2015</v>
      </c>
      <c r="C2696" s="1" t="s">
        <v>2505</v>
      </c>
      <c r="D2696" s="1" t="s">
        <v>2506</v>
      </c>
      <c r="E2696" s="1" t="s">
        <v>2019</v>
      </c>
      <c r="F2696" s="1" t="s">
        <v>269</v>
      </c>
      <c r="G2696" s="6">
        <v>133735</v>
      </c>
      <c r="H2696" t="str">
        <f>IFERROR(VLOOKUP(F2696,'LEAID Match'!$A$2:$B$142,2,FALSE),"")</f>
        <v/>
      </c>
    </row>
    <row r="2697" spans="1:8" x14ac:dyDescent="0.2">
      <c r="A2697" t="str">
        <f t="shared" si="42"/>
        <v/>
      </c>
      <c r="B2697">
        <v>2016</v>
      </c>
      <c r="C2697" s="1" t="s">
        <v>2505</v>
      </c>
      <c r="D2697" s="1" t="s">
        <v>2506</v>
      </c>
      <c r="E2697" s="1" t="s">
        <v>2019</v>
      </c>
      <c r="F2697" s="1" t="s">
        <v>269</v>
      </c>
      <c r="G2697" s="12">
        <v>130581</v>
      </c>
      <c r="H2697" t="str">
        <f>IFERROR(VLOOKUP(F2697,'LEAID Match'!$A$2:$B$142,2,FALSE),"")</f>
        <v/>
      </c>
    </row>
    <row r="2698" spans="1:8" x14ac:dyDescent="0.2">
      <c r="A2698" t="str">
        <f t="shared" si="42"/>
        <v/>
      </c>
      <c r="B2698" s="1">
        <v>2017</v>
      </c>
      <c r="C2698" s="1" t="s">
        <v>2505</v>
      </c>
      <c r="D2698" s="1" t="s">
        <v>2506</v>
      </c>
      <c r="E2698" s="1" t="s">
        <v>2019</v>
      </c>
      <c r="F2698" s="1" t="s">
        <v>269</v>
      </c>
      <c r="G2698" s="51">
        <v>125935</v>
      </c>
      <c r="H2698" t="str">
        <f>IFERROR(VLOOKUP(F2698,'LEAID Match'!$A$2:$B$142,2,FALSE),"")</f>
        <v/>
      </c>
    </row>
    <row r="2699" spans="1:8" x14ac:dyDescent="0.2">
      <c r="A2699" t="str">
        <f t="shared" si="42"/>
        <v/>
      </c>
      <c r="B2699" s="1">
        <v>2018</v>
      </c>
      <c r="C2699" s="1" t="s">
        <v>2505</v>
      </c>
      <c r="D2699" s="1" t="s">
        <v>2506</v>
      </c>
      <c r="E2699" s="1" t="s">
        <v>2019</v>
      </c>
      <c r="F2699" s="1" t="s">
        <v>269</v>
      </c>
      <c r="G2699" s="6">
        <v>133984</v>
      </c>
      <c r="H2699" t="str">
        <f>IFERROR(VLOOKUP(F2699,'LEAID Match'!$A$2:$B$142,2,FALSE),"")</f>
        <v/>
      </c>
    </row>
    <row r="2700" spans="1:8" x14ac:dyDescent="0.2">
      <c r="A2700" t="str">
        <f t="shared" si="42"/>
        <v/>
      </c>
      <c r="B2700" s="1">
        <v>2019</v>
      </c>
      <c r="C2700" s="1" t="s">
        <v>2505</v>
      </c>
      <c r="D2700" s="1" t="s">
        <v>2506</v>
      </c>
      <c r="E2700" s="1" t="s">
        <v>2019</v>
      </c>
      <c r="F2700" s="1" t="s">
        <v>269</v>
      </c>
      <c r="G2700" s="6">
        <v>140491</v>
      </c>
      <c r="H2700" t="str">
        <f>IFERROR(VLOOKUP(F2700,'LEAID Match'!$A$2:$B$142,2,FALSE),"")</f>
        <v/>
      </c>
    </row>
    <row r="2701" spans="1:8" x14ac:dyDescent="0.2">
      <c r="A2701" t="str">
        <f t="shared" si="42"/>
        <v/>
      </c>
      <c r="B2701" s="1">
        <v>2020</v>
      </c>
      <c r="C2701" s="1" t="s">
        <v>2505</v>
      </c>
      <c r="D2701" s="1" t="s">
        <v>2506</v>
      </c>
      <c r="E2701" s="1" t="s">
        <v>2019</v>
      </c>
      <c r="F2701" s="1" t="s">
        <v>269</v>
      </c>
      <c r="G2701" s="6">
        <v>166190</v>
      </c>
      <c r="H2701" t="str">
        <f>IFERROR(VLOOKUP(F2701,'LEAID Match'!$A$2:$B$142,2,FALSE),"")</f>
        <v/>
      </c>
    </row>
    <row r="2702" spans="1:8" x14ac:dyDescent="0.2">
      <c r="A2702" t="str">
        <f t="shared" si="42"/>
        <v/>
      </c>
      <c r="B2702" s="1">
        <v>2021</v>
      </c>
      <c r="C2702" s="1" t="s">
        <v>2505</v>
      </c>
      <c r="D2702" s="1" t="s">
        <v>2506</v>
      </c>
      <c r="E2702" s="1" t="s">
        <v>2019</v>
      </c>
      <c r="F2702" s="1" t="s">
        <v>269</v>
      </c>
      <c r="G2702" s="6">
        <v>169312</v>
      </c>
      <c r="H2702" t="str">
        <f>IFERROR(VLOOKUP(F2702,'LEAID Match'!$A$2:$B$142,2,FALSE),"")</f>
        <v/>
      </c>
    </row>
    <row r="2703" spans="1:8" x14ac:dyDescent="0.2">
      <c r="A2703" t="str">
        <f t="shared" si="42"/>
        <v/>
      </c>
      <c r="B2703" s="1">
        <v>2022</v>
      </c>
      <c r="C2703" s="1" t="s">
        <v>2505</v>
      </c>
      <c r="D2703" s="1" t="s">
        <v>2506</v>
      </c>
      <c r="E2703" s="1" t="s">
        <v>2019</v>
      </c>
      <c r="F2703" s="1" t="s">
        <v>269</v>
      </c>
      <c r="G2703" s="6">
        <v>154976</v>
      </c>
      <c r="H2703" t="str">
        <f>IFERROR(VLOOKUP(F2703,'LEAID Match'!$A$2:$B$142,2,FALSE),"")</f>
        <v/>
      </c>
    </row>
    <row r="2704" spans="1:8" x14ac:dyDescent="0.2">
      <c r="A2704" t="str">
        <f t="shared" si="42"/>
        <v/>
      </c>
      <c r="B2704" s="1">
        <v>2023</v>
      </c>
      <c r="C2704" s="1" t="s">
        <v>2505</v>
      </c>
      <c r="D2704" s="1" t="s">
        <v>2506</v>
      </c>
      <c r="E2704" s="1" t="s">
        <v>2019</v>
      </c>
      <c r="F2704" s="1" t="s">
        <v>269</v>
      </c>
      <c r="G2704" s="6">
        <v>168985</v>
      </c>
      <c r="H2704" t="str">
        <f>IFERROR(VLOOKUP(F2704,'LEAID Match'!$A$2:$B$142,2,FALSE),"")</f>
        <v/>
      </c>
    </row>
    <row r="2705" spans="1:8" x14ac:dyDescent="0.2">
      <c r="A2705" t="str">
        <f t="shared" si="42"/>
        <v/>
      </c>
      <c r="B2705" s="1">
        <v>2024</v>
      </c>
      <c r="C2705" s="1" t="s">
        <v>2505</v>
      </c>
      <c r="D2705" s="1" t="s">
        <v>2506</v>
      </c>
      <c r="E2705" s="1" t="s">
        <v>2019</v>
      </c>
      <c r="F2705" s="1" t="s">
        <v>269</v>
      </c>
      <c r="G2705" s="6">
        <v>161152</v>
      </c>
      <c r="H2705" t="str">
        <f>IFERROR(VLOOKUP(F2705,'LEAID Match'!$A$2:$B$142,2,FALSE),"")</f>
        <v/>
      </c>
    </row>
    <row r="2706" spans="1:8" x14ac:dyDescent="0.2">
      <c r="A2706" t="str">
        <f t="shared" si="42"/>
        <v/>
      </c>
      <c r="B2706" s="1">
        <v>2015</v>
      </c>
      <c r="C2706" s="1" t="s">
        <v>2505</v>
      </c>
      <c r="D2706" s="1" t="s">
        <v>2506</v>
      </c>
      <c r="E2706" s="1" t="s">
        <v>2019</v>
      </c>
      <c r="F2706" s="1" t="s">
        <v>270</v>
      </c>
      <c r="G2706" s="6">
        <v>58608</v>
      </c>
      <c r="H2706" t="str">
        <f>IFERROR(VLOOKUP(F2706,'LEAID Match'!$A$2:$B$142,2,FALSE),"")</f>
        <v/>
      </c>
    </row>
    <row r="2707" spans="1:8" x14ac:dyDescent="0.2">
      <c r="A2707" t="str">
        <f t="shared" si="42"/>
        <v/>
      </c>
      <c r="B2707">
        <v>2016</v>
      </c>
      <c r="C2707" s="1" t="s">
        <v>2505</v>
      </c>
      <c r="D2707" s="1" t="s">
        <v>2506</v>
      </c>
      <c r="E2707" s="1" t="s">
        <v>2019</v>
      </c>
      <c r="F2707" s="1" t="s">
        <v>270</v>
      </c>
      <c r="G2707" s="12">
        <v>67593</v>
      </c>
      <c r="H2707" t="str">
        <f>IFERROR(VLOOKUP(F2707,'LEAID Match'!$A$2:$B$142,2,FALSE),"")</f>
        <v/>
      </c>
    </row>
    <row r="2708" spans="1:8" x14ac:dyDescent="0.2">
      <c r="A2708" t="str">
        <f t="shared" si="42"/>
        <v/>
      </c>
      <c r="B2708" s="1">
        <v>2017</v>
      </c>
      <c r="C2708" s="1" t="s">
        <v>2505</v>
      </c>
      <c r="D2708" s="1" t="s">
        <v>2506</v>
      </c>
      <c r="E2708" s="1" t="s">
        <v>2019</v>
      </c>
      <c r="F2708" s="1" t="s">
        <v>270</v>
      </c>
      <c r="G2708" s="51">
        <v>72717</v>
      </c>
      <c r="H2708" t="str">
        <f>IFERROR(VLOOKUP(F2708,'LEAID Match'!$A$2:$B$142,2,FALSE),"")</f>
        <v/>
      </c>
    </row>
    <row r="2709" spans="1:8" x14ac:dyDescent="0.2">
      <c r="A2709" t="str">
        <f t="shared" si="42"/>
        <v/>
      </c>
      <c r="B2709" s="1">
        <v>2018</v>
      </c>
      <c r="C2709" s="1" t="s">
        <v>2505</v>
      </c>
      <c r="D2709" s="1" t="s">
        <v>2506</v>
      </c>
      <c r="E2709" s="1" t="s">
        <v>2019</v>
      </c>
      <c r="F2709" s="1" t="s">
        <v>270</v>
      </c>
      <c r="G2709" s="6">
        <v>89716</v>
      </c>
      <c r="H2709" t="str">
        <f>IFERROR(VLOOKUP(F2709,'LEAID Match'!$A$2:$B$142,2,FALSE),"")</f>
        <v/>
      </c>
    </row>
    <row r="2710" spans="1:8" x14ac:dyDescent="0.2">
      <c r="A2710" t="str">
        <f t="shared" si="42"/>
        <v/>
      </c>
      <c r="B2710" s="1">
        <v>2019</v>
      </c>
      <c r="C2710" s="1" t="s">
        <v>2505</v>
      </c>
      <c r="D2710" s="1" t="s">
        <v>2506</v>
      </c>
      <c r="E2710" s="1" t="s">
        <v>2019</v>
      </c>
      <c r="F2710" s="1" t="s">
        <v>270</v>
      </c>
      <c r="G2710" s="6">
        <v>82792</v>
      </c>
      <c r="H2710" t="str">
        <f>IFERROR(VLOOKUP(F2710,'LEAID Match'!$A$2:$B$142,2,FALSE),"")</f>
        <v/>
      </c>
    </row>
    <row r="2711" spans="1:8" x14ac:dyDescent="0.2">
      <c r="A2711" t="str">
        <f t="shared" si="42"/>
        <v/>
      </c>
      <c r="B2711" s="1">
        <v>2020</v>
      </c>
      <c r="C2711" s="1" t="s">
        <v>2505</v>
      </c>
      <c r="D2711" s="1" t="s">
        <v>2506</v>
      </c>
      <c r="E2711" s="1" t="s">
        <v>2019</v>
      </c>
      <c r="F2711" s="1" t="s">
        <v>270</v>
      </c>
      <c r="G2711" s="6">
        <v>99897</v>
      </c>
      <c r="H2711" t="str">
        <f>IFERROR(VLOOKUP(F2711,'LEAID Match'!$A$2:$B$142,2,FALSE),"")</f>
        <v/>
      </c>
    </row>
    <row r="2712" spans="1:8" x14ac:dyDescent="0.2">
      <c r="A2712" t="str">
        <f t="shared" si="42"/>
        <v/>
      </c>
      <c r="B2712" s="1">
        <v>2021</v>
      </c>
      <c r="C2712" s="1" t="s">
        <v>2505</v>
      </c>
      <c r="D2712" s="1" t="s">
        <v>2506</v>
      </c>
      <c r="E2712" s="1" t="s">
        <v>2019</v>
      </c>
      <c r="F2712" s="1" t="s">
        <v>270</v>
      </c>
      <c r="G2712" s="6">
        <v>111422</v>
      </c>
      <c r="H2712" t="str">
        <f>IFERROR(VLOOKUP(F2712,'LEAID Match'!$A$2:$B$142,2,FALSE),"")</f>
        <v/>
      </c>
    </row>
    <row r="2713" spans="1:8" x14ac:dyDescent="0.2">
      <c r="A2713" t="str">
        <f t="shared" si="42"/>
        <v/>
      </c>
      <c r="B2713" s="1">
        <v>2022</v>
      </c>
      <c r="C2713" s="1" t="s">
        <v>2505</v>
      </c>
      <c r="D2713" s="1" t="s">
        <v>2506</v>
      </c>
      <c r="E2713" s="1" t="s">
        <v>2019</v>
      </c>
      <c r="F2713" s="1" t="s">
        <v>270</v>
      </c>
      <c r="G2713" s="6">
        <v>121620</v>
      </c>
      <c r="H2713" t="str">
        <f>IFERROR(VLOOKUP(F2713,'LEAID Match'!$A$2:$B$142,2,FALSE),"")</f>
        <v/>
      </c>
    </row>
    <row r="2714" spans="1:8" x14ac:dyDescent="0.2">
      <c r="A2714" t="str">
        <f t="shared" si="42"/>
        <v/>
      </c>
      <c r="B2714" s="1">
        <v>2023</v>
      </c>
      <c r="C2714" s="1" t="s">
        <v>2505</v>
      </c>
      <c r="D2714" s="1" t="s">
        <v>2506</v>
      </c>
      <c r="E2714" s="1" t="s">
        <v>2019</v>
      </c>
      <c r="F2714" s="1" t="s">
        <v>270</v>
      </c>
      <c r="G2714" s="6">
        <v>133109</v>
      </c>
      <c r="H2714" t="str">
        <f>IFERROR(VLOOKUP(F2714,'LEAID Match'!$A$2:$B$142,2,FALSE),"")</f>
        <v/>
      </c>
    </row>
    <row r="2715" spans="1:8" x14ac:dyDescent="0.2">
      <c r="A2715" t="str">
        <f t="shared" si="42"/>
        <v/>
      </c>
      <c r="B2715" s="1">
        <v>2024</v>
      </c>
      <c r="C2715" s="1" t="s">
        <v>2505</v>
      </c>
      <c r="D2715" s="1" t="s">
        <v>2506</v>
      </c>
      <c r="E2715" s="1" t="s">
        <v>2019</v>
      </c>
      <c r="F2715" s="1" t="s">
        <v>270</v>
      </c>
      <c r="G2715" s="6">
        <v>146445</v>
      </c>
      <c r="H2715" t="str">
        <f>IFERROR(VLOOKUP(F2715,'LEAID Match'!$A$2:$B$142,2,FALSE),"")</f>
        <v/>
      </c>
    </row>
    <row r="2716" spans="1:8" x14ac:dyDescent="0.2">
      <c r="A2716" t="str">
        <f t="shared" si="42"/>
        <v/>
      </c>
      <c r="B2716" s="1">
        <v>2015</v>
      </c>
      <c r="C2716" s="1" t="s">
        <v>2505</v>
      </c>
      <c r="D2716" s="1" t="s">
        <v>2506</v>
      </c>
      <c r="E2716" s="1" t="s">
        <v>2019</v>
      </c>
      <c r="F2716" s="1" t="s">
        <v>271</v>
      </c>
      <c r="G2716" s="6">
        <v>6515</v>
      </c>
      <c r="H2716" t="str">
        <f>IFERROR(VLOOKUP(F2716,'LEAID Match'!$A$2:$B$142,2,FALSE),"")</f>
        <v/>
      </c>
    </row>
    <row r="2717" spans="1:8" x14ac:dyDescent="0.2">
      <c r="A2717" t="str">
        <f t="shared" si="42"/>
        <v/>
      </c>
      <c r="B2717">
        <v>2016</v>
      </c>
      <c r="C2717" s="1" t="s">
        <v>2505</v>
      </c>
      <c r="D2717" s="1" t="s">
        <v>2506</v>
      </c>
      <c r="E2717" s="1" t="s">
        <v>2019</v>
      </c>
      <c r="F2717" s="1" t="s">
        <v>271</v>
      </c>
      <c r="G2717" s="12">
        <v>6647</v>
      </c>
      <c r="H2717" t="str">
        <f>IFERROR(VLOOKUP(F2717,'LEAID Match'!$A$2:$B$142,2,FALSE),"")</f>
        <v/>
      </c>
    </row>
    <row r="2718" spans="1:8" x14ac:dyDescent="0.2">
      <c r="A2718" t="str">
        <f t="shared" si="42"/>
        <v/>
      </c>
      <c r="B2718" s="1">
        <v>2017</v>
      </c>
      <c r="C2718" s="1" t="s">
        <v>2505</v>
      </c>
      <c r="D2718" s="1" t="s">
        <v>2506</v>
      </c>
      <c r="E2718" s="1" t="s">
        <v>2019</v>
      </c>
      <c r="F2718" s="1" t="s">
        <v>271</v>
      </c>
      <c r="G2718" s="51">
        <v>6793</v>
      </c>
      <c r="H2718" t="str">
        <f>IFERROR(VLOOKUP(F2718,'LEAID Match'!$A$2:$B$142,2,FALSE),"")</f>
        <v/>
      </c>
    </row>
    <row r="2719" spans="1:8" x14ac:dyDescent="0.2">
      <c r="A2719" t="str">
        <f t="shared" si="42"/>
        <v/>
      </c>
      <c r="B2719" s="1">
        <v>2018</v>
      </c>
      <c r="C2719" s="1" t="s">
        <v>2505</v>
      </c>
      <c r="D2719" s="1" t="s">
        <v>2506</v>
      </c>
      <c r="E2719" s="1" t="s">
        <v>2019</v>
      </c>
      <c r="F2719" s="1" t="s">
        <v>271</v>
      </c>
      <c r="G2719" s="6">
        <v>6847</v>
      </c>
      <c r="H2719" t="str">
        <f>IFERROR(VLOOKUP(F2719,'LEAID Match'!$A$2:$B$142,2,FALSE),"")</f>
        <v/>
      </c>
    </row>
    <row r="2720" spans="1:8" x14ac:dyDescent="0.2">
      <c r="A2720" t="str">
        <f t="shared" si="42"/>
        <v/>
      </c>
      <c r="B2720" s="1">
        <v>2019</v>
      </c>
      <c r="C2720" s="1" t="s">
        <v>2505</v>
      </c>
      <c r="D2720" s="1" t="s">
        <v>2506</v>
      </c>
      <c r="E2720" s="1" t="s">
        <v>2019</v>
      </c>
      <c r="F2720" s="1" t="s">
        <v>271</v>
      </c>
      <c r="G2720" s="6">
        <v>6847</v>
      </c>
      <c r="H2720" t="str">
        <f>IFERROR(VLOOKUP(F2720,'LEAID Match'!$A$2:$B$142,2,FALSE),"")</f>
        <v/>
      </c>
    </row>
    <row r="2721" spans="1:8" x14ac:dyDescent="0.2">
      <c r="A2721" t="str">
        <f t="shared" si="42"/>
        <v/>
      </c>
      <c r="B2721" s="1">
        <v>2020</v>
      </c>
      <c r="C2721" s="1" t="s">
        <v>2505</v>
      </c>
      <c r="D2721" s="1" t="s">
        <v>2506</v>
      </c>
      <c r="E2721" s="1" t="s">
        <v>2019</v>
      </c>
      <c r="F2721" s="1" t="s">
        <v>271</v>
      </c>
      <c r="G2721" s="6">
        <v>7564</v>
      </c>
      <c r="H2721" t="str">
        <f>IFERROR(VLOOKUP(F2721,'LEAID Match'!$A$2:$B$142,2,FALSE),"")</f>
        <v/>
      </c>
    </row>
    <row r="2722" spans="1:8" x14ac:dyDescent="0.2">
      <c r="A2722" t="str">
        <f t="shared" si="42"/>
        <v/>
      </c>
      <c r="B2722" s="1">
        <v>2021</v>
      </c>
      <c r="C2722" s="1" t="s">
        <v>2505</v>
      </c>
      <c r="D2722" s="1" t="s">
        <v>2506</v>
      </c>
      <c r="E2722" s="1" t="s">
        <v>2019</v>
      </c>
      <c r="F2722" s="1" t="s">
        <v>271</v>
      </c>
      <c r="G2722" s="6">
        <v>7564</v>
      </c>
      <c r="H2722" t="str">
        <f>IFERROR(VLOOKUP(F2722,'LEAID Match'!$A$2:$B$142,2,FALSE),"")</f>
        <v/>
      </c>
    </row>
    <row r="2723" spans="1:8" x14ac:dyDescent="0.2">
      <c r="A2723" t="str">
        <f t="shared" si="42"/>
        <v/>
      </c>
      <c r="B2723" s="1">
        <v>2022</v>
      </c>
      <c r="C2723" s="1" t="s">
        <v>2505</v>
      </c>
      <c r="D2723" s="1" t="s">
        <v>2506</v>
      </c>
      <c r="E2723" s="1" t="s">
        <v>2019</v>
      </c>
      <c r="F2723" s="1" t="s">
        <v>271</v>
      </c>
      <c r="G2723" s="6">
        <v>8928</v>
      </c>
      <c r="H2723" t="str">
        <f>IFERROR(VLOOKUP(F2723,'LEAID Match'!$A$2:$B$142,2,FALSE),"")</f>
        <v/>
      </c>
    </row>
    <row r="2724" spans="1:8" x14ac:dyDescent="0.2">
      <c r="A2724" t="str">
        <f t="shared" si="42"/>
        <v/>
      </c>
      <c r="B2724" s="1">
        <v>2023</v>
      </c>
      <c r="C2724" s="1" t="s">
        <v>2505</v>
      </c>
      <c r="D2724" s="1" t="s">
        <v>2506</v>
      </c>
      <c r="E2724" s="1" t="s">
        <v>2019</v>
      </c>
      <c r="F2724" s="1" t="s">
        <v>271</v>
      </c>
      <c r="G2724" s="6">
        <v>3881</v>
      </c>
      <c r="H2724" t="str">
        <f>IFERROR(VLOOKUP(F2724,'LEAID Match'!$A$2:$B$142,2,FALSE),"")</f>
        <v/>
      </c>
    </row>
    <row r="2725" spans="1:8" x14ac:dyDescent="0.2">
      <c r="A2725" t="str">
        <f t="shared" si="42"/>
        <v/>
      </c>
      <c r="B2725" s="1">
        <v>2024</v>
      </c>
      <c r="C2725" s="1" t="s">
        <v>2505</v>
      </c>
      <c r="D2725" s="1" t="s">
        <v>2506</v>
      </c>
      <c r="E2725" s="1" t="s">
        <v>2019</v>
      </c>
      <c r="F2725" s="1" t="s">
        <v>271</v>
      </c>
      <c r="G2725" s="6">
        <v>5492</v>
      </c>
      <c r="H2725" t="str">
        <f>IFERROR(VLOOKUP(F2725,'LEAID Match'!$A$2:$B$142,2,FALSE),"")</f>
        <v/>
      </c>
    </row>
    <row r="2726" spans="1:8" x14ac:dyDescent="0.2">
      <c r="A2726" t="str">
        <f t="shared" si="42"/>
        <v/>
      </c>
      <c r="B2726">
        <v>2016</v>
      </c>
      <c r="C2726" s="1" t="s">
        <v>2505</v>
      </c>
      <c r="D2726" s="1" t="s">
        <v>2506</v>
      </c>
      <c r="E2726" s="1" t="s">
        <v>2019</v>
      </c>
      <c r="F2726" s="1" t="s">
        <v>272</v>
      </c>
      <c r="G2726" s="12">
        <v>184832</v>
      </c>
      <c r="H2726" t="str">
        <f>IFERROR(VLOOKUP(F2726,'LEAID Match'!$A$2:$B$142,2,FALSE),"")</f>
        <v/>
      </c>
    </row>
    <row r="2727" spans="1:8" x14ac:dyDescent="0.2">
      <c r="A2727" t="str">
        <f t="shared" si="42"/>
        <v/>
      </c>
      <c r="B2727" s="1">
        <v>2017</v>
      </c>
      <c r="C2727" s="1" t="s">
        <v>2505</v>
      </c>
      <c r="D2727" s="1" t="s">
        <v>2506</v>
      </c>
      <c r="E2727" s="1" t="s">
        <v>2019</v>
      </c>
      <c r="F2727" s="1" t="s">
        <v>272</v>
      </c>
      <c r="G2727" s="51">
        <v>169137</v>
      </c>
      <c r="H2727" t="str">
        <f>IFERROR(VLOOKUP(F2727,'LEAID Match'!$A$2:$B$142,2,FALSE),"")</f>
        <v/>
      </c>
    </row>
    <row r="2728" spans="1:8" x14ac:dyDescent="0.2">
      <c r="A2728" t="str">
        <f t="shared" si="42"/>
        <v/>
      </c>
      <c r="B2728" s="1">
        <v>2018</v>
      </c>
      <c r="C2728" s="1" t="s">
        <v>2505</v>
      </c>
      <c r="D2728" s="1" t="s">
        <v>2506</v>
      </c>
      <c r="E2728" s="1" t="s">
        <v>2019</v>
      </c>
      <c r="F2728" s="1" t="s">
        <v>272</v>
      </c>
      <c r="G2728" s="6">
        <v>178691</v>
      </c>
      <c r="H2728" t="str">
        <f>IFERROR(VLOOKUP(F2728,'LEAID Match'!$A$2:$B$142,2,FALSE),"")</f>
        <v/>
      </c>
    </row>
    <row r="2729" spans="1:8" x14ac:dyDescent="0.2">
      <c r="A2729" t="str">
        <f t="shared" si="42"/>
        <v/>
      </c>
      <c r="B2729" s="1">
        <v>2019</v>
      </c>
      <c r="C2729" s="1" t="s">
        <v>2505</v>
      </c>
      <c r="D2729" s="1" t="s">
        <v>2506</v>
      </c>
      <c r="E2729" s="1" t="s">
        <v>2019</v>
      </c>
      <c r="F2729" s="1" t="s">
        <v>272</v>
      </c>
      <c r="G2729" s="6">
        <v>178918</v>
      </c>
      <c r="H2729" t="str">
        <f>IFERROR(VLOOKUP(F2729,'LEAID Match'!$A$2:$B$142,2,FALSE),"")</f>
        <v/>
      </c>
    </row>
    <row r="2730" spans="1:8" x14ac:dyDescent="0.2">
      <c r="A2730" t="str">
        <f t="shared" si="42"/>
        <v/>
      </c>
      <c r="B2730" s="1">
        <v>2020</v>
      </c>
      <c r="C2730" s="1" t="s">
        <v>2505</v>
      </c>
      <c r="D2730" s="1" t="s">
        <v>2506</v>
      </c>
      <c r="E2730" s="1" t="s">
        <v>2019</v>
      </c>
      <c r="F2730" s="1" t="s">
        <v>272</v>
      </c>
      <c r="G2730" s="6">
        <v>218474</v>
      </c>
      <c r="H2730" t="str">
        <f>IFERROR(VLOOKUP(F2730,'LEAID Match'!$A$2:$B$142,2,FALSE),"")</f>
        <v/>
      </c>
    </row>
    <row r="2731" spans="1:8" x14ac:dyDescent="0.2">
      <c r="A2731" t="str">
        <f t="shared" si="42"/>
        <v/>
      </c>
      <c r="B2731" s="1">
        <v>2021</v>
      </c>
      <c r="C2731" s="1" t="s">
        <v>2505</v>
      </c>
      <c r="D2731" s="1" t="s">
        <v>2506</v>
      </c>
      <c r="E2731" s="1" t="s">
        <v>2019</v>
      </c>
      <c r="F2731" s="1" t="s">
        <v>272</v>
      </c>
      <c r="G2731" s="6">
        <v>199371</v>
      </c>
      <c r="H2731" t="str">
        <f>IFERROR(VLOOKUP(F2731,'LEAID Match'!$A$2:$B$142,2,FALSE),"")</f>
        <v/>
      </c>
    </row>
    <row r="2732" spans="1:8" x14ac:dyDescent="0.2">
      <c r="A2732" t="str">
        <f t="shared" si="42"/>
        <v/>
      </c>
      <c r="B2732" s="1">
        <v>2022</v>
      </c>
      <c r="C2732" s="1" t="s">
        <v>2505</v>
      </c>
      <c r="D2732" s="1" t="s">
        <v>2506</v>
      </c>
      <c r="E2732" s="1" t="s">
        <v>2019</v>
      </c>
      <c r="F2732" s="1" t="s">
        <v>272</v>
      </c>
      <c r="G2732" s="6">
        <v>218441</v>
      </c>
      <c r="H2732" t="str">
        <f>IFERROR(VLOOKUP(F2732,'LEAID Match'!$A$2:$B$142,2,FALSE),"")</f>
        <v/>
      </c>
    </row>
    <row r="2733" spans="1:8" x14ac:dyDescent="0.2">
      <c r="A2733" t="str">
        <f t="shared" si="42"/>
        <v/>
      </c>
      <c r="B2733" s="1">
        <v>2023</v>
      </c>
      <c r="C2733" s="1" t="s">
        <v>2505</v>
      </c>
      <c r="D2733" s="1" t="s">
        <v>2506</v>
      </c>
      <c r="E2733" s="1" t="s">
        <v>2019</v>
      </c>
      <c r="F2733" s="1" t="s">
        <v>272</v>
      </c>
      <c r="G2733" s="6">
        <v>245176</v>
      </c>
      <c r="H2733" t="str">
        <f>IFERROR(VLOOKUP(F2733,'LEAID Match'!$A$2:$B$142,2,FALSE),"")</f>
        <v/>
      </c>
    </row>
    <row r="2734" spans="1:8" x14ac:dyDescent="0.2">
      <c r="A2734" t="str">
        <f t="shared" si="42"/>
        <v/>
      </c>
      <c r="B2734" s="1">
        <v>2024</v>
      </c>
      <c r="C2734" s="1" t="s">
        <v>2505</v>
      </c>
      <c r="D2734" s="1" t="s">
        <v>2506</v>
      </c>
      <c r="E2734" s="1" t="s">
        <v>2019</v>
      </c>
      <c r="F2734" s="1" t="s">
        <v>272</v>
      </c>
      <c r="G2734" s="6">
        <v>239801</v>
      </c>
      <c r="H2734" t="str">
        <f>IFERROR(VLOOKUP(F2734,'LEAID Match'!$A$2:$B$142,2,FALSE),"")</f>
        <v/>
      </c>
    </row>
    <row r="2735" spans="1:8" x14ac:dyDescent="0.2">
      <c r="A2735" t="str">
        <f t="shared" si="42"/>
        <v/>
      </c>
      <c r="B2735" s="1">
        <v>2015</v>
      </c>
      <c r="C2735" s="1" t="s">
        <v>2505</v>
      </c>
      <c r="D2735" s="1" t="s">
        <v>2506</v>
      </c>
      <c r="E2735" s="1" t="s">
        <v>2019</v>
      </c>
      <c r="F2735" s="1" t="s">
        <v>273</v>
      </c>
      <c r="G2735" s="6">
        <v>255563</v>
      </c>
      <c r="H2735" t="str">
        <f>IFERROR(VLOOKUP(F2735,'LEAID Match'!$A$2:$B$142,2,FALSE),"")</f>
        <v/>
      </c>
    </row>
    <row r="2736" spans="1:8" x14ac:dyDescent="0.2">
      <c r="A2736" t="str">
        <f t="shared" si="42"/>
        <v/>
      </c>
      <c r="B2736">
        <v>2016</v>
      </c>
      <c r="C2736" s="1" t="s">
        <v>2505</v>
      </c>
      <c r="D2736" s="1" t="s">
        <v>2506</v>
      </c>
      <c r="E2736" s="1" t="s">
        <v>2019</v>
      </c>
      <c r="F2736" s="1" t="s">
        <v>273</v>
      </c>
      <c r="G2736" s="12">
        <v>256231</v>
      </c>
      <c r="H2736" t="str">
        <f>IFERROR(VLOOKUP(F2736,'LEAID Match'!$A$2:$B$142,2,FALSE),"")</f>
        <v/>
      </c>
    </row>
    <row r="2737" spans="1:8" x14ac:dyDescent="0.2">
      <c r="A2737" t="str">
        <f t="shared" si="42"/>
        <v/>
      </c>
      <c r="B2737" s="1">
        <v>2017</v>
      </c>
      <c r="C2737" s="1" t="s">
        <v>2505</v>
      </c>
      <c r="D2737" s="1" t="s">
        <v>2506</v>
      </c>
      <c r="E2737" s="1" t="s">
        <v>2019</v>
      </c>
      <c r="F2737" s="1" t="s">
        <v>273</v>
      </c>
      <c r="G2737" s="51">
        <v>238957</v>
      </c>
      <c r="H2737" t="str">
        <f>IFERROR(VLOOKUP(F2737,'LEAID Match'!$A$2:$B$142,2,FALSE),"")</f>
        <v/>
      </c>
    </row>
    <row r="2738" spans="1:8" x14ac:dyDescent="0.2">
      <c r="A2738" t="str">
        <f t="shared" si="42"/>
        <v/>
      </c>
      <c r="B2738" s="1">
        <v>2018</v>
      </c>
      <c r="C2738" s="1" t="s">
        <v>2505</v>
      </c>
      <c r="D2738" s="1" t="s">
        <v>2506</v>
      </c>
      <c r="E2738" s="1" t="s">
        <v>2019</v>
      </c>
      <c r="F2738" s="1" t="s">
        <v>273</v>
      </c>
      <c r="G2738" s="6">
        <v>243488</v>
      </c>
      <c r="H2738" t="str">
        <f>IFERROR(VLOOKUP(F2738,'LEAID Match'!$A$2:$B$142,2,FALSE),"")</f>
        <v/>
      </c>
    </row>
    <row r="2739" spans="1:8" x14ac:dyDescent="0.2">
      <c r="A2739" t="str">
        <f t="shared" si="42"/>
        <v/>
      </c>
      <c r="B2739" s="1">
        <v>2019</v>
      </c>
      <c r="C2739" s="1" t="s">
        <v>2505</v>
      </c>
      <c r="D2739" s="1" t="s">
        <v>2506</v>
      </c>
      <c r="E2739" s="1" t="s">
        <v>2019</v>
      </c>
      <c r="F2739" s="1" t="s">
        <v>273</v>
      </c>
      <c r="G2739" s="6">
        <v>242164</v>
      </c>
      <c r="H2739" t="str">
        <f>IFERROR(VLOOKUP(F2739,'LEAID Match'!$A$2:$B$142,2,FALSE),"")</f>
        <v/>
      </c>
    </row>
    <row r="2740" spans="1:8" x14ac:dyDescent="0.2">
      <c r="A2740" t="str">
        <f t="shared" si="42"/>
        <v/>
      </c>
      <c r="B2740" s="1">
        <v>2020</v>
      </c>
      <c r="C2740" s="1" t="s">
        <v>2505</v>
      </c>
      <c r="D2740" s="1" t="s">
        <v>2506</v>
      </c>
      <c r="E2740" s="1" t="s">
        <v>2019</v>
      </c>
      <c r="F2740" s="1" t="s">
        <v>273</v>
      </c>
      <c r="G2740" s="6">
        <v>265000</v>
      </c>
      <c r="H2740" t="str">
        <f>IFERROR(VLOOKUP(F2740,'LEAID Match'!$A$2:$B$142,2,FALSE),"")</f>
        <v/>
      </c>
    </row>
    <row r="2741" spans="1:8" x14ac:dyDescent="0.2">
      <c r="A2741" t="str">
        <f t="shared" si="42"/>
        <v/>
      </c>
      <c r="B2741" s="1">
        <v>2021</v>
      </c>
      <c r="C2741" s="1" t="s">
        <v>2505</v>
      </c>
      <c r="D2741" s="1" t="s">
        <v>2506</v>
      </c>
      <c r="E2741" s="1" t="s">
        <v>2019</v>
      </c>
      <c r="F2741" s="1" t="s">
        <v>273</v>
      </c>
      <c r="G2741" s="6">
        <v>248083</v>
      </c>
      <c r="H2741" t="str">
        <f>IFERROR(VLOOKUP(F2741,'LEAID Match'!$A$2:$B$142,2,FALSE),"")</f>
        <v/>
      </c>
    </row>
    <row r="2742" spans="1:8" x14ac:dyDescent="0.2">
      <c r="A2742" t="str">
        <f t="shared" si="42"/>
        <v/>
      </c>
      <c r="B2742" s="1">
        <v>2022</v>
      </c>
      <c r="C2742" s="1" t="s">
        <v>2505</v>
      </c>
      <c r="D2742" s="1" t="s">
        <v>2506</v>
      </c>
      <c r="E2742" s="1" t="s">
        <v>2019</v>
      </c>
      <c r="F2742" s="1" t="s">
        <v>273</v>
      </c>
      <c r="G2742" s="6">
        <v>258549</v>
      </c>
      <c r="H2742" t="str">
        <f>IFERROR(VLOOKUP(F2742,'LEAID Match'!$A$2:$B$142,2,FALSE),"")</f>
        <v/>
      </c>
    </row>
    <row r="2743" spans="1:8" x14ac:dyDescent="0.2">
      <c r="A2743" t="str">
        <f t="shared" si="42"/>
        <v/>
      </c>
      <c r="B2743" s="1">
        <v>2023</v>
      </c>
      <c r="C2743" s="1" t="s">
        <v>2505</v>
      </c>
      <c r="D2743" s="1" t="s">
        <v>2506</v>
      </c>
      <c r="E2743" s="1" t="s">
        <v>2019</v>
      </c>
      <c r="F2743" s="1" t="s">
        <v>273</v>
      </c>
      <c r="G2743" s="6">
        <v>272320</v>
      </c>
      <c r="H2743" t="str">
        <f>IFERROR(VLOOKUP(F2743,'LEAID Match'!$A$2:$B$142,2,FALSE),"")</f>
        <v/>
      </c>
    </row>
    <row r="2744" spans="1:8" x14ac:dyDescent="0.2">
      <c r="A2744" t="str">
        <f t="shared" si="42"/>
        <v/>
      </c>
      <c r="B2744" s="1">
        <v>2024</v>
      </c>
      <c r="C2744" s="1" t="s">
        <v>2505</v>
      </c>
      <c r="D2744" s="1" t="s">
        <v>2506</v>
      </c>
      <c r="E2744" s="1" t="s">
        <v>2019</v>
      </c>
      <c r="F2744" s="1" t="s">
        <v>273</v>
      </c>
      <c r="G2744" s="6">
        <v>287571</v>
      </c>
      <c r="H2744" t="str">
        <f>IFERROR(VLOOKUP(F2744,'LEAID Match'!$A$2:$B$142,2,FALSE),"")</f>
        <v/>
      </c>
    </row>
    <row r="2745" spans="1:8" x14ac:dyDescent="0.2">
      <c r="A2745" t="str">
        <f t="shared" si="42"/>
        <v/>
      </c>
      <c r="B2745" s="1">
        <v>2015</v>
      </c>
      <c r="C2745" s="1" t="s">
        <v>2505</v>
      </c>
      <c r="D2745" s="1" t="s">
        <v>2506</v>
      </c>
      <c r="E2745" s="1" t="s">
        <v>2019</v>
      </c>
      <c r="F2745" s="1" t="s">
        <v>2195</v>
      </c>
      <c r="G2745" s="6">
        <v>165374</v>
      </c>
      <c r="H2745" t="str">
        <f>IFERROR(VLOOKUP(F2745,'LEAID Match'!$A$2:$B$142,2,FALSE),"")</f>
        <v/>
      </c>
    </row>
    <row r="2746" spans="1:8" x14ac:dyDescent="0.2">
      <c r="A2746" t="str">
        <f t="shared" si="42"/>
        <v/>
      </c>
      <c r="B2746" s="1">
        <v>2015</v>
      </c>
      <c r="C2746" s="1" t="s">
        <v>2505</v>
      </c>
      <c r="D2746" s="1" t="s">
        <v>2506</v>
      </c>
      <c r="E2746" s="1" t="s">
        <v>2019</v>
      </c>
      <c r="F2746" s="1" t="s">
        <v>274</v>
      </c>
      <c r="G2746" s="6">
        <v>97604</v>
      </c>
      <c r="H2746" t="str">
        <f>IFERROR(VLOOKUP(F2746,'LEAID Match'!$A$2:$B$142,2,FALSE),"")</f>
        <v/>
      </c>
    </row>
    <row r="2747" spans="1:8" x14ac:dyDescent="0.2">
      <c r="A2747" t="str">
        <f t="shared" si="42"/>
        <v/>
      </c>
      <c r="B2747">
        <v>2016</v>
      </c>
      <c r="C2747" s="1" t="s">
        <v>2505</v>
      </c>
      <c r="D2747" s="1" t="s">
        <v>2506</v>
      </c>
      <c r="E2747" s="1" t="s">
        <v>2019</v>
      </c>
      <c r="F2747" s="1" t="s">
        <v>274</v>
      </c>
      <c r="G2747" s="12">
        <v>119253</v>
      </c>
      <c r="H2747" t="str">
        <f>IFERROR(VLOOKUP(F2747,'LEAID Match'!$A$2:$B$142,2,FALSE),"")</f>
        <v/>
      </c>
    </row>
    <row r="2748" spans="1:8" x14ac:dyDescent="0.2">
      <c r="A2748" t="str">
        <f t="shared" si="42"/>
        <v/>
      </c>
      <c r="B2748" s="1">
        <v>2017</v>
      </c>
      <c r="C2748" s="1" t="s">
        <v>2505</v>
      </c>
      <c r="D2748" s="1" t="s">
        <v>2506</v>
      </c>
      <c r="E2748" s="1" t="s">
        <v>2019</v>
      </c>
      <c r="F2748" s="1" t="s">
        <v>274</v>
      </c>
      <c r="G2748" s="51">
        <v>145105</v>
      </c>
      <c r="H2748" t="str">
        <f>IFERROR(VLOOKUP(F2748,'LEAID Match'!$A$2:$B$142,2,FALSE),"")</f>
        <v/>
      </c>
    </row>
    <row r="2749" spans="1:8" x14ac:dyDescent="0.2">
      <c r="A2749" t="str">
        <f t="shared" si="42"/>
        <v/>
      </c>
      <c r="B2749" s="1">
        <v>2018</v>
      </c>
      <c r="C2749" s="1" t="s">
        <v>2505</v>
      </c>
      <c r="D2749" s="1" t="s">
        <v>2506</v>
      </c>
      <c r="E2749" s="1" t="s">
        <v>2019</v>
      </c>
      <c r="F2749" s="1" t="s">
        <v>274</v>
      </c>
      <c r="G2749" s="6">
        <v>147303</v>
      </c>
      <c r="H2749" t="str">
        <f>IFERROR(VLOOKUP(F2749,'LEAID Match'!$A$2:$B$142,2,FALSE),"")</f>
        <v/>
      </c>
    </row>
    <row r="2750" spans="1:8" x14ac:dyDescent="0.2">
      <c r="A2750" t="str">
        <f t="shared" si="42"/>
        <v/>
      </c>
      <c r="B2750" s="1">
        <v>2019</v>
      </c>
      <c r="C2750" s="1" t="s">
        <v>2505</v>
      </c>
      <c r="D2750" s="1" t="s">
        <v>2506</v>
      </c>
      <c r="E2750" s="1" t="s">
        <v>2019</v>
      </c>
      <c r="F2750" s="1" t="s">
        <v>274</v>
      </c>
      <c r="G2750" s="6">
        <v>151930</v>
      </c>
      <c r="H2750" t="str">
        <f>IFERROR(VLOOKUP(F2750,'LEAID Match'!$A$2:$B$142,2,FALSE),"")</f>
        <v/>
      </c>
    </row>
    <row r="2751" spans="1:8" x14ac:dyDescent="0.2">
      <c r="A2751" t="str">
        <f t="shared" si="42"/>
        <v/>
      </c>
      <c r="B2751" s="1">
        <v>2020</v>
      </c>
      <c r="C2751" s="1" t="s">
        <v>2505</v>
      </c>
      <c r="D2751" s="1" t="s">
        <v>2506</v>
      </c>
      <c r="E2751" s="1" t="s">
        <v>2019</v>
      </c>
      <c r="F2751" s="1" t="s">
        <v>274</v>
      </c>
      <c r="G2751" s="6">
        <v>162448</v>
      </c>
      <c r="H2751" t="str">
        <f>IFERROR(VLOOKUP(F2751,'LEAID Match'!$A$2:$B$142,2,FALSE),"")</f>
        <v/>
      </c>
    </row>
    <row r="2752" spans="1:8" x14ac:dyDescent="0.2">
      <c r="A2752" t="str">
        <f t="shared" si="42"/>
        <v/>
      </c>
      <c r="B2752" s="1">
        <v>2021</v>
      </c>
      <c r="C2752" s="1" t="s">
        <v>2505</v>
      </c>
      <c r="D2752" s="1" t="s">
        <v>2506</v>
      </c>
      <c r="E2752" s="1" t="s">
        <v>2019</v>
      </c>
      <c r="F2752" s="1" t="s">
        <v>274</v>
      </c>
      <c r="G2752" s="6">
        <v>164079</v>
      </c>
      <c r="H2752" t="str">
        <f>IFERROR(VLOOKUP(F2752,'LEAID Match'!$A$2:$B$142,2,FALSE),"")</f>
        <v/>
      </c>
    </row>
    <row r="2753" spans="1:8" x14ac:dyDescent="0.2">
      <c r="A2753" t="str">
        <f t="shared" si="42"/>
        <v/>
      </c>
      <c r="B2753" s="1">
        <v>2022</v>
      </c>
      <c r="C2753" s="1" t="s">
        <v>2505</v>
      </c>
      <c r="D2753" s="1" t="s">
        <v>2506</v>
      </c>
      <c r="E2753" s="1" t="s">
        <v>2019</v>
      </c>
      <c r="F2753" s="1" t="s">
        <v>274</v>
      </c>
      <c r="G2753" s="6">
        <v>153567</v>
      </c>
      <c r="H2753" t="str">
        <f>IFERROR(VLOOKUP(F2753,'LEAID Match'!$A$2:$B$142,2,FALSE),"")</f>
        <v/>
      </c>
    </row>
    <row r="2754" spans="1:8" x14ac:dyDescent="0.2">
      <c r="A2754" t="str">
        <f t="shared" si="42"/>
        <v/>
      </c>
      <c r="B2754" s="1">
        <v>2023</v>
      </c>
      <c r="C2754" s="1" t="s">
        <v>2505</v>
      </c>
      <c r="D2754" s="1" t="s">
        <v>2506</v>
      </c>
      <c r="E2754" s="1" t="s">
        <v>2019</v>
      </c>
      <c r="F2754" s="1" t="s">
        <v>274</v>
      </c>
      <c r="G2754" s="6">
        <v>143154</v>
      </c>
      <c r="H2754" t="str">
        <f>IFERROR(VLOOKUP(F2754,'LEAID Match'!$A$2:$B$142,2,FALSE),"")</f>
        <v/>
      </c>
    </row>
    <row r="2755" spans="1:8" x14ac:dyDescent="0.2">
      <c r="A2755" t="str">
        <f t="shared" ref="A2755:A2818" si="43">H2755</f>
        <v/>
      </c>
      <c r="B2755" s="1">
        <v>2024</v>
      </c>
      <c r="C2755" s="1" t="s">
        <v>2505</v>
      </c>
      <c r="D2755" s="1" t="s">
        <v>2506</v>
      </c>
      <c r="E2755" s="1" t="s">
        <v>2019</v>
      </c>
      <c r="F2755" s="1" t="s">
        <v>274</v>
      </c>
      <c r="G2755" s="6">
        <v>161226</v>
      </c>
      <c r="H2755" t="str">
        <f>IFERROR(VLOOKUP(F2755,'LEAID Match'!$A$2:$B$142,2,FALSE),"")</f>
        <v/>
      </c>
    </row>
    <row r="2756" spans="1:8" x14ac:dyDescent="0.2">
      <c r="A2756" t="str">
        <f t="shared" si="43"/>
        <v/>
      </c>
      <c r="B2756" s="1">
        <v>2015</v>
      </c>
      <c r="C2756" s="1" t="s">
        <v>2505</v>
      </c>
      <c r="D2756" s="1" t="s">
        <v>2506</v>
      </c>
      <c r="E2756" s="1" t="s">
        <v>2019</v>
      </c>
      <c r="F2756" s="1" t="s">
        <v>275</v>
      </c>
      <c r="G2756" s="6">
        <v>9519</v>
      </c>
      <c r="H2756" t="str">
        <f>IFERROR(VLOOKUP(F2756,'LEAID Match'!$A$2:$B$142,2,FALSE),"")</f>
        <v/>
      </c>
    </row>
    <row r="2757" spans="1:8" x14ac:dyDescent="0.2">
      <c r="A2757" t="str">
        <f t="shared" si="43"/>
        <v/>
      </c>
      <c r="B2757">
        <v>2016</v>
      </c>
      <c r="C2757" s="1" t="s">
        <v>2505</v>
      </c>
      <c r="D2757" s="1" t="s">
        <v>2506</v>
      </c>
      <c r="E2757" s="1" t="s">
        <v>2019</v>
      </c>
      <c r="F2757" s="1" t="s">
        <v>275</v>
      </c>
      <c r="G2757" s="12">
        <v>9887</v>
      </c>
      <c r="H2757" t="str">
        <f>IFERROR(VLOOKUP(F2757,'LEAID Match'!$A$2:$B$142,2,FALSE),"")</f>
        <v/>
      </c>
    </row>
    <row r="2758" spans="1:8" x14ac:dyDescent="0.2">
      <c r="A2758" t="str">
        <f t="shared" si="43"/>
        <v/>
      </c>
      <c r="B2758" s="1">
        <v>2017</v>
      </c>
      <c r="C2758" s="1" t="s">
        <v>2505</v>
      </c>
      <c r="D2758" s="1" t="s">
        <v>2506</v>
      </c>
      <c r="E2758" s="1" t="s">
        <v>2019</v>
      </c>
      <c r="F2758" s="1" t="s">
        <v>275</v>
      </c>
      <c r="G2758" s="51">
        <v>9973</v>
      </c>
      <c r="H2758" t="str">
        <f>IFERROR(VLOOKUP(F2758,'LEAID Match'!$A$2:$B$142,2,FALSE),"")</f>
        <v/>
      </c>
    </row>
    <row r="2759" spans="1:8" x14ac:dyDescent="0.2">
      <c r="A2759" t="str">
        <f t="shared" si="43"/>
        <v/>
      </c>
      <c r="B2759" s="1">
        <v>2018</v>
      </c>
      <c r="C2759" s="1" t="s">
        <v>2505</v>
      </c>
      <c r="D2759" s="1" t="s">
        <v>2506</v>
      </c>
      <c r="E2759" s="1" t="s">
        <v>2019</v>
      </c>
      <c r="F2759" s="1" t="s">
        <v>275</v>
      </c>
      <c r="G2759" s="6">
        <v>10817</v>
      </c>
      <c r="H2759" t="str">
        <f>IFERROR(VLOOKUP(F2759,'LEAID Match'!$A$2:$B$142,2,FALSE),"")</f>
        <v/>
      </c>
    </row>
    <row r="2760" spans="1:8" x14ac:dyDescent="0.2">
      <c r="A2760" t="str">
        <f t="shared" si="43"/>
        <v/>
      </c>
      <c r="B2760" s="1">
        <v>2019</v>
      </c>
      <c r="C2760" s="1" t="s">
        <v>2505</v>
      </c>
      <c r="D2760" s="1" t="s">
        <v>2506</v>
      </c>
      <c r="E2760" s="1" t="s">
        <v>2019</v>
      </c>
      <c r="F2760" s="1" t="s">
        <v>275</v>
      </c>
      <c r="G2760" s="6">
        <v>13894</v>
      </c>
      <c r="H2760" t="str">
        <f>IFERROR(VLOOKUP(F2760,'LEAID Match'!$A$2:$B$142,2,FALSE),"")</f>
        <v/>
      </c>
    </row>
    <row r="2761" spans="1:8" x14ac:dyDescent="0.2">
      <c r="A2761" t="str">
        <f t="shared" si="43"/>
        <v/>
      </c>
      <c r="B2761" s="1">
        <v>2020</v>
      </c>
      <c r="C2761" s="1" t="s">
        <v>2505</v>
      </c>
      <c r="D2761" s="1" t="s">
        <v>2506</v>
      </c>
      <c r="E2761" s="1" t="s">
        <v>2019</v>
      </c>
      <c r="F2761" s="1" t="s">
        <v>275</v>
      </c>
      <c r="G2761" s="6">
        <v>15128</v>
      </c>
      <c r="H2761" t="str">
        <f>IFERROR(VLOOKUP(F2761,'LEAID Match'!$A$2:$B$142,2,FALSE),"")</f>
        <v/>
      </c>
    </row>
    <row r="2762" spans="1:8" x14ac:dyDescent="0.2">
      <c r="A2762" t="str">
        <f t="shared" si="43"/>
        <v/>
      </c>
      <c r="B2762" s="1">
        <v>2021</v>
      </c>
      <c r="C2762" s="1" t="s">
        <v>2505</v>
      </c>
      <c r="D2762" s="1" t="s">
        <v>2506</v>
      </c>
      <c r="E2762" s="1" t="s">
        <v>2019</v>
      </c>
      <c r="F2762" s="1" t="s">
        <v>275</v>
      </c>
      <c r="G2762" s="6">
        <v>15286</v>
      </c>
      <c r="H2762" t="str">
        <f>IFERROR(VLOOKUP(F2762,'LEAID Match'!$A$2:$B$142,2,FALSE),"")</f>
        <v/>
      </c>
    </row>
    <row r="2763" spans="1:8" x14ac:dyDescent="0.2">
      <c r="A2763" t="str">
        <f t="shared" si="43"/>
        <v/>
      </c>
      <c r="B2763" s="1">
        <v>2022</v>
      </c>
      <c r="C2763" s="1" t="s">
        <v>2505</v>
      </c>
      <c r="D2763" s="1" t="s">
        <v>2506</v>
      </c>
      <c r="E2763" s="1" t="s">
        <v>2019</v>
      </c>
      <c r="F2763" s="1" t="s">
        <v>275</v>
      </c>
      <c r="G2763" s="6">
        <v>16726</v>
      </c>
      <c r="H2763" t="str">
        <f>IFERROR(VLOOKUP(F2763,'LEAID Match'!$A$2:$B$142,2,FALSE),"")</f>
        <v/>
      </c>
    </row>
    <row r="2764" spans="1:8" x14ac:dyDescent="0.2">
      <c r="A2764" t="str">
        <f t="shared" si="43"/>
        <v/>
      </c>
      <c r="B2764" s="1">
        <v>2023</v>
      </c>
      <c r="C2764" s="1" t="s">
        <v>2505</v>
      </c>
      <c r="D2764" s="1" t="s">
        <v>2506</v>
      </c>
      <c r="E2764" s="1" t="s">
        <v>2019</v>
      </c>
      <c r="F2764" s="1" t="s">
        <v>275</v>
      </c>
      <c r="G2764" s="6">
        <v>17272</v>
      </c>
      <c r="H2764" t="str">
        <f>IFERROR(VLOOKUP(F2764,'LEAID Match'!$A$2:$B$142,2,FALSE),"")</f>
        <v/>
      </c>
    </row>
    <row r="2765" spans="1:8" x14ac:dyDescent="0.2">
      <c r="A2765" t="str">
        <f t="shared" si="43"/>
        <v/>
      </c>
      <c r="B2765" s="1">
        <v>2024</v>
      </c>
      <c r="C2765" s="1" t="s">
        <v>2505</v>
      </c>
      <c r="D2765" s="1" t="s">
        <v>2506</v>
      </c>
      <c r="E2765" s="1" t="s">
        <v>2019</v>
      </c>
      <c r="F2765" s="1" t="s">
        <v>275</v>
      </c>
      <c r="G2765" s="6">
        <v>19255</v>
      </c>
      <c r="H2765" t="str">
        <f>IFERROR(VLOOKUP(F2765,'LEAID Match'!$A$2:$B$142,2,FALSE),"")</f>
        <v/>
      </c>
    </row>
    <row r="2766" spans="1:8" x14ac:dyDescent="0.2">
      <c r="A2766" t="str">
        <f t="shared" si="43"/>
        <v/>
      </c>
      <c r="B2766" s="1">
        <v>2015</v>
      </c>
      <c r="C2766" s="1" t="s">
        <v>2505</v>
      </c>
      <c r="D2766" s="1" t="s">
        <v>2506</v>
      </c>
      <c r="E2766" s="1" t="s">
        <v>2019</v>
      </c>
      <c r="F2766" s="1" t="s">
        <v>276</v>
      </c>
      <c r="G2766" s="6">
        <v>3490282</v>
      </c>
      <c r="H2766" t="str">
        <f>IFERROR(VLOOKUP(F2766,'LEAID Match'!$A$2:$B$142,2,FALSE),"")</f>
        <v/>
      </c>
    </row>
    <row r="2767" spans="1:8" x14ac:dyDescent="0.2">
      <c r="A2767" t="str">
        <f t="shared" si="43"/>
        <v/>
      </c>
      <c r="B2767">
        <v>2016</v>
      </c>
      <c r="C2767" s="1" t="s">
        <v>2505</v>
      </c>
      <c r="D2767" s="1" t="s">
        <v>2506</v>
      </c>
      <c r="E2767" s="1" t="s">
        <v>2019</v>
      </c>
      <c r="F2767" s="1" t="s">
        <v>276</v>
      </c>
      <c r="G2767" s="12">
        <v>3588537</v>
      </c>
      <c r="H2767" t="str">
        <f>IFERROR(VLOOKUP(F2767,'LEAID Match'!$A$2:$B$142,2,FALSE),"")</f>
        <v/>
      </c>
    </row>
    <row r="2768" spans="1:8" x14ac:dyDescent="0.2">
      <c r="A2768" t="str">
        <f t="shared" si="43"/>
        <v/>
      </c>
      <c r="B2768" s="1">
        <v>2017</v>
      </c>
      <c r="C2768" s="1" t="s">
        <v>2505</v>
      </c>
      <c r="D2768" s="1" t="s">
        <v>2506</v>
      </c>
      <c r="E2768" s="1" t="s">
        <v>2019</v>
      </c>
      <c r="F2768" s="1" t="s">
        <v>276</v>
      </c>
      <c r="G2768" s="51">
        <v>3693764</v>
      </c>
      <c r="H2768" t="str">
        <f>IFERROR(VLOOKUP(F2768,'LEAID Match'!$A$2:$B$142,2,FALSE),"")</f>
        <v/>
      </c>
    </row>
    <row r="2769" spans="1:8" x14ac:dyDescent="0.2">
      <c r="A2769" t="str">
        <f t="shared" si="43"/>
        <v/>
      </c>
      <c r="B2769" s="1">
        <v>2018</v>
      </c>
      <c r="C2769" s="1" t="s">
        <v>2505</v>
      </c>
      <c r="D2769" s="1" t="s">
        <v>2506</v>
      </c>
      <c r="E2769" s="1" t="s">
        <v>2019</v>
      </c>
      <c r="F2769" s="1" t="s">
        <v>276</v>
      </c>
      <c r="G2769" s="6">
        <v>3681588</v>
      </c>
      <c r="H2769" t="str">
        <f>IFERROR(VLOOKUP(F2769,'LEAID Match'!$A$2:$B$142,2,FALSE),"")</f>
        <v/>
      </c>
    </row>
    <row r="2770" spans="1:8" x14ac:dyDescent="0.2">
      <c r="A2770" t="str">
        <f t="shared" si="43"/>
        <v/>
      </c>
      <c r="B2770" s="1">
        <v>2019</v>
      </c>
      <c r="C2770" s="1" t="s">
        <v>2505</v>
      </c>
      <c r="D2770" s="1" t="s">
        <v>2506</v>
      </c>
      <c r="E2770" s="1" t="s">
        <v>2019</v>
      </c>
      <c r="F2770" s="1" t="s">
        <v>276</v>
      </c>
      <c r="G2770" s="6">
        <v>3885942</v>
      </c>
      <c r="H2770" t="str">
        <f>IFERROR(VLOOKUP(F2770,'LEAID Match'!$A$2:$B$142,2,FALSE),"")</f>
        <v/>
      </c>
    </row>
    <row r="2771" spans="1:8" x14ac:dyDescent="0.2">
      <c r="A2771" t="str">
        <f t="shared" si="43"/>
        <v/>
      </c>
      <c r="B2771" s="1">
        <v>2020</v>
      </c>
      <c r="C2771" s="1" t="s">
        <v>2505</v>
      </c>
      <c r="D2771" s="1" t="s">
        <v>2506</v>
      </c>
      <c r="E2771" s="1" t="s">
        <v>2019</v>
      </c>
      <c r="F2771" s="1" t="s">
        <v>276</v>
      </c>
      <c r="G2771" s="6">
        <v>4417492</v>
      </c>
      <c r="H2771" t="str">
        <f>IFERROR(VLOOKUP(F2771,'LEAID Match'!$A$2:$B$142,2,FALSE),"")</f>
        <v/>
      </c>
    </row>
    <row r="2772" spans="1:8" x14ac:dyDescent="0.2">
      <c r="A2772" t="str">
        <f t="shared" si="43"/>
        <v/>
      </c>
      <c r="B2772" s="1">
        <v>2021</v>
      </c>
      <c r="C2772" s="1" t="s">
        <v>2505</v>
      </c>
      <c r="D2772" s="1" t="s">
        <v>2506</v>
      </c>
      <c r="E2772" s="1" t="s">
        <v>2019</v>
      </c>
      <c r="F2772" s="1" t="s">
        <v>276</v>
      </c>
      <c r="G2772" s="6">
        <v>4282923</v>
      </c>
      <c r="H2772" t="str">
        <f>IFERROR(VLOOKUP(F2772,'LEAID Match'!$A$2:$B$142,2,FALSE),"")</f>
        <v/>
      </c>
    </row>
    <row r="2773" spans="1:8" x14ac:dyDescent="0.2">
      <c r="A2773" t="str">
        <f t="shared" si="43"/>
        <v/>
      </c>
      <c r="B2773" s="1">
        <v>2022</v>
      </c>
      <c r="C2773" s="1" t="s">
        <v>2505</v>
      </c>
      <c r="D2773" s="1" t="s">
        <v>2506</v>
      </c>
      <c r="E2773" s="1" t="s">
        <v>2019</v>
      </c>
      <c r="F2773" s="1" t="s">
        <v>276</v>
      </c>
      <c r="G2773" s="6">
        <v>4376133</v>
      </c>
      <c r="H2773" t="str">
        <f>IFERROR(VLOOKUP(F2773,'LEAID Match'!$A$2:$B$142,2,FALSE),"")</f>
        <v/>
      </c>
    </row>
    <row r="2774" spans="1:8" x14ac:dyDescent="0.2">
      <c r="A2774" t="str">
        <f t="shared" si="43"/>
        <v/>
      </c>
      <c r="B2774" s="1">
        <v>2023</v>
      </c>
      <c r="C2774" s="1" t="s">
        <v>2505</v>
      </c>
      <c r="D2774" s="1" t="s">
        <v>2506</v>
      </c>
      <c r="E2774" s="1" t="s">
        <v>2019</v>
      </c>
      <c r="F2774" s="1" t="s">
        <v>276</v>
      </c>
      <c r="G2774" s="6">
        <v>4695701</v>
      </c>
      <c r="H2774" t="str">
        <f>IFERROR(VLOOKUP(F2774,'LEAID Match'!$A$2:$B$142,2,FALSE),"")</f>
        <v/>
      </c>
    </row>
    <row r="2775" spans="1:8" x14ac:dyDescent="0.2">
      <c r="A2775" t="str">
        <f t="shared" si="43"/>
        <v/>
      </c>
      <c r="B2775" s="1">
        <v>2024</v>
      </c>
      <c r="C2775" s="1" t="s">
        <v>2505</v>
      </c>
      <c r="D2775" s="1" t="s">
        <v>2506</v>
      </c>
      <c r="E2775" s="1" t="s">
        <v>2019</v>
      </c>
      <c r="F2775" s="1" t="s">
        <v>276</v>
      </c>
      <c r="G2775" s="6">
        <v>5071802</v>
      </c>
      <c r="H2775" t="str">
        <f>IFERROR(VLOOKUP(F2775,'LEAID Match'!$A$2:$B$142,2,FALSE),"")</f>
        <v/>
      </c>
    </row>
    <row r="2776" spans="1:8" x14ac:dyDescent="0.2">
      <c r="A2776" t="str">
        <f t="shared" si="43"/>
        <v/>
      </c>
      <c r="B2776" s="1">
        <v>2015</v>
      </c>
      <c r="C2776" s="1" t="s">
        <v>2505</v>
      </c>
      <c r="D2776" s="1" t="s">
        <v>2506</v>
      </c>
      <c r="E2776" s="1" t="s">
        <v>2019</v>
      </c>
      <c r="F2776" s="1" t="s">
        <v>277</v>
      </c>
      <c r="G2776" s="6">
        <v>63121</v>
      </c>
      <c r="H2776" t="str">
        <f>IFERROR(VLOOKUP(F2776,'LEAID Match'!$A$2:$B$142,2,FALSE),"")</f>
        <v/>
      </c>
    </row>
    <row r="2777" spans="1:8" x14ac:dyDescent="0.2">
      <c r="A2777" t="str">
        <f t="shared" si="43"/>
        <v/>
      </c>
      <c r="B2777">
        <v>2016</v>
      </c>
      <c r="C2777" s="1" t="s">
        <v>2505</v>
      </c>
      <c r="D2777" s="1" t="s">
        <v>2506</v>
      </c>
      <c r="E2777" s="1" t="s">
        <v>2019</v>
      </c>
      <c r="F2777" s="1" t="s">
        <v>277</v>
      </c>
      <c r="G2777" s="12">
        <v>63449</v>
      </c>
      <c r="H2777" t="str">
        <f>IFERROR(VLOOKUP(F2777,'LEAID Match'!$A$2:$B$142,2,FALSE),"")</f>
        <v/>
      </c>
    </row>
    <row r="2778" spans="1:8" x14ac:dyDescent="0.2">
      <c r="A2778" t="str">
        <f t="shared" si="43"/>
        <v/>
      </c>
      <c r="B2778" s="1">
        <v>2017</v>
      </c>
      <c r="C2778" s="1" t="s">
        <v>2505</v>
      </c>
      <c r="D2778" s="1" t="s">
        <v>2506</v>
      </c>
      <c r="E2778" s="1" t="s">
        <v>2019</v>
      </c>
      <c r="F2778" s="1" t="s">
        <v>277</v>
      </c>
      <c r="G2778" s="51">
        <v>67756</v>
      </c>
      <c r="H2778" t="str">
        <f>IFERROR(VLOOKUP(F2778,'LEAID Match'!$A$2:$B$142,2,FALSE),"")</f>
        <v/>
      </c>
    </row>
    <row r="2779" spans="1:8" x14ac:dyDescent="0.2">
      <c r="A2779" t="str">
        <f t="shared" si="43"/>
        <v/>
      </c>
      <c r="B2779" s="1">
        <v>2018</v>
      </c>
      <c r="C2779" s="1" t="s">
        <v>2505</v>
      </c>
      <c r="D2779" s="1" t="s">
        <v>2506</v>
      </c>
      <c r="E2779" s="1" t="s">
        <v>2019</v>
      </c>
      <c r="F2779" s="1" t="s">
        <v>277</v>
      </c>
      <c r="G2779" s="6">
        <v>68629</v>
      </c>
      <c r="H2779" t="str">
        <f>IFERROR(VLOOKUP(F2779,'LEAID Match'!$A$2:$B$142,2,FALSE),"")</f>
        <v/>
      </c>
    </row>
    <row r="2780" spans="1:8" x14ac:dyDescent="0.2">
      <c r="A2780" t="str">
        <f t="shared" si="43"/>
        <v/>
      </c>
      <c r="B2780" s="1">
        <v>2019</v>
      </c>
      <c r="C2780" s="1" t="s">
        <v>2505</v>
      </c>
      <c r="D2780" s="1" t="s">
        <v>2506</v>
      </c>
      <c r="E2780" s="1" t="s">
        <v>2019</v>
      </c>
      <c r="F2780" s="1" t="s">
        <v>277</v>
      </c>
      <c r="G2780" s="6">
        <v>64602</v>
      </c>
      <c r="H2780" t="str">
        <f>IFERROR(VLOOKUP(F2780,'LEAID Match'!$A$2:$B$142,2,FALSE),"")</f>
        <v/>
      </c>
    </row>
    <row r="2781" spans="1:8" x14ac:dyDescent="0.2">
      <c r="A2781" t="str">
        <f t="shared" si="43"/>
        <v/>
      </c>
      <c r="B2781" s="1">
        <v>2020</v>
      </c>
      <c r="C2781" s="1" t="s">
        <v>2505</v>
      </c>
      <c r="D2781" s="1" t="s">
        <v>2506</v>
      </c>
      <c r="E2781" s="1" t="s">
        <v>2019</v>
      </c>
      <c r="F2781" s="1" t="s">
        <v>277</v>
      </c>
      <c r="G2781" s="6">
        <v>81201</v>
      </c>
      <c r="H2781" t="str">
        <f>IFERROR(VLOOKUP(F2781,'LEAID Match'!$A$2:$B$142,2,FALSE),"")</f>
        <v/>
      </c>
    </row>
    <row r="2782" spans="1:8" x14ac:dyDescent="0.2">
      <c r="A2782" t="str">
        <f t="shared" si="43"/>
        <v/>
      </c>
      <c r="B2782" s="1">
        <v>2021</v>
      </c>
      <c r="C2782" s="1" t="s">
        <v>2505</v>
      </c>
      <c r="D2782" s="1" t="s">
        <v>2506</v>
      </c>
      <c r="E2782" s="1" t="s">
        <v>2019</v>
      </c>
      <c r="F2782" s="1" t="s">
        <v>277</v>
      </c>
      <c r="G2782" s="6">
        <v>82763</v>
      </c>
      <c r="H2782" t="str">
        <f>IFERROR(VLOOKUP(F2782,'LEAID Match'!$A$2:$B$142,2,FALSE),"")</f>
        <v/>
      </c>
    </row>
    <row r="2783" spans="1:8" x14ac:dyDescent="0.2">
      <c r="A2783" t="str">
        <f t="shared" si="43"/>
        <v/>
      </c>
      <c r="B2783" s="1">
        <v>2022</v>
      </c>
      <c r="C2783" s="1" t="s">
        <v>2505</v>
      </c>
      <c r="D2783" s="1" t="s">
        <v>2506</v>
      </c>
      <c r="E2783" s="1" t="s">
        <v>2019</v>
      </c>
      <c r="F2783" s="1" t="s">
        <v>277</v>
      </c>
      <c r="G2783" s="6">
        <v>79570</v>
      </c>
      <c r="H2783" t="str">
        <f>IFERROR(VLOOKUP(F2783,'LEAID Match'!$A$2:$B$142,2,FALSE),"")</f>
        <v/>
      </c>
    </row>
    <row r="2784" spans="1:8" x14ac:dyDescent="0.2">
      <c r="A2784" t="str">
        <f t="shared" si="43"/>
        <v/>
      </c>
      <c r="B2784" s="1">
        <v>2023</v>
      </c>
      <c r="C2784" s="1" t="s">
        <v>2505</v>
      </c>
      <c r="D2784" s="1" t="s">
        <v>2506</v>
      </c>
      <c r="E2784" s="1" t="s">
        <v>2019</v>
      </c>
      <c r="F2784" s="1" t="s">
        <v>277</v>
      </c>
      <c r="G2784" s="6">
        <v>85610</v>
      </c>
      <c r="H2784" t="str">
        <f>IFERROR(VLOOKUP(F2784,'LEAID Match'!$A$2:$B$142,2,FALSE),"")</f>
        <v/>
      </c>
    </row>
    <row r="2785" spans="1:8" x14ac:dyDescent="0.2">
      <c r="A2785" t="str">
        <f t="shared" si="43"/>
        <v/>
      </c>
      <c r="B2785" s="1">
        <v>2024</v>
      </c>
      <c r="C2785" s="1" t="s">
        <v>2505</v>
      </c>
      <c r="D2785" s="1" t="s">
        <v>2506</v>
      </c>
      <c r="E2785" s="1" t="s">
        <v>2019</v>
      </c>
      <c r="F2785" s="1" t="s">
        <v>277</v>
      </c>
      <c r="G2785" s="6">
        <v>82865</v>
      </c>
      <c r="H2785" t="str">
        <f>IFERROR(VLOOKUP(F2785,'LEAID Match'!$A$2:$B$142,2,FALSE),"")</f>
        <v/>
      </c>
    </row>
    <row r="2786" spans="1:8" x14ac:dyDescent="0.2">
      <c r="A2786">
        <f t="shared" si="43"/>
        <v>2801800</v>
      </c>
      <c r="B2786" s="1">
        <v>2015</v>
      </c>
      <c r="C2786" s="1" t="s">
        <v>2505</v>
      </c>
      <c r="D2786" s="1" t="s">
        <v>2506</v>
      </c>
      <c r="E2786" s="1" t="s">
        <v>2019</v>
      </c>
      <c r="F2786" s="1" t="s">
        <v>278</v>
      </c>
      <c r="G2786" s="6">
        <v>4323770</v>
      </c>
      <c r="H2786">
        <f>IFERROR(VLOOKUP(F2786,'LEAID Match'!$A$2:$B$142,2,FALSE),"")</f>
        <v>2801800</v>
      </c>
    </row>
    <row r="2787" spans="1:8" x14ac:dyDescent="0.2">
      <c r="A2787">
        <f t="shared" si="43"/>
        <v>2801800</v>
      </c>
      <c r="B2787">
        <v>2016</v>
      </c>
      <c r="C2787" s="1" t="s">
        <v>2505</v>
      </c>
      <c r="D2787" s="1" t="s">
        <v>2506</v>
      </c>
      <c r="E2787" s="1" t="s">
        <v>2019</v>
      </c>
      <c r="F2787" s="1" t="s">
        <v>278</v>
      </c>
      <c r="G2787" s="12">
        <v>4320459</v>
      </c>
      <c r="H2787">
        <f>IFERROR(VLOOKUP(F2787,'LEAID Match'!$A$2:$B$142,2,FALSE),"")</f>
        <v>2801800</v>
      </c>
    </row>
    <row r="2788" spans="1:8" x14ac:dyDescent="0.2">
      <c r="A2788">
        <f t="shared" si="43"/>
        <v>2801800</v>
      </c>
      <c r="B2788" s="1">
        <v>2017</v>
      </c>
      <c r="C2788" s="1" t="s">
        <v>2505</v>
      </c>
      <c r="D2788" s="1" t="s">
        <v>2506</v>
      </c>
      <c r="E2788" s="1" t="s">
        <v>2019</v>
      </c>
      <c r="F2788" s="1" t="s">
        <v>278</v>
      </c>
      <c r="G2788" s="51">
        <v>3716759</v>
      </c>
      <c r="H2788">
        <f>IFERROR(VLOOKUP(F2788,'LEAID Match'!$A$2:$B$142,2,FALSE),"")</f>
        <v>2801800</v>
      </c>
    </row>
    <row r="2789" spans="1:8" x14ac:dyDescent="0.2">
      <c r="A2789">
        <f t="shared" si="43"/>
        <v>2801800</v>
      </c>
      <c r="B2789" s="1">
        <v>2018</v>
      </c>
      <c r="C2789" s="1" t="s">
        <v>2505</v>
      </c>
      <c r="D2789" s="1" t="s">
        <v>2506</v>
      </c>
      <c r="E2789" s="1" t="s">
        <v>2019</v>
      </c>
      <c r="F2789" s="1" t="s">
        <v>278</v>
      </c>
      <c r="G2789" s="6">
        <v>3712754</v>
      </c>
      <c r="H2789">
        <f>IFERROR(VLOOKUP(F2789,'LEAID Match'!$A$2:$B$142,2,FALSE),"")</f>
        <v>2801800</v>
      </c>
    </row>
    <row r="2790" spans="1:8" x14ac:dyDescent="0.2">
      <c r="A2790">
        <f t="shared" si="43"/>
        <v>2801800</v>
      </c>
      <c r="B2790" s="1">
        <v>2019</v>
      </c>
      <c r="C2790" s="1" t="s">
        <v>2505</v>
      </c>
      <c r="D2790" s="1" t="s">
        <v>2506</v>
      </c>
      <c r="E2790" s="1" t="s">
        <v>2019</v>
      </c>
      <c r="F2790" s="1" t="s">
        <v>278</v>
      </c>
      <c r="G2790" s="6">
        <v>3685065</v>
      </c>
      <c r="H2790">
        <f>IFERROR(VLOOKUP(F2790,'LEAID Match'!$A$2:$B$142,2,FALSE),"")</f>
        <v>2801800</v>
      </c>
    </row>
    <row r="2791" spans="1:8" x14ac:dyDescent="0.2">
      <c r="A2791">
        <f t="shared" si="43"/>
        <v>2801800</v>
      </c>
      <c r="B2791" s="1">
        <v>2020</v>
      </c>
      <c r="C2791" s="1" t="s">
        <v>2505</v>
      </c>
      <c r="D2791" s="1" t="s">
        <v>2506</v>
      </c>
      <c r="E2791" s="1" t="s">
        <v>2019</v>
      </c>
      <c r="F2791" s="1" t="s">
        <v>278</v>
      </c>
      <c r="G2791" s="6">
        <v>4208493</v>
      </c>
      <c r="H2791">
        <f>IFERROR(VLOOKUP(F2791,'LEAID Match'!$A$2:$B$142,2,FALSE),"")</f>
        <v>2801800</v>
      </c>
    </row>
    <row r="2792" spans="1:8" x14ac:dyDescent="0.2">
      <c r="A2792">
        <f t="shared" si="43"/>
        <v>2801800</v>
      </c>
      <c r="B2792" s="1">
        <v>2021</v>
      </c>
      <c r="C2792" s="1" t="s">
        <v>2505</v>
      </c>
      <c r="D2792" s="1" t="s">
        <v>2506</v>
      </c>
      <c r="E2792" s="1" t="s">
        <v>2019</v>
      </c>
      <c r="F2792" s="1" t="s">
        <v>278</v>
      </c>
      <c r="G2792" s="6">
        <v>4241428</v>
      </c>
      <c r="H2792">
        <f>IFERROR(VLOOKUP(F2792,'LEAID Match'!$A$2:$B$142,2,FALSE),"")</f>
        <v>2801800</v>
      </c>
    </row>
    <row r="2793" spans="1:8" x14ac:dyDescent="0.2">
      <c r="A2793">
        <f t="shared" si="43"/>
        <v>2801800</v>
      </c>
      <c r="B2793" s="1">
        <v>2022</v>
      </c>
      <c r="C2793" s="1" t="s">
        <v>2505</v>
      </c>
      <c r="D2793" s="1" t="s">
        <v>2506</v>
      </c>
      <c r="E2793" s="1" t="s">
        <v>2019</v>
      </c>
      <c r="F2793" s="1" t="s">
        <v>278</v>
      </c>
      <c r="G2793" s="6">
        <v>4565536</v>
      </c>
      <c r="H2793">
        <f>IFERROR(VLOOKUP(F2793,'LEAID Match'!$A$2:$B$142,2,FALSE),"")</f>
        <v>2801800</v>
      </c>
    </row>
    <row r="2794" spans="1:8" x14ac:dyDescent="0.2">
      <c r="A2794">
        <f t="shared" si="43"/>
        <v>2801800</v>
      </c>
      <c r="B2794" s="1">
        <v>2023</v>
      </c>
      <c r="C2794" s="1" t="s">
        <v>2505</v>
      </c>
      <c r="D2794" s="1" t="s">
        <v>2506</v>
      </c>
      <c r="E2794" s="1" t="s">
        <v>2019</v>
      </c>
      <c r="F2794" s="1" t="s">
        <v>278</v>
      </c>
      <c r="G2794" s="6">
        <v>4569413</v>
      </c>
      <c r="H2794">
        <f>IFERROR(VLOOKUP(F2794,'LEAID Match'!$A$2:$B$142,2,FALSE),"")</f>
        <v>2801800</v>
      </c>
    </row>
    <row r="2795" spans="1:8" x14ac:dyDescent="0.2">
      <c r="A2795">
        <f t="shared" si="43"/>
        <v>2801800</v>
      </c>
      <c r="B2795" s="1">
        <v>2024</v>
      </c>
      <c r="C2795" s="1" t="s">
        <v>2505</v>
      </c>
      <c r="D2795" s="1" t="s">
        <v>2506</v>
      </c>
      <c r="E2795" s="1" t="s">
        <v>2019</v>
      </c>
      <c r="F2795" s="1" t="s">
        <v>278</v>
      </c>
      <c r="G2795" s="6">
        <v>4874396</v>
      </c>
      <c r="H2795">
        <f>IFERROR(VLOOKUP(F2795,'LEAID Match'!$A$2:$B$142,2,FALSE),"")</f>
        <v>2801800</v>
      </c>
    </row>
    <row r="2796" spans="1:8" x14ac:dyDescent="0.2">
      <c r="A2796" t="str">
        <f t="shared" si="43"/>
        <v/>
      </c>
      <c r="B2796" s="1">
        <v>2015</v>
      </c>
      <c r="C2796" s="1" t="s">
        <v>2505</v>
      </c>
      <c r="D2796" s="1" t="s">
        <v>2506</v>
      </c>
      <c r="E2796" s="1" t="s">
        <v>2019</v>
      </c>
      <c r="F2796" s="1" t="s">
        <v>279</v>
      </c>
      <c r="G2796" s="6">
        <v>42476</v>
      </c>
      <c r="H2796" t="str">
        <f>IFERROR(VLOOKUP(F2796,'LEAID Match'!$A$2:$B$142,2,FALSE),"")</f>
        <v/>
      </c>
    </row>
    <row r="2797" spans="1:8" x14ac:dyDescent="0.2">
      <c r="A2797" t="str">
        <f t="shared" si="43"/>
        <v/>
      </c>
      <c r="B2797">
        <v>2016</v>
      </c>
      <c r="C2797" s="1" t="s">
        <v>2505</v>
      </c>
      <c r="D2797" s="1" t="s">
        <v>2506</v>
      </c>
      <c r="E2797" s="1" t="s">
        <v>2019</v>
      </c>
      <c r="F2797" s="1" t="s">
        <v>279</v>
      </c>
      <c r="G2797" s="12">
        <v>37501</v>
      </c>
      <c r="H2797" t="str">
        <f>IFERROR(VLOOKUP(F2797,'LEAID Match'!$A$2:$B$142,2,FALSE),"")</f>
        <v/>
      </c>
    </row>
    <row r="2798" spans="1:8" x14ac:dyDescent="0.2">
      <c r="A2798" t="str">
        <f t="shared" si="43"/>
        <v/>
      </c>
      <c r="B2798" s="1">
        <v>2017</v>
      </c>
      <c r="C2798" s="1" t="s">
        <v>2505</v>
      </c>
      <c r="D2798" s="1" t="s">
        <v>2506</v>
      </c>
      <c r="E2798" s="1" t="s">
        <v>2019</v>
      </c>
      <c r="F2798" s="1" t="s">
        <v>279</v>
      </c>
      <c r="G2798" s="51">
        <v>43869</v>
      </c>
      <c r="H2798" t="str">
        <f>IFERROR(VLOOKUP(F2798,'LEAID Match'!$A$2:$B$142,2,FALSE),"")</f>
        <v/>
      </c>
    </row>
    <row r="2799" spans="1:8" x14ac:dyDescent="0.2">
      <c r="A2799" t="str">
        <f t="shared" si="43"/>
        <v/>
      </c>
      <c r="B2799" s="1">
        <v>2018</v>
      </c>
      <c r="C2799" s="1" t="s">
        <v>2505</v>
      </c>
      <c r="D2799" s="1" t="s">
        <v>2506</v>
      </c>
      <c r="E2799" s="1" t="s">
        <v>2019</v>
      </c>
      <c r="F2799" s="1" t="s">
        <v>279</v>
      </c>
      <c r="G2799" s="6">
        <v>30450</v>
      </c>
      <c r="H2799" t="str">
        <f>IFERROR(VLOOKUP(F2799,'LEAID Match'!$A$2:$B$142,2,FALSE),"")</f>
        <v/>
      </c>
    </row>
    <row r="2800" spans="1:8" x14ac:dyDescent="0.2">
      <c r="A2800" t="str">
        <f t="shared" si="43"/>
        <v/>
      </c>
      <c r="B2800" s="1">
        <v>2019</v>
      </c>
      <c r="C2800" s="1" t="s">
        <v>2505</v>
      </c>
      <c r="D2800" s="1" t="s">
        <v>2506</v>
      </c>
      <c r="E2800" s="1" t="s">
        <v>2019</v>
      </c>
      <c r="F2800" s="1" t="s">
        <v>279</v>
      </c>
      <c r="G2800" s="6">
        <v>44663</v>
      </c>
      <c r="H2800" t="str">
        <f>IFERROR(VLOOKUP(F2800,'LEAID Match'!$A$2:$B$142,2,FALSE),"")</f>
        <v/>
      </c>
    </row>
    <row r="2801" spans="1:8" x14ac:dyDescent="0.2">
      <c r="A2801" t="str">
        <f t="shared" si="43"/>
        <v/>
      </c>
      <c r="B2801" s="1">
        <v>2020</v>
      </c>
      <c r="C2801" s="1" t="s">
        <v>2505</v>
      </c>
      <c r="D2801" s="1" t="s">
        <v>2506</v>
      </c>
      <c r="E2801" s="1" t="s">
        <v>2019</v>
      </c>
      <c r="F2801" s="1" t="s">
        <v>279</v>
      </c>
      <c r="G2801" s="6">
        <v>52504</v>
      </c>
      <c r="H2801" t="str">
        <f>IFERROR(VLOOKUP(F2801,'LEAID Match'!$A$2:$B$142,2,FALSE),"")</f>
        <v/>
      </c>
    </row>
    <row r="2802" spans="1:8" x14ac:dyDescent="0.2">
      <c r="A2802" t="str">
        <f t="shared" si="43"/>
        <v/>
      </c>
      <c r="B2802" s="1">
        <v>2021</v>
      </c>
      <c r="C2802" s="1" t="s">
        <v>2505</v>
      </c>
      <c r="D2802" s="1" t="s">
        <v>2506</v>
      </c>
      <c r="E2802" s="1" t="s">
        <v>2019</v>
      </c>
      <c r="F2802" s="1" t="s">
        <v>279</v>
      </c>
      <c r="G2802" s="6">
        <v>47462</v>
      </c>
      <c r="H2802" t="str">
        <f>IFERROR(VLOOKUP(F2802,'LEAID Match'!$A$2:$B$142,2,FALSE),"")</f>
        <v/>
      </c>
    </row>
    <row r="2803" spans="1:8" x14ac:dyDescent="0.2">
      <c r="A2803" t="str">
        <f t="shared" si="43"/>
        <v/>
      </c>
      <c r="B2803" s="1">
        <v>2022</v>
      </c>
      <c r="C2803" s="1" t="s">
        <v>2505</v>
      </c>
      <c r="D2803" s="1" t="s">
        <v>2506</v>
      </c>
      <c r="E2803" s="1" t="s">
        <v>2019</v>
      </c>
      <c r="F2803" s="1" t="s">
        <v>279</v>
      </c>
      <c r="G2803" s="6">
        <v>51952</v>
      </c>
      <c r="H2803" t="str">
        <f>IFERROR(VLOOKUP(F2803,'LEAID Match'!$A$2:$B$142,2,FALSE),"")</f>
        <v/>
      </c>
    </row>
    <row r="2804" spans="1:8" x14ac:dyDescent="0.2">
      <c r="A2804" t="str">
        <f t="shared" si="43"/>
        <v/>
      </c>
      <c r="B2804" s="1">
        <v>2023</v>
      </c>
      <c r="C2804" s="1" t="s">
        <v>2505</v>
      </c>
      <c r="D2804" s="1" t="s">
        <v>2506</v>
      </c>
      <c r="E2804" s="1" t="s">
        <v>2019</v>
      </c>
      <c r="F2804" s="1" t="s">
        <v>279</v>
      </c>
      <c r="G2804" s="6">
        <v>65937</v>
      </c>
      <c r="H2804" t="str">
        <f>IFERROR(VLOOKUP(F2804,'LEAID Match'!$A$2:$B$142,2,FALSE),"")</f>
        <v/>
      </c>
    </row>
    <row r="2805" spans="1:8" x14ac:dyDescent="0.2">
      <c r="A2805" t="str">
        <f t="shared" si="43"/>
        <v/>
      </c>
      <c r="B2805" s="1">
        <v>2024</v>
      </c>
      <c r="C2805" s="1" t="s">
        <v>2505</v>
      </c>
      <c r="D2805" s="1" t="s">
        <v>2506</v>
      </c>
      <c r="E2805" s="1" t="s">
        <v>2019</v>
      </c>
      <c r="F2805" s="1" t="s">
        <v>279</v>
      </c>
      <c r="G2805" s="6">
        <v>72523</v>
      </c>
      <c r="H2805" t="str">
        <f>IFERROR(VLOOKUP(F2805,'LEAID Match'!$A$2:$B$142,2,FALSE),"")</f>
        <v/>
      </c>
    </row>
    <row r="2806" spans="1:8" x14ac:dyDescent="0.2">
      <c r="A2806" t="str">
        <f t="shared" si="43"/>
        <v/>
      </c>
      <c r="B2806" s="1">
        <v>2015</v>
      </c>
      <c r="C2806" s="1" t="s">
        <v>2505</v>
      </c>
      <c r="D2806" s="1" t="s">
        <v>2506</v>
      </c>
      <c r="E2806" s="1" t="s">
        <v>2019</v>
      </c>
      <c r="F2806" s="1" t="s">
        <v>280</v>
      </c>
      <c r="G2806" s="6">
        <v>107816</v>
      </c>
      <c r="H2806" t="str">
        <f>IFERROR(VLOOKUP(F2806,'LEAID Match'!$A$2:$B$142,2,FALSE),"")</f>
        <v/>
      </c>
    </row>
    <row r="2807" spans="1:8" x14ac:dyDescent="0.2">
      <c r="A2807" t="str">
        <f t="shared" si="43"/>
        <v/>
      </c>
      <c r="B2807">
        <v>2016</v>
      </c>
      <c r="C2807" s="1" t="s">
        <v>2505</v>
      </c>
      <c r="D2807" s="1" t="s">
        <v>2506</v>
      </c>
      <c r="E2807" s="1" t="s">
        <v>2019</v>
      </c>
      <c r="F2807" s="1" t="s">
        <v>280</v>
      </c>
      <c r="G2807" s="12">
        <v>117225</v>
      </c>
      <c r="H2807" t="str">
        <f>IFERROR(VLOOKUP(F2807,'LEAID Match'!$A$2:$B$142,2,FALSE),"")</f>
        <v/>
      </c>
    </row>
    <row r="2808" spans="1:8" x14ac:dyDescent="0.2">
      <c r="A2808" t="str">
        <f t="shared" si="43"/>
        <v/>
      </c>
      <c r="B2808" s="1">
        <v>2017</v>
      </c>
      <c r="C2808" s="1" t="s">
        <v>2505</v>
      </c>
      <c r="D2808" s="1" t="s">
        <v>2506</v>
      </c>
      <c r="E2808" s="1" t="s">
        <v>2019</v>
      </c>
      <c r="F2808" s="1" t="s">
        <v>280</v>
      </c>
      <c r="G2808" s="51">
        <v>100126</v>
      </c>
      <c r="H2808" t="str">
        <f>IFERROR(VLOOKUP(F2808,'LEAID Match'!$A$2:$B$142,2,FALSE),"")</f>
        <v/>
      </c>
    </row>
    <row r="2809" spans="1:8" x14ac:dyDescent="0.2">
      <c r="A2809" t="str">
        <f t="shared" si="43"/>
        <v/>
      </c>
      <c r="B2809" s="1">
        <v>2018</v>
      </c>
      <c r="C2809" s="1" t="s">
        <v>2505</v>
      </c>
      <c r="D2809" s="1" t="s">
        <v>2506</v>
      </c>
      <c r="E2809" s="1" t="s">
        <v>2019</v>
      </c>
      <c r="F2809" s="1" t="s">
        <v>280</v>
      </c>
      <c r="G2809" s="6">
        <v>103747</v>
      </c>
      <c r="H2809" t="str">
        <f>IFERROR(VLOOKUP(F2809,'LEAID Match'!$A$2:$B$142,2,FALSE),"")</f>
        <v/>
      </c>
    </row>
    <row r="2810" spans="1:8" x14ac:dyDescent="0.2">
      <c r="A2810" t="str">
        <f t="shared" si="43"/>
        <v/>
      </c>
      <c r="B2810" s="1">
        <v>2019</v>
      </c>
      <c r="C2810" s="1" t="s">
        <v>2505</v>
      </c>
      <c r="D2810" s="1" t="s">
        <v>2506</v>
      </c>
      <c r="E2810" s="1" t="s">
        <v>2019</v>
      </c>
      <c r="F2810" s="1" t="s">
        <v>280</v>
      </c>
      <c r="G2810" s="6">
        <v>108585</v>
      </c>
      <c r="H2810" t="str">
        <f>IFERROR(VLOOKUP(F2810,'LEAID Match'!$A$2:$B$142,2,FALSE),"")</f>
        <v/>
      </c>
    </row>
    <row r="2811" spans="1:8" x14ac:dyDescent="0.2">
      <c r="A2811" t="str">
        <f t="shared" si="43"/>
        <v/>
      </c>
      <c r="B2811" s="1">
        <v>2020</v>
      </c>
      <c r="C2811" s="1" t="s">
        <v>2505</v>
      </c>
      <c r="D2811" s="1" t="s">
        <v>2506</v>
      </c>
      <c r="E2811" s="1" t="s">
        <v>2019</v>
      </c>
      <c r="F2811" s="1" t="s">
        <v>280</v>
      </c>
      <c r="G2811" s="6">
        <v>121489</v>
      </c>
      <c r="H2811" t="str">
        <f>IFERROR(VLOOKUP(F2811,'LEAID Match'!$A$2:$B$142,2,FALSE),"")</f>
        <v/>
      </c>
    </row>
    <row r="2812" spans="1:8" x14ac:dyDescent="0.2">
      <c r="A2812" t="str">
        <f t="shared" si="43"/>
        <v/>
      </c>
      <c r="B2812" s="1">
        <v>2021</v>
      </c>
      <c r="C2812" s="1" t="s">
        <v>2505</v>
      </c>
      <c r="D2812" s="1" t="s">
        <v>2506</v>
      </c>
      <c r="E2812" s="1" t="s">
        <v>2019</v>
      </c>
      <c r="F2812" s="1" t="s">
        <v>280</v>
      </c>
      <c r="G2812" s="6">
        <v>114167</v>
      </c>
      <c r="H2812" t="str">
        <f>IFERROR(VLOOKUP(F2812,'LEAID Match'!$A$2:$B$142,2,FALSE),"")</f>
        <v/>
      </c>
    </row>
    <row r="2813" spans="1:8" x14ac:dyDescent="0.2">
      <c r="A2813" t="str">
        <f t="shared" si="43"/>
        <v/>
      </c>
      <c r="B2813" s="1">
        <v>2024</v>
      </c>
      <c r="C2813" s="1" t="s">
        <v>2505</v>
      </c>
      <c r="D2813" s="1" t="s">
        <v>2506</v>
      </c>
      <c r="E2813" s="1" t="s">
        <v>2019</v>
      </c>
      <c r="F2813" s="1" t="s">
        <v>280</v>
      </c>
      <c r="G2813" s="6">
        <v>115429</v>
      </c>
      <c r="H2813" t="str">
        <f>IFERROR(VLOOKUP(F2813,'LEAID Match'!$A$2:$B$142,2,FALSE),"")</f>
        <v/>
      </c>
    </row>
    <row r="2814" spans="1:8" x14ac:dyDescent="0.2">
      <c r="A2814" t="str">
        <f t="shared" si="43"/>
        <v/>
      </c>
      <c r="B2814" s="1">
        <v>2022</v>
      </c>
      <c r="C2814" s="1" t="s">
        <v>2505</v>
      </c>
      <c r="D2814" s="1" t="s">
        <v>2506</v>
      </c>
      <c r="E2814" s="1" t="s">
        <v>2019</v>
      </c>
      <c r="F2814" s="1" t="s">
        <v>872</v>
      </c>
      <c r="G2814" s="6">
        <v>114979</v>
      </c>
      <c r="H2814" t="str">
        <f>IFERROR(VLOOKUP(F2814,'LEAID Match'!$A$2:$B$142,2,FALSE),"")</f>
        <v/>
      </c>
    </row>
    <row r="2815" spans="1:8" x14ac:dyDescent="0.2">
      <c r="A2815" t="str">
        <f t="shared" si="43"/>
        <v/>
      </c>
      <c r="B2815" s="1">
        <v>2023</v>
      </c>
      <c r="C2815" s="1" t="s">
        <v>2505</v>
      </c>
      <c r="D2815" s="1" t="s">
        <v>2506</v>
      </c>
      <c r="E2815" s="1" t="s">
        <v>2019</v>
      </c>
      <c r="F2815" s="1" t="s">
        <v>872</v>
      </c>
      <c r="G2815" s="6">
        <v>118906</v>
      </c>
      <c r="H2815" t="str">
        <f>IFERROR(VLOOKUP(F2815,'LEAID Match'!$A$2:$B$142,2,FALSE),"")</f>
        <v/>
      </c>
    </row>
    <row r="2816" spans="1:8" x14ac:dyDescent="0.2">
      <c r="A2816" t="str">
        <f t="shared" si="43"/>
        <v/>
      </c>
      <c r="B2816" s="1">
        <v>2015</v>
      </c>
      <c r="C2816" s="1" t="s">
        <v>2505</v>
      </c>
      <c r="D2816" s="1" t="s">
        <v>2506</v>
      </c>
      <c r="E2816" s="1" t="s">
        <v>2019</v>
      </c>
      <c r="F2816" s="1" t="s">
        <v>281</v>
      </c>
      <c r="G2816" s="6">
        <v>253567</v>
      </c>
      <c r="H2816" t="str">
        <f>IFERROR(VLOOKUP(F2816,'LEAID Match'!$A$2:$B$142,2,FALSE),"")</f>
        <v/>
      </c>
    </row>
    <row r="2817" spans="1:8" x14ac:dyDescent="0.2">
      <c r="A2817" t="str">
        <f t="shared" si="43"/>
        <v/>
      </c>
      <c r="B2817">
        <v>2016</v>
      </c>
      <c r="C2817" s="1" t="s">
        <v>2505</v>
      </c>
      <c r="D2817" s="1" t="s">
        <v>2506</v>
      </c>
      <c r="E2817" s="1" t="s">
        <v>2019</v>
      </c>
      <c r="F2817" s="1" t="s">
        <v>281</v>
      </c>
      <c r="G2817" s="12">
        <v>262297</v>
      </c>
      <c r="H2817" t="str">
        <f>IFERROR(VLOOKUP(F2817,'LEAID Match'!$A$2:$B$142,2,FALSE),"")</f>
        <v/>
      </c>
    </row>
    <row r="2818" spans="1:8" x14ac:dyDescent="0.2">
      <c r="A2818" t="str">
        <f t="shared" si="43"/>
        <v/>
      </c>
      <c r="B2818" s="1">
        <v>2017</v>
      </c>
      <c r="C2818" s="1" t="s">
        <v>2505</v>
      </c>
      <c r="D2818" s="1" t="s">
        <v>2506</v>
      </c>
      <c r="E2818" s="1" t="s">
        <v>2019</v>
      </c>
      <c r="F2818" s="1" t="s">
        <v>281</v>
      </c>
      <c r="G2818" s="51">
        <v>266379</v>
      </c>
      <c r="H2818" t="str">
        <f>IFERROR(VLOOKUP(F2818,'LEAID Match'!$A$2:$B$142,2,FALSE),"")</f>
        <v/>
      </c>
    </row>
    <row r="2819" spans="1:8" x14ac:dyDescent="0.2">
      <c r="A2819" t="str">
        <f t="shared" ref="A2819:A2882" si="44">H2819</f>
        <v/>
      </c>
      <c r="B2819" s="1">
        <v>2018</v>
      </c>
      <c r="C2819" s="1" t="s">
        <v>2505</v>
      </c>
      <c r="D2819" s="1" t="s">
        <v>2506</v>
      </c>
      <c r="E2819" s="1" t="s">
        <v>2019</v>
      </c>
      <c r="F2819" s="1" t="s">
        <v>281</v>
      </c>
      <c r="G2819" s="6">
        <v>282942</v>
      </c>
      <c r="H2819" t="str">
        <f>IFERROR(VLOOKUP(F2819,'LEAID Match'!$A$2:$B$142,2,FALSE),"")</f>
        <v/>
      </c>
    </row>
    <row r="2820" spans="1:8" x14ac:dyDescent="0.2">
      <c r="A2820" t="str">
        <f t="shared" si="44"/>
        <v/>
      </c>
      <c r="B2820" s="1">
        <v>2019</v>
      </c>
      <c r="C2820" s="1" t="s">
        <v>2505</v>
      </c>
      <c r="D2820" s="1" t="s">
        <v>2506</v>
      </c>
      <c r="E2820" s="1" t="s">
        <v>2019</v>
      </c>
      <c r="F2820" s="1" t="s">
        <v>281</v>
      </c>
      <c r="G2820" s="6">
        <v>268884</v>
      </c>
      <c r="H2820" t="str">
        <f>IFERROR(VLOOKUP(F2820,'LEAID Match'!$A$2:$B$142,2,FALSE),"")</f>
        <v/>
      </c>
    </row>
    <row r="2821" spans="1:8" x14ac:dyDescent="0.2">
      <c r="A2821" t="str">
        <f t="shared" si="44"/>
        <v/>
      </c>
      <c r="B2821" s="1">
        <v>2020</v>
      </c>
      <c r="C2821" s="1" t="s">
        <v>2505</v>
      </c>
      <c r="D2821" s="1" t="s">
        <v>2506</v>
      </c>
      <c r="E2821" s="1" t="s">
        <v>2019</v>
      </c>
      <c r="F2821" s="1" t="s">
        <v>281</v>
      </c>
      <c r="G2821" s="6">
        <v>265428</v>
      </c>
      <c r="H2821" t="str">
        <f>IFERROR(VLOOKUP(F2821,'LEAID Match'!$A$2:$B$142,2,FALSE),"")</f>
        <v/>
      </c>
    </row>
    <row r="2822" spans="1:8" x14ac:dyDescent="0.2">
      <c r="A2822" t="str">
        <f t="shared" si="44"/>
        <v/>
      </c>
      <c r="B2822" s="1">
        <v>2021</v>
      </c>
      <c r="C2822" s="1" t="s">
        <v>2505</v>
      </c>
      <c r="D2822" s="1" t="s">
        <v>2506</v>
      </c>
      <c r="E2822" s="1" t="s">
        <v>2019</v>
      </c>
      <c r="F2822" s="1" t="s">
        <v>281</v>
      </c>
      <c r="G2822" s="6">
        <v>250187</v>
      </c>
      <c r="H2822" t="str">
        <f>IFERROR(VLOOKUP(F2822,'LEAID Match'!$A$2:$B$142,2,FALSE),"")</f>
        <v/>
      </c>
    </row>
    <row r="2823" spans="1:8" x14ac:dyDescent="0.2">
      <c r="A2823" t="str">
        <f t="shared" si="44"/>
        <v/>
      </c>
      <c r="B2823" s="1">
        <v>2022</v>
      </c>
      <c r="C2823" s="1" t="s">
        <v>2505</v>
      </c>
      <c r="D2823" s="1" t="s">
        <v>2506</v>
      </c>
      <c r="E2823" s="1" t="s">
        <v>2019</v>
      </c>
      <c r="F2823" s="1" t="s">
        <v>281</v>
      </c>
      <c r="G2823" s="6">
        <v>233960</v>
      </c>
      <c r="H2823" t="str">
        <f>IFERROR(VLOOKUP(F2823,'LEAID Match'!$A$2:$B$142,2,FALSE),"")</f>
        <v/>
      </c>
    </row>
    <row r="2824" spans="1:8" x14ac:dyDescent="0.2">
      <c r="A2824" t="str">
        <f t="shared" si="44"/>
        <v/>
      </c>
      <c r="B2824" s="1">
        <v>2023</v>
      </c>
      <c r="C2824" s="1" t="s">
        <v>2505</v>
      </c>
      <c r="D2824" s="1" t="s">
        <v>2506</v>
      </c>
      <c r="E2824" s="1" t="s">
        <v>2019</v>
      </c>
      <c r="F2824" s="1" t="s">
        <v>281</v>
      </c>
      <c r="G2824" s="6">
        <v>266173</v>
      </c>
      <c r="H2824" t="str">
        <f>IFERROR(VLOOKUP(F2824,'LEAID Match'!$A$2:$B$142,2,FALSE),"")</f>
        <v/>
      </c>
    </row>
    <row r="2825" spans="1:8" x14ac:dyDescent="0.2">
      <c r="A2825" t="str">
        <f t="shared" si="44"/>
        <v/>
      </c>
      <c r="B2825" s="1">
        <v>2024</v>
      </c>
      <c r="C2825" s="1" t="s">
        <v>2505</v>
      </c>
      <c r="D2825" s="1" t="s">
        <v>2506</v>
      </c>
      <c r="E2825" s="1" t="s">
        <v>2019</v>
      </c>
      <c r="F2825" s="1" t="s">
        <v>281</v>
      </c>
      <c r="G2825" s="6">
        <v>273452</v>
      </c>
      <c r="H2825" t="str">
        <f>IFERROR(VLOOKUP(F2825,'LEAID Match'!$A$2:$B$142,2,FALSE),"")</f>
        <v/>
      </c>
    </row>
    <row r="2826" spans="1:8" x14ac:dyDescent="0.2">
      <c r="A2826" t="str">
        <f t="shared" si="44"/>
        <v/>
      </c>
      <c r="B2826" s="1">
        <v>2015</v>
      </c>
      <c r="C2826" s="1" t="s">
        <v>2505</v>
      </c>
      <c r="D2826" s="1" t="s">
        <v>2506</v>
      </c>
      <c r="E2826" s="1" t="s">
        <v>2019</v>
      </c>
      <c r="F2826" s="1" t="s">
        <v>282</v>
      </c>
      <c r="G2826" s="6">
        <v>18740</v>
      </c>
      <c r="H2826" t="str">
        <f>IFERROR(VLOOKUP(F2826,'LEAID Match'!$A$2:$B$142,2,FALSE),"")</f>
        <v/>
      </c>
    </row>
    <row r="2827" spans="1:8" x14ac:dyDescent="0.2">
      <c r="A2827" t="str">
        <f t="shared" si="44"/>
        <v/>
      </c>
      <c r="B2827">
        <v>2016</v>
      </c>
      <c r="C2827" s="1" t="s">
        <v>2505</v>
      </c>
      <c r="D2827" s="1" t="s">
        <v>2506</v>
      </c>
      <c r="E2827" s="1" t="s">
        <v>2019</v>
      </c>
      <c r="F2827" s="1" t="s">
        <v>282</v>
      </c>
      <c r="G2827" s="12">
        <v>17781</v>
      </c>
      <c r="H2827" t="str">
        <f>IFERROR(VLOOKUP(F2827,'LEAID Match'!$A$2:$B$142,2,FALSE),"")</f>
        <v/>
      </c>
    </row>
    <row r="2828" spans="1:8" x14ac:dyDescent="0.2">
      <c r="A2828" t="str">
        <f t="shared" si="44"/>
        <v/>
      </c>
      <c r="B2828" s="1">
        <v>2017</v>
      </c>
      <c r="C2828" s="1" t="s">
        <v>2505</v>
      </c>
      <c r="D2828" s="1" t="s">
        <v>2506</v>
      </c>
      <c r="E2828" s="1" t="s">
        <v>2019</v>
      </c>
      <c r="F2828" s="1" t="s">
        <v>282</v>
      </c>
      <c r="G2828" s="51">
        <v>16749</v>
      </c>
      <c r="H2828" t="str">
        <f>IFERROR(VLOOKUP(F2828,'LEAID Match'!$A$2:$B$142,2,FALSE),"")</f>
        <v/>
      </c>
    </row>
    <row r="2829" spans="1:8" x14ac:dyDescent="0.2">
      <c r="A2829" t="str">
        <f t="shared" si="44"/>
        <v/>
      </c>
      <c r="B2829" s="1">
        <v>2018</v>
      </c>
      <c r="C2829" s="1" t="s">
        <v>2505</v>
      </c>
      <c r="D2829" s="1" t="s">
        <v>2506</v>
      </c>
      <c r="E2829" s="1" t="s">
        <v>2019</v>
      </c>
      <c r="F2829" s="1" t="s">
        <v>282</v>
      </c>
      <c r="G2829" s="6">
        <v>15656</v>
      </c>
      <c r="H2829" t="str">
        <f>IFERROR(VLOOKUP(F2829,'LEAID Match'!$A$2:$B$142,2,FALSE),"")</f>
        <v/>
      </c>
    </row>
    <row r="2830" spans="1:8" x14ac:dyDescent="0.2">
      <c r="A2830" t="str">
        <f t="shared" si="44"/>
        <v/>
      </c>
      <c r="B2830" s="1">
        <v>2019</v>
      </c>
      <c r="C2830" s="1" t="s">
        <v>2505</v>
      </c>
      <c r="D2830" s="1" t="s">
        <v>2506</v>
      </c>
      <c r="E2830" s="1" t="s">
        <v>2019</v>
      </c>
      <c r="F2830" s="1" t="s">
        <v>282</v>
      </c>
      <c r="G2830" s="6">
        <v>33789</v>
      </c>
      <c r="H2830" t="str">
        <f>IFERROR(VLOOKUP(F2830,'LEAID Match'!$A$2:$B$142,2,FALSE),"")</f>
        <v/>
      </c>
    </row>
    <row r="2831" spans="1:8" x14ac:dyDescent="0.2">
      <c r="A2831" t="str">
        <f t="shared" si="44"/>
        <v/>
      </c>
      <c r="B2831" s="1">
        <v>2020</v>
      </c>
      <c r="C2831" s="1" t="s">
        <v>2505</v>
      </c>
      <c r="D2831" s="1" t="s">
        <v>2506</v>
      </c>
      <c r="E2831" s="1" t="s">
        <v>2019</v>
      </c>
      <c r="F2831" s="1" t="s">
        <v>282</v>
      </c>
      <c r="G2831" s="6">
        <v>31685</v>
      </c>
      <c r="H2831" t="str">
        <f>IFERROR(VLOOKUP(F2831,'LEAID Match'!$A$2:$B$142,2,FALSE),"")</f>
        <v/>
      </c>
    </row>
    <row r="2832" spans="1:8" x14ac:dyDescent="0.2">
      <c r="A2832" t="str">
        <f t="shared" si="44"/>
        <v/>
      </c>
      <c r="B2832" s="1">
        <v>2021</v>
      </c>
      <c r="C2832" s="1" t="s">
        <v>2505</v>
      </c>
      <c r="D2832" s="1" t="s">
        <v>2506</v>
      </c>
      <c r="E2832" s="1" t="s">
        <v>2019</v>
      </c>
      <c r="F2832" s="1" t="s">
        <v>282</v>
      </c>
      <c r="G2832" s="6">
        <v>27644</v>
      </c>
      <c r="H2832" t="str">
        <f>IFERROR(VLOOKUP(F2832,'LEAID Match'!$A$2:$B$142,2,FALSE),"")</f>
        <v/>
      </c>
    </row>
    <row r="2833" spans="1:8" x14ac:dyDescent="0.2">
      <c r="A2833" t="str">
        <f t="shared" si="44"/>
        <v/>
      </c>
      <c r="B2833" s="1">
        <v>2022</v>
      </c>
      <c r="C2833" s="1" t="s">
        <v>2505</v>
      </c>
      <c r="D2833" s="1" t="s">
        <v>2506</v>
      </c>
      <c r="E2833" s="1" t="s">
        <v>2019</v>
      </c>
      <c r="F2833" s="1" t="s">
        <v>282</v>
      </c>
      <c r="G2833" s="6">
        <v>29357</v>
      </c>
      <c r="H2833" t="str">
        <f>IFERROR(VLOOKUP(F2833,'LEAID Match'!$A$2:$B$142,2,FALSE),"")</f>
        <v/>
      </c>
    </row>
    <row r="2834" spans="1:8" x14ac:dyDescent="0.2">
      <c r="A2834" t="str">
        <f t="shared" si="44"/>
        <v/>
      </c>
      <c r="B2834" s="1">
        <v>2023</v>
      </c>
      <c r="C2834" s="1" t="s">
        <v>2505</v>
      </c>
      <c r="D2834" s="1" t="s">
        <v>2506</v>
      </c>
      <c r="E2834" s="1" t="s">
        <v>2019</v>
      </c>
      <c r="F2834" s="1" t="s">
        <v>282</v>
      </c>
      <c r="G2834" s="6">
        <v>31019</v>
      </c>
      <c r="H2834" t="str">
        <f>IFERROR(VLOOKUP(F2834,'LEAID Match'!$A$2:$B$142,2,FALSE),"")</f>
        <v/>
      </c>
    </row>
    <row r="2835" spans="1:8" x14ac:dyDescent="0.2">
      <c r="A2835" t="str">
        <f t="shared" si="44"/>
        <v/>
      </c>
      <c r="B2835" s="1">
        <v>2024</v>
      </c>
      <c r="C2835" s="1" t="s">
        <v>2505</v>
      </c>
      <c r="D2835" s="1" t="s">
        <v>2506</v>
      </c>
      <c r="E2835" s="1" t="s">
        <v>2019</v>
      </c>
      <c r="F2835" s="1" t="s">
        <v>282</v>
      </c>
      <c r="G2835" s="6">
        <v>32618</v>
      </c>
      <c r="H2835" t="str">
        <f>IFERROR(VLOOKUP(F2835,'LEAID Match'!$A$2:$B$142,2,FALSE),"")</f>
        <v/>
      </c>
    </row>
    <row r="2836" spans="1:8" x14ac:dyDescent="0.2">
      <c r="A2836">
        <f t="shared" si="44"/>
        <v>2801830</v>
      </c>
      <c r="B2836" s="1">
        <v>2015</v>
      </c>
      <c r="C2836" s="1" t="s">
        <v>2505</v>
      </c>
      <c r="D2836" s="1" t="s">
        <v>2506</v>
      </c>
      <c r="E2836" s="1" t="s">
        <v>2019</v>
      </c>
      <c r="F2836" s="1" t="s">
        <v>283</v>
      </c>
      <c r="G2836" s="6">
        <v>970222</v>
      </c>
      <c r="H2836">
        <f>IFERROR(VLOOKUP(F2836,'LEAID Match'!$A$2:$B$142,2,FALSE),"")</f>
        <v>2801830</v>
      </c>
    </row>
    <row r="2837" spans="1:8" x14ac:dyDescent="0.2">
      <c r="A2837">
        <f t="shared" si="44"/>
        <v>2801830</v>
      </c>
      <c r="B2837">
        <v>2016</v>
      </c>
      <c r="C2837" s="1" t="s">
        <v>2505</v>
      </c>
      <c r="D2837" s="1" t="s">
        <v>2506</v>
      </c>
      <c r="E2837" s="1" t="s">
        <v>2019</v>
      </c>
      <c r="F2837" s="1" t="s">
        <v>283</v>
      </c>
      <c r="G2837" s="12">
        <v>1041363</v>
      </c>
      <c r="H2837">
        <f>IFERROR(VLOOKUP(F2837,'LEAID Match'!$A$2:$B$142,2,FALSE),"")</f>
        <v>2801830</v>
      </c>
    </row>
    <row r="2838" spans="1:8" x14ac:dyDescent="0.2">
      <c r="A2838">
        <f t="shared" si="44"/>
        <v>2801830</v>
      </c>
      <c r="B2838" s="1">
        <v>2017</v>
      </c>
      <c r="C2838" s="1" t="s">
        <v>2505</v>
      </c>
      <c r="D2838" s="1" t="s">
        <v>2506</v>
      </c>
      <c r="E2838" s="1" t="s">
        <v>2019</v>
      </c>
      <c r="F2838" s="1" t="s">
        <v>283</v>
      </c>
      <c r="G2838" s="51">
        <v>1206827</v>
      </c>
      <c r="H2838">
        <f>IFERROR(VLOOKUP(F2838,'LEAID Match'!$A$2:$B$142,2,FALSE),"")</f>
        <v>2801830</v>
      </c>
    </row>
    <row r="2839" spans="1:8" x14ac:dyDescent="0.2">
      <c r="A2839">
        <f t="shared" si="44"/>
        <v>2801830</v>
      </c>
      <c r="B2839" s="1">
        <v>2018</v>
      </c>
      <c r="C2839" s="1" t="s">
        <v>2505</v>
      </c>
      <c r="D2839" s="1" t="s">
        <v>2506</v>
      </c>
      <c r="E2839" s="1" t="s">
        <v>2019</v>
      </c>
      <c r="F2839" s="1" t="s">
        <v>283</v>
      </c>
      <c r="G2839" s="6">
        <v>1194797</v>
      </c>
      <c r="H2839">
        <f>IFERROR(VLOOKUP(F2839,'LEAID Match'!$A$2:$B$142,2,FALSE),"")</f>
        <v>2801830</v>
      </c>
    </row>
    <row r="2840" spans="1:8" x14ac:dyDescent="0.2">
      <c r="A2840">
        <f t="shared" si="44"/>
        <v>2801830</v>
      </c>
      <c r="B2840" s="1">
        <v>2019</v>
      </c>
      <c r="C2840" s="1" t="s">
        <v>2505</v>
      </c>
      <c r="D2840" s="1" t="s">
        <v>2506</v>
      </c>
      <c r="E2840" s="1" t="s">
        <v>2019</v>
      </c>
      <c r="F2840" s="1" t="s">
        <v>283</v>
      </c>
      <c r="G2840" s="6">
        <v>1156219</v>
      </c>
      <c r="H2840">
        <f>IFERROR(VLOOKUP(F2840,'LEAID Match'!$A$2:$B$142,2,FALSE),"")</f>
        <v>2801830</v>
      </c>
    </row>
    <row r="2841" spans="1:8" x14ac:dyDescent="0.2">
      <c r="A2841">
        <f t="shared" si="44"/>
        <v>2801830</v>
      </c>
      <c r="B2841" s="1">
        <v>2020</v>
      </c>
      <c r="C2841" s="1" t="s">
        <v>2505</v>
      </c>
      <c r="D2841" s="1" t="s">
        <v>2506</v>
      </c>
      <c r="E2841" s="1" t="s">
        <v>2019</v>
      </c>
      <c r="F2841" s="1" t="s">
        <v>283</v>
      </c>
      <c r="G2841" s="6">
        <v>1403897</v>
      </c>
      <c r="H2841">
        <f>IFERROR(VLOOKUP(F2841,'LEAID Match'!$A$2:$B$142,2,FALSE),"")</f>
        <v>2801830</v>
      </c>
    </row>
    <row r="2842" spans="1:8" x14ac:dyDescent="0.2">
      <c r="A2842">
        <f t="shared" si="44"/>
        <v>2801830</v>
      </c>
      <c r="B2842" s="1">
        <v>2021</v>
      </c>
      <c r="C2842" s="1" t="s">
        <v>2505</v>
      </c>
      <c r="D2842" s="1" t="s">
        <v>2506</v>
      </c>
      <c r="E2842" s="1" t="s">
        <v>2019</v>
      </c>
      <c r="F2842" s="1" t="s">
        <v>283</v>
      </c>
      <c r="G2842" s="6">
        <v>1404087</v>
      </c>
      <c r="H2842">
        <f>IFERROR(VLOOKUP(F2842,'LEAID Match'!$A$2:$B$142,2,FALSE),"")</f>
        <v>2801830</v>
      </c>
    </row>
    <row r="2843" spans="1:8" x14ac:dyDescent="0.2">
      <c r="A2843">
        <f t="shared" si="44"/>
        <v>2801830</v>
      </c>
      <c r="B2843" s="1">
        <v>2022</v>
      </c>
      <c r="C2843" s="1" t="s">
        <v>2505</v>
      </c>
      <c r="D2843" s="1" t="s">
        <v>2506</v>
      </c>
      <c r="E2843" s="1" t="s">
        <v>2019</v>
      </c>
      <c r="F2843" s="1" t="s">
        <v>283</v>
      </c>
      <c r="G2843" s="6">
        <v>1474183</v>
      </c>
      <c r="H2843">
        <f>IFERROR(VLOOKUP(F2843,'LEAID Match'!$A$2:$B$142,2,FALSE),"")</f>
        <v>2801830</v>
      </c>
    </row>
    <row r="2844" spans="1:8" x14ac:dyDescent="0.2">
      <c r="A2844">
        <f t="shared" si="44"/>
        <v>2801830</v>
      </c>
      <c r="B2844" s="1">
        <v>2023</v>
      </c>
      <c r="C2844" s="1" t="s">
        <v>2505</v>
      </c>
      <c r="D2844" s="1" t="s">
        <v>2506</v>
      </c>
      <c r="E2844" s="1" t="s">
        <v>2019</v>
      </c>
      <c r="F2844" s="1" t="s">
        <v>283</v>
      </c>
      <c r="G2844" s="6">
        <v>1596393</v>
      </c>
      <c r="H2844">
        <f>IFERROR(VLOOKUP(F2844,'LEAID Match'!$A$2:$B$142,2,FALSE),"")</f>
        <v>2801830</v>
      </c>
    </row>
    <row r="2845" spans="1:8" x14ac:dyDescent="0.2">
      <c r="A2845">
        <f t="shared" si="44"/>
        <v>2801830</v>
      </c>
      <c r="B2845" s="1">
        <v>2024</v>
      </c>
      <c r="C2845" s="1" t="s">
        <v>2505</v>
      </c>
      <c r="D2845" s="1" t="s">
        <v>2506</v>
      </c>
      <c r="E2845" s="1" t="s">
        <v>2019</v>
      </c>
      <c r="F2845" s="1" t="s">
        <v>283</v>
      </c>
      <c r="G2845" s="6">
        <v>1516955</v>
      </c>
      <c r="H2845">
        <f>IFERROR(VLOOKUP(F2845,'LEAID Match'!$A$2:$B$142,2,FALSE),"")</f>
        <v>2801830</v>
      </c>
    </row>
    <row r="2846" spans="1:8" x14ac:dyDescent="0.2">
      <c r="A2846" t="str">
        <f t="shared" si="44"/>
        <v/>
      </c>
      <c r="B2846" s="1">
        <v>2015</v>
      </c>
      <c r="C2846" s="1" t="s">
        <v>2505</v>
      </c>
      <c r="D2846" s="1" t="s">
        <v>2506</v>
      </c>
      <c r="E2846" s="1" t="s">
        <v>2019</v>
      </c>
      <c r="F2846" s="1" t="s">
        <v>284</v>
      </c>
      <c r="G2846" s="6">
        <v>55602</v>
      </c>
      <c r="H2846" t="str">
        <f>IFERROR(VLOOKUP(F2846,'LEAID Match'!$A$2:$B$142,2,FALSE),"")</f>
        <v/>
      </c>
    </row>
    <row r="2847" spans="1:8" x14ac:dyDescent="0.2">
      <c r="A2847" t="str">
        <f t="shared" si="44"/>
        <v/>
      </c>
      <c r="B2847">
        <v>2016</v>
      </c>
      <c r="C2847" s="1" t="s">
        <v>2505</v>
      </c>
      <c r="D2847" s="1" t="s">
        <v>2506</v>
      </c>
      <c r="E2847" s="1" t="s">
        <v>2019</v>
      </c>
      <c r="F2847" s="1" t="s">
        <v>284</v>
      </c>
      <c r="G2847" s="12">
        <v>53834</v>
      </c>
      <c r="H2847" t="str">
        <f>IFERROR(VLOOKUP(F2847,'LEAID Match'!$A$2:$B$142,2,FALSE),"")</f>
        <v/>
      </c>
    </row>
    <row r="2848" spans="1:8" x14ac:dyDescent="0.2">
      <c r="A2848" t="str">
        <f t="shared" si="44"/>
        <v/>
      </c>
      <c r="B2848" s="1">
        <v>2017</v>
      </c>
      <c r="C2848" s="1" t="s">
        <v>2505</v>
      </c>
      <c r="D2848" s="1" t="s">
        <v>2506</v>
      </c>
      <c r="E2848" s="1" t="s">
        <v>2019</v>
      </c>
      <c r="F2848" s="1" t="s">
        <v>284</v>
      </c>
      <c r="G2848" s="51">
        <v>56217</v>
      </c>
      <c r="H2848" t="str">
        <f>IFERROR(VLOOKUP(F2848,'LEAID Match'!$A$2:$B$142,2,FALSE),"")</f>
        <v/>
      </c>
    </row>
    <row r="2849" spans="1:8" x14ac:dyDescent="0.2">
      <c r="A2849" t="str">
        <f t="shared" si="44"/>
        <v/>
      </c>
      <c r="B2849" s="1">
        <v>2018</v>
      </c>
      <c r="C2849" s="1" t="s">
        <v>2505</v>
      </c>
      <c r="D2849" s="1" t="s">
        <v>2506</v>
      </c>
      <c r="E2849" s="1" t="s">
        <v>2019</v>
      </c>
      <c r="F2849" s="1" t="s">
        <v>284</v>
      </c>
      <c r="G2849" s="6">
        <v>54636</v>
      </c>
      <c r="H2849" t="str">
        <f>IFERROR(VLOOKUP(F2849,'LEAID Match'!$A$2:$B$142,2,FALSE),"")</f>
        <v/>
      </c>
    </row>
    <row r="2850" spans="1:8" x14ac:dyDescent="0.2">
      <c r="A2850" t="str">
        <f t="shared" si="44"/>
        <v/>
      </c>
      <c r="B2850" s="1">
        <v>2019</v>
      </c>
      <c r="C2850" s="1" t="s">
        <v>2505</v>
      </c>
      <c r="D2850" s="1" t="s">
        <v>2506</v>
      </c>
      <c r="E2850" s="1" t="s">
        <v>2019</v>
      </c>
      <c r="F2850" s="1" t="s">
        <v>284</v>
      </c>
      <c r="G2850" s="6">
        <v>57794</v>
      </c>
      <c r="H2850" t="str">
        <f>IFERROR(VLOOKUP(F2850,'LEAID Match'!$A$2:$B$142,2,FALSE),"")</f>
        <v/>
      </c>
    </row>
    <row r="2851" spans="1:8" x14ac:dyDescent="0.2">
      <c r="A2851" t="str">
        <f t="shared" si="44"/>
        <v/>
      </c>
      <c r="B2851" s="1">
        <v>2020</v>
      </c>
      <c r="C2851" s="1" t="s">
        <v>2505</v>
      </c>
      <c r="D2851" s="1" t="s">
        <v>2506</v>
      </c>
      <c r="E2851" s="1" t="s">
        <v>2019</v>
      </c>
      <c r="F2851" s="1" t="s">
        <v>284</v>
      </c>
      <c r="G2851" s="6">
        <v>58902</v>
      </c>
      <c r="H2851" t="str">
        <f>IFERROR(VLOOKUP(F2851,'LEAID Match'!$A$2:$B$142,2,FALSE),"")</f>
        <v/>
      </c>
    </row>
    <row r="2852" spans="1:8" x14ac:dyDescent="0.2">
      <c r="A2852" t="str">
        <f t="shared" si="44"/>
        <v/>
      </c>
      <c r="B2852" s="1">
        <v>2021</v>
      </c>
      <c r="C2852" s="1" t="s">
        <v>2505</v>
      </c>
      <c r="D2852" s="1" t="s">
        <v>2506</v>
      </c>
      <c r="E2852" s="1" t="s">
        <v>2019</v>
      </c>
      <c r="F2852" s="1" t="s">
        <v>284</v>
      </c>
      <c r="G2852" s="6">
        <v>57972</v>
      </c>
      <c r="H2852" t="str">
        <f>IFERROR(VLOOKUP(F2852,'LEAID Match'!$A$2:$B$142,2,FALSE),"")</f>
        <v/>
      </c>
    </row>
    <row r="2853" spans="1:8" x14ac:dyDescent="0.2">
      <c r="A2853" t="str">
        <f t="shared" si="44"/>
        <v/>
      </c>
      <c r="B2853" s="1">
        <v>2022</v>
      </c>
      <c r="C2853" s="1" t="s">
        <v>2505</v>
      </c>
      <c r="D2853" s="1" t="s">
        <v>2506</v>
      </c>
      <c r="E2853" s="1" t="s">
        <v>2019</v>
      </c>
      <c r="F2853" s="1" t="s">
        <v>284</v>
      </c>
      <c r="G2853" s="6">
        <v>62805</v>
      </c>
      <c r="H2853" t="str">
        <f>IFERROR(VLOOKUP(F2853,'LEAID Match'!$A$2:$B$142,2,FALSE),"")</f>
        <v/>
      </c>
    </row>
    <row r="2854" spans="1:8" x14ac:dyDescent="0.2">
      <c r="A2854" t="str">
        <f t="shared" si="44"/>
        <v/>
      </c>
      <c r="B2854" s="1">
        <v>2023</v>
      </c>
      <c r="C2854" s="1" t="s">
        <v>2505</v>
      </c>
      <c r="D2854" s="1" t="s">
        <v>2506</v>
      </c>
      <c r="E2854" s="1" t="s">
        <v>2019</v>
      </c>
      <c r="F2854" s="1" t="s">
        <v>284</v>
      </c>
      <c r="G2854" s="6">
        <v>70333</v>
      </c>
      <c r="H2854" t="str">
        <f>IFERROR(VLOOKUP(F2854,'LEAID Match'!$A$2:$B$142,2,FALSE),"")</f>
        <v/>
      </c>
    </row>
    <row r="2855" spans="1:8" x14ac:dyDescent="0.2">
      <c r="A2855" t="str">
        <f t="shared" si="44"/>
        <v/>
      </c>
      <c r="B2855" s="1">
        <v>2024</v>
      </c>
      <c r="C2855" s="1" t="s">
        <v>2505</v>
      </c>
      <c r="D2855" s="1" t="s">
        <v>2506</v>
      </c>
      <c r="E2855" s="1" t="s">
        <v>2019</v>
      </c>
      <c r="F2855" s="1" t="s">
        <v>284</v>
      </c>
      <c r="G2855" s="6">
        <v>75796</v>
      </c>
      <c r="H2855" t="str">
        <f>IFERROR(VLOOKUP(F2855,'LEAID Match'!$A$2:$B$142,2,FALSE),"")</f>
        <v/>
      </c>
    </row>
    <row r="2856" spans="1:8" x14ac:dyDescent="0.2">
      <c r="A2856" t="str">
        <f t="shared" si="44"/>
        <v/>
      </c>
      <c r="B2856" s="1">
        <v>2015</v>
      </c>
      <c r="C2856" s="1" t="s">
        <v>2505</v>
      </c>
      <c r="D2856" s="1" t="s">
        <v>2506</v>
      </c>
      <c r="E2856" s="1" t="s">
        <v>2019</v>
      </c>
      <c r="F2856" s="1" t="s">
        <v>285</v>
      </c>
      <c r="G2856" s="6">
        <v>843660</v>
      </c>
      <c r="H2856" t="str">
        <f>IFERROR(VLOOKUP(F2856,'LEAID Match'!$A$2:$B$142,2,FALSE),"")</f>
        <v/>
      </c>
    </row>
    <row r="2857" spans="1:8" x14ac:dyDescent="0.2">
      <c r="A2857" t="str">
        <f t="shared" si="44"/>
        <v/>
      </c>
      <c r="B2857">
        <v>2016</v>
      </c>
      <c r="C2857" s="1" t="s">
        <v>2505</v>
      </c>
      <c r="D2857" s="1" t="s">
        <v>2506</v>
      </c>
      <c r="E2857" s="1" t="s">
        <v>2019</v>
      </c>
      <c r="F2857" s="1" t="s">
        <v>285</v>
      </c>
      <c r="G2857" s="12">
        <v>870278</v>
      </c>
      <c r="H2857" t="str">
        <f>IFERROR(VLOOKUP(F2857,'LEAID Match'!$A$2:$B$142,2,FALSE),"")</f>
        <v/>
      </c>
    </row>
    <row r="2858" spans="1:8" x14ac:dyDescent="0.2">
      <c r="A2858" t="str">
        <f t="shared" si="44"/>
        <v/>
      </c>
      <c r="B2858" s="1">
        <v>2017</v>
      </c>
      <c r="C2858" s="1" t="s">
        <v>2505</v>
      </c>
      <c r="D2858" s="1" t="s">
        <v>2506</v>
      </c>
      <c r="E2858" s="1" t="s">
        <v>2019</v>
      </c>
      <c r="F2858" s="1" t="s">
        <v>285</v>
      </c>
      <c r="G2858" s="51">
        <v>972910</v>
      </c>
      <c r="H2858" t="str">
        <f>IFERROR(VLOOKUP(F2858,'LEAID Match'!$A$2:$B$142,2,FALSE),"")</f>
        <v/>
      </c>
    </row>
    <row r="2859" spans="1:8" x14ac:dyDescent="0.2">
      <c r="A2859" t="str">
        <f t="shared" si="44"/>
        <v/>
      </c>
      <c r="B2859" s="1">
        <v>2018</v>
      </c>
      <c r="C2859" s="1" t="s">
        <v>2505</v>
      </c>
      <c r="D2859" s="1" t="s">
        <v>2506</v>
      </c>
      <c r="E2859" s="1" t="s">
        <v>2019</v>
      </c>
      <c r="F2859" s="1" t="s">
        <v>285</v>
      </c>
      <c r="G2859" s="6">
        <v>1048257</v>
      </c>
      <c r="H2859" t="str">
        <f>IFERROR(VLOOKUP(F2859,'LEAID Match'!$A$2:$B$142,2,FALSE),"")</f>
        <v/>
      </c>
    </row>
    <row r="2860" spans="1:8" x14ac:dyDescent="0.2">
      <c r="A2860" t="str">
        <f t="shared" si="44"/>
        <v/>
      </c>
      <c r="B2860" s="1">
        <v>2019</v>
      </c>
      <c r="C2860" s="1" t="s">
        <v>2505</v>
      </c>
      <c r="D2860" s="1" t="s">
        <v>2506</v>
      </c>
      <c r="E2860" s="1" t="s">
        <v>2019</v>
      </c>
      <c r="F2860" s="1" t="s">
        <v>285</v>
      </c>
      <c r="G2860" s="6">
        <v>1123676</v>
      </c>
      <c r="H2860" t="str">
        <f>IFERROR(VLOOKUP(F2860,'LEAID Match'!$A$2:$B$142,2,FALSE),"")</f>
        <v/>
      </c>
    </row>
    <row r="2861" spans="1:8" x14ac:dyDescent="0.2">
      <c r="A2861" t="str">
        <f t="shared" si="44"/>
        <v/>
      </c>
      <c r="B2861" s="1">
        <v>2020</v>
      </c>
      <c r="C2861" s="1" t="s">
        <v>2505</v>
      </c>
      <c r="D2861" s="1" t="s">
        <v>2506</v>
      </c>
      <c r="E2861" s="1" t="s">
        <v>2019</v>
      </c>
      <c r="F2861" s="1" t="s">
        <v>285</v>
      </c>
      <c r="G2861" s="6">
        <v>1295771</v>
      </c>
      <c r="H2861" t="str">
        <f>IFERROR(VLOOKUP(F2861,'LEAID Match'!$A$2:$B$142,2,FALSE),"")</f>
        <v/>
      </c>
    </row>
    <row r="2862" spans="1:8" x14ac:dyDescent="0.2">
      <c r="A2862" t="str">
        <f t="shared" si="44"/>
        <v/>
      </c>
      <c r="B2862" s="1">
        <v>2021</v>
      </c>
      <c r="C2862" s="1" t="s">
        <v>2505</v>
      </c>
      <c r="D2862" s="1" t="s">
        <v>2506</v>
      </c>
      <c r="E2862" s="1" t="s">
        <v>2019</v>
      </c>
      <c r="F2862" s="1" t="s">
        <v>285</v>
      </c>
      <c r="G2862" s="6">
        <v>1273396</v>
      </c>
      <c r="H2862" t="str">
        <f>IFERROR(VLOOKUP(F2862,'LEAID Match'!$A$2:$B$142,2,FALSE),"")</f>
        <v/>
      </c>
    </row>
    <row r="2863" spans="1:8" x14ac:dyDescent="0.2">
      <c r="A2863" t="str">
        <f t="shared" si="44"/>
        <v/>
      </c>
      <c r="B2863" s="1">
        <v>2022</v>
      </c>
      <c r="C2863" s="1" t="s">
        <v>2505</v>
      </c>
      <c r="D2863" s="1" t="s">
        <v>2506</v>
      </c>
      <c r="E2863" s="1" t="s">
        <v>2019</v>
      </c>
      <c r="F2863" s="1" t="s">
        <v>285</v>
      </c>
      <c r="G2863" s="6">
        <v>1405860</v>
      </c>
      <c r="H2863" t="str">
        <f>IFERROR(VLOOKUP(F2863,'LEAID Match'!$A$2:$B$142,2,FALSE),"")</f>
        <v/>
      </c>
    </row>
    <row r="2864" spans="1:8" x14ac:dyDescent="0.2">
      <c r="A2864" t="str">
        <f t="shared" si="44"/>
        <v/>
      </c>
      <c r="B2864" s="1">
        <v>2023</v>
      </c>
      <c r="C2864" s="1" t="s">
        <v>2505</v>
      </c>
      <c r="D2864" s="1" t="s">
        <v>2506</v>
      </c>
      <c r="E2864" s="1" t="s">
        <v>2019</v>
      </c>
      <c r="F2864" s="1" t="s">
        <v>285</v>
      </c>
      <c r="G2864" s="6">
        <v>1635560</v>
      </c>
      <c r="H2864" t="str">
        <f>IFERROR(VLOOKUP(F2864,'LEAID Match'!$A$2:$B$142,2,FALSE),"")</f>
        <v/>
      </c>
    </row>
    <row r="2865" spans="1:8" x14ac:dyDescent="0.2">
      <c r="A2865" t="str">
        <f t="shared" si="44"/>
        <v/>
      </c>
      <c r="B2865" s="1">
        <v>2024</v>
      </c>
      <c r="C2865" s="1" t="s">
        <v>2505</v>
      </c>
      <c r="D2865" s="1" t="s">
        <v>2506</v>
      </c>
      <c r="E2865" s="1" t="s">
        <v>2019</v>
      </c>
      <c r="F2865" s="1" t="s">
        <v>285</v>
      </c>
      <c r="G2865" s="6">
        <v>1842939</v>
      </c>
      <c r="H2865" t="str">
        <f>IFERROR(VLOOKUP(F2865,'LEAID Match'!$A$2:$B$142,2,FALSE),"")</f>
        <v/>
      </c>
    </row>
    <row r="2866" spans="1:8" x14ac:dyDescent="0.2">
      <c r="A2866" t="str">
        <f t="shared" si="44"/>
        <v/>
      </c>
      <c r="B2866" s="1">
        <v>2015</v>
      </c>
      <c r="C2866" s="1" t="s">
        <v>2505</v>
      </c>
      <c r="D2866" s="1" t="s">
        <v>2506</v>
      </c>
      <c r="E2866" s="1" t="s">
        <v>2019</v>
      </c>
      <c r="F2866" s="1" t="s">
        <v>286</v>
      </c>
      <c r="G2866" s="6">
        <v>18602</v>
      </c>
      <c r="H2866" t="str">
        <f>IFERROR(VLOOKUP(F2866,'LEAID Match'!$A$2:$B$142,2,FALSE),"")</f>
        <v/>
      </c>
    </row>
    <row r="2867" spans="1:8" x14ac:dyDescent="0.2">
      <c r="A2867" t="str">
        <f t="shared" si="44"/>
        <v/>
      </c>
      <c r="B2867">
        <v>2016</v>
      </c>
      <c r="C2867" s="1" t="s">
        <v>2505</v>
      </c>
      <c r="D2867" s="1" t="s">
        <v>2506</v>
      </c>
      <c r="E2867" s="1" t="s">
        <v>2019</v>
      </c>
      <c r="F2867" s="1" t="s">
        <v>286</v>
      </c>
      <c r="G2867" s="12">
        <v>18666</v>
      </c>
      <c r="H2867" t="str">
        <f>IFERROR(VLOOKUP(F2867,'LEAID Match'!$A$2:$B$142,2,FALSE),"")</f>
        <v/>
      </c>
    </row>
    <row r="2868" spans="1:8" x14ac:dyDescent="0.2">
      <c r="A2868" t="str">
        <f t="shared" si="44"/>
        <v/>
      </c>
      <c r="B2868" s="1">
        <v>2017</v>
      </c>
      <c r="C2868" s="1" t="s">
        <v>2505</v>
      </c>
      <c r="D2868" s="1" t="s">
        <v>2506</v>
      </c>
      <c r="E2868" s="1" t="s">
        <v>2019</v>
      </c>
      <c r="F2868" s="1" t="s">
        <v>286</v>
      </c>
      <c r="G2868" s="51">
        <v>19605</v>
      </c>
      <c r="H2868" t="str">
        <f>IFERROR(VLOOKUP(F2868,'LEAID Match'!$A$2:$B$142,2,FALSE),"")</f>
        <v/>
      </c>
    </row>
    <row r="2869" spans="1:8" x14ac:dyDescent="0.2">
      <c r="A2869" t="str">
        <f t="shared" si="44"/>
        <v/>
      </c>
      <c r="B2869" s="1">
        <v>2018</v>
      </c>
      <c r="C2869" s="1" t="s">
        <v>2505</v>
      </c>
      <c r="D2869" s="1" t="s">
        <v>2506</v>
      </c>
      <c r="E2869" s="1" t="s">
        <v>2019</v>
      </c>
      <c r="F2869" s="1" t="s">
        <v>286</v>
      </c>
      <c r="G2869" s="6">
        <v>24087</v>
      </c>
      <c r="H2869" t="str">
        <f>IFERROR(VLOOKUP(F2869,'LEAID Match'!$A$2:$B$142,2,FALSE),"")</f>
        <v/>
      </c>
    </row>
    <row r="2870" spans="1:8" x14ac:dyDescent="0.2">
      <c r="A2870" t="str">
        <f t="shared" si="44"/>
        <v/>
      </c>
      <c r="B2870" s="1">
        <v>2019</v>
      </c>
      <c r="C2870" s="1" t="s">
        <v>2505</v>
      </c>
      <c r="D2870" s="1" t="s">
        <v>2506</v>
      </c>
      <c r="E2870" s="1" t="s">
        <v>2019</v>
      </c>
      <c r="F2870" s="1" t="s">
        <v>286</v>
      </c>
      <c r="G2870" s="6">
        <v>25230</v>
      </c>
      <c r="H2870" t="str">
        <f>IFERROR(VLOOKUP(F2870,'LEAID Match'!$A$2:$B$142,2,FALSE),"")</f>
        <v/>
      </c>
    </row>
    <row r="2871" spans="1:8" x14ac:dyDescent="0.2">
      <c r="A2871" t="str">
        <f t="shared" si="44"/>
        <v/>
      </c>
      <c r="B2871" s="1">
        <v>2020</v>
      </c>
      <c r="C2871" s="1" t="s">
        <v>2505</v>
      </c>
      <c r="D2871" s="1" t="s">
        <v>2506</v>
      </c>
      <c r="E2871" s="1" t="s">
        <v>2019</v>
      </c>
      <c r="F2871" s="1" t="s">
        <v>286</v>
      </c>
      <c r="G2871" s="6">
        <v>29033</v>
      </c>
      <c r="H2871" t="str">
        <f>IFERROR(VLOOKUP(F2871,'LEAID Match'!$A$2:$B$142,2,FALSE),"")</f>
        <v/>
      </c>
    </row>
    <row r="2872" spans="1:8" x14ac:dyDescent="0.2">
      <c r="A2872" t="str">
        <f t="shared" si="44"/>
        <v/>
      </c>
      <c r="B2872" s="1">
        <v>2021</v>
      </c>
      <c r="C2872" s="1" t="s">
        <v>2505</v>
      </c>
      <c r="D2872" s="1" t="s">
        <v>2506</v>
      </c>
      <c r="E2872" s="1" t="s">
        <v>2019</v>
      </c>
      <c r="F2872" s="1" t="s">
        <v>286</v>
      </c>
      <c r="G2872" s="6">
        <v>27855</v>
      </c>
      <c r="H2872" t="str">
        <f>IFERROR(VLOOKUP(F2872,'LEAID Match'!$A$2:$B$142,2,FALSE),"")</f>
        <v/>
      </c>
    </row>
    <row r="2873" spans="1:8" x14ac:dyDescent="0.2">
      <c r="A2873" t="str">
        <f t="shared" si="44"/>
        <v/>
      </c>
      <c r="B2873" s="1">
        <v>2022</v>
      </c>
      <c r="C2873" s="1" t="s">
        <v>2505</v>
      </c>
      <c r="D2873" s="1" t="s">
        <v>2506</v>
      </c>
      <c r="E2873" s="1" t="s">
        <v>2019</v>
      </c>
      <c r="F2873" s="1" t="s">
        <v>286</v>
      </c>
      <c r="G2873" s="6">
        <v>29075</v>
      </c>
      <c r="H2873" t="str">
        <f>IFERROR(VLOOKUP(F2873,'LEAID Match'!$A$2:$B$142,2,FALSE),"")</f>
        <v/>
      </c>
    </row>
    <row r="2874" spans="1:8" x14ac:dyDescent="0.2">
      <c r="A2874" t="str">
        <f t="shared" si="44"/>
        <v/>
      </c>
      <c r="B2874" s="1">
        <v>2023</v>
      </c>
      <c r="C2874" s="1" t="s">
        <v>2505</v>
      </c>
      <c r="D2874" s="1" t="s">
        <v>2506</v>
      </c>
      <c r="E2874" s="1" t="s">
        <v>2019</v>
      </c>
      <c r="F2874" s="1" t="s">
        <v>286</v>
      </c>
      <c r="G2874" s="6">
        <v>30144</v>
      </c>
      <c r="H2874" t="str">
        <f>IFERROR(VLOOKUP(F2874,'LEAID Match'!$A$2:$B$142,2,FALSE),"")</f>
        <v/>
      </c>
    </row>
    <row r="2875" spans="1:8" x14ac:dyDescent="0.2">
      <c r="A2875" t="str">
        <f t="shared" si="44"/>
        <v/>
      </c>
      <c r="B2875" s="1">
        <v>2024</v>
      </c>
      <c r="C2875" s="1" t="s">
        <v>2505</v>
      </c>
      <c r="D2875" s="1" t="s">
        <v>2506</v>
      </c>
      <c r="E2875" s="1" t="s">
        <v>2019</v>
      </c>
      <c r="F2875" s="1" t="s">
        <v>286</v>
      </c>
      <c r="G2875" s="6">
        <v>24181</v>
      </c>
      <c r="H2875" t="str">
        <f>IFERROR(VLOOKUP(F2875,'LEAID Match'!$A$2:$B$142,2,FALSE),"")</f>
        <v/>
      </c>
    </row>
    <row r="2876" spans="1:8" x14ac:dyDescent="0.2">
      <c r="A2876" t="str">
        <f t="shared" si="44"/>
        <v/>
      </c>
      <c r="B2876" s="1">
        <v>2015</v>
      </c>
      <c r="C2876" s="1" t="s">
        <v>2505</v>
      </c>
      <c r="D2876" s="1" t="s">
        <v>2506</v>
      </c>
      <c r="E2876" s="1" t="s">
        <v>2019</v>
      </c>
      <c r="F2876" s="1" t="s">
        <v>287</v>
      </c>
      <c r="G2876" s="6">
        <v>28532</v>
      </c>
      <c r="H2876" t="str">
        <f>IFERROR(VLOOKUP(F2876,'LEAID Match'!$A$2:$B$142,2,FALSE),"")</f>
        <v/>
      </c>
    </row>
    <row r="2877" spans="1:8" x14ac:dyDescent="0.2">
      <c r="A2877" t="str">
        <f t="shared" si="44"/>
        <v/>
      </c>
      <c r="B2877">
        <v>2016</v>
      </c>
      <c r="C2877" s="1" t="s">
        <v>2505</v>
      </c>
      <c r="D2877" s="1" t="s">
        <v>2506</v>
      </c>
      <c r="E2877" s="1" t="s">
        <v>2019</v>
      </c>
      <c r="F2877" s="1" t="s">
        <v>287</v>
      </c>
      <c r="G2877" s="12">
        <v>28074</v>
      </c>
      <c r="H2877" t="str">
        <f>IFERROR(VLOOKUP(F2877,'LEAID Match'!$A$2:$B$142,2,FALSE),"")</f>
        <v/>
      </c>
    </row>
    <row r="2878" spans="1:8" x14ac:dyDescent="0.2">
      <c r="A2878" t="str">
        <f t="shared" si="44"/>
        <v/>
      </c>
      <c r="B2878" s="1">
        <v>2017</v>
      </c>
      <c r="C2878" s="1" t="s">
        <v>2505</v>
      </c>
      <c r="D2878" s="1" t="s">
        <v>2506</v>
      </c>
      <c r="E2878" s="1" t="s">
        <v>2019</v>
      </c>
      <c r="F2878" s="1" t="s">
        <v>287</v>
      </c>
      <c r="G2878" s="51">
        <v>28539</v>
      </c>
      <c r="H2878" t="str">
        <f>IFERROR(VLOOKUP(F2878,'LEAID Match'!$A$2:$B$142,2,FALSE),"")</f>
        <v/>
      </c>
    </row>
    <row r="2879" spans="1:8" x14ac:dyDescent="0.2">
      <c r="A2879" t="str">
        <f t="shared" si="44"/>
        <v/>
      </c>
      <c r="B2879" s="1">
        <v>2018</v>
      </c>
      <c r="C2879" s="1" t="s">
        <v>2505</v>
      </c>
      <c r="D2879" s="1" t="s">
        <v>2506</v>
      </c>
      <c r="E2879" s="1" t="s">
        <v>2019</v>
      </c>
      <c r="F2879" s="1" t="s">
        <v>287</v>
      </c>
      <c r="G2879" s="6">
        <v>25675</v>
      </c>
      <c r="H2879" t="str">
        <f>IFERROR(VLOOKUP(F2879,'LEAID Match'!$A$2:$B$142,2,FALSE),"")</f>
        <v/>
      </c>
    </row>
    <row r="2880" spans="1:8" x14ac:dyDescent="0.2">
      <c r="A2880" t="str">
        <f t="shared" si="44"/>
        <v/>
      </c>
      <c r="B2880" s="1">
        <v>2019</v>
      </c>
      <c r="C2880" s="1" t="s">
        <v>2505</v>
      </c>
      <c r="D2880" s="1" t="s">
        <v>2506</v>
      </c>
      <c r="E2880" s="1" t="s">
        <v>2019</v>
      </c>
      <c r="F2880" s="1" t="s">
        <v>287</v>
      </c>
      <c r="G2880" s="6">
        <v>26440</v>
      </c>
      <c r="H2880" t="str">
        <f>IFERROR(VLOOKUP(F2880,'LEAID Match'!$A$2:$B$142,2,FALSE),"")</f>
        <v/>
      </c>
    </row>
    <row r="2881" spans="1:8" x14ac:dyDescent="0.2">
      <c r="A2881" t="str">
        <f t="shared" si="44"/>
        <v/>
      </c>
      <c r="B2881" s="1">
        <v>2020</v>
      </c>
      <c r="C2881" s="1" t="s">
        <v>2505</v>
      </c>
      <c r="D2881" s="1" t="s">
        <v>2506</v>
      </c>
      <c r="E2881" s="1" t="s">
        <v>2019</v>
      </c>
      <c r="F2881" s="1" t="s">
        <v>287</v>
      </c>
      <c r="G2881" s="6">
        <v>23592</v>
      </c>
      <c r="H2881" t="str">
        <f>IFERROR(VLOOKUP(F2881,'LEAID Match'!$A$2:$B$142,2,FALSE),"")</f>
        <v/>
      </c>
    </row>
    <row r="2882" spans="1:8" x14ac:dyDescent="0.2">
      <c r="A2882" t="str">
        <f t="shared" si="44"/>
        <v/>
      </c>
      <c r="B2882" s="1">
        <v>2021</v>
      </c>
      <c r="C2882" s="1" t="s">
        <v>2505</v>
      </c>
      <c r="D2882" s="1" t="s">
        <v>2506</v>
      </c>
      <c r="E2882" s="1" t="s">
        <v>2019</v>
      </c>
      <c r="F2882" s="1" t="s">
        <v>287</v>
      </c>
      <c r="G2882" s="6">
        <v>23638</v>
      </c>
      <c r="H2882" t="str">
        <f>IFERROR(VLOOKUP(F2882,'LEAID Match'!$A$2:$B$142,2,FALSE),"")</f>
        <v/>
      </c>
    </row>
    <row r="2883" spans="1:8" x14ac:dyDescent="0.2">
      <c r="A2883" t="str">
        <f t="shared" ref="A2883:A2946" si="45">H2883</f>
        <v/>
      </c>
      <c r="B2883" s="1">
        <v>2022</v>
      </c>
      <c r="C2883" s="1" t="s">
        <v>2505</v>
      </c>
      <c r="D2883" s="1" t="s">
        <v>2506</v>
      </c>
      <c r="E2883" s="1" t="s">
        <v>2019</v>
      </c>
      <c r="F2883" s="1" t="s">
        <v>287</v>
      </c>
      <c r="G2883" s="6">
        <v>25639</v>
      </c>
      <c r="H2883" t="str">
        <f>IFERROR(VLOOKUP(F2883,'LEAID Match'!$A$2:$B$142,2,FALSE),"")</f>
        <v/>
      </c>
    </row>
    <row r="2884" spans="1:8" x14ac:dyDescent="0.2">
      <c r="A2884" t="str">
        <f t="shared" si="45"/>
        <v/>
      </c>
      <c r="B2884" s="1">
        <v>2023</v>
      </c>
      <c r="C2884" s="1" t="s">
        <v>2505</v>
      </c>
      <c r="D2884" s="1" t="s">
        <v>2506</v>
      </c>
      <c r="E2884" s="1" t="s">
        <v>2019</v>
      </c>
      <c r="F2884" s="1" t="s">
        <v>287</v>
      </c>
      <c r="G2884" s="6">
        <v>26004</v>
      </c>
      <c r="H2884" t="str">
        <f>IFERROR(VLOOKUP(F2884,'LEAID Match'!$A$2:$B$142,2,FALSE),"")</f>
        <v/>
      </c>
    </row>
    <row r="2885" spans="1:8" x14ac:dyDescent="0.2">
      <c r="A2885" t="str">
        <f t="shared" si="45"/>
        <v/>
      </c>
      <c r="B2885" s="1">
        <v>2024</v>
      </c>
      <c r="C2885" s="1" t="s">
        <v>2505</v>
      </c>
      <c r="D2885" s="1" t="s">
        <v>2506</v>
      </c>
      <c r="E2885" s="1" t="s">
        <v>2019</v>
      </c>
      <c r="F2885" s="1" t="s">
        <v>287</v>
      </c>
      <c r="G2885" s="6">
        <v>21422</v>
      </c>
      <c r="H2885" t="str">
        <f>IFERROR(VLOOKUP(F2885,'LEAID Match'!$A$2:$B$142,2,FALSE),"")</f>
        <v/>
      </c>
    </row>
    <row r="2886" spans="1:8" x14ac:dyDescent="0.2">
      <c r="A2886">
        <f t="shared" si="45"/>
        <v>2801860</v>
      </c>
      <c r="B2886" s="1">
        <v>2015</v>
      </c>
      <c r="C2886" s="1" t="s">
        <v>2505</v>
      </c>
      <c r="D2886" s="1" t="s">
        <v>2506</v>
      </c>
      <c r="E2886" s="1" t="s">
        <v>2019</v>
      </c>
      <c r="F2886" s="1" t="s">
        <v>288</v>
      </c>
      <c r="G2886" s="6">
        <v>4401730</v>
      </c>
      <c r="H2886">
        <f>IFERROR(VLOOKUP(F2886,'LEAID Match'!$A$2:$B$142,2,FALSE),"")</f>
        <v>2801860</v>
      </c>
    </row>
    <row r="2887" spans="1:8" x14ac:dyDescent="0.2">
      <c r="A2887">
        <f t="shared" si="45"/>
        <v>2801860</v>
      </c>
      <c r="B2887">
        <v>2016</v>
      </c>
      <c r="C2887" s="1" t="s">
        <v>2505</v>
      </c>
      <c r="D2887" s="1" t="s">
        <v>2506</v>
      </c>
      <c r="E2887" s="1" t="s">
        <v>2019</v>
      </c>
      <c r="F2887" s="1" t="s">
        <v>288</v>
      </c>
      <c r="G2887" s="12">
        <v>4360771</v>
      </c>
      <c r="H2887">
        <f>IFERROR(VLOOKUP(F2887,'LEAID Match'!$A$2:$B$142,2,FALSE),"")</f>
        <v>2801860</v>
      </c>
    </row>
    <row r="2888" spans="1:8" x14ac:dyDescent="0.2">
      <c r="A2888">
        <f t="shared" si="45"/>
        <v>2801860</v>
      </c>
      <c r="B2888" s="1">
        <v>2017</v>
      </c>
      <c r="C2888" s="1" t="s">
        <v>2505</v>
      </c>
      <c r="D2888" s="1" t="s">
        <v>2506</v>
      </c>
      <c r="E2888" s="1" t="s">
        <v>2019</v>
      </c>
      <c r="F2888" s="1" t="s">
        <v>288</v>
      </c>
      <c r="G2888" s="51">
        <v>4259847</v>
      </c>
      <c r="H2888">
        <f>IFERROR(VLOOKUP(F2888,'LEAID Match'!$A$2:$B$142,2,FALSE),"")</f>
        <v>2801860</v>
      </c>
    </row>
    <row r="2889" spans="1:8" x14ac:dyDescent="0.2">
      <c r="A2889">
        <f t="shared" si="45"/>
        <v>2801860</v>
      </c>
      <c r="B2889" s="1">
        <v>2018</v>
      </c>
      <c r="C2889" s="1" t="s">
        <v>2505</v>
      </c>
      <c r="D2889" s="1" t="s">
        <v>2506</v>
      </c>
      <c r="E2889" s="1" t="s">
        <v>2019</v>
      </c>
      <c r="F2889" s="1" t="s">
        <v>288</v>
      </c>
      <c r="G2889" s="6">
        <v>4008519</v>
      </c>
      <c r="H2889">
        <f>IFERROR(VLOOKUP(F2889,'LEAID Match'!$A$2:$B$142,2,FALSE),"")</f>
        <v>2801860</v>
      </c>
    </row>
    <row r="2890" spans="1:8" x14ac:dyDescent="0.2">
      <c r="A2890">
        <f t="shared" si="45"/>
        <v>2801860</v>
      </c>
      <c r="B2890" s="1">
        <v>2019</v>
      </c>
      <c r="C2890" s="1" t="s">
        <v>2505</v>
      </c>
      <c r="D2890" s="1" t="s">
        <v>2506</v>
      </c>
      <c r="E2890" s="1" t="s">
        <v>2019</v>
      </c>
      <c r="F2890" s="1" t="s">
        <v>288</v>
      </c>
      <c r="G2890" s="6">
        <v>3854438</v>
      </c>
      <c r="H2890">
        <f>IFERROR(VLOOKUP(F2890,'LEAID Match'!$A$2:$B$142,2,FALSE),"")</f>
        <v>2801860</v>
      </c>
    </row>
    <row r="2891" spans="1:8" x14ac:dyDescent="0.2">
      <c r="A2891">
        <f t="shared" si="45"/>
        <v>2801860</v>
      </c>
      <c r="B2891" s="1">
        <v>2020</v>
      </c>
      <c r="C2891" s="1" t="s">
        <v>2505</v>
      </c>
      <c r="D2891" s="1" t="s">
        <v>2506</v>
      </c>
      <c r="E2891" s="1" t="s">
        <v>2019</v>
      </c>
      <c r="F2891" s="1" t="s">
        <v>288</v>
      </c>
      <c r="G2891" s="6">
        <v>4424611</v>
      </c>
      <c r="H2891">
        <f>IFERROR(VLOOKUP(F2891,'LEAID Match'!$A$2:$B$142,2,FALSE),"")</f>
        <v>2801860</v>
      </c>
    </row>
    <row r="2892" spans="1:8" x14ac:dyDescent="0.2">
      <c r="A2892">
        <f t="shared" si="45"/>
        <v>2801860</v>
      </c>
      <c r="B2892" s="1">
        <v>2021</v>
      </c>
      <c r="C2892" s="1" t="s">
        <v>2505</v>
      </c>
      <c r="D2892" s="1" t="s">
        <v>2506</v>
      </c>
      <c r="E2892" s="1" t="s">
        <v>2019</v>
      </c>
      <c r="F2892" s="1" t="s">
        <v>288</v>
      </c>
      <c r="G2892" s="6">
        <v>4339936</v>
      </c>
      <c r="H2892">
        <f>IFERROR(VLOOKUP(F2892,'LEAID Match'!$A$2:$B$142,2,FALSE),"")</f>
        <v>2801860</v>
      </c>
    </row>
    <row r="2893" spans="1:8" x14ac:dyDescent="0.2">
      <c r="A2893">
        <f t="shared" si="45"/>
        <v>2801860</v>
      </c>
      <c r="B2893" s="1">
        <v>2022</v>
      </c>
      <c r="C2893" s="1" t="s">
        <v>2505</v>
      </c>
      <c r="D2893" s="1" t="s">
        <v>2506</v>
      </c>
      <c r="E2893" s="1" t="s">
        <v>2019</v>
      </c>
      <c r="F2893" s="1" t="s">
        <v>288</v>
      </c>
      <c r="G2893" s="6">
        <v>4420177</v>
      </c>
      <c r="H2893">
        <f>IFERROR(VLOOKUP(F2893,'LEAID Match'!$A$2:$B$142,2,FALSE),"")</f>
        <v>2801860</v>
      </c>
    </row>
    <row r="2894" spans="1:8" x14ac:dyDescent="0.2">
      <c r="A2894">
        <f t="shared" si="45"/>
        <v>2801860</v>
      </c>
      <c r="B2894" s="1">
        <v>2023</v>
      </c>
      <c r="C2894" s="1" t="s">
        <v>2505</v>
      </c>
      <c r="D2894" s="1" t="s">
        <v>2506</v>
      </c>
      <c r="E2894" s="1" t="s">
        <v>2019</v>
      </c>
      <c r="F2894" s="1" t="s">
        <v>288</v>
      </c>
      <c r="G2894" s="6">
        <v>4824132</v>
      </c>
      <c r="H2894">
        <f>IFERROR(VLOOKUP(F2894,'LEAID Match'!$A$2:$B$142,2,FALSE),"")</f>
        <v>2801860</v>
      </c>
    </row>
    <row r="2895" spans="1:8" x14ac:dyDescent="0.2">
      <c r="A2895">
        <f t="shared" si="45"/>
        <v>2801860</v>
      </c>
      <c r="B2895" s="1">
        <v>2024</v>
      </c>
      <c r="C2895" s="1" t="s">
        <v>2505</v>
      </c>
      <c r="D2895" s="1" t="s">
        <v>2506</v>
      </c>
      <c r="E2895" s="1" t="s">
        <v>2019</v>
      </c>
      <c r="F2895" s="1" t="s">
        <v>288</v>
      </c>
      <c r="G2895" s="6">
        <v>4828075</v>
      </c>
      <c r="H2895">
        <f>IFERROR(VLOOKUP(F2895,'LEAID Match'!$A$2:$B$142,2,FALSE),"")</f>
        <v>2801860</v>
      </c>
    </row>
    <row r="2896" spans="1:8" x14ac:dyDescent="0.2">
      <c r="A2896" t="str">
        <f t="shared" si="45"/>
        <v/>
      </c>
      <c r="B2896" s="1">
        <v>2015</v>
      </c>
      <c r="C2896" s="1" t="s">
        <v>2505</v>
      </c>
      <c r="D2896" s="1" t="s">
        <v>2506</v>
      </c>
      <c r="E2896" s="1" t="s">
        <v>2019</v>
      </c>
      <c r="F2896" s="1" t="s">
        <v>289</v>
      </c>
      <c r="G2896" s="6">
        <v>4575141</v>
      </c>
      <c r="H2896" t="str">
        <f>IFERROR(VLOOKUP(F2896,'LEAID Match'!$A$2:$B$142,2,FALSE),"")</f>
        <v/>
      </c>
    </row>
    <row r="2897" spans="1:8" x14ac:dyDescent="0.2">
      <c r="A2897" t="str">
        <f t="shared" si="45"/>
        <v/>
      </c>
      <c r="B2897">
        <v>2016</v>
      </c>
      <c r="C2897" s="1" t="s">
        <v>2505</v>
      </c>
      <c r="D2897" s="1" t="s">
        <v>2506</v>
      </c>
      <c r="E2897" s="1" t="s">
        <v>2019</v>
      </c>
      <c r="F2897" s="1" t="s">
        <v>289</v>
      </c>
      <c r="G2897" s="12">
        <v>4797488</v>
      </c>
      <c r="H2897" t="str">
        <f>IFERROR(VLOOKUP(F2897,'LEAID Match'!$A$2:$B$142,2,FALSE),"")</f>
        <v/>
      </c>
    </row>
    <row r="2898" spans="1:8" x14ac:dyDescent="0.2">
      <c r="A2898" t="str">
        <f t="shared" si="45"/>
        <v/>
      </c>
      <c r="B2898" s="1">
        <v>2017</v>
      </c>
      <c r="C2898" s="1" t="s">
        <v>2505</v>
      </c>
      <c r="D2898" s="1" t="s">
        <v>2506</v>
      </c>
      <c r="E2898" s="1" t="s">
        <v>2019</v>
      </c>
      <c r="F2898" s="1" t="s">
        <v>289</v>
      </c>
      <c r="G2898" s="51">
        <v>4569681</v>
      </c>
      <c r="H2898" t="str">
        <f>IFERROR(VLOOKUP(F2898,'LEAID Match'!$A$2:$B$142,2,FALSE),"")</f>
        <v/>
      </c>
    </row>
    <row r="2899" spans="1:8" x14ac:dyDescent="0.2">
      <c r="A2899" t="str">
        <f t="shared" si="45"/>
        <v/>
      </c>
      <c r="B2899" s="1">
        <v>2018</v>
      </c>
      <c r="C2899" s="1" t="s">
        <v>2505</v>
      </c>
      <c r="D2899" s="1" t="s">
        <v>2506</v>
      </c>
      <c r="E2899" s="1" t="s">
        <v>2019</v>
      </c>
      <c r="F2899" s="1" t="s">
        <v>289</v>
      </c>
      <c r="G2899" s="6">
        <v>4674521</v>
      </c>
      <c r="H2899" t="str">
        <f>IFERROR(VLOOKUP(F2899,'LEAID Match'!$A$2:$B$142,2,FALSE),"")</f>
        <v/>
      </c>
    </row>
    <row r="2900" spans="1:8" x14ac:dyDescent="0.2">
      <c r="A2900" t="str">
        <f t="shared" si="45"/>
        <v/>
      </c>
      <c r="B2900" s="1">
        <v>2019</v>
      </c>
      <c r="C2900" s="1" t="s">
        <v>2505</v>
      </c>
      <c r="D2900" s="1" t="s">
        <v>2506</v>
      </c>
      <c r="E2900" s="1" t="s">
        <v>2019</v>
      </c>
      <c r="F2900" s="1" t="s">
        <v>289</v>
      </c>
      <c r="G2900" s="6">
        <v>4862508</v>
      </c>
      <c r="H2900" t="str">
        <f>IFERROR(VLOOKUP(F2900,'LEAID Match'!$A$2:$B$142,2,FALSE),"")</f>
        <v/>
      </c>
    </row>
    <row r="2901" spans="1:8" x14ac:dyDescent="0.2">
      <c r="A2901" t="str">
        <f t="shared" si="45"/>
        <v/>
      </c>
      <c r="B2901" s="1">
        <v>2020</v>
      </c>
      <c r="C2901" s="1" t="s">
        <v>2505</v>
      </c>
      <c r="D2901" s="1" t="s">
        <v>2506</v>
      </c>
      <c r="E2901" s="1" t="s">
        <v>2019</v>
      </c>
      <c r="F2901" s="1" t="s">
        <v>289</v>
      </c>
      <c r="G2901" s="6">
        <v>5264551</v>
      </c>
      <c r="H2901" t="str">
        <f>IFERROR(VLOOKUP(F2901,'LEAID Match'!$A$2:$B$142,2,FALSE),"")</f>
        <v/>
      </c>
    </row>
    <row r="2902" spans="1:8" x14ac:dyDescent="0.2">
      <c r="A2902" t="str">
        <f t="shared" si="45"/>
        <v/>
      </c>
      <c r="B2902" s="1">
        <v>2021</v>
      </c>
      <c r="C2902" s="1" t="s">
        <v>2505</v>
      </c>
      <c r="D2902" s="1" t="s">
        <v>2506</v>
      </c>
      <c r="E2902" s="1" t="s">
        <v>2019</v>
      </c>
      <c r="F2902" s="1" t="s">
        <v>289</v>
      </c>
      <c r="G2902" s="6">
        <v>5158543</v>
      </c>
      <c r="H2902" t="str">
        <f>IFERROR(VLOOKUP(F2902,'LEAID Match'!$A$2:$B$142,2,FALSE),"")</f>
        <v/>
      </c>
    </row>
    <row r="2903" spans="1:8" x14ac:dyDescent="0.2">
      <c r="A2903" t="str">
        <f t="shared" si="45"/>
        <v/>
      </c>
      <c r="B2903" s="1">
        <v>2022</v>
      </c>
      <c r="C2903" s="1" t="s">
        <v>2505</v>
      </c>
      <c r="D2903" s="1" t="s">
        <v>2506</v>
      </c>
      <c r="E2903" s="1" t="s">
        <v>2019</v>
      </c>
      <c r="F2903" s="1" t="s">
        <v>289</v>
      </c>
      <c r="G2903" s="6">
        <v>5091408</v>
      </c>
      <c r="H2903" t="str">
        <f>IFERROR(VLOOKUP(F2903,'LEAID Match'!$A$2:$B$142,2,FALSE),"")</f>
        <v/>
      </c>
    </row>
    <row r="2904" spans="1:8" x14ac:dyDescent="0.2">
      <c r="A2904" t="str">
        <f t="shared" si="45"/>
        <v/>
      </c>
      <c r="B2904" s="1">
        <v>2023</v>
      </c>
      <c r="C2904" s="1" t="s">
        <v>2505</v>
      </c>
      <c r="D2904" s="1" t="s">
        <v>2506</v>
      </c>
      <c r="E2904" s="1" t="s">
        <v>2019</v>
      </c>
      <c r="F2904" s="1" t="s">
        <v>289</v>
      </c>
      <c r="G2904" s="6">
        <v>5224704</v>
      </c>
      <c r="H2904" t="str">
        <f>IFERROR(VLOOKUP(F2904,'LEAID Match'!$A$2:$B$142,2,FALSE),"")</f>
        <v/>
      </c>
    </row>
    <row r="2905" spans="1:8" x14ac:dyDescent="0.2">
      <c r="A2905" t="str">
        <f t="shared" si="45"/>
        <v/>
      </c>
      <c r="B2905" s="1">
        <v>2024</v>
      </c>
      <c r="C2905" s="1" t="s">
        <v>2505</v>
      </c>
      <c r="D2905" s="1" t="s">
        <v>2506</v>
      </c>
      <c r="E2905" s="1" t="s">
        <v>2019</v>
      </c>
      <c r="F2905" s="1" t="s">
        <v>289</v>
      </c>
      <c r="G2905" s="6">
        <v>5081524</v>
      </c>
      <c r="H2905" t="str">
        <f>IFERROR(VLOOKUP(F2905,'LEAID Match'!$A$2:$B$142,2,FALSE),"")</f>
        <v/>
      </c>
    </row>
    <row r="2906" spans="1:8" x14ac:dyDescent="0.2">
      <c r="A2906" t="str">
        <f t="shared" si="45"/>
        <v/>
      </c>
      <c r="B2906" s="1">
        <v>2015</v>
      </c>
      <c r="C2906" s="1" t="s">
        <v>2505</v>
      </c>
      <c r="D2906" s="1" t="s">
        <v>2506</v>
      </c>
      <c r="E2906" s="1" t="s">
        <v>2019</v>
      </c>
      <c r="F2906" s="1" t="s">
        <v>290</v>
      </c>
      <c r="G2906" s="6">
        <v>123319</v>
      </c>
      <c r="H2906" t="str">
        <f>IFERROR(VLOOKUP(F2906,'LEAID Match'!$A$2:$B$142,2,FALSE),"")</f>
        <v/>
      </c>
    </row>
    <row r="2907" spans="1:8" x14ac:dyDescent="0.2">
      <c r="A2907" t="str">
        <f t="shared" si="45"/>
        <v/>
      </c>
      <c r="B2907">
        <v>2016</v>
      </c>
      <c r="C2907" s="1" t="s">
        <v>2505</v>
      </c>
      <c r="D2907" s="1" t="s">
        <v>2506</v>
      </c>
      <c r="E2907" s="1" t="s">
        <v>2019</v>
      </c>
      <c r="F2907" s="1" t="s">
        <v>290</v>
      </c>
      <c r="G2907" s="12">
        <v>103223</v>
      </c>
      <c r="H2907" t="str">
        <f>IFERROR(VLOOKUP(F2907,'LEAID Match'!$A$2:$B$142,2,FALSE),"")</f>
        <v/>
      </c>
    </row>
    <row r="2908" spans="1:8" x14ac:dyDescent="0.2">
      <c r="A2908" t="str">
        <f t="shared" si="45"/>
        <v/>
      </c>
      <c r="B2908" s="1">
        <v>2017</v>
      </c>
      <c r="C2908" s="1" t="s">
        <v>2505</v>
      </c>
      <c r="D2908" s="1" t="s">
        <v>2506</v>
      </c>
      <c r="E2908" s="1" t="s">
        <v>2019</v>
      </c>
      <c r="F2908" s="1" t="s">
        <v>290</v>
      </c>
      <c r="G2908" s="51">
        <v>101238</v>
      </c>
      <c r="H2908" t="str">
        <f>IFERROR(VLOOKUP(F2908,'LEAID Match'!$A$2:$B$142,2,FALSE),"")</f>
        <v/>
      </c>
    </row>
    <row r="2909" spans="1:8" x14ac:dyDescent="0.2">
      <c r="A2909" t="str">
        <f t="shared" si="45"/>
        <v/>
      </c>
      <c r="B2909" s="1">
        <v>2018</v>
      </c>
      <c r="C2909" s="1" t="s">
        <v>2505</v>
      </c>
      <c r="D2909" s="1" t="s">
        <v>2506</v>
      </c>
      <c r="E2909" s="1" t="s">
        <v>2019</v>
      </c>
      <c r="F2909" s="1" t="s">
        <v>290</v>
      </c>
      <c r="G2909" s="6">
        <v>107151</v>
      </c>
      <c r="H2909" t="str">
        <f>IFERROR(VLOOKUP(F2909,'LEAID Match'!$A$2:$B$142,2,FALSE),"")</f>
        <v/>
      </c>
    </row>
    <row r="2910" spans="1:8" x14ac:dyDescent="0.2">
      <c r="A2910" t="str">
        <f t="shared" si="45"/>
        <v/>
      </c>
      <c r="B2910" s="1">
        <v>2019</v>
      </c>
      <c r="C2910" s="1" t="s">
        <v>2505</v>
      </c>
      <c r="D2910" s="1" t="s">
        <v>2506</v>
      </c>
      <c r="E2910" s="1" t="s">
        <v>2019</v>
      </c>
      <c r="F2910" s="1" t="s">
        <v>290</v>
      </c>
      <c r="G2910" s="6">
        <v>112694</v>
      </c>
      <c r="H2910" t="str">
        <f>IFERROR(VLOOKUP(F2910,'LEAID Match'!$A$2:$B$142,2,FALSE),"")</f>
        <v/>
      </c>
    </row>
    <row r="2911" spans="1:8" x14ac:dyDescent="0.2">
      <c r="A2911" t="str">
        <f t="shared" si="45"/>
        <v/>
      </c>
      <c r="B2911" s="1">
        <v>2020</v>
      </c>
      <c r="C2911" s="1" t="s">
        <v>2505</v>
      </c>
      <c r="D2911" s="1" t="s">
        <v>2506</v>
      </c>
      <c r="E2911" s="1" t="s">
        <v>2019</v>
      </c>
      <c r="F2911" s="1" t="s">
        <v>290</v>
      </c>
      <c r="G2911" s="6">
        <v>120995</v>
      </c>
      <c r="H2911" t="str">
        <f>IFERROR(VLOOKUP(F2911,'LEAID Match'!$A$2:$B$142,2,FALSE),"")</f>
        <v/>
      </c>
    </row>
    <row r="2912" spans="1:8" x14ac:dyDescent="0.2">
      <c r="A2912" t="str">
        <f t="shared" si="45"/>
        <v/>
      </c>
      <c r="B2912" s="1">
        <v>2021</v>
      </c>
      <c r="C2912" s="1" t="s">
        <v>2505</v>
      </c>
      <c r="D2912" s="1" t="s">
        <v>2506</v>
      </c>
      <c r="E2912" s="1" t="s">
        <v>2019</v>
      </c>
      <c r="F2912" s="1" t="s">
        <v>290</v>
      </c>
      <c r="G2912" s="6">
        <v>123882</v>
      </c>
      <c r="H2912" t="str">
        <f>IFERROR(VLOOKUP(F2912,'LEAID Match'!$A$2:$B$142,2,FALSE),"")</f>
        <v/>
      </c>
    </row>
    <row r="2913" spans="1:8" x14ac:dyDescent="0.2">
      <c r="A2913" t="str">
        <f t="shared" si="45"/>
        <v/>
      </c>
      <c r="B2913" s="1">
        <v>2022</v>
      </c>
      <c r="C2913" s="1" t="s">
        <v>2505</v>
      </c>
      <c r="D2913" s="1" t="s">
        <v>2506</v>
      </c>
      <c r="E2913" s="1" t="s">
        <v>2019</v>
      </c>
      <c r="F2913" s="1" t="s">
        <v>290</v>
      </c>
      <c r="G2913" s="6">
        <v>123255</v>
      </c>
      <c r="H2913" t="str">
        <f>IFERROR(VLOOKUP(F2913,'LEAID Match'!$A$2:$B$142,2,FALSE),"")</f>
        <v/>
      </c>
    </row>
    <row r="2914" spans="1:8" x14ac:dyDescent="0.2">
      <c r="A2914" t="str">
        <f t="shared" si="45"/>
        <v/>
      </c>
      <c r="B2914" s="1">
        <v>2023</v>
      </c>
      <c r="C2914" s="1" t="s">
        <v>2505</v>
      </c>
      <c r="D2914" s="1" t="s">
        <v>2506</v>
      </c>
      <c r="E2914" s="1" t="s">
        <v>2019</v>
      </c>
      <c r="F2914" s="1" t="s">
        <v>290</v>
      </c>
      <c r="G2914" s="6">
        <v>128717</v>
      </c>
      <c r="H2914" t="str">
        <f>IFERROR(VLOOKUP(F2914,'LEAID Match'!$A$2:$B$142,2,FALSE),"")</f>
        <v/>
      </c>
    </row>
    <row r="2915" spans="1:8" x14ac:dyDescent="0.2">
      <c r="A2915" t="str">
        <f t="shared" si="45"/>
        <v/>
      </c>
      <c r="B2915" s="1">
        <v>2024</v>
      </c>
      <c r="C2915" s="1" t="s">
        <v>2505</v>
      </c>
      <c r="D2915" s="1" t="s">
        <v>2506</v>
      </c>
      <c r="E2915" s="1" t="s">
        <v>2019</v>
      </c>
      <c r="F2915" s="1" t="s">
        <v>290</v>
      </c>
      <c r="G2915" s="6">
        <v>131416</v>
      </c>
      <c r="H2915" t="str">
        <f>IFERROR(VLOOKUP(F2915,'LEAID Match'!$A$2:$B$142,2,FALSE),"")</f>
        <v/>
      </c>
    </row>
    <row r="2916" spans="1:8" x14ac:dyDescent="0.2">
      <c r="A2916" t="str">
        <f t="shared" si="45"/>
        <v/>
      </c>
      <c r="B2916" s="1">
        <v>2015</v>
      </c>
      <c r="C2916" s="1" t="s">
        <v>2505</v>
      </c>
      <c r="D2916" s="1" t="s">
        <v>2506</v>
      </c>
      <c r="E2916" s="1" t="s">
        <v>2019</v>
      </c>
      <c r="F2916" s="1" t="s">
        <v>291</v>
      </c>
      <c r="G2916" s="6">
        <v>142801</v>
      </c>
      <c r="H2916" t="str">
        <f>IFERROR(VLOOKUP(F2916,'LEAID Match'!$A$2:$B$142,2,FALSE),"")</f>
        <v/>
      </c>
    </row>
    <row r="2917" spans="1:8" x14ac:dyDescent="0.2">
      <c r="A2917" t="str">
        <f t="shared" si="45"/>
        <v/>
      </c>
      <c r="B2917">
        <v>2016</v>
      </c>
      <c r="C2917" s="1" t="s">
        <v>2505</v>
      </c>
      <c r="D2917" s="1" t="s">
        <v>2506</v>
      </c>
      <c r="E2917" s="1" t="s">
        <v>2019</v>
      </c>
      <c r="F2917" s="1" t="s">
        <v>291</v>
      </c>
      <c r="G2917" s="12">
        <v>138244</v>
      </c>
      <c r="H2917" t="str">
        <f>IFERROR(VLOOKUP(F2917,'LEAID Match'!$A$2:$B$142,2,FALSE),"")</f>
        <v/>
      </c>
    </row>
    <row r="2918" spans="1:8" x14ac:dyDescent="0.2">
      <c r="A2918" t="str">
        <f t="shared" si="45"/>
        <v/>
      </c>
      <c r="B2918" s="1">
        <v>2017</v>
      </c>
      <c r="C2918" s="1" t="s">
        <v>2505</v>
      </c>
      <c r="D2918" s="1" t="s">
        <v>2506</v>
      </c>
      <c r="E2918" s="1" t="s">
        <v>2019</v>
      </c>
      <c r="F2918" s="1" t="s">
        <v>291</v>
      </c>
      <c r="G2918" s="51">
        <v>140704</v>
      </c>
      <c r="H2918" t="str">
        <f>IFERROR(VLOOKUP(F2918,'LEAID Match'!$A$2:$B$142,2,FALSE),"")</f>
        <v/>
      </c>
    </row>
    <row r="2919" spans="1:8" x14ac:dyDescent="0.2">
      <c r="A2919" t="str">
        <f t="shared" si="45"/>
        <v/>
      </c>
      <c r="B2919" s="1">
        <v>2018</v>
      </c>
      <c r="C2919" s="1" t="s">
        <v>2505</v>
      </c>
      <c r="D2919" s="1" t="s">
        <v>2506</v>
      </c>
      <c r="E2919" s="1" t="s">
        <v>2019</v>
      </c>
      <c r="F2919" s="1" t="s">
        <v>291</v>
      </c>
      <c r="G2919" s="6">
        <v>140846</v>
      </c>
      <c r="H2919" t="str">
        <f>IFERROR(VLOOKUP(F2919,'LEAID Match'!$A$2:$B$142,2,FALSE),"")</f>
        <v/>
      </c>
    </row>
    <row r="2920" spans="1:8" x14ac:dyDescent="0.2">
      <c r="A2920" t="str">
        <f t="shared" si="45"/>
        <v/>
      </c>
      <c r="B2920" s="1">
        <v>2019</v>
      </c>
      <c r="C2920" s="1" t="s">
        <v>2505</v>
      </c>
      <c r="D2920" s="1" t="s">
        <v>2506</v>
      </c>
      <c r="E2920" s="1" t="s">
        <v>2019</v>
      </c>
      <c r="F2920" s="1" t="s">
        <v>291</v>
      </c>
      <c r="G2920" s="6">
        <v>133905</v>
      </c>
      <c r="H2920" t="str">
        <f>IFERROR(VLOOKUP(F2920,'LEAID Match'!$A$2:$B$142,2,FALSE),"")</f>
        <v/>
      </c>
    </row>
    <row r="2921" spans="1:8" x14ac:dyDescent="0.2">
      <c r="A2921" t="str">
        <f t="shared" si="45"/>
        <v/>
      </c>
      <c r="B2921" s="1">
        <v>2020</v>
      </c>
      <c r="C2921" s="1" t="s">
        <v>2505</v>
      </c>
      <c r="D2921" s="1" t="s">
        <v>2506</v>
      </c>
      <c r="E2921" s="1" t="s">
        <v>2019</v>
      </c>
      <c r="F2921" s="1" t="s">
        <v>291</v>
      </c>
      <c r="G2921" s="6">
        <v>142229</v>
      </c>
      <c r="H2921" t="str">
        <f>IFERROR(VLOOKUP(F2921,'LEAID Match'!$A$2:$B$142,2,FALSE),"")</f>
        <v/>
      </c>
    </row>
    <row r="2922" spans="1:8" x14ac:dyDescent="0.2">
      <c r="A2922" t="str">
        <f t="shared" si="45"/>
        <v/>
      </c>
      <c r="B2922" s="1">
        <v>2021</v>
      </c>
      <c r="C2922" s="1" t="s">
        <v>2505</v>
      </c>
      <c r="D2922" s="1" t="s">
        <v>2506</v>
      </c>
      <c r="E2922" s="1" t="s">
        <v>2019</v>
      </c>
      <c r="F2922" s="1" t="s">
        <v>291</v>
      </c>
      <c r="G2922" s="6">
        <v>168193</v>
      </c>
      <c r="H2922" t="str">
        <f>IFERROR(VLOOKUP(F2922,'LEAID Match'!$A$2:$B$142,2,FALSE),"")</f>
        <v/>
      </c>
    </row>
    <row r="2923" spans="1:8" x14ac:dyDescent="0.2">
      <c r="A2923" t="str">
        <f t="shared" si="45"/>
        <v/>
      </c>
      <c r="B2923" s="1">
        <v>2022</v>
      </c>
      <c r="C2923" s="1" t="s">
        <v>2505</v>
      </c>
      <c r="D2923" s="1" t="s">
        <v>2506</v>
      </c>
      <c r="E2923" s="1" t="s">
        <v>2019</v>
      </c>
      <c r="F2923" s="1" t="s">
        <v>291</v>
      </c>
      <c r="G2923" s="6">
        <v>185354</v>
      </c>
      <c r="H2923" t="str">
        <f>IFERROR(VLOOKUP(F2923,'LEAID Match'!$A$2:$B$142,2,FALSE),"")</f>
        <v/>
      </c>
    </row>
    <row r="2924" spans="1:8" x14ac:dyDescent="0.2">
      <c r="A2924" t="str">
        <f t="shared" si="45"/>
        <v/>
      </c>
      <c r="B2924" s="1">
        <v>2023</v>
      </c>
      <c r="C2924" s="1" t="s">
        <v>2505</v>
      </c>
      <c r="D2924" s="1" t="s">
        <v>2506</v>
      </c>
      <c r="E2924" s="1" t="s">
        <v>2019</v>
      </c>
      <c r="F2924" s="1" t="s">
        <v>291</v>
      </c>
      <c r="G2924" s="6">
        <v>194646</v>
      </c>
      <c r="H2924" t="str">
        <f>IFERROR(VLOOKUP(F2924,'LEAID Match'!$A$2:$B$142,2,FALSE),"")</f>
        <v/>
      </c>
    </row>
    <row r="2925" spans="1:8" x14ac:dyDescent="0.2">
      <c r="A2925" t="str">
        <f t="shared" si="45"/>
        <v/>
      </c>
      <c r="B2925" s="1">
        <v>2024</v>
      </c>
      <c r="C2925" s="1" t="s">
        <v>2505</v>
      </c>
      <c r="D2925" s="1" t="s">
        <v>2506</v>
      </c>
      <c r="E2925" s="1" t="s">
        <v>2019</v>
      </c>
      <c r="F2925" s="1" t="s">
        <v>291</v>
      </c>
      <c r="G2925" s="6">
        <v>191427</v>
      </c>
      <c r="H2925" t="str">
        <f>IFERROR(VLOOKUP(F2925,'LEAID Match'!$A$2:$B$142,2,FALSE),"")</f>
        <v/>
      </c>
    </row>
    <row r="2926" spans="1:8" x14ac:dyDescent="0.2">
      <c r="A2926" t="str">
        <f t="shared" si="45"/>
        <v/>
      </c>
      <c r="B2926" s="1">
        <v>2015</v>
      </c>
      <c r="C2926" s="1" t="s">
        <v>2505</v>
      </c>
      <c r="D2926" s="1" t="s">
        <v>2506</v>
      </c>
      <c r="E2926" s="1" t="s">
        <v>2019</v>
      </c>
      <c r="F2926" s="1" t="s">
        <v>292</v>
      </c>
      <c r="G2926" s="6">
        <v>17054</v>
      </c>
      <c r="H2926" t="str">
        <f>IFERROR(VLOOKUP(F2926,'LEAID Match'!$A$2:$B$142,2,FALSE),"")</f>
        <v/>
      </c>
    </row>
    <row r="2927" spans="1:8" x14ac:dyDescent="0.2">
      <c r="A2927" t="str">
        <f t="shared" si="45"/>
        <v/>
      </c>
      <c r="B2927">
        <v>2016</v>
      </c>
      <c r="C2927" s="1" t="s">
        <v>2505</v>
      </c>
      <c r="D2927" s="1" t="s">
        <v>2506</v>
      </c>
      <c r="E2927" s="1" t="s">
        <v>2019</v>
      </c>
      <c r="F2927" s="1" t="s">
        <v>292</v>
      </c>
      <c r="G2927" s="12">
        <v>14175</v>
      </c>
      <c r="H2927" t="str">
        <f>IFERROR(VLOOKUP(F2927,'LEAID Match'!$A$2:$B$142,2,FALSE),"")</f>
        <v/>
      </c>
    </row>
    <row r="2928" spans="1:8" x14ac:dyDescent="0.2">
      <c r="A2928" t="str">
        <f t="shared" si="45"/>
        <v/>
      </c>
      <c r="B2928" s="1">
        <v>2017</v>
      </c>
      <c r="C2928" s="1" t="s">
        <v>2505</v>
      </c>
      <c r="D2928" s="1" t="s">
        <v>2506</v>
      </c>
      <c r="E2928" s="1" t="s">
        <v>2019</v>
      </c>
      <c r="F2928" s="1" t="s">
        <v>292</v>
      </c>
      <c r="G2928" s="51">
        <v>13572</v>
      </c>
      <c r="H2928" t="str">
        <f>IFERROR(VLOOKUP(F2928,'LEAID Match'!$A$2:$B$142,2,FALSE),"")</f>
        <v/>
      </c>
    </row>
    <row r="2929" spans="1:8" x14ac:dyDescent="0.2">
      <c r="A2929" t="str">
        <f t="shared" si="45"/>
        <v/>
      </c>
      <c r="B2929" s="1">
        <v>2018</v>
      </c>
      <c r="C2929" s="1" t="s">
        <v>2505</v>
      </c>
      <c r="D2929" s="1" t="s">
        <v>2506</v>
      </c>
      <c r="E2929" s="1" t="s">
        <v>2019</v>
      </c>
      <c r="F2929" s="1" t="s">
        <v>292</v>
      </c>
      <c r="G2929" s="6">
        <v>8545</v>
      </c>
      <c r="H2929" t="str">
        <f>IFERROR(VLOOKUP(F2929,'LEAID Match'!$A$2:$B$142,2,FALSE),"")</f>
        <v/>
      </c>
    </row>
    <row r="2930" spans="1:8" x14ac:dyDescent="0.2">
      <c r="A2930" t="str">
        <f t="shared" si="45"/>
        <v/>
      </c>
      <c r="B2930" s="1">
        <v>2019</v>
      </c>
      <c r="C2930" s="1" t="s">
        <v>2505</v>
      </c>
      <c r="D2930" s="1" t="s">
        <v>2506</v>
      </c>
      <c r="E2930" s="1" t="s">
        <v>2019</v>
      </c>
      <c r="F2930" s="1" t="s">
        <v>292</v>
      </c>
      <c r="G2930" s="6">
        <v>13004</v>
      </c>
      <c r="H2930" t="str">
        <f>IFERROR(VLOOKUP(F2930,'LEAID Match'!$A$2:$B$142,2,FALSE),"")</f>
        <v/>
      </c>
    </row>
    <row r="2931" spans="1:8" x14ac:dyDescent="0.2">
      <c r="A2931" t="str">
        <f t="shared" si="45"/>
        <v/>
      </c>
      <c r="B2931" s="1">
        <v>2020</v>
      </c>
      <c r="C2931" s="1" t="s">
        <v>2505</v>
      </c>
      <c r="D2931" s="1" t="s">
        <v>2506</v>
      </c>
      <c r="E2931" s="1" t="s">
        <v>2019</v>
      </c>
      <c r="F2931" s="1" t="s">
        <v>292</v>
      </c>
      <c r="G2931" s="6">
        <v>11936</v>
      </c>
      <c r="H2931" t="str">
        <f>IFERROR(VLOOKUP(F2931,'LEAID Match'!$A$2:$B$142,2,FALSE),"")</f>
        <v/>
      </c>
    </row>
    <row r="2932" spans="1:8" x14ac:dyDescent="0.2">
      <c r="A2932" t="str">
        <f t="shared" si="45"/>
        <v/>
      </c>
      <c r="B2932" s="1">
        <v>2021</v>
      </c>
      <c r="C2932" s="1" t="s">
        <v>2505</v>
      </c>
      <c r="D2932" s="1" t="s">
        <v>2506</v>
      </c>
      <c r="E2932" s="1" t="s">
        <v>2019</v>
      </c>
      <c r="F2932" s="1" t="s">
        <v>292</v>
      </c>
      <c r="G2932" s="6">
        <v>9024</v>
      </c>
      <c r="H2932" t="str">
        <f>IFERROR(VLOOKUP(F2932,'LEAID Match'!$A$2:$B$142,2,FALSE),"")</f>
        <v/>
      </c>
    </row>
    <row r="2933" spans="1:8" x14ac:dyDescent="0.2">
      <c r="A2933" t="str">
        <f t="shared" si="45"/>
        <v/>
      </c>
      <c r="B2933" s="1">
        <v>2022</v>
      </c>
      <c r="C2933" s="1" t="s">
        <v>2505</v>
      </c>
      <c r="D2933" s="1" t="s">
        <v>2506</v>
      </c>
      <c r="E2933" s="1" t="s">
        <v>2019</v>
      </c>
      <c r="F2933" s="1" t="s">
        <v>292</v>
      </c>
      <c r="G2933" s="6">
        <v>9479</v>
      </c>
      <c r="H2933" t="str">
        <f>IFERROR(VLOOKUP(F2933,'LEAID Match'!$A$2:$B$142,2,FALSE),"")</f>
        <v/>
      </c>
    </row>
    <row r="2934" spans="1:8" x14ac:dyDescent="0.2">
      <c r="A2934" t="str">
        <f t="shared" si="45"/>
        <v/>
      </c>
      <c r="B2934" s="1">
        <v>2023</v>
      </c>
      <c r="C2934" s="1" t="s">
        <v>2505</v>
      </c>
      <c r="D2934" s="1" t="s">
        <v>2506</v>
      </c>
      <c r="E2934" s="1" t="s">
        <v>2019</v>
      </c>
      <c r="F2934" s="1" t="s">
        <v>292</v>
      </c>
      <c r="G2934" s="6">
        <v>10011</v>
      </c>
      <c r="H2934" t="str">
        <f>IFERROR(VLOOKUP(F2934,'LEAID Match'!$A$2:$B$142,2,FALSE),"")</f>
        <v/>
      </c>
    </row>
    <row r="2935" spans="1:8" x14ac:dyDescent="0.2">
      <c r="A2935" t="str">
        <f t="shared" si="45"/>
        <v/>
      </c>
      <c r="B2935" s="1">
        <v>2024</v>
      </c>
      <c r="C2935" s="1" t="s">
        <v>2505</v>
      </c>
      <c r="D2935" s="1" t="s">
        <v>2506</v>
      </c>
      <c r="E2935" s="1" t="s">
        <v>2019</v>
      </c>
      <c r="F2935" s="1" t="s">
        <v>292</v>
      </c>
      <c r="G2935" s="6">
        <v>10001</v>
      </c>
      <c r="H2935" t="str">
        <f>IFERROR(VLOOKUP(F2935,'LEAID Match'!$A$2:$B$142,2,FALSE),"")</f>
        <v/>
      </c>
    </row>
    <row r="2936" spans="1:8" x14ac:dyDescent="0.2">
      <c r="A2936" t="str">
        <f t="shared" si="45"/>
        <v/>
      </c>
      <c r="B2936" s="1">
        <v>2015</v>
      </c>
      <c r="C2936" s="1" t="s">
        <v>2505</v>
      </c>
      <c r="D2936" s="1" t="s">
        <v>2506</v>
      </c>
      <c r="E2936" s="1" t="s">
        <v>2019</v>
      </c>
      <c r="F2936" s="1" t="s">
        <v>1448</v>
      </c>
      <c r="G2936" s="6">
        <v>8146996</v>
      </c>
      <c r="H2936" t="str">
        <f>IFERROR(VLOOKUP(F2936,'LEAID Match'!$A$2:$B$142,2,FALSE),"")</f>
        <v/>
      </c>
    </row>
    <row r="2937" spans="1:8" x14ac:dyDescent="0.2">
      <c r="A2937" t="str">
        <f t="shared" si="45"/>
        <v/>
      </c>
      <c r="B2937">
        <v>2016</v>
      </c>
      <c r="C2937" s="1" t="s">
        <v>2505</v>
      </c>
      <c r="D2937" s="1" t="s">
        <v>2506</v>
      </c>
      <c r="E2937" s="1" t="s">
        <v>2019</v>
      </c>
      <c r="F2937" t="s">
        <v>1448</v>
      </c>
      <c r="G2937" s="12">
        <v>8321482</v>
      </c>
      <c r="H2937" t="str">
        <f>IFERROR(VLOOKUP(F2937,'LEAID Match'!$A$2:$B$142,2,FALSE),"")</f>
        <v/>
      </c>
    </row>
    <row r="2938" spans="1:8" x14ac:dyDescent="0.2">
      <c r="A2938" t="str">
        <f t="shared" si="45"/>
        <v/>
      </c>
      <c r="B2938" s="1">
        <v>2017</v>
      </c>
      <c r="C2938" s="1" t="s">
        <v>2505</v>
      </c>
      <c r="D2938" s="1" t="s">
        <v>2506</v>
      </c>
      <c r="E2938" s="1" t="s">
        <v>2019</v>
      </c>
      <c r="F2938" s="40" t="s">
        <v>1448</v>
      </c>
      <c r="G2938" s="51">
        <v>8398784</v>
      </c>
      <c r="H2938" t="str">
        <f>IFERROR(VLOOKUP(F2938,'LEAID Match'!$A$2:$B$142,2,FALSE),"")</f>
        <v/>
      </c>
    </row>
    <row r="2939" spans="1:8" x14ac:dyDescent="0.2">
      <c r="A2939" t="str">
        <f t="shared" si="45"/>
        <v/>
      </c>
      <c r="B2939" s="1">
        <v>2018</v>
      </c>
      <c r="C2939" s="1" t="s">
        <v>2505</v>
      </c>
      <c r="D2939" s="1" t="s">
        <v>2506</v>
      </c>
      <c r="E2939" s="1" t="s">
        <v>2019</v>
      </c>
      <c r="F2939" s="1" t="s">
        <v>1448</v>
      </c>
      <c r="G2939" s="6">
        <v>8421005</v>
      </c>
      <c r="H2939" t="str">
        <f>IFERROR(VLOOKUP(F2939,'LEAID Match'!$A$2:$B$142,2,FALSE),"")</f>
        <v/>
      </c>
    </row>
    <row r="2940" spans="1:8" x14ac:dyDescent="0.2">
      <c r="A2940" t="str">
        <f t="shared" si="45"/>
        <v/>
      </c>
      <c r="B2940" s="1">
        <v>2019</v>
      </c>
      <c r="C2940" s="1" t="s">
        <v>2505</v>
      </c>
      <c r="D2940" s="1" t="s">
        <v>2506</v>
      </c>
      <c r="E2940" s="1" t="s">
        <v>2019</v>
      </c>
      <c r="F2940" s="1" t="s">
        <v>293</v>
      </c>
      <c r="G2940" s="6">
        <v>8663100</v>
      </c>
      <c r="H2940" t="str">
        <f>IFERROR(VLOOKUP(F2940,'LEAID Match'!$A$2:$B$142,2,FALSE),"")</f>
        <v/>
      </c>
    </row>
    <row r="2941" spans="1:8" x14ac:dyDescent="0.2">
      <c r="A2941" t="str">
        <f t="shared" si="45"/>
        <v/>
      </c>
      <c r="B2941" s="1">
        <v>2020</v>
      </c>
      <c r="C2941" s="1" t="s">
        <v>2505</v>
      </c>
      <c r="D2941" s="1" t="s">
        <v>2506</v>
      </c>
      <c r="E2941" s="1" t="s">
        <v>2019</v>
      </c>
      <c r="F2941" s="1" t="s">
        <v>293</v>
      </c>
      <c r="G2941" s="6">
        <v>9829936</v>
      </c>
      <c r="H2941" t="str">
        <f>IFERROR(VLOOKUP(F2941,'LEAID Match'!$A$2:$B$142,2,FALSE),"")</f>
        <v/>
      </c>
    </row>
    <row r="2942" spans="1:8" x14ac:dyDescent="0.2">
      <c r="A2942" t="str">
        <f t="shared" si="45"/>
        <v/>
      </c>
      <c r="B2942" s="1">
        <v>2021</v>
      </c>
      <c r="C2942" s="1" t="s">
        <v>2505</v>
      </c>
      <c r="D2942" s="1" t="s">
        <v>2506</v>
      </c>
      <c r="E2942" s="1" t="s">
        <v>2019</v>
      </c>
      <c r="F2942" s="1" t="s">
        <v>293</v>
      </c>
      <c r="G2942" s="6">
        <v>9402305</v>
      </c>
      <c r="H2942" t="str">
        <f>IFERROR(VLOOKUP(F2942,'LEAID Match'!$A$2:$B$142,2,FALSE),"")</f>
        <v/>
      </c>
    </row>
    <row r="2943" spans="1:8" x14ac:dyDescent="0.2">
      <c r="A2943" t="str">
        <f t="shared" si="45"/>
        <v/>
      </c>
      <c r="B2943" s="1">
        <v>2022</v>
      </c>
      <c r="C2943" s="1" t="s">
        <v>2505</v>
      </c>
      <c r="D2943" s="1" t="s">
        <v>2506</v>
      </c>
      <c r="E2943" s="1" t="s">
        <v>2019</v>
      </c>
      <c r="F2943" s="1" t="s">
        <v>293</v>
      </c>
      <c r="G2943" s="6">
        <v>9421596</v>
      </c>
      <c r="H2943" t="str">
        <f>IFERROR(VLOOKUP(F2943,'LEAID Match'!$A$2:$B$142,2,FALSE),"")</f>
        <v/>
      </c>
    </row>
    <row r="2944" spans="1:8" x14ac:dyDescent="0.2">
      <c r="A2944" t="str">
        <f t="shared" si="45"/>
        <v/>
      </c>
      <c r="B2944" s="1">
        <v>2023</v>
      </c>
      <c r="C2944" s="1" t="s">
        <v>2505</v>
      </c>
      <c r="D2944" s="1" t="s">
        <v>2506</v>
      </c>
      <c r="E2944" s="1" t="s">
        <v>2019</v>
      </c>
      <c r="F2944" s="1" t="s">
        <v>293</v>
      </c>
      <c r="G2944" s="6">
        <v>9194661</v>
      </c>
      <c r="H2944" t="str">
        <f>IFERROR(VLOOKUP(F2944,'LEAID Match'!$A$2:$B$142,2,FALSE),"")</f>
        <v/>
      </c>
    </row>
    <row r="2945" spans="1:8" x14ac:dyDescent="0.2">
      <c r="A2945" t="str">
        <f t="shared" si="45"/>
        <v/>
      </c>
      <c r="B2945" s="1">
        <v>2024</v>
      </c>
      <c r="C2945" s="1" t="s">
        <v>2505</v>
      </c>
      <c r="D2945" s="1" t="s">
        <v>2506</v>
      </c>
      <c r="E2945" s="1" t="s">
        <v>2019</v>
      </c>
      <c r="F2945" s="1" t="s">
        <v>293</v>
      </c>
      <c r="G2945" s="6">
        <v>9239039</v>
      </c>
      <c r="H2945" t="str">
        <f>IFERROR(VLOOKUP(F2945,'LEAID Match'!$A$2:$B$142,2,FALSE),"")</f>
        <v/>
      </c>
    </row>
    <row r="2946" spans="1:8" x14ac:dyDescent="0.2">
      <c r="A2946" t="str">
        <f t="shared" si="45"/>
        <v/>
      </c>
      <c r="B2946" s="1">
        <v>2015</v>
      </c>
      <c r="C2946" s="1" t="s">
        <v>2505</v>
      </c>
      <c r="D2946" s="1" t="s">
        <v>2506</v>
      </c>
      <c r="E2946" s="1" t="s">
        <v>2019</v>
      </c>
      <c r="F2946" s="1" t="s">
        <v>294</v>
      </c>
      <c r="G2946" s="6">
        <v>94125</v>
      </c>
      <c r="H2946" t="str">
        <f>IFERROR(VLOOKUP(F2946,'LEAID Match'!$A$2:$B$142,2,FALSE),"")</f>
        <v/>
      </c>
    </row>
    <row r="2947" spans="1:8" x14ac:dyDescent="0.2">
      <c r="A2947" t="str">
        <f t="shared" ref="A2947:A3010" si="46">H2947</f>
        <v/>
      </c>
      <c r="B2947">
        <v>2016</v>
      </c>
      <c r="C2947" s="1" t="s">
        <v>2505</v>
      </c>
      <c r="D2947" s="1" t="s">
        <v>2506</v>
      </c>
      <c r="E2947" s="1" t="s">
        <v>2019</v>
      </c>
      <c r="F2947" s="1" t="s">
        <v>294</v>
      </c>
      <c r="G2947" s="12">
        <v>100787</v>
      </c>
      <c r="H2947" t="str">
        <f>IFERROR(VLOOKUP(F2947,'LEAID Match'!$A$2:$B$142,2,FALSE),"")</f>
        <v/>
      </c>
    </row>
    <row r="2948" spans="1:8" x14ac:dyDescent="0.2">
      <c r="A2948" t="str">
        <f t="shared" si="46"/>
        <v/>
      </c>
      <c r="B2948" s="1">
        <v>2017</v>
      </c>
      <c r="C2948" s="1" t="s">
        <v>2505</v>
      </c>
      <c r="D2948" s="1" t="s">
        <v>2506</v>
      </c>
      <c r="E2948" s="1" t="s">
        <v>2019</v>
      </c>
      <c r="F2948" s="1" t="s">
        <v>294</v>
      </c>
      <c r="G2948" s="51">
        <v>109672</v>
      </c>
      <c r="H2948" t="str">
        <f>IFERROR(VLOOKUP(F2948,'LEAID Match'!$A$2:$B$142,2,FALSE),"")</f>
        <v/>
      </c>
    </row>
    <row r="2949" spans="1:8" x14ac:dyDescent="0.2">
      <c r="A2949" t="str">
        <f t="shared" si="46"/>
        <v/>
      </c>
      <c r="B2949" s="1">
        <v>2018</v>
      </c>
      <c r="C2949" s="1" t="s">
        <v>2505</v>
      </c>
      <c r="D2949" s="1" t="s">
        <v>2506</v>
      </c>
      <c r="E2949" s="1" t="s">
        <v>2019</v>
      </c>
      <c r="F2949" s="1" t="s">
        <v>294</v>
      </c>
      <c r="G2949" s="6">
        <v>105425</v>
      </c>
      <c r="H2949" t="str">
        <f>IFERROR(VLOOKUP(F2949,'LEAID Match'!$A$2:$B$142,2,FALSE),"")</f>
        <v/>
      </c>
    </row>
    <row r="2950" spans="1:8" x14ac:dyDescent="0.2">
      <c r="A2950" t="str">
        <f t="shared" si="46"/>
        <v/>
      </c>
      <c r="B2950" s="1">
        <v>2019</v>
      </c>
      <c r="C2950" s="1" t="s">
        <v>2505</v>
      </c>
      <c r="D2950" s="1" t="s">
        <v>2506</v>
      </c>
      <c r="E2950" s="1" t="s">
        <v>2019</v>
      </c>
      <c r="F2950" s="1" t="s">
        <v>294</v>
      </c>
      <c r="G2950" s="6">
        <v>110409</v>
      </c>
      <c r="H2950" t="str">
        <f>IFERROR(VLOOKUP(F2950,'LEAID Match'!$A$2:$B$142,2,FALSE),"")</f>
        <v/>
      </c>
    </row>
    <row r="2951" spans="1:8" x14ac:dyDescent="0.2">
      <c r="A2951" t="str">
        <f t="shared" si="46"/>
        <v/>
      </c>
      <c r="B2951" s="1">
        <v>2020</v>
      </c>
      <c r="C2951" s="1" t="s">
        <v>2505</v>
      </c>
      <c r="D2951" s="1" t="s">
        <v>2506</v>
      </c>
      <c r="E2951" s="1" t="s">
        <v>2019</v>
      </c>
      <c r="F2951" s="1" t="s">
        <v>294</v>
      </c>
      <c r="G2951" s="6">
        <v>134541</v>
      </c>
      <c r="H2951" t="str">
        <f>IFERROR(VLOOKUP(F2951,'LEAID Match'!$A$2:$B$142,2,FALSE),"")</f>
        <v/>
      </c>
    </row>
    <row r="2952" spans="1:8" x14ac:dyDescent="0.2">
      <c r="A2952" t="str">
        <f t="shared" si="46"/>
        <v/>
      </c>
      <c r="B2952" s="1">
        <v>2021</v>
      </c>
      <c r="C2952" s="1" t="s">
        <v>2505</v>
      </c>
      <c r="D2952" s="1" t="s">
        <v>2506</v>
      </c>
      <c r="E2952" s="1" t="s">
        <v>2019</v>
      </c>
      <c r="F2952" s="1" t="s">
        <v>294</v>
      </c>
      <c r="G2952" s="6">
        <v>130929</v>
      </c>
      <c r="H2952" t="str">
        <f>IFERROR(VLOOKUP(F2952,'LEAID Match'!$A$2:$B$142,2,FALSE),"")</f>
        <v/>
      </c>
    </row>
    <row r="2953" spans="1:8" x14ac:dyDescent="0.2">
      <c r="A2953" t="str">
        <f t="shared" si="46"/>
        <v/>
      </c>
      <c r="B2953" s="1">
        <v>2022</v>
      </c>
      <c r="C2953" s="1" t="s">
        <v>2505</v>
      </c>
      <c r="D2953" s="1" t="s">
        <v>2506</v>
      </c>
      <c r="E2953" s="1" t="s">
        <v>2019</v>
      </c>
      <c r="F2953" s="1" t="s">
        <v>294</v>
      </c>
      <c r="G2953" s="6">
        <v>114471</v>
      </c>
      <c r="H2953" t="str">
        <f>IFERROR(VLOOKUP(F2953,'LEAID Match'!$A$2:$B$142,2,FALSE),"")</f>
        <v/>
      </c>
    </row>
    <row r="2954" spans="1:8" x14ac:dyDescent="0.2">
      <c r="A2954" t="str">
        <f t="shared" si="46"/>
        <v/>
      </c>
      <c r="B2954" s="1">
        <v>2023</v>
      </c>
      <c r="C2954" s="1" t="s">
        <v>2505</v>
      </c>
      <c r="D2954" s="1" t="s">
        <v>2506</v>
      </c>
      <c r="E2954" s="1" t="s">
        <v>2019</v>
      </c>
      <c r="F2954" s="1" t="s">
        <v>294</v>
      </c>
      <c r="G2954" s="6">
        <v>118365</v>
      </c>
      <c r="H2954" t="str">
        <f>IFERROR(VLOOKUP(F2954,'LEAID Match'!$A$2:$B$142,2,FALSE),"")</f>
        <v/>
      </c>
    </row>
    <row r="2955" spans="1:8" x14ac:dyDescent="0.2">
      <c r="A2955" t="str">
        <f t="shared" si="46"/>
        <v/>
      </c>
      <c r="B2955" s="1">
        <v>2024</v>
      </c>
      <c r="C2955" s="1" t="s">
        <v>2505</v>
      </c>
      <c r="D2955" s="1" t="s">
        <v>2506</v>
      </c>
      <c r="E2955" s="1" t="s">
        <v>2019</v>
      </c>
      <c r="F2955" s="1" t="s">
        <v>294</v>
      </c>
      <c r="G2955" s="6">
        <v>110112</v>
      </c>
      <c r="H2955" t="str">
        <f>IFERROR(VLOOKUP(F2955,'LEAID Match'!$A$2:$B$142,2,FALSE),"")</f>
        <v/>
      </c>
    </row>
    <row r="2956" spans="1:8" x14ac:dyDescent="0.2">
      <c r="A2956">
        <f t="shared" si="46"/>
        <v>2801890</v>
      </c>
      <c r="B2956" s="1">
        <v>2015</v>
      </c>
      <c r="C2956" s="1" t="s">
        <v>2505</v>
      </c>
      <c r="D2956" s="1" t="s">
        <v>2506</v>
      </c>
      <c r="E2956" s="1" t="s">
        <v>2019</v>
      </c>
      <c r="F2956" s="1" t="s">
        <v>295</v>
      </c>
      <c r="G2956" s="6">
        <v>636825</v>
      </c>
      <c r="H2956">
        <f>IFERROR(VLOOKUP(F2956,'LEAID Match'!$A$2:$B$142,2,FALSE),"")</f>
        <v>2801890</v>
      </c>
    </row>
    <row r="2957" spans="1:8" x14ac:dyDescent="0.2">
      <c r="A2957">
        <f t="shared" si="46"/>
        <v>2801890</v>
      </c>
      <c r="B2957">
        <v>2016</v>
      </c>
      <c r="C2957" s="1" t="s">
        <v>2505</v>
      </c>
      <c r="D2957" s="1" t="s">
        <v>2506</v>
      </c>
      <c r="E2957" s="1" t="s">
        <v>2019</v>
      </c>
      <c r="F2957" s="1" t="s">
        <v>295</v>
      </c>
      <c r="G2957" s="12">
        <v>617712</v>
      </c>
      <c r="H2957">
        <f>IFERROR(VLOOKUP(F2957,'LEAID Match'!$A$2:$B$142,2,FALSE),"")</f>
        <v>2801890</v>
      </c>
    </row>
    <row r="2958" spans="1:8" x14ac:dyDescent="0.2">
      <c r="A2958">
        <f t="shared" si="46"/>
        <v>2801890</v>
      </c>
      <c r="B2958" s="1">
        <v>2017</v>
      </c>
      <c r="C2958" s="1" t="s">
        <v>2505</v>
      </c>
      <c r="D2958" s="1" t="s">
        <v>2506</v>
      </c>
      <c r="E2958" s="1" t="s">
        <v>2019</v>
      </c>
      <c r="F2958" s="1" t="s">
        <v>295</v>
      </c>
      <c r="G2958" s="51">
        <v>576733</v>
      </c>
      <c r="H2958">
        <f>IFERROR(VLOOKUP(F2958,'LEAID Match'!$A$2:$B$142,2,FALSE),"")</f>
        <v>2801890</v>
      </c>
    </row>
    <row r="2959" spans="1:8" x14ac:dyDescent="0.2">
      <c r="A2959">
        <f t="shared" si="46"/>
        <v>2801890</v>
      </c>
      <c r="B2959" s="1">
        <v>2018</v>
      </c>
      <c r="C2959" s="1" t="s">
        <v>2505</v>
      </c>
      <c r="D2959" s="1" t="s">
        <v>2506</v>
      </c>
      <c r="E2959" s="1" t="s">
        <v>2019</v>
      </c>
      <c r="F2959" s="1" t="s">
        <v>295</v>
      </c>
      <c r="G2959" s="6">
        <v>551085</v>
      </c>
      <c r="H2959">
        <f>IFERROR(VLOOKUP(F2959,'LEAID Match'!$A$2:$B$142,2,FALSE),"")</f>
        <v>2801890</v>
      </c>
    </row>
    <row r="2960" spans="1:8" x14ac:dyDescent="0.2">
      <c r="A2960">
        <f t="shared" si="46"/>
        <v>2801890</v>
      </c>
      <c r="B2960" s="1">
        <v>2019</v>
      </c>
      <c r="C2960" s="1" t="s">
        <v>2505</v>
      </c>
      <c r="D2960" s="1" t="s">
        <v>2506</v>
      </c>
      <c r="E2960" s="1" t="s">
        <v>2019</v>
      </c>
      <c r="F2960" s="1" t="s">
        <v>295</v>
      </c>
      <c r="G2960" s="6">
        <v>629241</v>
      </c>
      <c r="H2960">
        <f>IFERROR(VLOOKUP(F2960,'LEAID Match'!$A$2:$B$142,2,FALSE),"")</f>
        <v>2801890</v>
      </c>
    </row>
    <row r="2961" spans="1:8" x14ac:dyDescent="0.2">
      <c r="A2961">
        <f t="shared" si="46"/>
        <v>2801890</v>
      </c>
      <c r="B2961" s="1">
        <v>2020</v>
      </c>
      <c r="C2961" s="1" t="s">
        <v>2505</v>
      </c>
      <c r="D2961" s="1" t="s">
        <v>2506</v>
      </c>
      <c r="E2961" s="1" t="s">
        <v>2019</v>
      </c>
      <c r="F2961" s="1" t="s">
        <v>295</v>
      </c>
      <c r="G2961" s="6">
        <v>633364</v>
      </c>
      <c r="H2961">
        <f>IFERROR(VLOOKUP(F2961,'LEAID Match'!$A$2:$B$142,2,FALSE),"")</f>
        <v>2801890</v>
      </c>
    </row>
    <row r="2962" spans="1:8" x14ac:dyDescent="0.2">
      <c r="A2962">
        <f t="shared" si="46"/>
        <v>2801890</v>
      </c>
      <c r="B2962" s="1">
        <v>2021</v>
      </c>
      <c r="C2962" s="1" t="s">
        <v>2505</v>
      </c>
      <c r="D2962" s="1" t="s">
        <v>2506</v>
      </c>
      <c r="E2962" s="1" t="s">
        <v>2019</v>
      </c>
      <c r="F2962" s="1" t="s">
        <v>295</v>
      </c>
      <c r="G2962" s="6">
        <v>621262</v>
      </c>
      <c r="H2962">
        <f>IFERROR(VLOOKUP(F2962,'LEAID Match'!$A$2:$B$142,2,FALSE),"")</f>
        <v>2801890</v>
      </c>
    </row>
    <row r="2963" spans="1:8" x14ac:dyDescent="0.2">
      <c r="A2963">
        <f t="shared" si="46"/>
        <v>2801890</v>
      </c>
      <c r="B2963" s="1">
        <v>2022</v>
      </c>
      <c r="C2963" s="1" t="s">
        <v>2505</v>
      </c>
      <c r="D2963" s="1" t="s">
        <v>2506</v>
      </c>
      <c r="E2963" s="1" t="s">
        <v>2019</v>
      </c>
      <c r="F2963" s="1" t="s">
        <v>295</v>
      </c>
      <c r="G2963" s="6">
        <v>689090</v>
      </c>
      <c r="H2963">
        <f>IFERROR(VLOOKUP(F2963,'LEAID Match'!$A$2:$B$142,2,FALSE),"")</f>
        <v>2801890</v>
      </c>
    </row>
    <row r="2964" spans="1:8" x14ac:dyDescent="0.2">
      <c r="A2964">
        <f t="shared" si="46"/>
        <v>2801890</v>
      </c>
      <c r="B2964" s="1">
        <v>2023</v>
      </c>
      <c r="C2964" s="1" t="s">
        <v>2505</v>
      </c>
      <c r="D2964" s="1" t="s">
        <v>2506</v>
      </c>
      <c r="E2964" s="1" t="s">
        <v>2019</v>
      </c>
      <c r="F2964" s="1" t="s">
        <v>295</v>
      </c>
      <c r="G2964" s="6">
        <v>761927</v>
      </c>
      <c r="H2964">
        <f>IFERROR(VLOOKUP(F2964,'LEAID Match'!$A$2:$B$142,2,FALSE),"")</f>
        <v>2801890</v>
      </c>
    </row>
    <row r="2965" spans="1:8" x14ac:dyDescent="0.2">
      <c r="A2965">
        <f t="shared" si="46"/>
        <v>2801890</v>
      </c>
      <c r="B2965" s="1">
        <v>2024</v>
      </c>
      <c r="C2965" s="1" t="s">
        <v>2505</v>
      </c>
      <c r="D2965" s="1" t="s">
        <v>2506</v>
      </c>
      <c r="E2965" s="1" t="s">
        <v>2019</v>
      </c>
      <c r="F2965" s="1" t="s">
        <v>295</v>
      </c>
      <c r="G2965" s="6">
        <v>746303</v>
      </c>
      <c r="H2965">
        <f>IFERROR(VLOOKUP(F2965,'LEAID Match'!$A$2:$B$142,2,FALSE),"")</f>
        <v>2801890</v>
      </c>
    </row>
    <row r="2966" spans="1:8" x14ac:dyDescent="0.2">
      <c r="A2966" t="str">
        <f t="shared" si="46"/>
        <v/>
      </c>
      <c r="B2966" s="1">
        <v>2015</v>
      </c>
      <c r="C2966" s="1" t="s">
        <v>2505</v>
      </c>
      <c r="D2966" s="1" t="s">
        <v>2506</v>
      </c>
      <c r="E2966" s="1" t="s">
        <v>2019</v>
      </c>
      <c r="F2966" s="1" t="s">
        <v>296</v>
      </c>
      <c r="G2966" s="6">
        <v>405613</v>
      </c>
      <c r="H2966" t="str">
        <f>IFERROR(VLOOKUP(F2966,'LEAID Match'!$A$2:$B$142,2,FALSE),"")</f>
        <v/>
      </c>
    </row>
    <row r="2967" spans="1:8" x14ac:dyDescent="0.2">
      <c r="A2967" t="str">
        <f t="shared" si="46"/>
        <v/>
      </c>
      <c r="B2967">
        <v>2016</v>
      </c>
      <c r="C2967" s="1" t="s">
        <v>2505</v>
      </c>
      <c r="D2967" s="1" t="s">
        <v>2506</v>
      </c>
      <c r="E2967" s="1" t="s">
        <v>2019</v>
      </c>
      <c r="F2967" s="1" t="s">
        <v>296</v>
      </c>
      <c r="G2967" s="12">
        <v>418071</v>
      </c>
      <c r="H2967" t="str">
        <f>IFERROR(VLOOKUP(F2967,'LEAID Match'!$A$2:$B$142,2,FALSE),"")</f>
        <v/>
      </c>
    </row>
    <row r="2968" spans="1:8" x14ac:dyDescent="0.2">
      <c r="A2968" t="str">
        <f t="shared" si="46"/>
        <v/>
      </c>
      <c r="B2968" s="1">
        <v>2017</v>
      </c>
      <c r="C2968" s="1" t="s">
        <v>2505</v>
      </c>
      <c r="D2968" s="1" t="s">
        <v>2506</v>
      </c>
      <c r="E2968" s="1" t="s">
        <v>2019</v>
      </c>
      <c r="F2968" s="1" t="s">
        <v>296</v>
      </c>
      <c r="G2968" s="51">
        <v>399842</v>
      </c>
      <c r="H2968" t="str">
        <f>IFERROR(VLOOKUP(F2968,'LEAID Match'!$A$2:$B$142,2,FALSE),"")</f>
        <v/>
      </c>
    </row>
    <row r="2969" spans="1:8" x14ac:dyDescent="0.2">
      <c r="A2969" t="str">
        <f t="shared" si="46"/>
        <v/>
      </c>
      <c r="B2969" s="1">
        <v>2018</v>
      </c>
      <c r="C2969" s="1" t="s">
        <v>2505</v>
      </c>
      <c r="D2969" s="1" t="s">
        <v>2506</v>
      </c>
      <c r="E2969" s="1" t="s">
        <v>2019</v>
      </c>
      <c r="F2969" s="1" t="s">
        <v>296</v>
      </c>
      <c r="G2969" s="6">
        <v>394729</v>
      </c>
      <c r="H2969" t="str">
        <f>IFERROR(VLOOKUP(F2969,'LEAID Match'!$A$2:$B$142,2,FALSE),"")</f>
        <v/>
      </c>
    </row>
    <row r="2970" spans="1:8" x14ac:dyDescent="0.2">
      <c r="A2970" t="str">
        <f t="shared" si="46"/>
        <v/>
      </c>
      <c r="B2970" s="1">
        <v>2019</v>
      </c>
      <c r="C2970" s="1" t="s">
        <v>2505</v>
      </c>
      <c r="D2970" s="1" t="s">
        <v>2506</v>
      </c>
      <c r="E2970" s="1" t="s">
        <v>2019</v>
      </c>
      <c r="F2970" s="1" t="s">
        <v>296</v>
      </c>
      <c r="G2970" s="6">
        <v>403998</v>
      </c>
      <c r="H2970" t="str">
        <f>IFERROR(VLOOKUP(F2970,'LEAID Match'!$A$2:$B$142,2,FALSE),"")</f>
        <v/>
      </c>
    </row>
    <row r="2971" spans="1:8" x14ac:dyDescent="0.2">
      <c r="A2971" t="str">
        <f t="shared" si="46"/>
        <v/>
      </c>
      <c r="B2971" s="1">
        <v>2020</v>
      </c>
      <c r="C2971" s="1" t="s">
        <v>2505</v>
      </c>
      <c r="D2971" s="1" t="s">
        <v>2506</v>
      </c>
      <c r="E2971" s="1" t="s">
        <v>2019</v>
      </c>
      <c r="F2971" s="1" t="s">
        <v>296</v>
      </c>
      <c r="G2971" s="6">
        <v>448930</v>
      </c>
      <c r="H2971" t="str">
        <f>IFERROR(VLOOKUP(F2971,'LEAID Match'!$A$2:$B$142,2,FALSE),"")</f>
        <v/>
      </c>
    </row>
    <row r="2972" spans="1:8" x14ac:dyDescent="0.2">
      <c r="A2972" t="str">
        <f t="shared" si="46"/>
        <v/>
      </c>
      <c r="B2972" s="1">
        <v>2021</v>
      </c>
      <c r="C2972" s="1" t="s">
        <v>2505</v>
      </c>
      <c r="D2972" s="1" t="s">
        <v>2506</v>
      </c>
      <c r="E2972" s="1" t="s">
        <v>2019</v>
      </c>
      <c r="F2972" s="1" t="s">
        <v>296</v>
      </c>
      <c r="G2972" s="6">
        <v>443666</v>
      </c>
      <c r="H2972" t="str">
        <f>IFERROR(VLOOKUP(F2972,'LEAID Match'!$A$2:$B$142,2,FALSE),"")</f>
        <v/>
      </c>
    </row>
    <row r="2973" spans="1:8" x14ac:dyDescent="0.2">
      <c r="A2973" t="str">
        <f t="shared" si="46"/>
        <v/>
      </c>
      <c r="B2973" s="1">
        <v>2022</v>
      </c>
      <c r="C2973" s="1" t="s">
        <v>2505</v>
      </c>
      <c r="D2973" s="1" t="s">
        <v>2506</v>
      </c>
      <c r="E2973" s="1" t="s">
        <v>2019</v>
      </c>
      <c r="F2973" s="1" t="s">
        <v>296</v>
      </c>
      <c r="G2973" s="6">
        <v>516118</v>
      </c>
      <c r="H2973" t="str">
        <f>IFERROR(VLOOKUP(F2973,'LEAID Match'!$A$2:$B$142,2,FALSE),"")</f>
        <v/>
      </c>
    </row>
    <row r="2974" spans="1:8" x14ac:dyDescent="0.2">
      <c r="A2974" t="str">
        <f t="shared" si="46"/>
        <v/>
      </c>
      <c r="B2974" s="1">
        <v>2023</v>
      </c>
      <c r="C2974" s="1" t="s">
        <v>2505</v>
      </c>
      <c r="D2974" s="1" t="s">
        <v>2506</v>
      </c>
      <c r="E2974" s="1" t="s">
        <v>2019</v>
      </c>
      <c r="F2974" s="1" t="s">
        <v>296</v>
      </c>
      <c r="G2974" s="6">
        <v>527892</v>
      </c>
      <c r="H2974" t="str">
        <f>IFERROR(VLOOKUP(F2974,'LEAID Match'!$A$2:$B$142,2,FALSE),"")</f>
        <v/>
      </c>
    </row>
    <row r="2975" spans="1:8" x14ac:dyDescent="0.2">
      <c r="A2975" t="str">
        <f t="shared" si="46"/>
        <v/>
      </c>
      <c r="B2975" s="1">
        <v>2024</v>
      </c>
      <c r="C2975" s="1" t="s">
        <v>2505</v>
      </c>
      <c r="D2975" s="1" t="s">
        <v>2506</v>
      </c>
      <c r="E2975" s="1" t="s">
        <v>2019</v>
      </c>
      <c r="F2975" s="1" t="s">
        <v>296</v>
      </c>
      <c r="G2975" s="6">
        <v>508431</v>
      </c>
      <c r="H2975" t="str">
        <f>IFERROR(VLOOKUP(F2975,'LEAID Match'!$A$2:$B$142,2,FALSE),"")</f>
        <v/>
      </c>
    </row>
    <row r="2976" spans="1:8" x14ac:dyDescent="0.2">
      <c r="A2976" t="str">
        <f t="shared" si="46"/>
        <v/>
      </c>
      <c r="B2976" s="1">
        <v>2015</v>
      </c>
      <c r="C2976" s="1" t="s">
        <v>2505</v>
      </c>
      <c r="D2976" s="1" t="s">
        <v>2506</v>
      </c>
      <c r="E2976" s="1" t="s">
        <v>2019</v>
      </c>
      <c r="F2976" s="1" t="s">
        <v>297</v>
      </c>
      <c r="G2976" s="6">
        <v>19891</v>
      </c>
      <c r="H2976" t="str">
        <f>IFERROR(VLOOKUP(F2976,'LEAID Match'!$A$2:$B$142,2,FALSE),"")</f>
        <v/>
      </c>
    </row>
    <row r="2977" spans="1:8" x14ac:dyDescent="0.2">
      <c r="A2977" t="str">
        <f t="shared" si="46"/>
        <v/>
      </c>
      <c r="B2977">
        <v>2016</v>
      </c>
      <c r="C2977" s="1" t="s">
        <v>2505</v>
      </c>
      <c r="D2977" s="1" t="s">
        <v>2506</v>
      </c>
      <c r="E2977" s="1" t="s">
        <v>2019</v>
      </c>
      <c r="F2977" s="1" t="s">
        <v>297</v>
      </c>
      <c r="G2977" s="12">
        <v>20192</v>
      </c>
      <c r="H2977" t="str">
        <f>IFERROR(VLOOKUP(F2977,'LEAID Match'!$A$2:$B$142,2,FALSE),"")</f>
        <v/>
      </c>
    </row>
    <row r="2978" spans="1:8" x14ac:dyDescent="0.2">
      <c r="A2978" t="str">
        <f t="shared" si="46"/>
        <v/>
      </c>
      <c r="B2978" s="1">
        <v>2017</v>
      </c>
      <c r="C2978" s="1" t="s">
        <v>2505</v>
      </c>
      <c r="D2978" s="1" t="s">
        <v>2506</v>
      </c>
      <c r="E2978" s="1" t="s">
        <v>2019</v>
      </c>
      <c r="F2978" s="1" t="s">
        <v>297</v>
      </c>
      <c r="G2978" s="51">
        <v>20104</v>
      </c>
      <c r="H2978" t="str">
        <f>IFERROR(VLOOKUP(F2978,'LEAID Match'!$A$2:$B$142,2,FALSE),"")</f>
        <v/>
      </c>
    </row>
    <row r="2979" spans="1:8" x14ac:dyDescent="0.2">
      <c r="A2979" t="str">
        <f t="shared" si="46"/>
        <v/>
      </c>
      <c r="B2979" s="1">
        <v>2018</v>
      </c>
      <c r="C2979" s="1" t="s">
        <v>2505</v>
      </c>
      <c r="D2979" s="1" t="s">
        <v>2506</v>
      </c>
      <c r="E2979" s="1" t="s">
        <v>2019</v>
      </c>
      <c r="F2979" s="1" t="s">
        <v>297</v>
      </c>
      <c r="G2979" s="6">
        <v>15487</v>
      </c>
      <c r="H2979" t="str">
        <f>IFERROR(VLOOKUP(F2979,'LEAID Match'!$A$2:$B$142,2,FALSE),"")</f>
        <v/>
      </c>
    </row>
    <row r="2980" spans="1:8" x14ac:dyDescent="0.2">
      <c r="A2980" t="str">
        <f t="shared" si="46"/>
        <v/>
      </c>
      <c r="B2980" s="1">
        <v>2019</v>
      </c>
      <c r="C2980" s="1" t="s">
        <v>2505</v>
      </c>
      <c r="D2980" s="1" t="s">
        <v>2506</v>
      </c>
      <c r="E2980" s="1" t="s">
        <v>2019</v>
      </c>
      <c r="F2980" s="1" t="s">
        <v>297</v>
      </c>
      <c r="G2980" s="6">
        <v>15371</v>
      </c>
      <c r="H2980" t="str">
        <f>IFERROR(VLOOKUP(F2980,'LEAID Match'!$A$2:$B$142,2,FALSE),"")</f>
        <v/>
      </c>
    </row>
    <row r="2981" spans="1:8" x14ac:dyDescent="0.2">
      <c r="A2981" t="str">
        <f t="shared" si="46"/>
        <v/>
      </c>
      <c r="B2981" s="1">
        <v>2020</v>
      </c>
      <c r="C2981" s="1" t="s">
        <v>2505</v>
      </c>
      <c r="D2981" s="1" t="s">
        <v>2506</v>
      </c>
      <c r="E2981" s="1" t="s">
        <v>2019</v>
      </c>
      <c r="F2981" s="1" t="s">
        <v>297</v>
      </c>
      <c r="G2981" s="6">
        <v>17454</v>
      </c>
      <c r="H2981" t="str">
        <f>IFERROR(VLOOKUP(F2981,'LEAID Match'!$A$2:$B$142,2,FALSE),"")</f>
        <v/>
      </c>
    </row>
    <row r="2982" spans="1:8" x14ac:dyDescent="0.2">
      <c r="A2982" t="str">
        <f t="shared" si="46"/>
        <v/>
      </c>
      <c r="B2982" s="1">
        <v>2021</v>
      </c>
      <c r="C2982" s="1" t="s">
        <v>2505</v>
      </c>
      <c r="D2982" s="1" t="s">
        <v>2506</v>
      </c>
      <c r="E2982" s="1" t="s">
        <v>2019</v>
      </c>
      <c r="F2982" s="1" t="s">
        <v>297</v>
      </c>
      <c r="G2982" s="6">
        <v>18502</v>
      </c>
      <c r="H2982" t="str">
        <f>IFERROR(VLOOKUP(F2982,'LEAID Match'!$A$2:$B$142,2,FALSE),"")</f>
        <v/>
      </c>
    </row>
    <row r="2983" spans="1:8" x14ac:dyDescent="0.2">
      <c r="A2983" t="str">
        <f t="shared" si="46"/>
        <v/>
      </c>
      <c r="B2983" s="1">
        <v>2022</v>
      </c>
      <c r="C2983" s="1" t="s">
        <v>2505</v>
      </c>
      <c r="D2983" s="1" t="s">
        <v>2506</v>
      </c>
      <c r="E2983" s="1" t="s">
        <v>2019</v>
      </c>
      <c r="F2983" s="1" t="s">
        <v>297</v>
      </c>
      <c r="G2983" s="6">
        <v>19360</v>
      </c>
      <c r="H2983" t="str">
        <f>IFERROR(VLOOKUP(F2983,'LEAID Match'!$A$2:$B$142,2,FALSE),"")</f>
        <v/>
      </c>
    </row>
    <row r="2984" spans="1:8" x14ac:dyDescent="0.2">
      <c r="A2984" t="str">
        <f t="shared" si="46"/>
        <v/>
      </c>
      <c r="B2984" s="1">
        <v>2023</v>
      </c>
      <c r="C2984" s="1" t="s">
        <v>2505</v>
      </c>
      <c r="D2984" s="1" t="s">
        <v>2506</v>
      </c>
      <c r="E2984" s="1" t="s">
        <v>2019</v>
      </c>
      <c r="F2984" s="1" t="s">
        <v>297</v>
      </c>
      <c r="G2984" s="6">
        <v>19901</v>
      </c>
      <c r="H2984" t="str">
        <f>IFERROR(VLOOKUP(F2984,'LEAID Match'!$A$2:$B$142,2,FALSE),"")</f>
        <v/>
      </c>
    </row>
    <row r="2985" spans="1:8" x14ac:dyDescent="0.2">
      <c r="A2985" t="str">
        <f t="shared" si="46"/>
        <v/>
      </c>
      <c r="B2985" s="1">
        <v>2024</v>
      </c>
      <c r="C2985" s="1" t="s">
        <v>2505</v>
      </c>
      <c r="D2985" s="1" t="s">
        <v>2506</v>
      </c>
      <c r="E2985" s="1" t="s">
        <v>2019</v>
      </c>
      <c r="F2985" s="1" t="s">
        <v>297</v>
      </c>
      <c r="G2985" s="6">
        <v>24411</v>
      </c>
      <c r="H2985" t="str">
        <f>IFERROR(VLOOKUP(F2985,'LEAID Match'!$A$2:$B$142,2,FALSE),"")</f>
        <v/>
      </c>
    </row>
    <row r="2986" spans="1:8" x14ac:dyDescent="0.2">
      <c r="A2986">
        <f t="shared" si="46"/>
        <v>2801950</v>
      </c>
      <c r="B2986" s="1">
        <v>2015</v>
      </c>
      <c r="C2986" s="1" t="s">
        <v>2505</v>
      </c>
      <c r="D2986" s="1" t="s">
        <v>2506</v>
      </c>
      <c r="E2986" s="1" t="s">
        <v>2019</v>
      </c>
      <c r="F2986" s="1" t="s">
        <v>298</v>
      </c>
      <c r="G2986" s="6">
        <v>1114247</v>
      </c>
      <c r="H2986">
        <f>IFERROR(VLOOKUP(F2986,'LEAID Match'!$A$2:$B$142,2,FALSE),"")</f>
        <v>2801950</v>
      </c>
    </row>
    <row r="2987" spans="1:8" x14ac:dyDescent="0.2">
      <c r="A2987">
        <f t="shared" si="46"/>
        <v>2801950</v>
      </c>
      <c r="B2987">
        <v>2016</v>
      </c>
      <c r="C2987" s="1" t="s">
        <v>2505</v>
      </c>
      <c r="D2987" s="1" t="s">
        <v>2506</v>
      </c>
      <c r="E2987" s="1" t="s">
        <v>2019</v>
      </c>
      <c r="F2987" s="1" t="s">
        <v>298</v>
      </c>
      <c r="G2987" s="12">
        <v>1120334</v>
      </c>
      <c r="H2987">
        <f>IFERROR(VLOOKUP(F2987,'LEAID Match'!$A$2:$B$142,2,FALSE),"")</f>
        <v>2801950</v>
      </c>
    </row>
    <row r="2988" spans="1:8" x14ac:dyDescent="0.2">
      <c r="A2988">
        <f t="shared" si="46"/>
        <v>2801950</v>
      </c>
      <c r="B2988" s="1">
        <v>2017</v>
      </c>
      <c r="C2988" s="1" t="s">
        <v>2505</v>
      </c>
      <c r="D2988" s="1" t="s">
        <v>2506</v>
      </c>
      <c r="E2988" s="1" t="s">
        <v>2019</v>
      </c>
      <c r="F2988" s="1" t="s">
        <v>298</v>
      </c>
      <c r="G2988" s="51">
        <v>1101057</v>
      </c>
      <c r="H2988">
        <f>IFERROR(VLOOKUP(F2988,'LEAID Match'!$A$2:$B$142,2,FALSE),"")</f>
        <v>2801950</v>
      </c>
    </row>
    <row r="2989" spans="1:8" x14ac:dyDescent="0.2">
      <c r="A2989">
        <f t="shared" si="46"/>
        <v>2801950</v>
      </c>
      <c r="B2989" s="1">
        <v>2018</v>
      </c>
      <c r="C2989" s="1" t="s">
        <v>2505</v>
      </c>
      <c r="D2989" s="1" t="s">
        <v>2506</v>
      </c>
      <c r="E2989" s="1" t="s">
        <v>2019</v>
      </c>
      <c r="F2989" s="1" t="s">
        <v>298</v>
      </c>
      <c r="G2989" s="6">
        <v>1064884</v>
      </c>
      <c r="H2989">
        <f>IFERROR(VLOOKUP(F2989,'LEAID Match'!$A$2:$B$142,2,FALSE),"")</f>
        <v>2801950</v>
      </c>
    </row>
    <row r="2990" spans="1:8" x14ac:dyDescent="0.2">
      <c r="A2990">
        <f t="shared" si="46"/>
        <v>2801950</v>
      </c>
      <c r="B2990" s="1">
        <v>2019</v>
      </c>
      <c r="C2990" s="1" t="s">
        <v>2505</v>
      </c>
      <c r="D2990" s="1" t="s">
        <v>2506</v>
      </c>
      <c r="E2990" s="1" t="s">
        <v>2019</v>
      </c>
      <c r="F2990" s="1" t="s">
        <v>298</v>
      </c>
      <c r="G2990" s="6">
        <v>1143809</v>
      </c>
      <c r="H2990">
        <f>IFERROR(VLOOKUP(F2990,'LEAID Match'!$A$2:$B$142,2,FALSE),"")</f>
        <v>2801950</v>
      </c>
    </row>
    <row r="2991" spans="1:8" x14ac:dyDescent="0.2">
      <c r="A2991">
        <f t="shared" si="46"/>
        <v>2801950</v>
      </c>
      <c r="B2991" s="1">
        <v>2020</v>
      </c>
      <c r="C2991" s="1" t="s">
        <v>2505</v>
      </c>
      <c r="D2991" s="1" t="s">
        <v>2506</v>
      </c>
      <c r="E2991" s="1" t="s">
        <v>2019</v>
      </c>
      <c r="F2991" s="1" t="s">
        <v>298</v>
      </c>
      <c r="G2991" s="6">
        <v>1264217</v>
      </c>
      <c r="H2991">
        <f>IFERROR(VLOOKUP(F2991,'LEAID Match'!$A$2:$B$142,2,FALSE),"")</f>
        <v>2801950</v>
      </c>
    </row>
    <row r="2992" spans="1:8" x14ac:dyDescent="0.2">
      <c r="A2992">
        <f t="shared" si="46"/>
        <v>2801950</v>
      </c>
      <c r="B2992" s="1">
        <v>2021</v>
      </c>
      <c r="C2992" s="1" t="s">
        <v>2505</v>
      </c>
      <c r="D2992" s="1" t="s">
        <v>2506</v>
      </c>
      <c r="E2992" s="1" t="s">
        <v>2019</v>
      </c>
      <c r="F2992" s="1" t="s">
        <v>298</v>
      </c>
      <c r="G2992" s="6">
        <v>1160975</v>
      </c>
      <c r="H2992">
        <f>IFERROR(VLOOKUP(F2992,'LEAID Match'!$A$2:$B$142,2,FALSE),"")</f>
        <v>2801950</v>
      </c>
    </row>
    <row r="2993" spans="1:8" x14ac:dyDescent="0.2">
      <c r="A2993">
        <f t="shared" si="46"/>
        <v>2801950</v>
      </c>
      <c r="B2993" s="1">
        <v>2022</v>
      </c>
      <c r="C2993" s="1" t="s">
        <v>2505</v>
      </c>
      <c r="D2993" s="1" t="s">
        <v>2506</v>
      </c>
      <c r="E2993" s="1" t="s">
        <v>2019</v>
      </c>
      <c r="F2993" s="1" t="s">
        <v>298</v>
      </c>
      <c r="G2993" s="6">
        <v>1260245</v>
      </c>
      <c r="H2993">
        <f>IFERROR(VLOOKUP(F2993,'LEAID Match'!$A$2:$B$142,2,FALSE),"")</f>
        <v>2801950</v>
      </c>
    </row>
    <row r="2994" spans="1:8" x14ac:dyDescent="0.2">
      <c r="A2994">
        <f t="shared" si="46"/>
        <v>2801950</v>
      </c>
      <c r="B2994" s="1">
        <v>2023</v>
      </c>
      <c r="C2994" s="1" t="s">
        <v>2505</v>
      </c>
      <c r="D2994" s="1" t="s">
        <v>2506</v>
      </c>
      <c r="E2994" s="1" t="s">
        <v>2019</v>
      </c>
      <c r="F2994" s="1" t="s">
        <v>298</v>
      </c>
      <c r="G2994" s="6">
        <v>1381759</v>
      </c>
      <c r="H2994">
        <f>IFERROR(VLOOKUP(F2994,'LEAID Match'!$A$2:$B$142,2,FALSE),"")</f>
        <v>2801950</v>
      </c>
    </row>
    <row r="2995" spans="1:8" x14ac:dyDescent="0.2">
      <c r="A2995">
        <f t="shared" si="46"/>
        <v>2801950</v>
      </c>
      <c r="B2995" s="1">
        <v>2024</v>
      </c>
      <c r="C2995" s="1" t="s">
        <v>2505</v>
      </c>
      <c r="D2995" s="1" t="s">
        <v>2506</v>
      </c>
      <c r="E2995" s="1" t="s">
        <v>2019</v>
      </c>
      <c r="F2995" s="1" t="s">
        <v>298</v>
      </c>
      <c r="G2995" s="6">
        <v>1365443</v>
      </c>
      <c r="H2995">
        <f>IFERROR(VLOOKUP(F2995,'LEAID Match'!$A$2:$B$142,2,FALSE),"")</f>
        <v>2801950</v>
      </c>
    </row>
    <row r="2996" spans="1:8" x14ac:dyDescent="0.2">
      <c r="A2996" t="str">
        <f t="shared" si="46"/>
        <v/>
      </c>
      <c r="B2996" s="1">
        <v>2015</v>
      </c>
      <c r="C2996" s="1" t="s">
        <v>2505</v>
      </c>
      <c r="D2996" s="1" t="s">
        <v>2506</v>
      </c>
      <c r="E2996" s="1" t="s">
        <v>2019</v>
      </c>
      <c r="F2996" s="1" t="s">
        <v>299</v>
      </c>
      <c r="G2996" s="6">
        <v>450556</v>
      </c>
      <c r="H2996" t="str">
        <f>IFERROR(VLOOKUP(F2996,'LEAID Match'!$A$2:$B$142,2,FALSE),"")</f>
        <v/>
      </c>
    </row>
    <row r="2997" spans="1:8" x14ac:dyDescent="0.2">
      <c r="A2997" t="str">
        <f t="shared" si="46"/>
        <v/>
      </c>
      <c r="B2997">
        <v>2016</v>
      </c>
      <c r="C2997" s="1" t="s">
        <v>2505</v>
      </c>
      <c r="D2997" s="1" t="s">
        <v>2506</v>
      </c>
      <c r="E2997" s="1" t="s">
        <v>2019</v>
      </c>
      <c r="F2997" s="1" t="s">
        <v>299</v>
      </c>
      <c r="G2997" s="12">
        <v>449989</v>
      </c>
      <c r="H2997" t="str">
        <f>IFERROR(VLOOKUP(F2997,'LEAID Match'!$A$2:$B$142,2,FALSE),"")</f>
        <v/>
      </c>
    </row>
    <row r="2998" spans="1:8" x14ac:dyDescent="0.2">
      <c r="A2998" t="str">
        <f t="shared" si="46"/>
        <v/>
      </c>
      <c r="B2998" s="1">
        <v>2017</v>
      </c>
      <c r="C2998" s="1" t="s">
        <v>2505</v>
      </c>
      <c r="D2998" s="1" t="s">
        <v>2506</v>
      </c>
      <c r="E2998" s="1" t="s">
        <v>2019</v>
      </c>
      <c r="F2998" s="1" t="s">
        <v>299</v>
      </c>
      <c r="G2998" s="51">
        <v>410435</v>
      </c>
      <c r="H2998" t="str">
        <f>IFERROR(VLOOKUP(F2998,'LEAID Match'!$A$2:$B$142,2,FALSE),"")</f>
        <v/>
      </c>
    </row>
    <row r="2999" spans="1:8" x14ac:dyDescent="0.2">
      <c r="A2999" t="str">
        <f t="shared" si="46"/>
        <v/>
      </c>
      <c r="B2999" s="1">
        <v>2018</v>
      </c>
      <c r="C2999" s="1" t="s">
        <v>2505</v>
      </c>
      <c r="D2999" s="1" t="s">
        <v>2506</v>
      </c>
      <c r="E2999" s="1" t="s">
        <v>2019</v>
      </c>
      <c r="F2999" s="1" t="s">
        <v>299</v>
      </c>
      <c r="G2999" s="6">
        <v>468339</v>
      </c>
      <c r="H2999" t="str">
        <f>IFERROR(VLOOKUP(F2999,'LEAID Match'!$A$2:$B$142,2,FALSE),"")</f>
        <v/>
      </c>
    </row>
    <row r="3000" spans="1:8" x14ac:dyDescent="0.2">
      <c r="A3000" t="str">
        <f t="shared" si="46"/>
        <v/>
      </c>
      <c r="B3000" s="1">
        <v>2019</v>
      </c>
      <c r="C3000" s="1" t="s">
        <v>2505</v>
      </c>
      <c r="D3000" s="1" t="s">
        <v>2506</v>
      </c>
      <c r="E3000" s="1" t="s">
        <v>2019</v>
      </c>
      <c r="F3000" s="1" t="s">
        <v>299</v>
      </c>
      <c r="G3000" s="6">
        <v>472848</v>
      </c>
      <c r="H3000" t="str">
        <f>IFERROR(VLOOKUP(F3000,'LEAID Match'!$A$2:$B$142,2,FALSE),"")</f>
        <v/>
      </c>
    </row>
    <row r="3001" spans="1:8" x14ac:dyDescent="0.2">
      <c r="A3001" t="str">
        <f t="shared" si="46"/>
        <v/>
      </c>
      <c r="B3001" s="1">
        <v>2020</v>
      </c>
      <c r="C3001" s="1" t="s">
        <v>2505</v>
      </c>
      <c r="D3001" s="1" t="s">
        <v>2506</v>
      </c>
      <c r="E3001" s="1" t="s">
        <v>2019</v>
      </c>
      <c r="F3001" s="1" t="s">
        <v>299</v>
      </c>
      <c r="G3001" s="6">
        <v>547267</v>
      </c>
      <c r="H3001" t="str">
        <f>IFERROR(VLOOKUP(F3001,'LEAID Match'!$A$2:$B$142,2,FALSE),"")</f>
        <v/>
      </c>
    </row>
    <row r="3002" spans="1:8" x14ac:dyDescent="0.2">
      <c r="A3002" t="str">
        <f t="shared" si="46"/>
        <v/>
      </c>
      <c r="B3002" s="1">
        <v>2021</v>
      </c>
      <c r="C3002" s="1" t="s">
        <v>2505</v>
      </c>
      <c r="D3002" s="1" t="s">
        <v>2506</v>
      </c>
      <c r="E3002" s="1" t="s">
        <v>2019</v>
      </c>
      <c r="F3002" s="1" t="s">
        <v>299</v>
      </c>
      <c r="G3002" s="6">
        <v>540243</v>
      </c>
      <c r="H3002" t="str">
        <f>IFERROR(VLOOKUP(F3002,'LEAID Match'!$A$2:$B$142,2,FALSE),"")</f>
        <v/>
      </c>
    </row>
    <row r="3003" spans="1:8" x14ac:dyDescent="0.2">
      <c r="A3003" t="str">
        <f t="shared" si="46"/>
        <v/>
      </c>
      <c r="B3003" s="1">
        <v>2022</v>
      </c>
      <c r="C3003" s="1" t="s">
        <v>2505</v>
      </c>
      <c r="D3003" s="1" t="s">
        <v>2506</v>
      </c>
      <c r="E3003" s="1" t="s">
        <v>2019</v>
      </c>
      <c r="F3003" s="1" t="s">
        <v>299</v>
      </c>
      <c r="G3003" s="6">
        <v>561297</v>
      </c>
      <c r="H3003" t="str">
        <f>IFERROR(VLOOKUP(F3003,'LEAID Match'!$A$2:$B$142,2,FALSE),"")</f>
        <v/>
      </c>
    </row>
    <row r="3004" spans="1:8" x14ac:dyDescent="0.2">
      <c r="A3004" t="str">
        <f t="shared" si="46"/>
        <v/>
      </c>
      <c r="B3004" s="1">
        <v>2023</v>
      </c>
      <c r="C3004" s="1" t="s">
        <v>2505</v>
      </c>
      <c r="D3004" s="1" t="s">
        <v>2506</v>
      </c>
      <c r="E3004" s="1" t="s">
        <v>2019</v>
      </c>
      <c r="F3004" s="1" t="s">
        <v>299</v>
      </c>
      <c r="G3004" s="6">
        <v>645869</v>
      </c>
      <c r="H3004" t="str">
        <f>IFERROR(VLOOKUP(F3004,'LEAID Match'!$A$2:$B$142,2,FALSE),"")</f>
        <v/>
      </c>
    </row>
    <row r="3005" spans="1:8" x14ac:dyDescent="0.2">
      <c r="A3005" t="str">
        <f t="shared" si="46"/>
        <v/>
      </c>
      <c r="B3005" s="1">
        <v>2024</v>
      </c>
      <c r="C3005" s="1" t="s">
        <v>2505</v>
      </c>
      <c r="D3005" s="1" t="s">
        <v>2506</v>
      </c>
      <c r="E3005" s="1" t="s">
        <v>2019</v>
      </c>
      <c r="F3005" s="1" t="s">
        <v>299</v>
      </c>
      <c r="G3005" s="6">
        <v>622097</v>
      </c>
      <c r="H3005" t="str">
        <f>IFERROR(VLOOKUP(F3005,'LEAID Match'!$A$2:$B$142,2,FALSE),"")</f>
        <v/>
      </c>
    </row>
    <row r="3006" spans="1:8" x14ac:dyDescent="0.2">
      <c r="A3006" t="str">
        <f t="shared" si="46"/>
        <v/>
      </c>
      <c r="B3006" s="1">
        <v>2015</v>
      </c>
      <c r="C3006" s="1" t="s">
        <v>2505</v>
      </c>
      <c r="D3006" s="1" t="s">
        <v>2506</v>
      </c>
      <c r="E3006" s="1" t="s">
        <v>2019</v>
      </c>
      <c r="F3006" s="1" t="s">
        <v>300</v>
      </c>
      <c r="G3006" s="6">
        <v>628352</v>
      </c>
      <c r="H3006" t="str">
        <f>IFERROR(VLOOKUP(F3006,'LEAID Match'!$A$2:$B$142,2,FALSE),"")</f>
        <v/>
      </c>
    </row>
    <row r="3007" spans="1:8" x14ac:dyDescent="0.2">
      <c r="A3007" t="str">
        <f t="shared" si="46"/>
        <v/>
      </c>
      <c r="B3007">
        <v>2016</v>
      </c>
      <c r="C3007" s="1" t="s">
        <v>2505</v>
      </c>
      <c r="D3007" s="1" t="s">
        <v>2506</v>
      </c>
      <c r="E3007" s="1" t="s">
        <v>2019</v>
      </c>
      <c r="F3007" s="1" t="s">
        <v>300</v>
      </c>
      <c r="G3007" s="12">
        <v>624970</v>
      </c>
      <c r="H3007" t="str">
        <f>IFERROR(VLOOKUP(F3007,'LEAID Match'!$A$2:$B$142,2,FALSE),"")</f>
        <v/>
      </c>
    </row>
    <row r="3008" spans="1:8" x14ac:dyDescent="0.2">
      <c r="A3008" t="str">
        <f t="shared" si="46"/>
        <v/>
      </c>
      <c r="B3008" s="1">
        <v>2017</v>
      </c>
      <c r="C3008" s="1" t="s">
        <v>2505</v>
      </c>
      <c r="D3008" s="1" t="s">
        <v>2506</v>
      </c>
      <c r="E3008" s="1" t="s">
        <v>2019</v>
      </c>
      <c r="F3008" s="1" t="s">
        <v>300</v>
      </c>
      <c r="G3008" s="51">
        <v>644031</v>
      </c>
      <c r="H3008" t="str">
        <f>IFERROR(VLOOKUP(F3008,'LEAID Match'!$A$2:$B$142,2,FALSE),"")</f>
        <v/>
      </c>
    </row>
    <row r="3009" spans="1:8" x14ac:dyDescent="0.2">
      <c r="A3009" t="str">
        <f t="shared" si="46"/>
        <v/>
      </c>
      <c r="B3009" s="1">
        <v>2018</v>
      </c>
      <c r="C3009" s="1" t="s">
        <v>2505</v>
      </c>
      <c r="D3009" s="1" t="s">
        <v>2506</v>
      </c>
      <c r="E3009" s="1" t="s">
        <v>2019</v>
      </c>
      <c r="F3009" s="1" t="s">
        <v>300</v>
      </c>
      <c r="G3009" s="6">
        <v>697101</v>
      </c>
      <c r="H3009" t="str">
        <f>IFERROR(VLOOKUP(F3009,'LEAID Match'!$A$2:$B$142,2,FALSE),"")</f>
        <v/>
      </c>
    </row>
    <row r="3010" spans="1:8" x14ac:dyDescent="0.2">
      <c r="A3010" t="str">
        <f t="shared" si="46"/>
        <v/>
      </c>
      <c r="B3010" s="1">
        <v>2019</v>
      </c>
      <c r="C3010" s="1" t="s">
        <v>2505</v>
      </c>
      <c r="D3010" s="1" t="s">
        <v>2506</v>
      </c>
      <c r="E3010" s="1" t="s">
        <v>2019</v>
      </c>
      <c r="F3010" s="1" t="s">
        <v>300</v>
      </c>
      <c r="G3010" s="6">
        <v>694871</v>
      </c>
      <c r="H3010" t="str">
        <f>IFERROR(VLOOKUP(F3010,'LEAID Match'!$A$2:$B$142,2,FALSE),"")</f>
        <v/>
      </c>
    </row>
    <row r="3011" spans="1:8" x14ac:dyDescent="0.2">
      <c r="A3011" t="str">
        <f t="shared" ref="A3011:A3074" si="47">H3011</f>
        <v/>
      </c>
      <c r="B3011" s="1">
        <v>2020</v>
      </c>
      <c r="C3011" s="1" t="s">
        <v>2505</v>
      </c>
      <c r="D3011" s="1" t="s">
        <v>2506</v>
      </c>
      <c r="E3011" s="1" t="s">
        <v>2019</v>
      </c>
      <c r="F3011" s="1" t="s">
        <v>300</v>
      </c>
      <c r="G3011" s="6">
        <v>804216</v>
      </c>
      <c r="H3011" t="str">
        <f>IFERROR(VLOOKUP(F3011,'LEAID Match'!$A$2:$B$142,2,FALSE),"")</f>
        <v/>
      </c>
    </row>
    <row r="3012" spans="1:8" x14ac:dyDescent="0.2">
      <c r="A3012" t="str">
        <f t="shared" si="47"/>
        <v/>
      </c>
      <c r="B3012" s="1">
        <v>2021</v>
      </c>
      <c r="C3012" s="1" t="s">
        <v>2505</v>
      </c>
      <c r="D3012" s="1" t="s">
        <v>2506</v>
      </c>
      <c r="E3012" s="1" t="s">
        <v>2019</v>
      </c>
      <c r="F3012" s="1" t="s">
        <v>300</v>
      </c>
      <c r="G3012" s="6">
        <v>802700</v>
      </c>
      <c r="H3012" t="str">
        <f>IFERROR(VLOOKUP(F3012,'LEAID Match'!$A$2:$B$142,2,FALSE),"")</f>
        <v/>
      </c>
    </row>
    <row r="3013" spans="1:8" x14ac:dyDescent="0.2">
      <c r="A3013" t="str">
        <f t="shared" si="47"/>
        <v/>
      </c>
      <c r="B3013" s="1">
        <v>2022</v>
      </c>
      <c r="C3013" s="1" t="s">
        <v>2505</v>
      </c>
      <c r="D3013" s="1" t="s">
        <v>2506</v>
      </c>
      <c r="E3013" s="1" t="s">
        <v>2019</v>
      </c>
      <c r="F3013" s="1" t="s">
        <v>300</v>
      </c>
      <c r="G3013" s="6">
        <v>831183</v>
      </c>
      <c r="H3013" t="str">
        <f>IFERROR(VLOOKUP(F3013,'LEAID Match'!$A$2:$B$142,2,FALSE),"")</f>
        <v/>
      </c>
    </row>
    <row r="3014" spans="1:8" x14ac:dyDescent="0.2">
      <c r="A3014" t="str">
        <f t="shared" si="47"/>
        <v/>
      </c>
      <c r="B3014" s="1">
        <v>2023</v>
      </c>
      <c r="C3014" s="1" t="s">
        <v>2505</v>
      </c>
      <c r="D3014" s="1" t="s">
        <v>2506</v>
      </c>
      <c r="E3014" s="1" t="s">
        <v>2019</v>
      </c>
      <c r="F3014" s="1" t="s">
        <v>300</v>
      </c>
      <c r="G3014" s="6">
        <v>847042</v>
      </c>
      <c r="H3014" t="str">
        <f>IFERROR(VLOOKUP(F3014,'LEAID Match'!$A$2:$B$142,2,FALSE),"")</f>
        <v/>
      </c>
    </row>
    <row r="3015" spans="1:8" x14ac:dyDescent="0.2">
      <c r="A3015" t="str">
        <f t="shared" si="47"/>
        <v/>
      </c>
      <c r="B3015" s="1">
        <v>2024</v>
      </c>
      <c r="C3015" s="1" t="s">
        <v>2505</v>
      </c>
      <c r="D3015" s="1" t="s">
        <v>2506</v>
      </c>
      <c r="E3015" s="1" t="s">
        <v>2019</v>
      </c>
      <c r="F3015" s="1" t="s">
        <v>300</v>
      </c>
      <c r="G3015" s="6">
        <v>882144</v>
      </c>
      <c r="H3015" t="str">
        <f>IFERROR(VLOOKUP(F3015,'LEAID Match'!$A$2:$B$142,2,FALSE),"")</f>
        <v/>
      </c>
    </row>
    <row r="3016" spans="1:8" x14ac:dyDescent="0.2">
      <c r="A3016" t="str">
        <f t="shared" si="47"/>
        <v/>
      </c>
      <c r="B3016" s="1">
        <v>2015</v>
      </c>
      <c r="C3016" s="1" t="s">
        <v>2505</v>
      </c>
      <c r="D3016" s="1" t="s">
        <v>2506</v>
      </c>
      <c r="E3016" s="1" t="s">
        <v>2019</v>
      </c>
      <c r="F3016" s="1" t="s">
        <v>873</v>
      </c>
      <c r="G3016" s="6">
        <v>4472</v>
      </c>
      <c r="H3016" t="str">
        <f>IFERROR(VLOOKUP(F3016,'LEAID Match'!$A$2:$B$142,2,FALSE),"")</f>
        <v/>
      </c>
    </row>
    <row r="3017" spans="1:8" x14ac:dyDescent="0.2">
      <c r="A3017" t="str">
        <f t="shared" si="47"/>
        <v/>
      </c>
      <c r="B3017">
        <v>2016</v>
      </c>
      <c r="C3017" s="1" t="s">
        <v>2505</v>
      </c>
      <c r="D3017" s="1" t="s">
        <v>2506</v>
      </c>
      <c r="E3017" s="1" t="s">
        <v>2019</v>
      </c>
      <c r="F3017" s="1" t="s">
        <v>873</v>
      </c>
      <c r="G3017" s="12">
        <v>4356</v>
      </c>
      <c r="H3017" t="str">
        <f>IFERROR(VLOOKUP(F3017,'LEAID Match'!$A$2:$B$142,2,FALSE),"")</f>
        <v/>
      </c>
    </row>
    <row r="3018" spans="1:8" x14ac:dyDescent="0.2">
      <c r="A3018" t="str">
        <f t="shared" si="47"/>
        <v/>
      </c>
      <c r="B3018" s="1">
        <v>2017</v>
      </c>
      <c r="C3018" s="1" t="s">
        <v>2505</v>
      </c>
      <c r="D3018" s="1" t="s">
        <v>2506</v>
      </c>
      <c r="E3018" s="1" t="s">
        <v>2019</v>
      </c>
      <c r="F3018" s="1" t="s">
        <v>873</v>
      </c>
      <c r="G3018" s="51">
        <v>3922</v>
      </c>
      <c r="H3018" t="str">
        <f>IFERROR(VLOOKUP(F3018,'LEAID Match'!$A$2:$B$142,2,FALSE),"")</f>
        <v/>
      </c>
    </row>
    <row r="3019" spans="1:8" x14ac:dyDescent="0.2">
      <c r="A3019" t="str">
        <f t="shared" si="47"/>
        <v/>
      </c>
      <c r="B3019" s="1">
        <v>2018</v>
      </c>
      <c r="C3019" s="1" t="s">
        <v>2505</v>
      </c>
      <c r="D3019" s="1" t="s">
        <v>2506</v>
      </c>
      <c r="E3019" s="1" t="s">
        <v>2019</v>
      </c>
      <c r="F3019" s="1" t="s">
        <v>873</v>
      </c>
      <c r="G3019" s="6">
        <v>2702</v>
      </c>
      <c r="H3019" t="str">
        <f>IFERROR(VLOOKUP(F3019,'LEAID Match'!$A$2:$B$142,2,FALSE),"")</f>
        <v/>
      </c>
    </row>
    <row r="3020" spans="1:8" x14ac:dyDescent="0.2">
      <c r="A3020" t="str">
        <f t="shared" si="47"/>
        <v/>
      </c>
      <c r="B3020" s="1">
        <v>2019</v>
      </c>
      <c r="C3020" s="1" t="s">
        <v>2505</v>
      </c>
      <c r="D3020" s="1" t="s">
        <v>2506</v>
      </c>
      <c r="E3020" s="1" t="s">
        <v>2019</v>
      </c>
      <c r="F3020" s="1" t="s">
        <v>873</v>
      </c>
      <c r="G3020" s="6">
        <v>3007</v>
      </c>
      <c r="H3020" t="str">
        <f>IFERROR(VLOOKUP(F3020,'LEAID Match'!$A$2:$B$142,2,FALSE),"")</f>
        <v/>
      </c>
    </row>
    <row r="3021" spans="1:8" x14ac:dyDescent="0.2">
      <c r="A3021" t="str">
        <f t="shared" si="47"/>
        <v/>
      </c>
      <c r="B3021" s="1">
        <v>2020</v>
      </c>
      <c r="C3021" s="1" t="s">
        <v>2505</v>
      </c>
      <c r="D3021" s="1" t="s">
        <v>2506</v>
      </c>
      <c r="E3021" s="1" t="s">
        <v>2019</v>
      </c>
      <c r="F3021" s="1" t="s">
        <v>873</v>
      </c>
      <c r="G3021" s="6">
        <v>4984</v>
      </c>
      <c r="H3021" t="str">
        <f>IFERROR(VLOOKUP(F3021,'LEAID Match'!$A$2:$B$142,2,FALSE),"")</f>
        <v/>
      </c>
    </row>
    <row r="3022" spans="1:8" x14ac:dyDescent="0.2">
      <c r="A3022" t="str">
        <f t="shared" si="47"/>
        <v/>
      </c>
      <c r="B3022" s="1">
        <v>2021</v>
      </c>
      <c r="C3022" s="1" t="s">
        <v>2505</v>
      </c>
      <c r="D3022" s="1" t="s">
        <v>2506</v>
      </c>
      <c r="E3022" s="1" t="s">
        <v>2019</v>
      </c>
      <c r="F3022" s="1" t="s">
        <v>873</v>
      </c>
      <c r="G3022" s="6">
        <v>4984</v>
      </c>
      <c r="H3022" t="str">
        <f>IFERROR(VLOOKUP(F3022,'LEAID Match'!$A$2:$B$142,2,FALSE),"")</f>
        <v/>
      </c>
    </row>
    <row r="3023" spans="1:8" x14ac:dyDescent="0.2">
      <c r="A3023" t="str">
        <f t="shared" si="47"/>
        <v/>
      </c>
      <c r="B3023" s="1">
        <v>2022</v>
      </c>
      <c r="C3023" s="1" t="s">
        <v>2505</v>
      </c>
      <c r="D3023" s="1" t="s">
        <v>2506</v>
      </c>
      <c r="E3023" s="1" t="s">
        <v>2019</v>
      </c>
      <c r="F3023" s="1" t="s">
        <v>873</v>
      </c>
      <c r="G3023" s="6">
        <v>4984</v>
      </c>
      <c r="H3023" t="str">
        <f>IFERROR(VLOOKUP(F3023,'LEAID Match'!$A$2:$B$142,2,FALSE),"")</f>
        <v/>
      </c>
    </row>
    <row r="3024" spans="1:8" x14ac:dyDescent="0.2">
      <c r="A3024" t="str">
        <f t="shared" si="47"/>
        <v/>
      </c>
      <c r="B3024" s="1">
        <v>2023</v>
      </c>
      <c r="C3024" s="1" t="s">
        <v>2505</v>
      </c>
      <c r="D3024" s="1" t="s">
        <v>2506</v>
      </c>
      <c r="E3024" s="1" t="s">
        <v>2019</v>
      </c>
      <c r="F3024" s="1" t="s">
        <v>873</v>
      </c>
      <c r="G3024" s="6">
        <v>3322</v>
      </c>
      <c r="H3024" t="str">
        <f>IFERROR(VLOOKUP(F3024,'LEAID Match'!$A$2:$B$142,2,FALSE),"")</f>
        <v/>
      </c>
    </row>
    <row r="3025" spans="1:8" x14ac:dyDescent="0.2">
      <c r="A3025" t="str">
        <f t="shared" si="47"/>
        <v/>
      </c>
      <c r="B3025" s="1">
        <v>2015</v>
      </c>
      <c r="C3025" s="1" t="s">
        <v>2505</v>
      </c>
      <c r="D3025" s="1" t="s">
        <v>2506</v>
      </c>
      <c r="E3025" s="1" t="s">
        <v>2019</v>
      </c>
      <c r="F3025" s="1" t="s">
        <v>301</v>
      </c>
      <c r="G3025" s="6">
        <v>3333569</v>
      </c>
      <c r="H3025" t="str">
        <f>IFERROR(VLOOKUP(F3025,'LEAID Match'!$A$2:$B$142,2,FALSE),"")</f>
        <v/>
      </c>
    </row>
    <row r="3026" spans="1:8" x14ac:dyDescent="0.2">
      <c r="A3026" t="str">
        <f t="shared" si="47"/>
        <v/>
      </c>
      <c r="B3026">
        <v>2016</v>
      </c>
      <c r="C3026" s="1" t="s">
        <v>2505</v>
      </c>
      <c r="D3026" s="1" t="s">
        <v>2506</v>
      </c>
      <c r="E3026" s="1" t="s">
        <v>2019</v>
      </c>
      <c r="F3026" s="1" t="s">
        <v>301</v>
      </c>
      <c r="G3026" s="12">
        <v>3353895</v>
      </c>
      <c r="H3026" t="str">
        <f>IFERROR(VLOOKUP(F3026,'LEAID Match'!$A$2:$B$142,2,FALSE),"")</f>
        <v/>
      </c>
    </row>
    <row r="3027" spans="1:8" x14ac:dyDescent="0.2">
      <c r="A3027" t="str">
        <f t="shared" si="47"/>
        <v/>
      </c>
      <c r="B3027" s="1">
        <v>2017</v>
      </c>
      <c r="C3027" s="1" t="s">
        <v>2505</v>
      </c>
      <c r="D3027" s="1" t="s">
        <v>2506</v>
      </c>
      <c r="E3027" s="1" t="s">
        <v>2019</v>
      </c>
      <c r="F3027" s="1" t="s">
        <v>301</v>
      </c>
      <c r="G3027" s="51">
        <v>3345566</v>
      </c>
      <c r="H3027" t="str">
        <f>IFERROR(VLOOKUP(F3027,'LEAID Match'!$A$2:$B$142,2,FALSE),"")</f>
        <v/>
      </c>
    </row>
    <row r="3028" spans="1:8" x14ac:dyDescent="0.2">
      <c r="A3028" t="str">
        <f t="shared" si="47"/>
        <v/>
      </c>
      <c r="B3028" s="1">
        <v>2018</v>
      </c>
      <c r="C3028" s="1" t="s">
        <v>2505</v>
      </c>
      <c r="D3028" s="1" t="s">
        <v>2506</v>
      </c>
      <c r="E3028" s="1" t="s">
        <v>2019</v>
      </c>
      <c r="F3028" s="1" t="s">
        <v>301</v>
      </c>
      <c r="G3028" s="6">
        <v>3227981</v>
      </c>
      <c r="H3028" t="str">
        <f>IFERROR(VLOOKUP(F3028,'LEAID Match'!$A$2:$B$142,2,FALSE),"")</f>
        <v/>
      </c>
    </row>
    <row r="3029" spans="1:8" x14ac:dyDescent="0.2">
      <c r="A3029" t="str">
        <f t="shared" si="47"/>
        <v/>
      </c>
      <c r="B3029" s="1">
        <v>2019</v>
      </c>
      <c r="C3029" s="1" t="s">
        <v>2505</v>
      </c>
      <c r="D3029" s="1" t="s">
        <v>2506</v>
      </c>
      <c r="E3029" s="1" t="s">
        <v>2019</v>
      </c>
      <c r="F3029" s="1" t="s">
        <v>301</v>
      </c>
      <c r="G3029" s="6">
        <v>3255007</v>
      </c>
      <c r="H3029" t="str">
        <f>IFERROR(VLOOKUP(F3029,'LEAID Match'!$A$2:$B$142,2,FALSE),"")</f>
        <v/>
      </c>
    </row>
    <row r="3030" spans="1:8" x14ac:dyDescent="0.2">
      <c r="A3030" t="str">
        <f t="shared" si="47"/>
        <v/>
      </c>
      <c r="B3030" s="1">
        <v>2020</v>
      </c>
      <c r="C3030" s="1" t="s">
        <v>2505</v>
      </c>
      <c r="D3030" s="1" t="s">
        <v>2506</v>
      </c>
      <c r="E3030" s="1" t="s">
        <v>2019</v>
      </c>
      <c r="F3030" s="1" t="s">
        <v>301</v>
      </c>
      <c r="G3030" s="6">
        <v>3584623</v>
      </c>
      <c r="H3030" t="str">
        <f>IFERROR(VLOOKUP(F3030,'LEAID Match'!$A$2:$B$142,2,FALSE),"")</f>
        <v/>
      </c>
    </row>
    <row r="3031" spans="1:8" x14ac:dyDescent="0.2">
      <c r="A3031" t="str">
        <f t="shared" si="47"/>
        <v/>
      </c>
      <c r="B3031" s="1">
        <v>2021</v>
      </c>
      <c r="C3031" s="1" t="s">
        <v>2505</v>
      </c>
      <c r="D3031" s="1" t="s">
        <v>2506</v>
      </c>
      <c r="E3031" s="1" t="s">
        <v>2019</v>
      </c>
      <c r="F3031" s="1" t="s">
        <v>301</v>
      </c>
      <c r="G3031" s="6">
        <v>3582903</v>
      </c>
      <c r="H3031" t="str">
        <f>IFERROR(VLOOKUP(F3031,'LEAID Match'!$A$2:$B$142,2,FALSE),"")</f>
        <v/>
      </c>
    </row>
    <row r="3032" spans="1:8" x14ac:dyDescent="0.2">
      <c r="A3032" t="str">
        <f t="shared" si="47"/>
        <v/>
      </c>
      <c r="B3032" s="1">
        <v>2022</v>
      </c>
      <c r="C3032" s="1" t="s">
        <v>2505</v>
      </c>
      <c r="D3032" s="1" t="s">
        <v>2506</v>
      </c>
      <c r="E3032" s="1" t="s">
        <v>2019</v>
      </c>
      <c r="F3032" s="1" t="s">
        <v>301</v>
      </c>
      <c r="G3032" s="6">
        <v>3696561</v>
      </c>
      <c r="H3032" t="str">
        <f>IFERROR(VLOOKUP(F3032,'LEAID Match'!$A$2:$B$142,2,FALSE),"")</f>
        <v/>
      </c>
    </row>
    <row r="3033" spans="1:8" x14ac:dyDescent="0.2">
      <c r="A3033" t="str">
        <f t="shared" si="47"/>
        <v/>
      </c>
      <c r="B3033" s="1">
        <v>2023</v>
      </c>
      <c r="C3033" s="1" t="s">
        <v>2505</v>
      </c>
      <c r="D3033" s="1" t="s">
        <v>2506</v>
      </c>
      <c r="E3033" s="1" t="s">
        <v>2019</v>
      </c>
      <c r="F3033" s="1" t="s">
        <v>301</v>
      </c>
      <c r="G3033" s="6">
        <v>3890655</v>
      </c>
      <c r="H3033" t="str">
        <f>IFERROR(VLOOKUP(F3033,'LEAID Match'!$A$2:$B$142,2,FALSE),"")</f>
        <v/>
      </c>
    </row>
    <row r="3034" spans="1:8" x14ac:dyDescent="0.2">
      <c r="A3034" t="str">
        <f t="shared" si="47"/>
        <v/>
      </c>
      <c r="B3034" s="1">
        <v>2024</v>
      </c>
      <c r="C3034" s="1" t="s">
        <v>2505</v>
      </c>
      <c r="D3034" s="1" t="s">
        <v>2506</v>
      </c>
      <c r="E3034" s="1" t="s">
        <v>2019</v>
      </c>
      <c r="F3034" s="1" t="s">
        <v>301</v>
      </c>
      <c r="G3034" s="6">
        <v>3965371</v>
      </c>
      <c r="H3034" t="str">
        <f>IFERROR(VLOOKUP(F3034,'LEAID Match'!$A$2:$B$142,2,FALSE),"")</f>
        <v/>
      </c>
    </row>
    <row r="3035" spans="1:8" x14ac:dyDescent="0.2">
      <c r="A3035">
        <f t="shared" si="47"/>
        <v>2800195</v>
      </c>
      <c r="B3035" s="1">
        <v>2015</v>
      </c>
      <c r="C3035" s="1" t="s">
        <v>2505</v>
      </c>
      <c r="D3035" s="1" t="s">
        <v>2506</v>
      </c>
      <c r="E3035" s="1" t="s">
        <v>2019</v>
      </c>
      <c r="F3035" s="1" t="s">
        <v>302</v>
      </c>
      <c r="G3035" s="6">
        <v>2244646</v>
      </c>
      <c r="H3035">
        <f>IFERROR(VLOOKUP(F3035,'LEAID Match'!$A$2:$B$142,2,FALSE),"")</f>
        <v>2800195</v>
      </c>
    </row>
    <row r="3036" spans="1:8" x14ac:dyDescent="0.2">
      <c r="A3036">
        <f t="shared" si="47"/>
        <v>2800195</v>
      </c>
      <c r="B3036">
        <v>2016</v>
      </c>
      <c r="C3036" s="1" t="s">
        <v>2505</v>
      </c>
      <c r="D3036" s="1" t="s">
        <v>2506</v>
      </c>
      <c r="E3036" s="1" t="s">
        <v>2019</v>
      </c>
      <c r="F3036" s="1" t="s">
        <v>302</v>
      </c>
      <c r="G3036" s="12">
        <v>2173228</v>
      </c>
      <c r="H3036">
        <f>IFERROR(VLOOKUP(F3036,'LEAID Match'!$A$2:$B$142,2,FALSE),"")</f>
        <v>2800195</v>
      </c>
    </row>
    <row r="3037" spans="1:8" x14ac:dyDescent="0.2">
      <c r="A3037">
        <f t="shared" si="47"/>
        <v>2800195</v>
      </c>
      <c r="B3037" s="1">
        <v>2017</v>
      </c>
      <c r="C3037" s="1" t="s">
        <v>2505</v>
      </c>
      <c r="D3037" s="1" t="s">
        <v>2506</v>
      </c>
      <c r="E3037" s="1" t="s">
        <v>2019</v>
      </c>
      <c r="F3037" s="1" t="s">
        <v>302</v>
      </c>
      <c r="G3037" s="51">
        <v>1937081</v>
      </c>
      <c r="H3037">
        <f>IFERROR(VLOOKUP(F3037,'LEAID Match'!$A$2:$B$142,2,FALSE),"")</f>
        <v>2800195</v>
      </c>
    </row>
    <row r="3038" spans="1:8" x14ac:dyDescent="0.2">
      <c r="A3038">
        <f t="shared" si="47"/>
        <v>2800195</v>
      </c>
      <c r="B3038" s="1">
        <v>2018</v>
      </c>
      <c r="C3038" s="1" t="s">
        <v>2505</v>
      </c>
      <c r="D3038" s="1" t="s">
        <v>2506</v>
      </c>
      <c r="E3038" s="1" t="s">
        <v>2019</v>
      </c>
      <c r="F3038" s="1" t="s">
        <v>302</v>
      </c>
      <c r="G3038" s="6">
        <v>2144973</v>
      </c>
      <c r="H3038">
        <f>IFERROR(VLOOKUP(F3038,'LEAID Match'!$A$2:$B$142,2,FALSE),"")</f>
        <v>2800195</v>
      </c>
    </row>
    <row r="3039" spans="1:8" x14ac:dyDescent="0.2">
      <c r="A3039">
        <f t="shared" si="47"/>
        <v>2800195</v>
      </c>
      <c r="B3039" s="1">
        <v>2019</v>
      </c>
      <c r="C3039" s="1" t="s">
        <v>2505</v>
      </c>
      <c r="D3039" s="1" t="s">
        <v>2506</v>
      </c>
      <c r="E3039" s="1" t="s">
        <v>2019</v>
      </c>
      <c r="F3039" s="1" t="s">
        <v>302</v>
      </c>
      <c r="G3039" s="6">
        <v>2311888</v>
      </c>
      <c r="H3039">
        <f>IFERROR(VLOOKUP(F3039,'LEAID Match'!$A$2:$B$142,2,FALSE),"")</f>
        <v>2800195</v>
      </c>
    </row>
    <row r="3040" spans="1:8" x14ac:dyDescent="0.2">
      <c r="A3040">
        <f t="shared" si="47"/>
        <v>2800195</v>
      </c>
      <c r="B3040" s="1">
        <v>2020</v>
      </c>
      <c r="C3040" s="1" t="s">
        <v>2505</v>
      </c>
      <c r="D3040" s="1" t="s">
        <v>2506</v>
      </c>
      <c r="E3040" s="1" t="s">
        <v>2019</v>
      </c>
      <c r="F3040" s="1" t="s">
        <v>302</v>
      </c>
      <c r="G3040" s="6">
        <v>2601350</v>
      </c>
      <c r="H3040">
        <f>IFERROR(VLOOKUP(F3040,'LEAID Match'!$A$2:$B$142,2,FALSE),"")</f>
        <v>2800195</v>
      </c>
    </row>
    <row r="3041" spans="1:8" x14ac:dyDescent="0.2">
      <c r="A3041">
        <f t="shared" si="47"/>
        <v>2800195</v>
      </c>
      <c r="B3041" s="1">
        <v>2021</v>
      </c>
      <c r="C3041" s="1" t="s">
        <v>2505</v>
      </c>
      <c r="D3041" s="1" t="s">
        <v>2506</v>
      </c>
      <c r="E3041" s="1" t="s">
        <v>2019</v>
      </c>
      <c r="F3041" s="1" t="s">
        <v>302</v>
      </c>
      <c r="G3041" s="6">
        <v>2522543</v>
      </c>
      <c r="H3041">
        <f>IFERROR(VLOOKUP(F3041,'LEAID Match'!$A$2:$B$142,2,FALSE),"")</f>
        <v>2800195</v>
      </c>
    </row>
    <row r="3042" spans="1:8" x14ac:dyDescent="0.2">
      <c r="A3042">
        <f t="shared" si="47"/>
        <v>2800195</v>
      </c>
      <c r="B3042" s="1">
        <v>2022</v>
      </c>
      <c r="C3042" s="1" t="s">
        <v>2505</v>
      </c>
      <c r="D3042" s="1" t="s">
        <v>2506</v>
      </c>
      <c r="E3042" s="1" t="s">
        <v>2019</v>
      </c>
      <c r="F3042" s="1" t="s">
        <v>302</v>
      </c>
      <c r="G3042" s="6">
        <v>2919723</v>
      </c>
      <c r="H3042">
        <f>IFERROR(VLOOKUP(F3042,'LEAID Match'!$A$2:$B$142,2,FALSE),"")</f>
        <v>2800195</v>
      </c>
    </row>
    <row r="3043" spans="1:8" x14ac:dyDescent="0.2">
      <c r="A3043">
        <f t="shared" si="47"/>
        <v>2800195</v>
      </c>
      <c r="B3043" s="1">
        <v>2023</v>
      </c>
      <c r="C3043" s="1" t="s">
        <v>2505</v>
      </c>
      <c r="D3043" s="1" t="s">
        <v>2506</v>
      </c>
      <c r="E3043" s="1" t="s">
        <v>2019</v>
      </c>
      <c r="F3043" s="1" t="s">
        <v>302</v>
      </c>
      <c r="G3043" s="6">
        <v>3211309</v>
      </c>
      <c r="H3043">
        <f>IFERROR(VLOOKUP(F3043,'LEAID Match'!$A$2:$B$142,2,FALSE),"")</f>
        <v>2800195</v>
      </c>
    </row>
    <row r="3044" spans="1:8" x14ac:dyDescent="0.2">
      <c r="A3044">
        <f t="shared" si="47"/>
        <v>2800195</v>
      </c>
      <c r="B3044" s="1">
        <v>2024</v>
      </c>
      <c r="C3044" s="1" t="s">
        <v>2505</v>
      </c>
      <c r="D3044" s="1" t="s">
        <v>2506</v>
      </c>
      <c r="E3044" s="1" t="s">
        <v>2019</v>
      </c>
      <c r="F3044" s="1" t="s">
        <v>302</v>
      </c>
      <c r="G3044" s="6">
        <v>3173803</v>
      </c>
      <c r="H3044">
        <f>IFERROR(VLOOKUP(F3044,'LEAID Match'!$A$2:$B$142,2,FALSE),"")</f>
        <v>2800195</v>
      </c>
    </row>
    <row r="3045" spans="1:8" x14ac:dyDescent="0.2">
      <c r="A3045" t="str">
        <f t="shared" si="47"/>
        <v/>
      </c>
      <c r="B3045" s="1">
        <v>2015</v>
      </c>
      <c r="C3045" s="1" t="s">
        <v>2505</v>
      </c>
      <c r="D3045" s="1" t="s">
        <v>2506</v>
      </c>
      <c r="E3045" s="1" t="s">
        <v>2019</v>
      </c>
      <c r="F3045" s="1" t="s">
        <v>303</v>
      </c>
      <c r="G3045" s="6">
        <v>1244596</v>
      </c>
      <c r="H3045" t="str">
        <f>IFERROR(VLOOKUP(F3045,'LEAID Match'!$A$2:$B$142,2,FALSE),"")</f>
        <v/>
      </c>
    </row>
    <row r="3046" spans="1:8" x14ac:dyDescent="0.2">
      <c r="A3046" t="str">
        <f t="shared" si="47"/>
        <v/>
      </c>
      <c r="B3046">
        <v>2016</v>
      </c>
      <c r="C3046" s="1" t="s">
        <v>2505</v>
      </c>
      <c r="D3046" s="1" t="s">
        <v>2506</v>
      </c>
      <c r="E3046" s="1" t="s">
        <v>2019</v>
      </c>
      <c r="F3046" s="1" t="s">
        <v>303</v>
      </c>
      <c r="G3046" s="12">
        <v>1207567</v>
      </c>
      <c r="H3046" t="str">
        <f>IFERROR(VLOOKUP(F3046,'LEAID Match'!$A$2:$B$142,2,FALSE),"")</f>
        <v/>
      </c>
    </row>
    <row r="3047" spans="1:8" x14ac:dyDescent="0.2">
      <c r="A3047" t="str">
        <f t="shared" si="47"/>
        <v/>
      </c>
      <c r="B3047" s="1">
        <v>2017</v>
      </c>
      <c r="C3047" s="1" t="s">
        <v>2505</v>
      </c>
      <c r="D3047" s="1" t="s">
        <v>2506</v>
      </c>
      <c r="E3047" s="1" t="s">
        <v>2019</v>
      </c>
      <c r="F3047" s="1" t="s">
        <v>303</v>
      </c>
      <c r="G3047" s="50">
        <v>1213519</v>
      </c>
      <c r="H3047" t="str">
        <f>IFERROR(VLOOKUP(F3047,'LEAID Match'!$A$2:$B$142,2,FALSE),"")</f>
        <v/>
      </c>
    </row>
    <row r="3048" spans="1:8" x14ac:dyDescent="0.2">
      <c r="A3048" t="str">
        <f t="shared" si="47"/>
        <v/>
      </c>
      <c r="B3048" s="1">
        <v>2018</v>
      </c>
      <c r="C3048" s="1" t="s">
        <v>2505</v>
      </c>
      <c r="D3048" s="1" t="s">
        <v>2506</v>
      </c>
      <c r="E3048" s="1" t="s">
        <v>2019</v>
      </c>
      <c r="F3048" s="1" t="s">
        <v>303</v>
      </c>
      <c r="G3048" s="6">
        <v>1257882</v>
      </c>
      <c r="H3048" t="str">
        <f>IFERROR(VLOOKUP(F3048,'LEAID Match'!$A$2:$B$142,2,FALSE),"")</f>
        <v/>
      </c>
    </row>
    <row r="3049" spans="1:8" x14ac:dyDescent="0.2">
      <c r="A3049" t="str">
        <f t="shared" si="47"/>
        <v/>
      </c>
      <c r="B3049" s="1">
        <v>2019</v>
      </c>
      <c r="C3049" s="1" t="s">
        <v>2505</v>
      </c>
      <c r="D3049" s="1" t="s">
        <v>2506</v>
      </c>
      <c r="E3049" s="1" t="s">
        <v>2019</v>
      </c>
      <c r="F3049" s="1" t="s">
        <v>303</v>
      </c>
      <c r="G3049" s="6">
        <v>1277073</v>
      </c>
      <c r="H3049" t="str">
        <f>IFERROR(VLOOKUP(F3049,'LEAID Match'!$A$2:$B$142,2,FALSE),"")</f>
        <v/>
      </c>
    </row>
    <row r="3050" spans="1:8" x14ac:dyDescent="0.2">
      <c r="A3050" t="str">
        <f t="shared" si="47"/>
        <v/>
      </c>
      <c r="B3050" s="1">
        <v>2020</v>
      </c>
      <c r="C3050" s="1" t="s">
        <v>2505</v>
      </c>
      <c r="D3050" s="1" t="s">
        <v>2506</v>
      </c>
      <c r="E3050" s="1" t="s">
        <v>2019</v>
      </c>
      <c r="F3050" s="1" t="s">
        <v>303</v>
      </c>
      <c r="G3050" s="6">
        <v>1423207</v>
      </c>
      <c r="H3050" t="str">
        <f>IFERROR(VLOOKUP(F3050,'LEAID Match'!$A$2:$B$142,2,FALSE),"")</f>
        <v/>
      </c>
    </row>
    <row r="3051" spans="1:8" x14ac:dyDescent="0.2">
      <c r="A3051" t="str">
        <f t="shared" si="47"/>
        <v/>
      </c>
      <c r="B3051" s="1">
        <v>2021</v>
      </c>
      <c r="C3051" s="1" t="s">
        <v>2505</v>
      </c>
      <c r="D3051" s="1" t="s">
        <v>2506</v>
      </c>
      <c r="E3051" s="1" t="s">
        <v>2019</v>
      </c>
      <c r="F3051" s="1" t="s">
        <v>303</v>
      </c>
      <c r="G3051" s="6">
        <v>1471415</v>
      </c>
      <c r="H3051" t="str">
        <f>IFERROR(VLOOKUP(F3051,'LEAID Match'!$A$2:$B$142,2,FALSE),"")</f>
        <v/>
      </c>
    </row>
    <row r="3052" spans="1:8" x14ac:dyDescent="0.2">
      <c r="A3052" t="str">
        <f t="shared" si="47"/>
        <v/>
      </c>
      <c r="B3052" s="1">
        <v>2022</v>
      </c>
      <c r="C3052" s="1" t="s">
        <v>2505</v>
      </c>
      <c r="D3052" s="1" t="s">
        <v>2506</v>
      </c>
      <c r="E3052" s="1" t="s">
        <v>2019</v>
      </c>
      <c r="F3052" s="1" t="s">
        <v>303</v>
      </c>
      <c r="G3052" s="6">
        <v>1706462</v>
      </c>
      <c r="H3052" t="str">
        <f>IFERROR(VLOOKUP(F3052,'LEAID Match'!$A$2:$B$142,2,FALSE),"")</f>
        <v/>
      </c>
    </row>
    <row r="3053" spans="1:8" x14ac:dyDescent="0.2">
      <c r="A3053" t="str">
        <f t="shared" si="47"/>
        <v/>
      </c>
      <c r="B3053" s="1">
        <v>2023</v>
      </c>
      <c r="C3053" s="1" t="s">
        <v>2505</v>
      </c>
      <c r="D3053" s="1" t="s">
        <v>2506</v>
      </c>
      <c r="E3053" s="1" t="s">
        <v>2019</v>
      </c>
      <c r="F3053" s="1" t="s">
        <v>303</v>
      </c>
      <c r="G3053" s="6">
        <v>1796922</v>
      </c>
      <c r="H3053" t="str">
        <f>IFERROR(VLOOKUP(F3053,'LEAID Match'!$A$2:$B$142,2,FALSE),"")</f>
        <v/>
      </c>
    </row>
    <row r="3054" spans="1:8" x14ac:dyDescent="0.2">
      <c r="A3054" t="str">
        <f t="shared" si="47"/>
        <v/>
      </c>
      <c r="B3054" s="1">
        <v>2024</v>
      </c>
      <c r="C3054" s="1" t="s">
        <v>2505</v>
      </c>
      <c r="D3054" s="1" t="s">
        <v>2506</v>
      </c>
      <c r="E3054" s="1" t="s">
        <v>2019</v>
      </c>
      <c r="F3054" s="1" t="s">
        <v>303</v>
      </c>
      <c r="G3054" s="6">
        <v>1993485</v>
      </c>
      <c r="H3054" t="str">
        <f>IFERROR(VLOOKUP(F3054,'LEAID Match'!$A$2:$B$142,2,FALSE),"")</f>
        <v/>
      </c>
    </row>
    <row r="3055" spans="1:8" x14ac:dyDescent="0.2">
      <c r="A3055" t="str">
        <f t="shared" si="47"/>
        <v/>
      </c>
      <c r="B3055" s="1">
        <v>2015</v>
      </c>
      <c r="C3055" s="1" t="s">
        <v>2505</v>
      </c>
      <c r="D3055" s="1" t="s">
        <v>2506</v>
      </c>
      <c r="E3055" s="1" t="s">
        <v>2019</v>
      </c>
      <c r="F3055" s="1" t="s">
        <v>304</v>
      </c>
      <c r="G3055" s="6">
        <v>31672</v>
      </c>
      <c r="H3055" t="str">
        <f>IFERROR(VLOOKUP(F3055,'LEAID Match'!$A$2:$B$142,2,FALSE),"")</f>
        <v/>
      </c>
    </row>
    <row r="3056" spans="1:8" x14ac:dyDescent="0.2">
      <c r="A3056" t="str">
        <f t="shared" si="47"/>
        <v/>
      </c>
      <c r="B3056">
        <v>2016</v>
      </c>
      <c r="C3056" s="1" t="s">
        <v>2505</v>
      </c>
      <c r="D3056" s="1" t="s">
        <v>2506</v>
      </c>
      <c r="E3056" s="1" t="s">
        <v>2019</v>
      </c>
      <c r="F3056" s="1" t="s">
        <v>304</v>
      </c>
      <c r="G3056" s="12">
        <v>32899</v>
      </c>
      <c r="H3056" t="str">
        <f>IFERROR(VLOOKUP(F3056,'LEAID Match'!$A$2:$B$142,2,FALSE),"")</f>
        <v/>
      </c>
    </row>
    <row r="3057" spans="1:8" x14ac:dyDescent="0.2">
      <c r="A3057" t="str">
        <f t="shared" si="47"/>
        <v/>
      </c>
      <c r="B3057" s="1">
        <v>2017</v>
      </c>
      <c r="C3057" s="1" t="s">
        <v>2505</v>
      </c>
      <c r="D3057" s="1" t="s">
        <v>2506</v>
      </c>
      <c r="E3057" s="1" t="s">
        <v>2019</v>
      </c>
      <c r="F3057" s="1" t="s">
        <v>304</v>
      </c>
      <c r="G3057" s="50">
        <v>37813</v>
      </c>
      <c r="H3057" t="str">
        <f>IFERROR(VLOOKUP(F3057,'LEAID Match'!$A$2:$B$142,2,FALSE),"")</f>
        <v/>
      </c>
    </row>
    <row r="3058" spans="1:8" x14ac:dyDescent="0.2">
      <c r="A3058" t="str">
        <f t="shared" si="47"/>
        <v/>
      </c>
      <c r="B3058" s="1">
        <v>2018</v>
      </c>
      <c r="C3058" s="1" t="s">
        <v>2505</v>
      </c>
      <c r="D3058" s="1" t="s">
        <v>2506</v>
      </c>
      <c r="E3058" s="1" t="s">
        <v>2019</v>
      </c>
      <c r="F3058" s="1" t="s">
        <v>304</v>
      </c>
      <c r="G3058" s="6">
        <v>33159</v>
      </c>
      <c r="H3058" t="str">
        <f>IFERROR(VLOOKUP(F3058,'LEAID Match'!$A$2:$B$142,2,FALSE),"")</f>
        <v/>
      </c>
    </row>
    <row r="3059" spans="1:8" x14ac:dyDescent="0.2">
      <c r="A3059" t="str">
        <f t="shared" si="47"/>
        <v/>
      </c>
      <c r="B3059" s="1">
        <v>2019</v>
      </c>
      <c r="C3059" s="1" t="s">
        <v>2505</v>
      </c>
      <c r="D3059" s="1" t="s">
        <v>2506</v>
      </c>
      <c r="E3059" s="1" t="s">
        <v>2019</v>
      </c>
      <c r="F3059" s="1" t="s">
        <v>304</v>
      </c>
      <c r="G3059" s="6">
        <v>32375</v>
      </c>
      <c r="H3059" t="str">
        <f>IFERROR(VLOOKUP(F3059,'LEAID Match'!$A$2:$B$142,2,FALSE),"")</f>
        <v/>
      </c>
    </row>
    <row r="3060" spans="1:8" x14ac:dyDescent="0.2">
      <c r="A3060" t="str">
        <f t="shared" si="47"/>
        <v/>
      </c>
      <c r="B3060" s="1">
        <v>2020</v>
      </c>
      <c r="C3060" s="1" t="s">
        <v>2505</v>
      </c>
      <c r="D3060" s="1" t="s">
        <v>2506</v>
      </c>
      <c r="E3060" s="1" t="s">
        <v>2019</v>
      </c>
      <c r="F3060" s="1" t="s">
        <v>304</v>
      </c>
      <c r="G3060" s="6">
        <v>36808</v>
      </c>
      <c r="H3060" t="str">
        <f>IFERROR(VLOOKUP(F3060,'LEAID Match'!$A$2:$B$142,2,FALSE),"")</f>
        <v/>
      </c>
    </row>
    <row r="3061" spans="1:8" x14ac:dyDescent="0.2">
      <c r="A3061" t="str">
        <f t="shared" si="47"/>
        <v/>
      </c>
      <c r="B3061" s="1">
        <v>2021</v>
      </c>
      <c r="C3061" s="1" t="s">
        <v>2505</v>
      </c>
      <c r="D3061" s="1" t="s">
        <v>2506</v>
      </c>
      <c r="E3061" s="1" t="s">
        <v>2019</v>
      </c>
      <c r="F3061" s="1" t="s">
        <v>304</v>
      </c>
      <c r="G3061" s="6">
        <v>36825</v>
      </c>
      <c r="H3061" t="str">
        <f>IFERROR(VLOOKUP(F3061,'LEAID Match'!$A$2:$B$142,2,FALSE),"")</f>
        <v/>
      </c>
    </row>
    <row r="3062" spans="1:8" x14ac:dyDescent="0.2">
      <c r="A3062" t="str">
        <f t="shared" si="47"/>
        <v/>
      </c>
      <c r="B3062" s="1">
        <v>2022</v>
      </c>
      <c r="C3062" s="1" t="s">
        <v>2505</v>
      </c>
      <c r="D3062" s="1" t="s">
        <v>2506</v>
      </c>
      <c r="E3062" s="1" t="s">
        <v>2019</v>
      </c>
      <c r="F3062" s="1" t="s">
        <v>304</v>
      </c>
      <c r="G3062" s="6">
        <v>39754</v>
      </c>
      <c r="H3062" t="str">
        <f>IFERROR(VLOOKUP(F3062,'LEAID Match'!$A$2:$B$142,2,FALSE),"")</f>
        <v/>
      </c>
    </row>
    <row r="3063" spans="1:8" x14ac:dyDescent="0.2">
      <c r="A3063" t="str">
        <f t="shared" si="47"/>
        <v/>
      </c>
      <c r="B3063" s="1">
        <v>2023</v>
      </c>
      <c r="C3063" s="1" t="s">
        <v>2505</v>
      </c>
      <c r="D3063" s="1" t="s">
        <v>2506</v>
      </c>
      <c r="E3063" s="1" t="s">
        <v>2019</v>
      </c>
      <c r="F3063" s="1" t="s">
        <v>304</v>
      </c>
      <c r="G3063" s="6">
        <v>45259</v>
      </c>
      <c r="H3063" t="str">
        <f>IFERROR(VLOOKUP(F3063,'LEAID Match'!$A$2:$B$142,2,FALSE),"")</f>
        <v/>
      </c>
    </row>
    <row r="3064" spans="1:8" x14ac:dyDescent="0.2">
      <c r="A3064" t="str">
        <f t="shared" si="47"/>
        <v/>
      </c>
      <c r="B3064" s="1">
        <v>2024</v>
      </c>
      <c r="C3064" s="1" t="s">
        <v>2505</v>
      </c>
      <c r="D3064" s="1" t="s">
        <v>2506</v>
      </c>
      <c r="E3064" s="1" t="s">
        <v>2019</v>
      </c>
      <c r="F3064" s="1" t="s">
        <v>304</v>
      </c>
      <c r="G3064" s="6">
        <v>48696</v>
      </c>
      <c r="H3064" t="str">
        <f>IFERROR(VLOOKUP(F3064,'LEAID Match'!$A$2:$B$142,2,FALSE),"")</f>
        <v/>
      </c>
    </row>
    <row r="3065" spans="1:8" x14ac:dyDescent="0.2">
      <c r="A3065" t="str">
        <f t="shared" si="47"/>
        <v/>
      </c>
      <c r="B3065" s="1">
        <v>2015</v>
      </c>
      <c r="C3065" s="1" t="s">
        <v>2505</v>
      </c>
      <c r="D3065" s="1" t="s">
        <v>2506</v>
      </c>
      <c r="E3065" s="1" t="s">
        <v>2019</v>
      </c>
      <c r="F3065" s="1" t="s">
        <v>305</v>
      </c>
      <c r="G3065" s="6">
        <v>1143085</v>
      </c>
      <c r="H3065" t="str">
        <f>IFERROR(VLOOKUP(F3065,'LEAID Match'!$A$2:$B$142,2,FALSE),"")</f>
        <v/>
      </c>
    </row>
    <row r="3066" spans="1:8" x14ac:dyDescent="0.2">
      <c r="A3066" t="str">
        <f t="shared" si="47"/>
        <v/>
      </c>
      <c r="B3066">
        <v>2016</v>
      </c>
      <c r="C3066" s="1" t="s">
        <v>2505</v>
      </c>
      <c r="D3066" s="1" t="s">
        <v>2506</v>
      </c>
      <c r="E3066" s="1" t="s">
        <v>2019</v>
      </c>
      <c r="F3066" s="1" t="s">
        <v>305</v>
      </c>
      <c r="G3066" s="12">
        <v>1167954</v>
      </c>
      <c r="H3066" t="str">
        <f>IFERROR(VLOOKUP(F3066,'LEAID Match'!$A$2:$B$142,2,FALSE),"")</f>
        <v/>
      </c>
    </row>
    <row r="3067" spans="1:8" x14ac:dyDescent="0.2">
      <c r="A3067" t="str">
        <f t="shared" si="47"/>
        <v/>
      </c>
      <c r="B3067" s="1">
        <v>2017</v>
      </c>
      <c r="C3067" s="1" t="s">
        <v>2505</v>
      </c>
      <c r="D3067" s="1" t="s">
        <v>2506</v>
      </c>
      <c r="E3067" s="1" t="s">
        <v>2019</v>
      </c>
      <c r="F3067" s="1" t="s">
        <v>305</v>
      </c>
      <c r="G3067" s="50">
        <v>1185470</v>
      </c>
      <c r="H3067" t="str">
        <f>IFERROR(VLOOKUP(F3067,'LEAID Match'!$A$2:$B$142,2,FALSE),"")</f>
        <v/>
      </c>
    </row>
    <row r="3068" spans="1:8" x14ac:dyDescent="0.2">
      <c r="A3068" t="str">
        <f t="shared" si="47"/>
        <v/>
      </c>
      <c r="B3068" s="1">
        <v>2018</v>
      </c>
      <c r="C3068" s="1" t="s">
        <v>2505</v>
      </c>
      <c r="D3068" s="1" t="s">
        <v>2506</v>
      </c>
      <c r="E3068" s="1" t="s">
        <v>2019</v>
      </c>
      <c r="F3068" s="1" t="s">
        <v>305</v>
      </c>
      <c r="G3068" s="6">
        <v>1147210</v>
      </c>
      <c r="H3068" t="str">
        <f>IFERROR(VLOOKUP(F3068,'LEAID Match'!$A$2:$B$142,2,FALSE),"")</f>
        <v/>
      </c>
    </row>
    <row r="3069" spans="1:8" x14ac:dyDescent="0.2">
      <c r="A3069" t="str">
        <f t="shared" si="47"/>
        <v/>
      </c>
      <c r="B3069" s="1">
        <v>2019</v>
      </c>
      <c r="C3069" s="1" t="s">
        <v>2505</v>
      </c>
      <c r="D3069" s="1" t="s">
        <v>2506</v>
      </c>
      <c r="E3069" s="1" t="s">
        <v>2019</v>
      </c>
      <c r="F3069" s="1" t="s">
        <v>305</v>
      </c>
      <c r="G3069" s="6">
        <v>1196792</v>
      </c>
      <c r="H3069" t="str">
        <f>IFERROR(VLOOKUP(F3069,'LEAID Match'!$A$2:$B$142,2,FALSE),"")</f>
        <v/>
      </c>
    </row>
    <row r="3070" spans="1:8" x14ac:dyDescent="0.2">
      <c r="A3070" t="str">
        <f t="shared" si="47"/>
        <v/>
      </c>
      <c r="B3070" s="1">
        <v>2020</v>
      </c>
      <c r="C3070" s="1" t="s">
        <v>2505</v>
      </c>
      <c r="D3070" s="1" t="s">
        <v>2506</v>
      </c>
      <c r="E3070" s="1" t="s">
        <v>2019</v>
      </c>
      <c r="F3070" s="1" t="s">
        <v>305</v>
      </c>
      <c r="G3070" s="6">
        <v>1325300</v>
      </c>
      <c r="H3070" t="str">
        <f>IFERROR(VLOOKUP(F3070,'LEAID Match'!$A$2:$B$142,2,FALSE),"")</f>
        <v/>
      </c>
    </row>
    <row r="3071" spans="1:8" x14ac:dyDescent="0.2">
      <c r="A3071" t="str">
        <f t="shared" si="47"/>
        <v/>
      </c>
      <c r="B3071" s="1">
        <v>2021</v>
      </c>
      <c r="C3071" s="1" t="s">
        <v>2505</v>
      </c>
      <c r="D3071" s="1" t="s">
        <v>2506</v>
      </c>
      <c r="E3071" s="1" t="s">
        <v>2019</v>
      </c>
      <c r="F3071" s="1" t="s">
        <v>305</v>
      </c>
      <c r="G3071" s="6">
        <v>1477576</v>
      </c>
      <c r="H3071" t="str">
        <f>IFERROR(VLOOKUP(F3071,'LEAID Match'!$A$2:$B$142,2,FALSE),"")</f>
        <v/>
      </c>
    </row>
    <row r="3072" spans="1:8" x14ac:dyDescent="0.2">
      <c r="A3072" t="str">
        <f t="shared" si="47"/>
        <v/>
      </c>
      <c r="B3072" s="1">
        <v>2022</v>
      </c>
      <c r="C3072" s="1" t="s">
        <v>2505</v>
      </c>
      <c r="D3072" s="1" t="s">
        <v>2506</v>
      </c>
      <c r="E3072" s="1" t="s">
        <v>2019</v>
      </c>
      <c r="F3072" s="1" t="s">
        <v>305</v>
      </c>
      <c r="G3072" s="6">
        <v>1480312</v>
      </c>
      <c r="H3072" t="str">
        <f>IFERROR(VLOOKUP(F3072,'LEAID Match'!$A$2:$B$142,2,FALSE),"")</f>
        <v/>
      </c>
    </row>
    <row r="3073" spans="1:8" x14ac:dyDescent="0.2">
      <c r="A3073" t="str">
        <f t="shared" si="47"/>
        <v/>
      </c>
      <c r="B3073" s="1">
        <v>2023</v>
      </c>
      <c r="C3073" s="1" t="s">
        <v>2505</v>
      </c>
      <c r="D3073" s="1" t="s">
        <v>2506</v>
      </c>
      <c r="E3073" s="1" t="s">
        <v>2019</v>
      </c>
      <c r="F3073" s="1" t="s">
        <v>305</v>
      </c>
      <c r="G3073" s="6">
        <v>1499006</v>
      </c>
      <c r="H3073" t="str">
        <f>IFERROR(VLOOKUP(F3073,'LEAID Match'!$A$2:$B$142,2,FALSE),"")</f>
        <v/>
      </c>
    </row>
    <row r="3074" spans="1:8" x14ac:dyDescent="0.2">
      <c r="A3074" t="str">
        <f t="shared" si="47"/>
        <v/>
      </c>
      <c r="B3074" s="1">
        <v>2024</v>
      </c>
      <c r="C3074" s="1" t="s">
        <v>2505</v>
      </c>
      <c r="D3074" s="1" t="s">
        <v>2506</v>
      </c>
      <c r="E3074" s="1" t="s">
        <v>2019</v>
      </c>
      <c r="F3074" s="1" t="s">
        <v>305</v>
      </c>
      <c r="G3074" s="6">
        <v>1567380</v>
      </c>
      <c r="H3074" t="str">
        <f>IFERROR(VLOOKUP(F3074,'LEAID Match'!$A$2:$B$142,2,FALSE),"")</f>
        <v/>
      </c>
    </row>
    <row r="3075" spans="1:8" x14ac:dyDescent="0.2">
      <c r="A3075" t="str">
        <f t="shared" ref="A3075:A3138" si="48">H3075</f>
        <v/>
      </c>
      <c r="B3075" s="1">
        <v>2015</v>
      </c>
      <c r="C3075" s="1" t="s">
        <v>2505</v>
      </c>
      <c r="D3075" s="1" t="s">
        <v>2506</v>
      </c>
      <c r="E3075" s="1" t="s">
        <v>2019</v>
      </c>
      <c r="F3075" s="1" t="s">
        <v>909</v>
      </c>
      <c r="G3075" s="6">
        <v>1305408</v>
      </c>
      <c r="H3075" t="str">
        <f>IFERROR(VLOOKUP(F3075,'LEAID Match'!$A$2:$B$142,2,FALSE),"")</f>
        <v/>
      </c>
    </row>
    <row r="3076" spans="1:8" x14ac:dyDescent="0.2">
      <c r="A3076" t="str">
        <f t="shared" si="48"/>
        <v/>
      </c>
      <c r="B3076">
        <v>2016</v>
      </c>
      <c r="C3076" s="1" t="s">
        <v>2505</v>
      </c>
      <c r="D3076" s="1" t="s">
        <v>2506</v>
      </c>
      <c r="E3076" s="1" t="s">
        <v>2019</v>
      </c>
      <c r="F3076" s="1" t="s">
        <v>909</v>
      </c>
      <c r="G3076" s="12">
        <v>1378860</v>
      </c>
      <c r="H3076" t="str">
        <f>IFERROR(VLOOKUP(F3076,'LEAID Match'!$A$2:$B$142,2,FALSE),"")</f>
        <v/>
      </c>
    </row>
    <row r="3077" spans="1:8" x14ac:dyDescent="0.2">
      <c r="A3077" t="str">
        <f t="shared" si="48"/>
        <v/>
      </c>
      <c r="B3077" s="1">
        <v>2017</v>
      </c>
      <c r="C3077" s="1" t="s">
        <v>2505</v>
      </c>
      <c r="D3077" s="1" t="s">
        <v>2506</v>
      </c>
      <c r="E3077" s="1" t="s">
        <v>2019</v>
      </c>
      <c r="F3077" s="1" t="s">
        <v>909</v>
      </c>
      <c r="G3077" s="50">
        <v>1372479</v>
      </c>
      <c r="H3077" t="str">
        <f>IFERROR(VLOOKUP(F3077,'LEAID Match'!$A$2:$B$142,2,FALSE),"")</f>
        <v/>
      </c>
    </row>
    <row r="3078" spans="1:8" x14ac:dyDescent="0.2">
      <c r="A3078" t="str">
        <f t="shared" si="48"/>
        <v/>
      </c>
      <c r="B3078" s="1">
        <v>2018</v>
      </c>
      <c r="C3078" s="1" t="s">
        <v>2505</v>
      </c>
      <c r="D3078" s="1" t="s">
        <v>2506</v>
      </c>
      <c r="E3078" s="1" t="s">
        <v>2019</v>
      </c>
      <c r="F3078" s="1" t="s">
        <v>909</v>
      </c>
      <c r="G3078" s="6">
        <v>1256299</v>
      </c>
      <c r="H3078" t="str">
        <f>IFERROR(VLOOKUP(F3078,'LEAID Match'!$A$2:$B$142,2,FALSE),"")</f>
        <v/>
      </c>
    </row>
    <row r="3079" spans="1:8" x14ac:dyDescent="0.2">
      <c r="A3079" t="str">
        <f t="shared" si="48"/>
        <v/>
      </c>
      <c r="B3079" s="1">
        <v>2019</v>
      </c>
      <c r="C3079" s="1" t="s">
        <v>2505</v>
      </c>
      <c r="D3079" s="1" t="s">
        <v>2506</v>
      </c>
      <c r="E3079" s="1" t="s">
        <v>2019</v>
      </c>
      <c r="F3079" s="1" t="s">
        <v>909</v>
      </c>
      <c r="G3079" s="6">
        <v>1335347</v>
      </c>
      <c r="H3079" t="str">
        <f>IFERROR(VLOOKUP(F3079,'LEAID Match'!$A$2:$B$142,2,FALSE),"")</f>
        <v/>
      </c>
    </row>
    <row r="3080" spans="1:8" x14ac:dyDescent="0.2">
      <c r="A3080" t="str">
        <f t="shared" si="48"/>
        <v/>
      </c>
      <c r="B3080" s="1">
        <v>2020</v>
      </c>
      <c r="C3080" s="1" t="s">
        <v>2505</v>
      </c>
      <c r="D3080" s="1" t="s">
        <v>2506</v>
      </c>
      <c r="E3080" s="1" t="s">
        <v>2019</v>
      </c>
      <c r="F3080" s="1" t="s">
        <v>909</v>
      </c>
      <c r="G3080" s="6">
        <v>1555906</v>
      </c>
      <c r="H3080" t="str">
        <f>IFERROR(VLOOKUP(F3080,'LEAID Match'!$A$2:$B$142,2,FALSE),"")</f>
        <v/>
      </c>
    </row>
    <row r="3081" spans="1:8" x14ac:dyDescent="0.2">
      <c r="A3081" t="str">
        <f t="shared" si="48"/>
        <v/>
      </c>
      <c r="B3081" s="1">
        <v>2021</v>
      </c>
      <c r="C3081" s="1" t="s">
        <v>2505</v>
      </c>
      <c r="D3081" s="1" t="s">
        <v>2506</v>
      </c>
      <c r="E3081" s="1" t="s">
        <v>2019</v>
      </c>
      <c r="F3081" s="1" t="s">
        <v>909</v>
      </c>
      <c r="G3081" s="6">
        <v>1536032</v>
      </c>
      <c r="H3081" t="str">
        <f>IFERROR(VLOOKUP(F3081,'LEAID Match'!$A$2:$B$142,2,FALSE),"")</f>
        <v/>
      </c>
    </row>
    <row r="3082" spans="1:8" x14ac:dyDescent="0.2">
      <c r="A3082" t="str">
        <f t="shared" si="48"/>
        <v/>
      </c>
      <c r="B3082" s="1">
        <v>2015</v>
      </c>
      <c r="C3082" s="1" t="s">
        <v>2505</v>
      </c>
      <c r="D3082" s="1" t="s">
        <v>2506</v>
      </c>
      <c r="E3082" s="1" t="s">
        <v>2019</v>
      </c>
      <c r="F3082" s="1" t="s">
        <v>306</v>
      </c>
      <c r="G3082" s="6">
        <v>186567</v>
      </c>
      <c r="H3082" t="str">
        <f>IFERROR(VLOOKUP(F3082,'LEAID Match'!$A$2:$B$142,2,FALSE),"")</f>
        <v/>
      </c>
    </row>
    <row r="3083" spans="1:8" x14ac:dyDescent="0.2">
      <c r="A3083" t="str">
        <f t="shared" si="48"/>
        <v/>
      </c>
      <c r="B3083">
        <v>2016</v>
      </c>
      <c r="C3083" s="1" t="s">
        <v>2505</v>
      </c>
      <c r="D3083" s="1" t="s">
        <v>2506</v>
      </c>
      <c r="E3083" s="1" t="s">
        <v>2019</v>
      </c>
      <c r="F3083" s="1" t="s">
        <v>306</v>
      </c>
      <c r="G3083" s="12">
        <v>174069</v>
      </c>
      <c r="H3083" t="str">
        <f>IFERROR(VLOOKUP(F3083,'LEAID Match'!$A$2:$B$142,2,FALSE),"")</f>
        <v/>
      </c>
    </row>
    <row r="3084" spans="1:8" x14ac:dyDescent="0.2">
      <c r="A3084" t="str">
        <f t="shared" si="48"/>
        <v/>
      </c>
      <c r="B3084" s="1">
        <v>2017</v>
      </c>
      <c r="C3084" s="1" t="s">
        <v>2505</v>
      </c>
      <c r="D3084" s="1" t="s">
        <v>2506</v>
      </c>
      <c r="E3084" s="1" t="s">
        <v>2019</v>
      </c>
      <c r="F3084" s="1" t="s">
        <v>306</v>
      </c>
      <c r="G3084" s="50">
        <v>170615</v>
      </c>
      <c r="H3084" t="str">
        <f>IFERROR(VLOOKUP(F3084,'LEAID Match'!$A$2:$B$142,2,FALSE),"")</f>
        <v/>
      </c>
    </row>
    <row r="3085" spans="1:8" x14ac:dyDescent="0.2">
      <c r="A3085" t="str">
        <f t="shared" si="48"/>
        <v/>
      </c>
      <c r="B3085" s="1">
        <v>2018</v>
      </c>
      <c r="C3085" s="1" t="s">
        <v>2505</v>
      </c>
      <c r="D3085" s="1" t="s">
        <v>2506</v>
      </c>
      <c r="E3085" s="1" t="s">
        <v>2019</v>
      </c>
      <c r="F3085" s="1" t="s">
        <v>306</v>
      </c>
      <c r="G3085" s="6">
        <v>174254</v>
      </c>
      <c r="H3085" t="str">
        <f>IFERROR(VLOOKUP(F3085,'LEAID Match'!$A$2:$B$142,2,FALSE),"")</f>
        <v/>
      </c>
    </row>
    <row r="3086" spans="1:8" x14ac:dyDescent="0.2">
      <c r="A3086" t="str">
        <f t="shared" si="48"/>
        <v/>
      </c>
      <c r="B3086" s="1">
        <v>2019</v>
      </c>
      <c r="C3086" s="1" t="s">
        <v>2505</v>
      </c>
      <c r="D3086" s="1" t="s">
        <v>2506</v>
      </c>
      <c r="E3086" s="1" t="s">
        <v>2019</v>
      </c>
      <c r="F3086" s="1" t="s">
        <v>306</v>
      </c>
      <c r="G3086" s="6">
        <v>178630</v>
      </c>
      <c r="H3086" t="str">
        <f>IFERROR(VLOOKUP(F3086,'LEAID Match'!$A$2:$B$142,2,FALSE),"")</f>
        <v/>
      </c>
    </row>
    <row r="3087" spans="1:8" x14ac:dyDescent="0.2">
      <c r="A3087" t="str">
        <f t="shared" si="48"/>
        <v/>
      </c>
      <c r="B3087" s="1">
        <v>2020</v>
      </c>
      <c r="C3087" s="1" t="s">
        <v>2505</v>
      </c>
      <c r="D3087" s="1" t="s">
        <v>2506</v>
      </c>
      <c r="E3087" s="1" t="s">
        <v>2019</v>
      </c>
      <c r="F3087" s="1" t="s">
        <v>306</v>
      </c>
      <c r="G3087" s="6">
        <v>201490</v>
      </c>
      <c r="H3087" t="str">
        <f>IFERROR(VLOOKUP(F3087,'LEAID Match'!$A$2:$B$142,2,FALSE),"")</f>
        <v/>
      </c>
    </row>
    <row r="3088" spans="1:8" x14ac:dyDescent="0.2">
      <c r="A3088" t="str">
        <f t="shared" si="48"/>
        <v/>
      </c>
      <c r="B3088" s="1">
        <v>2021</v>
      </c>
      <c r="C3088" s="1" t="s">
        <v>2505</v>
      </c>
      <c r="D3088" s="1" t="s">
        <v>2506</v>
      </c>
      <c r="E3088" s="1" t="s">
        <v>2019</v>
      </c>
      <c r="F3088" s="1" t="s">
        <v>306</v>
      </c>
      <c r="G3088" s="6">
        <v>197837</v>
      </c>
      <c r="H3088" t="str">
        <f>IFERROR(VLOOKUP(F3088,'LEAID Match'!$A$2:$B$142,2,FALSE),"")</f>
        <v/>
      </c>
    </row>
    <row r="3089" spans="1:8" x14ac:dyDescent="0.2">
      <c r="A3089" t="str">
        <f t="shared" si="48"/>
        <v/>
      </c>
      <c r="B3089" s="1">
        <v>2022</v>
      </c>
      <c r="C3089" s="1" t="s">
        <v>2505</v>
      </c>
      <c r="D3089" s="1" t="s">
        <v>2506</v>
      </c>
      <c r="E3089" s="1" t="s">
        <v>2019</v>
      </c>
      <c r="F3089" s="1" t="s">
        <v>306</v>
      </c>
      <c r="G3089" s="6">
        <v>208429</v>
      </c>
      <c r="H3089" t="str">
        <f>IFERROR(VLOOKUP(F3089,'LEAID Match'!$A$2:$B$142,2,FALSE),"")</f>
        <v/>
      </c>
    </row>
    <row r="3090" spans="1:8" x14ac:dyDescent="0.2">
      <c r="A3090" t="str">
        <f t="shared" si="48"/>
        <v/>
      </c>
      <c r="B3090" s="1">
        <v>2023</v>
      </c>
      <c r="C3090" s="1" t="s">
        <v>2505</v>
      </c>
      <c r="D3090" s="1" t="s">
        <v>2506</v>
      </c>
      <c r="E3090" s="1" t="s">
        <v>2019</v>
      </c>
      <c r="F3090" s="1" t="s">
        <v>306</v>
      </c>
      <c r="G3090" s="6">
        <v>241764</v>
      </c>
      <c r="H3090" t="str">
        <f>IFERROR(VLOOKUP(F3090,'LEAID Match'!$A$2:$B$142,2,FALSE),"")</f>
        <v/>
      </c>
    </row>
    <row r="3091" spans="1:8" x14ac:dyDescent="0.2">
      <c r="A3091" t="str">
        <f t="shared" si="48"/>
        <v/>
      </c>
      <c r="B3091" s="1">
        <v>2024</v>
      </c>
      <c r="C3091" s="1" t="s">
        <v>2505</v>
      </c>
      <c r="D3091" s="1" t="s">
        <v>2506</v>
      </c>
      <c r="E3091" s="1" t="s">
        <v>2019</v>
      </c>
      <c r="F3091" s="1" t="s">
        <v>306</v>
      </c>
      <c r="G3091" s="6">
        <v>276759</v>
      </c>
      <c r="H3091" t="str">
        <f>IFERROR(VLOOKUP(F3091,'LEAID Match'!$A$2:$B$142,2,FALSE),"")</f>
        <v/>
      </c>
    </row>
    <row r="3092" spans="1:8" x14ac:dyDescent="0.2">
      <c r="A3092" t="str">
        <f t="shared" si="48"/>
        <v/>
      </c>
      <c r="B3092" s="1">
        <v>2015</v>
      </c>
      <c r="C3092" s="1" t="s">
        <v>2505</v>
      </c>
      <c r="D3092" s="1" t="s">
        <v>2506</v>
      </c>
      <c r="E3092" s="1" t="s">
        <v>2019</v>
      </c>
      <c r="F3092" s="1" t="s">
        <v>307</v>
      </c>
      <c r="G3092" s="6">
        <v>3882444</v>
      </c>
      <c r="H3092" t="str">
        <f>IFERROR(VLOOKUP(F3092,'LEAID Match'!$A$2:$B$142,2,FALSE),"")</f>
        <v/>
      </c>
    </row>
    <row r="3093" spans="1:8" x14ac:dyDescent="0.2">
      <c r="A3093" t="str">
        <f t="shared" si="48"/>
        <v/>
      </c>
      <c r="B3093">
        <v>2016</v>
      </c>
      <c r="C3093" s="1" t="s">
        <v>2505</v>
      </c>
      <c r="D3093" s="1" t="s">
        <v>2506</v>
      </c>
      <c r="E3093" s="1" t="s">
        <v>2019</v>
      </c>
      <c r="F3093" s="1" t="s">
        <v>307</v>
      </c>
      <c r="G3093" s="12">
        <v>3810176</v>
      </c>
      <c r="H3093" t="str">
        <f>IFERROR(VLOOKUP(F3093,'LEAID Match'!$A$2:$B$142,2,FALSE),"")</f>
        <v/>
      </c>
    </row>
    <row r="3094" spans="1:8" x14ac:dyDescent="0.2">
      <c r="A3094" t="str">
        <f t="shared" si="48"/>
        <v/>
      </c>
      <c r="B3094" s="1">
        <v>2017</v>
      </c>
      <c r="C3094" s="1" t="s">
        <v>2505</v>
      </c>
      <c r="D3094" s="1" t="s">
        <v>2506</v>
      </c>
      <c r="E3094" s="1" t="s">
        <v>2019</v>
      </c>
      <c r="F3094" s="1" t="s">
        <v>307</v>
      </c>
      <c r="G3094" s="50">
        <v>3646783</v>
      </c>
      <c r="H3094" t="str">
        <f>IFERROR(VLOOKUP(F3094,'LEAID Match'!$A$2:$B$142,2,FALSE),"")</f>
        <v/>
      </c>
    </row>
    <row r="3095" spans="1:8" x14ac:dyDescent="0.2">
      <c r="A3095" t="str">
        <f t="shared" si="48"/>
        <v/>
      </c>
      <c r="B3095" s="1">
        <v>2018</v>
      </c>
      <c r="C3095" s="1" t="s">
        <v>2505</v>
      </c>
      <c r="D3095" s="1" t="s">
        <v>2506</v>
      </c>
      <c r="E3095" s="1" t="s">
        <v>2019</v>
      </c>
      <c r="F3095" s="1" t="s">
        <v>307</v>
      </c>
      <c r="G3095" s="6">
        <v>3366146</v>
      </c>
      <c r="H3095" t="str">
        <f>IFERROR(VLOOKUP(F3095,'LEAID Match'!$A$2:$B$142,2,FALSE),"")</f>
        <v/>
      </c>
    </row>
    <row r="3096" spans="1:8" x14ac:dyDescent="0.2">
      <c r="A3096" t="str">
        <f t="shared" si="48"/>
        <v/>
      </c>
      <c r="B3096" s="1">
        <v>2019</v>
      </c>
      <c r="C3096" s="1" t="s">
        <v>2505</v>
      </c>
      <c r="D3096" s="1" t="s">
        <v>2506</v>
      </c>
      <c r="E3096" s="1" t="s">
        <v>2019</v>
      </c>
      <c r="F3096" s="1" t="s">
        <v>307</v>
      </c>
      <c r="G3096" s="6">
        <v>65585</v>
      </c>
      <c r="H3096" t="str">
        <f>IFERROR(VLOOKUP(F3096,'LEAID Match'!$A$2:$B$142,2,FALSE),"")</f>
        <v/>
      </c>
    </row>
    <row r="3097" spans="1:8" x14ac:dyDescent="0.2">
      <c r="A3097" t="str">
        <f t="shared" si="48"/>
        <v/>
      </c>
      <c r="B3097" s="1">
        <v>2022</v>
      </c>
      <c r="C3097" s="1" t="s">
        <v>2505</v>
      </c>
      <c r="D3097" s="1" t="s">
        <v>2506</v>
      </c>
      <c r="E3097" s="1" t="s">
        <v>2019</v>
      </c>
      <c r="F3097" s="1" t="s">
        <v>307</v>
      </c>
      <c r="G3097" s="6">
        <v>3740978</v>
      </c>
      <c r="H3097" t="str">
        <f>IFERROR(VLOOKUP(F3097,'LEAID Match'!$A$2:$B$142,2,FALSE),"")</f>
        <v/>
      </c>
    </row>
    <row r="3098" spans="1:8" x14ac:dyDescent="0.2">
      <c r="A3098" t="str">
        <f t="shared" si="48"/>
        <v/>
      </c>
      <c r="B3098" s="1">
        <v>2023</v>
      </c>
      <c r="C3098" s="1" t="s">
        <v>2505</v>
      </c>
      <c r="D3098" s="1" t="s">
        <v>2506</v>
      </c>
      <c r="E3098" s="1" t="s">
        <v>2019</v>
      </c>
      <c r="F3098" s="1" t="s">
        <v>307</v>
      </c>
      <c r="G3098" s="6">
        <v>4050788</v>
      </c>
      <c r="H3098" t="str">
        <f>IFERROR(VLOOKUP(F3098,'LEAID Match'!$A$2:$B$142,2,FALSE),"")</f>
        <v/>
      </c>
    </row>
    <row r="3099" spans="1:8" x14ac:dyDescent="0.2">
      <c r="A3099" t="str">
        <f t="shared" si="48"/>
        <v/>
      </c>
      <c r="B3099" s="1">
        <v>2024</v>
      </c>
      <c r="C3099" s="1" t="s">
        <v>2505</v>
      </c>
      <c r="D3099" s="1" t="s">
        <v>2506</v>
      </c>
      <c r="E3099" s="1" t="s">
        <v>2019</v>
      </c>
      <c r="F3099" s="1" t="s">
        <v>307</v>
      </c>
      <c r="G3099" s="6">
        <v>4296533</v>
      </c>
      <c r="H3099" t="str">
        <f>IFERROR(VLOOKUP(F3099,'LEAID Match'!$A$2:$B$142,2,FALSE),"")</f>
        <v/>
      </c>
    </row>
    <row r="3100" spans="1:8" x14ac:dyDescent="0.2">
      <c r="A3100">
        <f t="shared" si="48"/>
        <v>2802040</v>
      </c>
      <c r="B3100" s="1">
        <v>2015</v>
      </c>
      <c r="C3100" s="1" t="s">
        <v>2505</v>
      </c>
      <c r="D3100" s="1" t="s">
        <v>2506</v>
      </c>
      <c r="E3100" s="1" t="s">
        <v>2019</v>
      </c>
      <c r="F3100" s="1" t="s">
        <v>308</v>
      </c>
      <c r="G3100" s="6">
        <v>1283501</v>
      </c>
      <c r="H3100">
        <f>IFERROR(VLOOKUP(F3100,'LEAID Match'!$A$2:$B$142,2,FALSE),"")</f>
        <v>2802040</v>
      </c>
    </row>
    <row r="3101" spans="1:8" x14ac:dyDescent="0.2">
      <c r="A3101">
        <f t="shared" si="48"/>
        <v>2802040</v>
      </c>
      <c r="B3101">
        <v>2016</v>
      </c>
      <c r="C3101" s="1" t="s">
        <v>2505</v>
      </c>
      <c r="D3101" s="1" t="s">
        <v>2506</v>
      </c>
      <c r="E3101" s="1" t="s">
        <v>2019</v>
      </c>
      <c r="F3101" s="1" t="s">
        <v>308</v>
      </c>
      <c r="G3101" s="12">
        <v>1360090</v>
      </c>
      <c r="H3101">
        <f>IFERROR(VLOOKUP(F3101,'LEAID Match'!$A$2:$B$142,2,FALSE),"")</f>
        <v>2802040</v>
      </c>
    </row>
    <row r="3102" spans="1:8" x14ac:dyDescent="0.2">
      <c r="A3102">
        <f t="shared" si="48"/>
        <v>2802040</v>
      </c>
      <c r="B3102" s="1">
        <v>2017</v>
      </c>
      <c r="C3102" s="1" t="s">
        <v>2505</v>
      </c>
      <c r="D3102" s="1" t="s">
        <v>2506</v>
      </c>
      <c r="E3102" s="1" t="s">
        <v>2019</v>
      </c>
      <c r="F3102" s="1" t="s">
        <v>308</v>
      </c>
      <c r="G3102" s="50">
        <v>1309848</v>
      </c>
      <c r="H3102">
        <f>IFERROR(VLOOKUP(F3102,'LEAID Match'!$A$2:$B$142,2,FALSE),"")</f>
        <v>2802040</v>
      </c>
    </row>
    <row r="3103" spans="1:8" x14ac:dyDescent="0.2">
      <c r="A3103">
        <f t="shared" si="48"/>
        <v>2802040</v>
      </c>
      <c r="B3103" s="1">
        <v>2018</v>
      </c>
      <c r="C3103" s="1" t="s">
        <v>2505</v>
      </c>
      <c r="D3103" s="1" t="s">
        <v>2506</v>
      </c>
      <c r="E3103" s="1" t="s">
        <v>2019</v>
      </c>
      <c r="F3103" s="1" t="s">
        <v>308</v>
      </c>
      <c r="G3103" s="6">
        <v>1263549</v>
      </c>
      <c r="H3103">
        <f>IFERROR(VLOOKUP(F3103,'LEAID Match'!$A$2:$B$142,2,FALSE),"")</f>
        <v>2802040</v>
      </c>
    </row>
    <row r="3104" spans="1:8" x14ac:dyDescent="0.2">
      <c r="A3104">
        <f t="shared" si="48"/>
        <v>2802040</v>
      </c>
      <c r="B3104" s="1">
        <v>2019</v>
      </c>
      <c r="C3104" s="1" t="s">
        <v>2505</v>
      </c>
      <c r="D3104" s="1" t="s">
        <v>2506</v>
      </c>
      <c r="E3104" s="1" t="s">
        <v>2019</v>
      </c>
      <c r="F3104" s="1" t="s">
        <v>308</v>
      </c>
      <c r="G3104" s="6">
        <v>1361586</v>
      </c>
      <c r="H3104">
        <f>IFERROR(VLOOKUP(F3104,'LEAID Match'!$A$2:$B$142,2,FALSE),"")</f>
        <v>2802040</v>
      </c>
    </row>
    <row r="3105" spans="1:8" x14ac:dyDescent="0.2">
      <c r="A3105">
        <f t="shared" si="48"/>
        <v>2802040</v>
      </c>
      <c r="B3105" s="1">
        <v>2020</v>
      </c>
      <c r="C3105" s="1" t="s">
        <v>2505</v>
      </c>
      <c r="D3105" s="1" t="s">
        <v>2506</v>
      </c>
      <c r="E3105" s="1" t="s">
        <v>2019</v>
      </c>
      <c r="F3105" s="1" t="s">
        <v>308</v>
      </c>
      <c r="G3105" s="6">
        <v>1517774</v>
      </c>
      <c r="H3105">
        <f>IFERROR(VLOOKUP(F3105,'LEAID Match'!$A$2:$B$142,2,FALSE),"")</f>
        <v>2802040</v>
      </c>
    </row>
    <row r="3106" spans="1:8" x14ac:dyDescent="0.2">
      <c r="A3106">
        <f t="shared" si="48"/>
        <v>2802040</v>
      </c>
      <c r="B3106" s="1">
        <v>2021</v>
      </c>
      <c r="C3106" s="1" t="s">
        <v>2505</v>
      </c>
      <c r="D3106" s="1" t="s">
        <v>2506</v>
      </c>
      <c r="E3106" s="1" t="s">
        <v>2019</v>
      </c>
      <c r="F3106" s="1" t="s">
        <v>308</v>
      </c>
      <c r="G3106" s="6">
        <v>1559188</v>
      </c>
      <c r="H3106">
        <f>IFERROR(VLOOKUP(F3106,'LEAID Match'!$A$2:$B$142,2,FALSE),"")</f>
        <v>2802040</v>
      </c>
    </row>
    <row r="3107" spans="1:8" x14ac:dyDescent="0.2">
      <c r="A3107">
        <f t="shared" si="48"/>
        <v>2802040</v>
      </c>
      <c r="B3107" s="1">
        <v>2022</v>
      </c>
      <c r="C3107" s="1" t="s">
        <v>2505</v>
      </c>
      <c r="D3107" s="1" t="s">
        <v>2506</v>
      </c>
      <c r="E3107" s="1" t="s">
        <v>2019</v>
      </c>
      <c r="F3107" s="1" t="s">
        <v>308</v>
      </c>
      <c r="G3107" s="6">
        <v>1537161</v>
      </c>
      <c r="H3107">
        <f>IFERROR(VLOOKUP(F3107,'LEAID Match'!$A$2:$B$142,2,FALSE),"")</f>
        <v>2802040</v>
      </c>
    </row>
    <row r="3108" spans="1:8" x14ac:dyDescent="0.2">
      <c r="A3108">
        <f t="shared" si="48"/>
        <v>2802040</v>
      </c>
      <c r="B3108" s="1">
        <v>2023</v>
      </c>
      <c r="C3108" s="1" t="s">
        <v>2505</v>
      </c>
      <c r="D3108" s="1" t="s">
        <v>2506</v>
      </c>
      <c r="E3108" s="1" t="s">
        <v>2019</v>
      </c>
      <c r="F3108" s="1" t="s">
        <v>308</v>
      </c>
      <c r="G3108" s="6">
        <v>1549215</v>
      </c>
      <c r="H3108">
        <f>IFERROR(VLOOKUP(F3108,'LEAID Match'!$A$2:$B$142,2,FALSE),"")</f>
        <v>2802040</v>
      </c>
    </row>
    <row r="3109" spans="1:8" x14ac:dyDescent="0.2">
      <c r="A3109">
        <f t="shared" si="48"/>
        <v>2802040</v>
      </c>
      <c r="B3109" s="1">
        <v>2024</v>
      </c>
      <c r="C3109" s="1" t="s">
        <v>2505</v>
      </c>
      <c r="D3109" s="1" t="s">
        <v>2506</v>
      </c>
      <c r="E3109" s="1" t="s">
        <v>2019</v>
      </c>
      <c r="F3109" s="1" t="s">
        <v>308</v>
      </c>
      <c r="G3109" s="6">
        <v>1531620</v>
      </c>
      <c r="H3109">
        <f>IFERROR(VLOOKUP(F3109,'LEAID Match'!$A$2:$B$142,2,FALSE),"")</f>
        <v>2802040</v>
      </c>
    </row>
    <row r="3110" spans="1:8" x14ac:dyDescent="0.2">
      <c r="A3110" t="str">
        <f t="shared" si="48"/>
        <v/>
      </c>
      <c r="B3110" s="1">
        <v>2015</v>
      </c>
      <c r="C3110" s="1" t="s">
        <v>2505</v>
      </c>
      <c r="D3110" s="1" t="s">
        <v>2506</v>
      </c>
      <c r="E3110" s="1" t="s">
        <v>2019</v>
      </c>
      <c r="F3110" s="1" t="s">
        <v>309</v>
      </c>
      <c r="G3110" s="6">
        <v>355739</v>
      </c>
      <c r="H3110" t="str">
        <f>IFERROR(VLOOKUP(F3110,'LEAID Match'!$A$2:$B$142,2,FALSE),"")</f>
        <v/>
      </c>
    </row>
    <row r="3111" spans="1:8" x14ac:dyDescent="0.2">
      <c r="A3111" t="str">
        <f t="shared" si="48"/>
        <v/>
      </c>
      <c r="B3111">
        <v>2016</v>
      </c>
      <c r="C3111" s="1" t="s">
        <v>2505</v>
      </c>
      <c r="D3111" s="1" t="s">
        <v>2506</v>
      </c>
      <c r="E3111" s="1" t="s">
        <v>2019</v>
      </c>
      <c r="F3111" s="1" t="s">
        <v>309</v>
      </c>
      <c r="G3111" s="12">
        <v>355241</v>
      </c>
      <c r="H3111" t="str">
        <f>IFERROR(VLOOKUP(F3111,'LEAID Match'!$A$2:$B$142,2,FALSE),"")</f>
        <v/>
      </c>
    </row>
    <row r="3112" spans="1:8" x14ac:dyDescent="0.2">
      <c r="A3112" t="str">
        <f t="shared" si="48"/>
        <v/>
      </c>
      <c r="B3112" s="1">
        <v>2017</v>
      </c>
      <c r="C3112" s="1" t="s">
        <v>2505</v>
      </c>
      <c r="D3112" s="1" t="s">
        <v>2506</v>
      </c>
      <c r="E3112" s="1" t="s">
        <v>2019</v>
      </c>
      <c r="F3112" s="1" t="s">
        <v>309</v>
      </c>
      <c r="G3112" s="50">
        <v>379438</v>
      </c>
      <c r="H3112" t="str">
        <f>IFERROR(VLOOKUP(F3112,'LEAID Match'!$A$2:$B$142,2,FALSE),"")</f>
        <v/>
      </c>
    </row>
    <row r="3113" spans="1:8" x14ac:dyDescent="0.2">
      <c r="A3113" t="str">
        <f t="shared" si="48"/>
        <v/>
      </c>
      <c r="B3113" s="1">
        <v>2018</v>
      </c>
      <c r="C3113" s="1" t="s">
        <v>2505</v>
      </c>
      <c r="D3113" s="1" t="s">
        <v>2506</v>
      </c>
      <c r="E3113" s="1" t="s">
        <v>2019</v>
      </c>
      <c r="F3113" s="1" t="s">
        <v>309</v>
      </c>
      <c r="G3113" s="6">
        <v>397906</v>
      </c>
      <c r="H3113" t="str">
        <f>IFERROR(VLOOKUP(F3113,'LEAID Match'!$A$2:$B$142,2,FALSE),"")</f>
        <v/>
      </c>
    </row>
    <row r="3114" spans="1:8" x14ac:dyDescent="0.2">
      <c r="A3114" t="str">
        <f t="shared" si="48"/>
        <v/>
      </c>
      <c r="B3114" s="1">
        <v>2019</v>
      </c>
      <c r="C3114" s="1" t="s">
        <v>2505</v>
      </c>
      <c r="D3114" s="1" t="s">
        <v>2506</v>
      </c>
      <c r="E3114" s="1" t="s">
        <v>2019</v>
      </c>
      <c r="F3114" s="1" t="s">
        <v>309</v>
      </c>
      <c r="G3114" s="6">
        <v>425586</v>
      </c>
      <c r="H3114" t="str">
        <f>IFERROR(VLOOKUP(F3114,'LEAID Match'!$A$2:$B$142,2,FALSE),"")</f>
        <v/>
      </c>
    </row>
    <row r="3115" spans="1:8" x14ac:dyDescent="0.2">
      <c r="A3115" t="str">
        <f t="shared" si="48"/>
        <v/>
      </c>
      <c r="B3115" s="1">
        <v>2020</v>
      </c>
      <c r="C3115" s="1" t="s">
        <v>2505</v>
      </c>
      <c r="D3115" s="1" t="s">
        <v>2506</v>
      </c>
      <c r="E3115" s="1" t="s">
        <v>2019</v>
      </c>
      <c r="F3115" s="1" t="s">
        <v>309</v>
      </c>
      <c r="G3115" s="6">
        <v>539000</v>
      </c>
      <c r="H3115" t="str">
        <f>IFERROR(VLOOKUP(F3115,'LEAID Match'!$A$2:$B$142,2,FALSE),"")</f>
        <v/>
      </c>
    </row>
    <row r="3116" spans="1:8" x14ac:dyDescent="0.2">
      <c r="A3116" t="str">
        <f t="shared" si="48"/>
        <v/>
      </c>
      <c r="B3116" s="1">
        <v>2021</v>
      </c>
      <c r="C3116" s="1" t="s">
        <v>2505</v>
      </c>
      <c r="D3116" s="1" t="s">
        <v>2506</v>
      </c>
      <c r="E3116" s="1" t="s">
        <v>2019</v>
      </c>
      <c r="F3116" s="1" t="s">
        <v>309</v>
      </c>
      <c r="G3116" s="6">
        <v>635920</v>
      </c>
      <c r="H3116" t="str">
        <f>IFERROR(VLOOKUP(F3116,'LEAID Match'!$A$2:$B$142,2,FALSE),"")</f>
        <v/>
      </c>
    </row>
    <row r="3117" spans="1:8" x14ac:dyDescent="0.2">
      <c r="A3117" t="str">
        <f t="shared" si="48"/>
        <v/>
      </c>
      <c r="B3117" s="1">
        <v>2022</v>
      </c>
      <c r="C3117" s="1" t="s">
        <v>2505</v>
      </c>
      <c r="D3117" s="1" t="s">
        <v>2506</v>
      </c>
      <c r="E3117" s="1" t="s">
        <v>2019</v>
      </c>
      <c r="F3117" s="1" t="s">
        <v>309</v>
      </c>
      <c r="G3117" s="6">
        <v>724337</v>
      </c>
      <c r="H3117" t="str">
        <f>IFERROR(VLOOKUP(F3117,'LEAID Match'!$A$2:$B$142,2,FALSE),"")</f>
        <v/>
      </c>
    </row>
    <row r="3118" spans="1:8" x14ac:dyDescent="0.2">
      <c r="A3118" t="str">
        <f t="shared" si="48"/>
        <v/>
      </c>
      <c r="B3118" s="1">
        <v>2023</v>
      </c>
      <c r="C3118" s="1" t="s">
        <v>2505</v>
      </c>
      <c r="D3118" s="1" t="s">
        <v>2506</v>
      </c>
      <c r="E3118" s="1" t="s">
        <v>2019</v>
      </c>
      <c r="F3118" s="1" t="s">
        <v>309</v>
      </c>
      <c r="G3118" s="6">
        <v>807907</v>
      </c>
      <c r="H3118" t="str">
        <f>IFERROR(VLOOKUP(F3118,'LEAID Match'!$A$2:$B$142,2,FALSE),"")</f>
        <v/>
      </c>
    </row>
    <row r="3119" spans="1:8" x14ac:dyDescent="0.2">
      <c r="A3119" t="str">
        <f t="shared" si="48"/>
        <v/>
      </c>
      <c r="B3119" s="1">
        <v>2024</v>
      </c>
      <c r="C3119" s="1" t="s">
        <v>2505</v>
      </c>
      <c r="D3119" s="1" t="s">
        <v>2506</v>
      </c>
      <c r="E3119" s="1" t="s">
        <v>2019</v>
      </c>
      <c r="F3119" s="1" t="s">
        <v>309</v>
      </c>
      <c r="G3119" s="6">
        <v>790779</v>
      </c>
      <c r="H3119" t="str">
        <f>IFERROR(VLOOKUP(F3119,'LEAID Match'!$A$2:$B$142,2,FALSE),"")</f>
        <v/>
      </c>
    </row>
    <row r="3120" spans="1:8" x14ac:dyDescent="0.2">
      <c r="A3120" t="str">
        <f t="shared" si="48"/>
        <v/>
      </c>
      <c r="B3120" s="1">
        <v>2015</v>
      </c>
      <c r="C3120" s="1" t="s">
        <v>2505</v>
      </c>
      <c r="D3120" s="1" t="s">
        <v>2506</v>
      </c>
      <c r="E3120" s="1" t="s">
        <v>2019</v>
      </c>
      <c r="F3120" s="1" t="s">
        <v>310</v>
      </c>
      <c r="G3120" s="6">
        <v>9165</v>
      </c>
      <c r="H3120" t="str">
        <f>IFERROR(VLOOKUP(F3120,'LEAID Match'!$A$2:$B$142,2,FALSE),"")</f>
        <v/>
      </c>
    </row>
    <row r="3121" spans="1:8" x14ac:dyDescent="0.2">
      <c r="A3121" t="str">
        <f t="shared" si="48"/>
        <v/>
      </c>
      <c r="B3121">
        <v>2016</v>
      </c>
      <c r="C3121" s="1" t="s">
        <v>2505</v>
      </c>
      <c r="D3121" s="1" t="s">
        <v>2506</v>
      </c>
      <c r="E3121" s="1" t="s">
        <v>2019</v>
      </c>
      <c r="F3121" s="1" t="s">
        <v>310</v>
      </c>
      <c r="G3121" s="12">
        <v>9184</v>
      </c>
      <c r="H3121" t="str">
        <f>IFERROR(VLOOKUP(F3121,'LEAID Match'!$A$2:$B$142,2,FALSE),"")</f>
        <v/>
      </c>
    </row>
    <row r="3122" spans="1:8" x14ac:dyDescent="0.2">
      <c r="A3122" t="str">
        <f t="shared" si="48"/>
        <v/>
      </c>
      <c r="B3122" s="1">
        <v>2017</v>
      </c>
      <c r="C3122" s="1" t="s">
        <v>2505</v>
      </c>
      <c r="D3122" s="1" t="s">
        <v>2506</v>
      </c>
      <c r="E3122" s="1" t="s">
        <v>2019</v>
      </c>
      <c r="F3122" s="1" t="s">
        <v>310</v>
      </c>
      <c r="G3122" s="50">
        <v>10159</v>
      </c>
      <c r="H3122" t="str">
        <f>IFERROR(VLOOKUP(F3122,'LEAID Match'!$A$2:$B$142,2,FALSE),"")</f>
        <v/>
      </c>
    </row>
    <row r="3123" spans="1:8" x14ac:dyDescent="0.2">
      <c r="A3123" t="str">
        <f t="shared" si="48"/>
        <v/>
      </c>
      <c r="B3123" s="1">
        <v>2018</v>
      </c>
      <c r="C3123" s="1" t="s">
        <v>2505</v>
      </c>
      <c r="D3123" s="1" t="s">
        <v>2506</v>
      </c>
      <c r="E3123" s="1" t="s">
        <v>2019</v>
      </c>
      <c r="F3123" s="1" t="s">
        <v>310</v>
      </c>
      <c r="G3123" s="6">
        <v>7456</v>
      </c>
      <c r="H3123" t="str">
        <f>IFERROR(VLOOKUP(F3123,'LEAID Match'!$A$2:$B$142,2,FALSE),"")</f>
        <v/>
      </c>
    </row>
    <row r="3124" spans="1:8" x14ac:dyDescent="0.2">
      <c r="A3124" t="str">
        <f t="shared" si="48"/>
        <v/>
      </c>
      <c r="B3124" s="1">
        <v>2019</v>
      </c>
      <c r="C3124" s="1" t="s">
        <v>2505</v>
      </c>
      <c r="D3124" s="1" t="s">
        <v>2506</v>
      </c>
      <c r="E3124" s="1" t="s">
        <v>2019</v>
      </c>
      <c r="F3124" s="1" t="s">
        <v>310</v>
      </c>
      <c r="G3124" s="6">
        <v>8845</v>
      </c>
      <c r="H3124" t="str">
        <f>IFERROR(VLOOKUP(F3124,'LEAID Match'!$A$2:$B$142,2,FALSE),"")</f>
        <v/>
      </c>
    </row>
    <row r="3125" spans="1:8" x14ac:dyDescent="0.2">
      <c r="A3125" t="str">
        <f t="shared" si="48"/>
        <v/>
      </c>
      <c r="B3125" s="1">
        <v>2020</v>
      </c>
      <c r="C3125" s="1" t="s">
        <v>2505</v>
      </c>
      <c r="D3125" s="1" t="s">
        <v>2506</v>
      </c>
      <c r="E3125" s="1" t="s">
        <v>2019</v>
      </c>
      <c r="F3125" s="1" t="s">
        <v>310</v>
      </c>
      <c r="G3125" s="6">
        <v>9770</v>
      </c>
      <c r="H3125" t="str">
        <f>IFERROR(VLOOKUP(F3125,'LEAID Match'!$A$2:$B$142,2,FALSE),"")</f>
        <v/>
      </c>
    </row>
    <row r="3126" spans="1:8" x14ac:dyDescent="0.2">
      <c r="A3126" t="str">
        <f t="shared" si="48"/>
        <v/>
      </c>
      <c r="B3126" s="1">
        <v>2021</v>
      </c>
      <c r="C3126" s="1" t="s">
        <v>2505</v>
      </c>
      <c r="D3126" s="1" t="s">
        <v>2506</v>
      </c>
      <c r="E3126" s="1" t="s">
        <v>2019</v>
      </c>
      <c r="F3126" s="1" t="s">
        <v>310</v>
      </c>
      <c r="G3126" s="6">
        <v>10457</v>
      </c>
      <c r="H3126" t="str">
        <f>IFERROR(VLOOKUP(F3126,'LEAID Match'!$A$2:$B$142,2,FALSE),"")</f>
        <v/>
      </c>
    </row>
    <row r="3127" spans="1:8" x14ac:dyDescent="0.2">
      <c r="A3127" t="str">
        <f t="shared" si="48"/>
        <v/>
      </c>
      <c r="B3127" s="1">
        <v>2022</v>
      </c>
      <c r="C3127" s="1" t="s">
        <v>2505</v>
      </c>
      <c r="D3127" s="1" t="s">
        <v>2506</v>
      </c>
      <c r="E3127" s="1" t="s">
        <v>2019</v>
      </c>
      <c r="F3127" s="1" t="s">
        <v>310</v>
      </c>
      <c r="G3127" s="6">
        <v>7156</v>
      </c>
      <c r="H3127" t="str">
        <f>IFERROR(VLOOKUP(F3127,'LEAID Match'!$A$2:$B$142,2,FALSE),"")</f>
        <v/>
      </c>
    </row>
    <row r="3128" spans="1:8" x14ac:dyDescent="0.2">
      <c r="A3128" t="str">
        <f t="shared" si="48"/>
        <v/>
      </c>
      <c r="B3128" s="1">
        <v>2023</v>
      </c>
      <c r="C3128" s="1" t="s">
        <v>2505</v>
      </c>
      <c r="D3128" s="1" t="s">
        <v>2506</v>
      </c>
      <c r="E3128" s="1" t="s">
        <v>2019</v>
      </c>
      <c r="F3128" s="1" t="s">
        <v>310</v>
      </c>
      <c r="G3128" s="6">
        <v>9249</v>
      </c>
      <c r="H3128" t="str">
        <f>IFERROR(VLOOKUP(F3128,'LEAID Match'!$A$2:$B$142,2,FALSE),"")</f>
        <v/>
      </c>
    </row>
    <row r="3129" spans="1:8" x14ac:dyDescent="0.2">
      <c r="A3129" t="str">
        <f t="shared" si="48"/>
        <v/>
      </c>
      <c r="B3129" s="1">
        <v>2024</v>
      </c>
      <c r="C3129" s="1" t="s">
        <v>2505</v>
      </c>
      <c r="D3129" s="1" t="s">
        <v>2506</v>
      </c>
      <c r="E3129" s="1" t="s">
        <v>2019</v>
      </c>
      <c r="F3129" s="1" t="s">
        <v>310</v>
      </c>
      <c r="G3129" s="6">
        <v>9707</v>
      </c>
      <c r="H3129" t="str">
        <f>IFERROR(VLOOKUP(F3129,'LEAID Match'!$A$2:$B$142,2,FALSE),"")</f>
        <v/>
      </c>
    </row>
    <row r="3130" spans="1:8" x14ac:dyDescent="0.2">
      <c r="A3130" t="str">
        <f t="shared" si="48"/>
        <v/>
      </c>
      <c r="B3130" s="1">
        <v>2015</v>
      </c>
      <c r="C3130" s="1" t="s">
        <v>2505</v>
      </c>
      <c r="D3130" s="1" t="s">
        <v>2506</v>
      </c>
      <c r="E3130" s="1" t="s">
        <v>2019</v>
      </c>
      <c r="F3130" s="1" t="s">
        <v>311</v>
      </c>
      <c r="G3130" s="6">
        <v>456630</v>
      </c>
      <c r="H3130" t="str">
        <f>IFERROR(VLOOKUP(F3130,'LEAID Match'!$A$2:$B$142,2,FALSE),"")</f>
        <v/>
      </c>
    </row>
    <row r="3131" spans="1:8" x14ac:dyDescent="0.2">
      <c r="A3131" t="str">
        <f t="shared" si="48"/>
        <v/>
      </c>
      <c r="B3131">
        <v>2016</v>
      </c>
      <c r="C3131" s="1" t="s">
        <v>2505</v>
      </c>
      <c r="D3131" s="1" t="s">
        <v>2506</v>
      </c>
      <c r="E3131" s="1" t="s">
        <v>2019</v>
      </c>
      <c r="F3131" s="1" t="s">
        <v>311</v>
      </c>
      <c r="G3131" s="12">
        <v>422362</v>
      </c>
      <c r="H3131" t="str">
        <f>IFERROR(VLOOKUP(F3131,'LEAID Match'!$A$2:$B$142,2,FALSE),"")</f>
        <v/>
      </c>
    </row>
    <row r="3132" spans="1:8" x14ac:dyDescent="0.2">
      <c r="A3132" t="str">
        <f t="shared" si="48"/>
        <v/>
      </c>
      <c r="B3132" s="1">
        <v>2017</v>
      </c>
      <c r="C3132" s="1" t="s">
        <v>2505</v>
      </c>
      <c r="D3132" s="1" t="s">
        <v>2506</v>
      </c>
      <c r="E3132" s="1" t="s">
        <v>2019</v>
      </c>
      <c r="F3132" s="1" t="s">
        <v>311</v>
      </c>
      <c r="G3132" s="50">
        <v>471395</v>
      </c>
      <c r="H3132" t="str">
        <f>IFERROR(VLOOKUP(F3132,'LEAID Match'!$A$2:$B$142,2,FALSE),"")</f>
        <v/>
      </c>
    </row>
    <row r="3133" spans="1:8" x14ac:dyDescent="0.2">
      <c r="A3133" t="str">
        <f t="shared" si="48"/>
        <v/>
      </c>
      <c r="B3133" s="1">
        <v>2018</v>
      </c>
      <c r="C3133" s="1" t="s">
        <v>2505</v>
      </c>
      <c r="D3133" s="1" t="s">
        <v>2506</v>
      </c>
      <c r="E3133" s="1" t="s">
        <v>2019</v>
      </c>
      <c r="F3133" s="1" t="s">
        <v>311</v>
      </c>
      <c r="G3133" s="6">
        <v>471038</v>
      </c>
      <c r="H3133" t="str">
        <f>IFERROR(VLOOKUP(F3133,'LEAID Match'!$A$2:$B$142,2,FALSE),"")</f>
        <v/>
      </c>
    </row>
    <row r="3134" spans="1:8" x14ac:dyDescent="0.2">
      <c r="A3134" t="str">
        <f t="shared" si="48"/>
        <v/>
      </c>
      <c r="B3134" s="1">
        <v>2019</v>
      </c>
      <c r="C3134" s="1" t="s">
        <v>2505</v>
      </c>
      <c r="D3134" s="1" t="s">
        <v>2506</v>
      </c>
      <c r="E3134" s="1" t="s">
        <v>2019</v>
      </c>
      <c r="F3134" s="1" t="s">
        <v>311</v>
      </c>
      <c r="G3134" s="6">
        <v>477756</v>
      </c>
      <c r="H3134" t="str">
        <f>IFERROR(VLOOKUP(F3134,'LEAID Match'!$A$2:$B$142,2,FALSE),"")</f>
        <v/>
      </c>
    </row>
    <row r="3135" spans="1:8" x14ac:dyDescent="0.2">
      <c r="A3135" t="str">
        <f t="shared" si="48"/>
        <v/>
      </c>
      <c r="B3135" s="1">
        <v>2020</v>
      </c>
      <c r="C3135" s="1" t="s">
        <v>2505</v>
      </c>
      <c r="D3135" s="1" t="s">
        <v>2506</v>
      </c>
      <c r="E3135" s="1" t="s">
        <v>2019</v>
      </c>
      <c r="F3135" s="1" t="s">
        <v>311</v>
      </c>
      <c r="G3135" s="6">
        <v>524074</v>
      </c>
      <c r="H3135" t="str">
        <f>IFERROR(VLOOKUP(F3135,'LEAID Match'!$A$2:$B$142,2,FALSE),"")</f>
        <v/>
      </c>
    </row>
    <row r="3136" spans="1:8" x14ac:dyDescent="0.2">
      <c r="A3136" t="str">
        <f t="shared" si="48"/>
        <v/>
      </c>
      <c r="B3136" s="1">
        <v>2021</v>
      </c>
      <c r="C3136" s="1" t="s">
        <v>2505</v>
      </c>
      <c r="D3136" s="1" t="s">
        <v>2506</v>
      </c>
      <c r="E3136" s="1" t="s">
        <v>2019</v>
      </c>
      <c r="F3136" s="1" t="s">
        <v>311</v>
      </c>
      <c r="G3136" s="6">
        <v>528805</v>
      </c>
      <c r="H3136" t="str">
        <f>IFERROR(VLOOKUP(F3136,'LEAID Match'!$A$2:$B$142,2,FALSE),"")</f>
        <v/>
      </c>
    </row>
    <row r="3137" spans="1:8" x14ac:dyDescent="0.2">
      <c r="A3137" t="str">
        <f t="shared" si="48"/>
        <v/>
      </c>
      <c r="B3137" s="1">
        <v>2022</v>
      </c>
      <c r="C3137" s="1" t="s">
        <v>2505</v>
      </c>
      <c r="D3137" s="1" t="s">
        <v>2506</v>
      </c>
      <c r="E3137" s="1" t="s">
        <v>2019</v>
      </c>
      <c r="F3137" s="1" t="s">
        <v>311</v>
      </c>
      <c r="G3137" s="6">
        <v>511584</v>
      </c>
      <c r="H3137" t="str">
        <f>IFERROR(VLOOKUP(F3137,'LEAID Match'!$A$2:$B$142,2,FALSE),"")</f>
        <v/>
      </c>
    </row>
    <row r="3138" spans="1:8" x14ac:dyDescent="0.2">
      <c r="A3138" t="str">
        <f t="shared" si="48"/>
        <v/>
      </c>
      <c r="B3138" s="1">
        <v>2023</v>
      </c>
      <c r="C3138" s="1" t="s">
        <v>2505</v>
      </c>
      <c r="D3138" s="1" t="s">
        <v>2506</v>
      </c>
      <c r="E3138" s="1" t="s">
        <v>2019</v>
      </c>
      <c r="F3138" s="1" t="s">
        <v>311</v>
      </c>
      <c r="G3138" s="6">
        <v>544738</v>
      </c>
      <c r="H3138" t="str">
        <f>IFERROR(VLOOKUP(F3138,'LEAID Match'!$A$2:$B$142,2,FALSE),"")</f>
        <v/>
      </c>
    </row>
    <row r="3139" spans="1:8" x14ac:dyDescent="0.2">
      <c r="A3139" t="str">
        <f t="shared" ref="A3139:A3202" si="49">H3139</f>
        <v/>
      </c>
      <c r="B3139" s="1">
        <v>2024</v>
      </c>
      <c r="C3139" s="1" t="s">
        <v>2505</v>
      </c>
      <c r="D3139" s="1" t="s">
        <v>2506</v>
      </c>
      <c r="E3139" s="1" t="s">
        <v>2019</v>
      </c>
      <c r="F3139" s="1" t="s">
        <v>311</v>
      </c>
      <c r="G3139" s="6">
        <v>489840</v>
      </c>
      <c r="H3139" t="str">
        <f>IFERROR(VLOOKUP(F3139,'LEAID Match'!$A$2:$B$142,2,FALSE),"")</f>
        <v/>
      </c>
    </row>
    <row r="3140" spans="1:8" x14ac:dyDescent="0.2">
      <c r="A3140" t="str">
        <f t="shared" si="49"/>
        <v/>
      </c>
      <c r="B3140" s="1">
        <v>2015</v>
      </c>
      <c r="C3140" s="1" t="s">
        <v>2505</v>
      </c>
      <c r="D3140" s="1" t="s">
        <v>2506</v>
      </c>
      <c r="E3140" s="1" t="s">
        <v>2019</v>
      </c>
      <c r="F3140" s="1" t="s">
        <v>2214</v>
      </c>
      <c r="G3140" s="6">
        <v>795124</v>
      </c>
      <c r="H3140" t="str">
        <f>IFERROR(VLOOKUP(F3140,'LEAID Match'!$A$2:$B$142,2,FALSE),"")</f>
        <v/>
      </c>
    </row>
    <row r="3141" spans="1:8" x14ac:dyDescent="0.2">
      <c r="A3141" t="str">
        <f t="shared" si="49"/>
        <v/>
      </c>
      <c r="B3141" s="1">
        <v>2015</v>
      </c>
      <c r="C3141" s="1" t="s">
        <v>2505</v>
      </c>
      <c r="D3141" s="1" t="s">
        <v>2506</v>
      </c>
      <c r="E3141" s="1" t="s">
        <v>2019</v>
      </c>
      <c r="F3141" s="1" t="s">
        <v>312</v>
      </c>
      <c r="G3141" s="6">
        <v>348353</v>
      </c>
      <c r="H3141" t="str">
        <f>IFERROR(VLOOKUP(F3141,'LEAID Match'!$A$2:$B$142,2,FALSE),"")</f>
        <v/>
      </c>
    </row>
    <row r="3142" spans="1:8" x14ac:dyDescent="0.2">
      <c r="A3142" t="str">
        <f t="shared" si="49"/>
        <v/>
      </c>
      <c r="B3142">
        <v>2016</v>
      </c>
      <c r="C3142" s="1" t="s">
        <v>2505</v>
      </c>
      <c r="D3142" s="1" t="s">
        <v>2506</v>
      </c>
      <c r="E3142" s="1" t="s">
        <v>2019</v>
      </c>
      <c r="F3142" s="1" t="s">
        <v>312</v>
      </c>
      <c r="G3142" s="12">
        <v>325092</v>
      </c>
      <c r="H3142" t="str">
        <f>IFERROR(VLOOKUP(F3142,'LEAID Match'!$A$2:$B$142,2,FALSE),"")</f>
        <v/>
      </c>
    </row>
    <row r="3143" spans="1:8" x14ac:dyDescent="0.2">
      <c r="A3143" t="str">
        <f t="shared" si="49"/>
        <v/>
      </c>
      <c r="B3143" s="1">
        <v>2017</v>
      </c>
      <c r="C3143" s="1" t="s">
        <v>2505</v>
      </c>
      <c r="D3143" s="1" t="s">
        <v>2506</v>
      </c>
      <c r="E3143" s="1" t="s">
        <v>2019</v>
      </c>
      <c r="F3143" s="1" t="s">
        <v>312</v>
      </c>
      <c r="G3143" s="50">
        <v>333303</v>
      </c>
      <c r="H3143" t="str">
        <f>IFERROR(VLOOKUP(F3143,'LEAID Match'!$A$2:$B$142,2,FALSE),"")</f>
        <v/>
      </c>
    </row>
    <row r="3144" spans="1:8" x14ac:dyDescent="0.2">
      <c r="A3144" t="str">
        <f t="shared" si="49"/>
        <v/>
      </c>
      <c r="B3144" s="1">
        <v>2018</v>
      </c>
      <c r="C3144" s="1" t="s">
        <v>2505</v>
      </c>
      <c r="D3144" s="1" t="s">
        <v>2506</v>
      </c>
      <c r="E3144" s="1" t="s">
        <v>2019</v>
      </c>
      <c r="F3144" s="1" t="s">
        <v>312</v>
      </c>
      <c r="G3144" s="6">
        <v>352203</v>
      </c>
      <c r="H3144" t="str">
        <f>IFERROR(VLOOKUP(F3144,'LEAID Match'!$A$2:$B$142,2,FALSE),"")</f>
        <v/>
      </c>
    </row>
    <row r="3145" spans="1:8" x14ac:dyDescent="0.2">
      <c r="A3145" t="str">
        <f t="shared" si="49"/>
        <v/>
      </c>
      <c r="B3145" s="1">
        <v>2019</v>
      </c>
      <c r="C3145" s="1" t="s">
        <v>2505</v>
      </c>
      <c r="D3145" s="1" t="s">
        <v>2506</v>
      </c>
      <c r="E3145" s="1" t="s">
        <v>2019</v>
      </c>
      <c r="F3145" s="1" t="s">
        <v>312</v>
      </c>
      <c r="G3145" s="6">
        <v>421371</v>
      </c>
      <c r="H3145" t="str">
        <f>IFERROR(VLOOKUP(F3145,'LEAID Match'!$A$2:$B$142,2,FALSE),"")</f>
        <v/>
      </c>
    </row>
    <row r="3146" spans="1:8" x14ac:dyDescent="0.2">
      <c r="A3146" t="str">
        <f t="shared" si="49"/>
        <v/>
      </c>
      <c r="B3146" s="1">
        <v>2020</v>
      </c>
      <c r="C3146" s="1" t="s">
        <v>2505</v>
      </c>
      <c r="D3146" s="1" t="s">
        <v>2506</v>
      </c>
      <c r="E3146" s="1" t="s">
        <v>2019</v>
      </c>
      <c r="F3146" s="1" t="s">
        <v>312</v>
      </c>
      <c r="G3146" s="6">
        <v>434593</v>
      </c>
      <c r="H3146" t="str">
        <f>IFERROR(VLOOKUP(F3146,'LEAID Match'!$A$2:$B$142,2,FALSE),"")</f>
        <v/>
      </c>
    </row>
    <row r="3147" spans="1:8" x14ac:dyDescent="0.2">
      <c r="A3147" t="str">
        <f t="shared" si="49"/>
        <v/>
      </c>
      <c r="B3147" s="1">
        <v>2021</v>
      </c>
      <c r="C3147" s="1" t="s">
        <v>2505</v>
      </c>
      <c r="D3147" s="1" t="s">
        <v>2506</v>
      </c>
      <c r="E3147" s="1" t="s">
        <v>2019</v>
      </c>
      <c r="F3147" s="1" t="s">
        <v>312</v>
      </c>
      <c r="G3147" s="6">
        <v>418954</v>
      </c>
      <c r="H3147" t="str">
        <f>IFERROR(VLOOKUP(F3147,'LEAID Match'!$A$2:$B$142,2,FALSE),"")</f>
        <v/>
      </c>
    </row>
    <row r="3148" spans="1:8" x14ac:dyDescent="0.2">
      <c r="A3148" t="str">
        <f t="shared" si="49"/>
        <v/>
      </c>
      <c r="B3148" s="1">
        <v>2022</v>
      </c>
      <c r="C3148" s="1" t="s">
        <v>2505</v>
      </c>
      <c r="D3148" s="1" t="s">
        <v>2506</v>
      </c>
      <c r="E3148" s="1" t="s">
        <v>2019</v>
      </c>
      <c r="F3148" s="1" t="s">
        <v>312</v>
      </c>
      <c r="G3148" s="6">
        <v>409845</v>
      </c>
      <c r="H3148" t="str">
        <f>IFERROR(VLOOKUP(F3148,'LEAID Match'!$A$2:$B$142,2,FALSE),"")</f>
        <v/>
      </c>
    </row>
    <row r="3149" spans="1:8" x14ac:dyDescent="0.2">
      <c r="A3149" t="str">
        <f t="shared" si="49"/>
        <v/>
      </c>
      <c r="B3149" s="1">
        <v>2023</v>
      </c>
      <c r="C3149" s="1" t="s">
        <v>2505</v>
      </c>
      <c r="D3149" s="1" t="s">
        <v>2506</v>
      </c>
      <c r="E3149" s="1" t="s">
        <v>2019</v>
      </c>
      <c r="F3149" s="1" t="s">
        <v>312</v>
      </c>
      <c r="G3149" s="6">
        <v>391224</v>
      </c>
      <c r="H3149" t="str">
        <f>IFERROR(VLOOKUP(F3149,'LEAID Match'!$A$2:$B$142,2,FALSE),"")</f>
        <v/>
      </c>
    </row>
    <row r="3150" spans="1:8" x14ac:dyDescent="0.2">
      <c r="A3150" t="str">
        <f t="shared" si="49"/>
        <v/>
      </c>
      <c r="B3150" s="1">
        <v>2024</v>
      </c>
      <c r="C3150" s="1" t="s">
        <v>2505</v>
      </c>
      <c r="D3150" s="1" t="s">
        <v>2506</v>
      </c>
      <c r="E3150" s="1" t="s">
        <v>2019</v>
      </c>
      <c r="F3150" s="1" t="s">
        <v>312</v>
      </c>
      <c r="G3150" s="6">
        <v>402355</v>
      </c>
      <c r="H3150" t="str">
        <f>IFERROR(VLOOKUP(F3150,'LEAID Match'!$A$2:$B$142,2,FALSE),"")</f>
        <v/>
      </c>
    </row>
    <row r="3151" spans="1:8" x14ac:dyDescent="0.2">
      <c r="A3151" t="str">
        <f t="shared" si="49"/>
        <v/>
      </c>
      <c r="B3151" s="1">
        <v>2015</v>
      </c>
      <c r="C3151" s="1" t="s">
        <v>2505</v>
      </c>
      <c r="D3151" s="1" t="s">
        <v>2506</v>
      </c>
      <c r="E3151" s="1" t="s">
        <v>2019</v>
      </c>
      <c r="F3151" s="1" t="s">
        <v>313</v>
      </c>
      <c r="G3151" s="6">
        <v>1388827</v>
      </c>
      <c r="H3151" t="str">
        <f>IFERROR(VLOOKUP(F3151,'LEAID Match'!$A$2:$B$142,2,FALSE),"")</f>
        <v/>
      </c>
    </row>
    <row r="3152" spans="1:8" x14ac:dyDescent="0.2">
      <c r="A3152" t="str">
        <f t="shared" si="49"/>
        <v/>
      </c>
      <c r="B3152">
        <v>2016</v>
      </c>
      <c r="C3152" s="1" t="s">
        <v>2505</v>
      </c>
      <c r="D3152" s="1" t="s">
        <v>2506</v>
      </c>
      <c r="E3152" s="1" t="s">
        <v>2019</v>
      </c>
      <c r="F3152" s="1" t="s">
        <v>313</v>
      </c>
      <c r="G3152" s="12">
        <v>1376565</v>
      </c>
      <c r="H3152" t="str">
        <f>IFERROR(VLOOKUP(F3152,'LEAID Match'!$A$2:$B$142,2,FALSE),"")</f>
        <v/>
      </c>
    </row>
    <row r="3153" spans="1:8" x14ac:dyDescent="0.2">
      <c r="A3153" t="str">
        <f t="shared" si="49"/>
        <v/>
      </c>
      <c r="B3153" s="1">
        <v>2017</v>
      </c>
      <c r="C3153" s="1" t="s">
        <v>2505</v>
      </c>
      <c r="D3153" s="1" t="s">
        <v>2506</v>
      </c>
      <c r="E3153" s="1" t="s">
        <v>2019</v>
      </c>
      <c r="F3153" s="1" t="s">
        <v>313</v>
      </c>
      <c r="G3153" s="50">
        <v>1276822</v>
      </c>
      <c r="H3153" t="str">
        <f>IFERROR(VLOOKUP(F3153,'LEAID Match'!$A$2:$B$142,2,FALSE),"")</f>
        <v/>
      </c>
    </row>
    <row r="3154" spans="1:8" x14ac:dyDescent="0.2">
      <c r="A3154" t="str">
        <f t="shared" si="49"/>
        <v/>
      </c>
      <c r="B3154" s="1">
        <v>2018</v>
      </c>
      <c r="C3154" s="1" t="s">
        <v>2505</v>
      </c>
      <c r="D3154" s="1" t="s">
        <v>2506</v>
      </c>
      <c r="E3154" s="1" t="s">
        <v>2019</v>
      </c>
      <c r="F3154" s="1" t="s">
        <v>313</v>
      </c>
      <c r="G3154" s="6">
        <v>1266187</v>
      </c>
      <c r="H3154" t="str">
        <f>IFERROR(VLOOKUP(F3154,'LEAID Match'!$A$2:$B$142,2,FALSE),"")</f>
        <v/>
      </c>
    </row>
    <row r="3155" spans="1:8" x14ac:dyDescent="0.2">
      <c r="A3155" t="str">
        <f t="shared" si="49"/>
        <v/>
      </c>
      <c r="B3155" s="1">
        <v>2019</v>
      </c>
      <c r="C3155" s="1" t="s">
        <v>2505</v>
      </c>
      <c r="D3155" s="1" t="s">
        <v>2506</v>
      </c>
      <c r="E3155" s="1" t="s">
        <v>2019</v>
      </c>
      <c r="F3155" s="1" t="s">
        <v>313</v>
      </c>
      <c r="G3155" s="6">
        <v>1199335</v>
      </c>
      <c r="H3155" t="str">
        <f>IFERROR(VLOOKUP(F3155,'LEAID Match'!$A$2:$B$142,2,FALSE),"")</f>
        <v/>
      </c>
    </row>
    <row r="3156" spans="1:8" x14ac:dyDescent="0.2">
      <c r="A3156" t="str">
        <f t="shared" si="49"/>
        <v/>
      </c>
      <c r="B3156" s="1">
        <v>2020</v>
      </c>
      <c r="C3156" s="1" t="s">
        <v>2505</v>
      </c>
      <c r="D3156" s="1" t="s">
        <v>2506</v>
      </c>
      <c r="E3156" s="1" t="s">
        <v>2019</v>
      </c>
      <c r="F3156" s="1" t="s">
        <v>313</v>
      </c>
      <c r="G3156" s="6">
        <v>1360627</v>
      </c>
      <c r="H3156" t="str">
        <f>IFERROR(VLOOKUP(F3156,'LEAID Match'!$A$2:$B$142,2,FALSE),"")</f>
        <v/>
      </c>
    </row>
    <row r="3157" spans="1:8" x14ac:dyDescent="0.2">
      <c r="A3157" t="str">
        <f t="shared" si="49"/>
        <v/>
      </c>
      <c r="B3157" s="1">
        <v>2021</v>
      </c>
      <c r="C3157" s="1" t="s">
        <v>2505</v>
      </c>
      <c r="D3157" s="1" t="s">
        <v>2506</v>
      </c>
      <c r="E3157" s="1" t="s">
        <v>2019</v>
      </c>
      <c r="F3157" s="1" t="s">
        <v>313</v>
      </c>
      <c r="G3157" s="6">
        <v>1334847</v>
      </c>
      <c r="H3157" t="str">
        <f>IFERROR(VLOOKUP(F3157,'LEAID Match'!$A$2:$B$142,2,FALSE),"")</f>
        <v/>
      </c>
    </row>
    <row r="3158" spans="1:8" x14ac:dyDescent="0.2">
      <c r="A3158" t="str">
        <f t="shared" si="49"/>
        <v/>
      </c>
      <c r="B3158" s="1">
        <v>2022</v>
      </c>
      <c r="C3158" s="1" t="s">
        <v>2505</v>
      </c>
      <c r="D3158" s="1" t="s">
        <v>2506</v>
      </c>
      <c r="E3158" s="1" t="s">
        <v>2019</v>
      </c>
      <c r="F3158" s="1" t="s">
        <v>313</v>
      </c>
      <c r="G3158" s="6">
        <v>1266362</v>
      </c>
      <c r="H3158" t="str">
        <f>IFERROR(VLOOKUP(F3158,'LEAID Match'!$A$2:$B$142,2,FALSE),"")</f>
        <v/>
      </c>
    </row>
    <row r="3159" spans="1:8" x14ac:dyDescent="0.2">
      <c r="A3159" t="str">
        <f t="shared" si="49"/>
        <v/>
      </c>
      <c r="B3159" s="1">
        <v>2023</v>
      </c>
      <c r="C3159" s="1" t="s">
        <v>2505</v>
      </c>
      <c r="D3159" s="1" t="s">
        <v>2506</v>
      </c>
      <c r="E3159" s="1" t="s">
        <v>2019</v>
      </c>
      <c r="F3159" s="1" t="s">
        <v>313</v>
      </c>
      <c r="G3159" s="6">
        <v>1294475</v>
      </c>
      <c r="H3159" t="str">
        <f>IFERROR(VLOOKUP(F3159,'LEAID Match'!$A$2:$B$142,2,FALSE),"")</f>
        <v/>
      </c>
    </row>
    <row r="3160" spans="1:8" x14ac:dyDescent="0.2">
      <c r="A3160" t="str">
        <f t="shared" si="49"/>
        <v/>
      </c>
      <c r="B3160" s="1">
        <v>2024</v>
      </c>
      <c r="C3160" s="1" t="s">
        <v>2505</v>
      </c>
      <c r="D3160" s="1" t="s">
        <v>2506</v>
      </c>
      <c r="E3160" s="1" t="s">
        <v>2019</v>
      </c>
      <c r="F3160" s="1" t="s">
        <v>313</v>
      </c>
      <c r="G3160" s="6">
        <v>1463795</v>
      </c>
      <c r="H3160" t="str">
        <f>IFERROR(VLOOKUP(F3160,'LEAID Match'!$A$2:$B$142,2,FALSE),"")</f>
        <v/>
      </c>
    </row>
    <row r="3161" spans="1:8" x14ac:dyDescent="0.2">
      <c r="A3161" t="str">
        <f t="shared" si="49"/>
        <v/>
      </c>
      <c r="B3161" s="1">
        <v>2015</v>
      </c>
      <c r="C3161" s="1" t="s">
        <v>2505</v>
      </c>
      <c r="D3161" s="1" t="s">
        <v>2506</v>
      </c>
      <c r="E3161" s="1" t="s">
        <v>2019</v>
      </c>
      <c r="F3161" s="1" t="s">
        <v>314</v>
      </c>
      <c r="G3161" s="6">
        <v>1135605</v>
      </c>
      <c r="H3161" t="str">
        <f>IFERROR(VLOOKUP(F3161,'LEAID Match'!$A$2:$B$142,2,FALSE),"")</f>
        <v/>
      </c>
    </row>
    <row r="3162" spans="1:8" x14ac:dyDescent="0.2">
      <c r="A3162" t="str">
        <f t="shared" si="49"/>
        <v/>
      </c>
      <c r="B3162">
        <v>2016</v>
      </c>
      <c r="C3162" s="1" t="s">
        <v>2505</v>
      </c>
      <c r="D3162" s="1" t="s">
        <v>2506</v>
      </c>
      <c r="E3162" s="1" t="s">
        <v>2019</v>
      </c>
      <c r="F3162" s="1" t="s">
        <v>314</v>
      </c>
      <c r="G3162" s="12">
        <v>1062714</v>
      </c>
      <c r="H3162" t="str">
        <f>IFERROR(VLOOKUP(F3162,'LEAID Match'!$A$2:$B$142,2,FALSE),"")</f>
        <v/>
      </c>
    </row>
    <row r="3163" spans="1:8" x14ac:dyDescent="0.2">
      <c r="A3163" t="str">
        <f t="shared" si="49"/>
        <v/>
      </c>
      <c r="B3163" s="1">
        <v>2017</v>
      </c>
      <c r="C3163" s="1" t="s">
        <v>2505</v>
      </c>
      <c r="D3163" s="1" t="s">
        <v>2506</v>
      </c>
      <c r="E3163" s="1" t="s">
        <v>2019</v>
      </c>
      <c r="F3163" s="1" t="s">
        <v>314</v>
      </c>
      <c r="G3163" s="50">
        <v>1058263</v>
      </c>
      <c r="H3163" t="str">
        <f>IFERROR(VLOOKUP(F3163,'LEAID Match'!$A$2:$B$142,2,FALSE),"")</f>
        <v/>
      </c>
    </row>
    <row r="3164" spans="1:8" x14ac:dyDescent="0.2">
      <c r="A3164" t="str">
        <f t="shared" si="49"/>
        <v/>
      </c>
      <c r="B3164" s="1">
        <v>2018</v>
      </c>
      <c r="C3164" s="1" t="s">
        <v>2505</v>
      </c>
      <c r="D3164" s="1" t="s">
        <v>2506</v>
      </c>
      <c r="E3164" s="1" t="s">
        <v>2019</v>
      </c>
      <c r="F3164" s="1" t="s">
        <v>314</v>
      </c>
      <c r="G3164" s="6">
        <v>1034679</v>
      </c>
      <c r="H3164" t="str">
        <f>IFERROR(VLOOKUP(F3164,'LEAID Match'!$A$2:$B$142,2,FALSE),"")</f>
        <v/>
      </c>
    </row>
    <row r="3165" spans="1:8" x14ac:dyDescent="0.2">
      <c r="A3165" t="str">
        <f t="shared" si="49"/>
        <v/>
      </c>
      <c r="B3165" s="1">
        <v>2019</v>
      </c>
      <c r="C3165" s="1" t="s">
        <v>2505</v>
      </c>
      <c r="D3165" s="1" t="s">
        <v>2506</v>
      </c>
      <c r="E3165" s="1" t="s">
        <v>2019</v>
      </c>
      <c r="F3165" s="1" t="s">
        <v>314</v>
      </c>
      <c r="G3165" s="6">
        <v>1047241</v>
      </c>
      <c r="H3165" t="str">
        <f>IFERROR(VLOOKUP(F3165,'LEAID Match'!$A$2:$B$142,2,FALSE),"")</f>
        <v/>
      </c>
    </row>
    <row r="3166" spans="1:8" x14ac:dyDescent="0.2">
      <c r="A3166" t="str">
        <f t="shared" si="49"/>
        <v/>
      </c>
      <c r="B3166" s="1">
        <v>2020</v>
      </c>
      <c r="C3166" s="1" t="s">
        <v>2505</v>
      </c>
      <c r="D3166" s="1" t="s">
        <v>2506</v>
      </c>
      <c r="E3166" s="1" t="s">
        <v>2019</v>
      </c>
      <c r="F3166" s="1" t="s">
        <v>314</v>
      </c>
      <c r="G3166" s="6">
        <v>1160228</v>
      </c>
      <c r="H3166" t="str">
        <f>IFERROR(VLOOKUP(F3166,'LEAID Match'!$A$2:$B$142,2,FALSE),"")</f>
        <v/>
      </c>
    </row>
    <row r="3167" spans="1:8" x14ac:dyDescent="0.2">
      <c r="A3167" t="str">
        <f t="shared" si="49"/>
        <v/>
      </c>
      <c r="B3167" s="1">
        <v>2021</v>
      </c>
      <c r="C3167" s="1" t="s">
        <v>2505</v>
      </c>
      <c r="D3167" s="1" t="s">
        <v>2506</v>
      </c>
      <c r="E3167" s="1" t="s">
        <v>2019</v>
      </c>
      <c r="F3167" s="1" t="s">
        <v>314</v>
      </c>
      <c r="G3167" s="6">
        <v>1096750</v>
      </c>
      <c r="H3167" t="str">
        <f>IFERROR(VLOOKUP(F3167,'LEAID Match'!$A$2:$B$142,2,FALSE),"")</f>
        <v/>
      </c>
    </row>
    <row r="3168" spans="1:8" x14ac:dyDescent="0.2">
      <c r="A3168" t="str">
        <f t="shared" si="49"/>
        <v/>
      </c>
      <c r="B3168" s="1">
        <v>2022</v>
      </c>
      <c r="C3168" s="1" t="s">
        <v>2505</v>
      </c>
      <c r="D3168" s="1" t="s">
        <v>2506</v>
      </c>
      <c r="E3168" s="1" t="s">
        <v>2019</v>
      </c>
      <c r="F3168" s="1" t="s">
        <v>314</v>
      </c>
      <c r="G3168" s="6">
        <v>1137721</v>
      </c>
      <c r="H3168" t="str">
        <f>IFERROR(VLOOKUP(F3168,'LEAID Match'!$A$2:$B$142,2,FALSE),"")</f>
        <v/>
      </c>
    </row>
    <row r="3169" spans="1:8" x14ac:dyDescent="0.2">
      <c r="A3169" t="str">
        <f t="shared" si="49"/>
        <v/>
      </c>
      <c r="B3169" s="1">
        <v>2023</v>
      </c>
      <c r="C3169" s="1" t="s">
        <v>2505</v>
      </c>
      <c r="D3169" s="1" t="s">
        <v>2506</v>
      </c>
      <c r="E3169" s="1" t="s">
        <v>2019</v>
      </c>
      <c r="F3169" s="1" t="s">
        <v>314</v>
      </c>
      <c r="G3169" s="6">
        <v>1196426</v>
      </c>
      <c r="H3169" t="str">
        <f>IFERROR(VLOOKUP(F3169,'LEAID Match'!$A$2:$B$142,2,FALSE),"")</f>
        <v/>
      </c>
    </row>
    <row r="3170" spans="1:8" x14ac:dyDescent="0.2">
      <c r="A3170" t="str">
        <f t="shared" si="49"/>
        <v/>
      </c>
      <c r="B3170" s="1">
        <v>2024</v>
      </c>
      <c r="C3170" s="1" t="s">
        <v>2505</v>
      </c>
      <c r="D3170" s="1" t="s">
        <v>2506</v>
      </c>
      <c r="E3170" s="1" t="s">
        <v>2019</v>
      </c>
      <c r="F3170" s="1" t="s">
        <v>314</v>
      </c>
      <c r="G3170" s="6">
        <v>1203871</v>
      </c>
      <c r="H3170" t="str">
        <f>IFERROR(VLOOKUP(F3170,'LEAID Match'!$A$2:$B$142,2,FALSE),"")</f>
        <v/>
      </c>
    </row>
    <row r="3171" spans="1:8" x14ac:dyDescent="0.2">
      <c r="A3171" t="str">
        <f t="shared" si="49"/>
        <v/>
      </c>
      <c r="B3171" s="1">
        <v>2015</v>
      </c>
      <c r="C3171" s="1" t="s">
        <v>2505</v>
      </c>
      <c r="D3171" s="1" t="s">
        <v>2506</v>
      </c>
      <c r="E3171" s="1" t="s">
        <v>2019</v>
      </c>
      <c r="F3171" s="1" t="s">
        <v>315</v>
      </c>
      <c r="G3171" s="6">
        <v>45949</v>
      </c>
      <c r="H3171" t="str">
        <f>IFERROR(VLOOKUP(F3171,'LEAID Match'!$A$2:$B$142,2,FALSE),"")</f>
        <v/>
      </c>
    </row>
    <row r="3172" spans="1:8" x14ac:dyDescent="0.2">
      <c r="A3172" t="str">
        <f t="shared" si="49"/>
        <v/>
      </c>
      <c r="B3172">
        <v>2016</v>
      </c>
      <c r="C3172" s="1" t="s">
        <v>2505</v>
      </c>
      <c r="D3172" s="1" t="s">
        <v>2506</v>
      </c>
      <c r="E3172" s="1" t="s">
        <v>2019</v>
      </c>
      <c r="F3172" s="1" t="s">
        <v>315</v>
      </c>
      <c r="G3172" s="12">
        <v>46466</v>
      </c>
      <c r="H3172" t="str">
        <f>IFERROR(VLOOKUP(F3172,'LEAID Match'!$A$2:$B$142,2,FALSE),"")</f>
        <v/>
      </c>
    </row>
    <row r="3173" spans="1:8" x14ac:dyDescent="0.2">
      <c r="A3173" t="str">
        <f t="shared" si="49"/>
        <v/>
      </c>
      <c r="B3173" s="1">
        <v>2017</v>
      </c>
      <c r="C3173" s="1" t="s">
        <v>2505</v>
      </c>
      <c r="D3173" s="1" t="s">
        <v>2506</v>
      </c>
      <c r="E3173" s="1" t="s">
        <v>2019</v>
      </c>
      <c r="F3173" s="1" t="s">
        <v>315</v>
      </c>
      <c r="G3173" s="50">
        <v>48194</v>
      </c>
      <c r="H3173" t="str">
        <f>IFERROR(VLOOKUP(F3173,'LEAID Match'!$A$2:$B$142,2,FALSE),"")</f>
        <v/>
      </c>
    </row>
    <row r="3174" spans="1:8" x14ac:dyDescent="0.2">
      <c r="A3174" t="str">
        <f t="shared" si="49"/>
        <v/>
      </c>
      <c r="B3174" s="1">
        <v>2018</v>
      </c>
      <c r="C3174" s="1" t="s">
        <v>2505</v>
      </c>
      <c r="D3174" s="1" t="s">
        <v>2506</v>
      </c>
      <c r="E3174" s="1" t="s">
        <v>2019</v>
      </c>
      <c r="F3174" s="1" t="s">
        <v>315</v>
      </c>
      <c r="G3174" s="6">
        <v>49530</v>
      </c>
      <c r="H3174" t="str">
        <f>IFERROR(VLOOKUP(F3174,'LEAID Match'!$A$2:$B$142,2,FALSE),"")</f>
        <v/>
      </c>
    </row>
    <row r="3175" spans="1:8" x14ac:dyDescent="0.2">
      <c r="A3175" t="str">
        <f t="shared" si="49"/>
        <v/>
      </c>
      <c r="B3175" s="1">
        <v>2019</v>
      </c>
      <c r="C3175" s="1" t="s">
        <v>2505</v>
      </c>
      <c r="D3175" s="1" t="s">
        <v>2506</v>
      </c>
      <c r="E3175" s="1" t="s">
        <v>2019</v>
      </c>
      <c r="F3175" s="1" t="s">
        <v>315</v>
      </c>
      <c r="G3175" s="6">
        <v>50880</v>
      </c>
      <c r="H3175" t="str">
        <f>IFERROR(VLOOKUP(F3175,'LEAID Match'!$A$2:$B$142,2,FALSE),"")</f>
        <v/>
      </c>
    </row>
    <row r="3176" spans="1:8" x14ac:dyDescent="0.2">
      <c r="A3176" t="str">
        <f t="shared" si="49"/>
        <v/>
      </c>
      <c r="B3176" s="1">
        <v>2020</v>
      </c>
      <c r="C3176" s="1" t="s">
        <v>2505</v>
      </c>
      <c r="D3176" s="1" t="s">
        <v>2506</v>
      </c>
      <c r="E3176" s="1" t="s">
        <v>2019</v>
      </c>
      <c r="F3176" s="1" t="s">
        <v>315</v>
      </c>
      <c r="G3176" s="6">
        <v>56248</v>
      </c>
      <c r="H3176" t="str">
        <f>IFERROR(VLOOKUP(F3176,'LEAID Match'!$A$2:$B$142,2,FALSE),"")</f>
        <v/>
      </c>
    </row>
    <row r="3177" spans="1:8" x14ac:dyDescent="0.2">
      <c r="A3177" t="str">
        <f t="shared" si="49"/>
        <v/>
      </c>
      <c r="B3177" s="1">
        <v>2021</v>
      </c>
      <c r="C3177" s="1" t="s">
        <v>2505</v>
      </c>
      <c r="D3177" s="1" t="s">
        <v>2506</v>
      </c>
      <c r="E3177" s="1" t="s">
        <v>2019</v>
      </c>
      <c r="F3177" s="1" t="s">
        <v>315</v>
      </c>
      <c r="G3177" s="6">
        <v>56888</v>
      </c>
      <c r="H3177" t="str">
        <f>IFERROR(VLOOKUP(F3177,'LEAID Match'!$A$2:$B$142,2,FALSE),"")</f>
        <v/>
      </c>
    </row>
    <row r="3178" spans="1:8" x14ac:dyDescent="0.2">
      <c r="A3178" t="str">
        <f t="shared" si="49"/>
        <v/>
      </c>
      <c r="B3178" s="1">
        <v>2022</v>
      </c>
      <c r="C3178" s="1" t="s">
        <v>2505</v>
      </c>
      <c r="D3178" s="1" t="s">
        <v>2506</v>
      </c>
      <c r="E3178" s="1" t="s">
        <v>2019</v>
      </c>
      <c r="F3178" s="1" t="s">
        <v>315</v>
      </c>
      <c r="G3178" s="6">
        <v>62547</v>
      </c>
      <c r="H3178" t="str">
        <f>IFERROR(VLOOKUP(F3178,'LEAID Match'!$A$2:$B$142,2,FALSE),"")</f>
        <v/>
      </c>
    </row>
    <row r="3179" spans="1:8" x14ac:dyDescent="0.2">
      <c r="A3179" t="str">
        <f t="shared" si="49"/>
        <v/>
      </c>
      <c r="B3179" s="1">
        <v>2023</v>
      </c>
      <c r="C3179" s="1" t="s">
        <v>2505</v>
      </c>
      <c r="D3179" s="1" t="s">
        <v>2506</v>
      </c>
      <c r="E3179" s="1" t="s">
        <v>2019</v>
      </c>
      <c r="F3179" s="1" t="s">
        <v>315</v>
      </c>
      <c r="G3179" s="6">
        <v>70538</v>
      </c>
      <c r="H3179" t="str">
        <f>IFERROR(VLOOKUP(F3179,'LEAID Match'!$A$2:$B$142,2,FALSE),"")</f>
        <v/>
      </c>
    </row>
    <row r="3180" spans="1:8" x14ac:dyDescent="0.2">
      <c r="A3180" t="str">
        <f t="shared" si="49"/>
        <v/>
      </c>
      <c r="B3180" s="1">
        <v>2024</v>
      </c>
      <c r="C3180" s="1" t="s">
        <v>2505</v>
      </c>
      <c r="D3180" s="1" t="s">
        <v>2506</v>
      </c>
      <c r="E3180" s="1" t="s">
        <v>2019</v>
      </c>
      <c r="F3180" s="1" t="s">
        <v>315</v>
      </c>
      <c r="G3180" s="6">
        <v>70891</v>
      </c>
      <c r="H3180" t="str">
        <f>IFERROR(VLOOKUP(F3180,'LEAID Match'!$A$2:$B$142,2,FALSE),"")</f>
        <v/>
      </c>
    </row>
    <row r="3181" spans="1:8" x14ac:dyDescent="0.2">
      <c r="A3181" t="str">
        <f t="shared" si="49"/>
        <v/>
      </c>
      <c r="B3181" s="1">
        <v>2015</v>
      </c>
      <c r="C3181" s="1" t="s">
        <v>2505</v>
      </c>
      <c r="D3181" s="1" t="s">
        <v>2506</v>
      </c>
      <c r="E3181" s="1" t="s">
        <v>2019</v>
      </c>
      <c r="F3181" s="1" t="s">
        <v>316</v>
      </c>
      <c r="G3181" s="6">
        <v>306667</v>
      </c>
      <c r="H3181" t="str">
        <f>IFERROR(VLOOKUP(F3181,'LEAID Match'!$A$2:$B$142,2,FALSE),"")</f>
        <v/>
      </c>
    </row>
    <row r="3182" spans="1:8" x14ac:dyDescent="0.2">
      <c r="A3182" t="str">
        <f t="shared" si="49"/>
        <v/>
      </c>
      <c r="B3182">
        <v>2016</v>
      </c>
      <c r="C3182" s="1" t="s">
        <v>2505</v>
      </c>
      <c r="D3182" s="1" t="s">
        <v>2506</v>
      </c>
      <c r="E3182" s="1" t="s">
        <v>2019</v>
      </c>
      <c r="F3182" s="1" t="s">
        <v>316</v>
      </c>
      <c r="G3182" s="12">
        <v>323325</v>
      </c>
      <c r="H3182" t="str">
        <f>IFERROR(VLOOKUP(F3182,'LEAID Match'!$A$2:$B$142,2,FALSE),"")</f>
        <v/>
      </c>
    </row>
    <row r="3183" spans="1:8" x14ac:dyDescent="0.2">
      <c r="A3183" t="str">
        <f t="shared" si="49"/>
        <v/>
      </c>
      <c r="B3183" s="1">
        <v>2017</v>
      </c>
      <c r="C3183" s="1" t="s">
        <v>2505</v>
      </c>
      <c r="D3183" s="1" t="s">
        <v>2506</v>
      </c>
      <c r="E3183" s="1" t="s">
        <v>2019</v>
      </c>
      <c r="F3183" s="1" t="s">
        <v>316</v>
      </c>
      <c r="G3183" s="50">
        <v>343067</v>
      </c>
      <c r="H3183" t="str">
        <f>IFERROR(VLOOKUP(F3183,'LEAID Match'!$A$2:$B$142,2,FALSE),"")</f>
        <v/>
      </c>
    </row>
    <row r="3184" spans="1:8" x14ac:dyDescent="0.2">
      <c r="A3184" t="str">
        <f t="shared" si="49"/>
        <v/>
      </c>
      <c r="B3184" s="1">
        <v>2018</v>
      </c>
      <c r="C3184" s="1" t="s">
        <v>2505</v>
      </c>
      <c r="D3184" s="1" t="s">
        <v>2506</v>
      </c>
      <c r="E3184" s="1" t="s">
        <v>2019</v>
      </c>
      <c r="F3184" s="1" t="s">
        <v>316</v>
      </c>
      <c r="G3184" s="6">
        <v>340343</v>
      </c>
      <c r="H3184" t="str">
        <f>IFERROR(VLOOKUP(F3184,'LEAID Match'!$A$2:$B$142,2,FALSE),"")</f>
        <v/>
      </c>
    </row>
    <row r="3185" spans="1:8" x14ac:dyDescent="0.2">
      <c r="A3185" t="str">
        <f t="shared" si="49"/>
        <v/>
      </c>
      <c r="B3185" s="1">
        <v>2019</v>
      </c>
      <c r="C3185" s="1" t="s">
        <v>2505</v>
      </c>
      <c r="D3185" s="1" t="s">
        <v>2506</v>
      </c>
      <c r="E3185" s="1" t="s">
        <v>2019</v>
      </c>
      <c r="F3185" s="1" t="s">
        <v>316</v>
      </c>
      <c r="G3185" s="6">
        <v>325424</v>
      </c>
      <c r="H3185" t="str">
        <f>IFERROR(VLOOKUP(F3185,'LEAID Match'!$A$2:$B$142,2,FALSE),"")</f>
        <v/>
      </c>
    </row>
    <row r="3186" spans="1:8" x14ac:dyDescent="0.2">
      <c r="A3186" t="str">
        <f t="shared" si="49"/>
        <v/>
      </c>
      <c r="B3186" s="1">
        <v>2020</v>
      </c>
      <c r="C3186" s="1" t="s">
        <v>2505</v>
      </c>
      <c r="D3186" s="1" t="s">
        <v>2506</v>
      </c>
      <c r="E3186" s="1" t="s">
        <v>2019</v>
      </c>
      <c r="F3186" s="1" t="s">
        <v>316</v>
      </c>
      <c r="G3186" s="6">
        <v>337354</v>
      </c>
      <c r="H3186" t="str">
        <f>IFERROR(VLOOKUP(F3186,'LEAID Match'!$A$2:$B$142,2,FALSE),"")</f>
        <v/>
      </c>
    </row>
    <row r="3187" spans="1:8" x14ac:dyDescent="0.2">
      <c r="A3187" t="str">
        <f t="shared" si="49"/>
        <v/>
      </c>
      <c r="B3187" s="1">
        <v>2021</v>
      </c>
      <c r="C3187" s="1" t="s">
        <v>2505</v>
      </c>
      <c r="D3187" s="1" t="s">
        <v>2506</v>
      </c>
      <c r="E3187" s="1" t="s">
        <v>2019</v>
      </c>
      <c r="F3187" s="1" t="s">
        <v>316</v>
      </c>
      <c r="G3187" s="6">
        <v>312533</v>
      </c>
      <c r="H3187" t="str">
        <f>IFERROR(VLOOKUP(F3187,'LEAID Match'!$A$2:$B$142,2,FALSE),"")</f>
        <v/>
      </c>
    </row>
    <row r="3188" spans="1:8" x14ac:dyDescent="0.2">
      <c r="A3188" t="str">
        <f t="shared" si="49"/>
        <v/>
      </c>
      <c r="B3188" s="1">
        <v>2022</v>
      </c>
      <c r="C3188" s="1" t="s">
        <v>2505</v>
      </c>
      <c r="D3188" s="1" t="s">
        <v>2506</v>
      </c>
      <c r="E3188" s="1" t="s">
        <v>2019</v>
      </c>
      <c r="F3188" s="1" t="s">
        <v>316</v>
      </c>
      <c r="G3188" s="6">
        <v>348079</v>
      </c>
      <c r="H3188" t="str">
        <f>IFERROR(VLOOKUP(F3188,'LEAID Match'!$A$2:$B$142,2,FALSE),"")</f>
        <v/>
      </c>
    </row>
    <row r="3189" spans="1:8" x14ac:dyDescent="0.2">
      <c r="A3189" t="str">
        <f t="shared" si="49"/>
        <v/>
      </c>
      <c r="B3189" s="1">
        <v>2023</v>
      </c>
      <c r="C3189" s="1" t="s">
        <v>2505</v>
      </c>
      <c r="D3189" s="1" t="s">
        <v>2506</v>
      </c>
      <c r="E3189" s="1" t="s">
        <v>2019</v>
      </c>
      <c r="F3189" s="1" t="s">
        <v>316</v>
      </c>
      <c r="G3189" s="6">
        <v>379998</v>
      </c>
      <c r="H3189" t="str">
        <f>IFERROR(VLOOKUP(F3189,'LEAID Match'!$A$2:$B$142,2,FALSE),"")</f>
        <v/>
      </c>
    </row>
    <row r="3190" spans="1:8" x14ac:dyDescent="0.2">
      <c r="A3190" t="str">
        <f t="shared" si="49"/>
        <v/>
      </c>
      <c r="B3190" s="1">
        <v>2024</v>
      </c>
      <c r="C3190" s="1" t="s">
        <v>2505</v>
      </c>
      <c r="D3190" s="1" t="s">
        <v>2506</v>
      </c>
      <c r="E3190" s="1" t="s">
        <v>2019</v>
      </c>
      <c r="F3190" s="1" t="s">
        <v>316</v>
      </c>
      <c r="G3190" s="6">
        <v>377296</v>
      </c>
      <c r="H3190" t="str">
        <f>IFERROR(VLOOKUP(F3190,'LEAID Match'!$A$2:$B$142,2,FALSE),"")</f>
        <v/>
      </c>
    </row>
    <row r="3191" spans="1:8" x14ac:dyDescent="0.2">
      <c r="A3191">
        <f t="shared" si="49"/>
        <v>2802100</v>
      </c>
      <c r="B3191" s="1">
        <v>2015</v>
      </c>
      <c r="C3191" s="1" t="s">
        <v>2505</v>
      </c>
      <c r="D3191" s="1" t="s">
        <v>2506</v>
      </c>
      <c r="E3191" s="1" t="s">
        <v>2019</v>
      </c>
      <c r="F3191" s="1" t="s">
        <v>317</v>
      </c>
      <c r="G3191" s="6">
        <v>2623305</v>
      </c>
      <c r="H3191">
        <f>IFERROR(VLOOKUP(F3191,'LEAID Match'!$A$2:$B$142,2,FALSE),"")</f>
        <v>2802100</v>
      </c>
    </row>
    <row r="3192" spans="1:8" x14ac:dyDescent="0.2">
      <c r="A3192">
        <f t="shared" si="49"/>
        <v>2802100</v>
      </c>
      <c r="B3192">
        <v>2016</v>
      </c>
      <c r="C3192" s="1" t="s">
        <v>2505</v>
      </c>
      <c r="D3192" s="1" t="s">
        <v>2506</v>
      </c>
      <c r="E3192" s="1" t="s">
        <v>2019</v>
      </c>
      <c r="F3192" s="1" t="s">
        <v>317</v>
      </c>
      <c r="G3192" s="12">
        <v>2719061</v>
      </c>
      <c r="H3192">
        <f>IFERROR(VLOOKUP(F3192,'LEAID Match'!$A$2:$B$142,2,FALSE),"")</f>
        <v>2802100</v>
      </c>
    </row>
    <row r="3193" spans="1:8" x14ac:dyDescent="0.2">
      <c r="A3193">
        <f t="shared" si="49"/>
        <v>2802100</v>
      </c>
      <c r="B3193" s="1">
        <v>2017</v>
      </c>
      <c r="C3193" s="1" t="s">
        <v>2505</v>
      </c>
      <c r="D3193" s="1" t="s">
        <v>2506</v>
      </c>
      <c r="E3193" s="1" t="s">
        <v>2019</v>
      </c>
      <c r="F3193" s="1" t="s">
        <v>317</v>
      </c>
      <c r="G3193" s="50">
        <v>2584501</v>
      </c>
      <c r="H3193">
        <f>IFERROR(VLOOKUP(F3193,'LEAID Match'!$A$2:$B$142,2,FALSE),"")</f>
        <v>2802100</v>
      </c>
    </row>
    <row r="3194" spans="1:8" x14ac:dyDescent="0.2">
      <c r="A3194">
        <f t="shared" si="49"/>
        <v>2802100</v>
      </c>
      <c r="B3194" s="1">
        <v>2018</v>
      </c>
      <c r="C3194" s="1" t="s">
        <v>2505</v>
      </c>
      <c r="D3194" s="1" t="s">
        <v>2506</v>
      </c>
      <c r="E3194" s="1" t="s">
        <v>2019</v>
      </c>
      <c r="F3194" s="1" t="s">
        <v>317</v>
      </c>
      <c r="G3194" s="6">
        <v>2769444</v>
      </c>
      <c r="H3194">
        <f>IFERROR(VLOOKUP(F3194,'LEAID Match'!$A$2:$B$142,2,FALSE),"")</f>
        <v>2802100</v>
      </c>
    </row>
    <row r="3195" spans="1:8" x14ac:dyDescent="0.2">
      <c r="A3195">
        <f t="shared" si="49"/>
        <v>2802100</v>
      </c>
      <c r="B3195" s="1">
        <v>2019</v>
      </c>
      <c r="C3195" s="1" t="s">
        <v>2505</v>
      </c>
      <c r="D3195" s="1" t="s">
        <v>2506</v>
      </c>
      <c r="E3195" s="1" t="s">
        <v>2019</v>
      </c>
      <c r="F3195" s="1" t="s">
        <v>317</v>
      </c>
      <c r="G3195" s="6">
        <v>2922240</v>
      </c>
      <c r="H3195">
        <f>IFERROR(VLOOKUP(F3195,'LEAID Match'!$A$2:$B$142,2,FALSE),"")</f>
        <v>2802100</v>
      </c>
    </row>
    <row r="3196" spans="1:8" x14ac:dyDescent="0.2">
      <c r="A3196">
        <f t="shared" si="49"/>
        <v>2802100</v>
      </c>
      <c r="B3196" s="1">
        <v>2020</v>
      </c>
      <c r="C3196" s="1" t="s">
        <v>2505</v>
      </c>
      <c r="D3196" s="1" t="s">
        <v>2506</v>
      </c>
      <c r="E3196" s="1" t="s">
        <v>2019</v>
      </c>
      <c r="F3196" s="1" t="s">
        <v>317</v>
      </c>
      <c r="G3196" s="6">
        <v>2913151</v>
      </c>
      <c r="H3196">
        <f>IFERROR(VLOOKUP(F3196,'LEAID Match'!$A$2:$B$142,2,FALSE),"")</f>
        <v>2802100</v>
      </c>
    </row>
    <row r="3197" spans="1:8" x14ac:dyDescent="0.2">
      <c r="A3197">
        <f t="shared" si="49"/>
        <v>2802100</v>
      </c>
      <c r="B3197" s="1">
        <v>2021</v>
      </c>
      <c r="C3197" s="1" t="s">
        <v>2505</v>
      </c>
      <c r="D3197" s="1" t="s">
        <v>2506</v>
      </c>
      <c r="E3197" s="1" t="s">
        <v>2019</v>
      </c>
      <c r="F3197" s="1" t="s">
        <v>317</v>
      </c>
      <c r="G3197" s="6">
        <v>3143909</v>
      </c>
      <c r="H3197">
        <f>IFERROR(VLOOKUP(F3197,'LEAID Match'!$A$2:$B$142,2,FALSE),"")</f>
        <v>2802100</v>
      </c>
    </row>
    <row r="3198" spans="1:8" x14ac:dyDescent="0.2">
      <c r="A3198">
        <f t="shared" si="49"/>
        <v>2802100</v>
      </c>
      <c r="B3198" s="1">
        <v>2022</v>
      </c>
      <c r="C3198" s="1" t="s">
        <v>2505</v>
      </c>
      <c r="D3198" s="1" t="s">
        <v>2506</v>
      </c>
      <c r="E3198" s="1" t="s">
        <v>2019</v>
      </c>
      <c r="F3198" s="1" t="s">
        <v>317</v>
      </c>
      <c r="G3198" s="6">
        <v>3389622</v>
      </c>
      <c r="H3198">
        <f>IFERROR(VLOOKUP(F3198,'LEAID Match'!$A$2:$B$142,2,FALSE),"")</f>
        <v>2802100</v>
      </c>
    </row>
    <row r="3199" spans="1:8" x14ac:dyDescent="0.2">
      <c r="A3199">
        <f t="shared" si="49"/>
        <v>2802100</v>
      </c>
      <c r="B3199" s="1">
        <v>2023</v>
      </c>
      <c r="C3199" s="1" t="s">
        <v>2505</v>
      </c>
      <c r="D3199" s="1" t="s">
        <v>2506</v>
      </c>
      <c r="E3199" s="1" t="s">
        <v>2019</v>
      </c>
      <c r="F3199" s="1" t="s">
        <v>317</v>
      </c>
      <c r="G3199" s="6">
        <v>3742731</v>
      </c>
      <c r="H3199">
        <f>IFERROR(VLOOKUP(F3199,'LEAID Match'!$A$2:$B$142,2,FALSE),"")</f>
        <v>2802100</v>
      </c>
    </row>
    <row r="3200" spans="1:8" x14ac:dyDescent="0.2">
      <c r="A3200">
        <f t="shared" si="49"/>
        <v>2802100</v>
      </c>
      <c r="B3200" s="1">
        <v>2024</v>
      </c>
      <c r="C3200" s="1" t="s">
        <v>2505</v>
      </c>
      <c r="D3200" s="1" t="s">
        <v>2506</v>
      </c>
      <c r="E3200" s="1" t="s">
        <v>2019</v>
      </c>
      <c r="F3200" s="1" t="s">
        <v>317</v>
      </c>
      <c r="G3200" s="6">
        <v>3821827</v>
      </c>
      <c r="H3200">
        <f>IFERROR(VLOOKUP(F3200,'LEAID Match'!$A$2:$B$142,2,FALSE),"")</f>
        <v>2802100</v>
      </c>
    </row>
    <row r="3201" spans="1:8" x14ac:dyDescent="0.2">
      <c r="A3201" t="str">
        <f t="shared" si="49"/>
        <v/>
      </c>
      <c r="B3201" s="1">
        <v>2015</v>
      </c>
      <c r="C3201" s="1" t="s">
        <v>2505</v>
      </c>
      <c r="D3201" s="1" t="s">
        <v>2506</v>
      </c>
      <c r="E3201" s="1" t="s">
        <v>2019</v>
      </c>
      <c r="F3201" s="1" t="s">
        <v>318</v>
      </c>
      <c r="G3201" s="6">
        <v>498424</v>
      </c>
      <c r="H3201" t="str">
        <f>IFERROR(VLOOKUP(F3201,'LEAID Match'!$A$2:$B$142,2,FALSE),"")</f>
        <v/>
      </c>
    </row>
    <row r="3202" spans="1:8" x14ac:dyDescent="0.2">
      <c r="A3202" t="str">
        <f t="shared" si="49"/>
        <v/>
      </c>
      <c r="B3202">
        <v>2016</v>
      </c>
      <c r="C3202" s="1" t="s">
        <v>2505</v>
      </c>
      <c r="D3202" s="1" t="s">
        <v>2506</v>
      </c>
      <c r="E3202" s="1" t="s">
        <v>2019</v>
      </c>
      <c r="F3202" s="1" t="s">
        <v>318</v>
      </c>
      <c r="G3202" s="12">
        <v>512763</v>
      </c>
      <c r="H3202" t="str">
        <f>IFERROR(VLOOKUP(F3202,'LEAID Match'!$A$2:$B$142,2,FALSE),"")</f>
        <v/>
      </c>
    </row>
    <row r="3203" spans="1:8" x14ac:dyDescent="0.2">
      <c r="A3203" t="str">
        <f t="shared" ref="A3203:A3266" si="50">H3203</f>
        <v/>
      </c>
      <c r="B3203" s="1">
        <v>2017</v>
      </c>
      <c r="C3203" s="1" t="s">
        <v>2505</v>
      </c>
      <c r="D3203" s="1" t="s">
        <v>2506</v>
      </c>
      <c r="E3203" s="1" t="s">
        <v>2019</v>
      </c>
      <c r="F3203" s="1" t="s">
        <v>318</v>
      </c>
      <c r="G3203" s="50">
        <v>537338</v>
      </c>
      <c r="H3203" t="str">
        <f>IFERROR(VLOOKUP(F3203,'LEAID Match'!$A$2:$B$142,2,FALSE),"")</f>
        <v/>
      </c>
    </row>
    <row r="3204" spans="1:8" x14ac:dyDescent="0.2">
      <c r="A3204" t="str">
        <f t="shared" si="50"/>
        <v/>
      </c>
      <c r="B3204" s="1">
        <v>2018</v>
      </c>
      <c r="C3204" s="1" t="s">
        <v>2505</v>
      </c>
      <c r="D3204" s="1" t="s">
        <v>2506</v>
      </c>
      <c r="E3204" s="1" t="s">
        <v>2019</v>
      </c>
      <c r="F3204" s="1" t="s">
        <v>318</v>
      </c>
      <c r="G3204" s="6">
        <v>565029</v>
      </c>
      <c r="H3204" t="str">
        <f>IFERROR(VLOOKUP(F3204,'LEAID Match'!$A$2:$B$142,2,FALSE),"")</f>
        <v/>
      </c>
    </row>
    <row r="3205" spans="1:8" x14ac:dyDescent="0.2">
      <c r="A3205" t="str">
        <f t="shared" si="50"/>
        <v/>
      </c>
      <c r="B3205" s="1">
        <v>2019</v>
      </c>
      <c r="C3205" s="1" t="s">
        <v>2505</v>
      </c>
      <c r="D3205" s="1" t="s">
        <v>2506</v>
      </c>
      <c r="E3205" s="1" t="s">
        <v>2019</v>
      </c>
      <c r="F3205" s="1" t="s">
        <v>318</v>
      </c>
      <c r="G3205" s="6">
        <v>603446</v>
      </c>
      <c r="H3205" t="str">
        <f>IFERROR(VLOOKUP(F3205,'LEAID Match'!$A$2:$B$142,2,FALSE),"")</f>
        <v/>
      </c>
    </row>
    <row r="3206" spans="1:8" x14ac:dyDescent="0.2">
      <c r="A3206" t="str">
        <f t="shared" si="50"/>
        <v/>
      </c>
      <c r="B3206" s="1">
        <v>2020</v>
      </c>
      <c r="C3206" s="1" t="s">
        <v>2505</v>
      </c>
      <c r="D3206" s="1" t="s">
        <v>2506</v>
      </c>
      <c r="E3206" s="1" t="s">
        <v>2019</v>
      </c>
      <c r="F3206" s="1" t="s">
        <v>318</v>
      </c>
      <c r="G3206" s="6">
        <v>710054</v>
      </c>
      <c r="H3206" t="str">
        <f>IFERROR(VLOOKUP(F3206,'LEAID Match'!$A$2:$B$142,2,FALSE),"")</f>
        <v/>
      </c>
    </row>
    <row r="3207" spans="1:8" x14ac:dyDescent="0.2">
      <c r="A3207" t="str">
        <f t="shared" si="50"/>
        <v/>
      </c>
      <c r="B3207" s="1">
        <v>2021</v>
      </c>
      <c r="C3207" s="1" t="s">
        <v>2505</v>
      </c>
      <c r="D3207" s="1" t="s">
        <v>2506</v>
      </c>
      <c r="E3207" s="1" t="s">
        <v>2019</v>
      </c>
      <c r="F3207" s="1" t="s">
        <v>318</v>
      </c>
      <c r="G3207" s="6">
        <v>714848</v>
      </c>
      <c r="H3207" t="str">
        <f>IFERROR(VLOOKUP(F3207,'LEAID Match'!$A$2:$B$142,2,FALSE),"")</f>
        <v/>
      </c>
    </row>
    <row r="3208" spans="1:8" x14ac:dyDescent="0.2">
      <c r="A3208" t="str">
        <f t="shared" si="50"/>
        <v/>
      </c>
      <c r="B3208" s="1">
        <v>2022</v>
      </c>
      <c r="C3208" s="1" t="s">
        <v>2505</v>
      </c>
      <c r="D3208" s="1" t="s">
        <v>2506</v>
      </c>
      <c r="E3208" s="1" t="s">
        <v>2019</v>
      </c>
      <c r="F3208" s="1" t="s">
        <v>318</v>
      </c>
      <c r="G3208" s="6">
        <v>729830</v>
      </c>
      <c r="H3208" t="str">
        <f>IFERROR(VLOOKUP(F3208,'LEAID Match'!$A$2:$B$142,2,FALSE),"")</f>
        <v/>
      </c>
    </row>
    <row r="3209" spans="1:8" x14ac:dyDescent="0.2">
      <c r="A3209" t="str">
        <f t="shared" si="50"/>
        <v/>
      </c>
      <c r="B3209" s="1">
        <v>2023</v>
      </c>
      <c r="C3209" s="1" t="s">
        <v>2505</v>
      </c>
      <c r="D3209" s="1" t="s">
        <v>2506</v>
      </c>
      <c r="E3209" s="1" t="s">
        <v>2019</v>
      </c>
      <c r="F3209" s="1" t="s">
        <v>318</v>
      </c>
      <c r="G3209" s="6">
        <v>840429</v>
      </c>
      <c r="H3209" t="str">
        <f>IFERROR(VLOOKUP(F3209,'LEAID Match'!$A$2:$B$142,2,FALSE),"")</f>
        <v/>
      </c>
    </row>
    <row r="3210" spans="1:8" x14ac:dyDescent="0.2">
      <c r="A3210" t="str">
        <f t="shared" si="50"/>
        <v/>
      </c>
      <c r="B3210" s="1">
        <v>2024</v>
      </c>
      <c r="C3210" s="1" t="s">
        <v>2505</v>
      </c>
      <c r="D3210" s="1" t="s">
        <v>2506</v>
      </c>
      <c r="E3210" s="1" t="s">
        <v>2019</v>
      </c>
      <c r="F3210" s="1" t="s">
        <v>318</v>
      </c>
      <c r="G3210" s="6">
        <v>858905</v>
      </c>
      <c r="H3210" t="str">
        <f>IFERROR(VLOOKUP(F3210,'LEAID Match'!$A$2:$B$142,2,FALSE),"")</f>
        <v/>
      </c>
    </row>
    <row r="3211" spans="1:8" x14ac:dyDescent="0.2">
      <c r="A3211" t="str">
        <f t="shared" si="50"/>
        <v/>
      </c>
      <c r="B3211" s="1">
        <v>2015</v>
      </c>
      <c r="C3211" s="1" t="s">
        <v>2505</v>
      </c>
      <c r="D3211" s="1" t="s">
        <v>2506</v>
      </c>
      <c r="E3211" s="1" t="s">
        <v>2019</v>
      </c>
      <c r="F3211" s="1" t="s">
        <v>319</v>
      </c>
      <c r="G3211" s="6">
        <v>2604</v>
      </c>
      <c r="H3211" t="str">
        <f>IFERROR(VLOOKUP(F3211,'LEAID Match'!$A$2:$B$142,2,FALSE),"")</f>
        <v/>
      </c>
    </row>
    <row r="3212" spans="1:8" x14ac:dyDescent="0.2">
      <c r="A3212" t="str">
        <f t="shared" si="50"/>
        <v/>
      </c>
      <c r="B3212">
        <v>2016</v>
      </c>
      <c r="C3212" s="1" t="s">
        <v>2505</v>
      </c>
      <c r="D3212" s="1" t="s">
        <v>2506</v>
      </c>
      <c r="E3212" s="1" t="s">
        <v>2019</v>
      </c>
      <c r="F3212" s="1" t="s">
        <v>319</v>
      </c>
      <c r="G3212" s="12">
        <v>2809</v>
      </c>
      <c r="H3212" t="str">
        <f>IFERROR(VLOOKUP(F3212,'LEAID Match'!$A$2:$B$142,2,FALSE),"")</f>
        <v/>
      </c>
    </row>
    <row r="3213" spans="1:8" x14ac:dyDescent="0.2">
      <c r="A3213" t="str">
        <f t="shared" si="50"/>
        <v/>
      </c>
      <c r="B3213" s="1">
        <v>2017</v>
      </c>
      <c r="C3213" s="1" t="s">
        <v>2505</v>
      </c>
      <c r="D3213" s="1" t="s">
        <v>2506</v>
      </c>
      <c r="E3213" s="1" t="s">
        <v>2019</v>
      </c>
      <c r="F3213" s="1" t="s">
        <v>319</v>
      </c>
      <c r="G3213" s="50">
        <v>2785</v>
      </c>
      <c r="H3213" t="str">
        <f>IFERROR(VLOOKUP(F3213,'LEAID Match'!$A$2:$B$142,2,FALSE),"")</f>
        <v/>
      </c>
    </row>
    <row r="3214" spans="1:8" x14ac:dyDescent="0.2">
      <c r="A3214" t="str">
        <f t="shared" si="50"/>
        <v/>
      </c>
      <c r="B3214" s="1">
        <v>2018</v>
      </c>
      <c r="C3214" s="1" t="s">
        <v>2505</v>
      </c>
      <c r="D3214" s="1" t="s">
        <v>2506</v>
      </c>
      <c r="E3214" s="1" t="s">
        <v>2019</v>
      </c>
      <c r="F3214" s="1" t="s">
        <v>319</v>
      </c>
      <c r="G3214" s="6">
        <v>3037</v>
      </c>
      <c r="H3214" t="str">
        <f>IFERROR(VLOOKUP(F3214,'LEAID Match'!$A$2:$B$142,2,FALSE),"")</f>
        <v/>
      </c>
    </row>
    <row r="3215" spans="1:8" x14ac:dyDescent="0.2">
      <c r="A3215" t="str">
        <f t="shared" si="50"/>
        <v/>
      </c>
      <c r="B3215" s="1">
        <v>2019</v>
      </c>
      <c r="C3215" s="1" t="s">
        <v>2505</v>
      </c>
      <c r="D3215" s="1" t="s">
        <v>2506</v>
      </c>
      <c r="E3215" s="1" t="s">
        <v>2019</v>
      </c>
      <c r="F3215" s="1" t="s">
        <v>319</v>
      </c>
      <c r="G3215" s="6">
        <v>3604</v>
      </c>
      <c r="H3215" t="str">
        <f>IFERROR(VLOOKUP(F3215,'LEAID Match'!$A$2:$B$142,2,FALSE),"")</f>
        <v/>
      </c>
    </row>
    <row r="3216" spans="1:8" x14ac:dyDescent="0.2">
      <c r="A3216" t="str">
        <f t="shared" si="50"/>
        <v/>
      </c>
      <c r="B3216" s="1">
        <v>2020</v>
      </c>
      <c r="C3216" s="1" t="s">
        <v>2505</v>
      </c>
      <c r="D3216" s="1" t="s">
        <v>2506</v>
      </c>
      <c r="E3216" s="1" t="s">
        <v>2019</v>
      </c>
      <c r="F3216" s="1" t="s">
        <v>319</v>
      </c>
      <c r="G3216" s="6">
        <v>3981</v>
      </c>
      <c r="H3216" t="str">
        <f>IFERROR(VLOOKUP(F3216,'LEAID Match'!$A$2:$B$142,2,FALSE),"")</f>
        <v/>
      </c>
    </row>
    <row r="3217" spans="1:8" x14ac:dyDescent="0.2">
      <c r="A3217" t="str">
        <f t="shared" si="50"/>
        <v/>
      </c>
      <c r="B3217" s="1">
        <v>2021</v>
      </c>
      <c r="C3217" s="1" t="s">
        <v>2505</v>
      </c>
      <c r="D3217" s="1" t="s">
        <v>2506</v>
      </c>
      <c r="E3217" s="1" t="s">
        <v>2019</v>
      </c>
      <c r="F3217" s="1" t="s">
        <v>319</v>
      </c>
      <c r="G3217" s="6">
        <v>654</v>
      </c>
      <c r="H3217" t="str">
        <f>IFERROR(VLOOKUP(F3217,'LEAID Match'!$A$2:$B$142,2,FALSE),"")</f>
        <v/>
      </c>
    </row>
    <row r="3218" spans="1:8" x14ac:dyDescent="0.2">
      <c r="A3218" t="str">
        <f t="shared" si="50"/>
        <v/>
      </c>
      <c r="B3218" s="1">
        <v>2022</v>
      </c>
      <c r="C3218" s="1" t="s">
        <v>2505</v>
      </c>
      <c r="D3218" s="1" t="s">
        <v>2506</v>
      </c>
      <c r="E3218" s="1" t="s">
        <v>2019</v>
      </c>
      <c r="F3218" s="1" t="s">
        <v>319</v>
      </c>
      <c r="G3218" s="6">
        <v>4698</v>
      </c>
      <c r="H3218" t="str">
        <f>IFERROR(VLOOKUP(F3218,'LEAID Match'!$A$2:$B$142,2,FALSE),"")</f>
        <v/>
      </c>
    </row>
    <row r="3219" spans="1:8" x14ac:dyDescent="0.2">
      <c r="A3219" t="str">
        <f t="shared" si="50"/>
        <v/>
      </c>
      <c r="B3219" s="1">
        <v>2023</v>
      </c>
      <c r="C3219" s="1" t="s">
        <v>2505</v>
      </c>
      <c r="D3219" s="1" t="s">
        <v>2506</v>
      </c>
      <c r="E3219" s="1" t="s">
        <v>2019</v>
      </c>
      <c r="F3219" s="1" t="s">
        <v>319</v>
      </c>
      <c r="G3219" s="6">
        <v>4698</v>
      </c>
      <c r="H3219" t="str">
        <f>IFERROR(VLOOKUP(F3219,'LEAID Match'!$A$2:$B$142,2,FALSE),"")</f>
        <v/>
      </c>
    </row>
    <row r="3220" spans="1:8" x14ac:dyDescent="0.2">
      <c r="A3220" t="str">
        <f t="shared" si="50"/>
        <v/>
      </c>
      <c r="B3220" s="1">
        <v>2024</v>
      </c>
      <c r="C3220" s="1" t="s">
        <v>2505</v>
      </c>
      <c r="D3220" s="1" t="s">
        <v>2506</v>
      </c>
      <c r="E3220" s="1" t="s">
        <v>2019</v>
      </c>
      <c r="F3220" s="1" t="s">
        <v>319</v>
      </c>
      <c r="G3220" s="6">
        <v>5714</v>
      </c>
      <c r="H3220" t="str">
        <f>IFERROR(VLOOKUP(F3220,'LEAID Match'!$A$2:$B$142,2,FALSE),"")</f>
        <v/>
      </c>
    </row>
    <row r="3221" spans="1:8" x14ac:dyDescent="0.2">
      <c r="A3221" t="str">
        <f t="shared" si="50"/>
        <v/>
      </c>
      <c r="B3221" s="1">
        <v>2015</v>
      </c>
      <c r="C3221" s="1" t="s">
        <v>2505</v>
      </c>
      <c r="D3221" s="1" t="s">
        <v>2506</v>
      </c>
      <c r="E3221" s="1" t="s">
        <v>2019</v>
      </c>
      <c r="F3221" s="1" t="s">
        <v>320</v>
      </c>
      <c r="G3221" s="6">
        <v>3891514</v>
      </c>
      <c r="H3221" t="str">
        <f>IFERROR(VLOOKUP(F3221,'LEAID Match'!$A$2:$B$142,2,FALSE),"")</f>
        <v/>
      </c>
    </row>
    <row r="3222" spans="1:8" x14ac:dyDescent="0.2">
      <c r="A3222" t="str">
        <f t="shared" si="50"/>
        <v/>
      </c>
      <c r="B3222">
        <v>2016</v>
      </c>
      <c r="C3222" s="1" t="s">
        <v>2505</v>
      </c>
      <c r="D3222" s="1" t="s">
        <v>2506</v>
      </c>
      <c r="E3222" s="1" t="s">
        <v>2019</v>
      </c>
      <c r="F3222" s="1" t="s">
        <v>320</v>
      </c>
      <c r="G3222" s="12">
        <v>3916723</v>
      </c>
      <c r="H3222" t="str">
        <f>IFERROR(VLOOKUP(F3222,'LEAID Match'!$A$2:$B$142,2,FALSE),"")</f>
        <v/>
      </c>
    </row>
    <row r="3223" spans="1:8" x14ac:dyDescent="0.2">
      <c r="A3223" t="str">
        <f t="shared" si="50"/>
        <v/>
      </c>
      <c r="B3223" s="1">
        <v>2017</v>
      </c>
      <c r="C3223" s="1" t="s">
        <v>2505</v>
      </c>
      <c r="D3223" s="1" t="s">
        <v>2506</v>
      </c>
      <c r="E3223" s="1" t="s">
        <v>2019</v>
      </c>
      <c r="F3223" s="1" t="s">
        <v>320</v>
      </c>
      <c r="G3223" s="50">
        <v>3849222</v>
      </c>
      <c r="H3223" t="str">
        <f>IFERROR(VLOOKUP(F3223,'LEAID Match'!$A$2:$B$142,2,FALSE),"")</f>
        <v/>
      </c>
    </row>
    <row r="3224" spans="1:8" x14ac:dyDescent="0.2">
      <c r="A3224" t="str">
        <f t="shared" si="50"/>
        <v/>
      </c>
      <c r="B3224" s="1">
        <v>2018</v>
      </c>
      <c r="C3224" s="1" t="s">
        <v>2505</v>
      </c>
      <c r="D3224" s="1" t="s">
        <v>2506</v>
      </c>
      <c r="E3224" s="1" t="s">
        <v>2019</v>
      </c>
      <c r="F3224" s="1" t="s">
        <v>320</v>
      </c>
      <c r="G3224" s="6">
        <v>3665132</v>
      </c>
      <c r="H3224" t="str">
        <f>IFERROR(VLOOKUP(F3224,'LEAID Match'!$A$2:$B$142,2,FALSE),"")</f>
        <v/>
      </c>
    </row>
    <row r="3225" spans="1:8" x14ac:dyDescent="0.2">
      <c r="A3225" t="str">
        <f t="shared" si="50"/>
        <v/>
      </c>
      <c r="B3225" s="1">
        <v>2019</v>
      </c>
      <c r="C3225" s="1" t="s">
        <v>2505</v>
      </c>
      <c r="D3225" s="1" t="s">
        <v>2506</v>
      </c>
      <c r="E3225" s="1" t="s">
        <v>2019</v>
      </c>
      <c r="F3225" s="1" t="s">
        <v>320</v>
      </c>
      <c r="G3225" s="6">
        <v>3674071</v>
      </c>
      <c r="H3225" t="str">
        <f>IFERROR(VLOOKUP(F3225,'LEAID Match'!$A$2:$B$142,2,FALSE),"")</f>
        <v/>
      </c>
    </row>
    <row r="3226" spans="1:8" x14ac:dyDescent="0.2">
      <c r="A3226" t="str">
        <f t="shared" si="50"/>
        <v/>
      </c>
      <c r="B3226" s="1">
        <v>2020</v>
      </c>
      <c r="C3226" s="1" t="s">
        <v>2505</v>
      </c>
      <c r="D3226" s="1" t="s">
        <v>2506</v>
      </c>
      <c r="E3226" s="1" t="s">
        <v>2019</v>
      </c>
      <c r="F3226" s="1" t="s">
        <v>320</v>
      </c>
      <c r="G3226" s="6">
        <v>4058497</v>
      </c>
      <c r="H3226" t="str">
        <f>IFERROR(VLOOKUP(F3226,'LEAID Match'!$A$2:$B$142,2,FALSE),"")</f>
        <v/>
      </c>
    </row>
    <row r="3227" spans="1:8" x14ac:dyDescent="0.2">
      <c r="A3227" t="str">
        <f t="shared" si="50"/>
        <v/>
      </c>
      <c r="B3227" s="1">
        <v>2021</v>
      </c>
      <c r="C3227" s="1" t="s">
        <v>2505</v>
      </c>
      <c r="D3227" s="1" t="s">
        <v>2506</v>
      </c>
      <c r="E3227" s="1" t="s">
        <v>2019</v>
      </c>
      <c r="F3227" s="1" t="s">
        <v>320</v>
      </c>
      <c r="G3227" s="6">
        <v>3903351</v>
      </c>
      <c r="H3227" t="str">
        <f>IFERROR(VLOOKUP(F3227,'LEAID Match'!$A$2:$B$142,2,FALSE),"")</f>
        <v/>
      </c>
    </row>
    <row r="3228" spans="1:8" x14ac:dyDescent="0.2">
      <c r="A3228" t="str">
        <f t="shared" si="50"/>
        <v/>
      </c>
      <c r="B3228" s="1">
        <v>2022</v>
      </c>
      <c r="C3228" s="1" t="s">
        <v>2505</v>
      </c>
      <c r="D3228" s="1" t="s">
        <v>2506</v>
      </c>
      <c r="E3228" s="1" t="s">
        <v>2019</v>
      </c>
      <c r="F3228" s="1" t="s">
        <v>320</v>
      </c>
      <c r="G3228" s="6">
        <v>3914844</v>
      </c>
      <c r="H3228" t="str">
        <f>IFERROR(VLOOKUP(F3228,'LEAID Match'!$A$2:$B$142,2,FALSE),"")</f>
        <v/>
      </c>
    </row>
    <row r="3229" spans="1:8" x14ac:dyDescent="0.2">
      <c r="A3229" t="str">
        <f t="shared" si="50"/>
        <v/>
      </c>
      <c r="B3229" s="1">
        <v>2023</v>
      </c>
      <c r="C3229" s="1" t="s">
        <v>2505</v>
      </c>
      <c r="D3229" s="1" t="s">
        <v>2506</v>
      </c>
      <c r="E3229" s="1" t="s">
        <v>2019</v>
      </c>
      <c r="F3229" s="1" t="s">
        <v>320</v>
      </c>
      <c r="G3229" s="6">
        <v>4092639</v>
      </c>
      <c r="H3229" t="str">
        <f>IFERROR(VLOOKUP(F3229,'LEAID Match'!$A$2:$B$142,2,FALSE),"")</f>
        <v/>
      </c>
    </row>
    <row r="3230" spans="1:8" x14ac:dyDescent="0.2">
      <c r="A3230" t="str">
        <f t="shared" si="50"/>
        <v/>
      </c>
      <c r="B3230" s="1">
        <v>2024</v>
      </c>
      <c r="C3230" s="1" t="s">
        <v>2505</v>
      </c>
      <c r="D3230" s="1" t="s">
        <v>2506</v>
      </c>
      <c r="E3230" s="1" t="s">
        <v>2019</v>
      </c>
      <c r="F3230" s="1" t="s">
        <v>320</v>
      </c>
      <c r="G3230" s="6">
        <v>4290378</v>
      </c>
      <c r="H3230" t="str">
        <f>IFERROR(VLOOKUP(F3230,'LEAID Match'!$A$2:$B$142,2,FALSE),"")</f>
        <v/>
      </c>
    </row>
    <row r="3231" spans="1:8" x14ac:dyDescent="0.2">
      <c r="A3231" t="str">
        <f t="shared" si="50"/>
        <v/>
      </c>
      <c r="B3231" s="1">
        <v>2015</v>
      </c>
      <c r="C3231" s="1" t="s">
        <v>2505</v>
      </c>
      <c r="D3231" s="1" t="s">
        <v>2506</v>
      </c>
      <c r="E3231" s="1" t="s">
        <v>2019</v>
      </c>
      <c r="F3231" s="1" t="s">
        <v>321</v>
      </c>
      <c r="G3231" s="6">
        <v>62083</v>
      </c>
      <c r="H3231" t="str">
        <f>IFERROR(VLOOKUP(F3231,'LEAID Match'!$A$2:$B$142,2,FALSE),"")</f>
        <v/>
      </c>
    </row>
    <row r="3232" spans="1:8" x14ac:dyDescent="0.2">
      <c r="A3232" t="str">
        <f t="shared" si="50"/>
        <v/>
      </c>
      <c r="B3232">
        <v>2016</v>
      </c>
      <c r="C3232" s="1" t="s">
        <v>2505</v>
      </c>
      <c r="D3232" s="1" t="s">
        <v>2506</v>
      </c>
      <c r="E3232" s="1" t="s">
        <v>2019</v>
      </c>
      <c r="F3232" s="1" t="s">
        <v>321</v>
      </c>
      <c r="G3232" s="12">
        <v>60694</v>
      </c>
      <c r="H3232" t="str">
        <f>IFERROR(VLOOKUP(F3232,'LEAID Match'!$A$2:$B$142,2,FALSE),"")</f>
        <v/>
      </c>
    </row>
    <row r="3233" spans="1:8" x14ac:dyDescent="0.2">
      <c r="A3233" t="str">
        <f t="shared" si="50"/>
        <v/>
      </c>
      <c r="B3233" s="1">
        <v>2017</v>
      </c>
      <c r="C3233" s="1" t="s">
        <v>2505</v>
      </c>
      <c r="D3233" s="1" t="s">
        <v>2506</v>
      </c>
      <c r="E3233" s="1" t="s">
        <v>2019</v>
      </c>
      <c r="F3233" s="1" t="s">
        <v>321</v>
      </c>
      <c r="G3233" s="50">
        <v>71488</v>
      </c>
      <c r="H3233" t="str">
        <f>IFERROR(VLOOKUP(F3233,'LEAID Match'!$A$2:$B$142,2,FALSE),"")</f>
        <v/>
      </c>
    </row>
    <row r="3234" spans="1:8" x14ac:dyDescent="0.2">
      <c r="A3234" t="str">
        <f t="shared" si="50"/>
        <v/>
      </c>
      <c r="B3234" s="1">
        <v>2018</v>
      </c>
      <c r="C3234" s="1" t="s">
        <v>2505</v>
      </c>
      <c r="D3234" s="1" t="s">
        <v>2506</v>
      </c>
      <c r="E3234" s="1" t="s">
        <v>2019</v>
      </c>
      <c r="F3234" s="1" t="s">
        <v>321</v>
      </c>
      <c r="G3234" s="6">
        <v>75020</v>
      </c>
      <c r="H3234" t="str">
        <f>IFERROR(VLOOKUP(F3234,'LEAID Match'!$A$2:$B$142,2,FALSE),"")</f>
        <v/>
      </c>
    </row>
    <row r="3235" spans="1:8" x14ac:dyDescent="0.2">
      <c r="A3235" t="str">
        <f t="shared" si="50"/>
        <v/>
      </c>
      <c r="B3235" s="1">
        <v>2019</v>
      </c>
      <c r="C3235" s="1" t="s">
        <v>2505</v>
      </c>
      <c r="D3235" s="1" t="s">
        <v>2506</v>
      </c>
      <c r="E3235" s="1" t="s">
        <v>2019</v>
      </c>
      <c r="F3235" s="1" t="s">
        <v>321</v>
      </c>
      <c r="G3235" s="6">
        <v>77800</v>
      </c>
      <c r="H3235" t="str">
        <f>IFERROR(VLOOKUP(F3235,'LEAID Match'!$A$2:$B$142,2,FALSE),"")</f>
        <v/>
      </c>
    </row>
    <row r="3236" spans="1:8" x14ac:dyDescent="0.2">
      <c r="A3236" t="str">
        <f t="shared" si="50"/>
        <v/>
      </c>
      <c r="B3236" s="1">
        <v>2020</v>
      </c>
      <c r="C3236" s="1" t="s">
        <v>2505</v>
      </c>
      <c r="D3236" s="1" t="s">
        <v>2506</v>
      </c>
      <c r="E3236" s="1" t="s">
        <v>2019</v>
      </c>
      <c r="F3236" s="1" t="s">
        <v>321</v>
      </c>
      <c r="G3236" s="6">
        <v>81697</v>
      </c>
      <c r="H3236" t="str">
        <f>IFERROR(VLOOKUP(F3236,'LEAID Match'!$A$2:$B$142,2,FALSE),"")</f>
        <v/>
      </c>
    </row>
    <row r="3237" spans="1:8" x14ac:dyDescent="0.2">
      <c r="A3237" t="str">
        <f t="shared" si="50"/>
        <v/>
      </c>
      <c r="B3237" s="1">
        <v>2021</v>
      </c>
      <c r="C3237" s="1" t="s">
        <v>2505</v>
      </c>
      <c r="D3237" s="1" t="s">
        <v>2506</v>
      </c>
      <c r="E3237" s="1" t="s">
        <v>2019</v>
      </c>
      <c r="F3237" s="1" t="s">
        <v>321</v>
      </c>
      <c r="G3237" s="6">
        <v>76980</v>
      </c>
      <c r="H3237" t="str">
        <f>IFERROR(VLOOKUP(F3237,'LEAID Match'!$A$2:$B$142,2,FALSE),"")</f>
        <v/>
      </c>
    </row>
    <row r="3238" spans="1:8" x14ac:dyDescent="0.2">
      <c r="A3238" t="str">
        <f t="shared" si="50"/>
        <v/>
      </c>
      <c r="B3238" s="1">
        <v>2022</v>
      </c>
      <c r="C3238" s="1" t="s">
        <v>2505</v>
      </c>
      <c r="D3238" s="1" t="s">
        <v>2506</v>
      </c>
      <c r="E3238" s="1" t="s">
        <v>2019</v>
      </c>
      <c r="F3238" s="1" t="s">
        <v>321</v>
      </c>
      <c r="G3238" s="6">
        <v>73883</v>
      </c>
      <c r="H3238" t="str">
        <f>IFERROR(VLOOKUP(F3238,'LEAID Match'!$A$2:$B$142,2,FALSE),"")</f>
        <v/>
      </c>
    </row>
    <row r="3239" spans="1:8" x14ac:dyDescent="0.2">
      <c r="A3239" t="str">
        <f t="shared" si="50"/>
        <v/>
      </c>
      <c r="B3239" s="1">
        <v>2023</v>
      </c>
      <c r="C3239" s="1" t="s">
        <v>2505</v>
      </c>
      <c r="D3239" s="1" t="s">
        <v>2506</v>
      </c>
      <c r="E3239" s="1" t="s">
        <v>2019</v>
      </c>
      <c r="F3239" s="1" t="s">
        <v>321</v>
      </c>
      <c r="G3239" s="6">
        <v>87908</v>
      </c>
      <c r="H3239" t="str">
        <f>IFERROR(VLOOKUP(F3239,'LEAID Match'!$A$2:$B$142,2,FALSE),"")</f>
        <v/>
      </c>
    </row>
    <row r="3240" spans="1:8" x14ac:dyDescent="0.2">
      <c r="A3240" t="str">
        <f t="shared" si="50"/>
        <v/>
      </c>
      <c r="B3240" s="1">
        <v>2024</v>
      </c>
      <c r="C3240" s="1" t="s">
        <v>2505</v>
      </c>
      <c r="D3240" s="1" t="s">
        <v>2506</v>
      </c>
      <c r="E3240" s="1" t="s">
        <v>2019</v>
      </c>
      <c r="F3240" s="1" t="s">
        <v>321</v>
      </c>
      <c r="G3240" s="6">
        <v>87923</v>
      </c>
      <c r="H3240" t="str">
        <f>IFERROR(VLOOKUP(F3240,'LEAID Match'!$A$2:$B$142,2,FALSE),"")</f>
        <v/>
      </c>
    </row>
    <row r="3241" spans="1:8" x14ac:dyDescent="0.2">
      <c r="A3241" t="str">
        <f t="shared" si="50"/>
        <v/>
      </c>
      <c r="B3241" s="1">
        <v>2015</v>
      </c>
      <c r="C3241" s="1" t="s">
        <v>2505</v>
      </c>
      <c r="D3241" s="1" t="s">
        <v>2506</v>
      </c>
      <c r="E3241" s="1" t="s">
        <v>2019</v>
      </c>
      <c r="F3241" s="1" t="s">
        <v>322</v>
      </c>
      <c r="G3241" s="6">
        <v>13342</v>
      </c>
      <c r="H3241" t="str">
        <f>IFERROR(VLOOKUP(F3241,'LEAID Match'!$A$2:$B$142,2,FALSE),"")</f>
        <v/>
      </c>
    </row>
    <row r="3242" spans="1:8" x14ac:dyDescent="0.2">
      <c r="A3242" t="str">
        <f t="shared" si="50"/>
        <v/>
      </c>
      <c r="B3242">
        <v>2016</v>
      </c>
      <c r="C3242" s="1" t="s">
        <v>2505</v>
      </c>
      <c r="D3242" s="1" t="s">
        <v>2506</v>
      </c>
      <c r="E3242" s="1" t="s">
        <v>2019</v>
      </c>
      <c r="F3242" s="1" t="s">
        <v>322</v>
      </c>
      <c r="G3242" s="12">
        <v>13161</v>
      </c>
      <c r="H3242" t="str">
        <f>IFERROR(VLOOKUP(F3242,'LEAID Match'!$A$2:$B$142,2,FALSE),"")</f>
        <v/>
      </c>
    </row>
    <row r="3243" spans="1:8" x14ac:dyDescent="0.2">
      <c r="A3243" t="str">
        <f t="shared" si="50"/>
        <v/>
      </c>
      <c r="B3243" s="1">
        <v>2017</v>
      </c>
      <c r="C3243" s="1" t="s">
        <v>2505</v>
      </c>
      <c r="D3243" s="1" t="s">
        <v>2506</v>
      </c>
      <c r="E3243" s="1" t="s">
        <v>2019</v>
      </c>
      <c r="F3243" s="1" t="s">
        <v>322</v>
      </c>
      <c r="G3243" s="50">
        <v>14845</v>
      </c>
      <c r="H3243" t="str">
        <f>IFERROR(VLOOKUP(F3243,'LEAID Match'!$A$2:$B$142,2,FALSE),"")</f>
        <v/>
      </c>
    </row>
    <row r="3244" spans="1:8" x14ac:dyDescent="0.2">
      <c r="A3244" t="str">
        <f t="shared" si="50"/>
        <v/>
      </c>
      <c r="B3244" s="1">
        <v>2018</v>
      </c>
      <c r="C3244" s="1" t="s">
        <v>2505</v>
      </c>
      <c r="D3244" s="1" t="s">
        <v>2506</v>
      </c>
      <c r="E3244" s="1" t="s">
        <v>2019</v>
      </c>
      <c r="F3244" s="1" t="s">
        <v>322</v>
      </c>
      <c r="G3244" s="6">
        <v>14845</v>
      </c>
      <c r="H3244" t="str">
        <f>IFERROR(VLOOKUP(F3244,'LEAID Match'!$A$2:$B$142,2,FALSE),"")</f>
        <v/>
      </c>
    </row>
    <row r="3245" spans="1:8" x14ac:dyDescent="0.2">
      <c r="A3245" t="str">
        <f t="shared" si="50"/>
        <v/>
      </c>
      <c r="B3245" s="1">
        <v>2019</v>
      </c>
      <c r="C3245" s="1" t="s">
        <v>2505</v>
      </c>
      <c r="D3245" s="1" t="s">
        <v>2506</v>
      </c>
      <c r="E3245" s="1" t="s">
        <v>2019</v>
      </c>
      <c r="F3245" s="1" t="s">
        <v>322</v>
      </c>
      <c r="G3245" s="6">
        <v>15401</v>
      </c>
      <c r="H3245" t="str">
        <f>IFERROR(VLOOKUP(F3245,'LEAID Match'!$A$2:$B$142,2,FALSE),"")</f>
        <v/>
      </c>
    </row>
    <row r="3246" spans="1:8" x14ac:dyDescent="0.2">
      <c r="A3246" t="str">
        <f t="shared" si="50"/>
        <v/>
      </c>
      <c r="B3246" s="1">
        <v>2020</v>
      </c>
      <c r="C3246" s="1" t="s">
        <v>2505</v>
      </c>
      <c r="D3246" s="1" t="s">
        <v>2506</v>
      </c>
      <c r="E3246" s="1" t="s">
        <v>2019</v>
      </c>
      <c r="F3246" s="1" t="s">
        <v>322</v>
      </c>
      <c r="G3246" s="6">
        <v>21793</v>
      </c>
      <c r="H3246" t="str">
        <f>IFERROR(VLOOKUP(F3246,'LEAID Match'!$A$2:$B$142,2,FALSE),"")</f>
        <v/>
      </c>
    </row>
    <row r="3247" spans="1:8" x14ac:dyDescent="0.2">
      <c r="A3247" t="str">
        <f t="shared" si="50"/>
        <v/>
      </c>
      <c r="B3247" s="1">
        <v>2021</v>
      </c>
      <c r="C3247" s="1" t="s">
        <v>2505</v>
      </c>
      <c r="D3247" s="1" t="s">
        <v>2506</v>
      </c>
      <c r="E3247" s="1" t="s">
        <v>2019</v>
      </c>
      <c r="F3247" s="1" t="s">
        <v>322</v>
      </c>
      <c r="G3247" s="6">
        <v>23315</v>
      </c>
      <c r="H3247" t="str">
        <f>IFERROR(VLOOKUP(F3247,'LEAID Match'!$A$2:$B$142,2,FALSE),"")</f>
        <v/>
      </c>
    </row>
    <row r="3248" spans="1:8" x14ac:dyDescent="0.2">
      <c r="A3248" t="str">
        <f t="shared" si="50"/>
        <v/>
      </c>
      <c r="B3248" s="1">
        <v>2022</v>
      </c>
      <c r="C3248" s="1" t="s">
        <v>2505</v>
      </c>
      <c r="D3248" s="1" t="s">
        <v>2506</v>
      </c>
      <c r="E3248" s="1" t="s">
        <v>2019</v>
      </c>
      <c r="F3248" s="1" t="s">
        <v>322</v>
      </c>
      <c r="G3248" s="6">
        <v>18008</v>
      </c>
      <c r="H3248" t="str">
        <f>IFERROR(VLOOKUP(F3248,'LEAID Match'!$A$2:$B$142,2,FALSE),"")</f>
        <v/>
      </c>
    </row>
    <row r="3249" spans="1:8" x14ac:dyDescent="0.2">
      <c r="A3249" t="str">
        <f t="shared" si="50"/>
        <v/>
      </c>
      <c r="B3249" s="1">
        <v>2023</v>
      </c>
      <c r="C3249" s="1" t="s">
        <v>2505</v>
      </c>
      <c r="D3249" s="1" t="s">
        <v>2506</v>
      </c>
      <c r="E3249" s="1" t="s">
        <v>2019</v>
      </c>
      <c r="F3249" s="1" t="s">
        <v>322</v>
      </c>
      <c r="G3249" s="6">
        <v>18791</v>
      </c>
      <c r="H3249" t="str">
        <f>IFERROR(VLOOKUP(F3249,'LEAID Match'!$A$2:$B$142,2,FALSE),"")</f>
        <v/>
      </c>
    </row>
    <row r="3250" spans="1:8" x14ac:dyDescent="0.2">
      <c r="A3250" t="str">
        <f t="shared" si="50"/>
        <v/>
      </c>
      <c r="B3250" s="1">
        <v>2024</v>
      </c>
      <c r="C3250" s="1" t="s">
        <v>2505</v>
      </c>
      <c r="D3250" s="1" t="s">
        <v>2506</v>
      </c>
      <c r="E3250" s="1" t="s">
        <v>2019</v>
      </c>
      <c r="F3250" s="1" t="s">
        <v>322</v>
      </c>
      <c r="G3250" s="6">
        <v>24298</v>
      </c>
      <c r="H3250" t="str">
        <f>IFERROR(VLOOKUP(F3250,'LEAID Match'!$A$2:$B$142,2,FALSE),"")</f>
        <v/>
      </c>
    </row>
    <row r="3251" spans="1:8" x14ac:dyDescent="0.2">
      <c r="A3251" t="str">
        <f t="shared" si="50"/>
        <v/>
      </c>
      <c r="B3251" s="1">
        <v>2015</v>
      </c>
      <c r="C3251" s="1" t="s">
        <v>2505</v>
      </c>
      <c r="D3251" s="1" t="s">
        <v>2506</v>
      </c>
      <c r="E3251" s="1" t="s">
        <v>2019</v>
      </c>
      <c r="F3251" s="1" t="s">
        <v>323</v>
      </c>
      <c r="G3251" s="6">
        <v>174920</v>
      </c>
      <c r="H3251" t="str">
        <f>IFERROR(VLOOKUP(F3251,'LEAID Match'!$A$2:$B$142,2,FALSE),"")</f>
        <v/>
      </c>
    </row>
    <row r="3252" spans="1:8" x14ac:dyDescent="0.2">
      <c r="A3252" t="str">
        <f t="shared" si="50"/>
        <v/>
      </c>
      <c r="B3252">
        <v>2016</v>
      </c>
      <c r="C3252" s="1" t="s">
        <v>2505</v>
      </c>
      <c r="D3252" s="1" t="s">
        <v>2506</v>
      </c>
      <c r="E3252" s="1" t="s">
        <v>2019</v>
      </c>
      <c r="F3252" s="1" t="s">
        <v>323</v>
      </c>
      <c r="G3252" s="12">
        <v>180182</v>
      </c>
      <c r="H3252" t="str">
        <f>IFERROR(VLOOKUP(F3252,'LEAID Match'!$A$2:$B$142,2,FALSE),"")</f>
        <v/>
      </c>
    </row>
    <row r="3253" spans="1:8" x14ac:dyDescent="0.2">
      <c r="A3253" t="str">
        <f t="shared" si="50"/>
        <v/>
      </c>
      <c r="B3253" s="1">
        <v>2017</v>
      </c>
      <c r="C3253" s="1" t="s">
        <v>2505</v>
      </c>
      <c r="D3253" s="1" t="s">
        <v>2506</v>
      </c>
      <c r="E3253" s="1" t="s">
        <v>2019</v>
      </c>
      <c r="F3253" s="1" t="s">
        <v>323</v>
      </c>
      <c r="G3253" s="50">
        <v>190727</v>
      </c>
      <c r="H3253" t="str">
        <f>IFERROR(VLOOKUP(F3253,'LEAID Match'!$A$2:$B$142,2,FALSE),"")</f>
        <v/>
      </c>
    </row>
    <row r="3254" spans="1:8" x14ac:dyDescent="0.2">
      <c r="A3254" t="str">
        <f t="shared" si="50"/>
        <v/>
      </c>
      <c r="B3254" s="1">
        <v>2018</v>
      </c>
      <c r="C3254" s="1" t="s">
        <v>2505</v>
      </c>
      <c r="D3254" s="1" t="s">
        <v>2506</v>
      </c>
      <c r="E3254" s="1" t="s">
        <v>2019</v>
      </c>
      <c r="F3254" s="1" t="s">
        <v>323</v>
      </c>
      <c r="G3254" s="6">
        <v>201667</v>
      </c>
      <c r="H3254" t="str">
        <f>IFERROR(VLOOKUP(F3254,'LEAID Match'!$A$2:$B$142,2,FALSE),"")</f>
        <v/>
      </c>
    </row>
    <row r="3255" spans="1:8" x14ac:dyDescent="0.2">
      <c r="A3255" t="str">
        <f t="shared" si="50"/>
        <v/>
      </c>
      <c r="B3255" s="1">
        <v>2019</v>
      </c>
      <c r="C3255" s="1" t="s">
        <v>2505</v>
      </c>
      <c r="D3255" s="1" t="s">
        <v>2506</v>
      </c>
      <c r="E3255" s="1" t="s">
        <v>2019</v>
      </c>
      <c r="F3255" s="1" t="s">
        <v>323</v>
      </c>
      <c r="G3255" s="6">
        <v>207240</v>
      </c>
      <c r="H3255" t="str">
        <f>IFERROR(VLOOKUP(F3255,'LEAID Match'!$A$2:$B$142,2,FALSE),"")</f>
        <v/>
      </c>
    </row>
    <row r="3256" spans="1:8" x14ac:dyDescent="0.2">
      <c r="A3256" t="str">
        <f t="shared" si="50"/>
        <v/>
      </c>
      <c r="B3256" s="1">
        <v>2020</v>
      </c>
      <c r="C3256" s="1" t="s">
        <v>2505</v>
      </c>
      <c r="D3256" s="1" t="s">
        <v>2506</v>
      </c>
      <c r="E3256" s="1" t="s">
        <v>2019</v>
      </c>
      <c r="F3256" s="1" t="s">
        <v>323</v>
      </c>
      <c r="G3256" s="6">
        <v>239929</v>
      </c>
      <c r="H3256" t="str">
        <f>IFERROR(VLOOKUP(F3256,'LEAID Match'!$A$2:$B$142,2,FALSE),"")</f>
        <v/>
      </c>
    </row>
    <row r="3257" spans="1:8" x14ac:dyDescent="0.2">
      <c r="A3257" t="str">
        <f t="shared" si="50"/>
        <v/>
      </c>
      <c r="B3257" s="1">
        <v>2021</v>
      </c>
      <c r="C3257" s="1" t="s">
        <v>2505</v>
      </c>
      <c r="D3257" s="1" t="s">
        <v>2506</v>
      </c>
      <c r="E3257" s="1" t="s">
        <v>2019</v>
      </c>
      <c r="F3257" s="1" t="s">
        <v>323</v>
      </c>
      <c r="G3257" s="6">
        <v>247355</v>
      </c>
      <c r="H3257" t="str">
        <f>IFERROR(VLOOKUP(F3257,'LEAID Match'!$A$2:$B$142,2,FALSE),"")</f>
        <v/>
      </c>
    </row>
    <row r="3258" spans="1:8" x14ac:dyDescent="0.2">
      <c r="A3258" t="str">
        <f t="shared" si="50"/>
        <v/>
      </c>
      <c r="B3258" s="1">
        <v>2022</v>
      </c>
      <c r="C3258" s="1" t="s">
        <v>2505</v>
      </c>
      <c r="D3258" s="1" t="s">
        <v>2506</v>
      </c>
      <c r="E3258" s="1" t="s">
        <v>2019</v>
      </c>
      <c r="F3258" s="1" t="s">
        <v>323</v>
      </c>
      <c r="G3258" s="6">
        <v>256407</v>
      </c>
      <c r="H3258" t="str">
        <f>IFERROR(VLOOKUP(F3258,'LEAID Match'!$A$2:$B$142,2,FALSE),"")</f>
        <v/>
      </c>
    </row>
    <row r="3259" spans="1:8" x14ac:dyDescent="0.2">
      <c r="A3259" t="str">
        <f t="shared" si="50"/>
        <v/>
      </c>
      <c r="B3259" s="1">
        <v>2023</v>
      </c>
      <c r="C3259" s="1" t="s">
        <v>2505</v>
      </c>
      <c r="D3259" s="1" t="s">
        <v>2506</v>
      </c>
      <c r="E3259" s="1" t="s">
        <v>2019</v>
      </c>
      <c r="F3259" s="1" t="s">
        <v>323</v>
      </c>
      <c r="G3259" s="6">
        <v>251383</v>
      </c>
      <c r="H3259" t="str">
        <f>IFERROR(VLOOKUP(F3259,'LEAID Match'!$A$2:$B$142,2,FALSE),"")</f>
        <v/>
      </c>
    </row>
    <row r="3260" spans="1:8" x14ac:dyDescent="0.2">
      <c r="A3260" t="str">
        <f t="shared" si="50"/>
        <v/>
      </c>
      <c r="B3260" s="1">
        <v>2024</v>
      </c>
      <c r="C3260" s="1" t="s">
        <v>2505</v>
      </c>
      <c r="D3260" s="1" t="s">
        <v>2506</v>
      </c>
      <c r="E3260" s="1" t="s">
        <v>2019</v>
      </c>
      <c r="F3260" s="1" t="s">
        <v>323</v>
      </c>
      <c r="G3260" s="6">
        <v>233877</v>
      </c>
      <c r="H3260" t="str">
        <f>IFERROR(VLOOKUP(F3260,'LEAID Match'!$A$2:$B$142,2,FALSE),"")</f>
        <v/>
      </c>
    </row>
    <row r="3261" spans="1:8" x14ac:dyDescent="0.2">
      <c r="A3261" t="str">
        <f t="shared" si="50"/>
        <v/>
      </c>
      <c r="B3261" s="1">
        <v>2015</v>
      </c>
      <c r="C3261" s="1" t="s">
        <v>2505</v>
      </c>
      <c r="D3261" s="1" t="s">
        <v>2506</v>
      </c>
      <c r="E3261" s="1" t="s">
        <v>2019</v>
      </c>
      <c r="F3261" s="1" t="s">
        <v>324</v>
      </c>
      <c r="G3261" s="6">
        <v>21334</v>
      </c>
      <c r="H3261" t="str">
        <f>IFERROR(VLOOKUP(F3261,'LEAID Match'!$A$2:$B$142,2,FALSE),"")</f>
        <v/>
      </c>
    </row>
    <row r="3262" spans="1:8" x14ac:dyDescent="0.2">
      <c r="A3262" t="str">
        <f t="shared" si="50"/>
        <v/>
      </c>
      <c r="B3262">
        <v>2016</v>
      </c>
      <c r="C3262" s="1" t="s">
        <v>2505</v>
      </c>
      <c r="D3262" s="1" t="s">
        <v>2506</v>
      </c>
      <c r="E3262" s="1" t="s">
        <v>2019</v>
      </c>
      <c r="F3262" s="1" t="s">
        <v>324</v>
      </c>
      <c r="G3262" s="12">
        <v>21937</v>
      </c>
      <c r="H3262" t="str">
        <f>IFERROR(VLOOKUP(F3262,'LEAID Match'!$A$2:$B$142,2,FALSE),"")</f>
        <v/>
      </c>
    </row>
    <row r="3263" spans="1:8" x14ac:dyDescent="0.2">
      <c r="A3263" t="str">
        <f t="shared" si="50"/>
        <v/>
      </c>
      <c r="B3263" s="1">
        <v>2017</v>
      </c>
      <c r="C3263" s="1" t="s">
        <v>2505</v>
      </c>
      <c r="D3263" s="1" t="s">
        <v>2506</v>
      </c>
      <c r="E3263" s="1" t="s">
        <v>2019</v>
      </c>
      <c r="F3263" s="1" t="s">
        <v>324</v>
      </c>
      <c r="G3263" s="50">
        <v>22709</v>
      </c>
      <c r="H3263" t="str">
        <f>IFERROR(VLOOKUP(F3263,'LEAID Match'!$A$2:$B$142,2,FALSE),"")</f>
        <v/>
      </c>
    </row>
    <row r="3264" spans="1:8" x14ac:dyDescent="0.2">
      <c r="A3264" t="str">
        <f t="shared" si="50"/>
        <v/>
      </c>
      <c r="B3264" s="1">
        <v>2018</v>
      </c>
      <c r="C3264" s="1" t="s">
        <v>2505</v>
      </c>
      <c r="D3264" s="1" t="s">
        <v>2506</v>
      </c>
      <c r="E3264" s="1" t="s">
        <v>2019</v>
      </c>
      <c r="F3264" s="1" t="s">
        <v>324</v>
      </c>
      <c r="G3264" s="6">
        <v>23415</v>
      </c>
      <c r="H3264" t="str">
        <f>IFERROR(VLOOKUP(F3264,'LEAID Match'!$A$2:$B$142,2,FALSE),"")</f>
        <v/>
      </c>
    </row>
    <row r="3265" spans="1:8" x14ac:dyDescent="0.2">
      <c r="A3265" t="str">
        <f t="shared" si="50"/>
        <v/>
      </c>
      <c r="B3265" s="1">
        <v>2019</v>
      </c>
      <c r="C3265" s="1" t="s">
        <v>2505</v>
      </c>
      <c r="D3265" s="1" t="s">
        <v>2506</v>
      </c>
      <c r="E3265" s="1" t="s">
        <v>2019</v>
      </c>
      <c r="F3265" s="1" t="s">
        <v>324</v>
      </c>
      <c r="G3265" s="6">
        <v>24116</v>
      </c>
      <c r="H3265" t="str">
        <f>IFERROR(VLOOKUP(F3265,'LEAID Match'!$A$2:$B$142,2,FALSE),"")</f>
        <v/>
      </c>
    </row>
    <row r="3266" spans="1:8" x14ac:dyDescent="0.2">
      <c r="A3266" t="str">
        <f t="shared" si="50"/>
        <v/>
      </c>
      <c r="B3266" s="1">
        <v>2020</v>
      </c>
      <c r="C3266" s="1" t="s">
        <v>2505</v>
      </c>
      <c r="D3266" s="1" t="s">
        <v>2506</v>
      </c>
      <c r="E3266" s="1" t="s">
        <v>2019</v>
      </c>
      <c r="F3266" s="1" t="s">
        <v>324</v>
      </c>
      <c r="G3266" s="6">
        <v>26623</v>
      </c>
      <c r="H3266" t="str">
        <f>IFERROR(VLOOKUP(F3266,'LEAID Match'!$A$2:$B$142,2,FALSE),"")</f>
        <v/>
      </c>
    </row>
    <row r="3267" spans="1:8" x14ac:dyDescent="0.2">
      <c r="A3267" t="str">
        <f t="shared" ref="A3267:A3330" si="51">H3267</f>
        <v/>
      </c>
      <c r="B3267" s="1">
        <v>2021</v>
      </c>
      <c r="C3267" s="1" t="s">
        <v>2505</v>
      </c>
      <c r="D3267" s="1" t="s">
        <v>2506</v>
      </c>
      <c r="E3267" s="1" t="s">
        <v>2019</v>
      </c>
      <c r="F3267" s="1" t="s">
        <v>324</v>
      </c>
      <c r="G3267" s="6">
        <v>26695</v>
      </c>
      <c r="H3267" t="str">
        <f>IFERROR(VLOOKUP(F3267,'LEAID Match'!$A$2:$B$142,2,FALSE),"")</f>
        <v/>
      </c>
    </row>
    <row r="3268" spans="1:8" x14ac:dyDescent="0.2">
      <c r="A3268" t="str">
        <f t="shared" si="51"/>
        <v/>
      </c>
      <c r="B3268" s="1">
        <v>2022</v>
      </c>
      <c r="C3268" s="1" t="s">
        <v>2505</v>
      </c>
      <c r="D3268" s="1" t="s">
        <v>2506</v>
      </c>
      <c r="E3268" s="1" t="s">
        <v>2019</v>
      </c>
      <c r="F3268" s="1" t="s">
        <v>324</v>
      </c>
      <c r="G3268" s="6">
        <v>26726</v>
      </c>
      <c r="H3268" t="str">
        <f>IFERROR(VLOOKUP(F3268,'LEAID Match'!$A$2:$B$142,2,FALSE),"")</f>
        <v/>
      </c>
    </row>
    <row r="3269" spans="1:8" x14ac:dyDescent="0.2">
      <c r="A3269" t="str">
        <f t="shared" si="51"/>
        <v/>
      </c>
      <c r="B3269" s="1">
        <v>2023</v>
      </c>
      <c r="C3269" s="1" t="s">
        <v>2505</v>
      </c>
      <c r="D3269" s="1" t="s">
        <v>2506</v>
      </c>
      <c r="E3269" s="1" t="s">
        <v>2019</v>
      </c>
      <c r="F3269" s="1" t="s">
        <v>324</v>
      </c>
      <c r="G3269" s="6">
        <v>18750</v>
      </c>
      <c r="H3269" t="str">
        <f>IFERROR(VLOOKUP(F3269,'LEAID Match'!$A$2:$B$142,2,FALSE),"")</f>
        <v/>
      </c>
    </row>
    <row r="3270" spans="1:8" x14ac:dyDescent="0.2">
      <c r="A3270" t="str">
        <f t="shared" si="51"/>
        <v/>
      </c>
      <c r="B3270" s="1">
        <v>2024</v>
      </c>
      <c r="C3270" s="1" t="s">
        <v>2505</v>
      </c>
      <c r="D3270" s="1" t="s">
        <v>2506</v>
      </c>
      <c r="E3270" s="1" t="s">
        <v>2019</v>
      </c>
      <c r="F3270" s="1" t="s">
        <v>324</v>
      </c>
      <c r="G3270" s="6">
        <v>20805</v>
      </c>
      <c r="H3270" t="str">
        <f>IFERROR(VLOOKUP(F3270,'LEAID Match'!$A$2:$B$142,2,FALSE),"")</f>
        <v/>
      </c>
    </row>
    <row r="3271" spans="1:8" x14ac:dyDescent="0.2">
      <c r="A3271" t="str">
        <f t="shared" si="51"/>
        <v/>
      </c>
      <c r="B3271" s="1">
        <v>2015</v>
      </c>
      <c r="C3271" s="1" t="s">
        <v>2505</v>
      </c>
      <c r="D3271" s="1" t="s">
        <v>2506</v>
      </c>
      <c r="E3271" s="1" t="s">
        <v>2019</v>
      </c>
      <c r="F3271" s="1" t="s">
        <v>325</v>
      </c>
      <c r="G3271" s="6">
        <v>10928707</v>
      </c>
      <c r="H3271" t="str">
        <f>IFERROR(VLOOKUP(F3271,'LEAID Match'!$A$2:$B$142,2,FALSE),"")</f>
        <v/>
      </c>
    </row>
    <row r="3272" spans="1:8" x14ac:dyDescent="0.2">
      <c r="A3272" t="str">
        <f t="shared" si="51"/>
        <v/>
      </c>
      <c r="B3272">
        <v>2016</v>
      </c>
      <c r="C3272" s="1" t="s">
        <v>2505</v>
      </c>
      <c r="D3272" s="1" t="s">
        <v>2506</v>
      </c>
      <c r="E3272" s="1" t="s">
        <v>2019</v>
      </c>
      <c r="F3272" s="1" t="s">
        <v>325</v>
      </c>
      <c r="G3272" s="12">
        <v>10818390</v>
      </c>
      <c r="H3272" t="str">
        <f>IFERROR(VLOOKUP(F3272,'LEAID Match'!$A$2:$B$142,2,FALSE),"")</f>
        <v/>
      </c>
    </row>
    <row r="3273" spans="1:8" x14ac:dyDescent="0.2">
      <c r="A3273" t="str">
        <f t="shared" si="51"/>
        <v/>
      </c>
      <c r="B3273" s="1">
        <v>2017</v>
      </c>
      <c r="C3273" s="1" t="s">
        <v>2505</v>
      </c>
      <c r="D3273" s="1" t="s">
        <v>2506</v>
      </c>
      <c r="E3273" s="1" t="s">
        <v>2019</v>
      </c>
      <c r="F3273" s="1" t="s">
        <v>325</v>
      </c>
      <c r="G3273" s="50">
        <v>9542936</v>
      </c>
      <c r="H3273" t="str">
        <f>IFERROR(VLOOKUP(F3273,'LEAID Match'!$A$2:$B$142,2,FALSE),"")</f>
        <v/>
      </c>
    </row>
    <row r="3274" spans="1:8" x14ac:dyDescent="0.2">
      <c r="A3274" t="str">
        <f t="shared" si="51"/>
        <v/>
      </c>
      <c r="B3274" s="1">
        <v>2018</v>
      </c>
      <c r="C3274" s="1" t="s">
        <v>2505</v>
      </c>
      <c r="D3274" s="1" t="s">
        <v>2506</v>
      </c>
      <c r="E3274" s="1" t="s">
        <v>2019</v>
      </c>
      <c r="F3274" s="1" t="s">
        <v>325</v>
      </c>
      <c r="G3274" s="6">
        <v>9327313</v>
      </c>
      <c r="H3274" t="str">
        <f>IFERROR(VLOOKUP(F3274,'LEAID Match'!$A$2:$B$142,2,FALSE),"")</f>
        <v/>
      </c>
    </row>
    <row r="3275" spans="1:8" x14ac:dyDescent="0.2">
      <c r="A3275" t="str">
        <f t="shared" si="51"/>
        <v/>
      </c>
      <c r="B3275" s="1">
        <v>2019</v>
      </c>
      <c r="C3275" s="1" t="s">
        <v>2505</v>
      </c>
      <c r="D3275" s="1" t="s">
        <v>2506</v>
      </c>
      <c r="E3275" s="1" t="s">
        <v>2019</v>
      </c>
      <c r="F3275" s="1" t="s">
        <v>325</v>
      </c>
      <c r="G3275" s="6">
        <v>9498582</v>
      </c>
      <c r="H3275" t="str">
        <f>IFERROR(VLOOKUP(F3275,'LEAID Match'!$A$2:$B$142,2,FALSE),"")</f>
        <v/>
      </c>
    </row>
    <row r="3276" spans="1:8" x14ac:dyDescent="0.2">
      <c r="A3276" t="str">
        <f t="shared" si="51"/>
        <v/>
      </c>
      <c r="B3276" s="1">
        <v>2020</v>
      </c>
      <c r="C3276" s="1" t="s">
        <v>2505</v>
      </c>
      <c r="D3276" s="1" t="s">
        <v>2506</v>
      </c>
      <c r="E3276" s="1" t="s">
        <v>2019</v>
      </c>
      <c r="F3276" s="1" t="s">
        <v>325</v>
      </c>
      <c r="G3276" s="6">
        <v>10516408</v>
      </c>
      <c r="H3276" t="str">
        <f>IFERROR(VLOOKUP(F3276,'LEAID Match'!$A$2:$B$142,2,FALSE),"")</f>
        <v/>
      </c>
    </row>
    <row r="3277" spans="1:8" x14ac:dyDescent="0.2">
      <c r="A3277" t="str">
        <f t="shared" si="51"/>
        <v/>
      </c>
      <c r="B3277" s="1">
        <v>2021</v>
      </c>
      <c r="C3277" s="1" t="s">
        <v>2505</v>
      </c>
      <c r="D3277" s="1" t="s">
        <v>2506</v>
      </c>
      <c r="E3277" s="1" t="s">
        <v>2019</v>
      </c>
      <c r="F3277" s="1" t="s">
        <v>325</v>
      </c>
      <c r="G3277" s="6">
        <v>9978415</v>
      </c>
      <c r="H3277" t="str">
        <f>IFERROR(VLOOKUP(F3277,'LEAID Match'!$A$2:$B$142,2,FALSE),"")</f>
        <v/>
      </c>
    </row>
    <row r="3278" spans="1:8" x14ac:dyDescent="0.2">
      <c r="A3278" t="str">
        <f t="shared" si="51"/>
        <v/>
      </c>
      <c r="B3278" s="1">
        <v>2022</v>
      </c>
      <c r="C3278" s="1" t="s">
        <v>2505</v>
      </c>
      <c r="D3278" s="1" t="s">
        <v>2506</v>
      </c>
      <c r="E3278" s="1" t="s">
        <v>2019</v>
      </c>
      <c r="F3278" s="1" t="s">
        <v>325</v>
      </c>
      <c r="G3278" s="6">
        <v>9793516</v>
      </c>
      <c r="H3278" t="str">
        <f>IFERROR(VLOOKUP(F3278,'LEAID Match'!$A$2:$B$142,2,FALSE),"")</f>
        <v/>
      </c>
    </row>
    <row r="3279" spans="1:8" x14ac:dyDescent="0.2">
      <c r="A3279" t="str">
        <f t="shared" si="51"/>
        <v/>
      </c>
      <c r="B3279" s="1">
        <v>2023</v>
      </c>
      <c r="C3279" s="1" t="s">
        <v>2505</v>
      </c>
      <c r="D3279" s="1" t="s">
        <v>2506</v>
      </c>
      <c r="E3279" s="1" t="s">
        <v>2019</v>
      </c>
      <c r="F3279" s="1" t="s">
        <v>325</v>
      </c>
      <c r="G3279" s="6">
        <v>9745301</v>
      </c>
      <c r="H3279" t="str">
        <f>IFERROR(VLOOKUP(F3279,'LEAID Match'!$A$2:$B$142,2,FALSE),"")</f>
        <v/>
      </c>
    </row>
    <row r="3280" spans="1:8" x14ac:dyDescent="0.2">
      <c r="A3280" t="str">
        <f t="shared" si="51"/>
        <v/>
      </c>
      <c r="B3280" s="1">
        <v>2024</v>
      </c>
      <c r="C3280" s="1" t="s">
        <v>2505</v>
      </c>
      <c r="D3280" s="1" t="s">
        <v>2506</v>
      </c>
      <c r="E3280" s="1" t="s">
        <v>2019</v>
      </c>
      <c r="F3280" s="1" t="s">
        <v>325</v>
      </c>
      <c r="G3280" s="6">
        <v>10116085</v>
      </c>
      <c r="H3280" t="str">
        <f>IFERROR(VLOOKUP(F3280,'LEAID Match'!$A$2:$B$142,2,FALSE),"")</f>
        <v/>
      </c>
    </row>
    <row r="3281" spans="1:8" x14ac:dyDescent="0.2">
      <c r="A3281" t="str">
        <f t="shared" si="51"/>
        <v/>
      </c>
      <c r="B3281">
        <v>2016</v>
      </c>
      <c r="C3281" s="1" t="s">
        <v>2505</v>
      </c>
      <c r="D3281" s="1" t="s">
        <v>2506</v>
      </c>
      <c r="E3281" s="1" t="s">
        <v>2019</v>
      </c>
      <c r="F3281" s="1" t="s">
        <v>326</v>
      </c>
      <c r="G3281" s="12">
        <v>691701</v>
      </c>
      <c r="H3281" t="str">
        <f>IFERROR(VLOOKUP(F3281,'LEAID Match'!$A$2:$B$142,2,FALSE),"")</f>
        <v/>
      </c>
    </row>
    <row r="3282" spans="1:8" x14ac:dyDescent="0.2">
      <c r="A3282" t="str">
        <f t="shared" si="51"/>
        <v/>
      </c>
      <c r="B3282" s="1">
        <v>2017</v>
      </c>
      <c r="C3282" s="1" t="s">
        <v>2505</v>
      </c>
      <c r="D3282" s="1" t="s">
        <v>2506</v>
      </c>
      <c r="E3282" s="1" t="s">
        <v>2019</v>
      </c>
      <c r="F3282" s="1" t="s">
        <v>326</v>
      </c>
      <c r="G3282" s="50">
        <v>707009</v>
      </c>
      <c r="H3282" t="str">
        <f>IFERROR(VLOOKUP(F3282,'LEAID Match'!$A$2:$B$142,2,FALSE),"")</f>
        <v/>
      </c>
    </row>
    <row r="3283" spans="1:8" x14ac:dyDescent="0.2">
      <c r="A3283" t="str">
        <f t="shared" si="51"/>
        <v/>
      </c>
      <c r="B3283" s="1">
        <v>2018</v>
      </c>
      <c r="C3283" s="1" t="s">
        <v>2505</v>
      </c>
      <c r="D3283" s="1" t="s">
        <v>2506</v>
      </c>
      <c r="E3283" s="1" t="s">
        <v>2019</v>
      </c>
      <c r="F3283" s="1" t="s">
        <v>326</v>
      </c>
      <c r="G3283" s="6">
        <v>738689</v>
      </c>
      <c r="H3283" t="str">
        <f>IFERROR(VLOOKUP(F3283,'LEAID Match'!$A$2:$B$142,2,FALSE),"")</f>
        <v/>
      </c>
    </row>
    <row r="3284" spans="1:8" x14ac:dyDescent="0.2">
      <c r="A3284" t="str">
        <f t="shared" si="51"/>
        <v/>
      </c>
      <c r="B3284" s="1">
        <v>2019</v>
      </c>
      <c r="C3284" s="1" t="s">
        <v>2505</v>
      </c>
      <c r="D3284" s="1" t="s">
        <v>2506</v>
      </c>
      <c r="E3284" s="1" t="s">
        <v>2019</v>
      </c>
      <c r="F3284" s="1" t="s">
        <v>326</v>
      </c>
      <c r="G3284" s="6">
        <v>747068</v>
      </c>
      <c r="H3284" t="str">
        <f>IFERROR(VLOOKUP(F3284,'LEAID Match'!$A$2:$B$142,2,FALSE),"")</f>
        <v/>
      </c>
    </row>
    <row r="3285" spans="1:8" x14ac:dyDescent="0.2">
      <c r="A3285" t="str">
        <f t="shared" si="51"/>
        <v/>
      </c>
      <c r="B3285" s="1">
        <v>2020</v>
      </c>
      <c r="C3285" s="1" t="s">
        <v>2505</v>
      </c>
      <c r="D3285" s="1" t="s">
        <v>2506</v>
      </c>
      <c r="E3285" s="1" t="s">
        <v>2019</v>
      </c>
      <c r="F3285" s="1" t="s">
        <v>326</v>
      </c>
      <c r="G3285" s="6">
        <v>865109</v>
      </c>
      <c r="H3285" t="str">
        <f>IFERROR(VLOOKUP(F3285,'LEAID Match'!$A$2:$B$142,2,FALSE),"")</f>
        <v/>
      </c>
    </row>
    <row r="3286" spans="1:8" x14ac:dyDescent="0.2">
      <c r="A3286" t="str">
        <f t="shared" si="51"/>
        <v/>
      </c>
      <c r="B3286" s="1">
        <v>2021</v>
      </c>
      <c r="C3286" s="1" t="s">
        <v>2505</v>
      </c>
      <c r="D3286" s="1" t="s">
        <v>2506</v>
      </c>
      <c r="E3286" s="1" t="s">
        <v>2019</v>
      </c>
      <c r="F3286" s="1" t="s">
        <v>326</v>
      </c>
      <c r="G3286" s="6">
        <v>897281</v>
      </c>
      <c r="H3286" t="str">
        <f>IFERROR(VLOOKUP(F3286,'LEAID Match'!$A$2:$B$142,2,FALSE),"")</f>
        <v/>
      </c>
    </row>
    <row r="3287" spans="1:8" x14ac:dyDescent="0.2">
      <c r="A3287" t="str">
        <f t="shared" si="51"/>
        <v/>
      </c>
      <c r="B3287" s="1">
        <v>2022</v>
      </c>
      <c r="C3287" s="1" t="s">
        <v>2505</v>
      </c>
      <c r="D3287" s="1" t="s">
        <v>2506</v>
      </c>
      <c r="E3287" s="1" t="s">
        <v>2019</v>
      </c>
      <c r="F3287" s="1" t="s">
        <v>326</v>
      </c>
      <c r="G3287" s="6">
        <v>959420</v>
      </c>
      <c r="H3287" t="str">
        <f>IFERROR(VLOOKUP(F3287,'LEAID Match'!$A$2:$B$142,2,FALSE),"")</f>
        <v/>
      </c>
    </row>
    <row r="3288" spans="1:8" x14ac:dyDescent="0.2">
      <c r="A3288" t="str">
        <f t="shared" si="51"/>
        <v/>
      </c>
      <c r="B3288" s="1">
        <v>2023</v>
      </c>
      <c r="C3288" s="1" t="s">
        <v>2505</v>
      </c>
      <c r="D3288" s="1" t="s">
        <v>2506</v>
      </c>
      <c r="E3288" s="1" t="s">
        <v>2019</v>
      </c>
      <c r="F3288" s="1" t="s">
        <v>326</v>
      </c>
      <c r="G3288" s="6">
        <v>1014507</v>
      </c>
      <c r="H3288" t="str">
        <f>IFERROR(VLOOKUP(F3288,'LEAID Match'!$A$2:$B$142,2,FALSE),"")</f>
        <v/>
      </c>
    </row>
    <row r="3289" spans="1:8" x14ac:dyDescent="0.2">
      <c r="A3289" t="str">
        <f t="shared" si="51"/>
        <v/>
      </c>
      <c r="B3289" s="1">
        <v>2024</v>
      </c>
      <c r="C3289" s="1" t="s">
        <v>2505</v>
      </c>
      <c r="D3289" s="1" t="s">
        <v>2506</v>
      </c>
      <c r="E3289" s="1" t="s">
        <v>2019</v>
      </c>
      <c r="F3289" s="1" t="s">
        <v>326</v>
      </c>
      <c r="G3289" s="6">
        <v>1067389</v>
      </c>
      <c r="H3289" t="str">
        <f>IFERROR(VLOOKUP(F3289,'LEAID Match'!$A$2:$B$142,2,FALSE),"")</f>
        <v/>
      </c>
    </row>
    <row r="3290" spans="1:8" x14ac:dyDescent="0.2">
      <c r="A3290">
        <f t="shared" si="51"/>
        <v>2802160</v>
      </c>
      <c r="B3290" s="1">
        <v>2015</v>
      </c>
      <c r="C3290" s="1" t="s">
        <v>2505</v>
      </c>
      <c r="D3290" s="1" t="s">
        <v>2506</v>
      </c>
      <c r="E3290" s="1" t="s">
        <v>2019</v>
      </c>
      <c r="F3290" s="1" t="s">
        <v>327</v>
      </c>
      <c r="G3290" s="6">
        <v>6642088</v>
      </c>
      <c r="H3290">
        <f>IFERROR(VLOOKUP(F3290,'LEAID Match'!$A$2:$B$142,2,FALSE),"")</f>
        <v>2802160</v>
      </c>
    </row>
    <row r="3291" spans="1:8" x14ac:dyDescent="0.2">
      <c r="A3291">
        <f t="shared" si="51"/>
        <v>2802160</v>
      </c>
      <c r="B3291">
        <v>2016</v>
      </c>
      <c r="C3291" s="1" t="s">
        <v>2505</v>
      </c>
      <c r="D3291" s="1" t="s">
        <v>2506</v>
      </c>
      <c r="E3291" s="1" t="s">
        <v>2019</v>
      </c>
      <c r="F3291" s="1" t="s">
        <v>327</v>
      </c>
      <c r="G3291" s="12">
        <v>6933735</v>
      </c>
      <c r="H3291">
        <f>IFERROR(VLOOKUP(F3291,'LEAID Match'!$A$2:$B$142,2,FALSE),"")</f>
        <v>2802160</v>
      </c>
    </row>
    <row r="3292" spans="1:8" x14ac:dyDescent="0.2">
      <c r="A3292">
        <f t="shared" si="51"/>
        <v>2802160</v>
      </c>
      <c r="B3292" s="1">
        <v>2017</v>
      </c>
      <c r="C3292" s="1" t="s">
        <v>2505</v>
      </c>
      <c r="D3292" s="1" t="s">
        <v>2506</v>
      </c>
      <c r="E3292" s="1" t="s">
        <v>2019</v>
      </c>
      <c r="F3292" s="1" t="s">
        <v>327</v>
      </c>
      <c r="G3292" s="50">
        <v>6519966</v>
      </c>
      <c r="H3292">
        <f>IFERROR(VLOOKUP(F3292,'LEAID Match'!$A$2:$B$142,2,FALSE),"")</f>
        <v>2802160</v>
      </c>
    </row>
    <row r="3293" spans="1:8" x14ac:dyDescent="0.2">
      <c r="A3293">
        <f t="shared" si="51"/>
        <v>2802160</v>
      </c>
      <c r="B3293" s="1">
        <v>2018</v>
      </c>
      <c r="C3293" s="1" t="s">
        <v>2505</v>
      </c>
      <c r="D3293" s="1" t="s">
        <v>2506</v>
      </c>
      <c r="E3293" s="1" t="s">
        <v>2019</v>
      </c>
      <c r="F3293" s="1" t="s">
        <v>327</v>
      </c>
      <c r="G3293" s="6">
        <v>7194503</v>
      </c>
      <c r="H3293">
        <f>IFERROR(VLOOKUP(F3293,'LEAID Match'!$A$2:$B$142,2,FALSE),"")</f>
        <v>2802160</v>
      </c>
    </row>
    <row r="3294" spans="1:8" x14ac:dyDescent="0.2">
      <c r="A3294">
        <f t="shared" si="51"/>
        <v>2802160</v>
      </c>
      <c r="B3294" s="1">
        <v>2019</v>
      </c>
      <c r="C3294" s="1" t="s">
        <v>2505</v>
      </c>
      <c r="D3294" s="1" t="s">
        <v>2506</v>
      </c>
      <c r="E3294" s="1" t="s">
        <v>2019</v>
      </c>
      <c r="F3294" s="1" t="s">
        <v>327</v>
      </c>
      <c r="G3294" s="6">
        <v>7830105</v>
      </c>
      <c r="H3294">
        <f>IFERROR(VLOOKUP(F3294,'LEAID Match'!$A$2:$B$142,2,FALSE),"")</f>
        <v>2802160</v>
      </c>
    </row>
    <row r="3295" spans="1:8" x14ac:dyDescent="0.2">
      <c r="A3295">
        <f t="shared" si="51"/>
        <v>2802160</v>
      </c>
      <c r="B3295" s="1">
        <v>2020</v>
      </c>
      <c r="C3295" s="1" t="s">
        <v>2505</v>
      </c>
      <c r="D3295" s="1" t="s">
        <v>2506</v>
      </c>
      <c r="E3295" s="1" t="s">
        <v>2019</v>
      </c>
      <c r="F3295" s="1" t="s">
        <v>327</v>
      </c>
      <c r="G3295" s="6">
        <v>7806925</v>
      </c>
      <c r="H3295">
        <f>IFERROR(VLOOKUP(F3295,'LEAID Match'!$A$2:$B$142,2,FALSE),"")</f>
        <v>2802160</v>
      </c>
    </row>
    <row r="3296" spans="1:8" x14ac:dyDescent="0.2">
      <c r="A3296">
        <f t="shared" si="51"/>
        <v>2802160</v>
      </c>
      <c r="B3296" s="1">
        <v>2021</v>
      </c>
      <c r="C3296" s="1" t="s">
        <v>2505</v>
      </c>
      <c r="D3296" s="1" t="s">
        <v>2506</v>
      </c>
      <c r="E3296" s="1" t="s">
        <v>2019</v>
      </c>
      <c r="F3296" s="1" t="s">
        <v>327</v>
      </c>
      <c r="G3296" s="6">
        <v>9555400</v>
      </c>
      <c r="H3296">
        <f>IFERROR(VLOOKUP(F3296,'LEAID Match'!$A$2:$B$142,2,FALSE),"")</f>
        <v>2802160</v>
      </c>
    </row>
    <row r="3297" spans="1:8" x14ac:dyDescent="0.2">
      <c r="A3297">
        <f t="shared" si="51"/>
        <v>2802160</v>
      </c>
      <c r="B3297" s="1">
        <v>2022</v>
      </c>
      <c r="C3297" s="1" t="s">
        <v>2505</v>
      </c>
      <c r="D3297" s="1" t="s">
        <v>2506</v>
      </c>
      <c r="E3297" s="1" t="s">
        <v>2019</v>
      </c>
      <c r="F3297" s="1" t="s">
        <v>327</v>
      </c>
      <c r="G3297" s="6">
        <v>9231467</v>
      </c>
      <c r="H3297">
        <f>IFERROR(VLOOKUP(F3297,'LEAID Match'!$A$2:$B$142,2,FALSE),"")</f>
        <v>2802160</v>
      </c>
    </row>
    <row r="3298" spans="1:8" x14ac:dyDescent="0.2">
      <c r="A3298">
        <f t="shared" si="51"/>
        <v>2802160</v>
      </c>
      <c r="B3298" s="1">
        <v>2023</v>
      </c>
      <c r="C3298" s="1" t="s">
        <v>2505</v>
      </c>
      <c r="D3298" s="1" t="s">
        <v>2506</v>
      </c>
      <c r="E3298" s="1" t="s">
        <v>2019</v>
      </c>
      <c r="F3298" s="1" t="s">
        <v>327</v>
      </c>
      <c r="G3298" s="6">
        <v>9929262</v>
      </c>
      <c r="H3298">
        <f>IFERROR(VLOOKUP(F3298,'LEAID Match'!$A$2:$B$142,2,FALSE),"")</f>
        <v>2802160</v>
      </c>
    </row>
    <row r="3299" spans="1:8" x14ac:dyDescent="0.2">
      <c r="A3299">
        <f t="shared" si="51"/>
        <v>2802160</v>
      </c>
      <c r="B3299" s="1">
        <v>2024</v>
      </c>
      <c r="C3299" s="1" t="s">
        <v>2505</v>
      </c>
      <c r="D3299" s="1" t="s">
        <v>2506</v>
      </c>
      <c r="E3299" s="1" t="s">
        <v>2019</v>
      </c>
      <c r="F3299" s="1" t="s">
        <v>327</v>
      </c>
      <c r="G3299" s="6">
        <v>9796936</v>
      </c>
      <c r="H3299">
        <f>IFERROR(VLOOKUP(F3299,'LEAID Match'!$A$2:$B$142,2,FALSE),"")</f>
        <v>2802160</v>
      </c>
    </row>
    <row r="3300" spans="1:8" x14ac:dyDescent="0.2">
      <c r="A3300" t="str">
        <f t="shared" si="51"/>
        <v/>
      </c>
      <c r="B3300" s="1">
        <v>2015</v>
      </c>
      <c r="C3300" s="1" t="s">
        <v>2505</v>
      </c>
      <c r="D3300" s="1" t="s">
        <v>2506</v>
      </c>
      <c r="E3300" s="1" t="s">
        <v>2019</v>
      </c>
      <c r="F3300" s="1" t="s">
        <v>328</v>
      </c>
      <c r="G3300" s="6">
        <v>4428132</v>
      </c>
      <c r="H3300" t="str">
        <f>IFERROR(VLOOKUP(F3300,'LEAID Match'!$A$2:$B$142,2,FALSE),"")</f>
        <v/>
      </c>
    </row>
    <row r="3301" spans="1:8" x14ac:dyDescent="0.2">
      <c r="A3301" t="str">
        <f t="shared" si="51"/>
        <v/>
      </c>
      <c r="B3301">
        <v>2016</v>
      </c>
      <c r="C3301" s="1" t="s">
        <v>2505</v>
      </c>
      <c r="D3301" s="1" t="s">
        <v>2506</v>
      </c>
      <c r="E3301" s="1" t="s">
        <v>2019</v>
      </c>
      <c r="F3301" s="1" t="s">
        <v>328</v>
      </c>
      <c r="G3301" s="12">
        <v>4562764</v>
      </c>
      <c r="H3301" t="str">
        <f>IFERROR(VLOOKUP(F3301,'LEAID Match'!$A$2:$B$142,2,FALSE),"")</f>
        <v/>
      </c>
    </row>
    <row r="3302" spans="1:8" x14ac:dyDescent="0.2">
      <c r="A3302" t="str">
        <f t="shared" si="51"/>
        <v/>
      </c>
      <c r="B3302" s="1">
        <v>2017</v>
      </c>
      <c r="C3302" s="1" t="s">
        <v>2505</v>
      </c>
      <c r="D3302" s="1" t="s">
        <v>2506</v>
      </c>
      <c r="E3302" s="1" t="s">
        <v>2019</v>
      </c>
      <c r="F3302" s="1" t="s">
        <v>328</v>
      </c>
      <c r="G3302" s="50">
        <v>4729690</v>
      </c>
      <c r="H3302" t="str">
        <f>IFERROR(VLOOKUP(F3302,'LEAID Match'!$A$2:$B$142,2,FALSE),"")</f>
        <v/>
      </c>
    </row>
    <row r="3303" spans="1:8" x14ac:dyDescent="0.2">
      <c r="A3303" t="str">
        <f t="shared" si="51"/>
        <v/>
      </c>
      <c r="B3303" s="1">
        <v>2018</v>
      </c>
      <c r="C3303" s="1" t="s">
        <v>2505</v>
      </c>
      <c r="D3303" s="1" t="s">
        <v>2506</v>
      </c>
      <c r="E3303" s="1" t="s">
        <v>2019</v>
      </c>
      <c r="F3303" s="1" t="s">
        <v>328</v>
      </c>
      <c r="G3303" s="6">
        <v>4844931</v>
      </c>
      <c r="H3303" t="str">
        <f>IFERROR(VLOOKUP(F3303,'LEAID Match'!$A$2:$B$142,2,FALSE),"")</f>
        <v/>
      </c>
    </row>
    <row r="3304" spans="1:8" x14ac:dyDescent="0.2">
      <c r="A3304" t="str">
        <f t="shared" si="51"/>
        <v/>
      </c>
      <c r="B3304" s="1">
        <v>2019</v>
      </c>
      <c r="C3304" s="1" t="s">
        <v>2505</v>
      </c>
      <c r="D3304" s="1" t="s">
        <v>2506</v>
      </c>
      <c r="E3304" s="1" t="s">
        <v>2019</v>
      </c>
      <c r="F3304" s="1" t="s">
        <v>328</v>
      </c>
      <c r="G3304" s="6">
        <v>5030252</v>
      </c>
      <c r="H3304" t="str">
        <f>IFERROR(VLOOKUP(F3304,'LEAID Match'!$A$2:$B$142,2,FALSE),"")</f>
        <v/>
      </c>
    </row>
    <row r="3305" spans="1:8" x14ac:dyDescent="0.2">
      <c r="A3305" t="str">
        <f t="shared" si="51"/>
        <v/>
      </c>
      <c r="B3305" s="1">
        <v>2020</v>
      </c>
      <c r="C3305" s="1" t="s">
        <v>2505</v>
      </c>
      <c r="D3305" s="1" t="s">
        <v>2506</v>
      </c>
      <c r="E3305" s="1" t="s">
        <v>2019</v>
      </c>
      <c r="F3305" s="1" t="s">
        <v>328</v>
      </c>
      <c r="G3305" s="6">
        <v>5770416</v>
      </c>
      <c r="H3305" t="str">
        <f>IFERROR(VLOOKUP(F3305,'LEAID Match'!$A$2:$B$142,2,FALSE),"")</f>
        <v/>
      </c>
    </row>
    <row r="3306" spans="1:8" x14ac:dyDescent="0.2">
      <c r="A3306" t="str">
        <f t="shared" si="51"/>
        <v/>
      </c>
      <c r="B3306" s="1">
        <v>2021</v>
      </c>
      <c r="C3306" s="1" t="s">
        <v>2505</v>
      </c>
      <c r="D3306" s="1" t="s">
        <v>2506</v>
      </c>
      <c r="E3306" s="1" t="s">
        <v>2019</v>
      </c>
      <c r="F3306" s="1" t="s">
        <v>328</v>
      </c>
      <c r="G3306" s="6">
        <v>6012771</v>
      </c>
      <c r="H3306" t="str">
        <f>IFERROR(VLOOKUP(F3306,'LEAID Match'!$A$2:$B$142,2,FALSE),"")</f>
        <v/>
      </c>
    </row>
    <row r="3307" spans="1:8" x14ac:dyDescent="0.2">
      <c r="A3307" t="str">
        <f t="shared" si="51"/>
        <v/>
      </c>
      <c r="B3307" s="1">
        <v>2022</v>
      </c>
      <c r="C3307" s="1" t="s">
        <v>2505</v>
      </c>
      <c r="D3307" s="1" t="s">
        <v>2506</v>
      </c>
      <c r="E3307" s="1" t="s">
        <v>2019</v>
      </c>
      <c r="F3307" s="1" t="s">
        <v>328</v>
      </c>
      <c r="G3307" s="6">
        <v>5984679</v>
      </c>
      <c r="H3307" t="str">
        <f>IFERROR(VLOOKUP(F3307,'LEAID Match'!$A$2:$B$142,2,FALSE),"")</f>
        <v/>
      </c>
    </row>
    <row r="3308" spans="1:8" x14ac:dyDescent="0.2">
      <c r="A3308" t="str">
        <f t="shared" si="51"/>
        <v/>
      </c>
      <c r="B3308" s="1">
        <v>2023</v>
      </c>
      <c r="C3308" s="1" t="s">
        <v>2505</v>
      </c>
      <c r="D3308" s="1" t="s">
        <v>2506</v>
      </c>
      <c r="E3308" s="1" t="s">
        <v>2019</v>
      </c>
      <c r="F3308" s="1" t="s">
        <v>328</v>
      </c>
      <c r="G3308" s="6">
        <v>6571146</v>
      </c>
      <c r="H3308" t="str">
        <f>IFERROR(VLOOKUP(F3308,'LEAID Match'!$A$2:$B$142,2,FALSE),"")</f>
        <v/>
      </c>
    </row>
    <row r="3309" spans="1:8" x14ac:dyDescent="0.2">
      <c r="A3309" t="str">
        <f t="shared" si="51"/>
        <v/>
      </c>
      <c r="B3309" s="1">
        <v>2024</v>
      </c>
      <c r="C3309" s="1" t="s">
        <v>2505</v>
      </c>
      <c r="D3309" s="1" t="s">
        <v>2506</v>
      </c>
      <c r="E3309" s="1" t="s">
        <v>2019</v>
      </c>
      <c r="F3309" s="1" t="s">
        <v>328</v>
      </c>
      <c r="G3309" s="6">
        <v>6761914</v>
      </c>
      <c r="H3309" t="str">
        <f>IFERROR(VLOOKUP(F3309,'LEAID Match'!$A$2:$B$142,2,FALSE),"")</f>
        <v/>
      </c>
    </row>
    <row r="3310" spans="1:8" x14ac:dyDescent="0.2">
      <c r="A3310" t="str">
        <f t="shared" si="51"/>
        <v/>
      </c>
      <c r="B3310" s="1">
        <v>2015</v>
      </c>
      <c r="C3310" s="1" t="s">
        <v>2505</v>
      </c>
      <c r="D3310" s="1" t="s">
        <v>2506</v>
      </c>
      <c r="E3310" s="1" t="s">
        <v>2019</v>
      </c>
      <c r="F3310" s="1" t="s">
        <v>329</v>
      </c>
      <c r="G3310" s="6">
        <v>70282</v>
      </c>
      <c r="H3310" t="str">
        <f>IFERROR(VLOOKUP(F3310,'LEAID Match'!$A$2:$B$142,2,FALSE),"")</f>
        <v/>
      </c>
    </row>
    <row r="3311" spans="1:8" x14ac:dyDescent="0.2">
      <c r="A3311" t="str">
        <f t="shared" si="51"/>
        <v/>
      </c>
      <c r="B3311">
        <v>2016</v>
      </c>
      <c r="C3311" s="1" t="s">
        <v>2505</v>
      </c>
      <c r="D3311" s="1" t="s">
        <v>2506</v>
      </c>
      <c r="E3311" s="1" t="s">
        <v>2019</v>
      </c>
      <c r="F3311" s="1" t="s">
        <v>329</v>
      </c>
      <c r="G3311" s="12">
        <v>61635</v>
      </c>
      <c r="H3311" t="str">
        <f>IFERROR(VLOOKUP(F3311,'LEAID Match'!$A$2:$B$142,2,FALSE),"")</f>
        <v/>
      </c>
    </row>
    <row r="3312" spans="1:8" x14ac:dyDescent="0.2">
      <c r="A3312" t="str">
        <f t="shared" si="51"/>
        <v/>
      </c>
      <c r="B3312" s="1">
        <v>2017</v>
      </c>
      <c r="C3312" s="1" t="s">
        <v>2505</v>
      </c>
      <c r="D3312" s="1" t="s">
        <v>2506</v>
      </c>
      <c r="E3312" s="1" t="s">
        <v>2019</v>
      </c>
      <c r="F3312" s="1" t="s">
        <v>329</v>
      </c>
      <c r="G3312" s="50">
        <v>71640</v>
      </c>
      <c r="H3312" t="str">
        <f>IFERROR(VLOOKUP(F3312,'LEAID Match'!$A$2:$B$142,2,FALSE),"")</f>
        <v/>
      </c>
    </row>
    <row r="3313" spans="1:8" x14ac:dyDescent="0.2">
      <c r="A3313" t="str">
        <f t="shared" si="51"/>
        <v/>
      </c>
      <c r="B3313" s="1">
        <v>2018</v>
      </c>
      <c r="C3313" s="1" t="s">
        <v>2505</v>
      </c>
      <c r="D3313" s="1" t="s">
        <v>2506</v>
      </c>
      <c r="E3313" s="1" t="s">
        <v>2019</v>
      </c>
      <c r="F3313" s="1" t="s">
        <v>329</v>
      </c>
      <c r="G3313" s="6">
        <v>64382</v>
      </c>
      <c r="H3313" t="str">
        <f>IFERROR(VLOOKUP(F3313,'LEAID Match'!$A$2:$B$142,2,FALSE),"")</f>
        <v/>
      </c>
    </row>
    <row r="3314" spans="1:8" x14ac:dyDescent="0.2">
      <c r="A3314" t="str">
        <f t="shared" si="51"/>
        <v/>
      </c>
      <c r="B3314" s="1">
        <v>2019</v>
      </c>
      <c r="C3314" s="1" t="s">
        <v>2505</v>
      </c>
      <c r="D3314" s="1" t="s">
        <v>2506</v>
      </c>
      <c r="E3314" s="1" t="s">
        <v>2019</v>
      </c>
      <c r="F3314" s="1" t="s">
        <v>329</v>
      </c>
      <c r="G3314" s="6">
        <v>62618</v>
      </c>
      <c r="H3314" t="str">
        <f>IFERROR(VLOOKUP(F3314,'LEAID Match'!$A$2:$B$142,2,FALSE),"")</f>
        <v/>
      </c>
    </row>
    <row r="3315" spans="1:8" x14ac:dyDescent="0.2">
      <c r="A3315" t="str">
        <f t="shared" si="51"/>
        <v/>
      </c>
      <c r="B3315" s="1">
        <v>2020</v>
      </c>
      <c r="C3315" s="1" t="s">
        <v>2505</v>
      </c>
      <c r="D3315" s="1" t="s">
        <v>2506</v>
      </c>
      <c r="E3315" s="1" t="s">
        <v>2019</v>
      </c>
      <c r="F3315" s="1" t="s">
        <v>329</v>
      </c>
      <c r="G3315" s="6">
        <v>71787</v>
      </c>
      <c r="H3315" t="str">
        <f>IFERROR(VLOOKUP(F3315,'LEAID Match'!$A$2:$B$142,2,FALSE),"")</f>
        <v/>
      </c>
    </row>
    <row r="3316" spans="1:8" x14ac:dyDescent="0.2">
      <c r="A3316" t="str">
        <f t="shared" si="51"/>
        <v/>
      </c>
      <c r="B3316" s="1">
        <v>2021</v>
      </c>
      <c r="C3316" s="1" t="s">
        <v>2505</v>
      </c>
      <c r="D3316" s="1" t="s">
        <v>2506</v>
      </c>
      <c r="E3316" s="1" t="s">
        <v>2019</v>
      </c>
      <c r="F3316" s="1" t="s">
        <v>329</v>
      </c>
      <c r="G3316" s="6">
        <v>80992</v>
      </c>
      <c r="H3316" t="str">
        <f>IFERROR(VLOOKUP(F3316,'LEAID Match'!$A$2:$B$142,2,FALSE),"")</f>
        <v/>
      </c>
    </row>
    <row r="3317" spans="1:8" x14ac:dyDescent="0.2">
      <c r="A3317" t="str">
        <f t="shared" si="51"/>
        <v/>
      </c>
      <c r="B3317" s="1">
        <v>2022</v>
      </c>
      <c r="C3317" s="1" t="s">
        <v>2505</v>
      </c>
      <c r="D3317" s="1" t="s">
        <v>2506</v>
      </c>
      <c r="E3317" s="1" t="s">
        <v>2019</v>
      </c>
      <c r="F3317" s="1" t="s">
        <v>329</v>
      </c>
      <c r="G3317" s="6">
        <v>73782</v>
      </c>
      <c r="H3317" t="str">
        <f>IFERROR(VLOOKUP(F3317,'LEAID Match'!$A$2:$B$142,2,FALSE),"")</f>
        <v/>
      </c>
    </row>
    <row r="3318" spans="1:8" x14ac:dyDescent="0.2">
      <c r="A3318" t="str">
        <f t="shared" si="51"/>
        <v/>
      </c>
      <c r="B3318" s="1">
        <v>2023</v>
      </c>
      <c r="C3318" s="1" t="s">
        <v>2505</v>
      </c>
      <c r="D3318" s="1" t="s">
        <v>2506</v>
      </c>
      <c r="E3318" s="1" t="s">
        <v>2019</v>
      </c>
      <c r="F3318" s="1" t="s">
        <v>329</v>
      </c>
      <c r="G3318" s="6">
        <v>75538</v>
      </c>
      <c r="H3318" t="str">
        <f>IFERROR(VLOOKUP(F3318,'LEAID Match'!$A$2:$B$142,2,FALSE),"")</f>
        <v/>
      </c>
    </row>
    <row r="3319" spans="1:8" x14ac:dyDescent="0.2">
      <c r="A3319" t="str">
        <f t="shared" si="51"/>
        <v/>
      </c>
      <c r="B3319" s="1">
        <v>2024</v>
      </c>
      <c r="C3319" s="1" t="s">
        <v>2505</v>
      </c>
      <c r="D3319" s="1" t="s">
        <v>2506</v>
      </c>
      <c r="E3319" s="1" t="s">
        <v>2019</v>
      </c>
      <c r="F3319" s="1" t="s">
        <v>329</v>
      </c>
      <c r="G3319" s="6">
        <v>73531</v>
      </c>
      <c r="H3319" t="str">
        <f>IFERROR(VLOOKUP(F3319,'LEAID Match'!$A$2:$B$142,2,FALSE),"")</f>
        <v/>
      </c>
    </row>
    <row r="3320" spans="1:8" x14ac:dyDescent="0.2">
      <c r="A3320" t="str">
        <f t="shared" si="51"/>
        <v/>
      </c>
      <c r="B3320" s="1">
        <v>2015</v>
      </c>
      <c r="C3320" s="1" t="s">
        <v>2505</v>
      </c>
      <c r="D3320" s="1" t="s">
        <v>2506</v>
      </c>
      <c r="E3320" s="1" t="s">
        <v>2019</v>
      </c>
      <c r="F3320" s="1" t="s">
        <v>330</v>
      </c>
      <c r="G3320" s="6">
        <v>144528</v>
      </c>
      <c r="H3320" t="str">
        <f>IFERROR(VLOOKUP(F3320,'LEAID Match'!$A$2:$B$142,2,FALSE),"")</f>
        <v/>
      </c>
    </row>
    <row r="3321" spans="1:8" x14ac:dyDescent="0.2">
      <c r="A3321" t="str">
        <f t="shared" si="51"/>
        <v/>
      </c>
      <c r="B3321">
        <v>2016</v>
      </c>
      <c r="C3321" s="1" t="s">
        <v>2505</v>
      </c>
      <c r="D3321" s="1" t="s">
        <v>2506</v>
      </c>
      <c r="E3321" s="1" t="s">
        <v>2019</v>
      </c>
      <c r="F3321" s="1" t="s">
        <v>330</v>
      </c>
      <c r="G3321" s="12">
        <v>147849</v>
      </c>
      <c r="H3321" t="str">
        <f>IFERROR(VLOOKUP(F3321,'LEAID Match'!$A$2:$B$142,2,FALSE),"")</f>
        <v/>
      </c>
    </row>
    <row r="3322" spans="1:8" x14ac:dyDescent="0.2">
      <c r="A3322" t="str">
        <f t="shared" si="51"/>
        <v/>
      </c>
      <c r="B3322" s="1">
        <v>2017</v>
      </c>
      <c r="C3322" s="1" t="s">
        <v>2505</v>
      </c>
      <c r="D3322" s="1" t="s">
        <v>2506</v>
      </c>
      <c r="E3322" s="1" t="s">
        <v>2019</v>
      </c>
      <c r="F3322" s="1" t="s">
        <v>330</v>
      </c>
      <c r="G3322" s="50">
        <v>148003</v>
      </c>
      <c r="H3322" t="str">
        <f>IFERROR(VLOOKUP(F3322,'LEAID Match'!$A$2:$B$142,2,FALSE),"")</f>
        <v/>
      </c>
    </row>
    <row r="3323" spans="1:8" x14ac:dyDescent="0.2">
      <c r="A3323" t="str">
        <f t="shared" si="51"/>
        <v/>
      </c>
      <c r="B3323" s="1">
        <v>2018</v>
      </c>
      <c r="C3323" s="1" t="s">
        <v>2505</v>
      </c>
      <c r="D3323" s="1" t="s">
        <v>2506</v>
      </c>
      <c r="E3323" s="1" t="s">
        <v>2019</v>
      </c>
      <c r="F3323" s="1" t="s">
        <v>330</v>
      </c>
      <c r="G3323" s="6">
        <v>135844</v>
      </c>
      <c r="H3323" t="str">
        <f>IFERROR(VLOOKUP(F3323,'LEAID Match'!$A$2:$B$142,2,FALSE),"")</f>
        <v/>
      </c>
    </row>
    <row r="3324" spans="1:8" x14ac:dyDescent="0.2">
      <c r="A3324" t="str">
        <f t="shared" si="51"/>
        <v/>
      </c>
      <c r="B3324" s="1">
        <v>2019</v>
      </c>
      <c r="C3324" s="1" t="s">
        <v>2505</v>
      </c>
      <c r="D3324" s="1" t="s">
        <v>2506</v>
      </c>
      <c r="E3324" s="1" t="s">
        <v>2019</v>
      </c>
      <c r="F3324" s="1" t="s">
        <v>330</v>
      </c>
      <c r="G3324" s="6">
        <v>134215</v>
      </c>
      <c r="H3324" t="str">
        <f>IFERROR(VLOOKUP(F3324,'LEAID Match'!$A$2:$B$142,2,FALSE),"")</f>
        <v/>
      </c>
    </row>
    <row r="3325" spans="1:8" x14ac:dyDescent="0.2">
      <c r="A3325" t="str">
        <f t="shared" si="51"/>
        <v/>
      </c>
      <c r="B3325" s="1">
        <v>2020</v>
      </c>
      <c r="C3325" s="1" t="s">
        <v>2505</v>
      </c>
      <c r="D3325" s="1" t="s">
        <v>2506</v>
      </c>
      <c r="E3325" s="1" t="s">
        <v>2019</v>
      </c>
      <c r="F3325" s="1" t="s">
        <v>330</v>
      </c>
      <c r="G3325" s="6">
        <v>143454</v>
      </c>
      <c r="H3325" t="str">
        <f>IFERROR(VLOOKUP(F3325,'LEAID Match'!$A$2:$B$142,2,FALSE),"")</f>
        <v/>
      </c>
    </row>
    <row r="3326" spans="1:8" x14ac:dyDescent="0.2">
      <c r="A3326" t="str">
        <f t="shared" si="51"/>
        <v/>
      </c>
      <c r="B3326" s="1">
        <v>2021</v>
      </c>
      <c r="C3326" s="1" t="s">
        <v>2505</v>
      </c>
      <c r="D3326" s="1" t="s">
        <v>2506</v>
      </c>
      <c r="E3326" s="1" t="s">
        <v>2019</v>
      </c>
      <c r="F3326" s="1" t="s">
        <v>330</v>
      </c>
      <c r="G3326" s="6">
        <v>149009</v>
      </c>
      <c r="H3326" t="str">
        <f>IFERROR(VLOOKUP(F3326,'LEAID Match'!$A$2:$B$142,2,FALSE),"")</f>
        <v/>
      </c>
    </row>
    <row r="3327" spans="1:8" x14ac:dyDescent="0.2">
      <c r="A3327" t="str">
        <f t="shared" si="51"/>
        <v/>
      </c>
      <c r="B3327" s="1">
        <v>2022</v>
      </c>
      <c r="C3327" s="1" t="s">
        <v>2505</v>
      </c>
      <c r="D3327" s="1" t="s">
        <v>2506</v>
      </c>
      <c r="E3327" s="1" t="s">
        <v>2019</v>
      </c>
      <c r="F3327" s="1" t="s">
        <v>330</v>
      </c>
      <c r="G3327" s="6">
        <v>156787</v>
      </c>
      <c r="H3327" t="str">
        <f>IFERROR(VLOOKUP(F3327,'LEAID Match'!$A$2:$B$142,2,FALSE),"")</f>
        <v/>
      </c>
    </row>
    <row r="3328" spans="1:8" x14ac:dyDescent="0.2">
      <c r="A3328" t="str">
        <f t="shared" si="51"/>
        <v/>
      </c>
      <c r="B3328" s="1">
        <v>2023</v>
      </c>
      <c r="C3328" s="1" t="s">
        <v>2505</v>
      </c>
      <c r="D3328" s="1" t="s">
        <v>2506</v>
      </c>
      <c r="E3328" s="1" t="s">
        <v>2019</v>
      </c>
      <c r="F3328" s="1" t="s">
        <v>330</v>
      </c>
      <c r="G3328" s="6">
        <v>176670</v>
      </c>
      <c r="H3328" t="str">
        <f>IFERROR(VLOOKUP(F3328,'LEAID Match'!$A$2:$B$142,2,FALSE),"")</f>
        <v/>
      </c>
    </row>
    <row r="3329" spans="1:8" x14ac:dyDescent="0.2">
      <c r="A3329" t="str">
        <f t="shared" si="51"/>
        <v/>
      </c>
      <c r="B3329" s="1">
        <v>2024</v>
      </c>
      <c r="C3329" s="1" t="s">
        <v>2505</v>
      </c>
      <c r="D3329" s="1" t="s">
        <v>2506</v>
      </c>
      <c r="E3329" s="1" t="s">
        <v>2019</v>
      </c>
      <c r="F3329" s="1" t="s">
        <v>330</v>
      </c>
      <c r="G3329" s="6">
        <v>190355</v>
      </c>
      <c r="H3329" t="str">
        <f>IFERROR(VLOOKUP(F3329,'LEAID Match'!$A$2:$B$142,2,FALSE),"")</f>
        <v/>
      </c>
    </row>
    <row r="3330" spans="1:8" x14ac:dyDescent="0.2">
      <c r="A3330" t="str">
        <f t="shared" si="51"/>
        <v/>
      </c>
      <c r="B3330" s="1">
        <v>2015</v>
      </c>
      <c r="C3330" s="1" t="s">
        <v>2505</v>
      </c>
      <c r="D3330" s="1" t="s">
        <v>2506</v>
      </c>
      <c r="E3330" s="1" t="s">
        <v>2019</v>
      </c>
      <c r="F3330" s="1" t="s">
        <v>331</v>
      </c>
      <c r="G3330" s="6">
        <v>19000</v>
      </c>
      <c r="H3330" t="str">
        <f>IFERROR(VLOOKUP(F3330,'LEAID Match'!$A$2:$B$142,2,FALSE),"")</f>
        <v/>
      </c>
    </row>
    <row r="3331" spans="1:8" x14ac:dyDescent="0.2">
      <c r="A3331" t="str">
        <f t="shared" ref="A3331:A3394" si="52">H3331</f>
        <v/>
      </c>
      <c r="B3331">
        <v>2016</v>
      </c>
      <c r="C3331" s="1" t="s">
        <v>2505</v>
      </c>
      <c r="D3331" s="1" t="s">
        <v>2506</v>
      </c>
      <c r="E3331" s="1" t="s">
        <v>2019</v>
      </c>
      <c r="F3331" s="1" t="s">
        <v>331</v>
      </c>
      <c r="G3331" s="12">
        <v>19780</v>
      </c>
      <c r="H3331" t="str">
        <f>IFERROR(VLOOKUP(F3331,'LEAID Match'!$A$2:$B$142,2,FALSE),"")</f>
        <v/>
      </c>
    </row>
    <row r="3332" spans="1:8" x14ac:dyDescent="0.2">
      <c r="A3332" t="str">
        <f t="shared" si="52"/>
        <v/>
      </c>
      <c r="B3332" s="1">
        <v>2017</v>
      </c>
      <c r="C3332" s="1" t="s">
        <v>2505</v>
      </c>
      <c r="D3332" s="1" t="s">
        <v>2506</v>
      </c>
      <c r="E3332" s="1" t="s">
        <v>2019</v>
      </c>
      <c r="F3332" s="1" t="s">
        <v>331</v>
      </c>
      <c r="G3332" s="50">
        <v>21059</v>
      </c>
      <c r="H3332" t="str">
        <f>IFERROR(VLOOKUP(F3332,'LEAID Match'!$A$2:$B$142,2,FALSE),"")</f>
        <v/>
      </c>
    </row>
    <row r="3333" spans="1:8" x14ac:dyDescent="0.2">
      <c r="A3333" t="str">
        <f t="shared" si="52"/>
        <v/>
      </c>
      <c r="B3333" s="1">
        <v>2018</v>
      </c>
      <c r="C3333" s="1" t="s">
        <v>2505</v>
      </c>
      <c r="D3333" s="1" t="s">
        <v>2506</v>
      </c>
      <c r="E3333" s="1" t="s">
        <v>2019</v>
      </c>
      <c r="F3333" s="1" t="s">
        <v>331</v>
      </c>
      <c r="G3333" s="6">
        <v>22558</v>
      </c>
      <c r="H3333" t="str">
        <f>IFERROR(VLOOKUP(F3333,'LEAID Match'!$A$2:$B$142,2,FALSE),"")</f>
        <v/>
      </c>
    </row>
    <row r="3334" spans="1:8" x14ac:dyDescent="0.2">
      <c r="A3334" t="str">
        <f t="shared" si="52"/>
        <v/>
      </c>
      <c r="B3334" s="1">
        <v>2019</v>
      </c>
      <c r="C3334" s="1" t="s">
        <v>2505</v>
      </c>
      <c r="D3334" s="1" t="s">
        <v>2506</v>
      </c>
      <c r="E3334" s="1" t="s">
        <v>2019</v>
      </c>
      <c r="F3334" s="1" t="s">
        <v>331</v>
      </c>
      <c r="G3334" s="6">
        <v>24385</v>
      </c>
      <c r="H3334" t="str">
        <f>IFERROR(VLOOKUP(F3334,'LEAID Match'!$A$2:$B$142,2,FALSE),"")</f>
        <v/>
      </c>
    </row>
    <row r="3335" spans="1:8" x14ac:dyDescent="0.2">
      <c r="A3335" t="str">
        <f t="shared" si="52"/>
        <v/>
      </c>
      <c r="B3335" s="1">
        <v>2020</v>
      </c>
      <c r="C3335" s="1" t="s">
        <v>2505</v>
      </c>
      <c r="D3335" s="1" t="s">
        <v>2506</v>
      </c>
      <c r="E3335" s="1" t="s">
        <v>2019</v>
      </c>
      <c r="F3335" s="1" t="s">
        <v>331</v>
      </c>
      <c r="G3335" s="6">
        <v>28271</v>
      </c>
      <c r="H3335" t="str">
        <f>IFERROR(VLOOKUP(F3335,'LEAID Match'!$A$2:$B$142,2,FALSE),"")</f>
        <v/>
      </c>
    </row>
    <row r="3336" spans="1:8" x14ac:dyDescent="0.2">
      <c r="A3336" t="str">
        <f t="shared" si="52"/>
        <v/>
      </c>
      <c r="B3336" s="1">
        <v>2021</v>
      </c>
      <c r="C3336" s="1" t="s">
        <v>2505</v>
      </c>
      <c r="D3336" s="1" t="s">
        <v>2506</v>
      </c>
      <c r="E3336" s="1" t="s">
        <v>2019</v>
      </c>
      <c r="F3336" s="1" t="s">
        <v>331</v>
      </c>
      <c r="G3336" s="6">
        <v>26641</v>
      </c>
      <c r="H3336" t="str">
        <f>IFERROR(VLOOKUP(F3336,'LEAID Match'!$A$2:$B$142,2,FALSE),"")</f>
        <v/>
      </c>
    </row>
    <row r="3337" spans="1:8" x14ac:dyDescent="0.2">
      <c r="A3337" t="str">
        <f t="shared" si="52"/>
        <v/>
      </c>
      <c r="B3337" s="1">
        <v>2022</v>
      </c>
      <c r="C3337" s="1" t="s">
        <v>2505</v>
      </c>
      <c r="D3337" s="1" t="s">
        <v>2506</v>
      </c>
      <c r="E3337" s="1" t="s">
        <v>2019</v>
      </c>
      <c r="F3337" s="1" t="s">
        <v>331</v>
      </c>
      <c r="G3337" s="6">
        <v>23078</v>
      </c>
      <c r="H3337" t="str">
        <f>IFERROR(VLOOKUP(F3337,'LEAID Match'!$A$2:$B$142,2,FALSE),"")</f>
        <v/>
      </c>
    </row>
    <row r="3338" spans="1:8" x14ac:dyDescent="0.2">
      <c r="A3338" t="str">
        <f t="shared" si="52"/>
        <v/>
      </c>
      <c r="B3338" s="1">
        <v>2023</v>
      </c>
      <c r="C3338" s="1" t="s">
        <v>2505</v>
      </c>
      <c r="D3338" s="1" t="s">
        <v>2506</v>
      </c>
      <c r="E3338" s="1" t="s">
        <v>2019</v>
      </c>
      <c r="F3338" s="1" t="s">
        <v>331</v>
      </c>
      <c r="G3338" s="6">
        <v>14713</v>
      </c>
      <c r="H3338" t="str">
        <f>IFERROR(VLOOKUP(F3338,'LEAID Match'!$A$2:$B$142,2,FALSE),"")</f>
        <v/>
      </c>
    </row>
    <row r="3339" spans="1:8" x14ac:dyDescent="0.2">
      <c r="A3339" t="str">
        <f t="shared" si="52"/>
        <v/>
      </c>
      <c r="B3339" s="1">
        <v>2024</v>
      </c>
      <c r="C3339" s="1" t="s">
        <v>2505</v>
      </c>
      <c r="D3339" s="1" t="s">
        <v>2506</v>
      </c>
      <c r="E3339" s="1" t="s">
        <v>2019</v>
      </c>
      <c r="F3339" s="1" t="s">
        <v>331</v>
      </c>
      <c r="G3339" s="6">
        <v>14769</v>
      </c>
      <c r="H3339" t="str">
        <f>IFERROR(VLOOKUP(F3339,'LEAID Match'!$A$2:$B$142,2,FALSE),"")</f>
        <v/>
      </c>
    </row>
    <row r="3340" spans="1:8" x14ac:dyDescent="0.2">
      <c r="A3340" t="str">
        <f t="shared" si="52"/>
        <v/>
      </c>
      <c r="B3340" s="1">
        <v>2021</v>
      </c>
      <c r="C3340" s="1" t="s">
        <v>2505</v>
      </c>
      <c r="D3340" s="1" t="s">
        <v>2506</v>
      </c>
      <c r="E3340" s="1" t="s">
        <v>2019</v>
      </c>
      <c r="F3340" s="1" t="s">
        <v>332</v>
      </c>
      <c r="G3340" s="6">
        <v>29624</v>
      </c>
      <c r="H3340" t="str">
        <f>IFERROR(VLOOKUP(F3340,'LEAID Match'!$A$2:$B$142,2,FALSE),"")</f>
        <v/>
      </c>
    </row>
    <row r="3341" spans="1:8" x14ac:dyDescent="0.2">
      <c r="A3341" t="str">
        <f t="shared" si="52"/>
        <v/>
      </c>
      <c r="B3341" s="1">
        <v>2022</v>
      </c>
      <c r="C3341" s="1" t="s">
        <v>2505</v>
      </c>
      <c r="D3341" s="1" t="s">
        <v>2506</v>
      </c>
      <c r="E3341" s="1" t="s">
        <v>2019</v>
      </c>
      <c r="F3341" s="1" t="s">
        <v>332</v>
      </c>
      <c r="G3341" s="6">
        <v>198035</v>
      </c>
      <c r="H3341" t="str">
        <f>IFERROR(VLOOKUP(F3341,'LEAID Match'!$A$2:$B$142,2,FALSE),"")</f>
        <v/>
      </c>
    </row>
    <row r="3342" spans="1:8" x14ac:dyDescent="0.2">
      <c r="A3342" t="str">
        <f t="shared" si="52"/>
        <v/>
      </c>
      <c r="B3342" s="1">
        <v>2023</v>
      </c>
      <c r="C3342" s="1" t="s">
        <v>2505</v>
      </c>
      <c r="D3342" s="1" t="s">
        <v>2506</v>
      </c>
      <c r="E3342" s="1" t="s">
        <v>2019</v>
      </c>
      <c r="F3342" s="1" t="s">
        <v>332</v>
      </c>
      <c r="G3342" s="6">
        <v>204579</v>
      </c>
      <c r="H3342" t="str">
        <f>IFERROR(VLOOKUP(F3342,'LEAID Match'!$A$2:$B$142,2,FALSE),"")</f>
        <v/>
      </c>
    </row>
    <row r="3343" spans="1:8" x14ac:dyDescent="0.2">
      <c r="A3343" t="str">
        <f t="shared" si="52"/>
        <v/>
      </c>
      <c r="B3343" s="1">
        <v>2024</v>
      </c>
      <c r="C3343" s="1" t="s">
        <v>2505</v>
      </c>
      <c r="D3343" s="1" t="s">
        <v>2506</v>
      </c>
      <c r="E3343" s="1" t="s">
        <v>2019</v>
      </c>
      <c r="F3343" s="1" t="s">
        <v>332</v>
      </c>
      <c r="G3343" s="6">
        <v>216839</v>
      </c>
      <c r="H3343" t="str">
        <f>IFERROR(VLOOKUP(F3343,'LEAID Match'!$A$2:$B$142,2,FALSE),"")</f>
        <v/>
      </c>
    </row>
    <row r="3344" spans="1:8" x14ac:dyDescent="0.2">
      <c r="A3344" t="str">
        <f t="shared" si="52"/>
        <v/>
      </c>
      <c r="B3344" s="1">
        <v>2015</v>
      </c>
      <c r="C3344" s="1" t="s">
        <v>2505</v>
      </c>
      <c r="D3344" s="1" t="s">
        <v>2506</v>
      </c>
      <c r="E3344" s="1" t="s">
        <v>2019</v>
      </c>
      <c r="F3344" s="1" t="s">
        <v>333</v>
      </c>
      <c r="G3344" s="6">
        <v>426097</v>
      </c>
      <c r="H3344" t="str">
        <f>IFERROR(VLOOKUP(F3344,'LEAID Match'!$A$2:$B$142,2,FALSE),"")</f>
        <v/>
      </c>
    </row>
    <row r="3345" spans="1:8" x14ac:dyDescent="0.2">
      <c r="A3345" t="str">
        <f t="shared" si="52"/>
        <v/>
      </c>
      <c r="B3345">
        <v>2016</v>
      </c>
      <c r="C3345" s="1" t="s">
        <v>2505</v>
      </c>
      <c r="D3345" s="1" t="s">
        <v>2506</v>
      </c>
      <c r="E3345" s="1" t="s">
        <v>2019</v>
      </c>
      <c r="F3345" s="1" t="s">
        <v>333</v>
      </c>
      <c r="G3345" s="12">
        <v>462240</v>
      </c>
      <c r="H3345" t="str">
        <f>IFERROR(VLOOKUP(F3345,'LEAID Match'!$A$2:$B$142,2,FALSE),"")</f>
        <v/>
      </c>
    </row>
    <row r="3346" spans="1:8" x14ac:dyDescent="0.2">
      <c r="A3346" t="str">
        <f t="shared" si="52"/>
        <v/>
      </c>
      <c r="B3346" s="1">
        <v>2017</v>
      </c>
      <c r="C3346" s="1" t="s">
        <v>2505</v>
      </c>
      <c r="D3346" s="1" t="s">
        <v>2506</v>
      </c>
      <c r="E3346" s="1" t="s">
        <v>2019</v>
      </c>
      <c r="F3346" s="1" t="s">
        <v>333</v>
      </c>
      <c r="G3346" s="50">
        <v>479586</v>
      </c>
      <c r="H3346" t="str">
        <f>IFERROR(VLOOKUP(F3346,'LEAID Match'!$A$2:$B$142,2,FALSE),"")</f>
        <v/>
      </c>
    </row>
    <row r="3347" spans="1:8" x14ac:dyDescent="0.2">
      <c r="A3347" t="str">
        <f t="shared" si="52"/>
        <v/>
      </c>
      <c r="B3347" s="1">
        <v>2018</v>
      </c>
      <c r="C3347" s="1" t="s">
        <v>2505</v>
      </c>
      <c r="D3347" s="1" t="s">
        <v>2506</v>
      </c>
      <c r="E3347" s="1" t="s">
        <v>2019</v>
      </c>
      <c r="F3347" s="1" t="s">
        <v>333</v>
      </c>
      <c r="G3347" s="6">
        <v>462223</v>
      </c>
      <c r="H3347" t="str">
        <f>IFERROR(VLOOKUP(F3347,'LEAID Match'!$A$2:$B$142,2,FALSE),"")</f>
        <v/>
      </c>
    </row>
    <row r="3348" spans="1:8" x14ac:dyDescent="0.2">
      <c r="A3348" t="str">
        <f t="shared" si="52"/>
        <v/>
      </c>
      <c r="B3348" s="1">
        <v>2019</v>
      </c>
      <c r="C3348" s="1" t="s">
        <v>2505</v>
      </c>
      <c r="D3348" s="1" t="s">
        <v>2506</v>
      </c>
      <c r="E3348" s="1" t="s">
        <v>2019</v>
      </c>
      <c r="F3348" s="1" t="s">
        <v>333</v>
      </c>
      <c r="G3348" s="6">
        <v>478791</v>
      </c>
      <c r="H3348" t="str">
        <f>IFERROR(VLOOKUP(F3348,'LEAID Match'!$A$2:$B$142,2,FALSE),"")</f>
        <v/>
      </c>
    </row>
    <row r="3349" spans="1:8" x14ac:dyDescent="0.2">
      <c r="A3349" t="str">
        <f t="shared" si="52"/>
        <v/>
      </c>
      <c r="B3349" s="1">
        <v>2020</v>
      </c>
      <c r="C3349" s="1" t="s">
        <v>2505</v>
      </c>
      <c r="D3349" s="1" t="s">
        <v>2506</v>
      </c>
      <c r="E3349" s="1" t="s">
        <v>2019</v>
      </c>
      <c r="F3349" s="1" t="s">
        <v>333</v>
      </c>
      <c r="G3349" s="6">
        <v>526612</v>
      </c>
      <c r="H3349" t="str">
        <f>IFERROR(VLOOKUP(F3349,'LEAID Match'!$A$2:$B$142,2,FALSE),"")</f>
        <v/>
      </c>
    </row>
    <row r="3350" spans="1:8" x14ac:dyDescent="0.2">
      <c r="A3350" t="str">
        <f t="shared" si="52"/>
        <v/>
      </c>
      <c r="B3350" s="1">
        <v>2021</v>
      </c>
      <c r="C3350" s="1" t="s">
        <v>2505</v>
      </c>
      <c r="D3350" s="1" t="s">
        <v>2506</v>
      </c>
      <c r="E3350" s="1" t="s">
        <v>2019</v>
      </c>
      <c r="F3350" s="1" t="s">
        <v>333</v>
      </c>
      <c r="G3350" s="6">
        <v>550572</v>
      </c>
      <c r="H3350" t="str">
        <f>IFERROR(VLOOKUP(F3350,'LEAID Match'!$A$2:$B$142,2,FALSE),"")</f>
        <v/>
      </c>
    </row>
    <row r="3351" spans="1:8" x14ac:dyDescent="0.2">
      <c r="A3351" t="str">
        <f t="shared" si="52"/>
        <v/>
      </c>
      <c r="B3351" s="1">
        <v>2022</v>
      </c>
      <c r="C3351" s="1" t="s">
        <v>2505</v>
      </c>
      <c r="D3351" s="1" t="s">
        <v>2506</v>
      </c>
      <c r="E3351" s="1" t="s">
        <v>2019</v>
      </c>
      <c r="F3351" s="1" t="s">
        <v>333</v>
      </c>
      <c r="G3351" s="6">
        <v>543352</v>
      </c>
      <c r="H3351" t="str">
        <f>IFERROR(VLOOKUP(F3351,'LEAID Match'!$A$2:$B$142,2,FALSE),"")</f>
        <v/>
      </c>
    </row>
    <row r="3352" spans="1:8" x14ac:dyDescent="0.2">
      <c r="A3352" t="str">
        <f t="shared" si="52"/>
        <v/>
      </c>
      <c r="B3352" s="1">
        <v>2023</v>
      </c>
      <c r="C3352" s="1" t="s">
        <v>2505</v>
      </c>
      <c r="D3352" s="1" t="s">
        <v>2506</v>
      </c>
      <c r="E3352" s="1" t="s">
        <v>2019</v>
      </c>
      <c r="F3352" s="1" t="s">
        <v>333</v>
      </c>
      <c r="G3352" s="6">
        <v>555880</v>
      </c>
      <c r="H3352" t="str">
        <f>IFERROR(VLOOKUP(F3352,'LEAID Match'!$A$2:$B$142,2,FALSE),"")</f>
        <v/>
      </c>
    </row>
    <row r="3353" spans="1:8" x14ac:dyDescent="0.2">
      <c r="A3353" t="str">
        <f t="shared" si="52"/>
        <v/>
      </c>
      <c r="B3353" s="1">
        <v>2024</v>
      </c>
      <c r="C3353" s="1" t="s">
        <v>2505</v>
      </c>
      <c r="D3353" s="1" t="s">
        <v>2506</v>
      </c>
      <c r="E3353" s="1" t="s">
        <v>2019</v>
      </c>
      <c r="F3353" s="1" t="s">
        <v>333</v>
      </c>
      <c r="G3353" s="6">
        <v>558642</v>
      </c>
      <c r="H3353" t="str">
        <f>IFERROR(VLOOKUP(F3353,'LEAID Match'!$A$2:$B$142,2,FALSE),"")</f>
        <v/>
      </c>
    </row>
    <row r="3354" spans="1:8" x14ac:dyDescent="0.2">
      <c r="A3354" t="str">
        <f t="shared" si="52"/>
        <v/>
      </c>
      <c r="B3354" s="1">
        <v>2015</v>
      </c>
      <c r="C3354" s="1" t="s">
        <v>2505</v>
      </c>
      <c r="D3354" s="1" t="s">
        <v>2506</v>
      </c>
      <c r="E3354" s="1" t="s">
        <v>2019</v>
      </c>
      <c r="F3354" s="1" t="s">
        <v>2220</v>
      </c>
      <c r="G3354" s="6">
        <v>639321</v>
      </c>
      <c r="H3354" t="str">
        <f>IFERROR(VLOOKUP(F3354,'LEAID Match'!$A$2:$B$142,2,FALSE),"")</f>
        <v/>
      </c>
    </row>
    <row r="3355" spans="1:8" x14ac:dyDescent="0.2">
      <c r="A3355" t="str">
        <f t="shared" si="52"/>
        <v/>
      </c>
      <c r="B3355" s="1">
        <v>2015</v>
      </c>
      <c r="C3355" s="1" t="s">
        <v>2505</v>
      </c>
      <c r="D3355" s="1" t="s">
        <v>2506</v>
      </c>
      <c r="E3355" s="1" t="s">
        <v>2019</v>
      </c>
      <c r="F3355" s="1" t="s">
        <v>334</v>
      </c>
      <c r="G3355" s="6">
        <v>102728</v>
      </c>
      <c r="H3355" t="str">
        <f>IFERROR(VLOOKUP(F3355,'LEAID Match'!$A$2:$B$142,2,FALSE),"")</f>
        <v/>
      </c>
    </row>
    <row r="3356" spans="1:8" x14ac:dyDescent="0.2">
      <c r="A3356" t="str">
        <f t="shared" si="52"/>
        <v/>
      </c>
      <c r="B3356">
        <v>2016</v>
      </c>
      <c r="C3356" s="1" t="s">
        <v>2505</v>
      </c>
      <c r="D3356" s="1" t="s">
        <v>2506</v>
      </c>
      <c r="E3356" s="1" t="s">
        <v>2019</v>
      </c>
      <c r="F3356" s="1" t="s">
        <v>334</v>
      </c>
      <c r="G3356" s="12">
        <v>98038</v>
      </c>
      <c r="H3356" t="str">
        <f>IFERROR(VLOOKUP(F3356,'LEAID Match'!$A$2:$B$142,2,FALSE),"")</f>
        <v/>
      </c>
    </row>
    <row r="3357" spans="1:8" x14ac:dyDescent="0.2">
      <c r="A3357" t="str">
        <f t="shared" si="52"/>
        <v/>
      </c>
      <c r="B3357" s="1">
        <v>2017</v>
      </c>
      <c r="C3357" s="1" t="s">
        <v>2505</v>
      </c>
      <c r="D3357" s="1" t="s">
        <v>2506</v>
      </c>
      <c r="E3357" s="1" t="s">
        <v>2019</v>
      </c>
      <c r="F3357" s="1" t="s">
        <v>334</v>
      </c>
      <c r="G3357" s="50">
        <v>100373</v>
      </c>
      <c r="H3357" t="str">
        <f>IFERROR(VLOOKUP(F3357,'LEAID Match'!$A$2:$B$142,2,FALSE),"")</f>
        <v/>
      </c>
    </row>
    <row r="3358" spans="1:8" x14ac:dyDescent="0.2">
      <c r="A3358" t="str">
        <f t="shared" si="52"/>
        <v/>
      </c>
      <c r="B3358" s="1">
        <v>2018</v>
      </c>
      <c r="C3358" s="1" t="s">
        <v>2505</v>
      </c>
      <c r="D3358" s="1" t="s">
        <v>2506</v>
      </c>
      <c r="E3358" s="1" t="s">
        <v>2019</v>
      </c>
      <c r="F3358" s="1" t="s">
        <v>334</v>
      </c>
      <c r="G3358" s="6">
        <v>86387</v>
      </c>
      <c r="H3358" t="str">
        <f>IFERROR(VLOOKUP(F3358,'LEAID Match'!$A$2:$B$142,2,FALSE),"")</f>
        <v/>
      </c>
    </row>
    <row r="3359" spans="1:8" x14ac:dyDescent="0.2">
      <c r="A3359" t="str">
        <f t="shared" si="52"/>
        <v/>
      </c>
      <c r="B3359" s="1">
        <v>2019</v>
      </c>
      <c r="C3359" s="1" t="s">
        <v>2505</v>
      </c>
      <c r="D3359" s="1" t="s">
        <v>2506</v>
      </c>
      <c r="E3359" s="1" t="s">
        <v>2019</v>
      </c>
      <c r="F3359" s="1" t="s">
        <v>334</v>
      </c>
      <c r="G3359" s="6">
        <v>74855</v>
      </c>
      <c r="H3359" t="str">
        <f>IFERROR(VLOOKUP(F3359,'LEAID Match'!$A$2:$B$142,2,FALSE),"")</f>
        <v/>
      </c>
    </row>
    <row r="3360" spans="1:8" x14ac:dyDescent="0.2">
      <c r="A3360" t="str">
        <f t="shared" si="52"/>
        <v/>
      </c>
      <c r="B3360" s="1">
        <v>2020</v>
      </c>
      <c r="C3360" s="1" t="s">
        <v>2505</v>
      </c>
      <c r="D3360" s="1" t="s">
        <v>2506</v>
      </c>
      <c r="E3360" s="1" t="s">
        <v>2019</v>
      </c>
      <c r="F3360" s="1" t="s">
        <v>334</v>
      </c>
      <c r="G3360" s="6">
        <v>90318</v>
      </c>
      <c r="H3360" t="str">
        <f>IFERROR(VLOOKUP(F3360,'LEAID Match'!$A$2:$B$142,2,FALSE),"")</f>
        <v/>
      </c>
    </row>
    <row r="3361" spans="1:8" x14ac:dyDescent="0.2">
      <c r="A3361" t="str">
        <f t="shared" si="52"/>
        <v/>
      </c>
      <c r="B3361" s="1">
        <v>2021</v>
      </c>
      <c r="C3361" s="1" t="s">
        <v>2505</v>
      </c>
      <c r="D3361" s="1" t="s">
        <v>2506</v>
      </c>
      <c r="E3361" s="1" t="s">
        <v>2019</v>
      </c>
      <c r="F3361" s="1" t="s">
        <v>334</v>
      </c>
      <c r="G3361" s="6">
        <v>93824</v>
      </c>
      <c r="H3361" t="str">
        <f>IFERROR(VLOOKUP(F3361,'LEAID Match'!$A$2:$B$142,2,FALSE),"")</f>
        <v/>
      </c>
    </row>
    <row r="3362" spans="1:8" x14ac:dyDescent="0.2">
      <c r="A3362" t="str">
        <f t="shared" si="52"/>
        <v/>
      </c>
      <c r="B3362" s="1">
        <v>2022</v>
      </c>
      <c r="C3362" s="1" t="s">
        <v>2505</v>
      </c>
      <c r="D3362" s="1" t="s">
        <v>2506</v>
      </c>
      <c r="E3362" s="1" t="s">
        <v>2019</v>
      </c>
      <c r="F3362" s="1" t="s">
        <v>334</v>
      </c>
      <c r="G3362" s="6">
        <v>97714</v>
      </c>
      <c r="H3362" t="str">
        <f>IFERROR(VLOOKUP(F3362,'LEAID Match'!$A$2:$B$142,2,FALSE),"")</f>
        <v/>
      </c>
    </row>
    <row r="3363" spans="1:8" x14ac:dyDescent="0.2">
      <c r="A3363" t="str">
        <f t="shared" si="52"/>
        <v/>
      </c>
      <c r="B3363" s="1">
        <v>2023</v>
      </c>
      <c r="C3363" s="1" t="s">
        <v>2505</v>
      </c>
      <c r="D3363" s="1" t="s">
        <v>2506</v>
      </c>
      <c r="E3363" s="1" t="s">
        <v>2019</v>
      </c>
      <c r="F3363" s="1" t="s">
        <v>334</v>
      </c>
      <c r="G3363" s="6">
        <v>100955</v>
      </c>
      <c r="H3363" t="str">
        <f>IFERROR(VLOOKUP(F3363,'LEAID Match'!$A$2:$B$142,2,FALSE),"")</f>
        <v/>
      </c>
    </row>
    <row r="3364" spans="1:8" x14ac:dyDescent="0.2">
      <c r="A3364" t="str">
        <f t="shared" si="52"/>
        <v/>
      </c>
      <c r="B3364" s="1">
        <v>2024</v>
      </c>
      <c r="C3364" s="1" t="s">
        <v>2505</v>
      </c>
      <c r="D3364" s="1" t="s">
        <v>2506</v>
      </c>
      <c r="E3364" s="1" t="s">
        <v>2019</v>
      </c>
      <c r="F3364" s="1" t="s">
        <v>334</v>
      </c>
      <c r="G3364" s="6">
        <v>104107</v>
      </c>
      <c r="H3364" t="str">
        <f>IFERROR(VLOOKUP(F3364,'LEAID Match'!$A$2:$B$142,2,FALSE),"")</f>
        <v/>
      </c>
    </row>
    <row r="3365" spans="1:8" x14ac:dyDescent="0.2">
      <c r="A3365">
        <f t="shared" si="52"/>
        <v>2802190</v>
      </c>
      <c r="B3365" s="1">
        <v>2015</v>
      </c>
      <c r="C3365" s="1" t="s">
        <v>2505</v>
      </c>
      <c r="D3365" s="1" t="s">
        <v>2506</v>
      </c>
      <c r="E3365" s="1" t="s">
        <v>2019</v>
      </c>
      <c r="F3365" s="1" t="s">
        <v>335</v>
      </c>
      <c r="G3365" s="6">
        <v>23197754</v>
      </c>
      <c r="H3365">
        <f>IFERROR(VLOOKUP(F3365,'LEAID Match'!$A$2:$B$142,2,FALSE),"")</f>
        <v>2802190</v>
      </c>
    </row>
    <row r="3366" spans="1:8" x14ac:dyDescent="0.2">
      <c r="A3366">
        <f t="shared" si="52"/>
        <v>2802190</v>
      </c>
      <c r="B3366">
        <v>2016</v>
      </c>
      <c r="C3366" s="1" t="s">
        <v>2505</v>
      </c>
      <c r="D3366" s="1" t="s">
        <v>2506</v>
      </c>
      <c r="E3366" s="1" t="s">
        <v>2019</v>
      </c>
      <c r="F3366" s="1" t="s">
        <v>335</v>
      </c>
      <c r="G3366" s="12">
        <v>23757819</v>
      </c>
      <c r="H3366">
        <f>IFERROR(VLOOKUP(F3366,'LEAID Match'!$A$2:$B$142,2,FALSE),"")</f>
        <v>2802190</v>
      </c>
    </row>
    <row r="3367" spans="1:8" x14ac:dyDescent="0.2">
      <c r="A3367">
        <f t="shared" si="52"/>
        <v>2802190</v>
      </c>
      <c r="B3367" s="1">
        <v>2017</v>
      </c>
      <c r="C3367" s="1" t="s">
        <v>2505</v>
      </c>
      <c r="D3367" s="1" t="s">
        <v>2506</v>
      </c>
      <c r="E3367" s="1" t="s">
        <v>2019</v>
      </c>
      <c r="F3367" s="1" t="s">
        <v>335</v>
      </c>
      <c r="G3367" s="50">
        <v>23030463</v>
      </c>
      <c r="H3367">
        <f>IFERROR(VLOOKUP(F3367,'LEAID Match'!$A$2:$B$142,2,FALSE),"")</f>
        <v>2802190</v>
      </c>
    </row>
    <row r="3368" spans="1:8" x14ac:dyDescent="0.2">
      <c r="A3368">
        <f t="shared" si="52"/>
        <v>2802190</v>
      </c>
      <c r="B3368" s="1">
        <v>2018</v>
      </c>
      <c r="C3368" s="1" t="s">
        <v>2505</v>
      </c>
      <c r="D3368" s="1" t="s">
        <v>2506</v>
      </c>
      <c r="E3368" s="1" t="s">
        <v>2019</v>
      </c>
      <c r="F3368" s="1" t="s">
        <v>335</v>
      </c>
      <c r="G3368" s="6">
        <v>22263234</v>
      </c>
      <c r="H3368">
        <f>IFERROR(VLOOKUP(F3368,'LEAID Match'!$A$2:$B$142,2,FALSE),"")</f>
        <v>2802190</v>
      </c>
    </row>
    <row r="3369" spans="1:8" x14ac:dyDescent="0.2">
      <c r="A3369">
        <f t="shared" si="52"/>
        <v>2802190</v>
      </c>
      <c r="B3369" s="1">
        <v>2019</v>
      </c>
      <c r="C3369" s="1" t="s">
        <v>2505</v>
      </c>
      <c r="D3369" s="1" t="s">
        <v>2506</v>
      </c>
      <c r="E3369" s="1" t="s">
        <v>2019</v>
      </c>
      <c r="F3369" s="1" t="s">
        <v>335</v>
      </c>
      <c r="G3369" s="6">
        <v>22159763</v>
      </c>
      <c r="H3369">
        <f>IFERROR(VLOOKUP(F3369,'LEAID Match'!$A$2:$B$142,2,FALSE),"")</f>
        <v>2802190</v>
      </c>
    </row>
    <row r="3370" spans="1:8" x14ac:dyDescent="0.2">
      <c r="A3370">
        <f t="shared" si="52"/>
        <v>2802190</v>
      </c>
      <c r="B3370" s="1">
        <v>2020</v>
      </c>
      <c r="C3370" s="1" t="s">
        <v>2505</v>
      </c>
      <c r="D3370" s="1" t="s">
        <v>2506</v>
      </c>
      <c r="E3370" s="1" t="s">
        <v>2019</v>
      </c>
      <c r="F3370" s="1" t="s">
        <v>335</v>
      </c>
      <c r="G3370" s="6">
        <v>24159887</v>
      </c>
      <c r="H3370">
        <f>IFERROR(VLOOKUP(F3370,'LEAID Match'!$A$2:$B$142,2,FALSE),"")</f>
        <v>2802190</v>
      </c>
    </row>
    <row r="3371" spans="1:8" x14ac:dyDescent="0.2">
      <c r="A3371">
        <f t="shared" si="52"/>
        <v>2802190</v>
      </c>
      <c r="B3371" s="1">
        <v>2021</v>
      </c>
      <c r="C3371" s="1" t="s">
        <v>2505</v>
      </c>
      <c r="D3371" s="1" t="s">
        <v>2506</v>
      </c>
      <c r="E3371" s="1" t="s">
        <v>2019</v>
      </c>
      <c r="F3371" s="1" t="s">
        <v>335</v>
      </c>
      <c r="G3371" s="6">
        <v>23739266</v>
      </c>
      <c r="H3371">
        <f>IFERROR(VLOOKUP(F3371,'LEAID Match'!$A$2:$B$142,2,FALSE),"")</f>
        <v>2802190</v>
      </c>
    </row>
    <row r="3372" spans="1:8" x14ac:dyDescent="0.2">
      <c r="A3372">
        <f t="shared" si="52"/>
        <v>2802190</v>
      </c>
      <c r="B3372" s="1">
        <v>2022</v>
      </c>
      <c r="C3372" s="1" t="s">
        <v>2505</v>
      </c>
      <c r="D3372" s="1" t="s">
        <v>2506</v>
      </c>
      <c r="E3372" s="1" t="s">
        <v>2019</v>
      </c>
      <c r="F3372" s="1" t="s">
        <v>335</v>
      </c>
      <c r="G3372" s="6">
        <v>23560001</v>
      </c>
      <c r="H3372">
        <f>IFERROR(VLOOKUP(F3372,'LEAID Match'!$A$2:$B$142,2,FALSE),"")</f>
        <v>2802190</v>
      </c>
    </row>
    <row r="3373" spans="1:8" x14ac:dyDescent="0.2">
      <c r="A3373">
        <f t="shared" si="52"/>
        <v>2802190</v>
      </c>
      <c r="B3373" s="1">
        <v>2023</v>
      </c>
      <c r="C3373" s="1" t="s">
        <v>2505</v>
      </c>
      <c r="D3373" s="1" t="s">
        <v>2506</v>
      </c>
      <c r="E3373" s="1" t="s">
        <v>2019</v>
      </c>
      <c r="F3373" s="1" t="s">
        <v>335</v>
      </c>
      <c r="G3373" s="6">
        <v>24121594</v>
      </c>
      <c r="H3373">
        <f>IFERROR(VLOOKUP(F3373,'LEAID Match'!$A$2:$B$142,2,FALSE),"")</f>
        <v>2802190</v>
      </c>
    </row>
    <row r="3374" spans="1:8" x14ac:dyDescent="0.2">
      <c r="A3374">
        <f t="shared" si="52"/>
        <v>2802190</v>
      </c>
      <c r="B3374" s="1">
        <v>2024</v>
      </c>
      <c r="C3374" s="1" t="s">
        <v>2505</v>
      </c>
      <c r="D3374" s="1" t="s">
        <v>2506</v>
      </c>
      <c r="E3374" s="1" t="s">
        <v>2019</v>
      </c>
      <c r="F3374" s="1" t="s">
        <v>335</v>
      </c>
      <c r="G3374" s="6">
        <v>23958217</v>
      </c>
      <c r="H3374">
        <f>IFERROR(VLOOKUP(F3374,'LEAID Match'!$A$2:$B$142,2,FALSE),"")</f>
        <v>2802190</v>
      </c>
    </row>
    <row r="3375" spans="1:8" x14ac:dyDescent="0.2">
      <c r="A3375" t="str">
        <f t="shared" si="52"/>
        <v/>
      </c>
      <c r="B3375" s="1">
        <v>2015</v>
      </c>
      <c r="C3375" s="1" t="s">
        <v>2505</v>
      </c>
      <c r="D3375" s="1" t="s">
        <v>2506</v>
      </c>
      <c r="E3375" s="1" t="s">
        <v>2019</v>
      </c>
      <c r="F3375" s="1" t="s">
        <v>336</v>
      </c>
      <c r="G3375" s="6">
        <v>794112</v>
      </c>
      <c r="H3375" t="str">
        <f>IFERROR(VLOOKUP(F3375,'LEAID Match'!$A$2:$B$142,2,FALSE),"")</f>
        <v/>
      </c>
    </row>
    <row r="3376" spans="1:8" x14ac:dyDescent="0.2">
      <c r="A3376" t="str">
        <f t="shared" si="52"/>
        <v/>
      </c>
      <c r="B3376">
        <v>2016</v>
      </c>
      <c r="C3376" s="1" t="s">
        <v>2505</v>
      </c>
      <c r="D3376" s="1" t="s">
        <v>2506</v>
      </c>
      <c r="E3376" s="1" t="s">
        <v>2019</v>
      </c>
      <c r="F3376" s="1" t="s">
        <v>336</v>
      </c>
      <c r="G3376" s="12">
        <v>789503</v>
      </c>
      <c r="H3376" t="str">
        <f>IFERROR(VLOOKUP(F3376,'LEAID Match'!$A$2:$B$142,2,FALSE),"")</f>
        <v/>
      </c>
    </row>
    <row r="3377" spans="1:8" x14ac:dyDescent="0.2">
      <c r="A3377" t="str">
        <f t="shared" si="52"/>
        <v/>
      </c>
      <c r="B3377" s="1">
        <v>2017</v>
      </c>
      <c r="C3377" s="1" t="s">
        <v>2505</v>
      </c>
      <c r="D3377" s="1" t="s">
        <v>2506</v>
      </c>
      <c r="E3377" s="1" t="s">
        <v>2019</v>
      </c>
      <c r="F3377" s="1" t="s">
        <v>336</v>
      </c>
      <c r="G3377" s="50">
        <v>892402</v>
      </c>
      <c r="H3377" t="str">
        <f>IFERROR(VLOOKUP(F3377,'LEAID Match'!$A$2:$B$142,2,FALSE),"")</f>
        <v/>
      </c>
    </row>
    <row r="3378" spans="1:8" x14ac:dyDescent="0.2">
      <c r="A3378" t="str">
        <f t="shared" si="52"/>
        <v/>
      </c>
      <c r="B3378" s="1">
        <v>2018</v>
      </c>
      <c r="C3378" s="1" t="s">
        <v>2505</v>
      </c>
      <c r="D3378" s="1" t="s">
        <v>2506</v>
      </c>
      <c r="E3378" s="1" t="s">
        <v>2019</v>
      </c>
      <c r="F3378" s="1" t="s">
        <v>336</v>
      </c>
      <c r="G3378" s="6">
        <v>944615</v>
      </c>
      <c r="H3378" t="str">
        <f>IFERROR(VLOOKUP(F3378,'LEAID Match'!$A$2:$B$142,2,FALSE),"")</f>
        <v/>
      </c>
    </row>
    <row r="3379" spans="1:8" x14ac:dyDescent="0.2">
      <c r="A3379" t="str">
        <f t="shared" si="52"/>
        <v/>
      </c>
      <c r="B3379" s="1">
        <v>2019</v>
      </c>
      <c r="C3379" s="1" t="s">
        <v>2505</v>
      </c>
      <c r="D3379" s="1" t="s">
        <v>2506</v>
      </c>
      <c r="E3379" s="1" t="s">
        <v>2019</v>
      </c>
      <c r="F3379" s="1" t="s">
        <v>336</v>
      </c>
      <c r="G3379" s="6">
        <v>920925</v>
      </c>
      <c r="H3379" t="str">
        <f>IFERROR(VLOOKUP(F3379,'LEAID Match'!$A$2:$B$142,2,FALSE),"")</f>
        <v/>
      </c>
    </row>
    <row r="3380" spans="1:8" x14ac:dyDescent="0.2">
      <c r="A3380" t="str">
        <f t="shared" si="52"/>
        <v/>
      </c>
      <c r="B3380" s="1">
        <v>2020</v>
      </c>
      <c r="C3380" s="1" t="s">
        <v>2505</v>
      </c>
      <c r="D3380" s="1" t="s">
        <v>2506</v>
      </c>
      <c r="E3380" s="1" t="s">
        <v>2019</v>
      </c>
      <c r="F3380" s="1" t="s">
        <v>336</v>
      </c>
      <c r="G3380" s="6">
        <v>1028861</v>
      </c>
      <c r="H3380" t="str">
        <f>IFERROR(VLOOKUP(F3380,'LEAID Match'!$A$2:$B$142,2,FALSE),"")</f>
        <v/>
      </c>
    </row>
    <row r="3381" spans="1:8" x14ac:dyDescent="0.2">
      <c r="A3381" t="str">
        <f t="shared" si="52"/>
        <v/>
      </c>
      <c r="B3381" s="1">
        <v>2021</v>
      </c>
      <c r="C3381" s="1" t="s">
        <v>2505</v>
      </c>
      <c r="D3381" s="1" t="s">
        <v>2506</v>
      </c>
      <c r="E3381" s="1" t="s">
        <v>2019</v>
      </c>
      <c r="F3381" s="1" t="s">
        <v>336</v>
      </c>
      <c r="G3381" s="6">
        <v>953177</v>
      </c>
      <c r="H3381" t="str">
        <f>IFERROR(VLOOKUP(F3381,'LEAID Match'!$A$2:$B$142,2,FALSE),"")</f>
        <v/>
      </c>
    </row>
    <row r="3382" spans="1:8" x14ac:dyDescent="0.2">
      <c r="A3382" t="str">
        <f t="shared" si="52"/>
        <v/>
      </c>
      <c r="B3382" s="1">
        <v>2022</v>
      </c>
      <c r="C3382" s="1" t="s">
        <v>2505</v>
      </c>
      <c r="D3382" s="1" t="s">
        <v>2506</v>
      </c>
      <c r="E3382" s="1" t="s">
        <v>2019</v>
      </c>
      <c r="F3382" s="1" t="s">
        <v>336</v>
      </c>
      <c r="G3382" s="6">
        <v>1100955</v>
      </c>
      <c r="H3382" t="str">
        <f>IFERROR(VLOOKUP(F3382,'LEAID Match'!$A$2:$B$142,2,FALSE),"")</f>
        <v/>
      </c>
    </row>
    <row r="3383" spans="1:8" x14ac:dyDescent="0.2">
      <c r="A3383" t="str">
        <f t="shared" si="52"/>
        <v/>
      </c>
      <c r="B3383" s="1">
        <v>2023</v>
      </c>
      <c r="C3383" s="1" t="s">
        <v>2505</v>
      </c>
      <c r="D3383" s="1" t="s">
        <v>2506</v>
      </c>
      <c r="E3383" s="1" t="s">
        <v>2019</v>
      </c>
      <c r="F3383" s="1" t="s">
        <v>336</v>
      </c>
      <c r="G3383" s="6">
        <v>1218079</v>
      </c>
      <c r="H3383" t="str">
        <f>IFERROR(VLOOKUP(F3383,'LEAID Match'!$A$2:$B$142,2,FALSE),"")</f>
        <v/>
      </c>
    </row>
    <row r="3384" spans="1:8" x14ac:dyDescent="0.2">
      <c r="A3384" t="str">
        <f t="shared" si="52"/>
        <v/>
      </c>
      <c r="B3384" s="1">
        <v>2024</v>
      </c>
      <c r="C3384" s="1" t="s">
        <v>2505</v>
      </c>
      <c r="D3384" s="1" t="s">
        <v>2506</v>
      </c>
      <c r="E3384" s="1" t="s">
        <v>2019</v>
      </c>
      <c r="F3384" s="1" t="s">
        <v>336</v>
      </c>
      <c r="G3384" s="6">
        <v>1328800</v>
      </c>
      <c r="H3384" t="str">
        <f>IFERROR(VLOOKUP(F3384,'LEAID Match'!$A$2:$B$142,2,FALSE),"")</f>
        <v/>
      </c>
    </row>
    <row r="3385" spans="1:8" x14ac:dyDescent="0.2">
      <c r="A3385" t="str">
        <f t="shared" si="52"/>
        <v/>
      </c>
      <c r="B3385" s="1">
        <v>2015</v>
      </c>
      <c r="C3385" s="1" t="s">
        <v>2505</v>
      </c>
      <c r="D3385" s="1" t="s">
        <v>2506</v>
      </c>
      <c r="E3385" s="1" t="s">
        <v>2019</v>
      </c>
      <c r="F3385" s="1" t="s">
        <v>337</v>
      </c>
      <c r="G3385" s="6">
        <v>8331465</v>
      </c>
      <c r="H3385" t="str">
        <f>IFERROR(VLOOKUP(F3385,'LEAID Match'!$A$2:$B$142,2,FALSE),"")</f>
        <v/>
      </c>
    </row>
    <row r="3386" spans="1:8" x14ac:dyDescent="0.2">
      <c r="A3386" t="str">
        <f t="shared" si="52"/>
        <v/>
      </c>
      <c r="B3386">
        <v>2016</v>
      </c>
      <c r="C3386" s="1" t="s">
        <v>2505</v>
      </c>
      <c r="D3386" s="1" t="s">
        <v>2506</v>
      </c>
      <c r="E3386" s="1" t="s">
        <v>2019</v>
      </c>
      <c r="F3386" s="1" t="s">
        <v>337</v>
      </c>
      <c r="G3386" s="12">
        <v>8759100</v>
      </c>
      <c r="H3386" t="str">
        <f>IFERROR(VLOOKUP(F3386,'LEAID Match'!$A$2:$B$142,2,FALSE),"")</f>
        <v/>
      </c>
    </row>
    <row r="3387" spans="1:8" x14ac:dyDescent="0.2">
      <c r="A3387" t="str">
        <f t="shared" si="52"/>
        <v/>
      </c>
      <c r="B3387" s="1">
        <v>2017</v>
      </c>
      <c r="C3387" s="1" t="s">
        <v>2505</v>
      </c>
      <c r="D3387" s="1" t="s">
        <v>2506</v>
      </c>
      <c r="E3387" s="1" t="s">
        <v>2019</v>
      </c>
      <c r="F3387" s="1" t="s">
        <v>337</v>
      </c>
      <c r="G3387" s="50">
        <v>9243079</v>
      </c>
      <c r="H3387" t="str">
        <f>IFERROR(VLOOKUP(F3387,'LEAID Match'!$A$2:$B$142,2,FALSE),"")</f>
        <v/>
      </c>
    </row>
    <row r="3388" spans="1:8" x14ac:dyDescent="0.2">
      <c r="A3388" t="str">
        <f t="shared" si="52"/>
        <v/>
      </c>
      <c r="B3388" s="1">
        <v>2018</v>
      </c>
      <c r="C3388" s="1" t="s">
        <v>2505</v>
      </c>
      <c r="D3388" s="1" t="s">
        <v>2506</v>
      </c>
      <c r="E3388" s="1" t="s">
        <v>2019</v>
      </c>
      <c r="F3388" s="1" t="s">
        <v>337</v>
      </c>
      <c r="G3388" s="6">
        <v>7792091</v>
      </c>
      <c r="H3388" t="str">
        <f>IFERROR(VLOOKUP(F3388,'LEAID Match'!$A$2:$B$142,2,FALSE),"")</f>
        <v/>
      </c>
    </row>
    <row r="3389" spans="1:8" x14ac:dyDescent="0.2">
      <c r="A3389" t="str">
        <f t="shared" si="52"/>
        <v/>
      </c>
      <c r="B3389" s="1">
        <v>2019</v>
      </c>
      <c r="C3389" s="1" t="s">
        <v>2505</v>
      </c>
      <c r="D3389" s="1" t="s">
        <v>2506</v>
      </c>
      <c r="E3389" s="1" t="s">
        <v>2019</v>
      </c>
      <c r="F3389" s="1" t="s">
        <v>337</v>
      </c>
      <c r="G3389" s="6">
        <v>7370233</v>
      </c>
      <c r="H3389" t="str">
        <f>IFERROR(VLOOKUP(F3389,'LEAID Match'!$A$2:$B$142,2,FALSE),"")</f>
        <v/>
      </c>
    </row>
    <row r="3390" spans="1:8" x14ac:dyDescent="0.2">
      <c r="A3390" t="str">
        <f t="shared" si="52"/>
        <v/>
      </c>
      <c r="B3390" s="1">
        <v>2020</v>
      </c>
      <c r="C3390" s="1" t="s">
        <v>2505</v>
      </c>
      <c r="D3390" s="1" t="s">
        <v>2506</v>
      </c>
      <c r="E3390" s="1" t="s">
        <v>2019</v>
      </c>
      <c r="F3390" s="1" t="s">
        <v>337</v>
      </c>
      <c r="G3390" s="6">
        <v>7897643</v>
      </c>
      <c r="H3390" t="str">
        <f>IFERROR(VLOOKUP(F3390,'LEAID Match'!$A$2:$B$142,2,FALSE),"")</f>
        <v/>
      </c>
    </row>
    <row r="3391" spans="1:8" x14ac:dyDescent="0.2">
      <c r="A3391" t="str">
        <f t="shared" si="52"/>
        <v/>
      </c>
      <c r="B3391" s="1">
        <v>2021</v>
      </c>
      <c r="C3391" s="1" t="s">
        <v>2505</v>
      </c>
      <c r="D3391" s="1" t="s">
        <v>2506</v>
      </c>
      <c r="E3391" s="1" t="s">
        <v>2019</v>
      </c>
      <c r="F3391" s="1" t="s">
        <v>337</v>
      </c>
      <c r="G3391" s="6">
        <v>7764695</v>
      </c>
      <c r="H3391" t="str">
        <f>IFERROR(VLOOKUP(F3391,'LEAID Match'!$A$2:$B$142,2,FALSE),"")</f>
        <v/>
      </c>
    </row>
    <row r="3392" spans="1:8" x14ac:dyDescent="0.2">
      <c r="A3392" t="str">
        <f t="shared" si="52"/>
        <v/>
      </c>
      <c r="B3392" s="1">
        <v>2022</v>
      </c>
      <c r="C3392" s="1" t="s">
        <v>2505</v>
      </c>
      <c r="D3392" s="1" t="s">
        <v>2506</v>
      </c>
      <c r="E3392" s="1" t="s">
        <v>2019</v>
      </c>
      <c r="F3392" s="1" t="s">
        <v>337</v>
      </c>
      <c r="G3392" s="6">
        <v>8239036</v>
      </c>
      <c r="H3392" t="str">
        <f>IFERROR(VLOOKUP(F3392,'LEAID Match'!$A$2:$B$142,2,FALSE),"")</f>
        <v/>
      </c>
    </row>
    <row r="3393" spans="1:8" x14ac:dyDescent="0.2">
      <c r="A3393" t="str">
        <f t="shared" si="52"/>
        <v/>
      </c>
      <c r="B3393" s="1">
        <v>2023</v>
      </c>
      <c r="C3393" s="1" t="s">
        <v>2505</v>
      </c>
      <c r="D3393" s="1" t="s">
        <v>2506</v>
      </c>
      <c r="E3393" s="1" t="s">
        <v>2019</v>
      </c>
      <c r="F3393" s="1" t="s">
        <v>337</v>
      </c>
      <c r="G3393" s="6">
        <v>8539387</v>
      </c>
      <c r="H3393" t="str">
        <f>IFERROR(VLOOKUP(F3393,'LEAID Match'!$A$2:$B$142,2,FALSE),"")</f>
        <v/>
      </c>
    </row>
    <row r="3394" spans="1:8" x14ac:dyDescent="0.2">
      <c r="A3394" t="str">
        <f t="shared" si="52"/>
        <v/>
      </c>
      <c r="B3394" s="1">
        <v>2024</v>
      </c>
      <c r="C3394" s="1" t="s">
        <v>2505</v>
      </c>
      <c r="D3394" s="1" t="s">
        <v>2506</v>
      </c>
      <c r="E3394" s="1" t="s">
        <v>2019</v>
      </c>
      <c r="F3394" s="1" t="s">
        <v>337</v>
      </c>
      <c r="G3394" s="6">
        <v>9105206</v>
      </c>
      <c r="H3394" t="str">
        <f>IFERROR(VLOOKUP(F3394,'LEAID Match'!$A$2:$B$142,2,FALSE),"")</f>
        <v/>
      </c>
    </row>
    <row r="3395" spans="1:8" x14ac:dyDescent="0.2">
      <c r="A3395" t="str">
        <f t="shared" ref="A3395:A3458" si="53">H3395</f>
        <v/>
      </c>
      <c r="B3395" s="1">
        <v>2015</v>
      </c>
      <c r="C3395" s="1" t="s">
        <v>2505</v>
      </c>
      <c r="D3395" s="1" t="s">
        <v>2506</v>
      </c>
      <c r="E3395" s="1" t="s">
        <v>2019</v>
      </c>
      <c r="F3395" s="1" t="s">
        <v>339</v>
      </c>
      <c r="G3395" s="6">
        <v>323321</v>
      </c>
      <c r="H3395" t="str">
        <f>IFERROR(VLOOKUP(F3395,'LEAID Match'!$A$2:$B$142,2,FALSE),"")</f>
        <v/>
      </c>
    </row>
    <row r="3396" spans="1:8" x14ac:dyDescent="0.2">
      <c r="A3396" t="str">
        <f t="shared" si="53"/>
        <v/>
      </c>
      <c r="B3396">
        <v>2016</v>
      </c>
      <c r="C3396" s="1" t="s">
        <v>2505</v>
      </c>
      <c r="D3396" s="1" t="s">
        <v>2506</v>
      </c>
      <c r="E3396" s="1" t="s">
        <v>2019</v>
      </c>
      <c r="F3396" s="1" t="s">
        <v>339</v>
      </c>
      <c r="G3396" s="12">
        <v>323200</v>
      </c>
      <c r="H3396" t="str">
        <f>IFERROR(VLOOKUP(F3396,'LEAID Match'!$A$2:$B$142,2,FALSE),"")</f>
        <v/>
      </c>
    </row>
    <row r="3397" spans="1:8" x14ac:dyDescent="0.2">
      <c r="A3397" t="str">
        <f t="shared" si="53"/>
        <v/>
      </c>
      <c r="B3397" s="1">
        <v>2017</v>
      </c>
      <c r="C3397" s="1" t="s">
        <v>2505</v>
      </c>
      <c r="D3397" s="1" t="s">
        <v>2506</v>
      </c>
      <c r="E3397" s="1" t="s">
        <v>2019</v>
      </c>
      <c r="F3397" s="1" t="s">
        <v>339</v>
      </c>
      <c r="G3397" s="50">
        <v>326522</v>
      </c>
      <c r="H3397" t="str">
        <f>IFERROR(VLOOKUP(F3397,'LEAID Match'!$A$2:$B$142,2,FALSE),"")</f>
        <v/>
      </c>
    </row>
    <row r="3398" spans="1:8" x14ac:dyDescent="0.2">
      <c r="A3398" t="str">
        <f t="shared" si="53"/>
        <v/>
      </c>
      <c r="B3398" s="1">
        <v>2018</v>
      </c>
      <c r="C3398" s="1" t="s">
        <v>2505</v>
      </c>
      <c r="D3398" s="1" t="s">
        <v>2506</v>
      </c>
      <c r="E3398" s="1" t="s">
        <v>2019</v>
      </c>
      <c r="F3398" s="1" t="s">
        <v>339</v>
      </c>
      <c r="G3398" s="6">
        <v>332719</v>
      </c>
      <c r="H3398" t="str">
        <f>IFERROR(VLOOKUP(F3398,'LEAID Match'!$A$2:$B$142,2,FALSE),"")</f>
        <v/>
      </c>
    </row>
    <row r="3399" spans="1:8" x14ac:dyDescent="0.2">
      <c r="A3399" t="str">
        <f t="shared" si="53"/>
        <v/>
      </c>
      <c r="B3399" s="1">
        <v>2019</v>
      </c>
      <c r="C3399" s="1" t="s">
        <v>2505</v>
      </c>
      <c r="D3399" s="1" t="s">
        <v>2506</v>
      </c>
      <c r="E3399" s="1" t="s">
        <v>2019</v>
      </c>
      <c r="F3399" s="1" t="s">
        <v>339</v>
      </c>
      <c r="G3399" s="6">
        <v>336524</v>
      </c>
      <c r="H3399" t="str">
        <f>IFERROR(VLOOKUP(F3399,'LEAID Match'!$A$2:$B$142,2,FALSE),"")</f>
        <v/>
      </c>
    </row>
    <row r="3400" spans="1:8" x14ac:dyDescent="0.2">
      <c r="A3400" t="str">
        <f t="shared" si="53"/>
        <v/>
      </c>
      <c r="B3400" s="1">
        <v>2020</v>
      </c>
      <c r="C3400" s="1" t="s">
        <v>2505</v>
      </c>
      <c r="D3400" s="1" t="s">
        <v>2506</v>
      </c>
      <c r="E3400" s="1" t="s">
        <v>2019</v>
      </c>
      <c r="F3400" s="1" t="s">
        <v>339</v>
      </c>
      <c r="G3400" s="6">
        <v>387920</v>
      </c>
      <c r="H3400" t="str">
        <f>IFERROR(VLOOKUP(F3400,'LEAID Match'!$A$2:$B$142,2,FALSE),"")</f>
        <v/>
      </c>
    </row>
    <row r="3401" spans="1:8" x14ac:dyDescent="0.2">
      <c r="A3401" t="str">
        <f t="shared" si="53"/>
        <v/>
      </c>
      <c r="B3401" s="1">
        <v>2021</v>
      </c>
      <c r="C3401" s="1" t="s">
        <v>2505</v>
      </c>
      <c r="D3401" s="1" t="s">
        <v>2506</v>
      </c>
      <c r="E3401" s="1" t="s">
        <v>2019</v>
      </c>
      <c r="F3401" s="1" t="s">
        <v>339</v>
      </c>
      <c r="G3401" s="6">
        <v>393004</v>
      </c>
      <c r="H3401" t="str">
        <f>IFERROR(VLOOKUP(F3401,'LEAID Match'!$A$2:$B$142,2,FALSE),"")</f>
        <v/>
      </c>
    </row>
    <row r="3402" spans="1:8" x14ac:dyDescent="0.2">
      <c r="A3402" t="str">
        <f t="shared" si="53"/>
        <v/>
      </c>
      <c r="B3402" s="1">
        <v>2022</v>
      </c>
      <c r="C3402" s="1" t="s">
        <v>2505</v>
      </c>
      <c r="D3402" s="1" t="s">
        <v>2506</v>
      </c>
      <c r="E3402" s="1" t="s">
        <v>2019</v>
      </c>
      <c r="F3402" s="1" t="s">
        <v>339</v>
      </c>
      <c r="G3402" s="6">
        <v>380219</v>
      </c>
      <c r="H3402" t="str">
        <f>IFERROR(VLOOKUP(F3402,'LEAID Match'!$A$2:$B$142,2,FALSE),"")</f>
        <v/>
      </c>
    </row>
    <row r="3403" spans="1:8" x14ac:dyDescent="0.2">
      <c r="A3403" t="str">
        <f t="shared" si="53"/>
        <v/>
      </c>
      <c r="B3403" s="1">
        <v>2023</v>
      </c>
      <c r="C3403" s="1" t="s">
        <v>2505</v>
      </c>
      <c r="D3403" s="1" t="s">
        <v>2506</v>
      </c>
      <c r="E3403" s="1" t="s">
        <v>2019</v>
      </c>
      <c r="F3403" s="1" t="s">
        <v>339</v>
      </c>
      <c r="G3403" s="6">
        <v>356422</v>
      </c>
      <c r="H3403" t="str">
        <f>IFERROR(VLOOKUP(F3403,'LEAID Match'!$A$2:$B$142,2,FALSE),"")</f>
        <v/>
      </c>
    </row>
    <row r="3404" spans="1:8" x14ac:dyDescent="0.2">
      <c r="A3404" t="str">
        <f t="shared" si="53"/>
        <v/>
      </c>
      <c r="B3404" s="1">
        <v>2024</v>
      </c>
      <c r="C3404" s="1" t="s">
        <v>2505</v>
      </c>
      <c r="D3404" s="1" t="s">
        <v>2506</v>
      </c>
      <c r="E3404" s="1" t="s">
        <v>2019</v>
      </c>
      <c r="F3404" s="1" t="s">
        <v>339</v>
      </c>
      <c r="G3404" s="6">
        <v>376172</v>
      </c>
      <c r="H3404" t="str">
        <f>IFERROR(VLOOKUP(F3404,'LEAID Match'!$A$2:$B$142,2,FALSE),"")</f>
        <v/>
      </c>
    </row>
    <row r="3405" spans="1:8" x14ac:dyDescent="0.2">
      <c r="A3405" t="str">
        <f t="shared" si="53"/>
        <v/>
      </c>
      <c r="B3405" s="1">
        <v>2015</v>
      </c>
      <c r="C3405" s="1" t="s">
        <v>2505</v>
      </c>
      <c r="D3405" s="1" t="s">
        <v>2506</v>
      </c>
      <c r="E3405" s="1" t="s">
        <v>2019</v>
      </c>
      <c r="F3405" s="1" t="s">
        <v>338</v>
      </c>
      <c r="G3405" s="6">
        <v>293317</v>
      </c>
      <c r="H3405" t="str">
        <f>IFERROR(VLOOKUP(F3405,'LEAID Match'!$A$2:$B$142,2,FALSE),"")</f>
        <v/>
      </c>
    </row>
    <row r="3406" spans="1:8" x14ac:dyDescent="0.2">
      <c r="A3406" t="str">
        <f t="shared" si="53"/>
        <v/>
      </c>
      <c r="B3406">
        <v>2016</v>
      </c>
      <c r="C3406" s="1" t="s">
        <v>2505</v>
      </c>
      <c r="D3406" s="1" t="s">
        <v>2506</v>
      </c>
      <c r="E3406" s="1" t="s">
        <v>2019</v>
      </c>
      <c r="F3406" s="1" t="s">
        <v>338</v>
      </c>
      <c r="G3406" s="12">
        <v>319945</v>
      </c>
      <c r="H3406" t="str">
        <f>IFERROR(VLOOKUP(F3406,'LEAID Match'!$A$2:$B$142,2,FALSE),"")</f>
        <v/>
      </c>
    </row>
    <row r="3407" spans="1:8" x14ac:dyDescent="0.2">
      <c r="A3407" t="str">
        <f t="shared" si="53"/>
        <v/>
      </c>
      <c r="B3407" s="1">
        <v>2017</v>
      </c>
      <c r="C3407" s="1" t="s">
        <v>2505</v>
      </c>
      <c r="D3407" s="1" t="s">
        <v>2506</v>
      </c>
      <c r="E3407" s="1" t="s">
        <v>2019</v>
      </c>
      <c r="F3407" s="1" t="s">
        <v>338</v>
      </c>
      <c r="G3407" s="50">
        <v>337666</v>
      </c>
      <c r="H3407" t="str">
        <f>IFERROR(VLOOKUP(F3407,'LEAID Match'!$A$2:$B$142,2,FALSE),"")</f>
        <v/>
      </c>
    </row>
    <row r="3408" spans="1:8" x14ac:dyDescent="0.2">
      <c r="A3408" t="str">
        <f t="shared" si="53"/>
        <v/>
      </c>
      <c r="B3408" s="1">
        <v>2018</v>
      </c>
      <c r="C3408" s="1" t="s">
        <v>2505</v>
      </c>
      <c r="D3408" s="1" t="s">
        <v>2506</v>
      </c>
      <c r="E3408" s="1" t="s">
        <v>2019</v>
      </c>
      <c r="F3408" s="1" t="s">
        <v>338</v>
      </c>
      <c r="G3408" s="6">
        <v>342641</v>
      </c>
      <c r="H3408" t="str">
        <f>IFERROR(VLOOKUP(F3408,'LEAID Match'!$A$2:$B$142,2,FALSE),"")</f>
        <v/>
      </c>
    </row>
    <row r="3409" spans="1:8" x14ac:dyDescent="0.2">
      <c r="A3409" t="str">
        <f t="shared" si="53"/>
        <v/>
      </c>
      <c r="B3409" s="1">
        <v>2019</v>
      </c>
      <c r="C3409" s="1" t="s">
        <v>2505</v>
      </c>
      <c r="D3409" s="1" t="s">
        <v>2506</v>
      </c>
      <c r="E3409" s="1" t="s">
        <v>2019</v>
      </c>
      <c r="F3409" s="1" t="s">
        <v>338</v>
      </c>
      <c r="G3409" s="6">
        <v>330489</v>
      </c>
      <c r="H3409" t="str">
        <f>IFERROR(VLOOKUP(F3409,'LEAID Match'!$A$2:$B$142,2,FALSE),"")</f>
        <v/>
      </c>
    </row>
    <row r="3410" spans="1:8" x14ac:dyDescent="0.2">
      <c r="A3410" t="str">
        <f t="shared" si="53"/>
        <v/>
      </c>
      <c r="B3410" s="1">
        <v>2020</v>
      </c>
      <c r="C3410" s="1" t="s">
        <v>2505</v>
      </c>
      <c r="D3410" s="1" t="s">
        <v>2506</v>
      </c>
      <c r="E3410" s="1" t="s">
        <v>2019</v>
      </c>
      <c r="F3410" s="1" t="s">
        <v>338</v>
      </c>
      <c r="G3410" s="6">
        <v>363555</v>
      </c>
      <c r="H3410" t="str">
        <f>IFERROR(VLOOKUP(F3410,'LEAID Match'!$A$2:$B$142,2,FALSE),"")</f>
        <v/>
      </c>
    </row>
    <row r="3411" spans="1:8" x14ac:dyDescent="0.2">
      <c r="A3411" t="str">
        <f t="shared" si="53"/>
        <v/>
      </c>
      <c r="B3411" s="1">
        <v>2021</v>
      </c>
      <c r="C3411" s="1" t="s">
        <v>2505</v>
      </c>
      <c r="D3411" s="1" t="s">
        <v>2506</v>
      </c>
      <c r="E3411" s="1" t="s">
        <v>2019</v>
      </c>
      <c r="F3411" s="1" t="s">
        <v>338</v>
      </c>
      <c r="G3411" s="6">
        <v>315102</v>
      </c>
      <c r="H3411" t="str">
        <f>IFERROR(VLOOKUP(F3411,'LEAID Match'!$A$2:$B$142,2,FALSE),"")</f>
        <v/>
      </c>
    </row>
    <row r="3412" spans="1:8" x14ac:dyDescent="0.2">
      <c r="A3412" t="str">
        <f t="shared" si="53"/>
        <v/>
      </c>
      <c r="B3412" s="1">
        <v>2022</v>
      </c>
      <c r="C3412" s="1" t="s">
        <v>2505</v>
      </c>
      <c r="D3412" s="1" t="s">
        <v>2506</v>
      </c>
      <c r="E3412" s="1" t="s">
        <v>2019</v>
      </c>
      <c r="F3412" s="1" t="s">
        <v>338</v>
      </c>
      <c r="G3412" s="6">
        <v>263264</v>
      </c>
      <c r="H3412" t="str">
        <f>IFERROR(VLOOKUP(F3412,'LEAID Match'!$A$2:$B$142,2,FALSE),"")</f>
        <v/>
      </c>
    </row>
    <row r="3413" spans="1:8" x14ac:dyDescent="0.2">
      <c r="A3413" t="str">
        <f t="shared" si="53"/>
        <v/>
      </c>
      <c r="B3413" s="1">
        <v>2023</v>
      </c>
      <c r="C3413" s="1" t="s">
        <v>2505</v>
      </c>
      <c r="D3413" s="1" t="s">
        <v>2506</v>
      </c>
      <c r="E3413" s="1" t="s">
        <v>2019</v>
      </c>
      <c r="F3413" s="1" t="s">
        <v>338</v>
      </c>
      <c r="G3413" s="6">
        <v>231804</v>
      </c>
      <c r="H3413" t="str">
        <f>IFERROR(VLOOKUP(F3413,'LEAID Match'!$A$2:$B$142,2,FALSE),"")</f>
        <v/>
      </c>
    </row>
    <row r="3414" spans="1:8" x14ac:dyDescent="0.2">
      <c r="A3414" t="str">
        <f t="shared" si="53"/>
        <v/>
      </c>
      <c r="B3414" s="1">
        <v>2024</v>
      </c>
      <c r="C3414" s="1" t="s">
        <v>2505</v>
      </c>
      <c r="D3414" s="1" t="s">
        <v>2506</v>
      </c>
      <c r="E3414" s="1" t="s">
        <v>2019</v>
      </c>
      <c r="F3414" s="1" t="s">
        <v>338</v>
      </c>
      <c r="G3414" s="6">
        <v>316063</v>
      </c>
      <c r="H3414" t="str">
        <f>IFERROR(VLOOKUP(F3414,'LEAID Match'!$A$2:$B$142,2,FALSE),"")</f>
        <v/>
      </c>
    </row>
    <row r="3415" spans="1:8" x14ac:dyDescent="0.2">
      <c r="A3415" t="str">
        <f t="shared" si="53"/>
        <v/>
      </c>
      <c r="B3415" s="1">
        <v>2015</v>
      </c>
      <c r="C3415" s="1" t="s">
        <v>2505</v>
      </c>
      <c r="D3415" s="1" t="s">
        <v>2506</v>
      </c>
      <c r="E3415" s="1" t="s">
        <v>2019</v>
      </c>
      <c r="F3415" s="1" t="s">
        <v>340</v>
      </c>
      <c r="G3415" s="6">
        <v>691081</v>
      </c>
      <c r="H3415" t="str">
        <f>IFERROR(VLOOKUP(F3415,'LEAID Match'!$A$2:$B$142,2,FALSE),"")</f>
        <v/>
      </c>
    </row>
    <row r="3416" spans="1:8" x14ac:dyDescent="0.2">
      <c r="A3416" t="str">
        <f t="shared" si="53"/>
        <v/>
      </c>
      <c r="B3416">
        <v>2016</v>
      </c>
      <c r="C3416" s="1" t="s">
        <v>2505</v>
      </c>
      <c r="D3416" s="1" t="s">
        <v>2506</v>
      </c>
      <c r="E3416" s="1" t="s">
        <v>2019</v>
      </c>
      <c r="F3416" s="1" t="s">
        <v>340</v>
      </c>
      <c r="G3416" s="12">
        <v>702579</v>
      </c>
      <c r="H3416" t="str">
        <f>IFERROR(VLOOKUP(F3416,'LEAID Match'!$A$2:$B$142,2,FALSE),"")</f>
        <v/>
      </c>
    </row>
    <row r="3417" spans="1:8" x14ac:dyDescent="0.2">
      <c r="A3417" t="str">
        <f t="shared" si="53"/>
        <v/>
      </c>
      <c r="B3417" s="1">
        <v>2017</v>
      </c>
      <c r="C3417" s="1" t="s">
        <v>2505</v>
      </c>
      <c r="D3417" s="1" t="s">
        <v>2506</v>
      </c>
      <c r="E3417" s="1" t="s">
        <v>2019</v>
      </c>
      <c r="F3417" s="1" t="s">
        <v>340</v>
      </c>
      <c r="G3417" s="50">
        <v>732140</v>
      </c>
      <c r="H3417" t="str">
        <f>IFERROR(VLOOKUP(F3417,'LEAID Match'!$A$2:$B$142,2,FALSE),"")</f>
        <v/>
      </c>
    </row>
    <row r="3418" spans="1:8" x14ac:dyDescent="0.2">
      <c r="A3418" t="str">
        <f t="shared" si="53"/>
        <v/>
      </c>
      <c r="B3418" s="1">
        <v>2018</v>
      </c>
      <c r="C3418" s="1" t="s">
        <v>2505</v>
      </c>
      <c r="D3418" s="1" t="s">
        <v>2506</v>
      </c>
      <c r="E3418" s="1" t="s">
        <v>2019</v>
      </c>
      <c r="F3418" s="1" t="s">
        <v>340</v>
      </c>
      <c r="G3418" s="6">
        <v>737171</v>
      </c>
      <c r="H3418" t="str">
        <f>IFERROR(VLOOKUP(F3418,'LEAID Match'!$A$2:$B$142,2,FALSE),"")</f>
        <v/>
      </c>
    </row>
    <row r="3419" spans="1:8" x14ac:dyDescent="0.2">
      <c r="A3419" t="str">
        <f t="shared" si="53"/>
        <v/>
      </c>
      <c r="B3419" s="1">
        <v>2019</v>
      </c>
      <c r="C3419" s="1" t="s">
        <v>2505</v>
      </c>
      <c r="D3419" s="1" t="s">
        <v>2506</v>
      </c>
      <c r="E3419" s="1" t="s">
        <v>2019</v>
      </c>
      <c r="F3419" s="1" t="s">
        <v>340</v>
      </c>
      <c r="G3419" s="6">
        <v>751668</v>
      </c>
      <c r="H3419" t="str">
        <f>IFERROR(VLOOKUP(F3419,'LEAID Match'!$A$2:$B$142,2,FALSE),"")</f>
        <v/>
      </c>
    </row>
    <row r="3420" spans="1:8" x14ac:dyDescent="0.2">
      <c r="A3420" t="str">
        <f t="shared" si="53"/>
        <v/>
      </c>
      <c r="B3420" s="1">
        <v>2020</v>
      </c>
      <c r="C3420" s="1" t="s">
        <v>2505</v>
      </c>
      <c r="D3420" s="1" t="s">
        <v>2506</v>
      </c>
      <c r="E3420" s="1" t="s">
        <v>2019</v>
      </c>
      <c r="F3420" s="1" t="s">
        <v>340</v>
      </c>
      <c r="G3420" s="6">
        <v>830248</v>
      </c>
      <c r="H3420" t="str">
        <f>IFERROR(VLOOKUP(F3420,'LEAID Match'!$A$2:$B$142,2,FALSE),"")</f>
        <v/>
      </c>
    </row>
    <row r="3421" spans="1:8" x14ac:dyDescent="0.2">
      <c r="A3421" t="str">
        <f t="shared" si="53"/>
        <v/>
      </c>
      <c r="B3421" s="1">
        <v>2021</v>
      </c>
      <c r="C3421" s="1" t="s">
        <v>2505</v>
      </c>
      <c r="D3421" s="1" t="s">
        <v>2506</v>
      </c>
      <c r="E3421" s="1" t="s">
        <v>2019</v>
      </c>
      <c r="F3421" s="1" t="s">
        <v>340</v>
      </c>
      <c r="G3421" s="6">
        <v>888877</v>
      </c>
      <c r="H3421" t="str">
        <f>IFERROR(VLOOKUP(F3421,'LEAID Match'!$A$2:$B$142,2,FALSE),"")</f>
        <v/>
      </c>
    </row>
    <row r="3422" spans="1:8" x14ac:dyDescent="0.2">
      <c r="A3422" t="str">
        <f t="shared" si="53"/>
        <v/>
      </c>
      <c r="B3422" s="1">
        <v>2022</v>
      </c>
      <c r="C3422" s="1" t="s">
        <v>2505</v>
      </c>
      <c r="D3422" s="1" t="s">
        <v>2506</v>
      </c>
      <c r="E3422" s="1" t="s">
        <v>2019</v>
      </c>
      <c r="F3422" s="1" t="s">
        <v>340</v>
      </c>
      <c r="G3422" s="6">
        <v>862962</v>
      </c>
      <c r="H3422" t="str">
        <f>IFERROR(VLOOKUP(F3422,'LEAID Match'!$A$2:$B$142,2,FALSE),"")</f>
        <v/>
      </c>
    </row>
    <row r="3423" spans="1:8" x14ac:dyDescent="0.2">
      <c r="A3423" t="str">
        <f t="shared" si="53"/>
        <v/>
      </c>
      <c r="B3423" s="1">
        <v>2023</v>
      </c>
      <c r="C3423" s="1" t="s">
        <v>2505</v>
      </c>
      <c r="D3423" s="1" t="s">
        <v>2506</v>
      </c>
      <c r="E3423" s="1" t="s">
        <v>2019</v>
      </c>
      <c r="F3423" s="1" t="s">
        <v>340</v>
      </c>
      <c r="G3423" s="6">
        <v>890473</v>
      </c>
      <c r="H3423" t="str">
        <f>IFERROR(VLOOKUP(F3423,'LEAID Match'!$A$2:$B$142,2,FALSE),"")</f>
        <v/>
      </c>
    </row>
    <row r="3424" spans="1:8" x14ac:dyDescent="0.2">
      <c r="A3424" t="str">
        <f t="shared" si="53"/>
        <v/>
      </c>
      <c r="B3424" s="1">
        <v>2024</v>
      </c>
      <c r="C3424" s="1" t="s">
        <v>2505</v>
      </c>
      <c r="D3424" s="1" t="s">
        <v>2506</v>
      </c>
      <c r="E3424" s="1" t="s">
        <v>2019</v>
      </c>
      <c r="F3424" s="1" t="s">
        <v>340</v>
      </c>
      <c r="G3424" s="6">
        <v>914147</v>
      </c>
      <c r="H3424" t="str">
        <f>IFERROR(VLOOKUP(F3424,'LEAID Match'!$A$2:$B$142,2,FALSE),"")</f>
        <v/>
      </c>
    </row>
    <row r="3425" spans="1:8" x14ac:dyDescent="0.2">
      <c r="A3425" t="str">
        <f t="shared" si="53"/>
        <v/>
      </c>
      <c r="B3425" s="1">
        <v>2015</v>
      </c>
      <c r="C3425" s="1" t="s">
        <v>2505</v>
      </c>
      <c r="D3425" s="1" t="s">
        <v>2506</v>
      </c>
      <c r="E3425" s="1" t="s">
        <v>2019</v>
      </c>
      <c r="F3425" s="1" t="s">
        <v>341</v>
      </c>
      <c r="G3425" s="6">
        <v>371710</v>
      </c>
      <c r="H3425" t="str">
        <f>IFERROR(VLOOKUP(F3425,'LEAID Match'!$A$2:$B$142,2,FALSE),"")</f>
        <v/>
      </c>
    </row>
    <row r="3426" spans="1:8" x14ac:dyDescent="0.2">
      <c r="A3426" t="str">
        <f t="shared" si="53"/>
        <v/>
      </c>
      <c r="B3426">
        <v>2016</v>
      </c>
      <c r="C3426" s="1" t="s">
        <v>2505</v>
      </c>
      <c r="D3426" s="1" t="s">
        <v>2506</v>
      </c>
      <c r="E3426" s="1" t="s">
        <v>2019</v>
      </c>
      <c r="F3426" s="1" t="s">
        <v>341</v>
      </c>
      <c r="G3426" s="12">
        <v>383351</v>
      </c>
      <c r="H3426" t="str">
        <f>IFERROR(VLOOKUP(F3426,'LEAID Match'!$A$2:$B$142,2,FALSE),"")</f>
        <v/>
      </c>
    </row>
    <row r="3427" spans="1:8" x14ac:dyDescent="0.2">
      <c r="A3427" t="str">
        <f t="shared" si="53"/>
        <v/>
      </c>
      <c r="B3427" s="1">
        <v>2017</v>
      </c>
      <c r="C3427" s="1" t="s">
        <v>2505</v>
      </c>
      <c r="D3427" s="1" t="s">
        <v>2506</v>
      </c>
      <c r="E3427" s="1" t="s">
        <v>2019</v>
      </c>
      <c r="F3427" s="1" t="s">
        <v>341</v>
      </c>
      <c r="G3427" s="47">
        <v>387198</v>
      </c>
      <c r="H3427" t="str">
        <f>IFERROR(VLOOKUP(F3427,'LEAID Match'!$A$2:$B$142,2,FALSE),"")</f>
        <v/>
      </c>
    </row>
    <row r="3428" spans="1:8" x14ac:dyDescent="0.2">
      <c r="A3428" t="str">
        <f t="shared" si="53"/>
        <v/>
      </c>
      <c r="B3428" s="1">
        <v>2018</v>
      </c>
      <c r="C3428" s="1" t="s">
        <v>2505</v>
      </c>
      <c r="D3428" s="1" t="s">
        <v>2506</v>
      </c>
      <c r="E3428" s="1" t="s">
        <v>2019</v>
      </c>
      <c r="F3428" s="1" t="s">
        <v>341</v>
      </c>
      <c r="G3428" s="6">
        <v>388436</v>
      </c>
      <c r="H3428" t="str">
        <f>IFERROR(VLOOKUP(F3428,'LEAID Match'!$A$2:$B$142,2,FALSE),"")</f>
        <v/>
      </c>
    </row>
    <row r="3429" spans="1:8" x14ac:dyDescent="0.2">
      <c r="A3429" t="str">
        <f t="shared" si="53"/>
        <v/>
      </c>
      <c r="B3429" s="1">
        <v>2019</v>
      </c>
      <c r="C3429" s="1" t="s">
        <v>2505</v>
      </c>
      <c r="D3429" s="1" t="s">
        <v>2506</v>
      </c>
      <c r="E3429" s="1" t="s">
        <v>2019</v>
      </c>
      <c r="F3429" s="1" t="s">
        <v>341</v>
      </c>
      <c r="G3429" s="6">
        <v>404516</v>
      </c>
      <c r="H3429" t="str">
        <f>IFERROR(VLOOKUP(F3429,'LEAID Match'!$A$2:$B$142,2,FALSE),"")</f>
        <v/>
      </c>
    </row>
    <row r="3430" spans="1:8" x14ac:dyDescent="0.2">
      <c r="A3430" t="str">
        <f t="shared" si="53"/>
        <v/>
      </c>
      <c r="B3430" s="1">
        <v>2020</v>
      </c>
      <c r="C3430" s="1" t="s">
        <v>2505</v>
      </c>
      <c r="D3430" s="1" t="s">
        <v>2506</v>
      </c>
      <c r="E3430" s="1" t="s">
        <v>2019</v>
      </c>
      <c r="F3430" s="1" t="s">
        <v>341</v>
      </c>
      <c r="G3430" s="6">
        <v>493709</v>
      </c>
      <c r="H3430" t="str">
        <f>IFERROR(VLOOKUP(F3430,'LEAID Match'!$A$2:$B$142,2,FALSE),"")</f>
        <v/>
      </c>
    </row>
    <row r="3431" spans="1:8" x14ac:dyDescent="0.2">
      <c r="A3431" t="str">
        <f t="shared" si="53"/>
        <v/>
      </c>
      <c r="B3431" s="1">
        <v>2021</v>
      </c>
      <c r="C3431" s="1" t="s">
        <v>2505</v>
      </c>
      <c r="D3431" s="1" t="s">
        <v>2506</v>
      </c>
      <c r="E3431" s="1" t="s">
        <v>2019</v>
      </c>
      <c r="F3431" s="1" t="s">
        <v>341</v>
      </c>
      <c r="G3431" s="6">
        <v>498337</v>
      </c>
      <c r="H3431" t="str">
        <f>IFERROR(VLOOKUP(F3431,'LEAID Match'!$A$2:$B$142,2,FALSE),"")</f>
        <v/>
      </c>
    </row>
    <row r="3432" spans="1:8" x14ac:dyDescent="0.2">
      <c r="A3432" t="str">
        <f t="shared" si="53"/>
        <v/>
      </c>
      <c r="B3432" s="1">
        <v>2022</v>
      </c>
      <c r="C3432" s="1" t="s">
        <v>2505</v>
      </c>
      <c r="D3432" s="1" t="s">
        <v>2506</v>
      </c>
      <c r="E3432" s="1" t="s">
        <v>2019</v>
      </c>
      <c r="F3432" s="1" t="s">
        <v>341</v>
      </c>
      <c r="G3432" s="6">
        <v>516389</v>
      </c>
      <c r="H3432" t="str">
        <f>IFERROR(VLOOKUP(F3432,'LEAID Match'!$A$2:$B$142,2,FALSE),"")</f>
        <v/>
      </c>
    </row>
    <row r="3433" spans="1:8" x14ac:dyDescent="0.2">
      <c r="A3433" t="str">
        <f t="shared" si="53"/>
        <v/>
      </c>
      <c r="B3433" s="1">
        <v>2023</v>
      </c>
      <c r="C3433" s="1" t="s">
        <v>2505</v>
      </c>
      <c r="D3433" s="1" t="s">
        <v>2506</v>
      </c>
      <c r="E3433" s="1" t="s">
        <v>2019</v>
      </c>
      <c r="F3433" s="1" t="s">
        <v>341</v>
      </c>
      <c r="G3433" s="6">
        <v>553088</v>
      </c>
      <c r="H3433" t="str">
        <f>IFERROR(VLOOKUP(F3433,'LEAID Match'!$A$2:$B$142,2,FALSE),"")</f>
        <v/>
      </c>
    </row>
    <row r="3434" spans="1:8" x14ac:dyDescent="0.2">
      <c r="A3434" t="str">
        <f t="shared" si="53"/>
        <v/>
      </c>
      <c r="B3434" s="1">
        <v>2024</v>
      </c>
      <c r="C3434" s="1" t="s">
        <v>2505</v>
      </c>
      <c r="D3434" s="1" t="s">
        <v>2506</v>
      </c>
      <c r="E3434" s="1" t="s">
        <v>2019</v>
      </c>
      <c r="F3434" s="1" t="s">
        <v>341</v>
      </c>
      <c r="G3434" s="6">
        <v>577091</v>
      </c>
      <c r="H3434" t="str">
        <f>IFERROR(VLOOKUP(F3434,'LEAID Match'!$A$2:$B$142,2,FALSE),"")</f>
        <v/>
      </c>
    </row>
    <row r="3435" spans="1:8" x14ac:dyDescent="0.2">
      <c r="A3435">
        <f t="shared" si="53"/>
        <v>2802220</v>
      </c>
      <c r="B3435" s="1">
        <v>2015</v>
      </c>
      <c r="C3435" s="1" t="s">
        <v>2505</v>
      </c>
      <c r="D3435" s="1" t="s">
        <v>2506</v>
      </c>
      <c r="E3435" s="1" t="s">
        <v>2019</v>
      </c>
      <c r="F3435" s="1" t="s">
        <v>342</v>
      </c>
      <c r="G3435" s="6">
        <v>1135082</v>
      </c>
      <c r="H3435">
        <f>IFERROR(VLOOKUP(F3435,'LEAID Match'!$A$2:$B$142,2,FALSE),"")</f>
        <v>2802220</v>
      </c>
    </row>
    <row r="3436" spans="1:8" x14ac:dyDescent="0.2">
      <c r="A3436">
        <f t="shared" si="53"/>
        <v>2802220</v>
      </c>
      <c r="B3436">
        <v>2016</v>
      </c>
      <c r="C3436" s="1" t="s">
        <v>2505</v>
      </c>
      <c r="D3436" s="1" t="s">
        <v>2506</v>
      </c>
      <c r="E3436" s="1" t="s">
        <v>2019</v>
      </c>
      <c r="F3436" s="1" t="s">
        <v>342</v>
      </c>
      <c r="G3436" s="12">
        <v>1159678</v>
      </c>
      <c r="H3436">
        <f>IFERROR(VLOOKUP(F3436,'LEAID Match'!$A$2:$B$142,2,FALSE),"")</f>
        <v>2802220</v>
      </c>
    </row>
    <row r="3437" spans="1:8" x14ac:dyDescent="0.2">
      <c r="A3437">
        <f t="shared" si="53"/>
        <v>2802220</v>
      </c>
      <c r="B3437" s="1">
        <v>2017</v>
      </c>
      <c r="C3437" s="1" t="s">
        <v>2505</v>
      </c>
      <c r="D3437" s="1" t="s">
        <v>2506</v>
      </c>
      <c r="E3437" s="1" t="s">
        <v>2019</v>
      </c>
      <c r="F3437" s="1" t="s">
        <v>342</v>
      </c>
      <c r="G3437" s="47">
        <v>1121453</v>
      </c>
      <c r="H3437">
        <f>IFERROR(VLOOKUP(F3437,'LEAID Match'!$A$2:$B$142,2,FALSE),"")</f>
        <v>2802220</v>
      </c>
    </row>
    <row r="3438" spans="1:8" x14ac:dyDescent="0.2">
      <c r="A3438">
        <f t="shared" si="53"/>
        <v>2802220</v>
      </c>
      <c r="B3438" s="1">
        <v>2018</v>
      </c>
      <c r="C3438" s="1" t="s">
        <v>2505</v>
      </c>
      <c r="D3438" s="1" t="s">
        <v>2506</v>
      </c>
      <c r="E3438" s="1" t="s">
        <v>2019</v>
      </c>
      <c r="F3438" s="1" t="s">
        <v>342</v>
      </c>
      <c r="G3438" s="6">
        <v>1035857</v>
      </c>
      <c r="H3438">
        <f>IFERROR(VLOOKUP(F3438,'LEAID Match'!$A$2:$B$142,2,FALSE),"")</f>
        <v>2802220</v>
      </c>
    </row>
    <row r="3439" spans="1:8" x14ac:dyDescent="0.2">
      <c r="A3439">
        <f t="shared" si="53"/>
        <v>2802220</v>
      </c>
      <c r="B3439" s="1">
        <v>2019</v>
      </c>
      <c r="C3439" s="1" t="s">
        <v>2505</v>
      </c>
      <c r="D3439" s="1" t="s">
        <v>2506</v>
      </c>
      <c r="E3439" s="1" t="s">
        <v>2019</v>
      </c>
      <c r="F3439" s="1" t="s">
        <v>342</v>
      </c>
      <c r="G3439" s="6">
        <v>1090314</v>
      </c>
      <c r="H3439">
        <f>IFERROR(VLOOKUP(F3439,'LEAID Match'!$A$2:$B$142,2,FALSE),"")</f>
        <v>2802220</v>
      </c>
    </row>
    <row r="3440" spans="1:8" x14ac:dyDescent="0.2">
      <c r="A3440">
        <f t="shared" si="53"/>
        <v>2802220</v>
      </c>
      <c r="B3440" s="1">
        <v>2020</v>
      </c>
      <c r="C3440" s="1" t="s">
        <v>2505</v>
      </c>
      <c r="D3440" s="1" t="s">
        <v>2506</v>
      </c>
      <c r="E3440" s="1" t="s">
        <v>2019</v>
      </c>
      <c r="F3440" s="1" t="s">
        <v>342</v>
      </c>
      <c r="G3440" s="6">
        <v>1124362</v>
      </c>
      <c r="H3440">
        <f>IFERROR(VLOOKUP(F3440,'LEAID Match'!$A$2:$B$142,2,FALSE),"")</f>
        <v>2802220</v>
      </c>
    </row>
    <row r="3441" spans="1:8" x14ac:dyDescent="0.2">
      <c r="A3441">
        <f t="shared" si="53"/>
        <v>2802220</v>
      </c>
      <c r="B3441" s="1">
        <v>2021</v>
      </c>
      <c r="C3441" s="1" t="s">
        <v>2505</v>
      </c>
      <c r="D3441" s="1" t="s">
        <v>2506</v>
      </c>
      <c r="E3441" s="1" t="s">
        <v>2019</v>
      </c>
      <c r="F3441" s="1" t="s">
        <v>342</v>
      </c>
      <c r="G3441" s="6">
        <v>1240304</v>
      </c>
      <c r="H3441">
        <f>IFERROR(VLOOKUP(F3441,'LEAID Match'!$A$2:$B$142,2,FALSE),"")</f>
        <v>2802220</v>
      </c>
    </row>
    <row r="3442" spans="1:8" x14ac:dyDescent="0.2">
      <c r="A3442">
        <f t="shared" si="53"/>
        <v>2802220</v>
      </c>
      <c r="B3442" s="1">
        <v>2022</v>
      </c>
      <c r="C3442" s="1" t="s">
        <v>2505</v>
      </c>
      <c r="D3442" s="1" t="s">
        <v>2506</v>
      </c>
      <c r="E3442" s="1" t="s">
        <v>2019</v>
      </c>
      <c r="F3442" s="1" t="s">
        <v>342</v>
      </c>
      <c r="G3442" s="6">
        <v>1460338</v>
      </c>
      <c r="H3442">
        <f>IFERROR(VLOOKUP(F3442,'LEAID Match'!$A$2:$B$142,2,FALSE),"")</f>
        <v>2802220</v>
      </c>
    </row>
    <row r="3443" spans="1:8" x14ac:dyDescent="0.2">
      <c r="A3443">
        <f t="shared" si="53"/>
        <v>2802220</v>
      </c>
      <c r="B3443" s="1">
        <v>2023</v>
      </c>
      <c r="C3443" s="1" t="s">
        <v>2505</v>
      </c>
      <c r="D3443" s="1" t="s">
        <v>2506</v>
      </c>
      <c r="E3443" s="1" t="s">
        <v>2019</v>
      </c>
      <c r="F3443" s="1" t="s">
        <v>342</v>
      </c>
      <c r="G3443" s="6">
        <v>1531266</v>
      </c>
      <c r="H3443">
        <f>IFERROR(VLOOKUP(F3443,'LEAID Match'!$A$2:$B$142,2,FALSE),"")</f>
        <v>2802220</v>
      </c>
    </row>
    <row r="3444" spans="1:8" x14ac:dyDescent="0.2">
      <c r="A3444">
        <f t="shared" si="53"/>
        <v>2802220</v>
      </c>
      <c r="B3444" s="1">
        <v>2024</v>
      </c>
      <c r="C3444" s="1" t="s">
        <v>2505</v>
      </c>
      <c r="D3444" s="1" t="s">
        <v>2506</v>
      </c>
      <c r="E3444" s="1" t="s">
        <v>2019</v>
      </c>
      <c r="F3444" s="1" t="s">
        <v>342</v>
      </c>
      <c r="G3444" s="6">
        <v>1574333</v>
      </c>
      <c r="H3444">
        <f>IFERROR(VLOOKUP(F3444,'LEAID Match'!$A$2:$B$142,2,FALSE),"")</f>
        <v>2802220</v>
      </c>
    </row>
    <row r="3445" spans="1:8" x14ac:dyDescent="0.2">
      <c r="A3445" t="str">
        <f t="shared" si="53"/>
        <v/>
      </c>
      <c r="B3445" s="1">
        <v>2015</v>
      </c>
      <c r="C3445" s="1" t="s">
        <v>2505</v>
      </c>
      <c r="D3445" s="1" t="s">
        <v>2506</v>
      </c>
      <c r="E3445" s="1" t="s">
        <v>2019</v>
      </c>
      <c r="F3445" s="1" t="s">
        <v>343</v>
      </c>
      <c r="G3445" s="6">
        <v>512016</v>
      </c>
      <c r="H3445" t="str">
        <f>IFERROR(VLOOKUP(F3445,'LEAID Match'!$A$2:$B$142,2,FALSE),"")</f>
        <v/>
      </c>
    </row>
    <row r="3446" spans="1:8" x14ac:dyDescent="0.2">
      <c r="A3446" t="str">
        <f t="shared" si="53"/>
        <v/>
      </c>
      <c r="B3446">
        <v>2016</v>
      </c>
      <c r="C3446" s="1" t="s">
        <v>2505</v>
      </c>
      <c r="D3446" s="1" t="s">
        <v>2506</v>
      </c>
      <c r="E3446" s="1" t="s">
        <v>2019</v>
      </c>
      <c r="F3446" s="1" t="s">
        <v>343</v>
      </c>
      <c r="G3446" s="12">
        <v>508912</v>
      </c>
      <c r="H3446" t="str">
        <f>IFERROR(VLOOKUP(F3446,'LEAID Match'!$A$2:$B$142,2,FALSE),"")</f>
        <v/>
      </c>
    </row>
    <row r="3447" spans="1:8" x14ac:dyDescent="0.2">
      <c r="A3447" t="str">
        <f t="shared" si="53"/>
        <v/>
      </c>
      <c r="B3447" s="1">
        <v>2017</v>
      </c>
      <c r="C3447" s="1" t="s">
        <v>2505</v>
      </c>
      <c r="D3447" s="1" t="s">
        <v>2506</v>
      </c>
      <c r="E3447" s="1" t="s">
        <v>2019</v>
      </c>
      <c r="F3447" s="1" t="s">
        <v>343</v>
      </c>
      <c r="G3447" s="47">
        <v>516060</v>
      </c>
      <c r="H3447" t="str">
        <f>IFERROR(VLOOKUP(F3447,'LEAID Match'!$A$2:$B$142,2,FALSE),"")</f>
        <v/>
      </c>
    </row>
    <row r="3448" spans="1:8" x14ac:dyDescent="0.2">
      <c r="A3448" t="str">
        <f t="shared" si="53"/>
        <v/>
      </c>
      <c r="B3448" s="1">
        <v>2018</v>
      </c>
      <c r="C3448" s="1" t="s">
        <v>2505</v>
      </c>
      <c r="D3448" s="1" t="s">
        <v>2506</v>
      </c>
      <c r="E3448" s="1" t="s">
        <v>2019</v>
      </c>
      <c r="F3448" s="1" t="s">
        <v>343</v>
      </c>
      <c r="G3448" s="6">
        <v>507032</v>
      </c>
      <c r="H3448" t="str">
        <f>IFERROR(VLOOKUP(F3448,'LEAID Match'!$A$2:$B$142,2,FALSE),"")</f>
        <v/>
      </c>
    </row>
    <row r="3449" spans="1:8" x14ac:dyDescent="0.2">
      <c r="A3449" t="str">
        <f t="shared" si="53"/>
        <v/>
      </c>
      <c r="B3449" s="1">
        <v>2019</v>
      </c>
      <c r="C3449" s="1" t="s">
        <v>2505</v>
      </c>
      <c r="D3449" s="1" t="s">
        <v>2506</v>
      </c>
      <c r="E3449" s="1" t="s">
        <v>2019</v>
      </c>
      <c r="F3449" s="1" t="s">
        <v>343</v>
      </c>
      <c r="G3449" s="6">
        <v>517702</v>
      </c>
      <c r="H3449" t="str">
        <f>IFERROR(VLOOKUP(F3449,'LEAID Match'!$A$2:$B$142,2,FALSE),"")</f>
        <v/>
      </c>
    </row>
    <row r="3450" spans="1:8" x14ac:dyDescent="0.2">
      <c r="A3450" t="str">
        <f t="shared" si="53"/>
        <v/>
      </c>
      <c r="B3450" s="1">
        <v>2020</v>
      </c>
      <c r="C3450" s="1" t="s">
        <v>2505</v>
      </c>
      <c r="D3450" s="1" t="s">
        <v>2506</v>
      </c>
      <c r="E3450" s="1" t="s">
        <v>2019</v>
      </c>
      <c r="F3450" s="1" t="s">
        <v>343</v>
      </c>
      <c r="G3450" s="6">
        <v>586444</v>
      </c>
      <c r="H3450" t="str">
        <f>IFERROR(VLOOKUP(F3450,'LEAID Match'!$A$2:$B$142,2,FALSE),"")</f>
        <v/>
      </c>
    </row>
    <row r="3451" spans="1:8" x14ac:dyDescent="0.2">
      <c r="A3451" t="str">
        <f t="shared" si="53"/>
        <v/>
      </c>
      <c r="B3451" s="1">
        <v>2021</v>
      </c>
      <c r="C3451" s="1" t="s">
        <v>2505</v>
      </c>
      <c r="D3451" s="1" t="s">
        <v>2506</v>
      </c>
      <c r="E3451" s="1" t="s">
        <v>2019</v>
      </c>
      <c r="F3451" s="1" t="s">
        <v>343</v>
      </c>
      <c r="G3451" s="6">
        <v>587005</v>
      </c>
      <c r="H3451" t="str">
        <f>IFERROR(VLOOKUP(F3451,'LEAID Match'!$A$2:$B$142,2,FALSE),"")</f>
        <v/>
      </c>
    </row>
    <row r="3452" spans="1:8" x14ac:dyDescent="0.2">
      <c r="A3452" t="str">
        <f t="shared" si="53"/>
        <v/>
      </c>
      <c r="B3452" s="1">
        <v>2022</v>
      </c>
      <c r="C3452" s="1" t="s">
        <v>2505</v>
      </c>
      <c r="D3452" s="1" t="s">
        <v>2506</v>
      </c>
      <c r="E3452" s="1" t="s">
        <v>2019</v>
      </c>
      <c r="F3452" s="1" t="s">
        <v>343</v>
      </c>
      <c r="G3452" s="6">
        <v>565208</v>
      </c>
      <c r="H3452" t="str">
        <f>IFERROR(VLOOKUP(F3452,'LEAID Match'!$A$2:$B$142,2,FALSE),"")</f>
        <v/>
      </c>
    </row>
    <row r="3453" spans="1:8" x14ac:dyDescent="0.2">
      <c r="A3453" t="str">
        <f t="shared" si="53"/>
        <v/>
      </c>
      <c r="B3453" s="1">
        <v>2023</v>
      </c>
      <c r="C3453" s="1" t="s">
        <v>2505</v>
      </c>
      <c r="D3453" s="1" t="s">
        <v>2506</v>
      </c>
      <c r="E3453" s="1" t="s">
        <v>2019</v>
      </c>
      <c r="F3453" s="1" t="s">
        <v>343</v>
      </c>
      <c r="G3453" s="6">
        <v>592973</v>
      </c>
      <c r="H3453" t="str">
        <f>IFERROR(VLOOKUP(F3453,'LEAID Match'!$A$2:$B$142,2,FALSE),"")</f>
        <v/>
      </c>
    </row>
    <row r="3454" spans="1:8" x14ac:dyDescent="0.2">
      <c r="A3454" t="str">
        <f t="shared" si="53"/>
        <v/>
      </c>
      <c r="B3454" s="1">
        <v>2024</v>
      </c>
      <c r="C3454" s="1" t="s">
        <v>2505</v>
      </c>
      <c r="D3454" s="1" t="s">
        <v>2506</v>
      </c>
      <c r="E3454" s="1" t="s">
        <v>2019</v>
      </c>
      <c r="F3454" s="1" t="s">
        <v>343</v>
      </c>
      <c r="G3454" s="6">
        <v>619569</v>
      </c>
      <c r="H3454" t="str">
        <f>IFERROR(VLOOKUP(F3454,'LEAID Match'!$A$2:$B$142,2,FALSE),"")</f>
        <v/>
      </c>
    </row>
    <row r="3455" spans="1:8" x14ac:dyDescent="0.2">
      <c r="A3455" t="str">
        <f t="shared" si="53"/>
        <v/>
      </c>
      <c r="B3455" s="1">
        <v>2015</v>
      </c>
      <c r="C3455" s="1" t="s">
        <v>2505</v>
      </c>
      <c r="D3455" s="1" t="s">
        <v>2506</v>
      </c>
      <c r="E3455" s="1" t="s">
        <v>2019</v>
      </c>
      <c r="F3455" s="1" t="s">
        <v>344</v>
      </c>
      <c r="G3455" s="6">
        <v>619863</v>
      </c>
      <c r="H3455" t="str">
        <f>IFERROR(VLOOKUP(F3455,'LEAID Match'!$A$2:$B$142,2,FALSE),"")</f>
        <v/>
      </c>
    </row>
    <row r="3456" spans="1:8" x14ac:dyDescent="0.2">
      <c r="A3456" t="str">
        <f t="shared" si="53"/>
        <v/>
      </c>
      <c r="B3456">
        <v>2016</v>
      </c>
      <c r="C3456" s="1" t="s">
        <v>2505</v>
      </c>
      <c r="D3456" s="1" t="s">
        <v>2506</v>
      </c>
      <c r="E3456" s="1" t="s">
        <v>2019</v>
      </c>
      <c r="F3456" s="1" t="s">
        <v>344</v>
      </c>
      <c r="G3456" s="12">
        <v>621967</v>
      </c>
      <c r="H3456" t="str">
        <f>IFERROR(VLOOKUP(F3456,'LEAID Match'!$A$2:$B$142,2,FALSE),"")</f>
        <v/>
      </c>
    </row>
    <row r="3457" spans="1:8" x14ac:dyDescent="0.2">
      <c r="A3457" t="str">
        <f t="shared" si="53"/>
        <v/>
      </c>
      <c r="B3457" s="1">
        <v>2017</v>
      </c>
      <c r="C3457" s="1" t="s">
        <v>2505</v>
      </c>
      <c r="D3457" s="1" t="s">
        <v>2506</v>
      </c>
      <c r="E3457" s="1" t="s">
        <v>2019</v>
      </c>
      <c r="F3457" s="1" t="s">
        <v>344</v>
      </c>
      <c r="G3457" s="47">
        <v>530036</v>
      </c>
      <c r="H3457" t="str">
        <f>IFERROR(VLOOKUP(F3457,'LEAID Match'!$A$2:$B$142,2,FALSE),"")</f>
        <v/>
      </c>
    </row>
    <row r="3458" spans="1:8" x14ac:dyDescent="0.2">
      <c r="A3458" t="str">
        <f t="shared" si="53"/>
        <v/>
      </c>
      <c r="B3458" s="1">
        <v>2018</v>
      </c>
      <c r="C3458" s="1" t="s">
        <v>2505</v>
      </c>
      <c r="D3458" s="1" t="s">
        <v>2506</v>
      </c>
      <c r="E3458" s="1" t="s">
        <v>2019</v>
      </c>
      <c r="F3458" s="1" t="s">
        <v>344</v>
      </c>
      <c r="G3458" s="6">
        <v>437013</v>
      </c>
      <c r="H3458" t="str">
        <f>IFERROR(VLOOKUP(F3458,'LEAID Match'!$A$2:$B$142,2,FALSE),"")</f>
        <v/>
      </c>
    </row>
    <row r="3459" spans="1:8" x14ac:dyDescent="0.2">
      <c r="A3459" t="str">
        <f t="shared" ref="A3459:A3522" si="54">H3459</f>
        <v/>
      </c>
      <c r="B3459" s="1">
        <v>2019</v>
      </c>
      <c r="C3459" s="1" t="s">
        <v>2505</v>
      </c>
      <c r="D3459" s="1" t="s">
        <v>2506</v>
      </c>
      <c r="E3459" s="1" t="s">
        <v>2019</v>
      </c>
      <c r="F3459" s="1" t="s">
        <v>344</v>
      </c>
      <c r="G3459" s="6">
        <v>381397</v>
      </c>
      <c r="H3459" t="str">
        <f>IFERROR(VLOOKUP(F3459,'LEAID Match'!$A$2:$B$142,2,FALSE),"")</f>
        <v/>
      </c>
    </row>
    <row r="3460" spans="1:8" x14ac:dyDescent="0.2">
      <c r="A3460" t="str">
        <f t="shared" si="54"/>
        <v/>
      </c>
      <c r="B3460" s="1">
        <v>2020</v>
      </c>
      <c r="C3460" s="1" t="s">
        <v>2505</v>
      </c>
      <c r="D3460" s="1" t="s">
        <v>2506</v>
      </c>
      <c r="E3460" s="1" t="s">
        <v>2019</v>
      </c>
      <c r="F3460" s="1" t="s">
        <v>344</v>
      </c>
      <c r="G3460" s="6">
        <v>407281</v>
      </c>
      <c r="H3460" t="str">
        <f>IFERROR(VLOOKUP(F3460,'LEAID Match'!$A$2:$B$142,2,FALSE),"")</f>
        <v/>
      </c>
    </row>
    <row r="3461" spans="1:8" x14ac:dyDescent="0.2">
      <c r="A3461" t="str">
        <f t="shared" si="54"/>
        <v/>
      </c>
      <c r="B3461" s="1">
        <v>2021</v>
      </c>
      <c r="C3461" s="1" t="s">
        <v>2505</v>
      </c>
      <c r="D3461" s="1" t="s">
        <v>2506</v>
      </c>
      <c r="E3461" s="1" t="s">
        <v>2019</v>
      </c>
      <c r="F3461" s="1" t="s">
        <v>344</v>
      </c>
      <c r="G3461" s="6">
        <v>424699</v>
      </c>
      <c r="H3461" t="str">
        <f>IFERROR(VLOOKUP(F3461,'LEAID Match'!$A$2:$B$142,2,FALSE),"")</f>
        <v/>
      </c>
    </row>
    <row r="3462" spans="1:8" x14ac:dyDescent="0.2">
      <c r="A3462" t="str">
        <f t="shared" si="54"/>
        <v/>
      </c>
      <c r="B3462" s="1">
        <v>2022</v>
      </c>
      <c r="C3462" s="1" t="s">
        <v>2505</v>
      </c>
      <c r="D3462" s="1" t="s">
        <v>2506</v>
      </c>
      <c r="E3462" s="1" t="s">
        <v>2019</v>
      </c>
      <c r="F3462" s="1" t="s">
        <v>344</v>
      </c>
      <c r="G3462" s="6">
        <v>531887</v>
      </c>
      <c r="H3462" t="str">
        <f>IFERROR(VLOOKUP(F3462,'LEAID Match'!$A$2:$B$142,2,FALSE),"")</f>
        <v/>
      </c>
    </row>
    <row r="3463" spans="1:8" x14ac:dyDescent="0.2">
      <c r="A3463" t="str">
        <f t="shared" si="54"/>
        <v/>
      </c>
      <c r="B3463" s="1">
        <v>2023</v>
      </c>
      <c r="C3463" s="1" t="s">
        <v>2505</v>
      </c>
      <c r="D3463" s="1" t="s">
        <v>2506</v>
      </c>
      <c r="E3463" s="1" t="s">
        <v>2019</v>
      </c>
      <c r="F3463" s="1" t="s">
        <v>344</v>
      </c>
      <c r="G3463" s="6">
        <v>616753</v>
      </c>
      <c r="H3463" t="str">
        <f>IFERROR(VLOOKUP(F3463,'LEAID Match'!$A$2:$B$142,2,FALSE),"")</f>
        <v/>
      </c>
    </row>
    <row r="3464" spans="1:8" x14ac:dyDescent="0.2">
      <c r="A3464" t="str">
        <f t="shared" si="54"/>
        <v/>
      </c>
      <c r="B3464" s="1">
        <v>2024</v>
      </c>
      <c r="C3464" s="1" t="s">
        <v>2505</v>
      </c>
      <c r="D3464" s="1" t="s">
        <v>2506</v>
      </c>
      <c r="E3464" s="1" t="s">
        <v>2019</v>
      </c>
      <c r="F3464" s="1" t="s">
        <v>344</v>
      </c>
      <c r="G3464" s="6">
        <v>481669</v>
      </c>
      <c r="H3464" t="str">
        <f>IFERROR(VLOOKUP(F3464,'LEAID Match'!$A$2:$B$142,2,FALSE),"")</f>
        <v/>
      </c>
    </row>
    <row r="3465" spans="1:8" x14ac:dyDescent="0.2">
      <c r="A3465">
        <f t="shared" si="54"/>
        <v>2802250</v>
      </c>
      <c r="B3465" s="1">
        <v>2015</v>
      </c>
      <c r="C3465" s="1" t="s">
        <v>2505</v>
      </c>
      <c r="D3465" s="1" t="s">
        <v>2506</v>
      </c>
      <c r="E3465" s="1" t="s">
        <v>2019</v>
      </c>
      <c r="F3465" s="1" t="s">
        <v>345</v>
      </c>
      <c r="G3465" s="6">
        <v>1336090</v>
      </c>
      <c r="H3465">
        <f>IFERROR(VLOOKUP(F3465,'LEAID Match'!$A$2:$B$142,2,FALSE),"")</f>
        <v>2802250</v>
      </c>
    </row>
    <row r="3466" spans="1:8" x14ac:dyDescent="0.2">
      <c r="A3466">
        <f t="shared" si="54"/>
        <v>2802250</v>
      </c>
      <c r="B3466">
        <v>2016</v>
      </c>
      <c r="C3466" s="1" t="s">
        <v>2505</v>
      </c>
      <c r="D3466" s="1" t="s">
        <v>2506</v>
      </c>
      <c r="E3466" s="1" t="s">
        <v>2019</v>
      </c>
      <c r="F3466" s="1" t="s">
        <v>345</v>
      </c>
      <c r="G3466" s="12">
        <v>1357600</v>
      </c>
      <c r="H3466">
        <f>IFERROR(VLOOKUP(F3466,'LEAID Match'!$A$2:$B$142,2,FALSE),"")</f>
        <v>2802250</v>
      </c>
    </row>
    <row r="3467" spans="1:8" x14ac:dyDescent="0.2">
      <c r="A3467">
        <f t="shared" si="54"/>
        <v>2802250</v>
      </c>
      <c r="B3467" s="1">
        <v>2017</v>
      </c>
      <c r="C3467" s="1" t="s">
        <v>2505</v>
      </c>
      <c r="D3467" s="1" t="s">
        <v>2506</v>
      </c>
      <c r="E3467" s="1" t="s">
        <v>2019</v>
      </c>
      <c r="F3467" s="1" t="s">
        <v>345</v>
      </c>
      <c r="G3467" s="47">
        <v>1273554</v>
      </c>
      <c r="H3467">
        <f>IFERROR(VLOOKUP(F3467,'LEAID Match'!$A$2:$B$142,2,FALSE),"")</f>
        <v>2802250</v>
      </c>
    </row>
    <row r="3468" spans="1:8" x14ac:dyDescent="0.2">
      <c r="A3468">
        <f t="shared" si="54"/>
        <v>2802250</v>
      </c>
      <c r="B3468" s="1">
        <v>2018</v>
      </c>
      <c r="C3468" s="1" t="s">
        <v>2505</v>
      </c>
      <c r="D3468" s="1" t="s">
        <v>2506</v>
      </c>
      <c r="E3468" s="1" t="s">
        <v>2019</v>
      </c>
      <c r="F3468" s="1" t="s">
        <v>345</v>
      </c>
      <c r="G3468" s="6">
        <v>1221637</v>
      </c>
      <c r="H3468">
        <f>IFERROR(VLOOKUP(F3468,'LEAID Match'!$A$2:$B$142,2,FALSE),"")</f>
        <v>2802250</v>
      </c>
    </row>
    <row r="3469" spans="1:8" x14ac:dyDescent="0.2">
      <c r="A3469">
        <f t="shared" si="54"/>
        <v>2802250</v>
      </c>
      <c r="B3469" s="1">
        <v>2019</v>
      </c>
      <c r="C3469" s="1" t="s">
        <v>2505</v>
      </c>
      <c r="D3469" s="1" t="s">
        <v>2506</v>
      </c>
      <c r="E3469" s="1" t="s">
        <v>2019</v>
      </c>
      <c r="F3469" s="1" t="s">
        <v>345</v>
      </c>
      <c r="G3469" s="6">
        <v>1243153</v>
      </c>
      <c r="H3469">
        <f>IFERROR(VLOOKUP(F3469,'LEAID Match'!$A$2:$B$142,2,FALSE),"")</f>
        <v>2802250</v>
      </c>
    </row>
    <row r="3470" spans="1:8" x14ac:dyDescent="0.2">
      <c r="A3470">
        <f t="shared" si="54"/>
        <v>2802250</v>
      </c>
      <c r="B3470" s="1">
        <v>2020</v>
      </c>
      <c r="C3470" s="1" t="s">
        <v>2505</v>
      </c>
      <c r="D3470" s="1" t="s">
        <v>2506</v>
      </c>
      <c r="E3470" s="1" t="s">
        <v>2019</v>
      </c>
      <c r="F3470" s="1" t="s">
        <v>345</v>
      </c>
      <c r="G3470" s="6">
        <v>1469280</v>
      </c>
      <c r="H3470">
        <f>IFERROR(VLOOKUP(F3470,'LEAID Match'!$A$2:$B$142,2,FALSE),"")</f>
        <v>2802250</v>
      </c>
    </row>
    <row r="3471" spans="1:8" x14ac:dyDescent="0.2">
      <c r="A3471">
        <f t="shared" si="54"/>
        <v>2802250</v>
      </c>
      <c r="B3471" s="1">
        <v>2021</v>
      </c>
      <c r="C3471" s="1" t="s">
        <v>2505</v>
      </c>
      <c r="D3471" s="1" t="s">
        <v>2506</v>
      </c>
      <c r="E3471" s="1" t="s">
        <v>2019</v>
      </c>
      <c r="F3471" s="1" t="s">
        <v>345</v>
      </c>
      <c r="G3471" s="6">
        <v>1494275</v>
      </c>
      <c r="H3471">
        <f>IFERROR(VLOOKUP(F3471,'LEAID Match'!$A$2:$B$142,2,FALSE),"")</f>
        <v>2802250</v>
      </c>
    </row>
    <row r="3472" spans="1:8" x14ac:dyDescent="0.2">
      <c r="A3472">
        <f t="shared" si="54"/>
        <v>2802250</v>
      </c>
      <c r="B3472" s="1">
        <v>2022</v>
      </c>
      <c r="C3472" s="1" t="s">
        <v>2505</v>
      </c>
      <c r="D3472" s="1" t="s">
        <v>2506</v>
      </c>
      <c r="E3472" s="1" t="s">
        <v>2019</v>
      </c>
      <c r="F3472" s="1" t="s">
        <v>345</v>
      </c>
      <c r="G3472" s="6">
        <v>1675339</v>
      </c>
      <c r="H3472">
        <f>IFERROR(VLOOKUP(F3472,'LEAID Match'!$A$2:$B$142,2,FALSE),"")</f>
        <v>2802250</v>
      </c>
    </row>
    <row r="3473" spans="1:8" x14ac:dyDescent="0.2">
      <c r="A3473">
        <f t="shared" si="54"/>
        <v>2802250</v>
      </c>
      <c r="B3473" s="1">
        <v>2023</v>
      </c>
      <c r="C3473" s="1" t="s">
        <v>2505</v>
      </c>
      <c r="D3473" s="1" t="s">
        <v>2506</v>
      </c>
      <c r="E3473" s="1" t="s">
        <v>2019</v>
      </c>
      <c r="F3473" s="1" t="s">
        <v>345</v>
      </c>
      <c r="G3473" s="6">
        <v>1753881</v>
      </c>
      <c r="H3473">
        <f>IFERROR(VLOOKUP(F3473,'LEAID Match'!$A$2:$B$142,2,FALSE),"")</f>
        <v>2802250</v>
      </c>
    </row>
    <row r="3474" spans="1:8" x14ac:dyDescent="0.2">
      <c r="A3474">
        <f t="shared" si="54"/>
        <v>2802250</v>
      </c>
      <c r="B3474" s="1">
        <v>2024</v>
      </c>
      <c r="C3474" s="1" t="s">
        <v>2505</v>
      </c>
      <c r="D3474" s="1" t="s">
        <v>2506</v>
      </c>
      <c r="E3474" s="1" t="s">
        <v>2019</v>
      </c>
      <c r="F3474" s="1" t="s">
        <v>345</v>
      </c>
      <c r="G3474" s="6">
        <v>1807266</v>
      </c>
      <c r="H3474">
        <f>IFERROR(VLOOKUP(F3474,'LEAID Match'!$A$2:$B$142,2,FALSE),"")</f>
        <v>2802250</v>
      </c>
    </row>
    <row r="3475" spans="1:8" x14ac:dyDescent="0.2">
      <c r="A3475" t="str">
        <f t="shared" si="54"/>
        <v/>
      </c>
      <c r="B3475" s="1">
        <v>2015</v>
      </c>
      <c r="C3475" s="1" t="s">
        <v>2505</v>
      </c>
      <c r="D3475" s="1" t="s">
        <v>2506</v>
      </c>
      <c r="E3475" s="1" t="s">
        <v>2019</v>
      </c>
      <c r="F3475" s="1" t="s">
        <v>346</v>
      </c>
      <c r="G3475" s="6">
        <v>20061</v>
      </c>
      <c r="H3475" t="str">
        <f>IFERROR(VLOOKUP(F3475,'LEAID Match'!$A$2:$B$142,2,FALSE),"")</f>
        <v/>
      </c>
    </row>
    <row r="3476" spans="1:8" x14ac:dyDescent="0.2">
      <c r="A3476" t="str">
        <f t="shared" si="54"/>
        <v/>
      </c>
      <c r="B3476">
        <v>2016</v>
      </c>
      <c r="C3476" s="1" t="s">
        <v>2505</v>
      </c>
      <c r="D3476" s="1" t="s">
        <v>2506</v>
      </c>
      <c r="E3476" s="1" t="s">
        <v>2019</v>
      </c>
      <c r="F3476" s="1" t="s">
        <v>346</v>
      </c>
      <c r="G3476" s="12">
        <v>20534</v>
      </c>
      <c r="H3476" t="str">
        <f>IFERROR(VLOOKUP(F3476,'LEAID Match'!$A$2:$B$142,2,FALSE),"")</f>
        <v/>
      </c>
    </row>
    <row r="3477" spans="1:8" x14ac:dyDescent="0.2">
      <c r="A3477" t="str">
        <f t="shared" si="54"/>
        <v/>
      </c>
      <c r="B3477" s="1">
        <v>2017</v>
      </c>
      <c r="C3477" s="1" t="s">
        <v>2505</v>
      </c>
      <c r="D3477" s="1" t="s">
        <v>2506</v>
      </c>
      <c r="E3477" s="1" t="s">
        <v>2019</v>
      </c>
      <c r="F3477" s="1" t="s">
        <v>346</v>
      </c>
      <c r="G3477" s="47">
        <v>20289</v>
      </c>
      <c r="H3477" t="str">
        <f>IFERROR(VLOOKUP(F3477,'LEAID Match'!$A$2:$B$142,2,FALSE),"")</f>
        <v/>
      </c>
    </row>
    <row r="3478" spans="1:8" x14ac:dyDescent="0.2">
      <c r="A3478" t="str">
        <f t="shared" si="54"/>
        <v/>
      </c>
      <c r="B3478" s="1">
        <v>2018</v>
      </c>
      <c r="C3478" s="1" t="s">
        <v>2505</v>
      </c>
      <c r="D3478" s="1" t="s">
        <v>2506</v>
      </c>
      <c r="E3478" s="1" t="s">
        <v>2019</v>
      </c>
      <c r="F3478" s="1" t="s">
        <v>346</v>
      </c>
      <c r="G3478" s="6">
        <v>21716</v>
      </c>
      <c r="H3478" t="str">
        <f>IFERROR(VLOOKUP(F3478,'LEAID Match'!$A$2:$B$142,2,FALSE),"")</f>
        <v/>
      </c>
    </row>
    <row r="3479" spans="1:8" x14ac:dyDescent="0.2">
      <c r="A3479" t="str">
        <f t="shared" si="54"/>
        <v/>
      </c>
      <c r="B3479" s="1">
        <v>2019</v>
      </c>
      <c r="C3479" s="1" t="s">
        <v>2505</v>
      </c>
      <c r="D3479" s="1" t="s">
        <v>2506</v>
      </c>
      <c r="E3479" s="1" t="s">
        <v>2019</v>
      </c>
      <c r="F3479" s="1" t="s">
        <v>346</v>
      </c>
      <c r="G3479" s="6">
        <v>22191</v>
      </c>
      <c r="H3479" t="str">
        <f>IFERROR(VLOOKUP(F3479,'LEAID Match'!$A$2:$B$142,2,FALSE),"")</f>
        <v/>
      </c>
    </row>
    <row r="3480" spans="1:8" x14ac:dyDescent="0.2">
      <c r="A3480" t="str">
        <f t="shared" si="54"/>
        <v/>
      </c>
      <c r="B3480" s="1">
        <v>2020</v>
      </c>
      <c r="C3480" s="1" t="s">
        <v>2505</v>
      </c>
      <c r="D3480" s="1" t="s">
        <v>2506</v>
      </c>
      <c r="E3480" s="1" t="s">
        <v>2019</v>
      </c>
      <c r="F3480" s="1" t="s">
        <v>346</v>
      </c>
      <c r="G3480" s="6">
        <v>23055</v>
      </c>
      <c r="H3480" t="str">
        <f>IFERROR(VLOOKUP(F3480,'LEAID Match'!$A$2:$B$142,2,FALSE),"")</f>
        <v/>
      </c>
    </row>
    <row r="3481" spans="1:8" x14ac:dyDescent="0.2">
      <c r="A3481" t="str">
        <f t="shared" si="54"/>
        <v/>
      </c>
      <c r="B3481" s="1">
        <v>2021</v>
      </c>
      <c r="C3481" s="1" t="s">
        <v>2505</v>
      </c>
      <c r="D3481" s="1" t="s">
        <v>2506</v>
      </c>
      <c r="E3481" s="1" t="s">
        <v>2019</v>
      </c>
      <c r="F3481" s="1" t="s">
        <v>346</v>
      </c>
      <c r="G3481" s="6">
        <v>19765</v>
      </c>
      <c r="H3481" t="str">
        <f>IFERROR(VLOOKUP(F3481,'LEAID Match'!$A$2:$B$142,2,FALSE),"")</f>
        <v/>
      </c>
    </row>
    <row r="3482" spans="1:8" x14ac:dyDescent="0.2">
      <c r="A3482" t="str">
        <f t="shared" si="54"/>
        <v/>
      </c>
      <c r="B3482" s="1">
        <v>2022</v>
      </c>
      <c r="C3482" s="1" t="s">
        <v>2505</v>
      </c>
      <c r="D3482" s="1" t="s">
        <v>2506</v>
      </c>
      <c r="E3482" s="1" t="s">
        <v>2019</v>
      </c>
      <c r="F3482" s="1" t="s">
        <v>346</v>
      </c>
      <c r="G3482" s="6">
        <v>21671</v>
      </c>
      <c r="H3482" t="str">
        <f>IFERROR(VLOOKUP(F3482,'LEAID Match'!$A$2:$B$142,2,FALSE),"")</f>
        <v/>
      </c>
    </row>
    <row r="3483" spans="1:8" x14ac:dyDescent="0.2">
      <c r="A3483" t="str">
        <f t="shared" si="54"/>
        <v/>
      </c>
      <c r="B3483" s="1">
        <v>2023</v>
      </c>
      <c r="C3483" s="1" t="s">
        <v>2505</v>
      </c>
      <c r="D3483" s="1" t="s">
        <v>2506</v>
      </c>
      <c r="E3483" s="1" t="s">
        <v>2019</v>
      </c>
      <c r="F3483" s="1" t="s">
        <v>346</v>
      </c>
      <c r="G3483" s="6">
        <v>26783</v>
      </c>
      <c r="H3483" t="str">
        <f>IFERROR(VLOOKUP(F3483,'LEAID Match'!$A$2:$B$142,2,FALSE),"")</f>
        <v/>
      </c>
    </row>
    <row r="3484" spans="1:8" x14ac:dyDescent="0.2">
      <c r="A3484" t="str">
        <f t="shared" si="54"/>
        <v/>
      </c>
      <c r="B3484" s="1">
        <v>2024</v>
      </c>
      <c r="C3484" s="1" t="s">
        <v>2505</v>
      </c>
      <c r="D3484" s="1" t="s">
        <v>2506</v>
      </c>
      <c r="E3484" s="1" t="s">
        <v>2019</v>
      </c>
      <c r="F3484" s="1" t="s">
        <v>346</v>
      </c>
      <c r="G3484" s="6">
        <v>26652</v>
      </c>
      <c r="H3484" t="str">
        <f>IFERROR(VLOOKUP(F3484,'LEAID Match'!$A$2:$B$142,2,FALSE),"")</f>
        <v/>
      </c>
    </row>
    <row r="3485" spans="1:8" x14ac:dyDescent="0.2">
      <c r="A3485" t="str">
        <f t="shared" si="54"/>
        <v/>
      </c>
      <c r="B3485" s="1">
        <v>2015</v>
      </c>
      <c r="C3485" s="1" t="s">
        <v>2505</v>
      </c>
      <c r="D3485" s="1" t="s">
        <v>2506</v>
      </c>
      <c r="E3485" s="1" t="s">
        <v>2019</v>
      </c>
      <c r="F3485" s="1" t="s">
        <v>347</v>
      </c>
      <c r="G3485" s="6">
        <v>251248</v>
      </c>
      <c r="H3485" t="str">
        <f>IFERROR(VLOOKUP(F3485,'LEAID Match'!$A$2:$B$142,2,FALSE),"")</f>
        <v/>
      </c>
    </row>
    <row r="3486" spans="1:8" x14ac:dyDescent="0.2">
      <c r="A3486" t="str">
        <f t="shared" si="54"/>
        <v/>
      </c>
      <c r="B3486">
        <v>2016</v>
      </c>
      <c r="C3486" s="1" t="s">
        <v>2505</v>
      </c>
      <c r="D3486" s="1" t="s">
        <v>2506</v>
      </c>
      <c r="E3486" s="1" t="s">
        <v>2019</v>
      </c>
      <c r="F3486" s="1" t="s">
        <v>347</v>
      </c>
      <c r="G3486" s="12">
        <v>241682</v>
      </c>
      <c r="H3486" t="str">
        <f>IFERROR(VLOOKUP(F3486,'LEAID Match'!$A$2:$B$142,2,FALSE),"")</f>
        <v/>
      </c>
    </row>
    <row r="3487" spans="1:8" x14ac:dyDescent="0.2">
      <c r="A3487" t="str">
        <f t="shared" si="54"/>
        <v/>
      </c>
      <c r="B3487" s="1">
        <v>2017</v>
      </c>
      <c r="C3487" s="1" t="s">
        <v>2505</v>
      </c>
      <c r="D3487" s="1" t="s">
        <v>2506</v>
      </c>
      <c r="E3487" s="1" t="s">
        <v>2019</v>
      </c>
      <c r="F3487" s="1" t="s">
        <v>347</v>
      </c>
      <c r="G3487" s="47">
        <v>274370</v>
      </c>
      <c r="H3487" t="str">
        <f>IFERROR(VLOOKUP(F3487,'LEAID Match'!$A$2:$B$142,2,FALSE),"")</f>
        <v/>
      </c>
    </row>
    <row r="3488" spans="1:8" x14ac:dyDescent="0.2">
      <c r="A3488" t="str">
        <f t="shared" si="54"/>
        <v/>
      </c>
      <c r="B3488" s="1">
        <v>2018</v>
      </c>
      <c r="C3488" s="1" t="s">
        <v>2505</v>
      </c>
      <c r="D3488" s="1" t="s">
        <v>2506</v>
      </c>
      <c r="E3488" s="1" t="s">
        <v>2019</v>
      </c>
      <c r="F3488" s="1" t="s">
        <v>347</v>
      </c>
      <c r="G3488" s="6">
        <v>297312</v>
      </c>
      <c r="H3488" t="str">
        <f>IFERROR(VLOOKUP(F3488,'LEAID Match'!$A$2:$B$142,2,FALSE),"")</f>
        <v/>
      </c>
    </row>
    <row r="3489" spans="1:8" x14ac:dyDescent="0.2">
      <c r="A3489" t="str">
        <f t="shared" si="54"/>
        <v/>
      </c>
      <c r="B3489" s="1">
        <v>2019</v>
      </c>
      <c r="C3489" s="1" t="s">
        <v>2505</v>
      </c>
      <c r="D3489" s="1" t="s">
        <v>2506</v>
      </c>
      <c r="E3489" s="1" t="s">
        <v>2019</v>
      </c>
      <c r="F3489" s="1" t="s">
        <v>347</v>
      </c>
      <c r="G3489" s="6">
        <v>320425</v>
      </c>
      <c r="H3489" t="str">
        <f>IFERROR(VLOOKUP(F3489,'LEAID Match'!$A$2:$B$142,2,FALSE),"")</f>
        <v/>
      </c>
    </row>
    <row r="3490" spans="1:8" x14ac:dyDescent="0.2">
      <c r="A3490" t="str">
        <f t="shared" si="54"/>
        <v/>
      </c>
      <c r="B3490" s="1">
        <v>2020</v>
      </c>
      <c r="C3490" s="1" t="s">
        <v>2505</v>
      </c>
      <c r="D3490" s="1" t="s">
        <v>2506</v>
      </c>
      <c r="E3490" s="1" t="s">
        <v>2019</v>
      </c>
      <c r="F3490" s="1" t="s">
        <v>347</v>
      </c>
      <c r="G3490" s="6">
        <v>369718</v>
      </c>
      <c r="H3490" t="str">
        <f>IFERROR(VLOOKUP(F3490,'LEAID Match'!$A$2:$B$142,2,FALSE),"")</f>
        <v/>
      </c>
    </row>
    <row r="3491" spans="1:8" x14ac:dyDescent="0.2">
      <c r="A3491" t="str">
        <f t="shared" si="54"/>
        <v/>
      </c>
      <c r="B3491" s="1">
        <v>2021</v>
      </c>
      <c r="C3491" s="1" t="s">
        <v>2505</v>
      </c>
      <c r="D3491" s="1" t="s">
        <v>2506</v>
      </c>
      <c r="E3491" s="1" t="s">
        <v>2019</v>
      </c>
      <c r="F3491" s="1" t="s">
        <v>347</v>
      </c>
      <c r="G3491" s="6">
        <v>412325</v>
      </c>
      <c r="H3491" t="str">
        <f>IFERROR(VLOOKUP(F3491,'LEAID Match'!$A$2:$B$142,2,FALSE),"")</f>
        <v/>
      </c>
    </row>
    <row r="3492" spans="1:8" x14ac:dyDescent="0.2">
      <c r="A3492" t="str">
        <f t="shared" si="54"/>
        <v/>
      </c>
      <c r="B3492" s="1">
        <v>2022</v>
      </c>
      <c r="C3492" s="1" t="s">
        <v>2505</v>
      </c>
      <c r="D3492" s="1" t="s">
        <v>2506</v>
      </c>
      <c r="E3492" s="1" t="s">
        <v>2019</v>
      </c>
      <c r="F3492" s="1" t="s">
        <v>347</v>
      </c>
      <c r="G3492" s="6">
        <v>428911</v>
      </c>
      <c r="H3492" t="str">
        <f>IFERROR(VLOOKUP(F3492,'LEAID Match'!$A$2:$B$142,2,FALSE),"")</f>
        <v/>
      </c>
    </row>
    <row r="3493" spans="1:8" x14ac:dyDescent="0.2">
      <c r="A3493" t="str">
        <f t="shared" si="54"/>
        <v/>
      </c>
      <c r="B3493" s="1">
        <v>2023</v>
      </c>
      <c r="C3493" s="1" t="s">
        <v>2505</v>
      </c>
      <c r="D3493" s="1" t="s">
        <v>2506</v>
      </c>
      <c r="E3493" s="1" t="s">
        <v>2019</v>
      </c>
      <c r="F3493" s="1" t="s">
        <v>347</v>
      </c>
      <c r="G3493" s="6">
        <v>439886</v>
      </c>
      <c r="H3493" t="str">
        <f>IFERROR(VLOOKUP(F3493,'LEAID Match'!$A$2:$B$142,2,FALSE),"")</f>
        <v/>
      </c>
    </row>
    <row r="3494" spans="1:8" x14ac:dyDescent="0.2">
      <c r="A3494" t="str">
        <f t="shared" si="54"/>
        <v/>
      </c>
      <c r="B3494" s="1">
        <v>2024</v>
      </c>
      <c r="C3494" s="1" t="s">
        <v>2505</v>
      </c>
      <c r="D3494" s="1" t="s">
        <v>2506</v>
      </c>
      <c r="E3494" s="1" t="s">
        <v>2019</v>
      </c>
      <c r="F3494" s="1" t="s">
        <v>347</v>
      </c>
      <c r="G3494" s="6">
        <v>446527</v>
      </c>
      <c r="H3494" t="str">
        <f>IFERROR(VLOOKUP(F3494,'LEAID Match'!$A$2:$B$142,2,FALSE),"")</f>
        <v/>
      </c>
    </row>
    <row r="3495" spans="1:8" x14ac:dyDescent="0.2">
      <c r="A3495">
        <f t="shared" si="54"/>
        <v>2802280</v>
      </c>
      <c r="B3495" s="1">
        <v>2015</v>
      </c>
      <c r="C3495" s="1" t="s">
        <v>2505</v>
      </c>
      <c r="D3495" s="1" t="s">
        <v>2506</v>
      </c>
      <c r="E3495" s="1" t="s">
        <v>2019</v>
      </c>
      <c r="F3495" s="1" t="s">
        <v>348</v>
      </c>
      <c r="G3495" s="6">
        <v>5959505</v>
      </c>
      <c r="H3495">
        <f>IFERROR(VLOOKUP(F3495,'LEAID Match'!$A$2:$B$142,2,FALSE),"")</f>
        <v>2802280</v>
      </c>
    </row>
    <row r="3496" spans="1:8" x14ac:dyDescent="0.2">
      <c r="A3496">
        <f t="shared" si="54"/>
        <v>2802280</v>
      </c>
      <c r="B3496">
        <v>2016</v>
      </c>
      <c r="C3496" s="1" t="s">
        <v>2505</v>
      </c>
      <c r="D3496" s="1" t="s">
        <v>2506</v>
      </c>
      <c r="E3496" s="1" t="s">
        <v>2019</v>
      </c>
      <c r="F3496" s="1" t="s">
        <v>348</v>
      </c>
      <c r="G3496" s="12">
        <v>6167095</v>
      </c>
      <c r="H3496">
        <f>IFERROR(VLOOKUP(F3496,'LEAID Match'!$A$2:$B$142,2,FALSE),"")</f>
        <v>2802280</v>
      </c>
    </row>
    <row r="3497" spans="1:8" x14ac:dyDescent="0.2">
      <c r="A3497">
        <f t="shared" si="54"/>
        <v>2802280</v>
      </c>
      <c r="B3497" s="1">
        <v>2017</v>
      </c>
      <c r="C3497" s="1" t="s">
        <v>2505</v>
      </c>
      <c r="D3497" s="1" t="s">
        <v>2506</v>
      </c>
      <c r="E3497" s="1" t="s">
        <v>2019</v>
      </c>
      <c r="F3497" s="1" t="s">
        <v>348</v>
      </c>
      <c r="G3497" s="47">
        <v>6225217</v>
      </c>
      <c r="H3497">
        <f>IFERROR(VLOOKUP(F3497,'LEAID Match'!$A$2:$B$142,2,FALSE),"")</f>
        <v>2802280</v>
      </c>
    </row>
    <row r="3498" spans="1:8" x14ac:dyDescent="0.2">
      <c r="A3498">
        <f t="shared" si="54"/>
        <v>2802280</v>
      </c>
      <c r="B3498" s="1">
        <v>2018</v>
      </c>
      <c r="C3498" s="1" t="s">
        <v>2505</v>
      </c>
      <c r="D3498" s="1" t="s">
        <v>2506</v>
      </c>
      <c r="E3498" s="1" t="s">
        <v>2019</v>
      </c>
      <c r="F3498" s="1" t="s">
        <v>348</v>
      </c>
      <c r="G3498" s="6">
        <v>6147718</v>
      </c>
      <c r="H3498">
        <f>IFERROR(VLOOKUP(F3498,'LEAID Match'!$A$2:$B$142,2,FALSE),"")</f>
        <v>2802280</v>
      </c>
    </row>
    <row r="3499" spans="1:8" x14ac:dyDescent="0.2">
      <c r="A3499">
        <f t="shared" si="54"/>
        <v>2802280</v>
      </c>
      <c r="B3499" s="1">
        <v>2019</v>
      </c>
      <c r="C3499" s="1" t="s">
        <v>2505</v>
      </c>
      <c r="D3499" s="1" t="s">
        <v>2506</v>
      </c>
      <c r="E3499" s="1" t="s">
        <v>2019</v>
      </c>
      <c r="F3499" s="1" t="s">
        <v>348</v>
      </c>
      <c r="G3499" s="6">
        <v>6277780</v>
      </c>
      <c r="H3499">
        <f>IFERROR(VLOOKUP(F3499,'LEAID Match'!$A$2:$B$142,2,FALSE),"")</f>
        <v>2802280</v>
      </c>
    </row>
    <row r="3500" spans="1:8" x14ac:dyDescent="0.2">
      <c r="A3500">
        <f t="shared" si="54"/>
        <v>2802280</v>
      </c>
      <c r="B3500" s="1">
        <v>2020</v>
      </c>
      <c r="C3500" s="1" t="s">
        <v>2505</v>
      </c>
      <c r="D3500" s="1" t="s">
        <v>2506</v>
      </c>
      <c r="E3500" s="1" t="s">
        <v>2019</v>
      </c>
      <c r="F3500" s="1" t="s">
        <v>348</v>
      </c>
      <c r="G3500" s="6">
        <v>7226897</v>
      </c>
      <c r="H3500">
        <f>IFERROR(VLOOKUP(F3500,'LEAID Match'!$A$2:$B$142,2,FALSE),"")</f>
        <v>2802280</v>
      </c>
    </row>
    <row r="3501" spans="1:8" x14ac:dyDescent="0.2">
      <c r="A3501">
        <f t="shared" si="54"/>
        <v>2802280</v>
      </c>
      <c r="B3501" s="1">
        <v>2021</v>
      </c>
      <c r="C3501" s="1" t="s">
        <v>2505</v>
      </c>
      <c r="D3501" s="1" t="s">
        <v>2506</v>
      </c>
      <c r="E3501" s="1" t="s">
        <v>2019</v>
      </c>
      <c r="F3501" s="1" t="s">
        <v>348</v>
      </c>
      <c r="G3501" s="6">
        <v>7412109</v>
      </c>
      <c r="H3501">
        <f>IFERROR(VLOOKUP(F3501,'LEAID Match'!$A$2:$B$142,2,FALSE),"")</f>
        <v>2802280</v>
      </c>
    </row>
    <row r="3502" spans="1:8" x14ac:dyDescent="0.2">
      <c r="A3502">
        <f t="shared" si="54"/>
        <v>2802280</v>
      </c>
      <c r="B3502" s="1">
        <v>2022</v>
      </c>
      <c r="C3502" s="1" t="s">
        <v>2505</v>
      </c>
      <c r="D3502" s="1" t="s">
        <v>2506</v>
      </c>
      <c r="E3502" s="1" t="s">
        <v>2019</v>
      </c>
      <c r="F3502" s="1" t="s">
        <v>348</v>
      </c>
      <c r="G3502" s="6">
        <v>7711073</v>
      </c>
      <c r="H3502">
        <f>IFERROR(VLOOKUP(F3502,'LEAID Match'!$A$2:$B$142,2,FALSE),"")</f>
        <v>2802280</v>
      </c>
    </row>
    <row r="3503" spans="1:8" x14ac:dyDescent="0.2">
      <c r="A3503">
        <f t="shared" si="54"/>
        <v>2802280</v>
      </c>
      <c r="B3503" s="1">
        <v>2023</v>
      </c>
      <c r="C3503" s="1" t="s">
        <v>2505</v>
      </c>
      <c r="D3503" s="1" t="s">
        <v>2506</v>
      </c>
      <c r="E3503" s="1" t="s">
        <v>2019</v>
      </c>
      <c r="F3503" s="1" t="s">
        <v>348</v>
      </c>
      <c r="G3503" s="6">
        <v>8700523</v>
      </c>
      <c r="H3503">
        <f>IFERROR(VLOOKUP(F3503,'LEAID Match'!$A$2:$B$142,2,FALSE),"")</f>
        <v>2802280</v>
      </c>
    </row>
    <row r="3504" spans="1:8" x14ac:dyDescent="0.2">
      <c r="A3504">
        <f t="shared" si="54"/>
        <v>2802280</v>
      </c>
      <c r="B3504" s="1">
        <v>2024</v>
      </c>
      <c r="C3504" s="1" t="s">
        <v>2505</v>
      </c>
      <c r="D3504" s="1" t="s">
        <v>2506</v>
      </c>
      <c r="E3504" s="1" t="s">
        <v>2019</v>
      </c>
      <c r="F3504" s="1" t="s">
        <v>348</v>
      </c>
      <c r="G3504" s="6">
        <v>9527765</v>
      </c>
      <c r="H3504">
        <f>IFERROR(VLOOKUP(F3504,'LEAID Match'!$A$2:$B$142,2,FALSE),"")</f>
        <v>2802280</v>
      </c>
    </row>
    <row r="3505" spans="1:8" x14ac:dyDescent="0.2">
      <c r="A3505" t="str">
        <f t="shared" si="54"/>
        <v/>
      </c>
      <c r="B3505" s="1">
        <v>2015</v>
      </c>
      <c r="C3505" s="1" t="s">
        <v>2505</v>
      </c>
      <c r="D3505" s="1" t="s">
        <v>2506</v>
      </c>
      <c r="E3505" s="1" t="s">
        <v>2019</v>
      </c>
      <c r="F3505" s="1" t="s">
        <v>349</v>
      </c>
      <c r="G3505" s="6">
        <v>2018116</v>
      </c>
      <c r="H3505" t="str">
        <f>IFERROR(VLOOKUP(F3505,'LEAID Match'!$A$2:$B$142,2,FALSE),"")</f>
        <v/>
      </c>
    </row>
    <row r="3506" spans="1:8" x14ac:dyDescent="0.2">
      <c r="A3506" t="str">
        <f t="shared" si="54"/>
        <v/>
      </c>
      <c r="B3506">
        <v>2016</v>
      </c>
      <c r="C3506" s="1" t="s">
        <v>2505</v>
      </c>
      <c r="D3506" s="1" t="s">
        <v>2506</v>
      </c>
      <c r="E3506" s="1" t="s">
        <v>2019</v>
      </c>
      <c r="F3506" s="1" t="s">
        <v>349</v>
      </c>
      <c r="G3506" s="12">
        <v>2137519</v>
      </c>
      <c r="H3506" t="str">
        <f>IFERROR(VLOOKUP(F3506,'LEAID Match'!$A$2:$B$142,2,FALSE),"")</f>
        <v/>
      </c>
    </row>
    <row r="3507" spans="1:8" x14ac:dyDescent="0.2">
      <c r="A3507" t="str">
        <f t="shared" si="54"/>
        <v/>
      </c>
      <c r="B3507" s="1">
        <v>2017</v>
      </c>
      <c r="C3507" s="1" t="s">
        <v>2505</v>
      </c>
      <c r="D3507" s="1" t="s">
        <v>2506</v>
      </c>
      <c r="E3507" s="1" t="s">
        <v>2019</v>
      </c>
      <c r="F3507" s="1" t="s">
        <v>349</v>
      </c>
      <c r="G3507" s="47">
        <v>2230720</v>
      </c>
      <c r="H3507" t="str">
        <f>IFERROR(VLOOKUP(F3507,'LEAID Match'!$A$2:$B$142,2,FALSE),"")</f>
        <v/>
      </c>
    </row>
    <row r="3508" spans="1:8" x14ac:dyDescent="0.2">
      <c r="A3508" t="str">
        <f t="shared" si="54"/>
        <v/>
      </c>
      <c r="B3508" s="1">
        <v>2018</v>
      </c>
      <c r="C3508" s="1" t="s">
        <v>2505</v>
      </c>
      <c r="D3508" s="1" t="s">
        <v>2506</v>
      </c>
      <c r="E3508" s="1" t="s">
        <v>2019</v>
      </c>
      <c r="F3508" s="1" t="s">
        <v>349</v>
      </c>
      <c r="G3508" s="6">
        <v>2202082</v>
      </c>
      <c r="H3508" t="str">
        <f>IFERROR(VLOOKUP(F3508,'LEAID Match'!$A$2:$B$142,2,FALSE),"")</f>
        <v/>
      </c>
    </row>
    <row r="3509" spans="1:8" x14ac:dyDescent="0.2">
      <c r="A3509" t="str">
        <f t="shared" si="54"/>
        <v/>
      </c>
      <c r="B3509" s="1">
        <v>2019</v>
      </c>
      <c r="C3509" s="1" t="s">
        <v>2505</v>
      </c>
      <c r="D3509" s="1" t="s">
        <v>2506</v>
      </c>
      <c r="E3509" s="1" t="s">
        <v>2019</v>
      </c>
      <c r="F3509" s="1" t="s">
        <v>349</v>
      </c>
      <c r="G3509" s="6">
        <v>2111091</v>
      </c>
      <c r="H3509" t="str">
        <f>IFERROR(VLOOKUP(F3509,'LEAID Match'!$A$2:$B$142,2,FALSE),"")</f>
        <v/>
      </c>
    </row>
    <row r="3510" spans="1:8" x14ac:dyDescent="0.2">
      <c r="A3510" t="str">
        <f t="shared" si="54"/>
        <v/>
      </c>
      <c r="B3510" s="1">
        <v>2020</v>
      </c>
      <c r="C3510" s="1" t="s">
        <v>2505</v>
      </c>
      <c r="D3510" s="1" t="s">
        <v>2506</v>
      </c>
      <c r="E3510" s="1" t="s">
        <v>2019</v>
      </c>
      <c r="F3510" s="1" t="s">
        <v>349</v>
      </c>
      <c r="G3510" s="6">
        <v>2464877</v>
      </c>
      <c r="H3510" t="str">
        <f>IFERROR(VLOOKUP(F3510,'LEAID Match'!$A$2:$B$142,2,FALSE),"")</f>
        <v/>
      </c>
    </row>
    <row r="3511" spans="1:8" x14ac:dyDescent="0.2">
      <c r="A3511" t="str">
        <f t="shared" si="54"/>
        <v/>
      </c>
      <c r="B3511" s="1">
        <v>2021</v>
      </c>
      <c r="C3511" s="1" t="s">
        <v>2505</v>
      </c>
      <c r="D3511" s="1" t="s">
        <v>2506</v>
      </c>
      <c r="E3511" s="1" t="s">
        <v>2019</v>
      </c>
      <c r="F3511" s="1" t="s">
        <v>349</v>
      </c>
      <c r="G3511" s="6">
        <v>2608562</v>
      </c>
      <c r="H3511" t="str">
        <f>IFERROR(VLOOKUP(F3511,'LEAID Match'!$A$2:$B$142,2,FALSE),"")</f>
        <v/>
      </c>
    </row>
    <row r="3512" spans="1:8" x14ac:dyDescent="0.2">
      <c r="A3512" t="str">
        <f t="shared" si="54"/>
        <v/>
      </c>
      <c r="B3512" s="1">
        <v>2022</v>
      </c>
      <c r="C3512" s="1" t="s">
        <v>2505</v>
      </c>
      <c r="D3512" s="1" t="s">
        <v>2506</v>
      </c>
      <c r="E3512" s="1" t="s">
        <v>2019</v>
      </c>
      <c r="F3512" s="1" t="s">
        <v>349</v>
      </c>
      <c r="G3512" s="6">
        <v>2688561</v>
      </c>
      <c r="H3512" t="str">
        <f>IFERROR(VLOOKUP(F3512,'LEAID Match'!$A$2:$B$142,2,FALSE),"")</f>
        <v/>
      </c>
    </row>
    <row r="3513" spans="1:8" x14ac:dyDescent="0.2">
      <c r="A3513" t="str">
        <f t="shared" si="54"/>
        <v/>
      </c>
      <c r="B3513" s="1">
        <v>2023</v>
      </c>
      <c r="C3513" s="1" t="s">
        <v>2505</v>
      </c>
      <c r="D3513" s="1" t="s">
        <v>2506</v>
      </c>
      <c r="E3513" s="1" t="s">
        <v>2019</v>
      </c>
      <c r="F3513" s="1" t="s">
        <v>349</v>
      </c>
      <c r="G3513" s="6">
        <v>2925505</v>
      </c>
      <c r="H3513" t="str">
        <f>IFERROR(VLOOKUP(F3513,'LEAID Match'!$A$2:$B$142,2,FALSE),"")</f>
        <v/>
      </c>
    </row>
    <row r="3514" spans="1:8" x14ac:dyDescent="0.2">
      <c r="A3514" t="str">
        <f t="shared" si="54"/>
        <v/>
      </c>
      <c r="B3514" s="1">
        <v>2024</v>
      </c>
      <c r="C3514" s="1" t="s">
        <v>2505</v>
      </c>
      <c r="D3514" s="1" t="s">
        <v>2506</v>
      </c>
      <c r="E3514" s="1" t="s">
        <v>2019</v>
      </c>
      <c r="F3514" s="1" t="s">
        <v>349</v>
      </c>
      <c r="G3514" s="6">
        <v>3053485</v>
      </c>
      <c r="H3514" t="str">
        <f>IFERROR(VLOOKUP(F3514,'LEAID Match'!$A$2:$B$142,2,FALSE),"")</f>
        <v/>
      </c>
    </row>
    <row r="3515" spans="1:8" x14ac:dyDescent="0.2">
      <c r="A3515" t="str">
        <f t="shared" si="54"/>
        <v/>
      </c>
      <c r="B3515" s="1">
        <v>2015</v>
      </c>
      <c r="C3515" s="1" t="s">
        <v>2505</v>
      </c>
      <c r="D3515" s="1" t="s">
        <v>2506</v>
      </c>
      <c r="E3515" s="1" t="s">
        <v>2019</v>
      </c>
      <c r="F3515" s="1" t="s">
        <v>350</v>
      </c>
      <c r="G3515" s="6">
        <v>2973554</v>
      </c>
      <c r="H3515" t="str">
        <f>IFERROR(VLOOKUP(F3515,'LEAID Match'!$A$2:$B$142,2,FALSE),"")</f>
        <v/>
      </c>
    </row>
    <row r="3516" spans="1:8" x14ac:dyDescent="0.2">
      <c r="A3516" t="str">
        <f t="shared" si="54"/>
        <v/>
      </c>
      <c r="B3516">
        <v>2016</v>
      </c>
      <c r="C3516" s="1" t="s">
        <v>2505</v>
      </c>
      <c r="D3516" s="1" t="s">
        <v>2506</v>
      </c>
      <c r="E3516" s="1" t="s">
        <v>2019</v>
      </c>
      <c r="F3516" s="1" t="s">
        <v>350</v>
      </c>
      <c r="G3516" s="12">
        <v>3021340</v>
      </c>
      <c r="H3516" t="str">
        <f>IFERROR(VLOOKUP(F3516,'LEAID Match'!$A$2:$B$142,2,FALSE),"")</f>
        <v/>
      </c>
    </row>
    <row r="3517" spans="1:8" x14ac:dyDescent="0.2">
      <c r="A3517" t="str">
        <f t="shared" si="54"/>
        <v/>
      </c>
      <c r="B3517" s="1">
        <v>2017</v>
      </c>
      <c r="C3517" s="1" t="s">
        <v>2505</v>
      </c>
      <c r="D3517" s="1" t="s">
        <v>2506</v>
      </c>
      <c r="E3517" s="1" t="s">
        <v>2019</v>
      </c>
      <c r="F3517" s="1" t="s">
        <v>350</v>
      </c>
      <c r="G3517" s="47">
        <v>3116491</v>
      </c>
      <c r="H3517" t="str">
        <f>IFERROR(VLOOKUP(F3517,'LEAID Match'!$A$2:$B$142,2,FALSE),"")</f>
        <v/>
      </c>
    </row>
    <row r="3518" spans="1:8" x14ac:dyDescent="0.2">
      <c r="A3518" t="str">
        <f t="shared" si="54"/>
        <v/>
      </c>
      <c r="B3518" s="1">
        <v>2018</v>
      </c>
      <c r="C3518" s="1" t="s">
        <v>2505</v>
      </c>
      <c r="D3518" s="1" t="s">
        <v>2506</v>
      </c>
      <c r="E3518" s="1" t="s">
        <v>2019</v>
      </c>
      <c r="F3518" s="1" t="s">
        <v>350</v>
      </c>
      <c r="G3518" s="6">
        <v>3111327</v>
      </c>
      <c r="H3518" t="str">
        <f>IFERROR(VLOOKUP(F3518,'LEAID Match'!$A$2:$B$142,2,FALSE),"")</f>
        <v/>
      </c>
    </row>
    <row r="3519" spans="1:8" x14ac:dyDescent="0.2">
      <c r="A3519" t="str">
        <f t="shared" si="54"/>
        <v/>
      </c>
      <c r="B3519" s="1">
        <v>2019</v>
      </c>
      <c r="C3519" s="1" t="s">
        <v>2505</v>
      </c>
      <c r="D3519" s="1" t="s">
        <v>2506</v>
      </c>
      <c r="E3519" s="1" t="s">
        <v>2019</v>
      </c>
      <c r="F3519" s="1" t="s">
        <v>350</v>
      </c>
      <c r="G3519" s="6">
        <v>3273066</v>
      </c>
      <c r="H3519" t="str">
        <f>IFERROR(VLOOKUP(F3519,'LEAID Match'!$A$2:$B$142,2,FALSE),"")</f>
        <v/>
      </c>
    </row>
    <row r="3520" spans="1:8" x14ac:dyDescent="0.2">
      <c r="A3520" t="str">
        <f t="shared" si="54"/>
        <v/>
      </c>
      <c r="B3520" s="1">
        <v>2020</v>
      </c>
      <c r="C3520" s="1" t="s">
        <v>2505</v>
      </c>
      <c r="D3520" s="1" t="s">
        <v>2506</v>
      </c>
      <c r="E3520" s="1" t="s">
        <v>2019</v>
      </c>
      <c r="F3520" s="1" t="s">
        <v>350</v>
      </c>
      <c r="G3520" s="6">
        <v>3619364</v>
      </c>
      <c r="H3520" t="str">
        <f>IFERROR(VLOOKUP(F3520,'LEAID Match'!$A$2:$B$142,2,FALSE),"")</f>
        <v/>
      </c>
    </row>
    <row r="3521" spans="1:8" x14ac:dyDescent="0.2">
      <c r="A3521" t="str">
        <f t="shared" si="54"/>
        <v/>
      </c>
      <c r="B3521" s="1">
        <v>2021</v>
      </c>
      <c r="C3521" s="1" t="s">
        <v>2505</v>
      </c>
      <c r="D3521" s="1" t="s">
        <v>2506</v>
      </c>
      <c r="E3521" s="1" t="s">
        <v>2019</v>
      </c>
      <c r="F3521" s="1" t="s">
        <v>350</v>
      </c>
      <c r="G3521" s="6">
        <v>3452003</v>
      </c>
      <c r="H3521" t="str">
        <f>IFERROR(VLOOKUP(F3521,'LEAID Match'!$A$2:$B$142,2,FALSE),"")</f>
        <v/>
      </c>
    </row>
    <row r="3522" spans="1:8" x14ac:dyDescent="0.2">
      <c r="A3522" t="str">
        <f t="shared" si="54"/>
        <v/>
      </c>
      <c r="B3522" s="1">
        <v>2022</v>
      </c>
      <c r="C3522" s="1" t="s">
        <v>2505</v>
      </c>
      <c r="D3522" s="1" t="s">
        <v>2506</v>
      </c>
      <c r="E3522" s="1" t="s">
        <v>2019</v>
      </c>
      <c r="F3522" s="1" t="s">
        <v>350</v>
      </c>
      <c r="G3522" s="6">
        <v>3683060</v>
      </c>
      <c r="H3522" t="str">
        <f>IFERROR(VLOOKUP(F3522,'LEAID Match'!$A$2:$B$142,2,FALSE),"")</f>
        <v/>
      </c>
    </row>
    <row r="3523" spans="1:8" x14ac:dyDescent="0.2">
      <c r="A3523" t="str">
        <f t="shared" ref="A3523:A3586" si="55">H3523</f>
        <v/>
      </c>
      <c r="B3523" s="1">
        <v>2023</v>
      </c>
      <c r="C3523" s="1" t="s">
        <v>2505</v>
      </c>
      <c r="D3523" s="1" t="s">
        <v>2506</v>
      </c>
      <c r="E3523" s="1" t="s">
        <v>2019</v>
      </c>
      <c r="F3523" s="1" t="s">
        <v>350</v>
      </c>
      <c r="G3523" s="6">
        <v>3852389</v>
      </c>
      <c r="H3523" t="str">
        <f>IFERROR(VLOOKUP(F3523,'LEAID Match'!$A$2:$B$142,2,FALSE),"")</f>
        <v/>
      </c>
    </row>
    <row r="3524" spans="1:8" x14ac:dyDescent="0.2">
      <c r="A3524" t="str">
        <f t="shared" si="55"/>
        <v/>
      </c>
      <c r="B3524" s="1">
        <v>2024</v>
      </c>
      <c r="C3524" s="1" t="s">
        <v>2505</v>
      </c>
      <c r="D3524" s="1" t="s">
        <v>2506</v>
      </c>
      <c r="E3524" s="1" t="s">
        <v>2019</v>
      </c>
      <c r="F3524" s="1" t="s">
        <v>350</v>
      </c>
      <c r="G3524" s="6">
        <v>4124006</v>
      </c>
      <c r="H3524" t="str">
        <f>IFERROR(VLOOKUP(F3524,'LEAID Match'!$A$2:$B$142,2,FALSE),"")</f>
        <v/>
      </c>
    </row>
    <row r="3525" spans="1:8" x14ac:dyDescent="0.2">
      <c r="A3525" t="str">
        <f t="shared" si="55"/>
        <v/>
      </c>
      <c r="B3525" s="1">
        <v>2015</v>
      </c>
      <c r="C3525" s="1" t="s">
        <v>2505</v>
      </c>
      <c r="D3525" s="1" t="s">
        <v>2506</v>
      </c>
      <c r="E3525" s="1" t="s">
        <v>2019</v>
      </c>
      <c r="F3525" s="1" t="s">
        <v>351</v>
      </c>
      <c r="G3525" s="6">
        <v>38068</v>
      </c>
      <c r="H3525" t="str">
        <f>IFERROR(VLOOKUP(F3525,'LEAID Match'!$A$2:$B$142,2,FALSE),"")</f>
        <v/>
      </c>
    </row>
    <row r="3526" spans="1:8" x14ac:dyDescent="0.2">
      <c r="A3526" t="str">
        <f t="shared" si="55"/>
        <v/>
      </c>
      <c r="B3526">
        <v>2016</v>
      </c>
      <c r="C3526" s="1" t="s">
        <v>2505</v>
      </c>
      <c r="D3526" s="1" t="s">
        <v>2506</v>
      </c>
      <c r="E3526" s="1" t="s">
        <v>2019</v>
      </c>
      <c r="F3526" s="1" t="s">
        <v>351</v>
      </c>
      <c r="G3526" s="12">
        <v>35970</v>
      </c>
      <c r="H3526" t="str">
        <f>IFERROR(VLOOKUP(F3526,'LEAID Match'!$A$2:$B$142,2,FALSE),"")</f>
        <v/>
      </c>
    </row>
    <row r="3527" spans="1:8" x14ac:dyDescent="0.2">
      <c r="A3527" t="str">
        <f t="shared" si="55"/>
        <v/>
      </c>
      <c r="B3527" s="1">
        <v>2017</v>
      </c>
      <c r="C3527" s="1" t="s">
        <v>2505</v>
      </c>
      <c r="D3527" s="1" t="s">
        <v>2506</v>
      </c>
      <c r="E3527" s="1" t="s">
        <v>2019</v>
      </c>
      <c r="F3527" s="1" t="s">
        <v>351</v>
      </c>
      <c r="G3527" s="47">
        <v>35297</v>
      </c>
      <c r="H3527" t="str">
        <f>IFERROR(VLOOKUP(F3527,'LEAID Match'!$A$2:$B$142,2,FALSE),"")</f>
        <v/>
      </c>
    </row>
    <row r="3528" spans="1:8" x14ac:dyDescent="0.2">
      <c r="A3528" t="str">
        <f t="shared" si="55"/>
        <v/>
      </c>
      <c r="B3528" s="1">
        <v>2018</v>
      </c>
      <c r="C3528" s="1" t="s">
        <v>2505</v>
      </c>
      <c r="D3528" s="1" t="s">
        <v>2506</v>
      </c>
      <c r="E3528" s="1" t="s">
        <v>2019</v>
      </c>
      <c r="F3528" s="1" t="s">
        <v>351</v>
      </c>
      <c r="G3528" s="6">
        <v>31336</v>
      </c>
      <c r="H3528" t="str">
        <f>IFERROR(VLOOKUP(F3528,'LEAID Match'!$A$2:$B$142,2,FALSE),"")</f>
        <v/>
      </c>
    </row>
    <row r="3529" spans="1:8" x14ac:dyDescent="0.2">
      <c r="A3529" t="str">
        <f t="shared" si="55"/>
        <v/>
      </c>
      <c r="B3529" s="1">
        <v>2019</v>
      </c>
      <c r="C3529" s="1" t="s">
        <v>2505</v>
      </c>
      <c r="D3529" s="1" t="s">
        <v>2506</v>
      </c>
      <c r="E3529" s="1" t="s">
        <v>2019</v>
      </c>
      <c r="F3529" s="1" t="s">
        <v>351</v>
      </c>
      <c r="G3529" s="6">
        <v>33355</v>
      </c>
      <c r="H3529" t="str">
        <f>IFERROR(VLOOKUP(F3529,'LEAID Match'!$A$2:$B$142,2,FALSE),"")</f>
        <v/>
      </c>
    </row>
    <row r="3530" spans="1:8" x14ac:dyDescent="0.2">
      <c r="A3530" t="str">
        <f t="shared" si="55"/>
        <v/>
      </c>
      <c r="B3530" s="1">
        <v>2020</v>
      </c>
      <c r="C3530" s="1" t="s">
        <v>2505</v>
      </c>
      <c r="D3530" s="1" t="s">
        <v>2506</v>
      </c>
      <c r="E3530" s="1" t="s">
        <v>2019</v>
      </c>
      <c r="F3530" s="1" t="s">
        <v>351</v>
      </c>
      <c r="G3530" s="6">
        <v>35809</v>
      </c>
      <c r="H3530" t="str">
        <f>IFERROR(VLOOKUP(F3530,'LEAID Match'!$A$2:$B$142,2,FALSE),"")</f>
        <v/>
      </c>
    </row>
    <row r="3531" spans="1:8" x14ac:dyDescent="0.2">
      <c r="A3531" t="str">
        <f t="shared" si="55"/>
        <v/>
      </c>
      <c r="B3531" s="1">
        <v>2021</v>
      </c>
      <c r="C3531" s="1" t="s">
        <v>2505</v>
      </c>
      <c r="D3531" s="1" t="s">
        <v>2506</v>
      </c>
      <c r="E3531" s="1" t="s">
        <v>2019</v>
      </c>
      <c r="F3531" s="1" t="s">
        <v>351</v>
      </c>
      <c r="G3531" s="6">
        <v>35809</v>
      </c>
      <c r="H3531" t="str">
        <f>IFERROR(VLOOKUP(F3531,'LEAID Match'!$A$2:$B$142,2,FALSE),"")</f>
        <v/>
      </c>
    </row>
    <row r="3532" spans="1:8" x14ac:dyDescent="0.2">
      <c r="A3532" t="str">
        <f t="shared" si="55"/>
        <v/>
      </c>
      <c r="B3532" s="1">
        <v>2022</v>
      </c>
      <c r="C3532" s="1" t="s">
        <v>2505</v>
      </c>
      <c r="D3532" s="1" t="s">
        <v>2506</v>
      </c>
      <c r="E3532" s="1" t="s">
        <v>2019</v>
      </c>
      <c r="F3532" s="1" t="s">
        <v>351</v>
      </c>
      <c r="G3532" s="6">
        <v>34314</v>
      </c>
      <c r="H3532" t="str">
        <f>IFERROR(VLOOKUP(F3532,'LEAID Match'!$A$2:$B$142,2,FALSE),"")</f>
        <v/>
      </c>
    </row>
    <row r="3533" spans="1:8" x14ac:dyDescent="0.2">
      <c r="A3533" t="str">
        <f t="shared" si="55"/>
        <v/>
      </c>
      <c r="B3533" s="1">
        <v>2023</v>
      </c>
      <c r="C3533" s="1" t="s">
        <v>2505</v>
      </c>
      <c r="D3533" s="1" t="s">
        <v>2506</v>
      </c>
      <c r="E3533" s="1" t="s">
        <v>2019</v>
      </c>
      <c r="F3533" s="1" t="s">
        <v>351</v>
      </c>
      <c r="G3533" s="6">
        <v>36924</v>
      </c>
      <c r="H3533" t="str">
        <f>IFERROR(VLOOKUP(F3533,'LEAID Match'!$A$2:$B$142,2,FALSE),"")</f>
        <v/>
      </c>
    </row>
    <row r="3534" spans="1:8" x14ac:dyDescent="0.2">
      <c r="A3534" t="str">
        <f t="shared" si="55"/>
        <v/>
      </c>
      <c r="B3534" s="1">
        <v>2024</v>
      </c>
      <c r="C3534" s="1" t="s">
        <v>2505</v>
      </c>
      <c r="D3534" s="1" t="s">
        <v>2506</v>
      </c>
      <c r="E3534" s="1" t="s">
        <v>2019</v>
      </c>
      <c r="F3534" s="1" t="s">
        <v>351</v>
      </c>
      <c r="G3534" s="6">
        <v>31889</v>
      </c>
      <c r="H3534" t="str">
        <f>IFERROR(VLOOKUP(F3534,'LEAID Match'!$A$2:$B$142,2,FALSE),"")</f>
        <v/>
      </c>
    </row>
    <row r="3535" spans="1:8" x14ac:dyDescent="0.2">
      <c r="A3535" t="str">
        <f t="shared" si="55"/>
        <v/>
      </c>
      <c r="B3535" s="1">
        <v>2015</v>
      </c>
      <c r="C3535" s="1" t="s">
        <v>2505</v>
      </c>
      <c r="D3535" s="1" t="s">
        <v>2506</v>
      </c>
      <c r="E3535" s="1" t="s">
        <v>2019</v>
      </c>
      <c r="F3535" s="1" t="s">
        <v>352</v>
      </c>
      <c r="G3535" s="6">
        <v>43474</v>
      </c>
      <c r="H3535" t="str">
        <f>IFERROR(VLOOKUP(F3535,'LEAID Match'!$A$2:$B$142,2,FALSE),"")</f>
        <v/>
      </c>
    </row>
    <row r="3536" spans="1:8" x14ac:dyDescent="0.2">
      <c r="A3536" t="str">
        <f t="shared" si="55"/>
        <v/>
      </c>
      <c r="B3536">
        <v>2016</v>
      </c>
      <c r="C3536" s="1" t="s">
        <v>2505</v>
      </c>
      <c r="D3536" s="1" t="s">
        <v>2506</v>
      </c>
      <c r="E3536" s="1" t="s">
        <v>2019</v>
      </c>
      <c r="F3536" s="1" t="s">
        <v>352</v>
      </c>
      <c r="G3536" s="12">
        <v>46029</v>
      </c>
      <c r="H3536" t="str">
        <f>IFERROR(VLOOKUP(F3536,'LEAID Match'!$A$2:$B$142,2,FALSE),"")</f>
        <v/>
      </c>
    </row>
    <row r="3537" spans="1:8" x14ac:dyDescent="0.2">
      <c r="A3537" t="str">
        <f t="shared" si="55"/>
        <v/>
      </c>
      <c r="B3537" s="1">
        <v>2017</v>
      </c>
      <c r="C3537" s="1" t="s">
        <v>2505</v>
      </c>
      <c r="D3537" s="1" t="s">
        <v>2506</v>
      </c>
      <c r="E3537" s="1" t="s">
        <v>2019</v>
      </c>
      <c r="F3537" s="1" t="s">
        <v>352</v>
      </c>
      <c r="G3537" s="47">
        <v>50308</v>
      </c>
      <c r="H3537" t="str">
        <f>IFERROR(VLOOKUP(F3537,'LEAID Match'!$A$2:$B$142,2,FALSE),"")</f>
        <v/>
      </c>
    </row>
    <row r="3538" spans="1:8" x14ac:dyDescent="0.2">
      <c r="A3538" t="str">
        <f t="shared" si="55"/>
        <v/>
      </c>
      <c r="B3538" s="1">
        <v>2018</v>
      </c>
      <c r="C3538" s="1" t="s">
        <v>2505</v>
      </c>
      <c r="D3538" s="1" t="s">
        <v>2506</v>
      </c>
      <c r="E3538" s="1" t="s">
        <v>2019</v>
      </c>
      <c r="F3538" s="1" t="s">
        <v>352</v>
      </c>
      <c r="G3538" s="6">
        <v>46409</v>
      </c>
      <c r="H3538" t="str">
        <f>IFERROR(VLOOKUP(F3538,'LEAID Match'!$A$2:$B$142,2,FALSE),"")</f>
        <v/>
      </c>
    </row>
    <row r="3539" spans="1:8" x14ac:dyDescent="0.2">
      <c r="A3539" t="str">
        <f t="shared" si="55"/>
        <v/>
      </c>
      <c r="B3539" s="1">
        <v>2019</v>
      </c>
      <c r="C3539" s="1" t="s">
        <v>2505</v>
      </c>
      <c r="D3539" s="1" t="s">
        <v>2506</v>
      </c>
      <c r="E3539" s="1" t="s">
        <v>2019</v>
      </c>
      <c r="F3539" s="1" t="s">
        <v>352</v>
      </c>
      <c r="G3539" s="6">
        <v>52729</v>
      </c>
      <c r="H3539" t="str">
        <f>IFERROR(VLOOKUP(F3539,'LEAID Match'!$A$2:$B$142,2,FALSE),"")</f>
        <v/>
      </c>
    </row>
    <row r="3540" spans="1:8" x14ac:dyDescent="0.2">
      <c r="A3540" t="str">
        <f t="shared" si="55"/>
        <v/>
      </c>
      <c r="B3540" s="1">
        <v>2020</v>
      </c>
      <c r="C3540" s="1" t="s">
        <v>2505</v>
      </c>
      <c r="D3540" s="1" t="s">
        <v>2506</v>
      </c>
      <c r="E3540" s="1" t="s">
        <v>2019</v>
      </c>
      <c r="F3540" s="1" t="s">
        <v>352</v>
      </c>
      <c r="G3540" s="6">
        <v>62304</v>
      </c>
      <c r="H3540" t="str">
        <f>IFERROR(VLOOKUP(F3540,'LEAID Match'!$A$2:$B$142,2,FALSE),"")</f>
        <v/>
      </c>
    </row>
    <row r="3541" spans="1:8" x14ac:dyDescent="0.2">
      <c r="A3541" t="str">
        <f t="shared" si="55"/>
        <v/>
      </c>
      <c r="B3541" s="1">
        <v>2021</v>
      </c>
      <c r="C3541" s="1" t="s">
        <v>2505</v>
      </c>
      <c r="D3541" s="1" t="s">
        <v>2506</v>
      </c>
      <c r="E3541" s="1" t="s">
        <v>2019</v>
      </c>
      <c r="F3541" s="1" t="s">
        <v>352</v>
      </c>
      <c r="G3541" s="6">
        <v>55155</v>
      </c>
      <c r="H3541" t="str">
        <f>IFERROR(VLOOKUP(F3541,'LEAID Match'!$A$2:$B$142,2,FALSE),"")</f>
        <v/>
      </c>
    </row>
    <row r="3542" spans="1:8" x14ac:dyDescent="0.2">
      <c r="A3542" t="str">
        <f t="shared" si="55"/>
        <v/>
      </c>
      <c r="B3542" s="1">
        <v>2022</v>
      </c>
      <c r="C3542" s="1" t="s">
        <v>2505</v>
      </c>
      <c r="D3542" s="1" t="s">
        <v>2506</v>
      </c>
      <c r="E3542" s="1" t="s">
        <v>2019</v>
      </c>
      <c r="F3542" s="1" t="s">
        <v>352</v>
      </c>
      <c r="G3542" s="6">
        <v>78108</v>
      </c>
      <c r="H3542" t="str">
        <f>IFERROR(VLOOKUP(F3542,'LEAID Match'!$A$2:$B$142,2,FALSE),"")</f>
        <v/>
      </c>
    </row>
    <row r="3543" spans="1:8" x14ac:dyDescent="0.2">
      <c r="A3543" t="str">
        <f t="shared" si="55"/>
        <v/>
      </c>
      <c r="B3543" s="1">
        <v>2023</v>
      </c>
      <c r="C3543" s="1" t="s">
        <v>2505</v>
      </c>
      <c r="D3543" s="1" t="s">
        <v>2506</v>
      </c>
      <c r="E3543" s="1" t="s">
        <v>2019</v>
      </c>
      <c r="F3543" s="1" t="s">
        <v>352</v>
      </c>
      <c r="G3543" s="6">
        <v>81124</v>
      </c>
      <c r="H3543" t="str">
        <f>IFERROR(VLOOKUP(F3543,'LEAID Match'!$A$2:$B$142,2,FALSE),"")</f>
        <v/>
      </c>
    </row>
    <row r="3544" spans="1:8" x14ac:dyDescent="0.2">
      <c r="A3544" t="str">
        <f t="shared" si="55"/>
        <v/>
      </c>
      <c r="B3544" s="1">
        <v>2024</v>
      </c>
      <c r="C3544" s="1" t="s">
        <v>2505</v>
      </c>
      <c r="D3544" s="1" t="s">
        <v>2506</v>
      </c>
      <c r="E3544" s="1" t="s">
        <v>2019</v>
      </c>
      <c r="F3544" s="1" t="s">
        <v>352</v>
      </c>
      <c r="G3544" s="6">
        <v>80113</v>
      </c>
      <c r="H3544" t="str">
        <f>IFERROR(VLOOKUP(F3544,'LEAID Match'!$A$2:$B$142,2,FALSE),"")</f>
        <v/>
      </c>
    </row>
    <row r="3545" spans="1:8" x14ac:dyDescent="0.2">
      <c r="A3545" t="str">
        <f t="shared" si="55"/>
        <v/>
      </c>
      <c r="B3545" s="1">
        <v>2015</v>
      </c>
      <c r="C3545" s="1" t="s">
        <v>2505</v>
      </c>
      <c r="D3545" s="1" t="s">
        <v>2506</v>
      </c>
      <c r="E3545" s="1" t="s">
        <v>2019</v>
      </c>
      <c r="F3545" s="1" t="s">
        <v>353</v>
      </c>
      <c r="G3545" s="6">
        <v>4662</v>
      </c>
      <c r="H3545" t="str">
        <f>IFERROR(VLOOKUP(F3545,'LEAID Match'!$A$2:$B$142,2,FALSE),"")</f>
        <v/>
      </c>
    </row>
    <row r="3546" spans="1:8" x14ac:dyDescent="0.2">
      <c r="A3546" t="str">
        <f t="shared" si="55"/>
        <v/>
      </c>
      <c r="B3546">
        <v>2016</v>
      </c>
      <c r="C3546" s="1" t="s">
        <v>2505</v>
      </c>
      <c r="D3546" s="1" t="s">
        <v>2506</v>
      </c>
      <c r="E3546" s="1" t="s">
        <v>2019</v>
      </c>
      <c r="F3546" s="1" t="s">
        <v>353</v>
      </c>
      <c r="G3546" s="12">
        <v>4763</v>
      </c>
      <c r="H3546" t="str">
        <f>IFERROR(VLOOKUP(F3546,'LEAID Match'!$A$2:$B$142,2,FALSE),"")</f>
        <v/>
      </c>
    </row>
    <row r="3547" spans="1:8" x14ac:dyDescent="0.2">
      <c r="A3547" t="str">
        <f t="shared" si="55"/>
        <v/>
      </c>
      <c r="B3547" s="1">
        <v>2017</v>
      </c>
      <c r="C3547" s="1" t="s">
        <v>2505</v>
      </c>
      <c r="D3547" s="1" t="s">
        <v>2506</v>
      </c>
      <c r="E3547" s="1" t="s">
        <v>2019</v>
      </c>
      <c r="F3547" s="1" t="s">
        <v>353</v>
      </c>
      <c r="G3547" s="47">
        <v>4944</v>
      </c>
      <c r="H3547" t="str">
        <f>IFERROR(VLOOKUP(F3547,'LEAID Match'!$A$2:$B$142,2,FALSE),"")</f>
        <v/>
      </c>
    </row>
    <row r="3548" spans="1:8" x14ac:dyDescent="0.2">
      <c r="A3548" t="str">
        <f t="shared" si="55"/>
        <v/>
      </c>
      <c r="B3548" s="1">
        <v>2018</v>
      </c>
      <c r="C3548" s="1" t="s">
        <v>2505</v>
      </c>
      <c r="D3548" s="1" t="s">
        <v>2506</v>
      </c>
      <c r="E3548" s="1" t="s">
        <v>2019</v>
      </c>
      <c r="F3548" s="1" t="s">
        <v>353</v>
      </c>
      <c r="G3548" s="6">
        <v>5714</v>
      </c>
      <c r="H3548" t="str">
        <f>IFERROR(VLOOKUP(F3548,'LEAID Match'!$A$2:$B$142,2,FALSE),"")</f>
        <v/>
      </c>
    </row>
    <row r="3549" spans="1:8" x14ac:dyDescent="0.2">
      <c r="A3549" t="str">
        <f t="shared" si="55"/>
        <v/>
      </c>
      <c r="B3549" s="1">
        <v>2019</v>
      </c>
      <c r="C3549" s="1" t="s">
        <v>2505</v>
      </c>
      <c r="D3549" s="1" t="s">
        <v>2506</v>
      </c>
      <c r="E3549" s="1" t="s">
        <v>2019</v>
      </c>
      <c r="F3549" s="1" t="s">
        <v>353</v>
      </c>
      <c r="G3549" s="6">
        <v>5443</v>
      </c>
      <c r="H3549" t="str">
        <f>IFERROR(VLOOKUP(F3549,'LEAID Match'!$A$2:$B$142,2,FALSE),"")</f>
        <v/>
      </c>
    </row>
    <row r="3550" spans="1:8" x14ac:dyDescent="0.2">
      <c r="A3550" t="str">
        <f t="shared" si="55"/>
        <v/>
      </c>
      <c r="B3550" s="1">
        <v>2020</v>
      </c>
      <c r="C3550" s="1" t="s">
        <v>2505</v>
      </c>
      <c r="D3550" s="1" t="s">
        <v>2506</v>
      </c>
      <c r="E3550" s="1" t="s">
        <v>2019</v>
      </c>
      <c r="F3550" s="1" t="s">
        <v>353</v>
      </c>
      <c r="G3550" s="6">
        <v>6013</v>
      </c>
      <c r="H3550" t="str">
        <f>IFERROR(VLOOKUP(F3550,'LEAID Match'!$A$2:$B$142,2,FALSE),"")</f>
        <v/>
      </c>
    </row>
    <row r="3551" spans="1:8" x14ac:dyDescent="0.2">
      <c r="A3551" t="str">
        <f t="shared" si="55"/>
        <v/>
      </c>
      <c r="B3551" s="1">
        <v>2021</v>
      </c>
      <c r="C3551" s="1" t="s">
        <v>2505</v>
      </c>
      <c r="D3551" s="1" t="s">
        <v>2506</v>
      </c>
      <c r="E3551" s="1" t="s">
        <v>2019</v>
      </c>
      <c r="F3551" s="1" t="s">
        <v>353</v>
      </c>
      <c r="G3551" s="6">
        <v>6013</v>
      </c>
      <c r="H3551" t="str">
        <f>IFERROR(VLOOKUP(F3551,'LEAID Match'!$A$2:$B$142,2,FALSE),"")</f>
        <v/>
      </c>
    </row>
    <row r="3552" spans="1:8" x14ac:dyDescent="0.2">
      <c r="A3552" t="str">
        <f t="shared" si="55"/>
        <v/>
      </c>
      <c r="B3552" s="1">
        <v>2022</v>
      </c>
      <c r="C3552" s="1" t="s">
        <v>2505</v>
      </c>
      <c r="D3552" s="1" t="s">
        <v>2506</v>
      </c>
      <c r="E3552" s="1" t="s">
        <v>2019</v>
      </c>
      <c r="F3552" s="1" t="s">
        <v>353</v>
      </c>
      <c r="G3552" s="6">
        <v>6198</v>
      </c>
      <c r="H3552" t="str">
        <f>IFERROR(VLOOKUP(F3552,'LEAID Match'!$A$2:$B$142,2,FALSE),"")</f>
        <v/>
      </c>
    </row>
    <row r="3553" spans="1:8" x14ac:dyDescent="0.2">
      <c r="A3553" t="str">
        <f t="shared" si="55"/>
        <v/>
      </c>
      <c r="B3553" s="1">
        <v>2023</v>
      </c>
      <c r="C3553" s="1" t="s">
        <v>2505</v>
      </c>
      <c r="D3553" s="1" t="s">
        <v>2506</v>
      </c>
      <c r="E3553" s="1" t="s">
        <v>2019</v>
      </c>
      <c r="F3553" s="1" t="s">
        <v>353</v>
      </c>
      <c r="G3553" s="6">
        <v>6396</v>
      </c>
      <c r="H3553" t="str">
        <f>IFERROR(VLOOKUP(F3553,'LEAID Match'!$A$2:$B$142,2,FALSE),"")</f>
        <v/>
      </c>
    </row>
    <row r="3554" spans="1:8" x14ac:dyDescent="0.2">
      <c r="A3554" t="str">
        <f t="shared" si="55"/>
        <v/>
      </c>
      <c r="B3554" s="1">
        <v>2024</v>
      </c>
      <c r="C3554" s="1" t="s">
        <v>2505</v>
      </c>
      <c r="D3554" s="1" t="s">
        <v>2506</v>
      </c>
      <c r="E3554" s="1" t="s">
        <v>2019</v>
      </c>
      <c r="F3554" s="1" t="s">
        <v>353</v>
      </c>
      <c r="G3554" s="6">
        <v>6516</v>
      </c>
      <c r="H3554" t="str">
        <f>IFERROR(VLOOKUP(F3554,'LEAID Match'!$A$2:$B$142,2,FALSE),"")</f>
        <v/>
      </c>
    </row>
    <row r="3555" spans="1:8" x14ac:dyDescent="0.2">
      <c r="A3555" t="str">
        <f t="shared" si="55"/>
        <v/>
      </c>
      <c r="B3555" s="1">
        <v>2015</v>
      </c>
      <c r="C3555" s="1" t="s">
        <v>2505</v>
      </c>
      <c r="D3555" s="1" t="s">
        <v>2506</v>
      </c>
      <c r="E3555" s="1" t="s">
        <v>2019</v>
      </c>
      <c r="F3555" s="1" t="s">
        <v>2031</v>
      </c>
      <c r="G3555" s="6">
        <v>328366</v>
      </c>
      <c r="H3555" t="str">
        <f>IFERROR(VLOOKUP(F3555,'LEAID Match'!$A$2:$B$142,2,FALSE),"")</f>
        <v/>
      </c>
    </row>
    <row r="3556" spans="1:8" x14ac:dyDescent="0.2">
      <c r="A3556" t="str">
        <f t="shared" si="55"/>
        <v/>
      </c>
      <c r="B3556">
        <v>2016</v>
      </c>
      <c r="C3556" s="1" t="s">
        <v>2505</v>
      </c>
      <c r="D3556" s="1" t="s">
        <v>2506</v>
      </c>
      <c r="E3556" s="1" t="s">
        <v>2019</v>
      </c>
      <c r="F3556" t="s">
        <v>2031</v>
      </c>
      <c r="G3556" s="12">
        <v>332626</v>
      </c>
      <c r="H3556" t="str">
        <f>IFERROR(VLOOKUP(F3556,'LEAID Match'!$A$2:$B$142,2,FALSE),"")</f>
        <v/>
      </c>
    </row>
    <row r="3557" spans="1:8" x14ac:dyDescent="0.2">
      <c r="A3557" t="str">
        <f t="shared" si="55"/>
        <v/>
      </c>
      <c r="B3557" s="1">
        <v>2017</v>
      </c>
      <c r="C3557" s="1" t="s">
        <v>2505</v>
      </c>
      <c r="D3557" s="1" t="s">
        <v>2506</v>
      </c>
      <c r="E3557" s="1" t="s">
        <v>2019</v>
      </c>
      <c r="F3557" s="37" t="s">
        <v>2031</v>
      </c>
      <c r="G3557" s="47">
        <v>9049</v>
      </c>
      <c r="H3557" t="str">
        <f>IFERROR(VLOOKUP(F3557,'LEAID Match'!$A$2:$B$142,2,FALSE),"")</f>
        <v/>
      </c>
    </row>
    <row r="3558" spans="1:8" x14ac:dyDescent="0.2">
      <c r="A3558">
        <f t="shared" si="55"/>
        <v>2802310</v>
      </c>
      <c r="B3558" s="1">
        <v>2015</v>
      </c>
      <c r="C3558" s="1" t="s">
        <v>2505</v>
      </c>
      <c r="D3558" s="1" t="s">
        <v>2506</v>
      </c>
      <c r="E3558" s="1" t="s">
        <v>2019</v>
      </c>
      <c r="F3558" s="1" t="s">
        <v>354</v>
      </c>
      <c r="G3558" s="6">
        <v>1112864</v>
      </c>
      <c r="H3558">
        <f>IFERROR(VLOOKUP(F3558,'LEAID Match'!$A$2:$B$142,2,FALSE),"")</f>
        <v>2802310</v>
      </c>
    </row>
    <row r="3559" spans="1:8" x14ac:dyDescent="0.2">
      <c r="A3559">
        <f t="shared" si="55"/>
        <v>2802310</v>
      </c>
      <c r="B3559">
        <v>2016</v>
      </c>
      <c r="C3559" s="1" t="s">
        <v>2505</v>
      </c>
      <c r="D3559" s="1" t="s">
        <v>2506</v>
      </c>
      <c r="E3559" s="1" t="s">
        <v>2019</v>
      </c>
      <c r="F3559" s="1" t="s">
        <v>354</v>
      </c>
      <c r="G3559" s="12">
        <v>1120115</v>
      </c>
      <c r="H3559">
        <f>IFERROR(VLOOKUP(F3559,'LEAID Match'!$A$2:$B$142,2,FALSE),"")</f>
        <v>2802310</v>
      </c>
    </row>
    <row r="3560" spans="1:8" x14ac:dyDescent="0.2">
      <c r="A3560">
        <f t="shared" si="55"/>
        <v>2802310</v>
      </c>
      <c r="B3560" s="1">
        <v>2017</v>
      </c>
      <c r="C3560" s="1" t="s">
        <v>2505</v>
      </c>
      <c r="D3560" s="1" t="s">
        <v>2506</v>
      </c>
      <c r="E3560" s="1" t="s">
        <v>2019</v>
      </c>
      <c r="F3560" s="1" t="s">
        <v>354</v>
      </c>
      <c r="G3560" s="47">
        <v>1063015</v>
      </c>
      <c r="H3560">
        <f>IFERROR(VLOOKUP(F3560,'LEAID Match'!$A$2:$B$142,2,FALSE),"")</f>
        <v>2802310</v>
      </c>
    </row>
    <row r="3561" spans="1:8" x14ac:dyDescent="0.2">
      <c r="A3561">
        <f t="shared" si="55"/>
        <v>2802310</v>
      </c>
      <c r="B3561" s="1">
        <v>2018</v>
      </c>
      <c r="C3561" s="1" t="s">
        <v>2505</v>
      </c>
      <c r="D3561" s="1" t="s">
        <v>2506</v>
      </c>
      <c r="E3561" s="1" t="s">
        <v>2019</v>
      </c>
      <c r="F3561" s="1" t="s">
        <v>354</v>
      </c>
      <c r="G3561" s="6">
        <v>1215927</v>
      </c>
      <c r="H3561">
        <f>IFERROR(VLOOKUP(F3561,'LEAID Match'!$A$2:$B$142,2,FALSE),"")</f>
        <v>2802310</v>
      </c>
    </row>
    <row r="3562" spans="1:8" x14ac:dyDescent="0.2">
      <c r="A3562">
        <f t="shared" si="55"/>
        <v>2802310</v>
      </c>
      <c r="B3562" s="1">
        <v>2019</v>
      </c>
      <c r="C3562" s="1" t="s">
        <v>2505</v>
      </c>
      <c r="D3562" s="1" t="s">
        <v>2506</v>
      </c>
      <c r="E3562" s="1" t="s">
        <v>2019</v>
      </c>
      <c r="F3562" s="1" t="s">
        <v>354</v>
      </c>
      <c r="G3562" s="6">
        <v>1148685</v>
      </c>
      <c r="H3562">
        <f>IFERROR(VLOOKUP(F3562,'LEAID Match'!$A$2:$B$142,2,FALSE),"")</f>
        <v>2802310</v>
      </c>
    </row>
    <row r="3563" spans="1:8" x14ac:dyDescent="0.2">
      <c r="A3563">
        <f t="shared" si="55"/>
        <v>2802310</v>
      </c>
      <c r="B3563" s="1">
        <v>2020</v>
      </c>
      <c r="C3563" s="1" t="s">
        <v>2505</v>
      </c>
      <c r="D3563" s="1" t="s">
        <v>2506</v>
      </c>
      <c r="E3563" s="1" t="s">
        <v>2019</v>
      </c>
      <c r="F3563" s="1" t="s">
        <v>354</v>
      </c>
      <c r="G3563" s="6">
        <v>1283004</v>
      </c>
      <c r="H3563">
        <f>IFERROR(VLOOKUP(F3563,'LEAID Match'!$A$2:$B$142,2,FALSE),"")</f>
        <v>2802310</v>
      </c>
    </row>
    <row r="3564" spans="1:8" x14ac:dyDescent="0.2">
      <c r="A3564">
        <f t="shared" si="55"/>
        <v>2802310</v>
      </c>
      <c r="B3564" s="1">
        <v>2021</v>
      </c>
      <c r="C3564" s="1" t="s">
        <v>2505</v>
      </c>
      <c r="D3564" s="1" t="s">
        <v>2506</v>
      </c>
      <c r="E3564" s="1" t="s">
        <v>2019</v>
      </c>
      <c r="F3564" s="1" t="s">
        <v>354</v>
      </c>
      <c r="G3564" s="6">
        <v>1343866</v>
      </c>
      <c r="H3564">
        <f>IFERROR(VLOOKUP(F3564,'LEAID Match'!$A$2:$B$142,2,FALSE),"")</f>
        <v>2802310</v>
      </c>
    </row>
    <row r="3565" spans="1:8" x14ac:dyDescent="0.2">
      <c r="A3565">
        <f t="shared" si="55"/>
        <v>2802310</v>
      </c>
      <c r="B3565" s="1">
        <v>2022</v>
      </c>
      <c r="C3565" s="1" t="s">
        <v>2505</v>
      </c>
      <c r="D3565" s="1" t="s">
        <v>2506</v>
      </c>
      <c r="E3565" s="1" t="s">
        <v>2019</v>
      </c>
      <c r="F3565" s="1" t="s">
        <v>354</v>
      </c>
      <c r="G3565" s="6">
        <v>1488350</v>
      </c>
      <c r="H3565">
        <f>IFERROR(VLOOKUP(F3565,'LEAID Match'!$A$2:$B$142,2,FALSE),"")</f>
        <v>2802310</v>
      </c>
    </row>
    <row r="3566" spans="1:8" x14ac:dyDescent="0.2">
      <c r="A3566">
        <f t="shared" si="55"/>
        <v>2802310</v>
      </c>
      <c r="B3566" s="1">
        <v>2023</v>
      </c>
      <c r="C3566" s="1" t="s">
        <v>2505</v>
      </c>
      <c r="D3566" s="1" t="s">
        <v>2506</v>
      </c>
      <c r="E3566" s="1" t="s">
        <v>2019</v>
      </c>
      <c r="F3566" s="1" t="s">
        <v>354</v>
      </c>
      <c r="G3566" s="6">
        <v>1700148</v>
      </c>
      <c r="H3566">
        <f>IFERROR(VLOOKUP(F3566,'LEAID Match'!$A$2:$B$142,2,FALSE),"")</f>
        <v>2802310</v>
      </c>
    </row>
    <row r="3567" spans="1:8" x14ac:dyDescent="0.2">
      <c r="A3567">
        <f t="shared" si="55"/>
        <v>2802310</v>
      </c>
      <c r="B3567" s="1">
        <v>2024</v>
      </c>
      <c r="C3567" s="1" t="s">
        <v>2505</v>
      </c>
      <c r="D3567" s="1" t="s">
        <v>2506</v>
      </c>
      <c r="E3567" s="1" t="s">
        <v>2019</v>
      </c>
      <c r="F3567" s="1" t="s">
        <v>354</v>
      </c>
      <c r="G3567" s="6">
        <v>1693705</v>
      </c>
      <c r="H3567">
        <f>IFERROR(VLOOKUP(F3567,'LEAID Match'!$A$2:$B$142,2,FALSE),"")</f>
        <v>2802310</v>
      </c>
    </row>
    <row r="3568" spans="1:8" x14ac:dyDescent="0.2">
      <c r="A3568" t="str">
        <f t="shared" si="55"/>
        <v/>
      </c>
      <c r="B3568" s="1">
        <v>2015</v>
      </c>
      <c r="C3568" s="1" t="s">
        <v>2505</v>
      </c>
      <c r="D3568" s="1" t="s">
        <v>2506</v>
      </c>
      <c r="E3568" s="1" t="s">
        <v>2019</v>
      </c>
      <c r="F3568" s="1" t="s">
        <v>355</v>
      </c>
      <c r="G3568" s="6">
        <v>657169</v>
      </c>
      <c r="H3568" t="str">
        <f>IFERROR(VLOOKUP(F3568,'LEAID Match'!$A$2:$B$142,2,FALSE),"")</f>
        <v/>
      </c>
    </row>
    <row r="3569" spans="1:8" x14ac:dyDescent="0.2">
      <c r="A3569" t="str">
        <f t="shared" si="55"/>
        <v/>
      </c>
      <c r="B3569">
        <v>2016</v>
      </c>
      <c r="C3569" s="1" t="s">
        <v>2505</v>
      </c>
      <c r="D3569" s="1" t="s">
        <v>2506</v>
      </c>
      <c r="E3569" s="1" t="s">
        <v>2019</v>
      </c>
      <c r="F3569" s="1" t="s">
        <v>355</v>
      </c>
      <c r="G3569" s="12">
        <v>646063</v>
      </c>
      <c r="H3569" t="str">
        <f>IFERROR(VLOOKUP(F3569,'LEAID Match'!$A$2:$B$142,2,FALSE),"")</f>
        <v/>
      </c>
    </row>
    <row r="3570" spans="1:8" x14ac:dyDescent="0.2">
      <c r="A3570" t="str">
        <f t="shared" si="55"/>
        <v/>
      </c>
      <c r="B3570" s="1">
        <v>2017</v>
      </c>
      <c r="C3570" s="1" t="s">
        <v>2505</v>
      </c>
      <c r="D3570" s="1" t="s">
        <v>2506</v>
      </c>
      <c r="E3570" s="1" t="s">
        <v>2019</v>
      </c>
      <c r="F3570" s="1" t="s">
        <v>355</v>
      </c>
      <c r="G3570" s="47">
        <v>683045</v>
      </c>
      <c r="H3570" t="str">
        <f>IFERROR(VLOOKUP(F3570,'LEAID Match'!$A$2:$B$142,2,FALSE),"")</f>
        <v/>
      </c>
    </row>
    <row r="3571" spans="1:8" x14ac:dyDescent="0.2">
      <c r="A3571" t="str">
        <f t="shared" si="55"/>
        <v/>
      </c>
      <c r="B3571" s="1">
        <v>2018</v>
      </c>
      <c r="C3571" s="1" t="s">
        <v>2505</v>
      </c>
      <c r="D3571" s="1" t="s">
        <v>2506</v>
      </c>
      <c r="E3571" s="1" t="s">
        <v>2019</v>
      </c>
      <c r="F3571" s="1" t="s">
        <v>355</v>
      </c>
      <c r="G3571" s="6">
        <v>609533</v>
      </c>
      <c r="H3571" t="str">
        <f>IFERROR(VLOOKUP(F3571,'LEAID Match'!$A$2:$B$142,2,FALSE),"")</f>
        <v/>
      </c>
    </row>
    <row r="3572" spans="1:8" x14ac:dyDescent="0.2">
      <c r="A3572" t="str">
        <f t="shared" si="55"/>
        <v/>
      </c>
      <c r="B3572" s="1">
        <v>2019</v>
      </c>
      <c r="C3572" s="1" t="s">
        <v>2505</v>
      </c>
      <c r="D3572" s="1" t="s">
        <v>2506</v>
      </c>
      <c r="E3572" s="1" t="s">
        <v>2019</v>
      </c>
      <c r="F3572" s="1" t="s">
        <v>355</v>
      </c>
      <c r="G3572" s="6">
        <v>643218</v>
      </c>
      <c r="H3572" t="str">
        <f>IFERROR(VLOOKUP(F3572,'LEAID Match'!$A$2:$B$142,2,FALSE),"")</f>
        <v/>
      </c>
    </row>
    <row r="3573" spans="1:8" x14ac:dyDescent="0.2">
      <c r="A3573" t="str">
        <f t="shared" si="55"/>
        <v/>
      </c>
      <c r="B3573" s="1">
        <v>2020</v>
      </c>
      <c r="C3573" s="1" t="s">
        <v>2505</v>
      </c>
      <c r="D3573" s="1" t="s">
        <v>2506</v>
      </c>
      <c r="E3573" s="1" t="s">
        <v>2019</v>
      </c>
      <c r="F3573" s="1" t="s">
        <v>355</v>
      </c>
      <c r="G3573" s="6">
        <v>731614</v>
      </c>
      <c r="H3573" t="str">
        <f>IFERROR(VLOOKUP(F3573,'LEAID Match'!$A$2:$B$142,2,FALSE),"")</f>
        <v/>
      </c>
    </row>
    <row r="3574" spans="1:8" x14ac:dyDescent="0.2">
      <c r="A3574" t="str">
        <f t="shared" si="55"/>
        <v/>
      </c>
      <c r="B3574" s="1">
        <v>2021</v>
      </c>
      <c r="C3574" s="1" t="s">
        <v>2505</v>
      </c>
      <c r="D3574" s="1" t="s">
        <v>2506</v>
      </c>
      <c r="E3574" s="1" t="s">
        <v>2019</v>
      </c>
      <c r="F3574" s="1" t="s">
        <v>355</v>
      </c>
      <c r="G3574" s="6">
        <v>734637</v>
      </c>
      <c r="H3574" t="str">
        <f>IFERROR(VLOOKUP(F3574,'LEAID Match'!$A$2:$B$142,2,FALSE),"")</f>
        <v/>
      </c>
    </row>
    <row r="3575" spans="1:8" x14ac:dyDescent="0.2">
      <c r="A3575" t="str">
        <f t="shared" si="55"/>
        <v/>
      </c>
      <c r="B3575" s="1">
        <v>2022</v>
      </c>
      <c r="C3575" s="1" t="s">
        <v>2505</v>
      </c>
      <c r="D3575" s="1" t="s">
        <v>2506</v>
      </c>
      <c r="E3575" s="1" t="s">
        <v>2019</v>
      </c>
      <c r="F3575" s="1" t="s">
        <v>355</v>
      </c>
      <c r="G3575" s="6">
        <v>762823</v>
      </c>
      <c r="H3575" t="str">
        <f>IFERROR(VLOOKUP(F3575,'LEAID Match'!$A$2:$B$142,2,FALSE),"")</f>
        <v/>
      </c>
    </row>
    <row r="3576" spans="1:8" x14ac:dyDescent="0.2">
      <c r="A3576" t="str">
        <f t="shared" si="55"/>
        <v/>
      </c>
      <c r="B3576" s="1">
        <v>2023</v>
      </c>
      <c r="C3576" s="1" t="s">
        <v>2505</v>
      </c>
      <c r="D3576" s="1" t="s">
        <v>2506</v>
      </c>
      <c r="E3576" s="1" t="s">
        <v>2019</v>
      </c>
      <c r="F3576" s="1" t="s">
        <v>355</v>
      </c>
      <c r="G3576" s="6">
        <v>876598</v>
      </c>
      <c r="H3576" t="str">
        <f>IFERROR(VLOOKUP(F3576,'LEAID Match'!$A$2:$B$142,2,FALSE),"")</f>
        <v/>
      </c>
    </row>
    <row r="3577" spans="1:8" x14ac:dyDescent="0.2">
      <c r="A3577" t="str">
        <f t="shared" si="55"/>
        <v/>
      </c>
      <c r="B3577" s="1">
        <v>2024</v>
      </c>
      <c r="C3577" s="1" t="s">
        <v>2505</v>
      </c>
      <c r="D3577" s="1" t="s">
        <v>2506</v>
      </c>
      <c r="E3577" s="1" t="s">
        <v>2019</v>
      </c>
      <c r="F3577" s="1" t="s">
        <v>355</v>
      </c>
      <c r="G3577" s="6">
        <v>917252</v>
      </c>
      <c r="H3577" t="str">
        <f>IFERROR(VLOOKUP(F3577,'LEAID Match'!$A$2:$B$142,2,FALSE),"")</f>
        <v/>
      </c>
    </row>
    <row r="3578" spans="1:8" x14ac:dyDescent="0.2">
      <c r="A3578" t="str">
        <f t="shared" si="55"/>
        <v/>
      </c>
      <c r="B3578" s="1">
        <v>2015</v>
      </c>
      <c r="C3578" s="1" t="s">
        <v>2505</v>
      </c>
      <c r="D3578" s="1" t="s">
        <v>2506</v>
      </c>
      <c r="E3578" s="1" t="s">
        <v>2019</v>
      </c>
      <c r="F3578" s="1" t="s">
        <v>356</v>
      </c>
      <c r="G3578" s="6">
        <v>21720</v>
      </c>
      <c r="H3578" t="str">
        <f>IFERROR(VLOOKUP(F3578,'LEAID Match'!$A$2:$B$142,2,FALSE),"")</f>
        <v/>
      </c>
    </row>
    <row r="3579" spans="1:8" x14ac:dyDescent="0.2">
      <c r="A3579" t="str">
        <f t="shared" si="55"/>
        <v/>
      </c>
      <c r="B3579">
        <v>2016</v>
      </c>
      <c r="C3579" s="1" t="s">
        <v>2505</v>
      </c>
      <c r="D3579" s="1" t="s">
        <v>2506</v>
      </c>
      <c r="E3579" s="1" t="s">
        <v>2019</v>
      </c>
      <c r="F3579" s="1" t="s">
        <v>356</v>
      </c>
      <c r="G3579" s="12">
        <v>20679</v>
      </c>
      <c r="H3579" t="str">
        <f>IFERROR(VLOOKUP(F3579,'LEAID Match'!$A$2:$B$142,2,FALSE),"")</f>
        <v/>
      </c>
    </row>
    <row r="3580" spans="1:8" x14ac:dyDescent="0.2">
      <c r="A3580" t="str">
        <f t="shared" si="55"/>
        <v/>
      </c>
      <c r="B3580" s="1">
        <v>2017</v>
      </c>
      <c r="C3580" s="1" t="s">
        <v>2505</v>
      </c>
      <c r="D3580" s="1" t="s">
        <v>2506</v>
      </c>
      <c r="E3580" s="1" t="s">
        <v>2019</v>
      </c>
      <c r="F3580" s="1" t="s">
        <v>356</v>
      </c>
      <c r="G3580" s="47">
        <v>18071</v>
      </c>
      <c r="H3580" t="str">
        <f>IFERROR(VLOOKUP(F3580,'LEAID Match'!$A$2:$B$142,2,FALSE),"")</f>
        <v/>
      </c>
    </row>
    <row r="3581" spans="1:8" x14ac:dyDescent="0.2">
      <c r="A3581" t="str">
        <f t="shared" si="55"/>
        <v/>
      </c>
      <c r="B3581" s="1">
        <v>2018</v>
      </c>
      <c r="C3581" s="1" t="s">
        <v>2505</v>
      </c>
      <c r="D3581" s="1" t="s">
        <v>2506</v>
      </c>
      <c r="E3581" s="1" t="s">
        <v>2019</v>
      </c>
      <c r="F3581" s="1" t="s">
        <v>356</v>
      </c>
      <c r="G3581" s="6">
        <v>21608</v>
      </c>
      <c r="H3581" t="str">
        <f>IFERROR(VLOOKUP(F3581,'LEAID Match'!$A$2:$B$142,2,FALSE),"")</f>
        <v/>
      </c>
    </row>
    <row r="3582" spans="1:8" x14ac:dyDescent="0.2">
      <c r="A3582" t="str">
        <f t="shared" si="55"/>
        <v/>
      </c>
      <c r="B3582" s="1">
        <v>2019</v>
      </c>
      <c r="C3582" s="1" t="s">
        <v>2505</v>
      </c>
      <c r="D3582" s="1" t="s">
        <v>2506</v>
      </c>
      <c r="E3582" s="1" t="s">
        <v>2019</v>
      </c>
      <c r="F3582" s="1" t="s">
        <v>356</v>
      </c>
      <c r="G3582" s="6">
        <v>21276</v>
      </c>
      <c r="H3582" t="str">
        <f>IFERROR(VLOOKUP(F3582,'LEAID Match'!$A$2:$B$142,2,FALSE),"")</f>
        <v/>
      </c>
    </row>
    <row r="3583" spans="1:8" x14ac:dyDescent="0.2">
      <c r="A3583" t="str">
        <f t="shared" si="55"/>
        <v/>
      </c>
      <c r="B3583" s="1">
        <v>2020</v>
      </c>
      <c r="C3583" s="1" t="s">
        <v>2505</v>
      </c>
      <c r="D3583" s="1" t="s">
        <v>2506</v>
      </c>
      <c r="E3583" s="1" t="s">
        <v>2019</v>
      </c>
      <c r="F3583" s="1" t="s">
        <v>356</v>
      </c>
      <c r="G3583" s="6">
        <v>27419</v>
      </c>
      <c r="H3583" t="str">
        <f>IFERROR(VLOOKUP(F3583,'LEAID Match'!$A$2:$B$142,2,FALSE),"")</f>
        <v/>
      </c>
    </row>
    <row r="3584" spans="1:8" x14ac:dyDescent="0.2">
      <c r="A3584" t="str">
        <f t="shared" si="55"/>
        <v/>
      </c>
      <c r="B3584" s="1">
        <v>2021</v>
      </c>
      <c r="C3584" s="1" t="s">
        <v>2505</v>
      </c>
      <c r="D3584" s="1" t="s">
        <v>2506</v>
      </c>
      <c r="E3584" s="1" t="s">
        <v>2019</v>
      </c>
      <c r="F3584" s="1" t="s">
        <v>356</v>
      </c>
      <c r="G3584" s="6">
        <v>29128</v>
      </c>
      <c r="H3584" t="str">
        <f>IFERROR(VLOOKUP(F3584,'LEAID Match'!$A$2:$B$142,2,FALSE),"")</f>
        <v/>
      </c>
    </row>
    <row r="3585" spans="1:8" x14ac:dyDescent="0.2">
      <c r="A3585" t="str">
        <f t="shared" si="55"/>
        <v/>
      </c>
      <c r="B3585" s="1">
        <v>2022</v>
      </c>
      <c r="C3585" s="1" t="s">
        <v>2505</v>
      </c>
      <c r="D3585" s="1" t="s">
        <v>2506</v>
      </c>
      <c r="E3585" s="1" t="s">
        <v>2019</v>
      </c>
      <c r="F3585" s="1" t="s">
        <v>356</v>
      </c>
      <c r="G3585" s="6">
        <v>27865</v>
      </c>
      <c r="H3585" t="str">
        <f>IFERROR(VLOOKUP(F3585,'LEAID Match'!$A$2:$B$142,2,FALSE),"")</f>
        <v/>
      </c>
    </row>
    <row r="3586" spans="1:8" x14ac:dyDescent="0.2">
      <c r="A3586" t="str">
        <f t="shared" si="55"/>
        <v/>
      </c>
      <c r="B3586" s="1">
        <v>2023</v>
      </c>
      <c r="C3586" s="1" t="s">
        <v>2505</v>
      </c>
      <c r="D3586" s="1" t="s">
        <v>2506</v>
      </c>
      <c r="E3586" s="1" t="s">
        <v>2019</v>
      </c>
      <c r="F3586" s="1" t="s">
        <v>356</v>
      </c>
      <c r="G3586" s="6">
        <v>22678</v>
      </c>
      <c r="H3586" t="str">
        <f>IFERROR(VLOOKUP(F3586,'LEAID Match'!$A$2:$B$142,2,FALSE),"")</f>
        <v/>
      </c>
    </row>
    <row r="3587" spans="1:8" x14ac:dyDescent="0.2">
      <c r="A3587" t="str">
        <f t="shared" ref="A3587:A3650" si="56">H3587</f>
        <v/>
      </c>
      <c r="B3587" s="1">
        <v>2024</v>
      </c>
      <c r="C3587" s="1" t="s">
        <v>2505</v>
      </c>
      <c r="D3587" s="1" t="s">
        <v>2506</v>
      </c>
      <c r="E3587" s="1" t="s">
        <v>2019</v>
      </c>
      <c r="F3587" s="1" t="s">
        <v>356</v>
      </c>
      <c r="G3587" s="6">
        <v>23029</v>
      </c>
      <c r="H3587" t="str">
        <f>IFERROR(VLOOKUP(F3587,'LEAID Match'!$A$2:$B$142,2,FALSE),"")</f>
        <v/>
      </c>
    </row>
    <row r="3588" spans="1:8" x14ac:dyDescent="0.2">
      <c r="A3588" t="str">
        <f t="shared" si="56"/>
        <v/>
      </c>
      <c r="B3588" s="1">
        <v>2015</v>
      </c>
      <c r="C3588" s="1" t="s">
        <v>2505</v>
      </c>
      <c r="D3588" s="1" t="s">
        <v>2506</v>
      </c>
      <c r="E3588" s="1" t="s">
        <v>2019</v>
      </c>
      <c r="F3588" s="1" t="s">
        <v>357</v>
      </c>
      <c r="G3588" s="6">
        <v>30168</v>
      </c>
      <c r="H3588" t="str">
        <f>IFERROR(VLOOKUP(F3588,'LEAID Match'!$A$2:$B$142,2,FALSE),"")</f>
        <v/>
      </c>
    </row>
    <row r="3589" spans="1:8" x14ac:dyDescent="0.2">
      <c r="A3589" t="str">
        <f t="shared" si="56"/>
        <v/>
      </c>
      <c r="B3589">
        <v>2016</v>
      </c>
      <c r="C3589" s="1" t="s">
        <v>2505</v>
      </c>
      <c r="D3589" s="1" t="s">
        <v>2506</v>
      </c>
      <c r="E3589" s="1" t="s">
        <v>2019</v>
      </c>
      <c r="F3589" s="1" t="s">
        <v>357</v>
      </c>
      <c r="G3589" s="12">
        <v>30463</v>
      </c>
      <c r="H3589" t="str">
        <f>IFERROR(VLOOKUP(F3589,'LEAID Match'!$A$2:$B$142,2,FALSE),"")</f>
        <v/>
      </c>
    </row>
    <row r="3590" spans="1:8" x14ac:dyDescent="0.2">
      <c r="A3590" t="str">
        <f t="shared" si="56"/>
        <v/>
      </c>
      <c r="B3590" s="1">
        <v>2017</v>
      </c>
      <c r="C3590" s="1" t="s">
        <v>2505</v>
      </c>
      <c r="D3590" s="1" t="s">
        <v>2506</v>
      </c>
      <c r="E3590" s="1" t="s">
        <v>2019</v>
      </c>
      <c r="F3590" s="1" t="s">
        <v>357</v>
      </c>
      <c r="G3590" s="47">
        <v>30667</v>
      </c>
      <c r="H3590" t="str">
        <f>IFERROR(VLOOKUP(F3590,'LEAID Match'!$A$2:$B$142,2,FALSE),"")</f>
        <v/>
      </c>
    </row>
    <row r="3591" spans="1:8" x14ac:dyDescent="0.2">
      <c r="A3591" t="str">
        <f t="shared" si="56"/>
        <v/>
      </c>
      <c r="B3591" s="1">
        <v>2018</v>
      </c>
      <c r="C3591" s="1" t="s">
        <v>2505</v>
      </c>
      <c r="D3591" s="1" t="s">
        <v>2506</v>
      </c>
      <c r="E3591" s="1" t="s">
        <v>2019</v>
      </c>
      <c r="F3591" s="1" t="s">
        <v>357</v>
      </c>
      <c r="G3591" s="6">
        <v>28119</v>
      </c>
      <c r="H3591" t="str">
        <f>IFERROR(VLOOKUP(F3591,'LEAID Match'!$A$2:$B$142,2,FALSE),"")</f>
        <v/>
      </c>
    </row>
    <row r="3592" spans="1:8" x14ac:dyDescent="0.2">
      <c r="A3592" t="str">
        <f t="shared" si="56"/>
        <v/>
      </c>
      <c r="B3592" s="1">
        <v>2019</v>
      </c>
      <c r="C3592" s="1" t="s">
        <v>2505</v>
      </c>
      <c r="D3592" s="1" t="s">
        <v>2506</v>
      </c>
      <c r="E3592" s="1" t="s">
        <v>2019</v>
      </c>
      <c r="F3592" s="1" t="s">
        <v>357</v>
      </c>
      <c r="G3592" s="6">
        <v>28600</v>
      </c>
      <c r="H3592" t="str">
        <f>IFERROR(VLOOKUP(F3592,'LEAID Match'!$A$2:$B$142,2,FALSE),"")</f>
        <v/>
      </c>
    </row>
    <row r="3593" spans="1:8" x14ac:dyDescent="0.2">
      <c r="A3593" t="str">
        <f t="shared" si="56"/>
        <v/>
      </c>
      <c r="B3593" s="1">
        <v>2020</v>
      </c>
      <c r="C3593" s="1" t="s">
        <v>2505</v>
      </c>
      <c r="D3593" s="1" t="s">
        <v>2506</v>
      </c>
      <c r="E3593" s="1" t="s">
        <v>2019</v>
      </c>
      <c r="F3593" s="1" t="s">
        <v>357</v>
      </c>
      <c r="G3593" s="6">
        <v>31860</v>
      </c>
      <c r="H3593" t="str">
        <f>IFERROR(VLOOKUP(F3593,'LEAID Match'!$A$2:$B$142,2,FALSE),"")</f>
        <v/>
      </c>
    </row>
    <row r="3594" spans="1:8" x14ac:dyDescent="0.2">
      <c r="A3594" t="str">
        <f t="shared" si="56"/>
        <v/>
      </c>
      <c r="B3594" s="1">
        <v>2021</v>
      </c>
      <c r="C3594" s="1" t="s">
        <v>2505</v>
      </c>
      <c r="D3594" s="1" t="s">
        <v>2506</v>
      </c>
      <c r="E3594" s="1" t="s">
        <v>2019</v>
      </c>
      <c r="F3594" s="1" t="s">
        <v>357</v>
      </c>
      <c r="G3594" s="6">
        <v>34253</v>
      </c>
      <c r="H3594" t="str">
        <f>IFERROR(VLOOKUP(F3594,'LEAID Match'!$A$2:$B$142,2,FALSE),"")</f>
        <v/>
      </c>
    </row>
    <row r="3595" spans="1:8" x14ac:dyDescent="0.2">
      <c r="A3595" t="str">
        <f t="shared" si="56"/>
        <v/>
      </c>
      <c r="B3595" s="1">
        <v>2022</v>
      </c>
      <c r="C3595" s="1" t="s">
        <v>2505</v>
      </c>
      <c r="D3595" s="1" t="s">
        <v>2506</v>
      </c>
      <c r="E3595" s="1" t="s">
        <v>2019</v>
      </c>
      <c r="F3595" s="1" t="s">
        <v>357</v>
      </c>
      <c r="G3595" s="6">
        <v>29480</v>
      </c>
      <c r="H3595" t="str">
        <f>IFERROR(VLOOKUP(F3595,'LEAID Match'!$A$2:$B$142,2,FALSE),"")</f>
        <v/>
      </c>
    </row>
    <row r="3596" spans="1:8" x14ac:dyDescent="0.2">
      <c r="A3596" t="str">
        <f t="shared" si="56"/>
        <v/>
      </c>
      <c r="B3596" s="1">
        <v>2023</v>
      </c>
      <c r="C3596" s="1" t="s">
        <v>2505</v>
      </c>
      <c r="D3596" s="1" t="s">
        <v>2506</v>
      </c>
      <c r="E3596" s="1" t="s">
        <v>2019</v>
      </c>
      <c r="F3596" s="1" t="s">
        <v>357</v>
      </c>
      <c r="G3596" s="6">
        <v>34105</v>
      </c>
      <c r="H3596" t="str">
        <f>IFERROR(VLOOKUP(F3596,'LEAID Match'!$A$2:$B$142,2,FALSE),"")</f>
        <v/>
      </c>
    </row>
    <row r="3597" spans="1:8" x14ac:dyDescent="0.2">
      <c r="A3597" t="str">
        <f t="shared" si="56"/>
        <v/>
      </c>
      <c r="B3597" s="1">
        <v>2024</v>
      </c>
      <c r="C3597" s="1" t="s">
        <v>2505</v>
      </c>
      <c r="D3597" s="1" t="s">
        <v>2506</v>
      </c>
      <c r="E3597" s="1" t="s">
        <v>2019</v>
      </c>
      <c r="F3597" s="1" t="s">
        <v>357</v>
      </c>
      <c r="G3597" s="6">
        <v>40767</v>
      </c>
      <c r="H3597" t="str">
        <f>IFERROR(VLOOKUP(F3597,'LEAID Match'!$A$2:$B$142,2,FALSE),"")</f>
        <v/>
      </c>
    </row>
    <row r="3598" spans="1:8" x14ac:dyDescent="0.2">
      <c r="A3598" t="str">
        <f t="shared" si="56"/>
        <v/>
      </c>
      <c r="B3598" s="1">
        <v>2015</v>
      </c>
      <c r="C3598" s="1" t="s">
        <v>2505</v>
      </c>
      <c r="D3598" s="1" t="s">
        <v>2506</v>
      </c>
      <c r="E3598" s="1" t="s">
        <v>2019</v>
      </c>
      <c r="F3598" s="1" t="s">
        <v>358</v>
      </c>
      <c r="G3598" s="6">
        <v>38939</v>
      </c>
      <c r="H3598" t="str">
        <f>IFERROR(VLOOKUP(F3598,'LEAID Match'!$A$2:$B$142,2,FALSE),"")</f>
        <v/>
      </c>
    </row>
    <row r="3599" spans="1:8" x14ac:dyDescent="0.2">
      <c r="A3599" t="str">
        <f t="shared" si="56"/>
        <v/>
      </c>
      <c r="B3599">
        <v>2016</v>
      </c>
      <c r="C3599" s="1" t="s">
        <v>2505</v>
      </c>
      <c r="D3599" s="1" t="s">
        <v>2506</v>
      </c>
      <c r="E3599" s="1" t="s">
        <v>2019</v>
      </c>
      <c r="F3599" s="1" t="s">
        <v>358</v>
      </c>
      <c r="G3599" s="12">
        <v>40446</v>
      </c>
      <c r="H3599" t="str">
        <f>IFERROR(VLOOKUP(F3599,'LEAID Match'!$A$2:$B$142,2,FALSE),"")</f>
        <v/>
      </c>
    </row>
    <row r="3600" spans="1:8" x14ac:dyDescent="0.2">
      <c r="A3600" t="str">
        <f t="shared" si="56"/>
        <v/>
      </c>
      <c r="B3600" s="1">
        <v>2017</v>
      </c>
      <c r="C3600" s="1" t="s">
        <v>2505</v>
      </c>
      <c r="D3600" s="1" t="s">
        <v>2506</v>
      </c>
      <c r="E3600" s="1" t="s">
        <v>2019</v>
      </c>
      <c r="F3600" s="1" t="s">
        <v>358</v>
      </c>
      <c r="G3600" s="47">
        <v>39151</v>
      </c>
      <c r="H3600" t="str">
        <f>IFERROR(VLOOKUP(F3600,'LEAID Match'!$A$2:$B$142,2,FALSE),"")</f>
        <v/>
      </c>
    </row>
    <row r="3601" spans="1:8" x14ac:dyDescent="0.2">
      <c r="A3601" t="str">
        <f t="shared" si="56"/>
        <v/>
      </c>
      <c r="B3601" s="1">
        <v>2018</v>
      </c>
      <c r="C3601" s="1" t="s">
        <v>2505</v>
      </c>
      <c r="D3601" s="1" t="s">
        <v>2506</v>
      </c>
      <c r="E3601" s="1" t="s">
        <v>2019</v>
      </c>
      <c r="F3601" s="1" t="s">
        <v>358</v>
      </c>
      <c r="G3601" s="6">
        <v>40721</v>
      </c>
      <c r="H3601" t="str">
        <f>IFERROR(VLOOKUP(F3601,'LEAID Match'!$A$2:$B$142,2,FALSE),"")</f>
        <v/>
      </c>
    </row>
    <row r="3602" spans="1:8" x14ac:dyDescent="0.2">
      <c r="A3602" t="str">
        <f t="shared" si="56"/>
        <v/>
      </c>
      <c r="B3602" s="1">
        <v>2019</v>
      </c>
      <c r="C3602" s="1" t="s">
        <v>2505</v>
      </c>
      <c r="D3602" s="1" t="s">
        <v>2506</v>
      </c>
      <c r="E3602" s="1" t="s">
        <v>2019</v>
      </c>
      <c r="F3602" s="1" t="s">
        <v>358</v>
      </c>
      <c r="G3602" s="6">
        <v>50769</v>
      </c>
      <c r="H3602" t="str">
        <f>IFERROR(VLOOKUP(F3602,'LEAID Match'!$A$2:$B$142,2,FALSE),"")</f>
        <v/>
      </c>
    </row>
    <row r="3603" spans="1:8" x14ac:dyDescent="0.2">
      <c r="A3603" t="str">
        <f t="shared" si="56"/>
        <v/>
      </c>
      <c r="B3603" s="1">
        <v>2020</v>
      </c>
      <c r="C3603" s="1" t="s">
        <v>2505</v>
      </c>
      <c r="D3603" s="1" t="s">
        <v>2506</v>
      </c>
      <c r="E3603" s="1" t="s">
        <v>2019</v>
      </c>
      <c r="F3603" s="1" t="s">
        <v>358</v>
      </c>
      <c r="G3603" s="6">
        <v>56485</v>
      </c>
      <c r="H3603" t="str">
        <f>IFERROR(VLOOKUP(F3603,'LEAID Match'!$A$2:$B$142,2,FALSE),"")</f>
        <v/>
      </c>
    </row>
    <row r="3604" spans="1:8" x14ac:dyDescent="0.2">
      <c r="A3604" t="str">
        <f t="shared" si="56"/>
        <v/>
      </c>
      <c r="B3604" s="1">
        <v>2021</v>
      </c>
      <c r="C3604" s="1" t="s">
        <v>2505</v>
      </c>
      <c r="D3604" s="1" t="s">
        <v>2506</v>
      </c>
      <c r="E3604" s="1" t="s">
        <v>2019</v>
      </c>
      <c r="F3604" s="1" t="s">
        <v>358</v>
      </c>
      <c r="G3604" s="6">
        <v>51963</v>
      </c>
      <c r="H3604" t="str">
        <f>IFERROR(VLOOKUP(F3604,'LEAID Match'!$A$2:$B$142,2,FALSE),"")</f>
        <v/>
      </c>
    </row>
    <row r="3605" spans="1:8" x14ac:dyDescent="0.2">
      <c r="A3605" t="str">
        <f t="shared" si="56"/>
        <v/>
      </c>
      <c r="B3605" s="1">
        <v>2022</v>
      </c>
      <c r="C3605" s="1" t="s">
        <v>2505</v>
      </c>
      <c r="D3605" s="1" t="s">
        <v>2506</v>
      </c>
      <c r="E3605" s="1" t="s">
        <v>2019</v>
      </c>
      <c r="F3605" s="1" t="s">
        <v>358</v>
      </c>
      <c r="G3605" s="6">
        <v>54113</v>
      </c>
      <c r="H3605" t="str">
        <f>IFERROR(VLOOKUP(F3605,'LEAID Match'!$A$2:$B$142,2,FALSE),"")</f>
        <v/>
      </c>
    </row>
    <row r="3606" spans="1:8" x14ac:dyDescent="0.2">
      <c r="A3606" t="str">
        <f t="shared" si="56"/>
        <v/>
      </c>
      <c r="B3606" s="1">
        <v>2023</v>
      </c>
      <c r="C3606" s="1" t="s">
        <v>2505</v>
      </c>
      <c r="D3606" s="1" t="s">
        <v>2506</v>
      </c>
      <c r="E3606" s="1" t="s">
        <v>2019</v>
      </c>
      <c r="F3606" s="1" t="s">
        <v>358</v>
      </c>
      <c r="G3606" s="6">
        <v>47088</v>
      </c>
      <c r="H3606" t="str">
        <f>IFERROR(VLOOKUP(F3606,'LEAID Match'!$A$2:$B$142,2,FALSE),"")</f>
        <v/>
      </c>
    </row>
    <row r="3607" spans="1:8" x14ac:dyDescent="0.2">
      <c r="A3607" t="str">
        <f t="shared" si="56"/>
        <v/>
      </c>
      <c r="B3607" s="1">
        <v>2024</v>
      </c>
      <c r="C3607" s="1" t="s">
        <v>2505</v>
      </c>
      <c r="D3607" s="1" t="s">
        <v>2506</v>
      </c>
      <c r="E3607" s="1" t="s">
        <v>2019</v>
      </c>
      <c r="F3607" s="1" t="s">
        <v>358</v>
      </c>
      <c r="G3607" s="6">
        <v>55035</v>
      </c>
      <c r="H3607" t="str">
        <f>IFERROR(VLOOKUP(F3607,'LEAID Match'!$A$2:$B$142,2,FALSE),"")</f>
        <v/>
      </c>
    </row>
    <row r="3608" spans="1:8" x14ac:dyDescent="0.2">
      <c r="A3608" t="str">
        <f t="shared" si="56"/>
        <v/>
      </c>
      <c r="B3608" s="1">
        <v>2015</v>
      </c>
      <c r="C3608" s="1" t="s">
        <v>2505</v>
      </c>
      <c r="D3608" s="1" t="s">
        <v>2506</v>
      </c>
      <c r="E3608" s="1" t="s">
        <v>2019</v>
      </c>
      <c r="F3608" s="1" t="s">
        <v>359</v>
      </c>
      <c r="G3608" s="6">
        <v>384745</v>
      </c>
      <c r="H3608" t="str">
        <f>IFERROR(VLOOKUP(F3608,'LEAID Match'!$A$2:$B$142,2,FALSE),"")</f>
        <v/>
      </c>
    </row>
    <row r="3609" spans="1:8" x14ac:dyDescent="0.2">
      <c r="A3609" t="str">
        <f t="shared" si="56"/>
        <v/>
      </c>
      <c r="B3609">
        <v>2016</v>
      </c>
      <c r="C3609" s="1" t="s">
        <v>2505</v>
      </c>
      <c r="D3609" s="1" t="s">
        <v>2506</v>
      </c>
      <c r="E3609" s="1" t="s">
        <v>2019</v>
      </c>
      <c r="F3609" s="1" t="s">
        <v>359</v>
      </c>
      <c r="G3609" s="12">
        <v>405980</v>
      </c>
      <c r="H3609" t="str">
        <f>IFERROR(VLOOKUP(F3609,'LEAID Match'!$A$2:$B$142,2,FALSE),"")</f>
        <v/>
      </c>
    </row>
    <row r="3610" spans="1:8" x14ac:dyDescent="0.2">
      <c r="A3610" t="str">
        <f t="shared" si="56"/>
        <v/>
      </c>
      <c r="B3610" s="1">
        <v>2017</v>
      </c>
      <c r="C3610" s="1" t="s">
        <v>2505</v>
      </c>
      <c r="D3610" s="1" t="s">
        <v>2506</v>
      </c>
      <c r="E3610" s="1" t="s">
        <v>2019</v>
      </c>
      <c r="F3610" s="1" t="s">
        <v>359</v>
      </c>
      <c r="G3610" s="47">
        <v>403521</v>
      </c>
      <c r="H3610" t="str">
        <f>IFERROR(VLOOKUP(F3610,'LEAID Match'!$A$2:$B$142,2,FALSE),"")</f>
        <v/>
      </c>
    </row>
    <row r="3611" spans="1:8" x14ac:dyDescent="0.2">
      <c r="A3611" t="str">
        <f t="shared" si="56"/>
        <v/>
      </c>
      <c r="B3611" s="1">
        <v>2018</v>
      </c>
      <c r="C3611" s="1" t="s">
        <v>2505</v>
      </c>
      <c r="D3611" s="1" t="s">
        <v>2506</v>
      </c>
      <c r="E3611" s="1" t="s">
        <v>2019</v>
      </c>
      <c r="F3611" s="1" t="s">
        <v>359</v>
      </c>
      <c r="G3611" s="6">
        <v>412077</v>
      </c>
      <c r="H3611" t="str">
        <f>IFERROR(VLOOKUP(F3611,'LEAID Match'!$A$2:$B$142,2,FALSE),"")</f>
        <v/>
      </c>
    </row>
    <row r="3612" spans="1:8" x14ac:dyDescent="0.2">
      <c r="A3612" t="str">
        <f t="shared" si="56"/>
        <v/>
      </c>
      <c r="B3612" s="1">
        <v>2019</v>
      </c>
      <c r="C3612" s="1" t="s">
        <v>2505</v>
      </c>
      <c r="D3612" s="1" t="s">
        <v>2506</v>
      </c>
      <c r="E3612" s="1" t="s">
        <v>2019</v>
      </c>
      <c r="F3612" s="1" t="s">
        <v>359</v>
      </c>
      <c r="G3612" s="6">
        <v>408154</v>
      </c>
      <c r="H3612" t="str">
        <f>IFERROR(VLOOKUP(F3612,'LEAID Match'!$A$2:$B$142,2,FALSE),"")</f>
        <v/>
      </c>
    </row>
    <row r="3613" spans="1:8" x14ac:dyDescent="0.2">
      <c r="A3613" t="str">
        <f t="shared" si="56"/>
        <v/>
      </c>
      <c r="B3613" s="1">
        <v>2020</v>
      </c>
      <c r="C3613" s="1" t="s">
        <v>2505</v>
      </c>
      <c r="D3613" s="1" t="s">
        <v>2506</v>
      </c>
      <c r="E3613" s="1" t="s">
        <v>2019</v>
      </c>
      <c r="F3613" s="1" t="s">
        <v>359</v>
      </c>
      <c r="G3613" s="6">
        <v>450101</v>
      </c>
      <c r="H3613" t="str">
        <f>IFERROR(VLOOKUP(F3613,'LEAID Match'!$A$2:$B$142,2,FALSE),"")</f>
        <v/>
      </c>
    </row>
    <row r="3614" spans="1:8" x14ac:dyDescent="0.2">
      <c r="A3614" t="str">
        <f t="shared" si="56"/>
        <v/>
      </c>
      <c r="B3614" s="1">
        <v>2021</v>
      </c>
      <c r="C3614" s="1" t="s">
        <v>2505</v>
      </c>
      <c r="D3614" s="1" t="s">
        <v>2506</v>
      </c>
      <c r="E3614" s="1" t="s">
        <v>2019</v>
      </c>
      <c r="F3614" s="1" t="s">
        <v>359</v>
      </c>
      <c r="G3614" s="6">
        <v>447457</v>
      </c>
      <c r="H3614" t="str">
        <f>IFERROR(VLOOKUP(F3614,'LEAID Match'!$A$2:$B$142,2,FALSE),"")</f>
        <v/>
      </c>
    </row>
    <row r="3615" spans="1:8" x14ac:dyDescent="0.2">
      <c r="A3615" t="str">
        <f t="shared" si="56"/>
        <v/>
      </c>
      <c r="B3615" s="1">
        <v>2022</v>
      </c>
      <c r="C3615" s="1" t="s">
        <v>2505</v>
      </c>
      <c r="D3615" s="1" t="s">
        <v>2506</v>
      </c>
      <c r="E3615" s="1" t="s">
        <v>2019</v>
      </c>
      <c r="F3615" s="1" t="s">
        <v>359</v>
      </c>
      <c r="G3615" s="6">
        <v>501966</v>
      </c>
      <c r="H3615" t="str">
        <f>IFERROR(VLOOKUP(F3615,'LEAID Match'!$A$2:$B$142,2,FALSE),"")</f>
        <v/>
      </c>
    </row>
    <row r="3616" spans="1:8" x14ac:dyDescent="0.2">
      <c r="A3616" t="str">
        <f t="shared" si="56"/>
        <v/>
      </c>
      <c r="B3616" s="1">
        <v>2023</v>
      </c>
      <c r="C3616" s="1" t="s">
        <v>2505</v>
      </c>
      <c r="D3616" s="1" t="s">
        <v>2506</v>
      </c>
      <c r="E3616" s="1" t="s">
        <v>2019</v>
      </c>
      <c r="F3616" s="1" t="s">
        <v>359</v>
      </c>
      <c r="G3616" s="6">
        <v>517104</v>
      </c>
      <c r="H3616" t="str">
        <f>IFERROR(VLOOKUP(F3616,'LEAID Match'!$A$2:$B$142,2,FALSE),"")</f>
        <v/>
      </c>
    </row>
    <row r="3617" spans="1:8" x14ac:dyDescent="0.2">
      <c r="A3617" t="str">
        <f t="shared" si="56"/>
        <v/>
      </c>
      <c r="B3617" s="1">
        <v>2024</v>
      </c>
      <c r="C3617" s="1" t="s">
        <v>2505</v>
      </c>
      <c r="D3617" s="1" t="s">
        <v>2506</v>
      </c>
      <c r="E3617" s="1" t="s">
        <v>2019</v>
      </c>
      <c r="F3617" s="1" t="s">
        <v>359</v>
      </c>
      <c r="G3617" s="6">
        <v>518850</v>
      </c>
      <c r="H3617" t="str">
        <f>IFERROR(VLOOKUP(F3617,'LEAID Match'!$A$2:$B$142,2,FALSE),"")</f>
        <v/>
      </c>
    </row>
    <row r="3618" spans="1:8" x14ac:dyDescent="0.2">
      <c r="A3618">
        <f t="shared" si="56"/>
        <v>2802340</v>
      </c>
      <c r="B3618" s="1">
        <v>2015</v>
      </c>
      <c r="C3618" s="1" t="s">
        <v>2505</v>
      </c>
      <c r="D3618" s="1" t="s">
        <v>2506</v>
      </c>
      <c r="E3618" s="1" t="s">
        <v>2019</v>
      </c>
      <c r="F3618" s="1" t="s">
        <v>360</v>
      </c>
      <c r="G3618" s="6">
        <v>1506559</v>
      </c>
      <c r="H3618">
        <f>IFERROR(VLOOKUP(F3618,'LEAID Match'!$A$2:$B$142,2,FALSE),"")</f>
        <v>2802340</v>
      </c>
    </row>
    <row r="3619" spans="1:8" x14ac:dyDescent="0.2">
      <c r="A3619">
        <f t="shared" si="56"/>
        <v>2802340</v>
      </c>
      <c r="B3619">
        <v>2016</v>
      </c>
      <c r="C3619" s="1" t="s">
        <v>2505</v>
      </c>
      <c r="D3619" s="1" t="s">
        <v>2506</v>
      </c>
      <c r="E3619" s="1" t="s">
        <v>2019</v>
      </c>
      <c r="F3619" s="1" t="s">
        <v>360</v>
      </c>
      <c r="G3619" s="12">
        <v>1750746</v>
      </c>
      <c r="H3619">
        <f>IFERROR(VLOOKUP(F3619,'LEAID Match'!$A$2:$B$142,2,FALSE),"")</f>
        <v>2802340</v>
      </c>
    </row>
    <row r="3620" spans="1:8" x14ac:dyDescent="0.2">
      <c r="A3620">
        <f t="shared" si="56"/>
        <v>2802340</v>
      </c>
      <c r="B3620" s="1">
        <v>2017</v>
      </c>
      <c r="C3620" s="1" t="s">
        <v>2505</v>
      </c>
      <c r="D3620" s="1" t="s">
        <v>2506</v>
      </c>
      <c r="E3620" s="1" t="s">
        <v>2019</v>
      </c>
      <c r="F3620" s="1" t="s">
        <v>360</v>
      </c>
      <c r="G3620" s="47">
        <v>1679361</v>
      </c>
      <c r="H3620">
        <f>IFERROR(VLOOKUP(F3620,'LEAID Match'!$A$2:$B$142,2,FALSE),"")</f>
        <v>2802340</v>
      </c>
    </row>
    <row r="3621" spans="1:8" x14ac:dyDescent="0.2">
      <c r="A3621">
        <f t="shared" si="56"/>
        <v>2802340</v>
      </c>
      <c r="B3621" s="1">
        <v>2018</v>
      </c>
      <c r="C3621" s="1" t="s">
        <v>2505</v>
      </c>
      <c r="D3621" s="1" t="s">
        <v>2506</v>
      </c>
      <c r="E3621" s="1" t="s">
        <v>2019</v>
      </c>
      <c r="F3621" s="1" t="s">
        <v>360</v>
      </c>
      <c r="G3621" s="6">
        <v>1600233</v>
      </c>
      <c r="H3621">
        <f>IFERROR(VLOOKUP(F3621,'LEAID Match'!$A$2:$B$142,2,FALSE),"")</f>
        <v>2802340</v>
      </c>
    </row>
    <row r="3622" spans="1:8" x14ac:dyDescent="0.2">
      <c r="A3622">
        <f t="shared" si="56"/>
        <v>2802340</v>
      </c>
      <c r="B3622" s="1">
        <v>2019</v>
      </c>
      <c r="C3622" s="1" t="s">
        <v>2505</v>
      </c>
      <c r="D3622" s="1" t="s">
        <v>2506</v>
      </c>
      <c r="E3622" s="1" t="s">
        <v>2019</v>
      </c>
      <c r="F3622" s="1" t="s">
        <v>360</v>
      </c>
      <c r="G3622" s="6">
        <v>1872879</v>
      </c>
      <c r="H3622">
        <f>IFERROR(VLOOKUP(F3622,'LEAID Match'!$A$2:$B$142,2,FALSE),"")</f>
        <v>2802340</v>
      </c>
    </row>
    <row r="3623" spans="1:8" x14ac:dyDescent="0.2">
      <c r="A3623">
        <f t="shared" si="56"/>
        <v>2802340</v>
      </c>
      <c r="B3623" s="1">
        <v>2020</v>
      </c>
      <c r="C3623" s="1" t="s">
        <v>2505</v>
      </c>
      <c r="D3623" s="1" t="s">
        <v>2506</v>
      </c>
      <c r="E3623" s="1" t="s">
        <v>2019</v>
      </c>
      <c r="F3623" s="1" t="s">
        <v>360</v>
      </c>
      <c r="G3623" s="6">
        <v>2040141</v>
      </c>
      <c r="H3623">
        <f>IFERROR(VLOOKUP(F3623,'LEAID Match'!$A$2:$B$142,2,FALSE),"")</f>
        <v>2802340</v>
      </c>
    </row>
    <row r="3624" spans="1:8" x14ac:dyDescent="0.2">
      <c r="A3624">
        <f t="shared" si="56"/>
        <v>2802340</v>
      </c>
      <c r="B3624" s="1">
        <v>2021</v>
      </c>
      <c r="C3624" s="1" t="s">
        <v>2505</v>
      </c>
      <c r="D3624" s="1" t="s">
        <v>2506</v>
      </c>
      <c r="E3624" s="1" t="s">
        <v>2019</v>
      </c>
      <c r="F3624" s="1" t="s">
        <v>360</v>
      </c>
      <c r="G3624" s="6">
        <v>2075713</v>
      </c>
      <c r="H3624">
        <f>IFERROR(VLOOKUP(F3624,'LEAID Match'!$A$2:$B$142,2,FALSE),"")</f>
        <v>2802340</v>
      </c>
    </row>
    <row r="3625" spans="1:8" x14ac:dyDescent="0.2">
      <c r="A3625">
        <f t="shared" si="56"/>
        <v>2802340</v>
      </c>
      <c r="B3625" s="1">
        <v>2022</v>
      </c>
      <c r="C3625" s="1" t="s">
        <v>2505</v>
      </c>
      <c r="D3625" s="1" t="s">
        <v>2506</v>
      </c>
      <c r="E3625" s="1" t="s">
        <v>2019</v>
      </c>
      <c r="F3625" s="1" t="s">
        <v>360</v>
      </c>
      <c r="G3625" s="6">
        <v>2313987</v>
      </c>
      <c r="H3625">
        <f>IFERROR(VLOOKUP(F3625,'LEAID Match'!$A$2:$B$142,2,FALSE),"")</f>
        <v>2802340</v>
      </c>
    </row>
    <row r="3626" spans="1:8" x14ac:dyDescent="0.2">
      <c r="A3626">
        <f t="shared" si="56"/>
        <v>2802340</v>
      </c>
      <c r="B3626" s="1">
        <v>2023</v>
      </c>
      <c r="C3626" s="1" t="s">
        <v>2505</v>
      </c>
      <c r="D3626" s="1" t="s">
        <v>2506</v>
      </c>
      <c r="E3626" s="1" t="s">
        <v>2019</v>
      </c>
      <c r="F3626" s="1" t="s">
        <v>360</v>
      </c>
      <c r="G3626" s="6">
        <v>2516079</v>
      </c>
      <c r="H3626">
        <f>IFERROR(VLOOKUP(F3626,'LEAID Match'!$A$2:$B$142,2,FALSE),"")</f>
        <v>2802340</v>
      </c>
    </row>
    <row r="3627" spans="1:8" x14ac:dyDescent="0.2">
      <c r="A3627">
        <f t="shared" si="56"/>
        <v>2802340</v>
      </c>
      <c r="B3627" s="1">
        <v>2024</v>
      </c>
      <c r="C3627" s="1" t="s">
        <v>2505</v>
      </c>
      <c r="D3627" s="1" t="s">
        <v>2506</v>
      </c>
      <c r="E3627" s="1" t="s">
        <v>2019</v>
      </c>
      <c r="F3627" s="1" t="s">
        <v>360</v>
      </c>
      <c r="G3627" s="6">
        <v>2357508</v>
      </c>
      <c r="H3627">
        <f>IFERROR(VLOOKUP(F3627,'LEAID Match'!$A$2:$B$142,2,FALSE),"")</f>
        <v>2802340</v>
      </c>
    </row>
    <row r="3628" spans="1:8" x14ac:dyDescent="0.2">
      <c r="A3628" t="str">
        <f t="shared" si="56"/>
        <v/>
      </c>
      <c r="B3628" s="1">
        <v>2015</v>
      </c>
      <c r="C3628" s="1" t="s">
        <v>2505</v>
      </c>
      <c r="D3628" s="1" t="s">
        <v>2506</v>
      </c>
      <c r="E3628" s="1" t="s">
        <v>2019</v>
      </c>
      <c r="F3628" s="1" t="s">
        <v>361</v>
      </c>
      <c r="G3628" s="6">
        <v>197974</v>
      </c>
      <c r="H3628" t="str">
        <f>IFERROR(VLOOKUP(F3628,'LEAID Match'!$A$2:$B$142,2,FALSE),"")</f>
        <v/>
      </c>
    </row>
    <row r="3629" spans="1:8" x14ac:dyDescent="0.2">
      <c r="A3629" t="str">
        <f t="shared" si="56"/>
        <v/>
      </c>
      <c r="B3629">
        <v>2016</v>
      </c>
      <c r="C3629" s="1" t="s">
        <v>2505</v>
      </c>
      <c r="D3629" s="1" t="s">
        <v>2506</v>
      </c>
      <c r="E3629" s="1" t="s">
        <v>2019</v>
      </c>
      <c r="F3629" s="1" t="s">
        <v>361</v>
      </c>
      <c r="G3629" s="12">
        <v>188623</v>
      </c>
      <c r="H3629" t="str">
        <f>IFERROR(VLOOKUP(F3629,'LEAID Match'!$A$2:$B$142,2,FALSE),"")</f>
        <v/>
      </c>
    </row>
    <row r="3630" spans="1:8" x14ac:dyDescent="0.2">
      <c r="A3630" t="str">
        <f t="shared" si="56"/>
        <v/>
      </c>
      <c r="B3630" s="1">
        <v>2017</v>
      </c>
      <c r="C3630" s="1" t="s">
        <v>2505</v>
      </c>
      <c r="D3630" s="1" t="s">
        <v>2506</v>
      </c>
      <c r="E3630" s="1" t="s">
        <v>2019</v>
      </c>
      <c r="F3630" s="1" t="s">
        <v>361</v>
      </c>
      <c r="G3630" s="47">
        <v>200900</v>
      </c>
      <c r="H3630" t="str">
        <f>IFERROR(VLOOKUP(F3630,'LEAID Match'!$A$2:$B$142,2,FALSE),"")</f>
        <v/>
      </c>
    </row>
    <row r="3631" spans="1:8" x14ac:dyDescent="0.2">
      <c r="A3631" t="str">
        <f t="shared" si="56"/>
        <v/>
      </c>
      <c r="B3631" s="1">
        <v>2018</v>
      </c>
      <c r="C3631" s="1" t="s">
        <v>2505</v>
      </c>
      <c r="D3631" s="1" t="s">
        <v>2506</v>
      </c>
      <c r="E3631" s="1" t="s">
        <v>2019</v>
      </c>
      <c r="F3631" s="1" t="s">
        <v>361</v>
      </c>
      <c r="G3631" s="6">
        <v>211629</v>
      </c>
      <c r="H3631" t="str">
        <f>IFERROR(VLOOKUP(F3631,'LEAID Match'!$A$2:$B$142,2,FALSE),"")</f>
        <v/>
      </c>
    </row>
    <row r="3632" spans="1:8" x14ac:dyDescent="0.2">
      <c r="A3632" t="str">
        <f t="shared" si="56"/>
        <v/>
      </c>
      <c r="B3632" s="1">
        <v>2019</v>
      </c>
      <c r="C3632" s="1" t="s">
        <v>2505</v>
      </c>
      <c r="D3632" s="1" t="s">
        <v>2506</v>
      </c>
      <c r="E3632" s="1" t="s">
        <v>2019</v>
      </c>
      <c r="F3632" s="1" t="s">
        <v>361</v>
      </c>
      <c r="G3632" s="6">
        <v>230677</v>
      </c>
      <c r="H3632" t="str">
        <f>IFERROR(VLOOKUP(F3632,'LEAID Match'!$A$2:$B$142,2,FALSE),"")</f>
        <v/>
      </c>
    </row>
    <row r="3633" spans="1:8" x14ac:dyDescent="0.2">
      <c r="A3633" t="str">
        <f t="shared" si="56"/>
        <v/>
      </c>
      <c r="B3633" s="1">
        <v>2020</v>
      </c>
      <c r="C3633" s="1" t="s">
        <v>2505</v>
      </c>
      <c r="D3633" s="1" t="s">
        <v>2506</v>
      </c>
      <c r="E3633" s="1" t="s">
        <v>2019</v>
      </c>
      <c r="F3633" s="1" t="s">
        <v>361</v>
      </c>
      <c r="G3633" s="6">
        <v>263065</v>
      </c>
      <c r="H3633" t="str">
        <f>IFERROR(VLOOKUP(F3633,'LEAID Match'!$A$2:$B$142,2,FALSE),"")</f>
        <v/>
      </c>
    </row>
    <row r="3634" spans="1:8" x14ac:dyDescent="0.2">
      <c r="A3634" t="str">
        <f t="shared" si="56"/>
        <v/>
      </c>
      <c r="B3634" s="1">
        <v>2021</v>
      </c>
      <c r="C3634" s="1" t="s">
        <v>2505</v>
      </c>
      <c r="D3634" s="1" t="s">
        <v>2506</v>
      </c>
      <c r="E3634" s="1" t="s">
        <v>2019</v>
      </c>
      <c r="F3634" s="1" t="s">
        <v>361</v>
      </c>
      <c r="G3634" s="6">
        <v>264229</v>
      </c>
      <c r="H3634" t="str">
        <f>IFERROR(VLOOKUP(F3634,'LEAID Match'!$A$2:$B$142,2,FALSE),"")</f>
        <v/>
      </c>
    </row>
    <row r="3635" spans="1:8" x14ac:dyDescent="0.2">
      <c r="A3635" t="str">
        <f t="shared" si="56"/>
        <v/>
      </c>
      <c r="B3635" s="1">
        <v>2022</v>
      </c>
      <c r="C3635" s="1" t="s">
        <v>2505</v>
      </c>
      <c r="D3635" s="1" t="s">
        <v>2506</v>
      </c>
      <c r="E3635" s="1" t="s">
        <v>2019</v>
      </c>
      <c r="F3635" s="1" t="s">
        <v>361</v>
      </c>
      <c r="G3635" s="6">
        <v>245782</v>
      </c>
      <c r="H3635" t="str">
        <f>IFERROR(VLOOKUP(F3635,'LEAID Match'!$A$2:$B$142,2,FALSE),"")</f>
        <v/>
      </c>
    </row>
    <row r="3636" spans="1:8" x14ac:dyDescent="0.2">
      <c r="A3636" t="str">
        <f t="shared" si="56"/>
        <v/>
      </c>
      <c r="B3636" s="1">
        <v>2023</v>
      </c>
      <c r="C3636" s="1" t="s">
        <v>2505</v>
      </c>
      <c r="D3636" s="1" t="s">
        <v>2506</v>
      </c>
      <c r="E3636" s="1" t="s">
        <v>2019</v>
      </c>
      <c r="F3636" s="1" t="s">
        <v>361</v>
      </c>
      <c r="G3636" s="6">
        <v>243541</v>
      </c>
      <c r="H3636" t="str">
        <f>IFERROR(VLOOKUP(F3636,'LEAID Match'!$A$2:$B$142,2,FALSE),"")</f>
        <v/>
      </c>
    </row>
    <row r="3637" spans="1:8" x14ac:dyDescent="0.2">
      <c r="A3637" t="str">
        <f t="shared" si="56"/>
        <v/>
      </c>
      <c r="B3637" s="1">
        <v>2024</v>
      </c>
      <c r="C3637" s="1" t="s">
        <v>2505</v>
      </c>
      <c r="D3637" s="1" t="s">
        <v>2506</v>
      </c>
      <c r="E3637" s="1" t="s">
        <v>2019</v>
      </c>
      <c r="F3637" s="1" t="s">
        <v>361</v>
      </c>
      <c r="G3637" s="6">
        <v>256986</v>
      </c>
      <c r="H3637" t="str">
        <f>IFERROR(VLOOKUP(F3637,'LEAID Match'!$A$2:$B$142,2,FALSE),"")</f>
        <v/>
      </c>
    </row>
    <row r="3638" spans="1:8" x14ac:dyDescent="0.2">
      <c r="A3638">
        <f t="shared" si="56"/>
        <v>2802370</v>
      </c>
      <c r="B3638" s="1">
        <v>2015</v>
      </c>
      <c r="C3638" s="1" t="s">
        <v>2505</v>
      </c>
      <c r="D3638" s="1" t="s">
        <v>2506</v>
      </c>
      <c r="E3638" s="1" t="s">
        <v>2019</v>
      </c>
      <c r="F3638" s="1" t="s">
        <v>362</v>
      </c>
      <c r="G3638" s="6">
        <v>2116380</v>
      </c>
      <c r="H3638">
        <f>IFERROR(VLOOKUP(F3638,'LEAID Match'!$A$2:$B$142,2,FALSE),"")</f>
        <v>2802370</v>
      </c>
    </row>
    <row r="3639" spans="1:8" x14ac:dyDescent="0.2">
      <c r="A3639">
        <f t="shared" si="56"/>
        <v>2802370</v>
      </c>
      <c r="B3639">
        <v>2016</v>
      </c>
      <c r="C3639" s="1" t="s">
        <v>2505</v>
      </c>
      <c r="D3639" s="1" t="s">
        <v>2506</v>
      </c>
      <c r="E3639" s="1" t="s">
        <v>2019</v>
      </c>
      <c r="F3639" s="1" t="s">
        <v>362</v>
      </c>
      <c r="G3639" s="12">
        <v>2269997</v>
      </c>
      <c r="H3639">
        <f>IFERROR(VLOOKUP(F3639,'LEAID Match'!$A$2:$B$142,2,FALSE),"")</f>
        <v>2802370</v>
      </c>
    </row>
    <row r="3640" spans="1:8" x14ac:dyDescent="0.2">
      <c r="A3640">
        <f t="shared" si="56"/>
        <v>2802370</v>
      </c>
      <c r="B3640" s="1">
        <v>2017</v>
      </c>
      <c r="C3640" s="1" t="s">
        <v>2505</v>
      </c>
      <c r="D3640" s="1" t="s">
        <v>2506</v>
      </c>
      <c r="E3640" s="1" t="s">
        <v>2019</v>
      </c>
      <c r="F3640" s="1" t="s">
        <v>362</v>
      </c>
      <c r="G3640" s="47">
        <v>2188431</v>
      </c>
      <c r="H3640">
        <f>IFERROR(VLOOKUP(F3640,'LEAID Match'!$A$2:$B$142,2,FALSE),"")</f>
        <v>2802370</v>
      </c>
    </row>
    <row r="3641" spans="1:8" x14ac:dyDescent="0.2">
      <c r="A3641">
        <f t="shared" si="56"/>
        <v>2802370</v>
      </c>
      <c r="B3641" s="1">
        <v>2018</v>
      </c>
      <c r="C3641" s="1" t="s">
        <v>2505</v>
      </c>
      <c r="D3641" s="1" t="s">
        <v>2506</v>
      </c>
      <c r="E3641" s="1" t="s">
        <v>2019</v>
      </c>
      <c r="F3641" s="1" t="s">
        <v>362</v>
      </c>
      <c r="G3641" s="6">
        <v>2451683</v>
      </c>
      <c r="H3641">
        <f>IFERROR(VLOOKUP(F3641,'LEAID Match'!$A$2:$B$142,2,FALSE),"")</f>
        <v>2802370</v>
      </c>
    </row>
    <row r="3642" spans="1:8" x14ac:dyDescent="0.2">
      <c r="A3642">
        <f t="shared" si="56"/>
        <v>2802370</v>
      </c>
      <c r="B3642" s="1">
        <v>2019</v>
      </c>
      <c r="C3642" s="1" t="s">
        <v>2505</v>
      </c>
      <c r="D3642" s="1" t="s">
        <v>2506</v>
      </c>
      <c r="E3642" s="1" t="s">
        <v>2019</v>
      </c>
      <c r="F3642" s="1" t="s">
        <v>362</v>
      </c>
      <c r="G3642" s="6">
        <v>2547118</v>
      </c>
      <c r="H3642">
        <f>IFERROR(VLOOKUP(F3642,'LEAID Match'!$A$2:$B$142,2,FALSE),"")</f>
        <v>2802370</v>
      </c>
    </row>
    <row r="3643" spans="1:8" x14ac:dyDescent="0.2">
      <c r="A3643">
        <f t="shared" si="56"/>
        <v>2802370</v>
      </c>
      <c r="B3643" s="1">
        <v>2020</v>
      </c>
      <c r="C3643" s="1" t="s">
        <v>2505</v>
      </c>
      <c r="D3643" s="1" t="s">
        <v>2506</v>
      </c>
      <c r="E3643" s="1" t="s">
        <v>2019</v>
      </c>
      <c r="F3643" s="1" t="s">
        <v>362</v>
      </c>
      <c r="G3643" s="6">
        <v>2867648</v>
      </c>
      <c r="H3643">
        <f>IFERROR(VLOOKUP(F3643,'LEAID Match'!$A$2:$B$142,2,FALSE),"")</f>
        <v>2802370</v>
      </c>
    </row>
    <row r="3644" spans="1:8" x14ac:dyDescent="0.2">
      <c r="A3644">
        <f t="shared" si="56"/>
        <v>2802370</v>
      </c>
      <c r="B3644" s="1">
        <v>2021</v>
      </c>
      <c r="C3644" s="1" t="s">
        <v>2505</v>
      </c>
      <c r="D3644" s="1" t="s">
        <v>2506</v>
      </c>
      <c r="E3644" s="1" t="s">
        <v>2019</v>
      </c>
      <c r="F3644" s="1" t="s">
        <v>362</v>
      </c>
      <c r="G3644" s="6">
        <v>2879759</v>
      </c>
      <c r="H3644">
        <f>IFERROR(VLOOKUP(F3644,'LEAID Match'!$A$2:$B$142,2,FALSE),"")</f>
        <v>2802370</v>
      </c>
    </row>
    <row r="3645" spans="1:8" x14ac:dyDescent="0.2">
      <c r="A3645">
        <f t="shared" si="56"/>
        <v>2802370</v>
      </c>
      <c r="B3645" s="1">
        <v>2022</v>
      </c>
      <c r="C3645" s="1" t="s">
        <v>2505</v>
      </c>
      <c r="D3645" s="1" t="s">
        <v>2506</v>
      </c>
      <c r="E3645" s="1" t="s">
        <v>2019</v>
      </c>
      <c r="F3645" s="1" t="s">
        <v>362</v>
      </c>
      <c r="G3645" s="6">
        <v>3028491</v>
      </c>
      <c r="H3645">
        <f>IFERROR(VLOOKUP(F3645,'LEAID Match'!$A$2:$B$142,2,FALSE),"")</f>
        <v>2802370</v>
      </c>
    </row>
    <row r="3646" spans="1:8" x14ac:dyDescent="0.2">
      <c r="A3646">
        <f t="shared" si="56"/>
        <v>2802370</v>
      </c>
      <c r="B3646" s="1">
        <v>2023</v>
      </c>
      <c r="C3646" s="1" t="s">
        <v>2505</v>
      </c>
      <c r="D3646" s="1" t="s">
        <v>2506</v>
      </c>
      <c r="E3646" s="1" t="s">
        <v>2019</v>
      </c>
      <c r="F3646" s="1" t="s">
        <v>362</v>
      </c>
      <c r="G3646" s="6">
        <v>3261251</v>
      </c>
      <c r="H3646">
        <f>IFERROR(VLOOKUP(F3646,'LEAID Match'!$A$2:$B$142,2,FALSE),"")</f>
        <v>2802370</v>
      </c>
    </row>
    <row r="3647" spans="1:8" x14ac:dyDescent="0.2">
      <c r="A3647">
        <f t="shared" si="56"/>
        <v>2802370</v>
      </c>
      <c r="B3647" s="1">
        <v>2024</v>
      </c>
      <c r="C3647" s="1" t="s">
        <v>2505</v>
      </c>
      <c r="D3647" s="1" t="s">
        <v>2506</v>
      </c>
      <c r="E3647" s="1" t="s">
        <v>2019</v>
      </c>
      <c r="F3647" s="1" t="s">
        <v>362</v>
      </c>
      <c r="G3647" s="6">
        <v>3589999</v>
      </c>
      <c r="H3647">
        <f>IFERROR(VLOOKUP(F3647,'LEAID Match'!$A$2:$B$142,2,FALSE),"")</f>
        <v>2802370</v>
      </c>
    </row>
    <row r="3648" spans="1:8" x14ac:dyDescent="0.2">
      <c r="A3648" t="str">
        <f t="shared" si="56"/>
        <v/>
      </c>
      <c r="B3648" s="1">
        <v>2015</v>
      </c>
      <c r="C3648" s="1" t="s">
        <v>2505</v>
      </c>
      <c r="D3648" s="1" t="s">
        <v>2506</v>
      </c>
      <c r="E3648" s="1" t="s">
        <v>2019</v>
      </c>
      <c r="F3648" s="1" t="s">
        <v>363</v>
      </c>
      <c r="G3648" s="6">
        <v>1233179</v>
      </c>
      <c r="H3648" t="str">
        <f>IFERROR(VLOOKUP(F3648,'LEAID Match'!$A$2:$B$142,2,FALSE),"")</f>
        <v/>
      </c>
    </row>
    <row r="3649" spans="1:8" x14ac:dyDescent="0.2">
      <c r="A3649" t="str">
        <f t="shared" si="56"/>
        <v/>
      </c>
      <c r="B3649">
        <v>2016</v>
      </c>
      <c r="C3649" s="1" t="s">
        <v>2505</v>
      </c>
      <c r="D3649" s="1" t="s">
        <v>2506</v>
      </c>
      <c r="E3649" s="1" t="s">
        <v>2019</v>
      </c>
      <c r="F3649" s="1" t="s">
        <v>363</v>
      </c>
      <c r="G3649" s="12">
        <v>1279269</v>
      </c>
      <c r="H3649" t="str">
        <f>IFERROR(VLOOKUP(F3649,'LEAID Match'!$A$2:$B$142,2,FALSE),"")</f>
        <v/>
      </c>
    </row>
    <row r="3650" spans="1:8" x14ac:dyDescent="0.2">
      <c r="A3650" t="str">
        <f t="shared" si="56"/>
        <v/>
      </c>
      <c r="B3650" s="1">
        <v>2017</v>
      </c>
      <c r="C3650" s="1" t="s">
        <v>2505</v>
      </c>
      <c r="D3650" s="1" t="s">
        <v>2506</v>
      </c>
      <c r="E3650" s="1" t="s">
        <v>2019</v>
      </c>
      <c r="F3650" s="1" t="s">
        <v>363</v>
      </c>
      <c r="G3650" s="47">
        <v>1351749</v>
      </c>
      <c r="H3650" t="str">
        <f>IFERROR(VLOOKUP(F3650,'LEAID Match'!$A$2:$B$142,2,FALSE),"")</f>
        <v/>
      </c>
    </row>
    <row r="3651" spans="1:8" x14ac:dyDescent="0.2">
      <c r="A3651" t="str">
        <f t="shared" ref="A3651:A3714" si="57">H3651</f>
        <v/>
      </c>
      <c r="B3651" s="1">
        <v>2018</v>
      </c>
      <c r="C3651" s="1" t="s">
        <v>2505</v>
      </c>
      <c r="D3651" s="1" t="s">
        <v>2506</v>
      </c>
      <c r="E3651" s="1" t="s">
        <v>2019</v>
      </c>
      <c r="F3651" s="1" t="s">
        <v>363</v>
      </c>
      <c r="G3651" s="6">
        <v>1448754</v>
      </c>
      <c r="H3651" t="str">
        <f>IFERROR(VLOOKUP(F3651,'LEAID Match'!$A$2:$B$142,2,FALSE),"")</f>
        <v/>
      </c>
    </row>
    <row r="3652" spans="1:8" x14ac:dyDescent="0.2">
      <c r="A3652" t="str">
        <f t="shared" si="57"/>
        <v/>
      </c>
      <c r="B3652" s="1">
        <v>2019</v>
      </c>
      <c r="C3652" s="1" t="s">
        <v>2505</v>
      </c>
      <c r="D3652" s="1" t="s">
        <v>2506</v>
      </c>
      <c r="E3652" s="1" t="s">
        <v>2019</v>
      </c>
      <c r="F3652" s="1" t="s">
        <v>363</v>
      </c>
      <c r="G3652" s="6">
        <v>1588395</v>
      </c>
      <c r="H3652" t="str">
        <f>IFERROR(VLOOKUP(F3652,'LEAID Match'!$A$2:$B$142,2,FALSE),"")</f>
        <v/>
      </c>
    </row>
    <row r="3653" spans="1:8" x14ac:dyDescent="0.2">
      <c r="A3653" t="str">
        <f t="shared" si="57"/>
        <v/>
      </c>
      <c r="B3653" s="1">
        <v>2020</v>
      </c>
      <c r="C3653" s="1" t="s">
        <v>2505</v>
      </c>
      <c r="D3653" s="1" t="s">
        <v>2506</v>
      </c>
      <c r="E3653" s="1" t="s">
        <v>2019</v>
      </c>
      <c r="F3653" s="1" t="s">
        <v>363</v>
      </c>
      <c r="G3653" s="6">
        <v>1853989</v>
      </c>
      <c r="H3653" t="str">
        <f>IFERROR(VLOOKUP(F3653,'LEAID Match'!$A$2:$B$142,2,FALSE),"")</f>
        <v/>
      </c>
    </row>
    <row r="3654" spans="1:8" x14ac:dyDescent="0.2">
      <c r="A3654" t="str">
        <f t="shared" si="57"/>
        <v/>
      </c>
      <c r="B3654" s="1">
        <v>2021</v>
      </c>
      <c r="C3654" s="1" t="s">
        <v>2505</v>
      </c>
      <c r="D3654" s="1" t="s">
        <v>2506</v>
      </c>
      <c r="E3654" s="1" t="s">
        <v>2019</v>
      </c>
      <c r="F3654" s="1" t="s">
        <v>363</v>
      </c>
      <c r="G3654" s="6">
        <v>1955703</v>
      </c>
      <c r="H3654" t="str">
        <f>IFERROR(VLOOKUP(F3654,'LEAID Match'!$A$2:$B$142,2,FALSE),"")</f>
        <v/>
      </c>
    </row>
    <row r="3655" spans="1:8" x14ac:dyDescent="0.2">
      <c r="A3655" t="str">
        <f t="shared" si="57"/>
        <v/>
      </c>
      <c r="B3655" s="1">
        <v>2022</v>
      </c>
      <c r="C3655" s="1" t="s">
        <v>2505</v>
      </c>
      <c r="D3655" s="1" t="s">
        <v>2506</v>
      </c>
      <c r="E3655" s="1" t="s">
        <v>2019</v>
      </c>
      <c r="F3655" s="1" t="s">
        <v>363</v>
      </c>
      <c r="G3655" s="6">
        <v>2145971</v>
      </c>
      <c r="H3655" t="str">
        <f>IFERROR(VLOOKUP(F3655,'LEAID Match'!$A$2:$B$142,2,FALSE),"")</f>
        <v/>
      </c>
    </row>
    <row r="3656" spans="1:8" x14ac:dyDescent="0.2">
      <c r="A3656" t="str">
        <f t="shared" si="57"/>
        <v/>
      </c>
      <c r="B3656" s="1">
        <v>2023</v>
      </c>
      <c r="C3656" s="1" t="s">
        <v>2505</v>
      </c>
      <c r="D3656" s="1" t="s">
        <v>2506</v>
      </c>
      <c r="E3656" s="1" t="s">
        <v>2019</v>
      </c>
      <c r="F3656" s="1" t="s">
        <v>363</v>
      </c>
      <c r="G3656" s="6">
        <v>2428012</v>
      </c>
      <c r="H3656" t="str">
        <f>IFERROR(VLOOKUP(F3656,'LEAID Match'!$A$2:$B$142,2,FALSE),"")</f>
        <v/>
      </c>
    </row>
    <row r="3657" spans="1:8" x14ac:dyDescent="0.2">
      <c r="A3657" t="str">
        <f t="shared" si="57"/>
        <v/>
      </c>
      <c r="B3657" s="1">
        <v>2024</v>
      </c>
      <c r="C3657" s="1" t="s">
        <v>2505</v>
      </c>
      <c r="D3657" s="1" t="s">
        <v>2506</v>
      </c>
      <c r="E3657" s="1" t="s">
        <v>2019</v>
      </c>
      <c r="F3657" s="1" t="s">
        <v>363</v>
      </c>
      <c r="G3657" s="6">
        <v>2668329</v>
      </c>
      <c r="H3657" t="str">
        <f>IFERROR(VLOOKUP(F3657,'LEAID Match'!$A$2:$B$142,2,FALSE),"")</f>
        <v/>
      </c>
    </row>
    <row r="3658" spans="1:8" x14ac:dyDescent="0.2">
      <c r="A3658" t="str">
        <f t="shared" si="57"/>
        <v/>
      </c>
      <c r="B3658" s="1">
        <v>2015</v>
      </c>
      <c r="C3658" s="1" t="s">
        <v>2505</v>
      </c>
      <c r="D3658" s="1" t="s">
        <v>2506</v>
      </c>
      <c r="E3658" s="1" t="s">
        <v>2019</v>
      </c>
      <c r="F3658" s="1" t="s">
        <v>364</v>
      </c>
      <c r="G3658" s="6">
        <v>4054</v>
      </c>
      <c r="H3658" t="str">
        <f>IFERROR(VLOOKUP(F3658,'LEAID Match'!$A$2:$B$142,2,FALSE),"")</f>
        <v/>
      </c>
    </row>
    <row r="3659" spans="1:8" x14ac:dyDescent="0.2">
      <c r="A3659" t="str">
        <f t="shared" si="57"/>
        <v/>
      </c>
      <c r="B3659">
        <v>2016</v>
      </c>
      <c r="C3659" s="1" t="s">
        <v>2505</v>
      </c>
      <c r="D3659" s="1" t="s">
        <v>2506</v>
      </c>
      <c r="E3659" s="1" t="s">
        <v>2019</v>
      </c>
      <c r="F3659" s="1" t="s">
        <v>364</v>
      </c>
      <c r="G3659" s="12">
        <v>3577</v>
      </c>
      <c r="H3659" t="str">
        <f>IFERROR(VLOOKUP(F3659,'LEAID Match'!$A$2:$B$142,2,FALSE),"")</f>
        <v/>
      </c>
    </row>
    <row r="3660" spans="1:8" x14ac:dyDescent="0.2">
      <c r="A3660" t="str">
        <f t="shared" si="57"/>
        <v/>
      </c>
      <c r="B3660" s="1">
        <v>2017</v>
      </c>
      <c r="C3660" s="1" t="s">
        <v>2505</v>
      </c>
      <c r="D3660" s="1" t="s">
        <v>2506</v>
      </c>
      <c r="E3660" s="1" t="s">
        <v>2019</v>
      </c>
      <c r="F3660" s="1" t="s">
        <v>364</v>
      </c>
      <c r="G3660" s="47">
        <v>2953</v>
      </c>
      <c r="H3660" t="str">
        <f>IFERROR(VLOOKUP(F3660,'LEAID Match'!$A$2:$B$142,2,FALSE),"")</f>
        <v/>
      </c>
    </row>
    <row r="3661" spans="1:8" x14ac:dyDescent="0.2">
      <c r="A3661" t="str">
        <f t="shared" si="57"/>
        <v/>
      </c>
      <c r="B3661" s="1">
        <v>2018</v>
      </c>
      <c r="C3661" s="1" t="s">
        <v>2505</v>
      </c>
      <c r="D3661" s="1" t="s">
        <v>2506</v>
      </c>
      <c r="E3661" s="1" t="s">
        <v>2019</v>
      </c>
      <c r="F3661" s="1" t="s">
        <v>364</v>
      </c>
      <c r="G3661" s="6">
        <v>2500</v>
      </c>
      <c r="H3661" t="str">
        <f>IFERROR(VLOOKUP(F3661,'LEAID Match'!$A$2:$B$142,2,FALSE),"")</f>
        <v/>
      </c>
    </row>
    <row r="3662" spans="1:8" x14ac:dyDescent="0.2">
      <c r="A3662" t="str">
        <f t="shared" si="57"/>
        <v/>
      </c>
      <c r="B3662" s="1">
        <v>2019</v>
      </c>
      <c r="C3662" s="1" t="s">
        <v>2505</v>
      </c>
      <c r="D3662" s="1" t="s">
        <v>2506</v>
      </c>
      <c r="E3662" s="1" t="s">
        <v>2019</v>
      </c>
      <c r="F3662" s="1" t="s">
        <v>364</v>
      </c>
      <c r="G3662" s="6">
        <v>2615</v>
      </c>
      <c r="H3662" t="str">
        <f>IFERROR(VLOOKUP(F3662,'LEAID Match'!$A$2:$B$142,2,FALSE),"")</f>
        <v/>
      </c>
    </row>
    <row r="3663" spans="1:8" x14ac:dyDescent="0.2">
      <c r="A3663" t="str">
        <f t="shared" si="57"/>
        <v/>
      </c>
      <c r="B3663" s="1">
        <v>2020</v>
      </c>
      <c r="C3663" s="1" t="s">
        <v>2505</v>
      </c>
      <c r="D3663" s="1" t="s">
        <v>2506</v>
      </c>
      <c r="E3663" s="1" t="s">
        <v>2019</v>
      </c>
      <c r="F3663" s="1" t="s">
        <v>364</v>
      </c>
      <c r="G3663" s="6">
        <v>3054</v>
      </c>
      <c r="H3663" t="str">
        <f>IFERROR(VLOOKUP(F3663,'LEAID Match'!$A$2:$B$142,2,FALSE),"")</f>
        <v/>
      </c>
    </row>
    <row r="3664" spans="1:8" x14ac:dyDescent="0.2">
      <c r="A3664" t="str">
        <f t="shared" si="57"/>
        <v/>
      </c>
      <c r="B3664" s="1">
        <v>2021</v>
      </c>
      <c r="C3664" s="1" t="s">
        <v>2505</v>
      </c>
      <c r="D3664" s="1" t="s">
        <v>2506</v>
      </c>
      <c r="E3664" s="1" t="s">
        <v>2019</v>
      </c>
      <c r="F3664" s="1" t="s">
        <v>364</v>
      </c>
      <c r="G3664" s="6">
        <v>3054</v>
      </c>
      <c r="H3664" t="str">
        <f>IFERROR(VLOOKUP(F3664,'LEAID Match'!$A$2:$B$142,2,FALSE),"")</f>
        <v/>
      </c>
    </row>
    <row r="3665" spans="1:8" x14ac:dyDescent="0.2">
      <c r="A3665" t="str">
        <f t="shared" si="57"/>
        <v/>
      </c>
      <c r="B3665" s="1">
        <v>2022</v>
      </c>
      <c r="C3665" s="1" t="s">
        <v>2505</v>
      </c>
      <c r="D3665" s="1" t="s">
        <v>2506</v>
      </c>
      <c r="E3665" s="1" t="s">
        <v>2019</v>
      </c>
      <c r="F3665" s="1" t="s">
        <v>364</v>
      </c>
      <c r="G3665" s="6">
        <v>3500</v>
      </c>
      <c r="H3665" t="str">
        <f>IFERROR(VLOOKUP(F3665,'LEAID Match'!$A$2:$B$142,2,FALSE),"")</f>
        <v/>
      </c>
    </row>
    <row r="3666" spans="1:8" x14ac:dyDescent="0.2">
      <c r="A3666" t="str">
        <f t="shared" si="57"/>
        <v/>
      </c>
      <c r="B3666" s="1">
        <v>2023</v>
      </c>
      <c r="C3666" s="1" t="s">
        <v>2505</v>
      </c>
      <c r="D3666" s="1" t="s">
        <v>2506</v>
      </c>
      <c r="E3666" s="1" t="s">
        <v>2019</v>
      </c>
      <c r="F3666" s="1" t="s">
        <v>364</v>
      </c>
      <c r="G3666" s="6">
        <v>3805</v>
      </c>
      <c r="H3666" t="str">
        <f>IFERROR(VLOOKUP(F3666,'LEAID Match'!$A$2:$B$142,2,FALSE),"")</f>
        <v/>
      </c>
    </row>
    <row r="3667" spans="1:8" x14ac:dyDescent="0.2">
      <c r="A3667" t="str">
        <f t="shared" si="57"/>
        <v/>
      </c>
      <c r="B3667" s="1">
        <v>2024</v>
      </c>
      <c r="C3667" s="1" t="s">
        <v>2505</v>
      </c>
      <c r="D3667" s="1" t="s">
        <v>2506</v>
      </c>
      <c r="E3667" s="1" t="s">
        <v>2019</v>
      </c>
      <c r="F3667" s="1" t="s">
        <v>364</v>
      </c>
      <c r="G3667" s="6">
        <v>4087</v>
      </c>
      <c r="H3667" t="str">
        <f>IFERROR(VLOOKUP(F3667,'LEAID Match'!$A$2:$B$142,2,FALSE),"")</f>
        <v/>
      </c>
    </row>
    <row r="3668" spans="1:8" x14ac:dyDescent="0.2">
      <c r="A3668" t="str">
        <f t="shared" si="57"/>
        <v/>
      </c>
      <c r="B3668" s="1">
        <v>2015</v>
      </c>
      <c r="C3668" s="1" t="s">
        <v>2505</v>
      </c>
      <c r="D3668" s="1" t="s">
        <v>2506</v>
      </c>
      <c r="E3668" s="1" t="s">
        <v>2019</v>
      </c>
      <c r="F3668" s="1" t="s">
        <v>365</v>
      </c>
      <c r="G3668" s="6">
        <v>17230</v>
      </c>
      <c r="H3668" t="str">
        <f>IFERROR(VLOOKUP(F3668,'LEAID Match'!$A$2:$B$142,2,FALSE),"")</f>
        <v/>
      </c>
    </row>
    <row r="3669" spans="1:8" x14ac:dyDescent="0.2">
      <c r="A3669" t="str">
        <f t="shared" si="57"/>
        <v/>
      </c>
      <c r="B3669">
        <v>2016</v>
      </c>
      <c r="C3669" s="1" t="s">
        <v>2505</v>
      </c>
      <c r="D3669" s="1" t="s">
        <v>2506</v>
      </c>
      <c r="E3669" s="1" t="s">
        <v>2019</v>
      </c>
      <c r="F3669" s="1" t="s">
        <v>365</v>
      </c>
      <c r="G3669" s="12">
        <v>18622</v>
      </c>
      <c r="H3669" t="str">
        <f>IFERROR(VLOOKUP(F3669,'LEAID Match'!$A$2:$B$142,2,FALSE),"")</f>
        <v/>
      </c>
    </row>
    <row r="3670" spans="1:8" x14ac:dyDescent="0.2">
      <c r="A3670" t="str">
        <f t="shared" si="57"/>
        <v/>
      </c>
      <c r="B3670" s="1">
        <v>2017</v>
      </c>
      <c r="C3670" s="1" t="s">
        <v>2505</v>
      </c>
      <c r="D3670" s="1" t="s">
        <v>2506</v>
      </c>
      <c r="E3670" s="1" t="s">
        <v>2019</v>
      </c>
      <c r="F3670" s="1" t="s">
        <v>365</v>
      </c>
      <c r="G3670" s="47">
        <v>21534</v>
      </c>
      <c r="H3670" t="str">
        <f>IFERROR(VLOOKUP(F3670,'LEAID Match'!$A$2:$B$142,2,FALSE),"")</f>
        <v/>
      </c>
    </row>
    <row r="3671" spans="1:8" x14ac:dyDescent="0.2">
      <c r="A3671" t="str">
        <f t="shared" si="57"/>
        <v/>
      </c>
      <c r="B3671" s="1">
        <v>2018</v>
      </c>
      <c r="C3671" s="1" t="s">
        <v>2505</v>
      </c>
      <c r="D3671" s="1" t="s">
        <v>2506</v>
      </c>
      <c r="E3671" s="1" t="s">
        <v>2019</v>
      </c>
      <c r="F3671" s="1" t="s">
        <v>365</v>
      </c>
      <c r="G3671" s="6">
        <v>24274</v>
      </c>
      <c r="H3671" t="str">
        <f>IFERROR(VLOOKUP(F3671,'LEAID Match'!$A$2:$B$142,2,FALSE),"")</f>
        <v/>
      </c>
    </row>
    <row r="3672" spans="1:8" x14ac:dyDescent="0.2">
      <c r="A3672" t="str">
        <f t="shared" si="57"/>
        <v/>
      </c>
      <c r="B3672" s="1">
        <v>2019</v>
      </c>
      <c r="C3672" s="1" t="s">
        <v>2505</v>
      </c>
      <c r="D3672" s="1" t="s">
        <v>2506</v>
      </c>
      <c r="E3672" s="1" t="s">
        <v>2019</v>
      </c>
      <c r="F3672" s="1" t="s">
        <v>365</v>
      </c>
      <c r="G3672" s="6">
        <v>24194</v>
      </c>
      <c r="H3672" t="str">
        <f>IFERROR(VLOOKUP(F3672,'LEAID Match'!$A$2:$B$142,2,FALSE),"")</f>
        <v/>
      </c>
    </row>
    <row r="3673" spans="1:8" x14ac:dyDescent="0.2">
      <c r="A3673" t="str">
        <f t="shared" si="57"/>
        <v/>
      </c>
      <c r="B3673" s="1">
        <v>2020</v>
      </c>
      <c r="C3673" s="1" t="s">
        <v>2505</v>
      </c>
      <c r="D3673" s="1" t="s">
        <v>2506</v>
      </c>
      <c r="E3673" s="1" t="s">
        <v>2019</v>
      </c>
      <c r="F3673" s="1" t="s">
        <v>365</v>
      </c>
      <c r="G3673" s="6">
        <v>31195</v>
      </c>
      <c r="H3673" t="str">
        <f>IFERROR(VLOOKUP(F3673,'LEAID Match'!$A$2:$B$142,2,FALSE),"")</f>
        <v/>
      </c>
    </row>
    <row r="3674" spans="1:8" x14ac:dyDescent="0.2">
      <c r="A3674" t="str">
        <f t="shared" si="57"/>
        <v/>
      </c>
      <c r="B3674" s="1">
        <v>2021</v>
      </c>
      <c r="C3674" s="1" t="s">
        <v>2505</v>
      </c>
      <c r="D3674" s="1" t="s">
        <v>2506</v>
      </c>
      <c r="E3674" s="1" t="s">
        <v>2019</v>
      </c>
      <c r="F3674" s="1" t="s">
        <v>365</v>
      </c>
      <c r="G3674" s="6">
        <v>36576</v>
      </c>
      <c r="H3674" t="str">
        <f>IFERROR(VLOOKUP(F3674,'LEAID Match'!$A$2:$B$142,2,FALSE),"")</f>
        <v/>
      </c>
    </row>
    <row r="3675" spans="1:8" x14ac:dyDescent="0.2">
      <c r="A3675" t="str">
        <f t="shared" si="57"/>
        <v/>
      </c>
      <c r="B3675" s="1">
        <v>2022</v>
      </c>
      <c r="C3675" s="1" t="s">
        <v>2505</v>
      </c>
      <c r="D3675" s="1" t="s">
        <v>2506</v>
      </c>
      <c r="E3675" s="1" t="s">
        <v>2019</v>
      </c>
      <c r="F3675" s="1" t="s">
        <v>365</v>
      </c>
      <c r="G3675" s="6">
        <v>37717</v>
      </c>
      <c r="H3675" t="str">
        <f>IFERROR(VLOOKUP(F3675,'LEAID Match'!$A$2:$B$142,2,FALSE),"")</f>
        <v/>
      </c>
    </row>
    <row r="3676" spans="1:8" x14ac:dyDescent="0.2">
      <c r="A3676" t="str">
        <f t="shared" si="57"/>
        <v/>
      </c>
      <c r="B3676" s="1">
        <v>2023</v>
      </c>
      <c r="C3676" s="1" t="s">
        <v>2505</v>
      </c>
      <c r="D3676" s="1" t="s">
        <v>2506</v>
      </c>
      <c r="E3676" s="1" t="s">
        <v>2019</v>
      </c>
      <c r="F3676" s="1" t="s">
        <v>365</v>
      </c>
      <c r="G3676" s="6">
        <v>36221</v>
      </c>
      <c r="H3676" t="str">
        <f>IFERROR(VLOOKUP(F3676,'LEAID Match'!$A$2:$B$142,2,FALSE),"")</f>
        <v/>
      </c>
    </row>
    <row r="3677" spans="1:8" x14ac:dyDescent="0.2">
      <c r="A3677" t="str">
        <f t="shared" si="57"/>
        <v/>
      </c>
      <c r="B3677" s="1">
        <v>2024</v>
      </c>
      <c r="C3677" s="1" t="s">
        <v>2505</v>
      </c>
      <c r="D3677" s="1" t="s">
        <v>2506</v>
      </c>
      <c r="E3677" s="1" t="s">
        <v>2019</v>
      </c>
      <c r="F3677" s="1" t="s">
        <v>365</v>
      </c>
      <c r="G3677" s="6">
        <v>51620</v>
      </c>
      <c r="H3677" t="str">
        <f>IFERROR(VLOOKUP(F3677,'LEAID Match'!$A$2:$B$142,2,FALSE),"")</f>
        <v/>
      </c>
    </row>
    <row r="3678" spans="1:8" x14ac:dyDescent="0.2">
      <c r="A3678">
        <f t="shared" si="57"/>
        <v>2802400</v>
      </c>
      <c r="B3678" s="1">
        <v>2015</v>
      </c>
      <c r="C3678" s="1" t="s">
        <v>2505</v>
      </c>
      <c r="D3678" s="1" t="s">
        <v>2506</v>
      </c>
      <c r="E3678" s="1" t="s">
        <v>2019</v>
      </c>
      <c r="F3678" s="1" t="s">
        <v>366</v>
      </c>
      <c r="G3678" s="6">
        <v>7314249</v>
      </c>
      <c r="H3678">
        <f>IFERROR(VLOOKUP(F3678,'LEAID Match'!$A$2:$B$142,2,FALSE),"")</f>
        <v>2802400</v>
      </c>
    </row>
    <row r="3679" spans="1:8" x14ac:dyDescent="0.2">
      <c r="A3679">
        <f t="shared" si="57"/>
        <v>2802400</v>
      </c>
      <c r="B3679">
        <v>2016</v>
      </c>
      <c r="C3679" s="1" t="s">
        <v>2505</v>
      </c>
      <c r="D3679" s="1" t="s">
        <v>2506</v>
      </c>
      <c r="E3679" s="1" t="s">
        <v>2019</v>
      </c>
      <c r="F3679" s="1" t="s">
        <v>366</v>
      </c>
      <c r="G3679" s="12">
        <v>7538475</v>
      </c>
      <c r="H3679">
        <f>IFERROR(VLOOKUP(F3679,'LEAID Match'!$A$2:$B$142,2,FALSE),"")</f>
        <v>2802400</v>
      </c>
    </row>
    <row r="3680" spans="1:8" x14ac:dyDescent="0.2">
      <c r="A3680">
        <f t="shared" si="57"/>
        <v>2802400</v>
      </c>
      <c r="B3680" s="1">
        <v>2017</v>
      </c>
      <c r="C3680" s="1" t="s">
        <v>2505</v>
      </c>
      <c r="D3680" s="1" t="s">
        <v>2506</v>
      </c>
      <c r="E3680" s="1" t="s">
        <v>2019</v>
      </c>
      <c r="F3680" s="1" t="s">
        <v>366</v>
      </c>
      <c r="G3680" s="47">
        <v>7818616</v>
      </c>
      <c r="H3680">
        <f>IFERROR(VLOOKUP(F3680,'LEAID Match'!$A$2:$B$142,2,FALSE),"")</f>
        <v>2802400</v>
      </c>
    </row>
    <row r="3681" spans="1:8" x14ac:dyDescent="0.2">
      <c r="A3681">
        <f t="shared" si="57"/>
        <v>2802400</v>
      </c>
      <c r="B3681" s="1">
        <v>2018</v>
      </c>
      <c r="C3681" s="1" t="s">
        <v>2505</v>
      </c>
      <c r="D3681" s="1" t="s">
        <v>2506</v>
      </c>
      <c r="E3681" s="1" t="s">
        <v>2019</v>
      </c>
      <c r="F3681" s="1" t="s">
        <v>366</v>
      </c>
      <c r="G3681" s="6">
        <v>7820748</v>
      </c>
      <c r="H3681">
        <f>IFERROR(VLOOKUP(F3681,'LEAID Match'!$A$2:$B$142,2,FALSE),"")</f>
        <v>2802400</v>
      </c>
    </row>
    <row r="3682" spans="1:8" x14ac:dyDescent="0.2">
      <c r="A3682">
        <f t="shared" si="57"/>
        <v>2802400</v>
      </c>
      <c r="B3682" s="1">
        <v>2019</v>
      </c>
      <c r="C3682" s="1" t="s">
        <v>2505</v>
      </c>
      <c r="D3682" s="1" t="s">
        <v>2506</v>
      </c>
      <c r="E3682" s="1" t="s">
        <v>2019</v>
      </c>
      <c r="F3682" s="1" t="s">
        <v>366</v>
      </c>
      <c r="G3682" s="6">
        <v>8477929</v>
      </c>
      <c r="H3682">
        <f>IFERROR(VLOOKUP(F3682,'LEAID Match'!$A$2:$B$142,2,FALSE),"")</f>
        <v>2802400</v>
      </c>
    </row>
    <row r="3683" spans="1:8" x14ac:dyDescent="0.2">
      <c r="A3683">
        <f t="shared" si="57"/>
        <v>2802400</v>
      </c>
      <c r="B3683" s="1">
        <v>2020</v>
      </c>
      <c r="C3683" s="1" t="s">
        <v>2505</v>
      </c>
      <c r="D3683" s="1" t="s">
        <v>2506</v>
      </c>
      <c r="E3683" s="1" t="s">
        <v>2019</v>
      </c>
      <c r="F3683" s="1" t="s">
        <v>366</v>
      </c>
      <c r="G3683" s="6">
        <v>9893770</v>
      </c>
      <c r="H3683">
        <f>IFERROR(VLOOKUP(F3683,'LEAID Match'!$A$2:$B$142,2,FALSE),"")</f>
        <v>2802400</v>
      </c>
    </row>
    <row r="3684" spans="1:8" x14ac:dyDescent="0.2">
      <c r="A3684">
        <f t="shared" si="57"/>
        <v>2802400</v>
      </c>
      <c r="B3684" s="1">
        <v>2021</v>
      </c>
      <c r="C3684" s="1" t="s">
        <v>2505</v>
      </c>
      <c r="D3684" s="1" t="s">
        <v>2506</v>
      </c>
      <c r="E3684" s="1" t="s">
        <v>2019</v>
      </c>
      <c r="F3684" s="1" t="s">
        <v>366</v>
      </c>
      <c r="G3684" s="6">
        <v>10122409</v>
      </c>
      <c r="H3684">
        <f>IFERROR(VLOOKUP(F3684,'LEAID Match'!$A$2:$B$142,2,FALSE),"")</f>
        <v>2802400</v>
      </c>
    </row>
    <row r="3685" spans="1:8" x14ac:dyDescent="0.2">
      <c r="A3685">
        <f t="shared" si="57"/>
        <v>2802400</v>
      </c>
      <c r="B3685" s="1">
        <v>2022</v>
      </c>
      <c r="C3685" s="1" t="s">
        <v>2505</v>
      </c>
      <c r="D3685" s="1" t="s">
        <v>2506</v>
      </c>
      <c r="E3685" s="1" t="s">
        <v>2019</v>
      </c>
      <c r="F3685" s="1" t="s">
        <v>366</v>
      </c>
      <c r="G3685" s="6">
        <v>11003420</v>
      </c>
      <c r="H3685">
        <f>IFERROR(VLOOKUP(F3685,'LEAID Match'!$A$2:$B$142,2,FALSE),"")</f>
        <v>2802400</v>
      </c>
    </row>
    <row r="3686" spans="1:8" x14ac:dyDescent="0.2">
      <c r="A3686">
        <f t="shared" si="57"/>
        <v>2802400</v>
      </c>
      <c r="B3686" s="1">
        <v>2023</v>
      </c>
      <c r="C3686" s="1" t="s">
        <v>2505</v>
      </c>
      <c r="D3686" s="1" t="s">
        <v>2506</v>
      </c>
      <c r="E3686" s="1" t="s">
        <v>2019</v>
      </c>
      <c r="F3686" s="1" t="s">
        <v>366</v>
      </c>
      <c r="G3686" s="6">
        <v>12612031</v>
      </c>
      <c r="H3686">
        <f>IFERROR(VLOOKUP(F3686,'LEAID Match'!$A$2:$B$142,2,FALSE),"")</f>
        <v>2802400</v>
      </c>
    </row>
    <row r="3687" spans="1:8" x14ac:dyDescent="0.2">
      <c r="A3687">
        <f t="shared" si="57"/>
        <v>2802400</v>
      </c>
      <c r="B3687" s="1">
        <v>2024</v>
      </c>
      <c r="C3687" s="1" t="s">
        <v>2505</v>
      </c>
      <c r="D3687" s="1" t="s">
        <v>2506</v>
      </c>
      <c r="E3687" s="1" t="s">
        <v>2019</v>
      </c>
      <c r="F3687" s="1" t="s">
        <v>366</v>
      </c>
      <c r="G3687" s="6">
        <v>11984557</v>
      </c>
      <c r="H3687">
        <f>IFERROR(VLOOKUP(F3687,'LEAID Match'!$A$2:$B$142,2,FALSE),"")</f>
        <v>2802400</v>
      </c>
    </row>
    <row r="3688" spans="1:8" x14ac:dyDescent="0.2">
      <c r="A3688" t="str">
        <f t="shared" si="57"/>
        <v/>
      </c>
      <c r="B3688" s="1">
        <v>2015</v>
      </c>
      <c r="C3688" s="1" t="s">
        <v>2505</v>
      </c>
      <c r="D3688" s="1" t="s">
        <v>2506</v>
      </c>
      <c r="E3688" s="1" t="s">
        <v>2019</v>
      </c>
      <c r="F3688" s="1" t="s">
        <v>367</v>
      </c>
      <c r="G3688" s="6">
        <v>6862</v>
      </c>
      <c r="H3688" t="str">
        <f>IFERROR(VLOOKUP(F3688,'LEAID Match'!$A$2:$B$142,2,FALSE),"")</f>
        <v/>
      </c>
    </row>
    <row r="3689" spans="1:8" x14ac:dyDescent="0.2">
      <c r="A3689" t="str">
        <f t="shared" si="57"/>
        <v/>
      </c>
      <c r="B3689">
        <v>2016</v>
      </c>
      <c r="C3689" s="1" t="s">
        <v>2505</v>
      </c>
      <c r="D3689" s="1" t="s">
        <v>2506</v>
      </c>
      <c r="E3689" s="1" t="s">
        <v>2019</v>
      </c>
      <c r="F3689" s="1" t="s">
        <v>367</v>
      </c>
      <c r="G3689" s="12">
        <v>7264</v>
      </c>
      <c r="H3689" t="str">
        <f>IFERROR(VLOOKUP(F3689,'LEAID Match'!$A$2:$B$142,2,FALSE),"")</f>
        <v/>
      </c>
    </row>
    <row r="3690" spans="1:8" x14ac:dyDescent="0.2">
      <c r="A3690" t="str">
        <f t="shared" si="57"/>
        <v/>
      </c>
      <c r="B3690" s="1">
        <v>2017</v>
      </c>
      <c r="C3690" s="1" t="s">
        <v>2505</v>
      </c>
      <c r="D3690" s="1" t="s">
        <v>2506</v>
      </c>
      <c r="E3690" s="1" t="s">
        <v>2019</v>
      </c>
      <c r="F3690" s="1" t="s">
        <v>367</v>
      </c>
      <c r="G3690" s="47">
        <v>8091</v>
      </c>
      <c r="H3690" t="str">
        <f>IFERROR(VLOOKUP(F3690,'LEAID Match'!$A$2:$B$142,2,FALSE),"")</f>
        <v/>
      </c>
    </row>
    <row r="3691" spans="1:8" x14ac:dyDescent="0.2">
      <c r="A3691" t="str">
        <f t="shared" si="57"/>
        <v/>
      </c>
      <c r="B3691" s="1">
        <v>2018</v>
      </c>
      <c r="C3691" s="1" t="s">
        <v>2505</v>
      </c>
      <c r="D3691" s="1" t="s">
        <v>2506</v>
      </c>
      <c r="E3691" s="1" t="s">
        <v>2019</v>
      </c>
      <c r="F3691" s="1" t="s">
        <v>367</v>
      </c>
      <c r="G3691" s="6">
        <v>13769</v>
      </c>
      <c r="H3691" t="str">
        <f>IFERROR(VLOOKUP(F3691,'LEAID Match'!$A$2:$B$142,2,FALSE),"")</f>
        <v/>
      </c>
    </row>
    <row r="3692" spans="1:8" x14ac:dyDescent="0.2">
      <c r="A3692" t="str">
        <f t="shared" si="57"/>
        <v/>
      </c>
      <c r="B3692" s="1">
        <v>2019</v>
      </c>
      <c r="C3692" s="1" t="s">
        <v>2505</v>
      </c>
      <c r="D3692" s="1" t="s">
        <v>2506</v>
      </c>
      <c r="E3692" s="1" t="s">
        <v>2019</v>
      </c>
      <c r="F3692" s="1" t="s">
        <v>367</v>
      </c>
      <c r="G3692" s="6">
        <v>14305</v>
      </c>
      <c r="H3692" t="str">
        <f>IFERROR(VLOOKUP(F3692,'LEAID Match'!$A$2:$B$142,2,FALSE),"")</f>
        <v/>
      </c>
    </row>
    <row r="3693" spans="1:8" x14ac:dyDescent="0.2">
      <c r="A3693" t="str">
        <f t="shared" si="57"/>
        <v/>
      </c>
      <c r="B3693" s="1">
        <v>2020</v>
      </c>
      <c r="C3693" s="1" t="s">
        <v>2505</v>
      </c>
      <c r="D3693" s="1" t="s">
        <v>2506</v>
      </c>
      <c r="E3693" s="1" t="s">
        <v>2019</v>
      </c>
      <c r="F3693" s="1" t="s">
        <v>367</v>
      </c>
      <c r="G3693" s="6">
        <v>12638</v>
      </c>
      <c r="H3693" t="str">
        <f>IFERROR(VLOOKUP(F3693,'LEAID Match'!$A$2:$B$142,2,FALSE),"")</f>
        <v/>
      </c>
    </row>
    <row r="3694" spans="1:8" x14ac:dyDescent="0.2">
      <c r="A3694" t="str">
        <f t="shared" si="57"/>
        <v/>
      </c>
      <c r="B3694" s="1">
        <v>2021</v>
      </c>
      <c r="C3694" s="1" t="s">
        <v>2505</v>
      </c>
      <c r="D3694" s="1" t="s">
        <v>2506</v>
      </c>
      <c r="E3694" s="1" t="s">
        <v>2019</v>
      </c>
      <c r="F3694" s="1" t="s">
        <v>367</v>
      </c>
      <c r="G3694" s="6">
        <v>9616</v>
      </c>
      <c r="H3694" t="str">
        <f>IFERROR(VLOOKUP(F3694,'LEAID Match'!$A$2:$B$142,2,FALSE),"")</f>
        <v/>
      </c>
    </row>
    <row r="3695" spans="1:8" x14ac:dyDescent="0.2">
      <c r="A3695" t="str">
        <f t="shared" si="57"/>
        <v/>
      </c>
      <c r="B3695" s="1">
        <v>2022</v>
      </c>
      <c r="C3695" s="1" t="s">
        <v>2505</v>
      </c>
      <c r="D3695" s="1" t="s">
        <v>2506</v>
      </c>
      <c r="E3695" s="1" t="s">
        <v>2019</v>
      </c>
      <c r="F3695" s="1" t="s">
        <v>367</v>
      </c>
      <c r="G3695" s="6">
        <v>9660</v>
      </c>
      <c r="H3695" t="str">
        <f>IFERROR(VLOOKUP(F3695,'LEAID Match'!$A$2:$B$142,2,FALSE),"")</f>
        <v/>
      </c>
    </row>
    <row r="3696" spans="1:8" x14ac:dyDescent="0.2">
      <c r="A3696" t="str">
        <f t="shared" si="57"/>
        <v/>
      </c>
      <c r="B3696" s="1">
        <v>2023</v>
      </c>
      <c r="C3696" s="1" t="s">
        <v>2505</v>
      </c>
      <c r="D3696" s="1" t="s">
        <v>2506</v>
      </c>
      <c r="E3696" s="1" t="s">
        <v>2019</v>
      </c>
      <c r="F3696" s="1" t="s">
        <v>367</v>
      </c>
      <c r="G3696" s="6">
        <v>11886</v>
      </c>
      <c r="H3696" t="str">
        <f>IFERROR(VLOOKUP(F3696,'LEAID Match'!$A$2:$B$142,2,FALSE),"")</f>
        <v/>
      </c>
    </row>
    <row r="3697" spans="1:8" x14ac:dyDescent="0.2">
      <c r="A3697" t="str">
        <f t="shared" si="57"/>
        <v/>
      </c>
      <c r="B3697" s="1">
        <v>2024</v>
      </c>
      <c r="C3697" s="1" t="s">
        <v>2505</v>
      </c>
      <c r="D3697" s="1" t="s">
        <v>2506</v>
      </c>
      <c r="E3697" s="1" t="s">
        <v>2019</v>
      </c>
      <c r="F3697" s="1" t="s">
        <v>367</v>
      </c>
      <c r="G3697" s="6">
        <v>9837</v>
      </c>
      <c r="H3697" t="str">
        <f>IFERROR(VLOOKUP(F3697,'LEAID Match'!$A$2:$B$142,2,FALSE),"")</f>
        <v/>
      </c>
    </row>
    <row r="3698" spans="1:8" x14ac:dyDescent="0.2">
      <c r="A3698" t="str">
        <f t="shared" si="57"/>
        <v/>
      </c>
      <c r="B3698" s="1">
        <v>2015</v>
      </c>
      <c r="C3698" s="1" t="s">
        <v>2505</v>
      </c>
      <c r="D3698" s="1" t="s">
        <v>2506</v>
      </c>
      <c r="E3698" s="1" t="s">
        <v>2019</v>
      </c>
      <c r="F3698" s="1" t="s">
        <v>368</v>
      </c>
      <c r="G3698" s="6">
        <v>1781391</v>
      </c>
      <c r="H3698" t="str">
        <f>IFERROR(VLOOKUP(F3698,'LEAID Match'!$A$2:$B$142,2,FALSE),"")</f>
        <v/>
      </c>
    </row>
    <row r="3699" spans="1:8" x14ac:dyDescent="0.2">
      <c r="A3699" t="str">
        <f t="shared" si="57"/>
        <v/>
      </c>
      <c r="B3699">
        <v>2016</v>
      </c>
      <c r="C3699" s="1" t="s">
        <v>2505</v>
      </c>
      <c r="D3699" s="1" t="s">
        <v>2506</v>
      </c>
      <c r="E3699" s="1" t="s">
        <v>2019</v>
      </c>
      <c r="F3699" s="1" t="s">
        <v>368</v>
      </c>
      <c r="G3699" s="12">
        <v>1906488</v>
      </c>
      <c r="H3699" t="str">
        <f>IFERROR(VLOOKUP(F3699,'LEAID Match'!$A$2:$B$142,2,FALSE),"")</f>
        <v/>
      </c>
    </row>
    <row r="3700" spans="1:8" x14ac:dyDescent="0.2">
      <c r="A3700" t="str">
        <f t="shared" si="57"/>
        <v/>
      </c>
      <c r="B3700" s="1">
        <v>2017</v>
      </c>
      <c r="C3700" s="1" t="s">
        <v>2505</v>
      </c>
      <c r="D3700" s="1" t="s">
        <v>2506</v>
      </c>
      <c r="E3700" s="1" t="s">
        <v>2019</v>
      </c>
      <c r="F3700" s="1" t="s">
        <v>368</v>
      </c>
      <c r="G3700" s="47">
        <v>2013089</v>
      </c>
      <c r="H3700" t="str">
        <f>IFERROR(VLOOKUP(F3700,'LEAID Match'!$A$2:$B$142,2,FALSE),"")</f>
        <v/>
      </c>
    </row>
    <row r="3701" spans="1:8" x14ac:dyDescent="0.2">
      <c r="A3701" t="str">
        <f t="shared" si="57"/>
        <v/>
      </c>
      <c r="B3701" s="1">
        <v>2018</v>
      </c>
      <c r="C3701" s="1" t="s">
        <v>2505</v>
      </c>
      <c r="D3701" s="1" t="s">
        <v>2506</v>
      </c>
      <c r="E3701" s="1" t="s">
        <v>2019</v>
      </c>
      <c r="F3701" s="1" t="s">
        <v>368</v>
      </c>
      <c r="G3701" s="6">
        <v>2115179</v>
      </c>
      <c r="H3701" t="str">
        <f>IFERROR(VLOOKUP(F3701,'LEAID Match'!$A$2:$B$142,2,FALSE),"")</f>
        <v/>
      </c>
    </row>
    <row r="3702" spans="1:8" x14ac:dyDescent="0.2">
      <c r="A3702" t="str">
        <f t="shared" si="57"/>
        <v/>
      </c>
      <c r="B3702" s="1">
        <v>2019</v>
      </c>
      <c r="C3702" s="1" t="s">
        <v>2505</v>
      </c>
      <c r="D3702" s="1" t="s">
        <v>2506</v>
      </c>
      <c r="E3702" s="1" t="s">
        <v>2019</v>
      </c>
      <c r="F3702" s="1" t="s">
        <v>368</v>
      </c>
      <c r="G3702" s="6">
        <v>2185476</v>
      </c>
      <c r="H3702" t="str">
        <f>IFERROR(VLOOKUP(F3702,'LEAID Match'!$A$2:$B$142,2,FALSE),"")</f>
        <v/>
      </c>
    </row>
    <row r="3703" spans="1:8" x14ac:dyDescent="0.2">
      <c r="A3703" t="str">
        <f t="shared" si="57"/>
        <v/>
      </c>
      <c r="B3703" s="1">
        <v>2020</v>
      </c>
      <c r="C3703" s="1" t="s">
        <v>2505</v>
      </c>
      <c r="D3703" s="1" t="s">
        <v>2506</v>
      </c>
      <c r="E3703" s="1" t="s">
        <v>2019</v>
      </c>
      <c r="F3703" s="1" t="s">
        <v>368</v>
      </c>
      <c r="G3703" s="6">
        <v>2498912</v>
      </c>
      <c r="H3703" t="str">
        <f>IFERROR(VLOOKUP(F3703,'LEAID Match'!$A$2:$B$142,2,FALSE),"")</f>
        <v/>
      </c>
    </row>
    <row r="3704" spans="1:8" x14ac:dyDescent="0.2">
      <c r="A3704" t="str">
        <f t="shared" si="57"/>
        <v/>
      </c>
      <c r="B3704" s="1">
        <v>2021</v>
      </c>
      <c r="C3704" s="1" t="s">
        <v>2505</v>
      </c>
      <c r="D3704" s="1" t="s">
        <v>2506</v>
      </c>
      <c r="E3704" s="1" t="s">
        <v>2019</v>
      </c>
      <c r="F3704" s="1" t="s">
        <v>368</v>
      </c>
      <c r="G3704" s="6">
        <v>2545356</v>
      </c>
      <c r="H3704" t="str">
        <f>IFERROR(VLOOKUP(F3704,'LEAID Match'!$A$2:$B$142,2,FALSE),"")</f>
        <v/>
      </c>
    </row>
    <row r="3705" spans="1:8" x14ac:dyDescent="0.2">
      <c r="A3705" t="str">
        <f t="shared" si="57"/>
        <v/>
      </c>
      <c r="B3705" s="1">
        <v>2022</v>
      </c>
      <c r="C3705" s="1" t="s">
        <v>2505</v>
      </c>
      <c r="D3705" s="1" t="s">
        <v>2506</v>
      </c>
      <c r="E3705" s="1" t="s">
        <v>2019</v>
      </c>
      <c r="F3705" s="1" t="s">
        <v>368</v>
      </c>
      <c r="G3705" s="6">
        <v>2744641</v>
      </c>
      <c r="H3705" t="str">
        <f>IFERROR(VLOOKUP(F3705,'LEAID Match'!$A$2:$B$142,2,FALSE),"")</f>
        <v/>
      </c>
    </row>
    <row r="3706" spans="1:8" x14ac:dyDescent="0.2">
      <c r="A3706" t="str">
        <f t="shared" si="57"/>
        <v/>
      </c>
      <c r="B3706" s="1">
        <v>2023</v>
      </c>
      <c r="C3706" s="1" t="s">
        <v>2505</v>
      </c>
      <c r="D3706" s="1" t="s">
        <v>2506</v>
      </c>
      <c r="E3706" s="1" t="s">
        <v>2019</v>
      </c>
      <c r="F3706" s="1" t="s">
        <v>368</v>
      </c>
      <c r="G3706" s="6">
        <v>2779209</v>
      </c>
      <c r="H3706" t="str">
        <f>IFERROR(VLOOKUP(F3706,'LEAID Match'!$A$2:$B$142,2,FALSE),"")</f>
        <v/>
      </c>
    </row>
    <row r="3707" spans="1:8" x14ac:dyDescent="0.2">
      <c r="A3707" t="str">
        <f t="shared" si="57"/>
        <v/>
      </c>
      <c r="B3707" s="1">
        <v>2024</v>
      </c>
      <c r="C3707" s="1" t="s">
        <v>2505</v>
      </c>
      <c r="D3707" s="1" t="s">
        <v>2506</v>
      </c>
      <c r="E3707" s="1" t="s">
        <v>2019</v>
      </c>
      <c r="F3707" s="1" t="s">
        <v>368</v>
      </c>
      <c r="G3707" s="6">
        <v>2864174</v>
      </c>
      <c r="H3707" t="str">
        <f>IFERROR(VLOOKUP(F3707,'LEAID Match'!$A$2:$B$142,2,FALSE),"")</f>
        <v/>
      </c>
    </row>
    <row r="3708" spans="1:8" x14ac:dyDescent="0.2">
      <c r="A3708" t="str">
        <f t="shared" si="57"/>
        <v/>
      </c>
      <c r="B3708" s="1">
        <v>2015</v>
      </c>
      <c r="C3708" s="1" t="s">
        <v>2505</v>
      </c>
      <c r="D3708" s="1" t="s">
        <v>2506</v>
      </c>
      <c r="E3708" s="1" t="s">
        <v>2019</v>
      </c>
      <c r="F3708" s="1" t="s">
        <v>369</v>
      </c>
      <c r="G3708" s="6">
        <v>73876</v>
      </c>
      <c r="H3708" t="str">
        <f>IFERROR(VLOOKUP(F3708,'LEAID Match'!$A$2:$B$142,2,FALSE),"")</f>
        <v/>
      </c>
    </row>
    <row r="3709" spans="1:8" x14ac:dyDescent="0.2">
      <c r="A3709" t="str">
        <f t="shared" si="57"/>
        <v/>
      </c>
      <c r="B3709">
        <v>2016</v>
      </c>
      <c r="C3709" s="1" t="s">
        <v>2505</v>
      </c>
      <c r="D3709" s="1" t="s">
        <v>2506</v>
      </c>
      <c r="E3709" s="1" t="s">
        <v>2019</v>
      </c>
      <c r="F3709" s="1" t="s">
        <v>369</v>
      </c>
      <c r="G3709" s="12">
        <v>76012</v>
      </c>
      <c r="H3709" t="str">
        <f>IFERROR(VLOOKUP(F3709,'LEAID Match'!$A$2:$B$142,2,FALSE),"")</f>
        <v/>
      </c>
    </row>
    <row r="3710" spans="1:8" x14ac:dyDescent="0.2">
      <c r="A3710" t="str">
        <f t="shared" si="57"/>
        <v/>
      </c>
      <c r="B3710" s="1">
        <v>2017</v>
      </c>
      <c r="C3710" s="1" t="s">
        <v>2505</v>
      </c>
      <c r="D3710" s="1" t="s">
        <v>2506</v>
      </c>
      <c r="E3710" s="1" t="s">
        <v>2019</v>
      </c>
      <c r="F3710" s="1" t="s">
        <v>369</v>
      </c>
      <c r="G3710" s="47">
        <v>76764</v>
      </c>
      <c r="H3710" t="str">
        <f>IFERROR(VLOOKUP(F3710,'LEAID Match'!$A$2:$B$142,2,FALSE),"")</f>
        <v/>
      </c>
    </row>
    <row r="3711" spans="1:8" x14ac:dyDescent="0.2">
      <c r="A3711" t="str">
        <f t="shared" si="57"/>
        <v/>
      </c>
      <c r="B3711" s="1">
        <v>2018</v>
      </c>
      <c r="C3711" s="1" t="s">
        <v>2505</v>
      </c>
      <c r="D3711" s="1" t="s">
        <v>2506</v>
      </c>
      <c r="E3711" s="1" t="s">
        <v>2019</v>
      </c>
      <c r="F3711" s="1" t="s">
        <v>369</v>
      </c>
      <c r="G3711" s="6">
        <v>79042</v>
      </c>
      <c r="H3711" t="str">
        <f>IFERROR(VLOOKUP(F3711,'LEAID Match'!$A$2:$B$142,2,FALSE),"")</f>
        <v/>
      </c>
    </row>
    <row r="3712" spans="1:8" x14ac:dyDescent="0.2">
      <c r="A3712" t="str">
        <f t="shared" si="57"/>
        <v/>
      </c>
      <c r="B3712" s="1">
        <v>2019</v>
      </c>
      <c r="C3712" s="1" t="s">
        <v>2505</v>
      </c>
      <c r="D3712" s="1" t="s">
        <v>2506</v>
      </c>
      <c r="E3712" s="1" t="s">
        <v>2019</v>
      </c>
      <c r="F3712" s="1" t="s">
        <v>369</v>
      </c>
      <c r="G3712" s="6">
        <v>77962</v>
      </c>
      <c r="H3712" t="str">
        <f>IFERROR(VLOOKUP(F3712,'LEAID Match'!$A$2:$B$142,2,FALSE),"")</f>
        <v/>
      </c>
    </row>
    <row r="3713" spans="1:8" x14ac:dyDescent="0.2">
      <c r="A3713" t="str">
        <f t="shared" si="57"/>
        <v/>
      </c>
      <c r="B3713" s="1">
        <v>2020</v>
      </c>
      <c r="C3713" s="1" t="s">
        <v>2505</v>
      </c>
      <c r="D3713" s="1" t="s">
        <v>2506</v>
      </c>
      <c r="E3713" s="1" t="s">
        <v>2019</v>
      </c>
      <c r="F3713" s="1" t="s">
        <v>369</v>
      </c>
      <c r="G3713" s="6">
        <v>86125</v>
      </c>
      <c r="H3713" t="str">
        <f>IFERROR(VLOOKUP(F3713,'LEAID Match'!$A$2:$B$142,2,FALSE),"")</f>
        <v/>
      </c>
    </row>
    <row r="3714" spans="1:8" x14ac:dyDescent="0.2">
      <c r="A3714" t="str">
        <f t="shared" si="57"/>
        <v/>
      </c>
      <c r="B3714" s="1">
        <v>2021</v>
      </c>
      <c r="C3714" s="1" t="s">
        <v>2505</v>
      </c>
      <c r="D3714" s="1" t="s">
        <v>2506</v>
      </c>
      <c r="E3714" s="1" t="s">
        <v>2019</v>
      </c>
      <c r="F3714" s="1" t="s">
        <v>369</v>
      </c>
      <c r="G3714" s="6">
        <v>85175</v>
      </c>
      <c r="H3714" t="str">
        <f>IFERROR(VLOOKUP(F3714,'LEAID Match'!$A$2:$B$142,2,FALSE),"")</f>
        <v/>
      </c>
    </row>
    <row r="3715" spans="1:8" x14ac:dyDescent="0.2">
      <c r="A3715" t="str">
        <f t="shared" ref="A3715:A3778" si="58">H3715</f>
        <v/>
      </c>
      <c r="B3715" s="1">
        <v>2022</v>
      </c>
      <c r="C3715" s="1" t="s">
        <v>2505</v>
      </c>
      <c r="D3715" s="1" t="s">
        <v>2506</v>
      </c>
      <c r="E3715" s="1" t="s">
        <v>2019</v>
      </c>
      <c r="F3715" s="1" t="s">
        <v>369</v>
      </c>
      <c r="G3715" s="6">
        <v>90653</v>
      </c>
      <c r="H3715" t="str">
        <f>IFERROR(VLOOKUP(F3715,'LEAID Match'!$A$2:$B$142,2,FALSE),"")</f>
        <v/>
      </c>
    </row>
    <row r="3716" spans="1:8" x14ac:dyDescent="0.2">
      <c r="A3716" t="str">
        <f t="shared" si="58"/>
        <v/>
      </c>
      <c r="B3716" s="1">
        <v>2023</v>
      </c>
      <c r="C3716" s="1" t="s">
        <v>2505</v>
      </c>
      <c r="D3716" s="1" t="s">
        <v>2506</v>
      </c>
      <c r="E3716" s="1" t="s">
        <v>2019</v>
      </c>
      <c r="F3716" s="1" t="s">
        <v>369</v>
      </c>
      <c r="G3716" s="6">
        <v>87853</v>
      </c>
      <c r="H3716" t="str">
        <f>IFERROR(VLOOKUP(F3716,'LEAID Match'!$A$2:$B$142,2,FALSE),"")</f>
        <v/>
      </c>
    </row>
    <row r="3717" spans="1:8" x14ac:dyDescent="0.2">
      <c r="A3717" t="str">
        <f t="shared" si="58"/>
        <v/>
      </c>
      <c r="B3717" s="1">
        <v>2024</v>
      </c>
      <c r="C3717" s="1" t="s">
        <v>2505</v>
      </c>
      <c r="D3717" s="1" t="s">
        <v>2506</v>
      </c>
      <c r="E3717" s="1" t="s">
        <v>2019</v>
      </c>
      <c r="F3717" s="1" t="s">
        <v>369</v>
      </c>
      <c r="G3717" s="6">
        <v>97102</v>
      </c>
      <c r="H3717" t="str">
        <f>IFERROR(VLOOKUP(F3717,'LEAID Match'!$A$2:$B$142,2,FALSE),"")</f>
        <v/>
      </c>
    </row>
    <row r="3718" spans="1:8" x14ac:dyDescent="0.2">
      <c r="A3718" t="str">
        <f t="shared" si="58"/>
        <v/>
      </c>
      <c r="B3718" s="1">
        <v>2015</v>
      </c>
      <c r="C3718" s="1" t="s">
        <v>2505</v>
      </c>
      <c r="D3718" s="1" t="s">
        <v>2506</v>
      </c>
      <c r="E3718" s="1" t="s">
        <v>2019</v>
      </c>
      <c r="F3718" s="1" t="s">
        <v>370</v>
      </c>
      <c r="G3718" s="6">
        <v>25810</v>
      </c>
      <c r="H3718" t="str">
        <f>IFERROR(VLOOKUP(F3718,'LEAID Match'!$A$2:$B$142,2,FALSE),"")</f>
        <v/>
      </c>
    </row>
    <row r="3719" spans="1:8" x14ac:dyDescent="0.2">
      <c r="A3719" t="str">
        <f t="shared" si="58"/>
        <v/>
      </c>
      <c r="B3719">
        <v>2016</v>
      </c>
      <c r="C3719" s="1" t="s">
        <v>2505</v>
      </c>
      <c r="D3719" s="1" t="s">
        <v>2506</v>
      </c>
      <c r="E3719" s="1" t="s">
        <v>2019</v>
      </c>
      <c r="F3719" s="1" t="s">
        <v>370</v>
      </c>
      <c r="G3719" s="12">
        <v>20557</v>
      </c>
      <c r="H3719" t="str">
        <f>IFERROR(VLOOKUP(F3719,'LEAID Match'!$A$2:$B$142,2,FALSE),"")</f>
        <v/>
      </c>
    </row>
    <row r="3720" spans="1:8" x14ac:dyDescent="0.2">
      <c r="A3720" t="str">
        <f t="shared" si="58"/>
        <v/>
      </c>
      <c r="B3720" s="1">
        <v>2017</v>
      </c>
      <c r="C3720" s="1" t="s">
        <v>2505</v>
      </c>
      <c r="D3720" s="1" t="s">
        <v>2506</v>
      </c>
      <c r="E3720" s="1" t="s">
        <v>2019</v>
      </c>
      <c r="F3720" s="1" t="s">
        <v>370</v>
      </c>
      <c r="G3720" s="47">
        <v>24723</v>
      </c>
      <c r="H3720" t="str">
        <f>IFERROR(VLOOKUP(F3720,'LEAID Match'!$A$2:$B$142,2,FALSE),"")</f>
        <v/>
      </c>
    </row>
    <row r="3721" spans="1:8" x14ac:dyDescent="0.2">
      <c r="A3721" t="str">
        <f t="shared" si="58"/>
        <v/>
      </c>
      <c r="B3721" s="1">
        <v>2018</v>
      </c>
      <c r="C3721" s="1" t="s">
        <v>2505</v>
      </c>
      <c r="D3721" s="1" t="s">
        <v>2506</v>
      </c>
      <c r="E3721" s="1" t="s">
        <v>2019</v>
      </c>
      <c r="F3721" s="1" t="s">
        <v>370</v>
      </c>
      <c r="G3721" s="6">
        <v>27567</v>
      </c>
      <c r="H3721" t="str">
        <f>IFERROR(VLOOKUP(F3721,'LEAID Match'!$A$2:$B$142,2,FALSE),"")</f>
        <v/>
      </c>
    </row>
    <row r="3722" spans="1:8" x14ac:dyDescent="0.2">
      <c r="A3722" t="str">
        <f t="shared" si="58"/>
        <v/>
      </c>
      <c r="B3722" s="1">
        <v>2019</v>
      </c>
      <c r="C3722" s="1" t="s">
        <v>2505</v>
      </c>
      <c r="D3722" s="1" t="s">
        <v>2506</v>
      </c>
      <c r="E3722" s="1" t="s">
        <v>2019</v>
      </c>
      <c r="F3722" s="1" t="s">
        <v>370</v>
      </c>
      <c r="G3722" s="6">
        <v>34598</v>
      </c>
      <c r="H3722" t="str">
        <f>IFERROR(VLOOKUP(F3722,'LEAID Match'!$A$2:$B$142,2,FALSE),"")</f>
        <v/>
      </c>
    </row>
    <row r="3723" spans="1:8" x14ac:dyDescent="0.2">
      <c r="A3723" t="str">
        <f t="shared" si="58"/>
        <v/>
      </c>
      <c r="B3723" s="1">
        <v>2020</v>
      </c>
      <c r="C3723" s="1" t="s">
        <v>2505</v>
      </c>
      <c r="D3723" s="1" t="s">
        <v>2506</v>
      </c>
      <c r="E3723" s="1" t="s">
        <v>2019</v>
      </c>
      <c r="F3723" s="1" t="s">
        <v>370</v>
      </c>
      <c r="G3723" s="6">
        <v>34499</v>
      </c>
      <c r="H3723" t="str">
        <f>IFERROR(VLOOKUP(F3723,'LEAID Match'!$A$2:$B$142,2,FALSE),"")</f>
        <v/>
      </c>
    </row>
    <row r="3724" spans="1:8" x14ac:dyDescent="0.2">
      <c r="A3724" t="str">
        <f t="shared" si="58"/>
        <v/>
      </c>
      <c r="B3724" s="1">
        <v>2021</v>
      </c>
      <c r="C3724" s="1" t="s">
        <v>2505</v>
      </c>
      <c r="D3724" s="1" t="s">
        <v>2506</v>
      </c>
      <c r="E3724" s="1" t="s">
        <v>2019</v>
      </c>
      <c r="F3724" s="1" t="s">
        <v>370</v>
      </c>
      <c r="G3724" s="6">
        <v>36448</v>
      </c>
      <c r="H3724" t="str">
        <f>IFERROR(VLOOKUP(F3724,'LEAID Match'!$A$2:$B$142,2,FALSE),"")</f>
        <v/>
      </c>
    </row>
    <row r="3725" spans="1:8" x14ac:dyDescent="0.2">
      <c r="A3725" t="str">
        <f t="shared" si="58"/>
        <v/>
      </c>
      <c r="B3725" s="1">
        <v>2022</v>
      </c>
      <c r="C3725" s="1" t="s">
        <v>2505</v>
      </c>
      <c r="D3725" s="1" t="s">
        <v>2506</v>
      </c>
      <c r="E3725" s="1" t="s">
        <v>2019</v>
      </c>
      <c r="F3725" s="1" t="s">
        <v>370</v>
      </c>
      <c r="G3725" s="6">
        <v>37679</v>
      </c>
      <c r="H3725" t="str">
        <f>IFERROR(VLOOKUP(F3725,'LEAID Match'!$A$2:$B$142,2,FALSE),"")</f>
        <v/>
      </c>
    </row>
    <row r="3726" spans="1:8" x14ac:dyDescent="0.2">
      <c r="A3726" t="str">
        <f t="shared" si="58"/>
        <v/>
      </c>
      <c r="B3726" s="1">
        <v>2023</v>
      </c>
      <c r="C3726" s="1" t="s">
        <v>2505</v>
      </c>
      <c r="D3726" s="1" t="s">
        <v>2506</v>
      </c>
      <c r="E3726" s="1" t="s">
        <v>2019</v>
      </c>
      <c r="F3726" s="1" t="s">
        <v>370</v>
      </c>
      <c r="G3726" s="6">
        <v>40879</v>
      </c>
      <c r="H3726" t="str">
        <f>IFERROR(VLOOKUP(F3726,'LEAID Match'!$A$2:$B$142,2,FALSE),"")</f>
        <v/>
      </c>
    </row>
    <row r="3727" spans="1:8" x14ac:dyDescent="0.2">
      <c r="A3727" t="str">
        <f t="shared" si="58"/>
        <v/>
      </c>
      <c r="B3727" s="1">
        <v>2024</v>
      </c>
      <c r="C3727" s="1" t="s">
        <v>2505</v>
      </c>
      <c r="D3727" s="1" t="s">
        <v>2506</v>
      </c>
      <c r="E3727" s="1" t="s">
        <v>2019</v>
      </c>
      <c r="F3727" s="1" t="s">
        <v>370</v>
      </c>
      <c r="G3727" s="6">
        <v>31352</v>
      </c>
      <c r="H3727" t="str">
        <f>IFERROR(VLOOKUP(F3727,'LEAID Match'!$A$2:$B$142,2,FALSE),"")</f>
        <v/>
      </c>
    </row>
    <row r="3728" spans="1:8" x14ac:dyDescent="0.2">
      <c r="A3728">
        <f t="shared" si="58"/>
        <v>2802430</v>
      </c>
      <c r="B3728" s="1">
        <v>2015</v>
      </c>
      <c r="C3728" s="1" t="s">
        <v>2505</v>
      </c>
      <c r="D3728" s="1" t="s">
        <v>2506</v>
      </c>
      <c r="E3728" s="1" t="s">
        <v>2019</v>
      </c>
      <c r="F3728" s="1" t="s">
        <v>371</v>
      </c>
      <c r="G3728" s="6">
        <v>5188575</v>
      </c>
      <c r="H3728">
        <f>IFERROR(VLOOKUP(F3728,'LEAID Match'!$A$2:$B$142,2,FALSE),"")</f>
        <v>2802430</v>
      </c>
    </row>
    <row r="3729" spans="1:8" x14ac:dyDescent="0.2">
      <c r="A3729">
        <f t="shared" si="58"/>
        <v>2802430</v>
      </c>
      <c r="B3729">
        <v>2016</v>
      </c>
      <c r="C3729" s="1" t="s">
        <v>2505</v>
      </c>
      <c r="D3729" s="1" t="s">
        <v>2506</v>
      </c>
      <c r="E3729" s="1" t="s">
        <v>2019</v>
      </c>
      <c r="F3729" s="1" t="s">
        <v>371</v>
      </c>
      <c r="G3729" s="12">
        <v>5259854</v>
      </c>
      <c r="H3729">
        <f>IFERROR(VLOOKUP(F3729,'LEAID Match'!$A$2:$B$142,2,FALSE),"")</f>
        <v>2802430</v>
      </c>
    </row>
    <row r="3730" spans="1:8" x14ac:dyDescent="0.2">
      <c r="A3730">
        <f t="shared" si="58"/>
        <v>2802430</v>
      </c>
      <c r="B3730" s="1">
        <v>2017</v>
      </c>
      <c r="C3730" s="1" t="s">
        <v>2505</v>
      </c>
      <c r="D3730" s="1" t="s">
        <v>2506</v>
      </c>
      <c r="E3730" s="1" t="s">
        <v>2019</v>
      </c>
      <c r="F3730" s="1" t="s">
        <v>371</v>
      </c>
      <c r="G3730" s="47">
        <v>5209942</v>
      </c>
      <c r="H3730">
        <f>IFERROR(VLOOKUP(F3730,'LEAID Match'!$A$2:$B$142,2,FALSE),"")</f>
        <v>2802430</v>
      </c>
    </row>
    <row r="3731" spans="1:8" x14ac:dyDescent="0.2">
      <c r="A3731">
        <f t="shared" si="58"/>
        <v>2802430</v>
      </c>
      <c r="B3731" s="1">
        <v>2018</v>
      </c>
      <c r="C3731" s="1" t="s">
        <v>2505</v>
      </c>
      <c r="D3731" s="1" t="s">
        <v>2506</v>
      </c>
      <c r="E3731" s="1" t="s">
        <v>2019</v>
      </c>
      <c r="F3731" s="1" t="s">
        <v>371</v>
      </c>
      <c r="G3731" s="6">
        <v>4846445</v>
      </c>
      <c r="H3731">
        <f>IFERROR(VLOOKUP(F3731,'LEAID Match'!$A$2:$B$142,2,FALSE),"")</f>
        <v>2802430</v>
      </c>
    </row>
    <row r="3732" spans="1:8" x14ac:dyDescent="0.2">
      <c r="A3732">
        <f t="shared" si="58"/>
        <v>2802430</v>
      </c>
      <c r="B3732" s="1">
        <v>2019</v>
      </c>
      <c r="C3732" s="1" t="s">
        <v>2505</v>
      </c>
      <c r="D3732" s="1" t="s">
        <v>2506</v>
      </c>
      <c r="E3732" s="1" t="s">
        <v>2019</v>
      </c>
      <c r="F3732" s="1" t="s">
        <v>371</v>
      </c>
      <c r="G3732" s="6">
        <v>5467165</v>
      </c>
      <c r="H3732">
        <f>IFERROR(VLOOKUP(F3732,'LEAID Match'!$A$2:$B$142,2,FALSE),"")</f>
        <v>2802430</v>
      </c>
    </row>
    <row r="3733" spans="1:8" x14ac:dyDescent="0.2">
      <c r="A3733">
        <f t="shared" si="58"/>
        <v>2802430</v>
      </c>
      <c r="B3733" s="1">
        <v>2020</v>
      </c>
      <c r="C3733" s="1" t="s">
        <v>2505</v>
      </c>
      <c r="D3733" s="1" t="s">
        <v>2506</v>
      </c>
      <c r="E3733" s="1" t="s">
        <v>2019</v>
      </c>
      <c r="F3733" s="1" t="s">
        <v>371</v>
      </c>
      <c r="G3733" s="6">
        <v>5766858</v>
      </c>
      <c r="H3733">
        <f>IFERROR(VLOOKUP(F3733,'LEAID Match'!$A$2:$B$142,2,FALSE),"")</f>
        <v>2802430</v>
      </c>
    </row>
    <row r="3734" spans="1:8" x14ac:dyDescent="0.2">
      <c r="A3734">
        <f t="shared" si="58"/>
        <v>2802430</v>
      </c>
      <c r="B3734" s="1">
        <v>2021</v>
      </c>
      <c r="C3734" s="1" t="s">
        <v>2505</v>
      </c>
      <c r="D3734" s="1" t="s">
        <v>2506</v>
      </c>
      <c r="E3734" s="1" t="s">
        <v>2019</v>
      </c>
      <c r="F3734" s="1" t="s">
        <v>371</v>
      </c>
      <c r="G3734" s="6">
        <v>5896098</v>
      </c>
      <c r="H3734">
        <f>IFERROR(VLOOKUP(F3734,'LEAID Match'!$A$2:$B$142,2,FALSE),"")</f>
        <v>2802430</v>
      </c>
    </row>
    <row r="3735" spans="1:8" x14ac:dyDescent="0.2">
      <c r="A3735">
        <f t="shared" si="58"/>
        <v>2802430</v>
      </c>
      <c r="B3735" s="1">
        <v>2022</v>
      </c>
      <c r="C3735" s="1" t="s">
        <v>2505</v>
      </c>
      <c r="D3735" s="1" t="s">
        <v>2506</v>
      </c>
      <c r="E3735" s="1" t="s">
        <v>2019</v>
      </c>
      <c r="F3735" s="1" t="s">
        <v>371</v>
      </c>
      <c r="G3735" s="6">
        <v>6206137</v>
      </c>
      <c r="H3735">
        <f>IFERROR(VLOOKUP(F3735,'LEAID Match'!$A$2:$B$142,2,FALSE),"")</f>
        <v>2802430</v>
      </c>
    </row>
    <row r="3736" spans="1:8" x14ac:dyDescent="0.2">
      <c r="A3736">
        <f t="shared" si="58"/>
        <v>2802430</v>
      </c>
      <c r="B3736" s="1">
        <v>2023</v>
      </c>
      <c r="C3736" s="1" t="s">
        <v>2505</v>
      </c>
      <c r="D3736" s="1" t="s">
        <v>2506</v>
      </c>
      <c r="E3736" s="1" t="s">
        <v>2019</v>
      </c>
      <c r="F3736" s="1" t="s">
        <v>371</v>
      </c>
      <c r="G3736" s="6">
        <v>6422293</v>
      </c>
      <c r="H3736">
        <f>IFERROR(VLOOKUP(F3736,'LEAID Match'!$A$2:$B$142,2,FALSE),"")</f>
        <v>2802430</v>
      </c>
    </row>
    <row r="3737" spans="1:8" x14ac:dyDescent="0.2">
      <c r="A3737">
        <f t="shared" si="58"/>
        <v>2802430</v>
      </c>
      <c r="B3737" s="1">
        <v>2024</v>
      </c>
      <c r="C3737" s="1" t="s">
        <v>2505</v>
      </c>
      <c r="D3737" s="1" t="s">
        <v>2506</v>
      </c>
      <c r="E3737" s="1" t="s">
        <v>2019</v>
      </c>
      <c r="F3737" s="1" t="s">
        <v>371</v>
      </c>
      <c r="G3737" s="6">
        <v>6981109</v>
      </c>
      <c r="H3737">
        <f>IFERROR(VLOOKUP(F3737,'LEAID Match'!$A$2:$B$142,2,FALSE),"")</f>
        <v>2802430</v>
      </c>
    </row>
    <row r="3738" spans="1:8" x14ac:dyDescent="0.2">
      <c r="A3738" t="str">
        <f t="shared" si="58"/>
        <v/>
      </c>
      <c r="B3738" s="1">
        <v>2015</v>
      </c>
      <c r="C3738" s="1" t="s">
        <v>2505</v>
      </c>
      <c r="D3738" s="1" t="s">
        <v>2506</v>
      </c>
      <c r="E3738" s="1" t="s">
        <v>2019</v>
      </c>
      <c r="F3738" s="1" t="s">
        <v>372</v>
      </c>
      <c r="G3738" s="6">
        <v>1735771</v>
      </c>
      <c r="H3738" t="str">
        <f>IFERROR(VLOOKUP(F3738,'LEAID Match'!$A$2:$B$142,2,FALSE),"")</f>
        <v/>
      </c>
    </row>
    <row r="3739" spans="1:8" x14ac:dyDescent="0.2">
      <c r="A3739" t="str">
        <f t="shared" si="58"/>
        <v/>
      </c>
      <c r="B3739">
        <v>2016</v>
      </c>
      <c r="C3739" s="1" t="s">
        <v>2505</v>
      </c>
      <c r="D3739" s="1" t="s">
        <v>2506</v>
      </c>
      <c r="E3739" s="1" t="s">
        <v>2019</v>
      </c>
      <c r="F3739" s="1" t="s">
        <v>372</v>
      </c>
      <c r="G3739" s="12">
        <v>1766716</v>
      </c>
      <c r="H3739" t="str">
        <f>IFERROR(VLOOKUP(F3739,'LEAID Match'!$A$2:$B$142,2,FALSE),"")</f>
        <v/>
      </c>
    </row>
    <row r="3740" spans="1:8" x14ac:dyDescent="0.2">
      <c r="A3740" t="str">
        <f t="shared" si="58"/>
        <v/>
      </c>
      <c r="B3740" s="1">
        <v>2017</v>
      </c>
      <c r="C3740" s="1" t="s">
        <v>2505</v>
      </c>
      <c r="D3740" s="1" t="s">
        <v>2506</v>
      </c>
      <c r="E3740" s="1" t="s">
        <v>2019</v>
      </c>
      <c r="F3740" s="1" t="s">
        <v>372</v>
      </c>
      <c r="G3740" s="47">
        <v>1861727</v>
      </c>
      <c r="H3740" t="str">
        <f>IFERROR(VLOOKUP(F3740,'LEAID Match'!$A$2:$B$142,2,FALSE),"")</f>
        <v/>
      </c>
    </row>
    <row r="3741" spans="1:8" x14ac:dyDescent="0.2">
      <c r="A3741" t="str">
        <f t="shared" si="58"/>
        <v/>
      </c>
      <c r="B3741" s="1">
        <v>2018</v>
      </c>
      <c r="C3741" s="1" t="s">
        <v>2505</v>
      </c>
      <c r="D3741" s="1" t="s">
        <v>2506</v>
      </c>
      <c r="E3741" s="1" t="s">
        <v>2019</v>
      </c>
      <c r="F3741" s="1" t="s">
        <v>372</v>
      </c>
      <c r="G3741" s="6">
        <v>1956297</v>
      </c>
      <c r="H3741" t="str">
        <f>IFERROR(VLOOKUP(F3741,'LEAID Match'!$A$2:$B$142,2,FALSE),"")</f>
        <v/>
      </c>
    </row>
    <row r="3742" spans="1:8" x14ac:dyDescent="0.2">
      <c r="A3742" t="str">
        <f t="shared" si="58"/>
        <v/>
      </c>
      <c r="B3742" s="1">
        <v>2019</v>
      </c>
      <c r="C3742" s="1" t="s">
        <v>2505</v>
      </c>
      <c r="D3742" s="1" t="s">
        <v>2506</v>
      </c>
      <c r="E3742" s="1" t="s">
        <v>2019</v>
      </c>
      <c r="F3742" s="1" t="s">
        <v>372</v>
      </c>
      <c r="G3742" s="6">
        <v>1949517</v>
      </c>
      <c r="H3742" t="str">
        <f>IFERROR(VLOOKUP(F3742,'LEAID Match'!$A$2:$B$142,2,FALSE),"")</f>
        <v/>
      </c>
    </row>
    <row r="3743" spans="1:8" x14ac:dyDescent="0.2">
      <c r="A3743" t="str">
        <f t="shared" si="58"/>
        <v/>
      </c>
      <c r="B3743" s="1">
        <v>2020</v>
      </c>
      <c r="C3743" s="1" t="s">
        <v>2505</v>
      </c>
      <c r="D3743" s="1" t="s">
        <v>2506</v>
      </c>
      <c r="E3743" s="1" t="s">
        <v>2019</v>
      </c>
      <c r="F3743" s="1" t="s">
        <v>372</v>
      </c>
      <c r="G3743" s="6">
        <v>2164800</v>
      </c>
      <c r="H3743" t="str">
        <f>IFERROR(VLOOKUP(F3743,'LEAID Match'!$A$2:$B$142,2,FALSE),"")</f>
        <v/>
      </c>
    </row>
    <row r="3744" spans="1:8" x14ac:dyDescent="0.2">
      <c r="A3744" t="str">
        <f t="shared" si="58"/>
        <v/>
      </c>
      <c r="B3744" s="1">
        <v>2021</v>
      </c>
      <c r="C3744" s="1" t="s">
        <v>2505</v>
      </c>
      <c r="D3744" s="1" t="s">
        <v>2506</v>
      </c>
      <c r="E3744" s="1" t="s">
        <v>2019</v>
      </c>
      <c r="F3744" s="1" t="s">
        <v>372</v>
      </c>
      <c r="G3744" s="6">
        <v>2185962</v>
      </c>
      <c r="H3744" t="str">
        <f>IFERROR(VLOOKUP(F3744,'LEAID Match'!$A$2:$B$142,2,FALSE),"")</f>
        <v/>
      </c>
    </row>
    <row r="3745" spans="1:8" x14ac:dyDescent="0.2">
      <c r="A3745" t="str">
        <f t="shared" si="58"/>
        <v/>
      </c>
      <c r="B3745" s="1">
        <v>2022</v>
      </c>
      <c r="C3745" s="1" t="s">
        <v>2505</v>
      </c>
      <c r="D3745" s="1" t="s">
        <v>2506</v>
      </c>
      <c r="E3745" s="1" t="s">
        <v>2019</v>
      </c>
      <c r="F3745" s="1" t="s">
        <v>372</v>
      </c>
      <c r="G3745" s="6">
        <v>2314812</v>
      </c>
      <c r="H3745" t="str">
        <f>IFERROR(VLOOKUP(F3745,'LEAID Match'!$A$2:$B$142,2,FALSE),"")</f>
        <v/>
      </c>
    </row>
    <row r="3746" spans="1:8" x14ac:dyDescent="0.2">
      <c r="A3746" t="str">
        <f t="shared" si="58"/>
        <v/>
      </c>
      <c r="B3746" s="1">
        <v>2023</v>
      </c>
      <c r="C3746" s="1" t="s">
        <v>2505</v>
      </c>
      <c r="D3746" s="1" t="s">
        <v>2506</v>
      </c>
      <c r="E3746" s="1" t="s">
        <v>2019</v>
      </c>
      <c r="F3746" s="1" t="s">
        <v>372</v>
      </c>
      <c r="G3746" s="6">
        <v>2611355</v>
      </c>
      <c r="H3746" t="str">
        <f>IFERROR(VLOOKUP(F3746,'LEAID Match'!$A$2:$B$142,2,FALSE),"")</f>
        <v/>
      </c>
    </row>
    <row r="3747" spans="1:8" x14ac:dyDescent="0.2">
      <c r="A3747" t="str">
        <f t="shared" si="58"/>
        <v/>
      </c>
      <c r="B3747" s="1">
        <v>2024</v>
      </c>
      <c r="C3747" s="1" t="s">
        <v>2505</v>
      </c>
      <c r="D3747" s="1" t="s">
        <v>2506</v>
      </c>
      <c r="E3747" s="1" t="s">
        <v>2019</v>
      </c>
      <c r="F3747" s="1" t="s">
        <v>372</v>
      </c>
      <c r="G3747" s="6">
        <v>2560598</v>
      </c>
      <c r="H3747" t="str">
        <f>IFERROR(VLOOKUP(F3747,'LEAID Match'!$A$2:$B$142,2,FALSE),"")</f>
        <v/>
      </c>
    </row>
    <row r="3748" spans="1:8" x14ac:dyDescent="0.2">
      <c r="A3748" t="str">
        <f t="shared" si="58"/>
        <v/>
      </c>
      <c r="B3748" s="1">
        <v>2015</v>
      </c>
      <c r="C3748" s="1" t="s">
        <v>2505</v>
      </c>
      <c r="D3748" s="1" t="s">
        <v>2506</v>
      </c>
      <c r="E3748" s="1" t="s">
        <v>2019</v>
      </c>
      <c r="F3748" s="1" t="s">
        <v>373</v>
      </c>
      <c r="G3748" s="6">
        <v>418329</v>
      </c>
      <c r="H3748" t="str">
        <f>IFERROR(VLOOKUP(F3748,'LEAID Match'!$A$2:$B$142,2,FALSE),"")</f>
        <v/>
      </c>
    </row>
    <row r="3749" spans="1:8" x14ac:dyDescent="0.2">
      <c r="A3749" t="str">
        <f t="shared" si="58"/>
        <v/>
      </c>
      <c r="B3749">
        <v>2016</v>
      </c>
      <c r="C3749" s="1" t="s">
        <v>2505</v>
      </c>
      <c r="D3749" s="1" t="s">
        <v>2506</v>
      </c>
      <c r="E3749" s="1" t="s">
        <v>2019</v>
      </c>
      <c r="F3749" s="1" t="s">
        <v>373</v>
      </c>
      <c r="G3749" s="12">
        <v>415184</v>
      </c>
      <c r="H3749" t="str">
        <f>IFERROR(VLOOKUP(F3749,'LEAID Match'!$A$2:$B$142,2,FALSE),"")</f>
        <v/>
      </c>
    </row>
    <row r="3750" spans="1:8" x14ac:dyDescent="0.2">
      <c r="A3750" t="str">
        <f t="shared" si="58"/>
        <v/>
      </c>
      <c r="B3750" s="1">
        <v>2017</v>
      </c>
      <c r="C3750" s="1" t="s">
        <v>2505</v>
      </c>
      <c r="D3750" s="1" t="s">
        <v>2506</v>
      </c>
      <c r="E3750" s="1" t="s">
        <v>2019</v>
      </c>
      <c r="F3750" s="1" t="s">
        <v>373</v>
      </c>
      <c r="G3750" s="47">
        <v>409368</v>
      </c>
      <c r="H3750" t="str">
        <f>IFERROR(VLOOKUP(F3750,'LEAID Match'!$A$2:$B$142,2,FALSE),"")</f>
        <v/>
      </c>
    </row>
    <row r="3751" spans="1:8" x14ac:dyDescent="0.2">
      <c r="A3751" t="str">
        <f t="shared" si="58"/>
        <v/>
      </c>
      <c r="B3751" s="1">
        <v>2018</v>
      </c>
      <c r="C3751" s="1" t="s">
        <v>2505</v>
      </c>
      <c r="D3751" s="1" t="s">
        <v>2506</v>
      </c>
      <c r="E3751" s="1" t="s">
        <v>2019</v>
      </c>
      <c r="F3751" s="1" t="s">
        <v>373</v>
      </c>
      <c r="G3751" s="6">
        <v>409180</v>
      </c>
      <c r="H3751" t="str">
        <f>IFERROR(VLOOKUP(F3751,'LEAID Match'!$A$2:$B$142,2,FALSE),"")</f>
        <v/>
      </c>
    </row>
    <row r="3752" spans="1:8" x14ac:dyDescent="0.2">
      <c r="A3752" t="str">
        <f t="shared" si="58"/>
        <v/>
      </c>
      <c r="B3752" s="1">
        <v>2019</v>
      </c>
      <c r="C3752" s="1" t="s">
        <v>2505</v>
      </c>
      <c r="D3752" s="1" t="s">
        <v>2506</v>
      </c>
      <c r="E3752" s="1" t="s">
        <v>2019</v>
      </c>
      <c r="F3752" s="1" t="s">
        <v>373</v>
      </c>
      <c r="G3752" s="6">
        <v>405280</v>
      </c>
      <c r="H3752" t="str">
        <f>IFERROR(VLOOKUP(F3752,'LEAID Match'!$A$2:$B$142,2,FALSE),"")</f>
        <v/>
      </c>
    </row>
    <row r="3753" spans="1:8" x14ac:dyDescent="0.2">
      <c r="A3753" t="str">
        <f t="shared" si="58"/>
        <v/>
      </c>
      <c r="B3753" s="1">
        <v>2020</v>
      </c>
      <c r="C3753" s="1" t="s">
        <v>2505</v>
      </c>
      <c r="D3753" s="1" t="s">
        <v>2506</v>
      </c>
      <c r="E3753" s="1" t="s">
        <v>2019</v>
      </c>
      <c r="F3753" s="1" t="s">
        <v>373</v>
      </c>
      <c r="G3753" s="6">
        <v>467941</v>
      </c>
      <c r="H3753" t="str">
        <f>IFERROR(VLOOKUP(F3753,'LEAID Match'!$A$2:$B$142,2,FALSE),"")</f>
        <v/>
      </c>
    </row>
    <row r="3754" spans="1:8" x14ac:dyDescent="0.2">
      <c r="A3754" t="str">
        <f t="shared" si="58"/>
        <v/>
      </c>
      <c r="B3754" s="1">
        <v>2021</v>
      </c>
      <c r="C3754" s="1" t="s">
        <v>2505</v>
      </c>
      <c r="D3754" s="1" t="s">
        <v>2506</v>
      </c>
      <c r="E3754" s="1" t="s">
        <v>2019</v>
      </c>
      <c r="F3754" s="1" t="s">
        <v>373</v>
      </c>
      <c r="G3754" s="6">
        <v>494646</v>
      </c>
      <c r="H3754" t="str">
        <f>IFERROR(VLOOKUP(F3754,'LEAID Match'!$A$2:$B$142,2,FALSE),"")</f>
        <v/>
      </c>
    </row>
    <row r="3755" spans="1:8" x14ac:dyDescent="0.2">
      <c r="A3755" t="str">
        <f t="shared" si="58"/>
        <v/>
      </c>
      <c r="B3755" s="1">
        <v>2022</v>
      </c>
      <c r="C3755" s="1" t="s">
        <v>2505</v>
      </c>
      <c r="D3755" s="1" t="s">
        <v>2506</v>
      </c>
      <c r="E3755" s="1" t="s">
        <v>2019</v>
      </c>
      <c r="F3755" s="1" t="s">
        <v>373</v>
      </c>
      <c r="G3755" s="6">
        <v>481888</v>
      </c>
      <c r="H3755" t="str">
        <f>IFERROR(VLOOKUP(F3755,'LEAID Match'!$A$2:$B$142,2,FALSE),"")</f>
        <v/>
      </c>
    </row>
    <row r="3756" spans="1:8" x14ac:dyDescent="0.2">
      <c r="A3756" t="str">
        <f t="shared" si="58"/>
        <v/>
      </c>
      <c r="B3756" s="1">
        <v>2023</v>
      </c>
      <c r="C3756" s="1" t="s">
        <v>2505</v>
      </c>
      <c r="D3756" s="1" t="s">
        <v>2506</v>
      </c>
      <c r="E3756" s="1" t="s">
        <v>2019</v>
      </c>
      <c r="F3756" s="1" t="s">
        <v>373</v>
      </c>
      <c r="G3756" s="6">
        <v>539296</v>
      </c>
      <c r="H3756" t="str">
        <f>IFERROR(VLOOKUP(F3756,'LEAID Match'!$A$2:$B$142,2,FALSE),"")</f>
        <v/>
      </c>
    </row>
    <row r="3757" spans="1:8" x14ac:dyDescent="0.2">
      <c r="A3757" t="str">
        <f t="shared" si="58"/>
        <v/>
      </c>
      <c r="B3757" s="1">
        <v>2024</v>
      </c>
      <c r="C3757" s="1" t="s">
        <v>2505</v>
      </c>
      <c r="D3757" s="1" t="s">
        <v>2506</v>
      </c>
      <c r="E3757" s="1" t="s">
        <v>2019</v>
      </c>
      <c r="F3757" s="1" t="s">
        <v>373</v>
      </c>
      <c r="G3757" s="6">
        <v>489350</v>
      </c>
      <c r="H3757" t="str">
        <f>IFERROR(VLOOKUP(F3757,'LEAID Match'!$A$2:$B$142,2,FALSE),"")</f>
        <v/>
      </c>
    </row>
    <row r="3758" spans="1:8" x14ac:dyDescent="0.2">
      <c r="A3758" t="str">
        <f t="shared" si="58"/>
        <v/>
      </c>
      <c r="B3758" s="1">
        <v>2015</v>
      </c>
      <c r="C3758" s="1" t="s">
        <v>2505</v>
      </c>
      <c r="D3758" s="1" t="s">
        <v>2506</v>
      </c>
      <c r="E3758" s="1" t="s">
        <v>2019</v>
      </c>
      <c r="F3758" s="1" t="s">
        <v>910</v>
      </c>
      <c r="G3758" s="6">
        <v>1928</v>
      </c>
      <c r="H3758" t="str">
        <f>IFERROR(VLOOKUP(F3758,'LEAID Match'!$A$2:$B$142,2,FALSE),"")</f>
        <v/>
      </c>
    </row>
    <row r="3759" spans="1:8" x14ac:dyDescent="0.2">
      <c r="A3759" t="str">
        <f t="shared" si="58"/>
        <v/>
      </c>
      <c r="B3759">
        <v>2016</v>
      </c>
      <c r="C3759" s="1" t="s">
        <v>2505</v>
      </c>
      <c r="D3759" s="1" t="s">
        <v>2506</v>
      </c>
      <c r="E3759" s="1" t="s">
        <v>2019</v>
      </c>
      <c r="F3759" s="1" t="s">
        <v>910</v>
      </c>
      <c r="G3759" s="12">
        <v>1481</v>
      </c>
      <c r="H3759" t="str">
        <f>IFERROR(VLOOKUP(F3759,'LEAID Match'!$A$2:$B$142,2,FALSE),"")</f>
        <v/>
      </c>
    </row>
    <row r="3760" spans="1:8" x14ac:dyDescent="0.2">
      <c r="A3760" t="str">
        <f t="shared" si="58"/>
        <v/>
      </c>
      <c r="B3760" s="1">
        <v>2017</v>
      </c>
      <c r="C3760" s="1" t="s">
        <v>2505</v>
      </c>
      <c r="D3760" s="1" t="s">
        <v>2506</v>
      </c>
      <c r="E3760" s="1" t="s">
        <v>2019</v>
      </c>
      <c r="F3760" s="1" t="s">
        <v>910</v>
      </c>
      <c r="G3760" s="47">
        <v>1871</v>
      </c>
      <c r="H3760" t="str">
        <f>IFERROR(VLOOKUP(F3760,'LEAID Match'!$A$2:$B$142,2,FALSE),"")</f>
        <v/>
      </c>
    </row>
    <row r="3761" spans="1:8" x14ac:dyDescent="0.2">
      <c r="A3761" t="str">
        <f t="shared" si="58"/>
        <v/>
      </c>
      <c r="B3761" s="1">
        <v>2018</v>
      </c>
      <c r="C3761" s="1" t="s">
        <v>2505</v>
      </c>
      <c r="D3761" s="1" t="s">
        <v>2506</v>
      </c>
      <c r="E3761" s="1" t="s">
        <v>2019</v>
      </c>
      <c r="F3761" s="1" t="s">
        <v>910</v>
      </c>
      <c r="G3761" s="6">
        <v>2148</v>
      </c>
      <c r="H3761" t="str">
        <f>IFERROR(VLOOKUP(F3761,'LEAID Match'!$A$2:$B$142,2,FALSE),"")</f>
        <v/>
      </c>
    </row>
    <row r="3762" spans="1:8" x14ac:dyDescent="0.2">
      <c r="A3762" t="str">
        <f t="shared" si="58"/>
        <v/>
      </c>
      <c r="B3762" s="1">
        <v>2019</v>
      </c>
      <c r="C3762" s="1" t="s">
        <v>2505</v>
      </c>
      <c r="D3762" s="1" t="s">
        <v>2506</v>
      </c>
      <c r="E3762" s="1" t="s">
        <v>2019</v>
      </c>
      <c r="F3762" s="1" t="s">
        <v>910</v>
      </c>
      <c r="G3762" s="6">
        <v>2176</v>
      </c>
      <c r="H3762" t="str">
        <f>IFERROR(VLOOKUP(F3762,'LEAID Match'!$A$2:$B$142,2,FALSE),"")</f>
        <v/>
      </c>
    </row>
    <row r="3763" spans="1:8" x14ac:dyDescent="0.2">
      <c r="A3763" t="str">
        <f t="shared" si="58"/>
        <v/>
      </c>
      <c r="B3763" s="1">
        <v>2020</v>
      </c>
      <c r="C3763" s="1" t="s">
        <v>2505</v>
      </c>
      <c r="D3763" s="1" t="s">
        <v>2506</v>
      </c>
      <c r="E3763" s="1" t="s">
        <v>2019</v>
      </c>
      <c r="F3763" s="1" t="s">
        <v>910</v>
      </c>
      <c r="G3763" s="6">
        <v>1883</v>
      </c>
      <c r="H3763" t="str">
        <f>IFERROR(VLOOKUP(F3763,'LEAID Match'!$A$2:$B$142,2,FALSE),"")</f>
        <v/>
      </c>
    </row>
    <row r="3764" spans="1:8" x14ac:dyDescent="0.2">
      <c r="A3764" t="str">
        <f t="shared" si="58"/>
        <v/>
      </c>
      <c r="B3764" s="1">
        <v>2021</v>
      </c>
      <c r="C3764" s="1" t="s">
        <v>2505</v>
      </c>
      <c r="D3764" s="1" t="s">
        <v>2506</v>
      </c>
      <c r="E3764" s="1" t="s">
        <v>2019</v>
      </c>
      <c r="F3764" s="1" t="s">
        <v>910</v>
      </c>
      <c r="G3764" s="6">
        <v>367</v>
      </c>
      <c r="H3764" t="str">
        <f>IFERROR(VLOOKUP(F3764,'LEAID Match'!$A$2:$B$142,2,FALSE),"")</f>
        <v/>
      </c>
    </row>
    <row r="3765" spans="1:8" x14ac:dyDescent="0.2">
      <c r="A3765" t="str">
        <f t="shared" si="58"/>
        <v/>
      </c>
      <c r="B3765" s="1">
        <v>2015</v>
      </c>
      <c r="C3765" s="1" t="s">
        <v>2505</v>
      </c>
      <c r="D3765" s="1" t="s">
        <v>2506</v>
      </c>
      <c r="E3765" s="1" t="s">
        <v>2019</v>
      </c>
      <c r="F3765" s="1" t="s">
        <v>374</v>
      </c>
      <c r="G3765" s="6">
        <v>27387</v>
      </c>
      <c r="H3765" t="str">
        <f>IFERROR(VLOOKUP(F3765,'LEAID Match'!$A$2:$B$142,2,FALSE),"")</f>
        <v/>
      </c>
    </row>
    <row r="3766" spans="1:8" x14ac:dyDescent="0.2">
      <c r="A3766" t="str">
        <f t="shared" si="58"/>
        <v/>
      </c>
      <c r="B3766">
        <v>2016</v>
      </c>
      <c r="C3766" s="1" t="s">
        <v>2505</v>
      </c>
      <c r="D3766" s="1" t="s">
        <v>2506</v>
      </c>
      <c r="E3766" s="1" t="s">
        <v>2019</v>
      </c>
      <c r="F3766" s="1" t="s">
        <v>374</v>
      </c>
      <c r="G3766" s="12">
        <v>28020</v>
      </c>
      <c r="H3766" t="str">
        <f>IFERROR(VLOOKUP(F3766,'LEAID Match'!$A$2:$B$142,2,FALSE),"")</f>
        <v/>
      </c>
    </row>
    <row r="3767" spans="1:8" x14ac:dyDescent="0.2">
      <c r="A3767" t="str">
        <f t="shared" si="58"/>
        <v/>
      </c>
      <c r="B3767" s="1">
        <v>2017</v>
      </c>
      <c r="C3767" s="1" t="s">
        <v>2505</v>
      </c>
      <c r="D3767" s="1" t="s">
        <v>2506</v>
      </c>
      <c r="E3767" s="1" t="s">
        <v>2019</v>
      </c>
      <c r="F3767" s="1" t="s">
        <v>374</v>
      </c>
      <c r="G3767" s="47">
        <v>27718</v>
      </c>
      <c r="H3767" t="str">
        <f>IFERROR(VLOOKUP(F3767,'LEAID Match'!$A$2:$B$142,2,FALSE),"")</f>
        <v/>
      </c>
    </row>
    <row r="3768" spans="1:8" x14ac:dyDescent="0.2">
      <c r="A3768" t="str">
        <f t="shared" si="58"/>
        <v/>
      </c>
      <c r="B3768" s="1">
        <v>2018</v>
      </c>
      <c r="C3768" s="1" t="s">
        <v>2505</v>
      </c>
      <c r="D3768" s="1" t="s">
        <v>2506</v>
      </c>
      <c r="E3768" s="1" t="s">
        <v>2019</v>
      </c>
      <c r="F3768" s="1" t="s">
        <v>374</v>
      </c>
      <c r="G3768" s="6">
        <v>27600</v>
      </c>
      <c r="H3768" t="str">
        <f>IFERROR(VLOOKUP(F3768,'LEAID Match'!$A$2:$B$142,2,FALSE),"")</f>
        <v/>
      </c>
    </row>
    <row r="3769" spans="1:8" x14ac:dyDescent="0.2">
      <c r="A3769" t="str">
        <f t="shared" si="58"/>
        <v/>
      </c>
      <c r="B3769" s="1">
        <v>2019</v>
      </c>
      <c r="C3769" s="1" t="s">
        <v>2505</v>
      </c>
      <c r="D3769" s="1" t="s">
        <v>2506</v>
      </c>
      <c r="E3769" s="1" t="s">
        <v>2019</v>
      </c>
      <c r="F3769" s="1" t="s">
        <v>374</v>
      </c>
      <c r="G3769" s="6">
        <v>27554</v>
      </c>
      <c r="H3769" t="str">
        <f>IFERROR(VLOOKUP(F3769,'LEAID Match'!$A$2:$B$142,2,FALSE),"")</f>
        <v/>
      </c>
    </row>
    <row r="3770" spans="1:8" x14ac:dyDescent="0.2">
      <c r="A3770" t="str">
        <f t="shared" si="58"/>
        <v/>
      </c>
      <c r="B3770" s="1">
        <v>2020</v>
      </c>
      <c r="C3770" s="1" t="s">
        <v>2505</v>
      </c>
      <c r="D3770" s="1" t="s">
        <v>2506</v>
      </c>
      <c r="E3770" s="1" t="s">
        <v>2019</v>
      </c>
      <c r="F3770" s="1" t="s">
        <v>374</v>
      </c>
      <c r="G3770" s="6">
        <v>27793</v>
      </c>
      <c r="H3770" t="str">
        <f>IFERROR(VLOOKUP(F3770,'LEAID Match'!$A$2:$B$142,2,FALSE),"")</f>
        <v/>
      </c>
    </row>
    <row r="3771" spans="1:8" x14ac:dyDescent="0.2">
      <c r="A3771" t="str">
        <f t="shared" si="58"/>
        <v/>
      </c>
      <c r="B3771" s="1">
        <v>2021</v>
      </c>
      <c r="C3771" s="1" t="s">
        <v>2505</v>
      </c>
      <c r="D3771" s="1" t="s">
        <v>2506</v>
      </c>
      <c r="E3771" s="1" t="s">
        <v>2019</v>
      </c>
      <c r="F3771" s="1" t="s">
        <v>374</v>
      </c>
      <c r="G3771" s="6">
        <v>29354</v>
      </c>
      <c r="H3771" t="str">
        <f>IFERROR(VLOOKUP(F3771,'LEAID Match'!$A$2:$B$142,2,FALSE),"")</f>
        <v/>
      </c>
    </row>
    <row r="3772" spans="1:8" x14ac:dyDescent="0.2">
      <c r="A3772" t="str">
        <f t="shared" si="58"/>
        <v/>
      </c>
      <c r="B3772" s="1">
        <v>2022</v>
      </c>
      <c r="C3772" s="1" t="s">
        <v>2505</v>
      </c>
      <c r="D3772" s="1" t="s">
        <v>2506</v>
      </c>
      <c r="E3772" s="1" t="s">
        <v>2019</v>
      </c>
      <c r="F3772" s="1" t="s">
        <v>374</v>
      </c>
      <c r="G3772" s="6">
        <v>29031</v>
      </c>
      <c r="H3772" t="str">
        <f>IFERROR(VLOOKUP(F3772,'LEAID Match'!$A$2:$B$142,2,FALSE),"")</f>
        <v/>
      </c>
    </row>
    <row r="3773" spans="1:8" x14ac:dyDescent="0.2">
      <c r="A3773" t="str">
        <f t="shared" si="58"/>
        <v/>
      </c>
      <c r="B3773" s="1">
        <v>2023</v>
      </c>
      <c r="C3773" s="1" t="s">
        <v>2505</v>
      </c>
      <c r="D3773" s="1" t="s">
        <v>2506</v>
      </c>
      <c r="E3773" s="1" t="s">
        <v>2019</v>
      </c>
      <c r="F3773" s="1" t="s">
        <v>374</v>
      </c>
      <c r="G3773" s="6">
        <v>33671</v>
      </c>
      <c r="H3773" t="str">
        <f>IFERROR(VLOOKUP(F3773,'LEAID Match'!$A$2:$B$142,2,FALSE),"")</f>
        <v/>
      </c>
    </row>
    <row r="3774" spans="1:8" x14ac:dyDescent="0.2">
      <c r="A3774" t="str">
        <f t="shared" si="58"/>
        <v/>
      </c>
      <c r="B3774" s="1">
        <v>2024</v>
      </c>
      <c r="C3774" s="1" t="s">
        <v>2505</v>
      </c>
      <c r="D3774" s="1" t="s">
        <v>2506</v>
      </c>
      <c r="E3774" s="1" t="s">
        <v>2019</v>
      </c>
      <c r="F3774" s="1" t="s">
        <v>374</v>
      </c>
      <c r="G3774" s="6">
        <v>34376</v>
      </c>
      <c r="H3774" t="str">
        <f>IFERROR(VLOOKUP(F3774,'LEAID Match'!$A$2:$B$142,2,FALSE),"")</f>
        <v/>
      </c>
    </row>
    <row r="3775" spans="1:8" x14ac:dyDescent="0.2">
      <c r="A3775" t="str">
        <f t="shared" si="58"/>
        <v/>
      </c>
      <c r="B3775" s="1">
        <v>2015</v>
      </c>
      <c r="C3775" s="1" t="s">
        <v>2505</v>
      </c>
      <c r="D3775" s="1" t="s">
        <v>2506</v>
      </c>
      <c r="E3775" s="1" t="s">
        <v>2019</v>
      </c>
      <c r="F3775" s="1" t="s">
        <v>375</v>
      </c>
      <c r="G3775" s="6">
        <v>1457970</v>
      </c>
      <c r="H3775" t="str">
        <f>IFERROR(VLOOKUP(F3775,'LEAID Match'!$A$2:$B$142,2,FALSE),"")</f>
        <v/>
      </c>
    </row>
    <row r="3776" spans="1:8" x14ac:dyDescent="0.2">
      <c r="A3776" t="str">
        <f t="shared" si="58"/>
        <v/>
      </c>
      <c r="B3776">
        <v>2016</v>
      </c>
      <c r="C3776" s="1" t="s">
        <v>2505</v>
      </c>
      <c r="D3776" s="1" t="s">
        <v>2506</v>
      </c>
      <c r="E3776" s="1" t="s">
        <v>2019</v>
      </c>
      <c r="F3776" s="1" t="s">
        <v>375</v>
      </c>
      <c r="G3776" s="12">
        <v>1450192</v>
      </c>
      <c r="H3776" t="str">
        <f>IFERROR(VLOOKUP(F3776,'LEAID Match'!$A$2:$B$142,2,FALSE),"")</f>
        <v/>
      </c>
    </row>
    <row r="3777" spans="1:8" x14ac:dyDescent="0.2">
      <c r="A3777" t="str">
        <f t="shared" si="58"/>
        <v/>
      </c>
      <c r="B3777" s="1">
        <v>2017</v>
      </c>
      <c r="C3777" s="1" t="s">
        <v>2505</v>
      </c>
      <c r="D3777" s="1" t="s">
        <v>2506</v>
      </c>
      <c r="E3777" s="1" t="s">
        <v>2019</v>
      </c>
      <c r="F3777" s="1" t="s">
        <v>375</v>
      </c>
      <c r="G3777" s="47">
        <v>1449535</v>
      </c>
      <c r="H3777" t="str">
        <f>IFERROR(VLOOKUP(F3777,'LEAID Match'!$A$2:$B$142,2,FALSE),"")</f>
        <v/>
      </c>
    </row>
    <row r="3778" spans="1:8" x14ac:dyDescent="0.2">
      <c r="A3778" t="str">
        <f t="shared" si="58"/>
        <v/>
      </c>
      <c r="B3778" s="1">
        <v>2018</v>
      </c>
      <c r="C3778" s="1" t="s">
        <v>2505</v>
      </c>
      <c r="D3778" s="1" t="s">
        <v>2506</v>
      </c>
      <c r="E3778" s="1" t="s">
        <v>2019</v>
      </c>
      <c r="F3778" s="1" t="s">
        <v>375</v>
      </c>
      <c r="G3778" s="6">
        <v>1431254</v>
      </c>
      <c r="H3778" t="str">
        <f>IFERROR(VLOOKUP(F3778,'LEAID Match'!$A$2:$B$142,2,FALSE),"")</f>
        <v/>
      </c>
    </row>
    <row r="3779" spans="1:8" x14ac:dyDescent="0.2">
      <c r="A3779" t="str">
        <f t="shared" ref="A3779:A3842" si="59">H3779</f>
        <v/>
      </c>
      <c r="B3779" s="1">
        <v>2019</v>
      </c>
      <c r="C3779" s="1" t="s">
        <v>2505</v>
      </c>
      <c r="D3779" s="1" t="s">
        <v>2506</v>
      </c>
      <c r="E3779" s="1" t="s">
        <v>2019</v>
      </c>
      <c r="F3779" s="1" t="s">
        <v>375</v>
      </c>
      <c r="G3779" s="6">
        <v>1474148</v>
      </c>
      <c r="H3779" t="str">
        <f>IFERROR(VLOOKUP(F3779,'LEAID Match'!$A$2:$B$142,2,FALSE),"")</f>
        <v/>
      </c>
    </row>
    <row r="3780" spans="1:8" x14ac:dyDescent="0.2">
      <c r="A3780" t="str">
        <f t="shared" si="59"/>
        <v/>
      </c>
      <c r="B3780" s="1">
        <v>2020</v>
      </c>
      <c r="C3780" s="1" t="s">
        <v>2505</v>
      </c>
      <c r="D3780" s="1" t="s">
        <v>2506</v>
      </c>
      <c r="E3780" s="1" t="s">
        <v>2019</v>
      </c>
      <c r="F3780" s="1" t="s">
        <v>375</v>
      </c>
      <c r="G3780" s="6">
        <v>1646382</v>
      </c>
      <c r="H3780" t="str">
        <f>IFERROR(VLOOKUP(F3780,'LEAID Match'!$A$2:$B$142,2,FALSE),"")</f>
        <v/>
      </c>
    </row>
    <row r="3781" spans="1:8" x14ac:dyDescent="0.2">
      <c r="A3781" t="str">
        <f t="shared" si="59"/>
        <v/>
      </c>
      <c r="B3781" s="1">
        <v>2021</v>
      </c>
      <c r="C3781" s="1" t="s">
        <v>2505</v>
      </c>
      <c r="D3781" s="1" t="s">
        <v>2506</v>
      </c>
      <c r="E3781" s="1" t="s">
        <v>2019</v>
      </c>
      <c r="F3781" s="1" t="s">
        <v>375</v>
      </c>
      <c r="G3781" s="6">
        <v>1640412</v>
      </c>
      <c r="H3781" t="str">
        <f>IFERROR(VLOOKUP(F3781,'LEAID Match'!$A$2:$B$142,2,FALSE),"")</f>
        <v/>
      </c>
    </row>
    <row r="3782" spans="1:8" x14ac:dyDescent="0.2">
      <c r="A3782" t="str">
        <f t="shared" si="59"/>
        <v/>
      </c>
      <c r="B3782" s="1">
        <v>2022</v>
      </c>
      <c r="C3782" s="1" t="s">
        <v>2505</v>
      </c>
      <c r="D3782" s="1" t="s">
        <v>2506</v>
      </c>
      <c r="E3782" s="1" t="s">
        <v>2019</v>
      </c>
      <c r="F3782" s="1" t="s">
        <v>375</v>
      </c>
      <c r="G3782" s="6">
        <v>1595052</v>
      </c>
      <c r="H3782" t="str">
        <f>IFERROR(VLOOKUP(F3782,'LEAID Match'!$A$2:$B$142,2,FALSE),"")</f>
        <v/>
      </c>
    </row>
    <row r="3783" spans="1:8" x14ac:dyDescent="0.2">
      <c r="A3783" t="str">
        <f t="shared" si="59"/>
        <v/>
      </c>
      <c r="B3783" s="1">
        <v>2023</v>
      </c>
      <c r="C3783" s="1" t="s">
        <v>2505</v>
      </c>
      <c r="D3783" s="1" t="s">
        <v>2506</v>
      </c>
      <c r="E3783" s="1" t="s">
        <v>2019</v>
      </c>
      <c r="F3783" s="1" t="s">
        <v>375</v>
      </c>
      <c r="G3783" s="6">
        <v>1659207</v>
      </c>
      <c r="H3783" t="str">
        <f>IFERROR(VLOOKUP(F3783,'LEAID Match'!$A$2:$B$142,2,FALSE),"")</f>
        <v/>
      </c>
    </row>
    <row r="3784" spans="1:8" x14ac:dyDescent="0.2">
      <c r="A3784" t="str">
        <f t="shared" si="59"/>
        <v/>
      </c>
      <c r="B3784" s="1">
        <v>2024</v>
      </c>
      <c r="C3784" s="1" t="s">
        <v>2505</v>
      </c>
      <c r="D3784" s="1" t="s">
        <v>2506</v>
      </c>
      <c r="E3784" s="1" t="s">
        <v>2019</v>
      </c>
      <c r="F3784" s="1" t="s">
        <v>375</v>
      </c>
      <c r="G3784" s="6">
        <v>1653708</v>
      </c>
      <c r="H3784" t="str">
        <f>IFERROR(VLOOKUP(F3784,'LEAID Match'!$A$2:$B$142,2,FALSE),"")</f>
        <v/>
      </c>
    </row>
    <row r="3785" spans="1:8" x14ac:dyDescent="0.2">
      <c r="A3785" t="str">
        <f t="shared" si="59"/>
        <v/>
      </c>
      <c r="B3785" s="1">
        <v>2015</v>
      </c>
      <c r="C3785" s="1" t="s">
        <v>2505</v>
      </c>
      <c r="D3785" s="1" t="s">
        <v>2506</v>
      </c>
      <c r="E3785" s="1" t="s">
        <v>2019</v>
      </c>
      <c r="F3785" s="1" t="s">
        <v>376</v>
      </c>
      <c r="G3785" s="6">
        <v>138844</v>
      </c>
      <c r="H3785" t="str">
        <f>IFERROR(VLOOKUP(F3785,'LEAID Match'!$A$2:$B$142,2,FALSE),"")</f>
        <v/>
      </c>
    </row>
    <row r="3786" spans="1:8" x14ac:dyDescent="0.2">
      <c r="A3786" t="str">
        <f t="shared" si="59"/>
        <v/>
      </c>
      <c r="B3786">
        <v>2016</v>
      </c>
      <c r="C3786" s="1" t="s">
        <v>2505</v>
      </c>
      <c r="D3786" s="1" t="s">
        <v>2506</v>
      </c>
      <c r="E3786" s="1" t="s">
        <v>2019</v>
      </c>
      <c r="F3786" s="1" t="s">
        <v>376</v>
      </c>
      <c r="G3786" s="12">
        <v>140264</v>
      </c>
      <c r="H3786" t="str">
        <f>IFERROR(VLOOKUP(F3786,'LEAID Match'!$A$2:$B$142,2,FALSE),"")</f>
        <v/>
      </c>
    </row>
    <row r="3787" spans="1:8" x14ac:dyDescent="0.2">
      <c r="A3787" t="str">
        <f t="shared" si="59"/>
        <v/>
      </c>
      <c r="B3787" s="1">
        <v>2017</v>
      </c>
      <c r="C3787" s="1" t="s">
        <v>2505</v>
      </c>
      <c r="D3787" s="1" t="s">
        <v>2506</v>
      </c>
      <c r="E3787" s="1" t="s">
        <v>2019</v>
      </c>
      <c r="F3787" s="1" t="s">
        <v>376</v>
      </c>
      <c r="G3787" s="47">
        <v>136095</v>
      </c>
      <c r="H3787" t="str">
        <f>IFERROR(VLOOKUP(F3787,'LEAID Match'!$A$2:$B$142,2,FALSE),"")</f>
        <v/>
      </c>
    </row>
    <row r="3788" spans="1:8" x14ac:dyDescent="0.2">
      <c r="A3788" t="str">
        <f t="shared" si="59"/>
        <v/>
      </c>
      <c r="B3788" s="1">
        <v>2018</v>
      </c>
      <c r="C3788" s="1" t="s">
        <v>2505</v>
      </c>
      <c r="D3788" s="1" t="s">
        <v>2506</v>
      </c>
      <c r="E3788" s="1" t="s">
        <v>2019</v>
      </c>
      <c r="F3788" s="1" t="s">
        <v>376</v>
      </c>
      <c r="G3788" s="6">
        <v>132830</v>
      </c>
      <c r="H3788" t="str">
        <f>IFERROR(VLOOKUP(F3788,'LEAID Match'!$A$2:$B$142,2,FALSE),"")</f>
        <v/>
      </c>
    </row>
    <row r="3789" spans="1:8" x14ac:dyDescent="0.2">
      <c r="A3789" t="str">
        <f t="shared" si="59"/>
        <v/>
      </c>
      <c r="B3789" s="1">
        <v>2019</v>
      </c>
      <c r="C3789" s="1" t="s">
        <v>2505</v>
      </c>
      <c r="D3789" s="1" t="s">
        <v>2506</v>
      </c>
      <c r="E3789" s="1" t="s">
        <v>2019</v>
      </c>
      <c r="F3789" s="1" t="s">
        <v>376</v>
      </c>
      <c r="G3789" s="6">
        <v>139902</v>
      </c>
      <c r="H3789" t="str">
        <f>IFERROR(VLOOKUP(F3789,'LEAID Match'!$A$2:$B$142,2,FALSE),"")</f>
        <v/>
      </c>
    </row>
    <row r="3790" spans="1:8" x14ac:dyDescent="0.2">
      <c r="A3790" t="str">
        <f t="shared" si="59"/>
        <v/>
      </c>
      <c r="B3790" s="1">
        <v>2020</v>
      </c>
      <c r="C3790" s="1" t="s">
        <v>2505</v>
      </c>
      <c r="D3790" s="1" t="s">
        <v>2506</v>
      </c>
      <c r="E3790" s="1" t="s">
        <v>2019</v>
      </c>
      <c r="F3790" s="1" t="s">
        <v>376</v>
      </c>
      <c r="G3790" s="6">
        <v>168338</v>
      </c>
      <c r="H3790" t="str">
        <f>IFERROR(VLOOKUP(F3790,'LEAID Match'!$A$2:$B$142,2,FALSE),"")</f>
        <v/>
      </c>
    </row>
    <row r="3791" spans="1:8" x14ac:dyDescent="0.2">
      <c r="A3791" t="str">
        <f t="shared" si="59"/>
        <v/>
      </c>
      <c r="B3791" s="1">
        <v>2021</v>
      </c>
      <c r="C3791" s="1" t="s">
        <v>2505</v>
      </c>
      <c r="D3791" s="1" t="s">
        <v>2506</v>
      </c>
      <c r="E3791" s="1" t="s">
        <v>2019</v>
      </c>
      <c r="F3791" s="1" t="s">
        <v>376</v>
      </c>
      <c r="G3791" s="6">
        <v>162328</v>
      </c>
      <c r="H3791" t="str">
        <f>IFERROR(VLOOKUP(F3791,'LEAID Match'!$A$2:$B$142,2,FALSE),"")</f>
        <v/>
      </c>
    </row>
    <row r="3792" spans="1:8" x14ac:dyDescent="0.2">
      <c r="A3792" t="str">
        <f t="shared" si="59"/>
        <v/>
      </c>
      <c r="B3792" s="1">
        <v>2022</v>
      </c>
      <c r="C3792" s="1" t="s">
        <v>2505</v>
      </c>
      <c r="D3792" s="1" t="s">
        <v>2506</v>
      </c>
      <c r="E3792" s="1" t="s">
        <v>2019</v>
      </c>
      <c r="F3792" s="1" t="s">
        <v>376</v>
      </c>
      <c r="G3792" s="6">
        <v>158062</v>
      </c>
      <c r="H3792" t="str">
        <f>IFERROR(VLOOKUP(F3792,'LEAID Match'!$A$2:$B$142,2,FALSE),"")</f>
        <v/>
      </c>
    </row>
    <row r="3793" spans="1:8" x14ac:dyDescent="0.2">
      <c r="A3793" t="str">
        <f t="shared" si="59"/>
        <v/>
      </c>
      <c r="B3793" s="1">
        <v>2023</v>
      </c>
      <c r="C3793" s="1" t="s">
        <v>2505</v>
      </c>
      <c r="D3793" s="1" t="s">
        <v>2506</v>
      </c>
      <c r="E3793" s="1" t="s">
        <v>2019</v>
      </c>
      <c r="F3793" s="1" t="s">
        <v>376</v>
      </c>
      <c r="G3793" s="6">
        <v>155221</v>
      </c>
      <c r="H3793" t="str">
        <f>IFERROR(VLOOKUP(F3793,'LEAID Match'!$A$2:$B$142,2,FALSE),"")</f>
        <v/>
      </c>
    </row>
    <row r="3794" spans="1:8" x14ac:dyDescent="0.2">
      <c r="A3794" t="str">
        <f t="shared" si="59"/>
        <v/>
      </c>
      <c r="B3794" s="1">
        <v>2024</v>
      </c>
      <c r="C3794" s="1" t="s">
        <v>2505</v>
      </c>
      <c r="D3794" s="1" t="s">
        <v>2506</v>
      </c>
      <c r="E3794" s="1" t="s">
        <v>2019</v>
      </c>
      <c r="F3794" s="1" t="s">
        <v>376</v>
      </c>
      <c r="G3794" s="6">
        <v>168531</v>
      </c>
      <c r="H3794" t="str">
        <f>IFERROR(VLOOKUP(F3794,'LEAID Match'!$A$2:$B$142,2,FALSE),"")</f>
        <v/>
      </c>
    </row>
    <row r="3795" spans="1:8" x14ac:dyDescent="0.2">
      <c r="A3795">
        <f t="shared" si="59"/>
        <v>2802460</v>
      </c>
      <c r="B3795" s="1">
        <v>2015</v>
      </c>
      <c r="C3795" s="1" t="s">
        <v>2505</v>
      </c>
      <c r="D3795" s="1" t="s">
        <v>2506</v>
      </c>
      <c r="E3795" s="1" t="s">
        <v>2019</v>
      </c>
      <c r="F3795" s="1" t="s">
        <v>377</v>
      </c>
      <c r="G3795" s="6">
        <v>2941423</v>
      </c>
      <c r="H3795">
        <f>IFERROR(VLOOKUP(F3795,'LEAID Match'!$A$2:$B$142,2,FALSE),"")</f>
        <v>2802460</v>
      </c>
    </row>
    <row r="3796" spans="1:8" x14ac:dyDescent="0.2">
      <c r="A3796">
        <f t="shared" si="59"/>
        <v>2802460</v>
      </c>
      <c r="B3796">
        <v>2016</v>
      </c>
      <c r="C3796" s="1" t="s">
        <v>2505</v>
      </c>
      <c r="D3796" s="1" t="s">
        <v>2506</v>
      </c>
      <c r="E3796" s="1" t="s">
        <v>2019</v>
      </c>
      <c r="F3796" s="1" t="s">
        <v>377</v>
      </c>
      <c r="G3796" s="12">
        <v>2986740</v>
      </c>
      <c r="H3796">
        <f>IFERROR(VLOOKUP(F3796,'LEAID Match'!$A$2:$B$142,2,FALSE),"")</f>
        <v>2802460</v>
      </c>
    </row>
    <row r="3797" spans="1:8" x14ac:dyDescent="0.2">
      <c r="A3797">
        <f t="shared" si="59"/>
        <v>2802460</v>
      </c>
      <c r="B3797" s="1">
        <v>2017</v>
      </c>
      <c r="C3797" s="1" t="s">
        <v>2505</v>
      </c>
      <c r="D3797" s="1" t="s">
        <v>2506</v>
      </c>
      <c r="E3797" s="1" t="s">
        <v>2019</v>
      </c>
      <c r="F3797" s="1" t="s">
        <v>377</v>
      </c>
      <c r="G3797" s="47">
        <v>2984989</v>
      </c>
      <c r="H3797">
        <f>IFERROR(VLOOKUP(F3797,'LEAID Match'!$A$2:$B$142,2,FALSE),"")</f>
        <v>2802460</v>
      </c>
    </row>
    <row r="3798" spans="1:8" x14ac:dyDescent="0.2">
      <c r="A3798">
        <f t="shared" si="59"/>
        <v>2802460</v>
      </c>
      <c r="B3798" s="1">
        <v>2018</v>
      </c>
      <c r="C3798" s="1" t="s">
        <v>2505</v>
      </c>
      <c r="D3798" s="1" t="s">
        <v>2506</v>
      </c>
      <c r="E3798" s="1" t="s">
        <v>2019</v>
      </c>
      <c r="F3798" s="1" t="s">
        <v>377</v>
      </c>
      <c r="G3798" s="6">
        <v>2912214</v>
      </c>
      <c r="H3798">
        <f>IFERROR(VLOOKUP(F3798,'LEAID Match'!$A$2:$B$142,2,FALSE),"")</f>
        <v>2802460</v>
      </c>
    </row>
    <row r="3799" spans="1:8" x14ac:dyDescent="0.2">
      <c r="A3799">
        <f t="shared" si="59"/>
        <v>2802460</v>
      </c>
      <c r="B3799" s="1">
        <v>2019</v>
      </c>
      <c r="C3799" s="1" t="s">
        <v>2505</v>
      </c>
      <c r="D3799" s="1" t="s">
        <v>2506</v>
      </c>
      <c r="E3799" s="1" t="s">
        <v>2019</v>
      </c>
      <c r="F3799" s="1" t="s">
        <v>377</v>
      </c>
      <c r="G3799" s="6">
        <v>2877815</v>
      </c>
      <c r="H3799">
        <f>IFERROR(VLOOKUP(F3799,'LEAID Match'!$A$2:$B$142,2,FALSE),"")</f>
        <v>2802460</v>
      </c>
    </row>
    <row r="3800" spans="1:8" x14ac:dyDescent="0.2">
      <c r="A3800">
        <f t="shared" si="59"/>
        <v>2802460</v>
      </c>
      <c r="B3800" s="1">
        <v>2020</v>
      </c>
      <c r="C3800" s="1" t="s">
        <v>2505</v>
      </c>
      <c r="D3800" s="1" t="s">
        <v>2506</v>
      </c>
      <c r="E3800" s="1" t="s">
        <v>2019</v>
      </c>
      <c r="F3800" s="1" t="s">
        <v>377</v>
      </c>
      <c r="G3800" s="6">
        <v>3221781</v>
      </c>
      <c r="H3800">
        <f>IFERROR(VLOOKUP(F3800,'LEAID Match'!$A$2:$B$142,2,FALSE),"")</f>
        <v>2802460</v>
      </c>
    </row>
    <row r="3801" spans="1:8" x14ac:dyDescent="0.2">
      <c r="A3801">
        <f t="shared" si="59"/>
        <v>2802460</v>
      </c>
      <c r="B3801" s="1">
        <v>2021</v>
      </c>
      <c r="C3801" s="1" t="s">
        <v>2505</v>
      </c>
      <c r="D3801" s="1" t="s">
        <v>2506</v>
      </c>
      <c r="E3801" s="1" t="s">
        <v>2019</v>
      </c>
      <c r="F3801" s="1" t="s">
        <v>377</v>
      </c>
      <c r="G3801" s="6">
        <v>2906282</v>
      </c>
      <c r="H3801">
        <f>IFERROR(VLOOKUP(F3801,'LEAID Match'!$A$2:$B$142,2,FALSE),"")</f>
        <v>2802460</v>
      </c>
    </row>
    <row r="3802" spans="1:8" x14ac:dyDescent="0.2">
      <c r="A3802">
        <f t="shared" si="59"/>
        <v>2802460</v>
      </c>
      <c r="B3802" s="1">
        <v>2022</v>
      </c>
      <c r="C3802" s="1" t="s">
        <v>2505</v>
      </c>
      <c r="D3802" s="1" t="s">
        <v>2506</v>
      </c>
      <c r="E3802" s="1" t="s">
        <v>2019</v>
      </c>
      <c r="F3802" s="1" t="s">
        <v>377</v>
      </c>
      <c r="G3802" s="6">
        <v>3128766</v>
      </c>
      <c r="H3802">
        <f>IFERROR(VLOOKUP(F3802,'LEAID Match'!$A$2:$B$142,2,FALSE),"")</f>
        <v>2802460</v>
      </c>
    </row>
    <row r="3803" spans="1:8" x14ac:dyDescent="0.2">
      <c r="A3803">
        <f t="shared" si="59"/>
        <v>2802460</v>
      </c>
      <c r="B3803" s="1">
        <v>2023</v>
      </c>
      <c r="C3803" s="1" t="s">
        <v>2505</v>
      </c>
      <c r="D3803" s="1" t="s">
        <v>2506</v>
      </c>
      <c r="E3803" s="1" t="s">
        <v>2019</v>
      </c>
      <c r="F3803" s="1" t="s">
        <v>377</v>
      </c>
      <c r="G3803" s="6">
        <v>3168345</v>
      </c>
      <c r="H3803">
        <f>IFERROR(VLOOKUP(F3803,'LEAID Match'!$A$2:$B$142,2,FALSE),"")</f>
        <v>2802460</v>
      </c>
    </row>
    <row r="3804" spans="1:8" x14ac:dyDescent="0.2">
      <c r="A3804">
        <f t="shared" si="59"/>
        <v>2802460</v>
      </c>
      <c r="B3804" s="1">
        <v>2024</v>
      </c>
      <c r="C3804" s="1" t="s">
        <v>2505</v>
      </c>
      <c r="D3804" s="1" t="s">
        <v>2506</v>
      </c>
      <c r="E3804" s="1" t="s">
        <v>2019</v>
      </c>
      <c r="F3804" s="1" t="s">
        <v>377</v>
      </c>
      <c r="G3804" s="6">
        <v>3232092</v>
      </c>
      <c r="H3804">
        <f>IFERROR(VLOOKUP(F3804,'LEAID Match'!$A$2:$B$142,2,FALSE),"")</f>
        <v>2802460</v>
      </c>
    </row>
    <row r="3805" spans="1:8" x14ac:dyDescent="0.2">
      <c r="A3805" t="str">
        <f t="shared" si="59"/>
        <v/>
      </c>
      <c r="B3805" s="1">
        <v>2015</v>
      </c>
      <c r="C3805" s="1" t="s">
        <v>2505</v>
      </c>
      <c r="D3805" s="1" t="s">
        <v>2506</v>
      </c>
      <c r="E3805" s="1" t="s">
        <v>2019</v>
      </c>
      <c r="F3805" s="1" t="s">
        <v>378</v>
      </c>
      <c r="G3805" s="6">
        <v>51472</v>
      </c>
      <c r="H3805" t="str">
        <f>IFERROR(VLOOKUP(F3805,'LEAID Match'!$A$2:$B$142,2,FALSE),"")</f>
        <v/>
      </c>
    </row>
    <row r="3806" spans="1:8" x14ac:dyDescent="0.2">
      <c r="A3806" t="str">
        <f t="shared" si="59"/>
        <v/>
      </c>
      <c r="B3806">
        <v>2016</v>
      </c>
      <c r="C3806" s="1" t="s">
        <v>2505</v>
      </c>
      <c r="D3806" s="1" t="s">
        <v>2506</v>
      </c>
      <c r="E3806" s="1" t="s">
        <v>2019</v>
      </c>
      <c r="F3806" s="1" t="s">
        <v>378</v>
      </c>
      <c r="G3806" s="12">
        <v>52746</v>
      </c>
      <c r="H3806" t="str">
        <f>IFERROR(VLOOKUP(F3806,'LEAID Match'!$A$2:$B$142,2,FALSE),"")</f>
        <v/>
      </c>
    </row>
    <row r="3807" spans="1:8" x14ac:dyDescent="0.2">
      <c r="A3807" t="str">
        <f t="shared" si="59"/>
        <v/>
      </c>
      <c r="B3807" s="1">
        <v>2017</v>
      </c>
      <c r="C3807" s="1" t="s">
        <v>2505</v>
      </c>
      <c r="D3807" s="1" t="s">
        <v>2506</v>
      </c>
      <c r="E3807" s="1" t="s">
        <v>2019</v>
      </c>
      <c r="F3807" s="1" t="s">
        <v>378</v>
      </c>
      <c r="G3807" s="47">
        <v>54674</v>
      </c>
      <c r="H3807" t="str">
        <f>IFERROR(VLOOKUP(F3807,'LEAID Match'!$A$2:$B$142,2,FALSE),"")</f>
        <v/>
      </c>
    </row>
    <row r="3808" spans="1:8" x14ac:dyDescent="0.2">
      <c r="A3808" t="str">
        <f t="shared" si="59"/>
        <v/>
      </c>
      <c r="B3808" s="1">
        <v>2018</v>
      </c>
      <c r="C3808" s="1" t="s">
        <v>2505</v>
      </c>
      <c r="D3808" s="1" t="s">
        <v>2506</v>
      </c>
      <c r="E3808" s="1" t="s">
        <v>2019</v>
      </c>
      <c r="F3808" s="1" t="s">
        <v>378</v>
      </c>
      <c r="G3808" s="6">
        <v>53010</v>
      </c>
      <c r="H3808" t="str">
        <f>IFERROR(VLOOKUP(F3808,'LEAID Match'!$A$2:$B$142,2,FALSE),"")</f>
        <v/>
      </c>
    </row>
    <row r="3809" spans="1:8" x14ac:dyDescent="0.2">
      <c r="A3809" t="str">
        <f t="shared" si="59"/>
        <v/>
      </c>
      <c r="B3809" s="1">
        <v>2019</v>
      </c>
      <c r="C3809" s="1" t="s">
        <v>2505</v>
      </c>
      <c r="D3809" s="1" t="s">
        <v>2506</v>
      </c>
      <c r="E3809" s="1" t="s">
        <v>2019</v>
      </c>
      <c r="F3809" s="1" t="s">
        <v>378</v>
      </c>
      <c r="G3809" s="6">
        <v>50271</v>
      </c>
      <c r="H3809" t="str">
        <f>IFERROR(VLOOKUP(F3809,'LEAID Match'!$A$2:$B$142,2,FALSE),"")</f>
        <v/>
      </c>
    </row>
    <row r="3810" spans="1:8" x14ac:dyDescent="0.2">
      <c r="A3810" t="str">
        <f t="shared" si="59"/>
        <v/>
      </c>
      <c r="B3810" s="1">
        <v>2020</v>
      </c>
      <c r="C3810" s="1" t="s">
        <v>2505</v>
      </c>
      <c r="D3810" s="1" t="s">
        <v>2506</v>
      </c>
      <c r="E3810" s="1" t="s">
        <v>2019</v>
      </c>
      <c r="F3810" s="1" t="s">
        <v>378</v>
      </c>
      <c r="G3810" s="6">
        <v>58361</v>
      </c>
      <c r="H3810" t="str">
        <f>IFERROR(VLOOKUP(F3810,'LEAID Match'!$A$2:$B$142,2,FALSE),"")</f>
        <v/>
      </c>
    </row>
    <row r="3811" spans="1:8" x14ac:dyDescent="0.2">
      <c r="A3811" t="str">
        <f t="shared" si="59"/>
        <v/>
      </c>
      <c r="B3811" s="1">
        <v>2021</v>
      </c>
      <c r="C3811" s="1" t="s">
        <v>2505</v>
      </c>
      <c r="D3811" s="1" t="s">
        <v>2506</v>
      </c>
      <c r="E3811" s="1" t="s">
        <v>2019</v>
      </c>
      <c r="F3811" s="1" t="s">
        <v>378</v>
      </c>
      <c r="G3811" s="6">
        <v>60041</v>
      </c>
      <c r="H3811" t="str">
        <f>IFERROR(VLOOKUP(F3811,'LEAID Match'!$A$2:$B$142,2,FALSE),"")</f>
        <v/>
      </c>
    </row>
    <row r="3812" spans="1:8" x14ac:dyDescent="0.2">
      <c r="A3812" t="str">
        <f t="shared" si="59"/>
        <v/>
      </c>
      <c r="B3812" s="1">
        <v>2024</v>
      </c>
      <c r="C3812" s="1" t="s">
        <v>2505</v>
      </c>
      <c r="D3812" s="1" t="s">
        <v>2506</v>
      </c>
      <c r="E3812" s="1" t="s">
        <v>2019</v>
      </c>
      <c r="F3812" s="1" t="s">
        <v>378</v>
      </c>
      <c r="G3812" s="6">
        <v>66522</v>
      </c>
      <c r="H3812" t="str">
        <f>IFERROR(VLOOKUP(F3812,'LEAID Match'!$A$2:$B$142,2,FALSE),"")</f>
        <v/>
      </c>
    </row>
    <row r="3813" spans="1:8" x14ac:dyDescent="0.2">
      <c r="A3813" t="str">
        <f t="shared" si="59"/>
        <v/>
      </c>
      <c r="B3813" s="1">
        <v>2022</v>
      </c>
      <c r="C3813" s="1" t="s">
        <v>2505</v>
      </c>
      <c r="D3813" s="1" t="s">
        <v>2506</v>
      </c>
      <c r="E3813" s="1" t="s">
        <v>2019</v>
      </c>
      <c r="F3813" s="1" t="s">
        <v>876</v>
      </c>
      <c r="G3813" s="6">
        <v>61783</v>
      </c>
      <c r="H3813" t="str">
        <f>IFERROR(VLOOKUP(F3813,'LEAID Match'!$A$2:$B$142,2,FALSE),"")</f>
        <v/>
      </c>
    </row>
    <row r="3814" spans="1:8" x14ac:dyDescent="0.2">
      <c r="A3814" t="str">
        <f t="shared" si="59"/>
        <v/>
      </c>
      <c r="B3814" s="1">
        <v>2023</v>
      </c>
      <c r="C3814" s="1" t="s">
        <v>2505</v>
      </c>
      <c r="D3814" s="1" t="s">
        <v>2506</v>
      </c>
      <c r="E3814" s="1" t="s">
        <v>2019</v>
      </c>
      <c r="F3814" s="1" t="s">
        <v>876</v>
      </c>
      <c r="G3814" s="6">
        <v>59344</v>
      </c>
      <c r="H3814" t="str">
        <f>IFERROR(VLOOKUP(F3814,'LEAID Match'!$A$2:$B$142,2,FALSE),"")</f>
        <v/>
      </c>
    </row>
    <row r="3815" spans="1:8" x14ac:dyDescent="0.2">
      <c r="A3815">
        <f t="shared" si="59"/>
        <v>2802490</v>
      </c>
      <c r="B3815" s="1">
        <v>2015</v>
      </c>
      <c r="C3815" s="1" t="s">
        <v>2505</v>
      </c>
      <c r="D3815" s="1" t="s">
        <v>2506</v>
      </c>
      <c r="E3815" s="1" t="s">
        <v>2019</v>
      </c>
      <c r="F3815" s="1" t="s">
        <v>379</v>
      </c>
      <c r="G3815" s="6">
        <v>1641313</v>
      </c>
      <c r="H3815">
        <f>IFERROR(VLOOKUP(F3815,'LEAID Match'!$A$2:$B$142,2,FALSE),"")</f>
        <v>2802490</v>
      </c>
    </row>
    <row r="3816" spans="1:8" x14ac:dyDescent="0.2">
      <c r="A3816">
        <f t="shared" si="59"/>
        <v>2802490</v>
      </c>
      <c r="B3816">
        <v>2016</v>
      </c>
      <c r="C3816" s="1" t="s">
        <v>2505</v>
      </c>
      <c r="D3816" s="1" t="s">
        <v>2506</v>
      </c>
      <c r="E3816" s="1" t="s">
        <v>2019</v>
      </c>
      <c r="F3816" s="1" t="s">
        <v>379</v>
      </c>
      <c r="G3816" s="12">
        <v>1676099</v>
      </c>
      <c r="H3816">
        <f>IFERROR(VLOOKUP(F3816,'LEAID Match'!$A$2:$B$142,2,FALSE),"")</f>
        <v>2802490</v>
      </c>
    </row>
    <row r="3817" spans="1:8" x14ac:dyDescent="0.2">
      <c r="A3817">
        <f t="shared" si="59"/>
        <v>2802490</v>
      </c>
      <c r="B3817" s="1">
        <v>2017</v>
      </c>
      <c r="C3817" s="1" t="s">
        <v>2505</v>
      </c>
      <c r="D3817" s="1" t="s">
        <v>2506</v>
      </c>
      <c r="E3817" s="1" t="s">
        <v>2019</v>
      </c>
      <c r="F3817" s="1" t="s">
        <v>379</v>
      </c>
      <c r="G3817" s="47">
        <v>1675884</v>
      </c>
      <c r="H3817">
        <f>IFERROR(VLOOKUP(F3817,'LEAID Match'!$A$2:$B$142,2,FALSE),"")</f>
        <v>2802490</v>
      </c>
    </row>
    <row r="3818" spans="1:8" x14ac:dyDescent="0.2">
      <c r="A3818">
        <f t="shared" si="59"/>
        <v>2802490</v>
      </c>
      <c r="B3818" s="1">
        <v>2018</v>
      </c>
      <c r="C3818" s="1" t="s">
        <v>2505</v>
      </c>
      <c r="D3818" s="1" t="s">
        <v>2506</v>
      </c>
      <c r="E3818" s="1" t="s">
        <v>2019</v>
      </c>
      <c r="F3818" s="1" t="s">
        <v>379</v>
      </c>
      <c r="G3818" s="6">
        <v>1544304</v>
      </c>
      <c r="H3818">
        <f>IFERROR(VLOOKUP(F3818,'LEAID Match'!$A$2:$B$142,2,FALSE),"")</f>
        <v>2802490</v>
      </c>
    </row>
    <row r="3819" spans="1:8" x14ac:dyDescent="0.2">
      <c r="A3819">
        <f t="shared" si="59"/>
        <v>2802490</v>
      </c>
      <c r="B3819" s="1">
        <v>2019</v>
      </c>
      <c r="C3819" s="1" t="s">
        <v>2505</v>
      </c>
      <c r="D3819" s="1" t="s">
        <v>2506</v>
      </c>
      <c r="E3819" s="1" t="s">
        <v>2019</v>
      </c>
      <c r="F3819" s="1" t="s">
        <v>379</v>
      </c>
      <c r="G3819" s="6">
        <v>1626677</v>
      </c>
      <c r="H3819">
        <f>IFERROR(VLOOKUP(F3819,'LEAID Match'!$A$2:$B$142,2,FALSE),"")</f>
        <v>2802490</v>
      </c>
    </row>
    <row r="3820" spans="1:8" x14ac:dyDescent="0.2">
      <c r="A3820">
        <f t="shared" si="59"/>
        <v>2802490</v>
      </c>
      <c r="B3820" s="1">
        <v>2020</v>
      </c>
      <c r="C3820" s="1" t="s">
        <v>2505</v>
      </c>
      <c r="D3820" s="1" t="s">
        <v>2506</v>
      </c>
      <c r="E3820" s="1" t="s">
        <v>2019</v>
      </c>
      <c r="F3820" s="1" t="s">
        <v>379</v>
      </c>
      <c r="G3820" s="6">
        <v>1844446</v>
      </c>
      <c r="H3820">
        <f>IFERROR(VLOOKUP(F3820,'LEAID Match'!$A$2:$B$142,2,FALSE),"")</f>
        <v>2802490</v>
      </c>
    </row>
    <row r="3821" spans="1:8" x14ac:dyDescent="0.2">
      <c r="A3821">
        <f t="shared" si="59"/>
        <v>2802490</v>
      </c>
      <c r="B3821" s="1">
        <v>2021</v>
      </c>
      <c r="C3821" s="1" t="s">
        <v>2505</v>
      </c>
      <c r="D3821" s="1" t="s">
        <v>2506</v>
      </c>
      <c r="E3821" s="1" t="s">
        <v>2019</v>
      </c>
      <c r="F3821" s="1" t="s">
        <v>379</v>
      </c>
      <c r="G3821" s="6">
        <v>1933855</v>
      </c>
      <c r="H3821">
        <f>IFERROR(VLOOKUP(F3821,'LEAID Match'!$A$2:$B$142,2,FALSE),"")</f>
        <v>2802490</v>
      </c>
    </row>
    <row r="3822" spans="1:8" x14ac:dyDescent="0.2">
      <c r="A3822">
        <f t="shared" si="59"/>
        <v>2802490</v>
      </c>
      <c r="B3822" s="1">
        <v>2022</v>
      </c>
      <c r="C3822" s="1" t="s">
        <v>2505</v>
      </c>
      <c r="D3822" s="1" t="s">
        <v>2506</v>
      </c>
      <c r="E3822" s="1" t="s">
        <v>2019</v>
      </c>
      <c r="F3822" s="1" t="s">
        <v>379</v>
      </c>
      <c r="G3822" s="6">
        <v>1977023</v>
      </c>
      <c r="H3822">
        <f>IFERROR(VLOOKUP(F3822,'LEAID Match'!$A$2:$B$142,2,FALSE),"")</f>
        <v>2802490</v>
      </c>
    </row>
    <row r="3823" spans="1:8" x14ac:dyDescent="0.2">
      <c r="A3823">
        <f t="shared" si="59"/>
        <v>2802490</v>
      </c>
      <c r="B3823" s="1">
        <v>2023</v>
      </c>
      <c r="C3823" s="1" t="s">
        <v>2505</v>
      </c>
      <c r="D3823" s="1" t="s">
        <v>2506</v>
      </c>
      <c r="E3823" s="1" t="s">
        <v>2019</v>
      </c>
      <c r="F3823" s="1" t="s">
        <v>379</v>
      </c>
      <c r="G3823" s="6">
        <v>2137081</v>
      </c>
      <c r="H3823">
        <f>IFERROR(VLOOKUP(F3823,'LEAID Match'!$A$2:$B$142,2,FALSE),"")</f>
        <v>2802490</v>
      </c>
    </row>
    <row r="3824" spans="1:8" x14ac:dyDescent="0.2">
      <c r="A3824">
        <f t="shared" si="59"/>
        <v>2802490</v>
      </c>
      <c r="B3824" s="1">
        <v>2024</v>
      </c>
      <c r="C3824" s="1" t="s">
        <v>2505</v>
      </c>
      <c r="D3824" s="1" t="s">
        <v>2506</v>
      </c>
      <c r="E3824" s="1" t="s">
        <v>2019</v>
      </c>
      <c r="F3824" s="1" t="s">
        <v>379</v>
      </c>
      <c r="G3824" s="6">
        <v>2251469</v>
      </c>
      <c r="H3824">
        <f>IFERROR(VLOOKUP(F3824,'LEAID Match'!$A$2:$B$142,2,FALSE),"")</f>
        <v>2802490</v>
      </c>
    </row>
    <row r="3825" spans="1:8" x14ac:dyDescent="0.2">
      <c r="A3825" t="str">
        <f t="shared" si="59"/>
        <v/>
      </c>
      <c r="B3825" s="1">
        <v>2015</v>
      </c>
      <c r="C3825" s="1" t="s">
        <v>2505</v>
      </c>
      <c r="D3825" s="1" t="s">
        <v>2506</v>
      </c>
      <c r="E3825" s="1" t="s">
        <v>2019</v>
      </c>
      <c r="F3825" s="1" t="s">
        <v>380</v>
      </c>
      <c r="G3825" s="6">
        <v>422324</v>
      </c>
      <c r="H3825" t="str">
        <f>IFERROR(VLOOKUP(F3825,'LEAID Match'!$A$2:$B$142,2,FALSE),"")</f>
        <v/>
      </c>
    </row>
    <row r="3826" spans="1:8" x14ac:dyDescent="0.2">
      <c r="A3826" t="str">
        <f t="shared" si="59"/>
        <v/>
      </c>
      <c r="B3826">
        <v>2016</v>
      </c>
      <c r="C3826" s="1" t="s">
        <v>2505</v>
      </c>
      <c r="D3826" s="1" t="s">
        <v>2506</v>
      </c>
      <c r="E3826" s="1" t="s">
        <v>2019</v>
      </c>
      <c r="F3826" s="1" t="s">
        <v>380</v>
      </c>
      <c r="G3826" s="12">
        <v>436437</v>
      </c>
      <c r="H3826" t="str">
        <f>IFERROR(VLOOKUP(F3826,'LEAID Match'!$A$2:$B$142,2,FALSE),"")</f>
        <v/>
      </c>
    </row>
    <row r="3827" spans="1:8" x14ac:dyDescent="0.2">
      <c r="A3827" t="str">
        <f t="shared" si="59"/>
        <v/>
      </c>
      <c r="B3827" s="1">
        <v>2017</v>
      </c>
      <c r="C3827" s="1" t="s">
        <v>2505</v>
      </c>
      <c r="D3827" s="1" t="s">
        <v>2506</v>
      </c>
      <c r="E3827" s="1" t="s">
        <v>2019</v>
      </c>
      <c r="F3827" s="1" t="s">
        <v>380</v>
      </c>
      <c r="G3827" s="47">
        <v>426350</v>
      </c>
      <c r="H3827" t="str">
        <f>IFERROR(VLOOKUP(F3827,'LEAID Match'!$A$2:$B$142,2,FALSE),"")</f>
        <v/>
      </c>
    </row>
    <row r="3828" spans="1:8" x14ac:dyDescent="0.2">
      <c r="A3828" t="str">
        <f t="shared" si="59"/>
        <v/>
      </c>
      <c r="B3828" s="1">
        <v>2018</v>
      </c>
      <c r="C3828" s="1" t="s">
        <v>2505</v>
      </c>
      <c r="D3828" s="1" t="s">
        <v>2506</v>
      </c>
      <c r="E3828" s="1" t="s">
        <v>2019</v>
      </c>
      <c r="F3828" s="1" t="s">
        <v>380</v>
      </c>
      <c r="G3828" s="6">
        <v>435854</v>
      </c>
      <c r="H3828" t="str">
        <f>IFERROR(VLOOKUP(F3828,'LEAID Match'!$A$2:$B$142,2,FALSE),"")</f>
        <v/>
      </c>
    </row>
    <row r="3829" spans="1:8" x14ac:dyDescent="0.2">
      <c r="A3829" t="str">
        <f t="shared" si="59"/>
        <v/>
      </c>
      <c r="B3829" s="1">
        <v>2019</v>
      </c>
      <c r="C3829" s="1" t="s">
        <v>2505</v>
      </c>
      <c r="D3829" s="1" t="s">
        <v>2506</v>
      </c>
      <c r="E3829" s="1" t="s">
        <v>2019</v>
      </c>
      <c r="F3829" s="1" t="s">
        <v>380</v>
      </c>
      <c r="G3829" s="6">
        <v>508422</v>
      </c>
      <c r="H3829" t="str">
        <f>IFERROR(VLOOKUP(F3829,'LEAID Match'!$A$2:$B$142,2,FALSE),"")</f>
        <v/>
      </c>
    </row>
    <row r="3830" spans="1:8" x14ac:dyDescent="0.2">
      <c r="A3830" t="str">
        <f t="shared" si="59"/>
        <v/>
      </c>
      <c r="B3830" s="1">
        <v>2020</v>
      </c>
      <c r="C3830" s="1" t="s">
        <v>2505</v>
      </c>
      <c r="D3830" s="1" t="s">
        <v>2506</v>
      </c>
      <c r="E3830" s="1" t="s">
        <v>2019</v>
      </c>
      <c r="F3830" s="1" t="s">
        <v>380</v>
      </c>
      <c r="G3830" s="6">
        <v>560286</v>
      </c>
      <c r="H3830" t="str">
        <f>IFERROR(VLOOKUP(F3830,'LEAID Match'!$A$2:$B$142,2,FALSE),"")</f>
        <v/>
      </c>
    </row>
    <row r="3831" spans="1:8" x14ac:dyDescent="0.2">
      <c r="A3831" t="str">
        <f t="shared" si="59"/>
        <v/>
      </c>
      <c r="B3831" s="1">
        <v>2021</v>
      </c>
      <c r="C3831" s="1" t="s">
        <v>2505</v>
      </c>
      <c r="D3831" s="1" t="s">
        <v>2506</v>
      </c>
      <c r="E3831" s="1" t="s">
        <v>2019</v>
      </c>
      <c r="F3831" s="1" t="s">
        <v>380</v>
      </c>
      <c r="G3831" s="6">
        <v>526165</v>
      </c>
      <c r="H3831" t="str">
        <f>IFERROR(VLOOKUP(F3831,'LEAID Match'!$A$2:$B$142,2,FALSE),"")</f>
        <v/>
      </c>
    </row>
    <row r="3832" spans="1:8" x14ac:dyDescent="0.2">
      <c r="A3832" t="str">
        <f t="shared" si="59"/>
        <v/>
      </c>
      <c r="B3832" s="1">
        <v>2022</v>
      </c>
      <c r="C3832" s="1" t="s">
        <v>2505</v>
      </c>
      <c r="D3832" s="1" t="s">
        <v>2506</v>
      </c>
      <c r="E3832" s="1" t="s">
        <v>2019</v>
      </c>
      <c r="F3832" s="1" t="s">
        <v>380</v>
      </c>
      <c r="G3832" s="6">
        <v>531273</v>
      </c>
      <c r="H3832" t="str">
        <f>IFERROR(VLOOKUP(F3832,'LEAID Match'!$A$2:$B$142,2,FALSE),"")</f>
        <v/>
      </c>
    </row>
    <row r="3833" spans="1:8" x14ac:dyDescent="0.2">
      <c r="A3833" t="str">
        <f t="shared" si="59"/>
        <v/>
      </c>
      <c r="B3833" s="1">
        <v>2023</v>
      </c>
      <c r="C3833" s="1" t="s">
        <v>2505</v>
      </c>
      <c r="D3833" s="1" t="s">
        <v>2506</v>
      </c>
      <c r="E3833" s="1" t="s">
        <v>2019</v>
      </c>
      <c r="F3833" s="1" t="s">
        <v>380</v>
      </c>
      <c r="G3833" s="6">
        <v>581040</v>
      </c>
      <c r="H3833" t="str">
        <f>IFERROR(VLOOKUP(F3833,'LEAID Match'!$A$2:$B$142,2,FALSE),"")</f>
        <v/>
      </c>
    </row>
    <row r="3834" spans="1:8" x14ac:dyDescent="0.2">
      <c r="A3834" t="str">
        <f t="shared" si="59"/>
        <v/>
      </c>
      <c r="B3834" s="1">
        <v>2024</v>
      </c>
      <c r="C3834" s="1" t="s">
        <v>2505</v>
      </c>
      <c r="D3834" s="1" t="s">
        <v>2506</v>
      </c>
      <c r="E3834" s="1" t="s">
        <v>2019</v>
      </c>
      <c r="F3834" s="1" t="s">
        <v>380</v>
      </c>
      <c r="G3834" s="6">
        <v>605570</v>
      </c>
      <c r="H3834" t="str">
        <f>IFERROR(VLOOKUP(F3834,'LEAID Match'!$A$2:$B$142,2,FALSE),"")</f>
        <v/>
      </c>
    </row>
    <row r="3835" spans="1:8" x14ac:dyDescent="0.2">
      <c r="A3835">
        <f t="shared" si="59"/>
        <v>2802520</v>
      </c>
      <c r="B3835" s="1">
        <v>2015</v>
      </c>
      <c r="C3835" s="1" t="s">
        <v>2505</v>
      </c>
      <c r="D3835" s="1" t="s">
        <v>2506</v>
      </c>
      <c r="E3835" s="1" t="s">
        <v>2019</v>
      </c>
      <c r="F3835" s="1" t="s">
        <v>381</v>
      </c>
      <c r="G3835" s="6">
        <v>2094353</v>
      </c>
      <c r="H3835">
        <f>IFERROR(VLOOKUP(F3835,'LEAID Match'!$A$2:$B$142,2,FALSE),"")</f>
        <v>2802520</v>
      </c>
    </row>
    <row r="3836" spans="1:8" x14ac:dyDescent="0.2">
      <c r="A3836">
        <f t="shared" si="59"/>
        <v>2802520</v>
      </c>
      <c r="B3836">
        <v>2016</v>
      </c>
      <c r="C3836" s="1" t="s">
        <v>2505</v>
      </c>
      <c r="D3836" s="1" t="s">
        <v>2506</v>
      </c>
      <c r="E3836" s="1" t="s">
        <v>2019</v>
      </c>
      <c r="F3836" s="1" t="s">
        <v>381</v>
      </c>
      <c r="G3836" s="12">
        <v>2181040</v>
      </c>
      <c r="H3836">
        <f>IFERROR(VLOOKUP(F3836,'LEAID Match'!$A$2:$B$142,2,FALSE),"")</f>
        <v>2802520</v>
      </c>
    </row>
    <row r="3837" spans="1:8" x14ac:dyDescent="0.2">
      <c r="A3837">
        <f t="shared" si="59"/>
        <v>2802520</v>
      </c>
      <c r="B3837" s="1">
        <v>2017</v>
      </c>
      <c r="C3837" s="1" t="s">
        <v>2505</v>
      </c>
      <c r="D3837" s="1" t="s">
        <v>2506</v>
      </c>
      <c r="E3837" s="1" t="s">
        <v>2019</v>
      </c>
      <c r="F3837" s="1" t="s">
        <v>381</v>
      </c>
      <c r="G3837" s="47">
        <v>2070417</v>
      </c>
      <c r="H3837">
        <f>IFERROR(VLOOKUP(F3837,'LEAID Match'!$A$2:$B$142,2,FALSE),"")</f>
        <v>2802520</v>
      </c>
    </row>
    <row r="3838" spans="1:8" x14ac:dyDescent="0.2">
      <c r="A3838">
        <f t="shared" si="59"/>
        <v>2802520</v>
      </c>
      <c r="B3838" s="1">
        <v>2018</v>
      </c>
      <c r="C3838" s="1" t="s">
        <v>2505</v>
      </c>
      <c r="D3838" s="1" t="s">
        <v>2506</v>
      </c>
      <c r="E3838" s="1" t="s">
        <v>2019</v>
      </c>
      <c r="F3838" s="1" t="s">
        <v>381</v>
      </c>
      <c r="G3838" s="6">
        <v>2054713</v>
      </c>
      <c r="H3838">
        <f>IFERROR(VLOOKUP(F3838,'LEAID Match'!$A$2:$B$142,2,FALSE),"")</f>
        <v>2802520</v>
      </c>
    </row>
    <row r="3839" spans="1:8" x14ac:dyDescent="0.2">
      <c r="A3839">
        <f t="shared" si="59"/>
        <v>2802520</v>
      </c>
      <c r="B3839" s="1">
        <v>2019</v>
      </c>
      <c r="C3839" s="1" t="s">
        <v>2505</v>
      </c>
      <c r="D3839" s="1" t="s">
        <v>2506</v>
      </c>
      <c r="E3839" s="1" t="s">
        <v>2019</v>
      </c>
      <c r="F3839" s="1" t="s">
        <v>381</v>
      </c>
      <c r="G3839" s="6">
        <v>2017467</v>
      </c>
      <c r="H3839">
        <f>IFERROR(VLOOKUP(F3839,'LEAID Match'!$A$2:$B$142,2,FALSE),"")</f>
        <v>2802520</v>
      </c>
    </row>
    <row r="3840" spans="1:8" x14ac:dyDescent="0.2">
      <c r="A3840">
        <f t="shared" si="59"/>
        <v>2802520</v>
      </c>
      <c r="B3840" s="1">
        <v>2020</v>
      </c>
      <c r="C3840" s="1" t="s">
        <v>2505</v>
      </c>
      <c r="D3840" s="1" t="s">
        <v>2506</v>
      </c>
      <c r="E3840" s="1" t="s">
        <v>2019</v>
      </c>
      <c r="F3840" s="1" t="s">
        <v>381</v>
      </c>
      <c r="G3840" s="6">
        <v>2332545</v>
      </c>
      <c r="H3840">
        <f>IFERROR(VLOOKUP(F3840,'LEAID Match'!$A$2:$B$142,2,FALSE),"")</f>
        <v>2802520</v>
      </c>
    </row>
    <row r="3841" spans="1:8" x14ac:dyDescent="0.2">
      <c r="A3841">
        <f t="shared" si="59"/>
        <v>2802520</v>
      </c>
      <c r="B3841" s="1">
        <v>2021</v>
      </c>
      <c r="C3841" s="1" t="s">
        <v>2505</v>
      </c>
      <c r="D3841" s="1" t="s">
        <v>2506</v>
      </c>
      <c r="E3841" s="1" t="s">
        <v>2019</v>
      </c>
      <c r="F3841" s="1" t="s">
        <v>381</v>
      </c>
      <c r="G3841" s="6">
        <v>2476010</v>
      </c>
      <c r="H3841">
        <f>IFERROR(VLOOKUP(F3841,'LEAID Match'!$A$2:$B$142,2,FALSE),"")</f>
        <v>2802520</v>
      </c>
    </row>
    <row r="3842" spans="1:8" x14ac:dyDescent="0.2">
      <c r="A3842">
        <f t="shared" si="59"/>
        <v>2802520</v>
      </c>
      <c r="B3842" s="1">
        <v>2022</v>
      </c>
      <c r="C3842" s="1" t="s">
        <v>2505</v>
      </c>
      <c r="D3842" s="1" t="s">
        <v>2506</v>
      </c>
      <c r="E3842" s="1" t="s">
        <v>2019</v>
      </c>
      <c r="F3842" s="1" t="s">
        <v>381</v>
      </c>
      <c r="G3842" s="6">
        <v>2536686</v>
      </c>
      <c r="H3842">
        <f>IFERROR(VLOOKUP(F3842,'LEAID Match'!$A$2:$B$142,2,FALSE),"")</f>
        <v>2802520</v>
      </c>
    </row>
    <row r="3843" spans="1:8" x14ac:dyDescent="0.2">
      <c r="A3843">
        <f t="shared" ref="A3843:A3906" si="60">H3843</f>
        <v>2802520</v>
      </c>
      <c r="B3843" s="1">
        <v>2023</v>
      </c>
      <c r="C3843" s="1" t="s">
        <v>2505</v>
      </c>
      <c r="D3843" s="1" t="s">
        <v>2506</v>
      </c>
      <c r="E3843" s="1" t="s">
        <v>2019</v>
      </c>
      <c r="F3843" s="1" t="s">
        <v>381</v>
      </c>
      <c r="G3843" s="6">
        <v>2830246</v>
      </c>
      <c r="H3843">
        <f>IFERROR(VLOOKUP(F3843,'LEAID Match'!$A$2:$B$142,2,FALSE),"")</f>
        <v>2802520</v>
      </c>
    </row>
    <row r="3844" spans="1:8" x14ac:dyDescent="0.2">
      <c r="A3844">
        <f t="shared" si="60"/>
        <v>2802520</v>
      </c>
      <c r="B3844" s="1">
        <v>2024</v>
      </c>
      <c r="C3844" s="1" t="s">
        <v>2505</v>
      </c>
      <c r="D3844" s="1" t="s">
        <v>2506</v>
      </c>
      <c r="E3844" s="1" t="s">
        <v>2019</v>
      </c>
      <c r="F3844" s="1" t="s">
        <v>381</v>
      </c>
      <c r="G3844" s="6">
        <v>2841595</v>
      </c>
      <c r="H3844">
        <f>IFERROR(VLOOKUP(F3844,'LEAID Match'!$A$2:$B$142,2,FALSE),"")</f>
        <v>2802520</v>
      </c>
    </row>
    <row r="3845" spans="1:8" x14ac:dyDescent="0.2">
      <c r="A3845" t="str">
        <f t="shared" si="60"/>
        <v/>
      </c>
      <c r="B3845" s="1">
        <v>2015</v>
      </c>
      <c r="C3845" s="1" t="s">
        <v>2505</v>
      </c>
      <c r="D3845" s="1" t="s">
        <v>2506</v>
      </c>
      <c r="E3845" s="1" t="s">
        <v>2019</v>
      </c>
      <c r="F3845" s="1" t="s">
        <v>382</v>
      </c>
      <c r="G3845" s="6">
        <v>717132</v>
      </c>
      <c r="H3845" t="str">
        <f>IFERROR(VLOOKUP(F3845,'LEAID Match'!$A$2:$B$142,2,FALSE),"")</f>
        <v/>
      </c>
    </row>
    <row r="3846" spans="1:8" x14ac:dyDescent="0.2">
      <c r="A3846" t="str">
        <f t="shared" si="60"/>
        <v/>
      </c>
      <c r="B3846">
        <v>2016</v>
      </c>
      <c r="C3846" s="1" t="s">
        <v>2505</v>
      </c>
      <c r="D3846" s="1" t="s">
        <v>2506</v>
      </c>
      <c r="E3846" s="1" t="s">
        <v>2019</v>
      </c>
      <c r="F3846" s="1" t="s">
        <v>382</v>
      </c>
      <c r="G3846" s="12">
        <v>702375</v>
      </c>
      <c r="H3846" t="str">
        <f>IFERROR(VLOOKUP(F3846,'LEAID Match'!$A$2:$B$142,2,FALSE),"")</f>
        <v/>
      </c>
    </row>
    <row r="3847" spans="1:8" x14ac:dyDescent="0.2">
      <c r="A3847" t="str">
        <f t="shared" si="60"/>
        <v/>
      </c>
      <c r="B3847" s="1">
        <v>2017</v>
      </c>
      <c r="C3847" s="1" t="s">
        <v>2505</v>
      </c>
      <c r="D3847" s="1" t="s">
        <v>2506</v>
      </c>
      <c r="E3847" s="1" t="s">
        <v>2019</v>
      </c>
      <c r="F3847" s="1" t="s">
        <v>382</v>
      </c>
      <c r="G3847" s="47">
        <v>705362</v>
      </c>
      <c r="H3847" t="str">
        <f>IFERROR(VLOOKUP(F3847,'LEAID Match'!$A$2:$B$142,2,FALSE),"")</f>
        <v/>
      </c>
    </row>
    <row r="3848" spans="1:8" x14ac:dyDescent="0.2">
      <c r="A3848" t="str">
        <f t="shared" si="60"/>
        <v/>
      </c>
      <c r="B3848" s="1">
        <v>2018</v>
      </c>
      <c r="C3848" s="1" t="s">
        <v>2505</v>
      </c>
      <c r="D3848" s="1" t="s">
        <v>2506</v>
      </c>
      <c r="E3848" s="1" t="s">
        <v>2019</v>
      </c>
      <c r="F3848" s="1" t="s">
        <v>382</v>
      </c>
      <c r="G3848" s="6">
        <v>729115</v>
      </c>
      <c r="H3848" t="str">
        <f>IFERROR(VLOOKUP(F3848,'LEAID Match'!$A$2:$B$142,2,FALSE),"")</f>
        <v/>
      </c>
    </row>
    <row r="3849" spans="1:8" x14ac:dyDescent="0.2">
      <c r="A3849" t="str">
        <f t="shared" si="60"/>
        <v/>
      </c>
      <c r="B3849" s="1">
        <v>2019</v>
      </c>
      <c r="C3849" s="1" t="s">
        <v>2505</v>
      </c>
      <c r="D3849" s="1" t="s">
        <v>2506</v>
      </c>
      <c r="E3849" s="1" t="s">
        <v>2019</v>
      </c>
      <c r="F3849" s="1" t="s">
        <v>382</v>
      </c>
      <c r="G3849" s="6">
        <v>765662</v>
      </c>
      <c r="H3849" t="str">
        <f>IFERROR(VLOOKUP(F3849,'LEAID Match'!$A$2:$B$142,2,FALSE),"")</f>
        <v/>
      </c>
    </row>
    <row r="3850" spans="1:8" x14ac:dyDescent="0.2">
      <c r="A3850" t="str">
        <f t="shared" si="60"/>
        <v/>
      </c>
      <c r="B3850" s="1">
        <v>2020</v>
      </c>
      <c r="C3850" s="1" t="s">
        <v>2505</v>
      </c>
      <c r="D3850" s="1" t="s">
        <v>2506</v>
      </c>
      <c r="E3850" s="1" t="s">
        <v>2019</v>
      </c>
      <c r="F3850" s="1" t="s">
        <v>382</v>
      </c>
      <c r="G3850" s="6">
        <v>861624</v>
      </c>
      <c r="H3850" t="str">
        <f>IFERROR(VLOOKUP(F3850,'LEAID Match'!$A$2:$B$142,2,FALSE),"")</f>
        <v/>
      </c>
    </row>
    <row r="3851" spans="1:8" x14ac:dyDescent="0.2">
      <c r="A3851" t="str">
        <f t="shared" si="60"/>
        <v/>
      </c>
      <c r="B3851" s="1">
        <v>2021</v>
      </c>
      <c r="C3851" s="1" t="s">
        <v>2505</v>
      </c>
      <c r="D3851" s="1" t="s">
        <v>2506</v>
      </c>
      <c r="E3851" s="1" t="s">
        <v>2019</v>
      </c>
      <c r="F3851" s="1" t="s">
        <v>382</v>
      </c>
      <c r="G3851" s="6">
        <v>870498</v>
      </c>
      <c r="H3851" t="str">
        <f>IFERROR(VLOOKUP(F3851,'LEAID Match'!$A$2:$B$142,2,FALSE),"")</f>
        <v/>
      </c>
    </row>
    <row r="3852" spans="1:8" x14ac:dyDescent="0.2">
      <c r="A3852" t="str">
        <f t="shared" si="60"/>
        <v/>
      </c>
      <c r="B3852" s="1">
        <v>2022</v>
      </c>
      <c r="C3852" s="1" t="s">
        <v>2505</v>
      </c>
      <c r="D3852" s="1" t="s">
        <v>2506</v>
      </c>
      <c r="E3852" s="1" t="s">
        <v>2019</v>
      </c>
      <c r="F3852" s="1" t="s">
        <v>382</v>
      </c>
      <c r="G3852" s="6">
        <v>914538</v>
      </c>
      <c r="H3852" t="str">
        <f>IFERROR(VLOOKUP(F3852,'LEAID Match'!$A$2:$B$142,2,FALSE),"")</f>
        <v/>
      </c>
    </row>
    <row r="3853" spans="1:8" x14ac:dyDescent="0.2">
      <c r="A3853" t="str">
        <f t="shared" si="60"/>
        <v/>
      </c>
      <c r="B3853" s="1">
        <v>2023</v>
      </c>
      <c r="C3853" s="1" t="s">
        <v>2505</v>
      </c>
      <c r="D3853" s="1" t="s">
        <v>2506</v>
      </c>
      <c r="E3853" s="1" t="s">
        <v>2019</v>
      </c>
      <c r="F3853" s="1" t="s">
        <v>382</v>
      </c>
      <c r="G3853" s="6">
        <v>1004391</v>
      </c>
      <c r="H3853" t="str">
        <f>IFERROR(VLOOKUP(F3853,'LEAID Match'!$A$2:$B$142,2,FALSE),"")</f>
        <v/>
      </c>
    </row>
    <row r="3854" spans="1:8" x14ac:dyDescent="0.2">
      <c r="A3854" t="str">
        <f t="shared" si="60"/>
        <v/>
      </c>
      <c r="B3854" s="1">
        <v>2024</v>
      </c>
      <c r="C3854" s="1" t="s">
        <v>2505</v>
      </c>
      <c r="D3854" s="1" t="s">
        <v>2506</v>
      </c>
      <c r="E3854" s="1" t="s">
        <v>2019</v>
      </c>
      <c r="F3854" s="1" t="s">
        <v>382</v>
      </c>
      <c r="G3854" s="6">
        <v>1079936</v>
      </c>
      <c r="H3854" t="str">
        <f>IFERROR(VLOOKUP(F3854,'LEAID Match'!$A$2:$B$142,2,FALSE),"")</f>
        <v/>
      </c>
    </row>
    <row r="3855" spans="1:8" x14ac:dyDescent="0.2">
      <c r="A3855" t="str">
        <f t="shared" si="60"/>
        <v/>
      </c>
      <c r="B3855" s="1">
        <v>2015</v>
      </c>
      <c r="C3855" s="1" t="s">
        <v>2505</v>
      </c>
      <c r="D3855" s="1" t="s">
        <v>2506</v>
      </c>
      <c r="E3855" s="1" t="s">
        <v>2019</v>
      </c>
      <c r="F3855" s="1" t="s">
        <v>383</v>
      </c>
      <c r="G3855" s="6">
        <v>52730</v>
      </c>
      <c r="H3855" t="str">
        <f>IFERROR(VLOOKUP(F3855,'LEAID Match'!$A$2:$B$142,2,FALSE),"")</f>
        <v/>
      </c>
    </row>
    <row r="3856" spans="1:8" x14ac:dyDescent="0.2">
      <c r="A3856" t="str">
        <f t="shared" si="60"/>
        <v/>
      </c>
      <c r="B3856">
        <v>2016</v>
      </c>
      <c r="C3856" s="1" t="s">
        <v>2505</v>
      </c>
      <c r="D3856" s="1" t="s">
        <v>2506</v>
      </c>
      <c r="E3856" s="1" t="s">
        <v>2019</v>
      </c>
      <c r="F3856" s="1" t="s">
        <v>383</v>
      </c>
      <c r="G3856" s="12">
        <v>52210</v>
      </c>
      <c r="H3856" t="str">
        <f>IFERROR(VLOOKUP(F3856,'LEAID Match'!$A$2:$B$142,2,FALSE),"")</f>
        <v/>
      </c>
    </row>
    <row r="3857" spans="1:8" x14ac:dyDescent="0.2">
      <c r="A3857" t="str">
        <f t="shared" si="60"/>
        <v/>
      </c>
      <c r="B3857" s="1">
        <v>2017</v>
      </c>
      <c r="C3857" s="1" t="s">
        <v>2505</v>
      </c>
      <c r="D3857" s="1" t="s">
        <v>2506</v>
      </c>
      <c r="E3857" s="1" t="s">
        <v>2019</v>
      </c>
      <c r="F3857" s="1" t="s">
        <v>383</v>
      </c>
      <c r="G3857" s="47">
        <v>58168</v>
      </c>
      <c r="H3857" t="str">
        <f>IFERROR(VLOOKUP(F3857,'LEAID Match'!$A$2:$B$142,2,FALSE),"")</f>
        <v/>
      </c>
    </row>
    <row r="3858" spans="1:8" x14ac:dyDescent="0.2">
      <c r="A3858" t="str">
        <f t="shared" si="60"/>
        <v/>
      </c>
      <c r="B3858" s="1">
        <v>2018</v>
      </c>
      <c r="C3858" s="1" t="s">
        <v>2505</v>
      </c>
      <c r="D3858" s="1" t="s">
        <v>2506</v>
      </c>
      <c r="E3858" s="1" t="s">
        <v>2019</v>
      </c>
      <c r="F3858" s="1" t="s">
        <v>383</v>
      </c>
      <c r="G3858" s="6">
        <v>57334</v>
      </c>
      <c r="H3858" t="str">
        <f>IFERROR(VLOOKUP(F3858,'LEAID Match'!$A$2:$B$142,2,FALSE),"")</f>
        <v/>
      </c>
    </row>
    <row r="3859" spans="1:8" x14ac:dyDescent="0.2">
      <c r="A3859" t="str">
        <f t="shared" si="60"/>
        <v/>
      </c>
      <c r="B3859" s="1">
        <v>2019</v>
      </c>
      <c r="C3859" s="1" t="s">
        <v>2505</v>
      </c>
      <c r="D3859" s="1" t="s">
        <v>2506</v>
      </c>
      <c r="E3859" s="1" t="s">
        <v>2019</v>
      </c>
      <c r="F3859" s="1" t="s">
        <v>383</v>
      </c>
      <c r="G3859" s="6">
        <v>53912</v>
      </c>
      <c r="H3859" t="str">
        <f>IFERROR(VLOOKUP(F3859,'LEAID Match'!$A$2:$B$142,2,FALSE),"")</f>
        <v/>
      </c>
    </row>
    <row r="3860" spans="1:8" x14ac:dyDescent="0.2">
      <c r="A3860" t="str">
        <f t="shared" si="60"/>
        <v/>
      </c>
      <c r="B3860" s="1">
        <v>2020</v>
      </c>
      <c r="C3860" s="1" t="s">
        <v>2505</v>
      </c>
      <c r="D3860" s="1" t="s">
        <v>2506</v>
      </c>
      <c r="E3860" s="1" t="s">
        <v>2019</v>
      </c>
      <c r="F3860" s="1" t="s">
        <v>383</v>
      </c>
      <c r="G3860" s="6">
        <v>59990</v>
      </c>
      <c r="H3860" t="str">
        <f>IFERROR(VLOOKUP(F3860,'LEAID Match'!$A$2:$B$142,2,FALSE),"")</f>
        <v/>
      </c>
    </row>
    <row r="3861" spans="1:8" x14ac:dyDescent="0.2">
      <c r="A3861" t="str">
        <f t="shared" si="60"/>
        <v/>
      </c>
      <c r="B3861" s="1">
        <v>2021</v>
      </c>
      <c r="C3861" s="1" t="s">
        <v>2505</v>
      </c>
      <c r="D3861" s="1" t="s">
        <v>2506</v>
      </c>
      <c r="E3861" s="1" t="s">
        <v>2019</v>
      </c>
      <c r="F3861" s="1" t="s">
        <v>383</v>
      </c>
      <c r="G3861" s="6">
        <v>43626</v>
      </c>
      <c r="H3861" t="str">
        <f>IFERROR(VLOOKUP(F3861,'LEAID Match'!$A$2:$B$142,2,FALSE),"")</f>
        <v/>
      </c>
    </row>
    <row r="3862" spans="1:8" x14ac:dyDescent="0.2">
      <c r="A3862" t="str">
        <f t="shared" si="60"/>
        <v/>
      </c>
      <c r="B3862" s="1">
        <v>2022</v>
      </c>
      <c r="C3862" s="1" t="s">
        <v>2505</v>
      </c>
      <c r="D3862" s="1" t="s">
        <v>2506</v>
      </c>
      <c r="E3862" s="1" t="s">
        <v>2019</v>
      </c>
      <c r="F3862" s="1" t="s">
        <v>383</v>
      </c>
      <c r="G3862" s="6">
        <v>39775</v>
      </c>
      <c r="H3862" t="str">
        <f>IFERROR(VLOOKUP(F3862,'LEAID Match'!$A$2:$B$142,2,FALSE),"")</f>
        <v/>
      </c>
    </row>
    <row r="3863" spans="1:8" x14ac:dyDescent="0.2">
      <c r="A3863" t="str">
        <f t="shared" si="60"/>
        <v/>
      </c>
      <c r="B3863" s="1">
        <v>2023</v>
      </c>
      <c r="C3863" s="1" t="s">
        <v>2505</v>
      </c>
      <c r="D3863" s="1" t="s">
        <v>2506</v>
      </c>
      <c r="E3863" s="1" t="s">
        <v>2019</v>
      </c>
      <c r="F3863" s="1" t="s">
        <v>383</v>
      </c>
      <c r="G3863" s="6">
        <v>45956</v>
      </c>
      <c r="H3863" t="str">
        <f>IFERROR(VLOOKUP(F3863,'LEAID Match'!$A$2:$B$142,2,FALSE),"")</f>
        <v/>
      </c>
    </row>
    <row r="3864" spans="1:8" x14ac:dyDescent="0.2">
      <c r="A3864" t="str">
        <f t="shared" si="60"/>
        <v/>
      </c>
      <c r="B3864" s="1">
        <v>2024</v>
      </c>
      <c r="C3864" s="1" t="s">
        <v>2505</v>
      </c>
      <c r="D3864" s="1" t="s">
        <v>2506</v>
      </c>
      <c r="E3864" s="1" t="s">
        <v>2019</v>
      </c>
      <c r="F3864" s="1" t="s">
        <v>383</v>
      </c>
      <c r="G3864" s="6">
        <v>47862</v>
      </c>
      <c r="H3864" t="str">
        <f>IFERROR(VLOOKUP(F3864,'LEAID Match'!$A$2:$B$142,2,FALSE),"")</f>
        <v/>
      </c>
    </row>
    <row r="3865" spans="1:8" x14ac:dyDescent="0.2">
      <c r="A3865" t="str">
        <f t="shared" si="60"/>
        <v/>
      </c>
      <c r="B3865" s="1">
        <v>2015</v>
      </c>
      <c r="C3865" s="1" t="s">
        <v>2505</v>
      </c>
      <c r="D3865" s="1" t="s">
        <v>2506</v>
      </c>
      <c r="E3865" s="1" t="s">
        <v>2019</v>
      </c>
      <c r="F3865" s="1" t="s">
        <v>384</v>
      </c>
      <c r="G3865" s="6">
        <v>1784854</v>
      </c>
      <c r="H3865" t="str">
        <f>IFERROR(VLOOKUP(F3865,'LEAID Match'!$A$2:$B$142,2,FALSE),"")</f>
        <v/>
      </c>
    </row>
    <row r="3866" spans="1:8" x14ac:dyDescent="0.2">
      <c r="A3866" t="str">
        <f t="shared" si="60"/>
        <v/>
      </c>
      <c r="B3866">
        <v>2016</v>
      </c>
      <c r="C3866" s="1" t="s">
        <v>2505</v>
      </c>
      <c r="D3866" s="1" t="s">
        <v>2506</v>
      </c>
      <c r="E3866" s="1" t="s">
        <v>2019</v>
      </c>
      <c r="F3866" s="1" t="s">
        <v>384</v>
      </c>
      <c r="G3866" s="12">
        <v>1866262</v>
      </c>
      <c r="H3866" t="str">
        <f>IFERROR(VLOOKUP(F3866,'LEAID Match'!$A$2:$B$142,2,FALSE),"")</f>
        <v/>
      </c>
    </row>
    <row r="3867" spans="1:8" x14ac:dyDescent="0.2">
      <c r="A3867" t="str">
        <f t="shared" si="60"/>
        <v/>
      </c>
      <c r="B3867" s="1">
        <v>2017</v>
      </c>
      <c r="C3867" s="1" t="s">
        <v>2505</v>
      </c>
      <c r="D3867" s="1" t="s">
        <v>2506</v>
      </c>
      <c r="E3867" s="1" t="s">
        <v>2019</v>
      </c>
      <c r="F3867" s="1" t="s">
        <v>384</v>
      </c>
      <c r="G3867" s="47">
        <v>1976931</v>
      </c>
      <c r="H3867" t="str">
        <f>IFERROR(VLOOKUP(F3867,'LEAID Match'!$A$2:$B$142,2,FALSE),"")</f>
        <v/>
      </c>
    </row>
    <row r="3868" spans="1:8" x14ac:dyDescent="0.2">
      <c r="A3868" t="str">
        <f t="shared" si="60"/>
        <v/>
      </c>
      <c r="B3868" s="1">
        <v>2018</v>
      </c>
      <c r="C3868" s="1" t="s">
        <v>2505</v>
      </c>
      <c r="D3868" s="1" t="s">
        <v>2506</v>
      </c>
      <c r="E3868" s="1" t="s">
        <v>2019</v>
      </c>
      <c r="F3868" s="1" t="s">
        <v>384</v>
      </c>
      <c r="G3868" s="6">
        <v>1965187</v>
      </c>
      <c r="H3868" t="str">
        <f>IFERROR(VLOOKUP(F3868,'LEAID Match'!$A$2:$B$142,2,FALSE),"")</f>
        <v/>
      </c>
    </row>
    <row r="3869" spans="1:8" x14ac:dyDescent="0.2">
      <c r="A3869" t="str">
        <f t="shared" si="60"/>
        <v/>
      </c>
      <c r="B3869" s="1">
        <v>2019</v>
      </c>
      <c r="C3869" s="1" t="s">
        <v>2505</v>
      </c>
      <c r="D3869" s="1" t="s">
        <v>2506</v>
      </c>
      <c r="E3869" s="1" t="s">
        <v>2019</v>
      </c>
      <c r="F3869" s="1" t="s">
        <v>384</v>
      </c>
      <c r="G3869" s="6">
        <v>2015072</v>
      </c>
      <c r="H3869" t="str">
        <f>IFERROR(VLOOKUP(F3869,'LEAID Match'!$A$2:$B$142,2,FALSE),"")</f>
        <v/>
      </c>
    </row>
    <row r="3870" spans="1:8" x14ac:dyDescent="0.2">
      <c r="A3870" t="str">
        <f t="shared" si="60"/>
        <v/>
      </c>
      <c r="B3870" s="1">
        <v>2020</v>
      </c>
      <c r="C3870" s="1" t="s">
        <v>2505</v>
      </c>
      <c r="D3870" s="1" t="s">
        <v>2506</v>
      </c>
      <c r="E3870" s="1" t="s">
        <v>2019</v>
      </c>
      <c r="F3870" s="1" t="s">
        <v>384</v>
      </c>
      <c r="G3870" s="6">
        <v>2308948</v>
      </c>
      <c r="H3870" t="str">
        <f>IFERROR(VLOOKUP(F3870,'LEAID Match'!$A$2:$B$142,2,FALSE),"")</f>
        <v/>
      </c>
    </row>
    <row r="3871" spans="1:8" x14ac:dyDescent="0.2">
      <c r="A3871" t="str">
        <f t="shared" si="60"/>
        <v/>
      </c>
      <c r="B3871" s="1">
        <v>2021</v>
      </c>
      <c r="C3871" s="1" t="s">
        <v>2505</v>
      </c>
      <c r="D3871" s="1" t="s">
        <v>2506</v>
      </c>
      <c r="E3871" s="1" t="s">
        <v>2019</v>
      </c>
      <c r="F3871" s="1" t="s">
        <v>384</v>
      </c>
      <c r="G3871" s="6">
        <v>2339741</v>
      </c>
      <c r="H3871" t="str">
        <f>IFERROR(VLOOKUP(F3871,'LEAID Match'!$A$2:$B$142,2,FALSE),"")</f>
        <v/>
      </c>
    </row>
    <row r="3872" spans="1:8" x14ac:dyDescent="0.2">
      <c r="A3872" t="str">
        <f t="shared" si="60"/>
        <v/>
      </c>
      <c r="B3872" s="1">
        <v>2022</v>
      </c>
      <c r="C3872" s="1" t="s">
        <v>2505</v>
      </c>
      <c r="D3872" s="1" t="s">
        <v>2506</v>
      </c>
      <c r="E3872" s="1" t="s">
        <v>2019</v>
      </c>
      <c r="F3872" s="1" t="s">
        <v>384</v>
      </c>
      <c r="G3872" s="6">
        <v>2443577</v>
      </c>
      <c r="H3872" t="str">
        <f>IFERROR(VLOOKUP(F3872,'LEAID Match'!$A$2:$B$142,2,FALSE),"")</f>
        <v/>
      </c>
    </row>
    <row r="3873" spans="1:8" x14ac:dyDescent="0.2">
      <c r="A3873" t="str">
        <f t="shared" si="60"/>
        <v/>
      </c>
      <c r="B3873" s="1">
        <v>2023</v>
      </c>
      <c r="C3873" s="1" t="s">
        <v>2505</v>
      </c>
      <c r="D3873" s="1" t="s">
        <v>2506</v>
      </c>
      <c r="E3873" s="1" t="s">
        <v>2019</v>
      </c>
      <c r="F3873" s="1" t="s">
        <v>384</v>
      </c>
      <c r="G3873" s="6">
        <v>2821243</v>
      </c>
      <c r="H3873" t="str">
        <f>IFERROR(VLOOKUP(F3873,'LEAID Match'!$A$2:$B$142,2,FALSE),"")</f>
        <v/>
      </c>
    </row>
    <row r="3874" spans="1:8" x14ac:dyDescent="0.2">
      <c r="A3874" t="str">
        <f t="shared" si="60"/>
        <v/>
      </c>
      <c r="B3874" s="1">
        <v>2024</v>
      </c>
      <c r="C3874" s="1" t="s">
        <v>2505</v>
      </c>
      <c r="D3874" s="1" t="s">
        <v>2506</v>
      </c>
      <c r="E3874" s="1" t="s">
        <v>2019</v>
      </c>
      <c r="F3874" s="1" t="s">
        <v>384</v>
      </c>
      <c r="G3874" s="6">
        <v>2922717</v>
      </c>
      <c r="H3874" t="str">
        <f>IFERROR(VLOOKUP(F3874,'LEAID Match'!$A$2:$B$142,2,FALSE),"")</f>
        <v/>
      </c>
    </row>
    <row r="3875" spans="1:8" x14ac:dyDescent="0.2">
      <c r="A3875" t="str">
        <f t="shared" si="60"/>
        <v/>
      </c>
      <c r="B3875" s="1">
        <v>2015</v>
      </c>
      <c r="C3875" s="1" t="s">
        <v>2505</v>
      </c>
      <c r="D3875" s="1" t="s">
        <v>2506</v>
      </c>
      <c r="E3875" s="1" t="s">
        <v>2019</v>
      </c>
      <c r="F3875" s="1" t="s">
        <v>385</v>
      </c>
      <c r="G3875" s="6">
        <v>3946</v>
      </c>
      <c r="H3875" t="str">
        <f>IFERROR(VLOOKUP(F3875,'LEAID Match'!$A$2:$B$142,2,FALSE),"")</f>
        <v/>
      </c>
    </row>
    <row r="3876" spans="1:8" x14ac:dyDescent="0.2">
      <c r="A3876" t="str">
        <f t="shared" si="60"/>
        <v/>
      </c>
      <c r="B3876">
        <v>2016</v>
      </c>
      <c r="C3876" s="1" t="s">
        <v>2505</v>
      </c>
      <c r="D3876" s="1" t="s">
        <v>2506</v>
      </c>
      <c r="E3876" s="1" t="s">
        <v>2019</v>
      </c>
      <c r="F3876" s="1" t="s">
        <v>385</v>
      </c>
      <c r="G3876" s="12">
        <v>3916</v>
      </c>
      <c r="H3876" t="str">
        <f>IFERROR(VLOOKUP(F3876,'LEAID Match'!$A$2:$B$142,2,FALSE),"")</f>
        <v/>
      </c>
    </row>
    <row r="3877" spans="1:8" x14ac:dyDescent="0.2">
      <c r="A3877" t="str">
        <f t="shared" si="60"/>
        <v/>
      </c>
      <c r="B3877" s="1">
        <v>2017</v>
      </c>
      <c r="C3877" s="1" t="s">
        <v>2505</v>
      </c>
      <c r="D3877" s="1" t="s">
        <v>2506</v>
      </c>
      <c r="E3877" s="1" t="s">
        <v>2019</v>
      </c>
      <c r="F3877" s="1" t="s">
        <v>385</v>
      </c>
      <c r="G3877" s="47">
        <v>4039</v>
      </c>
      <c r="H3877" t="str">
        <f>IFERROR(VLOOKUP(F3877,'LEAID Match'!$A$2:$B$142,2,FALSE),"")</f>
        <v/>
      </c>
    </row>
    <row r="3878" spans="1:8" x14ac:dyDescent="0.2">
      <c r="A3878" t="str">
        <f t="shared" si="60"/>
        <v/>
      </c>
      <c r="B3878" s="1">
        <v>2018</v>
      </c>
      <c r="C3878" s="1" t="s">
        <v>2505</v>
      </c>
      <c r="D3878" s="1" t="s">
        <v>2506</v>
      </c>
      <c r="E3878" s="1" t="s">
        <v>2019</v>
      </c>
      <c r="F3878" s="1" t="s">
        <v>385</v>
      </c>
      <c r="G3878" s="6">
        <v>4772</v>
      </c>
      <c r="H3878" t="str">
        <f>IFERROR(VLOOKUP(F3878,'LEAID Match'!$A$2:$B$142,2,FALSE),"")</f>
        <v/>
      </c>
    </row>
    <row r="3879" spans="1:8" x14ac:dyDescent="0.2">
      <c r="A3879" t="str">
        <f t="shared" si="60"/>
        <v/>
      </c>
      <c r="B3879" s="1">
        <v>2019</v>
      </c>
      <c r="C3879" s="1" t="s">
        <v>2505</v>
      </c>
      <c r="D3879" s="1" t="s">
        <v>2506</v>
      </c>
      <c r="E3879" s="1" t="s">
        <v>2019</v>
      </c>
      <c r="F3879" s="1" t="s">
        <v>385</v>
      </c>
      <c r="G3879" s="6">
        <v>6495</v>
      </c>
      <c r="H3879" t="str">
        <f>IFERROR(VLOOKUP(F3879,'LEAID Match'!$A$2:$B$142,2,FALSE),"")</f>
        <v/>
      </c>
    </row>
    <row r="3880" spans="1:8" x14ac:dyDescent="0.2">
      <c r="A3880" t="str">
        <f t="shared" si="60"/>
        <v/>
      </c>
      <c r="B3880" s="1">
        <v>2020</v>
      </c>
      <c r="C3880" s="1" t="s">
        <v>2505</v>
      </c>
      <c r="D3880" s="1" t="s">
        <v>2506</v>
      </c>
      <c r="E3880" s="1" t="s">
        <v>2019</v>
      </c>
      <c r="F3880" s="1" t="s">
        <v>385</v>
      </c>
      <c r="G3880" s="6">
        <v>12234</v>
      </c>
      <c r="H3880" t="str">
        <f>IFERROR(VLOOKUP(F3880,'LEAID Match'!$A$2:$B$142,2,FALSE),"")</f>
        <v/>
      </c>
    </row>
    <row r="3881" spans="1:8" x14ac:dyDescent="0.2">
      <c r="A3881" t="str">
        <f t="shared" si="60"/>
        <v/>
      </c>
      <c r="B3881" s="1">
        <v>2021</v>
      </c>
      <c r="C3881" s="1" t="s">
        <v>2505</v>
      </c>
      <c r="D3881" s="1" t="s">
        <v>2506</v>
      </c>
      <c r="E3881" s="1" t="s">
        <v>2019</v>
      </c>
      <c r="F3881" s="1" t="s">
        <v>385</v>
      </c>
      <c r="G3881" s="6">
        <v>10905</v>
      </c>
      <c r="H3881" t="str">
        <f>IFERROR(VLOOKUP(F3881,'LEAID Match'!$A$2:$B$142,2,FALSE),"")</f>
        <v/>
      </c>
    </row>
    <row r="3882" spans="1:8" x14ac:dyDescent="0.2">
      <c r="A3882" t="str">
        <f t="shared" si="60"/>
        <v/>
      </c>
      <c r="B3882" s="1">
        <v>2022</v>
      </c>
      <c r="C3882" s="1" t="s">
        <v>2505</v>
      </c>
      <c r="D3882" s="1" t="s">
        <v>2506</v>
      </c>
      <c r="E3882" s="1" t="s">
        <v>2019</v>
      </c>
      <c r="F3882" s="1" t="s">
        <v>385</v>
      </c>
      <c r="G3882" s="6">
        <v>7249</v>
      </c>
      <c r="H3882" t="str">
        <f>IFERROR(VLOOKUP(F3882,'LEAID Match'!$A$2:$B$142,2,FALSE),"")</f>
        <v/>
      </c>
    </row>
    <row r="3883" spans="1:8" x14ac:dyDescent="0.2">
      <c r="A3883" t="str">
        <f t="shared" si="60"/>
        <v/>
      </c>
      <c r="B3883" s="1">
        <v>2023</v>
      </c>
      <c r="C3883" s="1" t="s">
        <v>2505</v>
      </c>
      <c r="D3883" s="1" t="s">
        <v>2506</v>
      </c>
      <c r="E3883" s="1" t="s">
        <v>2019</v>
      </c>
      <c r="F3883" s="1" t="s">
        <v>385</v>
      </c>
      <c r="G3883" s="6">
        <v>7807</v>
      </c>
      <c r="H3883" t="str">
        <f>IFERROR(VLOOKUP(F3883,'LEAID Match'!$A$2:$B$142,2,FALSE),"")</f>
        <v/>
      </c>
    </row>
    <row r="3884" spans="1:8" x14ac:dyDescent="0.2">
      <c r="A3884" t="str">
        <f t="shared" si="60"/>
        <v/>
      </c>
      <c r="B3884" s="1">
        <v>2024</v>
      </c>
      <c r="C3884" s="1" t="s">
        <v>2505</v>
      </c>
      <c r="D3884" s="1" t="s">
        <v>2506</v>
      </c>
      <c r="E3884" s="1" t="s">
        <v>2019</v>
      </c>
      <c r="F3884" s="1" t="s">
        <v>385</v>
      </c>
      <c r="G3884" s="6">
        <v>7561</v>
      </c>
      <c r="H3884" t="str">
        <f>IFERROR(VLOOKUP(F3884,'LEAID Match'!$A$2:$B$142,2,FALSE),"")</f>
        <v/>
      </c>
    </row>
    <row r="3885" spans="1:8" x14ac:dyDescent="0.2">
      <c r="A3885">
        <f t="shared" si="60"/>
        <v>2802550</v>
      </c>
      <c r="B3885" s="1">
        <v>2015</v>
      </c>
      <c r="C3885" s="1" t="s">
        <v>2505</v>
      </c>
      <c r="D3885" s="1" t="s">
        <v>2506</v>
      </c>
      <c r="E3885" s="1" t="s">
        <v>2019</v>
      </c>
      <c r="F3885" s="1" t="s">
        <v>386</v>
      </c>
      <c r="G3885" s="6">
        <v>5370527</v>
      </c>
      <c r="H3885">
        <f>IFERROR(VLOOKUP(F3885,'LEAID Match'!$A$2:$B$142,2,FALSE),"")</f>
        <v>2802550</v>
      </c>
    </row>
    <row r="3886" spans="1:8" x14ac:dyDescent="0.2">
      <c r="A3886">
        <f t="shared" si="60"/>
        <v>2802550</v>
      </c>
      <c r="B3886">
        <v>2016</v>
      </c>
      <c r="C3886" s="1" t="s">
        <v>2505</v>
      </c>
      <c r="D3886" s="1" t="s">
        <v>2506</v>
      </c>
      <c r="E3886" s="1" t="s">
        <v>2019</v>
      </c>
      <c r="F3886" s="1" t="s">
        <v>386</v>
      </c>
      <c r="G3886" s="12">
        <v>5452179</v>
      </c>
      <c r="H3886">
        <f>IFERROR(VLOOKUP(F3886,'LEAID Match'!$A$2:$B$142,2,FALSE),"")</f>
        <v>2802550</v>
      </c>
    </row>
    <row r="3887" spans="1:8" x14ac:dyDescent="0.2">
      <c r="A3887">
        <f t="shared" si="60"/>
        <v>2802550</v>
      </c>
      <c r="B3887" s="1">
        <v>2017</v>
      </c>
      <c r="C3887" s="1" t="s">
        <v>2505</v>
      </c>
      <c r="D3887" s="1" t="s">
        <v>2506</v>
      </c>
      <c r="E3887" s="1" t="s">
        <v>2019</v>
      </c>
      <c r="F3887" s="1" t="s">
        <v>386</v>
      </c>
      <c r="G3887" s="47">
        <v>5476818</v>
      </c>
      <c r="H3887">
        <f>IFERROR(VLOOKUP(F3887,'LEAID Match'!$A$2:$B$142,2,FALSE),"")</f>
        <v>2802550</v>
      </c>
    </row>
    <row r="3888" spans="1:8" x14ac:dyDescent="0.2">
      <c r="A3888">
        <f t="shared" si="60"/>
        <v>2802550</v>
      </c>
      <c r="B3888" s="1">
        <v>2018</v>
      </c>
      <c r="C3888" s="1" t="s">
        <v>2505</v>
      </c>
      <c r="D3888" s="1" t="s">
        <v>2506</v>
      </c>
      <c r="E3888" s="1" t="s">
        <v>2019</v>
      </c>
      <c r="F3888" s="1" t="s">
        <v>386</v>
      </c>
      <c r="G3888" s="6">
        <v>5472661</v>
      </c>
      <c r="H3888">
        <f>IFERROR(VLOOKUP(F3888,'LEAID Match'!$A$2:$B$142,2,FALSE),"")</f>
        <v>2802550</v>
      </c>
    </row>
    <row r="3889" spans="1:8" x14ac:dyDescent="0.2">
      <c r="A3889">
        <f t="shared" si="60"/>
        <v>2802550</v>
      </c>
      <c r="B3889" s="1">
        <v>2019</v>
      </c>
      <c r="C3889" s="1" t="s">
        <v>2505</v>
      </c>
      <c r="D3889" s="1" t="s">
        <v>2506</v>
      </c>
      <c r="E3889" s="1" t="s">
        <v>2019</v>
      </c>
      <c r="F3889" s="1" t="s">
        <v>386</v>
      </c>
      <c r="G3889" s="6">
        <v>5589059</v>
      </c>
      <c r="H3889">
        <f>IFERROR(VLOOKUP(F3889,'LEAID Match'!$A$2:$B$142,2,FALSE),"")</f>
        <v>2802550</v>
      </c>
    </row>
    <row r="3890" spans="1:8" x14ac:dyDescent="0.2">
      <c r="A3890">
        <f t="shared" si="60"/>
        <v>2802550</v>
      </c>
      <c r="B3890" s="1">
        <v>2020</v>
      </c>
      <c r="C3890" s="1" t="s">
        <v>2505</v>
      </c>
      <c r="D3890" s="1" t="s">
        <v>2506</v>
      </c>
      <c r="E3890" s="1" t="s">
        <v>2019</v>
      </c>
      <c r="F3890" s="1" t="s">
        <v>386</v>
      </c>
      <c r="G3890" s="6">
        <v>6340139</v>
      </c>
      <c r="H3890">
        <f>IFERROR(VLOOKUP(F3890,'LEAID Match'!$A$2:$B$142,2,FALSE),"")</f>
        <v>2802550</v>
      </c>
    </row>
    <row r="3891" spans="1:8" x14ac:dyDescent="0.2">
      <c r="A3891">
        <f t="shared" si="60"/>
        <v>2802550</v>
      </c>
      <c r="B3891" s="1">
        <v>2021</v>
      </c>
      <c r="C3891" s="1" t="s">
        <v>2505</v>
      </c>
      <c r="D3891" s="1" t="s">
        <v>2506</v>
      </c>
      <c r="E3891" s="1" t="s">
        <v>2019</v>
      </c>
      <c r="F3891" s="1" t="s">
        <v>386</v>
      </c>
      <c r="G3891" s="6">
        <v>6430683</v>
      </c>
      <c r="H3891">
        <f>IFERROR(VLOOKUP(F3891,'LEAID Match'!$A$2:$B$142,2,FALSE),"")</f>
        <v>2802550</v>
      </c>
    </row>
    <row r="3892" spans="1:8" x14ac:dyDescent="0.2">
      <c r="A3892">
        <f t="shared" si="60"/>
        <v>2802550</v>
      </c>
      <c r="B3892" s="1">
        <v>2022</v>
      </c>
      <c r="C3892" s="1" t="s">
        <v>2505</v>
      </c>
      <c r="D3892" s="1" t="s">
        <v>2506</v>
      </c>
      <c r="E3892" s="1" t="s">
        <v>2019</v>
      </c>
      <c r="F3892" s="1" t="s">
        <v>386</v>
      </c>
      <c r="G3892" s="6">
        <v>6653770</v>
      </c>
      <c r="H3892">
        <f>IFERROR(VLOOKUP(F3892,'LEAID Match'!$A$2:$B$142,2,FALSE),"")</f>
        <v>2802550</v>
      </c>
    </row>
    <row r="3893" spans="1:8" x14ac:dyDescent="0.2">
      <c r="A3893">
        <f t="shared" si="60"/>
        <v>2802550</v>
      </c>
      <c r="B3893" s="1">
        <v>2023</v>
      </c>
      <c r="C3893" s="1" t="s">
        <v>2505</v>
      </c>
      <c r="D3893" s="1" t="s">
        <v>2506</v>
      </c>
      <c r="E3893" s="1" t="s">
        <v>2019</v>
      </c>
      <c r="F3893" s="1" t="s">
        <v>386</v>
      </c>
      <c r="G3893" s="6">
        <v>7367946</v>
      </c>
      <c r="H3893">
        <f>IFERROR(VLOOKUP(F3893,'LEAID Match'!$A$2:$B$142,2,FALSE),"")</f>
        <v>2802550</v>
      </c>
    </row>
    <row r="3894" spans="1:8" x14ac:dyDescent="0.2">
      <c r="A3894">
        <f t="shared" si="60"/>
        <v>2802550</v>
      </c>
      <c r="B3894" s="1">
        <v>2024</v>
      </c>
      <c r="C3894" s="1" t="s">
        <v>2505</v>
      </c>
      <c r="D3894" s="1" t="s">
        <v>2506</v>
      </c>
      <c r="E3894" s="1" t="s">
        <v>2019</v>
      </c>
      <c r="F3894" s="1" t="s">
        <v>386</v>
      </c>
      <c r="G3894" s="6">
        <v>7494856</v>
      </c>
      <c r="H3894">
        <f>IFERROR(VLOOKUP(F3894,'LEAID Match'!$A$2:$B$142,2,FALSE),"")</f>
        <v>2802550</v>
      </c>
    </row>
    <row r="3895" spans="1:8" x14ac:dyDescent="0.2">
      <c r="A3895" t="str">
        <f t="shared" si="60"/>
        <v/>
      </c>
      <c r="B3895" s="1">
        <v>2015</v>
      </c>
      <c r="C3895" s="1" t="s">
        <v>2505</v>
      </c>
      <c r="D3895" s="1" t="s">
        <v>2506</v>
      </c>
      <c r="E3895" s="1" t="s">
        <v>2019</v>
      </c>
      <c r="F3895" s="1" t="s">
        <v>387</v>
      </c>
      <c r="G3895" s="6">
        <v>111800</v>
      </c>
      <c r="H3895" t="str">
        <f>IFERROR(VLOOKUP(F3895,'LEAID Match'!$A$2:$B$142,2,FALSE),"")</f>
        <v/>
      </c>
    </row>
    <row r="3896" spans="1:8" x14ac:dyDescent="0.2">
      <c r="A3896" t="str">
        <f t="shared" si="60"/>
        <v/>
      </c>
      <c r="B3896">
        <v>2016</v>
      </c>
      <c r="C3896" s="1" t="s">
        <v>2505</v>
      </c>
      <c r="D3896" s="1" t="s">
        <v>2506</v>
      </c>
      <c r="E3896" s="1" t="s">
        <v>2019</v>
      </c>
      <c r="F3896" s="1" t="s">
        <v>387</v>
      </c>
      <c r="G3896" s="12">
        <v>119265</v>
      </c>
      <c r="H3896" t="str">
        <f>IFERROR(VLOOKUP(F3896,'LEAID Match'!$A$2:$B$142,2,FALSE),"")</f>
        <v/>
      </c>
    </row>
    <row r="3897" spans="1:8" x14ac:dyDescent="0.2">
      <c r="A3897" t="str">
        <f t="shared" si="60"/>
        <v/>
      </c>
      <c r="B3897" s="1">
        <v>2017</v>
      </c>
      <c r="C3897" s="1" t="s">
        <v>2505</v>
      </c>
      <c r="D3897" s="1" t="s">
        <v>2506</v>
      </c>
      <c r="E3897" s="1" t="s">
        <v>2019</v>
      </c>
      <c r="F3897" s="1" t="s">
        <v>387</v>
      </c>
      <c r="G3897" s="47">
        <v>120246</v>
      </c>
      <c r="H3897" t="str">
        <f>IFERROR(VLOOKUP(F3897,'LEAID Match'!$A$2:$B$142,2,FALSE),"")</f>
        <v/>
      </c>
    </row>
    <row r="3898" spans="1:8" x14ac:dyDescent="0.2">
      <c r="A3898" t="str">
        <f t="shared" si="60"/>
        <v/>
      </c>
      <c r="B3898" s="1">
        <v>2018</v>
      </c>
      <c r="C3898" s="1" t="s">
        <v>2505</v>
      </c>
      <c r="D3898" s="1" t="s">
        <v>2506</v>
      </c>
      <c r="E3898" s="1" t="s">
        <v>2019</v>
      </c>
      <c r="F3898" s="1" t="s">
        <v>387</v>
      </c>
      <c r="G3898" s="6">
        <v>122037</v>
      </c>
      <c r="H3898" t="str">
        <f>IFERROR(VLOOKUP(F3898,'LEAID Match'!$A$2:$B$142,2,FALSE),"")</f>
        <v/>
      </c>
    </row>
    <row r="3899" spans="1:8" x14ac:dyDescent="0.2">
      <c r="A3899" t="str">
        <f t="shared" si="60"/>
        <v/>
      </c>
      <c r="B3899" s="1">
        <v>2019</v>
      </c>
      <c r="C3899" s="1" t="s">
        <v>2505</v>
      </c>
      <c r="D3899" s="1" t="s">
        <v>2506</v>
      </c>
      <c r="E3899" s="1" t="s">
        <v>2019</v>
      </c>
      <c r="F3899" s="1" t="s">
        <v>387</v>
      </c>
      <c r="G3899" s="6">
        <v>127287</v>
      </c>
      <c r="H3899" t="str">
        <f>IFERROR(VLOOKUP(F3899,'LEAID Match'!$A$2:$B$142,2,FALSE),"")</f>
        <v/>
      </c>
    </row>
    <row r="3900" spans="1:8" x14ac:dyDescent="0.2">
      <c r="A3900" t="str">
        <f t="shared" si="60"/>
        <v/>
      </c>
      <c r="B3900" s="1">
        <v>2020</v>
      </c>
      <c r="C3900" s="1" t="s">
        <v>2505</v>
      </c>
      <c r="D3900" s="1" t="s">
        <v>2506</v>
      </c>
      <c r="E3900" s="1" t="s">
        <v>2019</v>
      </c>
      <c r="F3900" s="1" t="s">
        <v>387</v>
      </c>
      <c r="G3900" s="6">
        <v>138040</v>
      </c>
      <c r="H3900" t="str">
        <f>IFERROR(VLOOKUP(F3900,'LEAID Match'!$A$2:$B$142,2,FALSE),"")</f>
        <v/>
      </c>
    </row>
    <row r="3901" spans="1:8" x14ac:dyDescent="0.2">
      <c r="A3901" t="str">
        <f t="shared" si="60"/>
        <v/>
      </c>
      <c r="B3901" s="1">
        <v>2021</v>
      </c>
      <c r="C3901" s="1" t="s">
        <v>2505</v>
      </c>
      <c r="D3901" s="1" t="s">
        <v>2506</v>
      </c>
      <c r="E3901" s="1" t="s">
        <v>2019</v>
      </c>
      <c r="F3901" s="1" t="s">
        <v>387</v>
      </c>
      <c r="G3901" s="6">
        <v>136857</v>
      </c>
      <c r="H3901" t="str">
        <f>IFERROR(VLOOKUP(F3901,'LEAID Match'!$A$2:$B$142,2,FALSE),"")</f>
        <v/>
      </c>
    </row>
    <row r="3902" spans="1:8" x14ac:dyDescent="0.2">
      <c r="A3902" t="str">
        <f t="shared" si="60"/>
        <v/>
      </c>
      <c r="B3902" s="1">
        <v>2022</v>
      </c>
      <c r="C3902" s="1" t="s">
        <v>2505</v>
      </c>
      <c r="D3902" s="1" t="s">
        <v>2506</v>
      </c>
      <c r="E3902" s="1" t="s">
        <v>2019</v>
      </c>
      <c r="F3902" s="1" t="s">
        <v>387</v>
      </c>
      <c r="G3902" s="6">
        <v>139043</v>
      </c>
      <c r="H3902" t="str">
        <f>IFERROR(VLOOKUP(F3902,'LEAID Match'!$A$2:$B$142,2,FALSE),"")</f>
        <v/>
      </c>
    </row>
    <row r="3903" spans="1:8" x14ac:dyDescent="0.2">
      <c r="A3903" t="str">
        <f t="shared" si="60"/>
        <v/>
      </c>
      <c r="B3903" s="1">
        <v>2023</v>
      </c>
      <c r="C3903" s="1" t="s">
        <v>2505</v>
      </c>
      <c r="D3903" s="1" t="s">
        <v>2506</v>
      </c>
      <c r="E3903" s="1" t="s">
        <v>2019</v>
      </c>
      <c r="F3903" s="1" t="s">
        <v>387</v>
      </c>
      <c r="G3903" s="6">
        <v>142105</v>
      </c>
      <c r="H3903" t="str">
        <f>IFERROR(VLOOKUP(F3903,'LEAID Match'!$A$2:$B$142,2,FALSE),"")</f>
        <v/>
      </c>
    </row>
    <row r="3904" spans="1:8" x14ac:dyDescent="0.2">
      <c r="A3904" t="str">
        <f t="shared" si="60"/>
        <v/>
      </c>
      <c r="B3904" s="1">
        <v>2024</v>
      </c>
      <c r="C3904" s="1" t="s">
        <v>2505</v>
      </c>
      <c r="D3904" s="1" t="s">
        <v>2506</v>
      </c>
      <c r="E3904" s="1" t="s">
        <v>2019</v>
      </c>
      <c r="F3904" s="1" t="s">
        <v>387</v>
      </c>
      <c r="G3904" s="6">
        <v>152334</v>
      </c>
      <c r="H3904" t="str">
        <f>IFERROR(VLOOKUP(F3904,'LEAID Match'!$A$2:$B$142,2,FALSE),"")</f>
        <v/>
      </c>
    </row>
    <row r="3905" spans="1:8" x14ac:dyDescent="0.2">
      <c r="A3905" t="str">
        <f t="shared" si="60"/>
        <v/>
      </c>
      <c r="B3905" s="1">
        <v>2015</v>
      </c>
      <c r="C3905" s="1" t="s">
        <v>2505</v>
      </c>
      <c r="D3905" s="1" t="s">
        <v>2506</v>
      </c>
      <c r="E3905" s="1" t="s">
        <v>2019</v>
      </c>
      <c r="F3905" s="1" t="s">
        <v>1018</v>
      </c>
      <c r="G3905" s="6">
        <v>1998705</v>
      </c>
      <c r="H3905" t="str">
        <f>IFERROR(VLOOKUP(F3905,'LEAID Match'!$A$2:$B$142,2,FALSE),"")</f>
        <v/>
      </c>
    </row>
    <row r="3906" spans="1:8" x14ac:dyDescent="0.2">
      <c r="A3906" t="str">
        <f t="shared" si="60"/>
        <v/>
      </c>
      <c r="B3906">
        <v>2016</v>
      </c>
      <c r="C3906" s="1" t="s">
        <v>2505</v>
      </c>
      <c r="D3906" s="1" t="s">
        <v>2506</v>
      </c>
      <c r="E3906" s="1" t="s">
        <v>2019</v>
      </c>
      <c r="F3906" s="1" t="s">
        <v>1018</v>
      </c>
      <c r="G3906" s="12">
        <v>2021936</v>
      </c>
      <c r="H3906" t="str">
        <f>IFERROR(VLOOKUP(F3906,'LEAID Match'!$A$2:$B$142,2,FALSE),"")</f>
        <v/>
      </c>
    </row>
    <row r="3907" spans="1:8" x14ac:dyDescent="0.2">
      <c r="A3907" t="str">
        <f t="shared" ref="A3907:A3970" si="61">H3907</f>
        <v/>
      </c>
      <c r="B3907" s="1">
        <v>2017</v>
      </c>
      <c r="C3907" s="1" t="s">
        <v>2505</v>
      </c>
      <c r="D3907" s="1" t="s">
        <v>2506</v>
      </c>
      <c r="E3907" s="1" t="s">
        <v>2019</v>
      </c>
      <c r="F3907" s="1" t="s">
        <v>1018</v>
      </c>
      <c r="G3907" s="47">
        <v>1938598</v>
      </c>
      <c r="H3907" t="str">
        <f>IFERROR(VLOOKUP(F3907,'LEAID Match'!$A$2:$B$142,2,FALSE),"")</f>
        <v/>
      </c>
    </row>
    <row r="3908" spans="1:8" x14ac:dyDescent="0.2">
      <c r="A3908" t="str">
        <f t="shared" si="61"/>
        <v/>
      </c>
      <c r="B3908" s="1">
        <v>2018</v>
      </c>
      <c r="C3908" s="1" t="s">
        <v>2505</v>
      </c>
      <c r="D3908" s="1" t="s">
        <v>2506</v>
      </c>
      <c r="E3908" s="1" t="s">
        <v>2019</v>
      </c>
      <c r="F3908" s="1" t="s">
        <v>1018</v>
      </c>
      <c r="G3908" s="6">
        <v>1930272</v>
      </c>
      <c r="H3908" t="str">
        <f>IFERROR(VLOOKUP(F3908,'LEAID Match'!$A$2:$B$142,2,FALSE),"")</f>
        <v/>
      </c>
    </row>
    <row r="3909" spans="1:8" x14ac:dyDescent="0.2">
      <c r="A3909" t="str">
        <f t="shared" si="61"/>
        <v/>
      </c>
      <c r="B3909" s="1">
        <v>2019</v>
      </c>
      <c r="C3909" s="1" t="s">
        <v>2505</v>
      </c>
      <c r="D3909" s="1" t="s">
        <v>2506</v>
      </c>
      <c r="E3909" s="1" t="s">
        <v>2019</v>
      </c>
      <c r="F3909" s="1" t="s">
        <v>1018</v>
      </c>
      <c r="G3909" s="6">
        <v>1965564</v>
      </c>
      <c r="H3909" t="str">
        <f>IFERROR(VLOOKUP(F3909,'LEAID Match'!$A$2:$B$142,2,FALSE),"")</f>
        <v/>
      </c>
    </row>
    <row r="3910" spans="1:8" x14ac:dyDescent="0.2">
      <c r="A3910" t="str">
        <f t="shared" si="61"/>
        <v/>
      </c>
      <c r="B3910" s="1">
        <v>2015</v>
      </c>
      <c r="C3910" s="1" t="s">
        <v>2505</v>
      </c>
      <c r="D3910" s="1" t="s">
        <v>2506</v>
      </c>
      <c r="E3910" s="1" t="s">
        <v>2019</v>
      </c>
      <c r="F3910" s="1" t="s">
        <v>388</v>
      </c>
      <c r="G3910" s="6">
        <v>1056683</v>
      </c>
      <c r="H3910" t="str">
        <f>IFERROR(VLOOKUP(F3910,'LEAID Match'!$A$2:$B$142,2,FALSE),"")</f>
        <v/>
      </c>
    </row>
    <row r="3911" spans="1:8" x14ac:dyDescent="0.2">
      <c r="A3911" t="str">
        <f t="shared" si="61"/>
        <v/>
      </c>
      <c r="B3911">
        <v>2016</v>
      </c>
      <c r="C3911" s="1" t="s">
        <v>2505</v>
      </c>
      <c r="D3911" s="1" t="s">
        <v>2506</v>
      </c>
      <c r="E3911" s="1" t="s">
        <v>2019</v>
      </c>
      <c r="F3911" s="1" t="s">
        <v>388</v>
      </c>
      <c r="G3911" s="12">
        <v>1070008</v>
      </c>
      <c r="H3911" t="str">
        <f>IFERROR(VLOOKUP(F3911,'LEAID Match'!$A$2:$B$142,2,FALSE),"")</f>
        <v/>
      </c>
    </row>
    <row r="3912" spans="1:8" x14ac:dyDescent="0.2">
      <c r="A3912" t="str">
        <f t="shared" si="61"/>
        <v/>
      </c>
      <c r="B3912" s="1">
        <v>2017</v>
      </c>
      <c r="C3912" s="1" t="s">
        <v>2505</v>
      </c>
      <c r="D3912" s="1" t="s">
        <v>2506</v>
      </c>
      <c r="E3912" s="1" t="s">
        <v>2019</v>
      </c>
      <c r="F3912" s="1" t="s">
        <v>388</v>
      </c>
      <c r="G3912" s="47">
        <v>1058253</v>
      </c>
      <c r="H3912" t="str">
        <f>IFERROR(VLOOKUP(F3912,'LEAID Match'!$A$2:$B$142,2,FALSE),"")</f>
        <v/>
      </c>
    </row>
    <row r="3913" spans="1:8" x14ac:dyDescent="0.2">
      <c r="A3913" t="str">
        <f t="shared" si="61"/>
        <v/>
      </c>
      <c r="B3913" s="1">
        <v>2018</v>
      </c>
      <c r="C3913" s="1" t="s">
        <v>2505</v>
      </c>
      <c r="D3913" s="1" t="s">
        <v>2506</v>
      </c>
      <c r="E3913" s="1" t="s">
        <v>2019</v>
      </c>
      <c r="F3913" s="1" t="s">
        <v>388</v>
      </c>
      <c r="G3913" s="6">
        <v>1101066</v>
      </c>
      <c r="H3913" t="str">
        <f>IFERROR(VLOOKUP(F3913,'LEAID Match'!$A$2:$B$142,2,FALSE),"")</f>
        <v/>
      </c>
    </row>
    <row r="3914" spans="1:8" x14ac:dyDescent="0.2">
      <c r="A3914" t="str">
        <f t="shared" si="61"/>
        <v/>
      </c>
      <c r="B3914" s="1">
        <v>2019</v>
      </c>
      <c r="C3914" s="1" t="s">
        <v>2505</v>
      </c>
      <c r="D3914" s="1" t="s">
        <v>2506</v>
      </c>
      <c r="E3914" s="1" t="s">
        <v>2019</v>
      </c>
      <c r="F3914" s="1" t="s">
        <v>388</v>
      </c>
      <c r="G3914" s="6">
        <v>1109531</v>
      </c>
      <c r="H3914" t="str">
        <f>IFERROR(VLOOKUP(F3914,'LEAID Match'!$A$2:$B$142,2,FALSE),"")</f>
        <v/>
      </c>
    </row>
    <row r="3915" spans="1:8" x14ac:dyDescent="0.2">
      <c r="A3915" t="str">
        <f t="shared" si="61"/>
        <v/>
      </c>
      <c r="B3915" s="1">
        <v>2020</v>
      </c>
      <c r="C3915" s="1" t="s">
        <v>2505</v>
      </c>
      <c r="D3915" s="1" t="s">
        <v>2506</v>
      </c>
      <c r="E3915" s="1" t="s">
        <v>2019</v>
      </c>
      <c r="F3915" s="1" t="s">
        <v>388</v>
      </c>
      <c r="G3915" s="6">
        <v>1243754</v>
      </c>
      <c r="H3915" t="str">
        <f>IFERROR(VLOOKUP(F3915,'LEAID Match'!$A$2:$B$142,2,FALSE),"")</f>
        <v/>
      </c>
    </row>
    <row r="3916" spans="1:8" x14ac:dyDescent="0.2">
      <c r="A3916" t="str">
        <f t="shared" si="61"/>
        <v/>
      </c>
      <c r="B3916" s="1">
        <v>2021</v>
      </c>
      <c r="C3916" s="1" t="s">
        <v>2505</v>
      </c>
      <c r="D3916" s="1" t="s">
        <v>2506</v>
      </c>
      <c r="E3916" s="1" t="s">
        <v>2019</v>
      </c>
      <c r="F3916" s="1" t="s">
        <v>388</v>
      </c>
      <c r="G3916" s="6">
        <v>1256409</v>
      </c>
      <c r="H3916" t="str">
        <f>IFERROR(VLOOKUP(F3916,'LEAID Match'!$A$2:$B$142,2,FALSE),"")</f>
        <v/>
      </c>
    </row>
    <row r="3917" spans="1:8" x14ac:dyDescent="0.2">
      <c r="A3917" t="str">
        <f t="shared" si="61"/>
        <v/>
      </c>
      <c r="B3917" s="1">
        <v>2022</v>
      </c>
      <c r="C3917" s="1" t="s">
        <v>2505</v>
      </c>
      <c r="D3917" s="1" t="s">
        <v>2506</v>
      </c>
      <c r="E3917" s="1" t="s">
        <v>2019</v>
      </c>
      <c r="F3917" s="1" t="s">
        <v>388</v>
      </c>
      <c r="G3917" s="6">
        <v>1344731</v>
      </c>
      <c r="H3917" t="str">
        <f>IFERROR(VLOOKUP(F3917,'LEAID Match'!$A$2:$B$142,2,FALSE),"")</f>
        <v/>
      </c>
    </row>
    <row r="3918" spans="1:8" x14ac:dyDescent="0.2">
      <c r="A3918" t="str">
        <f t="shared" si="61"/>
        <v/>
      </c>
      <c r="B3918" s="1">
        <v>2023</v>
      </c>
      <c r="C3918" s="1" t="s">
        <v>2505</v>
      </c>
      <c r="D3918" s="1" t="s">
        <v>2506</v>
      </c>
      <c r="E3918" s="1" t="s">
        <v>2019</v>
      </c>
      <c r="F3918" s="1" t="s">
        <v>388</v>
      </c>
      <c r="G3918" s="6">
        <v>1474051</v>
      </c>
      <c r="H3918" t="str">
        <f>IFERROR(VLOOKUP(F3918,'LEAID Match'!$A$2:$B$142,2,FALSE),"")</f>
        <v/>
      </c>
    </row>
    <row r="3919" spans="1:8" x14ac:dyDescent="0.2">
      <c r="A3919" t="str">
        <f t="shared" si="61"/>
        <v/>
      </c>
      <c r="B3919" s="1">
        <v>2024</v>
      </c>
      <c r="C3919" s="1" t="s">
        <v>2505</v>
      </c>
      <c r="D3919" s="1" t="s">
        <v>2506</v>
      </c>
      <c r="E3919" s="1" t="s">
        <v>2019</v>
      </c>
      <c r="F3919" s="1" t="s">
        <v>388</v>
      </c>
      <c r="G3919" s="6">
        <v>1453771</v>
      </c>
      <c r="H3919" t="str">
        <f>IFERROR(VLOOKUP(F3919,'LEAID Match'!$A$2:$B$142,2,FALSE),"")</f>
        <v/>
      </c>
    </row>
    <row r="3920" spans="1:8" x14ac:dyDescent="0.2">
      <c r="A3920" t="str">
        <f t="shared" si="61"/>
        <v/>
      </c>
      <c r="B3920" s="1">
        <v>2015</v>
      </c>
      <c r="C3920" s="1" t="s">
        <v>2505</v>
      </c>
      <c r="D3920" s="1" t="s">
        <v>2506</v>
      </c>
      <c r="E3920" s="1" t="s">
        <v>2019</v>
      </c>
      <c r="F3920" s="1" t="s">
        <v>389</v>
      </c>
      <c r="G3920" s="6">
        <v>74903</v>
      </c>
      <c r="H3920" t="str">
        <f>IFERROR(VLOOKUP(F3920,'LEAID Match'!$A$2:$B$142,2,FALSE),"")</f>
        <v/>
      </c>
    </row>
    <row r="3921" spans="1:8" x14ac:dyDescent="0.2">
      <c r="A3921" t="str">
        <f t="shared" si="61"/>
        <v/>
      </c>
      <c r="B3921">
        <v>2016</v>
      </c>
      <c r="C3921" s="1" t="s">
        <v>2505</v>
      </c>
      <c r="D3921" s="1" t="s">
        <v>2506</v>
      </c>
      <c r="E3921" s="1" t="s">
        <v>2019</v>
      </c>
      <c r="F3921" s="1" t="s">
        <v>389</v>
      </c>
      <c r="G3921" s="12">
        <v>73795</v>
      </c>
      <c r="H3921" t="str">
        <f>IFERROR(VLOOKUP(F3921,'LEAID Match'!$A$2:$B$142,2,FALSE),"")</f>
        <v/>
      </c>
    </row>
    <row r="3922" spans="1:8" x14ac:dyDescent="0.2">
      <c r="A3922" t="str">
        <f t="shared" si="61"/>
        <v/>
      </c>
      <c r="B3922" s="1">
        <v>2017</v>
      </c>
      <c r="C3922" s="1" t="s">
        <v>2505</v>
      </c>
      <c r="D3922" s="1" t="s">
        <v>2506</v>
      </c>
      <c r="E3922" s="1" t="s">
        <v>2019</v>
      </c>
      <c r="F3922" s="1" t="s">
        <v>389</v>
      </c>
      <c r="G3922" s="47">
        <v>71872</v>
      </c>
      <c r="H3922" t="str">
        <f>IFERROR(VLOOKUP(F3922,'LEAID Match'!$A$2:$B$142,2,FALSE),"")</f>
        <v/>
      </c>
    </row>
    <row r="3923" spans="1:8" x14ac:dyDescent="0.2">
      <c r="A3923" t="str">
        <f t="shared" si="61"/>
        <v/>
      </c>
      <c r="B3923" s="1">
        <v>2018</v>
      </c>
      <c r="C3923" s="1" t="s">
        <v>2505</v>
      </c>
      <c r="D3923" s="1" t="s">
        <v>2506</v>
      </c>
      <c r="E3923" s="1" t="s">
        <v>2019</v>
      </c>
      <c r="F3923" s="1" t="s">
        <v>389</v>
      </c>
      <c r="G3923" s="6">
        <v>71092</v>
      </c>
      <c r="H3923" t="str">
        <f>IFERROR(VLOOKUP(F3923,'LEAID Match'!$A$2:$B$142,2,FALSE),"")</f>
        <v/>
      </c>
    </row>
    <row r="3924" spans="1:8" x14ac:dyDescent="0.2">
      <c r="A3924" t="str">
        <f t="shared" si="61"/>
        <v/>
      </c>
      <c r="B3924" s="1">
        <v>2019</v>
      </c>
      <c r="C3924" s="1" t="s">
        <v>2505</v>
      </c>
      <c r="D3924" s="1" t="s">
        <v>2506</v>
      </c>
      <c r="E3924" s="1" t="s">
        <v>2019</v>
      </c>
      <c r="F3924" s="1" t="s">
        <v>389</v>
      </c>
      <c r="G3924" s="6">
        <v>70274</v>
      </c>
      <c r="H3924" t="str">
        <f>IFERROR(VLOOKUP(F3924,'LEAID Match'!$A$2:$B$142,2,FALSE),"")</f>
        <v/>
      </c>
    </row>
    <row r="3925" spans="1:8" x14ac:dyDescent="0.2">
      <c r="A3925" t="str">
        <f t="shared" si="61"/>
        <v/>
      </c>
      <c r="B3925" s="1">
        <v>2020</v>
      </c>
      <c r="C3925" s="1" t="s">
        <v>2505</v>
      </c>
      <c r="D3925" s="1" t="s">
        <v>2506</v>
      </c>
      <c r="E3925" s="1" t="s">
        <v>2019</v>
      </c>
      <c r="F3925" s="1" t="s">
        <v>389</v>
      </c>
      <c r="G3925" s="6">
        <v>103190</v>
      </c>
      <c r="H3925" t="str">
        <f>IFERROR(VLOOKUP(F3925,'LEAID Match'!$A$2:$B$142,2,FALSE),"")</f>
        <v/>
      </c>
    </row>
    <row r="3926" spans="1:8" x14ac:dyDescent="0.2">
      <c r="A3926" t="str">
        <f t="shared" si="61"/>
        <v/>
      </c>
      <c r="B3926" s="1">
        <v>2021</v>
      </c>
      <c r="C3926" s="1" t="s">
        <v>2505</v>
      </c>
      <c r="D3926" s="1" t="s">
        <v>2506</v>
      </c>
      <c r="E3926" s="1" t="s">
        <v>2019</v>
      </c>
      <c r="F3926" s="1" t="s">
        <v>389</v>
      </c>
      <c r="G3926" s="6">
        <v>71543</v>
      </c>
      <c r="H3926" t="str">
        <f>IFERROR(VLOOKUP(F3926,'LEAID Match'!$A$2:$B$142,2,FALSE),"")</f>
        <v/>
      </c>
    </row>
    <row r="3927" spans="1:8" x14ac:dyDescent="0.2">
      <c r="A3927" t="str">
        <f t="shared" si="61"/>
        <v/>
      </c>
      <c r="B3927" s="1">
        <v>2022</v>
      </c>
      <c r="C3927" s="1" t="s">
        <v>2505</v>
      </c>
      <c r="D3927" s="1" t="s">
        <v>2506</v>
      </c>
      <c r="E3927" s="1" t="s">
        <v>2019</v>
      </c>
      <c r="F3927" s="1" t="s">
        <v>389</v>
      </c>
      <c r="G3927" s="6">
        <v>72315</v>
      </c>
      <c r="H3927" t="str">
        <f>IFERROR(VLOOKUP(F3927,'LEAID Match'!$A$2:$B$142,2,FALSE),"")</f>
        <v/>
      </c>
    </row>
    <row r="3928" spans="1:8" x14ac:dyDescent="0.2">
      <c r="A3928" t="str">
        <f t="shared" si="61"/>
        <v/>
      </c>
      <c r="B3928" s="1">
        <v>2023</v>
      </c>
      <c r="C3928" s="1" t="s">
        <v>2505</v>
      </c>
      <c r="D3928" s="1" t="s">
        <v>2506</v>
      </c>
      <c r="E3928" s="1" t="s">
        <v>2019</v>
      </c>
      <c r="F3928" s="1" t="s">
        <v>389</v>
      </c>
      <c r="G3928" s="6">
        <v>72464</v>
      </c>
      <c r="H3928" t="str">
        <f>IFERROR(VLOOKUP(F3928,'LEAID Match'!$A$2:$B$142,2,FALSE),"")</f>
        <v/>
      </c>
    </row>
    <row r="3929" spans="1:8" x14ac:dyDescent="0.2">
      <c r="A3929" t="str">
        <f t="shared" si="61"/>
        <v/>
      </c>
      <c r="B3929" s="1">
        <v>2024</v>
      </c>
      <c r="C3929" s="1" t="s">
        <v>2505</v>
      </c>
      <c r="D3929" s="1" t="s">
        <v>2506</v>
      </c>
      <c r="E3929" s="1" t="s">
        <v>2019</v>
      </c>
      <c r="F3929" s="1" t="s">
        <v>389</v>
      </c>
      <c r="G3929" s="6">
        <v>66551</v>
      </c>
      <c r="H3929" t="str">
        <f>IFERROR(VLOOKUP(F3929,'LEAID Match'!$A$2:$B$142,2,FALSE),"")</f>
        <v/>
      </c>
    </row>
    <row r="3930" spans="1:8" x14ac:dyDescent="0.2">
      <c r="A3930" t="str">
        <f t="shared" si="61"/>
        <v/>
      </c>
      <c r="B3930" s="1">
        <v>2015</v>
      </c>
      <c r="C3930" s="1" t="s">
        <v>2505</v>
      </c>
      <c r="D3930" s="1" t="s">
        <v>2506</v>
      </c>
      <c r="E3930" s="1" t="s">
        <v>2019</v>
      </c>
      <c r="F3930" s="1" t="s">
        <v>390</v>
      </c>
      <c r="G3930" s="6">
        <v>251234</v>
      </c>
      <c r="H3930" t="str">
        <f>IFERROR(VLOOKUP(F3930,'LEAID Match'!$A$2:$B$142,2,FALSE),"")</f>
        <v/>
      </c>
    </row>
    <row r="3931" spans="1:8" x14ac:dyDescent="0.2">
      <c r="A3931" t="str">
        <f t="shared" si="61"/>
        <v/>
      </c>
      <c r="B3931">
        <v>2016</v>
      </c>
      <c r="C3931" s="1" t="s">
        <v>2505</v>
      </c>
      <c r="D3931" s="1" t="s">
        <v>2506</v>
      </c>
      <c r="E3931" s="1" t="s">
        <v>2019</v>
      </c>
      <c r="F3931" s="1" t="s">
        <v>390</v>
      </c>
      <c r="G3931" s="12">
        <v>280775</v>
      </c>
      <c r="H3931" t="str">
        <f>IFERROR(VLOOKUP(F3931,'LEAID Match'!$A$2:$B$142,2,FALSE),"")</f>
        <v/>
      </c>
    </row>
    <row r="3932" spans="1:8" x14ac:dyDescent="0.2">
      <c r="A3932" t="str">
        <f t="shared" si="61"/>
        <v/>
      </c>
      <c r="B3932" s="1">
        <v>2017</v>
      </c>
      <c r="C3932" s="1" t="s">
        <v>2505</v>
      </c>
      <c r="D3932" s="1" t="s">
        <v>2506</v>
      </c>
      <c r="E3932" s="1" t="s">
        <v>2019</v>
      </c>
      <c r="F3932" s="1" t="s">
        <v>390</v>
      </c>
      <c r="G3932" s="47">
        <v>234497</v>
      </c>
      <c r="H3932" t="str">
        <f>IFERROR(VLOOKUP(F3932,'LEAID Match'!$A$2:$B$142,2,FALSE),"")</f>
        <v/>
      </c>
    </row>
    <row r="3933" spans="1:8" x14ac:dyDescent="0.2">
      <c r="A3933" t="str">
        <f t="shared" si="61"/>
        <v/>
      </c>
      <c r="B3933" s="1">
        <v>2018</v>
      </c>
      <c r="C3933" s="1" t="s">
        <v>2505</v>
      </c>
      <c r="D3933" s="1" t="s">
        <v>2506</v>
      </c>
      <c r="E3933" s="1" t="s">
        <v>2019</v>
      </c>
      <c r="F3933" s="1" t="s">
        <v>390</v>
      </c>
      <c r="G3933" s="6">
        <v>226615</v>
      </c>
      <c r="H3933" t="str">
        <f>IFERROR(VLOOKUP(F3933,'LEAID Match'!$A$2:$B$142,2,FALSE),"")</f>
        <v/>
      </c>
    </row>
    <row r="3934" spans="1:8" x14ac:dyDescent="0.2">
      <c r="A3934" t="str">
        <f t="shared" si="61"/>
        <v/>
      </c>
      <c r="B3934" s="1">
        <v>2019</v>
      </c>
      <c r="C3934" s="1" t="s">
        <v>2505</v>
      </c>
      <c r="D3934" s="1" t="s">
        <v>2506</v>
      </c>
      <c r="E3934" s="1" t="s">
        <v>2019</v>
      </c>
      <c r="F3934" s="1" t="s">
        <v>390</v>
      </c>
      <c r="G3934" s="6">
        <v>252855</v>
      </c>
      <c r="H3934" t="str">
        <f>IFERROR(VLOOKUP(F3934,'LEAID Match'!$A$2:$B$142,2,FALSE),"")</f>
        <v/>
      </c>
    </row>
    <row r="3935" spans="1:8" x14ac:dyDescent="0.2">
      <c r="A3935" t="str">
        <f t="shared" si="61"/>
        <v/>
      </c>
      <c r="B3935" s="1">
        <v>2020</v>
      </c>
      <c r="C3935" s="1" t="s">
        <v>2505</v>
      </c>
      <c r="D3935" s="1" t="s">
        <v>2506</v>
      </c>
      <c r="E3935" s="1" t="s">
        <v>2019</v>
      </c>
      <c r="F3935" s="1" t="s">
        <v>390</v>
      </c>
      <c r="G3935" s="6">
        <v>295757</v>
      </c>
      <c r="H3935" t="str">
        <f>IFERROR(VLOOKUP(F3935,'LEAID Match'!$A$2:$B$142,2,FALSE),"")</f>
        <v/>
      </c>
    </row>
    <row r="3936" spans="1:8" x14ac:dyDescent="0.2">
      <c r="A3936" t="str">
        <f t="shared" si="61"/>
        <v/>
      </c>
      <c r="B3936" s="1">
        <v>2021</v>
      </c>
      <c r="C3936" s="1" t="s">
        <v>2505</v>
      </c>
      <c r="D3936" s="1" t="s">
        <v>2506</v>
      </c>
      <c r="E3936" s="1" t="s">
        <v>2019</v>
      </c>
      <c r="F3936" s="1" t="s">
        <v>390</v>
      </c>
      <c r="G3936" s="6">
        <v>284767</v>
      </c>
      <c r="H3936" t="str">
        <f>IFERROR(VLOOKUP(F3936,'LEAID Match'!$A$2:$B$142,2,FALSE),"")</f>
        <v/>
      </c>
    </row>
    <row r="3937" spans="1:8" x14ac:dyDescent="0.2">
      <c r="A3937" t="str">
        <f t="shared" si="61"/>
        <v/>
      </c>
      <c r="B3937" s="1">
        <v>2022</v>
      </c>
      <c r="C3937" s="1" t="s">
        <v>2505</v>
      </c>
      <c r="D3937" s="1" t="s">
        <v>2506</v>
      </c>
      <c r="E3937" s="1" t="s">
        <v>2019</v>
      </c>
      <c r="F3937" s="1" t="s">
        <v>390</v>
      </c>
      <c r="G3937" s="6">
        <v>291160</v>
      </c>
      <c r="H3937" t="str">
        <f>IFERROR(VLOOKUP(F3937,'LEAID Match'!$A$2:$B$142,2,FALSE),"")</f>
        <v/>
      </c>
    </row>
    <row r="3938" spans="1:8" x14ac:dyDescent="0.2">
      <c r="A3938" t="str">
        <f t="shared" si="61"/>
        <v/>
      </c>
      <c r="B3938" s="1">
        <v>2023</v>
      </c>
      <c r="C3938" s="1" t="s">
        <v>2505</v>
      </c>
      <c r="D3938" s="1" t="s">
        <v>2506</v>
      </c>
      <c r="E3938" s="1" t="s">
        <v>2019</v>
      </c>
      <c r="F3938" s="1" t="s">
        <v>390</v>
      </c>
      <c r="G3938" s="6">
        <v>266712</v>
      </c>
      <c r="H3938" t="str">
        <f>IFERROR(VLOOKUP(F3938,'LEAID Match'!$A$2:$B$142,2,FALSE),"")</f>
        <v/>
      </c>
    </row>
    <row r="3939" spans="1:8" x14ac:dyDescent="0.2">
      <c r="A3939" t="str">
        <f t="shared" si="61"/>
        <v/>
      </c>
      <c r="B3939" s="1">
        <v>2024</v>
      </c>
      <c r="C3939" s="1" t="s">
        <v>2505</v>
      </c>
      <c r="D3939" s="1" t="s">
        <v>2506</v>
      </c>
      <c r="E3939" s="1" t="s">
        <v>2019</v>
      </c>
      <c r="F3939" s="1" t="s">
        <v>390</v>
      </c>
      <c r="G3939" s="6">
        <v>280741</v>
      </c>
      <c r="H3939" t="str">
        <f>IFERROR(VLOOKUP(F3939,'LEAID Match'!$A$2:$B$142,2,FALSE),"")</f>
        <v/>
      </c>
    </row>
    <row r="3940" spans="1:8" x14ac:dyDescent="0.2">
      <c r="A3940" t="str">
        <f t="shared" si="61"/>
        <v/>
      </c>
      <c r="B3940" s="1">
        <v>2015</v>
      </c>
      <c r="C3940" s="1" t="s">
        <v>2505</v>
      </c>
      <c r="D3940" s="1" t="s">
        <v>2506</v>
      </c>
      <c r="E3940" s="1" t="s">
        <v>2019</v>
      </c>
      <c r="F3940" s="1" t="s">
        <v>1020</v>
      </c>
      <c r="G3940" s="6">
        <v>11453</v>
      </c>
      <c r="H3940" t="str">
        <f>IFERROR(VLOOKUP(F3940,'LEAID Match'!$A$2:$B$142,2,FALSE),"")</f>
        <v/>
      </c>
    </row>
    <row r="3941" spans="1:8" x14ac:dyDescent="0.2">
      <c r="A3941" t="str">
        <f t="shared" si="61"/>
        <v/>
      </c>
      <c r="B3941">
        <v>2016</v>
      </c>
      <c r="C3941" s="1" t="s">
        <v>2505</v>
      </c>
      <c r="D3941" s="1" t="s">
        <v>2506</v>
      </c>
      <c r="E3941" s="1" t="s">
        <v>2019</v>
      </c>
      <c r="F3941" s="1" t="s">
        <v>1020</v>
      </c>
      <c r="G3941" s="12">
        <v>11917</v>
      </c>
      <c r="H3941" t="str">
        <f>IFERROR(VLOOKUP(F3941,'LEAID Match'!$A$2:$B$142,2,FALSE),"")</f>
        <v/>
      </c>
    </row>
    <row r="3942" spans="1:8" x14ac:dyDescent="0.2">
      <c r="A3942" t="str">
        <f t="shared" si="61"/>
        <v/>
      </c>
      <c r="B3942" s="1">
        <v>2017</v>
      </c>
      <c r="C3942" s="1" t="s">
        <v>2505</v>
      </c>
      <c r="D3942" s="1" t="s">
        <v>2506</v>
      </c>
      <c r="E3942" s="1" t="s">
        <v>2019</v>
      </c>
      <c r="F3942" s="1" t="s">
        <v>1020</v>
      </c>
      <c r="G3942" s="47">
        <v>11917</v>
      </c>
      <c r="H3942" t="str">
        <f>IFERROR(VLOOKUP(F3942,'LEAID Match'!$A$2:$B$142,2,FALSE),"")</f>
        <v/>
      </c>
    </row>
    <row r="3943" spans="1:8" x14ac:dyDescent="0.2">
      <c r="A3943" t="str">
        <f t="shared" si="61"/>
        <v/>
      </c>
      <c r="B3943" s="1">
        <v>2018</v>
      </c>
      <c r="C3943" s="1" t="s">
        <v>2505</v>
      </c>
      <c r="D3943" s="1" t="s">
        <v>2506</v>
      </c>
      <c r="E3943" s="1" t="s">
        <v>2019</v>
      </c>
      <c r="F3943" s="1" t="s">
        <v>1020</v>
      </c>
      <c r="G3943" s="6">
        <v>12274</v>
      </c>
      <c r="H3943" t="str">
        <f>IFERROR(VLOOKUP(F3943,'LEAID Match'!$A$2:$B$142,2,FALSE),"")</f>
        <v/>
      </c>
    </row>
    <row r="3944" spans="1:8" x14ac:dyDescent="0.2">
      <c r="A3944" t="str">
        <f t="shared" si="61"/>
        <v/>
      </c>
      <c r="B3944" s="1">
        <v>2019</v>
      </c>
      <c r="C3944" s="1" t="s">
        <v>2505</v>
      </c>
      <c r="D3944" s="1" t="s">
        <v>2506</v>
      </c>
      <c r="E3944" s="1" t="s">
        <v>2019</v>
      </c>
      <c r="F3944" s="1" t="s">
        <v>1020</v>
      </c>
      <c r="G3944" s="6">
        <v>12274</v>
      </c>
      <c r="H3944" t="str">
        <f>IFERROR(VLOOKUP(F3944,'LEAID Match'!$A$2:$B$142,2,FALSE),"")</f>
        <v/>
      </c>
    </row>
    <row r="3945" spans="1:8" x14ac:dyDescent="0.2">
      <c r="A3945" t="str">
        <f t="shared" si="61"/>
        <v/>
      </c>
      <c r="B3945" s="1">
        <v>2020</v>
      </c>
      <c r="C3945" s="1" t="s">
        <v>2505</v>
      </c>
      <c r="D3945" s="1" t="s">
        <v>2506</v>
      </c>
      <c r="E3945" s="1" t="s">
        <v>2019</v>
      </c>
      <c r="F3945" s="1" t="s">
        <v>1020</v>
      </c>
      <c r="G3945" s="6">
        <v>13967</v>
      </c>
      <c r="H3945" t="str">
        <f>IFERROR(VLOOKUP(F3945,'LEAID Match'!$A$2:$B$142,2,FALSE),"")</f>
        <v/>
      </c>
    </row>
    <row r="3946" spans="1:8" x14ac:dyDescent="0.2">
      <c r="A3946" t="str">
        <f t="shared" si="61"/>
        <v/>
      </c>
      <c r="B3946" s="1">
        <v>2021</v>
      </c>
      <c r="C3946" s="1" t="s">
        <v>2505</v>
      </c>
      <c r="D3946" s="1" t="s">
        <v>2506</v>
      </c>
      <c r="E3946" s="1" t="s">
        <v>2019</v>
      </c>
      <c r="F3946" s="1" t="s">
        <v>1020</v>
      </c>
      <c r="G3946" s="6">
        <v>14133</v>
      </c>
      <c r="H3946" t="str">
        <f>IFERROR(VLOOKUP(F3946,'LEAID Match'!$A$2:$B$142,2,FALSE),"")</f>
        <v/>
      </c>
    </row>
    <row r="3947" spans="1:8" x14ac:dyDescent="0.2">
      <c r="A3947" t="str">
        <f t="shared" si="61"/>
        <v/>
      </c>
      <c r="B3947" s="1">
        <v>2022</v>
      </c>
      <c r="C3947" s="1" t="s">
        <v>2505</v>
      </c>
      <c r="D3947" s="1" t="s">
        <v>2506</v>
      </c>
      <c r="E3947" s="1" t="s">
        <v>2019</v>
      </c>
      <c r="F3947" s="1" t="s">
        <v>1020</v>
      </c>
      <c r="G3947" s="6">
        <v>19566</v>
      </c>
      <c r="H3947" t="str">
        <f>IFERROR(VLOOKUP(F3947,'LEAID Match'!$A$2:$B$142,2,FALSE),"")</f>
        <v/>
      </c>
    </row>
    <row r="3948" spans="1:8" x14ac:dyDescent="0.2">
      <c r="A3948" t="str">
        <f t="shared" si="61"/>
        <v/>
      </c>
      <c r="B3948" s="1">
        <v>2023</v>
      </c>
      <c r="C3948" s="1" t="s">
        <v>2505</v>
      </c>
      <c r="D3948" s="1" t="s">
        <v>2506</v>
      </c>
      <c r="E3948" s="1" t="s">
        <v>2019</v>
      </c>
      <c r="F3948" s="1" t="s">
        <v>1020</v>
      </c>
      <c r="G3948" s="6">
        <v>15238</v>
      </c>
      <c r="H3948" t="str">
        <f>IFERROR(VLOOKUP(F3948,'LEAID Match'!$A$2:$B$142,2,FALSE),"")</f>
        <v/>
      </c>
    </row>
    <row r="3949" spans="1:8" x14ac:dyDescent="0.2">
      <c r="A3949" t="str">
        <f t="shared" si="61"/>
        <v/>
      </c>
      <c r="B3949" s="1">
        <v>2024</v>
      </c>
      <c r="C3949" s="1" t="s">
        <v>2505</v>
      </c>
      <c r="D3949" s="1" t="s">
        <v>2506</v>
      </c>
      <c r="E3949" s="1" t="s">
        <v>2019</v>
      </c>
      <c r="F3949" s="1" t="s">
        <v>1020</v>
      </c>
      <c r="G3949" s="6">
        <v>15847</v>
      </c>
      <c r="H3949" t="str">
        <f>IFERROR(VLOOKUP(F3949,'LEAID Match'!$A$2:$B$142,2,FALSE),"")</f>
        <v/>
      </c>
    </row>
    <row r="3950" spans="1:8" x14ac:dyDescent="0.2">
      <c r="A3950" t="str">
        <f t="shared" si="61"/>
        <v/>
      </c>
      <c r="B3950" s="1">
        <v>2015</v>
      </c>
      <c r="C3950" s="1" t="s">
        <v>2505</v>
      </c>
      <c r="D3950" s="1" t="s">
        <v>2506</v>
      </c>
      <c r="E3950" s="1" t="s">
        <v>2019</v>
      </c>
      <c r="F3950" s="1" t="s">
        <v>392</v>
      </c>
      <c r="G3950" s="6">
        <v>234077</v>
      </c>
      <c r="H3950" t="str">
        <f>IFERROR(VLOOKUP(F3950,'LEAID Match'!$A$2:$B$142,2,FALSE),"")</f>
        <v/>
      </c>
    </row>
    <row r="3951" spans="1:8" x14ac:dyDescent="0.2">
      <c r="A3951" t="str">
        <f t="shared" si="61"/>
        <v/>
      </c>
      <c r="B3951">
        <v>2016</v>
      </c>
      <c r="C3951" s="1" t="s">
        <v>2505</v>
      </c>
      <c r="D3951" s="1" t="s">
        <v>2506</v>
      </c>
      <c r="E3951" s="1" t="s">
        <v>2019</v>
      </c>
      <c r="F3951" s="1" t="s">
        <v>392</v>
      </c>
      <c r="G3951" s="12">
        <v>245336</v>
      </c>
      <c r="H3951" t="str">
        <f>IFERROR(VLOOKUP(F3951,'LEAID Match'!$A$2:$B$142,2,FALSE),"")</f>
        <v/>
      </c>
    </row>
    <row r="3952" spans="1:8" x14ac:dyDescent="0.2">
      <c r="A3952" t="str">
        <f t="shared" si="61"/>
        <v/>
      </c>
      <c r="B3952" s="1">
        <v>2017</v>
      </c>
      <c r="C3952" s="1" t="s">
        <v>2505</v>
      </c>
      <c r="D3952" s="1" t="s">
        <v>2506</v>
      </c>
      <c r="E3952" s="1" t="s">
        <v>2019</v>
      </c>
      <c r="F3952" s="1" t="s">
        <v>392</v>
      </c>
      <c r="G3952" s="47">
        <v>259137</v>
      </c>
      <c r="H3952" t="str">
        <f>IFERROR(VLOOKUP(F3952,'LEAID Match'!$A$2:$B$142,2,FALSE),"")</f>
        <v/>
      </c>
    </row>
    <row r="3953" spans="1:8" x14ac:dyDescent="0.2">
      <c r="A3953" t="str">
        <f t="shared" si="61"/>
        <v/>
      </c>
      <c r="B3953" s="1">
        <v>2018</v>
      </c>
      <c r="C3953" s="1" t="s">
        <v>2505</v>
      </c>
      <c r="D3953" s="1" t="s">
        <v>2506</v>
      </c>
      <c r="E3953" s="1" t="s">
        <v>2019</v>
      </c>
      <c r="F3953" s="1" t="s">
        <v>392</v>
      </c>
      <c r="G3953" s="6">
        <v>235963</v>
      </c>
      <c r="H3953" t="str">
        <f>IFERROR(VLOOKUP(F3953,'LEAID Match'!$A$2:$B$142,2,FALSE),"")</f>
        <v/>
      </c>
    </row>
    <row r="3954" spans="1:8" x14ac:dyDescent="0.2">
      <c r="A3954" t="str">
        <f t="shared" si="61"/>
        <v/>
      </c>
      <c r="B3954" s="1">
        <v>2019</v>
      </c>
      <c r="C3954" s="1" t="s">
        <v>2505</v>
      </c>
      <c r="D3954" s="1" t="s">
        <v>2506</v>
      </c>
      <c r="E3954" s="1" t="s">
        <v>2019</v>
      </c>
      <c r="F3954" s="1" t="s">
        <v>392</v>
      </c>
      <c r="G3954" s="6">
        <v>235427</v>
      </c>
      <c r="H3954" t="str">
        <f>IFERROR(VLOOKUP(F3954,'LEAID Match'!$A$2:$B$142,2,FALSE),"")</f>
        <v/>
      </c>
    </row>
    <row r="3955" spans="1:8" x14ac:dyDescent="0.2">
      <c r="A3955" t="str">
        <f t="shared" si="61"/>
        <v/>
      </c>
      <c r="B3955" s="1">
        <v>2020</v>
      </c>
      <c r="C3955" s="1" t="s">
        <v>2505</v>
      </c>
      <c r="D3955" s="1" t="s">
        <v>2506</v>
      </c>
      <c r="E3955" s="1" t="s">
        <v>2019</v>
      </c>
      <c r="F3955" s="1" t="s">
        <v>392</v>
      </c>
      <c r="G3955" s="6">
        <v>268583</v>
      </c>
      <c r="H3955" t="str">
        <f>IFERROR(VLOOKUP(F3955,'LEAID Match'!$A$2:$B$142,2,FALSE),"")</f>
        <v/>
      </c>
    </row>
    <row r="3956" spans="1:8" x14ac:dyDescent="0.2">
      <c r="A3956" t="str">
        <f t="shared" si="61"/>
        <v/>
      </c>
      <c r="B3956" s="1">
        <v>2021</v>
      </c>
      <c r="C3956" s="1" t="s">
        <v>2505</v>
      </c>
      <c r="D3956" s="1" t="s">
        <v>2506</v>
      </c>
      <c r="E3956" s="1" t="s">
        <v>2019</v>
      </c>
      <c r="F3956" s="1" t="s">
        <v>392</v>
      </c>
      <c r="G3956" s="6">
        <v>281488</v>
      </c>
      <c r="H3956" t="str">
        <f>IFERROR(VLOOKUP(F3956,'LEAID Match'!$A$2:$B$142,2,FALSE),"")</f>
        <v/>
      </c>
    </row>
    <row r="3957" spans="1:8" x14ac:dyDescent="0.2">
      <c r="A3957" t="str">
        <f t="shared" si="61"/>
        <v/>
      </c>
      <c r="B3957" s="1">
        <v>2022</v>
      </c>
      <c r="C3957" s="1" t="s">
        <v>2505</v>
      </c>
      <c r="D3957" s="1" t="s">
        <v>2506</v>
      </c>
      <c r="E3957" s="1" t="s">
        <v>2019</v>
      </c>
      <c r="F3957" s="1" t="s">
        <v>392</v>
      </c>
      <c r="G3957" s="6">
        <v>319109</v>
      </c>
      <c r="H3957" t="str">
        <f>IFERROR(VLOOKUP(F3957,'LEAID Match'!$A$2:$B$142,2,FALSE),"")</f>
        <v/>
      </c>
    </row>
    <row r="3958" spans="1:8" x14ac:dyDescent="0.2">
      <c r="A3958" t="str">
        <f t="shared" si="61"/>
        <v/>
      </c>
      <c r="B3958" s="1">
        <v>2023</v>
      </c>
      <c r="C3958" s="1" t="s">
        <v>2505</v>
      </c>
      <c r="D3958" s="1" t="s">
        <v>2506</v>
      </c>
      <c r="E3958" s="1" t="s">
        <v>2019</v>
      </c>
      <c r="F3958" s="1" t="s">
        <v>392</v>
      </c>
      <c r="G3958" s="6">
        <v>308350</v>
      </c>
      <c r="H3958" t="str">
        <f>IFERROR(VLOOKUP(F3958,'LEAID Match'!$A$2:$B$142,2,FALSE),"")</f>
        <v/>
      </c>
    </row>
    <row r="3959" spans="1:8" x14ac:dyDescent="0.2">
      <c r="A3959" t="str">
        <f t="shared" si="61"/>
        <v/>
      </c>
      <c r="B3959" s="1">
        <v>2024</v>
      </c>
      <c r="C3959" s="1" t="s">
        <v>2505</v>
      </c>
      <c r="D3959" s="1" t="s">
        <v>2506</v>
      </c>
      <c r="E3959" s="1" t="s">
        <v>2019</v>
      </c>
      <c r="F3959" s="1" t="s">
        <v>392</v>
      </c>
      <c r="G3959" s="6">
        <v>315899</v>
      </c>
      <c r="H3959" t="str">
        <f>IFERROR(VLOOKUP(F3959,'LEAID Match'!$A$2:$B$142,2,FALSE),"")</f>
        <v/>
      </c>
    </row>
    <row r="3960" spans="1:8" x14ac:dyDescent="0.2">
      <c r="A3960">
        <f t="shared" si="61"/>
        <v>2802610</v>
      </c>
      <c r="B3960" s="1">
        <v>2015</v>
      </c>
      <c r="C3960" s="1" t="s">
        <v>2505</v>
      </c>
      <c r="D3960" s="1" t="s">
        <v>2506</v>
      </c>
      <c r="E3960" s="1" t="s">
        <v>2019</v>
      </c>
      <c r="F3960" s="1" t="s">
        <v>393</v>
      </c>
      <c r="G3960" s="6">
        <v>827661</v>
      </c>
      <c r="H3960">
        <f>IFERROR(VLOOKUP(F3960,'LEAID Match'!$A$2:$B$142,2,FALSE),"")</f>
        <v>2802610</v>
      </c>
    </row>
    <row r="3961" spans="1:8" x14ac:dyDescent="0.2">
      <c r="A3961">
        <f t="shared" si="61"/>
        <v>2802610</v>
      </c>
      <c r="B3961">
        <v>2016</v>
      </c>
      <c r="C3961" s="1" t="s">
        <v>2505</v>
      </c>
      <c r="D3961" s="1" t="s">
        <v>2506</v>
      </c>
      <c r="E3961" s="1" t="s">
        <v>2019</v>
      </c>
      <c r="F3961" s="1" t="s">
        <v>393</v>
      </c>
      <c r="G3961" s="12">
        <v>798481</v>
      </c>
      <c r="H3961">
        <f>IFERROR(VLOOKUP(F3961,'LEAID Match'!$A$2:$B$142,2,FALSE),"")</f>
        <v>2802610</v>
      </c>
    </row>
    <row r="3962" spans="1:8" x14ac:dyDescent="0.2">
      <c r="A3962">
        <f t="shared" si="61"/>
        <v>2802610</v>
      </c>
      <c r="B3962" s="1">
        <v>2017</v>
      </c>
      <c r="C3962" s="1" t="s">
        <v>2505</v>
      </c>
      <c r="D3962" s="1" t="s">
        <v>2506</v>
      </c>
      <c r="E3962" s="1" t="s">
        <v>2019</v>
      </c>
      <c r="F3962" s="1" t="s">
        <v>393</v>
      </c>
      <c r="G3962" s="47">
        <v>758549</v>
      </c>
      <c r="H3962">
        <f>IFERROR(VLOOKUP(F3962,'LEAID Match'!$A$2:$B$142,2,FALSE),"")</f>
        <v>2802610</v>
      </c>
    </row>
    <row r="3963" spans="1:8" x14ac:dyDescent="0.2">
      <c r="A3963">
        <f t="shared" si="61"/>
        <v>2802610</v>
      </c>
      <c r="B3963" s="1">
        <v>2018</v>
      </c>
      <c r="C3963" s="1" t="s">
        <v>2505</v>
      </c>
      <c r="D3963" s="1" t="s">
        <v>2506</v>
      </c>
      <c r="E3963" s="1" t="s">
        <v>2019</v>
      </c>
      <c r="F3963" s="1" t="s">
        <v>393</v>
      </c>
      <c r="G3963" s="6">
        <v>823262</v>
      </c>
      <c r="H3963">
        <f>IFERROR(VLOOKUP(F3963,'LEAID Match'!$A$2:$B$142,2,FALSE),"")</f>
        <v>2802610</v>
      </c>
    </row>
    <row r="3964" spans="1:8" x14ac:dyDescent="0.2">
      <c r="A3964">
        <f t="shared" si="61"/>
        <v>2802610</v>
      </c>
      <c r="B3964" s="1">
        <v>2019</v>
      </c>
      <c r="C3964" s="1" t="s">
        <v>2505</v>
      </c>
      <c r="D3964" s="1" t="s">
        <v>2506</v>
      </c>
      <c r="E3964" s="1" t="s">
        <v>2019</v>
      </c>
      <c r="F3964" s="1" t="s">
        <v>393</v>
      </c>
      <c r="G3964" s="6">
        <v>796414</v>
      </c>
      <c r="H3964">
        <f>IFERROR(VLOOKUP(F3964,'LEAID Match'!$A$2:$B$142,2,FALSE),"")</f>
        <v>2802610</v>
      </c>
    </row>
    <row r="3965" spans="1:8" x14ac:dyDescent="0.2">
      <c r="A3965">
        <f t="shared" si="61"/>
        <v>2802610</v>
      </c>
      <c r="B3965" s="1">
        <v>2020</v>
      </c>
      <c r="C3965" s="1" t="s">
        <v>2505</v>
      </c>
      <c r="D3965" s="1" t="s">
        <v>2506</v>
      </c>
      <c r="E3965" s="1" t="s">
        <v>2019</v>
      </c>
      <c r="F3965" s="1" t="s">
        <v>393</v>
      </c>
      <c r="G3965" s="6">
        <v>895969</v>
      </c>
      <c r="H3965">
        <f>IFERROR(VLOOKUP(F3965,'LEAID Match'!$A$2:$B$142,2,FALSE),"")</f>
        <v>2802610</v>
      </c>
    </row>
    <row r="3966" spans="1:8" x14ac:dyDescent="0.2">
      <c r="A3966">
        <f t="shared" si="61"/>
        <v>2802610</v>
      </c>
      <c r="B3966" s="1">
        <v>2021</v>
      </c>
      <c r="C3966" s="1" t="s">
        <v>2505</v>
      </c>
      <c r="D3966" s="1" t="s">
        <v>2506</v>
      </c>
      <c r="E3966" s="1" t="s">
        <v>2019</v>
      </c>
      <c r="F3966" s="1" t="s">
        <v>393</v>
      </c>
      <c r="G3966" s="6">
        <v>832094</v>
      </c>
      <c r="H3966">
        <f>IFERROR(VLOOKUP(F3966,'LEAID Match'!$A$2:$B$142,2,FALSE),"")</f>
        <v>2802610</v>
      </c>
    </row>
    <row r="3967" spans="1:8" x14ac:dyDescent="0.2">
      <c r="A3967">
        <f t="shared" si="61"/>
        <v>2802610</v>
      </c>
      <c r="B3967" s="1">
        <v>2022</v>
      </c>
      <c r="C3967" s="1" t="s">
        <v>2505</v>
      </c>
      <c r="D3967" s="1" t="s">
        <v>2506</v>
      </c>
      <c r="E3967" s="1" t="s">
        <v>2019</v>
      </c>
      <c r="F3967" s="1" t="s">
        <v>393</v>
      </c>
      <c r="G3967" s="6">
        <v>1086150</v>
      </c>
      <c r="H3967">
        <f>IFERROR(VLOOKUP(F3967,'LEAID Match'!$A$2:$B$142,2,FALSE),"")</f>
        <v>2802610</v>
      </c>
    </row>
    <row r="3968" spans="1:8" x14ac:dyDescent="0.2">
      <c r="A3968">
        <f t="shared" si="61"/>
        <v>2802610</v>
      </c>
      <c r="B3968" s="1">
        <v>2023</v>
      </c>
      <c r="C3968" s="1" t="s">
        <v>2505</v>
      </c>
      <c r="D3968" s="1" t="s">
        <v>2506</v>
      </c>
      <c r="E3968" s="1" t="s">
        <v>2019</v>
      </c>
      <c r="F3968" s="1" t="s">
        <v>393</v>
      </c>
      <c r="G3968" s="6">
        <v>1105265</v>
      </c>
      <c r="H3968">
        <f>IFERROR(VLOOKUP(F3968,'LEAID Match'!$A$2:$B$142,2,FALSE),"")</f>
        <v>2802610</v>
      </c>
    </row>
    <row r="3969" spans="1:8" x14ac:dyDescent="0.2">
      <c r="A3969">
        <f t="shared" si="61"/>
        <v>2802610</v>
      </c>
      <c r="B3969" s="1">
        <v>2024</v>
      </c>
      <c r="C3969" s="1" t="s">
        <v>2505</v>
      </c>
      <c r="D3969" s="1" t="s">
        <v>2506</v>
      </c>
      <c r="E3969" s="1" t="s">
        <v>2019</v>
      </c>
      <c r="F3969" s="1" t="s">
        <v>393</v>
      </c>
      <c r="G3969" s="6">
        <v>1107657</v>
      </c>
      <c r="H3969">
        <f>IFERROR(VLOOKUP(F3969,'LEAID Match'!$A$2:$B$142,2,FALSE),"")</f>
        <v>2802610</v>
      </c>
    </row>
    <row r="3970" spans="1:8" x14ac:dyDescent="0.2">
      <c r="A3970" t="str">
        <f t="shared" si="61"/>
        <v/>
      </c>
      <c r="B3970" s="1">
        <v>2015</v>
      </c>
      <c r="C3970" s="1" t="s">
        <v>2505</v>
      </c>
      <c r="D3970" s="1" t="s">
        <v>2506</v>
      </c>
      <c r="E3970" s="1" t="s">
        <v>2019</v>
      </c>
      <c r="F3970" s="1" t="s">
        <v>394</v>
      </c>
      <c r="G3970" s="6">
        <v>2954</v>
      </c>
      <c r="H3970" t="str">
        <f>IFERROR(VLOOKUP(F3970,'LEAID Match'!$A$2:$B$142,2,FALSE),"")</f>
        <v/>
      </c>
    </row>
    <row r="3971" spans="1:8" x14ac:dyDescent="0.2">
      <c r="A3971" t="str">
        <f t="shared" ref="A3971:A4034" si="62">H3971</f>
        <v/>
      </c>
      <c r="B3971">
        <v>2016</v>
      </c>
      <c r="C3971" s="1" t="s">
        <v>2505</v>
      </c>
      <c r="D3971" s="1" t="s">
        <v>2506</v>
      </c>
      <c r="E3971" s="1" t="s">
        <v>2019</v>
      </c>
      <c r="F3971" s="1" t="s">
        <v>394</v>
      </c>
      <c r="G3971" s="12">
        <v>1712</v>
      </c>
      <c r="H3971" t="str">
        <f>IFERROR(VLOOKUP(F3971,'LEAID Match'!$A$2:$B$142,2,FALSE),"")</f>
        <v/>
      </c>
    </row>
    <row r="3972" spans="1:8" x14ac:dyDescent="0.2">
      <c r="A3972" t="str">
        <f t="shared" si="62"/>
        <v/>
      </c>
      <c r="B3972" s="1">
        <v>2017</v>
      </c>
      <c r="C3972" s="1" t="s">
        <v>2505</v>
      </c>
      <c r="D3972" s="1" t="s">
        <v>2506</v>
      </c>
      <c r="E3972" s="1" t="s">
        <v>2019</v>
      </c>
      <c r="F3972" s="1" t="s">
        <v>394</v>
      </c>
      <c r="G3972" s="47">
        <v>1252</v>
      </c>
      <c r="H3972" t="str">
        <f>IFERROR(VLOOKUP(F3972,'LEAID Match'!$A$2:$B$142,2,FALSE),"")</f>
        <v/>
      </c>
    </row>
    <row r="3973" spans="1:8" x14ac:dyDescent="0.2">
      <c r="A3973" t="str">
        <f t="shared" si="62"/>
        <v/>
      </c>
      <c r="B3973" s="1">
        <v>2018</v>
      </c>
      <c r="C3973" s="1" t="s">
        <v>2505</v>
      </c>
      <c r="D3973" s="1" t="s">
        <v>2506</v>
      </c>
      <c r="E3973" s="1" t="s">
        <v>2019</v>
      </c>
      <c r="F3973" s="1" t="s">
        <v>394</v>
      </c>
      <c r="G3973" s="6">
        <v>1181</v>
      </c>
      <c r="H3973" t="str">
        <f>IFERROR(VLOOKUP(F3973,'LEAID Match'!$A$2:$B$142,2,FALSE),"")</f>
        <v/>
      </c>
    </row>
    <row r="3974" spans="1:8" x14ac:dyDescent="0.2">
      <c r="A3974" t="str">
        <f t="shared" si="62"/>
        <v/>
      </c>
      <c r="B3974" s="1">
        <v>2019</v>
      </c>
      <c r="C3974" s="1" t="s">
        <v>2505</v>
      </c>
      <c r="D3974" s="1" t="s">
        <v>2506</v>
      </c>
      <c r="E3974" s="1" t="s">
        <v>2019</v>
      </c>
      <c r="F3974" s="1" t="s">
        <v>394</v>
      </c>
      <c r="G3974" s="6">
        <v>1158</v>
      </c>
      <c r="H3974" t="str">
        <f>IFERROR(VLOOKUP(F3974,'LEAID Match'!$A$2:$B$142,2,FALSE),"")</f>
        <v/>
      </c>
    </row>
    <row r="3975" spans="1:8" x14ac:dyDescent="0.2">
      <c r="A3975" t="str">
        <f t="shared" si="62"/>
        <v/>
      </c>
      <c r="B3975" s="1">
        <v>2020</v>
      </c>
      <c r="C3975" s="1" t="s">
        <v>2505</v>
      </c>
      <c r="D3975" s="1" t="s">
        <v>2506</v>
      </c>
      <c r="E3975" s="1" t="s">
        <v>2019</v>
      </c>
      <c r="F3975" s="1" t="s">
        <v>394</v>
      </c>
      <c r="G3975" s="6">
        <v>2143</v>
      </c>
      <c r="H3975" t="str">
        <f>IFERROR(VLOOKUP(F3975,'LEAID Match'!$A$2:$B$142,2,FALSE),"")</f>
        <v/>
      </c>
    </row>
    <row r="3976" spans="1:8" x14ac:dyDescent="0.2">
      <c r="A3976" t="str">
        <f t="shared" si="62"/>
        <v/>
      </c>
      <c r="B3976" s="1">
        <v>2021</v>
      </c>
      <c r="C3976" s="1" t="s">
        <v>2505</v>
      </c>
      <c r="D3976" s="1" t="s">
        <v>2506</v>
      </c>
      <c r="E3976" s="1" t="s">
        <v>2019</v>
      </c>
      <c r="F3976" s="1" t="s">
        <v>394</v>
      </c>
      <c r="G3976" s="6">
        <v>2405</v>
      </c>
      <c r="H3976" t="str">
        <f>IFERROR(VLOOKUP(F3976,'LEAID Match'!$A$2:$B$142,2,FALSE),"")</f>
        <v/>
      </c>
    </row>
    <row r="3977" spans="1:8" x14ac:dyDescent="0.2">
      <c r="A3977" t="str">
        <f t="shared" si="62"/>
        <v/>
      </c>
      <c r="B3977" s="1">
        <v>2022</v>
      </c>
      <c r="C3977" s="1" t="s">
        <v>2505</v>
      </c>
      <c r="D3977" s="1" t="s">
        <v>2506</v>
      </c>
      <c r="E3977" s="1" t="s">
        <v>2019</v>
      </c>
      <c r="F3977" s="1" t="s">
        <v>394</v>
      </c>
      <c r="G3977" s="6">
        <v>1556</v>
      </c>
      <c r="H3977" t="str">
        <f>IFERROR(VLOOKUP(F3977,'LEAID Match'!$A$2:$B$142,2,FALSE),"")</f>
        <v/>
      </c>
    </row>
    <row r="3978" spans="1:8" x14ac:dyDescent="0.2">
      <c r="A3978" t="str">
        <f t="shared" si="62"/>
        <v/>
      </c>
      <c r="B3978" s="1">
        <v>2023</v>
      </c>
      <c r="C3978" s="1" t="s">
        <v>2505</v>
      </c>
      <c r="D3978" s="1" t="s">
        <v>2506</v>
      </c>
      <c r="E3978" s="1" t="s">
        <v>2019</v>
      </c>
      <c r="F3978" s="1" t="s">
        <v>394</v>
      </c>
      <c r="G3978" s="6">
        <v>480</v>
      </c>
      <c r="H3978" t="str">
        <f>IFERROR(VLOOKUP(F3978,'LEAID Match'!$A$2:$B$142,2,FALSE),"")</f>
        <v/>
      </c>
    </row>
    <row r="3979" spans="1:8" x14ac:dyDescent="0.2">
      <c r="A3979" t="str">
        <f t="shared" si="62"/>
        <v/>
      </c>
      <c r="B3979" s="1">
        <v>2024</v>
      </c>
      <c r="C3979" s="1" t="s">
        <v>2505</v>
      </c>
      <c r="D3979" s="1" t="s">
        <v>2506</v>
      </c>
      <c r="E3979" s="1" t="s">
        <v>2019</v>
      </c>
      <c r="F3979" s="1" t="s">
        <v>394</v>
      </c>
      <c r="G3979" s="6">
        <v>479</v>
      </c>
      <c r="H3979" t="str">
        <f>IFERROR(VLOOKUP(F3979,'LEAID Match'!$A$2:$B$142,2,FALSE),"")</f>
        <v/>
      </c>
    </row>
    <row r="3980" spans="1:8" x14ac:dyDescent="0.2">
      <c r="A3980" t="str">
        <f t="shared" si="62"/>
        <v/>
      </c>
      <c r="B3980">
        <v>2016</v>
      </c>
      <c r="C3980" s="1" t="s">
        <v>2505</v>
      </c>
      <c r="D3980" s="1" t="s">
        <v>2506</v>
      </c>
      <c r="E3980" s="1" t="s">
        <v>2019</v>
      </c>
      <c r="F3980" s="1" t="s">
        <v>395</v>
      </c>
      <c r="G3980" s="12">
        <v>195167</v>
      </c>
      <c r="H3980" t="str">
        <f>IFERROR(VLOOKUP(F3980,'LEAID Match'!$A$2:$B$142,2,FALSE),"")</f>
        <v/>
      </c>
    </row>
    <row r="3981" spans="1:8" x14ac:dyDescent="0.2">
      <c r="A3981" t="str">
        <f t="shared" si="62"/>
        <v/>
      </c>
      <c r="B3981" s="1">
        <v>2017</v>
      </c>
      <c r="C3981" s="1" t="s">
        <v>2505</v>
      </c>
      <c r="D3981" s="1" t="s">
        <v>2506</v>
      </c>
      <c r="E3981" s="1" t="s">
        <v>2019</v>
      </c>
      <c r="F3981" s="1" t="s">
        <v>395</v>
      </c>
      <c r="G3981" s="47">
        <v>202888</v>
      </c>
      <c r="H3981" t="str">
        <f>IFERROR(VLOOKUP(F3981,'LEAID Match'!$A$2:$B$142,2,FALSE),"")</f>
        <v/>
      </c>
    </row>
    <row r="3982" spans="1:8" x14ac:dyDescent="0.2">
      <c r="A3982" t="str">
        <f t="shared" si="62"/>
        <v/>
      </c>
      <c r="B3982" s="1">
        <v>2018</v>
      </c>
      <c r="C3982" s="1" t="s">
        <v>2505</v>
      </c>
      <c r="D3982" s="1" t="s">
        <v>2506</v>
      </c>
      <c r="E3982" s="1" t="s">
        <v>2019</v>
      </c>
      <c r="F3982" s="1" t="s">
        <v>395</v>
      </c>
      <c r="G3982" s="6">
        <v>204986</v>
      </c>
      <c r="H3982" t="str">
        <f>IFERROR(VLOOKUP(F3982,'LEAID Match'!$A$2:$B$142,2,FALSE),"")</f>
        <v/>
      </c>
    </row>
    <row r="3983" spans="1:8" x14ac:dyDescent="0.2">
      <c r="A3983" t="str">
        <f t="shared" si="62"/>
        <v/>
      </c>
      <c r="B3983" s="1">
        <v>2019</v>
      </c>
      <c r="C3983" s="1" t="s">
        <v>2505</v>
      </c>
      <c r="D3983" s="1" t="s">
        <v>2506</v>
      </c>
      <c r="E3983" s="1" t="s">
        <v>2019</v>
      </c>
      <c r="F3983" s="1" t="s">
        <v>395</v>
      </c>
      <c r="G3983" s="6">
        <v>199534</v>
      </c>
      <c r="H3983" t="str">
        <f>IFERROR(VLOOKUP(F3983,'LEAID Match'!$A$2:$B$142,2,FALSE),"")</f>
        <v/>
      </c>
    </row>
    <row r="3984" spans="1:8" x14ac:dyDescent="0.2">
      <c r="A3984" t="str">
        <f t="shared" si="62"/>
        <v/>
      </c>
      <c r="B3984" s="1">
        <v>2020</v>
      </c>
      <c r="C3984" s="1" t="s">
        <v>2505</v>
      </c>
      <c r="D3984" s="1" t="s">
        <v>2506</v>
      </c>
      <c r="E3984" s="1" t="s">
        <v>2019</v>
      </c>
      <c r="F3984" s="1" t="s">
        <v>395</v>
      </c>
      <c r="G3984" s="6">
        <v>221772</v>
      </c>
      <c r="H3984" t="str">
        <f>IFERROR(VLOOKUP(F3984,'LEAID Match'!$A$2:$B$142,2,FALSE),"")</f>
        <v/>
      </c>
    </row>
    <row r="3985" spans="1:8" x14ac:dyDescent="0.2">
      <c r="A3985" t="str">
        <f t="shared" si="62"/>
        <v/>
      </c>
      <c r="B3985" s="1">
        <v>2021</v>
      </c>
      <c r="C3985" s="1" t="s">
        <v>2505</v>
      </c>
      <c r="D3985" s="1" t="s">
        <v>2506</v>
      </c>
      <c r="E3985" s="1" t="s">
        <v>2019</v>
      </c>
      <c r="F3985" s="1" t="s">
        <v>395</v>
      </c>
      <c r="G3985" s="6">
        <v>204553</v>
      </c>
      <c r="H3985" t="str">
        <f>IFERROR(VLOOKUP(F3985,'LEAID Match'!$A$2:$B$142,2,FALSE),"")</f>
        <v/>
      </c>
    </row>
    <row r="3986" spans="1:8" x14ac:dyDescent="0.2">
      <c r="A3986" t="str">
        <f t="shared" si="62"/>
        <v/>
      </c>
      <c r="B3986" s="1">
        <v>2022</v>
      </c>
      <c r="C3986" s="1" t="s">
        <v>2505</v>
      </c>
      <c r="D3986" s="1" t="s">
        <v>2506</v>
      </c>
      <c r="E3986" s="1" t="s">
        <v>2019</v>
      </c>
      <c r="F3986" s="1" t="s">
        <v>395</v>
      </c>
      <c r="G3986" s="6">
        <v>214078</v>
      </c>
      <c r="H3986" t="str">
        <f>IFERROR(VLOOKUP(F3986,'LEAID Match'!$A$2:$B$142,2,FALSE),"")</f>
        <v/>
      </c>
    </row>
    <row r="3987" spans="1:8" x14ac:dyDescent="0.2">
      <c r="A3987" t="str">
        <f t="shared" si="62"/>
        <v/>
      </c>
      <c r="B3987" s="1">
        <v>2023</v>
      </c>
      <c r="C3987" s="1" t="s">
        <v>2505</v>
      </c>
      <c r="D3987" s="1" t="s">
        <v>2506</v>
      </c>
      <c r="E3987" s="1" t="s">
        <v>2019</v>
      </c>
      <c r="F3987" s="1" t="s">
        <v>395</v>
      </c>
      <c r="G3987" s="6">
        <v>232078</v>
      </c>
      <c r="H3987" t="str">
        <f>IFERROR(VLOOKUP(F3987,'LEAID Match'!$A$2:$B$142,2,FALSE),"")</f>
        <v/>
      </c>
    </row>
    <row r="3988" spans="1:8" x14ac:dyDescent="0.2">
      <c r="A3988" t="str">
        <f t="shared" si="62"/>
        <v/>
      </c>
      <c r="B3988" s="1">
        <v>2024</v>
      </c>
      <c r="C3988" s="1" t="s">
        <v>2505</v>
      </c>
      <c r="D3988" s="1" t="s">
        <v>2506</v>
      </c>
      <c r="E3988" s="1" t="s">
        <v>2019</v>
      </c>
      <c r="F3988" s="1" t="s">
        <v>395</v>
      </c>
      <c r="G3988" s="6">
        <v>232471</v>
      </c>
      <c r="H3988" t="str">
        <f>IFERROR(VLOOKUP(F3988,'LEAID Match'!$A$2:$B$142,2,FALSE),"")</f>
        <v/>
      </c>
    </row>
    <row r="3989" spans="1:8" x14ac:dyDescent="0.2">
      <c r="A3989" t="str">
        <f t="shared" si="62"/>
        <v/>
      </c>
      <c r="B3989" s="1">
        <v>2015</v>
      </c>
      <c r="C3989" s="1" t="s">
        <v>2505</v>
      </c>
      <c r="D3989" s="1" t="s">
        <v>2506</v>
      </c>
      <c r="E3989" s="1" t="s">
        <v>2019</v>
      </c>
      <c r="F3989" s="1" t="s">
        <v>396</v>
      </c>
      <c r="G3989" s="6">
        <v>116808</v>
      </c>
      <c r="H3989" t="str">
        <f>IFERROR(VLOOKUP(F3989,'LEAID Match'!$A$2:$B$142,2,FALSE),"")</f>
        <v/>
      </c>
    </row>
    <row r="3990" spans="1:8" x14ac:dyDescent="0.2">
      <c r="A3990" t="str">
        <f t="shared" si="62"/>
        <v/>
      </c>
      <c r="B3990">
        <v>2016</v>
      </c>
      <c r="C3990" s="1" t="s">
        <v>2505</v>
      </c>
      <c r="D3990" s="1" t="s">
        <v>2506</v>
      </c>
      <c r="E3990" s="1" t="s">
        <v>2019</v>
      </c>
      <c r="F3990" s="1" t="s">
        <v>396</v>
      </c>
      <c r="G3990" s="12">
        <v>112269</v>
      </c>
      <c r="H3990" t="str">
        <f>IFERROR(VLOOKUP(F3990,'LEAID Match'!$A$2:$B$142,2,FALSE),"")</f>
        <v/>
      </c>
    </row>
    <row r="3991" spans="1:8" x14ac:dyDescent="0.2">
      <c r="A3991" t="str">
        <f t="shared" si="62"/>
        <v/>
      </c>
      <c r="B3991" s="1">
        <v>2017</v>
      </c>
      <c r="C3991" s="1" t="s">
        <v>2505</v>
      </c>
      <c r="D3991" s="1" t="s">
        <v>2506</v>
      </c>
      <c r="E3991" s="1" t="s">
        <v>2019</v>
      </c>
      <c r="F3991" s="1" t="s">
        <v>396</v>
      </c>
      <c r="G3991" s="47">
        <v>118765</v>
      </c>
      <c r="H3991" t="str">
        <f>IFERROR(VLOOKUP(F3991,'LEAID Match'!$A$2:$B$142,2,FALSE),"")</f>
        <v/>
      </c>
    </row>
    <row r="3992" spans="1:8" x14ac:dyDescent="0.2">
      <c r="A3992" t="str">
        <f t="shared" si="62"/>
        <v/>
      </c>
      <c r="B3992" s="1">
        <v>2018</v>
      </c>
      <c r="C3992" s="1" t="s">
        <v>2505</v>
      </c>
      <c r="D3992" s="1" t="s">
        <v>2506</v>
      </c>
      <c r="E3992" s="1" t="s">
        <v>2019</v>
      </c>
      <c r="F3992" s="1" t="s">
        <v>396</v>
      </c>
      <c r="G3992" s="6">
        <v>117394</v>
      </c>
      <c r="H3992" t="str">
        <f>IFERROR(VLOOKUP(F3992,'LEAID Match'!$A$2:$B$142,2,FALSE),"")</f>
        <v/>
      </c>
    </row>
    <row r="3993" spans="1:8" x14ac:dyDescent="0.2">
      <c r="A3993" t="str">
        <f t="shared" si="62"/>
        <v/>
      </c>
      <c r="B3993" s="1">
        <v>2019</v>
      </c>
      <c r="C3993" s="1" t="s">
        <v>2505</v>
      </c>
      <c r="D3993" s="1" t="s">
        <v>2506</v>
      </c>
      <c r="E3993" s="1" t="s">
        <v>2019</v>
      </c>
      <c r="F3993" s="1" t="s">
        <v>396</v>
      </c>
      <c r="G3993" s="6">
        <v>129243</v>
      </c>
      <c r="H3993" t="str">
        <f>IFERROR(VLOOKUP(F3993,'LEAID Match'!$A$2:$B$142,2,FALSE),"")</f>
        <v/>
      </c>
    </row>
    <row r="3994" spans="1:8" x14ac:dyDescent="0.2">
      <c r="A3994" t="str">
        <f t="shared" si="62"/>
        <v/>
      </c>
      <c r="B3994" s="1">
        <v>2020</v>
      </c>
      <c r="C3994" s="1" t="s">
        <v>2505</v>
      </c>
      <c r="D3994" s="1" t="s">
        <v>2506</v>
      </c>
      <c r="E3994" s="1" t="s">
        <v>2019</v>
      </c>
      <c r="F3994" s="1" t="s">
        <v>396</v>
      </c>
      <c r="G3994" s="6">
        <v>151660</v>
      </c>
      <c r="H3994" t="str">
        <f>IFERROR(VLOOKUP(F3994,'LEAID Match'!$A$2:$B$142,2,FALSE),"")</f>
        <v/>
      </c>
    </row>
    <row r="3995" spans="1:8" x14ac:dyDescent="0.2">
      <c r="A3995" t="str">
        <f t="shared" si="62"/>
        <v/>
      </c>
      <c r="B3995" s="1">
        <v>2021</v>
      </c>
      <c r="C3995" s="1" t="s">
        <v>2505</v>
      </c>
      <c r="D3995" s="1" t="s">
        <v>2506</v>
      </c>
      <c r="E3995" s="1" t="s">
        <v>2019</v>
      </c>
      <c r="F3995" s="1" t="s">
        <v>396</v>
      </c>
      <c r="G3995" s="6">
        <v>159839</v>
      </c>
      <c r="H3995" t="str">
        <f>IFERROR(VLOOKUP(F3995,'LEAID Match'!$A$2:$B$142,2,FALSE),"")</f>
        <v/>
      </c>
    </row>
    <row r="3996" spans="1:8" x14ac:dyDescent="0.2">
      <c r="A3996" t="str">
        <f t="shared" si="62"/>
        <v/>
      </c>
      <c r="B3996" s="1">
        <v>2022</v>
      </c>
      <c r="C3996" s="1" t="s">
        <v>2505</v>
      </c>
      <c r="D3996" s="1" t="s">
        <v>2506</v>
      </c>
      <c r="E3996" s="1" t="s">
        <v>2019</v>
      </c>
      <c r="F3996" s="1" t="s">
        <v>396</v>
      </c>
      <c r="G3996" s="6">
        <v>168453</v>
      </c>
      <c r="H3996" t="str">
        <f>IFERROR(VLOOKUP(F3996,'LEAID Match'!$A$2:$B$142,2,FALSE),"")</f>
        <v/>
      </c>
    </row>
    <row r="3997" spans="1:8" x14ac:dyDescent="0.2">
      <c r="A3997" t="str">
        <f t="shared" si="62"/>
        <v/>
      </c>
      <c r="B3997" s="1">
        <v>2023</v>
      </c>
      <c r="C3997" s="1" t="s">
        <v>2505</v>
      </c>
      <c r="D3997" s="1" t="s">
        <v>2506</v>
      </c>
      <c r="E3997" s="1" t="s">
        <v>2019</v>
      </c>
      <c r="F3997" s="1" t="s">
        <v>396</v>
      </c>
      <c r="G3997" s="6">
        <v>168831</v>
      </c>
      <c r="H3997" t="str">
        <f>IFERROR(VLOOKUP(F3997,'LEAID Match'!$A$2:$B$142,2,FALSE),"")</f>
        <v/>
      </c>
    </row>
    <row r="3998" spans="1:8" x14ac:dyDescent="0.2">
      <c r="A3998" t="str">
        <f t="shared" si="62"/>
        <v/>
      </c>
      <c r="B3998" s="1">
        <v>2024</v>
      </c>
      <c r="C3998" s="1" t="s">
        <v>2505</v>
      </c>
      <c r="D3998" s="1" t="s">
        <v>2506</v>
      </c>
      <c r="E3998" s="1" t="s">
        <v>2019</v>
      </c>
      <c r="F3998" s="1" t="s">
        <v>396</v>
      </c>
      <c r="G3998" s="6">
        <v>175250</v>
      </c>
      <c r="H3998" t="str">
        <f>IFERROR(VLOOKUP(F3998,'LEAID Match'!$A$2:$B$142,2,FALSE),"")</f>
        <v/>
      </c>
    </row>
    <row r="3999" spans="1:8" x14ac:dyDescent="0.2">
      <c r="A3999" t="str">
        <f t="shared" si="62"/>
        <v/>
      </c>
      <c r="B3999" s="1">
        <v>2015</v>
      </c>
      <c r="C3999" s="1" t="s">
        <v>2505</v>
      </c>
      <c r="D3999" s="1" t="s">
        <v>2506</v>
      </c>
      <c r="E3999" s="1" t="s">
        <v>2019</v>
      </c>
      <c r="F3999" s="1" t="s">
        <v>2263</v>
      </c>
      <c r="G3999" s="6">
        <v>227404</v>
      </c>
      <c r="H3999" t="str">
        <f>IFERROR(VLOOKUP(F3999,'LEAID Match'!$A$2:$B$142,2,FALSE),"")</f>
        <v/>
      </c>
    </row>
    <row r="4000" spans="1:8" x14ac:dyDescent="0.2">
      <c r="A4000" t="str">
        <f t="shared" si="62"/>
        <v/>
      </c>
      <c r="B4000" s="1">
        <v>2015</v>
      </c>
      <c r="C4000" s="1" t="s">
        <v>2505</v>
      </c>
      <c r="D4000" s="1" t="s">
        <v>2506</v>
      </c>
      <c r="E4000" s="1" t="s">
        <v>2019</v>
      </c>
      <c r="F4000" s="1" t="s">
        <v>397</v>
      </c>
      <c r="G4000" s="6">
        <v>86050</v>
      </c>
      <c r="H4000" t="str">
        <f>IFERROR(VLOOKUP(F4000,'LEAID Match'!$A$2:$B$142,2,FALSE),"")</f>
        <v/>
      </c>
    </row>
    <row r="4001" spans="1:8" x14ac:dyDescent="0.2">
      <c r="A4001" t="str">
        <f t="shared" si="62"/>
        <v/>
      </c>
      <c r="B4001">
        <v>2016</v>
      </c>
      <c r="C4001" s="1" t="s">
        <v>2505</v>
      </c>
      <c r="D4001" s="1" t="s">
        <v>2506</v>
      </c>
      <c r="E4001" s="1" t="s">
        <v>2019</v>
      </c>
      <c r="F4001" s="1" t="s">
        <v>397</v>
      </c>
      <c r="G4001" s="12">
        <v>85208</v>
      </c>
      <c r="H4001" t="str">
        <f>IFERROR(VLOOKUP(F4001,'LEAID Match'!$A$2:$B$142,2,FALSE),"")</f>
        <v/>
      </c>
    </row>
    <row r="4002" spans="1:8" x14ac:dyDescent="0.2">
      <c r="A4002" t="str">
        <f t="shared" si="62"/>
        <v/>
      </c>
      <c r="B4002" s="1">
        <v>2017</v>
      </c>
      <c r="C4002" s="1" t="s">
        <v>2505</v>
      </c>
      <c r="D4002" s="1" t="s">
        <v>2506</v>
      </c>
      <c r="E4002" s="1" t="s">
        <v>2019</v>
      </c>
      <c r="F4002" s="1" t="s">
        <v>397</v>
      </c>
      <c r="G4002" s="47">
        <v>90890</v>
      </c>
      <c r="H4002" t="str">
        <f>IFERROR(VLOOKUP(F4002,'LEAID Match'!$A$2:$B$142,2,FALSE),"")</f>
        <v/>
      </c>
    </row>
    <row r="4003" spans="1:8" x14ac:dyDescent="0.2">
      <c r="A4003" t="str">
        <f t="shared" si="62"/>
        <v/>
      </c>
      <c r="B4003" s="1">
        <v>2018</v>
      </c>
      <c r="C4003" s="1" t="s">
        <v>2505</v>
      </c>
      <c r="D4003" s="1" t="s">
        <v>2506</v>
      </c>
      <c r="E4003" s="1" t="s">
        <v>2019</v>
      </c>
      <c r="F4003" s="1" t="s">
        <v>397</v>
      </c>
      <c r="G4003" s="6">
        <v>92049</v>
      </c>
      <c r="H4003" t="str">
        <f>IFERROR(VLOOKUP(F4003,'LEAID Match'!$A$2:$B$142,2,FALSE),"")</f>
        <v/>
      </c>
    </row>
    <row r="4004" spans="1:8" x14ac:dyDescent="0.2">
      <c r="A4004" t="str">
        <f t="shared" si="62"/>
        <v/>
      </c>
      <c r="B4004" s="1">
        <v>2019</v>
      </c>
      <c r="C4004" s="1" t="s">
        <v>2505</v>
      </c>
      <c r="D4004" s="1" t="s">
        <v>2506</v>
      </c>
      <c r="E4004" s="1" t="s">
        <v>2019</v>
      </c>
      <c r="F4004" s="1" t="s">
        <v>397</v>
      </c>
      <c r="G4004" s="6">
        <v>97657</v>
      </c>
      <c r="H4004" t="str">
        <f>IFERROR(VLOOKUP(F4004,'LEAID Match'!$A$2:$B$142,2,FALSE),"")</f>
        <v/>
      </c>
    </row>
    <row r="4005" spans="1:8" x14ac:dyDescent="0.2">
      <c r="A4005" t="str">
        <f t="shared" si="62"/>
        <v/>
      </c>
      <c r="B4005" s="1">
        <v>2020</v>
      </c>
      <c r="C4005" s="1" t="s">
        <v>2505</v>
      </c>
      <c r="D4005" s="1" t="s">
        <v>2506</v>
      </c>
      <c r="E4005" s="1" t="s">
        <v>2019</v>
      </c>
      <c r="F4005" s="1" t="s">
        <v>397</v>
      </c>
      <c r="G4005" s="6">
        <v>101143</v>
      </c>
      <c r="H4005" t="str">
        <f>IFERROR(VLOOKUP(F4005,'LEAID Match'!$A$2:$B$142,2,FALSE),"")</f>
        <v/>
      </c>
    </row>
    <row r="4006" spans="1:8" x14ac:dyDescent="0.2">
      <c r="A4006" t="str">
        <f t="shared" si="62"/>
        <v/>
      </c>
      <c r="B4006" s="1">
        <v>2021</v>
      </c>
      <c r="C4006" s="1" t="s">
        <v>2505</v>
      </c>
      <c r="D4006" s="1" t="s">
        <v>2506</v>
      </c>
      <c r="E4006" s="1" t="s">
        <v>2019</v>
      </c>
      <c r="F4006" s="1" t="s">
        <v>397</v>
      </c>
      <c r="G4006" s="6">
        <v>86096</v>
      </c>
      <c r="H4006" t="str">
        <f>IFERROR(VLOOKUP(F4006,'LEAID Match'!$A$2:$B$142,2,FALSE),"")</f>
        <v/>
      </c>
    </row>
    <row r="4007" spans="1:8" x14ac:dyDescent="0.2">
      <c r="A4007" t="str">
        <f t="shared" si="62"/>
        <v/>
      </c>
      <c r="B4007" s="1">
        <v>2022</v>
      </c>
      <c r="C4007" s="1" t="s">
        <v>2505</v>
      </c>
      <c r="D4007" s="1" t="s">
        <v>2506</v>
      </c>
      <c r="E4007" s="1" t="s">
        <v>2019</v>
      </c>
      <c r="F4007" s="1" t="s">
        <v>397</v>
      </c>
      <c r="G4007" s="6">
        <v>86519</v>
      </c>
      <c r="H4007" t="str">
        <f>IFERROR(VLOOKUP(F4007,'LEAID Match'!$A$2:$B$142,2,FALSE),"")</f>
        <v/>
      </c>
    </row>
    <row r="4008" spans="1:8" x14ac:dyDescent="0.2">
      <c r="A4008" t="str">
        <f t="shared" si="62"/>
        <v/>
      </c>
      <c r="B4008" s="1">
        <v>2023</v>
      </c>
      <c r="C4008" s="1" t="s">
        <v>2505</v>
      </c>
      <c r="D4008" s="1" t="s">
        <v>2506</v>
      </c>
      <c r="E4008" s="1" t="s">
        <v>2019</v>
      </c>
      <c r="F4008" s="1" t="s">
        <v>397</v>
      </c>
      <c r="G4008" s="6">
        <v>123673</v>
      </c>
      <c r="H4008" t="str">
        <f>IFERROR(VLOOKUP(F4008,'LEAID Match'!$A$2:$B$142,2,FALSE),"")</f>
        <v/>
      </c>
    </row>
    <row r="4009" spans="1:8" x14ac:dyDescent="0.2">
      <c r="A4009" t="str">
        <f t="shared" si="62"/>
        <v/>
      </c>
      <c r="B4009" s="1">
        <v>2024</v>
      </c>
      <c r="C4009" s="1" t="s">
        <v>2505</v>
      </c>
      <c r="D4009" s="1" t="s">
        <v>2506</v>
      </c>
      <c r="E4009" s="1" t="s">
        <v>2019</v>
      </c>
      <c r="F4009" s="1" t="s">
        <v>397</v>
      </c>
      <c r="G4009" s="6">
        <v>139317</v>
      </c>
      <c r="H4009" t="str">
        <f>IFERROR(VLOOKUP(F4009,'LEAID Match'!$A$2:$B$142,2,FALSE),"")</f>
        <v/>
      </c>
    </row>
    <row r="4010" spans="1:8" x14ac:dyDescent="0.2">
      <c r="A4010" t="str">
        <f t="shared" si="62"/>
        <v/>
      </c>
      <c r="B4010" s="1">
        <v>2015</v>
      </c>
      <c r="C4010" s="1" t="s">
        <v>2505</v>
      </c>
      <c r="D4010" s="1" t="s">
        <v>2506</v>
      </c>
      <c r="E4010" s="1" t="s">
        <v>2019</v>
      </c>
      <c r="F4010" s="1" t="s">
        <v>398</v>
      </c>
      <c r="G4010" s="6">
        <v>54240</v>
      </c>
      <c r="H4010" t="str">
        <f>IFERROR(VLOOKUP(F4010,'LEAID Match'!$A$2:$B$142,2,FALSE),"")</f>
        <v/>
      </c>
    </row>
    <row r="4011" spans="1:8" x14ac:dyDescent="0.2">
      <c r="A4011" t="str">
        <f t="shared" si="62"/>
        <v/>
      </c>
      <c r="B4011">
        <v>2016</v>
      </c>
      <c r="C4011" s="1" t="s">
        <v>2505</v>
      </c>
      <c r="D4011" s="1" t="s">
        <v>2506</v>
      </c>
      <c r="E4011" s="1" t="s">
        <v>2019</v>
      </c>
      <c r="F4011" s="1" t="s">
        <v>398</v>
      </c>
      <c r="G4011" s="12">
        <v>56889</v>
      </c>
      <c r="H4011" t="str">
        <f>IFERROR(VLOOKUP(F4011,'LEAID Match'!$A$2:$B$142,2,FALSE),"")</f>
        <v/>
      </c>
    </row>
    <row r="4012" spans="1:8" x14ac:dyDescent="0.2">
      <c r="A4012" t="str">
        <f t="shared" si="62"/>
        <v/>
      </c>
      <c r="B4012" s="1">
        <v>2017</v>
      </c>
      <c r="C4012" s="1" t="s">
        <v>2505</v>
      </c>
      <c r="D4012" s="1" t="s">
        <v>2506</v>
      </c>
      <c r="E4012" s="1" t="s">
        <v>2019</v>
      </c>
      <c r="F4012" s="1" t="s">
        <v>398</v>
      </c>
      <c r="G4012" s="47">
        <v>61605</v>
      </c>
      <c r="H4012" t="str">
        <f>IFERROR(VLOOKUP(F4012,'LEAID Match'!$A$2:$B$142,2,FALSE),"")</f>
        <v/>
      </c>
    </row>
    <row r="4013" spans="1:8" x14ac:dyDescent="0.2">
      <c r="A4013" t="str">
        <f t="shared" si="62"/>
        <v/>
      </c>
      <c r="B4013" s="1">
        <v>2018</v>
      </c>
      <c r="C4013" s="1" t="s">
        <v>2505</v>
      </c>
      <c r="D4013" s="1" t="s">
        <v>2506</v>
      </c>
      <c r="E4013" s="1" t="s">
        <v>2019</v>
      </c>
      <c r="F4013" s="1" t="s">
        <v>398</v>
      </c>
      <c r="G4013" s="6">
        <v>59661</v>
      </c>
      <c r="H4013" t="str">
        <f>IFERROR(VLOOKUP(F4013,'LEAID Match'!$A$2:$B$142,2,FALSE),"")</f>
        <v/>
      </c>
    </row>
    <row r="4014" spans="1:8" x14ac:dyDescent="0.2">
      <c r="A4014" t="str">
        <f t="shared" si="62"/>
        <v/>
      </c>
      <c r="B4014" s="1">
        <v>2019</v>
      </c>
      <c r="C4014" s="1" t="s">
        <v>2505</v>
      </c>
      <c r="D4014" s="1" t="s">
        <v>2506</v>
      </c>
      <c r="E4014" s="1" t="s">
        <v>2019</v>
      </c>
      <c r="F4014" s="1" t="s">
        <v>398</v>
      </c>
      <c r="G4014" s="6">
        <v>55708</v>
      </c>
      <c r="H4014" t="str">
        <f>IFERROR(VLOOKUP(F4014,'LEAID Match'!$A$2:$B$142,2,FALSE),"")</f>
        <v/>
      </c>
    </row>
    <row r="4015" spans="1:8" x14ac:dyDescent="0.2">
      <c r="A4015" t="str">
        <f t="shared" si="62"/>
        <v/>
      </c>
      <c r="B4015" s="1">
        <v>2020</v>
      </c>
      <c r="C4015" s="1" t="s">
        <v>2505</v>
      </c>
      <c r="D4015" s="1" t="s">
        <v>2506</v>
      </c>
      <c r="E4015" s="1" t="s">
        <v>2019</v>
      </c>
      <c r="F4015" s="1" t="s">
        <v>398</v>
      </c>
      <c r="G4015" s="6">
        <v>64265</v>
      </c>
      <c r="H4015" t="str">
        <f>IFERROR(VLOOKUP(F4015,'LEAID Match'!$A$2:$B$142,2,FALSE),"")</f>
        <v/>
      </c>
    </row>
    <row r="4016" spans="1:8" x14ac:dyDescent="0.2">
      <c r="A4016" t="str">
        <f t="shared" si="62"/>
        <v/>
      </c>
      <c r="B4016" s="1">
        <v>2021</v>
      </c>
      <c r="C4016" s="1" t="s">
        <v>2505</v>
      </c>
      <c r="D4016" s="1" t="s">
        <v>2506</v>
      </c>
      <c r="E4016" s="1" t="s">
        <v>2019</v>
      </c>
      <c r="F4016" s="1" t="s">
        <v>398</v>
      </c>
      <c r="G4016" s="6">
        <v>63666</v>
      </c>
      <c r="H4016" t="str">
        <f>IFERROR(VLOOKUP(F4016,'LEAID Match'!$A$2:$B$142,2,FALSE),"")</f>
        <v/>
      </c>
    </row>
    <row r="4017" spans="1:8" x14ac:dyDescent="0.2">
      <c r="A4017" t="str">
        <f t="shared" si="62"/>
        <v/>
      </c>
      <c r="B4017" s="1">
        <v>2022</v>
      </c>
      <c r="C4017" s="1" t="s">
        <v>2505</v>
      </c>
      <c r="D4017" s="1" t="s">
        <v>2506</v>
      </c>
      <c r="E4017" s="1" t="s">
        <v>2019</v>
      </c>
      <c r="F4017" s="1" t="s">
        <v>398</v>
      </c>
      <c r="G4017" s="6">
        <v>56613</v>
      </c>
      <c r="H4017" t="str">
        <f>IFERROR(VLOOKUP(F4017,'LEAID Match'!$A$2:$B$142,2,FALSE),"")</f>
        <v/>
      </c>
    </row>
    <row r="4018" spans="1:8" x14ac:dyDescent="0.2">
      <c r="A4018" t="str">
        <f t="shared" si="62"/>
        <v/>
      </c>
      <c r="B4018" s="1">
        <v>2023</v>
      </c>
      <c r="C4018" s="1" t="s">
        <v>2505</v>
      </c>
      <c r="D4018" s="1" t="s">
        <v>2506</v>
      </c>
      <c r="E4018" s="1" t="s">
        <v>2019</v>
      </c>
      <c r="F4018" s="1" t="s">
        <v>398</v>
      </c>
      <c r="G4018" s="6">
        <v>63403</v>
      </c>
      <c r="H4018" t="str">
        <f>IFERROR(VLOOKUP(F4018,'LEAID Match'!$A$2:$B$142,2,FALSE),"")</f>
        <v/>
      </c>
    </row>
    <row r="4019" spans="1:8" x14ac:dyDescent="0.2">
      <c r="A4019" t="str">
        <f t="shared" si="62"/>
        <v/>
      </c>
      <c r="B4019" s="1">
        <v>2024</v>
      </c>
      <c r="C4019" s="1" t="s">
        <v>2505</v>
      </c>
      <c r="D4019" s="1" t="s">
        <v>2506</v>
      </c>
      <c r="E4019" s="1" t="s">
        <v>2019</v>
      </c>
      <c r="F4019" s="1" t="s">
        <v>398</v>
      </c>
      <c r="G4019" s="6">
        <v>70864</v>
      </c>
      <c r="H4019" t="str">
        <f>IFERROR(VLOOKUP(F4019,'LEAID Match'!$A$2:$B$142,2,FALSE),"")</f>
        <v/>
      </c>
    </row>
    <row r="4020" spans="1:8" x14ac:dyDescent="0.2">
      <c r="A4020">
        <f t="shared" si="62"/>
        <v>2802640</v>
      </c>
      <c r="B4020" s="1">
        <v>2015</v>
      </c>
      <c r="C4020" s="1" t="s">
        <v>2505</v>
      </c>
      <c r="D4020" s="1" t="s">
        <v>2506</v>
      </c>
      <c r="E4020" s="1" t="s">
        <v>2019</v>
      </c>
      <c r="F4020" s="1" t="s">
        <v>399</v>
      </c>
      <c r="G4020" s="6">
        <v>1909378</v>
      </c>
      <c r="H4020">
        <f>IFERROR(VLOOKUP(F4020,'LEAID Match'!$A$2:$B$142,2,FALSE),"")</f>
        <v>2802640</v>
      </c>
    </row>
    <row r="4021" spans="1:8" x14ac:dyDescent="0.2">
      <c r="A4021">
        <f t="shared" si="62"/>
        <v>2802640</v>
      </c>
      <c r="B4021">
        <v>2016</v>
      </c>
      <c r="C4021" s="1" t="s">
        <v>2505</v>
      </c>
      <c r="D4021" s="1" t="s">
        <v>2506</v>
      </c>
      <c r="E4021" s="1" t="s">
        <v>2019</v>
      </c>
      <c r="F4021" s="1" t="s">
        <v>399</v>
      </c>
      <c r="G4021" s="12">
        <v>1976620</v>
      </c>
      <c r="H4021">
        <f>IFERROR(VLOOKUP(F4021,'LEAID Match'!$A$2:$B$142,2,FALSE),"")</f>
        <v>2802640</v>
      </c>
    </row>
    <row r="4022" spans="1:8" x14ac:dyDescent="0.2">
      <c r="A4022">
        <f t="shared" si="62"/>
        <v>2802640</v>
      </c>
      <c r="B4022" s="1">
        <v>2017</v>
      </c>
      <c r="C4022" s="1" t="s">
        <v>2505</v>
      </c>
      <c r="D4022" s="1" t="s">
        <v>2506</v>
      </c>
      <c r="E4022" s="1" t="s">
        <v>2019</v>
      </c>
      <c r="F4022" s="1" t="s">
        <v>399</v>
      </c>
      <c r="G4022" s="47">
        <v>1963938</v>
      </c>
      <c r="H4022">
        <f>IFERROR(VLOOKUP(F4022,'LEAID Match'!$A$2:$B$142,2,FALSE),"")</f>
        <v>2802640</v>
      </c>
    </row>
    <row r="4023" spans="1:8" x14ac:dyDescent="0.2">
      <c r="A4023">
        <f t="shared" si="62"/>
        <v>2802640</v>
      </c>
      <c r="B4023" s="1">
        <v>2018</v>
      </c>
      <c r="C4023" s="1" t="s">
        <v>2505</v>
      </c>
      <c r="D4023" s="1" t="s">
        <v>2506</v>
      </c>
      <c r="E4023" s="1" t="s">
        <v>2019</v>
      </c>
      <c r="F4023" s="1" t="s">
        <v>399</v>
      </c>
      <c r="G4023" s="6">
        <v>2037424</v>
      </c>
      <c r="H4023">
        <f>IFERROR(VLOOKUP(F4023,'LEAID Match'!$A$2:$B$142,2,FALSE),"")</f>
        <v>2802640</v>
      </c>
    </row>
    <row r="4024" spans="1:8" x14ac:dyDescent="0.2">
      <c r="A4024">
        <f t="shared" si="62"/>
        <v>2802640</v>
      </c>
      <c r="B4024" s="1">
        <v>2019</v>
      </c>
      <c r="C4024" s="1" t="s">
        <v>2505</v>
      </c>
      <c r="D4024" s="1" t="s">
        <v>2506</v>
      </c>
      <c r="E4024" s="1" t="s">
        <v>2019</v>
      </c>
      <c r="F4024" s="1" t="s">
        <v>399</v>
      </c>
      <c r="G4024" s="6">
        <v>2074013</v>
      </c>
      <c r="H4024">
        <f>IFERROR(VLOOKUP(F4024,'LEAID Match'!$A$2:$B$142,2,FALSE),"")</f>
        <v>2802640</v>
      </c>
    </row>
    <row r="4025" spans="1:8" x14ac:dyDescent="0.2">
      <c r="A4025">
        <f t="shared" si="62"/>
        <v>2802640</v>
      </c>
      <c r="B4025" s="1">
        <v>2020</v>
      </c>
      <c r="C4025" s="1" t="s">
        <v>2505</v>
      </c>
      <c r="D4025" s="1" t="s">
        <v>2506</v>
      </c>
      <c r="E4025" s="1" t="s">
        <v>2019</v>
      </c>
      <c r="F4025" s="1" t="s">
        <v>399</v>
      </c>
      <c r="G4025" s="6">
        <v>2416344</v>
      </c>
      <c r="H4025">
        <f>IFERROR(VLOOKUP(F4025,'LEAID Match'!$A$2:$B$142,2,FALSE),"")</f>
        <v>2802640</v>
      </c>
    </row>
    <row r="4026" spans="1:8" x14ac:dyDescent="0.2">
      <c r="A4026">
        <f t="shared" si="62"/>
        <v>2802640</v>
      </c>
      <c r="B4026" s="1">
        <v>2021</v>
      </c>
      <c r="C4026" s="1" t="s">
        <v>2505</v>
      </c>
      <c r="D4026" s="1" t="s">
        <v>2506</v>
      </c>
      <c r="E4026" s="1" t="s">
        <v>2019</v>
      </c>
      <c r="F4026" s="1" t="s">
        <v>399</v>
      </c>
      <c r="G4026" s="6">
        <v>2421725</v>
      </c>
      <c r="H4026">
        <f>IFERROR(VLOOKUP(F4026,'LEAID Match'!$A$2:$B$142,2,FALSE),"")</f>
        <v>2802640</v>
      </c>
    </row>
    <row r="4027" spans="1:8" x14ac:dyDescent="0.2">
      <c r="A4027">
        <f t="shared" si="62"/>
        <v>2802640</v>
      </c>
      <c r="B4027" s="1">
        <v>2022</v>
      </c>
      <c r="C4027" s="1" t="s">
        <v>2505</v>
      </c>
      <c r="D4027" s="1" t="s">
        <v>2506</v>
      </c>
      <c r="E4027" s="1" t="s">
        <v>2019</v>
      </c>
      <c r="F4027" s="1" t="s">
        <v>399</v>
      </c>
      <c r="G4027" s="6">
        <v>2513423</v>
      </c>
      <c r="H4027">
        <f>IFERROR(VLOOKUP(F4027,'LEAID Match'!$A$2:$B$142,2,FALSE),"")</f>
        <v>2802640</v>
      </c>
    </row>
    <row r="4028" spans="1:8" x14ac:dyDescent="0.2">
      <c r="A4028">
        <f t="shared" si="62"/>
        <v>2802640</v>
      </c>
      <c r="B4028" s="1">
        <v>2023</v>
      </c>
      <c r="C4028" s="1" t="s">
        <v>2505</v>
      </c>
      <c r="D4028" s="1" t="s">
        <v>2506</v>
      </c>
      <c r="E4028" s="1" t="s">
        <v>2019</v>
      </c>
      <c r="F4028" s="1" t="s">
        <v>399</v>
      </c>
      <c r="G4028" s="6">
        <v>2805029</v>
      </c>
      <c r="H4028">
        <f>IFERROR(VLOOKUP(F4028,'LEAID Match'!$A$2:$B$142,2,FALSE),"")</f>
        <v>2802640</v>
      </c>
    </row>
    <row r="4029" spans="1:8" x14ac:dyDescent="0.2">
      <c r="A4029">
        <f t="shared" si="62"/>
        <v>2802640</v>
      </c>
      <c r="B4029" s="1">
        <v>2024</v>
      </c>
      <c r="C4029" s="1" t="s">
        <v>2505</v>
      </c>
      <c r="D4029" s="1" t="s">
        <v>2506</v>
      </c>
      <c r="E4029" s="1" t="s">
        <v>2019</v>
      </c>
      <c r="F4029" s="1" t="s">
        <v>399</v>
      </c>
      <c r="G4029" s="6">
        <v>2827992</v>
      </c>
      <c r="H4029">
        <f>IFERROR(VLOOKUP(F4029,'LEAID Match'!$A$2:$B$142,2,FALSE),"")</f>
        <v>2802640</v>
      </c>
    </row>
    <row r="4030" spans="1:8" x14ac:dyDescent="0.2">
      <c r="A4030" t="str">
        <f t="shared" si="62"/>
        <v/>
      </c>
      <c r="B4030" s="1">
        <v>2015</v>
      </c>
      <c r="C4030" s="1" t="s">
        <v>2505</v>
      </c>
      <c r="D4030" s="1" t="s">
        <v>2506</v>
      </c>
      <c r="E4030" s="1" t="s">
        <v>2019</v>
      </c>
      <c r="F4030" s="1" t="s">
        <v>400</v>
      </c>
      <c r="G4030" s="6">
        <v>805632</v>
      </c>
      <c r="H4030" t="str">
        <f>IFERROR(VLOOKUP(F4030,'LEAID Match'!$A$2:$B$142,2,FALSE),"")</f>
        <v/>
      </c>
    </row>
    <row r="4031" spans="1:8" x14ac:dyDescent="0.2">
      <c r="A4031" t="str">
        <f t="shared" si="62"/>
        <v/>
      </c>
      <c r="B4031">
        <v>2016</v>
      </c>
      <c r="C4031" s="1" t="s">
        <v>2505</v>
      </c>
      <c r="D4031" s="1" t="s">
        <v>2506</v>
      </c>
      <c r="E4031" s="1" t="s">
        <v>2019</v>
      </c>
      <c r="F4031" s="1" t="s">
        <v>400</v>
      </c>
      <c r="G4031" s="12">
        <v>837854</v>
      </c>
      <c r="H4031" t="str">
        <f>IFERROR(VLOOKUP(F4031,'LEAID Match'!$A$2:$B$142,2,FALSE),"")</f>
        <v/>
      </c>
    </row>
    <row r="4032" spans="1:8" x14ac:dyDescent="0.2">
      <c r="A4032" t="str">
        <f t="shared" si="62"/>
        <v/>
      </c>
      <c r="B4032" s="1">
        <v>2017</v>
      </c>
      <c r="C4032" s="1" t="s">
        <v>2505</v>
      </c>
      <c r="D4032" s="1" t="s">
        <v>2506</v>
      </c>
      <c r="E4032" s="1" t="s">
        <v>2019</v>
      </c>
      <c r="F4032" s="1" t="s">
        <v>400</v>
      </c>
      <c r="G4032" s="47">
        <v>817791</v>
      </c>
      <c r="H4032" t="str">
        <f>IFERROR(VLOOKUP(F4032,'LEAID Match'!$A$2:$B$142,2,FALSE),"")</f>
        <v/>
      </c>
    </row>
    <row r="4033" spans="1:8" x14ac:dyDescent="0.2">
      <c r="A4033" t="str">
        <f t="shared" si="62"/>
        <v/>
      </c>
      <c r="B4033" s="1">
        <v>2018</v>
      </c>
      <c r="C4033" s="1" t="s">
        <v>2505</v>
      </c>
      <c r="D4033" s="1" t="s">
        <v>2506</v>
      </c>
      <c r="E4033" s="1" t="s">
        <v>2019</v>
      </c>
      <c r="F4033" s="1" t="s">
        <v>400</v>
      </c>
      <c r="G4033" s="6">
        <v>858858</v>
      </c>
      <c r="H4033" t="str">
        <f>IFERROR(VLOOKUP(F4033,'LEAID Match'!$A$2:$B$142,2,FALSE),"")</f>
        <v/>
      </c>
    </row>
    <row r="4034" spans="1:8" x14ac:dyDescent="0.2">
      <c r="A4034" t="str">
        <f t="shared" si="62"/>
        <v/>
      </c>
      <c r="B4034" s="1">
        <v>2019</v>
      </c>
      <c r="C4034" s="1" t="s">
        <v>2505</v>
      </c>
      <c r="D4034" s="1" t="s">
        <v>2506</v>
      </c>
      <c r="E4034" s="1" t="s">
        <v>2019</v>
      </c>
      <c r="F4034" s="1" t="s">
        <v>400</v>
      </c>
      <c r="G4034" s="6">
        <v>867810</v>
      </c>
      <c r="H4034" t="str">
        <f>IFERROR(VLOOKUP(F4034,'LEAID Match'!$A$2:$B$142,2,FALSE),"")</f>
        <v/>
      </c>
    </row>
    <row r="4035" spans="1:8" x14ac:dyDescent="0.2">
      <c r="A4035" t="str">
        <f t="shared" ref="A4035:A4098" si="63">H4035</f>
        <v/>
      </c>
      <c r="B4035" s="1">
        <v>2020</v>
      </c>
      <c r="C4035" s="1" t="s">
        <v>2505</v>
      </c>
      <c r="D4035" s="1" t="s">
        <v>2506</v>
      </c>
      <c r="E4035" s="1" t="s">
        <v>2019</v>
      </c>
      <c r="F4035" s="1" t="s">
        <v>400</v>
      </c>
      <c r="G4035" s="6">
        <v>958349</v>
      </c>
      <c r="H4035" t="str">
        <f>IFERROR(VLOOKUP(F4035,'LEAID Match'!$A$2:$B$142,2,FALSE),"")</f>
        <v/>
      </c>
    </row>
    <row r="4036" spans="1:8" x14ac:dyDescent="0.2">
      <c r="A4036" t="str">
        <f t="shared" si="63"/>
        <v/>
      </c>
      <c r="B4036" s="1">
        <v>2021</v>
      </c>
      <c r="C4036" s="1" t="s">
        <v>2505</v>
      </c>
      <c r="D4036" s="1" t="s">
        <v>2506</v>
      </c>
      <c r="E4036" s="1" t="s">
        <v>2019</v>
      </c>
      <c r="F4036" s="1" t="s">
        <v>400</v>
      </c>
      <c r="G4036" s="6">
        <v>967038</v>
      </c>
      <c r="H4036" t="str">
        <f>IFERROR(VLOOKUP(F4036,'LEAID Match'!$A$2:$B$142,2,FALSE),"")</f>
        <v/>
      </c>
    </row>
    <row r="4037" spans="1:8" x14ac:dyDescent="0.2">
      <c r="A4037" t="str">
        <f t="shared" si="63"/>
        <v/>
      </c>
      <c r="B4037" s="1">
        <v>2022</v>
      </c>
      <c r="C4037" s="1" t="s">
        <v>2505</v>
      </c>
      <c r="D4037" s="1" t="s">
        <v>2506</v>
      </c>
      <c r="E4037" s="1" t="s">
        <v>2019</v>
      </c>
      <c r="F4037" s="1" t="s">
        <v>400</v>
      </c>
      <c r="G4037" s="6">
        <v>1000704</v>
      </c>
      <c r="H4037" t="str">
        <f>IFERROR(VLOOKUP(F4037,'LEAID Match'!$A$2:$B$142,2,FALSE),"")</f>
        <v/>
      </c>
    </row>
    <row r="4038" spans="1:8" x14ac:dyDescent="0.2">
      <c r="A4038" t="str">
        <f t="shared" si="63"/>
        <v/>
      </c>
      <c r="B4038" s="1">
        <v>2023</v>
      </c>
      <c r="C4038" s="1" t="s">
        <v>2505</v>
      </c>
      <c r="D4038" s="1" t="s">
        <v>2506</v>
      </c>
      <c r="E4038" s="1" t="s">
        <v>2019</v>
      </c>
      <c r="F4038" s="1" t="s">
        <v>400</v>
      </c>
      <c r="G4038" s="6">
        <v>1071503</v>
      </c>
      <c r="H4038" t="str">
        <f>IFERROR(VLOOKUP(F4038,'LEAID Match'!$A$2:$B$142,2,FALSE),"")</f>
        <v/>
      </c>
    </row>
    <row r="4039" spans="1:8" x14ac:dyDescent="0.2">
      <c r="A4039" t="str">
        <f t="shared" si="63"/>
        <v/>
      </c>
      <c r="B4039" s="1">
        <v>2024</v>
      </c>
      <c r="C4039" s="1" t="s">
        <v>2505</v>
      </c>
      <c r="D4039" s="1" t="s">
        <v>2506</v>
      </c>
      <c r="E4039" s="1" t="s">
        <v>2019</v>
      </c>
      <c r="F4039" s="1" t="s">
        <v>400</v>
      </c>
      <c r="G4039" s="6">
        <v>1161864</v>
      </c>
      <c r="H4039" t="str">
        <f>IFERROR(VLOOKUP(F4039,'LEAID Match'!$A$2:$B$142,2,FALSE),"")</f>
        <v/>
      </c>
    </row>
    <row r="4040" spans="1:8" x14ac:dyDescent="0.2">
      <c r="A4040" t="str">
        <f t="shared" si="63"/>
        <v/>
      </c>
      <c r="B4040" s="1">
        <v>2015</v>
      </c>
      <c r="C4040" s="1" t="s">
        <v>2505</v>
      </c>
      <c r="D4040" s="1" t="s">
        <v>2506</v>
      </c>
      <c r="E4040" s="1" t="s">
        <v>2019</v>
      </c>
      <c r="F4040" s="1" t="s">
        <v>401</v>
      </c>
      <c r="G4040" s="6">
        <v>60127</v>
      </c>
      <c r="H4040" t="str">
        <f>IFERROR(VLOOKUP(F4040,'LEAID Match'!$A$2:$B$142,2,FALSE),"")</f>
        <v/>
      </c>
    </row>
    <row r="4041" spans="1:8" x14ac:dyDescent="0.2">
      <c r="A4041" t="str">
        <f t="shared" si="63"/>
        <v/>
      </c>
      <c r="B4041">
        <v>2016</v>
      </c>
      <c r="C4041" s="1" t="s">
        <v>2505</v>
      </c>
      <c r="D4041" s="1" t="s">
        <v>2506</v>
      </c>
      <c r="E4041" s="1" t="s">
        <v>2019</v>
      </c>
      <c r="F4041" s="1" t="s">
        <v>401</v>
      </c>
      <c r="G4041" s="12">
        <v>64362</v>
      </c>
      <c r="H4041" t="str">
        <f>IFERROR(VLOOKUP(F4041,'LEAID Match'!$A$2:$B$142,2,FALSE),"")</f>
        <v/>
      </c>
    </row>
    <row r="4042" spans="1:8" x14ac:dyDescent="0.2">
      <c r="A4042" t="str">
        <f t="shared" si="63"/>
        <v/>
      </c>
      <c r="B4042" s="1">
        <v>2017</v>
      </c>
      <c r="C4042" s="1" t="s">
        <v>2505</v>
      </c>
      <c r="D4042" s="1" t="s">
        <v>2506</v>
      </c>
      <c r="E4042" s="1" t="s">
        <v>2019</v>
      </c>
      <c r="F4042" s="1" t="s">
        <v>401</v>
      </c>
      <c r="G4042" s="47">
        <v>67924</v>
      </c>
      <c r="H4042" t="str">
        <f>IFERROR(VLOOKUP(F4042,'LEAID Match'!$A$2:$B$142,2,FALSE),"")</f>
        <v/>
      </c>
    </row>
    <row r="4043" spans="1:8" x14ac:dyDescent="0.2">
      <c r="A4043" t="str">
        <f t="shared" si="63"/>
        <v/>
      </c>
      <c r="B4043" s="1">
        <v>2018</v>
      </c>
      <c r="C4043" s="1" t="s">
        <v>2505</v>
      </c>
      <c r="D4043" s="1" t="s">
        <v>2506</v>
      </c>
      <c r="E4043" s="1" t="s">
        <v>2019</v>
      </c>
      <c r="F4043" s="1" t="s">
        <v>401</v>
      </c>
      <c r="G4043" s="6">
        <v>64962</v>
      </c>
      <c r="H4043" t="str">
        <f>IFERROR(VLOOKUP(F4043,'LEAID Match'!$A$2:$B$142,2,FALSE),"")</f>
        <v/>
      </c>
    </row>
    <row r="4044" spans="1:8" x14ac:dyDescent="0.2">
      <c r="A4044" t="str">
        <f t="shared" si="63"/>
        <v/>
      </c>
      <c r="B4044" s="1">
        <v>2019</v>
      </c>
      <c r="C4044" s="1" t="s">
        <v>2505</v>
      </c>
      <c r="D4044" s="1" t="s">
        <v>2506</v>
      </c>
      <c r="E4044" s="1" t="s">
        <v>2019</v>
      </c>
      <c r="F4044" s="1" t="s">
        <v>401</v>
      </c>
      <c r="G4044" s="6">
        <v>64800</v>
      </c>
      <c r="H4044" t="str">
        <f>IFERROR(VLOOKUP(F4044,'LEAID Match'!$A$2:$B$142,2,FALSE),"")</f>
        <v/>
      </c>
    </row>
    <row r="4045" spans="1:8" x14ac:dyDescent="0.2">
      <c r="A4045" t="str">
        <f t="shared" si="63"/>
        <v/>
      </c>
      <c r="B4045" s="1">
        <v>2020</v>
      </c>
      <c r="C4045" s="1" t="s">
        <v>2505</v>
      </c>
      <c r="D4045" s="1" t="s">
        <v>2506</v>
      </c>
      <c r="E4045" s="1" t="s">
        <v>2019</v>
      </c>
      <c r="F4045" s="1" t="s">
        <v>401</v>
      </c>
      <c r="G4045" s="6">
        <v>58407</v>
      </c>
      <c r="H4045" t="str">
        <f>IFERROR(VLOOKUP(F4045,'LEAID Match'!$A$2:$B$142,2,FALSE),"")</f>
        <v/>
      </c>
    </row>
    <row r="4046" spans="1:8" x14ac:dyDescent="0.2">
      <c r="A4046" t="str">
        <f t="shared" si="63"/>
        <v/>
      </c>
      <c r="B4046" s="1">
        <v>2021</v>
      </c>
      <c r="C4046" s="1" t="s">
        <v>2505</v>
      </c>
      <c r="D4046" s="1" t="s">
        <v>2506</v>
      </c>
      <c r="E4046" s="1" t="s">
        <v>2019</v>
      </c>
      <c r="F4046" s="1" t="s">
        <v>401</v>
      </c>
      <c r="G4046" s="6">
        <v>60445</v>
      </c>
      <c r="H4046" t="str">
        <f>IFERROR(VLOOKUP(F4046,'LEAID Match'!$A$2:$B$142,2,FALSE),"")</f>
        <v/>
      </c>
    </row>
    <row r="4047" spans="1:8" x14ac:dyDescent="0.2">
      <c r="A4047" t="str">
        <f t="shared" si="63"/>
        <v/>
      </c>
      <c r="B4047" s="1">
        <v>2024</v>
      </c>
      <c r="C4047" s="1" t="s">
        <v>2505</v>
      </c>
      <c r="D4047" s="1" t="s">
        <v>2506</v>
      </c>
      <c r="E4047" s="1" t="s">
        <v>2019</v>
      </c>
      <c r="F4047" s="1" t="s">
        <v>401</v>
      </c>
      <c r="G4047" s="6">
        <v>74595</v>
      </c>
      <c r="H4047" t="str">
        <f>IFERROR(VLOOKUP(F4047,'LEAID Match'!$A$2:$B$142,2,FALSE),"")</f>
        <v/>
      </c>
    </row>
    <row r="4048" spans="1:8" x14ac:dyDescent="0.2">
      <c r="A4048" t="str">
        <f t="shared" si="63"/>
        <v/>
      </c>
      <c r="B4048" s="1">
        <v>2022</v>
      </c>
      <c r="C4048" s="1" t="s">
        <v>2505</v>
      </c>
      <c r="D4048" s="1" t="s">
        <v>2506</v>
      </c>
      <c r="E4048" s="1" t="s">
        <v>2019</v>
      </c>
      <c r="F4048" s="1" t="s">
        <v>878</v>
      </c>
      <c r="G4048" s="6">
        <v>64646</v>
      </c>
      <c r="H4048" t="str">
        <f>IFERROR(VLOOKUP(F4048,'LEAID Match'!$A$2:$B$142,2,FALSE),"")</f>
        <v/>
      </c>
    </row>
    <row r="4049" spans="1:8" x14ac:dyDescent="0.2">
      <c r="A4049" t="str">
        <f t="shared" si="63"/>
        <v/>
      </c>
      <c r="B4049" s="1">
        <v>2023</v>
      </c>
      <c r="C4049" s="1" t="s">
        <v>2505</v>
      </c>
      <c r="D4049" s="1" t="s">
        <v>2506</v>
      </c>
      <c r="E4049" s="1" t="s">
        <v>2019</v>
      </c>
      <c r="F4049" s="1" t="s">
        <v>878</v>
      </c>
      <c r="G4049" s="6">
        <v>71432</v>
      </c>
      <c r="H4049" t="str">
        <f>IFERROR(VLOOKUP(F4049,'LEAID Match'!$A$2:$B$142,2,FALSE),"")</f>
        <v/>
      </c>
    </row>
    <row r="4050" spans="1:8" x14ac:dyDescent="0.2">
      <c r="A4050" t="str">
        <f t="shared" si="63"/>
        <v/>
      </c>
      <c r="B4050" s="1">
        <v>2015</v>
      </c>
      <c r="C4050" s="1" t="s">
        <v>2505</v>
      </c>
      <c r="D4050" s="1" t="s">
        <v>2506</v>
      </c>
      <c r="E4050" s="1" t="s">
        <v>2019</v>
      </c>
      <c r="F4050" s="1" t="s">
        <v>402</v>
      </c>
      <c r="G4050" s="6">
        <v>697041</v>
      </c>
      <c r="H4050" t="str">
        <f>IFERROR(VLOOKUP(F4050,'LEAID Match'!$A$2:$B$142,2,FALSE),"")</f>
        <v/>
      </c>
    </row>
    <row r="4051" spans="1:8" x14ac:dyDescent="0.2">
      <c r="A4051" t="str">
        <f t="shared" si="63"/>
        <v/>
      </c>
      <c r="B4051">
        <v>2016</v>
      </c>
      <c r="C4051" s="1" t="s">
        <v>2505</v>
      </c>
      <c r="D4051" s="1" t="s">
        <v>2506</v>
      </c>
      <c r="E4051" s="1" t="s">
        <v>2019</v>
      </c>
      <c r="F4051" s="1" t="s">
        <v>402</v>
      </c>
      <c r="G4051" s="12">
        <v>708040</v>
      </c>
      <c r="H4051" t="str">
        <f>IFERROR(VLOOKUP(F4051,'LEAID Match'!$A$2:$B$142,2,FALSE),"")</f>
        <v/>
      </c>
    </row>
    <row r="4052" spans="1:8" x14ac:dyDescent="0.2">
      <c r="A4052" t="str">
        <f t="shared" si="63"/>
        <v/>
      </c>
      <c r="B4052" s="1">
        <v>2017</v>
      </c>
      <c r="C4052" s="1" t="s">
        <v>2505</v>
      </c>
      <c r="D4052" s="1" t="s">
        <v>2506</v>
      </c>
      <c r="E4052" s="1" t="s">
        <v>2019</v>
      </c>
      <c r="F4052" s="1" t="s">
        <v>402</v>
      </c>
      <c r="G4052" s="47">
        <v>727028</v>
      </c>
      <c r="H4052" t="str">
        <f>IFERROR(VLOOKUP(F4052,'LEAID Match'!$A$2:$B$142,2,FALSE),"")</f>
        <v/>
      </c>
    </row>
    <row r="4053" spans="1:8" x14ac:dyDescent="0.2">
      <c r="A4053" t="str">
        <f t="shared" si="63"/>
        <v/>
      </c>
      <c r="B4053" s="1">
        <v>2018</v>
      </c>
      <c r="C4053" s="1" t="s">
        <v>2505</v>
      </c>
      <c r="D4053" s="1" t="s">
        <v>2506</v>
      </c>
      <c r="E4053" s="1" t="s">
        <v>2019</v>
      </c>
      <c r="F4053" s="1" t="s">
        <v>402</v>
      </c>
      <c r="G4053" s="6">
        <v>737400</v>
      </c>
      <c r="H4053" t="str">
        <f>IFERROR(VLOOKUP(F4053,'LEAID Match'!$A$2:$B$142,2,FALSE),"")</f>
        <v/>
      </c>
    </row>
    <row r="4054" spans="1:8" x14ac:dyDescent="0.2">
      <c r="A4054" t="str">
        <f t="shared" si="63"/>
        <v/>
      </c>
      <c r="B4054" s="1">
        <v>2019</v>
      </c>
      <c r="C4054" s="1" t="s">
        <v>2505</v>
      </c>
      <c r="D4054" s="1" t="s">
        <v>2506</v>
      </c>
      <c r="E4054" s="1" t="s">
        <v>2019</v>
      </c>
      <c r="F4054" s="1" t="s">
        <v>402</v>
      </c>
      <c r="G4054" s="6">
        <v>728858</v>
      </c>
      <c r="H4054" t="str">
        <f>IFERROR(VLOOKUP(F4054,'LEAID Match'!$A$2:$B$142,2,FALSE),"")</f>
        <v/>
      </c>
    </row>
    <row r="4055" spans="1:8" x14ac:dyDescent="0.2">
      <c r="A4055" t="str">
        <f t="shared" si="63"/>
        <v/>
      </c>
      <c r="B4055" s="1">
        <v>2020</v>
      </c>
      <c r="C4055" s="1" t="s">
        <v>2505</v>
      </c>
      <c r="D4055" s="1" t="s">
        <v>2506</v>
      </c>
      <c r="E4055" s="1" t="s">
        <v>2019</v>
      </c>
      <c r="F4055" s="1" t="s">
        <v>402</v>
      </c>
      <c r="G4055" s="6">
        <v>830007</v>
      </c>
      <c r="H4055" t="str">
        <f>IFERROR(VLOOKUP(F4055,'LEAID Match'!$A$2:$B$142,2,FALSE),"")</f>
        <v/>
      </c>
    </row>
    <row r="4056" spans="1:8" x14ac:dyDescent="0.2">
      <c r="A4056" t="str">
        <f t="shared" si="63"/>
        <v/>
      </c>
      <c r="B4056" s="1">
        <v>2021</v>
      </c>
      <c r="C4056" s="1" t="s">
        <v>2505</v>
      </c>
      <c r="D4056" s="1" t="s">
        <v>2506</v>
      </c>
      <c r="E4056" s="1" t="s">
        <v>2019</v>
      </c>
      <c r="F4056" s="1" t="s">
        <v>402</v>
      </c>
      <c r="G4056" s="6">
        <v>850567</v>
      </c>
      <c r="H4056" t="str">
        <f>IFERROR(VLOOKUP(F4056,'LEAID Match'!$A$2:$B$142,2,FALSE),"")</f>
        <v/>
      </c>
    </row>
    <row r="4057" spans="1:8" x14ac:dyDescent="0.2">
      <c r="A4057" t="str">
        <f t="shared" si="63"/>
        <v/>
      </c>
      <c r="B4057" s="1">
        <v>2022</v>
      </c>
      <c r="C4057" s="1" t="s">
        <v>2505</v>
      </c>
      <c r="D4057" s="1" t="s">
        <v>2506</v>
      </c>
      <c r="E4057" s="1" t="s">
        <v>2019</v>
      </c>
      <c r="F4057" s="1" t="s">
        <v>402</v>
      </c>
      <c r="G4057" s="6">
        <v>919443</v>
      </c>
      <c r="H4057" t="str">
        <f>IFERROR(VLOOKUP(F4057,'LEAID Match'!$A$2:$B$142,2,FALSE),"")</f>
        <v/>
      </c>
    </row>
    <row r="4058" spans="1:8" x14ac:dyDescent="0.2">
      <c r="A4058" t="str">
        <f t="shared" si="63"/>
        <v/>
      </c>
      <c r="B4058" s="1">
        <v>2023</v>
      </c>
      <c r="C4058" s="1" t="s">
        <v>2505</v>
      </c>
      <c r="D4058" s="1" t="s">
        <v>2506</v>
      </c>
      <c r="E4058" s="1" t="s">
        <v>2019</v>
      </c>
      <c r="F4058" s="1" t="s">
        <v>402</v>
      </c>
      <c r="G4058" s="6">
        <v>944363</v>
      </c>
      <c r="H4058" t="str">
        <f>IFERROR(VLOOKUP(F4058,'LEAID Match'!$A$2:$B$142,2,FALSE),"")</f>
        <v/>
      </c>
    </row>
    <row r="4059" spans="1:8" x14ac:dyDescent="0.2">
      <c r="A4059" t="str">
        <f t="shared" si="63"/>
        <v/>
      </c>
      <c r="B4059" s="1">
        <v>2024</v>
      </c>
      <c r="C4059" s="1" t="s">
        <v>2505</v>
      </c>
      <c r="D4059" s="1" t="s">
        <v>2506</v>
      </c>
      <c r="E4059" s="1" t="s">
        <v>2019</v>
      </c>
      <c r="F4059" s="1" t="s">
        <v>402</v>
      </c>
      <c r="G4059" s="6">
        <v>994347</v>
      </c>
      <c r="H4059" t="str">
        <f>IFERROR(VLOOKUP(F4059,'LEAID Match'!$A$2:$B$142,2,FALSE),"")</f>
        <v/>
      </c>
    </row>
    <row r="4060" spans="1:8" x14ac:dyDescent="0.2">
      <c r="A4060">
        <f t="shared" si="63"/>
        <v>2802670</v>
      </c>
      <c r="B4060" s="1">
        <v>2015</v>
      </c>
      <c r="C4060" s="1" t="s">
        <v>2505</v>
      </c>
      <c r="D4060" s="1" t="s">
        <v>2506</v>
      </c>
      <c r="E4060" s="1" t="s">
        <v>2019</v>
      </c>
      <c r="F4060" s="1" t="s">
        <v>403</v>
      </c>
      <c r="G4060" s="6">
        <v>2273885</v>
      </c>
      <c r="H4060">
        <f>IFERROR(VLOOKUP(F4060,'LEAID Match'!$A$2:$B$142,2,FALSE),"")</f>
        <v>2802670</v>
      </c>
    </row>
    <row r="4061" spans="1:8" x14ac:dyDescent="0.2">
      <c r="A4061">
        <f t="shared" si="63"/>
        <v>2802670</v>
      </c>
      <c r="B4061">
        <v>2016</v>
      </c>
      <c r="C4061" s="1" t="s">
        <v>2505</v>
      </c>
      <c r="D4061" s="1" t="s">
        <v>2506</v>
      </c>
      <c r="E4061" s="1" t="s">
        <v>2019</v>
      </c>
      <c r="F4061" s="1" t="s">
        <v>403</v>
      </c>
      <c r="G4061" s="12">
        <v>2394314</v>
      </c>
      <c r="H4061">
        <f>IFERROR(VLOOKUP(F4061,'LEAID Match'!$A$2:$B$142,2,FALSE),"")</f>
        <v>2802670</v>
      </c>
    </row>
    <row r="4062" spans="1:8" x14ac:dyDescent="0.2">
      <c r="A4062">
        <f t="shared" si="63"/>
        <v>2802670</v>
      </c>
      <c r="B4062" s="1">
        <v>2017</v>
      </c>
      <c r="C4062" s="1" t="s">
        <v>2505</v>
      </c>
      <c r="D4062" s="1" t="s">
        <v>2506</v>
      </c>
      <c r="E4062" s="1" t="s">
        <v>2019</v>
      </c>
      <c r="F4062" s="1" t="s">
        <v>403</v>
      </c>
      <c r="G4062" s="47">
        <v>2475920</v>
      </c>
      <c r="H4062">
        <f>IFERROR(VLOOKUP(F4062,'LEAID Match'!$A$2:$B$142,2,FALSE),"")</f>
        <v>2802670</v>
      </c>
    </row>
    <row r="4063" spans="1:8" x14ac:dyDescent="0.2">
      <c r="A4063">
        <f t="shared" si="63"/>
        <v>2802670</v>
      </c>
      <c r="B4063" s="1">
        <v>2018</v>
      </c>
      <c r="C4063" s="1" t="s">
        <v>2505</v>
      </c>
      <c r="D4063" s="1" t="s">
        <v>2506</v>
      </c>
      <c r="E4063" s="1" t="s">
        <v>2019</v>
      </c>
      <c r="F4063" s="1" t="s">
        <v>403</v>
      </c>
      <c r="G4063" s="6">
        <v>2607848</v>
      </c>
      <c r="H4063">
        <f>IFERROR(VLOOKUP(F4063,'LEAID Match'!$A$2:$B$142,2,FALSE),"")</f>
        <v>2802670</v>
      </c>
    </row>
    <row r="4064" spans="1:8" x14ac:dyDescent="0.2">
      <c r="A4064">
        <f t="shared" si="63"/>
        <v>2802670</v>
      </c>
      <c r="B4064" s="1">
        <v>2019</v>
      </c>
      <c r="C4064" s="1" t="s">
        <v>2505</v>
      </c>
      <c r="D4064" s="1" t="s">
        <v>2506</v>
      </c>
      <c r="E4064" s="1" t="s">
        <v>2019</v>
      </c>
      <c r="F4064" s="1" t="s">
        <v>403</v>
      </c>
      <c r="G4064" s="6">
        <v>2456767</v>
      </c>
      <c r="H4064">
        <f>IFERROR(VLOOKUP(F4064,'LEAID Match'!$A$2:$B$142,2,FALSE),"")</f>
        <v>2802670</v>
      </c>
    </row>
    <row r="4065" spans="1:8" x14ac:dyDescent="0.2">
      <c r="A4065">
        <f t="shared" si="63"/>
        <v>2802670</v>
      </c>
      <c r="B4065" s="1">
        <v>2020</v>
      </c>
      <c r="C4065" s="1" t="s">
        <v>2505</v>
      </c>
      <c r="D4065" s="1" t="s">
        <v>2506</v>
      </c>
      <c r="E4065" s="1" t="s">
        <v>2019</v>
      </c>
      <c r="F4065" s="1" t="s">
        <v>403</v>
      </c>
      <c r="G4065" s="6">
        <v>2881243</v>
      </c>
      <c r="H4065">
        <f>IFERROR(VLOOKUP(F4065,'LEAID Match'!$A$2:$B$142,2,FALSE),"")</f>
        <v>2802670</v>
      </c>
    </row>
    <row r="4066" spans="1:8" x14ac:dyDescent="0.2">
      <c r="A4066">
        <f t="shared" si="63"/>
        <v>2802670</v>
      </c>
      <c r="B4066" s="1">
        <v>2021</v>
      </c>
      <c r="C4066" s="1" t="s">
        <v>2505</v>
      </c>
      <c r="D4066" s="1" t="s">
        <v>2506</v>
      </c>
      <c r="E4066" s="1" t="s">
        <v>2019</v>
      </c>
      <c r="F4066" s="1" t="s">
        <v>403</v>
      </c>
      <c r="G4066" s="6">
        <v>2626501</v>
      </c>
      <c r="H4066">
        <f>IFERROR(VLOOKUP(F4066,'LEAID Match'!$A$2:$B$142,2,FALSE),"")</f>
        <v>2802670</v>
      </c>
    </row>
    <row r="4067" spans="1:8" x14ac:dyDescent="0.2">
      <c r="A4067">
        <f t="shared" si="63"/>
        <v>2802670</v>
      </c>
      <c r="B4067" s="1">
        <v>2022</v>
      </c>
      <c r="C4067" s="1" t="s">
        <v>2505</v>
      </c>
      <c r="D4067" s="1" t="s">
        <v>2506</v>
      </c>
      <c r="E4067" s="1" t="s">
        <v>2019</v>
      </c>
      <c r="F4067" s="1" t="s">
        <v>403</v>
      </c>
      <c r="G4067" s="6">
        <v>3131477</v>
      </c>
      <c r="H4067">
        <f>IFERROR(VLOOKUP(F4067,'LEAID Match'!$A$2:$B$142,2,FALSE),"")</f>
        <v>2802670</v>
      </c>
    </row>
    <row r="4068" spans="1:8" x14ac:dyDescent="0.2">
      <c r="A4068">
        <f t="shared" si="63"/>
        <v>2802670</v>
      </c>
      <c r="B4068" s="1">
        <v>2023</v>
      </c>
      <c r="C4068" s="1" t="s">
        <v>2505</v>
      </c>
      <c r="D4068" s="1" t="s">
        <v>2506</v>
      </c>
      <c r="E4068" s="1" t="s">
        <v>2019</v>
      </c>
      <c r="F4068" s="1" t="s">
        <v>403</v>
      </c>
      <c r="G4068" s="6">
        <v>3251445</v>
      </c>
      <c r="H4068">
        <f>IFERROR(VLOOKUP(F4068,'LEAID Match'!$A$2:$B$142,2,FALSE),"")</f>
        <v>2802670</v>
      </c>
    </row>
    <row r="4069" spans="1:8" x14ac:dyDescent="0.2">
      <c r="A4069">
        <f t="shared" si="63"/>
        <v>2802670</v>
      </c>
      <c r="B4069" s="1">
        <v>2024</v>
      </c>
      <c r="C4069" s="1" t="s">
        <v>2505</v>
      </c>
      <c r="D4069" s="1" t="s">
        <v>2506</v>
      </c>
      <c r="E4069" s="1" t="s">
        <v>2019</v>
      </c>
      <c r="F4069" s="1" t="s">
        <v>403</v>
      </c>
      <c r="G4069" s="6">
        <v>3236541</v>
      </c>
      <c r="H4069">
        <f>IFERROR(VLOOKUP(F4069,'LEAID Match'!$A$2:$B$142,2,FALSE),"")</f>
        <v>2802670</v>
      </c>
    </row>
    <row r="4070" spans="1:8" x14ac:dyDescent="0.2">
      <c r="A4070" t="str">
        <f t="shared" si="63"/>
        <v/>
      </c>
      <c r="B4070" s="1">
        <v>2015</v>
      </c>
      <c r="C4070" s="1" t="s">
        <v>2505</v>
      </c>
      <c r="D4070" s="1" t="s">
        <v>2506</v>
      </c>
      <c r="E4070" s="1" t="s">
        <v>2019</v>
      </c>
      <c r="F4070" s="1" t="s">
        <v>404</v>
      </c>
      <c r="G4070" s="6">
        <v>6543</v>
      </c>
      <c r="H4070" t="str">
        <f>IFERROR(VLOOKUP(F4070,'LEAID Match'!$A$2:$B$142,2,FALSE),"")</f>
        <v/>
      </c>
    </row>
    <row r="4071" spans="1:8" x14ac:dyDescent="0.2">
      <c r="A4071" t="str">
        <f t="shared" si="63"/>
        <v/>
      </c>
      <c r="B4071">
        <v>2016</v>
      </c>
      <c r="C4071" s="1" t="s">
        <v>2505</v>
      </c>
      <c r="D4071" s="1" t="s">
        <v>2506</v>
      </c>
      <c r="E4071" s="1" t="s">
        <v>2019</v>
      </c>
      <c r="F4071" s="1" t="s">
        <v>404</v>
      </c>
      <c r="G4071" s="12">
        <v>6549</v>
      </c>
      <c r="H4071" t="str">
        <f>IFERROR(VLOOKUP(F4071,'LEAID Match'!$A$2:$B$142,2,FALSE),"")</f>
        <v/>
      </c>
    </row>
    <row r="4072" spans="1:8" x14ac:dyDescent="0.2">
      <c r="A4072" t="str">
        <f t="shared" si="63"/>
        <v/>
      </c>
      <c r="B4072" s="1">
        <v>2017</v>
      </c>
      <c r="C4072" s="1" t="s">
        <v>2505</v>
      </c>
      <c r="D4072" s="1" t="s">
        <v>2506</v>
      </c>
      <c r="E4072" s="1" t="s">
        <v>2019</v>
      </c>
      <c r="F4072" s="1" t="s">
        <v>404</v>
      </c>
      <c r="G4072" s="47">
        <v>6549</v>
      </c>
      <c r="H4072" t="str">
        <f>IFERROR(VLOOKUP(F4072,'LEAID Match'!$A$2:$B$142,2,FALSE),"")</f>
        <v/>
      </c>
    </row>
    <row r="4073" spans="1:8" x14ac:dyDescent="0.2">
      <c r="A4073" t="str">
        <f t="shared" si="63"/>
        <v/>
      </c>
      <c r="B4073" s="1">
        <v>2018</v>
      </c>
      <c r="C4073" s="1" t="s">
        <v>2505</v>
      </c>
      <c r="D4073" s="1" t="s">
        <v>2506</v>
      </c>
      <c r="E4073" s="1" t="s">
        <v>2019</v>
      </c>
      <c r="F4073" s="1" t="s">
        <v>404</v>
      </c>
      <c r="G4073" s="6">
        <v>6549</v>
      </c>
      <c r="H4073" t="str">
        <f>IFERROR(VLOOKUP(F4073,'LEAID Match'!$A$2:$B$142,2,FALSE),"")</f>
        <v/>
      </c>
    </row>
    <row r="4074" spans="1:8" x14ac:dyDescent="0.2">
      <c r="A4074" t="str">
        <f t="shared" si="63"/>
        <v/>
      </c>
      <c r="B4074" s="1">
        <v>2019</v>
      </c>
      <c r="C4074" s="1" t="s">
        <v>2505</v>
      </c>
      <c r="D4074" s="1" t="s">
        <v>2506</v>
      </c>
      <c r="E4074" s="1" t="s">
        <v>2019</v>
      </c>
      <c r="F4074" s="1" t="s">
        <v>404</v>
      </c>
      <c r="G4074" s="6">
        <v>6549</v>
      </c>
      <c r="H4074" t="str">
        <f>IFERROR(VLOOKUP(F4074,'LEAID Match'!$A$2:$B$142,2,FALSE),"")</f>
        <v/>
      </c>
    </row>
    <row r="4075" spans="1:8" x14ac:dyDescent="0.2">
      <c r="A4075" t="str">
        <f t="shared" si="63"/>
        <v/>
      </c>
      <c r="B4075" s="1">
        <v>2020</v>
      </c>
      <c r="C4075" s="1" t="s">
        <v>2505</v>
      </c>
      <c r="D4075" s="1" t="s">
        <v>2506</v>
      </c>
      <c r="E4075" s="1" t="s">
        <v>2019</v>
      </c>
      <c r="F4075" s="1" t="s">
        <v>404</v>
      </c>
      <c r="G4075" s="6">
        <v>7235</v>
      </c>
      <c r="H4075" t="str">
        <f>IFERROR(VLOOKUP(F4075,'LEAID Match'!$A$2:$B$142,2,FALSE),"")</f>
        <v/>
      </c>
    </row>
    <row r="4076" spans="1:8" x14ac:dyDescent="0.2">
      <c r="A4076" t="str">
        <f t="shared" si="63"/>
        <v/>
      </c>
      <c r="B4076" s="1">
        <v>2021</v>
      </c>
      <c r="C4076" s="1" t="s">
        <v>2505</v>
      </c>
      <c r="D4076" s="1" t="s">
        <v>2506</v>
      </c>
      <c r="E4076" s="1" t="s">
        <v>2019</v>
      </c>
      <c r="F4076" s="1" t="s">
        <v>404</v>
      </c>
      <c r="G4076" s="6">
        <v>7541</v>
      </c>
      <c r="H4076" t="str">
        <f>IFERROR(VLOOKUP(F4076,'LEAID Match'!$A$2:$B$142,2,FALSE),"")</f>
        <v/>
      </c>
    </row>
    <row r="4077" spans="1:8" x14ac:dyDescent="0.2">
      <c r="A4077" t="str">
        <f t="shared" si="63"/>
        <v/>
      </c>
      <c r="B4077" s="1">
        <v>2022</v>
      </c>
      <c r="C4077" s="1" t="s">
        <v>2505</v>
      </c>
      <c r="D4077" s="1" t="s">
        <v>2506</v>
      </c>
      <c r="E4077" s="1" t="s">
        <v>2019</v>
      </c>
      <c r="F4077" s="1" t="s">
        <v>404</v>
      </c>
      <c r="G4077" s="6">
        <v>7646</v>
      </c>
      <c r="H4077" t="str">
        <f>IFERROR(VLOOKUP(F4077,'LEAID Match'!$A$2:$B$142,2,FALSE),"")</f>
        <v/>
      </c>
    </row>
    <row r="4078" spans="1:8" x14ac:dyDescent="0.2">
      <c r="A4078" t="str">
        <f t="shared" si="63"/>
        <v/>
      </c>
      <c r="B4078" s="1">
        <v>2023</v>
      </c>
      <c r="C4078" s="1" t="s">
        <v>2505</v>
      </c>
      <c r="D4078" s="1" t="s">
        <v>2506</v>
      </c>
      <c r="E4078" s="1" t="s">
        <v>2019</v>
      </c>
      <c r="F4078" s="1" t="s">
        <v>404</v>
      </c>
      <c r="G4078" s="6">
        <v>8436</v>
      </c>
      <c r="H4078" t="str">
        <f>IFERROR(VLOOKUP(F4078,'LEAID Match'!$A$2:$B$142,2,FALSE),"")</f>
        <v/>
      </c>
    </row>
    <row r="4079" spans="1:8" x14ac:dyDescent="0.2">
      <c r="A4079" t="str">
        <f t="shared" si="63"/>
        <v/>
      </c>
      <c r="B4079" s="1">
        <v>2024</v>
      </c>
      <c r="C4079" s="1" t="s">
        <v>2505</v>
      </c>
      <c r="D4079" s="1" t="s">
        <v>2506</v>
      </c>
      <c r="E4079" s="1" t="s">
        <v>2019</v>
      </c>
      <c r="F4079" s="1" t="s">
        <v>404</v>
      </c>
      <c r="G4079" s="6">
        <v>7861</v>
      </c>
      <c r="H4079" t="str">
        <f>IFERROR(VLOOKUP(F4079,'LEAID Match'!$A$2:$B$142,2,FALSE),"")</f>
        <v/>
      </c>
    </row>
    <row r="4080" spans="1:8" x14ac:dyDescent="0.2">
      <c r="A4080" t="str">
        <f t="shared" si="63"/>
        <v/>
      </c>
      <c r="B4080" s="1">
        <v>2015</v>
      </c>
      <c r="C4080" s="1" t="s">
        <v>2505</v>
      </c>
      <c r="D4080" s="1" t="s">
        <v>2506</v>
      </c>
      <c r="E4080" s="1" t="s">
        <v>2019</v>
      </c>
      <c r="F4080" s="1" t="s">
        <v>405</v>
      </c>
      <c r="G4080" s="6">
        <v>9384</v>
      </c>
      <c r="H4080" t="str">
        <f>IFERROR(VLOOKUP(F4080,'LEAID Match'!$A$2:$B$142,2,FALSE),"")</f>
        <v/>
      </c>
    </row>
    <row r="4081" spans="1:8" x14ac:dyDescent="0.2">
      <c r="A4081" t="str">
        <f t="shared" si="63"/>
        <v/>
      </c>
      <c r="B4081">
        <v>2016</v>
      </c>
      <c r="C4081" s="1" t="s">
        <v>2505</v>
      </c>
      <c r="D4081" s="1" t="s">
        <v>2506</v>
      </c>
      <c r="E4081" s="1" t="s">
        <v>2019</v>
      </c>
      <c r="F4081" s="1" t="s">
        <v>405</v>
      </c>
      <c r="G4081" s="12">
        <v>8578</v>
      </c>
      <c r="H4081" t="str">
        <f>IFERROR(VLOOKUP(F4081,'LEAID Match'!$A$2:$B$142,2,FALSE),"")</f>
        <v/>
      </c>
    </row>
    <row r="4082" spans="1:8" x14ac:dyDescent="0.2">
      <c r="A4082" t="str">
        <f t="shared" si="63"/>
        <v/>
      </c>
      <c r="B4082" s="1">
        <v>2017</v>
      </c>
      <c r="C4082" s="1" t="s">
        <v>2505</v>
      </c>
      <c r="D4082" s="1" t="s">
        <v>2506</v>
      </c>
      <c r="E4082" s="1" t="s">
        <v>2019</v>
      </c>
      <c r="F4082" s="1" t="s">
        <v>405</v>
      </c>
      <c r="G4082" s="47">
        <v>8581</v>
      </c>
      <c r="H4082" t="str">
        <f>IFERROR(VLOOKUP(F4082,'LEAID Match'!$A$2:$B$142,2,FALSE),"")</f>
        <v/>
      </c>
    </row>
    <row r="4083" spans="1:8" x14ac:dyDescent="0.2">
      <c r="A4083" t="str">
        <f t="shared" si="63"/>
        <v/>
      </c>
      <c r="B4083" s="1">
        <v>2018</v>
      </c>
      <c r="C4083" s="1" t="s">
        <v>2505</v>
      </c>
      <c r="D4083" s="1" t="s">
        <v>2506</v>
      </c>
      <c r="E4083" s="1" t="s">
        <v>2019</v>
      </c>
      <c r="F4083" s="1" t="s">
        <v>405</v>
      </c>
      <c r="G4083" s="6">
        <v>8555</v>
      </c>
      <c r="H4083" t="str">
        <f>IFERROR(VLOOKUP(F4083,'LEAID Match'!$A$2:$B$142,2,FALSE),"")</f>
        <v/>
      </c>
    </row>
    <row r="4084" spans="1:8" x14ac:dyDescent="0.2">
      <c r="A4084" t="str">
        <f t="shared" si="63"/>
        <v/>
      </c>
      <c r="B4084" s="1">
        <v>2019</v>
      </c>
      <c r="C4084" s="1" t="s">
        <v>2505</v>
      </c>
      <c r="D4084" s="1" t="s">
        <v>2506</v>
      </c>
      <c r="E4084" s="1" t="s">
        <v>2019</v>
      </c>
      <c r="F4084" s="1" t="s">
        <v>405</v>
      </c>
      <c r="G4084" s="6">
        <v>8738</v>
      </c>
      <c r="H4084" t="str">
        <f>IFERROR(VLOOKUP(F4084,'LEAID Match'!$A$2:$B$142,2,FALSE),"")</f>
        <v/>
      </c>
    </row>
    <row r="4085" spans="1:8" x14ac:dyDescent="0.2">
      <c r="A4085" t="str">
        <f t="shared" si="63"/>
        <v/>
      </c>
      <c r="B4085" s="1">
        <v>2020</v>
      </c>
      <c r="C4085" s="1" t="s">
        <v>2505</v>
      </c>
      <c r="D4085" s="1" t="s">
        <v>2506</v>
      </c>
      <c r="E4085" s="1" t="s">
        <v>2019</v>
      </c>
      <c r="F4085" s="1" t="s">
        <v>405</v>
      </c>
      <c r="G4085" s="6">
        <v>10094</v>
      </c>
      <c r="H4085" t="str">
        <f>IFERROR(VLOOKUP(F4085,'LEAID Match'!$A$2:$B$142,2,FALSE),"")</f>
        <v/>
      </c>
    </row>
    <row r="4086" spans="1:8" x14ac:dyDescent="0.2">
      <c r="A4086" t="str">
        <f t="shared" si="63"/>
        <v/>
      </c>
      <c r="B4086" s="1">
        <v>2021</v>
      </c>
      <c r="C4086" s="1" t="s">
        <v>2505</v>
      </c>
      <c r="D4086" s="1" t="s">
        <v>2506</v>
      </c>
      <c r="E4086" s="1" t="s">
        <v>2019</v>
      </c>
      <c r="F4086" s="1" t="s">
        <v>405</v>
      </c>
      <c r="G4086" s="6">
        <v>9997</v>
      </c>
      <c r="H4086" t="str">
        <f>IFERROR(VLOOKUP(F4086,'LEAID Match'!$A$2:$B$142,2,FALSE),"")</f>
        <v/>
      </c>
    </row>
    <row r="4087" spans="1:8" x14ac:dyDescent="0.2">
      <c r="A4087" t="str">
        <f t="shared" si="63"/>
        <v/>
      </c>
      <c r="B4087" s="1">
        <v>2022</v>
      </c>
      <c r="C4087" s="1" t="s">
        <v>2505</v>
      </c>
      <c r="D4087" s="1" t="s">
        <v>2506</v>
      </c>
      <c r="E4087" s="1" t="s">
        <v>2019</v>
      </c>
      <c r="F4087" s="1" t="s">
        <v>405</v>
      </c>
      <c r="G4087" s="6">
        <v>10235</v>
      </c>
      <c r="H4087" t="str">
        <f>IFERROR(VLOOKUP(F4087,'LEAID Match'!$A$2:$B$142,2,FALSE),"")</f>
        <v/>
      </c>
    </row>
    <row r="4088" spans="1:8" x14ac:dyDescent="0.2">
      <c r="A4088" t="str">
        <f t="shared" si="63"/>
        <v/>
      </c>
      <c r="B4088" s="1">
        <v>2023</v>
      </c>
      <c r="C4088" s="1" t="s">
        <v>2505</v>
      </c>
      <c r="D4088" s="1" t="s">
        <v>2506</v>
      </c>
      <c r="E4088" s="1" t="s">
        <v>2019</v>
      </c>
      <c r="F4088" s="1" t="s">
        <v>405</v>
      </c>
      <c r="G4088" s="6">
        <v>10769</v>
      </c>
      <c r="H4088" t="str">
        <f>IFERROR(VLOOKUP(F4088,'LEAID Match'!$A$2:$B$142,2,FALSE),"")</f>
        <v/>
      </c>
    </row>
    <row r="4089" spans="1:8" x14ac:dyDescent="0.2">
      <c r="A4089" t="str">
        <f t="shared" si="63"/>
        <v/>
      </c>
      <c r="B4089" s="1">
        <v>2024</v>
      </c>
      <c r="C4089" s="1" t="s">
        <v>2505</v>
      </c>
      <c r="D4089" s="1" t="s">
        <v>2506</v>
      </c>
      <c r="E4089" s="1" t="s">
        <v>2019</v>
      </c>
      <c r="F4089" s="1" t="s">
        <v>405</v>
      </c>
      <c r="G4089" s="6">
        <v>10113</v>
      </c>
      <c r="H4089" t="str">
        <f>IFERROR(VLOOKUP(F4089,'LEAID Match'!$A$2:$B$142,2,FALSE),"")</f>
        <v/>
      </c>
    </row>
    <row r="4090" spans="1:8" x14ac:dyDescent="0.2">
      <c r="A4090" t="str">
        <f t="shared" si="63"/>
        <v/>
      </c>
      <c r="B4090" s="1">
        <v>2015</v>
      </c>
      <c r="C4090" s="1" t="s">
        <v>2505</v>
      </c>
      <c r="D4090" s="1" t="s">
        <v>2506</v>
      </c>
      <c r="E4090" s="1" t="s">
        <v>2019</v>
      </c>
      <c r="F4090" s="1" t="s">
        <v>406</v>
      </c>
      <c r="G4090" s="6">
        <v>353971</v>
      </c>
      <c r="H4090" t="str">
        <f>IFERROR(VLOOKUP(F4090,'LEAID Match'!$A$2:$B$142,2,FALSE),"")</f>
        <v/>
      </c>
    </row>
    <row r="4091" spans="1:8" x14ac:dyDescent="0.2">
      <c r="A4091" t="str">
        <f t="shared" si="63"/>
        <v/>
      </c>
      <c r="B4091">
        <v>2016</v>
      </c>
      <c r="C4091" s="1" t="s">
        <v>2505</v>
      </c>
      <c r="D4091" s="1" t="s">
        <v>2506</v>
      </c>
      <c r="E4091" s="1" t="s">
        <v>2019</v>
      </c>
      <c r="F4091" s="1" t="s">
        <v>406</v>
      </c>
      <c r="G4091" s="12">
        <v>362911</v>
      </c>
      <c r="H4091" t="str">
        <f>IFERROR(VLOOKUP(F4091,'LEAID Match'!$A$2:$B$142,2,FALSE),"")</f>
        <v/>
      </c>
    </row>
    <row r="4092" spans="1:8" x14ac:dyDescent="0.2">
      <c r="A4092" t="str">
        <f t="shared" si="63"/>
        <v/>
      </c>
      <c r="B4092" s="1">
        <v>2017</v>
      </c>
      <c r="C4092" s="1" t="s">
        <v>2505</v>
      </c>
      <c r="D4092" s="1" t="s">
        <v>2506</v>
      </c>
      <c r="E4092" s="1" t="s">
        <v>2019</v>
      </c>
      <c r="F4092" s="1" t="s">
        <v>406</v>
      </c>
      <c r="G4092" s="47">
        <v>354507</v>
      </c>
      <c r="H4092" t="str">
        <f>IFERROR(VLOOKUP(F4092,'LEAID Match'!$A$2:$B$142,2,FALSE),"")</f>
        <v/>
      </c>
    </row>
    <row r="4093" spans="1:8" x14ac:dyDescent="0.2">
      <c r="A4093" t="str">
        <f t="shared" si="63"/>
        <v/>
      </c>
      <c r="B4093" s="1">
        <v>2018</v>
      </c>
      <c r="C4093" s="1" t="s">
        <v>2505</v>
      </c>
      <c r="D4093" s="1" t="s">
        <v>2506</v>
      </c>
      <c r="E4093" s="1" t="s">
        <v>2019</v>
      </c>
      <c r="F4093" s="1" t="s">
        <v>406</v>
      </c>
      <c r="G4093" s="6">
        <v>371813</v>
      </c>
      <c r="H4093" t="str">
        <f>IFERROR(VLOOKUP(F4093,'LEAID Match'!$A$2:$B$142,2,FALSE),"")</f>
        <v/>
      </c>
    </row>
    <row r="4094" spans="1:8" x14ac:dyDescent="0.2">
      <c r="A4094" t="str">
        <f t="shared" si="63"/>
        <v/>
      </c>
      <c r="B4094" s="1">
        <v>2019</v>
      </c>
      <c r="C4094" s="1" t="s">
        <v>2505</v>
      </c>
      <c r="D4094" s="1" t="s">
        <v>2506</v>
      </c>
      <c r="E4094" s="1" t="s">
        <v>2019</v>
      </c>
      <c r="F4094" s="1" t="s">
        <v>406</v>
      </c>
      <c r="G4094" s="6">
        <v>378447</v>
      </c>
      <c r="H4094" t="str">
        <f>IFERROR(VLOOKUP(F4094,'LEAID Match'!$A$2:$B$142,2,FALSE),"")</f>
        <v/>
      </c>
    </row>
    <row r="4095" spans="1:8" x14ac:dyDescent="0.2">
      <c r="A4095" t="str">
        <f t="shared" si="63"/>
        <v/>
      </c>
      <c r="B4095" s="1">
        <v>2020</v>
      </c>
      <c r="C4095" s="1" t="s">
        <v>2505</v>
      </c>
      <c r="D4095" s="1" t="s">
        <v>2506</v>
      </c>
      <c r="E4095" s="1" t="s">
        <v>2019</v>
      </c>
      <c r="F4095" s="1" t="s">
        <v>406</v>
      </c>
      <c r="G4095" s="6">
        <v>425179</v>
      </c>
      <c r="H4095" t="str">
        <f>IFERROR(VLOOKUP(F4095,'LEAID Match'!$A$2:$B$142,2,FALSE),"")</f>
        <v/>
      </c>
    </row>
    <row r="4096" spans="1:8" x14ac:dyDescent="0.2">
      <c r="A4096" t="str">
        <f t="shared" si="63"/>
        <v/>
      </c>
      <c r="B4096" s="1">
        <v>2021</v>
      </c>
      <c r="C4096" s="1" t="s">
        <v>2505</v>
      </c>
      <c r="D4096" s="1" t="s">
        <v>2506</v>
      </c>
      <c r="E4096" s="1" t="s">
        <v>2019</v>
      </c>
      <c r="F4096" s="1" t="s">
        <v>406</v>
      </c>
      <c r="G4096" s="6">
        <v>430587</v>
      </c>
      <c r="H4096" t="str">
        <f>IFERROR(VLOOKUP(F4096,'LEAID Match'!$A$2:$B$142,2,FALSE),"")</f>
        <v/>
      </c>
    </row>
    <row r="4097" spans="1:8" x14ac:dyDescent="0.2">
      <c r="A4097" t="str">
        <f t="shared" si="63"/>
        <v/>
      </c>
      <c r="B4097" s="1">
        <v>2022</v>
      </c>
      <c r="C4097" s="1" t="s">
        <v>2505</v>
      </c>
      <c r="D4097" s="1" t="s">
        <v>2506</v>
      </c>
      <c r="E4097" s="1" t="s">
        <v>2019</v>
      </c>
      <c r="F4097" s="1" t="s">
        <v>406</v>
      </c>
      <c r="G4097" s="6">
        <v>473204</v>
      </c>
      <c r="H4097" t="str">
        <f>IFERROR(VLOOKUP(F4097,'LEAID Match'!$A$2:$B$142,2,FALSE),"")</f>
        <v/>
      </c>
    </row>
    <row r="4098" spans="1:8" x14ac:dyDescent="0.2">
      <c r="A4098" t="str">
        <f t="shared" si="63"/>
        <v/>
      </c>
      <c r="B4098" s="1">
        <v>2023</v>
      </c>
      <c r="C4098" s="1" t="s">
        <v>2505</v>
      </c>
      <c r="D4098" s="1" t="s">
        <v>2506</v>
      </c>
      <c r="E4098" s="1" t="s">
        <v>2019</v>
      </c>
      <c r="F4098" s="1" t="s">
        <v>406</v>
      </c>
      <c r="G4098" s="6">
        <v>530313</v>
      </c>
      <c r="H4098" t="str">
        <f>IFERROR(VLOOKUP(F4098,'LEAID Match'!$A$2:$B$142,2,FALSE),"")</f>
        <v/>
      </c>
    </row>
    <row r="4099" spans="1:8" x14ac:dyDescent="0.2">
      <c r="A4099" t="str">
        <f t="shared" ref="A4099:A4162" si="64">H4099</f>
        <v/>
      </c>
      <c r="B4099" s="1">
        <v>2024</v>
      </c>
      <c r="C4099" s="1" t="s">
        <v>2505</v>
      </c>
      <c r="D4099" s="1" t="s">
        <v>2506</v>
      </c>
      <c r="E4099" s="1" t="s">
        <v>2019</v>
      </c>
      <c r="F4099" s="1" t="s">
        <v>406</v>
      </c>
      <c r="G4099" s="6">
        <v>546262</v>
      </c>
      <c r="H4099" t="str">
        <f>IFERROR(VLOOKUP(F4099,'LEAID Match'!$A$2:$B$142,2,FALSE),"")</f>
        <v/>
      </c>
    </row>
    <row r="4100" spans="1:8" x14ac:dyDescent="0.2">
      <c r="A4100" t="str">
        <f t="shared" si="64"/>
        <v/>
      </c>
      <c r="B4100" s="1">
        <v>2015</v>
      </c>
      <c r="C4100" s="1" t="s">
        <v>2505</v>
      </c>
      <c r="D4100" s="1" t="s">
        <v>2506</v>
      </c>
      <c r="E4100" s="1" t="s">
        <v>2019</v>
      </c>
      <c r="F4100" s="1" t="s">
        <v>407</v>
      </c>
      <c r="G4100" s="6">
        <v>124016</v>
      </c>
      <c r="H4100" t="str">
        <f>IFERROR(VLOOKUP(F4100,'LEAID Match'!$A$2:$B$142,2,FALSE),"")</f>
        <v/>
      </c>
    </row>
    <row r="4101" spans="1:8" x14ac:dyDescent="0.2">
      <c r="A4101" t="str">
        <f t="shared" si="64"/>
        <v/>
      </c>
      <c r="B4101">
        <v>2016</v>
      </c>
      <c r="C4101" s="1" t="s">
        <v>2505</v>
      </c>
      <c r="D4101" s="1" t="s">
        <v>2506</v>
      </c>
      <c r="E4101" s="1" t="s">
        <v>2019</v>
      </c>
      <c r="F4101" s="1" t="s">
        <v>407</v>
      </c>
      <c r="G4101" s="12">
        <v>125364</v>
      </c>
      <c r="H4101" t="str">
        <f>IFERROR(VLOOKUP(F4101,'LEAID Match'!$A$2:$B$142,2,FALSE),"")</f>
        <v/>
      </c>
    </row>
    <row r="4102" spans="1:8" x14ac:dyDescent="0.2">
      <c r="A4102" t="str">
        <f t="shared" si="64"/>
        <v/>
      </c>
      <c r="B4102" s="1">
        <v>2017</v>
      </c>
      <c r="C4102" s="1" t="s">
        <v>2505</v>
      </c>
      <c r="D4102" s="1" t="s">
        <v>2506</v>
      </c>
      <c r="E4102" s="1" t="s">
        <v>2019</v>
      </c>
      <c r="F4102" s="1" t="s">
        <v>407</v>
      </c>
      <c r="G4102" s="47">
        <v>124748</v>
      </c>
      <c r="H4102" t="str">
        <f>IFERROR(VLOOKUP(F4102,'LEAID Match'!$A$2:$B$142,2,FALSE),"")</f>
        <v/>
      </c>
    </row>
    <row r="4103" spans="1:8" x14ac:dyDescent="0.2">
      <c r="A4103" t="str">
        <f t="shared" si="64"/>
        <v/>
      </c>
      <c r="B4103" s="1">
        <v>2018</v>
      </c>
      <c r="C4103" s="1" t="s">
        <v>2505</v>
      </c>
      <c r="D4103" s="1" t="s">
        <v>2506</v>
      </c>
      <c r="E4103" s="1" t="s">
        <v>2019</v>
      </c>
      <c r="F4103" s="1" t="s">
        <v>407</v>
      </c>
      <c r="G4103" s="6">
        <v>127619</v>
      </c>
      <c r="H4103" t="str">
        <f>IFERROR(VLOOKUP(F4103,'LEAID Match'!$A$2:$B$142,2,FALSE),"")</f>
        <v/>
      </c>
    </row>
    <row r="4104" spans="1:8" x14ac:dyDescent="0.2">
      <c r="A4104" t="str">
        <f t="shared" si="64"/>
        <v/>
      </c>
      <c r="B4104" s="1">
        <v>2019</v>
      </c>
      <c r="C4104" s="1" t="s">
        <v>2505</v>
      </c>
      <c r="D4104" s="1" t="s">
        <v>2506</v>
      </c>
      <c r="E4104" s="1" t="s">
        <v>2019</v>
      </c>
      <c r="F4104" s="1" t="s">
        <v>407</v>
      </c>
      <c r="G4104" s="6">
        <v>137308</v>
      </c>
      <c r="H4104" t="str">
        <f>IFERROR(VLOOKUP(F4104,'LEAID Match'!$A$2:$B$142,2,FALSE),"")</f>
        <v/>
      </c>
    </row>
    <row r="4105" spans="1:8" x14ac:dyDescent="0.2">
      <c r="A4105" t="str">
        <f t="shared" si="64"/>
        <v/>
      </c>
      <c r="B4105" s="1">
        <v>2020</v>
      </c>
      <c r="C4105" s="1" t="s">
        <v>2505</v>
      </c>
      <c r="D4105" s="1" t="s">
        <v>2506</v>
      </c>
      <c r="E4105" s="1" t="s">
        <v>2019</v>
      </c>
      <c r="F4105" s="1" t="s">
        <v>407</v>
      </c>
      <c r="G4105" s="6">
        <v>160159</v>
      </c>
      <c r="H4105" t="str">
        <f>IFERROR(VLOOKUP(F4105,'LEAID Match'!$A$2:$B$142,2,FALSE),"")</f>
        <v/>
      </c>
    </row>
    <row r="4106" spans="1:8" x14ac:dyDescent="0.2">
      <c r="A4106" t="str">
        <f t="shared" si="64"/>
        <v/>
      </c>
      <c r="B4106" s="1">
        <v>2021</v>
      </c>
      <c r="C4106" s="1" t="s">
        <v>2505</v>
      </c>
      <c r="D4106" s="1" t="s">
        <v>2506</v>
      </c>
      <c r="E4106" s="1" t="s">
        <v>2019</v>
      </c>
      <c r="F4106" s="1" t="s">
        <v>407</v>
      </c>
      <c r="G4106" s="6">
        <v>169653</v>
      </c>
      <c r="H4106" t="str">
        <f>IFERROR(VLOOKUP(F4106,'LEAID Match'!$A$2:$B$142,2,FALSE),"")</f>
        <v/>
      </c>
    </row>
    <row r="4107" spans="1:8" x14ac:dyDescent="0.2">
      <c r="A4107" t="str">
        <f t="shared" si="64"/>
        <v/>
      </c>
      <c r="B4107" s="1">
        <v>2022</v>
      </c>
      <c r="C4107" s="1" t="s">
        <v>2505</v>
      </c>
      <c r="D4107" s="1" t="s">
        <v>2506</v>
      </c>
      <c r="E4107" s="1" t="s">
        <v>2019</v>
      </c>
      <c r="F4107" s="1" t="s">
        <v>407</v>
      </c>
      <c r="G4107" s="6">
        <v>167036</v>
      </c>
      <c r="H4107" t="str">
        <f>IFERROR(VLOOKUP(F4107,'LEAID Match'!$A$2:$B$142,2,FALSE),"")</f>
        <v/>
      </c>
    </row>
    <row r="4108" spans="1:8" x14ac:dyDescent="0.2">
      <c r="A4108" t="str">
        <f t="shared" si="64"/>
        <v/>
      </c>
      <c r="B4108" s="1">
        <v>2023</v>
      </c>
      <c r="C4108" s="1" t="s">
        <v>2505</v>
      </c>
      <c r="D4108" s="1" t="s">
        <v>2506</v>
      </c>
      <c r="E4108" s="1" t="s">
        <v>2019</v>
      </c>
      <c r="F4108" s="1" t="s">
        <v>407</v>
      </c>
      <c r="G4108" s="6">
        <v>175757</v>
      </c>
      <c r="H4108" t="str">
        <f>IFERROR(VLOOKUP(F4108,'LEAID Match'!$A$2:$B$142,2,FALSE),"")</f>
        <v/>
      </c>
    </row>
    <row r="4109" spans="1:8" x14ac:dyDescent="0.2">
      <c r="A4109" t="str">
        <f t="shared" si="64"/>
        <v/>
      </c>
      <c r="B4109" s="1">
        <v>2024</v>
      </c>
      <c r="C4109" s="1" t="s">
        <v>2505</v>
      </c>
      <c r="D4109" s="1" t="s">
        <v>2506</v>
      </c>
      <c r="E4109" s="1" t="s">
        <v>2019</v>
      </c>
      <c r="F4109" s="1" t="s">
        <v>407</v>
      </c>
      <c r="G4109" s="6">
        <v>181043</v>
      </c>
      <c r="H4109" t="str">
        <f>IFERROR(VLOOKUP(F4109,'LEAID Match'!$A$2:$B$142,2,FALSE),"")</f>
        <v/>
      </c>
    </row>
    <row r="4110" spans="1:8" x14ac:dyDescent="0.2">
      <c r="A4110" t="str">
        <f t="shared" si="64"/>
        <v/>
      </c>
      <c r="B4110" s="1">
        <v>2015</v>
      </c>
      <c r="C4110" s="1" t="s">
        <v>2505</v>
      </c>
      <c r="D4110" s="1" t="s">
        <v>2506</v>
      </c>
      <c r="E4110" s="1" t="s">
        <v>2019</v>
      </c>
      <c r="F4110" s="1" t="s">
        <v>408</v>
      </c>
      <c r="G4110" s="6">
        <v>38264</v>
      </c>
      <c r="H4110" t="str">
        <f>IFERROR(VLOOKUP(F4110,'LEAID Match'!$A$2:$B$142,2,FALSE),"")</f>
        <v/>
      </c>
    </row>
    <row r="4111" spans="1:8" x14ac:dyDescent="0.2">
      <c r="A4111" t="str">
        <f t="shared" si="64"/>
        <v/>
      </c>
      <c r="B4111">
        <v>2016</v>
      </c>
      <c r="C4111" s="1" t="s">
        <v>2505</v>
      </c>
      <c r="D4111" s="1" t="s">
        <v>2506</v>
      </c>
      <c r="E4111" s="1" t="s">
        <v>2019</v>
      </c>
      <c r="F4111" s="1" t="s">
        <v>408</v>
      </c>
      <c r="G4111" s="12">
        <v>45690</v>
      </c>
      <c r="H4111" t="str">
        <f>IFERROR(VLOOKUP(F4111,'LEAID Match'!$A$2:$B$142,2,FALSE),"")</f>
        <v/>
      </c>
    </row>
    <row r="4112" spans="1:8" x14ac:dyDescent="0.2">
      <c r="A4112" t="str">
        <f t="shared" si="64"/>
        <v/>
      </c>
      <c r="B4112" s="1">
        <v>2017</v>
      </c>
      <c r="C4112" s="1" t="s">
        <v>2505</v>
      </c>
      <c r="D4112" s="1" t="s">
        <v>2506</v>
      </c>
      <c r="E4112" s="1" t="s">
        <v>2019</v>
      </c>
      <c r="F4112" s="1" t="s">
        <v>408</v>
      </c>
      <c r="G4112" s="47">
        <v>45554</v>
      </c>
      <c r="H4112" t="str">
        <f>IFERROR(VLOOKUP(F4112,'LEAID Match'!$A$2:$B$142,2,FALSE),"")</f>
        <v/>
      </c>
    </row>
    <row r="4113" spans="1:8" x14ac:dyDescent="0.2">
      <c r="A4113" t="str">
        <f t="shared" si="64"/>
        <v/>
      </c>
      <c r="B4113" s="1">
        <v>2018</v>
      </c>
      <c r="C4113" s="1" t="s">
        <v>2505</v>
      </c>
      <c r="D4113" s="1" t="s">
        <v>2506</v>
      </c>
      <c r="E4113" s="1" t="s">
        <v>2019</v>
      </c>
      <c r="F4113" s="1" t="s">
        <v>408</v>
      </c>
      <c r="G4113" s="6">
        <v>40443</v>
      </c>
      <c r="H4113" t="str">
        <f>IFERROR(VLOOKUP(F4113,'LEAID Match'!$A$2:$B$142,2,FALSE),"")</f>
        <v/>
      </c>
    </row>
    <row r="4114" spans="1:8" x14ac:dyDescent="0.2">
      <c r="A4114" t="str">
        <f t="shared" si="64"/>
        <v/>
      </c>
      <c r="B4114" s="1">
        <v>2019</v>
      </c>
      <c r="C4114" s="1" t="s">
        <v>2505</v>
      </c>
      <c r="D4114" s="1" t="s">
        <v>2506</v>
      </c>
      <c r="E4114" s="1" t="s">
        <v>2019</v>
      </c>
      <c r="F4114" s="1" t="s">
        <v>408</v>
      </c>
      <c r="G4114" s="6">
        <v>40289</v>
      </c>
      <c r="H4114" t="str">
        <f>IFERROR(VLOOKUP(F4114,'LEAID Match'!$A$2:$B$142,2,FALSE),"")</f>
        <v/>
      </c>
    </row>
    <row r="4115" spans="1:8" x14ac:dyDescent="0.2">
      <c r="A4115" t="str">
        <f t="shared" si="64"/>
        <v/>
      </c>
      <c r="B4115" s="1">
        <v>2020</v>
      </c>
      <c r="C4115" s="1" t="s">
        <v>2505</v>
      </c>
      <c r="D4115" s="1" t="s">
        <v>2506</v>
      </c>
      <c r="E4115" s="1" t="s">
        <v>2019</v>
      </c>
      <c r="F4115" s="1" t="s">
        <v>408</v>
      </c>
      <c r="G4115" s="6">
        <v>41739</v>
      </c>
      <c r="H4115" t="str">
        <f>IFERROR(VLOOKUP(F4115,'LEAID Match'!$A$2:$B$142,2,FALSE),"")</f>
        <v/>
      </c>
    </row>
    <row r="4116" spans="1:8" x14ac:dyDescent="0.2">
      <c r="A4116" t="str">
        <f t="shared" si="64"/>
        <v/>
      </c>
      <c r="B4116" s="1">
        <v>2021</v>
      </c>
      <c r="C4116" s="1" t="s">
        <v>2505</v>
      </c>
      <c r="D4116" s="1" t="s">
        <v>2506</v>
      </c>
      <c r="E4116" s="1" t="s">
        <v>2019</v>
      </c>
      <c r="F4116" s="1" t="s">
        <v>408</v>
      </c>
      <c r="G4116" s="6">
        <v>41389</v>
      </c>
      <c r="H4116" t="str">
        <f>IFERROR(VLOOKUP(F4116,'LEAID Match'!$A$2:$B$142,2,FALSE),"")</f>
        <v/>
      </c>
    </row>
    <row r="4117" spans="1:8" x14ac:dyDescent="0.2">
      <c r="A4117" t="str">
        <f t="shared" si="64"/>
        <v/>
      </c>
      <c r="B4117" s="1">
        <v>2022</v>
      </c>
      <c r="C4117" s="1" t="s">
        <v>2505</v>
      </c>
      <c r="D4117" s="1" t="s">
        <v>2506</v>
      </c>
      <c r="E4117" s="1" t="s">
        <v>2019</v>
      </c>
      <c r="F4117" s="1" t="s">
        <v>408</v>
      </c>
      <c r="G4117" s="6">
        <v>42546</v>
      </c>
      <c r="H4117" t="str">
        <f>IFERROR(VLOOKUP(F4117,'LEAID Match'!$A$2:$B$142,2,FALSE),"")</f>
        <v/>
      </c>
    </row>
    <row r="4118" spans="1:8" x14ac:dyDescent="0.2">
      <c r="A4118" t="str">
        <f t="shared" si="64"/>
        <v/>
      </c>
      <c r="B4118" s="1">
        <v>2023</v>
      </c>
      <c r="C4118" s="1" t="s">
        <v>2505</v>
      </c>
      <c r="D4118" s="1" t="s">
        <v>2506</v>
      </c>
      <c r="E4118" s="1" t="s">
        <v>2019</v>
      </c>
      <c r="F4118" s="1" t="s">
        <v>408</v>
      </c>
      <c r="G4118" s="6">
        <v>46631</v>
      </c>
      <c r="H4118" t="str">
        <f>IFERROR(VLOOKUP(F4118,'LEAID Match'!$A$2:$B$142,2,FALSE),"")</f>
        <v/>
      </c>
    </row>
    <row r="4119" spans="1:8" x14ac:dyDescent="0.2">
      <c r="A4119" t="str">
        <f t="shared" si="64"/>
        <v/>
      </c>
      <c r="B4119" s="1">
        <v>2024</v>
      </c>
      <c r="C4119" s="1" t="s">
        <v>2505</v>
      </c>
      <c r="D4119" s="1" t="s">
        <v>2506</v>
      </c>
      <c r="E4119" s="1" t="s">
        <v>2019</v>
      </c>
      <c r="F4119" s="1" t="s">
        <v>408</v>
      </c>
      <c r="G4119" s="6">
        <v>43693</v>
      </c>
      <c r="H4119" t="str">
        <f>IFERROR(VLOOKUP(F4119,'LEAID Match'!$A$2:$B$142,2,FALSE),"")</f>
        <v/>
      </c>
    </row>
    <row r="4120" spans="1:8" x14ac:dyDescent="0.2">
      <c r="A4120">
        <f t="shared" si="64"/>
        <v>2802700</v>
      </c>
      <c r="B4120" s="1">
        <v>2015</v>
      </c>
      <c r="C4120" s="1" t="s">
        <v>2505</v>
      </c>
      <c r="D4120" s="1" t="s">
        <v>2506</v>
      </c>
      <c r="E4120" s="1" t="s">
        <v>2019</v>
      </c>
      <c r="F4120" s="1" t="s">
        <v>409</v>
      </c>
      <c r="G4120" s="6">
        <v>2260172</v>
      </c>
      <c r="H4120">
        <f>IFERROR(VLOOKUP(F4120,'LEAID Match'!$A$2:$B$142,2,FALSE),"")</f>
        <v>2802700</v>
      </c>
    </row>
    <row r="4121" spans="1:8" x14ac:dyDescent="0.2">
      <c r="A4121">
        <f t="shared" si="64"/>
        <v>2802700</v>
      </c>
      <c r="B4121">
        <v>2016</v>
      </c>
      <c r="C4121" s="1" t="s">
        <v>2505</v>
      </c>
      <c r="D4121" s="1" t="s">
        <v>2506</v>
      </c>
      <c r="E4121" s="1" t="s">
        <v>2019</v>
      </c>
      <c r="F4121" s="1" t="s">
        <v>409</v>
      </c>
      <c r="G4121" s="12">
        <v>2325588</v>
      </c>
      <c r="H4121">
        <f>IFERROR(VLOOKUP(F4121,'LEAID Match'!$A$2:$B$142,2,FALSE),"")</f>
        <v>2802700</v>
      </c>
    </row>
    <row r="4122" spans="1:8" x14ac:dyDescent="0.2">
      <c r="A4122">
        <f t="shared" si="64"/>
        <v>2802700</v>
      </c>
      <c r="B4122" s="1">
        <v>2017</v>
      </c>
      <c r="C4122" s="1" t="s">
        <v>2505</v>
      </c>
      <c r="D4122" s="1" t="s">
        <v>2506</v>
      </c>
      <c r="E4122" s="1" t="s">
        <v>2019</v>
      </c>
      <c r="F4122" s="1" t="s">
        <v>409</v>
      </c>
      <c r="G4122" s="47">
        <v>2335528</v>
      </c>
      <c r="H4122">
        <f>IFERROR(VLOOKUP(F4122,'LEAID Match'!$A$2:$B$142,2,FALSE),"")</f>
        <v>2802700</v>
      </c>
    </row>
    <row r="4123" spans="1:8" x14ac:dyDescent="0.2">
      <c r="A4123">
        <f t="shared" si="64"/>
        <v>2802700</v>
      </c>
      <c r="B4123" s="1">
        <v>2018</v>
      </c>
      <c r="C4123" s="1" t="s">
        <v>2505</v>
      </c>
      <c r="D4123" s="1" t="s">
        <v>2506</v>
      </c>
      <c r="E4123" s="1" t="s">
        <v>2019</v>
      </c>
      <c r="F4123" s="1" t="s">
        <v>409</v>
      </c>
      <c r="G4123" s="6">
        <v>2166175</v>
      </c>
      <c r="H4123">
        <f>IFERROR(VLOOKUP(F4123,'LEAID Match'!$A$2:$B$142,2,FALSE),"")</f>
        <v>2802700</v>
      </c>
    </row>
    <row r="4124" spans="1:8" x14ac:dyDescent="0.2">
      <c r="A4124">
        <f t="shared" si="64"/>
        <v>2802700</v>
      </c>
      <c r="B4124" s="1">
        <v>2019</v>
      </c>
      <c r="C4124" s="1" t="s">
        <v>2505</v>
      </c>
      <c r="D4124" s="1" t="s">
        <v>2506</v>
      </c>
      <c r="E4124" s="1" t="s">
        <v>2019</v>
      </c>
      <c r="F4124" s="1" t="s">
        <v>409</v>
      </c>
      <c r="G4124" s="6">
        <v>2528203</v>
      </c>
      <c r="H4124">
        <f>IFERROR(VLOOKUP(F4124,'LEAID Match'!$A$2:$B$142,2,FALSE),"")</f>
        <v>2802700</v>
      </c>
    </row>
    <row r="4125" spans="1:8" x14ac:dyDescent="0.2">
      <c r="A4125">
        <f t="shared" si="64"/>
        <v>2802700</v>
      </c>
      <c r="B4125" s="1">
        <v>2020</v>
      </c>
      <c r="C4125" s="1" t="s">
        <v>2505</v>
      </c>
      <c r="D4125" s="1" t="s">
        <v>2506</v>
      </c>
      <c r="E4125" s="1" t="s">
        <v>2019</v>
      </c>
      <c r="F4125" s="1" t="s">
        <v>409</v>
      </c>
      <c r="G4125" s="6">
        <v>2673543</v>
      </c>
      <c r="H4125">
        <f>IFERROR(VLOOKUP(F4125,'LEAID Match'!$A$2:$B$142,2,FALSE),"")</f>
        <v>2802700</v>
      </c>
    </row>
    <row r="4126" spans="1:8" x14ac:dyDescent="0.2">
      <c r="A4126">
        <f t="shared" si="64"/>
        <v>2802700</v>
      </c>
      <c r="B4126" s="1">
        <v>2021</v>
      </c>
      <c r="C4126" s="1" t="s">
        <v>2505</v>
      </c>
      <c r="D4126" s="1" t="s">
        <v>2506</v>
      </c>
      <c r="E4126" s="1" t="s">
        <v>2019</v>
      </c>
      <c r="F4126" s="1" t="s">
        <v>409</v>
      </c>
      <c r="G4126" s="6">
        <v>2744947</v>
      </c>
      <c r="H4126">
        <f>IFERROR(VLOOKUP(F4126,'LEAID Match'!$A$2:$B$142,2,FALSE),"")</f>
        <v>2802700</v>
      </c>
    </row>
    <row r="4127" spans="1:8" x14ac:dyDescent="0.2">
      <c r="A4127">
        <f t="shared" si="64"/>
        <v>2802700</v>
      </c>
      <c r="B4127" s="1">
        <v>2022</v>
      </c>
      <c r="C4127" s="1" t="s">
        <v>2505</v>
      </c>
      <c r="D4127" s="1" t="s">
        <v>2506</v>
      </c>
      <c r="E4127" s="1" t="s">
        <v>2019</v>
      </c>
      <c r="F4127" s="1" t="s">
        <v>409</v>
      </c>
      <c r="G4127" s="6">
        <v>2908224</v>
      </c>
      <c r="H4127">
        <f>IFERROR(VLOOKUP(F4127,'LEAID Match'!$A$2:$B$142,2,FALSE),"")</f>
        <v>2802700</v>
      </c>
    </row>
    <row r="4128" spans="1:8" x14ac:dyDescent="0.2">
      <c r="A4128">
        <f t="shared" si="64"/>
        <v>2802700</v>
      </c>
      <c r="B4128" s="1">
        <v>2023</v>
      </c>
      <c r="C4128" s="1" t="s">
        <v>2505</v>
      </c>
      <c r="D4128" s="1" t="s">
        <v>2506</v>
      </c>
      <c r="E4128" s="1" t="s">
        <v>2019</v>
      </c>
      <c r="F4128" s="1" t="s">
        <v>409</v>
      </c>
      <c r="G4128" s="6">
        <v>3211975</v>
      </c>
      <c r="H4128">
        <f>IFERROR(VLOOKUP(F4128,'LEAID Match'!$A$2:$B$142,2,FALSE),"")</f>
        <v>2802700</v>
      </c>
    </row>
    <row r="4129" spans="1:8" x14ac:dyDescent="0.2">
      <c r="A4129">
        <f t="shared" si="64"/>
        <v>2802700</v>
      </c>
      <c r="B4129" s="1">
        <v>2024</v>
      </c>
      <c r="C4129" s="1" t="s">
        <v>2505</v>
      </c>
      <c r="D4129" s="1" t="s">
        <v>2506</v>
      </c>
      <c r="E4129" s="1" t="s">
        <v>2019</v>
      </c>
      <c r="F4129" s="1" t="s">
        <v>409</v>
      </c>
      <c r="G4129" s="6">
        <v>3111661</v>
      </c>
      <c r="H4129">
        <f>IFERROR(VLOOKUP(F4129,'LEAID Match'!$A$2:$B$142,2,FALSE),"")</f>
        <v>2802700</v>
      </c>
    </row>
    <row r="4130" spans="1:8" x14ac:dyDescent="0.2">
      <c r="A4130" t="str">
        <f t="shared" si="64"/>
        <v/>
      </c>
      <c r="B4130" s="1">
        <v>2015</v>
      </c>
      <c r="C4130" s="1" t="s">
        <v>2505</v>
      </c>
      <c r="D4130" s="1" t="s">
        <v>2506</v>
      </c>
      <c r="E4130" s="1" t="s">
        <v>2019</v>
      </c>
      <c r="F4130" s="1" t="s">
        <v>410</v>
      </c>
      <c r="G4130" s="6">
        <v>99073</v>
      </c>
      <c r="H4130" t="str">
        <f>IFERROR(VLOOKUP(F4130,'LEAID Match'!$A$2:$B$142,2,FALSE),"")</f>
        <v/>
      </c>
    </row>
    <row r="4131" spans="1:8" x14ac:dyDescent="0.2">
      <c r="A4131" t="str">
        <f t="shared" si="64"/>
        <v/>
      </c>
      <c r="B4131">
        <v>2016</v>
      </c>
      <c r="C4131" s="1" t="s">
        <v>2505</v>
      </c>
      <c r="D4131" s="1" t="s">
        <v>2506</v>
      </c>
      <c r="E4131" s="1" t="s">
        <v>2019</v>
      </c>
      <c r="F4131" s="1" t="s">
        <v>410</v>
      </c>
      <c r="G4131" s="12">
        <v>101924</v>
      </c>
      <c r="H4131" t="str">
        <f>IFERROR(VLOOKUP(F4131,'LEAID Match'!$A$2:$B$142,2,FALSE),"")</f>
        <v/>
      </c>
    </row>
    <row r="4132" spans="1:8" x14ac:dyDescent="0.2">
      <c r="A4132" t="str">
        <f t="shared" si="64"/>
        <v/>
      </c>
      <c r="B4132" s="1">
        <v>2017</v>
      </c>
      <c r="C4132" s="1" t="s">
        <v>2505</v>
      </c>
      <c r="D4132" s="1" t="s">
        <v>2506</v>
      </c>
      <c r="E4132" s="1" t="s">
        <v>2019</v>
      </c>
      <c r="F4132" s="1" t="s">
        <v>410</v>
      </c>
      <c r="G4132" s="47">
        <v>105105</v>
      </c>
      <c r="H4132" t="str">
        <f>IFERROR(VLOOKUP(F4132,'LEAID Match'!$A$2:$B$142,2,FALSE),"")</f>
        <v/>
      </c>
    </row>
    <row r="4133" spans="1:8" x14ac:dyDescent="0.2">
      <c r="A4133" t="str">
        <f t="shared" si="64"/>
        <v/>
      </c>
      <c r="B4133" s="1">
        <v>2018</v>
      </c>
      <c r="C4133" s="1" t="s">
        <v>2505</v>
      </c>
      <c r="D4133" s="1" t="s">
        <v>2506</v>
      </c>
      <c r="E4133" s="1" t="s">
        <v>2019</v>
      </c>
      <c r="F4133" s="1" t="s">
        <v>410</v>
      </c>
      <c r="G4133" s="6">
        <v>98037</v>
      </c>
      <c r="H4133" t="str">
        <f>IFERROR(VLOOKUP(F4133,'LEAID Match'!$A$2:$B$142,2,FALSE),"")</f>
        <v/>
      </c>
    </row>
    <row r="4134" spans="1:8" x14ac:dyDescent="0.2">
      <c r="A4134" t="str">
        <f t="shared" si="64"/>
        <v/>
      </c>
      <c r="B4134" s="1">
        <v>2019</v>
      </c>
      <c r="C4134" s="1" t="s">
        <v>2505</v>
      </c>
      <c r="D4134" s="1" t="s">
        <v>2506</v>
      </c>
      <c r="E4134" s="1" t="s">
        <v>2019</v>
      </c>
      <c r="F4134" s="1" t="s">
        <v>410</v>
      </c>
      <c r="G4134" s="6">
        <v>97993</v>
      </c>
      <c r="H4134" t="str">
        <f>IFERROR(VLOOKUP(F4134,'LEAID Match'!$A$2:$B$142,2,FALSE),"")</f>
        <v/>
      </c>
    </row>
    <row r="4135" spans="1:8" x14ac:dyDescent="0.2">
      <c r="A4135" t="str">
        <f t="shared" si="64"/>
        <v/>
      </c>
      <c r="B4135" s="1">
        <v>2020</v>
      </c>
      <c r="C4135" s="1" t="s">
        <v>2505</v>
      </c>
      <c r="D4135" s="1" t="s">
        <v>2506</v>
      </c>
      <c r="E4135" s="1" t="s">
        <v>2019</v>
      </c>
      <c r="F4135" s="1" t="s">
        <v>410</v>
      </c>
      <c r="G4135" s="6">
        <v>112873</v>
      </c>
      <c r="H4135" t="str">
        <f>IFERROR(VLOOKUP(F4135,'LEAID Match'!$A$2:$B$142,2,FALSE),"")</f>
        <v/>
      </c>
    </row>
    <row r="4136" spans="1:8" x14ac:dyDescent="0.2">
      <c r="A4136" t="str">
        <f t="shared" si="64"/>
        <v/>
      </c>
      <c r="B4136" s="1">
        <v>2021</v>
      </c>
      <c r="C4136" s="1" t="s">
        <v>2505</v>
      </c>
      <c r="D4136" s="1" t="s">
        <v>2506</v>
      </c>
      <c r="E4136" s="1" t="s">
        <v>2019</v>
      </c>
      <c r="F4136" s="1" t="s">
        <v>410</v>
      </c>
      <c r="G4136" s="6">
        <v>115249</v>
      </c>
      <c r="H4136" t="str">
        <f>IFERROR(VLOOKUP(F4136,'LEAID Match'!$A$2:$B$142,2,FALSE),"")</f>
        <v/>
      </c>
    </row>
    <row r="4137" spans="1:8" x14ac:dyDescent="0.2">
      <c r="A4137" t="str">
        <f t="shared" si="64"/>
        <v/>
      </c>
      <c r="B4137" s="1">
        <v>2022</v>
      </c>
      <c r="C4137" s="1" t="s">
        <v>2505</v>
      </c>
      <c r="D4137" s="1" t="s">
        <v>2506</v>
      </c>
      <c r="E4137" s="1" t="s">
        <v>2019</v>
      </c>
      <c r="F4137" s="1" t="s">
        <v>410</v>
      </c>
      <c r="G4137" s="6">
        <v>120789</v>
      </c>
      <c r="H4137" t="str">
        <f>IFERROR(VLOOKUP(F4137,'LEAID Match'!$A$2:$B$142,2,FALSE),"")</f>
        <v/>
      </c>
    </row>
    <row r="4138" spans="1:8" x14ac:dyDescent="0.2">
      <c r="A4138" t="str">
        <f t="shared" si="64"/>
        <v/>
      </c>
      <c r="B4138" s="1">
        <v>2023</v>
      </c>
      <c r="C4138" s="1" t="s">
        <v>2505</v>
      </c>
      <c r="D4138" s="1" t="s">
        <v>2506</v>
      </c>
      <c r="E4138" s="1" t="s">
        <v>2019</v>
      </c>
      <c r="F4138" s="1" t="s">
        <v>410</v>
      </c>
      <c r="G4138" s="6">
        <v>128365</v>
      </c>
      <c r="H4138" t="str">
        <f>IFERROR(VLOOKUP(F4138,'LEAID Match'!$A$2:$B$142,2,FALSE),"")</f>
        <v/>
      </c>
    </row>
    <row r="4139" spans="1:8" x14ac:dyDescent="0.2">
      <c r="A4139" t="str">
        <f t="shared" si="64"/>
        <v/>
      </c>
      <c r="B4139" s="1">
        <v>2024</v>
      </c>
      <c r="C4139" s="1" t="s">
        <v>2505</v>
      </c>
      <c r="D4139" s="1" t="s">
        <v>2506</v>
      </c>
      <c r="E4139" s="1" t="s">
        <v>2019</v>
      </c>
      <c r="F4139" s="1" t="s">
        <v>410</v>
      </c>
      <c r="G4139" s="6">
        <v>122389</v>
      </c>
      <c r="H4139" t="str">
        <f>IFERROR(VLOOKUP(F4139,'LEAID Match'!$A$2:$B$142,2,FALSE),"")</f>
        <v/>
      </c>
    </row>
    <row r="4140" spans="1:8" x14ac:dyDescent="0.2">
      <c r="A4140">
        <f t="shared" si="64"/>
        <v>2802730</v>
      </c>
      <c r="B4140" s="1">
        <v>2015</v>
      </c>
      <c r="C4140" s="1" t="s">
        <v>2505</v>
      </c>
      <c r="D4140" s="1" t="s">
        <v>2506</v>
      </c>
      <c r="E4140" s="1" t="s">
        <v>2019</v>
      </c>
      <c r="F4140" s="1" t="s">
        <v>411</v>
      </c>
      <c r="G4140" s="6">
        <v>4215520</v>
      </c>
      <c r="H4140">
        <f>IFERROR(VLOOKUP(F4140,'LEAID Match'!$A$2:$B$142,2,FALSE),"")</f>
        <v>2802730</v>
      </c>
    </row>
    <row r="4141" spans="1:8" x14ac:dyDescent="0.2">
      <c r="A4141">
        <f t="shared" si="64"/>
        <v>2802730</v>
      </c>
      <c r="B4141">
        <v>2016</v>
      </c>
      <c r="C4141" s="1" t="s">
        <v>2505</v>
      </c>
      <c r="D4141" s="1" t="s">
        <v>2506</v>
      </c>
      <c r="E4141" s="1" t="s">
        <v>2019</v>
      </c>
      <c r="F4141" s="1" t="s">
        <v>411</v>
      </c>
      <c r="G4141" s="12">
        <v>4410660</v>
      </c>
      <c r="H4141">
        <f>IFERROR(VLOOKUP(F4141,'LEAID Match'!$A$2:$B$142,2,FALSE),"")</f>
        <v>2802730</v>
      </c>
    </row>
    <row r="4142" spans="1:8" x14ac:dyDescent="0.2">
      <c r="A4142">
        <f t="shared" si="64"/>
        <v>2802730</v>
      </c>
      <c r="B4142" s="1">
        <v>2017</v>
      </c>
      <c r="C4142" s="1" t="s">
        <v>2505</v>
      </c>
      <c r="D4142" s="1" t="s">
        <v>2506</v>
      </c>
      <c r="E4142" s="1" t="s">
        <v>2019</v>
      </c>
      <c r="F4142" s="1" t="s">
        <v>411</v>
      </c>
      <c r="G4142" s="47">
        <v>4066929</v>
      </c>
      <c r="H4142">
        <f>IFERROR(VLOOKUP(F4142,'LEAID Match'!$A$2:$B$142,2,FALSE),"")</f>
        <v>2802730</v>
      </c>
    </row>
    <row r="4143" spans="1:8" x14ac:dyDescent="0.2">
      <c r="A4143">
        <f t="shared" si="64"/>
        <v>2802730</v>
      </c>
      <c r="B4143" s="1">
        <v>2018</v>
      </c>
      <c r="C4143" s="1" t="s">
        <v>2505</v>
      </c>
      <c r="D4143" s="1" t="s">
        <v>2506</v>
      </c>
      <c r="E4143" s="1" t="s">
        <v>2019</v>
      </c>
      <c r="F4143" s="1" t="s">
        <v>411</v>
      </c>
      <c r="G4143" s="6">
        <v>4435211</v>
      </c>
      <c r="H4143">
        <f>IFERROR(VLOOKUP(F4143,'LEAID Match'!$A$2:$B$142,2,FALSE),"")</f>
        <v>2802730</v>
      </c>
    </row>
    <row r="4144" spans="1:8" x14ac:dyDescent="0.2">
      <c r="A4144">
        <f t="shared" si="64"/>
        <v>2802730</v>
      </c>
      <c r="B4144" s="1">
        <v>2019</v>
      </c>
      <c r="C4144" s="1" t="s">
        <v>2505</v>
      </c>
      <c r="D4144" s="1" t="s">
        <v>2506</v>
      </c>
      <c r="E4144" s="1" t="s">
        <v>2019</v>
      </c>
      <c r="F4144" s="1" t="s">
        <v>411</v>
      </c>
      <c r="G4144" s="6">
        <v>4574849</v>
      </c>
      <c r="H4144">
        <f>IFERROR(VLOOKUP(F4144,'LEAID Match'!$A$2:$B$142,2,FALSE),"")</f>
        <v>2802730</v>
      </c>
    </row>
    <row r="4145" spans="1:8" x14ac:dyDescent="0.2">
      <c r="A4145">
        <f t="shared" si="64"/>
        <v>2802730</v>
      </c>
      <c r="B4145" s="1">
        <v>2020</v>
      </c>
      <c r="C4145" s="1" t="s">
        <v>2505</v>
      </c>
      <c r="D4145" s="1" t="s">
        <v>2506</v>
      </c>
      <c r="E4145" s="1" t="s">
        <v>2019</v>
      </c>
      <c r="F4145" s="1" t="s">
        <v>411</v>
      </c>
      <c r="G4145" s="6">
        <v>5044230</v>
      </c>
      <c r="H4145">
        <f>IFERROR(VLOOKUP(F4145,'LEAID Match'!$A$2:$B$142,2,FALSE),"")</f>
        <v>2802730</v>
      </c>
    </row>
    <row r="4146" spans="1:8" x14ac:dyDescent="0.2">
      <c r="A4146">
        <f t="shared" si="64"/>
        <v>2802730</v>
      </c>
      <c r="B4146" s="1">
        <v>2021</v>
      </c>
      <c r="C4146" s="1" t="s">
        <v>2505</v>
      </c>
      <c r="D4146" s="1" t="s">
        <v>2506</v>
      </c>
      <c r="E4146" s="1" t="s">
        <v>2019</v>
      </c>
      <c r="F4146" s="1" t="s">
        <v>411</v>
      </c>
      <c r="G4146" s="6">
        <v>5101307</v>
      </c>
      <c r="H4146">
        <f>IFERROR(VLOOKUP(F4146,'LEAID Match'!$A$2:$B$142,2,FALSE),"")</f>
        <v>2802730</v>
      </c>
    </row>
    <row r="4147" spans="1:8" x14ac:dyDescent="0.2">
      <c r="A4147">
        <f t="shared" si="64"/>
        <v>2802730</v>
      </c>
      <c r="B4147" s="1">
        <v>2022</v>
      </c>
      <c r="C4147" s="1" t="s">
        <v>2505</v>
      </c>
      <c r="D4147" s="1" t="s">
        <v>2506</v>
      </c>
      <c r="E4147" s="1" t="s">
        <v>2019</v>
      </c>
      <c r="F4147" s="1" t="s">
        <v>411</v>
      </c>
      <c r="G4147" s="6">
        <v>5300901</v>
      </c>
      <c r="H4147">
        <f>IFERROR(VLOOKUP(F4147,'LEAID Match'!$A$2:$B$142,2,FALSE),"")</f>
        <v>2802730</v>
      </c>
    </row>
    <row r="4148" spans="1:8" x14ac:dyDescent="0.2">
      <c r="A4148">
        <f t="shared" si="64"/>
        <v>2802730</v>
      </c>
      <c r="B4148" s="1">
        <v>2023</v>
      </c>
      <c r="C4148" s="1" t="s">
        <v>2505</v>
      </c>
      <c r="D4148" s="1" t="s">
        <v>2506</v>
      </c>
      <c r="E4148" s="1" t="s">
        <v>2019</v>
      </c>
      <c r="F4148" s="1" t="s">
        <v>411</v>
      </c>
      <c r="G4148" s="6">
        <v>5950163</v>
      </c>
      <c r="H4148">
        <f>IFERROR(VLOOKUP(F4148,'LEAID Match'!$A$2:$B$142,2,FALSE),"")</f>
        <v>2802730</v>
      </c>
    </row>
    <row r="4149" spans="1:8" x14ac:dyDescent="0.2">
      <c r="A4149">
        <f t="shared" si="64"/>
        <v>2802730</v>
      </c>
      <c r="B4149" s="1">
        <v>2024</v>
      </c>
      <c r="C4149" s="1" t="s">
        <v>2505</v>
      </c>
      <c r="D4149" s="1" t="s">
        <v>2506</v>
      </c>
      <c r="E4149" s="1" t="s">
        <v>2019</v>
      </c>
      <c r="F4149" s="1" t="s">
        <v>411</v>
      </c>
      <c r="G4149" s="6">
        <v>6744668</v>
      </c>
      <c r="H4149">
        <f>IFERROR(VLOOKUP(F4149,'LEAID Match'!$A$2:$B$142,2,FALSE),"")</f>
        <v>2802730</v>
      </c>
    </row>
    <row r="4150" spans="1:8" x14ac:dyDescent="0.2">
      <c r="A4150" t="str">
        <f t="shared" si="64"/>
        <v/>
      </c>
      <c r="B4150" s="1">
        <v>2015</v>
      </c>
      <c r="C4150" s="1" t="s">
        <v>2505</v>
      </c>
      <c r="D4150" s="1" t="s">
        <v>2506</v>
      </c>
      <c r="E4150" s="1" t="s">
        <v>2019</v>
      </c>
      <c r="F4150" s="1" t="s">
        <v>412</v>
      </c>
      <c r="G4150" s="6">
        <v>1751190</v>
      </c>
      <c r="H4150" t="str">
        <f>IFERROR(VLOOKUP(F4150,'LEAID Match'!$A$2:$B$142,2,FALSE),"")</f>
        <v/>
      </c>
    </row>
    <row r="4151" spans="1:8" x14ac:dyDescent="0.2">
      <c r="A4151" t="str">
        <f t="shared" si="64"/>
        <v/>
      </c>
      <c r="B4151">
        <v>2016</v>
      </c>
      <c r="C4151" s="1" t="s">
        <v>2505</v>
      </c>
      <c r="D4151" s="1" t="s">
        <v>2506</v>
      </c>
      <c r="E4151" s="1" t="s">
        <v>2019</v>
      </c>
      <c r="F4151" s="1" t="s">
        <v>412</v>
      </c>
      <c r="G4151" s="12">
        <v>1773053</v>
      </c>
      <c r="H4151" t="str">
        <f>IFERROR(VLOOKUP(F4151,'LEAID Match'!$A$2:$B$142,2,FALSE),"")</f>
        <v/>
      </c>
    </row>
    <row r="4152" spans="1:8" x14ac:dyDescent="0.2">
      <c r="A4152" t="str">
        <f t="shared" si="64"/>
        <v/>
      </c>
      <c r="B4152" s="1">
        <v>2017</v>
      </c>
      <c r="C4152" s="1" t="s">
        <v>2505</v>
      </c>
      <c r="D4152" s="1" t="s">
        <v>2506</v>
      </c>
      <c r="E4152" s="1" t="s">
        <v>2019</v>
      </c>
      <c r="F4152" s="1" t="s">
        <v>412</v>
      </c>
      <c r="G4152" s="47">
        <v>1737050</v>
      </c>
      <c r="H4152" t="str">
        <f>IFERROR(VLOOKUP(F4152,'LEAID Match'!$A$2:$B$142,2,FALSE),"")</f>
        <v/>
      </c>
    </row>
    <row r="4153" spans="1:8" x14ac:dyDescent="0.2">
      <c r="A4153" t="str">
        <f t="shared" si="64"/>
        <v/>
      </c>
      <c r="B4153" s="1">
        <v>2018</v>
      </c>
      <c r="C4153" s="1" t="s">
        <v>2505</v>
      </c>
      <c r="D4153" s="1" t="s">
        <v>2506</v>
      </c>
      <c r="E4153" s="1" t="s">
        <v>2019</v>
      </c>
      <c r="F4153" s="1" t="s">
        <v>412</v>
      </c>
      <c r="G4153" s="6">
        <v>1855479</v>
      </c>
      <c r="H4153" t="str">
        <f>IFERROR(VLOOKUP(F4153,'LEAID Match'!$A$2:$B$142,2,FALSE),"")</f>
        <v/>
      </c>
    </row>
    <row r="4154" spans="1:8" x14ac:dyDescent="0.2">
      <c r="A4154" t="str">
        <f t="shared" si="64"/>
        <v/>
      </c>
      <c r="B4154" s="1">
        <v>2019</v>
      </c>
      <c r="C4154" s="1" t="s">
        <v>2505</v>
      </c>
      <c r="D4154" s="1" t="s">
        <v>2506</v>
      </c>
      <c r="E4154" s="1" t="s">
        <v>2019</v>
      </c>
      <c r="F4154" s="1" t="s">
        <v>412</v>
      </c>
      <c r="G4154" s="6">
        <v>1846553</v>
      </c>
      <c r="H4154" t="str">
        <f>IFERROR(VLOOKUP(F4154,'LEAID Match'!$A$2:$B$142,2,FALSE),"")</f>
        <v/>
      </c>
    </row>
    <row r="4155" spans="1:8" x14ac:dyDescent="0.2">
      <c r="A4155" t="str">
        <f t="shared" si="64"/>
        <v/>
      </c>
      <c r="B4155" s="1">
        <v>2020</v>
      </c>
      <c r="C4155" s="1" t="s">
        <v>2505</v>
      </c>
      <c r="D4155" s="1" t="s">
        <v>2506</v>
      </c>
      <c r="E4155" s="1" t="s">
        <v>2019</v>
      </c>
      <c r="F4155" s="1" t="s">
        <v>412</v>
      </c>
      <c r="G4155" s="6">
        <v>2064442</v>
      </c>
      <c r="H4155" t="str">
        <f>IFERROR(VLOOKUP(F4155,'LEAID Match'!$A$2:$B$142,2,FALSE),"")</f>
        <v/>
      </c>
    </row>
    <row r="4156" spans="1:8" x14ac:dyDescent="0.2">
      <c r="A4156" t="str">
        <f t="shared" si="64"/>
        <v/>
      </c>
      <c r="B4156" s="1">
        <v>2021</v>
      </c>
      <c r="C4156" s="1" t="s">
        <v>2505</v>
      </c>
      <c r="D4156" s="1" t="s">
        <v>2506</v>
      </c>
      <c r="E4156" s="1" t="s">
        <v>2019</v>
      </c>
      <c r="F4156" s="1" t="s">
        <v>412</v>
      </c>
      <c r="G4156" s="6">
        <v>2155381</v>
      </c>
      <c r="H4156" t="str">
        <f>IFERROR(VLOOKUP(F4156,'LEAID Match'!$A$2:$B$142,2,FALSE),"")</f>
        <v/>
      </c>
    </row>
    <row r="4157" spans="1:8" x14ac:dyDescent="0.2">
      <c r="A4157" t="str">
        <f t="shared" si="64"/>
        <v/>
      </c>
      <c r="B4157" s="1">
        <v>2022</v>
      </c>
      <c r="C4157" s="1" t="s">
        <v>2505</v>
      </c>
      <c r="D4157" s="1" t="s">
        <v>2506</v>
      </c>
      <c r="E4157" s="1" t="s">
        <v>2019</v>
      </c>
      <c r="F4157" s="1" t="s">
        <v>412</v>
      </c>
      <c r="G4157" s="6">
        <v>2197112</v>
      </c>
      <c r="H4157" t="str">
        <f>IFERROR(VLOOKUP(F4157,'LEAID Match'!$A$2:$B$142,2,FALSE),"")</f>
        <v/>
      </c>
    </row>
    <row r="4158" spans="1:8" x14ac:dyDescent="0.2">
      <c r="A4158" t="str">
        <f t="shared" si="64"/>
        <v/>
      </c>
      <c r="B4158" s="1">
        <v>2023</v>
      </c>
      <c r="C4158" s="1" t="s">
        <v>2505</v>
      </c>
      <c r="D4158" s="1" t="s">
        <v>2506</v>
      </c>
      <c r="E4158" s="1" t="s">
        <v>2019</v>
      </c>
      <c r="F4158" s="1" t="s">
        <v>412</v>
      </c>
      <c r="G4158" s="6">
        <v>2377134</v>
      </c>
      <c r="H4158" t="str">
        <f>IFERROR(VLOOKUP(F4158,'LEAID Match'!$A$2:$B$142,2,FALSE),"")</f>
        <v/>
      </c>
    </row>
    <row r="4159" spans="1:8" x14ac:dyDescent="0.2">
      <c r="A4159" t="str">
        <f t="shared" si="64"/>
        <v/>
      </c>
      <c r="B4159" s="1">
        <v>2024</v>
      </c>
      <c r="C4159" s="1" t="s">
        <v>2505</v>
      </c>
      <c r="D4159" s="1" t="s">
        <v>2506</v>
      </c>
      <c r="E4159" s="1" t="s">
        <v>2019</v>
      </c>
      <c r="F4159" s="1" t="s">
        <v>412</v>
      </c>
      <c r="G4159" s="6">
        <v>2742306</v>
      </c>
      <c r="H4159" t="str">
        <f>IFERROR(VLOOKUP(F4159,'LEAID Match'!$A$2:$B$142,2,FALSE),"")</f>
        <v/>
      </c>
    </row>
    <row r="4160" spans="1:8" x14ac:dyDescent="0.2">
      <c r="A4160" t="str">
        <f t="shared" si="64"/>
        <v/>
      </c>
      <c r="B4160" s="1">
        <v>2015</v>
      </c>
      <c r="C4160" s="1" t="s">
        <v>2505</v>
      </c>
      <c r="D4160" s="1" t="s">
        <v>2506</v>
      </c>
      <c r="E4160" s="1" t="s">
        <v>2019</v>
      </c>
      <c r="F4160" s="1" t="s">
        <v>413</v>
      </c>
      <c r="G4160" s="6">
        <v>230001</v>
      </c>
      <c r="H4160" t="str">
        <f>IFERROR(VLOOKUP(F4160,'LEAID Match'!$A$2:$B$142,2,FALSE),"")</f>
        <v/>
      </c>
    </row>
    <row r="4161" spans="1:8" x14ac:dyDescent="0.2">
      <c r="A4161" t="str">
        <f t="shared" si="64"/>
        <v/>
      </c>
      <c r="B4161">
        <v>2016</v>
      </c>
      <c r="C4161" s="1" t="s">
        <v>2505</v>
      </c>
      <c r="D4161" s="1" t="s">
        <v>2506</v>
      </c>
      <c r="E4161" s="1" t="s">
        <v>2019</v>
      </c>
      <c r="F4161" s="1" t="s">
        <v>413</v>
      </c>
      <c r="G4161" s="12">
        <v>227053</v>
      </c>
      <c r="H4161" t="str">
        <f>IFERROR(VLOOKUP(F4161,'LEAID Match'!$A$2:$B$142,2,FALSE),"")</f>
        <v/>
      </c>
    </row>
    <row r="4162" spans="1:8" x14ac:dyDescent="0.2">
      <c r="A4162" t="str">
        <f t="shared" si="64"/>
        <v/>
      </c>
      <c r="B4162" s="1">
        <v>2017</v>
      </c>
      <c r="C4162" s="1" t="s">
        <v>2505</v>
      </c>
      <c r="D4162" s="1" t="s">
        <v>2506</v>
      </c>
      <c r="E4162" s="1" t="s">
        <v>2019</v>
      </c>
      <c r="F4162" s="1" t="s">
        <v>413</v>
      </c>
      <c r="G4162" s="47">
        <v>230189</v>
      </c>
      <c r="H4162" t="str">
        <f>IFERROR(VLOOKUP(F4162,'LEAID Match'!$A$2:$B$142,2,FALSE),"")</f>
        <v/>
      </c>
    </row>
    <row r="4163" spans="1:8" x14ac:dyDescent="0.2">
      <c r="A4163" t="str">
        <f t="shared" ref="A4163:A4226" si="65">H4163</f>
        <v/>
      </c>
      <c r="B4163" s="1">
        <v>2018</v>
      </c>
      <c r="C4163" s="1" t="s">
        <v>2505</v>
      </c>
      <c r="D4163" s="1" t="s">
        <v>2506</v>
      </c>
      <c r="E4163" s="1" t="s">
        <v>2019</v>
      </c>
      <c r="F4163" s="1" t="s">
        <v>413</v>
      </c>
      <c r="G4163" s="6">
        <v>245329</v>
      </c>
      <c r="H4163" t="str">
        <f>IFERROR(VLOOKUP(F4163,'LEAID Match'!$A$2:$B$142,2,FALSE),"")</f>
        <v/>
      </c>
    </row>
    <row r="4164" spans="1:8" x14ac:dyDescent="0.2">
      <c r="A4164" t="str">
        <f t="shared" si="65"/>
        <v/>
      </c>
      <c r="B4164" s="1">
        <v>2019</v>
      </c>
      <c r="C4164" s="1" t="s">
        <v>2505</v>
      </c>
      <c r="D4164" s="1" t="s">
        <v>2506</v>
      </c>
      <c r="E4164" s="1" t="s">
        <v>2019</v>
      </c>
      <c r="F4164" s="1" t="s">
        <v>413</v>
      </c>
      <c r="G4164" s="6">
        <v>248873</v>
      </c>
      <c r="H4164" t="str">
        <f>IFERROR(VLOOKUP(F4164,'LEAID Match'!$A$2:$B$142,2,FALSE),"")</f>
        <v/>
      </c>
    </row>
    <row r="4165" spans="1:8" x14ac:dyDescent="0.2">
      <c r="A4165" t="str">
        <f t="shared" si="65"/>
        <v/>
      </c>
      <c r="B4165" s="1">
        <v>2020</v>
      </c>
      <c r="C4165" s="1" t="s">
        <v>2505</v>
      </c>
      <c r="D4165" s="1" t="s">
        <v>2506</v>
      </c>
      <c r="E4165" s="1" t="s">
        <v>2019</v>
      </c>
      <c r="F4165" s="1" t="s">
        <v>413</v>
      </c>
      <c r="G4165" s="6">
        <v>304087</v>
      </c>
      <c r="H4165" t="str">
        <f>IFERROR(VLOOKUP(F4165,'LEAID Match'!$A$2:$B$142,2,FALSE),"")</f>
        <v/>
      </c>
    </row>
    <row r="4166" spans="1:8" x14ac:dyDescent="0.2">
      <c r="A4166" t="str">
        <f t="shared" si="65"/>
        <v/>
      </c>
      <c r="B4166" s="1">
        <v>2021</v>
      </c>
      <c r="C4166" s="1" t="s">
        <v>2505</v>
      </c>
      <c r="D4166" s="1" t="s">
        <v>2506</v>
      </c>
      <c r="E4166" s="1" t="s">
        <v>2019</v>
      </c>
      <c r="F4166" s="1" t="s">
        <v>413</v>
      </c>
      <c r="G4166" s="6">
        <v>309765</v>
      </c>
      <c r="H4166" t="str">
        <f>IFERROR(VLOOKUP(F4166,'LEAID Match'!$A$2:$B$142,2,FALSE),"")</f>
        <v/>
      </c>
    </row>
    <row r="4167" spans="1:8" x14ac:dyDescent="0.2">
      <c r="A4167" t="str">
        <f t="shared" si="65"/>
        <v/>
      </c>
      <c r="B4167" s="1">
        <v>2022</v>
      </c>
      <c r="C4167" s="1" t="s">
        <v>2505</v>
      </c>
      <c r="D4167" s="1" t="s">
        <v>2506</v>
      </c>
      <c r="E4167" s="1" t="s">
        <v>2019</v>
      </c>
      <c r="F4167" s="1" t="s">
        <v>413</v>
      </c>
      <c r="G4167" s="6">
        <v>318793</v>
      </c>
      <c r="H4167" t="str">
        <f>IFERROR(VLOOKUP(F4167,'LEAID Match'!$A$2:$B$142,2,FALSE),"")</f>
        <v/>
      </c>
    </row>
    <row r="4168" spans="1:8" x14ac:dyDescent="0.2">
      <c r="A4168" t="str">
        <f t="shared" si="65"/>
        <v/>
      </c>
      <c r="B4168" s="1">
        <v>2023</v>
      </c>
      <c r="C4168" s="1" t="s">
        <v>2505</v>
      </c>
      <c r="D4168" s="1" t="s">
        <v>2506</v>
      </c>
      <c r="E4168" s="1" t="s">
        <v>2019</v>
      </c>
      <c r="F4168" s="1" t="s">
        <v>413</v>
      </c>
      <c r="G4168" s="6">
        <v>354792</v>
      </c>
      <c r="H4168" t="str">
        <f>IFERROR(VLOOKUP(F4168,'LEAID Match'!$A$2:$B$142,2,FALSE),"")</f>
        <v/>
      </c>
    </row>
    <row r="4169" spans="1:8" x14ac:dyDescent="0.2">
      <c r="A4169" t="str">
        <f t="shared" si="65"/>
        <v/>
      </c>
      <c r="B4169" s="1">
        <v>2024</v>
      </c>
      <c r="C4169" s="1" t="s">
        <v>2505</v>
      </c>
      <c r="D4169" s="1" t="s">
        <v>2506</v>
      </c>
      <c r="E4169" s="1" t="s">
        <v>2019</v>
      </c>
      <c r="F4169" s="1" t="s">
        <v>413</v>
      </c>
      <c r="G4169" s="6">
        <v>346696</v>
      </c>
      <c r="H4169" t="str">
        <f>IFERROR(VLOOKUP(F4169,'LEAID Match'!$A$2:$B$142,2,FALSE),"")</f>
        <v/>
      </c>
    </row>
    <row r="4170" spans="1:8" x14ac:dyDescent="0.2">
      <c r="A4170" t="str">
        <f t="shared" si="65"/>
        <v/>
      </c>
      <c r="B4170" s="1">
        <v>2015</v>
      </c>
      <c r="C4170" s="1" t="s">
        <v>2505</v>
      </c>
      <c r="D4170" s="1" t="s">
        <v>2506</v>
      </c>
      <c r="E4170" s="1" t="s">
        <v>2019</v>
      </c>
      <c r="F4170" s="1" t="s">
        <v>414</v>
      </c>
      <c r="G4170" s="6">
        <v>4051</v>
      </c>
      <c r="H4170" t="str">
        <f>IFERROR(VLOOKUP(F4170,'LEAID Match'!$A$2:$B$142,2,FALSE),"")</f>
        <v/>
      </c>
    </row>
    <row r="4171" spans="1:8" x14ac:dyDescent="0.2">
      <c r="A4171" t="str">
        <f t="shared" si="65"/>
        <v/>
      </c>
      <c r="B4171">
        <v>2016</v>
      </c>
      <c r="C4171" s="1" t="s">
        <v>2505</v>
      </c>
      <c r="D4171" s="1" t="s">
        <v>2506</v>
      </c>
      <c r="E4171" s="1" t="s">
        <v>2019</v>
      </c>
      <c r="F4171" s="1" t="s">
        <v>414</v>
      </c>
      <c r="G4171" s="12">
        <v>3900</v>
      </c>
      <c r="H4171" t="str">
        <f>IFERROR(VLOOKUP(F4171,'LEAID Match'!$A$2:$B$142,2,FALSE),"")</f>
        <v/>
      </c>
    </row>
    <row r="4172" spans="1:8" x14ac:dyDescent="0.2">
      <c r="A4172" t="str">
        <f t="shared" si="65"/>
        <v/>
      </c>
      <c r="B4172" s="1">
        <v>2017</v>
      </c>
      <c r="C4172" s="1" t="s">
        <v>2505</v>
      </c>
      <c r="D4172" s="1" t="s">
        <v>2506</v>
      </c>
      <c r="E4172" s="1" t="s">
        <v>2019</v>
      </c>
      <c r="F4172" s="1" t="s">
        <v>414</v>
      </c>
      <c r="G4172" s="50">
        <v>4202</v>
      </c>
      <c r="H4172" t="str">
        <f>IFERROR(VLOOKUP(F4172,'LEAID Match'!$A$2:$B$142,2,FALSE),"")</f>
        <v/>
      </c>
    </row>
    <row r="4173" spans="1:8" x14ac:dyDescent="0.2">
      <c r="A4173" t="str">
        <f t="shared" si="65"/>
        <v/>
      </c>
      <c r="B4173" s="1">
        <v>2018</v>
      </c>
      <c r="C4173" s="1" t="s">
        <v>2505</v>
      </c>
      <c r="D4173" s="1" t="s">
        <v>2506</v>
      </c>
      <c r="E4173" s="1" t="s">
        <v>2019</v>
      </c>
      <c r="F4173" s="1" t="s">
        <v>414</v>
      </c>
      <c r="G4173" s="6">
        <v>4051</v>
      </c>
      <c r="H4173" t="str">
        <f>IFERROR(VLOOKUP(F4173,'LEAID Match'!$A$2:$B$142,2,FALSE),"")</f>
        <v/>
      </c>
    </row>
    <row r="4174" spans="1:8" x14ac:dyDescent="0.2">
      <c r="A4174" t="str">
        <f t="shared" si="65"/>
        <v/>
      </c>
      <c r="B4174" s="1">
        <v>2019</v>
      </c>
      <c r="C4174" s="1" t="s">
        <v>2505</v>
      </c>
      <c r="D4174" s="1" t="s">
        <v>2506</v>
      </c>
      <c r="E4174" s="1" t="s">
        <v>2019</v>
      </c>
      <c r="F4174" s="1" t="s">
        <v>414</v>
      </c>
      <c r="G4174" s="6">
        <v>3900</v>
      </c>
      <c r="H4174" t="str">
        <f>IFERROR(VLOOKUP(F4174,'LEAID Match'!$A$2:$B$142,2,FALSE),"")</f>
        <v/>
      </c>
    </row>
    <row r="4175" spans="1:8" x14ac:dyDescent="0.2">
      <c r="A4175" t="str">
        <f t="shared" si="65"/>
        <v/>
      </c>
      <c r="B4175" s="1">
        <v>2020</v>
      </c>
      <c r="C4175" s="1" t="s">
        <v>2505</v>
      </c>
      <c r="D4175" s="1" t="s">
        <v>2506</v>
      </c>
      <c r="E4175" s="1" t="s">
        <v>2019</v>
      </c>
      <c r="F4175" s="1" t="s">
        <v>414</v>
      </c>
      <c r="G4175" s="6">
        <v>4475</v>
      </c>
      <c r="H4175" t="str">
        <f>IFERROR(VLOOKUP(F4175,'LEAID Match'!$A$2:$B$142,2,FALSE),"")</f>
        <v/>
      </c>
    </row>
    <row r="4176" spans="1:8" x14ac:dyDescent="0.2">
      <c r="A4176" t="str">
        <f t="shared" si="65"/>
        <v/>
      </c>
      <c r="B4176" s="1">
        <v>2021</v>
      </c>
      <c r="C4176" s="1" t="s">
        <v>2505</v>
      </c>
      <c r="D4176" s="1" t="s">
        <v>2506</v>
      </c>
      <c r="E4176" s="1" t="s">
        <v>2019</v>
      </c>
      <c r="F4176" s="1" t="s">
        <v>414</v>
      </c>
      <c r="G4176" s="6">
        <v>4475</v>
      </c>
      <c r="H4176" t="str">
        <f>IFERROR(VLOOKUP(F4176,'LEAID Match'!$A$2:$B$142,2,FALSE),"")</f>
        <v/>
      </c>
    </row>
    <row r="4177" spans="1:8" x14ac:dyDescent="0.2">
      <c r="A4177" t="str">
        <f t="shared" si="65"/>
        <v/>
      </c>
      <c r="B4177" s="1">
        <v>2022</v>
      </c>
      <c r="C4177" s="1" t="s">
        <v>2505</v>
      </c>
      <c r="D4177" s="1" t="s">
        <v>2506</v>
      </c>
      <c r="E4177" s="1" t="s">
        <v>2019</v>
      </c>
      <c r="F4177" s="1" t="s">
        <v>414</v>
      </c>
      <c r="G4177" s="6">
        <v>4475</v>
      </c>
      <c r="H4177" t="str">
        <f>IFERROR(VLOOKUP(F4177,'LEAID Match'!$A$2:$B$142,2,FALSE),"")</f>
        <v/>
      </c>
    </row>
    <row r="4178" spans="1:8" x14ac:dyDescent="0.2">
      <c r="A4178" t="str">
        <f t="shared" si="65"/>
        <v/>
      </c>
      <c r="B4178" s="1">
        <v>2023</v>
      </c>
      <c r="C4178" s="1" t="s">
        <v>2505</v>
      </c>
      <c r="D4178" s="1" t="s">
        <v>2506</v>
      </c>
      <c r="E4178" s="1" t="s">
        <v>2019</v>
      </c>
      <c r="F4178" s="1" t="s">
        <v>414</v>
      </c>
      <c r="G4178" s="6">
        <v>1348</v>
      </c>
      <c r="H4178" t="str">
        <f>IFERROR(VLOOKUP(F4178,'LEAID Match'!$A$2:$B$142,2,FALSE),"")</f>
        <v/>
      </c>
    </row>
    <row r="4179" spans="1:8" x14ac:dyDescent="0.2">
      <c r="A4179" t="str">
        <f t="shared" si="65"/>
        <v/>
      </c>
      <c r="B4179" s="1">
        <v>2024</v>
      </c>
      <c r="C4179" s="1" t="s">
        <v>2505</v>
      </c>
      <c r="D4179" s="1" t="s">
        <v>2506</v>
      </c>
      <c r="E4179" s="1" t="s">
        <v>2019</v>
      </c>
      <c r="F4179" s="1" t="s">
        <v>414</v>
      </c>
      <c r="G4179" s="6">
        <v>465</v>
      </c>
      <c r="H4179" t="str">
        <f>IFERROR(VLOOKUP(F4179,'LEAID Match'!$A$2:$B$142,2,FALSE),"")</f>
        <v/>
      </c>
    </row>
    <row r="4180" spans="1:8" x14ac:dyDescent="0.2">
      <c r="A4180" t="str">
        <f t="shared" si="65"/>
        <v/>
      </c>
      <c r="B4180" s="1">
        <v>2015</v>
      </c>
      <c r="C4180" s="1" t="s">
        <v>2505</v>
      </c>
      <c r="D4180" s="1" t="s">
        <v>2506</v>
      </c>
      <c r="E4180" s="1" t="s">
        <v>2019</v>
      </c>
      <c r="F4180" s="1" t="s">
        <v>415</v>
      </c>
      <c r="G4180" s="6">
        <v>62278</v>
      </c>
      <c r="H4180" t="str">
        <f>IFERROR(VLOOKUP(F4180,'LEAID Match'!$A$2:$B$142,2,FALSE),"")</f>
        <v/>
      </c>
    </row>
    <row r="4181" spans="1:8" x14ac:dyDescent="0.2">
      <c r="A4181" t="str">
        <f t="shared" si="65"/>
        <v/>
      </c>
      <c r="B4181">
        <v>2016</v>
      </c>
      <c r="C4181" s="1" t="s">
        <v>2505</v>
      </c>
      <c r="D4181" s="1" t="s">
        <v>2506</v>
      </c>
      <c r="E4181" s="1" t="s">
        <v>2019</v>
      </c>
      <c r="F4181" s="1" t="s">
        <v>415</v>
      </c>
      <c r="G4181" s="12">
        <v>59515</v>
      </c>
      <c r="H4181" t="str">
        <f>IFERROR(VLOOKUP(F4181,'LEAID Match'!$A$2:$B$142,2,FALSE),"")</f>
        <v/>
      </c>
    </row>
    <row r="4182" spans="1:8" x14ac:dyDescent="0.2">
      <c r="A4182" t="str">
        <f t="shared" si="65"/>
        <v/>
      </c>
      <c r="B4182" s="1">
        <v>2017</v>
      </c>
      <c r="C4182" s="1" t="s">
        <v>2505</v>
      </c>
      <c r="D4182" s="1" t="s">
        <v>2506</v>
      </c>
      <c r="E4182" s="1" t="s">
        <v>2019</v>
      </c>
      <c r="F4182" s="1" t="s">
        <v>415</v>
      </c>
      <c r="G4182" s="50">
        <v>60426</v>
      </c>
      <c r="H4182" t="str">
        <f>IFERROR(VLOOKUP(F4182,'LEAID Match'!$A$2:$B$142,2,FALSE),"")</f>
        <v/>
      </c>
    </row>
    <row r="4183" spans="1:8" x14ac:dyDescent="0.2">
      <c r="A4183" t="str">
        <f t="shared" si="65"/>
        <v/>
      </c>
      <c r="B4183" s="1">
        <v>2018</v>
      </c>
      <c r="C4183" s="1" t="s">
        <v>2505</v>
      </c>
      <c r="D4183" s="1" t="s">
        <v>2506</v>
      </c>
      <c r="E4183" s="1" t="s">
        <v>2019</v>
      </c>
      <c r="F4183" s="1" t="s">
        <v>415</v>
      </c>
      <c r="G4183" s="6">
        <v>51508</v>
      </c>
      <c r="H4183" t="str">
        <f>IFERROR(VLOOKUP(F4183,'LEAID Match'!$A$2:$B$142,2,FALSE),"")</f>
        <v/>
      </c>
    </row>
    <row r="4184" spans="1:8" x14ac:dyDescent="0.2">
      <c r="A4184" t="str">
        <f t="shared" si="65"/>
        <v/>
      </c>
      <c r="B4184" s="1">
        <v>2019</v>
      </c>
      <c r="C4184" s="1" t="s">
        <v>2505</v>
      </c>
      <c r="D4184" s="1" t="s">
        <v>2506</v>
      </c>
      <c r="E4184" s="1" t="s">
        <v>2019</v>
      </c>
      <c r="F4184" s="1" t="s">
        <v>415</v>
      </c>
      <c r="G4184" s="6">
        <v>65272</v>
      </c>
      <c r="H4184" t="str">
        <f>IFERROR(VLOOKUP(F4184,'LEAID Match'!$A$2:$B$142,2,FALSE),"")</f>
        <v/>
      </c>
    </row>
    <row r="4185" spans="1:8" x14ac:dyDescent="0.2">
      <c r="A4185" t="str">
        <f t="shared" si="65"/>
        <v/>
      </c>
      <c r="B4185" s="1">
        <v>2020</v>
      </c>
      <c r="C4185" s="1" t="s">
        <v>2505</v>
      </c>
      <c r="D4185" s="1" t="s">
        <v>2506</v>
      </c>
      <c r="E4185" s="1" t="s">
        <v>2019</v>
      </c>
      <c r="F4185" s="1" t="s">
        <v>415</v>
      </c>
      <c r="G4185" s="6">
        <v>79003</v>
      </c>
      <c r="H4185" t="str">
        <f>IFERROR(VLOOKUP(F4185,'LEAID Match'!$A$2:$B$142,2,FALSE),"")</f>
        <v/>
      </c>
    </row>
    <row r="4186" spans="1:8" x14ac:dyDescent="0.2">
      <c r="A4186" t="str">
        <f t="shared" si="65"/>
        <v/>
      </c>
      <c r="B4186" s="1">
        <v>2021</v>
      </c>
      <c r="C4186" s="1" t="s">
        <v>2505</v>
      </c>
      <c r="D4186" s="1" t="s">
        <v>2506</v>
      </c>
      <c r="E4186" s="1" t="s">
        <v>2019</v>
      </c>
      <c r="F4186" s="1" t="s">
        <v>415</v>
      </c>
      <c r="G4186" s="6">
        <v>94832</v>
      </c>
      <c r="H4186" t="str">
        <f>IFERROR(VLOOKUP(F4186,'LEAID Match'!$A$2:$B$142,2,FALSE),"")</f>
        <v/>
      </c>
    </row>
    <row r="4187" spans="1:8" x14ac:dyDescent="0.2">
      <c r="A4187" t="str">
        <f t="shared" si="65"/>
        <v/>
      </c>
      <c r="B4187" s="1">
        <v>2022</v>
      </c>
      <c r="C4187" s="1" t="s">
        <v>2505</v>
      </c>
      <c r="D4187" s="1" t="s">
        <v>2506</v>
      </c>
      <c r="E4187" s="1" t="s">
        <v>2019</v>
      </c>
      <c r="F4187" s="1" t="s">
        <v>415</v>
      </c>
      <c r="G4187" s="6">
        <v>116920</v>
      </c>
      <c r="H4187" t="str">
        <f>IFERROR(VLOOKUP(F4187,'LEAID Match'!$A$2:$B$142,2,FALSE),"")</f>
        <v/>
      </c>
    </row>
    <row r="4188" spans="1:8" x14ac:dyDescent="0.2">
      <c r="A4188" t="str">
        <f t="shared" si="65"/>
        <v/>
      </c>
      <c r="B4188" s="1">
        <v>2023</v>
      </c>
      <c r="C4188" s="1" t="s">
        <v>2505</v>
      </c>
      <c r="D4188" s="1" t="s">
        <v>2506</v>
      </c>
      <c r="E4188" s="1" t="s">
        <v>2019</v>
      </c>
      <c r="F4188" s="1" t="s">
        <v>415</v>
      </c>
      <c r="G4188" s="6">
        <v>118591</v>
      </c>
      <c r="H4188" t="str">
        <f>IFERROR(VLOOKUP(F4188,'LEAID Match'!$A$2:$B$142,2,FALSE),"")</f>
        <v/>
      </c>
    </row>
    <row r="4189" spans="1:8" x14ac:dyDescent="0.2">
      <c r="A4189" t="str">
        <f t="shared" si="65"/>
        <v/>
      </c>
      <c r="B4189" s="1">
        <v>2024</v>
      </c>
      <c r="C4189" s="1" t="s">
        <v>2505</v>
      </c>
      <c r="D4189" s="1" t="s">
        <v>2506</v>
      </c>
      <c r="E4189" s="1" t="s">
        <v>2019</v>
      </c>
      <c r="F4189" s="1" t="s">
        <v>415</v>
      </c>
      <c r="G4189" s="6">
        <v>105712</v>
      </c>
      <c r="H4189" t="str">
        <f>IFERROR(VLOOKUP(F4189,'LEAID Match'!$A$2:$B$142,2,FALSE),"")</f>
        <v/>
      </c>
    </row>
    <row r="4190" spans="1:8" x14ac:dyDescent="0.2">
      <c r="A4190" t="str">
        <f t="shared" si="65"/>
        <v/>
      </c>
      <c r="B4190" s="1">
        <v>2015</v>
      </c>
      <c r="C4190" s="1" t="s">
        <v>2505</v>
      </c>
      <c r="D4190" s="1" t="s">
        <v>2506</v>
      </c>
      <c r="E4190" s="1" t="s">
        <v>2019</v>
      </c>
      <c r="F4190" t="s">
        <v>1574</v>
      </c>
      <c r="G4190" s="6">
        <v>553065</v>
      </c>
      <c r="H4190" t="str">
        <f>IFERROR(VLOOKUP(F4190,'LEAID Match'!$A$2:$B$142,2,FALSE),"")</f>
        <v/>
      </c>
    </row>
    <row r="4191" spans="1:8" x14ac:dyDescent="0.2">
      <c r="A4191" t="str">
        <f t="shared" si="65"/>
        <v/>
      </c>
      <c r="B4191">
        <v>2016</v>
      </c>
      <c r="C4191" s="1" t="s">
        <v>2505</v>
      </c>
      <c r="D4191" s="1" t="s">
        <v>2506</v>
      </c>
      <c r="E4191" s="1" t="s">
        <v>2019</v>
      </c>
      <c r="F4191" t="s">
        <v>1574</v>
      </c>
      <c r="G4191" s="12">
        <v>539737</v>
      </c>
      <c r="H4191" t="str">
        <f>IFERROR(VLOOKUP(F4191,'LEAID Match'!$A$2:$B$142,2,FALSE),"")</f>
        <v/>
      </c>
    </row>
    <row r="4192" spans="1:8" x14ac:dyDescent="0.2">
      <c r="A4192" t="str">
        <f t="shared" si="65"/>
        <v/>
      </c>
      <c r="B4192" s="1">
        <v>2017</v>
      </c>
      <c r="C4192" s="1" t="s">
        <v>2505</v>
      </c>
      <c r="D4192" s="1" t="s">
        <v>2506</v>
      </c>
      <c r="E4192" s="1" t="s">
        <v>2019</v>
      </c>
      <c r="F4192" t="s">
        <v>1574</v>
      </c>
      <c r="G4192" s="50">
        <v>565044</v>
      </c>
      <c r="H4192" t="str">
        <f>IFERROR(VLOOKUP(F4192,'LEAID Match'!$A$2:$B$142,2,FALSE),"")</f>
        <v/>
      </c>
    </row>
    <row r="4193" spans="1:8" x14ac:dyDescent="0.2">
      <c r="A4193" t="str">
        <f t="shared" si="65"/>
        <v/>
      </c>
      <c r="B4193" s="1">
        <v>2018</v>
      </c>
      <c r="C4193" s="1" t="s">
        <v>2505</v>
      </c>
      <c r="D4193" s="1" t="s">
        <v>2506</v>
      </c>
      <c r="E4193" s="1" t="s">
        <v>2019</v>
      </c>
      <c r="F4193" t="s">
        <v>1574</v>
      </c>
      <c r="G4193" s="6">
        <v>618620</v>
      </c>
      <c r="H4193" t="str">
        <f>IFERROR(VLOOKUP(F4193,'LEAID Match'!$A$2:$B$142,2,FALSE),"")</f>
        <v/>
      </c>
    </row>
    <row r="4194" spans="1:8" x14ac:dyDescent="0.2">
      <c r="A4194" t="str">
        <f t="shared" si="65"/>
        <v/>
      </c>
      <c r="B4194" s="1">
        <v>2015</v>
      </c>
      <c r="C4194" s="1" t="s">
        <v>2505</v>
      </c>
      <c r="D4194" s="1" t="s">
        <v>2506</v>
      </c>
      <c r="E4194" s="1" t="s">
        <v>2019</v>
      </c>
      <c r="F4194" s="1" t="s">
        <v>416</v>
      </c>
      <c r="G4194" s="6">
        <v>16871</v>
      </c>
      <c r="H4194" t="str">
        <f>IFERROR(VLOOKUP(F4194,'LEAID Match'!$A$2:$B$142,2,FALSE),"")</f>
        <v/>
      </c>
    </row>
    <row r="4195" spans="1:8" x14ac:dyDescent="0.2">
      <c r="A4195" t="str">
        <f t="shared" si="65"/>
        <v/>
      </c>
      <c r="B4195">
        <v>2016</v>
      </c>
      <c r="C4195" s="1" t="s">
        <v>2505</v>
      </c>
      <c r="D4195" s="1" t="s">
        <v>2506</v>
      </c>
      <c r="E4195" s="1" t="s">
        <v>2019</v>
      </c>
      <c r="F4195" s="1" t="s">
        <v>416</v>
      </c>
      <c r="G4195" s="12">
        <v>16985</v>
      </c>
      <c r="H4195" t="str">
        <f>IFERROR(VLOOKUP(F4195,'LEAID Match'!$A$2:$B$142,2,FALSE),"")</f>
        <v/>
      </c>
    </row>
    <row r="4196" spans="1:8" x14ac:dyDescent="0.2">
      <c r="A4196" t="str">
        <f t="shared" si="65"/>
        <v/>
      </c>
      <c r="B4196" s="1">
        <v>2017</v>
      </c>
      <c r="C4196" s="1" t="s">
        <v>2505</v>
      </c>
      <c r="D4196" s="1" t="s">
        <v>2506</v>
      </c>
      <c r="E4196" s="1" t="s">
        <v>2019</v>
      </c>
      <c r="F4196" s="1" t="s">
        <v>416</v>
      </c>
      <c r="G4196" s="50">
        <v>16903</v>
      </c>
      <c r="H4196" t="str">
        <f>IFERROR(VLOOKUP(F4196,'LEAID Match'!$A$2:$B$142,2,FALSE),"")</f>
        <v/>
      </c>
    </row>
    <row r="4197" spans="1:8" x14ac:dyDescent="0.2">
      <c r="A4197" t="str">
        <f t="shared" si="65"/>
        <v/>
      </c>
      <c r="B4197" s="1">
        <v>2018</v>
      </c>
      <c r="C4197" s="1" t="s">
        <v>2505</v>
      </c>
      <c r="D4197" s="1" t="s">
        <v>2506</v>
      </c>
      <c r="E4197" s="1" t="s">
        <v>2019</v>
      </c>
      <c r="F4197" s="1" t="s">
        <v>416</v>
      </c>
      <c r="G4197" s="6">
        <v>17104</v>
      </c>
      <c r="H4197" t="str">
        <f>IFERROR(VLOOKUP(F4197,'LEAID Match'!$A$2:$B$142,2,FALSE),"")</f>
        <v/>
      </c>
    </row>
    <row r="4198" spans="1:8" x14ac:dyDescent="0.2">
      <c r="A4198" t="str">
        <f t="shared" si="65"/>
        <v/>
      </c>
      <c r="B4198" s="1">
        <v>2019</v>
      </c>
      <c r="C4198" s="1" t="s">
        <v>2505</v>
      </c>
      <c r="D4198" s="1" t="s">
        <v>2506</v>
      </c>
      <c r="E4198" s="1" t="s">
        <v>2019</v>
      </c>
      <c r="F4198" s="1" t="s">
        <v>416</v>
      </c>
      <c r="G4198" s="6">
        <v>17461</v>
      </c>
      <c r="H4198" t="str">
        <f>IFERROR(VLOOKUP(F4198,'LEAID Match'!$A$2:$B$142,2,FALSE),"")</f>
        <v/>
      </c>
    </row>
    <row r="4199" spans="1:8" x14ac:dyDescent="0.2">
      <c r="A4199" t="str">
        <f t="shared" si="65"/>
        <v/>
      </c>
      <c r="B4199" s="1">
        <v>2020</v>
      </c>
      <c r="C4199" s="1" t="s">
        <v>2505</v>
      </c>
      <c r="D4199" s="1" t="s">
        <v>2506</v>
      </c>
      <c r="E4199" s="1" t="s">
        <v>2019</v>
      </c>
      <c r="F4199" s="1" t="s">
        <v>416</v>
      </c>
      <c r="G4199" s="6">
        <v>19723</v>
      </c>
      <c r="H4199" t="str">
        <f>IFERROR(VLOOKUP(F4199,'LEAID Match'!$A$2:$B$142,2,FALSE),"")</f>
        <v/>
      </c>
    </row>
    <row r="4200" spans="1:8" x14ac:dyDescent="0.2">
      <c r="A4200" t="str">
        <f t="shared" si="65"/>
        <v/>
      </c>
      <c r="B4200" s="1">
        <v>2021</v>
      </c>
      <c r="C4200" s="1" t="s">
        <v>2505</v>
      </c>
      <c r="D4200" s="1" t="s">
        <v>2506</v>
      </c>
      <c r="E4200" s="1" t="s">
        <v>2019</v>
      </c>
      <c r="F4200" s="1" t="s">
        <v>416</v>
      </c>
      <c r="G4200" s="6">
        <v>19718</v>
      </c>
      <c r="H4200" t="str">
        <f>IFERROR(VLOOKUP(F4200,'LEAID Match'!$A$2:$B$142,2,FALSE),"")</f>
        <v/>
      </c>
    </row>
    <row r="4201" spans="1:8" x14ac:dyDescent="0.2">
      <c r="A4201" t="str">
        <f t="shared" si="65"/>
        <v/>
      </c>
      <c r="B4201" s="1">
        <v>2022</v>
      </c>
      <c r="C4201" s="1" t="s">
        <v>2505</v>
      </c>
      <c r="D4201" s="1" t="s">
        <v>2506</v>
      </c>
      <c r="E4201" s="1" t="s">
        <v>2019</v>
      </c>
      <c r="F4201" s="1" t="s">
        <v>416</v>
      </c>
      <c r="G4201" s="6">
        <v>20468</v>
      </c>
      <c r="H4201" t="str">
        <f>IFERROR(VLOOKUP(F4201,'LEAID Match'!$A$2:$B$142,2,FALSE),"")</f>
        <v/>
      </c>
    </row>
    <row r="4202" spans="1:8" x14ac:dyDescent="0.2">
      <c r="A4202" t="str">
        <f t="shared" si="65"/>
        <v/>
      </c>
      <c r="B4202" s="1">
        <v>2023</v>
      </c>
      <c r="C4202" s="1" t="s">
        <v>2505</v>
      </c>
      <c r="D4202" s="1" t="s">
        <v>2506</v>
      </c>
      <c r="E4202" s="1" t="s">
        <v>2019</v>
      </c>
      <c r="F4202" s="1" t="s">
        <v>416</v>
      </c>
      <c r="G4202" s="6">
        <v>20713</v>
      </c>
      <c r="H4202" t="str">
        <f>IFERROR(VLOOKUP(F4202,'LEAID Match'!$A$2:$B$142,2,FALSE),"")</f>
        <v/>
      </c>
    </row>
    <row r="4203" spans="1:8" x14ac:dyDescent="0.2">
      <c r="A4203" t="str">
        <f t="shared" si="65"/>
        <v/>
      </c>
      <c r="B4203" s="1">
        <v>2024</v>
      </c>
      <c r="C4203" s="1" t="s">
        <v>2505</v>
      </c>
      <c r="D4203" s="1" t="s">
        <v>2506</v>
      </c>
      <c r="E4203" s="1" t="s">
        <v>2019</v>
      </c>
      <c r="F4203" s="1" t="s">
        <v>416</v>
      </c>
      <c r="G4203" s="6">
        <v>21457</v>
      </c>
      <c r="H4203" t="str">
        <f>IFERROR(VLOOKUP(F4203,'LEAID Match'!$A$2:$B$142,2,FALSE),"")</f>
        <v/>
      </c>
    </row>
    <row r="4204" spans="1:8" x14ac:dyDescent="0.2">
      <c r="A4204" t="str">
        <f t="shared" si="65"/>
        <v/>
      </c>
      <c r="B4204" s="1">
        <v>2015</v>
      </c>
      <c r="C4204" s="1" t="s">
        <v>2505</v>
      </c>
      <c r="D4204" s="1" t="s">
        <v>2506</v>
      </c>
      <c r="E4204" s="1" t="s">
        <v>2019</v>
      </c>
      <c r="F4204" s="1" t="s">
        <v>417</v>
      </c>
      <c r="G4204" s="6">
        <v>29033</v>
      </c>
      <c r="H4204" t="str">
        <f>IFERROR(VLOOKUP(F4204,'LEAID Match'!$A$2:$B$142,2,FALSE),"")</f>
        <v/>
      </c>
    </row>
    <row r="4205" spans="1:8" x14ac:dyDescent="0.2">
      <c r="A4205" t="str">
        <f t="shared" si="65"/>
        <v/>
      </c>
      <c r="B4205">
        <v>2016</v>
      </c>
      <c r="C4205" s="1" t="s">
        <v>2505</v>
      </c>
      <c r="D4205" s="1" t="s">
        <v>2506</v>
      </c>
      <c r="E4205" s="1" t="s">
        <v>2019</v>
      </c>
      <c r="F4205" s="1" t="s">
        <v>417</v>
      </c>
      <c r="G4205" s="12">
        <v>29669</v>
      </c>
      <c r="H4205" t="str">
        <f>IFERROR(VLOOKUP(F4205,'LEAID Match'!$A$2:$B$142,2,FALSE),"")</f>
        <v/>
      </c>
    </row>
    <row r="4206" spans="1:8" x14ac:dyDescent="0.2">
      <c r="A4206" t="str">
        <f t="shared" si="65"/>
        <v/>
      </c>
      <c r="B4206" s="1">
        <v>2017</v>
      </c>
      <c r="C4206" s="1" t="s">
        <v>2505</v>
      </c>
      <c r="D4206" s="1" t="s">
        <v>2506</v>
      </c>
      <c r="E4206" s="1" t="s">
        <v>2019</v>
      </c>
      <c r="F4206" s="1" t="s">
        <v>417</v>
      </c>
      <c r="G4206" s="50">
        <v>30069</v>
      </c>
      <c r="H4206" t="str">
        <f>IFERROR(VLOOKUP(F4206,'LEAID Match'!$A$2:$B$142,2,FALSE),"")</f>
        <v/>
      </c>
    </row>
    <row r="4207" spans="1:8" x14ac:dyDescent="0.2">
      <c r="A4207" t="str">
        <f t="shared" si="65"/>
        <v/>
      </c>
      <c r="B4207" s="1">
        <v>2018</v>
      </c>
      <c r="C4207" s="1" t="s">
        <v>2505</v>
      </c>
      <c r="D4207" s="1" t="s">
        <v>2506</v>
      </c>
      <c r="E4207" s="1" t="s">
        <v>2019</v>
      </c>
      <c r="F4207" s="1" t="s">
        <v>417</v>
      </c>
      <c r="G4207" s="6">
        <v>32650</v>
      </c>
      <c r="H4207" t="str">
        <f>IFERROR(VLOOKUP(F4207,'LEAID Match'!$A$2:$B$142,2,FALSE),"")</f>
        <v/>
      </c>
    </row>
    <row r="4208" spans="1:8" x14ac:dyDescent="0.2">
      <c r="A4208" t="str">
        <f t="shared" si="65"/>
        <v/>
      </c>
      <c r="B4208" s="1">
        <v>2019</v>
      </c>
      <c r="C4208" s="1" t="s">
        <v>2505</v>
      </c>
      <c r="D4208" s="1" t="s">
        <v>2506</v>
      </c>
      <c r="E4208" s="1" t="s">
        <v>2019</v>
      </c>
      <c r="F4208" s="1" t="s">
        <v>417</v>
      </c>
      <c r="G4208" s="6">
        <v>29189</v>
      </c>
      <c r="H4208" t="str">
        <f>IFERROR(VLOOKUP(F4208,'LEAID Match'!$A$2:$B$142,2,FALSE),"")</f>
        <v/>
      </c>
    </row>
    <row r="4209" spans="1:8" x14ac:dyDescent="0.2">
      <c r="A4209" t="str">
        <f t="shared" si="65"/>
        <v/>
      </c>
      <c r="B4209" s="1">
        <v>2020</v>
      </c>
      <c r="C4209" s="1" t="s">
        <v>2505</v>
      </c>
      <c r="D4209" s="1" t="s">
        <v>2506</v>
      </c>
      <c r="E4209" s="1" t="s">
        <v>2019</v>
      </c>
      <c r="F4209" s="1" t="s">
        <v>417</v>
      </c>
      <c r="G4209" s="6">
        <v>36583</v>
      </c>
      <c r="H4209" t="str">
        <f>IFERROR(VLOOKUP(F4209,'LEAID Match'!$A$2:$B$142,2,FALSE),"")</f>
        <v/>
      </c>
    </row>
    <row r="4210" spans="1:8" x14ac:dyDescent="0.2">
      <c r="A4210" t="str">
        <f t="shared" si="65"/>
        <v/>
      </c>
      <c r="B4210" s="1">
        <v>2021</v>
      </c>
      <c r="C4210" s="1" t="s">
        <v>2505</v>
      </c>
      <c r="D4210" s="1" t="s">
        <v>2506</v>
      </c>
      <c r="E4210" s="1" t="s">
        <v>2019</v>
      </c>
      <c r="F4210" s="1" t="s">
        <v>417</v>
      </c>
      <c r="G4210" s="6">
        <v>30210</v>
      </c>
      <c r="H4210" t="str">
        <f>IFERROR(VLOOKUP(F4210,'LEAID Match'!$A$2:$B$142,2,FALSE),"")</f>
        <v/>
      </c>
    </row>
    <row r="4211" spans="1:8" x14ac:dyDescent="0.2">
      <c r="A4211" t="str">
        <f t="shared" si="65"/>
        <v/>
      </c>
      <c r="B4211" s="1">
        <v>2022</v>
      </c>
      <c r="C4211" s="1" t="s">
        <v>2505</v>
      </c>
      <c r="D4211" s="1" t="s">
        <v>2506</v>
      </c>
      <c r="E4211" s="1" t="s">
        <v>2019</v>
      </c>
      <c r="F4211" s="1" t="s">
        <v>417</v>
      </c>
      <c r="G4211" s="6">
        <v>30590</v>
      </c>
      <c r="H4211" t="str">
        <f>IFERROR(VLOOKUP(F4211,'LEAID Match'!$A$2:$B$142,2,FALSE),"")</f>
        <v/>
      </c>
    </row>
    <row r="4212" spans="1:8" x14ac:dyDescent="0.2">
      <c r="A4212" t="str">
        <f t="shared" si="65"/>
        <v/>
      </c>
      <c r="B4212" s="1">
        <v>2023</v>
      </c>
      <c r="C4212" s="1" t="s">
        <v>2505</v>
      </c>
      <c r="D4212" s="1" t="s">
        <v>2506</v>
      </c>
      <c r="E4212" s="1" t="s">
        <v>2019</v>
      </c>
      <c r="F4212" s="1" t="s">
        <v>417</v>
      </c>
      <c r="G4212" s="6">
        <v>31730</v>
      </c>
      <c r="H4212" t="str">
        <f>IFERROR(VLOOKUP(F4212,'LEAID Match'!$A$2:$B$142,2,FALSE),"")</f>
        <v/>
      </c>
    </row>
    <row r="4213" spans="1:8" x14ac:dyDescent="0.2">
      <c r="A4213" t="str">
        <f t="shared" si="65"/>
        <v/>
      </c>
      <c r="B4213" s="1">
        <v>2024</v>
      </c>
      <c r="C4213" s="1" t="s">
        <v>2505</v>
      </c>
      <c r="D4213" s="1" t="s">
        <v>2506</v>
      </c>
      <c r="E4213" s="1" t="s">
        <v>2019</v>
      </c>
      <c r="F4213" s="1" t="s">
        <v>417</v>
      </c>
      <c r="G4213" s="6">
        <v>36498</v>
      </c>
      <c r="H4213" t="str">
        <f>IFERROR(VLOOKUP(F4213,'LEAID Match'!$A$2:$B$142,2,FALSE),"")</f>
        <v/>
      </c>
    </row>
    <row r="4214" spans="1:8" x14ac:dyDescent="0.2">
      <c r="A4214" t="str">
        <f t="shared" si="65"/>
        <v/>
      </c>
      <c r="B4214" s="1">
        <v>2015</v>
      </c>
      <c r="C4214" s="1" t="s">
        <v>2505</v>
      </c>
      <c r="D4214" s="1" t="s">
        <v>2506</v>
      </c>
      <c r="E4214" s="1" t="s">
        <v>2019</v>
      </c>
      <c r="F4214" s="1" t="s">
        <v>418</v>
      </c>
      <c r="G4214" s="6">
        <v>147818</v>
      </c>
      <c r="H4214" t="str">
        <f>IFERROR(VLOOKUP(F4214,'LEAID Match'!$A$2:$B$142,2,FALSE),"")</f>
        <v/>
      </c>
    </row>
    <row r="4215" spans="1:8" x14ac:dyDescent="0.2">
      <c r="A4215" t="str">
        <f t="shared" si="65"/>
        <v/>
      </c>
      <c r="B4215">
        <v>2016</v>
      </c>
      <c r="C4215" s="1" t="s">
        <v>2505</v>
      </c>
      <c r="D4215" s="1" t="s">
        <v>2506</v>
      </c>
      <c r="E4215" s="1" t="s">
        <v>2019</v>
      </c>
      <c r="F4215" s="1" t="s">
        <v>418</v>
      </c>
      <c r="G4215" s="12">
        <v>148567</v>
      </c>
      <c r="H4215" t="str">
        <f>IFERROR(VLOOKUP(F4215,'LEAID Match'!$A$2:$B$142,2,FALSE),"")</f>
        <v/>
      </c>
    </row>
    <row r="4216" spans="1:8" x14ac:dyDescent="0.2">
      <c r="A4216" t="str">
        <f t="shared" si="65"/>
        <v/>
      </c>
      <c r="B4216" s="1">
        <v>2017</v>
      </c>
      <c r="C4216" s="1" t="s">
        <v>2505</v>
      </c>
      <c r="D4216" s="1" t="s">
        <v>2506</v>
      </c>
      <c r="E4216" s="1" t="s">
        <v>2019</v>
      </c>
      <c r="F4216" s="1" t="s">
        <v>418</v>
      </c>
      <c r="G4216" s="50">
        <v>161247</v>
      </c>
      <c r="H4216" t="str">
        <f>IFERROR(VLOOKUP(F4216,'LEAID Match'!$A$2:$B$142,2,FALSE),"")</f>
        <v/>
      </c>
    </row>
    <row r="4217" spans="1:8" x14ac:dyDescent="0.2">
      <c r="A4217" t="str">
        <f t="shared" si="65"/>
        <v/>
      </c>
      <c r="B4217" s="1">
        <v>2018</v>
      </c>
      <c r="C4217" s="1" t="s">
        <v>2505</v>
      </c>
      <c r="D4217" s="1" t="s">
        <v>2506</v>
      </c>
      <c r="E4217" s="1" t="s">
        <v>2019</v>
      </c>
      <c r="F4217" s="1" t="s">
        <v>418</v>
      </c>
      <c r="G4217" s="6">
        <v>152120</v>
      </c>
      <c r="H4217" t="str">
        <f>IFERROR(VLOOKUP(F4217,'LEAID Match'!$A$2:$B$142,2,FALSE),"")</f>
        <v/>
      </c>
    </row>
    <row r="4218" spans="1:8" x14ac:dyDescent="0.2">
      <c r="A4218" t="str">
        <f t="shared" si="65"/>
        <v/>
      </c>
      <c r="B4218" s="1">
        <v>2019</v>
      </c>
      <c r="C4218" s="1" t="s">
        <v>2505</v>
      </c>
      <c r="D4218" s="1" t="s">
        <v>2506</v>
      </c>
      <c r="E4218" s="1" t="s">
        <v>2019</v>
      </c>
      <c r="F4218" s="1" t="s">
        <v>418</v>
      </c>
      <c r="G4218" s="6">
        <v>146714</v>
      </c>
      <c r="H4218" t="str">
        <f>IFERROR(VLOOKUP(F4218,'LEAID Match'!$A$2:$B$142,2,FALSE),"")</f>
        <v/>
      </c>
    </row>
    <row r="4219" spans="1:8" x14ac:dyDescent="0.2">
      <c r="A4219" t="str">
        <f t="shared" si="65"/>
        <v/>
      </c>
      <c r="B4219" s="1">
        <v>2020</v>
      </c>
      <c r="C4219" s="1" t="s">
        <v>2505</v>
      </c>
      <c r="D4219" s="1" t="s">
        <v>2506</v>
      </c>
      <c r="E4219" s="1" t="s">
        <v>2019</v>
      </c>
      <c r="F4219" s="1" t="s">
        <v>418</v>
      </c>
      <c r="G4219" s="6">
        <v>157420</v>
      </c>
      <c r="H4219" t="str">
        <f>IFERROR(VLOOKUP(F4219,'LEAID Match'!$A$2:$B$142,2,FALSE),"")</f>
        <v/>
      </c>
    </row>
    <row r="4220" spans="1:8" x14ac:dyDescent="0.2">
      <c r="A4220" t="str">
        <f t="shared" si="65"/>
        <v/>
      </c>
      <c r="B4220" s="1">
        <v>2021</v>
      </c>
      <c r="C4220" s="1" t="s">
        <v>2505</v>
      </c>
      <c r="D4220" s="1" t="s">
        <v>2506</v>
      </c>
      <c r="E4220" s="1" t="s">
        <v>2019</v>
      </c>
      <c r="F4220" s="1" t="s">
        <v>418</v>
      </c>
      <c r="G4220" s="6">
        <v>157951</v>
      </c>
      <c r="H4220" t="str">
        <f>IFERROR(VLOOKUP(F4220,'LEAID Match'!$A$2:$B$142,2,FALSE),"")</f>
        <v/>
      </c>
    </row>
    <row r="4221" spans="1:8" x14ac:dyDescent="0.2">
      <c r="A4221" t="str">
        <f t="shared" si="65"/>
        <v/>
      </c>
      <c r="B4221" s="1">
        <v>2022</v>
      </c>
      <c r="C4221" s="1" t="s">
        <v>2505</v>
      </c>
      <c r="D4221" s="1" t="s">
        <v>2506</v>
      </c>
      <c r="E4221" s="1" t="s">
        <v>2019</v>
      </c>
      <c r="F4221" s="1" t="s">
        <v>418</v>
      </c>
      <c r="G4221" s="6">
        <v>140962</v>
      </c>
      <c r="H4221" t="str">
        <f>IFERROR(VLOOKUP(F4221,'LEAID Match'!$A$2:$B$142,2,FALSE),"")</f>
        <v/>
      </c>
    </row>
    <row r="4222" spans="1:8" x14ac:dyDescent="0.2">
      <c r="A4222" t="str">
        <f t="shared" si="65"/>
        <v/>
      </c>
      <c r="B4222" s="1">
        <v>2023</v>
      </c>
      <c r="C4222" s="1" t="s">
        <v>2505</v>
      </c>
      <c r="D4222" s="1" t="s">
        <v>2506</v>
      </c>
      <c r="E4222" s="1" t="s">
        <v>2019</v>
      </c>
      <c r="F4222" s="1" t="s">
        <v>418</v>
      </c>
      <c r="G4222" s="6">
        <v>156626</v>
      </c>
      <c r="H4222" t="str">
        <f>IFERROR(VLOOKUP(F4222,'LEAID Match'!$A$2:$B$142,2,FALSE),"")</f>
        <v/>
      </c>
    </row>
    <row r="4223" spans="1:8" x14ac:dyDescent="0.2">
      <c r="A4223" t="str">
        <f t="shared" si="65"/>
        <v/>
      </c>
      <c r="B4223" s="1">
        <v>2024</v>
      </c>
      <c r="C4223" s="1" t="s">
        <v>2505</v>
      </c>
      <c r="D4223" s="1" t="s">
        <v>2506</v>
      </c>
      <c r="E4223" s="1" t="s">
        <v>2019</v>
      </c>
      <c r="F4223" s="1" t="s">
        <v>418</v>
      </c>
      <c r="G4223" s="6">
        <v>159391</v>
      </c>
      <c r="H4223" t="str">
        <f>IFERROR(VLOOKUP(F4223,'LEAID Match'!$A$2:$B$142,2,FALSE),"")</f>
        <v/>
      </c>
    </row>
    <row r="4224" spans="1:8" x14ac:dyDescent="0.2">
      <c r="A4224" t="str">
        <f t="shared" si="65"/>
        <v/>
      </c>
      <c r="B4224" s="1">
        <v>2015</v>
      </c>
      <c r="C4224" s="1" t="s">
        <v>2505</v>
      </c>
      <c r="D4224" s="1" t="s">
        <v>2506</v>
      </c>
      <c r="E4224" s="1" t="s">
        <v>2019</v>
      </c>
      <c r="F4224" s="1" t="s">
        <v>1026</v>
      </c>
      <c r="G4224" s="6">
        <v>75619</v>
      </c>
      <c r="H4224" t="str">
        <f>IFERROR(VLOOKUP(F4224,'LEAID Match'!$A$2:$B$142,2,FALSE),"")</f>
        <v/>
      </c>
    </row>
    <row r="4225" spans="1:8" x14ac:dyDescent="0.2">
      <c r="A4225" t="str">
        <f t="shared" si="65"/>
        <v/>
      </c>
      <c r="B4225">
        <v>2016</v>
      </c>
      <c r="C4225" s="1" t="s">
        <v>2505</v>
      </c>
      <c r="D4225" s="1" t="s">
        <v>2506</v>
      </c>
      <c r="E4225" s="1" t="s">
        <v>2019</v>
      </c>
      <c r="F4225" s="1" t="s">
        <v>1026</v>
      </c>
      <c r="G4225" s="12">
        <v>73869</v>
      </c>
      <c r="H4225" t="str">
        <f>IFERROR(VLOOKUP(F4225,'LEAID Match'!$A$2:$B$142,2,FALSE),"")</f>
        <v/>
      </c>
    </row>
    <row r="4226" spans="1:8" x14ac:dyDescent="0.2">
      <c r="A4226" t="str">
        <f t="shared" si="65"/>
        <v/>
      </c>
      <c r="B4226" s="1">
        <v>2017</v>
      </c>
      <c r="C4226" s="1" t="s">
        <v>2505</v>
      </c>
      <c r="D4226" s="1" t="s">
        <v>2506</v>
      </c>
      <c r="E4226" s="1" t="s">
        <v>2019</v>
      </c>
      <c r="F4226" s="1" t="s">
        <v>1026</v>
      </c>
      <c r="G4226" s="50">
        <v>69161</v>
      </c>
      <c r="H4226" t="str">
        <f>IFERROR(VLOOKUP(F4226,'LEAID Match'!$A$2:$B$142,2,FALSE),"")</f>
        <v/>
      </c>
    </row>
    <row r="4227" spans="1:8" x14ac:dyDescent="0.2">
      <c r="A4227" t="str">
        <f t="shared" ref="A4227:A4290" si="66">H4227</f>
        <v/>
      </c>
      <c r="B4227" s="1">
        <v>2018</v>
      </c>
      <c r="C4227" s="1" t="s">
        <v>2505</v>
      </c>
      <c r="D4227" s="1" t="s">
        <v>2506</v>
      </c>
      <c r="E4227" s="1" t="s">
        <v>2019</v>
      </c>
      <c r="F4227" s="1" t="s">
        <v>1026</v>
      </c>
      <c r="G4227" s="6">
        <v>58078</v>
      </c>
      <c r="H4227" t="str">
        <f>IFERROR(VLOOKUP(F4227,'LEAID Match'!$A$2:$B$142,2,FALSE),"")</f>
        <v/>
      </c>
    </row>
    <row r="4228" spans="1:8" x14ac:dyDescent="0.2">
      <c r="A4228" t="str">
        <f t="shared" si="66"/>
        <v/>
      </c>
      <c r="B4228" s="1">
        <v>2019</v>
      </c>
      <c r="C4228" s="1" t="s">
        <v>2505</v>
      </c>
      <c r="D4228" s="1" t="s">
        <v>2506</v>
      </c>
      <c r="E4228" s="1" t="s">
        <v>2019</v>
      </c>
      <c r="F4228" s="1" t="s">
        <v>1026</v>
      </c>
      <c r="G4228" s="6">
        <v>60330</v>
      </c>
      <c r="H4228" t="str">
        <f>IFERROR(VLOOKUP(F4228,'LEAID Match'!$A$2:$B$142,2,FALSE),"")</f>
        <v/>
      </c>
    </row>
    <row r="4229" spans="1:8" x14ac:dyDescent="0.2">
      <c r="A4229" t="str">
        <f t="shared" si="66"/>
        <v/>
      </c>
      <c r="B4229" s="1">
        <v>2020</v>
      </c>
      <c r="C4229" s="1" t="s">
        <v>2505</v>
      </c>
      <c r="D4229" s="1" t="s">
        <v>2506</v>
      </c>
      <c r="E4229" s="1" t="s">
        <v>2019</v>
      </c>
      <c r="F4229" s="1" t="s">
        <v>1026</v>
      </c>
      <c r="G4229" s="6">
        <v>63532</v>
      </c>
      <c r="H4229" t="str">
        <f>IFERROR(VLOOKUP(F4229,'LEAID Match'!$A$2:$B$142,2,FALSE),"")</f>
        <v/>
      </c>
    </row>
    <row r="4230" spans="1:8" x14ac:dyDescent="0.2">
      <c r="A4230" t="str">
        <f t="shared" si="66"/>
        <v/>
      </c>
      <c r="B4230" s="1">
        <v>2021</v>
      </c>
      <c r="C4230" s="1" t="s">
        <v>2505</v>
      </c>
      <c r="D4230" s="1" t="s">
        <v>2506</v>
      </c>
      <c r="E4230" s="1" t="s">
        <v>2019</v>
      </c>
      <c r="F4230" s="1" t="s">
        <v>1026</v>
      </c>
      <c r="G4230" s="6">
        <v>61254</v>
      </c>
      <c r="H4230" t="str">
        <f>IFERROR(VLOOKUP(F4230,'LEAID Match'!$A$2:$B$142,2,FALSE),"")</f>
        <v/>
      </c>
    </row>
    <row r="4231" spans="1:8" x14ac:dyDescent="0.2">
      <c r="A4231" t="str">
        <f t="shared" si="66"/>
        <v/>
      </c>
      <c r="B4231" s="1">
        <v>2022</v>
      </c>
      <c r="C4231" s="1" t="s">
        <v>2505</v>
      </c>
      <c r="D4231" s="1" t="s">
        <v>2506</v>
      </c>
      <c r="E4231" s="1" t="s">
        <v>2019</v>
      </c>
      <c r="F4231" s="1" t="s">
        <v>1026</v>
      </c>
      <c r="G4231" s="6">
        <v>73177</v>
      </c>
      <c r="H4231" t="str">
        <f>IFERROR(VLOOKUP(F4231,'LEAID Match'!$A$2:$B$142,2,FALSE),"")</f>
        <v/>
      </c>
    </row>
    <row r="4232" spans="1:8" x14ac:dyDescent="0.2">
      <c r="A4232" t="str">
        <f t="shared" si="66"/>
        <v/>
      </c>
      <c r="B4232" s="1">
        <v>2023</v>
      </c>
      <c r="C4232" s="1" t="s">
        <v>2505</v>
      </c>
      <c r="D4232" s="1" t="s">
        <v>2506</v>
      </c>
      <c r="E4232" s="1" t="s">
        <v>2019</v>
      </c>
      <c r="F4232" s="1" t="s">
        <v>1026</v>
      </c>
      <c r="G4232" s="6">
        <v>74771</v>
      </c>
      <c r="H4232" t="str">
        <f>IFERROR(VLOOKUP(F4232,'LEAID Match'!$A$2:$B$142,2,FALSE),"")</f>
        <v/>
      </c>
    </row>
    <row r="4233" spans="1:8" x14ac:dyDescent="0.2">
      <c r="A4233" t="str">
        <f t="shared" si="66"/>
        <v/>
      </c>
      <c r="B4233" s="1">
        <v>2024</v>
      </c>
      <c r="C4233" s="1" t="s">
        <v>2505</v>
      </c>
      <c r="D4233" s="1" t="s">
        <v>2506</v>
      </c>
      <c r="E4233" s="1" t="s">
        <v>2019</v>
      </c>
      <c r="F4233" s="1" t="s">
        <v>1026</v>
      </c>
      <c r="G4233" s="6">
        <v>77265</v>
      </c>
      <c r="H4233" t="str">
        <f>IFERROR(VLOOKUP(F4233,'LEAID Match'!$A$2:$B$142,2,FALSE),"")</f>
        <v/>
      </c>
    </row>
    <row r="4234" spans="1:8" x14ac:dyDescent="0.2">
      <c r="A4234" t="str">
        <f t="shared" si="66"/>
        <v/>
      </c>
      <c r="B4234" s="1">
        <v>2015</v>
      </c>
      <c r="C4234" s="1" t="s">
        <v>2505</v>
      </c>
      <c r="D4234" s="1" t="s">
        <v>2506</v>
      </c>
      <c r="E4234" s="1" t="s">
        <v>2019</v>
      </c>
      <c r="F4234" s="1" t="s">
        <v>420</v>
      </c>
      <c r="G4234" s="6">
        <v>1460729</v>
      </c>
      <c r="H4234" t="str">
        <f>IFERROR(VLOOKUP(F4234,'LEAID Match'!$A$2:$B$142,2,FALSE),"")</f>
        <v/>
      </c>
    </row>
    <row r="4235" spans="1:8" x14ac:dyDescent="0.2">
      <c r="A4235" t="str">
        <f t="shared" si="66"/>
        <v/>
      </c>
      <c r="B4235">
        <v>2016</v>
      </c>
      <c r="C4235" s="1" t="s">
        <v>2505</v>
      </c>
      <c r="D4235" s="1" t="s">
        <v>2506</v>
      </c>
      <c r="E4235" s="1" t="s">
        <v>2019</v>
      </c>
      <c r="F4235" s="1" t="s">
        <v>420</v>
      </c>
      <c r="G4235" s="12">
        <v>1469571</v>
      </c>
      <c r="H4235" t="str">
        <f>IFERROR(VLOOKUP(F4235,'LEAID Match'!$A$2:$B$142,2,FALSE),"")</f>
        <v/>
      </c>
    </row>
    <row r="4236" spans="1:8" x14ac:dyDescent="0.2">
      <c r="A4236" t="str">
        <f t="shared" si="66"/>
        <v/>
      </c>
      <c r="B4236" s="1">
        <v>2017</v>
      </c>
      <c r="C4236" s="1" t="s">
        <v>2505</v>
      </c>
      <c r="D4236" s="1" t="s">
        <v>2506</v>
      </c>
      <c r="E4236" s="1" t="s">
        <v>2019</v>
      </c>
      <c r="F4236" s="1" t="s">
        <v>420</v>
      </c>
      <c r="G4236" s="50">
        <v>1479393</v>
      </c>
      <c r="H4236" t="str">
        <f>IFERROR(VLOOKUP(F4236,'LEAID Match'!$A$2:$B$142,2,FALSE),"")</f>
        <v/>
      </c>
    </row>
    <row r="4237" spans="1:8" x14ac:dyDescent="0.2">
      <c r="A4237" t="str">
        <f t="shared" si="66"/>
        <v/>
      </c>
      <c r="B4237" s="1">
        <v>2018</v>
      </c>
      <c r="C4237" s="1" t="s">
        <v>2505</v>
      </c>
      <c r="D4237" s="1" t="s">
        <v>2506</v>
      </c>
      <c r="E4237" s="1" t="s">
        <v>2019</v>
      </c>
      <c r="F4237" s="1" t="s">
        <v>420</v>
      </c>
      <c r="G4237" s="6">
        <v>1476562</v>
      </c>
      <c r="H4237" t="str">
        <f>IFERROR(VLOOKUP(F4237,'LEAID Match'!$A$2:$B$142,2,FALSE),"")</f>
        <v/>
      </c>
    </row>
    <row r="4238" spans="1:8" x14ac:dyDescent="0.2">
      <c r="A4238" t="str">
        <f t="shared" si="66"/>
        <v/>
      </c>
      <c r="B4238" s="1">
        <v>2019</v>
      </c>
      <c r="C4238" s="1" t="s">
        <v>2505</v>
      </c>
      <c r="D4238" s="1" t="s">
        <v>2506</v>
      </c>
      <c r="E4238" s="1" t="s">
        <v>2019</v>
      </c>
      <c r="F4238" s="1" t="s">
        <v>420</v>
      </c>
      <c r="G4238" s="6">
        <v>1463848</v>
      </c>
      <c r="H4238" t="str">
        <f>IFERROR(VLOOKUP(F4238,'LEAID Match'!$A$2:$B$142,2,FALSE),"")</f>
        <v/>
      </c>
    </row>
    <row r="4239" spans="1:8" x14ac:dyDescent="0.2">
      <c r="A4239" t="str">
        <f t="shared" si="66"/>
        <v/>
      </c>
      <c r="B4239" s="1">
        <v>2020</v>
      </c>
      <c r="C4239" s="1" t="s">
        <v>2505</v>
      </c>
      <c r="D4239" s="1" t="s">
        <v>2506</v>
      </c>
      <c r="E4239" s="1" t="s">
        <v>2019</v>
      </c>
      <c r="F4239" s="1" t="s">
        <v>420</v>
      </c>
      <c r="G4239" s="6">
        <v>1669279</v>
      </c>
      <c r="H4239" t="str">
        <f>IFERROR(VLOOKUP(F4239,'LEAID Match'!$A$2:$B$142,2,FALSE),"")</f>
        <v/>
      </c>
    </row>
    <row r="4240" spans="1:8" x14ac:dyDescent="0.2">
      <c r="A4240" t="str">
        <f t="shared" si="66"/>
        <v/>
      </c>
      <c r="B4240" s="1">
        <v>2021</v>
      </c>
      <c r="C4240" s="1" t="s">
        <v>2505</v>
      </c>
      <c r="D4240" s="1" t="s">
        <v>2506</v>
      </c>
      <c r="E4240" s="1" t="s">
        <v>2019</v>
      </c>
      <c r="F4240" s="1" t="s">
        <v>420</v>
      </c>
      <c r="G4240" s="6">
        <v>1650694</v>
      </c>
      <c r="H4240" t="str">
        <f>IFERROR(VLOOKUP(F4240,'LEAID Match'!$A$2:$B$142,2,FALSE),"")</f>
        <v/>
      </c>
    </row>
    <row r="4241" spans="1:8" x14ac:dyDescent="0.2">
      <c r="A4241" t="str">
        <f t="shared" si="66"/>
        <v/>
      </c>
      <c r="B4241" s="1">
        <v>2022</v>
      </c>
      <c r="C4241" s="1" t="s">
        <v>2505</v>
      </c>
      <c r="D4241" s="1" t="s">
        <v>2506</v>
      </c>
      <c r="E4241" s="1" t="s">
        <v>2019</v>
      </c>
      <c r="F4241" s="1" t="s">
        <v>420</v>
      </c>
      <c r="G4241" s="6">
        <v>1794052</v>
      </c>
      <c r="H4241" t="str">
        <f>IFERROR(VLOOKUP(F4241,'LEAID Match'!$A$2:$B$142,2,FALSE),"")</f>
        <v/>
      </c>
    </row>
    <row r="4242" spans="1:8" x14ac:dyDescent="0.2">
      <c r="A4242" t="str">
        <f t="shared" si="66"/>
        <v/>
      </c>
      <c r="B4242" s="1">
        <v>2023</v>
      </c>
      <c r="C4242" s="1" t="s">
        <v>2505</v>
      </c>
      <c r="D4242" s="1" t="s">
        <v>2506</v>
      </c>
      <c r="E4242" s="1" t="s">
        <v>2019</v>
      </c>
      <c r="F4242" s="1" t="s">
        <v>420</v>
      </c>
      <c r="G4242" s="6">
        <v>2117286</v>
      </c>
      <c r="H4242" t="str">
        <f>IFERROR(VLOOKUP(F4242,'LEAID Match'!$A$2:$B$142,2,FALSE),"")</f>
        <v/>
      </c>
    </row>
    <row r="4243" spans="1:8" x14ac:dyDescent="0.2">
      <c r="A4243" t="str">
        <f t="shared" si="66"/>
        <v/>
      </c>
      <c r="B4243" s="1">
        <v>2024</v>
      </c>
      <c r="C4243" s="1" t="s">
        <v>2505</v>
      </c>
      <c r="D4243" s="1" t="s">
        <v>2506</v>
      </c>
      <c r="E4243" s="1" t="s">
        <v>2019</v>
      </c>
      <c r="F4243" s="1" t="s">
        <v>420</v>
      </c>
      <c r="G4243" s="6">
        <v>2418238</v>
      </c>
      <c r="H4243" t="str">
        <f>IFERROR(VLOOKUP(F4243,'LEAID Match'!$A$2:$B$142,2,FALSE),"")</f>
        <v/>
      </c>
    </row>
    <row r="4244" spans="1:8" x14ac:dyDescent="0.2">
      <c r="A4244" t="str">
        <f t="shared" si="66"/>
        <v/>
      </c>
      <c r="B4244">
        <v>2016</v>
      </c>
      <c r="C4244" s="1" t="s">
        <v>2505</v>
      </c>
      <c r="D4244" s="1" t="s">
        <v>2506</v>
      </c>
      <c r="E4244" s="1" t="s">
        <v>2019</v>
      </c>
      <c r="F4244" s="1" t="s">
        <v>879</v>
      </c>
      <c r="G4244" s="12">
        <v>170855</v>
      </c>
      <c r="H4244" t="str">
        <f>IFERROR(VLOOKUP(F4244,'LEAID Match'!$A$2:$B$142,2,FALSE),"")</f>
        <v/>
      </c>
    </row>
    <row r="4245" spans="1:8" x14ac:dyDescent="0.2">
      <c r="A4245" t="str">
        <f t="shared" si="66"/>
        <v/>
      </c>
      <c r="B4245" s="1">
        <v>2017</v>
      </c>
      <c r="C4245" s="1" t="s">
        <v>2505</v>
      </c>
      <c r="D4245" s="1" t="s">
        <v>2506</v>
      </c>
      <c r="E4245" s="1" t="s">
        <v>2019</v>
      </c>
      <c r="F4245" s="1" t="s">
        <v>879</v>
      </c>
      <c r="G4245" s="50">
        <v>162163</v>
      </c>
      <c r="H4245" t="str">
        <f>IFERROR(VLOOKUP(F4245,'LEAID Match'!$A$2:$B$142,2,FALSE),"")</f>
        <v/>
      </c>
    </row>
    <row r="4246" spans="1:8" x14ac:dyDescent="0.2">
      <c r="A4246" t="str">
        <f t="shared" si="66"/>
        <v/>
      </c>
      <c r="B4246" s="1">
        <v>2018</v>
      </c>
      <c r="C4246" s="1" t="s">
        <v>2505</v>
      </c>
      <c r="D4246" s="1" t="s">
        <v>2506</v>
      </c>
      <c r="E4246" s="1" t="s">
        <v>2019</v>
      </c>
      <c r="F4246" s="1" t="s">
        <v>879</v>
      </c>
      <c r="G4246" s="6">
        <v>166921</v>
      </c>
      <c r="H4246" t="str">
        <f>IFERROR(VLOOKUP(F4246,'LEAID Match'!$A$2:$B$142,2,FALSE),"")</f>
        <v/>
      </c>
    </row>
    <row r="4247" spans="1:8" x14ac:dyDescent="0.2">
      <c r="A4247" t="str">
        <f t="shared" si="66"/>
        <v/>
      </c>
      <c r="B4247" s="1">
        <v>2019</v>
      </c>
      <c r="C4247" s="1" t="s">
        <v>2505</v>
      </c>
      <c r="D4247" s="1" t="s">
        <v>2506</v>
      </c>
      <c r="E4247" s="1" t="s">
        <v>2019</v>
      </c>
      <c r="F4247" s="1" t="s">
        <v>879</v>
      </c>
      <c r="G4247" s="6">
        <v>176839</v>
      </c>
      <c r="H4247" t="str">
        <f>IFERROR(VLOOKUP(F4247,'LEAID Match'!$A$2:$B$142,2,FALSE),"")</f>
        <v/>
      </c>
    </row>
    <row r="4248" spans="1:8" x14ac:dyDescent="0.2">
      <c r="A4248" t="str">
        <f t="shared" si="66"/>
        <v/>
      </c>
      <c r="B4248" s="1">
        <v>2020</v>
      </c>
      <c r="C4248" s="1" t="s">
        <v>2505</v>
      </c>
      <c r="D4248" s="1" t="s">
        <v>2506</v>
      </c>
      <c r="E4248" s="1" t="s">
        <v>2019</v>
      </c>
      <c r="F4248" s="1" t="s">
        <v>879</v>
      </c>
      <c r="G4248" s="6">
        <v>204243</v>
      </c>
      <c r="H4248" t="str">
        <f>IFERROR(VLOOKUP(F4248,'LEAID Match'!$A$2:$B$142,2,FALSE),"")</f>
        <v/>
      </c>
    </row>
    <row r="4249" spans="1:8" x14ac:dyDescent="0.2">
      <c r="A4249" t="str">
        <f t="shared" si="66"/>
        <v/>
      </c>
      <c r="B4249" s="1">
        <v>2021</v>
      </c>
      <c r="C4249" s="1" t="s">
        <v>2505</v>
      </c>
      <c r="D4249" s="1" t="s">
        <v>2506</v>
      </c>
      <c r="E4249" s="1" t="s">
        <v>2019</v>
      </c>
      <c r="F4249" s="1" t="s">
        <v>879</v>
      </c>
      <c r="G4249" s="6">
        <v>205923</v>
      </c>
      <c r="H4249" t="str">
        <f>IFERROR(VLOOKUP(F4249,'LEAID Match'!$A$2:$B$142,2,FALSE),"")</f>
        <v/>
      </c>
    </row>
    <row r="4250" spans="1:8" x14ac:dyDescent="0.2">
      <c r="A4250" t="str">
        <f t="shared" si="66"/>
        <v/>
      </c>
      <c r="B4250" s="1">
        <v>2022</v>
      </c>
      <c r="C4250" s="1" t="s">
        <v>2505</v>
      </c>
      <c r="D4250" s="1" t="s">
        <v>2506</v>
      </c>
      <c r="E4250" s="1" t="s">
        <v>2019</v>
      </c>
      <c r="F4250" s="1" t="s">
        <v>879</v>
      </c>
      <c r="G4250" s="6">
        <v>210444</v>
      </c>
      <c r="H4250" t="str">
        <f>IFERROR(VLOOKUP(F4250,'LEAID Match'!$A$2:$B$142,2,FALSE),"")</f>
        <v/>
      </c>
    </row>
    <row r="4251" spans="1:8" x14ac:dyDescent="0.2">
      <c r="A4251" t="str">
        <f t="shared" si="66"/>
        <v/>
      </c>
      <c r="B4251" s="1">
        <v>2023</v>
      </c>
      <c r="C4251" s="1" t="s">
        <v>2505</v>
      </c>
      <c r="D4251" s="1" t="s">
        <v>2506</v>
      </c>
      <c r="E4251" s="1" t="s">
        <v>2019</v>
      </c>
      <c r="F4251" s="1" t="s">
        <v>879</v>
      </c>
      <c r="G4251" s="6">
        <v>223197</v>
      </c>
      <c r="H4251" t="str">
        <f>IFERROR(VLOOKUP(F4251,'LEAID Match'!$A$2:$B$142,2,FALSE),"")</f>
        <v/>
      </c>
    </row>
    <row r="4252" spans="1:8" x14ac:dyDescent="0.2">
      <c r="A4252" t="str">
        <f t="shared" si="66"/>
        <v/>
      </c>
      <c r="B4252" s="1">
        <v>2024</v>
      </c>
      <c r="C4252" s="1" t="s">
        <v>2505</v>
      </c>
      <c r="D4252" s="1" t="s">
        <v>2506</v>
      </c>
      <c r="E4252" s="1" t="s">
        <v>2019</v>
      </c>
      <c r="F4252" s="1" t="s">
        <v>879</v>
      </c>
      <c r="G4252" s="6">
        <v>228328</v>
      </c>
      <c r="H4252" t="str">
        <f>IFERROR(VLOOKUP(F4252,'LEAID Match'!$A$2:$B$142,2,FALSE),"")</f>
        <v/>
      </c>
    </row>
    <row r="4253" spans="1:8" x14ac:dyDescent="0.2">
      <c r="A4253">
        <f t="shared" si="66"/>
        <v>2802790</v>
      </c>
      <c r="B4253" s="1">
        <v>2015</v>
      </c>
      <c r="C4253" s="1" t="s">
        <v>2505</v>
      </c>
      <c r="D4253" s="1" t="s">
        <v>2506</v>
      </c>
      <c r="E4253" s="1" t="s">
        <v>2019</v>
      </c>
      <c r="F4253" s="1" t="s">
        <v>422</v>
      </c>
      <c r="G4253" s="6">
        <v>9746047</v>
      </c>
      <c r="H4253">
        <f>IFERROR(VLOOKUP(F4253,'LEAID Match'!$A$2:$B$142,2,FALSE),"")</f>
        <v>2802790</v>
      </c>
    </row>
    <row r="4254" spans="1:8" x14ac:dyDescent="0.2">
      <c r="A4254">
        <f t="shared" si="66"/>
        <v>2802790</v>
      </c>
      <c r="B4254">
        <v>2016</v>
      </c>
      <c r="C4254" s="1" t="s">
        <v>2505</v>
      </c>
      <c r="D4254" s="1" t="s">
        <v>2506</v>
      </c>
      <c r="E4254" s="1" t="s">
        <v>2019</v>
      </c>
      <c r="F4254" s="1" t="s">
        <v>422</v>
      </c>
      <c r="G4254" s="12">
        <v>10240838</v>
      </c>
      <c r="H4254">
        <f>IFERROR(VLOOKUP(F4254,'LEAID Match'!$A$2:$B$142,2,FALSE),"")</f>
        <v>2802790</v>
      </c>
    </row>
    <row r="4255" spans="1:8" x14ac:dyDescent="0.2">
      <c r="A4255">
        <f t="shared" si="66"/>
        <v>2802790</v>
      </c>
      <c r="B4255" s="1">
        <v>2017</v>
      </c>
      <c r="C4255" s="1" t="s">
        <v>2505</v>
      </c>
      <c r="D4255" s="1" t="s">
        <v>2506</v>
      </c>
      <c r="E4255" s="1" t="s">
        <v>2019</v>
      </c>
      <c r="F4255" s="1" t="s">
        <v>422</v>
      </c>
      <c r="G4255" s="50">
        <v>10837891</v>
      </c>
      <c r="H4255">
        <f>IFERROR(VLOOKUP(F4255,'LEAID Match'!$A$2:$B$142,2,FALSE),"")</f>
        <v>2802790</v>
      </c>
    </row>
    <row r="4256" spans="1:8" x14ac:dyDescent="0.2">
      <c r="A4256">
        <f t="shared" si="66"/>
        <v>2802790</v>
      </c>
      <c r="B4256" s="1">
        <v>2018</v>
      </c>
      <c r="C4256" s="1" t="s">
        <v>2505</v>
      </c>
      <c r="D4256" s="1" t="s">
        <v>2506</v>
      </c>
      <c r="E4256" s="1" t="s">
        <v>2019</v>
      </c>
      <c r="F4256" s="1" t="s">
        <v>422</v>
      </c>
      <c r="G4256" s="6">
        <v>11083362</v>
      </c>
      <c r="H4256">
        <f>IFERROR(VLOOKUP(F4256,'LEAID Match'!$A$2:$B$142,2,FALSE),"")</f>
        <v>2802790</v>
      </c>
    </row>
    <row r="4257" spans="1:8" x14ac:dyDescent="0.2">
      <c r="A4257">
        <f t="shared" si="66"/>
        <v>2802790</v>
      </c>
      <c r="B4257" s="1">
        <v>2019</v>
      </c>
      <c r="C4257" s="1" t="s">
        <v>2505</v>
      </c>
      <c r="D4257" s="1" t="s">
        <v>2506</v>
      </c>
      <c r="E4257" s="1" t="s">
        <v>2019</v>
      </c>
      <c r="F4257" s="1" t="s">
        <v>422</v>
      </c>
      <c r="G4257" s="6">
        <v>11619311</v>
      </c>
      <c r="H4257">
        <f>IFERROR(VLOOKUP(F4257,'LEAID Match'!$A$2:$B$142,2,FALSE),"")</f>
        <v>2802790</v>
      </c>
    </row>
    <row r="4258" spans="1:8" x14ac:dyDescent="0.2">
      <c r="A4258">
        <f t="shared" si="66"/>
        <v>2802790</v>
      </c>
      <c r="B4258" s="1">
        <v>2020</v>
      </c>
      <c r="C4258" s="1" t="s">
        <v>2505</v>
      </c>
      <c r="D4258" s="1" t="s">
        <v>2506</v>
      </c>
      <c r="E4258" s="1" t="s">
        <v>2019</v>
      </c>
      <c r="F4258" s="1" t="s">
        <v>422</v>
      </c>
      <c r="G4258" s="6">
        <v>13641065</v>
      </c>
      <c r="H4258">
        <f>IFERROR(VLOOKUP(F4258,'LEAID Match'!$A$2:$B$142,2,FALSE),"")</f>
        <v>2802790</v>
      </c>
    </row>
    <row r="4259" spans="1:8" x14ac:dyDescent="0.2">
      <c r="A4259">
        <f t="shared" si="66"/>
        <v>2802790</v>
      </c>
      <c r="B4259" s="1">
        <v>2021</v>
      </c>
      <c r="C4259" s="1" t="s">
        <v>2505</v>
      </c>
      <c r="D4259" s="1" t="s">
        <v>2506</v>
      </c>
      <c r="E4259" s="1" t="s">
        <v>2019</v>
      </c>
      <c r="F4259" s="1" t="s">
        <v>422</v>
      </c>
      <c r="G4259" s="6">
        <v>13830811</v>
      </c>
      <c r="H4259">
        <f>IFERROR(VLOOKUP(F4259,'LEAID Match'!$A$2:$B$142,2,FALSE),"")</f>
        <v>2802790</v>
      </c>
    </row>
    <row r="4260" spans="1:8" x14ac:dyDescent="0.2">
      <c r="A4260">
        <f t="shared" si="66"/>
        <v>2802790</v>
      </c>
      <c r="B4260" s="1">
        <v>2022</v>
      </c>
      <c r="C4260" s="1" t="s">
        <v>2505</v>
      </c>
      <c r="D4260" s="1" t="s">
        <v>2506</v>
      </c>
      <c r="E4260" s="1" t="s">
        <v>2019</v>
      </c>
      <c r="F4260" s="1" t="s">
        <v>422</v>
      </c>
      <c r="G4260" s="6">
        <v>14516513</v>
      </c>
      <c r="H4260">
        <f>IFERROR(VLOOKUP(F4260,'LEAID Match'!$A$2:$B$142,2,FALSE),"")</f>
        <v>2802790</v>
      </c>
    </row>
    <row r="4261" spans="1:8" x14ac:dyDescent="0.2">
      <c r="A4261">
        <f t="shared" si="66"/>
        <v>2802790</v>
      </c>
      <c r="B4261" s="1">
        <v>2023</v>
      </c>
      <c r="C4261" s="1" t="s">
        <v>2505</v>
      </c>
      <c r="D4261" s="1" t="s">
        <v>2506</v>
      </c>
      <c r="E4261" s="1" t="s">
        <v>2019</v>
      </c>
      <c r="F4261" s="1" t="s">
        <v>422</v>
      </c>
      <c r="G4261" s="6">
        <v>16302581</v>
      </c>
      <c r="H4261">
        <f>IFERROR(VLOOKUP(F4261,'LEAID Match'!$A$2:$B$142,2,FALSE),"")</f>
        <v>2802790</v>
      </c>
    </row>
    <row r="4262" spans="1:8" x14ac:dyDescent="0.2">
      <c r="A4262">
        <f t="shared" si="66"/>
        <v>2802790</v>
      </c>
      <c r="B4262" s="1">
        <v>2024</v>
      </c>
      <c r="C4262" s="1" t="s">
        <v>2505</v>
      </c>
      <c r="D4262" s="1" t="s">
        <v>2506</v>
      </c>
      <c r="E4262" s="1" t="s">
        <v>2019</v>
      </c>
      <c r="F4262" s="1" t="s">
        <v>422</v>
      </c>
      <c r="G4262" s="6">
        <v>16958737</v>
      </c>
      <c r="H4262">
        <f>IFERROR(VLOOKUP(F4262,'LEAID Match'!$A$2:$B$142,2,FALSE),"")</f>
        <v>2802790</v>
      </c>
    </row>
    <row r="4263" spans="1:8" x14ac:dyDescent="0.2">
      <c r="A4263" t="str">
        <f t="shared" si="66"/>
        <v/>
      </c>
      <c r="B4263" s="1">
        <v>2015</v>
      </c>
      <c r="C4263" s="1" t="s">
        <v>2505</v>
      </c>
      <c r="D4263" s="1" t="s">
        <v>2506</v>
      </c>
      <c r="E4263" s="1" t="s">
        <v>2019</v>
      </c>
      <c r="F4263" s="1" t="s">
        <v>423</v>
      </c>
      <c r="G4263" s="6">
        <v>2553172</v>
      </c>
      <c r="H4263" t="str">
        <f>IFERROR(VLOOKUP(F4263,'LEAID Match'!$A$2:$B$142,2,FALSE),"")</f>
        <v/>
      </c>
    </row>
    <row r="4264" spans="1:8" x14ac:dyDescent="0.2">
      <c r="A4264" t="str">
        <f t="shared" si="66"/>
        <v/>
      </c>
      <c r="B4264">
        <v>2016</v>
      </c>
      <c r="C4264" s="1" t="s">
        <v>2505</v>
      </c>
      <c r="D4264" s="1" t="s">
        <v>2506</v>
      </c>
      <c r="E4264" s="1" t="s">
        <v>2019</v>
      </c>
      <c r="F4264" s="1" t="s">
        <v>423</v>
      </c>
      <c r="G4264" s="12">
        <v>2585210</v>
      </c>
      <c r="H4264" t="str">
        <f>IFERROR(VLOOKUP(F4264,'LEAID Match'!$A$2:$B$142,2,FALSE),"")</f>
        <v/>
      </c>
    </row>
    <row r="4265" spans="1:8" x14ac:dyDescent="0.2">
      <c r="A4265" t="str">
        <f t="shared" si="66"/>
        <v/>
      </c>
      <c r="B4265" s="1">
        <v>2017</v>
      </c>
      <c r="C4265" s="1" t="s">
        <v>2505</v>
      </c>
      <c r="D4265" s="1" t="s">
        <v>2506</v>
      </c>
      <c r="E4265" s="1" t="s">
        <v>2019</v>
      </c>
      <c r="F4265" s="1" t="s">
        <v>423</v>
      </c>
      <c r="G4265" s="50">
        <v>2604094</v>
      </c>
      <c r="H4265" t="str">
        <f>IFERROR(VLOOKUP(F4265,'LEAID Match'!$A$2:$B$142,2,FALSE),"")</f>
        <v/>
      </c>
    </row>
    <row r="4266" spans="1:8" x14ac:dyDescent="0.2">
      <c r="A4266" t="str">
        <f t="shared" si="66"/>
        <v/>
      </c>
      <c r="B4266" s="1">
        <v>2018</v>
      </c>
      <c r="C4266" s="1" t="s">
        <v>2505</v>
      </c>
      <c r="D4266" s="1" t="s">
        <v>2506</v>
      </c>
      <c r="E4266" s="1" t="s">
        <v>2019</v>
      </c>
      <c r="F4266" s="1" t="s">
        <v>423</v>
      </c>
      <c r="G4266" s="6">
        <v>2615239</v>
      </c>
      <c r="H4266" t="str">
        <f>IFERROR(VLOOKUP(F4266,'LEAID Match'!$A$2:$B$142,2,FALSE),"")</f>
        <v/>
      </c>
    </row>
    <row r="4267" spans="1:8" x14ac:dyDescent="0.2">
      <c r="A4267" t="str">
        <f t="shared" si="66"/>
        <v/>
      </c>
      <c r="B4267" s="1">
        <v>2019</v>
      </c>
      <c r="C4267" s="1" t="s">
        <v>2505</v>
      </c>
      <c r="D4267" s="1" t="s">
        <v>2506</v>
      </c>
      <c r="E4267" s="1" t="s">
        <v>2019</v>
      </c>
      <c r="F4267" s="1" t="s">
        <v>423</v>
      </c>
      <c r="G4267" s="6">
        <v>2715885</v>
      </c>
      <c r="H4267" t="str">
        <f>IFERROR(VLOOKUP(F4267,'LEAID Match'!$A$2:$B$142,2,FALSE),"")</f>
        <v/>
      </c>
    </row>
    <row r="4268" spans="1:8" x14ac:dyDescent="0.2">
      <c r="A4268" t="str">
        <f t="shared" si="66"/>
        <v/>
      </c>
      <c r="B4268" s="1">
        <v>2020</v>
      </c>
      <c r="C4268" s="1" t="s">
        <v>2505</v>
      </c>
      <c r="D4268" s="1" t="s">
        <v>2506</v>
      </c>
      <c r="E4268" s="1" t="s">
        <v>2019</v>
      </c>
      <c r="F4268" s="1" t="s">
        <v>423</v>
      </c>
      <c r="G4268" s="6">
        <v>3204033</v>
      </c>
      <c r="H4268" t="str">
        <f>IFERROR(VLOOKUP(F4268,'LEAID Match'!$A$2:$B$142,2,FALSE),"")</f>
        <v/>
      </c>
    </row>
    <row r="4269" spans="1:8" x14ac:dyDescent="0.2">
      <c r="A4269" t="str">
        <f t="shared" si="66"/>
        <v/>
      </c>
      <c r="B4269" s="1">
        <v>2021</v>
      </c>
      <c r="C4269" s="1" t="s">
        <v>2505</v>
      </c>
      <c r="D4269" s="1" t="s">
        <v>2506</v>
      </c>
      <c r="E4269" s="1" t="s">
        <v>2019</v>
      </c>
      <c r="F4269" s="1" t="s">
        <v>423</v>
      </c>
      <c r="G4269" s="6">
        <v>3343858</v>
      </c>
      <c r="H4269" t="str">
        <f>IFERROR(VLOOKUP(F4269,'LEAID Match'!$A$2:$B$142,2,FALSE),"")</f>
        <v/>
      </c>
    </row>
    <row r="4270" spans="1:8" x14ac:dyDescent="0.2">
      <c r="A4270" t="str">
        <f t="shared" si="66"/>
        <v/>
      </c>
      <c r="B4270" s="1">
        <v>2022</v>
      </c>
      <c r="C4270" s="1" t="s">
        <v>2505</v>
      </c>
      <c r="D4270" s="1" t="s">
        <v>2506</v>
      </c>
      <c r="E4270" s="1" t="s">
        <v>2019</v>
      </c>
      <c r="F4270" s="1" t="s">
        <v>423</v>
      </c>
      <c r="G4270" s="6">
        <v>3525251</v>
      </c>
      <c r="H4270" t="str">
        <f>IFERROR(VLOOKUP(F4270,'LEAID Match'!$A$2:$B$142,2,FALSE),"")</f>
        <v/>
      </c>
    </row>
    <row r="4271" spans="1:8" x14ac:dyDescent="0.2">
      <c r="A4271" t="str">
        <f t="shared" si="66"/>
        <v/>
      </c>
      <c r="B4271" s="1">
        <v>2023</v>
      </c>
      <c r="C4271" s="1" t="s">
        <v>2505</v>
      </c>
      <c r="D4271" s="1" t="s">
        <v>2506</v>
      </c>
      <c r="E4271" s="1" t="s">
        <v>2019</v>
      </c>
      <c r="F4271" s="1" t="s">
        <v>423</v>
      </c>
      <c r="G4271" s="6">
        <v>3779481</v>
      </c>
      <c r="H4271" t="str">
        <f>IFERROR(VLOOKUP(F4271,'LEAID Match'!$A$2:$B$142,2,FALSE),"")</f>
        <v/>
      </c>
    </row>
    <row r="4272" spans="1:8" x14ac:dyDescent="0.2">
      <c r="A4272" t="str">
        <f t="shared" si="66"/>
        <v/>
      </c>
      <c r="B4272" s="1">
        <v>2024</v>
      </c>
      <c r="C4272" s="1" t="s">
        <v>2505</v>
      </c>
      <c r="D4272" s="1" t="s">
        <v>2506</v>
      </c>
      <c r="E4272" s="1" t="s">
        <v>2019</v>
      </c>
      <c r="F4272" s="1" t="s">
        <v>423</v>
      </c>
      <c r="G4272" s="6">
        <v>3982726</v>
      </c>
      <c r="H4272" t="str">
        <f>IFERROR(VLOOKUP(F4272,'LEAID Match'!$A$2:$B$142,2,FALSE),"")</f>
        <v/>
      </c>
    </row>
    <row r="4273" spans="1:8" x14ac:dyDescent="0.2">
      <c r="A4273" t="str">
        <f t="shared" si="66"/>
        <v/>
      </c>
      <c r="B4273" s="1">
        <v>2015</v>
      </c>
      <c r="C4273" s="1" t="s">
        <v>2505</v>
      </c>
      <c r="D4273" s="1" t="s">
        <v>2506</v>
      </c>
      <c r="E4273" s="1" t="s">
        <v>2019</v>
      </c>
      <c r="F4273" s="1" t="s">
        <v>424</v>
      </c>
      <c r="G4273" s="6">
        <v>40919</v>
      </c>
      <c r="H4273" t="str">
        <f>IFERROR(VLOOKUP(F4273,'LEAID Match'!$A$2:$B$142,2,FALSE),"")</f>
        <v/>
      </c>
    </row>
    <row r="4274" spans="1:8" x14ac:dyDescent="0.2">
      <c r="A4274" t="str">
        <f t="shared" si="66"/>
        <v/>
      </c>
      <c r="B4274">
        <v>2016</v>
      </c>
      <c r="C4274" s="1" t="s">
        <v>2505</v>
      </c>
      <c r="D4274" s="1" t="s">
        <v>2506</v>
      </c>
      <c r="E4274" s="1" t="s">
        <v>2019</v>
      </c>
      <c r="F4274" s="1" t="s">
        <v>424</v>
      </c>
      <c r="G4274" s="12">
        <v>38620</v>
      </c>
      <c r="H4274" t="str">
        <f>IFERROR(VLOOKUP(F4274,'LEAID Match'!$A$2:$B$142,2,FALSE),"")</f>
        <v/>
      </c>
    </row>
    <row r="4275" spans="1:8" x14ac:dyDescent="0.2">
      <c r="A4275" t="str">
        <f t="shared" si="66"/>
        <v/>
      </c>
      <c r="B4275" s="1">
        <v>2017</v>
      </c>
      <c r="C4275" s="1" t="s">
        <v>2505</v>
      </c>
      <c r="D4275" s="1" t="s">
        <v>2506</v>
      </c>
      <c r="E4275" s="1" t="s">
        <v>2019</v>
      </c>
      <c r="F4275" s="1" t="s">
        <v>424</v>
      </c>
      <c r="G4275" s="50">
        <v>17100</v>
      </c>
      <c r="H4275" t="str">
        <f>IFERROR(VLOOKUP(F4275,'LEAID Match'!$A$2:$B$142,2,FALSE),"")</f>
        <v/>
      </c>
    </row>
    <row r="4276" spans="1:8" x14ac:dyDescent="0.2">
      <c r="A4276" t="str">
        <f t="shared" si="66"/>
        <v/>
      </c>
      <c r="B4276" s="1">
        <v>2018</v>
      </c>
      <c r="C4276" s="1" t="s">
        <v>2505</v>
      </c>
      <c r="D4276" s="1" t="s">
        <v>2506</v>
      </c>
      <c r="E4276" s="1" t="s">
        <v>2019</v>
      </c>
      <c r="F4276" s="1" t="s">
        <v>424</v>
      </c>
      <c r="G4276" s="6">
        <v>63029</v>
      </c>
      <c r="H4276" t="str">
        <f>IFERROR(VLOOKUP(F4276,'LEAID Match'!$A$2:$B$142,2,FALSE),"")</f>
        <v/>
      </c>
    </row>
    <row r="4277" spans="1:8" x14ac:dyDescent="0.2">
      <c r="A4277" t="str">
        <f t="shared" si="66"/>
        <v/>
      </c>
      <c r="B4277" s="1">
        <v>2019</v>
      </c>
      <c r="C4277" s="1" t="s">
        <v>2505</v>
      </c>
      <c r="D4277" s="1" t="s">
        <v>2506</v>
      </c>
      <c r="E4277" s="1" t="s">
        <v>2019</v>
      </c>
      <c r="F4277" s="1" t="s">
        <v>424</v>
      </c>
      <c r="G4277" s="6">
        <v>80152</v>
      </c>
      <c r="H4277" t="str">
        <f>IFERROR(VLOOKUP(F4277,'LEAID Match'!$A$2:$B$142,2,FALSE),"")</f>
        <v/>
      </c>
    </row>
    <row r="4278" spans="1:8" x14ac:dyDescent="0.2">
      <c r="A4278" t="str">
        <f t="shared" si="66"/>
        <v/>
      </c>
      <c r="B4278" s="1">
        <v>2020</v>
      </c>
      <c r="C4278" s="1" t="s">
        <v>2505</v>
      </c>
      <c r="D4278" s="1" t="s">
        <v>2506</v>
      </c>
      <c r="E4278" s="1" t="s">
        <v>2019</v>
      </c>
      <c r="F4278" s="1" t="s">
        <v>424</v>
      </c>
      <c r="G4278" s="6">
        <v>90185</v>
      </c>
      <c r="H4278" t="str">
        <f>IFERROR(VLOOKUP(F4278,'LEAID Match'!$A$2:$B$142,2,FALSE),"")</f>
        <v/>
      </c>
    </row>
    <row r="4279" spans="1:8" x14ac:dyDescent="0.2">
      <c r="A4279" t="str">
        <f t="shared" si="66"/>
        <v/>
      </c>
      <c r="B4279" s="1">
        <v>2021</v>
      </c>
      <c r="C4279" s="1" t="s">
        <v>2505</v>
      </c>
      <c r="D4279" s="1" t="s">
        <v>2506</v>
      </c>
      <c r="E4279" s="1" t="s">
        <v>2019</v>
      </c>
      <c r="F4279" s="1" t="s">
        <v>424</v>
      </c>
      <c r="G4279" s="6">
        <v>93980</v>
      </c>
      <c r="H4279" t="str">
        <f>IFERROR(VLOOKUP(F4279,'LEAID Match'!$A$2:$B$142,2,FALSE),"")</f>
        <v/>
      </c>
    </row>
    <row r="4280" spans="1:8" x14ac:dyDescent="0.2">
      <c r="A4280" t="str">
        <f t="shared" si="66"/>
        <v/>
      </c>
      <c r="B4280" s="1">
        <v>2022</v>
      </c>
      <c r="C4280" s="1" t="s">
        <v>2505</v>
      </c>
      <c r="D4280" s="1" t="s">
        <v>2506</v>
      </c>
      <c r="E4280" s="1" t="s">
        <v>2019</v>
      </c>
      <c r="F4280" s="1" t="s">
        <v>424</v>
      </c>
      <c r="G4280" s="6">
        <v>91312</v>
      </c>
      <c r="H4280" t="str">
        <f>IFERROR(VLOOKUP(F4280,'LEAID Match'!$A$2:$B$142,2,FALSE),"")</f>
        <v/>
      </c>
    </row>
    <row r="4281" spans="1:8" x14ac:dyDescent="0.2">
      <c r="A4281" t="str">
        <f t="shared" si="66"/>
        <v/>
      </c>
      <c r="B4281" s="1">
        <v>2023</v>
      </c>
      <c r="C4281" s="1" t="s">
        <v>2505</v>
      </c>
      <c r="D4281" s="1" t="s">
        <v>2506</v>
      </c>
      <c r="E4281" s="1" t="s">
        <v>2019</v>
      </c>
      <c r="F4281" s="1" t="s">
        <v>424</v>
      </c>
      <c r="G4281" s="6">
        <v>98156</v>
      </c>
      <c r="H4281" t="str">
        <f>IFERROR(VLOOKUP(F4281,'LEAID Match'!$A$2:$B$142,2,FALSE),"")</f>
        <v/>
      </c>
    </row>
    <row r="4282" spans="1:8" x14ac:dyDescent="0.2">
      <c r="A4282" t="str">
        <f t="shared" si="66"/>
        <v/>
      </c>
      <c r="B4282" s="1">
        <v>2024</v>
      </c>
      <c r="C4282" s="1" t="s">
        <v>2505</v>
      </c>
      <c r="D4282" s="1" t="s">
        <v>2506</v>
      </c>
      <c r="E4282" s="1" t="s">
        <v>2019</v>
      </c>
      <c r="F4282" s="1" t="s">
        <v>424</v>
      </c>
      <c r="G4282" s="6">
        <v>106405</v>
      </c>
      <c r="H4282" t="str">
        <f>IFERROR(VLOOKUP(F4282,'LEAID Match'!$A$2:$B$142,2,FALSE),"")</f>
        <v/>
      </c>
    </row>
    <row r="4283" spans="1:8" x14ac:dyDescent="0.2">
      <c r="A4283" t="str">
        <f t="shared" si="66"/>
        <v/>
      </c>
      <c r="B4283" s="1">
        <v>2015</v>
      </c>
      <c r="C4283" s="1" t="s">
        <v>2505</v>
      </c>
      <c r="D4283" s="1" t="s">
        <v>2506</v>
      </c>
      <c r="E4283" s="1" t="s">
        <v>2019</v>
      </c>
      <c r="F4283" s="1" t="s">
        <v>425</v>
      </c>
      <c r="G4283" s="6">
        <v>347222</v>
      </c>
      <c r="H4283" t="str">
        <f>IFERROR(VLOOKUP(F4283,'LEAID Match'!$A$2:$B$142,2,FALSE),"")</f>
        <v/>
      </c>
    </row>
    <row r="4284" spans="1:8" x14ac:dyDescent="0.2">
      <c r="A4284" t="str">
        <f t="shared" si="66"/>
        <v/>
      </c>
      <c r="B4284">
        <v>2016</v>
      </c>
      <c r="C4284" s="1" t="s">
        <v>2505</v>
      </c>
      <c r="D4284" s="1" t="s">
        <v>2506</v>
      </c>
      <c r="E4284" s="1" t="s">
        <v>2019</v>
      </c>
      <c r="F4284" s="1" t="s">
        <v>425</v>
      </c>
      <c r="G4284" s="12">
        <v>327840</v>
      </c>
      <c r="H4284" t="str">
        <f>IFERROR(VLOOKUP(F4284,'LEAID Match'!$A$2:$B$142,2,FALSE),"")</f>
        <v/>
      </c>
    </row>
    <row r="4285" spans="1:8" x14ac:dyDescent="0.2">
      <c r="A4285" t="str">
        <f t="shared" si="66"/>
        <v/>
      </c>
      <c r="B4285" s="1">
        <v>2017</v>
      </c>
      <c r="C4285" s="1" t="s">
        <v>2505</v>
      </c>
      <c r="D4285" s="1" t="s">
        <v>2506</v>
      </c>
      <c r="E4285" s="1" t="s">
        <v>2019</v>
      </c>
      <c r="F4285" s="1" t="s">
        <v>425</v>
      </c>
      <c r="G4285" s="50">
        <v>384954</v>
      </c>
      <c r="H4285" t="str">
        <f>IFERROR(VLOOKUP(F4285,'LEAID Match'!$A$2:$B$142,2,FALSE),"")</f>
        <v/>
      </c>
    </row>
    <row r="4286" spans="1:8" x14ac:dyDescent="0.2">
      <c r="A4286" t="str">
        <f t="shared" si="66"/>
        <v/>
      </c>
      <c r="B4286" s="1">
        <v>2018</v>
      </c>
      <c r="C4286" s="1" t="s">
        <v>2505</v>
      </c>
      <c r="D4286" s="1" t="s">
        <v>2506</v>
      </c>
      <c r="E4286" s="1" t="s">
        <v>2019</v>
      </c>
      <c r="F4286" s="1" t="s">
        <v>425</v>
      </c>
      <c r="G4286" s="6">
        <v>395972</v>
      </c>
      <c r="H4286" t="str">
        <f>IFERROR(VLOOKUP(F4286,'LEAID Match'!$A$2:$B$142,2,FALSE),"")</f>
        <v/>
      </c>
    </row>
    <row r="4287" spans="1:8" x14ac:dyDescent="0.2">
      <c r="A4287" t="str">
        <f t="shared" si="66"/>
        <v/>
      </c>
      <c r="B4287" s="1">
        <v>2019</v>
      </c>
      <c r="C4287" s="1" t="s">
        <v>2505</v>
      </c>
      <c r="D4287" s="1" t="s">
        <v>2506</v>
      </c>
      <c r="E4287" s="1" t="s">
        <v>2019</v>
      </c>
      <c r="F4287" s="1" t="s">
        <v>425</v>
      </c>
      <c r="G4287" s="6">
        <v>429259</v>
      </c>
      <c r="H4287" t="str">
        <f>IFERROR(VLOOKUP(F4287,'LEAID Match'!$A$2:$B$142,2,FALSE),"")</f>
        <v/>
      </c>
    </row>
    <row r="4288" spans="1:8" x14ac:dyDescent="0.2">
      <c r="A4288" t="str">
        <f t="shared" si="66"/>
        <v/>
      </c>
      <c r="B4288" s="1">
        <v>2020</v>
      </c>
      <c r="C4288" s="1" t="s">
        <v>2505</v>
      </c>
      <c r="D4288" s="1" t="s">
        <v>2506</v>
      </c>
      <c r="E4288" s="1" t="s">
        <v>2019</v>
      </c>
      <c r="F4288" s="1" t="s">
        <v>425</v>
      </c>
      <c r="G4288" s="6">
        <v>498246</v>
      </c>
      <c r="H4288" t="str">
        <f>IFERROR(VLOOKUP(F4288,'LEAID Match'!$A$2:$B$142,2,FALSE),"")</f>
        <v/>
      </c>
    </row>
    <row r="4289" spans="1:8" x14ac:dyDescent="0.2">
      <c r="A4289" t="str">
        <f t="shared" si="66"/>
        <v/>
      </c>
      <c r="B4289" s="1">
        <v>2021</v>
      </c>
      <c r="C4289" s="1" t="s">
        <v>2505</v>
      </c>
      <c r="D4289" s="1" t="s">
        <v>2506</v>
      </c>
      <c r="E4289" s="1" t="s">
        <v>2019</v>
      </c>
      <c r="F4289" s="1" t="s">
        <v>425</v>
      </c>
      <c r="G4289" s="6">
        <v>487773</v>
      </c>
      <c r="H4289" t="str">
        <f>IFERROR(VLOOKUP(F4289,'LEAID Match'!$A$2:$B$142,2,FALSE),"")</f>
        <v/>
      </c>
    </row>
    <row r="4290" spans="1:8" x14ac:dyDescent="0.2">
      <c r="A4290" t="str">
        <f t="shared" si="66"/>
        <v/>
      </c>
      <c r="B4290" s="1">
        <v>2022</v>
      </c>
      <c r="C4290" s="1" t="s">
        <v>2505</v>
      </c>
      <c r="D4290" s="1" t="s">
        <v>2506</v>
      </c>
      <c r="E4290" s="1" t="s">
        <v>2019</v>
      </c>
      <c r="F4290" s="1" t="s">
        <v>425</v>
      </c>
      <c r="G4290" s="6">
        <v>504512</v>
      </c>
      <c r="H4290" t="str">
        <f>IFERROR(VLOOKUP(F4290,'LEAID Match'!$A$2:$B$142,2,FALSE),"")</f>
        <v/>
      </c>
    </row>
    <row r="4291" spans="1:8" x14ac:dyDescent="0.2">
      <c r="A4291" t="str">
        <f t="shared" ref="A4291:A4354" si="67">H4291</f>
        <v/>
      </c>
      <c r="B4291" s="1">
        <v>2023</v>
      </c>
      <c r="C4291" s="1" t="s">
        <v>2505</v>
      </c>
      <c r="D4291" s="1" t="s">
        <v>2506</v>
      </c>
      <c r="E4291" s="1" t="s">
        <v>2019</v>
      </c>
      <c r="F4291" s="1" t="s">
        <v>425</v>
      </c>
      <c r="G4291" s="6">
        <v>548520</v>
      </c>
      <c r="H4291" t="str">
        <f>IFERROR(VLOOKUP(F4291,'LEAID Match'!$A$2:$B$142,2,FALSE),"")</f>
        <v/>
      </c>
    </row>
    <row r="4292" spans="1:8" x14ac:dyDescent="0.2">
      <c r="A4292" t="str">
        <f t="shared" si="67"/>
        <v/>
      </c>
      <c r="B4292" s="1">
        <v>2024</v>
      </c>
      <c r="C4292" s="1" t="s">
        <v>2505</v>
      </c>
      <c r="D4292" s="1" t="s">
        <v>2506</v>
      </c>
      <c r="E4292" s="1" t="s">
        <v>2019</v>
      </c>
      <c r="F4292" s="1" t="s">
        <v>425</v>
      </c>
      <c r="G4292" s="6">
        <v>602475</v>
      </c>
      <c r="H4292" t="str">
        <f>IFERROR(VLOOKUP(F4292,'LEAID Match'!$A$2:$B$142,2,FALSE),"")</f>
        <v/>
      </c>
    </row>
    <row r="4293" spans="1:8" x14ac:dyDescent="0.2">
      <c r="A4293" t="str">
        <f t="shared" si="67"/>
        <v/>
      </c>
      <c r="B4293" s="1">
        <v>2015</v>
      </c>
      <c r="C4293" s="1" t="s">
        <v>2505</v>
      </c>
      <c r="D4293" s="1" t="s">
        <v>2506</v>
      </c>
      <c r="E4293" s="1" t="s">
        <v>2019</v>
      </c>
      <c r="F4293" s="1" t="s">
        <v>426</v>
      </c>
      <c r="G4293" s="6">
        <v>6835</v>
      </c>
      <c r="H4293" t="str">
        <f>IFERROR(VLOOKUP(F4293,'LEAID Match'!$A$2:$B$142,2,FALSE),"")</f>
        <v/>
      </c>
    </row>
    <row r="4294" spans="1:8" x14ac:dyDescent="0.2">
      <c r="A4294" t="str">
        <f t="shared" si="67"/>
        <v/>
      </c>
      <c r="B4294">
        <v>2016</v>
      </c>
      <c r="C4294" s="1" t="s">
        <v>2505</v>
      </c>
      <c r="D4294" s="1" t="s">
        <v>2506</v>
      </c>
      <c r="E4294" s="1" t="s">
        <v>2019</v>
      </c>
      <c r="F4294" s="1" t="s">
        <v>426</v>
      </c>
      <c r="G4294" s="12">
        <v>9083</v>
      </c>
      <c r="H4294" t="str">
        <f>IFERROR(VLOOKUP(F4294,'LEAID Match'!$A$2:$B$142,2,FALSE),"")</f>
        <v/>
      </c>
    </row>
    <row r="4295" spans="1:8" x14ac:dyDescent="0.2">
      <c r="A4295" t="str">
        <f t="shared" si="67"/>
        <v/>
      </c>
      <c r="B4295" s="1">
        <v>2017</v>
      </c>
      <c r="C4295" s="1" t="s">
        <v>2505</v>
      </c>
      <c r="D4295" s="1" t="s">
        <v>2506</v>
      </c>
      <c r="E4295" s="1" t="s">
        <v>2019</v>
      </c>
      <c r="F4295" s="1" t="s">
        <v>426</v>
      </c>
      <c r="G4295" s="50">
        <v>10783</v>
      </c>
      <c r="H4295" t="str">
        <f>IFERROR(VLOOKUP(F4295,'LEAID Match'!$A$2:$B$142,2,FALSE),"")</f>
        <v/>
      </c>
    </row>
    <row r="4296" spans="1:8" x14ac:dyDescent="0.2">
      <c r="A4296" t="str">
        <f t="shared" si="67"/>
        <v/>
      </c>
      <c r="B4296" s="1">
        <v>2018</v>
      </c>
      <c r="C4296" s="1" t="s">
        <v>2505</v>
      </c>
      <c r="D4296" s="1" t="s">
        <v>2506</v>
      </c>
      <c r="E4296" s="1" t="s">
        <v>2019</v>
      </c>
      <c r="F4296" s="1" t="s">
        <v>426</v>
      </c>
      <c r="G4296" s="6">
        <v>7585</v>
      </c>
      <c r="H4296" t="str">
        <f>IFERROR(VLOOKUP(F4296,'LEAID Match'!$A$2:$B$142,2,FALSE),"")</f>
        <v/>
      </c>
    </row>
    <row r="4297" spans="1:8" x14ac:dyDescent="0.2">
      <c r="A4297" t="str">
        <f t="shared" si="67"/>
        <v/>
      </c>
      <c r="B4297" s="1">
        <v>2019</v>
      </c>
      <c r="C4297" s="1" t="s">
        <v>2505</v>
      </c>
      <c r="D4297" s="1" t="s">
        <v>2506</v>
      </c>
      <c r="E4297" s="1" t="s">
        <v>2019</v>
      </c>
      <c r="F4297" s="1" t="s">
        <v>426</v>
      </c>
      <c r="G4297" s="6">
        <v>7831</v>
      </c>
      <c r="H4297" t="str">
        <f>IFERROR(VLOOKUP(F4297,'LEAID Match'!$A$2:$B$142,2,FALSE),"")</f>
        <v/>
      </c>
    </row>
    <row r="4298" spans="1:8" x14ac:dyDescent="0.2">
      <c r="A4298" t="str">
        <f t="shared" si="67"/>
        <v/>
      </c>
      <c r="B4298" s="1">
        <v>2020</v>
      </c>
      <c r="C4298" s="1" t="s">
        <v>2505</v>
      </c>
      <c r="D4298" s="1" t="s">
        <v>2506</v>
      </c>
      <c r="E4298" s="1" t="s">
        <v>2019</v>
      </c>
      <c r="F4298" s="1" t="s">
        <v>426</v>
      </c>
      <c r="G4298" s="6">
        <v>8715</v>
      </c>
      <c r="H4298" t="str">
        <f>IFERROR(VLOOKUP(F4298,'LEAID Match'!$A$2:$B$142,2,FALSE),"")</f>
        <v/>
      </c>
    </row>
    <row r="4299" spans="1:8" x14ac:dyDescent="0.2">
      <c r="A4299" t="str">
        <f t="shared" si="67"/>
        <v/>
      </c>
      <c r="B4299" s="1">
        <v>2021</v>
      </c>
      <c r="C4299" s="1" t="s">
        <v>2505</v>
      </c>
      <c r="D4299" s="1" t="s">
        <v>2506</v>
      </c>
      <c r="E4299" s="1" t="s">
        <v>2019</v>
      </c>
      <c r="F4299" s="1" t="s">
        <v>426</v>
      </c>
      <c r="G4299" s="6">
        <v>9248</v>
      </c>
      <c r="H4299" t="str">
        <f>IFERROR(VLOOKUP(F4299,'LEAID Match'!$A$2:$B$142,2,FALSE),"")</f>
        <v/>
      </c>
    </row>
    <row r="4300" spans="1:8" x14ac:dyDescent="0.2">
      <c r="A4300" t="str">
        <f t="shared" si="67"/>
        <v/>
      </c>
      <c r="B4300" s="1">
        <v>2022</v>
      </c>
      <c r="C4300" s="1" t="s">
        <v>2505</v>
      </c>
      <c r="D4300" s="1" t="s">
        <v>2506</v>
      </c>
      <c r="E4300" s="1" t="s">
        <v>2019</v>
      </c>
      <c r="F4300" s="1" t="s">
        <v>426</v>
      </c>
      <c r="G4300" s="6">
        <v>10680</v>
      </c>
      <c r="H4300" t="str">
        <f>IFERROR(VLOOKUP(F4300,'LEAID Match'!$A$2:$B$142,2,FALSE),"")</f>
        <v/>
      </c>
    </row>
    <row r="4301" spans="1:8" x14ac:dyDescent="0.2">
      <c r="A4301" t="str">
        <f t="shared" si="67"/>
        <v/>
      </c>
      <c r="B4301" s="1">
        <v>2023</v>
      </c>
      <c r="C4301" s="1" t="s">
        <v>2505</v>
      </c>
      <c r="D4301" s="1" t="s">
        <v>2506</v>
      </c>
      <c r="E4301" s="1" t="s">
        <v>2019</v>
      </c>
      <c r="F4301" s="1" t="s">
        <v>426</v>
      </c>
      <c r="G4301" s="6">
        <v>15786</v>
      </c>
      <c r="H4301" t="str">
        <f>IFERROR(VLOOKUP(F4301,'LEAID Match'!$A$2:$B$142,2,FALSE),"")</f>
        <v/>
      </c>
    </row>
    <row r="4302" spans="1:8" x14ac:dyDescent="0.2">
      <c r="A4302" t="str">
        <f t="shared" si="67"/>
        <v/>
      </c>
      <c r="B4302" s="1">
        <v>2024</v>
      </c>
      <c r="C4302" s="1" t="s">
        <v>2505</v>
      </c>
      <c r="D4302" s="1" t="s">
        <v>2506</v>
      </c>
      <c r="E4302" s="1" t="s">
        <v>2019</v>
      </c>
      <c r="F4302" s="1" t="s">
        <v>426</v>
      </c>
      <c r="G4302" s="6">
        <v>11775</v>
      </c>
      <c r="H4302" t="str">
        <f>IFERROR(VLOOKUP(F4302,'LEAID Match'!$A$2:$B$142,2,FALSE),"")</f>
        <v/>
      </c>
    </row>
    <row r="4303" spans="1:8" x14ac:dyDescent="0.2">
      <c r="A4303" t="str">
        <f t="shared" si="67"/>
        <v/>
      </c>
      <c r="B4303" s="1">
        <v>2015</v>
      </c>
      <c r="C4303" s="1" t="s">
        <v>2505</v>
      </c>
      <c r="D4303" s="1" t="s">
        <v>2506</v>
      </c>
      <c r="E4303" s="1" t="s">
        <v>2019</v>
      </c>
      <c r="F4303" s="1" t="s">
        <v>2271</v>
      </c>
      <c r="G4303" s="6">
        <v>158449</v>
      </c>
      <c r="H4303" t="str">
        <f>IFERROR(VLOOKUP(F4303,'LEAID Match'!$A$2:$B$142,2,FALSE),"")</f>
        <v/>
      </c>
    </row>
    <row r="4304" spans="1:8" x14ac:dyDescent="0.2">
      <c r="A4304" t="str">
        <f t="shared" si="67"/>
        <v/>
      </c>
      <c r="B4304" s="1">
        <v>2022</v>
      </c>
      <c r="C4304" s="1" t="s">
        <v>2505</v>
      </c>
      <c r="D4304" s="1" t="s">
        <v>2506</v>
      </c>
      <c r="E4304" s="1" t="s">
        <v>2019</v>
      </c>
      <c r="F4304" s="1" t="s">
        <v>427</v>
      </c>
      <c r="G4304" s="6">
        <v>275996</v>
      </c>
      <c r="H4304" t="str">
        <f>IFERROR(VLOOKUP(F4304,'LEAID Match'!$A$2:$B$142,2,FALSE),"")</f>
        <v/>
      </c>
    </row>
    <row r="4305" spans="1:8" x14ac:dyDescent="0.2">
      <c r="A4305" t="str">
        <f t="shared" si="67"/>
        <v/>
      </c>
      <c r="B4305" s="1">
        <v>2023</v>
      </c>
      <c r="C4305" s="1" t="s">
        <v>2505</v>
      </c>
      <c r="D4305" s="1" t="s">
        <v>2506</v>
      </c>
      <c r="E4305" s="1" t="s">
        <v>2019</v>
      </c>
      <c r="F4305" s="1" t="s">
        <v>427</v>
      </c>
      <c r="G4305" s="6">
        <v>312560</v>
      </c>
      <c r="H4305" t="str">
        <f>IFERROR(VLOOKUP(F4305,'LEAID Match'!$A$2:$B$142,2,FALSE),"")</f>
        <v/>
      </c>
    </row>
    <row r="4306" spans="1:8" x14ac:dyDescent="0.2">
      <c r="A4306" t="str">
        <f t="shared" si="67"/>
        <v/>
      </c>
      <c r="B4306" s="1">
        <v>2024</v>
      </c>
      <c r="C4306" s="1" t="s">
        <v>2505</v>
      </c>
      <c r="D4306" s="1" t="s">
        <v>2506</v>
      </c>
      <c r="E4306" s="1" t="s">
        <v>2019</v>
      </c>
      <c r="F4306" s="1" t="s">
        <v>427</v>
      </c>
      <c r="G4306" s="6">
        <v>394361</v>
      </c>
      <c r="H4306" t="str">
        <f>IFERROR(VLOOKUP(F4306,'LEAID Match'!$A$2:$B$142,2,FALSE),"")</f>
        <v/>
      </c>
    </row>
    <row r="4307" spans="1:8" x14ac:dyDescent="0.2">
      <c r="A4307" t="str">
        <f t="shared" si="67"/>
        <v/>
      </c>
      <c r="B4307" s="1">
        <v>2015</v>
      </c>
      <c r="C4307" s="1" t="s">
        <v>2505</v>
      </c>
      <c r="D4307" s="1" t="s">
        <v>2506</v>
      </c>
      <c r="E4307" s="1" t="s">
        <v>2019</v>
      </c>
      <c r="F4307" s="1" t="s">
        <v>428</v>
      </c>
      <c r="G4307" s="6">
        <v>277497</v>
      </c>
      <c r="H4307" t="str">
        <f>IFERROR(VLOOKUP(F4307,'LEAID Match'!$A$2:$B$142,2,FALSE),"")</f>
        <v/>
      </c>
    </row>
    <row r="4308" spans="1:8" x14ac:dyDescent="0.2">
      <c r="A4308" t="str">
        <f t="shared" si="67"/>
        <v/>
      </c>
      <c r="B4308">
        <v>2016</v>
      </c>
      <c r="C4308" s="1" t="s">
        <v>2505</v>
      </c>
      <c r="D4308" s="1" t="s">
        <v>2506</v>
      </c>
      <c r="E4308" s="1" t="s">
        <v>2019</v>
      </c>
      <c r="F4308" s="1" t="s">
        <v>428</v>
      </c>
      <c r="G4308" s="12">
        <v>294217</v>
      </c>
      <c r="H4308" t="str">
        <f>IFERROR(VLOOKUP(F4308,'LEAID Match'!$A$2:$B$142,2,FALSE),"")</f>
        <v/>
      </c>
    </row>
    <row r="4309" spans="1:8" x14ac:dyDescent="0.2">
      <c r="A4309" t="str">
        <f t="shared" si="67"/>
        <v/>
      </c>
      <c r="B4309" s="1">
        <v>2017</v>
      </c>
      <c r="C4309" s="1" t="s">
        <v>2505</v>
      </c>
      <c r="D4309" s="1" t="s">
        <v>2506</v>
      </c>
      <c r="E4309" s="1" t="s">
        <v>2019</v>
      </c>
      <c r="F4309" s="1" t="s">
        <v>428</v>
      </c>
      <c r="G4309" s="50">
        <v>320666</v>
      </c>
      <c r="H4309" t="str">
        <f>IFERROR(VLOOKUP(F4309,'LEAID Match'!$A$2:$B$142,2,FALSE),"")</f>
        <v/>
      </c>
    </row>
    <row r="4310" spans="1:8" x14ac:dyDescent="0.2">
      <c r="A4310" t="str">
        <f t="shared" si="67"/>
        <v/>
      </c>
      <c r="B4310" s="1">
        <v>2018</v>
      </c>
      <c r="C4310" s="1" t="s">
        <v>2505</v>
      </c>
      <c r="D4310" s="1" t="s">
        <v>2506</v>
      </c>
      <c r="E4310" s="1" t="s">
        <v>2019</v>
      </c>
      <c r="F4310" s="1" t="s">
        <v>428</v>
      </c>
      <c r="G4310" s="6">
        <v>326130</v>
      </c>
      <c r="H4310" t="str">
        <f>IFERROR(VLOOKUP(F4310,'LEAID Match'!$A$2:$B$142,2,FALSE),"")</f>
        <v/>
      </c>
    </row>
    <row r="4311" spans="1:8" x14ac:dyDescent="0.2">
      <c r="A4311" t="str">
        <f t="shared" si="67"/>
        <v/>
      </c>
      <c r="B4311" s="1">
        <v>2019</v>
      </c>
      <c r="C4311" s="1" t="s">
        <v>2505</v>
      </c>
      <c r="D4311" s="1" t="s">
        <v>2506</v>
      </c>
      <c r="E4311" s="1" t="s">
        <v>2019</v>
      </c>
      <c r="F4311" s="1" t="s">
        <v>428</v>
      </c>
      <c r="G4311" s="6">
        <v>329718</v>
      </c>
      <c r="H4311" t="str">
        <f>IFERROR(VLOOKUP(F4311,'LEAID Match'!$A$2:$B$142,2,FALSE),"")</f>
        <v/>
      </c>
    </row>
    <row r="4312" spans="1:8" x14ac:dyDescent="0.2">
      <c r="A4312" t="str">
        <f t="shared" si="67"/>
        <v/>
      </c>
      <c r="B4312" s="1">
        <v>2020</v>
      </c>
      <c r="C4312" s="1" t="s">
        <v>2505</v>
      </c>
      <c r="D4312" s="1" t="s">
        <v>2506</v>
      </c>
      <c r="E4312" s="1" t="s">
        <v>2019</v>
      </c>
      <c r="F4312" s="1" t="s">
        <v>428</v>
      </c>
      <c r="G4312" s="6">
        <v>360315</v>
      </c>
      <c r="H4312" t="str">
        <f>IFERROR(VLOOKUP(F4312,'LEAID Match'!$A$2:$B$142,2,FALSE),"")</f>
        <v/>
      </c>
    </row>
    <row r="4313" spans="1:8" x14ac:dyDescent="0.2">
      <c r="A4313" t="str">
        <f t="shared" si="67"/>
        <v/>
      </c>
      <c r="B4313" s="1">
        <v>2021</v>
      </c>
      <c r="C4313" s="1" t="s">
        <v>2505</v>
      </c>
      <c r="D4313" s="1" t="s">
        <v>2506</v>
      </c>
      <c r="E4313" s="1" t="s">
        <v>2019</v>
      </c>
      <c r="F4313" s="1" t="s">
        <v>428</v>
      </c>
      <c r="G4313" s="6">
        <v>369234</v>
      </c>
      <c r="H4313" t="str">
        <f>IFERROR(VLOOKUP(F4313,'LEAID Match'!$A$2:$B$142,2,FALSE),"")</f>
        <v/>
      </c>
    </row>
    <row r="4314" spans="1:8" x14ac:dyDescent="0.2">
      <c r="A4314" t="str">
        <f t="shared" si="67"/>
        <v/>
      </c>
      <c r="B4314" s="1">
        <v>2022</v>
      </c>
      <c r="C4314" s="1" t="s">
        <v>2505</v>
      </c>
      <c r="D4314" s="1" t="s">
        <v>2506</v>
      </c>
      <c r="E4314" s="1" t="s">
        <v>2019</v>
      </c>
      <c r="F4314" s="1" t="s">
        <v>428</v>
      </c>
      <c r="G4314" s="6">
        <v>354441</v>
      </c>
      <c r="H4314" t="str">
        <f>IFERROR(VLOOKUP(F4314,'LEAID Match'!$A$2:$B$142,2,FALSE),"")</f>
        <v/>
      </c>
    </row>
    <row r="4315" spans="1:8" x14ac:dyDescent="0.2">
      <c r="A4315" t="str">
        <f t="shared" si="67"/>
        <v/>
      </c>
      <c r="B4315" s="1">
        <v>2023</v>
      </c>
      <c r="C4315" s="1" t="s">
        <v>2505</v>
      </c>
      <c r="D4315" s="1" t="s">
        <v>2506</v>
      </c>
      <c r="E4315" s="1" t="s">
        <v>2019</v>
      </c>
      <c r="F4315" s="1" t="s">
        <v>428</v>
      </c>
      <c r="G4315" s="6">
        <v>359455</v>
      </c>
      <c r="H4315" t="str">
        <f>IFERROR(VLOOKUP(F4315,'LEAID Match'!$A$2:$B$142,2,FALSE),"")</f>
        <v/>
      </c>
    </row>
    <row r="4316" spans="1:8" x14ac:dyDescent="0.2">
      <c r="A4316" t="str">
        <f t="shared" si="67"/>
        <v/>
      </c>
      <c r="B4316" s="1">
        <v>2024</v>
      </c>
      <c r="C4316" s="1" t="s">
        <v>2505</v>
      </c>
      <c r="D4316" s="1" t="s">
        <v>2506</v>
      </c>
      <c r="E4316" s="1" t="s">
        <v>2019</v>
      </c>
      <c r="F4316" s="1" t="s">
        <v>428</v>
      </c>
      <c r="G4316" s="6">
        <v>408797</v>
      </c>
      <c r="H4316" t="str">
        <f>IFERROR(VLOOKUP(F4316,'LEAID Match'!$A$2:$B$142,2,FALSE),"")</f>
        <v/>
      </c>
    </row>
    <row r="4317" spans="1:8" x14ac:dyDescent="0.2">
      <c r="A4317" t="str">
        <f t="shared" si="67"/>
        <v/>
      </c>
      <c r="B4317" s="1">
        <v>2015</v>
      </c>
      <c r="C4317" s="1" t="s">
        <v>2505</v>
      </c>
      <c r="D4317" s="1" t="s">
        <v>2506</v>
      </c>
      <c r="E4317" s="1" t="s">
        <v>2019</v>
      </c>
      <c r="F4317" s="1" t="s">
        <v>429</v>
      </c>
      <c r="G4317" s="6">
        <v>93067</v>
      </c>
      <c r="H4317" t="str">
        <f>IFERROR(VLOOKUP(F4317,'LEAID Match'!$A$2:$B$142,2,FALSE),"")</f>
        <v/>
      </c>
    </row>
    <row r="4318" spans="1:8" x14ac:dyDescent="0.2">
      <c r="A4318" t="str">
        <f t="shared" si="67"/>
        <v/>
      </c>
      <c r="B4318">
        <v>2016</v>
      </c>
      <c r="C4318" s="1" t="s">
        <v>2505</v>
      </c>
      <c r="D4318" s="1" t="s">
        <v>2506</v>
      </c>
      <c r="E4318" s="1" t="s">
        <v>2019</v>
      </c>
      <c r="F4318" s="1" t="s">
        <v>429</v>
      </c>
      <c r="G4318" s="12">
        <v>94835</v>
      </c>
      <c r="H4318" t="str">
        <f>IFERROR(VLOOKUP(F4318,'LEAID Match'!$A$2:$B$142,2,FALSE),"")</f>
        <v/>
      </c>
    </row>
    <row r="4319" spans="1:8" x14ac:dyDescent="0.2">
      <c r="A4319" t="str">
        <f t="shared" si="67"/>
        <v/>
      </c>
      <c r="B4319" s="1">
        <v>2017</v>
      </c>
      <c r="C4319" s="1" t="s">
        <v>2505</v>
      </c>
      <c r="D4319" s="1" t="s">
        <v>2506</v>
      </c>
      <c r="E4319" s="1" t="s">
        <v>2019</v>
      </c>
      <c r="F4319" s="1" t="s">
        <v>429</v>
      </c>
      <c r="G4319" s="50">
        <v>97691</v>
      </c>
      <c r="H4319" t="str">
        <f>IFERROR(VLOOKUP(F4319,'LEAID Match'!$A$2:$B$142,2,FALSE),"")</f>
        <v/>
      </c>
    </row>
    <row r="4320" spans="1:8" x14ac:dyDescent="0.2">
      <c r="A4320" t="str">
        <f t="shared" si="67"/>
        <v/>
      </c>
      <c r="B4320" s="1">
        <v>2018</v>
      </c>
      <c r="C4320" s="1" t="s">
        <v>2505</v>
      </c>
      <c r="D4320" s="1" t="s">
        <v>2506</v>
      </c>
      <c r="E4320" s="1" t="s">
        <v>2019</v>
      </c>
      <c r="F4320" s="1" t="s">
        <v>429</v>
      </c>
      <c r="G4320" s="6">
        <v>115643</v>
      </c>
      <c r="H4320" t="str">
        <f>IFERROR(VLOOKUP(F4320,'LEAID Match'!$A$2:$B$142,2,FALSE),"")</f>
        <v/>
      </c>
    </row>
    <row r="4321" spans="1:8" x14ac:dyDescent="0.2">
      <c r="A4321" t="str">
        <f t="shared" si="67"/>
        <v/>
      </c>
      <c r="B4321" s="1">
        <v>2019</v>
      </c>
      <c r="C4321" s="1" t="s">
        <v>2505</v>
      </c>
      <c r="D4321" s="1" t="s">
        <v>2506</v>
      </c>
      <c r="E4321" s="1" t="s">
        <v>2019</v>
      </c>
      <c r="F4321" s="1" t="s">
        <v>429</v>
      </c>
      <c r="G4321" s="6">
        <v>125659</v>
      </c>
      <c r="H4321" t="str">
        <f>IFERROR(VLOOKUP(F4321,'LEAID Match'!$A$2:$B$142,2,FALSE),"")</f>
        <v/>
      </c>
    </row>
    <row r="4322" spans="1:8" x14ac:dyDescent="0.2">
      <c r="A4322" t="str">
        <f t="shared" si="67"/>
        <v/>
      </c>
      <c r="B4322" s="1">
        <v>2020</v>
      </c>
      <c r="C4322" s="1" t="s">
        <v>2505</v>
      </c>
      <c r="D4322" s="1" t="s">
        <v>2506</v>
      </c>
      <c r="E4322" s="1" t="s">
        <v>2019</v>
      </c>
      <c r="F4322" s="1" t="s">
        <v>429</v>
      </c>
      <c r="G4322" s="6">
        <v>142810</v>
      </c>
      <c r="H4322" t="str">
        <f>IFERROR(VLOOKUP(F4322,'LEAID Match'!$A$2:$B$142,2,FALSE),"")</f>
        <v/>
      </c>
    </row>
    <row r="4323" spans="1:8" x14ac:dyDescent="0.2">
      <c r="A4323" t="str">
        <f t="shared" si="67"/>
        <v/>
      </c>
      <c r="B4323" s="1">
        <v>2021</v>
      </c>
      <c r="C4323" s="1" t="s">
        <v>2505</v>
      </c>
      <c r="D4323" s="1" t="s">
        <v>2506</v>
      </c>
      <c r="E4323" s="1" t="s">
        <v>2019</v>
      </c>
      <c r="F4323" s="1" t="s">
        <v>429</v>
      </c>
      <c r="G4323" s="6">
        <v>150726</v>
      </c>
      <c r="H4323" t="str">
        <f>IFERROR(VLOOKUP(F4323,'LEAID Match'!$A$2:$B$142,2,FALSE),"")</f>
        <v/>
      </c>
    </row>
    <row r="4324" spans="1:8" x14ac:dyDescent="0.2">
      <c r="A4324" t="str">
        <f t="shared" si="67"/>
        <v/>
      </c>
      <c r="B4324" s="1">
        <v>2022</v>
      </c>
      <c r="C4324" s="1" t="s">
        <v>2505</v>
      </c>
      <c r="D4324" s="1" t="s">
        <v>2506</v>
      </c>
      <c r="E4324" s="1" t="s">
        <v>2019</v>
      </c>
      <c r="F4324" s="1" t="s">
        <v>429</v>
      </c>
      <c r="G4324" s="6">
        <v>178449</v>
      </c>
      <c r="H4324" t="str">
        <f>IFERROR(VLOOKUP(F4324,'LEAID Match'!$A$2:$B$142,2,FALSE),"")</f>
        <v/>
      </c>
    </row>
    <row r="4325" spans="1:8" x14ac:dyDescent="0.2">
      <c r="A4325" t="str">
        <f t="shared" si="67"/>
        <v/>
      </c>
      <c r="B4325" s="1">
        <v>2023</v>
      </c>
      <c r="C4325" s="1" t="s">
        <v>2505</v>
      </c>
      <c r="D4325" s="1" t="s">
        <v>2506</v>
      </c>
      <c r="E4325" s="1" t="s">
        <v>2019</v>
      </c>
      <c r="F4325" s="1" t="s">
        <v>429</v>
      </c>
      <c r="G4325" s="6">
        <v>187288</v>
      </c>
      <c r="H4325" t="str">
        <f>IFERROR(VLOOKUP(F4325,'LEAID Match'!$A$2:$B$142,2,FALSE),"")</f>
        <v/>
      </c>
    </row>
    <row r="4326" spans="1:8" x14ac:dyDescent="0.2">
      <c r="A4326" t="str">
        <f t="shared" si="67"/>
        <v/>
      </c>
      <c r="B4326" s="1">
        <v>2024</v>
      </c>
      <c r="C4326" s="1" t="s">
        <v>2505</v>
      </c>
      <c r="D4326" s="1" t="s">
        <v>2506</v>
      </c>
      <c r="E4326" s="1" t="s">
        <v>2019</v>
      </c>
      <c r="F4326" s="1" t="s">
        <v>429</v>
      </c>
      <c r="G4326" s="6">
        <v>180449</v>
      </c>
      <c r="H4326" t="str">
        <f>IFERROR(VLOOKUP(F4326,'LEAID Match'!$A$2:$B$142,2,FALSE),"")</f>
        <v/>
      </c>
    </row>
    <row r="4327" spans="1:8" x14ac:dyDescent="0.2">
      <c r="A4327" t="str">
        <f t="shared" si="67"/>
        <v/>
      </c>
      <c r="B4327" s="1">
        <v>2015</v>
      </c>
      <c r="C4327" s="1" t="s">
        <v>2505</v>
      </c>
      <c r="D4327" s="1" t="s">
        <v>2506</v>
      </c>
      <c r="E4327" s="1" t="s">
        <v>2019</v>
      </c>
      <c r="F4327" s="1" t="s">
        <v>430</v>
      </c>
      <c r="G4327" s="6">
        <v>6961085</v>
      </c>
      <c r="H4327" t="str">
        <f>IFERROR(VLOOKUP(F4327,'LEAID Match'!$A$2:$B$142,2,FALSE),"")</f>
        <v/>
      </c>
    </row>
    <row r="4328" spans="1:8" x14ac:dyDescent="0.2">
      <c r="A4328" t="str">
        <f t="shared" si="67"/>
        <v/>
      </c>
      <c r="B4328">
        <v>2016</v>
      </c>
      <c r="C4328" s="1" t="s">
        <v>2505</v>
      </c>
      <c r="D4328" s="1" t="s">
        <v>2506</v>
      </c>
      <c r="E4328" s="1" t="s">
        <v>2019</v>
      </c>
      <c r="F4328" s="1" t="s">
        <v>430</v>
      </c>
      <c r="G4328" s="12">
        <v>7655345</v>
      </c>
      <c r="H4328" t="str">
        <f>IFERROR(VLOOKUP(F4328,'LEAID Match'!$A$2:$B$142,2,FALSE),"")</f>
        <v/>
      </c>
    </row>
    <row r="4329" spans="1:8" x14ac:dyDescent="0.2">
      <c r="A4329" t="str">
        <f t="shared" si="67"/>
        <v/>
      </c>
      <c r="B4329" s="1">
        <v>2017</v>
      </c>
      <c r="C4329" s="1" t="s">
        <v>2505</v>
      </c>
      <c r="D4329" s="1" t="s">
        <v>2506</v>
      </c>
      <c r="E4329" s="1" t="s">
        <v>2019</v>
      </c>
      <c r="F4329" s="1" t="s">
        <v>430</v>
      </c>
      <c r="G4329" s="50">
        <v>7721641</v>
      </c>
      <c r="H4329" t="str">
        <f>IFERROR(VLOOKUP(F4329,'LEAID Match'!$A$2:$B$142,2,FALSE),"")</f>
        <v/>
      </c>
    </row>
    <row r="4330" spans="1:8" x14ac:dyDescent="0.2">
      <c r="A4330" t="str">
        <f t="shared" si="67"/>
        <v/>
      </c>
      <c r="B4330" s="1">
        <v>2018</v>
      </c>
      <c r="C4330" s="1" t="s">
        <v>2505</v>
      </c>
      <c r="D4330" s="1" t="s">
        <v>2506</v>
      </c>
      <c r="E4330" s="1" t="s">
        <v>2019</v>
      </c>
      <c r="F4330" s="1" t="s">
        <v>430</v>
      </c>
      <c r="G4330" s="6">
        <v>7492326</v>
      </c>
      <c r="H4330" t="str">
        <f>IFERROR(VLOOKUP(F4330,'LEAID Match'!$A$2:$B$142,2,FALSE),"")</f>
        <v/>
      </c>
    </row>
    <row r="4331" spans="1:8" x14ac:dyDescent="0.2">
      <c r="A4331" t="str">
        <f t="shared" si="67"/>
        <v/>
      </c>
      <c r="B4331" s="1">
        <v>2019</v>
      </c>
      <c r="C4331" s="1" t="s">
        <v>2505</v>
      </c>
      <c r="D4331" s="1" t="s">
        <v>2506</v>
      </c>
      <c r="E4331" s="1" t="s">
        <v>2019</v>
      </c>
      <c r="F4331" s="1" t="s">
        <v>430</v>
      </c>
      <c r="G4331" s="6">
        <v>7484553</v>
      </c>
      <c r="H4331" t="str">
        <f>IFERROR(VLOOKUP(F4331,'LEAID Match'!$A$2:$B$142,2,FALSE),"")</f>
        <v/>
      </c>
    </row>
    <row r="4332" spans="1:8" x14ac:dyDescent="0.2">
      <c r="A4332" t="str">
        <f t="shared" si="67"/>
        <v/>
      </c>
      <c r="B4332" s="1">
        <v>2020</v>
      </c>
      <c r="C4332" s="1" t="s">
        <v>2505</v>
      </c>
      <c r="D4332" s="1" t="s">
        <v>2506</v>
      </c>
      <c r="E4332" s="1" t="s">
        <v>2019</v>
      </c>
      <c r="F4332" s="1" t="s">
        <v>430</v>
      </c>
      <c r="G4332" s="6">
        <v>7503465</v>
      </c>
      <c r="H4332" t="str">
        <f>IFERROR(VLOOKUP(F4332,'LEAID Match'!$A$2:$B$142,2,FALSE),"")</f>
        <v/>
      </c>
    </row>
    <row r="4333" spans="1:8" x14ac:dyDescent="0.2">
      <c r="A4333" t="str">
        <f t="shared" si="67"/>
        <v/>
      </c>
      <c r="B4333" s="1">
        <v>2021</v>
      </c>
      <c r="C4333" s="1" t="s">
        <v>2505</v>
      </c>
      <c r="D4333" s="1" t="s">
        <v>2506</v>
      </c>
      <c r="E4333" s="1" t="s">
        <v>2019</v>
      </c>
      <c r="F4333" s="1" t="s">
        <v>430</v>
      </c>
      <c r="G4333" s="6">
        <v>6184227</v>
      </c>
      <c r="H4333" t="str">
        <f>IFERROR(VLOOKUP(F4333,'LEAID Match'!$A$2:$B$142,2,FALSE),"")</f>
        <v/>
      </c>
    </row>
    <row r="4334" spans="1:8" x14ac:dyDescent="0.2">
      <c r="A4334" t="str">
        <f t="shared" si="67"/>
        <v/>
      </c>
      <c r="B4334" s="1">
        <v>2022</v>
      </c>
      <c r="C4334" s="1" t="s">
        <v>2505</v>
      </c>
      <c r="D4334" s="1" t="s">
        <v>2506</v>
      </c>
      <c r="E4334" s="1" t="s">
        <v>2019</v>
      </c>
      <c r="F4334" s="1" t="s">
        <v>430</v>
      </c>
      <c r="G4334" s="6">
        <v>4042034</v>
      </c>
      <c r="H4334" t="str">
        <f>IFERROR(VLOOKUP(F4334,'LEAID Match'!$A$2:$B$142,2,FALSE),"")</f>
        <v/>
      </c>
    </row>
    <row r="4335" spans="1:8" x14ac:dyDescent="0.2">
      <c r="A4335" t="str">
        <f t="shared" si="67"/>
        <v/>
      </c>
      <c r="B4335" s="1">
        <v>2023</v>
      </c>
      <c r="C4335" s="1" t="s">
        <v>2505</v>
      </c>
      <c r="D4335" s="1" t="s">
        <v>2506</v>
      </c>
      <c r="E4335" s="1" t="s">
        <v>2019</v>
      </c>
      <c r="F4335" s="1" t="s">
        <v>430</v>
      </c>
      <c r="G4335" s="6">
        <v>3269339</v>
      </c>
      <c r="H4335" t="str">
        <f>IFERROR(VLOOKUP(F4335,'LEAID Match'!$A$2:$B$142,2,FALSE),"")</f>
        <v/>
      </c>
    </row>
    <row r="4336" spans="1:8" x14ac:dyDescent="0.2">
      <c r="A4336" t="str">
        <f t="shared" si="67"/>
        <v/>
      </c>
      <c r="B4336" s="1">
        <v>2024</v>
      </c>
      <c r="C4336" s="1" t="s">
        <v>2505</v>
      </c>
      <c r="D4336" s="1" t="s">
        <v>2506</v>
      </c>
      <c r="E4336" s="1" t="s">
        <v>2019</v>
      </c>
      <c r="F4336" s="1" t="s">
        <v>430</v>
      </c>
      <c r="G4336" s="6">
        <v>2820814</v>
      </c>
      <c r="H4336" t="str">
        <f>IFERROR(VLOOKUP(F4336,'LEAID Match'!$A$2:$B$142,2,FALSE),"")</f>
        <v/>
      </c>
    </row>
    <row r="4337" spans="1:8" x14ac:dyDescent="0.2">
      <c r="A4337" t="str">
        <f t="shared" si="67"/>
        <v/>
      </c>
      <c r="B4337" s="1">
        <v>2015</v>
      </c>
      <c r="C4337" s="1" t="s">
        <v>2505</v>
      </c>
      <c r="D4337" s="1" t="s">
        <v>2506</v>
      </c>
      <c r="E4337" s="1" t="s">
        <v>2019</v>
      </c>
      <c r="F4337" s="1" t="s">
        <v>431</v>
      </c>
      <c r="G4337" s="6">
        <v>30810</v>
      </c>
      <c r="H4337" t="str">
        <f>IFERROR(VLOOKUP(F4337,'LEAID Match'!$A$2:$B$142,2,FALSE),"")</f>
        <v/>
      </c>
    </row>
    <row r="4338" spans="1:8" x14ac:dyDescent="0.2">
      <c r="A4338" t="str">
        <f t="shared" si="67"/>
        <v/>
      </c>
      <c r="B4338">
        <v>2016</v>
      </c>
      <c r="C4338" s="1" t="s">
        <v>2505</v>
      </c>
      <c r="D4338" s="1" t="s">
        <v>2506</v>
      </c>
      <c r="E4338" s="1" t="s">
        <v>2019</v>
      </c>
      <c r="F4338" s="1" t="s">
        <v>431</v>
      </c>
      <c r="G4338" s="12">
        <v>31502</v>
      </c>
      <c r="H4338" t="str">
        <f>IFERROR(VLOOKUP(F4338,'LEAID Match'!$A$2:$B$142,2,FALSE),"")</f>
        <v/>
      </c>
    </row>
    <row r="4339" spans="1:8" x14ac:dyDescent="0.2">
      <c r="A4339" t="str">
        <f t="shared" si="67"/>
        <v/>
      </c>
      <c r="B4339" s="1">
        <v>2017</v>
      </c>
      <c r="C4339" s="1" t="s">
        <v>2505</v>
      </c>
      <c r="D4339" s="1" t="s">
        <v>2506</v>
      </c>
      <c r="E4339" s="1" t="s">
        <v>2019</v>
      </c>
      <c r="F4339" s="1" t="s">
        <v>431</v>
      </c>
      <c r="G4339" s="50">
        <v>31760</v>
      </c>
      <c r="H4339" t="str">
        <f>IFERROR(VLOOKUP(F4339,'LEAID Match'!$A$2:$B$142,2,FALSE),"")</f>
        <v/>
      </c>
    </row>
    <row r="4340" spans="1:8" x14ac:dyDescent="0.2">
      <c r="A4340" t="str">
        <f t="shared" si="67"/>
        <v/>
      </c>
      <c r="B4340" s="1">
        <v>2018</v>
      </c>
      <c r="C4340" s="1" t="s">
        <v>2505</v>
      </c>
      <c r="D4340" s="1" t="s">
        <v>2506</v>
      </c>
      <c r="E4340" s="1" t="s">
        <v>2019</v>
      </c>
      <c r="F4340" s="1" t="s">
        <v>431</v>
      </c>
      <c r="G4340" s="6">
        <v>33483</v>
      </c>
      <c r="H4340" t="str">
        <f>IFERROR(VLOOKUP(F4340,'LEAID Match'!$A$2:$B$142,2,FALSE),"")</f>
        <v/>
      </c>
    </row>
    <row r="4341" spans="1:8" x14ac:dyDescent="0.2">
      <c r="A4341" t="str">
        <f t="shared" si="67"/>
        <v/>
      </c>
      <c r="B4341" s="1">
        <v>2019</v>
      </c>
      <c r="C4341" s="1" t="s">
        <v>2505</v>
      </c>
      <c r="D4341" s="1" t="s">
        <v>2506</v>
      </c>
      <c r="E4341" s="1" t="s">
        <v>2019</v>
      </c>
      <c r="F4341" s="1" t="s">
        <v>431</v>
      </c>
      <c r="G4341" s="6">
        <v>33600</v>
      </c>
      <c r="H4341" t="str">
        <f>IFERROR(VLOOKUP(F4341,'LEAID Match'!$A$2:$B$142,2,FALSE),"")</f>
        <v/>
      </c>
    </row>
    <row r="4342" spans="1:8" x14ac:dyDescent="0.2">
      <c r="A4342" t="str">
        <f t="shared" si="67"/>
        <v/>
      </c>
      <c r="B4342" s="1">
        <v>2020</v>
      </c>
      <c r="C4342" s="1" t="s">
        <v>2505</v>
      </c>
      <c r="D4342" s="1" t="s">
        <v>2506</v>
      </c>
      <c r="E4342" s="1" t="s">
        <v>2019</v>
      </c>
      <c r="F4342" s="1" t="s">
        <v>431</v>
      </c>
      <c r="G4342" s="6">
        <v>38614</v>
      </c>
      <c r="H4342" t="str">
        <f>IFERROR(VLOOKUP(F4342,'LEAID Match'!$A$2:$B$142,2,FALSE),"")</f>
        <v/>
      </c>
    </row>
    <row r="4343" spans="1:8" x14ac:dyDescent="0.2">
      <c r="A4343" t="str">
        <f t="shared" si="67"/>
        <v/>
      </c>
      <c r="B4343" s="1">
        <v>2021</v>
      </c>
      <c r="C4343" s="1" t="s">
        <v>2505</v>
      </c>
      <c r="D4343" s="1" t="s">
        <v>2506</v>
      </c>
      <c r="E4343" s="1" t="s">
        <v>2019</v>
      </c>
      <c r="F4343" s="1" t="s">
        <v>431</v>
      </c>
      <c r="G4343" s="6">
        <v>42645</v>
      </c>
      <c r="H4343" t="str">
        <f>IFERROR(VLOOKUP(F4343,'LEAID Match'!$A$2:$B$142,2,FALSE),"")</f>
        <v/>
      </c>
    </row>
    <row r="4344" spans="1:8" x14ac:dyDescent="0.2">
      <c r="A4344" t="str">
        <f t="shared" si="67"/>
        <v/>
      </c>
      <c r="B4344" s="1">
        <v>2022</v>
      </c>
      <c r="C4344" s="1" t="s">
        <v>2505</v>
      </c>
      <c r="D4344" s="1" t="s">
        <v>2506</v>
      </c>
      <c r="E4344" s="1" t="s">
        <v>2019</v>
      </c>
      <c r="F4344" s="1" t="s">
        <v>431</v>
      </c>
      <c r="G4344" s="6">
        <v>48281</v>
      </c>
      <c r="H4344" t="str">
        <f>IFERROR(VLOOKUP(F4344,'LEAID Match'!$A$2:$B$142,2,FALSE),"")</f>
        <v/>
      </c>
    </row>
    <row r="4345" spans="1:8" x14ac:dyDescent="0.2">
      <c r="A4345" t="str">
        <f t="shared" si="67"/>
        <v/>
      </c>
      <c r="B4345" s="1">
        <v>2023</v>
      </c>
      <c r="C4345" s="1" t="s">
        <v>2505</v>
      </c>
      <c r="D4345" s="1" t="s">
        <v>2506</v>
      </c>
      <c r="E4345" s="1" t="s">
        <v>2019</v>
      </c>
      <c r="F4345" s="1" t="s">
        <v>431</v>
      </c>
      <c r="G4345" s="6">
        <v>44570</v>
      </c>
      <c r="H4345" t="str">
        <f>IFERROR(VLOOKUP(F4345,'LEAID Match'!$A$2:$B$142,2,FALSE),"")</f>
        <v/>
      </c>
    </row>
    <row r="4346" spans="1:8" x14ac:dyDescent="0.2">
      <c r="A4346" t="str">
        <f t="shared" si="67"/>
        <v/>
      </c>
      <c r="B4346" s="1">
        <v>2024</v>
      </c>
      <c r="C4346" s="1" t="s">
        <v>2505</v>
      </c>
      <c r="D4346" s="1" t="s">
        <v>2506</v>
      </c>
      <c r="E4346" s="1" t="s">
        <v>2019</v>
      </c>
      <c r="F4346" s="1" t="s">
        <v>431</v>
      </c>
      <c r="G4346" s="6">
        <v>47487</v>
      </c>
      <c r="H4346" t="str">
        <f>IFERROR(VLOOKUP(F4346,'LEAID Match'!$A$2:$B$142,2,FALSE),"")</f>
        <v/>
      </c>
    </row>
    <row r="4347" spans="1:8" x14ac:dyDescent="0.2">
      <c r="A4347" t="str">
        <f t="shared" si="67"/>
        <v/>
      </c>
      <c r="B4347" s="1">
        <v>2015</v>
      </c>
      <c r="C4347" s="1" t="s">
        <v>2505</v>
      </c>
      <c r="D4347" s="1" t="s">
        <v>2506</v>
      </c>
      <c r="E4347" s="1" t="s">
        <v>2019</v>
      </c>
      <c r="F4347" s="1" t="s">
        <v>432</v>
      </c>
      <c r="G4347" s="6">
        <v>13068</v>
      </c>
      <c r="H4347" t="str">
        <f>IFERROR(VLOOKUP(F4347,'LEAID Match'!$A$2:$B$142,2,FALSE),"")</f>
        <v/>
      </c>
    </row>
    <row r="4348" spans="1:8" x14ac:dyDescent="0.2">
      <c r="A4348" t="str">
        <f t="shared" si="67"/>
        <v/>
      </c>
      <c r="B4348">
        <v>2016</v>
      </c>
      <c r="C4348" s="1" t="s">
        <v>2505</v>
      </c>
      <c r="D4348" s="1" t="s">
        <v>2506</v>
      </c>
      <c r="E4348" s="1" t="s">
        <v>2019</v>
      </c>
      <c r="F4348" s="1" t="s">
        <v>432</v>
      </c>
      <c r="G4348" s="12">
        <v>11855</v>
      </c>
      <c r="H4348" t="str">
        <f>IFERROR(VLOOKUP(F4348,'LEAID Match'!$A$2:$B$142,2,FALSE),"")</f>
        <v/>
      </c>
    </row>
    <row r="4349" spans="1:8" x14ac:dyDescent="0.2">
      <c r="A4349" t="str">
        <f t="shared" si="67"/>
        <v/>
      </c>
      <c r="B4349" s="1">
        <v>2017</v>
      </c>
      <c r="C4349" s="1" t="s">
        <v>2505</v>
      </c>
      <c r="D4349" s="1" t="s">
        <v>2506</v>
      </c>
      <c r="E4349" s="1" t="s">
        <v>2019</v>
      </c>
      <c r="F4349" s="1" t="s">
        <v>432</v>
      </c>
      <c r="G4349" s="50">
        <v>10230</v>
      </c>
      <c r="H4349" t="str">
        <f>IFERROR(VLOOKUP(F4349,'LEAID Match'!$A$2:$B$142,2,FALSE),"")</f>
        <v/>
      </c>
    </row>
    <row r="4350" spans="1:8" x14ac:dyDescent="0.2">
      <c r="A4350" t="str">
        <f t="shared" si="67"/>
        <v/>
      </c>
      <c r="B4350" s="1">
        <v>2018</v>
      </c>
      <c r="C4350" s="1" t="s">
        <v>2505</v>
      </c>
      <c r="D4350" s="1" t="s">
        <v>2506</v>
      </c>
      <c r="E4350" s="1" t="s">
        <v>2019</v>
      </c>
      <c r="F4350" s="1" t="s">
        <v>432</v>
      </c>
      <c r="G4350" s="6">
        <v>9098</v>
      </c>
      <c r="H4350" t="str">
        <f>IFERROR(VLOOKUP(F4350,'LEAID Match'!$A$2:$B$142,2,FALSE),"")</f>
        <v/>
      </c>
    </row>
    <row r="4351" spans="1:8" x14ac:dyDescent="0.2">
      <c r="A4351" t="str">
        <f t="shared" si="67"/>
        <v/>
      </c>
      <c r="B4351" s="1">
        <v>2019</v>
      </c>
      <c r="C4351" s="1" t="s">
        <v>2505</v>
      </c>
      <c r="D4351" s="1" t="s">
        <v>2506</v>
      </c>
      <c r="E4351" s="1" t="s">
        <v>2019</v>
      </c>
      <c r="F4351" s="1" t="s">
        <v>432</v>
      </c>
      <c r="G4351" s="6">
        <v>9286</v>
      </c>
      <c r="H4351" t="str">
        <f>IFERROR(VLOOKUP(F4351,'LEAID Match'!$A$2:$B$142,2,FALSE),"")</f>
        <v/>
      </c>
    </row>
    <row r="4352" spans="1:8" x14ac:dyDescent="0.2">
      <c r="A4352" t="str">
        <f t="shared" si="67"/>
        <v/>
      </c>
      <c r="B4352" s="1">
        <v>2020</v>
      </c>
      <c r="C4352" s="1" t="s">
        <v>2505</v>
      </c>
      <c r="D4352" s="1" t="s">
        <v>2506</v>
      </c>
      <c r="E4352" s="1" t="s">
        <v>2019</v>
      </c>
      <c r="F4352" s="1" t="s">
        <v>432</v>
      </c>
      <c r="G4352" s="6">
        <v>10723</v>
      </c>
      <c r="H4352" t="str">
        <f>IFERROR(VLOOKUP(F4352,'LEAID Match'!$A$2:$B$142,2,FALSE),"")</f>
        <v/>
      </c>
    </row>
    <row r="4353" spans="1:8" x14ac:dyDescent="0.2">
      <c r="A4353" t="str">
        <f t="shared" si="67"/>
        <v/>
      </c>
      <c r="B4353" s="1">
        <v>2021</v>
      </c>
      <c r="C4353" s="1" t="s">
        <v>2505</v>
      </c>
      <c r="D4353" s="1" t="s">
        <v>2506</v>
      </c>
      <c r="E4353" s="1" t="s">
        <v>2019</v>
      </c>
      <c r="F4353" s="1" t="s">
        <v>432</v>
      </c>
      <c r="G4353" s="6">
        <v>9697</v>
      </c>
      <c r="H4353" t="str">
        <f>IFERROR(VLOOKUP(F4353,'LEAID Match'!$A$2:$B$142,2,FALSE),"")</f>
        <v/>
      </c>
    </row>
    <row r="4354" spans="1:8" x14ac:dyDescent="0.2">
      <c r="A4354" t="str">
        <f t="shared" si="67"/>
        <v/>
      </c>
      <c r="B4354" s="1">
        <v>2022</v>
      </c>
      <c r="C4354" s="1" t="s">
        <v>2505</v>
      </c>
      <c r="D4354" s="1" t="s">
        <v>2506</v>
      </c>
      <c r="E4354" s="1" t="s">
        <v>2019</v>
      </c>
      <c r="F4354" s="1" t="s">
        <v>432</v>
      </c>
      <c r="G4354" s="6">
        <v>8940</v>
      </c>
      <c r="H4354" t="str">
        <f>IFERROR(VLOOKUP(F4354,'LEAID Match'!$A$2:$B$142,2,FALSE),"")</f>
        <v/>
      </c>
    </row>
    <row r="4355" spans="1:8" x14ac:dyDescent="0.2">
      <c r="A4355" t="str">
        <f t="shared" ref="A4355:A4418" si="68">H4355</f>
        <v/>
      </c>
      <c r="B4355" s="1">
        <v>2023</v>
      </c>
      <c r="C4355" s="1" t="s">
        <v>2505</v>
      </c>
      <c r="D4355" s="1" t="s">
        <v>2506</v>
      </c>
      <c r="E4355" s="1" t="s">
        <v>2019</v>
      </c>
      <c r="F4355" s="1" t="s">
        <v>432</v>
      </c>
      <c r="G4355" s="6">
        <v>9149</v>
      </c>
      <c r="H4355" t="str">
        <f>IFERROR(VLOOKUP(F4355,'LEAID Match'!$A$2:$B$142,2,FALSE),"")</f>
        <v/>
      </c>
    </row>
    <row r="4356" spans="1:8" x14ac:dyDescent="0.2">
      <c r="A4356" t="str">
        <f t="shared" si="68"/>
        <v/>
      </c>
      <c r="B4356" s="1">
        <v>2024</v>
      </c>
      <c r="C4356" s="1" t="s">
        <v>2505</v>
      </c>
      <c r="D4356" s="1" t="s">
        <v>2506</v>
      </c>
      <c r="E4356" s="1" t="s">
        <v>2019</v>
      </c>
      <c r="F4356" s="1" t="s">
        <v>432</v>
      </c>
      <c r="G4356" s="6">
        <v>9080</v>
      </c>
      <c r="H4356" t="str">
        <f>IFERROR(VLOOKUP(F4356,'LEAID Match'!$A$2:$B$142,2,FALSE),"")</f>
        <v/>
      </c>
    </row>
    <row r="4357" spans="1:8" x14ac:dyDescent="0.2">
      <c r="A4357">
        <f t="shared" si="68"/>
        <v>2802820</v>
      </c>
      <c r="B4357" s="1">
        <v>2015</v>
      </c>
      <c r="C4357" s="1" t="s">
        <v>2505</v>
      </c>
      <c r="D4357" s="1" t="s">
        <v>2506</v>
      </c>
      <c r="E4357" s="1" t="s">
        <v>2019</v>
      </c>
      <c r="F4357" s="1" t="s">
        <v>433</v>
      </c>
      <c r="G4357" s="6">
        <v>1816589</v>
      </c>
      <c r="H4357">
        <f>IFERROR(VLOOKUP(F4357,'LEAID Match'!$A$2:$B$142,2,FALSE),"")</f>
        <v>2802820</v>
      </c>
    </row>
    <row r="4358" spans="1:8" x14ac:dyDescent="0.2">
      <c r="A4358">
        <f t="shared" si="68"/>
        <v>2802820</v>
      </c>
      <c r="B4358">
        <v>2016</v>
      </c>
      <c r="C4358" s="1" t="s">
        <v>2505</v>
      </c>
      <c r="D4358" s="1" t="s">
        <v>2506</v>
      </c>
      <c r="E4358" s="1" t="s">
        <v>2019</v>
      </c>
      <c r="F4358" s="1" t="s">
        <v>433</v>
      </c>
      <c r="G4358" s="12">
        <v>1856683</v>
      </c>
      <c r="H4358">
        <f>IFERROR(VLOOKUP(F4358,'LEAID Match'!$A$2:$B$142,2,FALSE),"")</f>
        <v>2802820</v>
      </c>
    </row>
    <row r="4359" spans="1:8" x14ac:dyDescent="0.2">
      <c r="A4359">
        <f t="shared" si="68"/>
        <v>2802820</v>
      </c>
      <c r="B4359" s="1">
        <v>2017</v>
      </c>
      <c r="C4359" s="1" t="s">
        <v>2505</v>
      </c>
      <c r="D4359" s="1" t="s">
        <v>2506</v>
      </c>
      <c r="E4359" s="1" t="s">
        <v>2019</v>
      </c>
      <c r="F4359" s="1" t="s">
        <v>433</v>
      </c>
      <c r="G4359" s="50">
        <v>1869588</v>
      </c>
      <c r="H4359">
        <f>IFERROR(VLOOKUP(F4359,'LEAID Match'!$A$2:$B$142,2,FALSE),"")</f>
        <v>2802820</v>
      </c>
    </row>
    <row r="4360" spans="1:8" x14ac:dyDescent="0.2">
      <c r="A4360">
        <f t="shared" si="68"/>
        <v>2802820</v>
      </c>
      <c r="B4360" s="1">
        <v>2018</v>
      </c>
      <c r="C4360" s="1" t="s">
        <v>2505</v>
      </c>
      <c r="D4360" s="1" t="s">
        <v>2506</v>
      </c>
      <c r="E4360" s="1" t="s">
        <v>2019</v>
      </c>
      <c r="F4360" s="1" t="s">
        <v>433</v>
      </c>
      <c r="G4360" s="6">
        <v>1820299</v>
      </c>
      <c r="H4360">
        <f>IFERROR(VLOOKUP(F4360,'LEAID Match'!$A$2:$B$142,2,FALSE),"")</f>
        <v>2802820</v>
      </c>
    </row>
    <row r="4361" spans="1:8" x14ac:dyDescent="0.2">
      <c r="A4361">
        <f t="shared" si="68"/>
        <v>2802820</v>
      </c>
      <c r="B4361" s="1">
        <v>2019</v>
      </c>
      <c r="C4361" s="1" t="s">
        <v>2505</v>
      </c>
      <c r="D4361" s="1" t="s">
        <v>2506</v>
      </c>
      <c r="E4361" s="1" t="s">
        <v>2019</v>
      </c>
      <c r="F4361" s="1" t="s">
        <v>433</v>
      </c>
      <c r="G4361" s="6">
        <v>1891850</v>
      </c>
      <c r="H4361">
        <f>IFERROR(VLOOKUP(F4361,'LEAID Match'!$A$2:$B$142,2,FALSE),"")</f>
        <v>2802820</v>
      </c>
    </row>
    <row r="4362" spans="1:8" x14ac:dyDescent="0.2">
      <c r="A4362">
        <f t="shared" si="68"/>
        <v>2802820</v>
      </c>
      <c r="B4362" s="1">
        <v>2020</v>
      </c>
      <c r="C4362" s="1" t="s">
        <v>2505</v>
      </c>
      <c r="D4362" s="1" t="s">
        <v>2506</v>
      </c>
      <c r="E4362" s="1" t="s">
        <v>2019</v>
      </c>
      <c r="F4362" s="1" t="s">
        <v>433</v>
      </c>
      <c r="G4362" s="6">
        <v>2143572</v>
      </c>
      <c r="H4362">
        <f>IFERROR(VLOOKUP(F4362,'LEAID Match'!$A$2:$B$142,2,FALSE),"")</f>
        <v>2802820</v>
      </c>
    </row>
    <row r="4363" spans="1:8" x14ac:dyDescent="0.2">
      <c r="A4363">
        <f t="shared" si="68"/>
        <v>2802820</v>
      </c>
      <c r="B4363" s="1">
        <v>2021</v>
      </c>
      <c r="C4363" s="1" t="s">
        <v>2505</v>
      </c>
      <c r="D4363" s="1" t="s">
        <v>2506</v>
      </c>
      <c r="E4363" s="1" t="s">
        <v>2019</v>
      </c>
      <c r="F4363" s="1" t="s">
        <v>433</v>
      </c>
      <c r="G4363" s="6">
        <v>2156540</v>
      </c>
      <c r="H4363">
        <f>IFERROR(VLOOKUP(F4363,'LEAID Match'!$A$2:$B$142,2,FALSE),"")</f>
        <v>2802820</v>
      </c>
    </row>
    <row r="4364" spans="1:8" x14ac:dyDescent="0.2">
      <c r="A4364">
        <f t="shared" si="68"/>
        <v>2802820</v>
      </c>
      <c r="B4364" s="1">
        <v>2022</v>
      </c>
      <c r="C4364" s="1" t="s">
        <v>2505</v>
      </c>
      <c r="D4364" s="1" t="s">
        <v>2506</v>
      </c>
      <c r="E4364" s="1" t="s">
        <v>2019</v>
      </c>
      <c r="F4364" s="1" t="s">
        <v>433</v>
      </c>
      <c r="G4364" s="6">
        <v>2333797</v>
      </c>
      <c r="H4364">
        <f>IFERROR(VLOOKUP(F4364,'LEAID Match'!$A$2:$B$142,2,FALSE),"")</f>
        <v>2802820</v>
      </c>
    </row>
    <row r="4365" spans="1:8" x14ac:dyDescent="0.2">
      <c r="A4365">
        <f t="shared" si="68"/>
        <v>2802820</v>
      </c>
      <c r="B4365" s="1">
        <v>2023</v>
      </c>
      <c r="C4365" s="1" t="s">
        <v>2505</v>
      </c>
      <c r="D4365" s="1" t="s">
        <v>2506</v>
      </c>
      <c r="E4365" s="1" t="s">
        <v>2019</v>
      </c>
      <c r="F4365" s="1" t="s">
        <v>433</v>
      </c>
      <c r="G4365" s="6">
        <v>2641286</v>
      </c>
      <c r="H4365">
        <f>IFERROR(VLOOKUP(F4365,'LEAID Match'!$A$2:$B$142,2,FALSE),"")</f>
        <v>2802820</v>
      </c>
    </row>
    <row r="4366" spans="1:8" x14ac:dyDescent="0.2">
      <c r="A4366">
        <f t="shared" si="68"/>
        <v>2802820</v>
      </c>
      <c r="B4366" s="1">
        <v>2024</v>
      </c>
      <c r="C4366" s="1" t="s">
        <v>2505</v>
      </c>
      <c r="D4366" s="1" t="s">
        <v>2506</v>
      </c>
      <c r="E4366" s="1" t="s">
        <v>2019</v>
      </c>
      <c r="F4366" s="1" t="s">
        <v>433</v>
      </c>
      <c r="G4366" s="6">
        <v>2483644</v>
      </c>
      <c r="H4366">
        <f>IFERROR(VLOOKUP(F4366,'LEAID Match'!$A$2:$B$142,2,FALSE),"")</f>
        <v>2802820</v>
      </c>
    </row>
    <row r="4367" spans="1:8" x14ac:dyDescent="0.2">
      <c r="A4367" t="str">
        <f t="shared" si="68"/>
        <v/>
      </c>
      <c r="B4367" s="1">
        <v>2015</v>
      </c>
      <c r="C4367" s="1" t="s">
        <v>2505</v>
      </c>
      <c r="D4367" s="1" t="s">
        <v>2506</v>
      </c>
      <c r="E4367" s="1" t="s">
        <v>2019</v>
      </c>
      <c r="F4367" s="1" t="s">
        <v>434</v>
      </c>
      <c r="G4367" s="6">
        <v>826074</v>
      </c>
      <c r="H4367" t="str">
        <f>IFERROR(VLOOKUP(F4367,'LEAID Match'!$A$2:$B$142,2,FALSE),"")</f>
        <v/>
      </c>
    </row>
    <row r="4368" spans="1:8" x14ac:dyDescent="0.2">
      <c r="A4368" t="str">
        <f t="shared" si="68"/>
        <v/>
      </c>
      <c r="B4368">
        <v>2016</v>
      </c>
      <c r="C4368" s="1" t="s">
        <v>2505</v>
      </c>
      <c r="D4368" s="1" t="s">
        <v>2506</v>
      </c>
      <c r="E4368" s="1" t="s">
        <v>2019</v>
      </c>
      <c r="F4368" s="1" t="s">
        <v>434</v>
      </c>
      <c r="G4368" s="12">
        <v>830423</v>
      </c>
      <c r="H4368" t="str">
        <f>IFERROR(VLOOKUP(F4368,'LEAID Match'!$A$2:$B$142,2,FALSE),"")</f>
        <v/>
      </c>
    </row>
    <row r="4369" spans="1:8" x14ac:dyDescent="0.2">
      <c r="A4369" t="str">
        <f t="shared" si="68"/>
        <v/>
      </c>
      <c r="B4369" s="1">
        <v>2017</v>
      </c>
      <c r="C4369" s="1" t="s">
        <v>2505</v>
      </c>
      <c r="D4369" s="1" t="s">
        <v>2506</v>
      </c>
      <c r="E4369" s="1" t="s">
        <v>2019</v>
      </c>
      <c r="F4369" s="1" t="s">
        <v>434</v>
      </c>
      <c r="G4369" s="50">
        <v>806689</v>
      </c>
      <c r="H4369" t="str">
        <f>IFERROR(VLOOKUP(F4369,'LEAID Match'!$A$2:$B$142,2,FALSE),"")</f>
        <v/>
      </c>
    </row>
    <row r="4370" spans="1:8" x14ac:dyDescent="0.2">
      <c r="A4370" t="str">
        <f t="shared" si="68"/>
        <v/>
      </c>
      <c r="B4370" s="1">
        <v>2018</v>
      </c>
      <c r="C4370" s="1" t="s">
        <v>2505</v>
      </c>
      <c r="D4370" s="1" t="s">
        <v>2506</v>
      </c>
      <c r="E4370" s="1" t="s">
        <v>2019</v>
      </c>
      <c r="F4370" s="1" t="s">
        <v>434</v>
      </c>
      <c r="G4370" s="6">
        <v>828697</v>
      </c>
      <c r="H4370" t="str">
        <f>IFERROR(VLOOKUP(F4370,'LEAID Match'!$A$2:$B$142,2,FALSE),"")</f>
        <v/>
      </c>
    </row>
    <row r="4371" spans="1:8" x14ac:dyDescent="0.2">
      <c r="A4371" t="str">
        <f t="shared" si="68"/>
        <v/>
      </c>
      <c r="B4371" s="1">
        <v>2019</v>
      </c>
      <c r="C4371" s="1" t="s">
        <v>2505</v>
      </c>
      <c r="D4371" s="1" t="s">
        <v>2506</v>
      </c>
      <c r="E4371" s="1" t="s">
        <v>2019</v>
      </c>
      <c r="F4371" s="1" t="s">
        <v>434</v>
      </c>
      <c r="G4371" s="6">
        <v>904890</v>
      </c>
      <c r="H4371" t="str">
        <f>IFERROR(VLOOKUP(F4371,'LEAID Match'!$A$2:$B$142,2,FALSE),"")</f>
        <v/>
      </c>
    </row>
    <row r="4372" spans="1:8" x14ac:dyDescent="0.2">
      <c r="A4372" t="str">
        <f t="shared" si="68"/>
        <v/>
      </c>
      <c r="B4372" s="1">
        <v>2020</v>
      </c>
      <c r="C4372" s="1" t="s">
        <v>2505</v>
      </c>
      <c r="D4372" s="1" t="s">
        <v>2506</v>
      </c>
      <c r="E4372" s="1" t="s">
        <v>2019</v>
      </c>
      <c r="F4372" s="1" t="s">
        <v>434</v>
      </c>
      <c r="G4372" s="6">
        <v>1000337</v>
      </c>
      <c r="H4372" t="str">
        <f>IFERROR(VLOOKUP(F4372,'LEAID Match'!$A$2:$B$142,2,FALSE),"")</f>
        <v/>
      </c>
    </row>
    <row r="4373" spans="1:8" x14ac:dyDescent="0.2">
      <c r="A4373" t="str">
        <f t="shared" si="68"/>
        <v/>
      </c>
      <c r="B4373" s="1">
        <v>2021</v>
      </c>
      <c r="C4373" s="1" t="s">
        <v>2505</v>
      </c>
      <c r="D4373" s="1" t="s">
        <v>2506</v>
      </c>
      <c r="E4373" s="1" t="s">
        <v>2019</v>
      </c>
      <c r="F4373" s="1" t="s">
        <v>434</v>
      </c>
      <c r="G4373" s="6">
        <v>1048590</v>
      </c>
      <c r="H4373" t="str">
        <f>IFERROR(VLOOKUP(F4373,'LEAID Match'!$A$2:$B$142,2,FALSE),"")</f>
        <v/>
      </c>
    </row>
    <row r="4374" spans="1:8" x14ac:dyDescent="0.2">
      <c r="A4374" t="str">
        <f t="shared" si="68"/>
        <v/>
      </c>
      <c r="B4374" s="1">
        <v>2022</v>
      </c>
      <c r="C4374" s="1" t="s">
        <v>2505</v>
      </c>
      <c r="D4374" s="1" t="s">
        <v>2506</v>
      </c>
      <c r="E4374" s="1" t="s">
        <v>2019</v>
      </c>
      <c r="F4374" s="1" t="s">
        <v>434</v>
      </c>
      <c r="G4374" s="6">
        <v>1120379</v>
      </c>
      <c r="H4374" t="str">
        <f>IFERROR(VLOOKUP(F4374,'LEAID Match'!$A$2:$B$142,2,FALSE),"")</f>
        <v/>
      </c>
    </row>
    <row r="4375" spans="1:8" x14ac:dyDescent="0.2">
      <c r="A4375" t="str">
        <f t="shared" si="68"/>
        <v/>
      </c>
      <c r="B4375" s="1">
        <v>2023</v>
      </c>
      <c r="C4375" s="1" t="s">
        <v>2505</v>
      </c>
      <c r="D4375" s="1" t="s">
        <v>2506</v>
      </c>
      <c r="E4375" s="1" t="s">
        <v>2019</v>
      </c>
      <c r="F4375" s="1" t="s">
        <v>434</v>
      </c>
      <c r="G4375" s="6">
        <v>1197665</v>
      </c>
      <c r="H4375" t="str">
        <f>IFERROR(VLOOKUP(F4375,'LEAID Match'!$A$2:$B$142,2,FALSE),"")</f>
        <v/>
      </c>
    </row>
    <row r="4376" spans="1:8" x14ac:dyDescent="0.2">
      <c r="A4376" t="str">
        <f t="shared" si="68"/>
        <v/>
      </c>
      <c r="B4376" s="1">
        <v>2024</v>
      </c>
      <c r="C4376" s="1" t="s">
        <v>2505</v>
      </c>
      <c r="D4376" s="1" t="s">
        <v>2506</v>
      </c>
      <c r="E4376" s="1" t="s">
        <v>2019</v>
      </c>
      <c r="F4376" s="1" t="s">
        <v>434</v>
      </c>
      <c r="G4376" s="6">
        <v>1251561</v>
      </c>
      <c r="H4376" t="str">
        <f>IFERROR(VLOOKUP(F4376,'LEAID Match'!$A$2:$B$142,2,FALSE),"")</f>
        <v/>
      </c>
    </row>
    <row r="4377" spans="1:8" x14ac:dyDescent="0.2">
      <c r="A4377" t="str">
        <f t="shared" si="68"/>
        <v/>
      </c>
      <c r="B4377" s="1">
        <v>2015</v>
      </c>
      <c r="C4377" s="1" t="s">
        <v>2505</v>
      </c>
      <c r="D4377" s="1" t="s">
        <v>2506</v>
      </c>
      <c r="E4377" s="1" t="s">
        <v>2019</v>
      </c>
      <c r="F4377" s="1" t="s">
        <v>435</v>
      </c>
      <c r="G4377" s="6">
        <v>5218</v>
      </c>
      <c r="H4377" t="str">
        <f>IFERROR(VLOOKUP(F4377,'LEAID Match'!$A$2:$B$142,2,FALSE),"")</f>
        <v/>
      </c>
    </row>
    <row r="4378" spans="1:8" x14ac:dyDescent="0.2">
      <c r="A4378" t="str">
        <f t="shared" si="68"/>
        <v/>
      </c>
      <c r="B4378">
        <v>2016</v>
      </c>
      <c r="C4378" s="1" t="s">
        <v>2505</v>
      </c>
      <c r="D4378" s="1" t="s">
        <v>2506</v>
      </c>
      <c r="E4378" s="1" t="s">
        <v>2019</v>
      </c>
      <c r="F4378" s="1" t="s">
        <v>435</v>
      </c>
      <c r="G4378" s="12">
        <v>5135</v>
      </c>
      <c r="H4378" t="str">
        <f>IFERROR(VLOOKUP(F4378,'LEAID Match'!$A$2:$B$142,2,FALSE),"")</f>
        <v/>
      </c>
    </row>
    <row r="4379" spans="1:8" x14ac:dyDescent="0.2">
      <c r="A4379" t="str">
        <f t="shared" si="68"/>
        <v/>
      </c>
      <c r="B4379" s="1">
        <v>2017</v>
      </c>
      <c r="C4379" s="1" t="s">
        <v>2505</v>
      </c>
      <c r="D4379" s="1" t="s">
        <v>2506</v>
      </c>
      <c r="E4379" s="1" t="s">
        <v>2019</v>
      </c>
      <c r="F4379" s="1" t="s">
        <v>435</v>
      </c>
      <c r="G4379" s="50">
        <v>5393</v>
      </c>
      <c r="H4379" t="str">
        <f>IFERROR(VLOOKUP(F4379,'LEAID Match'!$A$2:$B$142,2,FALSE),"")</f>
        <v/>
      </c>
    </row>
    <row r="4380" spans="1:8" x14ac:dyDescent="0.2">
      <c r="A4380" t="str">
        <f t="shared" si="68"/>
        <v/>
      </c>
      <c r="B4380" s="1">
        <v>2018</v>
      </c>
      <c r="C4380" s="1" t="s">
        <v>2505</v>
      </c>
      <c r="D4380" s="1" t="s">
        <v>2506</v>
      </c>
      <c r="E4380" s="1" t="s">
        <v>2019</v>
      </c>
      <c r="F4380" s="1" t="s">
        <v>435</v>
      </c>
      <c r="G4380" s="6">
        <v>5594</v>
      </c>
      <c r="H4380" t="str">
        <f>IFERROR(VLOOKUP(F4380,'LEAID Match'!$A$2:$B$142,2,FALSE),"")</f>
        <v/>
      </c>
    </row>
    <row r="4381" spans="1:8" x14ac:dyDescent="0.2">
      <c r="A4381" t="str">
        <f t="shared" si="68"/>
        <v/>
      </c>
      <c r="B4381" s="1">
        <v>2019</v>
      </c>
      <c r="C4381" s="1" t="s">
        <v>2505</v>
      </c>
      <c r="D4381" s="1" t="s">
        <v>2506</v>
      </c>
      <c r="E4381" s="1" t="s">
        <v>2019</v>
      </c>
      <c r="F4381" s="1" t="s">
        <v>435</v>
      </c>
      <c r="G4381" s="6">
        <v>6388</v>
      </c>
      <c r="H4381" t="str">
        <f>IFERROR(VLOOKUP(F4381,'LEAID Match'!$A$2:$B$142,2,FALSE),"")</f>
        <v/>
      </c>
    </row>
    <row r="4382" spans="1:8" x14ac:dyDescent="0.2">
      <c r="A4382" t="str">
        <f t="shared" si="68"/>
        <v/>
      </c>
      <c r="B4382" s="1">
        <v>2020</v>
      </c>
      <c r="C4382" s="1" t="s">
        <v>2505</v>
      </c>
      <c r="D4382" s="1" t="s">
        <v>2506</v>
      </c>
      <c r="E4382" s="1" t="s">
        <v>2019</v>
      </c>
      <c r="F4382" s="1" t="s">
        <v>435</v>
      </c>
      <c r="G4382" s="6">
        <v>7057</v>
      </c>
      <c r="H4382" t="str">
        <f>IFERROR(VLOOKUP(F4382,'LEAID Match'!$A$2:$B$142,2,FALSE),"")</f>
        <v/>
      </c>
    </row>
    <row r="4383" spans="1:8" x14ac:dyDescent="0.2">
      <c r="A4383" t="str">
        <f t="shared" si="68"/>
        <v/>
      </c>
      <c r="B4383" s="1">
        <v>2021</v>
      </c>
      <c r="C4383" s="1" t="s">
        <v>2505</v>
      </c>
      <c r="D4383" s="1" t="s">
        <v>2506</v>
      </c>
      <c r="E4383" s="1" t="s">
        <v>2019</v>
      </c>
      <c r="F4383" s="1" t="s">
        <v>435</v>
      </c>
      <c r="G4383" s="6">
        <v>7057</v>
      </c>
      <c r="H4383" t="str">
        <f>IFERROR(VLOOKUP(F4383,'LEAID Match'!$A$2:$B$142,2,FALSE),"")</f>
        <v/>
      </c>
    </row>
    <row r="4384" spans="1:8" x14ac:dyDescent="0.2">
      <c r="A4384" t="str">
        <f t="shared" si="68"/>
        <v/>
      </c>
      <c r="B4384" s="1">
        <v>2022</v>
      </c>
      <c r="C4384" s="1" t="s">
        <v>2505</v>
      </c>
      <c r="D4384" s="1" t="s">
        <v>2506</v>
      </c>
      <c r="E4384" s="1" t="s">
        <v>2019</v>
      </c>
      <c r="F4384" s="1" t="s">
        <v>435</v>
      </c>
      <c r="G4384" s="6">
        <v>7057</v>
      </c>
      <c r="H4384" t="str">
        <f>IFERROR(VLOOKUP(F4384,'LEAID Match'!$A$2:$B$142,2,FALSE),"")</f>
        <v/>
      </c>
    </row>
    <row r="4385" spans="1:8" x14ac:dyDescent="0.2">
      <c r="A4385" t="str">
        <f t="shared" si="68"/>
        <v/>
      </c>
      <c r="B4385" s="1">
        <v>2023</v>
      </c>
      <c r="C4385" s="1" t="s">
        <v>2505</v>
      </c>
      <c r="D4385" s="1" t="s">
        <v>2506</v>
      </c>
      <c r="E4385" s="1" t="s">
        <v>2019</v>
      </c>
      <c r="F4385" s="1" t="s">
        <v>435</v>
      </c>
      <c r="G4385" s="6">
        <v>7329</v>
      </c>
      <c r="H4385" t="str">
        <f>IFERROR(VLOOKUP(F4385,'LEAID Match'!$A$2:$B$142,2,FALSE),"")</f>
        <v/>
      </c>
    </row>
    <row r="4386" spans="1:8" x14ac:dyDescent="0.2">
      <c r="A4386" t="str">
        <f t="shared" si="68"/>
        <v/>
      </c>
      <c r="B4386" s="1">
        <v>2024</v>
      </c>
      <c r="C4386" s="1" t="s">
        <v>2505</v>
      </c>
      <c r="D4386" s="1" t="s">
        <v>2506</v>
      </c>
      <c r="E4386" s="1" t="s">
        <v>2019</v>
      </c>
      <c r="F4386" s="1" t="s">
        <v>435</v>
      </c>
      <c r="G4386" s="6">
        <v>7234</v>
      </c>
      <c r="H4386" t="str">
        <f>IFERROR(VLOOKUP(F4386,'LEAID Match'!$A$2:$B$142,2,FALSE),"")</f>
        <v/>
      </c>
    </row>
    <row r="4387" spans="1:8" x14ac:dyDescent="0.2">
      <c r="A4387" t="str">
        <f t="shared" si="68"/>
        <v/>
      </c>
      <c r="B4387" s="1">
        <v>2015</v>
      </c>
      <c r="C4387" s="1" t="s">
        <v>2505</v>
      </c>
      <c r="D4387" s="1" t="s">
        <v>2506</v>
      </c>
      <c r="E4387" s="1" t="s">
        <v>2019</v>
      </c>
      <c r="F4387" s="1" t="s">
        <v>436</v>
      </c>
      <c r="G4387" s="6">
        <v>47766</v>
      </c>
      <c r="H4387" t="str">
        <f>IFERROR(VLOOKUP(F4387,'LEAID Match'!$A$2:$B$142,2,FALSE),"")</f>
        <v/>
      </c>
    </row>
    <row r="4388" spans="1:8" x14ac:dyDescent="0.2">
      <c r="A4388" t="str">
        <f t="shared" si="68"/>
        <v/>
      </c>
      <c r="B4388">
        <v>2016</v>
      </c>
      <c r="C4388" s="1" t="s">
        <v>2505</v>
      </c>
      <c r="D4388" s="1" t="s">
        <v>2506</v>
      </c>
      <c r="E4388" s="1" t="s">
        <v>2019</v>
      </c>
      <c r="F4388" s="1" t="s">
        <v>436</v>
      </c>
      <c r="G4388" s="12">
        <v>54141</v>
      </c>
      <c r="H4388" t="str">
        <f>IFERROR(VLOOKUP(F4388,'LEAID Match'!$A$2:$B$142,2,FALSE),"")</f>
        <v/>
      </c>
    </row>
    <row r="4389" spans="1:8" x14ac:dyDescent="0.2">
      <c r="A4389" t="str">
        <f t="shared" si="68"/>
        <v/>
      </c>
      <c r="B4389" s="1">
        <v>2017</v>
      </c>
      <c r="C4389" s="1" t="s">
        <v>2505</v>
      </c>
      <c r="D4389" s="1" t="s">
        <v>2506</v>
      </c>
      <c r="E4389" s="1" t="s">
        <v>2019</v>
      </c>
      <c r="F4389" s="1" t="s">
        <v>436</v>
      </c>
      <c r="G4389" s="50">
        <v>57691</v>
      </c>
      <c r="H4389" t="str">
        <f>IFERROR(VLOOKUP(F4389,'LEAID Match'!$A$2:$B$142,2,FALSE),"")</f>
        <v/>
      </c>
    </row>
    <row r="4390" spans="1:8" x14ac:dyDescent="0.2">
      <c r="A4390" t="str">
        <f t="shared" si="68"/>
        <v/>
      </c>
      <c r="B4390" s="1">
        <v>2018</v>
      </c>
      <c r="C4390" s="1" t="s">
        <v>2505</v>
      </c>
      <c r="D4390" s="1" t="s">
        <v>2506</v>
      </c>
      <c r="E4390" s="1" t="s">
        <v>2019</v>
      </c>
      <c r="F4390" s="1" t="s">
        <v>436</v>
      </c>
      <c r="G4390" s="6">
        <v>62384</v>
      </c>
      <c r="H4390" t="str">
        <f>IFERROR(VLOOKUP(F4390,'LEAID Match'!$A$2:$B$142,2,FALSE),"")</f>
        <v/>
      </c>
    </row>
    <row r="4391" spans="1:8" x14ac:dyDescent="0.2">
      <c r="A4391" t="str">
        <f t="shared" si="68"/>
        <v/>
      </c>
      <c r="B4391" s="1">
        <v>2019</v>
      </c>
      <c r="C4391" s="1" t="s">
        <v>2505</v>
      </c>
      <c r="D4391" s="1" t="s">
        <v>2506</v>
      </c>
      <c r="E4391" s="1" t="s">
        <v>2019</v>
      </c>
      <c r="F4391" s="1" t="s">
        <v>436</v>
      </c>
      <c r="G4391" s="6">
        <v>62262</v>
      </c>
      <c r="H4391" t="str">
        <f>IFERROR(VLOOKUP(F4391,'LEAID Match'!$A$2:$B$142,2,FALSE),"")</f>
        <v/>
      </c>
    </row>
    <row r="4392" spans="1:8" x14ac:dyDescent="0.2">
      <c r="A4392" t="str">
        <f t="shared" si="68"/>
        <v/>
      </c>
      <c r="B4392" s="1">
        <v>2020</v>
      </c>
      <c r="C4392" s="1" t="s">
        <v>2505</v>
      </c>
      <c r="D4392" s="1" t="s">
        <v>2506</v>
      </c>
      <c r="E4392" s="1" t="s">
        <v>2019</v>
      </c>
      <c r="F4392" s="1" t="s">
        <v>436</v>
      </c>
      <c r="G4392" s="6">
        <v>71757</v>
      </c>
      <c r="H4392" t="str">
        <f>IFERROR(VLOOKUP(F4392,'LEAID Match'!$A$2:$B$142,2,FALSE),"")</f>
        <v/>
      </c>
    </row>
    <row r="4393" spans="1:8" x14ac:dyDescent="0.2">
      <c r="A4393" t="str">
        <f t="shared" si="68"/>
        <v/>
      </c>
      <c r="B4393" s="1">
        <v>2021</v>
      </c>
      <c r="C4393" s="1" t="s">
        <v>2505</v>
      </c>
      <c r="D4393" s="1" t="s">
        <v>2506</v>
      </c>
      <c r="E4393" s="1" t="s">
        <v>2019</v>
      </c>
      <c r="F4393" s="1" t="s">
        <v>436</v>
      </c>
      <c r="G4393" s="6">
        <v>71148</v>
      </c>
      <c r="H4393" t="str">
        <f>IFERROR(VLOOKUP(F4393,'LEAID Match'!$A$2:$B$142,2,FALSE),"")</f>
        <v/>
      </c>
    </row>
    <row r="4394" spans="1:8" x14ac:dyDescent="0.2">
      <c r="A4394" t="str">
        <f t="shared" si="68"/>
        <v/>
      </c>
      <c r="B4394" s="1">
        <v>2022</v>
      </c>
      <c r="C4394" s="1" t="s">
        <v>2505</v>
      </c>
      <c r="D4394" s="1" t="s">
        <v>2506</v>
      </c>
      <c r="E4394" s="1" t="s">
        <v>2019</v>
      </c>
      <c r="F4394" s="1" t="s">
        <v>436</v>
      </c>
      <c r="G4394" s="6">
        <v>74080</v>
      </c>
      <c r="H4394" t="str">
        <f>IFERROR(VLOOKUP(F4394,'LEAID Match'!$A$2:$B$142,2,FALSE),"")</f>
        <v/>
      </c>
    </row>
    <row r="4395" spans="1:8" x14ac:dyDescent="0.2">
      <c r="A4395" t="str">
        <f t="shared" si="68"/>
        <v/>
      </c>
      <c r="B4395" s="1">
        <v>2023</v>
      </c>
      <c r="C4395" s="1" t="s">
        <v>2505</v>
      </c>
      <c r="D4395" s="1" t="s">
        <v>2506</v>
      </c>
      <c r="E4395" s="1" t="s">
        <v>2019</v>
      </c>
      <c r="F4395" s="1" t="s">
        <v>436</v>
      </c>
      <c r="G4395" s="6">
        <v>81019</v>
      </c>
      <c r="H4395" t="str">
        <f>IFERROR(VLOOKUP(F4395,'LEAID Match'!$A$2:$B$142,2,FALSE),"")</f>
        <v/>
      </c>
    </row>
    <row r="4396" spans="1:8" x14ac:dyDescent="0.2">
      <c r="A4396" t="str">
        <f t="shared" si="68"/>
        <v/>
      </c>
      <c r="B4396" s="1">
        <v>2024</v>
      </c>
      <c r="C4396" s="1" t="s">
        <v>2505</v>
      </c>
      <c r="D4396" s="1" t="s">
        <v>2506</v>
      </c>
      <c r="E4396" s="1" t="s">
        <v>2019</v>
      </c>
      <c r="F4396" s="1" t="s">
        <v>436</v>
      </c>
      <c r="G4396" s="6">
        <v>86805</v>
      </c>
      <c r="H4396" t="str">
        <f>IFERROR(VLOOKUP(F4396,'LEAID Match'!$A$2:$B$142,2,FALSE),"")</f>
        <v/>
      </c>
    </row>
    <row r="4397" spans="1:8" x14ac:dyDescent="0.2">
      <c r="A4397" t="str">
        <f t="shared" si="68"/>
        <v/>
      </c>
      <c r="B4397" s="1">
        <v>2015</v>
      </c>
      <c r="C4397" s="1" t="s">
        <v>2505</v>
      </c>
      <c r="D4397" s="1" t="s">
        <v>2506</v>
      </c>
      <c r="E4397" s="1" t="s">
        <v>2019</v>
      </c>
      <c r="F4397" s="1" t="s">
        <v>437</v>
      </c>
      <c r="G4397" s="6">
        <v>61641</v>
      </c>
      <c r="H4397" t="str">
        <f>IFERROR(VLOOKUP(F4397,'LEAID Match'!$A$2:$B$142,2,FALSE),"")</f>
        <v/>
      </c>
    </row>
    <row r="4398" spans="1:8" x14ac:dyDescent="0.2">
      <c r="A4398" t="str">
        <f t="shared" si="68"/>
        <v/>
      </c>
      <c r="B4398">
        <v>2016</v>
      </c>
      <c r="C4398" s="1" t="s">
        <v>2505</v>
      </c>
      <c r="D4398" s="1" t="s">
        <v>2506</v>
      </c>
      <c r="E4398" s="1" t="s">
        <v>2019</v>
      </c>
      <c r="F4398" s="1" t="s">
        <v>437</v>
      </c>
      <c r="G4398" s="12">
        <v>69118</v>
      </c>
      <c r="H4398" t="str">
        <f>IFERROR(VLOOKUP(F4398,'LEAID Match'!$A$2:$B$142,2,FALSE),"")</f>
        <v/>
      </c>
    </row>
    <row r="4399" spans="1:8" x14ac:dyDescent="0.2">
      <c r="A4399" t="str">
        <f t="shared" si="68"/>
        <v/>
      </c>
      <c r="B4399" s="1">
        <v>2017</v>
      </c>
      <c r="C4399" s="1" t="s">
        <v>2505</v>
      </c>
      <c r="D4399" s="1" t="s">
        <v>2506</v>
      </c>
      <c r="E4399" s="1" t="s">
        <v>2019</v>
      </c>
      <c r="F4399" s="1" t="s">
        <v>437</v>
      </c>
      <c r="G4399" s="50">
        <v>68778</v>
      </c>
      <c r="H4399" t="str">
        <f>IFERROR(VLOOKUP(F4399,'LEAID Match'!$A$2:$B$142,2,FALSE),"")</f>
        <v/>
      </c>
    </row>
    <row r="4400" spans="1:8" x14ac:dyDescent="0.2">
      <c r="A4400" t="str">
        <f t="shared" si="68"/>
        <v/>
      </c>
      <c r="B4400" s="1">
        <v>2018</v>
      </c>
      <c r="C4400" s="1" t="s">
        <v>2505</v>
      </c>
      <c r="D4400" s="1" t="s">
        <v>2506</v>
      </c>
      <c r="E4400" s="1" t="s">
        <v>2019</v>
      </c>
      <c r="F4400" s="1" t="s">
        <v>437</v>
      </c>
      <c r="G4400" s="6">
        <v>70231</v>
      </c>
      <c r="H4400" t="str">
        <f>IFERROR(VLOOKUP(F4400,'LEAID Match'!$A$2:$B$142,2,FALSE),"")</f>
        <v/>
      </c>
    </row>
    <row r="4401" spans="1:8" x14ac:dyDescent="0.2">
      <c r="A4401" t="str">
        <f t="shared" si="68"/>
        <v/>
      </c>
      <c r="B4401" s="1">
        <v>2019</v>
      </c>
      <c r="C4401" s="1" t="s">
        <v>2505</v>
      </c>
      <c r="D4401" s="1" t="s">
        <v>2506</v>
      </c>
      <c r="E4401" s="1" t="s">
        <v>2019</v>
      </c>
      <c r="F4401" s="1" t="s">
        <v>437</v>
      </c>
      <c r="G4401" s="6">
        <v>75164</v>
      </c>
      <c r="H4401" t="str">
        <f>IFERROR(VLOOKUP(F4401,'LEAID Match'!$A$2:$B$142,2,FALSE),"")</f>
        <v/>
      </c>
    </row>
    <row r="4402" spans="1:8" x14ac:dyDescent="0.2">
      <c r="A4402" t="str">
        <f t="shared" si="68"/>
        <v/>
      </c>
      <c r="B4402" s="1">
        <v>2020</v>
      </c>
      <c r="C4402" s="1" t="s">
        <v>2505</v>
      </c>
      <c r="D4402" s="1" t="s">
        <v>2506</v>
      </c>
      <c r="E4402" s="1" t="s">
        <v>2019</v>
      </c>
      <c r="F4402" s="1" t="s">
        <v>437</v>
      </c>
      <c r="G4402" s="6">
        <v>80104</v>
      </c>
      <c r="H4402" t="str">
        <f>IFERROR(VLOOKUP(F4402,'LEAID Match'!$A$2:$B$142,2,FALSE),"")</f>
        <v/>
      </c>
    </row>
    <row r="4403" spans="1:8" x14ac:dyDescent="0.2">
      <c r="A4403" t="str">
        <f t="shared" si="68"/>
        <v/>
      </c>
      <c r="B4403" s="1">
        <v>2021</v>
      </c>
      <c r="C4403" s="1" t="s">
        <v>2505</v>
      </c>
      <c r="D4403" s="1" t="s">
        <v>2506</v>
      </c>
      <c r="E4403" s="1" t="s">
        <v>2019</v>
      </c>
      <c r="F4403" s="1" t="s">
        <v>437</v>
      </c>
      <c r="G4403" s="6">
        <v>86779</v>
      </c>
      <c r="H4403" t="str">
        <f>IFERROR(VLOOKUP(F4403,'LEAID Match'!$A$2:$B$142,2,FALSE),"")</f>
        <v/>
      </c>
    </row>
    <row r="4404" spans="1:8" x14ac:dyDescent="0.2">
      <c r="A4404" t="str">
        <f t="shared" si="68"/>
        <v/>
      </c>
      <c r="B4404" s="1">
        <v>2022</v>
      </c>
      <c r="C4404" s="1" t="s">
        <v>2505</v>
      </c>
      <c r="D4404" s="1" t="s">
        <v>2506</v>
      </c>
      <c r="E4404" s="1" t="s">
        <v>2019</v>
      </c>
      <c r="F4404" s="1" t="s">
        <v>437</v>
      </c>
      <c r="G4404" s="6">
        <v>87150</v>
      </c>
      <c r="H4404" t="str">
        <f>IFERROR(VLOOKUP(F4404,'LEAID Match'!$A$2:$B$142,2,FALSE),"")</f>
        <v/>
      </c>
    </row>
    <row r="4405" spans="1:8" x14ac:dyDescent="0.2">
      <c r="A4405" t="str">
        <f t="shared" si="68"/>
        <v/>
      </c>
      <c r="B4405" s="1">
        <v>2023</v>
      </c>
      <c r="C4405" s="1" t="s">
        <v>2505</v>
      </c>
      <c r="D4405" s="1" t="s">
        <v>2506</v>
      </c>
      <c r="E4405" s="1" t="s">
        <v>2019</v>
      </c>
      <c r="F4405" s="1" t="s">
        <v>437</v>
      </c>
      <c r="G4405" s="6">
        <v>98697</v>
      </c>
      <c r="H4405" t="str">
        <f>IFERROR(VLOOKUP(F4405,'LEAID Match'!$A$2:$B$142,2,FALSE),"")</f>
        <v/>
      </c>
    </row>
    <row r="4406" spans="1:8" x14ac:dyDescent="0.2">
      <c r="A4406" t="str">
        <f t="shared" si="68"/>
        <v/>
      </c>
      <c r="B4406" s="1">
        <v>2024</v>
      </c>
      <c r="C4406" s="1" t="s">
        <v>2505</v>
      </c>
      <c r="D4406" s="1" t="s">
        <v>2506</v>
      </c>
      <c r="E4406" s="1" t="s">
        <v>2019</v>
      </c>
      <c r="F4406" s="1" t="s">
        <v>437</v>
      </c>
      <c r="G4406" s="6">
        <v>99460</v>
      </c>
      <c r="H4406" t="str">
        <f>IFERROR(VLOOKUP(F4406,'LEAID Match'!$A$2:$B$142,2,FALSE),"")</f>
        <v/>
      </c>
    </row>
    <row r="4407" spans="1:8" x14ac:dyDescent="0.2">
      <c r="A4407" t="str">
        <f t="shared" si="68"/>
        <v/>
      </c>
      <c r="B4407" s="1">
        <v>2015</v>
      </c>
      <c r="C4407" s="1" t="s">
        <v>2505</v>
      </c>
      <c r="D4407" s="1" t="s">
        <v>2506</v>
      </c>
      <c r="E4407" s="1" t="s">
        <v>2019</v>
      </c>
      <c r="F4407" s="1" t="s">
        <v>438</v>
      </c>
      <c r="G4407" s="6">
        <v>6300</v>
      </c>
      <c r="H4407" t="str">
        <f>IFERROR(VLOOKUP(F4407,'LEAID Match'!$A$2:$B$142,2,FALSE),"")</f>
        <v/>
      </c>
    </row>
    <row r="4408" spans="1:8" x14ac:dyDescent="0.2">
      <c r="A4408" t="str">
        <f t="shared" si="68"/>
        <v/>
      </c>
      <c r="B4408">
        <v>2016</v>
      </c>
      <c r="C4408" s="1" t="s">
        <v>2505</v>
      </c>
      <c r="D4408" s="1" t="s">
        <v>2506</v>
      </c>
      <c r="E4408" s="1" t="s">
        <v>2019</v>
      </c>
      <c r="F4408" s="1" t="s">
        <v>438</v>
      </c>
      <c r="G4408" s="12">
        <v>6300</v>
      </c>
      <c r="H4408" t="str">
        <f>IFERROR(VLOOKUP(F4408,'LEAID Match'!$A$2:$B$142,2,FALSE),"")</f>
        <v/>
      </c>
    </row>
    <row r="4409" spans="1:8" x14ac:dyDescent="0.2">
      <c r="A4409" t="str">
        <f t="shared" si="68"/>
        <v/>
      </c>
      <c r="B4409" s="1">
        <v>2017</v>
      </c>
      <c r="C4409" s="1" t="s">
        <v>2505</v>
      </c>
      <c r="D4409" s="1" t="s">
        <v>2506</v>
      </c>
      <c r="E4409" s="1" t="s">
        <v>2019</v>
      </c>
      <c r="F4409" s="1" t="s">
        <v>438</v>
      </c>
      <c r="G4409" s="50">
        <v>6300</v>
      </c>
      <c r="H4409" t="str">
        <f>IFERROR(VLOOKUP(F4409,'LEAID Match'!$A$2:$B$142,2,FALSE),"")</f>
        <v/>
      </c>
    </row>
    <row r="4410" spans="1:8" x14ac:dyDescent="0.2">
      <c r="A4410" t="str">
        <f t="shared" si="68"/>
        <v/>
      </c>
      <c r="B4410" s="1">
        <v>2018</v>
      </c>
      <c r="C4410" s="1" t="s">
        <v>2505</v>
      </c>
      <c r="D4410" s="1" t="s">
        <v>2506</v>
      </c>
      <c r="E4410" s="1" t="s">
        <v>2019</v>
      </c>
      <c r="F4410" s="1" t="s">
        <v>438</v>
      </c>
      <c r="G4410" s="6">
        <v>6871</v>
      </c>
      <c r="H4410" t="str">
        <f>IFERROR(VLOOKUP(F4410,'LEAID Match'!$A$2:$B$142,2,FALSE),"")</f>
        <v/>
      </c>
    </row>
    <row r="4411" spans="1:8" x14ac:dyDescent="0.2">
      <c r="A4411" t="str">
        <f t="shared" si="68"/>
        <v/>
      </c>
      <c r="B4411" s="1">
        <v>2019</v>
      </c>
      <c r="C4411" s="1" t="s">
        <v>2505</v>
      </c>
      <c r="D4411" s="1" t="s">
        <v>2506</v>
      </c>
      <c r="E4411" s="1" t="s">
        <v>2019</v>
      </c>
      <c r="F4411" s="1" t="s">
        <v>438</v>
      </c>
      <c r="G4411" s="6">
        <v>7670</v>
      </c>
      <c r="H4411" t="str">
        <f>IFERROR(VLOOKUP(F4411,'LEAID Match'!$A$2:$B$142,2,FALSE),"")</f>
        <v/>
      </c>
    </row>
    <row r="4412" spans="1:8" x14ac:dyDescent="0.2">
      <c r="A4412" t="str">
        <f t="shared" si="68"/>
        <v/>
      </c>
      <c r="B4412" s="1">
        <v>2020</v>
      </c>
      <c r="C4412" s="1" t="s">
        <v>2505</v>
      </c>
      <c r="D4412" s="1" t="s">
        <v>2506</v>
      </c>
      <c r="E4412" s="1" t="s">
        <v>2019</v>
      </c>
      <c r="F4412" s="1" t="s">
        <v>438</v>
      </c>
      <c r="G4412" s="6">
        <v>8474</v>
      </c>
      <c r="H4412" t="str">
        <f>IFERROR(VLOOKUP(F4412,'LEAID Match'!$A$2:$B$142,2,FALSE),"")</f>
        <v/>
      </c>
    </row>
    <row r="4413" spans="1:8" x14ac:dyDescent="0.2">
      <c r="A4413" t="str">
        <f t="shared" si="68"/>
        <v/>
      </c>
      <c r="B4413" s="1">
        <v>2021</v>
      </c>
      <c r="C4413" s="1" t="s">
        <v>2505</v>
      </c>
      <c r="D4413" s="1" t="s">
        <v>2506</v>
      </c>
      <c r="E4413" s="1" t="s">
        <v>2019</v>
      </c>
      <c r="F4413" s="1" t="s">
        <v>438</v>
      </c>
      <c r="G4413" s="6">
        <v>8474</v>
      </c>
      <c r="H4413" t="str">
        <f>IFERROR(VLOOKUP(F4413,'LEAID Match'!$A$2:$B$142,2,FALSE),"")</f>
        <v/>
      </c>
    </row>
    <row r="4414" spans="1:8" x14ac:dyDescent="0.2">
      <c r="A4414" t="str">
        <f t="shared" si="68"/>
        <v/>
      </c>
      <c r="B4414" s="1">
        <v>2024</v>
      </c>
      <c r="C4414" s="1" t="s">
        <v>2505</v>
      </c>
      <c r="D4414" s="1" t="s">
        <v>2506</v>
      </c>
      <c r="E4414" s="1" t="s">
        <v>2019</v>
      </c>
      <c r="F4414" s="1" t="s">
        <v>438</v>
      </c>
      <c r="G4414" s="6">
        <v>11164</v>
      </c>
      <c r="H4414" t="str">
        <f>IFERROR(VLOOKUP(F4414,'LEAID Match'!$A$2:$B$142,2,FALSE),"")</f>
        <v/>
      </c>
    </row>
    <row r="4415" spans="1:8" x14ac:dyDescent="0.2">
      <c r="A4415" t="str">
        <f t="shared" si="68"/>
        <v/>
      </c>
      <c r="B4415" s="1">
        <v>2022</v>
      </c>
      <c r="C4415" s="1" t="s">
        <v>2505</v>
      </c>
      <c r="D4415" s="1" t="s">
        <v>2506</v>
      </c>
      <c r="E4415" s="1" t="s">
        <v>2019</v>
      </c>
      <c r="F4415" s="1" t="s">
        <v>880</v>
      </c>
      <c r="G4415" s="6">
        <v>8474</v>
      </c>
      <c r="H4415" t="str">
        <f>IFERROR(VLOOKUP(F4415,'LEAID Match'!$A$2:$B$142,2,FALSE),"")</f>
        <v/>
      </c>
    </row>
    <row r="4416" spans="1:8" x14ac:dyDescent="0.2">
      <c r="A4416" t="str">
        <f t="shared" si="68"/>
        <v/>
      </c>
      <c r="B4416" s="1">
        <v>2023</v>
      </c>
      <c r="C4416" s="1" t="s">
        <v>2505</v>
      </c>
      <c r="D4416" s="1" t="s">
        <v>2506</v>
      </c>
      <c r="E4416" s="1" t="s">
        <v>2019</v>
      </c>
      <c r="F4416" s="1" t="s">
        <v>880</v>
      </c>
      <c r="G4416" s="6">
        <v>10312</v>
      </c>
      <c r="H4416" t="str">
        <f>IFERROR(VLOOKUP(F4416,'LEAID Match'!$A$2:$B$142,2,FALSE),"")</f>
        <v/>
      </c>
    </row>
    <row r="4417" spans="1:8" x14ac:dyDescent="0.2">
      <c r="A4417">
        <f t="shared" si="68"/>
        <v>2802850</v>
      </c>
      <c r="B4417" s="1">
        <v>2015</v>
      </c>
      <c r="C4417" s="1" t="s">
        <v>2505</v>
      </c>
      <c r="D4417" s="1" t="s">
        <v>2506</v>
      </c>
      <c r="E4417" s="1" t="s">
        <v>2019</v>
      </c>
      <c r="F4417" s="1" t="s">
        <v>439</v>
      </c>
      <c r="G4417" s="6">
        <v>2378059</v>
      </c>
      <c r="H4417">
        <f>IFERROR(VLOOKUP(F4417,'LEAID Match'!$A$2:$B$142,2,FALSE),"")</f>
        <v>2802850</v>
      </c>
    </row>
    <row r="4418" spans="1:8" x14ac:dyDescent="0.2">
      <c r="A4418">
        <f t="shared" si="68"/>
        <v>2802850</v>
      </c>
      <c r="B4418">
        <v>2016</v>
      </c>
      <c r="C4418" s="1" t="s">
        <v>2505</v>
      </c>
      <c r="D4418" s="1" t="s">
        <v>2506</v>
      </c>
      <c r="E4418" s="1" t="s">
        <v>2019</v>
      </c>
      <c r="F4418" s="1" t="s">
        <v>439</v>
      </c>
      <c r="G4418" s="12">
        <v>2322219</v>
      </c>
      <c r="H4418">
        <f>IFERROR(VLOOKUP(F4418,'LEAID Match'!$A$2:$B$142,2,FALSE),"")</f>
        <v>2802850</v>
      </c>
    </row>
    <row r="4419" spans="1:8" x14ac:dyDescent="0.2">
      <c r="A4419">
        <f t="shared" ref="A4419:A4482" si="69">H4419</f>
        <v>2802850</v>
      </c>
      <c r="B4419" s="1">
        <v>2017</v>
      </c>
      <c r="C4419" s="1" t="s">
        <v>2505</v>
      </c>
      <c r="D4419" s="1" t="s">
        <v>2506</v>
      </c>
      <c r="E4419" s="1" t="s">
        <v>2019</v>
      </c>
      <c r="F4419" s="1" t="s">
        <v>439</v>
      </c>
      <c r="G4419" s="50">
        <v>2301333</v>
      </c>
      <c r="H4419">
        <f>IFERROR(VLOOKUP(F4419,'LEAID Match'!$A$2:$B$142,2,FALSE),"")</f>
        <v>2802850</v>
      </c>
    </row>
    <row r="4420" spans="1:8" x14ac:dyDescent="0.2">
      <c r="A4420">
        <f t="shared" si="69"/>
        <v>2802850</v>
      </c>
      <c r="B4420" s="1">
        <v>2018</v>
      </c>
      <c r="C4420" s="1" t="s">
        <v>2505</v>
      </c>
      <c r="D4420" s="1" t="s">
        <v>2506</v>
      </c>
      <c r="E4420" s="1" t="s">
        <v>2019</v>
      </c>
      <c r="F4420" s="1" t="s">
        <v>439</v>
      </c>
      <c r="G4420" s="6">
        <v>2202469</v>
      </c>
      <c r="H4420">
        <f>IFERROR(VLOOKUP(F4420,'LEAID Match'!$A$2:$B$142,2,FALSE),"")</f>
        <v>2802850</v>
      </c>
    </row>
    <row r="4421" spans="1:8" x14ac:dyDescent="0.2">
      <c r="A4421">
        <f t="shared" si="69"/>
        <v>2802850</v>
      </c>
      <c r="B4421" s="1">
        <v>2019</v>
      </c>
      <c r="C4421" s="1" t="s">
        <v>2505</v>
      </c>
      <c r="D4421" s="1" t="s">
        <v>2506</v>
      </c>
      <c r="E4421" s="1" t="s">
        <v>2019</v>
      </c>
      <c r="F4421" s="1" t="s">
        <v>439</v>
      </c>
      <c r="G4421" s="6">
        <v>2212721</v>
      </c>
      <c r="H4421">
        <f>IFERROR(VLOOKUP(F4421,'LEAID Match'!$A$2:$B$142,2,FALSE),"")</f>
        <v>2802850</v>
      </c>
    </row>
    <row r="4422" spans="1:8" x14ac:dyDescent="0.2">
      <c r="A4422">
        <f t="shared" si="69"/>
        <v>2802850</v>
      </c>
      <c r="B4422" s="1">
        <v>2020</v>
      </c>
      <c r="C4422" s="1" t="s">
        <v>2505</v>
      </c>
      <c r="D4422" s="1" t="s">
        <v>2506</v>
      </c>
      <c r="E4422" s="1" t="s">
        <v>2019</v>
      </c>
      <c r="F4422" s="1" t="s">
        <v>439</v>
      </c>
      <c r="G4422" s="6">
        <v>2572631</v>
      </c>
      <c r="H4422">
        <f>IFERROR(VLOOKUP(F4422,'LEAID Match'!$A$2:$B$142,2,FALSE),"")</f>
        <v>2802850</v>
      </c>
    </row>
    <row r="4423" spans="1:8" x14ac:dyDescent="0.2">
      <c r="A4423">
        <f t="shared" si="69"/>
        <v>2802850</v>
      </c>
      <c r="B4423" s="1">
        <v>2021</v>
      </c>
      <c r="C4423" s="1" t="s">
        <v>2505</v>
      </c>
      <c r="D4423" s="1" t="s">
        <v>2506</v>
      </c>
      <c r="E4423" s="1" t="s">
        <v>2019</v>
      </c>
      <c r="F4423" s="1" t="s">
        <v>439</v>
      </c>
      <c r="G4423" s="6">
        <v>2572153</v>
      </c>
      <c r="H4423">
        <f>IFERROR(VLOOKUP(F4423,'LEAID Match'!$A$2:$B$142,2,FALSE),"")</f>
        <v>2802850</v>
      </c>
    </row>
    <row r="4424" spans="1:8" x14ac:dyDescent="0.2">
      <c r="A4424">
        <f t="shared" si="69"/>
        <v>2802850</v>
      </c>
      <c r="B4424" s="1">
        <v>2022</v>
      </c>
      <c r="C4424" s="1" t="s">
        <v>2505</v>
      </c>
      <c r="D4424" s="1" t="s">
        <v>2506</v>
      </c>
      <c r="E4424" s="1" t="s">
        <v>2019</v>
      </c>
      <c r="F4424" s="1" t="s">
        <v>439</v>
      </c>
      <c r="G4424" s="6">
        <v>2737328</v>
      </c>
      <c r="H4424">
        <f>IFERROR(VLOOKUP(F4424,'LEAID Match'!$A$2:$B$142,2,FALSE),"")</f>
        <v>2802850</v>
      </c>
    </row>
    <row r="4425" spans="1:8" x14ac:dyDescent="0.2">
      <c r="A4425">
        <f t="shared" si="69"/>
        <v>2802850</v>
      </c>
      <c r="B4425" s="1">
        <v>2023</v>
      </c>
      <c r="C4425" s="1" t="s">
        <v>2505</v>
      </c>
      <c r="D4425" s="1" t="s">
        <v>2506</v>
      </c>
      <c r="E4425" s="1" t="s">
        <v>2019</v>
      </c>
      <c r="F4425" s="1" t="s">
        <v>439</v>
      </c>
      <c r="G4425" s="6">
        <v>2923954</v>
      </c>
      <c r="H4425">
        <f>IFERROR(VLOOKUP(F4425,'LEAID Match'!$A$2:$B$142,2,FALSE),"")</f>
        <v>2802850</v>
      </c>
    </row>
    <row r="4426" spans="1:8" x14ac:dyDescent="0.2">
      <c r="A4426">
        <f t="shared" si="69"/>
        <v>2802850</v>
      </c>
      <c r="B4426" s="1">
        <v>2024</v>
      </c>
      <c r="C4426" s="1" t="s">
        <v>2505</v>
      </c>
      <c r="D4426" s="1" t="s">
        <v>2506</v>
      </c>
      <c r="E4426" s="1" t="s">
        <v>2019</v>
      </c>
      <c r="F4426" s="1" t="s">
        <v>439</v>
      </c>
      <c r="G4426" s="6">
        <v>3057058</v>
      </c>
      <c r="H4426">
        <f>IFERROR(VLOOKUP(F4426,'LEAID Match'!$A$2:$B$142,2,FALSE),"")</f>
        <v>2802850</v>
      </c>
    </row>
    <row r="4427" spans="1:8" x14ac:dyDescent="0.2">
      <c r="A4427" t="str">
        <f t="shared" si="69"/>
        <v/>
      </c>
      <c r="B4427" s="1">
        <v>2015</v>
      </c>
      <c r="C4427" s="1" t="s">
        <v>2505</v>
      </c>
      <c r="D4427" s="1" t="s">
        <v>2506</v>
      </c>
      <c r="E4427" s="1" t="s">
        <v>2019</v>
      </c>
      <c r="F4427" s="1" t="s">
        <v>440</v>
      </c>
      <c r="G4427" s="6">
        <v>1027702</v>
      </c>
      <c r="H4427" t="str">
        <f>IFERROR(VLOOKUP(F4427,'LEAID Match'!$A$2:$B$142,2,FALSE),"")</f>
        <v/>
      </c>
    </row>
    <row r="4428" spans="1:8" x14ac:dyDescent="0.2">
      <c r="A4428" t="str">
        <f t="shared" si="69"/>
        <v/>
      </c>
      <c r="B4428">
        <v>2016</v>
      </c>
      <c r="C4428" s="1" t="s">
        <v>2505</v>
      </c>
      <c r="D4428" s="1" t="s">
        <v>2506</v>
      </c>
      <c r="E4428" s="1" t="s">
        <v>2019</v>
      </c>
      <c r="F4428" s="1" t="s">
        <v>440</v>
      </c>
      <c r="G4428" s="12">
        <v>1043632</v>
      </c>
      <c r="H4428" t="str">
        <f>IFERROR(VLOOKUP(F4428,'LEAID Match'!$A$2:$B$142,2,FALSE),"")</f>
        <v/>
      </c>
    </row>
    <row r="4429" spans="1:8" x14ac:dyDescent="0.2">
      <c r="A4429" t="str">
        <f t="shared" si="69"/>
        <v/>
      </c>
      <c r="B4429" s="1">
        <v>2017</v>
      </c>
      <c r="C4429" s="1" t="s">
        <v>2505</v>
      </c>
      <c r="D4429" s="1" t="s">
        <v>2506</v>
      </c>
      <c r="E4429" s="1" t="s">
        <v>2019</v>
      </c>
      <c r="F4429" s="1" t="s">
        <v>440</v>
      </c>
      <c r="G4429" s="50">
        <v>1090756</v>
      </c>
      <c r="H4429" t="str">
        <f>IFERROR(VLOOKUP(F4429,'LEAID Match'!$A$2:$B$142,2,FALSE),"")</f>
        <v/>
      </c>
    </row>
    <row r="4430" spans="1:8" x14ac:dyDescent="0.2">
      <c r="A4430" t="str">
        <f t="shared" si="69"/>
        <v/>
      </c>
      <c r="B4430" s="1">
        <v>2018</v>
      </c>
      <c r="C4430" s="1" t="s">
        <v>2505</v>
      </c>
      <c r="D4430" s="1" t="s">
        <v>2506</v>
      </c>
      <c r="E4430" s="1" t="s">
        <v>2019</v>
      </c>
      <c r="F4430" s="1" t="s">
        <v>440</v>
      </c>
      <c r="G4430" s="6">
        <v>1142322</v>
      </c>
      <c r="H4430" t="str">
        <f>IFERROR(VLOOKUP(F4430,'LEAID Match'!$A$2:$B$142,2,FALSE),"")</f>
        <v/>
      </c>
    </row>
    <row r="4431" spans="1:8" x14ac:dyDescent="0.2">
      <c r="A4431" t="str">
        <f t="shared" si="69"/>
        <v/>
      </c>
      <c r="B4431" s="1">
        <v>2019</v>
      </c>
      <c r="C4431" s="1" t="s">
        <v>2505</v>
      </c>
      <c r="D4431" s="1" t="s">
        <v>2506</v>
      </c>
      <c r="E4431" s="1" t="s">
        <v>2019</v>
      </c>
      <c r="F4431" s="1" t="s">
        <v>440</v>
      </c>
      <c r="G4431" s="6">
        <v>1211913</v>
      </c>
      <c r="H4431" t="str">
        <f>IFERROR(VLOOKUP(F4431,'LEAID Match'!$A$2:$B$142,2,FALSE),"")</f>
        <v/>
      </c>
    </row>
    <row r="4432" spans="1:8" x14ac:dyDescent="0.2">
      <c r="A4432" t="str">
        <f t="shared" si="69"/>
        <v/>
      </c>
      <c r="B4432" s="1">
        <v>2020</v>
      </c>
      <c r="C4432" s="1" t="s">
        <v>2505</v>
      </c>
      <c r="D4432" s="1" t="s">
        <v>2506</v>
      </c>
      <c r="E4432" s="1" t="s">
        <v>2019</v>
      </c>
      <c r="F4432" s="1" t="s">
        <v>440</v>
      </c>
      <c r="G4432" s="6">
        <v>1388717</v>
      </c>
      <c r="H4432" t="str">
        <f>IFERROR(VLOOKUP(F4432,'LEAID Match'!$A$2:$B$142,2,FALSE),"")</f>
        <v/>
      </c>
    </row>
    <row r="4433" spans="1:8" x14ac:dyDescent="0.2">
      <c r="A4433" t="str">
        <f t="shared" si="69"/>
        <v/>
      </c>
      <c r="B4433" s="1">
        <v>2021</v>
      </c>
      <c r="C4433" s="1" t="s">
        <v>2505</v>
      </c>
      <c r="D4433" s="1" t="s">
        <v>2506</v>
      </c>
      <c r="E4433" s="1" t="s">
        <v>2019</v>
      </c>
      <c r="F4433" s="1" t="s">
        <v>440</v>
      </c>
      <c r="G4433" s="6">
        <v>1486932</v>
      </c>
      <c r="H4433" t="str">
        <f>IFERROR(VLOOKUP(F4433,'LEAID Match'!$A$2:$B$142,2,FALSE),"")</f>
        <v/>
      </c>
    </row>
    <row r="4434" spans="1:8" x14ac:dyDescent="0.2">
      <c r="A4434" t="str">
        <f t="shared" si="69"/>
        <v/>
      </c>
      <c r="B4434" s="1">
        <v>2022</v>
      </c>
      <c r="C4434" s="1" t="s">
        <v>2505</v>
      </c>
      <c r="D4434" s="1" t="s">
        <v>2506</v>
      </c>
      <c r="E4434" s="1" t="s">
        <v>2019</v>
      </c>
      <c r="F4434" s="1" t="s">
        <v>440</v>
      </c>
      <c r="G4434" s="6">
        <v>1628677</v>
      </c>
      <c r="H4434" t="str">
        <f>IFERROR(VLOOKUP(F4434,'LEAID Match'!$A$2:$B$142,2,FALSE),"")</f>
        <v/>
      </c>
    </row>
    <row r="4435" spans="1:8" x14ac:dyDescent="0.2">
      <c r="A4435" t="str">
        <f t="shared" si="69"/>
        <v/>
      </c>
      <c r="B4435" s="1">
        <v>2023</v>
      </c>
      <c r="C4435" s="1" t="s">
        <v>2505</v>
      </c>
      <c r="D4435" s="1" t="s">
        <v>2506</v>
      </c>
      <c r="E4435" s="1" t="s">
        <v>2019</v>
      </c>
      <c r="F4435" s="1" t="s">
        <v>440</v>
      </c>
      <c r="G4435" s="6">
        <v>1782310</v>
      </c>
      <c r="H4435" t="str">
        <f>IFERROR(VLOOKUP(F4435,'LEAID Match'!$A$2:$B$142,2,FALSE),"")</f>
        <v/>
      </c>
    </row>
    <row r="4436" spans="1:8" x14ac:dyDescent="0.2">
      <c r="A4436" t="str">
        <f t="shared" si="69"/>
        <v/>
      </c>
      <c r="B4436" s="1">
        <v>2024</v>
      </c>
      <c r="C4436" s="1" t="s">
        <v>2505</v>
      </c>
      <c r="D4436" s="1" t="s">
        <v>2506</v>
      </c>
      <c r="E4436" s="1" t="s">
        <v>2019</v>
      </c>
      <c r="F4436" s="1" t="s">
        <v>440</v>
      </c>
      <c r="G4436" s="6">
        <v>1875127</v>
      </c>
      <c r="H4436" t="str">
        <f>IFERROR(VLOOKUP(F4436,'LEAID Match'!$A$2:$B$142,2,FALSE),"")</f>
        <v/>
      </c>
    </row>
    <row r="4437" spans="1:8" x14ac:dyDescent="0.2">
      <c r="A4437" t="str">
        <f t="shared" si="69"/>
        <v/>
      </c>
      <c r="B4437" s="1">
        <v>2015</v>
      </c>
      <c r="C4437" s="1" t="s">
        <v>2505</v>
      </c>
      <c r="D4437" s="1" t="s">
        <v>2506</v>
      </c>
      <c r="E4437" s="1" t="s">
        <v>2019</v>
      </c>
      <c r="F4437" s="1" t="s">
        <v>441</v>
      </c>
      <c r="G4437" s="6">
        <v>16659</v>
      </c>
      <c r="H4437" t="str">
        <f>IFERROR(VLOOKUP(F4437,'LEAID Match'!$A$2:$B$142,2,FALSE),"")</f>
        <v/>
      </c>
    </row>
    <row r="4438" spans="1:8" x14ac:dyDescent="0.2">
      <c r="A4438" t="str">
        <f t="shared" si="69"/>
        <v/>
      </c>
      <c r="B4438">
        <v>2016</v>
      </c>
      <c r="C4438" s="1" t="s">
        <v>2505</v>
      </c>
      <c r="D4438" s="1" t="s">
        <v>2506</v>
      </c>
      <c r="E4438" s="1" t="s">
        <v>2019</v>
      </c>
      <c r="F4438" s="1" t="s">
        <v>441</v>
      </c>
      <c r="G4438" s="12">
        <v>17336</v>
      </c>
      <c r="H4438" t="str">
        <f>IFERROR(VLOOKUP(F4438,'LEAID Match'!$A$2:$B$142,2,FALSE),"")</f>
        <v/>
      </c>
    </row>
    <row r="4439" spans="1:8" x14ac:dyDescent="0.2">
      <c r="A4439" t="str">
        <f t="shared" si="69"/>
        <v/>
      </c>
      <c r="B4439" s="1">
        <v>2017</v>
      </c>
      <c r="C4439" s="1" t="s">
        <v>2505</v>
      </c>
      <c r="D4439" s="1" t="s">
        <v>2506</v>
      </c>
      <c r="E4439" s="1" t="s">
        <v>2019</v>
      </c>
      <c r="F4439" s="1" t="s">
        <v>441</v>
      </c>
      <c r="G4439" s="50">
        <v>17686</v>
      </c>
      <c r="H4439" t="str">
        <f>IFERROR(VLOOKUP(F4439,'LEAID Match'!$A$2:$B$142,2,FALSE),"")</f>
        <v/>
      </c>
    </row>
    <row r="4440" spans="1:8" x14ac:dyDescent="0.2">
      <c r="A4440" t="str">
        <f t="shared" si="69"/>
        <v/>
      </c>
      <c r="B4440" s="1">
        <v>2018</v>
      </c>
      <c r="C4440" s="1" t="s">
        <v>2505</v>
      </c>
      <c r="D4440" s="1" t="s">
        <v>2506</v>
      </c>
      <c r="E4440" s="1" t="s">
        <v>2019</v>
      </c>
      <c r="F4440" s="1" t="s">
        <v>441</v>
      </c>
      <c r="G4440" s="6">
        <v>14597</v>
      </c>
      <c r="H4440" t="str">
        <f>IFERROR(VLOOKUP(F4440,'LEAID Match'!$A$2:$B$142,2,FALSE),"")</f>
        <v/>
      </c>
    </row>
    <row r="4441" spans="1:8" x14ac:dyDescent="0.2">
      <c r="A4441" t="str">
        <f t="shared" si="69"/>
        <v/>
      </c>
      <c r="B4441" s="1">
        <v>2019</v>
      </c>
      <c r="C4441" s="1" t="s">
        <v>2505</v>
      </c>
      <c r="D4441" s="1" t="s">
        <v>2506</v>
      </c>
      <c r="E4441" s="1" t="s">
        <v>2019</v>
      </c>
      <c r="F4441" s="1" t="s">
        <v>441</v>
      </c>
      <c r="G4441" s="6">
        <v>16840</v>
      </c>
      <c r="H4441" t="str">
        <f>IFERROR(VLOOKUP(F4441,'LEAID Match'!$A$2:$B$142,2,FALSE),"")</f>
        <v/>
      </c>
    </row>
    <row r="4442" spans="1:8" x14ac:dyDescent="0.2">
      <c r="A4442" t="str">
        <f t="shared" si="69"/>
        <v/>
      </c>
      <c r="B4442" s="1">
        <v>2020</v>
      </c>
      <c r="C4442" s="1" t="s">
        <v>2505</v>
      </c>
      <c r="D4442" s="1" t="s">
        <v>2506</v>
      </c>
      <c r="E4442" s="1" t="s">
        <v>2019</v>
      </c>
      <c r="F4442" s="1" t="s">
        <v>441</v>
      </c>
      <c r="G4442" s="6">
        <v>20044</v>
      </c>
      <c r="H4442" t="str">
        <f>IFERROR(VLOOKUP(F4442,'LEAID Match'!$A$2:$B$142,2,FALSE),"")</f>
        <v/>
      </c>
    </row>
    <row r="4443" spans="1:8" x14ac:dyDescent="0.2">
      <c r="A4443" t="str">
        <f t="shared" si="69"/>
        <v/>
      </c>
      <c r="B4443" s="1">
        <v>2021</v>
      </c>
      <c r="C4443" s="1" t="s">
        <v>2505</v>
      </c>
      <c r="D4443" s="1" t="s">
        <v>2506</v>
      </c>
      <c r="E4443" s="1" t="s">
        <v>2019</v>
      </c>
      <c r="F4443" s="1" t="s">
        <v>441</v>
      </c>
      <c r="G4443" s="6">
        <v>19732</v>
      </c>
      <c r="H4443" t="str">
        <f>IFERROR(VLOOKUP(F4443,'LEAID Match'!$A$2:$B$142,2,FALSE),"")</f>
        <v/>
      </c>
    </row>
    <row r="4444" spans="1:8" x14ac:dyDescent="0.2">
      <c r="A4444" t="str">
        <f t="shared" si="69"/>
        <v/>
      </c>
      <c r="B4444" s="1">
        <v>2022</v>
      </c>
      <c r="C4444" s="1" t="s">
        <v>2505</v>
      </c>
      <c r="D4444" s="1" t="s">
        <v>2506</v>
      </c>
      <c r="E4444" s="1" t="s">
        <v>2019</v>
      </c>
      <c r="F4444" s="1" t="s">
        <v>441</v>
      </c>
      <c r="G4444" s="6">
        <v>20414</v>
      </c>
      <c r="H4444" t="str">
        <f>IFERROR(VLOOKUP(F4444,'LEAID Match'!$A$2:$B$142,2,FALSE),"")</f>
        <v/>
      </c>
    </row>
    <row r="4445" spans="1:8" x14ac:dyDescent="0.2">
      <c r="A4445" t="str">
        <f t="shared" si="69"/>
        <v/>
      </c>
      <c r="B4445" s="1">
        <v>2023</v>
      </c>
      <c r="C4445" s="1" t="s">
        <v>2505</v>
      </c>
      <c r="D4445" s="1" t="s">
        <v>2506</v>
      </c>
      <c r="E4445" s="1" t="s">
        <v>2019</v>
      </c>
      <c r="F4445" s="1" t="s">
        <v>441</v>
      </c>
      <c r="G4445" s="6">
        <v>18555</v>
      </c>
      <c r="H4445" t="str">
        <f>IFERROR(VLOOKUP(F4445,'LEAID Match'!$A$2:$B$142,2,FALSE),"")</f>
        <v/>
      </c>
    </row>
    <row r="4446" spans="1:8" x14ac:dyDescent="0.2">
      <c r="A4446" t="str">
        <f t="shared" si="69"/>
        <v/>
      </c>
      <c r="B4446" s="1">
        <v>2024</v>
      </c>
      <c r="C4446" s="1" t="s">
        <v>2505</v>
      </c>
      <c r="D4446" s="1" t="s">
        <v>2506</v>
      </c>
      <c r="E4446" s="1" t="s">
        <v>2019</v>
      </c>
      <c r="F4446" s="1" t="s">
        <v>441</v>
      </c>
      <c r="G4446" s="6">
        <v>18645</v>
      </c>
      <c r="H4446" t="str">
        <f>IFERROR(VLOOKUP(F4446,'LEAID Match'!$A$2:$B$142,2,FALSE),"")</f>
        <v/>
      </c>
    </row>
    <row r="4447" spans="1:8" x14ac:dyDescent="0.2">
      <c r="A4447" t="str">
        <f t="shared" si="69"/>
        <v/>
      </c>
      <c r="B4447" s="1">
        <v>2015</v>
      </c>
      <c r="C4447" s="1" t="s">
        <v>2505</v>
      </c>
      <c r="D4447" s="1" t="s">
        <v>2506</v>
      </c>
      <c r="E4447" s="1" t="s">
        <v>2019</v>
      </c>
      <c r="F4447" s="1" t="s">
        <v>442</v>
      </c>
      <c r="G4447" s="6">
        <v>36027</v>
      </c>
      <c r="H4447" t="str">
        <f>IFERROR(VLOOKUP(F4447,'LEAID Match'!$A$2:$B$142,2,FALSE),"")</f>
        <v/>
      </c>
    </row>
    <row r="4448" spans="1:8" x14ac:dyDescent="0.2">
      <c r="A4448" t="str">
        <f t="shared" si="69"/>
        <v/>
      </c>
      <c r="B4448">
        <v>2016</v>
      </c>
      <c r="C4448" s="1" t="s">
        <v>2505</v>
      </c>
      <c r="D4448" s="1" t="s">
        <v>2506</v>
      </c>
      <c r="E4448" s="1" t="s">
        <v>2019</v>
      </c>
      <c r="F4448" s="1" t="s">
        <v>442</v>
      </c>
      <c r="G4448" s="12">
        <v>30372</v>
      </c>
      <c r="H4448" t="str">
        <f>IFERROR(VLOOKUP(F4448,'LEAID Match'!$A$2:$B$142,2,FALSE),"")</f>
        <v/>
      </c>
    </row>
    <row r="4449" spans="1:8" x14ac:dyDescent="0.2">
      <c r="A4449" t="str">
        <f t="shared" si="69"/>
        <v/>
      </c>
      <c r="B4449" s="1">
        <v>2017</v>
      </c>
      <c r="C4449" s="1" t="s">
        <v>2505</v>
      </c>
      <c r="D4449" s="1" t="s">
        <v>2506</v>
      </c>
      <c r="E4449" s="1" t="s">
        <v>2019</v>
      </c>
      <c r="F4449" s="1" t="s">
        <v>442</v>
      </c>
      <c r="G4449" s="50">
        <v>33948</v>
      </c>
      <c r="H4449" t="str">
        <f>IFERROR(VLOOKUP(F4449,'LEAID Match'!$A$2:$B$142,2,FALSE),"")</f>
        <v/>
      </c>
    </row>
    <row r="4450" spans="1:8" x14ac:dyDescent="0.2">
      <c r="A4450" t="str">
        <f t="shared" si="69"/>
        <v/>
      </c>
      <c r="B4450" s="1">
        <v>2018</v>
      </c>
      <c r="C4450" s="1" t="s">
        <v>2505</v>
      </c>
      <c r="D4450" s="1" t="s">
        <v>2506</v>
      </c>
      <c r="E4450" s="1" t="s">
        <v>2019</v>
      </c>
      <c r="F4450" s="1" t="s">
        <v>442</v>
      </c>
      <c r="G4450" s="6">
        <v>41446</v>
      </c>
      <c r="H4450" t="str">
        <f>IFERROR(VLOOKUP(F4450,'LEAID Match'!$A$2:$B$142,2,FALSE),"")</f>
        <v/>
      </c>
    </row>
    <row r="4451" spans="1:8" x14ac:dyDescent="0.2">
      <c r="A4451" t="str">
        <f t="shared" si="69"/>
        <v/>
      </c>
      <c r="B4451" s="1">
        <v>2019</v>
      </c>
      <c r="C4451" s="1" t="s">
        <v>2505</v>
      </c>
      <c r="D4451" s="1" t="s">
        <v>2506</v>
      </c>
      <c r="E4451" s="1" t="s">
        <v>2019</v>
      </c>
      <c r="F4451" s="1" t="s">
        <v>442</v>
      </c>
      <c r="G4451" s="6">
        <v>40816</v>
      </c>
      <c r="H4451" t="str">
        <f>IFERROR(VLOOKUP(F4451,'LEAID Match'!$A$2:$B$142,2,FALSE),"")</f>
        <v/>
      </c>
    </row>
    <row r="4452" spans="1:8" x14ac:dyDescent="0.2">
      <c r="A4452" t="str">
        <f t="shared" si="69"/>
        <v/>
      </c>
      <c r="B4452" s="1">
        <v>2020</v>
      </c>
      <c r="C4452" s="1" t="s">
        <v>2505</v>
      </c>
      <c r="D4452" s="1" t="s">
        <v>2506</v>
      </c>
      <c r="E4452" s="1" t="s">
        <v>2019</v>
      </c>
      <c r="F4452" s="1" t="s">
        <v>442</v>
      </c>
      <c r="G4452" s="6">
        <v>44604</v>
      </c>
      <c r="H4452" t="str">
        <f>IFERROR(VLOOKUP(F4452,'LEAID Match'!$A$2:$B$142,2,FALSE),"")</f>
        <v/>
      </c>
    </row>
    <row r="4453" spans="1:8" x14ac:dyDescent="0.2">
      <c r="A4453" t="str">
        <f t="shared" si="69"/>
        <v/>
      </c>
      <c r="B4453" s="1">
        <v>2021</v>
      </c>
      <c r="C4453" s="1" t="s">
        <v>2505</v>
      </c>
      <c r="D4453" s="1" t="s">
        <v>2506</v>
      </c>
      <c r="E4453" s="1" t="s">
        <v>2019</v>
      </c>
      <c r="F4453" s="1" t="s">
        <v>442</v>
      </c>
      <c r="G4453" s="6">
        <v>41984</v>
      </c>
      <c r="H4453" t="str">
        <f>IFERROR(VLOOKUP(F4453,'LEAID Match'!$A$2:$B$142,2,FALSE),"")</f>
        <v/>
      </c>
    </row>
    <row r="4454" spans="1:8" x14ac:dyDescent="0.2">
      <c r="A4454" t="str">
        <f t="shared" si="69"/>
        <v/>
      </c>
      <c r="B4454" s="1">
        <v>2022</v>
      </c>
      <c r="C4454" s="1" t="s">
        <v>2505</v>
      </c>
      <c r="D4454" s="1" t="s">
        <v>2506</v>
      </c>
      <c r="E4454" s="1" t="s">
        <v>2019</v>
      </c>
      <c r="F4454" s="1" t="s">
        <v>442</v>
      </c>
      <c r="G4454" s="6">
        <v>48322</v>
      </c>
      <c r="H4454" t="str">
        <f>IFERROR(VLOOKUP(F4454,'LEAID Match'!$A$2:$B$142,2,FALSE),"")</f>
        <v/>
      </c>
    </row>
    <row r="4455" spans="1:8" x14ac:dyDescent="0.2">
      <c r="A4455" t="str">
        <f t="shared" si="69"/>
        <v/>
      </c>
      <c r="B4455" s="1">
        <v>2023</v>
      </c>
      <c r="C4455" s="1" t="s">
        <v>2505</v>
      </c>
      <c r="D4455" s="1" t="s">
        <v>2506</v>
      </c>
      <c r="E4455" s="1" t="s">
        <v>2019</v>
      </c>
      <c r="F4455" s="1" t="s">
        <v>442</v>
      </c>
      <c r="G4455" s="6">
        <v>45918</v>
      </c>
      <c r="H4455" t="str">
        <f>IFERROR(VLOOKUP(F4455,'LEAID Match'!$A$2:$B$142,2,FALSE),"")</f>
        <v/>
      </c>
    </row>
    <row r="4456" spans="1:8" x14ac:dyDescent="0.2">
      <c r="A4456" t="str">
        <f t="shared" si="69"/>
        <v/>
      </c>
      <c r="B4456" s="1">
        <v>2024</v>
      </c>
      <c r="C4456" s="1" t="s">
        <v>2505</v>
      </c>
      <c r="D4456" s="1" t="s">
        <v>2506</v>
      </c>
      <c r="E4456" s="1" t="s">
        <v>2019</v>
      </c>
      <c r="F4456" s="1" t="s">
        <v>442</v>
      </c>
      <c r="G4456" s="6">
        <v>41380</v>
      </c>
      <c r="H4456" t="str">
        <f>IFERROR(VLOOKUP(F4456,'LEAID Match'!$A$2:$B$142,2,FALSE),"")</f>
        <v/>
      </c>
    </row>
    <row r="4457" spans="1:8" x14ac:dyDescent="0.2">
      <c r="A4457" t="str">
        <f t="shared" si="69"/>
        <v/>
      </c>
      <c r="B4457" s="1">
        <v>2015</v>
      </c>
      <c r="C4457" s="1" t="s">
        <v>2505</v>
      </c>
      <c r="D4457" s="1" t="s">
        <v>2506</v>
      </c>
      <c r="E4457" s="1" t="s">
        <v>2019</v>
      </c>
      <c r="F4457" s="1" t="s">
        <v>443</v>
      </c>
      <c r="G4457" s="6">
        <v>1026079</v>
      </c>
      <c r="H4457" t="str">
        <f>IFERROR(VLOOKUP(F4457,'LEAID Match'!$A$2:$B$142,2,FALSE),"")</f>
        <v/>
      </c>
    </row>
    <row r="4458" spans="1:8" x14ac:dyDescent="0.2">
      <c r="A4458" t="str">
        <f t="shared" si="69"/>
        <v/>
      </c>
      <c r="B4458">
        <v>2016</v>
      </c>
      <c r="C4458" s="1" t="s">
        <v>2505</v>
      </c>
      <c r="D4458" s="1" t="s">
        <v>2506</v>
      </c>
      <c r="E4458" s="1" t="s">
        <v>2019</v>
      </c>
      <c r="F4458" s="1" t="s">
        <v>443</v>
      </c>
      <c r="G4458" s="12">
        <v>973474</v>
      </c>
      <c r="H4458" t="str">
        <f>IFERROR(VLOOKUP(F4458,'LEAID Match'!$A$2:$B$142,2,FALSE),"")</f>
        <v/>
      </c>
    </row>
    <row r="4459" spans="1:8" x14ac:dyDescent="0.2">
      <c r="A4459" t="str">
        <f t="shared" si="69"/>
        <v/>
      </c>
      <c r="B4459" s="1">
        <v>2017</v>
      </c>
      <c r="C4459" s="1" t="s">
        <v>2505</v>
      </c>
      <c r="D4459" s="1" t="s">
        <v>2506</v>
      </c>
      <c r="E4459" s="1" t="s">
        <v>2019</v>
      </c>
      <c r="F4459" s="1" t="s">
        <v>443</v>
      </c>
      <c r="G4459" s="50">
        <v>1016869</v>
      </c>
      <c r="H4459" t="str">
        <f>IFERROR(VLOOKUP(F4459,'LEAID Match'!$A$2:$B$142,2,FALSE),"")</f>
        <v/>
      </c>
    </row>
    <row r="4460" spans="1:8" x14ac:dyDescent="0.2">
      <c r="A4460" t="str">
        <f t="shared" si="69"/>
        <v/>
      </c>
      <c r="B4460" s="1">
        <v>2018</v>
      </c>
      <c r="C4460" s="1" t="s">
        <v>2505</v>
      </c>
      <c r="D4460" s="1" t="s">
        <v>2506</v>
      </c>
      <c r="E4460" s="1" t="s">
        <v>2019</v>
      </c>
      <c r="F4460" s="1" t="s">
        <v>443</v>
      </c>
      <c r="G4460" s="6">
        <v>1008649</v>
      </c>
      <c r="H4460" t="str">
        <f>IFERROR(VLOOKUP(F4460,'LEAID Match'!$A$2:$B$142,2,FALSE),"")</f>
        <v/>
      </c>
    </row>
    <row r="4461" spans="1:8" x14ac:dyDescent="0.2">
      <c r="A4461" t="str">
        <f t="shared" si="69"/>
        <v/>
      </c>
      <c r="B4461" s="1">
        <v>2019</v>
      </c>
      <c r="C4461" s="1" t="s">
        <v>2505</v>
      </c>
      <c r="D4461" s="1" t="s">
        <v>2506</v>
      </c>
      <c r="E4461" s="1" t="s">
        <v>2019</v>
      </c>
      <c r="F4461" s="1" t="s">
        <v>443</v>
      </c>
      <c r="G4461" s="6">
        <v>988031</v>
      </c>
      <c r="H4461" t="str">
        <f>IFERROR(VLOOKUP(F4461,'LEAID Match'!$A$2:$B$142,2,FALSE),"")</f>
        <v/>
      </c>
    </row>
    <row r="4462" spans="1:8" x14ac:dyDescent="0.2">
      <c r="A4462" t="str">
        <f t="shared" si="69"/>
        <v/>
      </c>
      <c r="B4462" s="1">
        <v>2020</v>
      </c>
      <c r="C4462" s="1" t="s">
        <v>2505</v>
      </c>
      <c r="D4462" s="1" t="s">
        <v>2506</v>
      </c>
      <c r="E4462" s="1" t="s">
        <v>2019</v>
      </c>
      <c r="F4462" s="1" t="s">
        <v>443</v>
      </c>
      <c r="G4462" s="6">
        <v>1059659</v>
      </c>
      <c r="H4462" t="str">
        <f>IFERROR(VLOOKUP(F4462,'LEAID Match'!$A$2:$B$142,2,FALSE),"")</f>
        <v/>
      </c>
    </row>
    <row r="4463" spans="1:8" x14ac:dyDescent="0.2">
      <c r="A4463" t="str">
        <f t="shared" si="69"/>
        <v/>
      </c>
      <c r="B4463" s="1">
        <v>2021</v>
      </c>
      <c r="C4463" s="1" t="s">
        <v>2505</v>
      </c>
      <c r="D4463" s="1" t="s">
        <v>2506</v>
      </c>
      <c r="E4463" s="1" t="s">
        <v>2019</v>
      </c>
      <c r="F4463" s="1" t="s">
        <v>443</v>
      </c>
      <c r="G4463" s="6">
        <v>1087086</v>
      </c>
      <c r="H4463" t="str">
        <f>IFERROR(VLOOKUP(F4463,'LEAID Match'!$A$2:$B$142,2,FALSE),"")</f>
        <v/>
      </c>
    </row>
    <row r="4464" spans="1:8" x14ac:dyDescent="0.2">
      <c r="A4464" t="str">
        <f t="shared" si="69"/>
        <v/>
      </c>
      <c r="B4464" s="1">
        <v>2022</v>
      </c>
      <c r="C4464" s="1" t="s">
        <v>2505</v>
      </c>
      <c r="D4464" s="1" t="s">
        <v>2506</v>
      </c>
      <c r="E4464" s="1" t="s">
        <v>2019</v>
      </c>
      <c r="F4464" s="1" t="s">
        <v>443</v>
      </c>
      <c r="G4464" s="6">
        <v>1182594</v>
      </c>
      <c r="H4464" t="str">
        <f>IFERROR(VLOOKUP(F4464,'LEAID Match'!$A$2:$B$142,2,FALSE),"")</f>
        <v/>
      </c>
    </row>
    <row r="4465" spans="1:8" x14ac:dyDescent="0.2">
      <c r="A4465" t="str">
        <f t="shared" si="69"/>
        <v/>
      </c>
      <c r="B4465" s="1">
        <v>2023</v>
      </c>
      <c r="C4465" s="1" t="s">
        <v>2505</v>
      </c>
      <c r="D4465" s="1" t="s">
        <v>2506</v>
      </c>
      <c r="E4465" s="1" t="s">
        <v>2019</v>
      </c>
      <c r="F4465" s="1" t="s">
        <v>443</v>
      </c>
      <c r="G4465" s="6">
        <v>1197086</v>
      </c>
      <c r="H4465" t="str">
        <f>IFERROR(VLOOKUP(F4465,'LEAID Match'!$A$2:$B$142,2,FALSE),"")</f>
        <v/>
      </c>
    </row>
    <row r="4466" spans="1:8" x14ac:dyDescent="0.2">
      <c r="A4466" t="str">
        <f t="shared" si="69"/>
        <v/>
      </c>
      <c r="B4466" s="1">
        <v>2024</v>
      </c>
      <c r="C4466" s="1" t="s">
        <v>2505</v>
      </c>
      <c r="D4466" s="1" t="s">
        <v>2506</v>
      </c>
      <c r="E4466" s="1" t="s">
        <v>2019</v>
      </c>
      <c r="F4466" s="1" t="s">
        <v>443</v>
      </c>
      <c r="G4466" s="6">
        <v>1182528</v>
      </c>
      <c r="H4466" t="str">
        <f>IFERROR(VLOOKUP(F4466,'LEAID Match'!$A$2:$B$142,2,FALSE),"")</f>
        <v/>
      </c>
    </row>
    <row r="4467" spans="1:8" x14ac:dyDescent="0.2">
      <c r="A4467" t="str">
        <f t="shared" si="69"/>
        <v/>
      </c>
      <c r="B4467" s="1">
        <v>2015</v>
      </c>
      <c r="C4467" s="1" t="s">
        <v>2505</v>
      </c>
      <c r="D4467" s="1" t="s">
        <v>2506</v>
      </c>
      <c r="E4467" s="1" t="s">
        <v>2019</v>
      </c>
      <c r="F4467" s="1" t="s">
        <v>444</v>
      </c>
      <c r="G4467" s="6">
        <v>147109</v>
      </c>
      <c r="H4467" t="str">
        <f>IFERROR(VLOOKUP(F4467,'LEAID Match'!$A$2:$B$142,2,FALSE),"")</f>
        <v/>
      </c>
    </row>
    <row r="4468" spans="1:8" x14ac:dyDescent="0.2">
      <c r="A4468" t="str">
        <f t="shared" si="69"/>
        <v/>
      </c>
      <c r="B4468">
        <v>2016</v>
      </c>
      <c r="C4468" s="1" t="s">
        <v>2505</v>
      </c>
      <c r="D4468" s="1" t="s">
        <v>2506</v>
      </c>
      <c r="E4468" s="1" t="s">
        <v>2019</v>
      </c>
      <c r="F4468" s="1" t="s">
        <v>444</v>
      </c>
      <c r="G4468" s="12">
        <v>145726</v>
      </c>
      <c r="H4468" t="str">
        <f>IFERROR(VLOOKUP(F4468,'LEAID Match'!$A$2:$B$142,2,FALSE),"")</f>
        <v/>
      </c>
    </row>
    <row r="4469" spans="1:8" x14ac:dyDescent="0.2">
      <c r="A4469" t="str">
        <f t="shared" si="69"/>
        <v/>
      </c>
      <c r="B4469" s="1">
        <v>2017</v>
      </c>
      <c r="C4469" s="1" t="s">
        <v>2505</v>
      </c>
      <c r="D4469" s="1" t="s">
        <v>2506</v>
      </c>
      <c r="E4469" s="1" t="s">
        <v>2019</v>
      </c>
      <c r="F4469" s="1" t="s">
        <v>444</v>
      </c>
      <c r="G4469" s="50">
        <v>134596</v>
      </c>
      <c r="H4469" t="str">
        <f>IFERROR(VLOOKUP(F4469,'LEAID Match'!$A$2:$B$142,2,FALSE),"")</f>
        <v/>
      </c>
    </row>
    <row r="4470" spans="1:8" x14ac:dyDescent="0.2">
      <c r="A4470" t="str">
        <f t="shared" si="69"/>
        <v/>
      </c>
      <c r="B4470" s="1">
        <v>2018</v>
      </c>
      <c r="C4470" s="1" t="s">
        <v>2505</v>
      </c>
      <c r="D4470" s="1" t="s">
        <v>2506</v>
      </c>
      <c r="E4470" s="1" t="s">
        <v>2019</v>
      </c>
      <c r="F4470" s="1" t="s">
        <v>444</v>
      </c>
      <c r="G4470" s="6">
        <v>133781</v>
      </c>
      <c r="H4470" t="str">
        <f>IFERROR(VLOOKUP(F4470,'LEAID Match'!$A$2:$B$142,2,FALSE),"")</f>
        <v/>
      </c>
    </row>
    <row r="4471" spans="1:8" x14ac:dyDescent="0.2">
      <c r="A4471" t="str">
        <f t="shared" si="69"/>
        <v/>
      </c>
      <c r="B4471" s="1">
        <v>2019</v>
      </c>
      <c r="C4471" s="1" t="s">
        <v>2505</v>
      </c>
      <c r="D4471" s="1" t="s">
        <v>2506</v>
      </c>
      <c r="E4471" s="1" t="s">
        <v>2019</v>
      </c>
      <c r="F4471" s="1" t="s">
        <v>444</v>
      </c>
      <c r="G4471" s="6">
        <v>130030</v>
      </c>
      <c r="H4471" t="str">
        <f>IFERROR(VLOOKUP(F4471,'LEAID Match'!$A$2:$B$142,2,FALSE),"")</f>
        <v/>
      </c>
    </row>
    <row r="4472" spans="1:8" x14ac:dyDescent="0.2">
      <c r="A4472" t="str">
        <f t="shared" si="69"/>
        <v/>
      </c>
      <c r="B4472" s="1">
        <v>2020</v>
      </c>
      <c r="C4472" s="1" t="s">
        <v>2505</v>
      </c>
      <c r="D4472" s="1" t="s">
        <v>2506</v>
      </c>
      <c r="E4472" s="1" t="s">
        <v>2019</v>
      </c>
      <c r="F4472" s="1" t="s">
        <v>444</v>
      </c>
      <c r="G4472" s="6">
        <v>139373</v>
      </c>
      <c r="H4472" t="str">
        <f>IFERROR(VLOOKUP(F4472,'LEAID Match'!$A$2:$B$142,2,FALSE),"")</f>
        <v/>
      </c>
    </row>
    <row r="4473" spans="1:8" x14ac:dyDescent="0.2">
      <c r="A4473" t="str">
        <f t="shared" si="69"/>
        <v/>
      </c>
      <c r="B4473" s="1">
        <v>2021</v>
      </c>
      <c r="C4473" s="1" t="s">
        <v>2505</v>
      </c>
      <c r="D4473" s="1" t="s">
        <v>2506</v>
      </c>
      <c r="E4473" s="1" t="s">
        <v>2019</v>
      </c>
      <c r="F4473" s="1" t="s">
        <v>444</v>
      </c>
      <c r="G4473" s="6">
        <v>134768</v>
      </c>
      <c r="H4473" t="str">
        <f>IFERROR(VLOOKUP(F4473,'LEAID Match'!$A$2:$B$142,2,FALSE),"")</f>
        <v/>
      </c>
    </row>
    <row r="4474" spans="1:8" x14ac:dyDescent="0.2">
      <c r="A4474" t="str">
        <f t="shared" si="69"/>
        <v/>
      </c>
      <c r="B4474" s="1">
        <v>2022</v>
      </c>
      <c r="C4474" s="1" t="s">
        <v>2505</v>
      </c>
      <c r="D4474" s="1" t="s">
        <v>2506</v>
      </c>
      <c r="E4474" s="1" t="s">
        <v>2019</v>
      </c>
      <c r="F4474" s="1" t="s">
        <v>444</v>
      </c>
      <c r="G4474" s="6">
        <v>131602</v>
      </c>
      <c r="H4474" t="str">
        <f>IFERROR(VLOOKUP(F4474,'LEAID Match'!$A$2:$B$142,2,FALSE),"")</f>
        <v/>
      </c>
    </row>
    <row r="4475" spans="1:8" x14ac:dyDescent="0.2">
      <c r="A4475" t="str">
        <f t="shared" si="69"/>
        <v/>
      </c>
      <c r="B4475" s="1">
        <v>2023</v>
      </c>
      <c r="C4475" s="1" t="s">
        <v>2505</v>
      </c>
      <c r="D4475" s="1" t="s">
        <v>2506</v>
      </c>
      <c r="E4475" s="1" t="s">
        <v>2019</v>
      </c>
      <c r="F4475" s="1" t="s">
        <v>444</v>
      </c>
      <c r="G4475" s="6">
        <v>149037</v>
      </c>
      <c r="H4475" t="str">
        <f>IFERROR(VLOOKUP(F4475,'LEAID Match'!$A$2:$B$142,2,FALSE),"")</f>
        <v/>
      </c>
    </row>
    <row r="4476" spans="1:8" x14ac:dyDescent="0.2">
      <c r="A4476" t="str">
        <f t="shared" si="69"/>
        <v/>
      </c>
      <c r="B4476" s="1">
        <v>2024</v>
      </c>
      <c r="C4476" s="1" t="s">
        <v>2505</v>
      </c>
      <c r="D4476" s="1" t="s">
        <v>2506</v>
      </c>
      <c r="E4476" s="1" t="s">
        <v>2019</v>
      </c>
      <c r="F4476" s="1" t="s">
        <v>444</v>
      </c>
      <c r="G4476" s="6">
        <v>154623</v>
      </c>
      <c r="H4476" t="str">
        <f>IFERROR(VLOOKUP(F4476,'LEAID Match'!$A$2:$B$142,2,FALSE),"")</f>
        <v/>
      </c>
    </row>
    <row r="4477" spans="1:8" x14ac:dyDescent="0.2">
      <c r="A4477">
        <f t="shared" si="69"/>
        <v>2802880</v>
      </c>
      <c r="B4477" s="1">
        <v>2015</v>
      </c>
      <c r="C4477" s="1" t="s">
        <v>2505</v>
      </c>
      <c r="D4477" s="1" t="s">
        <v>2506</v>
      </c>
      <c r="E4477" s="1" t="s">
        <v>2019</v>
      </c>
      <c r="F4477" s="1" t="s">
        <v>445</v>
      </c>
      <c r="G4477" s="6">
        <v>2184951</v>
      </c>
      <c r="H4477">
        <f>IFERROR(VLOOKUP(F4477,'LEAID Match'!$A$2:$B$142,2,FALSE),"")</f>
        <v>2802880</v>
      </c>
    </row>
    <row r="4478" spans="1:8" x14ac:dyDescent="0.2">
      <c r="A4478">
        <f t="shared" si="69"/>
        <v>2802880</v>
      </c>
      <c r="B4478">
        <v>2016</v>
      </c>
      <c r="C4478" s="1" t="s">
        <v>2505</v>
      </c>
      <c r="D4478" s="1" t="s">
        <v>2506</v>
      </c>
      <c r="E4478" s="1" t="s">
        <v>2019</v>
      </c>
      <c r="F4478" s="1" t="s">
        <v>445</v>
      </c>
      <c r="G4478" s="12">
        <v>2300074</v>
      </c>
      <c r="H4478">
        <f>IFERROR(VLOOKUP(F4478,'LEAID Match'!$A$2:$B$142,2,FALSE),"")</f>
        <v>2802880</v>
      </c>
    </row>
    <row r="4479" spans="1:8" x14ac:dyDescent="0.2">
      <c r="A4479">
        <f t="shared" si="69"/>
        <v>2802880</v>
      </c>
      <c r="B4479" s="1">
        <v>2017</v>
      </c>
      <c r="C4479" s="1" t="s">
        <v>2505</v>
      </c>
      <c r="D4479" s="1" t="s">
        <v>2506</v>
      </c>
      <c r="E4479" s="1" t="s">
        <v>2019</v>
      </c>
      <c r="F4479" s="1" t="s">
        <v>445</v>
      </c>
      <c r="G4479" s="50">
        <v>2348468</v>
      </c>
      <c r="H4479">
        <f>IFERROR(VLOOKUP(F4479,'LEAID Match'!$A$2:$B$142,2,FALSE),"")</f>
        <v>2802880</v>
      </c>
    </row>
    <row r="4480" spans="1:8" x14ac:dyDescent="0.2">
      <c r="A4480">
        <f t="shared" si="69"/>
        <v>2802880</v>
      </c>
      <c r="B4480" s="1">
        <v>2018</v>
      </c>
      <c r="C4480" s="1" t="s">
        <v>2505</v>
      </c>
      <c r="D4480" s="1" t="s">
        <v>2506</v>
      </c>
      <c r="E4480" s="1" t="s">
        <v>2019</v>
      </c>
      <c r="F4480" s="1" t="s">
        <v>445</v>
      </c>
      <c r="G4480" s="6">
        <v>2076627</v>
      </c>
      <c r="H4480">
        <f>IFERROR(VLOOKUP(F4480,'LEAID Match'!$A$2:$B$142,2,FALSE),"")</f>
        <v>2802880</v>
      </c>
    </row>
    <row r="4481" spans="1:8" x14ac:dyDescent="0.2">
      <c r="A4481">
        <f t="shared" si="69"/>
        <v>2802880</v>
      </c>
      <c r="B4481" s="1">
        <v>2019</v>
      </c>
      <c r="C4481" s="1" t="s">
        <v>2505</v>
      </c>
      <c r="D4481" s="1" t="s">
        <v>2506</v>
      </c>
      <c r="E4481" s="1" t="s">
        <v>2019</v>
      </c>
      <c r="F4481" s="1" t="s">
        <v>445</v>
      </c>
      <c r="G4481" s="6">
        <v>2412291</v>
      </c>
      <c r="H4481">
        <f>IFERROR(VLOOKUP(F4481,'LEAID Match'!$A$2:$B$142,2,FALSE),"")</f>
        <v>2802880</v>
      </c>
    </row>
    <row r="4482" spans="1:8" x14ac:dyDescent="0.2">
      <c r="A4482">
        <f t="shared" si="69"/>
        <v>2802880</v>
      </c>
      <c r="B4482" s="1">
        <v>2020</v>
      </c>
      <c r="C4482" s="1" t="s">
        <v>2505</v>
      </c>
      <c r="D4482" s="1" t="s">
        <v>2506</v>
      </c>
      <c r="E4482" s="1" t="s">
        <v>2019</v>
      </c>
      <c r="F4482" s="1" t="s">
        <v>445</v>
      </c>
      <c r="G4482" s="6">
        <v>2707013</v>
      </c>
      <c r="H4482">
        <f>IFERROR(VLOOKUP(F4482,'LEAID Match'!$A$2:$B$142,2,FALSE),"")</f>
        <v>2802880</v>
      </c>
    </row>
    <row r="4483" spans="1:8" x14ac:dyDescent="0.2">
      <c r="A4483">
        <f t="shared" ref="A4483:A4546" si="70">H4483</f>
        <v>2802880</v>
      </c>
      <c r="B4483" s="1">
        <v>2021</v>
      </c>
      <c r="C4483" s="1" t="s">
        <v>2505</v>
      </c>
      <c r="D4483" s="1" t="s">
        <v>2506</v>
      </c>
      <c r="E4483" s="1" t="s">
        <v>2019</v>
      </c>
      <c r="F4483" s="1" t="s">
        <v>445</v>
      </c>
      <c r="G4483" s="6">
        <v>2763532</v>
      </c>
      <c r="H4483">
        <f>IFERROR(VLOOKUP(F4483,'LEAID Match'!$A$2:$B$142,2,FALSE),"")</f>
        <v>2802880</v>
      </c>
    </row>
    <row r="4484" spans="1:8" x14ac:dyDescent="0.2">
      <c r="A4484">
        <f t="shared" si="70"/>
        <v>2802880</v>
      </c>
      <c r="B4484" s="1">
        <v>2022</v>
      </c>
      <c r="C4484" s="1" t="s">
        <v>2505</v>
      </c>
      <c r="D4484" s="1" t="s">
        <v>2506</v>
      </c>
      <c r="E4484" s="1" t="s">
        <v>2019</v>
      </c>
      <c r="F4484" s="1" t="s">
        <v>445</v>
      </c>
      <c r="G4484" s="6">
        <v>2823743</v>
      </c>
      <c r="H4484">
        <f>IFERROR(VLOOKUP(F4484,'LEAID Match'!$A$2:$B$142,2,FALSE),"")</f>
        <v>2802880</v>
      </c>
    </row>
    <row r="4485" spans="1:8" x14ac:dyDescent="0.2">
      <c r="A4485">
        <f t="shared" si="70"/>
        <v>2802880</v>
      </c>
      <c r="B4485" s="1">
        <v>2023</v>
      </c>
      <c r="C4485" s="1" t="s">
        <v>2505</v>
      </c>
      <c r="D4485" s="1" t="s">
        <v>2506</v>
      </c>
      <c r="E4485" s="1" t="s">
        <v>2019</v>
      </c>
      <c r="F4485" s="1" t="s">
        <v>445</v>
      </c>
      <c r="G4485" s="6">
        <v>3164420</v>
      </c>
      <c r="H4485">
        <f>IFERROR(VLOOKUP(F4485,'LEAID Match'!$A$2:$B$142,2,FALSE),"")</f>
        <v>2802880</v>
      </c>
    </row>
    <row r="4486" spans="1:8" x14ac:dyDescent="0.2">
      <c r="A4486">
        <f t="shared" si="70"/>
        <v>2802880</v>
      </c>
      <c r="B4486" s="1">
        <v>2024</v>
      </c>
      <c r="C4486" s="1" t="s">
        <v>2505</v>
      </c>
      <c r="D4486" s="1" t="s">
        <v>2506</v>
      </c>
      <c r="E4486" s="1" t="s">
        <v>2019</v>
      </c>
      <c r="F4486" s="1" t="s">
        <v>445</v>
      </c>
      <c r="G4486" s="6">
        <v>3415499</v>
      </c>
      <c r="H4486">
        <f>IFERROR(VLOOKUP(F4486,'LEAID Match'!$A$2:$B$142,2,FALSE),"")</f>
        <v>2802880</v>
      </c>
    </row>
    <row r="4487" spans="1:8" x14ac:dyDescent="0.2">
      <c r="A4487" t="str">
        <f t="shared" si="70"/>
        <v/>
      </c>
      <c r="B4487" s="1">
        <v>2015</v>
      </c>
      <c r="C4487" s="1" t="s">
        <v>2505</v>
      </c>
      <c r="D4487" s="1" t="s">
        <v>2506</v>
      </c>
      <c r="E4487" s="1" t="s">
        <v>2019</v>
      </c>
      <c r="F4487" s="1" t="s">
        <v>446</v>
      </c>
      <c r="G4487" s="6">
        <v>7201</v>
      </c>
      <c r="H4487" t="str">
        <f>IFERROR(VLOOKUP(F4487,'LEAID Match'!$A$2:$B$142,2,FALSE),"")</f>
        <v/>
      </c>
    </row>
    <row r="4488" spans="1:8" x14ac:dyDescent="0.2">
      <c r="A4488" t="str">
        <f t="shared" si="70"/>
        <v/>
      </c>
      <c r="B4488">
        <v>2016</v>
      </c>
      <c r="C4488" s="1" t="s">
        <v>2505</v>
      </c>
      <c r="D4488" s="1" t="s">
        <v>2506</v>
      </c>
      <c r="E4488" s="1" t="s">
        <v>2019</v>
      </c>
      <c r="F4488" s="1" t="s">
        <v>446</v>
      </c>
      <c r="G4488" s="12">
        <v>7609</v>
      </c>
      <c r="H4488" t="str">
        <f>IFERROR(VLOOKUP(F4488,'LEAID Match'!$A$2:$B$142,2,FALSE),"")</f>
        <v/>
      </c>
    </row>
    <row r="4489" spans="1:8" x14ac:dyDescent="0.2">
      <c r="A4489" t="str">
        <f t="shared" si="70"/>
        <v/>
      </c>
      <c r="B4489" s="1">
        <v>2017</v>
      </c>
      <c r="C4489" s="1" t="s">
        <v>2505</v>
      </c>
      <c r="D4489" s="1" t="s">
        <v>2506</v>
      </c>
      <c r="E4489" s="1" t="s">
        <v>2019</v>
      </c>
      <c r="F4489" s="1" t="s">
        <v>446</v>
      </c>
      <c r="G4489" s="50">
        <v>5820</v>
      </c>
      <c r="H4489" t="str">
        <f>IFERROR(VLOOKUP(F4489,'LEAID Match'!$A$2:$B$142,2,FALSE),"")</f>
        <v/>
      </c>
    </row>
    <row r="4490" spans="1:8" x14ac:dyDescent="0.2">
      <c r="A4490" t="str">
        <f t="shared" si="70"/>
        <v/>
      </c>
      <c r="B4490" s="1">
        <v>2018</v>
      </c>
      <c r="C4490" s="1" t="s">
        <v>2505</v>
      </c>
      <c r="D4490" s="1" t="s">
        <v>2506</v>
      </c>
      <c r="E4490" s="1" t="s">
        <v>2019</v>
      </c>
      <c r="F4490" s="1" t="s">
        <v>446</v>
      </c>
      <c r="G4490" s="6">
        <v>10536</v>
      </c>
      <c r="H4490" t="str">
        <f>IFERROR(VLOOKUP(F4490,'LEAID Match'!$A$2:$B$142,2,FALSE),"")</f>
        <v/>
      </c>
    </row>
    <row r="4491" spans="1:8" x14ac:dyDescent="0.2">
      <c r="A4491" t="str">
        <f t="shared" si="70"/>
        <v/>
      </c>
      <c r="B4491" s="1">
        <v>2019</v>
      </c>
      <c r="C4491" s="1" t="s">
        <v>2505</v>
      </c>
      <c r="D4491" s="1" t="s">
        <v>2506</v>
      </c>
      <c r="E4491" s="1" t="s">
        <v>2019</v>
      </c>
      <c r="F4491" s="1" t="s">
        <v>446</v>
      </c>
      <c r="G4491" s="6">
        <v>11903</v>
      </c>
      <c r="H4491" t="str">
        <f>IFERROR(VLOOKUP(F4491,'LEAID Match'!$A$2:$B$142,2,FALSE),"")</f>
        <v/>
      </c>
    </row>
    <row r="4492" spans="1:8" x14ac:dyDescent="0.2">
      <c r="A4492" t="str">
        <f t="shared" si="70"/>
        <v/>
      </c>
      <c r="B4492" s="1">
        <v>2020</v>
      </c>
      <c r="C4492" s="1" t="s">
        <v>2505</v>
      </c>
      <c r="D4492" s="1" t="s">
        <v>2506</v>
      </c>
      <c r="E4492" s="1" t="s">
        <v>2019</v>
      </c>
      <c r="F4492" s="1" t="s">
        <v>446</v>
      </c>
      <c r="G4492" s="6">
        <v>14179</v>
      </c>
      <c r="H4492" t="str">
        <f>IFERROR(VLOOKUP(F4492,'LEAID Match'!$A$2:$B$142,2,FALSE),"")</f>
        <v/>
      </c>
    </row>
    <row r="4493" spans="1:8" x14ac:dyDescent="0.2">
      <c r="A4493" t="str">
        <f t="shared" si="70"/>
        <v/>
      </c>
      <c r="B4493" s="1">
        <v>2021</v>
      </c>
      <c r="C4493" s="1" t="s">
        <v>2505</v>
      </c>
      <c r="D4493" s="1" t="s">
        <v>2506</v>
      </c>
      <c r="E4493" s="1" t="s">
        <v>2019</v>
      </c>
      <c r="F4493" s="1" t="s">
        <v>446</v>
      </c>
      <c r="G4493" s="6">
        <v>12842</v>
      </c>
      <c r="H4493" t="str">
        <f>IFERROR(VLOOKUP(F4493,'LEAID Match'!$A$2:$B$142,2,FALSE),"")</f>
        <v/>
      </c>
    </row>
    <row r="4494" spans="1:8" x14ac:dyDescent="0.2">
      <c r="A4494" t="str">
        <f t="shared" si="70"/>
        <v/>
      </c>
      <c r="B4494" s="1">
        <v>2022</v>
      </c>
      <c r="C4494" s="1" t="s">
        <v>2505</v>
      </c>
      <c r="D4494" s="1" t="s">
        <v>2506</v>
      </c>
      <c r="E4494" s="1" t="s">
        <v>2019</v>
      </c>
      <c r="F4494" s="1" t="s">
        <v>446</v>
      </c>
      <c r="G4494" s="6">
        <v>14157</v>
      </c>
      <c r="H4494" t="str">
        <f>IFERROR(VLOOKUP(F4494,'LEAID Match'!$A$2:$B$142,2,FALSE),"")</f>
        <v/>
      </c>
    </row>
    <row r="4495" spans="1:8" x14ac:dyDescent="0.2">
      <c r="A4495" t="str">
        <f t="shared" si="70"/>
        <v/>
      </c>
      <c r="B4495" s="1">
        <v>2023</v>
      </c>
      <c r="C4495" s="1" t="s">
        <v>2505</v>
      </c>
      <c r="D4495" s="1" t="s">
        <v>2506</v>
      </c>
      <c r="E4495" s="1" t="s">
        <v>2019</v>
      </c>
      <c r="F4495" s="1" t="s">
        <v>446</v>
      </c>
      <c r="G4495" s="6">
        <v>14860</v>
      </c>
      <c r="H4495" t="str">
        <f>IFERROR(VLOOKUP(F4495,'LEAID Match'!$A$2:$B$142,2,FALSE),"")</f>
        <v/>
      </c>
    </row>
    <row r="4496" spans="1:8" x14ac:dyDescent="0.2">
      <c r="A4496" t="str">
        <f t="shared" si="70"/>
        <v/>
      </c>
      <c r="B4496" s="1">
        <v>2024</v>
      </c>
      <c r="C4496" s="1" t="s">
        <v>2505</v>
      </c>
      <c r="D4496" s="1" t="s">
        <v>2506</v>
      </c>
      <c r="E4496" s="1" t="s">
        <v>2019</v>
      </c>
      <c r="F4496" s="1" t="s">
        <v>446</v>
      </c>
      <c r="G4496" s="6">
        <v>16894</v>
      </c>
      <c r="H4496" t="str">
        <f>IFERROR(VLOOKUP(F4496,'LEAID Match'!$A$2:$B$142,2,FALSE),"")</f>
        <v/>
      </c>
    </row>
    <row r="4497" spans="1:8" x14ac:dyDescent="0.2">
      <c r="A4497" t="str">
        <f t="shared" si="70"/>
        <v/>
      </c>
      <c r="B4497" s="1">
        <v>2015</v>
      </c>
      <c r="C4497" s="1" t="s">
        <v>2505</v>
      </c>
      <c r="D4497" s="1" t="s">
        <v>2506</v>
      </c>
      <c r="E4497" s="1" t="s">
        <v>2019</v>
      </c>
      <c r="F4497" s="1" t="s">
        <v>447</v>
      </c>
      <c r="G4497" s="6">
        <v>22342</v>
      </c>
      <c r="H4497" t="str">
        <f>IFERROR(VLOOKUP(F4497,'LEAID Match'!$A$2:$B$142,2,FALSE),"")</f>
        <v/>
      </c>
    </row>
    <row r="4498" spans="1:8" x14ac:dyDescent="0.2">
      <c r="A4498" t="str">
        <f t="shared" si="70"/>
        <v/>
      </c>
      <c r="B4498">
        <v>2016</v>
      </c>
      <c r="C4498" s="1" t="s">
        <v>2505</v>
      </c>
      <c r="D4498" s="1" t="s">
        <v>2506</v>
      </c>
      <c r="E4498" s="1" t="s">
        <v>2019</v>
      </c>
      <c r="F4498" s="1" t="s">
        <v>447</v>
      </c>
      <c r="G4498" s="12">
        <v>25253</v>
      </c>
      <c r="H4498" t="str">
        <f>IFERROR(VLOOKUP(F4498,'LEAID Match'!$A$2:$B$142,2,FALSE),"")</f>
        <v/>
      </c>
    </row>
    <row r="4499" spans="1:8" x14ac:dyDescent="0.2">
      <c r="A4499" t="str">
        <f t="shared" si="70"/>
        <v/>
      </c>
      <c r="B4499" s="1">
        <v>2017</v>
      </c>
      <c r="C4499" s="1" t="s">
        <v>2505</v>
      </c>
      <c r="D4499" s="1" t="s">
        <v>2506</v>
      </c>
      <c r="E4499" s="1" t="s">
        <v>2019</v>
      </c>
      <c r="F4499" s="1" t="s">
        <v>447</v>
      </c>
      <c r="G4499" s="50">
        <v>25527</v>
      </c>
      <c r="H4499" t="str">
        <f>IFERROR(VLOOKUP(F4499,'LEAID Match'!$A$2:$B$142,2,FALSE),"")</f>
        <v/>
      </c>
    </row>
    <row r="4500" spans="1:8" x14ac:dyDescent="0.2">
      <c r="A4500" t="str">
        <f t="shared" si="70"/>
        <v/>
      </c>
      <c r="B4500" s="1">
        <v>2018</v>
      </c>
      <c r="C4500" s="1" t="s">
        <v>2505</v>
      </c>
      <c r="D4500" s="1" t="s">
        <v>2506</v>
      </c>
      <c r="E4500" s="1" t="s">
        <v>2019</v>
      </c>
      <c r="F4500" s="1" t="s">
        <v>447</v>
      </c>
      <c r="G4500" s="6">
        <v>25415</v>
      </c>
      <c r="H4500" t="str">
        <f>IFERROR(VLOOKUP(F4500,'LEAID Match'!$A$2:$B$142,2,FALSE),"")</f>
        <v/>
      </c>
    </row>
    <row r="4501" spans="1:8" x14ac:dyDescent="0.2">
      <c r="A4501" t="str">
        <f t="shared" si="70"/>
        <v/>
      </c>
      <c r="B4501" s="1">
        <v>2019</v>
      </c>
      <c r="C4501" s="1" t="s">
        <v>2505</v>
      </c>
      <c r="D4501" s="1" t="s">
        <v>2506</v>
      </c>
      <c r="E4501" s="1" t="s">
        <v>2019</v>
      </c>
      <c r="F4501" s="1" t="s">
        <v>447</v>
      </c>
      <c r="G4501" s="6">
        <v>27686</v>
      </c>
      <c r="H4501" t="str">
        <f>IFERROR(VLOOKUP(F4501,'LEAID Match'!$A$2:$B$142,2,FALSE),"")</f>
        <v/>
      </c>
    </row>
    <row r="4502" spans="1:8" x14ac:dyDescent="0.2">
      <c r="A4502" t="str">
        <f t="shared" si="70"/>
        <v/>
      </c>
      <c r="B4502" s="1">
        <v>2020</v>
      </c>
      <c r="C4502" s="1" t="s">
        <v>2505</v>
      </c>
      <c r="D4502" s="1" t="s">
        <v>2506</v>
      </c>
      <c r="E4502" s="1" t="s">
        <v>2019</v>
      </c>
      <c r="F4502" s="1" t="s">
        <v>447</v>
      </c>
      <c r="G4502" s="6">
        <v>29976</v>
      </c>
      <c r="H4502" t="str">
        <f>IFERROR(VLOOKUP(F4502,'LEAID Match'!$A$2:$B$142,2,FALSE),"")</f>
        <v/>
      </c>
    </row>
    <row r="4503" spans="1:8" x14ac:dyDescent="0.2">
      <c r="A4503" t="str">
        <f t="shared" si="70"/>
        <v/>
      </c>
      <c r="B4503" s="1">
        <v>2021</v>
      </c>
      <c r="C4503" s="1" t="s">
        <v>2505</v>
      </c>
      <c r="D4503" s="1" t="s">
        <v>2506</v>
      </c>
      <c r="E4503" s="1" t="s">
        <v>2019</v>
      </c>
      <c r="F4503" s="1" t="s">
        <v>447</v>
      </c>
      <c r="G4503" s="6">
        <v>31353</v>
      </c>
      <c r="H4503" t="str">
        <f>IFERROR(VLOOKUP(F4503,'LEAID Match'!$A$2:$B$142,2,FALSE),"")</f>
        <v/>
      </c>
    </row>
    <row r="4504" spans="1:8" x14ac:dyDescent="0.2">
      <c r="A4504" t="str">
        <f t="shared" si="70"/>
        <v/>
      </c>
      <c r="B4504" s="1">
        <v>2022</v>
      </c>
      <c r="C4504" s="1" t="s">
        <v>2505</v>
      </c>
      <c r="D4504" s="1" t="s">
        <v>2506</v>
      </c>
      <c r="E4504" s="1" t="s">
        <v>2019</v>
      </c>
      <c r="F4504" s="1" t="s">
        <v>447</v>
      </c>
      <c r="G4504" s="6">
        <v>31337</v>
      </c>
      <c r="H4504" t="str">
        <f>IFERROR(VLOOKUP(F4504,'LEAID Match'!$A$2:$B$142,2,FALSE),"")</f>
        <v/>
      </c>
    </row>
    <row r="4505" spans="1:8" x14ac:dyDescent="0.2">
      <c r="A4505" t="str">
        <f t="shared" si="70"/>
        <v/>
      </c>
      <c r="B4505" s="1">
        <v>2023</v>
      </c>
      <c r="C4505" s="1" t="s">
        <v>2505</v>
      </c>
      <c r="D4505" s="1" t="s">
        <v>2506</v>
      </c>
      <c r="E4505" s="1" t="s">
        <v>2019</v>
      </c>
      <c r="F4505" s="1" t="s">
        <v>447</v>
      </c>
      <c r="G4505" s="6">
        <v>33550</v>
      </c>
      <c r="H4505" t="str">
        <f>IFERROR(VLOOKUP(F4505,'LEAID Match'!$A$2:$B$142,2,FALSE),"")</f>
        <v/>
      </c>
    </row>
    <row r="4506" spans="1:8" x14ac:dyDescent="0.2">
      <c r="A4506" t="str">
        <f t="shared" si="70"/>
        <v/>
      </c>
      <c r="B4506" s="1">
        <v>2024</v>
      </c>
      <c r="C4506" s="1" t="s">
        <v>2505</v>
      </c>
      <c r="D4506" s="1" t="s">
        <v>2506</v>
      </c>
      <c r="E4506" s="1" t="s">
        <v>2019</v>
      </c>
      <c r="F4506" s="1" t="s">
        <v>447</v>
      </c>
      <c r="G4506" s="6">
        <v>35069</v>
      </c>
      <c r="H4506" t="str">
        <f>IFERROR(VLOOKUP(F4506,'LEAID Match'!$A$2:$B$142,2,FALSE),"")</f>
        <v/>
      </c>
    </row>
    <row r="4507" spans="1:8" x14ac:dyDescent="0.2">
      <c r="A4507" t="str">
        <f t="shared" si="70"/>
        <v/>
      </c>
      <c r="B4507" s="1">
        <v>2015</v>
      </c>
      <c r="C4507" s="1" t="s">
        <v>2505</v>
      </c>
      <c r="D4507" s="1" t="s">
        <v>2506</v>
      </c>
      <c r="E4507" s="1" t="s">
        <v>2019</v>
      </c>
      <c r="F4507" s="1" t="s">
        <v>881</v>
      </c>
      <c r="G4507" s="6">
        <v>5622004</v>
      </c>
      <c r="H4507" t="str">
        <f>IFERROR(VLOOKUP(F4507,'LEAID Match'!$A$2:$B$142,2,FALSE),"")</f>
        <v/>
      </c>
    </row>
    <row r="4508" spans="1:8" x14ac:dyDescent="0.2">
      <c r="A4508" t="str">
        <f t="shared" si="70"/>
        <v/>
      </c>
      <c r="B4508">
        <v>2016</v>
      </c>
      <c r="C4508" s="1" t="s">
        <v>2505</v>
      </c>
      <c r="D4508" s="1" t="s">
        <v>2506</v>
      </c>
      <c r="E4508" s="1" t="s">
        <v>2019</v>
      </c>
      <c r="F4508" s="1" t="s">
        <v>881</v>
      </c>
      <c r="G4508" s="12">
        <v>5783279</v>
      </c>
      <c r="H4508" t="str">
        <f>IFERROR(VLOOKUP(F4508,'LEAID Match'!$A$2:$B$142,2,FALSE),"")</f>
        <v/>
      </c>
    </row>
    <row r="4509" spans="1:8" x14ac:dyDescent="0.2">
      <c r="A4509" t="str">
        <f t="shared" si="70"/>
        <v/>
      </c>
      <c r="B4509" s="1">
        <v>2017</v>
      </c>
      <c r="C4509" s="1" t="s">
        <v>2505</v>
      </c>
      <c r="D4509" s="1" t="s">
        <v>2506</v>
      </c>
      <c r="E4509" s="1" t="s">
        <v>2019</v>
      </c>
      <c r="F4509" s="1" t="s">
        <v>881</v>
      </c>
      <c r="G4509" s="50">
        <v>6094311</v>
      </c>
      <c r="H4509" t="str">
        <f>IFERROR(VLOOKUP(F4509,'LEAID Match'!$A$2:$B$142,2,FALSE),"")</f>
        <v/>
      </c>
    </row>
    <row r="4510" spans="1:8" x14ac:dyDescent="0.2">
      <c r="A4510" t="str">
        <f t="shared" si="70"/>
        <v/>
      </c>
      <c r="B4510" s="1">
        <v>2018</v>
      </c>
      <c r="C4510" s="1" t="s">
        <v>2505</v>
      </c>
      <c r="D4510" s="1" t="s">
        <v>2506</v>
      </c>
      <c r="E4510" s="1" t="s">
        <v>2019</v>
      </c>
      <c r="F4510" s="1" t="s">
        <v>881</v>
      </c>
      <c r="G4510" s="6">
        <v>6130000</v>
      </c>
      <c r="H4510" t="str">
        <f>IFERROR(VLOOKUP(F4510,'LEAID Match'!$A$2:$B$142,2,FALSE),"")</f>
        <v/>
      </c>
    </row>
    <row r="4511" spans="1:8" x14ac:dyDescent="0.2">
      <c r="A4511" t="str">
        <f t="shared" si="70"/>
        <v/>
      </c>
      <c r="B4511" s="1">
        <v>2019</v>
      </c>
      <c r="C4511" s="1" t="s">
        <v>2505</v>
      </c>
      <c r="D4511" s="1" t="s">
        <v>2506</v>
      </c>
      <c r="E4511" s="1" t="s">
        <v>2019</v>
      </c>
      <c r="F4511" s="1" t="s">
        <v>881</v>
      </c>
      <c r="G4511" s="6">
        <v>5936912</v>
      </c>
      <c r="H4511" t="str">
        <f>IFERROR(VLOOKUP(F4511,'LEAID Match'!$A$2:$B$142,2,FALSE),"")</f>
        <v/>
      </c>
    </row>
    <row r="4512" spans="1:8" x14ac:dyDescent="0.2">
      <c r="A4512" t="str">
        <f t="shared" si="70"/>
        <v/>
      </c>
      <c r="B4512" s="1">
        <v>2020</v>
      </c>
      <c r="C4512" s="1" t="s">
        <v>2505</v>
      </c>
      <c r="D4512" s="1" t="s">
        <v>2506</v>
      </c>
      <c r="E4512" s="1" t="s">
        <v>2019</v>
      </c>
      <c r="F4512" s="1" t="s">
        <v>881</v>
      </c>
      <c r="G4512" s="6">
        <v>6706450</v>
      </c>
      <c r="H4512" t="str">
        <f>IFERROR(VLOOKUP(F4512,'LEAID Match'!$A$2:$B$142,2,FALSE),"")</f>
        <v/>
      </c>
    </row>
    <row r="4513" spans="1:8" x14ac:dyDescent="0.2">
      <c r="A4513" t="str">
        <f t="shared" si="70"/>
        <v/>
      </c>
      <c r="B4513" s="1">
        <v>2021</v>
      </c>
      <c r="C4513" s="1" t="s">
        <v>2505</v>
      </c>
      <c r="D4513" s="1" t="s">
        <v>2506</v>
      </c>
      <c r="E4513" s="1" t="s">
        <v>2019</v>
      </c>
      <c r="F4513" s="1" t="s">
        <v>881</v>
      </c>
      <c r="G4513" s="6">
        <v>6254531</v>
      </c>
      <c r="H4513" t="str">
        <f>IFERROR(VLOOKUP(F4513,'LEAID Match'!$A$2:$B$142,2,FALSE),"")</f>
        <v/>
      </c>
    </row>
    <row r="4514" spans="1:8" x14ac:dyDescent="0.2">
      <c r="A4514" t="str">
        <f t="shared" si="70"/>
        <v/>
      </c>
      <c r="B4514" s="1">
        <v>2022</v>
      </c>
      <c r="C4514" s="1" t="s">
        <v>2505</v>
      </c>
      <c r="D4514" s="1" t="s">
        <v>2506</v>
      </c>
      <c r="E4514" s="1" t="s">
        <v>2019</v>
      </c>
      <c r="F4514" s="1" t="s">
        <v>881</v>
      </c>
      <c r="G4514" s="6">
        <v>6471275</v>
      </c>
      <c r="H4514" t="str">
        <f>IFERROR(VLOOKUP(F4514,'LEAID Match'!$A$2:$B$142,2,FALSE),"")</f>
        <v/>
      </c>
    </row>
    <row r="4515" spans="1:8" x14ac:dyDescent="0.2">
      <c r="A4515" t="str">
        <f t="shared" si="70"/>
        <v/>
      </c>
      <c r="B4515" s="1">
        <v>2023</v>
      </c>
      <c r="C4515" s="1" t="s">
        <v>2505</v>
      </c>
      <c r="D4515" s="1" t="s">
        <v>2506</v>
      </c>
      <c r="E4515" s="1" t="s">
        <v>2019</v>
      </c>
      <c r="F4515" s="1" t="s">
        <v>881</v>
      </c>
      <c r="G4515" s="6">
        <v>6697955</v>
      </c>
      <c r="H4515" t="str">
        <f>IFERROR(VLOOKUP(F4515,'LEAID Match'!$A$2:$B$142,2,FALSE),"")</f>
        <v/>
      </c>
    </row>
    <row r="4516" spans="1:8" x14ac:dyDescent="0.2">
      <c r="A4516" t="str">
        <f t="shared" si="70"/>
        <v/>
      </c>
      <c r="B4516" s="1">
        <v>2024</v>
      </c>
      <c r="C4516" s="1" t="s">
        <v>2505</v>
      </c>
      <c r="D4516" s="1" t="s">
        <v>2506</v>
      </c>
      <c r="E4516" s="1" t="s">
        <v>2019</v>
      </c>
      <c r="F4516" s="1" t="s">
        <v>881</v>
      </c>
      <c r="G4516" s="6">
        <v>7308989</v>
      </c>
      <c r="H4516" t="str">
        <f>IFERROR(VLOOKUP(F4516,'LEAID Match'!$A$2:$B$142,2,FALSE),"")</f>
        <v/>
      </c>
    </row>
    <row r="4517" spans="1:8" x14ac:dyDescent="0.2">
      <c r="A4517" t="str">
        <f t="shared" si="70"/>
        <v/>
      </c>
      <c r="B4517" s="1">
        <v>2015</v>
      </c>
      <c r="C4517" s="1" t="s">
        <v>2505</v>
      </c>
      <c r="D4517" s="1" t="s">
        <v>2506</v>
      </c>
      <c r="E4517" s="1" t="s">
        <v>2019</v>
      </c>
      <c r="F4517" s="1" t="s">
        <v>449</v>
      </c>
      <c r="G4517" s="6">
        <v>140701</v>
      </c>
      <c r="H4517" t="str">
        <f>IFERROR(VLOOKUP(F4517,'LEAID Match'!$A$2:$B$142,2,FALSE),"")</f>
        <v/>
      </c>
    </row>
    <row r="4518" spans="1:8" x14ac:dyDescent="0.2">
      <c r="A4518" t="str">
        <f t="shared" si="70"/>
        <v/>
      </c>
      <c r="B4518">
        <v>2016</v>
      </c>
      <c r="C4518" s="1" t="s">
        <v>2505</v>
      </c>
      <c r="D4518" s="1" t="s">
        <v>2506</v>
      </c>
      <c r="E4518" s="1" t="s">
        <v>2019</v>
      </c>
      <c r="F4518" s="1" t="s">
        <v>449</v>
      </c>
      <c r="G4518" s="12">
        <v>150638</v>
      </c>
      <c r="H4518" t="str">
        <f>IFERROR(VLOOKUP(F4518,'LEAID Match'!$A$2:$B$142,2,FALSE),"")</f>
        <v/>
      </c>
    </row>
    <row r="4519" spans="1:8" x14ac:dyDescent="0.2">
      <c r="A4519" t="str">
        <f t="shared" si="70"/>
        <v/>
      </c>
      <c r="B4519" s="1">
        <v>2017</v>
      </c>
      <c r="C4519" s="1" t="s">
        <v>2505</v>
      </c>
      <c r="D4519" s="1" t="s">
        <v>2506</v>
      </c>
      <c r="E4519" s="1" t="s">
        <v>2019</v>
      </c>
      <c r="F4519" s="1" t="s">
        <v>449</v>
      </c>
      <c r="G4519" s="50">
        <v>157260</v>
      </c>
      <c r="H4519" t="str">
        <f>IFERROR(VLOOKUP(F4519,'LEAID Match'!$A$2:$B$142,2,FALSE),"")</f>
        <v/>
      </c>
    </row>
    <row r="4520" spans="1:8" x14ac:dyDescent="0.2">
      <c r="A4520" t="str">
        <f t="shared" si="70"/>
        <v/>
      </c>
      <c r="B4520" s="1">
        <v>2018</v>
      </c>
      <c r="C4520" s="1" t="s">
        <v>2505</v>
      </c>
      <c r="D4520" s="1" t="s">
        <v>2506</v>
      </c>
      <c r="E4520" s="1" t="s">
        <v>2019</v>
      </c>
      <c r="F4520" s="1" t="s">
        <v>449</v>
      </c>
      <c r="G4520" s="6">
        <v>145148</v>
      </c>
      <c r="H4520" t="str">
        <f>IFERROR(VLOOKUP(F4520,'LEAID Match'!$A$2:$B$142,2,FALSE),"")</f>
        <v/>
      </c>
    </row>
    <row r="4521" spans="1:8" x14ac:dyDescent="0.2">
      <c r="A4521" t="str">
        <f t="shared" si="70"/>
        <v/>
      </c>
      <c r="B4521" s="1">
        <v>2019</v>
      </c>
      <c r="C4521" s="1" t="s">
        <v>2505</v>
      </c>
      <c r="D4521" s="1" t="s">
        <v>2506</v>
      </c>
      <c r="E4521" s="1" t="s">
        <v>2019</v>
      </c>
      <c r="F4521" s="1" t="s">
        <v>449</v>
      </c>
      <c r="G4521" s="6">
        <v>207309</v>
      </c>
      <c r="H4521" t="str">
        <f>IFERROR(VLOOKUP(F4521,'LEAID Match'!$A$2:$B$142,2,FALSE),"")</f>
        <v/>
      </c>
    </row>
    <row r="4522" spans="1:8" x14ac:dyDescent="0.2">
      <c r="A4522" t="str">
        <f t="shared" si="70"/>
        <v/>
      </c>
      <c r="B4522" s="1">
        <v>2020</v>
      </c>
      <c r="C4522" s="1" t="s">
        <v>2505</v>
      </c>
      <c r="D4522" s="1" t="s">
        <v>2506</v>
      </c>
      <c r="E4522" s="1" t="s">
        <v>2019</v>
      </c>
      <c r="F4522" s="1" t="s">
        <v>449</v>
      </c>
      <c r="G4522" s="6">
        <v>219973</v>
      </c>
      <c r="H4522" t="str">
        <f>IFERROR(VLOOKUP(F4522,'LEAID Match'!$A$2:$B$142,2,FALSE),"")</f>
        <v/>
      </c>
    </row>
    <row r="4523" spans="1:8" x14ac:dyDescent="0.2">
      <c r="A4523" t="str">
        <f t="shared" si="70"/>
        <v/>
      </c>
      <c r="B4523" s="1">
        <v>2021</v>
      </c>
      <c r="C4523" s="1" t="s">
        <v>2505</v>
      </c>
      <c r="D4523" s="1" t="s">
        <v>2506</v>
      </c>
      <c r="E4523" s="1" t="s">
        <v>2019</v>
      </c>
      <c r="F4523" s="1" t="s">
        <v>449</v>
      </c>
      <c r="G4523" s="6">
        <v>221121</v>
      </c>
      <c r="H4523" t="str">
        <f>IFERROR(VLOOKUP(F4523,'LEAID Match'!$A$2:$B$142,2,FALSE),"")</f>
        <v/>
      </c>
    </row>
    <row r="4524" spans="1:8" x14ac:dyDescent="0.2">
      <c r="A4524" t="str">
        <f t="shared" si="70"/>
        <v/>
      </c>
      <c r="B4524" s="1">
        <v>2022</v>
      </c>
      <c r="C4524" s="1" t="s">
        <v>2505</v>
      </c>
      <c r="D4524" s="1" t="s">
        <v>2506</v>
      </c>
      <c r="E4524" s="1" t="s">
        <v>2019</v>
      </c>
      <c r="F4524" s="1" t="s">
        <v>449</v>
      </c>
      <c r="G4524" s="6">
        <v>232740</v>
      </c>
      <c r="H4524" t="str">
        <f>IFERROR(VLOOKUP(F4524,'LEAID Match'!$A$2:$B$142,2,FALSE),"")</f>
        <v/>
      </c>
    </row>
    <row r="4525" spans="1:8" x14ac:dyDescent="0.2">
      <c r="A4525" t="str">
        <f t="shared" si="70"/>
        <v/>
      </c>
      <c r="B4525" s="1">
        <v>2023</v>
      </c>
      <c r="C4525" s="1" t="s">
        <v>2505</v>
      </c>
      <c r="D4525" s="1" t="s">
        <v>2506</v>
      </c>
      <c r="E4525" s="1" t="s">
        <v>2019</v>
      </c>
      <c r="F4525" s="1" t="s">
        <v>449</v>
      </c>
      <c r="G4525" s="6">
        <v>266979</v>
      </c>
      <c r="H4525" t="str">
        <f>IFERROR(VLOOKUP(F4525,'LEAID Match'!$A$2:$B$142,2,FALSE),"")</f>
        <v/>
      </c>
    </row>
    <row r="4526" spans="1:8" x14ac:dyDescent="0.2">
      <c r="A4526" t="str">
        <f t="shared" si="70"/>
        <v/>
      </c>
      <c r="B4526" s="1">
        <v>2024</v>
      </c>
      <c r="C4526" s="1" t="s">
        <v>2505</v>
      </c>
      <c r="D4526" s="1" t="s">
        <v>2506</v>
      </c>
      <c r="E4526" s="1" t="s">
        <v>2019</v>
      </c>
      <c r="F4526" s="1" t="s">
        <v>449</v>
      </c>
      <c r="G4526" s="6">
        <v>312722</v>
      </c>
      <c r="H4526" t="str">
        <f>IFERROR(VLOOKUP(F4526,'LEAID Match'!$A$2:$B$142,2,FALSE),"")</f>
        <v/>
      </c>
    </row>
    <row r="4527" spans="1:8" x14ac:dyDescent="0.2">
      <c r="A4527" t="str">
        <f t="shared" si="70"/>
        <v/>
      </c>
      <c r="B4527" s="1">
        <v>2015</v>
      </c>
      <c r="C4527" s="1" t="s">
        <v>2505</v>
      </c>
      <c r="D4527" s="1" t="s">
        <v>2506</v>
      </c>
      <c r="E4527" s="1" t="s">
        <v>2019</v>
      </c>
      <c r="F4527" s="1" t="s">
        <v>450</v>
      </c>
      <c r="G4527" s="6">
        <v>112875</v>
      </c>
      <c r="H4527" t="str">
        <f>IFERROR(VLOOKUP(F4527,'LEAID Match'!$A$2:$B$142,2,FALSE),"")</f>
        <v/>
      </c>
    </row>
    <row r="4528" spans="1:8" x14ac:dyDescent="0.2">
      <c r="A4528" t="str">
        <f t="shared" si="70"/>
        <v/>
      </c>
      <c r="B4528">
        <v>2016</v>
      </c>
      <c r="C4528" s="1" t="s">
        <v>2505</v>
      </c>
      <c r="D4528" s="1" t="s">
        <v>2506</v>
      </c>
      <c r="E4528" s="1" t="s">
        <v>2019</v>
      </c>
      <c r="F4528" s="1" t="s">
        <v>450</v>
      </c>
      <c r="G4528" s="12">
        <v>107348</v>
      </c>
      <c r="H4528" t="str">
        <f>IFERROR(VLOOKUP(F4528,'LEAID Match'!$A$2:$B$142,2,FALSE),"")</f>
        <v/>
      </c>
    </row>
    <row r="4529" spans="1:8" x14ac:dyDescent="0.2">
      <c r="A4529" t="str">
        <f t="shared" si="70"/>
        <v/>
      </c>
      <c r="B4529" s="1">
        <v>2017</v>
      </c>
      <c r="C4529" s="1" t="s">
        <v>2505</v>
      </c>
      <c r="D4529" s="1" t="s">
        <v>2506</v>
      </c>
      <c r="E4529" s="1" t="s">
        <v>2019</v>
      </c>
      <c r="F4529" s="1" t="s">
        <v>450</v>
      </c>
      <c r="G4529" s="50">
        <v>99463</v>
      </c>
      <c r="H4529" t="str">
        <f>IFERROR(VLOOKUP(F4529,'LEAID Match'!$A$2:$B$142,2,FALSE),"")</f>
        <v/>
      </c>
    </row>
    <row r="4530" spans="1:8" x14ac:dyDescent="0.2">
      <c r="A4530" t="str">
        <f t="shared" si="70"/>
        <v/>
      </c>
      <c r="B4530" s="1">
        <v>2018</v>
      </c>
      <c r="C4530" s="1" t="s">
        <v>2505</v>
      </c>
      <c r="D4530" s="1" t="s">
        <v>2506</v>
      </c>
      <c r="E4530" s="1" t="s">
        <v>2019</v>
      </c>
      <c r="F4530" s="1" t="s">
        <v>450</v>
      </c>
      <c r="G4530" s="6">
        <v>108865</v>
      </c>
      <c r="H4530" t="str">
        <f>IFERROR(VLOOKUP(F4530,'LEAID Match'!$A$2:$B$142,2,FALSE),"")</f>
        <v/>
      </c>
    </row>
    <row r="4531" spans="1:8" x14ac:dyDescent="0.2">
      <c r="A4531" t="str">
        <f t="shared" si="70"/>
        <v/>
      </c>
      <c r="B4531" s="1">
        <v>2019</v>
      </c>
      <c r="C4531" s="1" t="s">
        <v>2505</v>
      </c>
      <c r="D4531" s="1" t="s">
        <v>2506</v>
      </c>
      <c r="E4531" s="1" t="s">
        <v>2019</v>
      </c>
      <c r="F4531" s="1" t="s">
        <v>450</v>
      </c>
      <c r="G4531" s="6">
        <v>120646</v>
      </c>
      <c r="H4531" t="str">
        <f>IFERROR(VLOOKUP(F4531,'LEAID Match'!$A$2:$B$142,2,FALSE),"")</f>
        <v/>
      </c>
    </row>
    <row r="4532" spans="1:8" x14ac:dyDescent="0.2">
      <c r="A4532" t="str">
        <f t="shared" si="70"/>
        <v/>
      </c>
      <c r="B4532" s="1">
        <v>2020</v>
      </c>
      <c r="C4532" s="1" t="s">
        <v>2505</v>
      </c>
      <c r="D4532" s="1" t="s">
        <v>2506</v>
      </c>
      <c r="E4532" s="1" t="s">
        <v>2019</v>
      </c>
      <c r="F4532" s="1" t="s">
        <v>450</v>
      </c>
      <c r="G4532" s="6">
        <v>138241</v>
      </c>
      <c r="H4532" t="str">
        <f>IFERROR(VLOOKUP(F4532,'LEAID Match'!$A$2:$B$142,2,FALSE),"")</f>
        <v/>
      </c>
    </row>
    <row r="4533" spans="1:8" x14ac:dyDescent="0.2">
      <c r="A4533" t="str">
        <f t="shared" si="70"/>
        <v/>
      </c>
      <c r="B4533" s="1">
        <v>2021</v>
      </c>
      <c r="C4533" s="1" t="s">
        <v>2505</v>
      </c>
      <c r="D4533" s="1" t="s">
        <v>2506</v>
      </c>
      <c r="E4533" s="1" t="s">
        <v>2019</v>
      </c>
      <c r="F4533" s="1" t="s">
        <v>450</v>
      </c>
      <c r="G4533" s="6">
        <v>136549</v>
      </c>
      <c r="H4533" t="str">
        <f>IFERROR(VLOOKUP(F4533,'LEAID Match'!$A$2:$B$142,2,FALSE),"")</f>
        <v/>
      </c>
    </row>
    <row r="4534" spans="1:8" x14ac:dyDescent="0.2">
      <c r="A4534" t="str">
        <f t="shared" si="70"/>
        <v/>
      </c>
      <c r="B4534" s="1">
        <v>2022</v>
      </c>
      <c r="C4534" s="1" t="s">
        <v>2505</v>
      </c>
      <c r="D4534" s="1" t="s">
        <v>2506</v>
      </c>
      <c r="E4534" s="1" t="s">
        <v>2019</v>
      </c>
      <c r="F4534" s="1" t="s">
        <v>450</v>
      </c>
      <c r="G4534" s="6">
        <v>137370</v>
      </c>
      <c r="H4534" t="str">
        <f>IFERROR(VLOOKUP(F4534,'LEAID Match'!$A$2:$B$142,2,FALSE),"")</f>
        <v/>
      </c>
    </row>
    <row r="4535" spans="1:8" x14ac:dyDescent="0.2">
      <c r="A4535" t="str">
        <f t="shared" si="70"/>
        <v/>
      </c>
      <c r="B4535" s="1">
        <v>2023</v>
      </c>
      <c r="C4535" s="1" t="s">
        <v>2505</v>
      </c>
      <c r="D4535" s="1" t="s">
        <v>2506</v>
      </c>
      <c r="E4535" s="1" t="s">
        <v>2019</v>
      </c>
      <c r="F4535" s="1" t="s">
        <v>450</v>
      </c>
      <c r="G4535" s="6">
        <v>151426</v>
      </c>
      <c r="H4535" t="str">
        <f>IFERROR(VLOOKUP(F4535,'LEAID Match'!$A$2:$B$142,2,FALSE),"")</f>
        <v/>
      </c>
    </row>
    <row r="4536" spans="1:8" x14ac:dyDescent="0.2">
      <c r="A4536" t="str">
        <f t="shared" si="70"/>
        <v/>
      </c>
      <c r="B4536" s="1">
        <v>2024</v>
      </c>
      <c r="C4536" s="1" t="s">
        <v>2505</v>
      </c>
      <c r="D4536" s="1" t="s">
        <v>2506</v>
      </c>
      <c r="E4536" s="1" t="s">
        <v>2019</v>
      </c>
      <c r="F4536" s="1" t="s">
        <v>450</v>
      </c>
      <c r="G4536" s="6">
        <v>154824</v>
      </c>
      <c r="H4536" t="str">
        <f>IFERROR(VLOOKUP(F4536,'LEAID Match'!$A$2:$B$142,2,FALSE),"")</f>
        <v/>
      </c>
    </row>
    <row r="4537" spans="1:8" x14ac:dyDescent="0.2">
      <c r="A4537" t="str">
        <f t="shared" si="70"/>
        <v/>
      </c>
      <c r="B4537" s="1">
        <v>2015</v>
      </c>
      <c r="C4537" s="1" t="s">
        <v>2505</v>
      </c>
      <c r="D4537" s="1" t="s">
        <v>2506</v>
      </c>
      <c r="E4537" s="1" t="s">
        <v>2019</v>
      </c>
      <c r="F4537" s="1" t="s">
        <v>2284</v>
      </c>
      <c r="G4537" s="6">
        <v>1770396</v>
      </c>
      <c r="H4537" t="str">
        <f>IFERROR(VLOOKUP(F4537,'LEAID Match'!$A$2:$B$142,2,FALSE),"")</f>
        <v/>
      </c>
    </row>
    <row r="4538" spans="1:8" x14ac:dyDescent="0.2">
      <c r="A4538" t="str">
        <f t="shared" si="70"/>
        <v/>
      </c>
      <c r="B4538" s="1">
        <v>2015</v>
      </c>
      <c r="C4538" s="1" t="s">
        <v>2505</v>
      </c>
      <c r="D4538" s="1" t="s">
        <v>2506</v>
      </c>
      <c r="E4538" s="1" t="s">
        <v>2019</v>
      </c>
      <c r="F4538" s="1" t="s">
        <v>2285</v>
      </c>
      <c r="G4538" s="6">
        <v>2285597</v>
      </c>
      <c r="H4538" t="str">
        <f>IFERROR(VLOOKUP(F4538,'LEAID Match'!$A$2:$B$142,2,FALSE),"")</f>
        <v/>
      </c>
    </row>
    <row r="4539" spans="1:8" x14ac:dyDescent="0.2">
      <c r="A4539" t="str">
        <f t="shared" si="70"/>
        <v/>
      </c>
      <c r="B4539" s="1">
        <v>2015</v>
      </c>
      <c r="C4539" s="1" t="s">
        <v>2505</v>
      </c>
      <c r="D4539" s="1" t="s">
        <v>2506</v>
      </c>
      <c r="E4539" s="1" t="s">
        <v>2019</v>
      </c>
      <c r="F4539" s="1" t="s">
        <v>2286</v>
      </c>
      <c r="G4539" s="6">
        <v>2045276</v>
      </c>
      <c r="H4539" t="str">
        <f>IFERROR(VLOOKUP(F4539,'LEAID Match'!$A$2:$B$142,2,FALSE),"")</f>
        <v/>
      </c>
    </row>
    <row r="4540" spans="1:8" x14ac:dyDescent="0.2">
      <c r="A4540" t="str">
        <f t="shared" si="70"/>
        <v/>
      </c>
      <c r="B4540" s="1">
        <v>2019</v>
      </c>
      <c r="C4540" s="1" t="s">
        <v>2505</v>
      </c>
      <c r="D4540" s="1" t="s">
        <v>2506</v>
      </c>
      <c r="E4540" s="1" t="s">
        <v>2019</v>
      </c>
      <c r="F4540" s="1" t="s">
        <v>905</v>
      </c>
      <c r="G4540" s="6">
        <v>1714889</v>
      </c>
      <c r="H4540" t="str">
        <f>IFERROR(VLOOKUP(F4540,'LEAID Match'!$A$2:$B$142,2,FALSE),"")</f>
        <v/>
      </c>
    </row>
    <row r="4541" spans="1:8" x14ac:dyDescent="0.2">
      <c r="A4541" t="str">
        <f t="shared" si="70"/>
        <v/>
      </c>
      <c r="B4541" s="1">
        <v>2019</v>
      </c>
      <c r="C4541" s="1" t="s">
        <v>2505</v>
      </c>
      <c r="D4541" s="1" t="s">
        <v>2506</v>
      </c>
      <c r="E4541" s="1" t="s">
        <v>2019</v>
      </c>
      <c r="F4541" s="1" t="s">
        <v>905</v>
      </c>
      <c r="G4541" s="6">
        <v>2390927</v>
      </c>
      <c r="H4541" t="str">
        <f>IFERROR(VLOOKUP(F4541,'LEAID Match'!$A$2:$B$142,2,FALSE),"")</f>
        <v/>
      </c>
    </row>
    <row r="4542" spans="1:8" x14ac:dyDescent="0.2">
      <c r="A4542" t="str">
        <f t="shared" si="70"/>
        <v/>
      </c>
      <c r="B4542" s="1">
        <v>2019</v>
      </c>
      <c r="C4542" s="1" t="s">
        <v>2505</v>
      </c>
      <c r="D4542" s="1" t="s">
        <v>2506</v>
      </c>
      <c r="E4542" s="1" t="s">
        <v>2019</v>
      </c>
      <c r="F4542" s="1" t="s">
        <v>905</v>
      </c>
      <c r="G4542" s="6">
        <v>2203710</v>
      </c>
      <c r="H4542" t="str">
        <f>IFERROR(VLOOKUP(F4542,'LEAID Match'!$A$2:$B$142,2,FALSE),"")</f>
        <v/>
      </c>
    </row>
    <row r="4543" spans="1:8" x14ac:dyDescent="0.2">
      <c r="A4543" t="str">
        <f t="shared" si="70"/>
        <v/>
      </c>
      <c r="B4543" s="1">
        <v>2020</v>
      </c>
      <c r="C4543" s="1" t="s">
        <v>2505</v>
      </c>
      <c r="D4543" s="1" t="s">
        <v>2506</v>
      </c>
      <c r="E4543" s="1" t="s">
        <v>2019</v>
      </c>
      <c r="F4543" s="1" t="s">
        <v>905</v>
      </c>
      <c r="G4543" s="6">
        <v>1876172</v>
      </c>
      <c r="H4543" t="str">
        <f>IFERROR(VLOOKUP(F4543,'LEAID Match'!$A$2:$B$142,2,FALSE),"")</f>
        <v/>
      </c>
    </row>
    <row r="4544" spans="1:8" x14ac:dyDescent="0.2">
      <c r="A4544" t="str">
        <f t="shared" si="70"/>
        <v/>
      </c>
      <c r="B4544" s="1">
        <v>2020</v>
      </c>
      <c r="C4544" s="1" t="s">
        <v>2505</v>
      </c>
      <c r="D4544" s="1" t="s">
        <v>2506</v>
      </c>
      <c r="E4544" s="1" t="s">
        <v>2019</v>
      </c>
      <c r="F4544" s="1" t="s">
        <v>905</v>
      </c>
      <c r="G4544" s="6">
        <v>2581254</v>
      </c>
      <c r="H4544" t="str">
        <f>IFERROR(VLOOKUP(F4544,'LEAID Match'!$A$2:$B$142,2,FALSE),"")</f>
        <v/>
      </c>
    </row>
    <row r="4545" spans="1:8" x14ac:dyDescent="0.2">
      <c r="A4545" t="str">
        <f t="shared" si="70"/>
        <v/>
      </c>
      <c r="B4545" s="1">
        <v>2020</v>
      </c>
      <c r="C4545" s="1" t="s">
        <v>2505</v>
      </c>
      <c r="D4545" s="1" t="s">
        <v>2506</v>
      </c>
      <c r="E4545" s="1" t="s">
        <v>2019</v>
      </c>
      <c r="F4545" s="1" t="s">
        <v>905</v>
      </c>
      <c r="G4545" s="6">
        <v>2585408</v>
      </c>
      <c r="H4545" t="str">
        <f>IFERROR(VLOOKUP(F4545,'LEAID Match'!$A$2:$B$142,2,FALSE),"")</f>
        <v/>
      </c>
    </row>
    <row r="4546" spans="1:8" x14ac:dyDescent="0.2">
      <c r="A4546" t="str">
        <f t="shared" si="70"/>
        <v/>
      </c>
      <c r="B4546" s="1">
        <v>2021</v>
      </c>
      <c r="C4546" s="1" t="s">
        <v>2505</v>
      </c>
      <c r="D4546" s="1" t="s">
        <v>2506</v>
      </c>
      <c r="E4546" s="1" t="s">
        <v>2019</v>
      </c>
      <c r="F4546" s="1" t="s">
        <v>905</v>
      </c>
      <c r="G4546" s="6">
        <v>1817854</v>
      </c>
      <c r="H4546" t="str">
        <f>IFERROR(VLOOKUP(F4546,'LEAID Match'!$A$2:$B$142,2,FALSE),"")</f>
        <v/>
      </c>
    </row>
    <row r="4547" spans="1:8" x14ac:dyDescent="0.2">
      <c r="A4547" t="str">
        <f t="shared" ref="A4547:A4610" si="71">H4547</f>
        <v/>
      </c>
      <c r="B4547" s="1">
        <v>2021</v>
      </c>
      <c r="C4547" s="1" t="s">
        <v>2505</v>
      </c>
      <c r="D4547" s="1" t="s">
        <v>2506</v>
      </c>
      <c r="E4547" s="1" t="s">
        <v>2019</v>
      </c>
      <c r="F4547" s="1" t="s">
        <v>905</v>
      </c>
      <c r="G4547" s="6">
        <v>2328405</v>
      </c>
      <c r="H4547" t="str">
        <f>IFERROR(VLOOKUP(F4547,'LEAID Match'!$A$2:$B$142,2,FALSE),"")</f>
        <v/>
      </c>
    </row>
    <row r="4548" spans="1:8" x14ac:dyDescent="0.2">
      <c r="A4548" t="str">
        <f t="shared" si="71"/>
        <v/>
      </c>
      <c r="B4548" s="1">
        <v>2021</v>
      </c>
      <c r="C4548" s="1" t="s">
        <v>2505</v>
      </c>
      <c r="D4548" s="1" t="s">
        <v>2506</v>
      </c>
      <c r="E4548" s="1" t="s">
        <v>2019</v>
      </c>
      <c r="F4548" s="1" t="s">
        <v>905</v>
      </c>
      <c r="G4548" s="6">
        <v>2647992</v>
      </c>
      <c r="H4548" t="str">
        <f>IFERROR(VLOOKUP(F4548,'LEAID Match'!$A$2:$B$142,2,FALSE),"")</f>
        <v/>
      </c>
    </row>
    <row r="4549" spans="1:8" x14ac:dyDescent="0.2">
      <c r="A4549" t="str">
        <f t="shared" si="71"/>
        <v/>
      </c>
      <c r="B4549" s="1">
        <v>2022</v>
      </c>
      <c r="C4549" s="1" t="s">
        <v>2505</v>
      </c>
      <c r="D4549" s="1" t="s">
        <v>2506</v>
      </c>
      <c r="E4549" s="1" t="s">
        <v>2019</v>
      </c>
      <c r="F4549" s="1" t="s">
        <v>905</v>
      </c>
      <c r="G4549" s="6">
        <v>1804769</v>
      </c>
      <c r="H4549" t="str">
        <f>IFERROR(VLOOKUP(F4549,'LEAID Match'!$A$2:$B$142,2,FALSE),"")</f>
        <v/>
      </c>
    </row>
    <row r="4550" spans="1:8" x14ac:dyDescent="0.2">
      <c r="A4550" t="str">
        <f t="shared" si="71"/>
        <v/>
      </c>
      <c r="B4550" s="1">
        <v>2022</v>
      </c>
      <c r="C4550" s="1" t="s">
        <v>2505</v>
      </c>
      <c r="D4550" s="1" t="s">
        <v>2506</v>
      </c>
      <c r="E4550" s="1" t="s">
        <v>2019</v>
      </c>
      <c r="F4550" s="1" t="s">
        <v>905</v>
      </c>
      <c r="G4550" s="6">
        <v>2202967</v>
      </c>
      <c r="H4550" t="str">
        <f>IFERROR(VLOOKUP(F4550,'LEAID Match'!$A$2:$B$142,2,FALSE),"")</f>
        <v/>
      </c>
    </row>
    <row r="4551" spans="1:8" x14ac:dyDescent="0.2">
      <c r="A4551" t="str">
        <f t="shared" si="71"/>
        <v/>
      </c>
      <c r="B4551" s="1">
        <v>2022</v>
      </c>
      <c r="C4551" s="1" t="s">
        <v>2505</v>
      </c>
      <c r="D4551" s="1" t="s">
        <v>2506</v>
      </c>
      <c r="E4551" s="1" t="s">
        <v>2019</v>
      </c>
      <c r="F4551" s="1" t="s">
        <v>905</v>
      </c>
      <c r="G4551" s="6">
        <v>2729202</v>
      </c>
      <c r="H4551" t="str">
        <f>IFERROR(VLOOKUP(F4551,'LEAID Match'!$A$2:$B$142,2,FALSE),"")</f>
        <v/>
      </c>
    </row>
    <row r="4552" spans="1:8" x14ac:dyDescent="0.2">
      <c r="A4552" t="str">
        <f t="shared" si="71"/>
        <v/>
      </c>
      <c r="B4552">
        <v>2016</v>
      </c>
      <c r="C4552" s="1" t="s">
        <v>2505</v>
      </c>
      <c r="D4552" s="1" t="s">
        <v>2506</v>
      </c>
      <c r="E4552" s="1" t="s">
        <v>2019</v>
      </c>
      <c r="F4552" t="s">
        <v>1609</v>
      </c>
      <c r="G4552" s="12">
        <v>1725857</v>
      </c>
      <c r="H4552" t="str">
        <f>IFERROR(VLOOKUP(F4552,'LEAID Match'!$A$2:$B$142,2,FALSE),"")</f>
        <v/>
      </c>
    </row>
    <row r="4553" spans="1:8" x14ac:dyDescent="0.2">
      <c r="A4553" t="str">
        <f t="shared" si="71"/>
        <v/>
      </c>
      <c r="B4553" s="1">
        <v>2017</v>
      </c>
      <c r="C4553" s="1" t="s">
        <v>2505</v>
      </c>
      <c r="D4553" s="1" t="s">
        <v>2506</v>
      </c>
      <c r="E4553" s="1" t="s">
        <v>2019</v>
      </c>
      <c r="F4553" s="17" t="s">
        <v>1609</v>
      </c>
      <c r="G4553" s="50">
        <v>1655714</v>
      </c>
      <c r="H4553" t="str">
        <f>IFERROR(VLOOKUP(F4553,'LEAID Match'!$A$2:$B$142,2,FALSE),"")</f>
        <v/>
      </c>
    </row>
    <row r="4554" spans="1:8" x14ac:dyDescent="0.2">
      <c r="A4554" t="str">
        <f t="shared" si="71"/>
        <v/>
      </c>
      <c r="B4554" s="1">
        <v>2018</v>
      </c>
      <c r="C4554" s="1" t="s">
        <v>2505</v>
      </c>
      <c r="D4554" s="1" t="s">
        <v>2506</v>
      </c>
      <c r="E4554" s="1" t="s">
        <v>2019</v>
      </c>
      <c r="F4554" s="1" t="s">
        <v>1609</v>
      </c>
      <c r="G4554" s="6">
        <v>1622466</v>
      </c>
      <c r="H4554" t="str">
        <f>IFERROR(VLOOKUP(F4554,'LEAID Match'!$A$2:$B$142,2,FALSE),"")</f>
        <v/>
      </c>
    </row>
    <row r="4555" spans="1:8" x14ac:dyDescent="0.2">
      <c r="A4555" t="str">
        <f t="shared" si="71"/>
        <v/>
      </c>
      <c r="B4555">
        <v>2016</v>
      </c>
      <c r="C4555" s="1" t="s">
        <v>2505</v>
      </c>
      <c r="D4555" s="1" t="s">
        <v>2506</v>
      </c>
      <c r="E4555" s="1" t="s">
        <v>2019</v>
      </c>
      <c r="F4555" t="s">
        <v>1610</v>
      </c>
      <c r="G4555" s="12">
        <v>2197300</v>
      </c>
      <c r="H4555" t="str">
        <f>IFERROR(VLOOKUP(F4555,'LEAID Match'!$A$2:$B$142,2,FALSE),"")</f>
        <v/>
      </c>
    </row>
    <row r="4556" spans="1:8" x14ac:dyDescent="0.2">
      <c r="A4556" t="str">
        <f t="shared" si="71"/>
        <v/>
      </c>
      <c r="B4556" s="1">
        <v>2017</v>
      </c>
      <c r="C4556" s="1" t="s">
        <v>2505</v>
      </c>
      <c r="D4556" s="1" t="s">
        <v>2506</v>
      </c>
      <c r="E4556" s="1" t="s">
        <v>2019</v>
      </c>
      <c r="F4556" s="37" t="s">
        <v>1610</v>
      </c>
      <c r="G4556" s="47">
        <v>2287258</v>
      </c>
      <c r="H4556" t="str">
        <f>IFERROR(VLOOKUP(F4556,'LEAID Match'!$A$2:$B$142,2,FALSE),"")</f>
        <v/>
      </c>
    </row>
    <row r="4557" spans="1:8" x14ac:dyDescent="0.2">
      <c r="A4557" t="str">
        <f t="shared" si="71"/>
        <v/>
      </c>
      <c r="B4557" s="1">
        <v>2018</v>
      </c>
      <c r="C4557" s="1" t="s">
        <v>2505</v>
      </c>
      <c r="D4557" s="1" t="s">
        <v>2506</v>
      </c>
      <c r="E4557" s="1" t="s">
        <v>2019</v>
      </c>
      <c r="F4557" s="1" t="s">
        <v>1610</v>
      </c>
      <c r="G4557" s="6">
        <v>2377331</v>
      </c>
      <c r="H4557" t="str">
        <f>IFERROR(VLOOKUP(F4557,'LEAID Match'!$A$2:$B$142,2,FALSE),"")</f>
        <v/>
      </c>
    </row>
    <row r="4558" spans="1:8" x14ac:dyDescent="0.2">
      <c r="A4558" t="str">
        <f t="shared" si="71"/>
        <v/>
      </c>
      <c r="B4558">
        <v>2016</v>
      </c>
      <c r="C4558" s="1" t="s">
        <v>2505</v>
      </c>
      <c r="D4558" s="1" t="s">
        <v>2506</v>
      </c>
      <c r="E4558" s="1" t="s">
        <v>2019</v>
      </c>
      <c r="F4558" t="s">
        <v>1611</v>
      </c>
      <c r="G4558" s="12">
        <v>2096515</v>
      </c>
      <c r="H4558" t="str">
        <f>IFERROR(VLOOKUP(F4558,'LEAID Match'!$A$2:$B$142,2,FALSE),"")</f>
        <v/>
      </c>
    </row>
    <row r="4559" spans="1:8" x14ac:dyDescent="0.2">
      <c r="A4559" t="str">
        <f t="shared" si="71"/>
        <v/>
      </c>
      <c r="B4559" s="1">
        <v>2017</v>
      </c>
      <c r="C4559" s="1" t="s">
        <v>2505</v>
      </c>
      <c r="D4559" s="1" t="s">
        <v>2506</v>
      </c>
      <c r="E4559" s="1" t="s">
        <v>2019</v>
      </c>
      <c r="F4559" s="37" t="s">
        <v>1611</v>
      </c>
      <c r="G4559" s="47">
        <v>2071792</v>
      </c>
      <c r="H4559" t="str">
        <f>IFERROR(VLOOKUP(F4559,'LEAID Match'!$A$2:$B$142,2,FALSE),"")</f>
        <v/>
      </c>
    </row>
    <row r="4560" spans="1:8" x14ac:dyDescent="0.2">
      <c r="A4560" t="str">
        <f t="shared" si="71"/>
        <v/>
      </c>
      <c r="B4560" s="1">
        <v>2018</v>
      </c>
      <c r="C4560" s="1" t="s">
        <v>2505</v>
      </c>
      <c r="D4560" s="1" t="s">
        <v>2506</v>
      </c>
      <c r="E4560" s="1" t="s">
        <v>2019</v>
      </c>
      <c r="F4560" s="1" t="s">
        <v>1611</v>
      </c>
      <c r="G4560" s="6">
        <v>2067612</v>
      </c>
      <c r="H4560" t="str">
        <f>IFERROR(VLOOKUP(F4560,'LEAID Match'!$A$2:$B$142,2,FALSE),"")</f>
        <v/>
      </c>
    </row>
    <row r="4561" spans="1:8" x14ac:dyDescent="0.2">
      <c r="A4561" t="str">
        <f t="shared" si="71"/>
        <v/>
      </c>
      <c r="B4561" s="1">
        <v>2023</v>
      </c>
      <c r="C4561" s="1" t="s">
        <v>2505</v>
      </c>
      <c r="D4561" s="1" t="s">
        <v>2506</v>
      </c>
      <c r="E4561" s="1" t="s">
        <v>2019</v>
      </c>
      <c r="F4561" s="1" t="s">
        <v>451</v>
      </c>
      <c r="G4561" s="6">
        <v>1625595</v>
      </c>
      <c r="H4561" t="str">
        <f>IFERROR(VLOOKUP(F4561,'LEAID Match'!$A$2:$B$142,2,FALSE),"")</f>
        <v/>
      </c>
    </row>
    <row r="4562" spans="1:8" x14ac:dyDescent="0.2">
      <c r="A4562" t="str">
        <f t="shared" si="71"/>
        <v/>
      </c>
      <c r="B4562" s="1">
        <v>2024</v>
      </c>
      <c r="C4562" s="1" t="s">
        <v>2505</v>
      </c>
      <c r="D4562" s="1" t="s">
        <v>2506</v>
      </c>
      <c r="E4562" s="1" t="s">
        <v>2019</v>
      </c>
      <c r="F4562" s="1" t="s">
        <v>451</v>
      </c>
      <c r="G4562" s="6">
        <v>1588186</v>
      </c>
      <c r="H4562" t="str">
        <f>IFERROR(VLOOKUP(F4562,'LEAID Match'!$A$2:$B$142,2,FALSE),"")</f>
        <v/>
      </c>
    </row>
    <row r="4563" spans="1:8" x14ac:dyDescent="0.2">
      <c r="A4563" t="str">
        <f t="shared" si="71"/>
        <v/>
      </c>
      <c r="B4563" s="1">
        <v>2023</v>
      </c>
      <c r="C4563" s="1" t="s">
        <v>2505</v>
      </c>
      <c r="D4563" s="1" t="s">
        <v>2506</v>
      </c>
      <c r="E4563" s="1" t="s">
        <v>2019</v>
      </c>
      <c r="F4563" s="1" t="s">
        <v>452</v>
      </c>
      <c r="G4563" s="6">
        <v>2419783</v>
      </c>
      <c r="H4563" t="str">
        <f>IFERROR(VLOOKUP(F4563,'LEAID Match'!$A$2:$B$142,2,FALSE),"")</f>
        <v/>
      </c>
    </row>
    <row r="4564" spans="1:8" x14ac:dyDescent="0.2">
      <c r="A4564" t="str">
        <f t="shared" si="71"/>
        <v/>
      </c>
      <c r="B4564" s="1">
        <v>2024</v>
      </c>
      <c r="C4564" s="1" t="s">
        <v>2505</v>
      </c>
      <c r="D4564" s="1" t="s">
        <v>2506</v>
      </c>
      <c r="E4564" s="1" t="s">
        <v>2019</v>
      </c>
      <c r="F4564" s="1" t="s">
        <v>452</v>
      </c>
      <c r="G4564" s="6">
        <v>2846647</v>
      </c>
      <c r="H4564" t="str">
        <f>IFERROR(VLOOKUP(F4564,'LEAID Match'!$A$2:$B$142,2,FALSE),"")</f>
        <v/>
      </c>
    </row>
    <row r="4565" spans="1:8" x14ac:dyDescent="0.2">
      <c r="A4565" t="str">
        <f t="shared" si="71"/>
        <v/>
      </c>
      <c r="B4565" s="1">
        <v>2023</v>
      </c>
      <c r="C4565" s="1" t="s">
        <v>2505</v>
      </c>
      <c r="D4565" s="1" t="s">
        <v>2506</v>
      </c>
      <c r="E4565" s="1" t="s">
        <v>2019</v>
      </c>
      <c r="F4565" s="1" t="s">
        <v>453</v>
      </c>
      <c r="G4565" s="6">
        <v>3116621</v>
      </c>
      <c r="H4565" t="str">
        <f>IFERROR(VLOOKUP(F4565,'LEAID Match'!$A$2:$B$142,2,FALSE),"")</f>
        <v/>
      </c>
    </row>
    <row r="4566" spans="1:8" x14ac:dyDescent="0.2">
      <c r="A4566" t="str">
        <f t="shared" si="71"/>
        <v/>
      </c>
      <c r="B4566" s="1">
        <v>2024</v>
      </c>
      <c r="C4566" s="1" t="s">
        <v>2505</v>
      </c>
      <c r="D4566" s="1" t="s">
        <v>2506</v>
      </c>
      <c r="E4566" s="1" t="s">
        <v>2019</v>
      </c>
      <c r="F4566" s="1" t="s">
        <v>453</v>
      </c>
      <c r="G4566" s="6">
        <v>3252708</v>
      </c>
      <c r="H4566" t="str">
        <f>IFERROR(VLOOKUP(F4566,'LEAID Match'!$A$2:$B$142,2,FALSE),"")</f>
        <v/>
      </c>
    </row>
    <row r="4567" spans="1:8" x14ac:dyDescent="0.2">
      <c r="A4567" t="str">
        <f t="shared" si="71"/>
        <v/>
      </c>
      <c r="B4567" s="1">
        <v>2015</v>
      </c>
      <c r="C4567" s="1" t="s">
        <v>2505</v>
      </c>
      <c r="D4567" s="1" t="s">
        <v>2506</v>
      </c>
      <c r="E4567" s="1" t="s">
        <v>2019</v>
      </c>
      <c r="F4567" s="1" t="s">
        <v>454</v>
      </c>
      <c r="G4567" s="6">
        <v>920227</v>
      </c>
      <c r="H4567" t="str">
        <f>IFERROR(VLOOKUP(F4567,'LEAID Match'!$A$2:$B$142,2,FALSE),"")</f>
        <v/>
      </c>
    </row>
    <row r="4568" spans="1:8" x14ac:dyDescent="0.2">
      <c r="A4568" t="str">
        <f t="shared" si="71"/>
        <v/>
      </c>
      <c r="B4568">
        <v>2016</v>
      </c>
      <c r="C4568" s="1" t="s">
        <v>2505</v>
      </c>
      <c r="D4568" s="1" t="s">
        <v>2506</v>
      </c>
      <c r="E4568" s="1" t="s">
        <v>2019</v>
      </c>
      <c r="F4568" s="1" t="s">
        <v>454</v>
      </c>
      <c r="G4568" s="12">
        <v>920074</v>
      </c>
      <c r="H4568" t="str">
        <f>IFERROR(VLOOKUP(F4568,'LEAID Match'!$A$2:$B$142,2,FALSE),"")</f>
        <v/>
      </c>
    </row>
    <row r="4569" spans="1:8" x14ac:dyDescent="0.2">
      <c r="A4569" t="str">
        <f t="shared" si="71"/>
        <v/>
      </c>
      <c r="B4569" s="1">
        <v>2017</v>
      </c>
      <c r="C4569" s="1" t="s">
        <v>2505</v>
      </c>
      <c r="D4569" s="1" t="s">
        <v>2506</v>
      </c>
      <c r="E4569" s="1" t="s">
        <v>2019</v>
      </c>
      <c r="F4569" s="1" t="s">
        <v>454</v>
      </c>
      <c r="G4569" s="47">
        <v>851779</v>
      </c>
      <c r="H4569" t="str">
        <f>IFERROR(VLOOKUP(F4569,'LEAID Match'!$A$2:$B$142,2,FALSE),"")</f>
        <v/>
      </c>
    </row>
    <row r="4570" spans="1:8" x14ac:dyDescent="0.2">
      <c r="A4570" t="str">
        <f t="shared" si="71"/>
        <v/>
      </c>
      <c r="B4570" s="1">
        <v>2018</v>
      </c>
      <c r="C4570" s="1" t="s">
        <v>2505</v>
      </c>
      <c r="D4570" s="1" t="s">
        <v>2506</v>
      </c>
      <c r="E4570" s="1" t="s">
        <v>2019</v>
      </c>
      <c r="F4570" s="1" t="s">
        <v>454</v>
      </c>
      <c r="G4570" s="6">
        <v>772603</v>
      </c>
      <c r="H4570" t="str">
        <f>IFERROR(VLOOKUP(F4570,'LEAID Match'!$A$2:$B$142,2,FALSE),"")</f>
        <v/>
      </c>
    </row>
    <row r="4571" spans="1:8" x14ac:dyDescent="0.2">
      <c r="A4571" t="str">
        <f t="shared" si="71"/>
        <v/>
      </c>
      <c r="B4571" s="1">
        <v>2019</v>
      </c>
      <c r="C4571" s="1" t="s">
        <v>2505</v>
      </c>
      <c r="D4571" s="1" t="s">
        <v>2506</v>
      </c>
      <c r="E4571" s="1" t="s">
        <v>2019</v>
      </c>
      <c r="F4571" s="1" t="s">
        <v>454</v>
      </c>
      <c r="G4571" s="6">
        <v>783217</v>
      </c>
      <c r="H4571" t="str">
        <f>IFERROR(VLOOKUP(F4571,'LEAID Match'!$A$2:$B$142,2,FALSE),"")</f>
        <v/>
      </c>
    </row>
    <row r="4572" spans="1:8" x14ac:dyDescent="0.2">
      <c r="A4572" t="str">
        <f t="shared" si="71"/>
        <v/>
      </c>
      <c r="B4572" s="1">
        <v>2020</v>
      </c>
      <c r="C4572" s="1" t="s">
        <v>2505</v>
      </c>
      <c r="D4572" s="1" t="s">
        <v>2506</v>
      </c>
      <c r="E4572" s="1" t="s">
        <v>2019</v>
      </c>
      <c r="F4572" s="1" t="s">
        <v>454</v>
      </c>
      <c r="G4572" s="6">
        <v>866027</v>
      </c>
      <c r="H4572" t="str">
        <f>IFERROR(VLOOKUP(F4572,'LEAID Match'!$A$2:$B$142,2,FALSE),"")</f>
        <v/>
      </c>
    </row>
    <row r="4573" spans="1:8" x14ac:dyDescent="0.2">
      <c r="A4573" t="str">
        <f t="shared" si="71"/>
        <v/>
      </c>
      <c r="B4573" s="1">
        <v>2021</v>
      </c>
      <c r="C4573" s="1" t="s">
        <v>2505</v>
      </c>
      <c r="D4573" s="1" t="s">
        <v>2506</v>
      </c>
      <c r="E4573" s="1" t="s">
        <v>2019</v>
      </c>
      <c r="F4573" s="1" t="s">
        <v>454</v>
      </c>
      <c r="G4573" s="6">
        <v>906807</v>
      </c>
      <c r="H4573" t="str">
        <f>IFERROR(VLOOKUP(F4573,'LEAID Match'!$A$2:$B$142,2,FALSE),"")</f>
        <v/>
      </c>
    </row>
    <row r="4574" spans="1:8" x14ac:dyDescent="0.2">
      <c r="A4574" t="str">
        <f t="shared" si="71"/>
        <v/>
      </c>
      <c r="B4574" s="1">
        <v>2022</v>
      </c>
      <c r="C4574" s="1" t="s">
        <v>2505</v>
      </c>
      <c r="D4574" s="1" t="s">
        <v>2506</v>
      </c>
      <c r="E4574" s="1" t="s">
        <v>2019</v>
      </c>
      <c r="F4574" s="1" t="s">
        <v>454</v>
      </c>
      <c r="G4574" s="6">
        <v>963667</v>
      </c>
      <c r="H4574" t="str">
        <f>IFERROR(VLOOKUP(F4574,'LEAID Match'!$A$2:$B$142,2,FALSE),"")</f>
        <v/>
      </c>
    </row>
    <row r="4575" spans="1:8" x14ac:dyDescent="0.2">
      <c r="A4575" t="str">
        <f t="shared" si="71"/>
        <v/>
      </c>
      <c r="B4575" s="1">
        <v>2023</v>
      </c>
      <c r="C4575" s="1" t="s">
        <v>2505</v>
      </c>
      <c r="D4575" s="1" t="s">
        <v>2506</v>
      </c>
      <c r="E4575" s="1" t="s">
        <v>2019</v>
      </c>
      <c r="F4575" s="1" t="s">
        <v>454</v>
      </c>
      <c r="G4575" s="6">
        <v>1044854</v>
      </c>
      <c r="H4575" t="str">
        <f>IFERROR(VLOOKUP(F4575,'LEAID Match'!$A$2:$B$142,2,FALSE),"")</f>
        <v/>
      </c>
    </row>
    <row r="4576" spans="1:8" x14ac:dyDescent="0.2">
      <c r="A4576" t="str">
        <f t="shared" si="71"/>
        <v/>
      </c>
      <c r="B4576" s="1">
        <v>2024</v>
      </c>
      <c r="C4576" s="1" t="s">
        <v>2505</v>
      </c>
      <c r="D4576" s="1" t="s">
        <v>2506</v>
      </c>
      <c r="E4576" s="1" t="s">
        <v>2019</v>
      </c>
      <c r="F4576" s="1" t="s">
        <v>454</v>
      </c>
      <c r="G4576" s="6">
        <v>1145536</v>
      </c>
      <c r="H4576" t="str">
        <f>IFERROR(VLOOKUP(F4576,'LEAID Match'!$A$2:$B$142,2,FALSE),"")</f>
        <v/>
      </c>
    </row>
    <row r="4577" spans="1:8" x14ac:dyDescent="0.2">
      <c r="A4577" t="str">
        <f t="shared" si="71"/>
        <v/>
      </c>
      <c r="B4577" s="1">
        <v>2015</v>
      </c>
      <c r="C4577" s="1" t="s">
        <v>2505</v>
      </c>
      <c r="D4577" s="1" t="s">
        <v>2506</v>
      </c>
      <c r="E4577" s="1" t="s">
        <v>2019</v>
      </c>
      <c r="F4577" s="1" t="s">
        <v>455</v>
      </c>
      <c r="G4577" s="6">
        <v>307668</v>
      </c>
      <c r="H4577" t="str">
        <f>IFERROR(VLOOKUP(F4577,'LEAID Match'!$A$2:$B$142,2,FALSE),"")</f>
        <v/>
      </c>
    </row>
    <row r="4578" spans="1:8" x14ac:dyDescent="0.2">
      <c r="A4578" t="str">
        <f t="shared" si="71"/>
        <v/>
      </c>
      <c r="B4578">
        <v>2016</v>
      </c>
      <c r="C4578" s="1" t="s">
        <v>2505</v>
      </c>
      <c r="D4578" s="1" t="s">
        <v>2506</v>
      </c>
      <c r="E4578" s="1" t="s">
        <v>2019</v>
      </c>
      <c r="F4578" s="1" t="s">
        <v>455</v>
      </c>
      <c r="G4578" s="12">
        <v>341721</v>
      </c>
      <c r="H4578" t="str">
        <f>IFERROR(VLOOKUP(F4578,'LEAID Match'!$A$2:$B$142,2,FALSE),"")</f>
        <v/>
      </c>
    </row>
    <row r="4579" spans="1:8" x14ac:dyDescent="0.2">
      <c r="A4579" t="str">
        <f t="shared" si="71"/>
        <v/>
      </c>
      <c r="B4579" s="1">
        <v>2017</v>
      </c>
      <c r="C4579" s="1" t="s">
        <v>2505</v>
      </c>
      <c r="D4579" s="1" t="s">
        <v>2506</v>
      </c>
      <c r="E4579" s="1" t="s">
        <v>2019</v>
      </c>
      <c r="F4579" s="1" t="s">
        <v>455</v>
      </c>
      <c r="G4579" s="47">
        <v>364800</v>
      </c>
      <c r="H4579" t="str">
        <f>IFERROR(VLOOKUP(F4579,'LEAID Match'!$A$2:$B$142,2,FALSE),"")</f>
        <v/>
      </c>
    </row>
    <row r="4580" spans="1:8" x14ac:dyDescent="0.2">
      <c r="A4580" t="str">
        <f t="shared" si="71"/>
        <v/>
      </c>
      <c r="B4580" s="1">
        <v>2018</v>
      </c>
      <c r="C4580" s="1" t="s">
        <v>2505</v>
      </c>
      <c r="D4580" s="1" t="s">
        <v>2506</v>
      </c>
      <c r="E4580" s="1" t="s">
        <v>2019</v>
      </c>
      <c r="F4580" s="1" t="s">
        <v>455</v>
      </c>
      <c r="G4580" s="6">
        <v>382219</v>
      </c>
      <c r="H4580" t="str">
        <f>IFERROR(VLOOKUP(F4580,'LEAID Match'!$A$2:$B$142,2,FALSE),"")</f>
        <v/>
      </c>
    </row>
    <row r="4581" spans="1:8" x14ac:dyDescent="0.2">
      <c r="A4581" t="str">
        <f t="shared" si="71"/>
        <v/>
      </c>
      <c r="B4581" s="1">
        <v>2019</v>
      </c>
      <c r="C4581" s="1" t="s">
        <v>2505</v>
      </c>
      <c r="D4581" s="1" t="s">
        <v>2506</v>
      </c>
      <c r="E4581" s="1" t="s">
        <v>2019</v>
      </c>
      <c r="F4581" s="1" t="s">
        <v>455</v>
      </c>
      <c r="G4581" s="6">
        <v>446140</v>
      </c>
      <c r="H4581" t="str">
        <f>IFERROR(VLOOKUP(F4581,'LEAID Match'!$A$2:$B$142,2,FALSE),"")</f>
        <v/>
      </c>
    </row>
    <row r="4582" spans="1:8" x14ac:dyDescent="0.2">
      <c r="A4582" t="str">
        <f t="shared" si="71"/>
        <v/>
      </c>
      <c r="B4582" s="1">
        <v>2020</v>
      </c>
      <c r="C4582" s="1" t="s">
        <v>2505</v>
      </c>
      <c r="D4582" s="1" t="s">
        <v>2506</v>
      </c>
      <c r="E4582" s="1" t="s">
        <v>2019</v>
      </c>
      <c r="F4582" s="1" t="s">
        <v>455</v>
      </c>
      <c r="G4582" s="6">
        <v>516409</v>
      </c>
      <c r="H4582" t="str">
        <f>IFERROR(VLOOKUP(F4582,'LEAID Match'!$A$2:$B$142,2,FALSE),"")</f>
        <v/>
      </c>
    </row>
    <row r="4583" spans="1:8" x14ac:dyDescent="0.2">
      <c r="A4583" t="str">
        <f t="shared" si="71"/>
        <v/>
      </c>
      <c r="B4583" s="1">
        <v>2021</v>
      </c>
      <c r="C4583" s="1" t="s">
        <v>2505</v>
      </c>
      <c r="D4583" s="1" t="s">
        <v>2506</v>
      </c>
      <c r="E4583" s="1" t="s">
        <v>2019</v>
      </c>
      <c r="F4583" s="1" t="s">
        <v>455</v>
      </c>
      <c r="G4583" s="6">
        <v>480261</v>
      </c>
      <c r="H4583" t="str">
        <f>IFERROR(VLOOKUP(F4583,'LEAID Match'!$A$2:$B$142,2,FALSE),"")</f>
        <v/>
      </c>
    </row>
    <row r="4584" spans="1:8" x14ac:dyDescent="0.2">
      <c r="A4584" t="str">
        <f t="shared" si="71"/>
        <v/>
      </c>
      <c r="B4584" s="1">
        <v>2022</v>
      </c>
      <c r="C4584" s="1" t="s">
        <v>2505</v>
      </c>
      <c r="D4584" s="1" t="s">
        <v>2506</v>
      </c>
      <c r="E4584" s="1" t="s">
        <v>2019</v>
      </c>
      <c r="F4584" s="1" t="s">
        <v>455</v>
      </c>
      <c r="G4584" s="6">
        <v>494940</v>
      </c>
      <c r="H4584" t="str">
        <f>IFERROR(VLOOKUP(F4584,'LEAID Match'!$A$2:$B$142,2,FALSE),"")</f>
        <v/>
      </c>
    </row>
    <row r="4585" spans="1:8" x14ac:dyDescent="0.2">
      <c r="A4585" t="str">
        <f t="shared" si="71"/>
        <v/>
      </c>
      <c r="B4585" s="1">
        <v>2023</v>
      </c>
      <c r="C4585" s="1" t="s">
        <v>2505</v>
      </c>
      <c r="D4585" s="1" t="s">
        <v>2506</v>
      </c>
      <c r="E4585" s="1" t="s">
        <v>2019</v>
      </c>
      <c r="F4585" s="1" t="s">
        <v>455</v>
      </c>
      <c r="G4585" s="6">
        <v>592667</v>
      </c>
      <c r="H4585" t="str">
        <f>IFERROR(VLOOKUP(F4585,'LEAID Match'!$A$2:$B$142,2,FALSE),"")</f>
        <v/>
      </c>
    </row>
    <row r="4586" spans="1:8" x14ac:dyDescent="0.2">
      <c r="A4586" t="str">
        <f t="shared" si="71"/>
        <v/>
      </c>
      <c r="B4586" s="1">
        <v>2024</v>
      </c>
      <c r="C4586" s="1" t="s">
        <v>2505</v>
      </c>
      <c r="D4586" s="1" t="s">
        <v>2506</v>
      </c>
      <c r="E4586" s="1" t="s">
        <v>2019</v>
      </c>
      <c r="F4586" s="1" t="s">
        <v>455</v>
      </c>
      <c r="G4586" s="6">
        <v>640028</v>
      </c>
      <c r="H4586" t="str">
        <f>IFERROR(VLOOKUP(F4586,'LEAID Match'!$A$2:$B$142,2,FALSE),"")</f>
        <v/>
      </c>
    </row>
    <row r="4587" spans="1:8" x14ac:dyDescent="0.2">
      <c r="A4587" t="str">
        <f t="shared" si="71"/>
        <v/>
      </c>
      <c r="B4587" s="1">
        <v>2015</v>
      </c>
      <c r="C4587" s="1" t="s">
        <v>2505</v>
      </c>
      <c r="D4587" s="1" t="s">
        <v>2506</v>
      </c>
      <c r="E4587" s="1" t="s">
        <v>2019</v>
      </c>
      <c r="F4587" s="1" t="s">
        <v>456</v>
      </c>
      <c r="G4587" s="6">
        <v>2490530</v>
      </c>
      <c r="H4587" t="str">
        <f>IFERROR(VLOOKUP(F4587,'LEAID Match'!$A$2:$B$142,2,FALSE),"")</f>
        <v/>
      </c>
    </row>
    <row r="4588" spans="1:8" x14ac:dyDescent="0.2">
      <c r="A4588" t="str">
        <f t="shared" si="71"/>
        <v/>
      </c>
      <c r="B4588">
        <v>2016</v>
      </c>
      <c r="C4588" s="1" t="s">
        <v>2505</v>
      </c>
      <c r="D4588" s="1" t="s">
        <v>2506</v>
      </c>
      <c r="E4588" s="1" t="s">
        <v>2019</v>
      </c>
      <c r="F4588" s="1" t="s">
        <v>456</v>
      </c>
      <c r="G4588" s="12">
        <v>2621756</v>
      </c>
      <c r="H4588" t="str">
        <f>IFERROR(VLOOKUP(F4588,'LEAID Match'!$A$2:$B$142,2,FALSE),"")</f>
        <v/>
      </c>
    </row>
    <row r="4589" spans="1:8" x14ac:dyDescent="0.2">
      <c r="A4589" t="str">
        <f t="shared" si="71"/>
        <v/>
      </c>
      <c r="B4589" s="1">
        <v>2017</v>
      </c>
      <c r="C4589" s="1" t="s">
        <v>2505</v>
      </c>
      <c r="D4589" s="1" t="s">
        <v>2506</v>
      </c>
      <c r="E4589" s="1" t="s">
        <v>2019</v>
      </c>
      <c r="F4589" s="1" t="s">
        <v>456</v>
      </c>
      <c r="G4589" s="47">
        <v>2837848</v>
      </c>
      <c r="H4589" t="str">
        <f>IFERROR(VLOOKUP(F4589,'LEAID Match'!$A$2:$B$142,2,FALSE),"")</f>
        <v/>
      </c>
    </row>
    <row r="4590" spans="1:8" x14ac:dyDescent="0.2">
      <c r="A4590" t="str">
        <f t="shared" si="71"/>
        <v/>
      </c>
      <c r="B4590" s="1">
        <v>2018</v>
      </c>
      <c r="C4590" s="1" t="s">
        <v>2505</v>
      </c>
      <c r="D4590" s="1" t="s">
        <v>2506</v>
      </c>
      <c r="E4590" s="1" t="s">
        <v>2019</v>
      </c>
      <c r="F4590" s="1" t="s">
        <v>456</v>
      </c>
      <c r="G4590" s="6">
        <v>2946301</v>
      </c>
      <c r="H4590" t="str">
        <f>IFERROR(VLOOKUP(F4590,'LEAID Match'!$A$2:$B$142,2,FALSE),"")</f>
        <v/>
      </c>
    </row>
    <row r="4591" spans="1:8" x14ac:dyDescent="0.2">
      <c r="A4591" t="str">
        <f t="shared" si="71"/>
        <v/>
      </c>
      <c r="B4591" s="1">
        <v>2019</v>
      </c>
      <c r="C4591" s="1" t="s">
        <v>2505</v>
      </c>
      <c r="D4591" s="1" t="s">
        <v>2506</v>
      </c>
      <c r="E4591" s="1" t="s">
        <v>2019</v>
      </c>
      <c r="F4591" s="1" t="s">
        <v>456</v>
      </c>
      <c r="G4591" s="6">
        <v>2585945</v>
      </c>
      <c r="H4591" t="str">
        <f>IFERROR(VLOOKUP(F4591,'LEAID Match'!$A$2:$B$142,2,FALSE),"")</f>
        <v/>
      </c>
    </row>
    <row r="4592" spans="1:8" x14ac:dyDescent="0.2">
      <c r="A4592" t="str">
        <f t="shared" si="71"/>
        <v/>
      </c>
      <c r="B4592" s="1">
        <v>2020</v>
      </c>
      <c r="C4592" s="1" t="s">
        <v>2505</v>
      </c>
      <c r="D4592" s="1" t="s">
        <v>2506</v>
      </c>
      <c r="E4592" s="1" t="s">
        <v>2019</v>
      </c>
      <c r="F4592" s="1" t="s">
        <v>456</v>
      </c>
      <c r="G4592" s="6">
        <v>2773889</v>
      </c>
      <c r="H4592" t="str">
        <f>IFERROR(VLOOKUP(F4592,'LEAID Match'!$A$2:$B$142,2,FALSE),"")</f>
        <v/>
      </c>
    </row>
    <row r="4593" spans="1:8" x14ac:dyDescent="0.2">
      <c r="A4593" t="str">
        <f t="shared" si="71"/>
        <v/>
      </c>
      <c r="B4593" s="1">
        <v>2021</v>
      </c>
      <c r="C4593" s="1" t="s">
        <v>2505</v>
      </c>
      <c r="D4593" s="1" t="s">
        <v>2506</v>
      </c>
      <c r="E4593" s="1" t="s">
        <v>2019</v>
      </c>
      <c r="F4593" s="1" t="s">
        <v>456</v>
      </c>
      <c r="G4593" s="6">
        <v>2896625</v>
      </c>
      <c r="H4593" t="str">
        <f>IFERROR(VLOOKUP(F4593,'LEAID Match'!$A$2:$B$142,2,FALSE),"")</f>
        <v/>
      </c>
    </row>
    <row r="4594" spans="1:8" x14ac:dyDescent="0.2">
      <c r="A4594" t="str">
        <f t="shared" si="71"/>
        <v/>
      </c>
      <c r="B4594" s="1">
        <v>2022</v>
      </c>
      <c r="C4594" s="1" t="s">
        <v>2505</v>
      </c>
      <c r="D4594" s="1" t="s">
        <v>2506</v>
      </c>
      <c r="E4594" s="1" t="s">
        <v>2019</v>
      </c>
      <c r="F4594" s="1" t="s">
        <v>456</v>
      </c>
      <c r="G4594" s="6">
        <v>2941895</v>
      </c>
      <c r="H4594" t="str">
        <f>IFERROR(VLOOKUP(F4594,'LEAID Match'!$A$2:$B$142,2,FALSE),"")</f>
        <v/>
      </c>
    </row>
    <row r="4595" spans="1:8" x14ac:dyDescent="0.2">
      <c r="A4595" t="str">
        <f t="shared" si="71"/>
        <v/>
      </c>
      <c r="B4595" s="1">
        <v>2023</v>
      </c>
      <c r="C4595" s="1" t="s">
        <v>2505</v>
      </c>
      <c r="D4595" s="1" t="s">
        <v>2506</v>
      </c>
      <c r="E4595" s="1" t="s">
        <v>2019</v>
      </c>
      <c r="F4595" s="1" t="s">
        <v>456</v>
      </c>
      <c r="G4595" s="6">
        <v>3237608</v>
      </c>
      <c r="H4595" t="str">
        <f>IFERROR(VLOOKUP(F4595,'LEAID Match'!$A$2:$B$142,2,FALSE),"")</f>
        <v/>
      </c>
    </row>
    <row r="4596" spans="1:8" x14ac:dyDescent="0.2">
      <c r="A4596" t="str">
        <f t="shared" si="71"/>
        <v/>
      </c>
      <c r="B4596" s="1">
        <v>2024</v>
      </c>
      <c r="C4596" s="1" t="s">
        <v>2505</v>
      </c>
      <c r="D4596" s="1" t="s">
        <v>2506</v>
      </c>
      <c r="E4596" s="1" t="s">
        <v>2019</v>
      </c>
      <c r="F4596" s="1" t="s">
        <v>456</v>
      </c>
      <c r="G4596" s="6">
        <v>3211238</v>
      </c>
      <c r="H4596" t="str">
        <f>IFERROR(VLOOKUP(F4596,'LEAID Match'!$A$2:$B$142,2,FALSE),"")</f>
        <v/>
      </c>
    </row>
    <row r="4597" spans="1:8" x14ac:dyDescent="0.2">
      <c r="A4597" t="str">
        <f t="shared" si="71"/>
        <v/>
      </c>
      <c r="B4597" s="1">
        <v>2015</v>
      </c>
      <c r="C4597" s="1" t="s">
        <v>2505</v>
      </c>
      <c r="D4597" s="1" t="s">
        <v>2506</v>
      </c>
      <c r="E4597" s="1" t="s">
        <v>2019</v>
      </c>
      <c r="F4597" s="1" t="s">
        <v>457</v>
      </c>
      <c r="G4597" s="6">
        <v>2441588</v>
      </c>
      <c r="H4597" t="str">
        <f>IFERROR(VLOOKUP(F4597,'LEAID Match'!$A$2:$B$142,2,FALSE),"")</f>
        <v/>
      </c>
    </row>
    <row r="4598" spans="1:8" x14ac:dyDescent="0.2">
      <c r="A4598" t="str">
        <f t="shared" si="71"/>
        <v/>
      </c>
      <c r="B4598">
        <v>2016</v>
      </c>
      <c r="C4598" s="1" t="s">
        <v>2505</v>
      </c>
      <c r="D4598" s="1" t="s">
        <v>2506</v>
      </c>
      <c r="E4598" s="1" t="s">
        <v>2019</v>
      </c>
      <c r="F4598" s="1" t="s">
        <v>457</v>
      </c>
      <c r="G4598" s="12">
        <v>2486179</v>
      </c>
      <c r="H4598" t="str">
        <f>IFERROR(VLOOKUP(F4598,'LEAID Match'!$A$2:$B$142,2,FALSE),"")</f>
        <v/>
      </c>
    </row>
    <row r="4599" spans="1:8" x14ac:dyDescent="0.2">
      <c r="A4599" t="str">
        <f t="shared" si="71"/>
        <v/>
      </c>
      <c r="B4599" s="1">
        <v>2017</v>
      </c>
      <c r="C4599" s="1" t="s">
        <v>2505</v>
      </c>
      <c r="D4599" s="1" t="s">
        <v>2506</v>
      </c>
      <c r="E4599" s="1" t="s">
        <v>2019</v>
      </c>
      <c r="F4599" s="1" t="s">
        <v>457</v>
      </c>
      <c r="G4599" s="47">
        <v>2520652</v>
      </c>
      <c r="H4599" t="str">
        <f>IFERROR(VLOOKUP(F4599,'LEAID Match'!$A$2:$B$142,2,FALSE),"")</f>
        <v/>
      </c>
    </row>
    <row r="4600" spans="1:8" x14ac:dyDescent="0.2">
      <c r="A4600" t="str">
        <f t="shared" si="71"/>
        <v/>
      </c>
      <c r="B4600" s="1">
        <v>2018</v>
      </c>
      <c r="C4600" s="1" t="s">
        <v>2505</v>
      </c>
      <c r="D4600" s="1" t="s">
        <v>2506</v>
      </c>
      <c r="E4600" s="1" t="s">
        <v>2019</v>
      </c>
      <c r="F4600" s="1" t="s">
        <v>457</v>
      </c>
      <c r="G4600" s="6">
        <v>2498417</v>
      </c>
      <c r="H4600" t="str">
        <f>IFERROR(VLOOKUP(F4600,'LEAID Match'!$A$2:$B$142,2,FALSE),"")</f>
        <v/>
      </c>
    </row>
    <row r="4601" spans="1:8" x14ac:dyDescent="0.2">
      <c r="A4601" t="str">
        <f t="shared" si="71"/>
        <v/>
      </c>
      <c r="B4601" s="1">
        <v>2019</v>
      </c>
      <c r="C4601" s="1" t="s">
        <v>2505</v>
      </c>
      <c r="D4601" s="1" t="s">
        <v>2506</v>
      </c>
      <c r="E4601" s="1" t="s">
        <v>2019</v>
      </c>
      <c r="F4601" s="1" t="s">
        <v>457</v>
      </c>
      <c r="G4601" s="6">
        <v>2547574</v>
      </c>
      <c r="H4601" t="str">
        <f>IFERROR(VLOOKUP(F4601,'LEAID Match'!$A$2:$B$142,2,FALSE),"")</f>
        <v/>
      </c>
    </row>
    <row r="4602" spans="1:8" x14ac:dyDescent="0.2">
      <c r="A4602" t="str">
        <f t="shared" si="71"/>
        <v/>
      </c>
      <c r="B4602" s="1">
        <v>2020</v>
      </c>
      <c r="C4602" s="1" t="s">
        <v>2505</v>
      </c>
      <c r="D4602" s="1" t="s">
        <v>2506</v>
      </c>
      <c r="E4602" s="1" t="s">
        <v>2019</v>
      </c>
      <c r="F4602" s="1" t="s">
        <v>457</v>
      </c>
      <c r="G4602" s="6">
        <v>2813213</v>
      </c>
      <c r="H4602" t="str">
        <f>IFERROR(VLOOKUP(F4602,'LEAID Match'!$A$2:$B$142,2,FALSE),"")</f>
        <v/>
      </c>
    </row>
    <row r="4603" spans="1:8" x14ac:dyDescent="0.2">
      <c r="A4603" t="str">
        <f t="shared" si="71"/>
        <v/>
      </c>
      <c r="B4603" s="1">
        <v>2021</v>
      </c>
      <c r="C4603" s="1" t="s">
        <v>2505</v>
      </c>
      <c r="D4603" s="1" t="s">
        <v>2506</v>
      </c>
      <c r="E4603" s="1" t="s">
        <v>2019</v>
      </c>
      <c r="F4603" s="1" t="s">
        <v>457</v>
      </c>
      <c r="G4603" s="6">
        <v>2710683</v>
      </c>
      <c r="H4603" t="str">
        <f>IFERROR(VLOOKUP(F4603,'LEAID Match'!$A$2:$B$142,2,FALSE),"")</f>
        <v/>
      </c>
    </row>
    <row r="4604" spans="1:8" x14ac:dyDescent="0.2">
      <c r="A4604" t="str">
        <f t="shared" si="71"/>
        <v/>
      </c>
      <c r="B4604" s="1">
        <v>2022</v>
      </c>
      <c r="C4604" s="1" t="s">
        <v>2505</v>
      </c>
      <c r="D4604" s="1" t="s">
        <v>2506</v>
      </c>
      <c r="E4604" s="1" t="s">
        <v>2019</v>
      </c>
      <c r="F4604" s="1" t="s">
        <v>457</v>
      </c>
      <c r="G4604" s="6">
        <v>2806957</v>
      </c>
      <c r="H4604" t="str">
        <f>IFERROR(VLOOKUP(F4604,'LEAID Match'!$A$2:$B$142,2,FALSE),"")</f>
        <v/>
      </c>
    </row>
    <row r="4605" spans="1:8" x14ac:dyDescent="0.2">
      <c r="A4605" t="str">
        <f t="shared" si="71"/>
        <v/>
      </c>
      <c r="B4605" s="1">
        <v>2023</v>
      </c>
      <c r="C4605" s="1" t="s">
        <v>2505</v>
      </c>
      <c r="D4605" s="1" t="s">
        <v>2506</v>
      </c>
      <c r="E4605" s="1" t="s">
        <v>2019</v>
      </c>
      <c r="F4605" s="1" t="s">
        <v>457</v>
      </c>
      <c r="G4605" s="6">
        <v>2829038</v>
      </c>
      <c r="H4605" t="str">
        <f>IFERROR(VLOOKUP(F4605,'LEAID Match'!$A$2:$B$142,2,FALSE),"")</f>
        <v/>
      </c>
    </row>
    <row r="4606" spans="1:8" x14ac:dyDescent="0.2">
      <c r="A4606" t="str">
        <f t="shared" si="71"/>
        <v/>
      </c>
      <c r="B4606" s="1">
        <v>2024</v>
      </c>
      <c r="C4606" s="1" t="s">
        <v>2505</v>
      </c>
      <c r="D4606" s="1" t="s">
        <v>2506</v>
      </c>
      <c r="E4606" s="1" t="s">
        <v>2019</v>
      </c>
      <c r="F4606" s="1" t="s">
        <v>457</v>
      </c>
      <c r="G4606" s="6">
        <v>2788978</v>
      </c>
      <c r="H4606" t="str">
        <f>IFERROR(VLOOKUP(F4606,'LEAID Match'!$A$2:$B$142,2,FALSE),"")</f>
        <v/>
      </c>
    </row>
    <row r="4607" spans="1:8" x14ac:dyDescent="0.2">
      <c r="A4607" t="str">
        <f t="shared" si="71"/>
        <v/>
      </c>
      <c r="B4607" s="1">
        <v>2015</v>
      </c>
      <c r="C4607" s="1" t="s">
        <v>2505</v>
      </c>
      <c r="D4607" s="1" t="s">
        <v>2506</v>
      </c>
      <c r="E4607" s="1" t="s">
        <v>2019</v>
      </c>
      <c r="F4607" s="1" t="s">
        <v>458</v>
      </c>
      <c r="G4607" s="6">
        <v>284411</v>
      </c>
      <c r="H4607" t="str">
        <f>IFERROR(VLOOKUP(F4607,'LEAID Match'!$A$2:$B$142,2,FALSE),"")</f>
        <v/>
      </c>
    </row>
    <row r="4608" spans="1:8" x14ac:dyDescent="0.2">
      <c r="A4608" t="str">
        <f t="shared" si="71"/>
        <v/>
      </c>
      <c r="B4608">
        <v>2016</v>
      </c>
      <c r="C4608" s="1" t="s">
        <v>2505</v>
      </c>
      <c r="D4608" s="1" t="s">
        <v>2506</v>
      </c>
      <c r="E4608" s="1" t="s">
        <v>2019</v>
      </c>
      <c r="F4608" s="1" t="s">
        <v>458</v>
      </c>
      <c r="G4608" s="12">
        <v>293152</v>
      </c>
      <c r="H4608" t="str">
        <f>IFERROR(VLOOKUP(F4608,'LEAID Match'!$A$2:$B$142,2,FALSE),"")</f>
        <v/>
      </c>
    </row>
    <row r="4609" spans="1:8" x14ac:dyDescent="0.2">
      <c r="A4609" t="str">
        <f t="shared" si="71"/>
        <v/>
      </c>
      <c r="B4609" s="1">
        <v>2017</v>
      </c>
      <c r="C4609" s="1" t="s">
        <v>2505</v>
      </c>
      <c r="D4609" s="1" t="s">
        <v>2506</v>
      </c>
      <c r="E4609" s="1" t="s">
        <v>2019</v>
      </c>
      <c r="F4609" s="1" t="s">
        <v>458</v>
      </c>
      <c r="G4609" s="47">
        <v>300807</v>
      </c>
      <c r="H4609" t="str">
        <f>IFERROR(VLOOKUP(F4609,'LEAID Match'!$A$2:$B$142,2,FALSE),"")</f>
        <v/>
      </c>
    </row>
    <row r="4610" spans="1:8" x14ac:dyDescent="0.2">
      <c r="A4610" t="str">
        <f t="shared" si="71"/>
        <v/>
      </c>
      <c r="B4610" s="1">
        <v>2018</v>
      </c>
      <c r="C4610" s="1" t="s">
        <v>2505</v>
      </c>
      <c r="D4610" s="1" t="s">
        <v>2506</v>
      </c>
      <c r="E4610" s="1" t="s">
        <v>2019</v>
      </c>
      <c r="F4610" s="1" t="s">
        <v>458</v>
      </c>
      <c r="G4610" s="6">
        <v>310756</v>
      </c>
      <c r="H4610" t="str">
        <f>IFERROR(VLOOKUP(F4610,'LEAID Match'!$A$2:$B$142,2,FALSE),"")</f>
        <v/>
      </c>
    </row>
    <row r="4611" spans="1:8" x14ac:dyDescent="0.2">
      <c r="A4611" t="str">
        <f t="shared" ref="A4611:A4674" si="72">H4611</f>
        <v/>
      </c>
      <c r="B4611" s="1">
        <v>2019</v>
      </c>
      <c r="C4611" s="1" t="s">
        <v>2505</v>
      </c>
      <c r="D4611" s="1" t="s">
        <v>2506</v>
      </c>
      <c r="E4611" s="1" t="s">
        <v>2019</v>
      </c>
      <c r="F4611" s="1" t="s">
        <v>458</v>
      </c>
      <c r="G4611" s="6">
        <v>317185</v>
      </c>
      <c r="H4611" t="str">
        <f>IFERROR(VLOOKUP(F4611,'LEAID Match'!$A$2:$B$142,2,FALSE),"")</f>
        <v/>
      </c>
    </row>
    <row r="4612" spans="1:8" x14ac:dyDescent="0.2">
      <c r="A4612" t="str">
        <f t="shared" si="72"/>
        <v/>
      </c>
      <c r="B4612" s="1">
        <v>2020</v>
      </c>
      <c r="C4612" s="1" t="s">
        <v>2505</v>
      </c>
      <c r="D4612" s="1" t="s">
        <v>2506</v>
      </c>
      <c r="E4612" s="1" t="s">
        <v>2019</v>
      </c>
      <c r="F4612" s="1" t="s">
        <v>458</v>
      </c>
      <c r="G4612" s="6">
        <v>356165</v>
      </c>
      <c r="H4612" t="str">
        <f>IFERROR(VLOOKUP(F4612,'LEAID Match'!$A$2:$B$142,2,FALSE),"")</f>
        <v/>
      </c>
    </row>
    <row r="4613" spans="1:8" x14ac:dyDescent="0.2">
      <c r="A4613" t="str">
        <f t="shared" si="72"/>
        <v/>
      </c>
      <c r="B4613" s="1">
        <v>2021</v>
      </c>
      <c r="C4613" s="1" t="s">
        <v>2505</v>
      </c>
      <c r="D4613" s="1" t="s">
        <v>2506</v>
      </c>
      <c r="E4613" s="1" t="s">
        <v>2019</v>
      </c>
      <c r="F4613" s="1" t="s">
        <v>458</v>
      </c>
      <c r="G4613" s="6">
        <v>350240</v>
      </c>
      <c r="H4613" t="str">
        <f>IFERROR(VLOOKUP(F4613,'LEAID Match'!$A$2:$B$142,2,FALSE),"")</f>
        <v/>
      </c>
    </row>
    <row r="4614" spans="1:8" x14ac:dyDescent="0.2">
      <c r="A4614" t="str">
        <f t="shared" si="72"/>
        <v/>
      </c>
      <c r="B4614" s="1">
        <v>2022</v>
      </c>
      <c r="C4614" s="1" t="s">
        <v>2505</v>
      </c>
      <c r="D4614" s="1" t="s">
        <v>2506</v>
      </c>
      <c r="E4614" s="1" t="s">
        <v>2019</v>
      </c>
      <c r="F4614" s="1" t="s">
        <v>458</v>
      </c>
      <c r="G4614" s="6">
        <v>373964</v>
      </c>
      <c r="H4614" t="str">
        <f>IFERROR(VLOOKUP(F4614,'LEAID Match'!$A$2:$B$142,2,FALSE),"")</f>
        <v/>
      </c>
    </row>
    <row r="4615" spans="1:8" x14ac:dyDescent="0.2">
      <c r="A4615" t="str">
        <f t="shared" si="72"/>
        <v/>
      </c>
      <c r="B4615" s="1">
        <v>2023</v>
      </c>
      <c r="C4615" s="1" t="s">
        <v>2505</v>
      </c>
      <c r="D4615" s="1" t="s">
        <v>2506</v>
      </c>
      <c r="E4615" s="1" t="s">
        <v>2019</v>
      </c>
      <c r="F4615" s="1" t="s">
        <v>458</v>
      </c>
      <c r="G4615" s="6">
        <v>389180</v>
      </c>
      <c r="H4615" t="str">
        <f>IFERROR(VLOOKUP(F4615,'LEAID Match'!$A$2:$B$142,2,FALSE),"")</f>
        <v/>
      </c>
    </row>
    <row r="4616" spans="1:8" x14ac:dyDescent="0.2">
      <c r="A4616" t="str">
        <f t="shared" si="72"/>
        <v/>
      </c>
      <c r="B4616" s="1">
        <v>2024</v>
      </c>
      <c r="C4616" s="1" t="s">
        <v>2505</v>
      </c>
      <c r="D4616" s="1" t="s">
        <v>2506</v>
      </c>
      <c r="E4616" s="1" t="s">
        <v>2019</v>
      </c>
      <c r="F4616" s="1" t="s">
        <v>458</v>
      </c>
      <c r="G4616" s="6">
        <v>366186</v>
      </c>
      <c r="H4616" t="str">
        <f>IFERROR(VLOOKUP(F4616,'LEAID Match'!$A$2:$B$142,2,FALSE),"")</f>
        <v/>
      </c>
    </row>
    <row r="4617" spans="1:8" x14ac:dyDescent="0.2">
      <c r="A4617">
        <f t="shared" si="72"/>
        <v>2802910</v>
      </c>
      <c r="B4617" s="1">
        <v>2015</v>
      </c>
      <c r="C4617" s="1" t="s">
        <v>2505</v>
      </c>
      <c r="D4617" s="1" t="s">
        <v>2506</v>
      </c>
      <c r="E4617" s="1" t="s">
        <v>2019</v>
      </c>
      <c r="F4617" s="1" t="s">
        <v>459</v>
      </c>
      <c r="G4617" s="6">
        <v>5137385</v>
      </c>
      <c r="H4617">
        <f>IFERROR(VLOOKUP(F4617,'LEAID Match'!$A$2:$B$142,2,FALSE),"")</f>
        <v>2802910</v>
      </c>
    </row>
    <row r="4618" spans="1:8" x14ac:dyDescent="0.2">
      <c r="A4618">
        <f t="shared" si="72"/>
        <v>2802910</v>
      </c>
      <c r="B4618">
        <v>2016</v>
      </c>
      <c r="C4618" s="1" t="s">
        <v>2505</v>
      </c>
      <c r="D4618" s="1" t="s">
        <v>2506</v>
      </c>
      <c r="E4618" s="1" t="s">
        <v>2019</v>
      </c>
      <c r="F4618" s="1" t="s">
        <v>459</v>
      </c>
      <c r="G4618" s="12">
        <v>5213407</v>
      </c>
      <c r="H4618">
        <f>IFERROR(VLOOKUP(F4618,'LEAID Match'!$A$2:$B$142,2,FALSE),"")</f>
        <v>2802910</v>
      </c>
    </row>
    <row r="4619" spans="1:8" x14ac:dyDescent="0.2">
      <c r="A4619">
        <f t="shared" si="72"/>
        <v>2802910</v>
      </c>
      <c r="B4619" s="1">
        <v>2017</v>
      </c>
      <c r="C4619" s="1" t="s">
        <v>2505</v>
      </c>
      <c r="D4619" s="1" t="s">
        <v>2506</v>
      </c>
      <c r="E4619" s="1" t="s">
        <v>2019</v>
      </c>
      <c r="F4619" s="1" t="s">
        <v>459</v>
      </c>
      <c r="G4619" s="47">
        <v>4848069</v>
      </c>
      <c r="H4619">
        <f>IFERROR(VLOOKUP(F4619,'LEAID Match'!$A$2:$B$142,2,FALSE),"")</f>
        <v>2802910</v>
      </c>
    </row>
    <row r="4620" spans="1:8" x14ac:dyDescent="0.2">
      <c r="A4620">
        <f t="shared" si="72"/>
        <v>2802910</v>
      </c>
      <c r="B4620" s="1">
        <v>2018</v>
      </c>
      <c r="C4620" s="1" t="s">
        <v>2505</v>
      </c>
      <c r="D4620" s="1" t="s">
        <v>2506</v>
      </c>
      <c r="E4620" s="1" t="s">
        <v>2019</v>
      </c>
      <c r="F4620" s="1" t="s">
        <v>459</v>
      </c>
      <c r="G4620" s="6">
        <v>5036170</v>
      </c>
      <c r="H4620">
        <f>IFERROR(VLOOKUP(F4620,'LEAID Match'!$A$2:$B$142,2,FALSE),"")</f>
        <v>2802910</v>
      </c>
    </row>
    <row r="4621" spans="1:8" x14ac:dyDescent="0.2">
      <c r="A4621">
        <f t="shared" si="72"/>
        <v>2802910</v>
      </c>
      <c r="B4621" s="1">
        <v>2019</v>
      </c>
      <c r="C4621" s="1" t="s">
        <v>2505</v>
      </c>
      <c r="D4621" s="1" t="s">
        <v>2506</v>
      </c>
      <c r="E4621" s="1" t="s">
        <v>2019</v>
      </c>
      <c r="F4621" s="1" t="s">
        <v>459</v>
      </c>
      <c r="G4621" s="6">
        <v>5116094</v>
      </c>
      <c r="H4621">
        <f>IFERROR(VLOOKUP(F4621,'LEAID Match'!$A$2:$B$142,2,FALSE),"")</f>
        <v>2802910</v>
      </c>
    </row>
    <row r="4622" spans="1:8" x14ac:dyDescent="0.2">
      <c r="A4622">
        <f t="shared" si="72"/>
        <v>2802910</v>
      </c>
      <c r="B4622" s="1">
        <v>2020</v>
      </c>
      <c r="C4622" s="1" t="s">
        <v>2505</v>
      </c>
      <c r="D4622" s="1" t="s">
        <v>2506</v>
      </c>
      <c r="E4622" s="1" t="s">
        <v>2019</v>
      </c>
      <c r="F4622" s="1" t="s">
        <v>459</v>
      </c>
      <c r="G4622" s="6">
        <v>5919868</v>
      </c>
      <c r="H4622">
        <f>IFERROR(VLOOKUP(F4622,'LEAID Match'!$A$2:$B$142,2,FALSE),"")</f>
        <v>2802910</v>
      </c>
    </row>
    <row r="4623" spans="1:8" x14ac:dyDescent="0.2">
      <c r="A4623">
        <f t="shared" si="72"/>
        <v>2802910</v>
      </c>
      <c r="B4623" s="1">
        <v>2021</v>
      </c>
      <c r="C4623" s="1" t="s">
        <v>2505</v>
      </c>
      <c r="D4623" s="1" t="s">
        <v>2506</v>
      </c>
      <c r="E4623" s="1" t="s">
        <v>2019</v>
      </c>
      <c r="F4623" s="1" t="s">
        <v>459</v>
      </c>
      <c r="G4623" s="6">
        <v>5855736</v>
      </c>
      <c r="H4623">
        <f>IFERROR(VLOOKUP(F4623,'LEAID Match'!$A$2:$B$142,2,FALSE),"")</f>
        <v>2802910</v>
      </c>
    </row>
    <row r="4624" spans="1:8" x14ac:dyDescent="0.2">
      <c r="A4624">
        <f t="shared" si="72"/>
        <v>2802910</v>
      </c>
      <c r="B4624" s="1">
        <v>2022</v>
      </c>
      <c r="C4624" s="1" t="s">
        <v>2505</v>
      </c>
      <c r="D4624" s="1" t="s">
        <v>2506</v>
      </c>
      <c r="E4624" s="1" t="s">
        <v>2019</v>
      </c>
      <c r="F4624" s="1" t="s">
        <v>459</v>
      </c>
      <c r="G4624" s="6">
        <v>6237459</v>
      </c>
      <c r="H4624">
        <f>IFERROR(VLOOKUP(F4624,'LEAID Match'!$A$2:$B$142,2,FALSE),"")</f>
        <v>2802910</v>
      </c>
    </row>
    <row r="4625" spans="1:8" x14ac:dyDescent="0.2">
      <c r="A4625">
        <f t="shared" si="72"/>
        <v>2802910</v>
      </c>
      <c r="B4625" s="1">
        <v>2023</v>
      </c>
      <c r="C4625" s="1" t="s">
        <v>2505</v>
      </c>
      <c r="D4625" s="1" t="s">
        <v>2506</v>
      </c>
      <c r="E4625" s="1" t="s">
        <v>2019</v>
      </c>
      <c r="F4625" s="1" t="s">
        <v>459</v>
      </c>
      <c r="G4625" s="6">
        <v>6665708</v>
      </c>
      <c r="H4625">
        <f>IFERROR(VLOOKUP(F4625,'LEAID Match'!$A$2:$B$142,2,FALSE),"")</f>
        <v>2802910</v>
      </c>
    </row>
    <row r="4626" spans="1:8" x14ac:dyDescent="0.2">
      <c r="A4626">
        <f t="shared" si="72"/>
        <v>2802910</v>
      </c>
      <c r="B4626" s="1">
        <v>2024</v>
      </c>
      <c r="C4626" s="1" t="s">
        <v>2505</v>
      </c>
      <c r="D4626" s="1" t="s">
        <v>2506</v>
      </c>
      <c r="E4626" s="1" t="s">
        <v>2019</v>
      </c>
      <c r="F4626" s="1" t="s">
        <v>459</v>
      </c>
      <c r="G4626" s="6">
        <v>6904181</v>
      </c>
      <c r="H4626">
        <f>IFERROR(VLOOKUP(F4626,'LEAID Match'!$A$2:$B$142,2,FALSE),"")</f>
        <v>2802910</v>
      </c>
    </row>
    <row r="4627" spans="1:8" x14ac:dyDescent="0.2">
      <c r="A4627" t="str">
        <f t="shared" si="72"/>
        <v/>
      </c>
      <c r="B4627" s="1">
        <v>2015</v>
      </c>
      <c r="C4627" s="1" t="s">
        <v>2505</v>
      </c>
      <c r="D4627" s="1" t="s">
        <v>2506</v>
      </c>
      <c r="E4627" s="1" t="s">
        <v>2019</v>
      </c>
      <c r="F4627" s="1" t="s">
        <v>460</v>
      </c>
      <c r="G4627" s="6">
        <v>73252</v>
      </c>
      <c r="H4627" t="str">
        <f>IFERROR(VLOOKUP(F4627,'LEAID Match'!$A$2:$B$142,2,FALSE),"")</f>
        <v/>
      </c>
    </row>
    <row r="4628" spans="1:8" x14ac:dyDescent="0.2">
      <c r="A4628" t="str">
        <f t="shared" si="72"/>
        <v/>
      </c>
      <c r="B4628">
        <v>2016</v>
      </c>
      <c r="C4628" s="1" t="s">
        <v>2505</v>
      </c>
      <c r="D4628" s="1" t="s">
        <v>2506</v>
      </c>
      <c r="E4628" s="1" t="s">
        <v>2019</v>
      </c>
      <c r="F4628" s="1" t="s">
        <v>460</v>
      </c>
      <c r="G4628" s="12">
        <v>69098</v>
      </c>
      <c r="H4628" t="str">
        <f>IFERROR(VLOOKUP(F4628,'LEAID Match'!$A$2:$B$142,2,FALSE),"")</f>
        <v/>
      </c>
    </row>
    <row r="4629" spans="1:8" x14ac:dyDescent="0.2">
      <c r="A4629" t="str">
        <f t="shared" si="72"/>
        <v/>
      </c>
      <c r="B4629" s="1">
        <v>2017</v>
      </c>
      <c r="C4629" s="1" t="s">
        <v>2505</v>
      </c>
      <c r="D4629" s="1" t="s">
        <v>2506</v>
      </c>
      <c r="E4629" s="1" t="s">
        <v>2019</v>
      </c>
      <c r="F4629" s="1" t="s">
        <v>460</v>
      </c>
      <c r="G4629" s="47">
        <v>85979</v>
      </c>
      <c r="H4629" t="str">
        <f>IFERROR(VLOOKUP(F4629,'LEAID Match'!$A$2:$B$142,2,FALSE),"")</f>
        <v/>
      </c>
    </row>
    <row r="4630" spans="1:8" x14ac:dyDescent="0.2">
      <c r="A4630" t="str">
        <f t="shared" si="72"/>
        <v/>
      </c>
      <c r="B4630" s="1">
        <v>2018</v>
      </c>
      <c r="C4630" s="1" t="s">
        <v>2505</v>
      </c>
      <c r="D4630" s="1" t="s">
        <v>2506</v>
      </c>
      <c r="E4630" s="1" t="s">
        <v>2019</v>
      </c>
      <c r="F4630" s="1" t="s">
        <v>460</v>
      </c>
      <c r="G4630" s="6">
        <v>84631</v>
      </c>
      <c r="H4630" t="str">
        <f>IFERROR(VLOOKUP(F4630,'LEAID Match'!$A$2:$B$142,2,FALSE),"")</f>
        <v/>
      </c>
    </row>
    <row r="4631" spans="1:8" x14ac:dyDescent="0.2">
      <c r="A4631" t="str">
        <f t="shared" si="72"/>
        <v/>
      </c>
      <c r="B4631" s="1">
        <v>2019</v>
      </c>
      <c r="C4631" s="1" t="s">
        <v>2505</v>
      </c>
      <c r="D4631" s="1" t="s">
        <v>2506</v>
      </c>
      <c r="E4631" s="1" t="s">
        <v>2019</v>
      </c>
      <c r="F4631" s="1" t="s">
        <v>460</v>
      </c>
      <c r="G4631" s="6">
        <v>79044</v>
      </c>
      <c r="H4631" t="str">
        <f>IFERROR(VLOOKUP(F4631,'LEAID Match'!$A$2:$B$142,2,FALSE),"")</f>
        <v/>
      </c>
    </row>
    <row r="4632" spans="1:8" x14ac:dyDescent="0.2">
      <c r="A4632" t="str">
        <f t="shared" si="72"/>
        <v/>
      </c>
      <c r="B4632" s="1">
        <v>2020</v>
      </c>
      <c r="C4632" s="1" t="s">
        <v>2505</v>
      </c>
      <c r="D4632" s="1" t="s">
        <v>2506</v>
      </c>
      <c r="E4632" s="1" t="s">
        <v>2019</v>
      </c>
      <c r="F4632" s="1" t="s">
        <v>460</v>
      </c>
      <c r="G4632" s="6">
        <v>81408</v>
      </c>
      <c r="H4632" t="str">
        <f>IFERROR(VLOOKUP(F4632,'LEAID Match'!$A$2:$B$142,2,FALSE),"")</f>
        <v/>
      </c>
    </row>
    <row r="4633" spans="1:8" x14ac:dyDescent="0.2">
      <c r="A4633" t="str">
        <f t="shared" si="72"/>
        <v/>
      </c>
      <c r="B4633" s="1">
        <v>2021</v>
      </c>
      <c r="C4633" s="1" t="s">
        <v>2505</v>
      </c>
      <c r="D4633" s="1" t="s">
        <v>2506</v>
      </c>
      <c r="E4633" s="1" t="s">
        <v>2019</v>
      </c>
      <c r="F4633" s="1" t="s">
        <v>460</v>
      </c>
      <c r="G4633" s="6">
        <v>82208</v>
      </c>
      <c r="H4633" t="str">
        <f>IFERROR(VLOOKUP(F4633,'LEAID Match'!$A$2:$B$142,2,FALSE),"")</f>
        <v/>
      </c>
    </row>
    <row r="4634" spans="1:8" x14ac:dyDescent="0.2">
      <c r="A4634" t="str">
        <f t="shared" si="72"/>
        <v/>
      </c>
      <c r="B4634" s="1">
        <v>2024</v>
      </c>
      <c r="C4634" s="1" t="s">
        <v>2505</v>
      </c>
      <c r="D4634" s="1" t="s">
        <v>2506</v>
      </c>
      <c r="E4634" s="1" t="s">
        <v>2019</v>
      </c>
      <c r="F4634" s="1" t="s">
        <v>460</v>
      </c>
      <c r="G4634" s="6">
        <v>84353</v>
      </c>
      <c r="H4634" t="str">
        <f>IFERROR(VLOOKUP(F4634,'LEAID Match'!$A$2:$B$142,2,FALSE),"")</f>
        <v/>
      </c>
    </row>
    <row r="4635" spans="1:8" x14ac:dyDescent="0.2">
      <c r="A4635" t="str">
        <f t="shared" si="72"/>
        <v/>
      </c>
      <c r="B4635" s="1">
        <v>2022</v>
      </c>
      <c r="C4635" s="1" t="s">
        <v>2505</v>
      </c>
      <c r="D4635" s="1" t="s">
        <v>2506</v>
      </c>
      <c r="E4635" s="1" t="s">
        <v>2019</v>
      </c>
      <c r="F4635" s="1" t="s">
        <v>882</v>
      </c>
      <c r="G4635" s="6">
        <v>78479</v>
      </c>
      <c r="H4635" t="str">
        <f>IFERROR(VLOOKUP(F4635,'LEAID Match'!$A$2:$B$142,2,FALSE),"")</f>
        <v/>
      </c>
    </row>
    <row r="4636" spans="1:8" x14ac:dyDescent="0.2">
      <c r="A4636" t="str">
        <f t="shared" si="72"/>
        <v/>
      </c>
      <c r="B4636" s="1">
        <v>2023</v>
      </c>
      <c r="C4636" s="1" t="s">
        <v>2505</v>
      </c>
      <c r="D4636" s="1" t="s">
        <v>2506</v>
      </c>
      <c r="E4636" s="1" t="s">
        <v>2019</v>
      </c>
      <c r="F4636" s="1" t="s">
        <v>882</v>
      </c>
      <c r="G4636" s="6">
        <v>82381</v>
      </c>
      <c r="H4636" t="str">
        <f>IFERROR(VLOOKUP(F4636,'LEAID Match'!$A$2:$B$142,2,FALSE),"")</f>
        <v/>
      </c>
    </row>
    <row r="4637" spans="1:8" x14ac:dyDescent="0.2">
      <c r="A4637" t="str">
        <f t="shared" si="72"/>
        <v/>
      </c>
      <c r="B4637" s="1">
        <v>2015</v>
      </c>
      <c r="C4637" s="1" t="s">
        <v>2505</v>
      </c>
      <c r="D4637" s="1" t="s">
        <v>2506</v>
      </c>
      <c r="E4637" s="1" t="s">
        <v>2019</v>
      </c>
      <c r="F4637" s="1" t="s">
        <v>461</v>
      </c>
      <c r="G4637" s="6">
        <v>19636</v>
      </c>
      <c r="H4637" t="str">
        <f>IFERROR(VLOOKUP(F4637,'LEAID Match'!$A$2:$B$142,2,FALSE),"")</f>
        <v/>
      </c>
    </row>
    <row r="4638" spans="1:8" x14ac:dyDescent="0.2">
      <c r="A4638" t="str">
        <f t="shared" si="72"/>
        <v/>
      </c>
      <c r="B4638">
        <v>2016</v>
      </c>
      <c r="C4638" s="1" t="s">
        <v>2505</v>
      </c>
      <c r="D4638" s="1" t="s">
        <v>2506</v>
      </c>
      <c r="E4638" s="1" t="s">
        <v>2019</v>
      </c>
      <c r="F4638" s="1" t="s">
        <v>461</v>
      </c>
      <c r="G4638" s="12">
        <v>19736</v>
      </c>
      <c r="H4638" t="str">
        <f>IFERROR(VLOOKUP(F4638,'LEAID Match'!$A$2:$B$142,2,FALSE),"")</f>
        <v/>
      </c>
    </row>
    <row r="4639" spans="1:8" x14ac:dyDescent="0.2">
      <c r="A4639" t="str">
        <f t="shared" si="72"/>
        <v/>
      </c>
      <c r="B4639" s="1">
        <v>2017</v>
      </c>
      <c r="C4639" s="1" t="s">
        <v>2505</v>
      </c>
      <c r="D4639" s="1" t="s">
        <v>2506</v>
      </c>
      <c r="E4639" s="1" t="s">
        <v>2019</v>
      </c>
      <c r="F4639" s="1" t="s">
        <v>461</v>
      </c>
      <c r="G4639" s="47">
        <v>19405</v>
      </c>
      <c r="H4639" t="str">
        <f>IFERROR(VLOOKUP(F4639,'LEAID Match'!$A$2:$B$142,2,FALSE),"")</f>
        <v/>
      </c>
    </row>
    <row r="4640" spans="1:8" x14ac:dyDescent="0.2">
      <c r="A4640" t="str">
        <f t="shared" si="72"/>
        <v/>
      </c>
      <c r="B4640" s="1">
        <v>2018</v>
      </c>
      <c r="C4640" s="1" t="s">
        <v>2505</v>
      </c>
      <c r="D4640" s="1" t="s">
        <v>2506</v>
      </c>
      <c r="E4640" s="1" t="s">
        <v>2019</v>
      </c>
      <c r="F4640" s="1" t="s">
        <v>461</v>
      </c>
      <c r="G4640" s="6">
        <v>19419</v>
      </c>
      <c r="H4640" t="str">
        <f>IFERROR(VLOOKUP(F4640,'LEAID Match'!$A$2:$B$142,2,FALSE),"")</f>
        <v/>
      </c>
    </row>
    <row r="4641" spans="1:8" x14ac:dyDescent="0.2">
      <c r="A4641" t="str">
        <f t="shared" si="72"/>
        <v/>
      </c>
      <c r="B4641" s="1">
        <v>2019</v>
      </c>
      <c r="C4641" s="1" t="s">
        <v>2505</v>
      </c>
      <c r="D4641" s="1" t="s">
        <v>2506</v>
      </c>
      <c r="E4641" s="1" t="s">
        <v>2019</v>
      </c>
      <c r="F4641" s="1" t="s">
        <v>461</v>
      </c>
      <c r="G4641" s="6">
        <v>19533</v>
      </c>
      <c r="H4641" t="str">
        <f>IFERROR(VLOOKUP(F4641,'LEAID Match'!$A$2:$B$142,2,FALSE),"")</f>
        <v/>
      </c>
    </row>
    <row r="4642" spans="1:8" x14ac:dyDescent="0.2">
      <c r="A4642" t="str">
        <f t="shared" si="72"/>
        <v/>
      </c>
      <c r="B4642" s="1">
        <v>2020</v>
      </c>
      <c r="C4642" s="1" t="s">
        <v>2505</v>
      </c>
      <c r="D4642" s="1" t="s">
        <v>2506</v>
      </c>
      <c r="E4642" s="1" t="s">
        <v>2019</v>
      </c>
      <c r="F4642" s="1" t="s">
        <v>461</v>
      </c>
      <c r="G4642" s="6">
        <v>21640</v>
      </c>
      <c r="H4642" t="str">
        <f>IFERROR(VLOOKUP(F4642,'LEAID Match'!$A$2:$B$142,2,FALSE),"")</f>
        <v/>
      </c>
    </row>
    <row r="4643" spans="1:8" x14ac:dyDescent="0.2">
      <c r="A4643" t="str">
        <f t="shared" si="72"/>
        <v/>
      </c>
      <c r="B4643" s="1">
        <v>2021</v>
      </c>
      <c r="C4643" s="1" t="s">
        <v>2505</v>
      </c>
      <c r="D4643" s="1" t="s">
        <v>2506</v>
      </c>
      <c r="E4643" s="1" t="s">
        <v>2019</v>
      </c>
      <c r="F4643" s="1" t="s">
        <v>461</v>
      </c>
      <c r="G4643" s="6">
        <v>22819</v>
      </c>
      <c r="H4643" t="str">
        <f>IFERROR(VLOOKUP(F4643,'LEAID Match'!$A$2:$B$142,2,FALSE),"")</f>
        <v/>
      </c>
    </row>
    <row r="4644" spans="1:8" x14ac:dyDescent="0.2">
      <c r="A4644" t="str">
        <f t="shared" si="72"/>
        <v/>
      </c>
      <c r="B4644" s="1">
        <v>2022</v>
      </c>
      <c r="C4644" s="1" t="s">
        <v>2505</v>
      </c>
      <c r="D4644" s="1" t="s">
        <v>2506</v>
      </c>
      <c r="E4644" s="1" t="s">
        <v>2019</v>
      </c>
      <c r="F4644" s="1" t="s">
        <v>461</v>
      </c>
      <c r="G4644" s="6">
        <v>23728</v>
      </c>
      <c r="H4644" t="str">
        <f>IFERROR(VLOOKUP(F4644,'LEAID Match'!$A$2:$B$142,2,FALSE),"")</f>
        <v/>
      </c>
    </row>
    <row r="4645" spans="1:8" x14ac:dyDescent="0.2">
      <c r="A4645" t="str">
        <f t="shared" si="72"/>
        <v/>
      </c>
      <c r="B4645" s="1">
        <v>2023</v>
      </c>
      <c r="C4645" s="1" t="s">
        <v>2505</v>
      </c>
      <c r="D4645" s="1" t="s">
        <v>2506</v>
      </c>
      <c r="E4645" s="1" t="s">
        <v>2019</v>
      </c>
      <c r="F4645" s="1" t="s">
        <v>461</v>
      </c>
      <c r="G4645" s="6">
        <v>24080</v>
      </c>
      <c r="H4645" t="str">
        <f>IFERROR(VLOOKUP(F4645,'LEAID Match'!$A$2:$B$142,2,FALSE),"")</f>
        <v/>
      </c>
    </row>
    <row r="4646" spans="1:8" x14ac:dyDescent="0.2">
      <c r="A4646" t="str">
        <f t="shared" si="72"/>
        <v/>
      </c>
      <c r="B4646" s="1">
        <v>2024</v>
      </c>
      <c r="C4646" s="1" t="s">
        <v>2505</v>
      </c>
      <c r="D4646" s="1" t="s">
        <v>2506</v>
      </c>
      <c r="E4646" s="1" t="s">
        <v>2019</v>
      </c>
      <c r="F4646" s="1" t="s">
        <v>461</v>
      </c>
      <c r="G4646" s="6">
        <v>25071</v>
      </c>
      <c r="H4646" t="str">
        <f>IFERROR(VLOOKUP(F4646,'LEAID Match'!$A$2:$B$142,2,FALSE),"")</f>
        <v/>
      </c>
    </row>
    <row r="4647" spans="1:8" x14ac:dyDescent="0.2">
      <c r="A4647" t="str">
        <f t="shared" si="72"/>
        <v/>
      </c>
      <c r="B4647" s="1">
        <v>2015</v>
      </c>
      <c r="C4647" s="1" t="s">
        <v>2505</v>
      </c>
      <c r="D4647" s="1" t="s">
        <v>2506</v>
      </c>
      <c r="E4647" s="1" t="s">
        <v>2019</v>
      </c>
      <c r="F4647" s="1" t="s">
        <v>462</v>
      </c>
      <c r="G4647" s="6">
        <v>172598</v>
      </c>
      <c r="H4647" t="str">
        <f>IFERROR(VLOOKUP(F4647,'LEAID Match'!$A$2:$B$142,2,FALSE),"")</f>
        <v/>
      </c>
    </row>
    <row r="4648" spans="1:8" x14ac:dyDescent="0.2">
      <c r="A4648" t="str">
        <f t="shared" si="72"/>
        <v/>
      </c>
      <c r="B4648">
        <v>2016</v>
      </c>
      <c r="C4648" s="1" t="s">
        <v>2505</v>
      </c>
      <c r="D4648" s="1" t="s">
        <v>2506</v>
      </c>
      <c r="E4648" s="1" t="s">
        <v>2019</v>
      </c>
      <c r="F4648" s="1" t="s">
        <v>462</v>
      </c>
      <c r="G4648" s="12">
        <v>173098</v>
      </c>
      <c r="H4648" t="str">
        <f>IFERROR(VLOOKUP(F4648,'LEAID Match'!$A$2:$B$142,2,FALSE),"")</f>
        <v/>
      </c>
    </row>
    <row r="4649" spans="1:8" x14ac:dyDescent="0.2">
      <c r="A4649" t="str">
        <f t="shared" si="72"/>
        <v/>
      </c>
      <c r="B4649" s="1">
        <v>2017</v>
      </c>
      <c r="C4649" s="1" t="s">
        <v>2505</v>
      </c>
      <c r="D4649" s="1" t="s">
        <v>2506</v>
      </c>
      <c r="E4649" s="1" t="s">
        <v>2019</v>
      </c>
      <c r="F4649" s="1" t="s">
        <v>462</v>
      </c>
      <c r="G4649" s="47">
        <v>169429</v>
      </c>
      <c r="H4649" t="str">
        <f>IFERROR(VLOOKUP(F4649,'LEAID Match'!$A$2:$B$142,2,FALSE),"")</f>
        <v/>
      </c>
    </row>
    <row r="4650" spans="1:8" x14ac:dyDescent="0.2">
      <c r="A4650" t="str">
        <f t="shared" si="72"/>
        <v/>
      </c>
      <c r="B4650" s="1">
        <v>2018</v>
      </c>
      <c r="C4650" s="1" t="s">
        <v>2505</v>
      </c>
      <c r="D4650" s="1" t="s">
        <v>2506</v>
      </c>
      <c r="E4650" s="1" t="s">
        <v>2019</v>
      </c>
      <c r="F4650" s="1" t="s">
        <v>462</v>
      </c>
      <c r="G4650" s="6">
        <v>173469</v>
      </c>
      <c r="H4650" t="str">
        <f>IFERROR(VLOOKUP(F4650,'LEAID Match'!$A$2:$B$142,2,FALSE),"")</f>
        <v/>
      </c>
    </row>
    <row r="4651" spans="1:8" x14ac:dyDescent="0.2">
      <c r="A4651" t="str">
        <f t="shared" si="72"/>
        <v/>
      </c>
      <c r="B4651" s="1">
        <v>2019</v>
      </c>
      <c r="C4651" s="1" t="s">
        <v>2505</v>
      </c>
      <c r="D4651" s="1" t="s">
        <v>2506</v>
      </c>
      <c r="E4651" s="1" t="s">
        <v>2019</v>
      </c>
      <c r="F4651" s="1" t="s">
        <v>462</v>
      </c>
      <c r="G4651" s="6">
        <v>162115</v>
      </c>
      <c r="H4651" t="str">
        <f>IFERROR(VLOOKUP(F4651,'LEAID Match'!$A$2:$B$142,2,FALSE),"")</f>
        <v/>
      </c>
    </row>
    <row r="4652" spans="1:8" x14ac:dyDescent="0.2">
      <c r="A4652" t="str">
        <f t="shared" si="72"/>
        <v/>
      </c>
      <c r="B4652" s="1">
        <v>2020</v>
      </c>
      <c r="C4652" s="1" t="s">
        <v>2505</v>
      </c>
      <c r="D4652" s="1" t="s">
        <v>2506</v>
      </c>
      <c r="E4652" s="1" t="s">
        <v>2019</v>
      </c>
      <c r="F4652" s="1" t="s">
        <v>462</v>
      </c>
      <c r="G4652" s="6">
        <v>181250</v>
      </c>
      <c r="H4652" t="str">
        <f>IFERROR(VLOOKUP(F4652,'LEAID Match'!$A$2:$B$142,2,FALSE),"")</f>
        <v/>
      </c>
    </row>
    <row r="4653" spans="1:8" x14ac:dyDescent="0.2">
      <c r="A4653" t="str">
        <f t="shared" si="72"/>
        <v/>
      </c>
      <c r="B4653" s="1">
        <v>2021</v>
      </c>
      <c r="C4653" s="1" t="s">
        <v>2505</v>
      </c>
      <c r="D4653" s="1" t="s">
        <v>2506</v>
      </c>
      <c r="E4653" s="1" t="s">
        <v>2019</v>
      </c>
      <c r="F4653" s="1" t="s">
        <v>462</v>
      </c>
      <c r="G4653" s="6">
        <v>183388</v>
      </c>
      <c r="H4653" t="str">
        <f>IFERROR(VLOOKUP(F4653,'LEAID Match'!$A$2:$B$142,2,FALSE),"")</f>
        <v/>
      </c>
    </row>
    <row r="4654" spans="1:8" x14ac:dyDescent="0.2">
      <c r="A4654" t="str">
        <f t="shared" si="72"/>
        <v/>
      </c>
      <c r="B4654" s="1">
        <v>2022</v>
      </c>
      <c r="C4654" s="1" t="s">
        <v>2505</v>
      </c>
      <c r="D4654" s="1" t="s">
        <v>2506</v>
      </c>
      <c r="E4654" s="1" t="s">
        <v>2019</v>
      </c>
      <c r="F4654" s="1" t="s">
        <v>462</v>
      </c>
      <c r="G4654" s="6">
        <v>185009</v>
      </c>
      <c r="H4654" t="str">
        <f>IFERROR(VLOOKUP(F4654,'LEAID Match'!$A$2:$B$142,2,FALSE),"")</f>
        <v/>
      </c>
    </row>
    <row r="4655" spans="1:8" x14ac:dyDescent="0.2">
      <c r="A4655" t="str">
        <f t="shared" si="72"/>
        <v/>
      </c>
      <c r="B4655" s="1">
        <v>2023</v>
      </c>
      <c r="C4655" s="1" t="s">
        <v>2505</v>
      </c>
      <c r="D4655" s="1" t="s">
        <v>2506</v>
      </c>
      <c r="E4655" s="1" t="s">
        <v>2019</v>
      </c>
      <c r="F4655" s="1" t="s">
        <v>462</v>
      </c>
      <c r="G4655" s="6">
        <v>183193</v>
      </c>
      <c r="H4655" t="str">
        <f>IFERROR(VLOOKUP(F4655,'LEAID Match'!$A$2:$B$142,2,FALSE),"")</f>
        <v/>
      </c>
    </row>
    <row r="4656" spans="1:8" x14ac:dyDescent="0.2">
      <c r="A4656" t="str">
        <f t="shared" si="72"/>
        <v/>
      </c>
      <c r="B4656" s="1">
        <v>2024</v>
      </c>
      <c r="C4656" s="1" t="s">
        <v>2505</v>
      </c>
      <c r="D4656" s="1" t="s">
        <v>2506</v>
      </c>
      <c r="E4656" s="1" t="s">
        <v>2019</v>
      </c>
      <c r="F4656" s="1" t="s">
        <v>462</v>
      </c>
      <c r="G4656" s="6">
        <v>183075</v>
      </c>
      <c r="H4656" t="str">
        <f>IFERROR(VLOOKUP(F4656,'LEAID Match'!$A$2:$B$142,2,FALSE),"")</f>
        <v/>
      </c>
    </row>
    <row r="4657" spans="1:8" x14ac:dyDescent="0.2">
      <c r="A4657" t="str">
        <f t="shared" si="72"/>
        <v/>
      </c>
      <c r="B4657" s="1">
        <v>2015</v>
      </c>
      <c r="C4657" s="1" t="s">
        <v>2505</v>
      </c>
      <c r="D4657" s="1" t="s">
        <v>2506</v>
      </c>
      <c r="E4657" s="1" t="s">
        <v>2019</v>
      </c>
      <c r="F4657" s="1" t="s">
        <v>463</v>
      </c>
      <c r="G4657" s="6">
        <v>21814</v>
      </c>
      <c r="H4657" t="str">
        <f>IFERROR(VLOOKUP(F4657,'LEAID Match'!$A$2:$B$142,2,FALSE),"")</f>
        <v/>
      </c>
    </row>
    <row r="4658" spans="1:8" x14ac:dyDescent="0.2">
      <c r="A4658" t="str">
        <f t="shared" si="72"/>
        <v/>
      </c>
      <c r="B4658">
        <v>2016</v>
      </c>
      <c r="C4658" s="1" t="s">
        <v>2505</v>
      </c>
      <c r="D4658" s="1" t="s">
        <v>2506</v>
      </c>
      <c r="E4658" s="1" t="s">
        <v>2019</v>
      </c>
      <c r="F4658" s="1" t="s">
        <v>463</v>
      </c>
      <c r="G4658" s="12">
        <v>23540</v>
      </c>
      <c r="H4658" t="str">
        <f>IFERROR(VLOOKUP(F4658,'LEAID Match'!$A$2:$B$142,2,FALSE),"")</f>
        <v/>
      </c>
    </row>
    <row r="4659" spans="1:8" x14ac:dyDescent="0.2">
      <c r="A4659" t="str">
        <f t="shared" si="72"/>
        <v/>
      </c>
      <c r="B4659" s="1">
        <v>2017</v>
      </c>
      <c r="C4659" s="1" t="s">
        <v>2505</v>
      </c>
      <c r="D4659" s="1" t="s">
        <v>2506</v>
      </c>
      <c r="E4659" s="1" t="s">
        <v>2019</v>
      </c>
      <c r="F4659" s="1" t="s">
        <v>463</v>
      </c>
      <c r="G4659" s="47">
        <v>16882</v>
      </c>
      <c r="H4659" t="str">
        <f>IFERROR(VLOOKUP(F4659,'LEAID Match'!$A$2:$B$142,2,FALSE),"")</f>
        <v/>
      </c>
    </row>
    <row r="4660" spans="1:8" x14ac:dyDescent="0.2">
      <c r="A4660" t="str">
        <f t="shared" si="72"/>
        <v/>
      </c>
      <c r="B4660" s="1">
        <v>2018</v>
      </c>
      <c r="C4660" s="1" t="s">
        <v>2505</v>
      </c>
      <c r="D4660" s="1" t="s">
        <v>2506</v>
      </c>
      <c r="E4660" s="1" t="s">
        <v>2019</v>
      </c>
      <c r="F4660" s="1" t="s">
        <v>463</v>
      </c>
      <c r="G4660" s="6">
        <v>12600</v>
      </c>
      <c r="H4660" t="str">
        <f>IFERROR(VLOOKUP(F4660,'LEAID Match'!$A$2:$B$142,2,FALSE),"")</f>
        <v/>
      </c>
    </row>
    <row r="4661" spans="1:8" x14ac:dyDescent="0.2">
      <c r="A4661" t="str">
        <f t="shared" si="72"/>
        <v/>
      </c>
      <c r="B4661" s="1">
        <v>2019</v>
      </c>
      <c r="C4661" s="1" t="s">
        <v>2505</v>
      </c>
      <c r="D4661" s="1" t="s">
        <v>2506</v>
      </c>
      <c r="E4661" s="1" t="s">
        <v>2019</v>
      </c>
      <c r="F4661" s="1" t="s">
        <v>463</v>
      </c>
      <c r="G4661" s="6">
        <v>12600</v>
      </c>
      <c r="H4661" t="str">
        <f>IFERROR(VLOOKUP(F4661,'LEAID Match'!$A$2:$B$142,2,FALSE),"")</f>
        <v/>
      </c>
    </row>
    <row r="4662" spans="1:8" x14ac:dyDescent="0.2">
      <c r="A4662" t="str">
        <f t="shared" si="72"/>
        <v/>
      </c>
      <c r="B4662" s="1">
        <v>2020</v>
      </c>
      <c r="C4662" s="1" t="s">
        <v>2505</v>
      </c>
      <c r="D4662" s="1" t="s">
        <v>2506</v>
      </c>
      <c r="E4662" s="1" t="s">
        <v>2019</v>
      </c>
      <c r="F4662" s="1" t="s">
        <v>463</v>
      </c>
      <c r="G4662" s="6">
        <v>14268</v>
      </c>
      <c r="H4662" t="str">
        <f>IFERROR(VLOOKUP(F4662,'LEAID Match'!$A$2:$B$142,2,FALSE),"")</f>
        <v/>
      </c>
    </row>
    <row r="4663" spans="1:8" x14ac:dyDescent="0.2">
      <c r="A4663" t="str">
        <f t="shared" si="72"/>
        <v/>
      </c>
      <c r="B4663" s="1">
        <v>2021</v>
      </c>
      <c r="C4663" s="1" t="s">
        <v>2505</v>
      </c>
      <c r="D4663" s="1" t="s">
        <v>2506</v>
      </c>
      <c r="E4663" s="1" t="s">
        <v>2019</v>
      </c>
      <c r="F4663" s="1" t="s">
        <v>463</v>
      </c>
      <c r="G4663" s="6">
        <v>14833</v>
      </c>
      <c r="H4663" t="str">
        <f>IFERROR(VLOOKUP(F4663,'LEAID Match'!$A$2:$B$142,2,FALSE),"")</f>
        <v/>
      </c>
    </row>
    <row r="4664" spans="1:8" x14ac:dyDescent="0.2">
      <c r="A4664" t="str">
        <f t="shared" si="72"/>
        <v/>
      </c>
      <c r="B4664" s="1">
        <v>2024</v>
      </c>
      <c r="C4664" s="1" t="s">
        <v>2505</v>
      </c>
      <c r="D4664" s="1" t="s">
        <v>2506</v>
      </c>
      <c r="E4664" s="1" t="s">
        <v>2019</v>
      </c>
      <c r="F4664" s="1" t="s">
        <v>463</v>
      </c>
      <c r="G4664" s="6">
        <v>18509</v>
      </c>
      <c r="H4664" t="str">
        <f>IFERROR(VLOOKUP(F4664,'LEAID Match'!$A$2:$B$142,2,FALSE),"")</f>
        <v/>
      </c>
    </row>
    <row r="4665" spans="1:8" x14ac:dyDescent="0.2">
      <c r="A4665" t="str">
        <f t="shared" si="72"/>
        <v/>
      </c>
      <c r="B4665" s="1">
        <v>2022</v>
      </c>
      <c r="C4665" s="1" t="s">
        <v>2505</v>
      </c>
      <c r="D4665" s="1" t="s">
        <v>2506</v>
      </c>
      <c r="E4665" s="1" t="s">
        <v>2019</v>
      </c>
      <c r="F4665" s="1" t="s">
        <v>883</v>
      </c>
      <c r="G4665" s="6">
        <v>15356</v>
      </c>
      <c r="H4665" t="str">
        <f>IFERROR(VLOOKUP(F4665,'LEAID Match'!$A$2:$B$142,2,FALSE),"")</f>
        <v/>
      </c>
    </row>
    <row r="4666" spans="1:8" x14ac:dyDescent="0.2">
      <c r="A4666" t="str">
        <f t="shared" si="72"/>
        <v/>
      </c>
      <c r="B4666" s="1">
        <v>2023</v>
      </c>
      <c r="C4666" s="1" t="s">
        <v>2505</v>
      </c>
      <c r="D4666" s="1" t="s">
        <v>2506</v>
      </c>
      <c r="E4666" s="1" t="s">
        <v>2019</v>
      </c>
      <c r="F4666" s="1" t="s">
        <v>883</v>
      </c>
      <c r="G4666" s="6">
        <v>16820</v>
      </c>
      <c r="H4666" t="str">
        <f>IFERROR(VLOOKUP(F4666,'LEAID Match'!$A$2:$B$142,2,FALSE),"")</f>
        <v/>
      </c>
    </row>
    <row r="4667" spans="1:8" x14ac:dyDescent="0.2">
      <c r="A4667" t="str">
        <f t="shared" si="72"/>
        <v/>
      </c>
      <c r="B4667" s="1">
        <v>2015</v>
      </c>
      <c r="C4667" s="1" t="s">
        <v>2505</v>
      </c>
      <c r="D4667" s="1" t="s">
        <v>2506</v>
      </c>
      <c r="E4667" s="1" t="s">
        <v>2019</v>
      </c>
      <c r="F4667" s="1" t="s">
        <v>464</v>
      </c>
      <c r="G4667" s="6">
        <v>309906</v>
      </c>
      <c r="H4667" t="str">
        <f>IFERROR(VLOOKUP(F4667,'LEAID Match'!$A$2:$B$142,2,FALSE),"")</f>
        <v/>
      </c>
    </row>
    <row r="4668" spans="1:8" x14ac:dyDescent="0.2">
      <c r="A4668" t="str">
        <f t="shared" si="72"/>
        <v/>
      </c>
      <c r="B4668">
        <v>2016</v>
      </c>
      <c r="C4668" s="1" t="s">
        <v>2505</v>
      </c>
      <c r="D4668" s="1" t="s">
        <v>2506</v>
      </c>
      <c r="E4668" s="1" t="s">
        <v>2019</v>
      </c>
      <c r="F4668" s="1" t="s">
        <v>464</v>
      </c>
      <c r="G4668" s="12">
        <v>273115</v>
      </c>
      <c r="H4668" t="str">
        <f>IFERROR(VLOOKUP(F4668,'LEAID Match'!$A$2:$B$142,2,FALSE),"")</f>
        <v/>
      </c>
    </row>
    <row r="4669" spans="1:8" x14ac:dyDescent="0.2">
      <c r="A4669" t="str">
        <f t="shared" si="72"/>
        <v/>
      </c>
      <c r="B4669" s="1">
        <v>2017</v>
      </c>
      <c r="C4669" s="1" t="s">
        <v>2505</v>
      </c>
      <c r="D4669" s="1" t="s">
        <v>2506</v>
      </c>
      <c r="E4669" s="1" t="s">
        <v>2019</v>
      </c>
      <c r="F4669" s="1" t="s">
        <v>464</v>
      </c>
      <c r="G4669" s="47">
        <v>265298</v>
      </c>
      <c r="H4669" t="str">
        <f>IFERROR(VLOOKUP(F4669,'LEAID Match'!$A$2:$B$142,2,FALSE),"")</f>
        <v/>
      </c>
    </row>
    <row r="4670" spans="1:8" x14ac:dyDescent="0.2">
      <c r="A4670" t="str">
        <f t="shared" si="72"/>
        <v/>
      </c>
      <c r="B4670" s="1">
        <v>2018</v>
      </c>
      <c r="C4670" s="1" t="s">
        <v>2505</v>
      </c>
      <c r="D4670" s="1" t="s">
        <v>2506</v>
      </c>
      <c r="E4670" s="1" t="s">
        <v>2019</v>
      </c>
      <c r="F4670" s="1" t="s">
        <v>464</v>
      </c>
      <c r="G4670" s="6">
        <v>259165</v>
      </c>
      <c r="H4670" t="str">
        <f>IFERROR(VLOOKUP(F4670,'LEAID Match'!$A$2:$B$142,2,FALSE),"")</f>
        <v/>
      </c>
    </row>
    <row r="4671" spans="1:8" x14ac:dyDescent="0.2">
      <c r="A4671" t="str">
        <f t="shared" si="72"/>
        <v/>
      </c>
      <c r="B4671" s="1">
        <v>2019</v>
      </c>
      <c r="C4671" s="1" t="s">
        <v>2505</v>
      </c>
      <c r="D4671" s="1" t="s">
        <v>2506</v>
      </c>
      <c r="E4671" s="1" t="s">
        <v>2019</v>
      </c>
      <c r="F4671" s="1" t="s">
        <v>464</v>
      </c>
      <c r="G4671" s="6">
        <v>244855</v>
      </c>
      <c r="H4671" t="str">
        <f>IFERROR(VLOOKUP(F4671,'LEAID Match'!$A$2:$B$142,2,FALSE),"")</f>
        <v/>
      </c>
    </row>
    <row r="4672" spans="1:8" x14ac:dyDescent="0.2">
      <c r="A4672" t="str">
        <f t="shared" si="72"/>
        <v/>
      </c>
      <c r="B4672" s="1">
        <v>2020</v>
      </c>
      <c r="C4672" s="1" t="s">
        <v>2505</v>
      </c>
      <c r="D4672" s="1" t="s">
        <v>2506</v>
      </c>
      <c r="E4672" s="1" t="s">
        <v>2019</v>
      </c>
      <c r="F4672" s="1" t="s">
        <v>464</v>
      </c>
      <c r="G4672" s="6">
        <v>269905</v>
      </c>
      <c r="H4672" t="str">
        <f>IFERROR(VLOOKUP(F4672,'LEAID Match'!$A$2:$B$142,2,FALSE),"")</f>
        <v/>
      </c>
    </row>
    <row r="4673" spans="1:8" x14ac:dyDescent="0.2">
      <c r="A4673" t="str">
        <f t="shared" si="72"/>
        <v/>
      </c>
      <c r="B4673" s="1">
        <v>2021</v>
      </c>
      <c r="C4673" s="1" t="s">
        <v>2505</v>
      </c>
      <c r="D4673" s="1" t="s">
        <v>2506</v>
      </c>
      <c r="E4673" s="1" t="s">
        <v>2019</v>
      </c>
      <c r="F4673" s="1" t="s">
        <v>464</v>
      </c>
      <c r="G4673" s="6">
        <v>251971</v>
      </c>
      <c r="H4673" t="str">
        <f>IFERROR(VLOOKUP(F4673,'LEAID Match'!$A$2:$B$142,2,FALSE),"")</f>
        <v/>
      </c>
    </row>
    <row r="4674" spans="1:8" x14ac:dyDescent="0.2">
      <c r="A4674" t="str">
        <f t="shared" si="72"/>
        <v/>
      </c>
      <c r="B4674" s="1">
        <v>2022</v>
      </c>
      <c r="C4674" s="1" t="s">
        <v>2505</v>
      </c>
      <c r="D4674" s="1" t="s">
        <v>2506</v>
      </c>
      <c r="E4674" s="1" t="s">
        <v>2019</v>
      </c>
      <c r="F4674" s="1" t="s">
        <v>464</v>
      </c>
      <c r="G4674" s="6">
        <v>267142</v>
      </c>
      <c r="H4674" t="str">
        <f>IFERROR(VLOOKUP(F4674,'LEAID Match'!$A$2:$B$142,2,FALSE),"")</f>
        <v/>
      </c>
    </row>
    <row r="4675" spans="1:8" x14ac:dyDescent="0.2">
      <c r="A4675" t="str">
        <f t="shared" ref="A4675:A4738" si="73">H4675</f>
        <v/>
      </c>
      <c r="B4675" s="1">
        <v>2023</v>
      </c>
      <c r="C4675" s="1" t="s">
        <v>2505</v>
      </c>
      <c r="D4675" s="1" t="s">
        <v>2506</v>
      </c>
      <c r="E4675" s="1" t="s">
        <v>2019</v>
      </c>
      <c r="F4675" s="1" t="s">
        <v>464</v>
      </c>
      <c r="G4675" s="6">
        <v>290876</v>
      </c>
      <c r="H4675" t="str">
        <f>IFERROR(VLOOKUP(F4675,'LEAID Match'!$A$2:$B$142,2,FALSE),"")</f>
        <v/>
      </c>
    </row>
    <row r="4676" spans="1:8" x14ac:dyDescent="0.2">
      <c r="A4676" t="str">
        <f t="shared" si="73"/>
        <v/>
      </c>
      <c r="B4676" s="1">
        <v>2024</v>
      </c>
      <c r="C4676" s="1" t="s">
        <v>2505</v>
      </c>
      <c r="D4676" s="1" t="s">
        <v>2506</v>
      </c>
      <c r="E4676" s="1" t="s">
        <v>2019</v>
      </c>
      <c r="F4676" s="1" t="s">
        <v>464</v>
      </c>
      <c r="G4676" s="6">
        <v>317292</v>
      </c>
      <c r="H4676" t="str">
        <f>IFERROR(VLOOKUP(F4676,'LEAID Match'!$A$2:$B$142,2,FALSE),"")</f>
        <v/>
      </c>
    </row>
    <row r="4677" spans="1:8" x14ac:dyDescent="0.2">
      <c r="A4677" t="str">
        <f t="shared" si="73"/>
        <v/>
      </c>
      <c r="B4677" s="1">
        <v>2015</v>
      </c>
      <c r="C4677" s="1" t="s">
        <v>2505</v>
      </c>
      <c r="D4677" s="1" t="s">
        <v>2506</v>
      </c>
      <c r="E4677" s="1" t="s">
        <v>2019</v>
      </c>
      <c r="F4677" s="1" t="s">
        <v>465</v>
      </c>
      <c r="G4677" s="6">
        <v>1416019</v>
      </c>
      <c r="H4677" t="str">
        <f>IFERROR(VLOOKUP(F4677,'LEAID Match'!$A$2:$B$142,2,FALSE),"")</f>
        <v/>
      </c>
    </row>
    <row r="4678" spans="1:8" x14ac:dyDescent="0.2">
      <c r="A4678" t="str">
        <f t="shared" si="73"/>
        <v/>
      </c>
      <c r="B4678">
        <v>2016</v>
      </c>
      <c r="C4678" s="1" t="s">
        <v>2505</v>
      </c>
      <c r="D4678" s="1" t="s">
        <v>2506</v>
      </c>
      <c r="E4678" s="1" t="s">
        <v>2019</v>
      </c>
      <c r="F4678" s="1" t="s">
        <v>465</v>
      </c>
      <c r="G4678" s="12">
        <v>1432963</v>
      </c>
      <c r="H4678" t="str">
        <f>IFERROR(VLOOKUP(F4678,'LEAID Match'!$A$2:$B$142,2,FALSE),"")</f>
        <v/>
      </c>
    </row>
    <row r="4679" spans="1:8" x14ac:dyDescent="0.2">
      <c r="A4679" t="str">
        <f t="shared" si="73"/>
        <v/>
      </c>
      <c r="B4679" s="1">
        <v>2017</v>
      </c>
      <c r="C4679" s="1" t="s">
        <v>2505</v>
      </c>
      <c r="D4679" s="1" t="s">
        <v>2506</v>
      </c>
      <c r="E4679" s="1" t="s">
        <v>2019</v>
      </c>
      <c r="F4679" s="1" t="s">
        <v>465</v>
      </c>
      <c r="G4679" s="47">
        <v>1459477</v>
      </c>
      <c r="H4679" t="str">
        <f>IFERROR(VLOOKUP(F4679,'LEAID Match'!$A$2:$B$142,2,FALSE),"")</f>
        <v/>
      </c>
    </row>
    <row r="4680" spans="1:8" x14ac:dyDescent="0.2">
      <c r="A4680" t="str">
        <f t="shared" si="73"/>
        <v/>
      </c>
      <c r="B4680" s="1">
        <v>2018</v>
      </c>
      <c r="C4680" s="1" t="s">
        <v>2505</v>
      </c>
      <c r="D4680" s="1" t="s">
        <v>2506</v>
      </c>
      <c r="E4680" s="1" t="s">
        <v>2019</v>
      </c>
      <c r="F4680" s="1" t="s">
        <v>465</v>
      </c>
      <c r="G4680" s="6">
        <v>1505781</v>
      </c>
      <c r="H4680" t="str">
        <f>IFERROR(VLOOKUP(F4680,'LEAID Match'!$A$2:$B$142,2,FALSE),"")</f>
        <v/>
      </c>
    </row>
    <row r="4681" spans="1:8" x14ac:dyDescent="0.2">
      <c r="A4681" t="str">
        <f t="shared" si="73"/>
        <v/>
      </c>
      <c r="B4681" s="1">
        <v>2019</v>
      </c>
      <c r="C4681" s="1" t="s">
        <v>2505</v>
      </c>
      <c r="D4681" s="1" t="s">
        <v>2506</v>
      </c>
      <c r="E4681" s="1" t="s">
        <v>2019</v>
      </c>
      <c r="F4681" s="1" t="s">
        <v>465</v>
      </c>
      <c r="G4681" s="6">
        <v>1537911</v>
      </c>
      <c r="H4681" t="str">
        <f>IFERROR(VLOOKUP(F4681,'LEAID Match'!$A$2:$B$142,2,FALSE),"")</f>
        <v/>
      </c>
    </row>
    <row r="4682" spans="1:8" x14ac:dyDescent="0.2">
      <c r="A4682" t="str">
        <f t="shared" si="73"/>
        <v/>
      </c>
      <c r="B4682" s="1">
        <v>2020</v>
      </c>
      <c r="C4682" s="1" t="s">
        <v>2505</v>
      </c>
      <c r="D4682" s="1" t="s">
        <v>2506</v>
      </c>
      <c r="E4682" s="1" t="s">
        <v>2019</v>
      </c>
      <c r="F4682" s="1" t="s">
        <v>465</v>
      </c>
      <c r="G4682" s="6">
        <v>1605791</v>
      </c>
      <c r="H4682" t="str">
        <f>IFERROR(VLOOKUP(F4682,'LEAID Match'!$A$2:$B$142,2,FALSE),"")</f>
        <v/>
      </c>
    </row>
    <row r="4683" spans="1:8" x14ac:dyDescent="0.2">
      <c r="A4683" t="str">
        <f t="shared" si="73"/>
        <v/>
      </c>
      <c r="B4683" s="1">
        <v>2021</v>
      </c>
      <c r="C4683" s="1" t="s">
        <v>2505</v>
      </c>
      <c r="D4683" s="1" t="s">
        <v>2506</v>
      </c>
      <c r="E4683" s="1" t="s">
        <v>2019</v>
      </c>
      <c r="F4683" s="1" t="s">
        <v>465</v>
      </c>
      <c r="G4683" s="6">
        <v>1637248</v>
      </c>
      <c r="H4683" t="str">
        <f>IFERROR(VLOOKUP(F4683,'LEAID Match'!$A$2:$B$142,2,FALSE),"")</f>
        <v/>
      </c>
    </row>
    <row r="4684" spans="1:8" x14ac:dyDescent="0.2">
      <c r="A4684" t="str">
        <f t="shared" si="73"/>
        <v/>
      </c>
      <c r="B4684" s="1">
        <v>2022</v>
      </c>
      <c r="C4684" s="1" t="s">
        <v>2505</v>
      </c>
      <c r="D4684" s="1" t="s">
        <v>2506</v>
      </c>
      <c r="E4684" s="1" t="s">
        <v>2019</v>
      </c>
      <c r="F4684" s="1" t="s">
        <v>465</v>
      </c>
      <c r="G4684" s="6">
        <v>1679696</v>
      </c>
      <c r="H4684" t="str">
        <f>IFERROR(VLOOKUP(F4684,'LEAID Match'!$A$2:$B$142,2,FALSE),"")</f>
        <v/>
      </c>
    </row>
    <row r="4685" spans="1:8" x14ac:dyDescent="0.2">
      <c r="A4685" t="str">
        <f t="shared" si="73"/>
        <v/>
      </c>
      <c r="B4685" s="1">
        <v>2023</v>
      </c>
      <c r="C4685" s="1" t="s">
        <v>2505</v>
      </c>
      <c r="D4685" s="1" t="s">
        <v>2506</v>
      </c>
      <c r="E4685" s="1" t="s">
        <v>2019</v>
      </c>
      <c r="F4685" s="1" t="s">
        <v>465</v>
      </c>
      <c r="G4685" s="6">
        <v>1706834</v>
      </c>
      <c r="H4685" t="str">
        <f>IFERROR(VLOOKUP(F4685,'LEAID Match'!$A$2:$B$142,2,FALSE),"")</f>
        <v/>
      </c>
    </row>
    <row r="4686" spans="1:8" x14ac:dyDescent="0.2">
      <c r="A4686" t="str">
        <f t="shared" si="73"/>
        <v/>
      </c>
      <c r="B4686" s="1">
        <v>2024</v>
      </c>
      <c r="C4686" s="1" t="s">
        <v>2505</v>
      </c>
      <c r="D4686" s="1" t="s">
        <v>2506</v>
      </c>
      <c r="E4686" s="1" t="s">
        <v>2019</v>
      </c>
      <c r="F4686" s="1" t="s">
        <v>465</v>
      </c>
      <c r="G4686" s="6">
        <v>1904497</v>
      </c>
      <c r="H4686" t="str">
        <f>IFERROR(VLOOKUP(F4686,'LEAID Match'!$A$2:$B$142,2,FALSE),"")</f>
        <v/>
      </c>
    </row>
    <row r="4687" spans="1:8" x14ac:dyDescent="0.2">
      <c r="A4687" t="str">
        <f t="shared" si="73"/>
        <v/>
      </c>
      <c r="B4687" s="1">
        <v>2015</v>
      </c>
      <c r="C4687" s="1" t="s">
        <v>2505</v>
      </c>
      <c r="D4687" s="1" t="s">
        <v>2506</v>
      </c>
      <c r="E4687" s="1" t="s">
        <v>2019</v>
      </c>
      <c r="F4687" s="1" t="s">
        <v>466</v>
      </c>
      <c r="G4687" s="6">
        <v>2624823</v>
      </c>
      <c r="H4687" t="str">
        <f>IFERROR(VLOOKUP(F4687,'LEAID Match'!$A$2:$B$142,2,FALSE),"")</f>
        <v/>
      </c>
    </row>
    <row r="4688" spans="1:8" x14ac:dyDescent="0.2">
      <c r="A4688" t="str">
        <f t="shared" si="73"/>
        <v/>
      </c>
      <c r="B4688">
        <v>2016</v>
      </c>
      <c r="C4688" s="1" t="s">
        <v>2505</v>
      </c>
      <c r="D4688" s="1" t="s">
        <v>2506</v>
      </c>
      <c r="E4688" s="1" t="s">
        <v>2019</v>
      </c>
      <c r="F4688" s="1" t="s">
        <v>466</v>
      </c>
      <c r="G4688" s="12">
        <v>2590395</v>
      </c>
      <c r="H4688" t="str">
        <f>IFERROR(VLOOKUP(F4688,'LEAID Match'!$A$2:$B$142,2,FALSE),"")</f>
        <v/>
      </c>
    </row>
    <row r="4689" spans="1:8" x14ac:dyDescent="0.2">
      <c r="A4689" t="str">
        <f t="shared" si="73"/>
        <v/>
      </c>
      <c r="B4689" s="1">
        <v>2017</v>
      </c>
      <c r="C4689" s="1" t="s">
        <v>2505</v>
      </c>
      <c r="D4689" s="1" t="s">
        <v>2506</v>
      </c>
      <c r="E4689" s="1" t="s">
        <v>2019</v>
      </c>
      <c r="F4689" s="1" t="s">
        <v>466</v>
      </c>
      <c r="G4689" s="47">
        <v>2505116</v>
      </c>
      <c r="H4689" t="str">
        <f>IFERROR(VLOOKUP(F4689,'LEAID Match'!$A$2:$B$142,2,FALSE),"")</f>
        <v/>
      </c>
    </row>
    <row r="4690" spans="1:8" x14ac:dyDescent="0.2">
      <c r="A4690" t="str">
        <f t="shared" si="73"/>
        <v/>
      </c>
      <c r="B4690" s="1">
        <v>2018</v>
      </c>
      <c r="C4690" s="1" t="s">
        <v>2505</v>
      </c>
      <c r="D4690" s="1" t="s">
        <v>2506</v>
      </c>
      <c r="E4690" s="1" t="s">
        <v>2019</v>
      </c>
      <c r="F4690" s="1" t="s">
        <v>466</v>
      </c>
      <c r="G4690" s="6">
        <v>2581652</v>
      </c>
      <c r="H4690" t="str">
        <f>IFERROR(VLOOKUP(F4690,'LEAID Match'!$A$2:$B$142,2,FALSE),"")</f>
        <v/>
      </c>
    </row>
    <row r="4691" spans="1:8" x14ac:dyDescent="0.2">
      <c r="A4691" t="str">
        <f t="shared" si="73"/>
        <v/>
      </c>
      <c r="B4691" s="1">
        <v>2019</v>
      </c>
      <c r="C4691" s="1" t="s">
        <v>2505</v>
      </c>
      <c r="D4691" s="1" t="s">
        <v>2506</v>
      </c>
      <c r="E4691" s="1" t="s">
        <v>2019</v>
      </c>
      <c r="F4691" s="1" t="s">
        <v>466</v>
      </c>
      <c r="G4691" s="6">
        <v>2649061</v>
      </c>
      <c r="H4691" t="str">
        <f>IFERROR(VLOOKUP(F4691,'LEAID Match'!$A$2:$B$142,2,FALSE),"")</f>
        <v/>
      </c>
    </row>
    <row r="4692" spans="1:8" x14ac:dyDescent="0.2">
      <c r="A4692" t="str">
        <f t="shared" si="73"/>
        <v/>
      </c>
      <c r="B4692" s="1">
        <v>2020</v>
      </c>
      <c r="C4692" s="1" t="s">
        <v>2505</v>
      </c>
      <c r="D4692" s="1" t="s">
        <v>2506</v>
      </c>
      <c r="E4692" s="1" t="s">
        <v>2019</v>
      </c>
      <c r="F4692" s="1" t="s">
        <v>466</v>
      </c>
      <c r="G4692" s="6">
        <v>3113564</v>
      </c>
      <c r="H4692" t="str">
        <f>IFERROR(VLOOKUP(F4692,'LEAID Match'!$A$2:$B$142,2,FALSE),"")</f>
        <v/>
      </c>
    </row>
    <row r="4693" spans="1:8" x14ac:dyDescent="0.2">
      <c r="A4693" t="str">
        <f t="shared" si="73"/>
        <v/>
      </c>
      <c r="B4693" s="1">
        <v>2021</v>
      </c>
      <c r="C4693" s="1" t="s">
        <v>2505</v>
      </c>
      <c r="D4693" s="1" t="s">
        <v>2506</v>
      </c>
      <c r="E4693" s="1" t="s">
        <v>2019</v>
      </c>
      <c r="F4693" s="1" t="s">
        <v>466</v>
      </c>
      <c r="G4693" s="6">
        <v>3125910</v>
      </c>
      <c r="H4693" t="str">
        <f>IFERROR(VLOOKUP(F4693,'LEAID Match'!$A$2:$B$142,2,FALSE),"")</f>
        <v/>
      </c>
    </row>
    <row r="4694" spans="1:8" x14ac:dyDescent="0.2">
      <c r="A4694" t="str">
        <f t="shared" si="73"/>
        <v/>
      </c>
      <c r="B4694" s="1">
        <v>2022</v>
      </c>
      <c r="C4694" s="1" t="s">
        <v>2505</v>
      </c>
      <c r="D4694" s="1" t="s">
        <v>2506</v>
      </c>
      <c r="E4694" s="1" t="s">
        <v>2019</v>
      </c>
      <c r="F4694" s="1" t="s">
        <v>466</v>
      </c>
      <c r="G4694" s="6">
        <v>3087738</v>
      </c>
      <c r="H4694" t="str">
        <f>IFERROR(VLOOKUP(F4694,'LEAID Match'!$A$2:$B$142,2,FALSE),"")</f>
        <v/>
      </c>
    </row>
    <row r="4695" spans="1:8" x14ac:dyDescent="0.2">
      <c r="A4695" t="str">
        <f t="shared" si="73"/>
        <v/>
      </c>
      <c r="B4695" s="1">
        <v>2023</v>
      </c>
      <c r="C4695" s="1" t="s">
        <v>2505</v>
      </c>
      <c r="D4695" s="1" t="s">
        <v>2506</v>
      </c>
      <c r="E4695" s="1" t="s">
        <v>2019</v>
      </c>
      <c r="F4695" s="1" t="s">
        <v>466</v>
      </c>
      <c r="G4695" s="6">
        <v>3312573</v>
      </c>
      <c r="H4695" t="str">
        <f>IFERROR(VLOOKUP(F4695,'LEAID Match'!$A$2:$B$142,2,FALSE),"")</f>
        <v/>
      </c>
    </row>
    <row r="4696" spans="1:8" x14ac:dyDescent="0.2">
      <c r="A4696" t="str">
        <f t="shared" si="73"/>
        <v/>
      </c>
      <c r="B4696" s="1">
        <v>2024</v>
      </c>
      <c r="C4696" s="1" t="s">
        <v>2505</v>
      </c>
      <c r="D4696" s="1" t="s">
        <v>2506</v>
      </c>
      <c r="E4696" s="1" t="s">
        <v>2019</v>
      </c>
      <c r="F4696" s="1" t="s">
        <v>466</v>
      </c>
      <c r="G4696" s="6">
        <v>3526162</v>
      </c>
      <c r="H4696" t="str">
        <f>IFERROR(VLOOKUP(F4696,'LEAID Match'!$A$2:$B$142,2,FALSE),"")</f>
        <v/>
      </c>
    </row>
    <row r="4697" spans="1:8" x14ac:dyDescent="0.2">
      <c r="A4697" t="str">
        <f t="shared" si="73"/>
        <v/>
      </c>
      <c r="B4697" s="1">
        <v>2015</v>
      </c>
      <c r="C4697" s="1" t="s">
        <v>2505</v>
      </c>
      <c r="D4697" s="1" t="s">
        <v>2506</v>
      </c>
      <c r="E4697" s="1" t="s">
        <v>2019</v>
      </c>
      <c r="F4697" s="1" t="s">
        <v>467</v>
      </c>
      <c r="G4697" s="6">
        <v>555728</v>
      </c>
      <c r="H4697" t="str">
        <f>IFERROR(VLOOKUP(F4697,'LEAID Match'!$A$2:$B$142,2,FALSE),"")</f>
        <v/>
      </c>
    </row>
    <row r="4698" spans="1:8" x14ac:dyDescent="0.2">
      <c r="A4698" t="str">
        <f t="shared" si="73"/>
        <v/>
      </c>
      <c r="B4698">
        <v>2016</v>
      </c>
      <c r="C4698" s="1" t="s">
        <v>2505</v>
      </c>
      <c r="D4698" s="1" t="s">
        <v>2506</v>
      </c>
      <c r="E4698" s="1" t="s">
        <v>2019</v>
      </c>
      <c r="F4698" s="1" t="s">
        <v>467</v>
      </c>
      <c r="G4698" s="12">
        <v>585610</v>
      </c>
      <c r="H4698" t="str">
        <f>IFERROR(VLOOKUP(F4698,'LEAID Match'!$A$2:$B$142,2,FALSE),"")</f>
        <v/>
      </c>
    </row>
    <row r="4699" spans="1:8" x14ac:dyDescent="0.2">
      <c r="A4699" t="str">
        <f t="shared" si="73"/>
        <v/>
      </c>
      <c r="B4699" s="1">
        <v>2017</v>
      </c>
      <c r="C4699" s="1" t="s">
        <v>2505</v>
      </c>
      <c r="D4699" s="1" t="s">
        <v>2506</v>
      </c>
      <c r="E4699" s="1" t="s">
        <v>2019</v>
      </c>
      <c r="F4699" s="1" t="s">
        <v>467</v>
      </c>
      <c r="G4699" s="47">
        <v>587580</v>
      </c>
      <c r="H4699" t="str">
        <f>IFERROR(VLOOKUP(F4699,'LEAID Match'!$A$2:$B$142,2,FALSE),"")</f>
        <v/>
      </c>
    </row>
    <row r="4700" spans="1:8" x14ac:dyDescent="0.2">
      <c r="A4700" t="str">
        <f t="shared" si="73"/>
        <v/>
      </c>
      <c r="B4700" s="1">
        <v>2018</v>
      </c>
      <c r="C4700" s="1" t="s">
        <v>2505</v>
      </c>
      <c r="D4700" s="1" t="s">
        <v>2506</v>
      </c>
      <c r="E4700" s="1" t="s">
        <v>2019</v>
      </c>
      <c r="F4700" s="1" t="s">
        <v>467</v>
      </c>
      <c r="G4700" s="6">
        <v>581399</v>
      </c>
      <c r="H4700" t="str">
        <f>IFERROR(VLOOKUP(F4700,'LEAID Match'!$A$2:$B$142,2,FALSE),"")</f>
        <v/>
      </c>
    </row>
    <row r="4701" spans="1:8" x14ac:dyDescent="0.2">
      <c r="A4701" t="str">
        <f t="shared" si="73"/>
        <v/>
      </c>
      <c r="B4701" s="1">
        <v>2019</v>
      </c>
      <c r="C4701" s="1" t="s">
        <v>2505</v>
      </c>
      <c r="D4701" s="1" t="s">
        <v>2506</v>
      </c>
      <c r="E4701" s="1" t="s">
        <v>2019</v>
      </c>
      <c r="F4701" s="1" t="s">
        <v>467</v>
      </c>
      <c r="G4701" s="6">
        <v>591615</v>
      </c>
      <c r="H4701" t="str">
        <f>IFERROR(VLOOKUP(F4701,'LEAID Match'!$A$2:$B$142,2,FALSE),"")</f>
        <v/>
      </c>
    </row>
    <row r="4702" spans="1:8" x14ac:dyDescent="0.2">
      <c r="A4702" t="str">
        <f t="shared" si="73"/>
        <v/>
      </c>
      <c r="B4702" s="1">
        <v>2020</v>
      </c>
      <c r="C4702" s="1" t="s">
        <v>2505</v>
      </c>
      <c r="D4702" s="1" t="s">
        <v>2506</v>
      </c>
      <c r="E4702" s="1" t="s">
        <v>2019</v>
      </c>
      <c r="F4702" s="1" t="s">
        <v>467</v>
      </c>
      <c r="G4702" s="6">
        <v>687321</v>
      </c>
      <c r="H4702" t="str">
        <f>IFERROR(VLOOKUP(F4702,'LEAID Match'!$A$2:$B$142,2,FALSE),"")</f>
        <v/>
      </c>
    </row>
    <row r="4703" spans="1:8" x14ac:dyDescent="0.2">
      <c r="A4703" t="str">
        <f t="shared" si="73"/>
        <v/>
      </c>
      <c r="B4703" s="1">
        <v>2021</v>
      </c>
      <c r="C4703" s="1" t="s">
        <v>2505</v>
      </c>
      <c r="D4703" s="1" t="s">
        <v>2506</v>
      </c>
      <c r="E4703" s="1" t="s">
        <v>2019</v>
      </c>
      <c r="F4703" s="1" t="s">
        <v>467</v>
      </c>
      <c r="G4703" s="6">
        <v>682812</v>
      </c>
      <c r="H4703" t="str">
        <f>IFERROR(VLOOKUP(F4703,'LEAID Match'!$A$2:$B$142,2,FALSE),"")</f>
        <v/>
      </c>
    </row>
    <row r="4704" spans="1:8" x14ac:dyDescent="0.2">
      <c r="A4704" t="str">
        <f t="shared" si="73"/>
        <v/>
      </c>
      <c r="B4704" s="1">
        <v>2022</v>
      </c>
      <c r="C4704" s="1" t="s">
        <v>2505</v>
      </c>
      <c r="D4704" s="1" t="s">
        <v>2506</v>
      </c>
      <c r="E4704" s="1" t="s">
        <v>2019</v>
      </c>
      <c r="F4704" s="1" t="s">
        <v>467</v>
      </c>
      <c r="G4704" s="6">
        <v>676951</v>
      </c>
      <c r="H4704" t="str">
        <f>IFERROR(VLOOKUP(F4704,'LEAID Match'!$A$2:$B$142,2,FALSE),"")</f>
        <v/>
      </c>
    </row>
    <row r="4705" spans="1:8" x14ac:dyDescent="0.2">
      <c r="A4705" t="str">
        <f t="shared" si="73"/>
        <v/>
      </c>
      <c r="B4705" s="1">
        <v>2023</v>
      </c>
      <c r="C4705" s="1" t="s">
        <v>2505</v>
      </c>
      <c r="D4705" s="1" t="s">
        <v>2506</v>
      </c>
      <c r="E4705" s="1" t="s">
        <v>2019</v>
      </c>
      <c r="F4705" s="1" t="s">
        <v>467</v>
      </c>
      <c r="G4705" s="6">
        <v>717275</v>
      </c>
      <c r="H4705" t="str">
        <f>IFERROR(VLOOKUP(F4705,'LEAID Match'!$A$2:$B$142,2,FALSE),"")</f>
        <v/>
      </c>
    </row>
    <row r="4706" spans="1:8" x14ac:dyDescent="0.2">
      <c r="A4706" t="str">
        <f t="shared" si="73"/>
        <v/>
      </c>
      <c r="B4706" s="1">
        <v>2024</v>
      </c>
      <c r="C4706" s="1" t="s">
        <v>2505</v>
      </c>
      <c r="D4706" s="1" t="s">
        <v>2506</v>
      </c>
      <c r="E4706" s="1" t="s">
        <v>2019</v>
      </c>
      <c r="F4706" s="1" t="s">
        <v>467</v>
      </c>
      <c r="G4706" s="6">
        <v>747538</v>
      </c>
      <c r="H4706" t="str">
        <f>IFERROR(VLOOKUP(F4706,'LEAID Match'!$A$2:$B$142,2,FALSE),"")</f>
        <v/>
      </c>
    </row>
    <row r="4707" spans="1:8" x14ac:dyDescent="0.2">
      <c r="A4707" t="str">
        <f t="shared" si="73"/>
        <v/>
      </c>
      <c r="B4707">
        <v>2016</v>
      </c>
      <c r="C4707" s="1" t="s">
        <v>2505</v>
      </c>
      <c r="D4707" s="1" t="s">
        <v>2506</v>
      </c>
      <c r="E4707" s="1" t="s">
        <v>2019</v>
      </c>
      <c r="F4707" s="1" t="s">
        <v>1039</v>
      </c>
      <c r="G4707" s="12">
        <v>477078</v>
      </c>
      <c r="H4707" t="str">
        <f>IFERROR(VLOOKUP(F4707,'LEAID Match'!$A$2:$B$142,2,FALSE),"")</f>
        <v/>
      </c>
    </row>
    <row r="4708" spans="1:8" x14ac:dyDescent="0.2">
      <c r="A4708" t="str">
        <f t="shared" si="73"/>
        <v/>
      </c>
      <c r="B4708" s="1">
        <v>2017</v>
      </c>
      <c r="C4708" s="1" t="s">
        <v>2505</v>
      </c>
      <c r="D4708" s="1" t="s">
        <v>2506</v>
      </c>
      <c r="E4708" s="1" t="s">
        <v>2019</v>
      </c>
      <c r="F4708" s="1" t="s">
        <v>1039</v>
      </c>
      <c r="G4708" s="47">
        <v>520760</v>
      </c>
      <c r="H4708" t="str">
        <f>IFERROR(VLOOKUP(F4708,'LEAID Match'!$A$2:$B$142,2,FALSE),"")</f>
        <v/>
      </c>
    </row>
    <row r="4709" spans="1:8" x14ac:dyDescent="0.2">
      <c r="A4709" t="str">
        <f t="shared" si="73"/>
        <v/>
      </c>
      <c r="B4709" s="1">
        <v>2018</v>
      </c>
      <c r="C4709" s="1" t="s">
        <v>2505</v>
      </c>
      <c r="D4709" s="1" t="s">
        <v>2506</v>
      </c>
      <c r="E4709" s="1" t="s">
        <v>2019</v>
      </c>
      <c r="F4709" s="1" t="s">
        <v>1039</v>
      </c>
      <c r="G4709" s="6">
        <v>572510</v>
      </c>
      <c r="H4709" t="str">
        <f>IFERROR(VLOOKUP(F4709,'LEAID Match'!$A$2:$B$142,2,FALSE),"")</f>
        <v/>
      </c>
    </row>
    <row r="4710" spans="1:8" x14ac:dyDescent="0.2">
      <c r="A4710" t="str">
        <f t="shared" si="73"/>
        <v/>
      </c>
      <c r="B4710" s="1">
        <v>2019</v>
      </c>
      <c r="C4710" s="1" t="s">
        <v>2505</v>
      </c>
      <c r="D4710" s="1" t="s">
        <v>2506</v>
      </c>
      <c r="E4710" s="1" t="s">
        <v>2019</v>
      </c>
      <c r="F4710" s="1" t="s">
        <v>1039</v>
      </c>
      <c r="G4710" s="6">
        <v>763696</v>
      </c>
      <c r="H4710" t="str">
        <f>IFERROR(VLOOKUP(F4710,'LEAID Match'!$A$2:$B$142,2,FALSE),"")</f>
        <v/>
      </c>
    </row>
    <row r="4711" spans="1:8" x14ac:dyDescent="0.2">
      <c r="A4711" t="str">
        <f t="shared" si="73"/>
        <v/>
      </c>
      <c r="B4711" s="1">
        <v>2015</v>
      </c>
      <c r="C4711" s="1" t="s">
        <v>2505</v>
      </c>
      <c r="D4711" s="1" t="s">
        <v>2506</v>
      </c>
      <c r="E4711" s="1" t="s">
        <v>2019</v>
      </c>
      <c r="F4711" s="1" t="s">
        <v>468</v>
      </c>
      <c r="G4711" s="6">
        <v>476935</v>
      </c>
      <c r="H4711" t="str">
        <f>IFERROR(VLOOKUP(F4711,'LEAID Match'!$A$2:$B$142,2,FALSE),"")</f>
        <v/>
      </c>
    </row>
    <row r="4712" spans="1:8" x14ac:dyDescent="0.2">
      <c r="A4712" t="str">
        <f t="shared" si="73"/>
        <v/>
      </c>
      <c r="B4712" s="1">
        <v>2020</v>
      </c>
      <c r="C4712" s="1" t="s">
        <v>2505</v>
      </c>
      <c r="D4712" s="1" t="s">
        <v>2506</v>
      </c>
      <c r="E4712" s="1" t="s">
        <v>2019</v>
      </c>
      <c r="F4712" s="1" t="s">
        <v>468</v>
      </c>
      <c r="G4712" s="6">
        <v>960101</v>
      </c>
      <c r="H4712" t="str">
        <f>IFERROR(VLOOKUP(F4712,'LEAID Match'!$A$2:$B$142,2,FALSE),"")</f>
        <v/>
      </c>
    </row>
    <row r="4713" spans="1:8" x14ac:dyDescent="0.2">
      <c r="A4713" t="str">
        <f t="shared" si="73"/>
        <v/>
      </c>
      <c r="B4713" s="1">
        <v>2021</v>
      </c>
      <c r="C4713" s="1" t="s">
        <v>2505</v>
      </c>
      <c r="D4713" s="1" t="s">
        <v>2506</v>
      </c>
      <c r="E4713" s="1" t="s">
        <v>2019</v>
      </c>
      <c r="F4713" s="1" t="s">
        <v>468</v>
      </c>
      <c r="G4713" s="6">
        <v>880006</v>
      </c>
      <c r="H4713" t="str">
        <f>IFERROR(VLOOKUP(F4713,'LEAID Match'!$A$2:$B$142,2,FALSE),"")</f>
        <v/>
      </c>
    </row>
    <row r="4714" spans="1:8" x14ac:dyDescent="0.2">
      <c r="A4714" t="str">
        <f t="shared" si="73"/>
        <v/>
      </c>
      <c r="B4714" s="1">
        <v>2022</v>
      </c>
      <c r="C4714" s="1" t="s">
        <v>2505</v>
      </c>
      <c r="D4714" s="1" t="s">
        <v>2506</v>
      </c>
      <c r="E4714" s="1" t="s">
        <v>2019</v>
      </c>
      <c r="F4714" s="1" t="s">
        <v>468</v>
      </c>
      <c r="G4714" s="6">
        <v>649535</v>
      </c>
      <c r="H4714" t="str">
        <f>IFERROR(VLOOKUP(F4714,'LEAID Match'!$A$2:$B$142,2,FALSE),"")</f>
        <v/>
      </c>
    </row>
    <row r="4715" spans="1:8" x14ac:dyDescent="0.2">
      <c r="A4715" t="str">
        <f t="shared" si="73"/>
        <v/>
      </c>
      <c r="B4715" s="1">
        <v>2023</v>
      </c>
      <c r="C4715" s="1" t="s">
        <v>2505</v>
      </c>
      <c r="D4715" s="1" t="s">
        <v>2506</v>
      </c>
      <c r="E4715" s="1" t="s">
        <v>2019</v>
      </c>
      <c r="F4715" s="1" t="s">
        <v>468</v>
      </c>
      <c r="G4715" s="6">
        <v>611375</v>
      </c>
      <c r="H4715" t="str">
        <f>IFERROR(VLOOKUP(F4715,'LEAID Match'!$A$2:$B$142,2,FALSE),"")</f>
        <v/>
      </c>
    </row>
    <row r="4716" spans="1:8" x14ac:dyDescent="0.2">
      <c r="A4716" t="str">
        <f t="shared" si="73"/>
        <v/>
      </c>
      <c r="B4716" s="1">
        <v>2024</v>
      </c>
      <c r="C4716" s="1" t="s">
        <v>2505</v>
      </c>
      <c r="D4716" s="1" t="s">
        <v>2506</v>
      </c>
      <c r="E4716" s="1" t="s">
        <v>2019</v>
      </c>
      <c r="F4716" s="1" t="s">
        <v>468</v>
      </c>
      <c r="G4716" s="6">
        <v>611541</v>
      </c>
      <c r="H4716" t="str">
        <f>IFERROR(VLOOKUP(F4716,'LEAID Match'!$A$2:$B$142,2,FALSE),"")</f>
        <v/>
      </c>
    </row>
    <row r="4717" spans="1:8" x14ac:dyDescent="0.2">
      <c r="A4717" t="str">
        <f t="shared" si="73"/>
        <v/>
      </c>
      <c r="B4717" s="1">
        <v>2015</v>
      </c>
      <c r="C4717" s="1" t="s">
        <v>2505</v>
      </c>
      <c r="D4717" s="1" t="s">
        <v>2506</v>
      </c>
      <c r="E4717" s="1" t="s">
        <v>2019</v>
      </c>
      <c r="F4717" s="1" t="s">
        <v>469</v>
      </c>
      <c r="G4717" s="6">
        <v>4819801</v>
      </c>
      <c r="H4717" t="str">
        <f>IFERROR(VLOOKUP(F4717,'LEAID Match'!$A$2:$B$142,2,FALSE),"")</f>
        <v/>
      </c>
    </row>
    <row r="4718" spans="1:8" x14ac:dyDescent="0.2">
      <c r="A4718" t="str">
        <f t="shared" si="73"/>
        <v/>
      </c>
      <c r="B4718">
        <v>2016</v>
      </c>
      <c r="C4718" s="1" t="s">
        <v>2505</v>
      </c>
      <c r="D4718" s="1" t="s">
        <v>2506</v>
      </c>
      <c r="E4718" s="1" t="s">
        <v>2019</v>
      </c>
      <c r="F4718" s="1" t="s">
        <v>469</v>
      </c>
      <c r="G4718" s="12">
        <v>4963158</v>
      </c>
      <c r="H4718" t="str">
        <f>IFERROR(VLOOKUP(F4718,'LEAID Match'!$A$2:$B$142,2,FALSE),"")</f>
        <v/>
      </c>
    </row>
    <row r="4719" spans="1:8" x14ac:dyDescent="0.2">
      <c r="A4719" t="str">
        <f t="shared" si="73"/>
        <v/>
      </c>
      <c r="B4719" s="1">
        <v>2017</v>
      </c>
      <c r="C4719" s="1" t="s">
        <v>2505</v>
      </c>
      <c r="D4719" s="1" t="s">
        <v>2506</v>
      </c>
      <c r="E4719" s="1" t="s">
        <v>2019</v>
      </c>
      <c r="F4719" s="1" t="s">
        <v>469</v>
      </c>
      <c r="G4719" s="47">
        <v>4757976</v>
      </c>
      <c r="H4719" t="str">
        <f>IFERROR(VLOOKUP(F4719,'LEAID Match'!$A$2:$B$142,2,FALSE),"")</f>
        <v/>
      </c>
    </row>
    <row r="4720" spans="1:8" x14ac:dyDescent="0.2">
      <c r="A4720" t="str">
        <f t="shared" si="73"/>
        <v/>
      </c>
      <c r="B4720" s="1">
        <v>2018</v>
      </c>
      <c r="C4720" s="1" t="s">
        <v>2505</v>
      </c>
      <c r="D4720" s="1" t="s">
        <v>2506</v>
      </c>
      <c r="E4720" s="1" t="s">
        <v>2019</v>
      </c>
      <c r="F4720" s="1" t="s">
        <v>469</v>
      </c>
      <c r="G4720" s="6">
        <v>4701588</v>
      </c>
      <c r="H4720" t="str">
        <f>IFERROR(VLOOKUP(F4720,'LEAID Match'!$A$2:$B$142,2,FALSE),"")</f>
        <v/>
      </c>
    </row>
    <row r="4721" spans="1:8" x14ac:dyDescent="0.2">
      <c r="A4721" t="str">
        <f t="shared" si="73"/>
        <v/>
      </c>
      <c r="B4721" s="1">
        <v>2019</v>
      </c>
      <c r="C4721" s="1" t="s">
        <v>2505</v>
      </c>
      <c r="D4721" s="1" t="s">
        <v>2506</v>
      </c>
      <c r="E4721" s="1" t="s">
        <v>2019</v>
      </c>
      <c r="F4721" s="1" t="s">
        <v>469</v>
      </c>
      <c r="G4721" s="6">
        <v>4504149</v>
      </c>
      <c r="H4721" t="str">
        <f>IFERROR(VLOOKUP(F4721,'LEAID Match'!$A$2:$B$142,2,FALSE),"")</f>
        <v/>
      </c>
    </row>
    <row r="4722" spans="1:8" x14ac:dyDescent="0.2">
      <c r="A4722" t="str">
        <f t="shared" si="73"/>
        <v/>
      </c>
      <c r="B4722" s="1">
        <v>2020</v>
      </c>
      <c r="C4722" s="1" t="s">
        <v>2505</v>
      </c>
      <c r="D4722" s="1" t="s">
        <v>2506</v>
      </c>
      <c r="E4722" s="1" t="s">
        <v>2019</v>
      </c>
      <c r="F4722" s="1" t="s">
        <v>469</v>
      </c>
      <c r="G4722" s="6">
        <v>5168629</v>
      </c>
      <c r="H4722" t="str">
        <f>IFERROR(VLOOKUP(F4722,'LEAID Match'!$A$2:$B$142,2,FALSE),"")</f>
        <v/>
      </c>
    </row>
    <row r="4723" spans="1:8" x14ac:dyDescent="0.2">
      <c r="A4723" t="str">
        <f t="shared" si="73"/>
        <v/>
      </c>
      <c r="B4723" s="1">
        <v>2021</v>
      </c>
      <c r="C4723" s="1" t="s">
        <v>2505</v>
      </c>
      <c r="D4723" s="1" t="s">
        <v>2506</v>
      </c>
      <c r="E4723" s="1" t="s">
        <v>2019</v>
      </c>
      <c r="F4723" s="1" t="s">
        <v>469</v>
      </c>
      <c r="G4723" s="6">
        <v>5031066</v>
      </c>
      <c r="H4723" t="str">
        <f>IFERROR(VLOOKUP(F4723,'LEAID Match'!$A$2:$B$142,2,FALSE),"")</f>
        <v/>
      </c>
    </row>
    <row r="4724" spans="1:8" x14ac:dyDescent="0.2">
      <c r="A4724" t="str">
        <f t="shared" si="73"/>
        <v/>
      </c>
      <c r="B4724" s="1">
        <v>2022</v>
      </c>
      <c r="C4724" s="1" t="s">
        <v>2505</v>
      </c>
      <c r="D4724" s="1" t="s">
        <v>2506</v>
      </c>
      <c r="E4724" s="1" t="s">
        <v>2019</v>
      </c>
      <c r="F4724" s="1" t="s">
        <v>469</v>
      </c>
      <c r="G4724" s="6">
        <v>4959549</v>
      </c>
      <c r="H4724" t="str">
        <f>IFERROR(VLOOKUP(F4724,'LEAID Match'!$A$2:$B$142,2,FALSE),"")</f>
        <v/>
      </c>
    </row>
    <row r="4725" spans="1:8" x14ac:dyDescent="0.2">
      <c r="A4725" t="str">
        <f t="shared" si="73"/>
        <v/>
      </c>
      <c r="B4725" s="1">
        <v>2023</v>
      </c>
      <c r="C4725" s="1" t="s">
        <v>2505</v>
      </c>
      <c r="D4725" s="1" t="s">
        <v>2506</v>
      </c>
      <c r="E4725" s="1" t="s">
        <v>2019</v>
      </c>
      <c r="F4725" s="1" t="s">
        <v>469</v>
      </c>
      <c r="G4725" s="6">
        <v>5316948</v>
      </c>
      <c r="H4725" t="str">
        <f>IFERROR(VLOOKUP(F4725,'LEAID Match'!$A$2:$B$142,2,FALSE),"")</f>
        <v/>
      </c>
    </row>
    <row r="4726" spans="1:8" x14ac:dyDescent="0.2">
      <c r="A4726" t="str">
        <f t="shared" si="73"/>
        <v/>
      </c>
      <c r="B4726" s="1">
        <v>2024</v>
      </c>
      <c r="C4726" s="1" t="s">
        <v>2505</v>
      </c>
      <c r="D4726" s="1" t="s">
        <v>2506</v>
      </c>
      <c r="E4726" s="1" t="s">
        <v>2019</v>
      </c>
      <c r="F4726" s="1" t="s">
        <v>469</v>
      </c>
      <c r="G4726" s="6">
        <v>4914452</v>
      </c>
      <c r="H4726" t="str">
        <f>IFERROR(VLOOKUP(F4726,'LEAID Match'!$A$2:$B$142,2,FALSE),"")</f>
        <v/>
      </c>
    </row>
    <row r="4727" spans="1:8" x14ac:dyDescent="0.2">
      <c r="A4727" t="str">
        <f t="shared" si="73"/>
        <v/>
      </c>
      <c r="B4727" s="1">
        <v>2015</v>
      </c>
      <c r="C4727" s="1" t="s">
        <v>2505</v>
      </c>
      <c r="D4727" s="1" t="s">
        <v>2506</v>
      </c>
      <c r="E4727" s="1" t="s">
        <v>2019</v>
      </c>
      <c r="F4727" s="1" t="s">
        <v>1627</v>
      </c>
      <c r="G4727" s="6">
        <v>8455</v>
      </c>
      <c r="H4727" t="str">
        <f>IFERROR(VLOOKUP(F4727,'LEAID Match'!$A$2:$B$142,2,FALSE),"")</f>
        <v/>
      </c>
    </row>
    <row r="4728" spans="1:8" x14ac:dyDescent="0.2">
      <c r="A4728" t="str">
        <f t="shared" si="73"/>
        <v/>
      </c>
      <c r="B4728">
        <v>2016</v>
      </c>
      <c r="C4728" s="1" t="s">
        <v>2505</v>
      </c>
      <c r="D4728" s="1" t="s">
        <v>2506</v>
      </c>
      <c r="E4728" s="1" t="s">
        <v>2019</v>
      </c>
      <c r="F4728" t="s">
        <v>1627</v>
      </c>
      <c r="G4728" s="12">
        <v>8455</v>
      </c>
      <c r="H4728" t="str">
        <f>IFERROR(VLOOKUP(F4728,'LEAID Match'!$A$2:$B$142,2,FALSE),"")</f>
        <v/>
      </c>
    </row>
    <row r="4729" spans="1:8" x14ac:dyDescent="0.2">
      <c r="A4729" t="str">
        <f t="shared" si="73"/>
        <v/>
      </c>
      <c r="B4729" s="1">
        <v>2017</v>
      </c>
      <c r="C4729" s="1" t="s">
        <v>2505</v>
      </c>
      <c r="D4729" s="1" t="s">
        <v>2506</v>
      </c>
      <c r="E4729" s="1" t="s">
        <v>2019</v>
      </c>
      <c r="F4729" s="37" t="s">
        <v>1627</v>
      </c>
      <c r="G4729" s="47">
        <v>8455</v>
      </c>
      <c r="H4729" t="str">
        <f>IFERROR(VLOOKUP(F4729,'LEAID Match'!$A$2:$B$142,2,FALSE),"")</f>
        <v/>
      </c>
    </row>
    <row r="4730" spans="1:8" x14ac:dyDescent="0.2">
      <c r="A4730" t="str">
        <f t="shared" si="73"/>
        <v/>
      </c>
      <c r="B4730" s="1">
        <v>2018</v>
      </c>
      <c r="C4730" s="1" t="s">
        <v>2505</v>
      </c>
      <c r="D4730" s="1" t="s">
        <v>2506</v>
      </c>
      <c r="E4730" s="1" t="s">
        <v>2019</v>
      </c>
      <c r="F4730" s="1" t="s">
        <v>1627</v>
      </c>
      <c r="G4730" s="6">
        <v>4227</v>
      </c>
      <c r="H4730" t="str">
        <f>IFERROR(VLOOKUP(F4730,'LEAID Match'!$A$2:$B$142,2,FALSE),"")</f>
        <v/>
      </c>
    </row>
    <row r="4731" spans="1:8" x14ac:dyDescent="0.2">
      <c r="A4731" t="str">
        <f t="shared" si="73"/>
        <v/>
      </c>
      <c r="B4731" s="1">
        <v>2015</v>
      </c>
      <c r="C4731" s="1" t="s">
        <v>2505</v>
      </c>
      <c r="D4731" s="1" t="s">
        <v>2506</v>
      </c>
      <c r="E4731" s="1" t="s">
        <v>2019</v>
      </c>
      <c r="F4731" s="1" t="s">
        <v>2305</v>
      </c>
      <c r="G4731" s="6">
        <v>11285</v>
      </c>
      <c r="H4731" t="str">
        <f>IFERROR(VLOOKUP(F4731,'LEAID Match'!$A$2:$B$142,2,FALSE),"")</f>
        <v/>
      </c>
    </row>
    <row r="4732" spans="1:8" x14ac:dyDescent="0.2">
      <c r="A4732" t="str">
        <f t="shared" si="73"/>
        <v/>
      </c>
      <c r="B4732" s="1">
        <v>2015</v>
      </c>
      <c r="C4732" s="1" t="s">
        <v>2505</v>
      </c>
      <c r="D4732" s="1" t="s">
        <v>2506</v>
      </c>
      <c r="E4732" s="1" t="s">
        <v>2019</v>
      </c>
      <c r="F4732" s="1" t="s">
        <v>2306</v>
      </c>
      <c r="G4732" s="6">
        <v>176559</v>
      </c>
      <c r="H4732" t="str">
        <f>IFERROR(VLOOKUP(F4732,'LEAID Match'!$A$2:$B$142,2,FALSE),"")</f>
        <v/>
      </c>
    </row>
    <row r="4733" spans="1:8" x14ac:dyDescent="0.2">
      <c r="A4733" t="str">
        <f t="shared" si="73"/>
        <v/>
      </c>
      <c r="B4733" s="1">
        <v>2015</v>
      </c>
      <c r="C4733" s="1" t="s">
        <v>2505</v>
      </c>
      <c r="D4733" s="1" t="s">
        <v>2506</v>
      </c>
      <c r="E4733" s="1" t="s">
        <v>2019</v>
      </c>
      <c r="F4733" s="1" t="s">
        <v>2307</v>
      </c>
      <c r="G4733" s="6">
        <v>65103</v>
      </c>
      <c r="H4733" t="str">
        <f>IFERROR(VLOOKUP(F4733,'LEAID Match'!$A$2:$B$142,2,FALSE),"")</f>
        <v/>
      </c>
    </row>
    <row r="4734" spans="1:8" x14ac:dyDescent="0.2">
      <c r="A4734" t="str">
        <f t="shared" si="73"/>
        <v/>
      </c>
      <c r="B4734" s="1">
        <v>2015</v>
      </c>
      <c r="C4734" s="1" t="s">
        <v>2505</v>
      </c>
      <c r="D4734" s="1" t="s">
        <v>2506</v>
      </c>
      <c r="E4734" s="1" t="s">
        <v>2019</v>
      </c>
      <c r="F4734" s="1" t="s">
        <v>2308</v>
      </c>
      <c r="G4734" s="6">
        <v>90221</v>
      </c>
      <c r="H4734" t="str">
        <f>IFERROR(VLOOKUP(F4734,'LEAID Match'!$A$2:$B$142,2,FALSE),"")</f>
        <v/>
      </c>
    </row>
    <row r="4735" spans="1:8" x14ac:dyDescent="0.2">
      <c r="A4735" t="str">
        <f t="shared" si="73"/>
        <v/>
      </c>
      <c r="B4735" s="1">
        <v>2015</v>
      </c>
      <c r="C4735" s="1" t="s">
        <v>2505</v>
      </c>
      <c r="D4735" s="1" t="s">
        <v>2506</v>
      </c>
      <c r="E4735" s="1" t="s">
        <v>2019</v>
      </c>
      <c r="F4735" s="1" t="s">
        <v>2309</v>
      </c>
      <c r="G4735" s="6">
        <v>10313</v>
      </c>
      <c r="H4735" t="str">
        <f>IFERROR(VLOOKUP(F4735,'LEAID Match'!$A$2:$B$142,2,FALSE),"")</f>
        <v/>
      </c>
    </row>
    <row r="4736" spans="1:8" x14ac:dyDescent="0.2">
      <c r="A4736" t="str">
        <f t="shared" si="73"/>
        <v/>
      </c>
      <c r="B4736" s="1">
        <v>2015</v>
      </c>
      <c r="C4736" s="1" t="s">
        <v>2505</v>
      </c>
      <c r="D4736" s="1" t="s">
        <v>2506</v>
      </c>
      <c r="E4736" s="1" t="s">
        <v>2019</v>
      </c>
      <c r="F4736" s="1" t="s">
        <v>2310</v>
      </c>
      <c r="G4736" s="6">
        <v>2052414</v>
      </c>
      <c r="H4736" t="str">
        <f>IFERROR(VLOOKUP(F4736,'LEAID Match'!$A$2:$B$142,2,FALSE),"")</f>
        <v/>
      </c>
    </row>
    <row r="4737" spans="1:8" x14ac:dyDescent="0.2">
      <c r="A4737" t="str">
        <f t="shared" si="73"/>
        <v/>
      </c>
      <c r="B4737" s="1">
        <v>2015</v>
      </c>
      <c r="C4737" s="1" t="s">
        <v>2505</v>
      </c>
      <c r="D4737" s="1" t="s">
        <v>2506</v>
      </c>
      <c r="E4737" s="1" t="s">
        <v>2019</v>
      </c>
      <c r="F4737" s="1" t="s">
        <v>2297</v>
      </c>
      <c r="G4737" s="6">
        <v>3027243</v>
      </c>
      <c r="H4737" t="str">
        <f>IFERROR(VLOOKUP(F4737,'LEAID Match'!$A$2:$B$142,2,FALSE),"")</f>
        <v/>
      </c>
    </row>
    <row r="4738" spans="1:8" x14ac:dyDescent="0.2">
      <c r="A4738" t="str">
        <f t="shared" si="73"/>
        <v/>
      </c>
      <c r="B4738" s="1">
        <v>2015</v>
      </c>
      <c r="C4738" s="1" t="s">
        <v>2505</v>
      </c>
      <c r="D4738" s="1" t="s">
        <v>2506</v>
      </c>
      <c r="E4738" s="1" t="s">
        <v>2019</v>
      </c>
      <c r="F4738" s="1" t="s">
        <v>2311</v>
      </c>
      <c r="G4738" s="6">
        <v>924836</v>
      </c>
      <c r="H4738" t="str">
        <f>IFERROR(VLOOKUP(F4738,'LEAID Match'!$A$2:$B$142,2,FALSE),"")</f>
        <v/>
      </c>
    </row>
    <row r="4739" spans="1:8" x14ac:dyDescent="0.2">
      <c r="A4739" t="str">
        <f t="shared" ref="A4739:A4802" si="74">H4739</f>
        <v/>
      </c>
      <c r="B4739" s="1">
        <v>2015</v>
      </c>
      <c r="C4739" s="1" t="s">
        <v>2505</v>
      </c>
      <c r="D4739" s="1" t="s">
        <v>2506</v>
      </c>
      <c r="E4739" s="1" t="s">
        <v>2019</v>
      </c>
      <c r="F4739" s="1" t="s">
        <v>2312</v>
      </c>
      <c r="G4739" s="6">
        <v>18330939</v>
      </c>
      <c r="H4739" t="str">
        <f>IFERROR(VLOOKUP(F4739,'LEAID Match'!$A$2:$B$142,2,FALSE),"")</f>
        <v/>
      </c>
    </row>
    <row r="4740" spans="1:8" x14ac:dyDescent="0.2">
      <c r="A4740" t="str">
        <f t="shared" si="74"/>
        <v/>
      </c>
      <c r="B4740">
        <v>2016</v>
      </c>
      <c r="C4740" s="1" t="s">
        <v>2505</v>
      </c>
      <c r="D4740" s="1" t="s">
        <v>2506</v>
      </c>
      <c r="E4740" s="1" t="s">
        <v>2019</v>
      </c>
      <c r="F4740" s="1" t="s">
        <v>470</v>
      </c>
      <c r="G4740" s="12">
        <v>2916151</v>
      </c>
      <c r="H4740" t="str">
        <f>IFERROR(VLOOKUP(F4740,'LEAID Match'!$A$2:$B$142,2,FALSE),"")</f>
        <v/>
      </c>
    </row>
    <row r="4741" spans="1:8" x14ac:dyDescent="0.2">
      <c r="A4741" t="str">
        <f t="shared" si="74"/>
        <v/>
      </c>
      <c r="B4741" s="1">
        <v>2017</v>
      </c>
      <c r="C4741" s="1" t="s">
        <v>2505</v>
      </c>
      <c r="D4741" s="1" t="s">
        <v>2506</v>
      </c>
      <c r="E4741" s="1" t="s">
        <v>2019</v>
      </c>
      <c r="F4741" s="1" t="s">
        <v>470</v>
      </c>
      <c r="G4741" s="47">
        <v>2805407</v>
      </c>
      <c r="H4741" t="str">
        <f>IFERROR(VLOOKUP(F4741,'LEAID Match'!$A$2:$B$142,2,FALSE),"")</f>
        <v/>
      </c>
    </row>
    <row r="4742" spans="1:8" x14ac:dyDescent="0.2">
      <c r="A4742" t="str">
        <f t="shared" si="74"/>
        <v/>
      </c>
      <c r="B4742" s="1">
        <v>2018</v>
      </c>
      <c r="C4742" s="1" t="s">
        <v>2505</v>
      </c>
      <c r="D4742" s="1" t="s">
        <v>2506</v>
      </c>
      <c r="E4742" s="1" t="s">
        <v>2019</v>
      </c>
      <c r="F4742" s="1" t="s">
        <v>470</v>
      </c>
      <c r="G4742" s="6">
        <v>2761817</v>
      </c>
      <c r="H4742" t="str">
        <f>IFERROR(VLOOKUP(F4742,'LEAID Match'!$A$2:$B$142,2,FALSE),"")</f>
        <v/>
      </c>
    </row>
    <row r="4743" spans="1:8" x14ac:dyDescent="0.2">
      <c r="A4743" t="str">
        <f t="shared" si="74"/>
        <v/>
      </c>
      <c r="B4743" s="1">
        <v>2019</v>
      </c>
      <c r="C4743" s="1" t="s">
        <v>2505</v>
      </c>
      <c r="D4743" s="1" t="s">
        <v>2506</v>
      </c>
      <c r="E4743" s="1" t="s">
        <v>2019</v>
      </c>
      <c r="F4743" s="1" t="s">
        <v>470</v>
      </c>
      <c r="G4743" s="6">
        <v>2662986</v>
      </c>
      <c r="H4743" t="str">
        <f>IFERROR(VLOOKUP(F4743,'LEAID Match'!$A$2:$B$142,2,FALSE),"")</f>
        <v/>
      </c>
    </row>
    <row r="4744" spans="1:8" x14ac:dyDescent="0.2">
      <c r="A4744" t="str">
        <f t="shared" si="74"/>
        <v/>
      </c>
      <c r="B4744" s="1">
        <v>2020</v>
      </c>
      <c r="C4744" s="1" t="s">
        <v>2505</v>
      </c>
      <c r="D4744" s="1" t="s">
        <v>2506</v>
      </c>
      <c r="E4744" s="1" t="s">
        <v>2019</v>
      </c>
      <c r="F4744" s="1" t="s">
        <v>470</v>
      </c>
      <c r="G4744" s="6">
        <v>3233528</v>
      </c>
      <c r="H4744" t="str">
        <f>IFERROR(VLOOKUP(F4744,'LEAID Match'!$A$2:$B$142,2,FALSE),"")</f>
        <v/>
      </c>
    </row>
    <row r="4745" spans="1:8" x14ac:dyDescent="0.2">
      <c r="A4745" t="str">
        <f t="shared" si="74"/>
        <v/>
      </c>
      <c r="B4745" s="1">
        <v>2021</v>
      </c>
      <c r="C4745" s="1" t="s">
        <v>2505</v>
      </c>
      <c r="D4745" s="1" t="s">
        <v>2506</v>
      </c>
      <c r="E4745" s="1" t="s">
        <v>2019</v>
      </c>
      <c r="F4745" s="1" t="s">
        <v>470</v>
      </c>
      <c r="G4745" s="6">
        <v>3877563</v>
      </c>
      <c r="H4745" t="str">
        <f>IFERROR(VLOOKUP(F4745,'LEAID Match'!$A$2:$B$142,2,FALSE),"")</f>
        <v/>
      </c>
    </row>
    <row r="4746" spans="1:8" x14ac:dyDescent="0.2">
      <c r="A4746" t="str">
        <f t="shared" si="74"/>
        <v/>
      </c>
      <c r="B4746" s="1">
        <v>2022</v>
      </c>
      <c r="C4746" s="1" t="s">
        <v>2505</v>
      </c>
      <c r="D4746" s="1" t="s">
        <v>2506</v>
      </c>
      <c r="E4746" s="1" t="s">
        <v>2019</v>
      </c>
      <c r="F4746" s="1" t="s">
        <v>470</v>
      </c>
      <c r="G4746" s="6">
        <v>3851447</v>
      </c>
      <c r="H4746" t="str">
        <f>IFERROR(VLOOKUP(F4746,'LEAID Match'!$A$2:$B$142,2,FALSE),"")</f>
        <v/>
      </c>
    </row>
    <row r="4747" spans="1:8" x14ac:dyDescent="0.2">
      <c r="A4747" t="str">
        <f t="shared" si="74"/>
        <v/>
      </c>
      <c r="B4747" s="1">
        <v>2023</v>
      </c>
      <c r="C4747" s="1" t="s">
        <v>2505</v>
      </c>
      <c r="D4747" s="1" t="s">
        <v>2506</v>
      </c>
      <c r="E4747" s="1" t="s">
        <v>2019</v>
      </c>
      <c r="F4747" s="1" t="s">
        <v>470</v>
      </c>
      <c r="G4747" s="6">
        <v>3229979</v>
      </c>
      <c r="H4747" t="str">
        <f>IFERROR(VLOOKUP(F4747,'LEAID Match'!$A$2:$B$142,2,FALSE),"")</f>
        <v/>
      </c>
    </row>
    <row r="4748" spans="1:8" x14ac:dyDescent="0.2">
      <c r="A4748" t="str">
        <f t="shared" si="74"/>
        <v/>
      </c>
      <c r="B4748" s="1">
        <v>2024</v>
      </c>
      <c r="C4748" s="1" t="s">
        <v>2505</v>
      </c>
      <c r="D4748" s="1" t="s">
        <v>2506</v>
      </c>
      <c r="E4748" s="1" t="s">
        <v>2019</v>
      </c>
      <c r="F4748" s="1" t="s">
        <v>470</v>
      </c>
      <c r="G4748" s="6">
        <v>2978503</v>
      </c>
      <c r="H4748" t="str">
        <f>IFERROR(VLOOKUP(F4748,'LEAID Match'!$A$2:$B$142,2,FALSE),"")</f>
        <v/>
      </c>
    </row>
    <row r="4749" spans="1:8" x14ac:dyDescent="0.2">
      <c r="A4749" t="str">
        <f t="shared" si="74"/>
        <v/>
      </c>
      <c r="B4749" s="1">
        <v>2015</v>
      </c>
      <c r="C4749" s="1" t="s">
        <v>2505</v>
      </c>
      <c r="D4749" s="1" t="s">
        <v>2506</v>
      </c>
      <c r="E4749" s="1" t="s">
        <v>2019</v>
      </c>
      <c r="F4749" s="1" t="s">
        <v>2313</v>
      </c>
      <c r="G4749" s="6">
        <v>2169569</v>
      </c>
      <c r="H4749" t="str">
        <f>IFERROR(VLOOKUP(F4749,'LEAID Match'!$A$2:$B$142,2,FALSE),"")</f>
        <v/>
      </c>
    </row>
    <row r="4750" spans="1:8" x14ac:dyDescent="0.2">
      <c r="A4750" t="str">
        <f t="shared" si="74"/>
        <v/>
      </c>
      <c r="B4750" s="1">
        <v>2015</v>
      </c>
      <c r="C4750" s="1" t="s">
        <v>2505</v>
      </c>
      <c r="D4750" s="1" t="s">
        <v>2506</v>
      </c>
      <c r="E4750" s="1" t="s">
        <v>2019</v>
      </c>
      <c r="F4750" s="1" t="s">
        <v>2314</v>
      </c>
      <c r="G4750" s="6">
        <v>830477</v>
      </c>
      <c r="H4750" t="str">
        <f>IFERROR(VLOOKUP(F4750,'LEAID Match'!$A$2:$B$142,2,FALSE),"")</f>
        <v/>
      </c>
    </row>
    <row r="4751" spans="1:8" x14ac:dyDescent="0.2">
      <c r="A4751" t="str">
        <f t="shared" si="74"/>
        <v/>
      </c>
      <c r="B4751" s="1">
        <v>2015</v>
      </c>
      <c r="C4751" s="1" t="s">
        <v>2505</v>
      </c>
      <c r="D4751" s="1" t="s">
        <v>2506</v>
      </c>
      <c r="E4751" s="1" t="s">
        <v>2019</v>
      </c>
      <c r="F4751" s="1" t="s">
        <v>2315</v>
      </c>
      <c r="G4751" s="6">
        <v>5714286</v>
      </c>
      <c r="H4751" t="str">
        <f>IFERROR(VLOOKUP(F4751,'LEAID Match'!$A$2:$B$142,2,FALSE),"")</f>
        <v/>
      </c>
    </row>
    <row r="4752" spans="1:8" x14ac:dyDescent="0.2">
      <c r="A4752" t="str">
        <f t="shared" si="74"/>
        <v/>
      </c>
      <c r="B4752" s="1">
        <v>2017</v>
      </c>
      <c r="C4752" s="1" t="s">
        <v>2505</v>
      </c>
      <c r="D4752" s="1" t="s">
        <v>2506</v>
      </c>
      <c r="E4752" s="1" t="s">
        <v>2019</v>
      </c>
      <c r="F4752" s="37" t="s">
        <v>2062</v>
      </c>
      <c r="G4752" s="47">
        <v>61620</v>
      </c>
      <c r="H4752" t="str">
        <f>IFERROR(VLOOKUP(F4752,'LEAID Match'!$A$2:$B$142,2,FALSE),"")</f>
        <v/>
      </c>
    </row>
    <row r="4753" spans="1:8" x14ac:dyDescent="0.2">
      <c r="A4753" t="str">
        <f t="shared" si="74"/>
        <v/>
      </c>
      <c r="B4753" s="1">
        <v>2015</v>
      </c>
      <c r="C4753" s="1" t="s">
        <v>2505</v>
      </c>
      <c r="D4753" s="1" t="s">
        <v>2506</v>
      </c>
      <c r="E4753" s="1" t="s">
        <v>2019</v>
      </c>
      <c r="F4753" s="1" t="s">
        <v>2316</v>
      </c>
      <c r="G4753" s="6">
        <v>3459180</v>
      </c>
      <c r="H4753" t="str">
        <f>IFERROR(VLOOKUP(F4753,'LEAID Match'!$A$2:$B$142,2,FALSE),"")</f>
        <v/>
      </c>
    </row>
    <row r="4754" spans="1:8" x14ac:dyDescent="0.2">
      <c r="A4754" t="str">
        <f t="shared" si="74"/>
        <v/>
      </c>
      <c r="B4754" s="1">
        <v>2015</v>
      </c>
      <c r="C4754" s="1" t="s">
        <v>2505</v>
      </c>
      <c r="D4754" s="1" t="s">
        <v>2506</v>
      </c>
      <c r="E4754" s="1" t="s">
        <v>2019</v>
      </c>
      <c r="F4754" s="1" t="s">
        <v>471</v>
      </c>
      <c r="G4754" s="6">
        <v>517835</v>
      </c>
      <c r="H4754" t="str">
        <f>IFERROR(VLOOKUP(F4754,'LEAID Match'!$A$2:$B$142,2,FALSE),"")</f>
        <v/>
      </c>
    </row>
    <row r="4755" spans="1:8" x14ac:dyDescent="0.2">
      <c r="A4755" t="str">
        <f t="shared" si="74"/>
        <v/>
      </c>
      <c r="B4755">
        <v>2016</v>
      </c>
      <c r="C4755" s="1" t="s">
        <v>2505</v>
      </c>
      <c r="D4755" s="1" t="s">
        <v>2506</v>
      </c>
      <c r="E4755" s="1" t="s">
        <v>2019</v>
      </c>
      <c r="F4755" s="1" t="s">
        <v>471</v>
      </c>
      <c r="G4755" s="12">
        <v>555561</v>
      </c>
      <c r="H4755" t="str">
        <f>IFERROR(VLOOKUP(F4755,'LEAID Match'!$A$2:$B$142,2,FALSE),"")</f>
        <v/>
      </c>
    </row>
    <row r="4756" spans="1:8" x14ac:dyDescent="0.2">
      <c r="A4756" t="str">
        <f t="shared" si="74"/>
        <v/>
      </c>
      <c r="B4756" s="1">
        <v>2017</v>
      </c>
      <c r="C4756" s="1" t="s">
        <v>2505</v>
      </c>
      <c r="D4756" s="1" t="s">
        <v>2506</v>
      </c>
      <c r="E4756" s="1" t="s">
        <v>2019</v>
      </c>
      <c r="F4756" s="1" t="s">
        <v>471</v>
      </c>
      <c r="G4756" s="47">
        <v>569264</v>
      </c>
      <c r="H4756" t="str">
        <f>IFERROR(VLOOKUP(F4756,'LEAID Match'!$A$2:$B$142,2,FALSE),"")</f>
        <v/>
      </c>
    </row>
    <row r="4757" spans="1:8" x14ac:dyDescent="0.2">
      <c r="A4757" t="str">
        <f t="shared" si="74"/>
        <v/>
      </c>
      <c r="B4757" s="1">
        <v>2018</v>
      </c>
      <c r="C4757" s="1" t="s">
        <v>2505</v>
      </c>
      <c r="D4757" s="1" t="s">
        <v>2506</v>
      </c>
      <c r="E4757" s="1" t="s">
        <v>2019</v>
      </c>
      <c r="F4757" s="1" t="s">
        <v>471</v>
      </c>
      <c r="G4757" s="6">
        <v>561233</v>
      </c>
      <c r="H4757" t="str">
        <f>IFERROR(VLOOKUP(F4757,'LEAID Match'!$A$2:$B$142,2,FALSE),"")</f>
        <v/>
      </c>
    </row>
    <row r="4758" spans="1:8" x14ac:dyDescent="0.2">
      <c r="A4758" t="str">
        <f t="shared" si="74"/>
        <v/>
      </c>
      <c r="B4758" s="1">
        <v>2019</v>
      </c>
      <c r="C4758" s="1" t="s">
        <v>2505</v>
      </c>
      <c r="D4758" s="1" t="s">
        <v>2506</v>
      </c>
      <c r="E4758" s="1" t="s">
        <v>2019</v>
      </c>
      <c r="F4758" s="1" t="s">
        <v>471</v>
      </c>
      <c r="G4758" s="6">
        <v>599151</v>
      </c>
      <c r="H4758" t="str">
        <f>IFERROR(VLOOKUP(F4758,'LEAID Match'!$A$2:$B$142,2,FALSE),"")</f>
        <v/>
      </c>
    </row>
    <row r="4759" spans="1:8" x14ac:dyDescent="0.2">
      <c r="A4759" t="str">
        <f t="shared" si="74"/>
        <v/>
      </c>
      <c r="B4759" s="1">
        <v>2020</v>
      </c>
      <c r="C4759" s="1" t="s">
        <v>2505</v>
      </c>
      <c r="D4759" s="1" t="s">
        <v>2506</v>
      </c>
      <c r="E4759" s="1" t="s">
        <v>2019</v>
      </c>
      <c r="F4759" s="1" t="s">
        <v>471</v>
      </c>
      <c r="G4759" s="6">
        <v>708860</v>
      </c>
      <c r="H4759" t="str">
        <f>IFERROR(VLOOKUP(F4759,'LEAID Match'!$A$2:$B$142,2,FALSE),"")</f>
        <v/>
      </c>
    </row>
    <row r="4760" spans="1:8" x14ac:dyDescent="0.2">
      <c r="A4760" t="str">
        <f t="shared" si="74"/>
        <v/>
      </c>
      <c r="B4760" s="1">
        <v>2021</v>
      </c>
      <c r="C4760" s="1" t="s">
        <v>2505</v>
      </c>
      <c r="D4760" s="1" t="s">
        <v>2506</v>
      </c>
      <c r="E4760" s="1" t="s">
        <v>2019</v>
      </c>
      <c r="F4760" s="1" t="s">
        <v>471</v>
      </c>
      <c r="G4760" s="6">
        <v>730466</v>
      </c>
      <c r="H4760" t="str">
        <f>IFERROR(VLOOKUP(F4760,'LEAID Match'!$A$2:$B$142,2,FALSE),"")</f>
        <v/>
      </c>
    </row>
    <row r="4761" spans="1:8" x14ac:dyDescent="0.2">
      <c r="A4761" t="str">
        <f t="shared" si="74"/>
        <v/>
      </c>
      <c r="B4761" s="1">
        <v>2022</v>
      </c>
      <c r="C4761" s="1" t="s">
        <v>2505</v>
      </c>
      <c r="D4761" s="1" t="s">
        <v>2506</v>
      </c>
      <c r="E4761" s="1" t="s">
        <v>2019</v>
      </c>
      <c r="F4761" s="1" t="s">
        <v>471</v>
      </c>
      <c r="G4761" s="6">
        <v>740317</v>
      </c>
      <c r="H4761" t="str">
        <f>IFERROR(VLOOKUP(F4761,'LEAID Match'!$A$2:$B$142,2,FALSE),"")</f>
        <v/>
      </c>
    </row>
    <row r="4762" spans="1:8" x14ac:dyDescent="0.2">
      <c r="A4762" t="str">
        <f t="shared" si="74"/>
        <v/>
      </c>
      <c r="B4762" s="1">
        <v>2023</v>
      </c>
      <c r="C4762" s="1" t="s">
        <v>2505</v>
      </c>
      <c r="D4762" s="1" t="s">
        <v>2506</v>
      </c>
      <c r="E4762" s="1" t="s">
        <v>2019</v>
      </c>
      <c r="F4762" s="1" t="s">
        <v>471</v>
      </c>
      <c r="G4762" s="6">
        <v>747549</v>
      </c>
      <c r="H4762" t="str">
        <f>IFERROR(VLOOKUP(F4762,'LEAID Match'!$A$2:$B$142,2,FALSE),"")</f>
        <v/>
      </c>
    </row>
    <row r="4763" spans="1:8" x14ac:dyDescent="0.2">
      <c r="A4763" t="str">
        <f t="shared" si="74"/>
        <v/>
      </c>
      <c r="B4763" s="1">
        <v>2024</v>
      </c>
      <c r="C4763" s="1" t="s">
        <v>2505</v>
      </c>
      <c r="D4763" s="1" t="s">
        <v>2506</v>
      </c>
      <c r="E4763" s="1" t="s">
        <v>2019</v>
      </c>
      <c r="F4763" s="1" t="s">
        <v>471</v>
      </c>
      <c r="G4763" s="6">
        <v>740322</v>
      </c>
      <c r="H4763" t="str">
        <f>IFERROR(VLOOKUP(F4763,'LEAID Match'!$A$2:$B$142,2,FALSE),"")</f>
        <v/>
      </c>
    </row>
    <row r="4764" spans="1:8" x14ac:dyDescent="0.2">
      <c r="A4764" t="str">
        <f t="shared" si="74"/>
        <v/>
      </c>
      <c r="B4764" s="1">
        <v>2015</v>
      </c>
      <c r="C4764" s="1" t="s">
        <v>2505</v>
      </c>
      <c r="D4764" s="1" t="s">
        <v>2506</v>
      </c>
      <c r="E4764" s="1" t="s">
        <v>2019</v>
      </c>
      <c r="F4764" s="1" t="s">
        <v>2296</v>
      </c>
      <c r="G4764" s="6">
        <v>10286</v>
      </c>
      <c r="H4764" t="str">
        <f>IFERROR(VLOOKUP(F4764,'LEAID Match'!$A$2:$B$142,2,FALSE),"")</f>
        <v/>
      </c>
    </row>
    <row r="4765" spans="1:8" x14ac:dyDescent="0.2">
      <c r="A4765" t="str">
        <f t="shared" si="74"/>
        <v/>
      </c>
      <c r="B4765" s="1">
        <v>2015</v>
      </c>
      <c r="C4765" s="1" t="s">
        <v>2505</v>
      </c>
      <c r="D4765" s="1" t="s">
        <v>2506</v>
      </c>
      <c r="E4765" s="1" t="s">
        <v>2019</v>
      </c>
      <c r="F4765" s="1" t="s">
        <v>2317</v>
      </c>
      <c r="G4765" s="6">
        <v>243654</v>
      </c>
      <c r="H4765" t="str">
        <f>IFERROR(VLOOKUP(F4765,'LEAID Match'!$A$2:$B$142,2,FALSE),"")</f>
        <v/>
      </c>
    </row>
    <row r="4766" spans="1:8" x14ac:dyDescent="0.2">
      <c r="A4766" t="str">
        <f t="shared" si="74"/>
        <v/>
      </c>
      <c r="B4766" s="1">
        <v>2015</v>
      </c>
      <c r="C4766" s="1" t="s">
        <v>2505</v>
      </c>
      <c r="D4766" s="1" t="s">
        <v>2506</v>
      </c>
      <c r="E4766" s="1" t="s">
        <v>2019</v>
      </c>
      <c r="F4766" s="1" t="s">
        <v>2318</v>
      </c>
      <c r="G4766" s="6">
        <v>1090371</v>
      </c>
      <c r="H4766" t="str">
        <f>IFERROR(VLOOKUP(F4766,'LEAID Match'!$A$2:$B$142,2,FALSE),"")</f>
        <v/>
      </c>
    </row>
    <row r="4767" spans="1:8" x14ac:dyDescent="0.2">
      <c r="A4767" t="str">
        <f t="shared" si="74"/>
        <v/>
      </c>
      <c r="B4767" s="1">
        <v>2015</v>
      </c>
      <c r="C4767" s="1" t="s">
        <v>2505</v>
      </c>
      <c r="D4767" s="1" t="s">
        <v>2506</v>
      </c>
      <c r="E4767" s="1" t="s">
        <v>2019</v>
      </c>
      <c r="F4767" s="1" t="s">
        <v>2319</v>
      </c>
      <c r="G4767" s="6">
        <v>203076</v>
      </c>
      <c r="H4767" t="str">
        <f>IFERROR(VLOOKUP(F4767,'LEAID Match'!$A$2:$B$142,2,FALSE),"")</f>
        <v/>
      </c>
    </row>
    <row r="4768" spans="1:8" x14ac:dyDescent="0.2">
      <c r="A4768" t="str">
        <f t="shared" si="74"/>
        <v/>
      </c>
      <c r="B4768" s="1">
        <v>2015</v>
      </c>
      <c r="C4768" s="1" t="s">
        <v>2505</v>
      </c>
      <c r="D4768" s="1" t="s">
        <v>2506</v>
      </c>
      <c r="E4768" s="1" t="s">
        <v>2019</v>
      </c>
      <c r="F4768" s="1" t="s">
        <v>2320</v>
      </c>
      <c r="G4768" s="6">
        <v>25028</v>
      </c>
      <c r="H4768" t="str">
        <f>IFERROR(VLOOKUP(F4768,'LEAID Match'!$A$2:$B$142,2,FALSE),"")</f>
        <v/>
      </c>
    </row>
    <row r="4769" spans="1:8" x14ac:dyDescent="0.2">
      <c r="A4769" t="str">
        <f t="shared" si="74"/>
        <v/>
      </c>
      <c r="B4769" s="1">
        <v>2015</v>
      </c>
      <c r="C4769" s="1" t="s">
        <v>2505</v>
      </c>
      <c r="D4769" s="1" t="s">
        <v>2506</v>
      </c>
      <c r="E4769" s="1" t="s">
        <v>2019</v>
      </c>
      <c r="F4769" s="1" t="s">
        <v>2321</v>
      </c>
      <c r="G4769" s="6">
        <v>189757</v>
      </c>
      <c r="H4769" t="str">
        <f>IFERROR(VLOOKUP(F4769,'LEAID Match'!$A$2:$B$142,2,FALSE),"")</f>
        <v/>
      </c>
    </row>
    <row r="4770" spans="1:8" x14ac:dyDescent="0.2">
      <c r="A4770" t="str">
        <f t="shared" si="74"/>
        <v/>
      </c>
      <c r="B4770" s="1">
        <v>2015</v>
      </c>
      <c r="C4770" s="1" t="s">
        <v>2505</v>
      </c>
      <c r="D4770" s="1" t="s">
        <v>2506</v>
      </c>
      <c r="E4770" s="1" t="s">
        <v>2019</v>
      </c>
      <c r="F4770" s="1" t="s">
        <v>2322</v>
      </c>
      <c r="G4770" s="6">
        <v>221068</v>
      </c>
      <c r="H4770" t="str">
        <f>IFERROR(VLOOKUP(F4770,'LEAID Match'!$A$2:$B$142,2,FALSE),"")</f>
        <v/>
      </c>
    </row>
    <row r="4771" spans="1:8" x14ac:dyDescent="0.2">
      <c r="A4771" t="str">
        <f t="shared" si="74"/>
        <v/>
      </c>
      <c r="B4771" s="1">
        <v>2015</v>
      </c>
      <c r="C4771" s="1" t="s">
        <v>2505</v>
      </c>
      <c r="D4771" s="1" t="s">
        <v>2506</v>
      </c>
      <c r="E4771" s="1" t="s">
        <v>2019</v>
      </c>
      <c r="F4771" s="1" t="s">
        <v>2322</v>
      </c>
      <c r="G4771" s="6">
        <v>298444</v>
      </c>
      <c r="H4771" t="str">
        <f>IFERROR(VLOOKUP(F4771,'LEAID Match'!$A$2:$B$142,2,FALSE),"")</f>
        <v/>
      </c>
    </row>
    <row r="4772" spans="1:8" x14ac:dyDescent="0.2">
      <c r="A4772" t="str">
        <f t="shared" si="74"/>
        <v/>
      </c>
      <c r="B4772" s="1">
        <v>2015</v>
      </c>
      <c r="C4772" s="1" t="s">
        <v>2505</v>
      </c>
      <c r="D4772" s="1" t="s">
        <v>2506</v>
      </c>
      <c r="E4772" s="1" t="s">
        <v>2019</v>
      </c>
      <c r="F4772" s="1" t="s">
        <v>2323</v>
      </c>
      <c r="G4772" s="6">
        <v>59567</v>
      </c>
      <c r="H4772" t="str">
        <f>IFERROR(VLOOKUP(F4772,'LEAID Match'!$A$2:$B$142,2,FALSE),"")</f>
        <v/>
      </c>
    </row>
    <row r="4773" spans="1:8" x14ac:dyDescent="0.2">
      <c r="A4773" t="str">
        <f t="shared" si="74"/>
        <v/>
      </c>
      <c r="B4773" s="1">
        <v>2015</v>
      </c>
      <c r="C4773" s="1" t="s">
        <v>2505</v>
      </c>
      <c r="D4773" s="1" t="s">
        <v>2506</v>
      </c>
      <c r="E4773" s="1" t="s">
        <v>2019</v>
      </c>
      <c r="F4773" s="1" t="s">
        <v>2324</v>
      </c>
      <c r="G4773" s="6">
        <v>472626</v>
      </c>
      <c r="H4773" t="str">
        <f>IFERROR(VLOOKUP(F4773,'LEAID Match'!$A$2:$B$142,2,FALSE),"")</f>
        <v/>
      </c>
    </row>
    <row r="4774" spans="1:8" x14ac:dyDescent="0.2">
      <c r="A4774">
        <f t="shared" si="74"/>
        <v>2800031</v>
      </c>
      <c r="B4774" s="1">
        <v>2021</v>
      </c>
      <c r="C4774" s="1" t="s">
        <v>2505</v>
      </c>
      <c r="D4774" s="1" t="s">
        <v>2506</v>
      </c>
      <c r="E4774" s="1" t="s">
        <v>2019</v>
      </c>
      <c r="F4774" s="1" t="s">
        <v>472</v>
      </c>
      <c r="G4774" s="6">
        <v>256627</v>
      </c>
      <c r="H4774">
        <f>IFERROR(VLOOKUP(F4774,'LEAID Match'!$A$2:$B$142,2,FALSE),"")</f>
        <v>2800031</v>
      </c>
    </row>
    <row r="4775" spans="1:8" x14ac:dyDescent="0.2">
      <c r="A4775">
        <f t="shared" si="74"/>
        <v>2800031</v>
      </c>
      <c r="B4775" s="1">
        <v>2022</v>
      </c>
      <c r="C4775" s="1" t="s">
        <v>2505</v>
      </c>
      <c r="D4775" s="1" t="s">
        <v>2506</v>
      </c>
      <c r="E4775" s="1" t="s">
        <v>2019</v>
      </c>
      <c r="F4775" s="1" t="s">
        <v>472</v>
      </c>
      <c r="G4775" s="6">
        <v>276534</v>
      </c>
      <c r="H4775">
        <f>IFERROR(VLOOKUP(F4775,'LEAID Match'!$A$2:$B$142,2,FALSE),"")</f>
        <v>2800031</v>
      </c>
    </row>
    <row r="4776" spans="1:8" x14ac:dyDescent="0.2">
      <c r="A4776">
        <f t="shared" si="74"/>
        <v>2800031</v>
      </c>
      <c r="B4776" s="1">
        <v>2023</v>
      </c>
      <c r="C4776" s="1" t="s">
        <v>2505</v>
      </c>
      <c r="D4776" s="1" t="s">
        <v>2506</v>
      </c>
      <c r="E4776" s="1" t="s">
        <v>2019</v>
      </c>
      <c r="F4776" s="1" t="s">
        <v>472</v>
      </c>
      <c r="G4776" s="6">
        <v>287763</v>
      </c>
      <c r="H4776">
        <f>IFERROR(VLOOKUP(F4776,'LEAID Match'!$A$2:$B$142,2,FALSE),"")</f>
        <v>2800031</v>
      </c>
    </row>
    <row r="4777" spans="1:8" x14ac:dyDescent="0.2">
      <c r="A4777">
        <f t="shared" si="74"/>
        <v>2800031</v>
      </c>
      <c r="B4777" s="1">
        <v>2024</v>
      </c>
      <c r="C4777" s="1" t="s">
        <v>2505</v>
      </c>
      <c r="D4777" s="1" t="s">
        <v>2506</v>
      </c>
      <c r="E4777" s="1" t="s">
        <v>2019</v>
      </c>
      <c r="F4777" s="1" t="s">
        <v>472</v>
      </c>
      <c r="G4777" s="6">
        <v>308899</v>
      </c>
      <c r="H4777">
        <f>IFERROR(VLOOKUP(F4777,'LEAID Match'!$A$2:$B$142,2,FALSE),"")</f>
        <v>2800031</v>
      </c>
    </row>
    <row r="4778" spans="1:8" x14ac:dyDescent="0.2">
      <c r="A4778" t="str">
        <f t="shared" si="74"/>
        <v/>
      </c>
      <c r="B4778" s="1">
        <v>2015</v>
      </c>
      <c r="C4778" s="1" t="s">
        <v>2505</v>
      </c>
      <c r="D4778" s="1" t="s">
        <v>2506</v>
      </c>
      <c r="E4778" s="1" t="s">
        <v>2019</v>
      </c>
      <c r="F4778" s="1" t="s">
        <v>473</v>
      </c>
      <c r="G4778" s="6">
        <v>239968</v>
      </c>
      <c r="H4778" t="str">
        <f>IFERROR(VLOOKUP(F4778,'LEAID Match'!$A$2:$B$142,2,FALSE),"")</f>
        <v/>
      </c>
    </row>
    <row r="4779" spans="1:8" x14ac:dyDescent="0.2">
      <c r="A4779" t="str">
        <f t="shared" si="74"/>
        <v/>
      </c>
      <c r="B4779">
        <v>2016</v>
      </c>
      <c r="C4779" s="1" t="s">
        <v>2505</v>
      </c>
      <c r="D4779" s="1" t="s">
        <v>2506</v>
      </c>
      <c r="E4779" s="1" t="s">
        <v>2019</v>
      </c>
      <c r="F4779" s="1" t="s">
        <v>473</v>
      </c>
      <c r="G4779" s="12">
        <v>251358</v>
      </c>
      <c r="H4779" t="str">
        <f>IFERROR(VLOOKUP(F4779,'LEAID Match'!$A$2:$B$142,2,FALSE),"")</f>
        <v/>
      </c>
    </row>
    <row r="4780" spans="1:8" x14ac:dyDescent="0.2">
      <c r="A4780" t="str">
        <f t="shared" si="74"/>
        <v/>
      </c>
      <c r="B4780" s="1">
        <v>2017</v>
      </c>
      <c r="C4780" s="1" t="s">
        <v>2505</v>
      </c>
      <c r="D4780" s="1" t="s">
        <v>2506</v>
      </c>
      <c r="E4780" s="1" t="s">
        <v>2019</v>
      </c>
      <c r="F4780" s="1" t="s">
        <v>473</v>
      </c>
      <c r="G4780" s="47">
        <v>263062</v>
      </c>
      <c r="H4780" t="str">
        <f>IFERROR(VLOOKUP(F4780,'LEAID Match'!$A$2:$B$142,2,FALSE),"")</f>
        <v/>
      </c>
    </row>
    <row r="4781" spans="1:8" x14ac:dyDescent="0.2">
      <c r="A4781" t="str">
        <f t="shared" si="74"/>
        <v/>
      </c>
      <c r="B4781" s="1">
        <v>2018</v>
      </c>
      <c r="C4781" s="1" t="s">
        <v>2505</v>
      </c>
      <c r="D4781" s="1" t="s">
        <v>2506</v>
      </c>
      <c r="E4781" s="1" t="s">
        <v>2019</v>
      </c>
      <c r="F4781" s="1" t="s">
        <v>473</v>
      </c>
      <c r="G4781" s="6">
        <v>257597</v>
      </c>
      <c r="H4781" t="str">
        <f>IFERROR(VLOOKUP(F4781,'LEAID Match'!$A$2:$B$142,2,FALSE),"")</f>
        <v/>
      </c>
    </row>
    <row r="4782" spans="1:8" x14ac:dyDescent="0.2">
      <c r="A4782" t="str">
        <f t="shared" si="74"/>
        <v/>
      </c>
      <c r="B4782" s="1">
        <v>2019</v>
      </c>
      <c r="C4782" s="1" t="s">
        <v>2505</v>
      </c>
      <c r="D4782" s="1" t="s">
        <v>2506</v>
      </c>
      <c r="E4782" s="1" t="s">
        <v>2019</v>
      </c>
      <c r="F4782" s="1" t="s">
        <v>473</v>
      </c>
      <c r="G4782" s="6">
        <v>260872</v>
      </c>
      <c r="H4782" t="str">
        <f>IFERROR(VLOOKUP(F4782,'LEAID Match'!$A$2:$B$142,2,FALSE),"")</f>
        <v/>
      </c>
    </row>
    <row r="4783" spans="1:8" x14ac:dyDescent="0.2">
      <c r="A4783" t="str">
        <f t="shared" si="74"/>
        <v/>
      </c>
      <c r="B4783" s="1">
        <v>2020</v>
      </c>
      <c r="C4783" s="1" t="s">
        <v>2505</v>
      </c>
      <c r="D4783" s="1" t="s">
        <v>2506</v>
      </c>
      <c r="E4783" s="1" t="s">
        <v>2019</v>
      </c>
      <c r="F4783" s="1" t="s">
        <v>473</v>
      </c>
      <c r="G4783" s="6">
        <v>273197</v>
      </c>
      <c r="H4783" t="str">
        <f>IFERROR(VLOOKUP(F4783,'LEAID Match'!$A$2:$B$142,2,FALSE),"")</f>
        <v/>
      </c>
    </row>
    <row r="4784" spans="1:8" x14ac:dyDescent="0.2">
      <c r="A4784" t="str">
        <f t="shared" si="74"/>
        <v/>
      </c>
      <c r="B4784" s="1">
        <v>2021</v>
      </c>
      <c r="C4784" s="1" t="s">
        <v>2505</v>
      </c>
      <c r="D4784" s="1" t="s">
        <v>2506</v>
      </c>
      <c r="E4784" s="1" t="s">
        <v>2019</v>
      </c>
      <c r="F4784" s="1" t="s">
        <v>473</v>
      </c>
      <c r="G4784" s="6">
        <v>270881</v>
      </c>
      <c r="H4784" t="str">
        <f>IFERROR(VLOOKUP(F4784,'LEAID Match'!$A$2:$B$142,2,FALSE),"")</f>
        <v/>
      </c>
    </row>
    <row r="4785" spans="1:8" x14ac:dyDescent="0.2">
      <c r="A4785" t="str">
        <f t="shared" si="74"/>
        <v/>
      </c>
      <c r="B4785" s="1">
        <v>2022</v>
      </c>
      <c r="C4785" s="1" t="s">
        <v>2505</v>
      </c>
      <c r="D4785" s="1" t="s">
        <v>2506</v>
      </c>
      <c r="E4785" s="1" t="s">
        <v>2019</v>
      </c>
      <c r="F4785" s="1" t="s">
        <v>473</v>
      </c>
      <c r="G4785" s="6">
        <v>276019</v>
      </c>
      <c r="H4785" t="str">
        <f>IFERROR(VLOOKUP(F4785,'LEAID Match'!$A$2:$B$142,2,FALSE),"")</f>
        <v/>
      </c>
    </row>
    <row r="4786" spans="1:8" x14ac:dyDescent="0.2">
      <c r="A4786" t="str">
        <f t="shared" si="74"/>
        <v/>
      </c>
      <c r="B4786" s="1">
        <v>2023</v>
      </c>
      <c r="C4786" s="1" t="s">
        <v>2505</v>
      </c>
      <c r="D4786" s="1" t="s">
        <v>2506</v>
      </c>
      <c r="E4786" s="1" t="s">
        <v>2019</v>
      </c>
      <c r="F4786" s="1" t="s">
        <v>473</v>
      </c>
      <c r="G4786" s="6">
        <v>289039</v>
      </c>
      <c r="H4786" t="str">
        <f>IFERROR(VLOOKUP(F4786,'LEAID Match'!$A$2:$B$142,2,FALSE),"")</f>
        <v/>
      </c>
    </row>
    <row r="4787" spans="1:8" x14ac:dyDescent="0.2">
      <c r="A4787" t="str">
        <f t="shared" si="74"/>
        <v/>
      </c>
      <c r="B4787" s="1">
        <v>2024</v>
      </c>
      <c r="C4787" s="1" t="s">
        <v>2505</v>
      </c>
      <c r="D4787" s="1" t="s">
        <v>2506</v>
      </c>
      <c r="E4787" s="1" t="s">
        <v>2019</v>
      </c>
      <c r="F4787" s="1" t="s">
        <v>473</v>
      </c>
      <c r="G4787" s="6">
        <v>291572</v>
      </c>
      <c r="H4787" t="str">
        <f>IFERROR(VLOOKUP(F4787,'LEAID Match'!$A$2:$B$142,2,FALSE),"")</f>
        <v/>
      </c>
    </row>
    <row r="4788" spans="1:8" x14ac:dyDescent="0.2">
      <c r="A4788" t="str">
        <f t="shared" si="74"/>
        <v/>
      </c>
      <c r="B4788" s="1">
        <v>2015</v>
      </c>
      <c r="C4788" s="1" t="s">
        <v>2505</v>
      </c>
      <c r="D4788" s="1" t="s">
        <v>2506</v>
      </c>
      <c r="E4788" s="1" t="s">
        <v>2019</v>
      </c>
      <c r="F4788" s="1" t="s">
        <v>474</v>
      </c>
      <c r="G4788" s="6">
        <v>9804011</v>
      </c>
      <c r="H4788" t="str">
        <f>IFERROR(VLOOKUP(F4788,'LEAID Match'!$A$2:$B$142,2,FALSE),"")</f>
        <v/>
      </c>
    </row>
    <row r="4789" spans="1:8" x14ac:dyDescent="0.2">
      <c r="A4789" t="str">
        <f t="shared" si="74"/>
        <v/>
      </c>
      <c r="B4789">
        <v>2016</v>
      </c>
      <c r="C4789" s="1" t="s">
        <v>2505</v>
      </c>
      <c r="D4789" s="1" t="s">
        <v>2506</v>
      </c>
      <c r="E4789" s="1" t="s">
        <v>2019</v>
      </c>
      <c r="F4789" s="1" t="s">
        <v>474</v>
      </c>
      <c r="G4789" s="12">
        <v>9760692</v>
      </c>
      <c r="H4789" t="str">
        <f>IFERROR(VLOOKUP(F4789,'LEAID Match'!$A$2:$B$142,2,FALSE),"")</f>
        <v/>
      </c>
    </row>
    <row r="4790" spans="1:8" x14ac:dyDescent="0.2">
      <c r="A4790" t="str">
        <f t="shared" si="74"/>
        <v/>
      </c>
      <c r="B4790" s="1">
        <v>2017</v>
      </c>
      <c r="C4790" s="1" t="s">
        <v>2505</v>
      </c>
      <c r="D4790" s="1" t="s">
        <v>2506</v>
      </c>
      <c r="E4790" s="1" t="s">
        <v>2019</v>
      </c>
      <c r="F4790" s="1" t="s">
        <v>474</v>
      </c>
      <c r="G4790" s="47">
        <v>8854718</v>
      </c>
      <c r="H4790" t="str">
        <f>IFERROR(VLOOKUP(F4790,'LEAID Match'!$A$2:$B$142,2,FALSE),"")</f>
        <v/>
      </c>
    </row>
    <row r="4791" spans="1:8" x14ac:dyDescent="0.2">
      <c r="A4791" t="str">
        <f t="shared" si="74"/>
        <v/>
      </c>
      <c r="B4791" s="1">
        <v>2018</v>
      </c>
      <c r="C4791" s="1" t="s">
        <v>2505</v>
      </c>
      <c r="D4791" s="1" t="s">
        <v>2506</v>
      </c>
      <c r="E4791" s="1" t="s">
        <v>2019</v>
      </c>
      <c r="F4791" s="1" t="s">
        <v>474</v>
      </c>
      <c r="G4791" s="6">
        <v>8590126</v>
      </c>
      <c r="H4791" t="str">
        <f>IFERROR(VLOOKUP(F4791,'LEAID Match'!$A$2:$B$142,2,FALSE),"")</f>
        <v/>
      </c>
    </row>
    <row r="4792" spans="1:8" x14ac:dyDescent="0.2">
      <c r="A4792" t="str">
        <f t="shared" si="74"/>
        <v/>
      </c>
      <c r="B4792" s="1">
        <v>2019</v>
      </c>
      <c r="C4792" s="1" t="s">
        <v>2505</v>
      </c>
      <c r="D4792" s="1" t="s">
        <v>2506</v>
      </c>
      <c r="E4792" s="1" t="s">
        <v>2019</v>
      </c>
      <c r="F4792" s="1" t="s">
        <v>474</v>
      </c>
      <c r="G4792" s="6">
        <v>8780746</v>
      </c>
      <c r="H4792" t="str">
        <f>IFERROR(VLOOKUP(F4792,'LEAID Match'!$A$2:$B$142,2,FALSE),"")</f>
        <v/>
      </c>
    </row>
    <row r="4793" spans="1:8" x14ac:dyDescent="0.2">
      <c r="A4793" t="str">
        <f t="shared" si="74"/>
        <v/>
      </c>
      <c r="B4793" s="1">
        <v>2020</v>
      </c>
      <c r="C4793" s="1" t="s">
        <v>2505</v>
      </c>
      <c r="D4793" s="1" t="s">
        <v>2506</v>
      </c>
      <c r="E4793" s="1" t="s">
        <v>2019</v>
      </c>
      <c r="F4793" s="1" t="s">
        <v>474</v>
      </c>
      <c r="G4793" s="6">
        <v>9393716</v>
      </c>
      <c r="H4793" t="str">
        <f>IFERROR(VLOOKUP(F4793,'LEAID Match'!$A$2:$B$142,2,FALSE),"")</f>
        <v/>
      </c>
    </row>
    <row r="4794" spans="1:8" x14ac:dyDescent="0.2">
      <c r="A4794" t="str">
        <f t="shared" si="74"/>
        <v/>
      </c>
      <c r="B4794" s="1">
        <v>2021</v>
      </c>
      <c r="C4794" s="1" t="s">
        <v>2505</v>
      </c>
      <c r="D4794" s="1" t="s">
        <v>2506</v>
      </c>
      <c r="E4794" s="1" t="s">
        <v>2019</v>
      </c>
      <c r="F4794" s="1" t="s">
        <v>474</v>
      </c>
      <c r="G4794" s="6">
        <v>8636775</v>
      </c>
      <c r="H4794" t="str">
        <f>IFERROR(VLOOKUP(F4794,'LEAID Match'!$A$2:$B$142,2,FALSE),"")</f>
        <v/>
      </c>
    </row>
    <row r="4795" spans="1:8" x14ac:dyDescent="0.2">
      <c r="A4795" t="str">
        <f t="shared" si="74"/>
        <v/>
      </c>
      <c r="B4795" s="1">
        <v>2022</v>
      </c>
      <c r="C4795" s="1" t="s">
        <v>2505</v>
      </c>
      <c r="D4795" s="1" t="s">
        <v>2506</v>
      </c>
      <c r="E4795" s="1" t="s">
        <v>2019</v>
      </c>
      <c r="F4795" s="1" t="s">
        <v>474</v>
      </c>
      <c r="G4795" s="6">
        <v>8804318</v>
      </c>
      <c r="H4795" t="str">
        <f>IFERROR(VLOOKUP(F4795,'LEAID Match'!$A$2:$B$142,2,FALSE),"")</f>
        <v/>
      </c>
    </row>
    <row r="4796" spans="1:8" x14ac:dyDescent="0.2">
      <c r="A4796" t="str">
        <f t="shared" si="74"/>
        <v/>
      </c>
      <c r="B4796" s="1">
        <v>2023</v>
      </c>
      <c r="C4796" s="1" t="s">
        <v>2505</v>
      </c>
      <c r="D4796" s="1" t="s">
        <v>2506</v>
      </c>
      <c r="E4796" s="1" t="s">
        <v>2019</v>
      </c>
      <c r="F4796" s="1" t="s">
        <v>474</v>
      </c>
      <c r="G4796" s="6">
        <v>8922735</v>
      </c>
      <c r="H4796" t="str">
        <f>IFERROR(VLOOKUP(F4796,'LEAID Match'!$A$2:$B$142,2,FALSE),"")</f>
        <v/>
      </c>
    </row>
    <row r="4797" spans="1:8" x14ac:dyDescent="0.2">
      <c r="A4797" t="str">
        <f t="shared" si="74"/>
        <v/>
      </c>
      <c r="B4797" s="1">
        <v>2024</v>
      </c>
      <c r="C4797" s="1" t="s">
        <v>2505</v>
      </c>
      <c r="D4797" s="1" t="s">
        <v>2506</v>
      </c>
      <c r="E4797" s="1" t="s">
        <v>2019</v>
      </c>
      <c r="F4797" s="1" t="s">
        <v>474</v>
      </c>
      <c r="G4797" s="6">
        <v>9683574</v>
      </c>
      <c r="H4797" t="str">
        <f>IFERROR(VLOOKUP(F4797,'LEAID Match'!$A$2:$B$142,2,FALSE),"")</f>
        <v/>
      </c>
    </row>
    <row r="4798" spans="1:8" x14ac:dyDescent="0.2">
      <c r="A4798" t="str">
        <f t="shared" si="74"/>
        <v/>
      </c>
      <c r="B4798" s="1">
        <v>2015</v>
      </c>
      <c r="C4798" s="1" t="s">
        <v>2505</v>
      </c>
      <c r="D4798" s="1" t="s">
        <v>2506</v>
      </c>
      <c r="E4798" s="1" t="s">
        <v>2019</v>
      </c>
      <c r="F4798" s="1" t="s">
        <v>475</v>
      </c>
      <c r="G4798" s="6">
        <v>726876</v>
      </c>
      <c r="H4798" t="str">
        <f>IFERROR(VLOOKUP(F4798,'LEAID Match'!$A$2:$B$142,2,FALSE),"")</f>
        <v/>
      </c>
    </row>
    <row r="4799" spans="1:8" x14ac:dyDescent="0.2">
      <c r="A4799" t="str">
        <f t="shared" si="74"/>
        <v/>
      </c>
      <c r="B4799">
        <v>2016</v>
      </c>
      <c r="C4799" s="1" t="s">
        <v>2505</v>
      </c>
      <c r="D4799" s="1" t="s">
        <v>2506</v>
      </c>
      <c r="E4799" s="1" t="s">
        <v>2019</v>
      </c>
      <c r="F4799" s="1" t="s">
        <v>475</v>
      </c>
      <c r="G4799" s="12">
        <v>747113</v>
      </c>
      <c r="H4799" t="str">
        <f>IFERROR(VLOOKUP(F4799,'LEAID Match'!$A$2:$B$142,2,FALSE),"")</f>
        <v/>
      </c>
    </row>
    <row r="4800" spans="1:8" x14ac:dyDescent="0.2">
      <c r="A4800" t="str">
        <f t="shared" si="74"/>
        <v/>
      </c>
      <c r="B4800" s="1">
        <v>2017</v>
      </c>
      <c r="C4800" s="1" t="s">
        <v>2505</v>
      </c>
      <c r="D4800" s="1" t="s">
        <v>2506</v>
      </c>
      <c r="E4800" s="1" t="s">
        <v>2019</v>
      </c>
      <c r="F4800" s="1" t="s">
        <v>475</v>
      </c>
      <c r="G4800" s="47">
        <v>752942</v>
      </c>
      <c r="H4800" t="str">
        <f>IFERROR(VLOOKUP(F4800,'LEAID Match'!$A$2:$B$142,2,FALSE),"")</f>
        <v/>
      </c>
    </row>
    <row r="4801" spans="1:8" x14ac:dyDescent="0.2">
      <c r="A4801" t="str">
        <f t="shared" si="74"/>
        <v/>
      </c>
      <c r="B4801" s="1">
        <v>2018</v>
      </c>
      <c r="C4801" s="1" t="s">
        <v>2505</v>
      </c>
      <c r="D4801" s="1" t="s">
        <v>2506</v>
      </c>
      <c r="E4801" s="1" t="s">
        <v>2019</v>
      </c>
      <c r="F4801" s="1" t="s">
        <v>475</v>
      </c>
      <c r="G4801" s="6">
        <v>721892</v>
      </c>
      <c r="H4801" t="str">
        <f>IFERROR(VLOOKUP(F4801,'LEAID Match'!$A$2:$B$142,2,FALSE),"")</f>
        <v/>
      </c>
    </row>
    <row r="4802" spans="1:8" x14ac:dyDescent="0.2">
      <c r="A4802" t="str">
        <f t="shared" si="74"/>
        <v/>
      </c>
      <c r="B4802" s="1">
        <v>2019</v>
      </c>
      <c r="C4802" s="1" t="s">
        <v>2505</v>
      </c>
      <c r="D4802" s="1" t="s">
        <v>2506</v>
      </c>
      <c r="E4802" s="1" t="s">
        <v>2019</v>
      </c>
      <c r="F4802" s="1" t="s">
        <v>475</v>
      </c>
      <c r="G4802" s="6">
        <v>730235</v>
      </c>
      <c r="H4802" t="str">
        <f>IFERROR(VLOOKUP(F4802,'LEAID Match'!$A$2:$B$142,2,FALSE),"")</f>
        <v/>
      </c>
    </row>
    <row r="4803" spans="1:8" x14ac:dyDescent="0.2">
      <c r="A4803" t="str">
        <f t="shared" ref="A4803:A4866" si="75">H4803</f>
        <v/>
      </c>
      <c r="B4803" s="1">
        <v>2020</v>
      </c>
      <c r="C4803" s="1" t="s">
        <v>2505</v>
      </c>
      <c r="D4803" s="1" t="s">
        <v>2506</v>
      </c>
      <c r="E4803" s="1" t="s">
        <v>2019</v>
      </c>
      <c r="F4803" s="1" t="s">
        <v>475</v>
      </c>
      <c r="G4803" s="6">
        <v>799786</v>
      </c>
      <c r="H4803" t="str">
        <f>IFERROR(VLOOKUP(F4803,'LEAID Match'!$A$2:$B$142,2,FALSE),"")</f>
        <v/>
      </c>
    </row>
    <row r="4804" spans="1:8" x14ac:dyDescent="0.2">
      <c r="A4804" t="str">
        <f t="shared" si="75"/>
        <v/>
      </c>
      <c r="B4804" s="1">
        <v>2021</v>
      </c>
      <c r="C4804" s="1" t="s">
        <v>2505</v>
      </c>
      <c r="D4804" s="1" t="s">
        <v>2506</v>
      </c>
      <c r="E4804" s="1" t="s">
        <v>2019</v>
      </c>
      <c r="F4804" s="1" t="s">
        <v>475</v>
      </c>
      <c r="G4804" s="6">
        <v>883377</v>
      </c>
      <c r="H4804" t="str">
        <f>IFERROR(VLOOKUP(F4804,'LEAID Match'!$A$2:$B$142,2,FALSE),"")</f>
        <v/>
      </c>
    </row>
    <row r="4805" spans="1:8" x14ac:dyDescent="0.2">
      <c r="A4805" t="str">
        <f t="shared" si="75"/>
        <v/>
      </c>
      <c r="B4805" s="1">
        <v>2022</v>
      </c>
      <c r="C4805" s="1" t="s">
        <v>2505</v>
      </c>
      <c r="D4805" s="1" t="s">
        <v>2506</v>
      </c>
      <c r="E4805" s="1" t="s">
        <v>2019</v>
      </c>
      <c r="F4805" s="1" t="s">
        <v>475</v>
      </c>
      <c r="G4805" s="6">
        <v>868338</v>
      </c>
      <c r="H4805" t="str">
        <f>IFERROR(VLOOKUP(F4805,'LEAID Match'!$A$2:$B$142,2,FALSE),"")</f>
        <v/>
      </c>
    </row>
    <row r="4806" spans="1:8" x14ac:dyDescent="0.2">
      <c r="A4806" t="str">
        <f t="shared" si="75"/>
        <v/>
      </c>
      <c r="B4806" s="1">
        <v>2023</v>
      </c>
      <c r="C4806" s="1" t="s">
        <v>2505</v>
      </c>
      <c r="D4806" s="1" t="s">
        <v>2506</v>
      </c>
      <c r="E4806" s="1" t="s">
        <v>2019</v>
      </c>
      <c r="F4806" s="1" t="s">
        <v>475</v>
      </c>
      <c r="G4806" s="6">
        <v>890810</v>
      </c>
      <c r="H4806" t="str">
        <f>IFERROR(VLOOKUP(F4806,'LEAID Match'!$A$2:$B$142,2,FALSE),"")</f>
        <v/>
      </c>
    </row>
    <row r="4807" spans="1:8" x14ac:dyDescent="0.2">
      <c r="A4807" t="str">
        <f t="shared" si="75"/>
        <v/>
      </c>
      <c r="B4807" s="1">
        <v>2024</v>
      </c>
      <c r="C4807" s="1" t="s">
        <v>2505</v>
      </c>
      <c r="D4807" s="1" t="s">
        <v>2506</v>
      </c>
      <c r="E4807" s="1" t="s">
        <v>2019</v>
      </c>
      <c r="F4807" s="1" t="s">
        <v>475</v>
      </c>
      <c r="G4807" s="6">
        <v>950101</v>
      </c>
      <c r="H4807" t="str">
        <f>IFERROR(VLOOKUP(F4807,'LEAID Match'!$A$2:$B$142,2,FALSE),"")</f>
        <v/>
      </c>
    </row>
    <row r="4808" spans="1:8" x14ac:dyDescent="0.2">
      <c r="A4808" t="str">
        <f t="shared" si="75"/>
        <v/>
      </c>
      <c r="B4808" s="1">
        <v>2015</v>
      </c>
      <c r="C4808" s="1" t="s">
        <v>2505</v>
      </c>
      <c r="D4808" s="1" t="s">
        <v>2506</v>
      </c>
      <c r="E4808" s="1" t="s">
        <v>2019</v>
      </c>
      <c r="F4808" s="1" t="s">
        <v>476</v>
      </c>
      <c r="G4808" s="6">
        <v>31039083</v>
      </c>
      <c r="H4808" t="str">
        <f>IFERROR(VLOOKUP(F4808,'LEAID Match'!$A$2:$B$142,2,FALSE),"")</f>
        <v/>
      </c>
    </row>
    <row r="4809" spans="1:8" x14ac:dyDescent="0.2">
      <c r="A4809" t="str">
        <f t="shared" si="75"/>
        <v/>
      </c>
      <c r="B4809">
        <v>2016</v>
      </c>
      <c r="C4809" s="1" t="s">
        <v>2505</v>
      </c>
      <c r="D4809" s="1" t="s">
        <v>2506</v>
      </c>
      <c r="E4809" s="1" t="s">
        <v>2019</v>
      </c>
      <c r="F4809" s="1" t="s">
        <v>476</v>
      </c>
      <c r="G4809" s="12">
        <v>32477321</v>
      </c>
      <c r="H4809" t="str">
        <f>IFERROR(VLOOKUP(F4809,'LEAID Match'!$A$2:$B$142,2,FALSE),"")</f>
        <v/>
      </c>
    </row>
    <row r="4810" spans="1:8" x14ac:dyDescent="0.2">
      <c r="A4810" t="str">
        <f t="shared" si="75"/>
        <v/>
      </c>
      <c r="B4810" s="1">
        <v>2017</v>
      </c>
      <c r="C4810" s="1" t="s">
        <v>2505</v>
      </c>
      <c r="D4810" s="1" t="s">
        <v>2506</v>
      </c>
      <c r="E4810" s="1" t="s">
        <v>2019</v>
      </c>
      <c r="F4810" s="1" t="s">
        <v>476</v>
      </c>
      <c r="G4810" s="47">
        <v>31949171</v>
      </c>
      <c r="H4810" t="str">
        <f>IFERROR(VLOOKUP(F4810,'LEAID Match'!$A$2:$B$142,2,FALSE),"")</f>
        <v/>
      </c>
    </row>
    <row r="4811" spans="1:8" x14ac:dyDescent="0.2">
      <c r="A4811" t="str">
        <f t="shared" si="75"/>
        <v/>
      </c>
      <c r="B4811" s="1">
        <v>2018</v>
      </c>
      <c r="C4811" s="1" t="s">
        <v>2505</v>
      </c>
      <c r="D4811" s="1" t="s">
        <v>2506</v>
      </c>
      <c r="E4811" s="1" t="s">
        <v>2019</v>
      </c>
      <c r="F4811" s="1" t="s">
        <v>476</v>
      </c>
      <c r="G4811" s="6">
        <v>31320854</v>
      </c>
      <c r="H4811" t="str">
        <f>IFERROR(VLOOKUP(F4811,'LEAID Match'!$A$2:$B$142,2,FALSE),"")</f>
        <v/>
      </c>
    </row>
    <row r="4812" spans="1:8" x14ac:dyDescent="0.2">
      <c r="A4812" t="str">
        <f t="shared" si="75"/>
        <v/>
      </c>
      <c r="B4812" s="1">
        <v>2019</v>
      </c>
      <c r="C4812" s="1" t="s">
        <v>2505</v>
      </c>
      <c r="D4812" s="1" t="s">
        <v>2506</v>
      </c>
      <c r="E4812" s="1" t="s">
        <v>2019</v>
      </c>
      <c r="F4812" s="1" t="s">
        <v>476</v>
      </c>
      <c r="G4812" s="6">
        <v>32548449</v>
      </c>
      <c r="H4812" t="str">
        <f>IFERROR(VLOOKUP(F4812,'LEAID Match'!$A$2:$B$142,2,FALSE),"")</f>
        <v/>
      </c>
    </row>
    <row r="4813" spans="1:8" x14ac:dyDescent="0.2">
      <c r="A4813" t="str">
        <f t="shared" si="75"/>
        <v/>
      </c>
      <c r="B4813" s="1">
        <v>2020</v>
      </c>
      <c r="C4813" s="1" t="s">
        <v>2505</v>
      </c>
      <c r="D4813" s="1" t="s">
        <v>2506</v>
      </c>
      <c r="E4813" s="1" t="s">
        <v>2019</v>
      </c>
      <c r="F4813" s="1" t="s">
        <v>476</v>
      </c>
      <c r="G4813" s="6">
        <v>37325436</v>
      </c>
      <c r="H4813" t="str">
        <f>IFERROR(VLOOKUP(F4813,'LEAID Match'!$A$2:$B$142,2,FALSE),"")</f>
        <v/>
      </c>
    </row>
    <row r="4814" spans="1:8" x14ac:dyDescent="0.2">
      <c r="A4814" t="str">
        <f t="shared" si="75"/>
        <v/>
      </c>
      <c r="B4814" s="1">
        <v>2021</v>
      </c>
      <c r="C4814" s="1" t="s">
        <v>2505</v>
      </c>
      <c r="D4814" s="1" t="s">
        <v>2506</v>
      </c>
      <c r="E4814" s="1" t="s">
        <v>2019</v>
      </c>
      <c r="F4814" s="1" t="s">
        <v>476</v>
      </c>
      <c r="G4814" s="6">
        <v>37915781</v>
      </c>
      <c r="H4814" t="str">
        <f>IFERROR(VLOOKUP(F4814,'LEAID Match'!$A$2:$B$142,2,FALSE),"")</f>
        <v/>
      </c>
    </row>
    <row r="4815" spans="1:8" x14ac:dyDescent="0.2">
      <c r="A4815" t="str">
        <f t="shared" si="75"/>
        <v/>
      </c>
      <c r="B4815" s="1">
        <v>2022</v>
      </c>
      <c r="C4815" s="1" t="s">
        <v>2505</v>
      </c>
      <c r="D4815" s="1" t="s">
        <v>2506</v>
      </c>
      <c r="E4815" s="1" t="s">
        <v>2019</v>
      </c>
      <c r="F4815" s="1" t="s">
        <v>476</v>
      </c>
      <c r="G4815" s="6">
        <v>39074852</v>
      </c>
      <c r="H4815" t="str">
        <f>IFERROR(VLOOKUP(F4815,'LEAID Match'!$A$2:$B$142,2,FALSE),"")</f>
        <v/>
      </c>
    </row>
    <row r="4816" spans="1:8" x14ac:dyDescent="0.2">
      <c r="A4816" t="str">
        <f t="shared" si="75"/>
        <v/>
      </c>
      <c r="B4816" s="1">
        <v>2023</v>
      </c>
      <c r="C4816" s="1" t="s">
        <v>2505</v>
      </c>
      <c r="D4816" s="1" t="s">
        <v>2506</v>
      </c>
      <c r="E4816" s="1" t="s">
        <v>2019</v>
      </c>
      <c r="F4816" s="1" t="s">
        <v>476</v>
      </c>
      <c r="G4816" s="6">
        <v>42608042</v>
      </c>
      <c r="H4816" t="str">
        <f>IFERROR(VLOOKUP(F4816,'LEAID Match'!$A$2:$B$142,2,FALSE),"")</f>
        <v/>
      </c>
    </row>
    <row r="4817" spans="1:8" x14ac:dyDescent="0.2">
      <c r="A4817" t="str">
        <f t="shared" si="75"/>
        <v/>
      </c>
      <c r="B4817" s="1">
        <v>2024</v>
      </c>
      <c r="C4817" s="1" t="s">
        <v>2505</v>
      </c>
      <c r="D4817" s="1" t="s">
        <v>2506</v>
      </c>
      <c r="E4817" s="1" t="s">
        <v>2019</v>
      </c>
      <c r="F4817" s="1" t="s">
        <v>476</v>
      </c>
      <c r="G4817" s="6">
        <v>45297285</v>
      </c>
      <c r="H4817" t="str">
        <f>IFERROR(VLOOKUP(F4817,'LEAID Match'!$A$2:$B$142,2,FALSE),"")</f>
        <v/>
      </c>
    </row>
    <row r="4818" spans="1:8" x14ac:dyDescent="0.2">
      <c r="A4818" t="str">
        <f t="shared" si="75"/>
        <v/>
      </c>
      <c r="B4818" s="1">
        <v>2015</v>
      </c>
      <c r="C4818" s="1" t="s">
        <v>2505</v>
      </c>
      <c r="D4818" s="1" t="s">
        <v>2506</v>
      </c>
      <c r="E4818" s="1" t="s">
        <v>2019</v>
      </c>
      <c r="F4818" s="1" t="s">
        <v>2328</v>
      </c>
      <c r="G4818" s="6">
        <v>2259689</v>
      </c>
      <c r="H4818" t="str">
        <f>IFERROR(VLOOKUP(F4818,'LEAID Match'!$A$2:$B$142,2,FALSE),"")</f>
        <v/>
      </c>
    </row>
    <row r="4819" spans="1:8" x14ac:dyDescent="0.2">
      <c r="A4819" t="str">
        <f t="shared" si="75"/>
        <v/>
      </c>
      <c r="B4819" s="1">
        <v>2015</v>
      </c>
      <c r="C4819" s="1" t="s">
        <v>2505</v>
      </c>
      <c r="D4819" s="1" t="s">
        <v>2506</v>
      </c>
      <c r="E4819" s="1" t="s">
        <v>2019</v>
      </c>
      <c r="F4819" s="1" t="s">
        <v>2329</v>
      </c>
      <c r="G4819" s="6">
        <v>2403278</v>
      </c>
      <c r="H4819" t="str">
        <f>IFERROR(VLOOKUP(F4819,'LEAID Match'!$A$2:$B$142,2,FALSE),"")</f>
        <v/>
      </c>
    </row>
    <row r="4820" spans="1:8" x14ac:dyDescent="0.2">
      <c r="A4820" t="str">
        <f t="shared" si="75"/>
        <v/>
      </c>
      <c r="B4820" s="1">
        <v>2015</v>
      </c>
      <c r="C4820" s="1" t="s">
        <v>2505</v>
      </c>
      <c r="D4820" s="1" t="s">
        <v>2506</v>
      </c>
      <c r="E4820" s="1" t="s">
        <v>2019</v>
      </c>
      <c r="F4820" s="1" t="s">
        <v>477</v>
      </c>
      <c r="G4820" s="6">
        <v>7609</v>
      </c>
      <c r="H4820" t="str">
        <f>IFERROR(VLOOKUP(F4820,'LEAID Match'!$A$2:$B$142,2,FALSE),"")</f>
        <v/>
      </c>
    </row>
    <row r="4821" spans="1:8" x14ac:dyDescent="0.2">
      <c r="A4821" t="str">
        <f t="shared" si="75"/>
        <v/>
      </c>
      <c r="B4821">
        <v>2016</v>
      </c>
      <c r="C4821" s="1" t="s">
        <v>2505</v>
      </c>
      <c r="D4821" s="1" t="s">
        <v>2506</v>
      </c>
      <c r="E4821" s="1" t="s">
        <v>2019</v>
      </c>
      <c r="F4821" s="1" t="s">
        <v>477</v>
      </c>
      <c r="G4821" s="12">
        <v>7913</v>
      </c>
      <c r="H4821" t="str">
        <f>IFERROR(VLOOKUP(F4821,'LEAID Match'!$A$2:$B$142,2,FALSE),"")</f>
        <v/>
      </c>
    </row>
    <row r="4822" spans="1:8" x14ac:dyDescent="0.2">
      <c r="A4822" t="str">
        <f t="shared" si="75"/>
        <v/>
      </c>
      <c r="B4822" s="1">
        <v>2017</v>
      </c>
      <c r="C4822" s="1" t="s">
        <v>2505</v>
      </c>
      <c r="D4822" s="1" t="s">
        <v>2506</v>
      </c>
      <c r="E4822" s="1" t="s">
        <v>2019</v>
      </c>
      <c r="F4822" s="1" t="s">
        <v>477</v>
      </c>
      <c r="G4822" s="47">
        <v>8032</v>
      </c>
      <c r="H4822" t="str">
        <f>IFERROR(VLOOKUP(F4822,'LEAID Match'!$A$2:$B$142,2,FALSE),"")</f>
        <v/>
      </c>
    </row>
    <row r="4823" spans="1:8" x14ac:dyDescent="0.2">
      <c r="A4823" t="str">
        <f t="shared" si="75"/>
        <v/>
      </c>
      <c r="B4823" s="1">
        <v>2018</v>
      </c>
      <c r="C4823" s="1" t="s">
        <v>2505</v>
      </c>
      <c r="D4823" s="1" t="s">
        <v>2506</v>
      </c>
      <c r="E4823" s="1" t="s">
        <v>2019</v>
      </c>
      <c r="F4823" s="1" t="s">
        <v>477</v>
      </c>
      <c r="G4823" s="6">
        <v>9101</v>
      </c>
      <c r="H4823" t="str">
        <f>IFERROR(VLOOKUP(F4823,'LEAID Match'!$A$2:$B$142,2,FALSE),"")</f>
        <v/>
      </c>
    </row>
    <row r="4824" spans="1:8" x14ac:dyDescent="0.2">
      <c r="A4824" t="str">
        <f t="shared" si="75"/>
        <v/>
      </c>
      <c r="B4824" s="1">
        <v>2019</v>
      </c>
      <c r="C4824" s="1" t="s">
        <v>2505</v>
      </c>
      <c r="D4824" s="1" t="s">
        <v>2506</v>
      </c>
      <c r="E4824" s="1" t="s">
        <v>2019</v>
      </c>
      <c r="F4824" s="1" t="s">
        <v>477</v>
      </c>
      <c r="G4824" s="6">
        <v>15282</v>
      </c>
      <c r="H4824" t="str">
        <f>IFERROR(VLOOKUP(F4824,'LEAID Match'!$A$2:$B$142,2,FALSE),"")</f>
        <v/>
      </c>
    </row>
    <row r="4825" spans="1:8" x14ac:dyDescent="0.2">
      <c r="A4825" t="str">
        <f t="shared" si="75"/>
        <v/>
      </c>
      <c r="B4825" s="1">
        <v>2020</v>
      </c>
      <c r="C4825" s="1" t="s">
        <v>2505</v>
      </c>
      <c r="D4825" s="1" t="s">
        <v>2506</v>
      </c>
      <c r="E4825" s="1" t="s">
        <v>2019</v>
      </c>
      <c r="F4825" s="1" t="s">
        <v>477</v>
      </c>
      <c r="G4825" s="6">
        <v>12229</v>
      </c>
      <c r="H4825" t="str">
        <f>IFERROR(VLOOKUP(F4825,'LEAID Match'!$A$2:$B$142,2,FALSE),"")</f>
        <v/>
      </c>
    </row>
    <row r="4826" spans="1:8" x14ac:dyDescent="0.2">
      <c r="A4826" t="str">
        <f t="shared" si="75"/>
        <v/>
      </c>
      <c r="B4826" s="1">
        <v>2021</v>
      </c>
      <c r="C4826" s="1" t="s">
        <v>2505</v>
      </c>
      <c r="D4826" s="1" t="s">
        <v>2506</v>
      </c>
      <c r="E4826" s="1" t="s">
        <v>2019</v>
      </c>
      <c r="F4826" s="1" t="s">
        <v>477</v>
      </c>
      <c r="G4826" s="6">
        <v>8823</v>
      </c>
      <c r="H4826" t="str">
        <f>IFERROR(VLOOKUP(F4826,'LEAID Match'!$A$2:$B$142,2,FALSE),"")</f>
        <v/>
      </c>
    </row>
    <row r="4827" spans="1:8" x14ac:dyDescent="0.2">
      <c r="A4827" t="str">
        <f t="shared" si="75"/>
        <v/>
      </c>
      <c r="B4827" s="1">
        <v>2022</v>
      </c>
      <c r="C4827" s="1" t="s">
        <v>2505</v>
      </c>
      <c r="D4827" s="1" t="s">
        <v>2506</v>
      </c>
      <c r="E4827" s="1" t="s">
        <v>2019</v>
      </c>
      <c r="F4827" s="1" t="s">
        <v>477</v>
      </c>
      <c r="G4827" s="6">
        <v>8270</v>
      </c>
      <c r="H4827" t="str">
        <f>IFERROR(VLOOKUP(F4827,'LEAID Match'!$A$2:$B$142,2,FALSE),"")</f>
        <v/>
      </c>
    </row>
    <row r="4828" spans="1:8" x14ac:dyDescent="0.2">
      <c r="A4828" t="str">
        <f t="shared" si="75"/>
        <v/>
      </c>
      <c r="B4828" s="1">
        <v>2023</v>
      </c>
      <c r="C4828" s="1" t="s">
        <v>2505</v>
      </c>
      <c r="D4828" s="1" t="s">
        <v>2506</v>
      </c>
      <c r="E4828" s="1" t="s">
        <v>2019</v>
      </c>
      <c r="F4828" s="1" t="s">
        <v>477</v>
      </c>
      <c r="G4828" s="6">
        <v>10715</v>
      </c>
      <c r="H4828" t="str">
        <f>IFERROR(VLOOKUP(F4828,'LEAID Match'!$A$2:$B$142,2,FALSE),"")</f>
        <v/>
      </c>
    </row>
    <row r="4829" spans="1:8" x14ac:dyDescent="0.2">
      <c r="A4829" t="str">
        <f t="shared" si="75"/>
        <v/>
      </c>
      <c r="B4829" s="1">
        <v>2024</v>
      </c>
      <c r="C4829" s="1" t="s">
        <v>2505</v>
      </c>
      <c r="D4829" s="1" t="s">
        <v>2506</v>
      </c>
      <c r="E4829" s="1" t="s">
        <v>2019</v>
      </c>
      <c r="F4829" s="1" t="s">
        <v>477</v>
      </c>
      <c r="G4829" s="6">
        <v>13459</v>
      </c>
      <c r="H4829" t="str">
        <f>IFERROR(VLOOKUP(F4829,'LEAID Match'!$A$2:$B$142,2,FALSE),"")</f>
        <v/>
      </c>
    </row>
    <row r="4830" spans="1:8" x14ac:dyDescent="0.2">
      <c r="A4830">
        <f t="shared" si="75"/>
        <v>2802940</v>
      </c>
      <c r="B4830" s="1">
        <v>2015</v>
      </c>
      <c r="C4830" s="1" t="s">
        <v>2505</v>
      </c>
      <c r="D4830" s="1" t="s">
        <v>2506</v>
      </c>
      <c r="E4830" s="1" t="s">
        <v>2019</v>
      </c>
      <c r="F4830" s="1" t="s">
        <v>478</v>
      </c>
      <c r="G4830" s="6">
        <v>1698865</v>
      </c>
      <c r="H4830">
        <f>IFERROR(VLOOKUP(F4830,'LEAID Match'!$A$2:$B$142,2,FALSE),"")</f>
        <v>2802940</v>
      </c>
    </row>
    <row r="4831" spans="1:8" x14ac:dyDescent="0.2">
      <c r="A4831">
        <f t="shared" si="75"/>
        <v>2802940</v>
      </c>
      <c r="B4831">
        <v>2016</v>
      </c>
      <c r="C4831" s="1" t="s">
        <v>2505</v>
      </c>
      <c r="D4831" s="1" t="s">
        <v>2506</v>
      </c>
      <c r="E4831" s="1" t="s">
        <v>2019</v>
      </c>
      <c r="F4831" s="1" t="s">
        <v>478</v>
      </c>
      <c r="G4831" s="12">
        <v>1783049</v>
      </c>
      <c r="H4831">
        <f>IFERROR(VLOOKUP(F4831,'LEAID Match'!$A$2:$B$142,2,FALSE),"")</f>
        <v>2802940</v>
      </c>
    </row>
    <row r="4832" spans="1:8" x14ac:dyDescent="0.2">
      <c r="A4832">
        <f t="shared" si="75"/>
        <v>2802940</v>
      </c>
      <c r="B4832" s="1">
        <v>2017</v>
      </c>
      <c r="C4832" s="1" t="s">
        <v>2505</v>
      </c>
      <c r="D4832" s="1" t="s">
        <v>2506</v>
      </c>
      <c r="E4832" s="1" t="s">
        <v>2019</v>
      </c>
      <c r="F4832" s="1" t="s">
        <v>478</v>
      </c>
      <c r="G4832" s="47">
        <v>1811070</v>
      </c>
      <c r="H4832">
        <f>IFERROR(VLOOKUP(F4832,'LEAID Match'!$A$2:$B$142,2,FALSE),"")</f>
        <v>2802940</v>
      </c>
    </row>
    <row r="4833" spans="1:8" x14ac:dyDescent="0.2">
      <c r="A4833">
        <f t="shared" si="75"/>
        <v>2802940</v>
      </c>
      <c r="B4833" s="1">
        <v>2018</v>
      </c>
      <c r="C4833" s="1" t="s">
        <v>2505</v>
      </c>
      <c r="D4833" s="1" t="s">
        <v>2506</v>
      </c>
      <c r="E4833" s="1" t="s">
        <v>2019</v>
      </c>
      <c r="F4833" s="1" t="s">
        <v>478</v>
      </c>
      <c r="G4833" s="6">
        <v>1600382</v>
      </c>
      <c r="H4833">
        <f>IFERROR(VLOOKUP(F4833,'LEAID Match'!$A$2:$B$142,2,FALSE),"")</f>
        <v>2802940</v>
      </c>
    </row>
    <row r="4834" spans="1:8" x14ac:dyDescent="0.2">
      <c r="A4834">
        <f t="shared" si="75"/>
        <v>2802940</v>
      </c>
      <c r="B4834" s="1">
        <v>2019</v>
      </c>
      <c r="C4834" s="1" t="s">
        <v>2505</v>
      </c>
      <c r="D4834" s="1" t="s">
        <v>2506</v>
      </c>
      <c r="E4834" s="1" t="s">
        <v>2019</v>
      </c>
      <c r="F4834" s="1" t="s">
        <v>478</v>
      </c>
      <c r="G4834" s="6">
        <v>1762418</v>
      </c>
      <c r="H4834">
        <f>IFERROR(VLOOKUP(F4834,'LEAID Match'!$A$2:$B$142,2,FALSE),"")</f>
        <v>2802940</v>
      </c>
    </row>
    <row r="4835" spans="1:8" x14ac:dyDescent="0.2">
      <c r="A4835">
        <f t="shared" si="75"/>
        <v>2802940</v>
      </c>
      <c r="B4835" s="1">
        <v>2020</v>
      </c>
      <c r="C4835" s="1" t="s">
        <v>2505</v>
      </c>
      <c r="D4835" s="1" t="s">
        <v>2506</v>
      </c>
      <c r="E4835" s="1" t="s">
        <v>2019</v>
      </c>
      <c r="F4835" s="1" t="s">
        <v>478</v>
      </c>
      <c r="G4835" s="6">
        <v>2027237</v>
      </c>
      <c r="H4835">
        <f>IFERROR(VLOOKUP(F4835,'LEAID Match'!$A$2:$B$142,2,FALSE),"")</f>
        <v>2802940</v>
      </c>
    </row>
    <row r="4836" spans="1:8" x14ac:dyDescent="0.2">
      <c r="A4836">
        <f t="shared" si="75"/>
        <v>2802940</v>
      </c>
      <c r="B4836" s="1">
        <v>2021</v>
      </c>
      <c r="C4836" s="1" t="s">
        <v>2505</v>
      </c>
      <c r="D4836" s="1" t="s">
        <v>2506</v>
      </c>
      <c r="E4836" s="1" t="s">
        <v>2019</v>
      </c>
      <c r="F4836" s="1" t="s">
        <v>478</v>
      </c>
      <c r="G4836" s="6">
        <v>2081393</v>
      </c>
      <c r="H4836">
        <f>IFERROR(VLOOKUP(F4836,'LEAID Match'!$A$2:$B$142,2,FALSE),"")</f>
        <v>2802940</v>
      </c>
    </row>
    <row r="4837" spans="1:8" x14ac:dyDescent="0.2">
      <c r="A4837">
        <f t="shared" si="75"/>
        <v>2802940</v>
      </c>
      <c r="B4837" s="1">
        <v>2022</v>
      </c>
      <c r="C4837" s="1" t="s">
        <v>2505</v>
      </c>
      <c r="D4837" s="1" t="s">
        <v>2506</v>
      </c>
      <c r="E4837" s="1" t="s">
        <v>2019</v>
      </c>
      <c r="F4837" s="1" t="s">
        <v>478</v>
      </c>
      <c r="G4837" s="6">
        <v>2144268</v>
      </c>
      <c r="H4837">
        <f>IFERROR(VLOOKUP(F4837,'LEAID Match'!$A$2:$B$142,2,FALSE),"")</f>
        <v>2802940</v>
      </c>
    </row>
    <row r="4838" spans="1:8" x14ac:dyDescent="0.2">
      <c r="A4838">
        <f t="shared" si="75"/>
        <v>2802940</v>
      </c>
      <c r="B4838" s="1">
        <v>2023</v>
      </c>
      <c r="C4838" s="1" t="s">
        <v>2505</v>
      </c>
      <c r="D4838" s="1" t="s">
        <v>2506</v>
      </c>
      <c r="E4838" s="1" t="s">
        <v>2019</v>
      </c>
      <c r="F4838" s="1" t="s">
        <v>478</v>
      </c>
      <c r="G4838" s="6">
        <v>2359282</v>
      </c>
      <c r="H4838">
        <f>IFERROR(VLOOKUP(F4838,'LEAID Match'!$A$2:$B$142,2,FALSE),"")</f>
        <v>2802940</v>
      </c>
    </row>
    <row r="4839" spans="1:8" x14ac:dyDescent="0.2">
      <c r="A4839">
        <f t="shared" si="75"/>
        <v>2802940</v>
      </c>
      <c r="B4839" s="1">
        <v>2024</v>
      </c>
      <c r="C4839" s="1" t="s">
        <v>2505</v>
      </c>
      <c r="D4839" s="1" t="s">
        <v>2506</v>
      </c>
      <c r="E4839" s="1" t="s">
        <v>2019</v>
      </c>
      <c r="F4839" s="1" t="s">
        <v>478</v>
      </c>
      <c r="G4839" s="6">
        <v>2584613</v>
      </c>
      <c r="H4839">
        <f>IFERROR(VLOOKUP(F4839,'LEAID Match'!$A$2:$B$142,2,FALSE),"")</f>
        <v>2802940</v>
      </c>
    </row>
    <row r="4840" spans="1:8" x14ac:dyDescent="0.2">
      <c r="A4840" t="str">
        <f t="shared" si="75"/>
        <v/>
      </c>
      <c r="B4840" s="1">
        <v>2015</v>
      </c>
      <c r="C4840" s="1" t="s">
        <v>2505</v>
      </c>
      <c r="D4840" s="1" t="s">
        <v>2506</v>
      </c>
      <c r="E4840" s="1" t="s">
        <v>2019</v>
      </c>
      <c r="F4840" s="1" t="s">
        <v>479</v>
      </c>
      <c r="G4840" s="6">
        <v>1009766</v>
      </c>
      <c r="H4840" t="str">
        <f>IFERROR(VLOOKUP(F4840,'LEAID Match'!$A$2:$B$142,2,FALSE),"")</f>
        <v/>
      </c>
    </row>
    <row r="4841" spans="1:8" x14ac:dyDescent="0.2">
      <c r="A4841" t="str">
        <f t="shared" si="75"/>
        <v/>
      </c>
      <c r="B4841">
        <v>2016</v>
      </c>
      <c r="C4841" s="1" t="s">
        <v>2505</v>
      </c>
      <c r="D4841" s="1" t="s">
        <v>2506</v>
      </c>
      <c r="E4841" s="1" t="s">
        <v>2019</v>
      </c>
      <c r="F4841" s="1" t="s">
        <v>479</v>
      </c>
      <c r="G4841" s="12">
        <v>1058405</v>
      </c>
      <c r="H4841" t="str">
        <f>IFERROR(VLOOKUP(F4841,'LEAID Match'!$A$2:$B$142,2,FALSE),"")</f>
        <v/>
      </c>
    </row>
    <row r="4842" spans="1:8" x14ac:dyDescent="0.2">
      <c r="A4842" t="str">
        <f t="shared" si="75"/>
        <v/>
      </c>
      <c r="B4842" s="1">
        <v>2017</v>
      </c>
      <c r="C4842" s="1" t="s">
        <v>2505</v>
      </c>
      <c r="D4842" s="1" t="s">
        <v>2506</v>
      </c>
      <c r="E4842" s="1" t="s">
        <v>2019</v>
      </c>
      <c r="F4842" s="1" t="s">
        <v>479</v>
      </c>
      <c r="G4842" s="47">
        <v>1090784</v>
      </c>
      <c r="H4842" t="str">
        <f>IFERROR(VLOOKUP(F4842,'LEAID Match'!$A$2:$B$142,2,FALSE),"")</f>
        <v/>
      </c>
    </row>
    <row r="4843" spans="1:8" x14ac:dyDescent="0.2">
      <c r="A4843" t="str">
        <f t="shared" si="75"/>
        <v/>
      </c>
      <c r="B4843" s="1">
        <v>2018</v>
      </c>
      <c r="C4843" s="1" t="s">
        <v>2505</v>
      </c>
      <c r="D4843" s="1" t="s">
        <v>2506</v>
      </c>
      <c r="E4843" s="1" t="s">
        <v>2019</v>
      </c>
      <c r="F4843" s="1" t="s">
        <v>479</v>
      </c>
      <c r="G4843" s="6">
        <v>1108186</v>
      </c>
      <c r="H4843" t="str">
        <f>IFERROR(VLOOKUP(F4843,'LEAID Match'!$A$2:$B$142,2,FALSE),"")</f>
        <v/>
      </c>
    </row>
    <row r="4844" spans="1:8" x14ac:dyDescent="0.2">
      <c r="A4844" t="str">
        <f t="shared" si="75"/>
        <v/>
      </c>
      <c r="B4844" s="1">
        <v>2019</v>
      </c>
      <c r="C4844" s="1" t="s">
        <v>2505</v>
      </c>
      <c r="D4844" s="1" t="s">
        <v>2506</v>
      </c>
      <c r="E4844" s="1" t="s">
        <v>2019</v>
      </c>
      <c r="F4844" s="1" t="s">
        <v>479</v>
      </c>
      <c r="G4844" s="6">
        <v>1125177</v>
      </c>
      <c r="H4844" t="str">
        <f>IFERROR(VLOOKUP(F4844,'LEAID Match'!$A$2:$B$142,2,FALSE),"")</f>
        <v/>
      </c>
    </row>
    <row r="4845" spans="1:8" x14ac:dyDescent="0.2">
      <c r="A4845" t="str">
        <f t="shared" si="75"/>
        <v/>
      </c>
      <c r="B4845" s="1">
        <v>2020</v>
      </c>
      <c r="C4845" s="1" t="s">
        <v>2505</v>
      </c>
      <c r="D4845" s="1" t="s">
        <v>2506</v>
      </c>
      <c r="E4845" s="1" t="s">
        <v>2019</v>
      </c>
      <c r="F4845" s="1" t="s">
        <v>479</v>
      </c>
      <c r="G4845" s="6">
        <v>1298490</v>
      </c>
      <c r="H4845" t="str">
        <f>IFERROR(VLOOKUP(F4845,'LEAID Match'!$A$2:$B$142,2,FALSE),"")</f>
        <v/>
      </c>
    </row>
    <row r="4846" spans="1:8" x14ac:dyDescent="0.2">
      <c r="A4846" t="str">
        <f t="shared" si="75"/>
        <v/>
      </c>
      <c r="B4846" s="1">
        <v>2021</v>
      </c>
      <c r="C4846" s="1" t="s">
        <v>2505</v>
      </c>
      <c r="D4846" s="1" t="s">
        <v>2506</v>
      </c>
      <c r="E4846" s="1" t="s">
        <v>2019</v>
      </c>
      <c r="F4846" s="1" t="s">
        <v>479</v>
      </c>
      <c r="G4846" s="6">
        <v>1353326</v>
      </c>
      <c r="H4846" t="str">
        <f>IFERROR(VLOOKUP(F4846,'LEAID Match'!$A$2:$B$142,2,FALSE),"")</f>
        <v/>
      </c>
    </row>
    <row r="4847" spans="1:8" x14ac:dyDescent="0.2">
      <c r="A4847" t="str">
        <f t="shared" si="75"/>
        <v/>
      </c>
      <c r="B4847" s="1">
        <v>2022</v>
      </c>
      <c r="C4847" s="1" t="s">
        <v>2505</v>
      </c>
      <c r="D4847" s="1" t="s">
        <v>2506</v>
      </c>
      <c r="E4847" s="1" t="s">
        <v>2019</v>
      </c>
      <c r="F4847" s="1" t="s">
        <v>479</v>
      </c>
      <c r="G4847" s="6">
        <v>1409130</v>
      </c>
      <c r="H4847" t="str">
        <f>IFERROR(VLOOKUP(F4847,'LEAID Match'!$A$2:$B$142,2,FALSE),"")</f>
        <v/>
      </c>
    </row>
    <row r="4848" spans="1:8" x14ac:dyDescent="0.2">
      <c r="A4848" t="str">
        <f t="shared" si="75"/>
        <v/>
      </c>
      <c r="B4848" s="1">
        <v>2023</v>
      </c>
      <c r="C4848" s="1" t="s">
        <v>2505</v>
      </c>
      <c r="D4848" s="1" t="s">
        <v>2506</v>
      </c>
      <c r="E4848" s="1" t="s">
        <v>2019</v>
      </c>
      <c r="F4848" s="1" t="s">
        <v>479</v>
      </c>
      <c r="G4848" s="6">
        <v>1513035</v>
      </c>
      <c r="H4848" t="str">
        <f>IFERROR(VLOOKUP(F4848,'LEAID Match'!$A$2:$B$142,2,FALSE),"")</f>
        <v/>
      </c>
    </row>
    <row r="4849" spans="1:8" x14ac:dyDescent="0.2">
      <c r="A4849" t="str">
        <f t="shared" si="75"/>
        <v/>
      </c>
      <c r="B4849" s="1">
        <v>2024</v>
      </c>
      <c r="C4849" s="1" t="s">
        <v>2505</v>
      </c>
      <c r="D4849" s="1" t="s">
        <v>2506</v>
      </c>
      <c r="E4849" s="1" t="s">
        <v>2019</v>
      </c>
      <c r="F4849" s="1" t="s">
        <v>479</v>
      </c>
      <c r="G4849" s="6">
        <v>1507192</v>
      </c>
      <c r="H4849" t="str">
        <f>IFERROR(VLOOKUP(F4849,'LEAID Match'!$A$2:$B$142,2,FALSE),"")</f>
        <v/>
      </c>
    </row>
    <row r="4850" spans="1:8" x14ac:dyDescent="0.2">
      <c r="A4850" t="str">
        <f t="shared" si="75"/>
        <v/>
      </c>
      <c r="B4850" s="1">
        <v>2020</v>
      </c>
      <c r="C4850" s="1" t="s">
        <v>2505</v>
      </c>
      <c r="D4850" s="1" t="s">
        <v>2506</v>
      </c>
      <c r="E4850" s="1" t="s">
        <v>2019</v>
      </c>
      <c r="F4850" s="1" t="s">
        <v>480</v>
      </c>
      <c r="G4850" s="6">
        <v>2260</v>
      </c>
      <c r="H4850" t="str">
        <f>IFERROR(VLOOKUP(F4850,'LEAID Match'!$A$2:$B$142,2,FALSE),"")</f>
        <v/>
      </c>
    </row>
    <row r="4851" spans="1:8" x14ac:dyDescent="0.2">
      <c r="A4851" t="str">
        <f t="shared" si="75"/>
        <v/>
      </c>
      <c r="B4851" s="1">
        <v>2021</v>
      </c>
      <c r="C4851" s="1" t="s">
        <v>2505</v>
      </c>
      <c r="D4851" s="1" t="s">
        <v>2506</v>
      </c>
      <c r="E4851" s="1" t="s">
        <v>2019</v>
      </c>
      <c r="F4851" s="1" t="s">
        <v>480</v>
      </c>
      <c r="G4851" s="6">
        <v>4346</v>
      </c>
      <c r="H4851" t="str">
        <f>IFERROR(VLOOKUP(F4851,'LEAID Match'!$A$2:$B$142,2,FALSE),"")</f>
        <v/>
      </c>
    </row>
    <row r="4852" spans="1:8" x14ac:dyDescent="0.2">
      <c r="A4852" t="str">
        <f t="shared" si="75"/>
        <v/>
      </c>
      <c r="B4852" s="1">
        <v>2022</v>
      </c>
      <c r="C4852" s="1" t="s">
        <v>2505</v>
      </c>
      <c r="D4852" s="1" t="s">
        <v>2506</v>
      </c>
      <c r="E4852" s="1" t="s">
        <v>2019</v>
      </c>
      <c r="F4852" s="1" t="s">
        <v>480</v>
      </c>
      <c r="G4852" s="6">
        <v>4520</v>
      </c>
      <c r="H4852" t="str">
        <f>IFERROR(VLOOKUP(F4852,'LEAID Match'!$A$2:$B$142,2,FALSE),"")</f>
        <v/>
      </c>
    </row>
    <row r="4853" spans="1:8" x14ac:dyDescent="0.2">
      <c r="A4853" t="str">
        <f t="shared" si="75"/>
        <v/>
      </c>
      <c r="B4853" s="1">
        <v>2023</v>
      </c>
      <c r="C4853" s="1" t="s">
        <v>2505</v>
      </c>
      <c r="D4853" s="1" t="s">
        <v>2506</v>
      </c>
      <c r="E4853" s="1" t="s">
        <v>2019</v>
      </c>
      <c r="F4853" s="1" t="s">
        <v>480</v>
      </c>
      <c r="G4853" s="6">
        <v>4520</v>
      </c>
      <c r="H4853" t="str">
        <f>IFERROR(VLOOKUP(F4853,'LEAID Match'!$A$2:$B$142,2,FALSE),"")</f>
        <v/>
      </c>
    </row>
    <row r="4854" spans="1:8" x14ac:dyDescent="0.2">
      <c r="A4854" t="str">
        <f t="shared" si="75"/>
        <v/>
      </c>
      <c r="B4854" s="1">
        <v>2024</v>
      </c>
      <c r="C4854" s="1" t="s">
        <v>2505</v>
      </c>
      <c r="D4854" s="1" t="s">
        <v>2506</v>
      </c>
      <c r="E4854" s="1" t="s">
        <v>2019</v>
      </c>
      <c r="F4854" s="1" t="s">
        <v>480</v>
      </c>
      <c r="G4854" s="6">
        <v>5269</v>
      </c>
      <c r="H4854" t="str">
        <f>IFERROR(VLOOKUP(F4854,'LEAID Match'!$A$2:$B$142,2,FALSE),"")</f>
        <v/>
      </c>
    </row>
    <row r="4855" spans="1:8" x14ac:dyDescent="0.2">
      <c r="A4855" t="str">
        <f t="shared" si="75"/>
        <v/>
      </c>
      <c r="B4855" s="1">
        <v>2015</v>
      </c>
      <c r="C4855" s="1" t="s">
        <v>2505</v>
      </c>
      <c r="D4855" s="1" t="s">
        <v>2506</v>
      </c>
      <c r="E4855" s="1" t="s">
        <v>2019</v>
      </c>
      <c r="F4855" s="1" t="s">
        <v>2300</v>
      </c>
      <c r="G4855" s="6">
        <v>623406</v>
      </c>
      <c r="H4855" t="str">
        <f>IFERROR(VLOOKUP(F4855,'LEAID Match'!$A$2:$B$142,2,FALSE),"")</f>
        <v/>
      </c>
    </row>
    <row r="4856" spans="1:8" x14ac:dyDescent="0.2">
      <c r="A4856" t="str">
        <f t="shared" si="75"/>
        <v/>
      </c>
      <c r="B4856" s="1">
        <v>2015</v>
      </c>
      <c r="C4856" s="1" t="s">
        <v>2505</v>
      </c>
      <c r="D4856" s="1" t="s">
        <v>2506</v>
      </c>
      <c r="E4856" s="1" t="s">
        <v>2019</v>
      </c>
      <c r="F4856" s="1" t="s">
        <v>1638</v>
      </c>
      <c r="G4856" s="6">
        <v>388298</v>
      </c>
      <c r="H4856" t="str">
        <f>IFERROR(VLOOKUP(F4856,'LEAID Match'!$A$2:$B$142,2,FALSE),"")</f>
        <v/>
      </c>
    </row>
    <row r="4857" spans="1:8" x14ac:dyDescent="0.2">
      <c r="A4857" t="str">
        <f t="shared" si="75"/>
        <v/>
      </c>
      <c r="B4857">
        <v>2016</v>
      </c>
      <c r="C4857" s="1" t="s">
        <v>2505</v>
      </c>
      <c r="D4857" s="1" t="s">
        <v>2506</v>
      </c>
      <c r="E4857" s="1" t="s">
        <v>2019</v>
      </c>
      <c r="F4857" s="1" t="s">
        <v>1638</v>
      </c>
      <c r="G4857" s="12">
        <v>380692</v>
      </c>
      <c r="H4857" t="str">
        <f>IFERROR(VLOOKUP(F4857,'LEAID Match'!$A$2:$B$142,2,FALSE),"")</f>
        <v/>
      </c>
    </row>
    <row r="4858" spans="1:8" x14ac:dyDescent="0.2">
      <c r="A4858" t="str">
        <f t="shared" si="75"/>
        <v/>
      </c>
      <c r="B4858" s="1">
        <v>2017</v>
      </c>
      <c r="C4858" s="1" t="s">
        <v>2505</v>
      </c>
      <c r="D4858" s="1" t="s">
        <v>2506</v>
      </c>
      <c r="E4858" s="1" t="s">
        <v>2019</v>
      </c>
      <c r="F4858" s="37" t="s">
        <v>1638</v>
      </c>
      <c r="G4858" s="47">
        <v>373661</v>
      </c>
      <c r="H4858" t="str">
        <f>IFERROR(VLOOKUP(F4858,'LEAID Match'!$A$2:$B$142,2,FALSE),"")</f>
        <v/>
      </c>
    </row>
    <row r="4859" spans="1:8" x14ac:dyDescent="0.2">
      <c r="A4859" t="str">
        <f t="shared" si="75"/>
        <v/>
      </c>
      <c r="B4859" s="1">
        <v>2018</v>
      </c>
      <c r="C4859" s="1" t="s">
        <v>2505</v>
      </c>
      <c r="D4859" s="1" t="s">
        <v>2506</v>
      </c>
      <c r="E4859" s="1" t="s">
        <v>2019</v>
      </c>
      <c r="F4859" s="1" t="s">
        <v>1638</v>
      </c>
      <c r="G4859" s="6">
        <v>358301</v>
      </c>
      <c r="H4859" t="str">
        <f>IFERROR(VLOOKUP(F4859,'LEAID Match'!$A$2:$B$142,2,FALSE),"")</f>
        <v/>
      </c>
    </row>
    <row r="4860" spans="1:8" x14ac:dyDescent="0.2">
      <c r="A4860" t="str">
        <f t="shared" si="75"/>
        <v/>
      </c>
      <c r="B4860" s="1">
        <v>2015</v>
      </c>
      <c r="C4860" s="1" t="s">
        <v>2505</v>
      </c>
      <c r="D4860" s="1" t="s">
        <v>2506</v>
      </c>
      <c r="E4860" s="1" t="s">
        <v>2019</v>
      </c>
      <c r="F4860" s="1" t="s">
        <v>481</v>
      </c>
      <c r="G4860" s="6">
        <v>282631</v>
      </c>
      <c r="H4860" t="str">
        <f>IFERROR(VLOOKUP(F4860,'LEAID Match'!$A$2:$B$142,2,FALSE),"")</f>
        <v/>
      </c>
    </row>
    <row r="4861" spans="1:8" x14ac:dyDescent="0.2">
      <c r="A4861" t="str">
        <f t="shared" si="75"/>
        <v/>
      </c>
      <c r="B4861">
        <v>2016</v>
      </c>
      <c r="C4861" s="1" t="s">
        <v>2505</v>
      </c>
      <c r="D4861" s="1" t="s">
        <v>2506</v>
      </c>
      <c r="E4861" s="1" t="s">
        <v>2019</v>
      </c>
      <c r="F4861" s="1" t="s">
        <v>481</v>
      </c>
      <c r="G4861" s="12">
        <v>277154</v>
      </c>
      <c r="H4861" t="str">
        <f>IFERROR(VLOOKUP(F4861,'LEAID Match'!$A$2:$B$142,2,FALSE),"")</f>
        <v/>
      </c>
    </row>
    <row r="4862" spans="1:8" x14ac:dyDescent="0.2">
      <c r="A4862" t="str">
        <f t="shared" si="75"/>
        <v/>
      </c>
      <c r="B4862" s="1">
        <v>2017</v>
      </c>
      <c r="C4862" s="1" t="s">
        <v>2505</v>
      </c>
      <c r="D4862" s="1" t="s">
        <v>2506</v>
      </c>
      <c r="E4862" s="1" t="s">
        <v>2019</v>
      </c>
      <c r="F4862" s="1" t="s">
        <v>481</v>
      </c>
      <c r="G4862" s="47">
        <v>287057</v>
      </c>
      <c r="H4862" t="str">
        <f>IFERROR(VLOOKUP(F4862,'LEAID Match'!$A$2:$B$142,2,FALSE),"")</f>
        <v/>
      </c>
    </row>
    <row r="4863" spans="1:8" x14ac:dyDescent="0.2">
      <c r="A4863" t="str">
        <f t="shared" si="75"/>
        <v/>
      </c>
      <c r="B4863" s="1">
        <v>2018</v>
      </c>
      <c r="C4863" s="1" t="s">
        <v>2505</v>
      </c>
      <c r="D4863" s="1" t="s">
        <v>2506</v>
      </c>
      <c r="E4863" s="1" t="s">
        <v>2019</v>
      </c>
      <c r="F4863" s="1" t="s">
        <v>481</v>
      </c>
      <c r="G4863" s="6">
        <v>283302</v>
      </c>
      <c r="H4863" t="str">
        <f>IFERROR(VLOOKUP(F4863,'LEAID Match'!$A$2:$B$142,2,FALSE),"")</f>
        <v/>
      </c>
    </row>
    <row r="4864" spans="1:8" x14ac:dyDescent="0.2">
      <c r="A4864" t="str">
        <f t="shared" si="75"/>
        <v/>
      </c>
      <c r="B4864" s="1">
        <v>2019</v>
      </c>
      <c r="C4864" s="1" t="s">
        <v>2505</v>
      </c>
      <c r="D4864" s="1" t="s">
        <v>2506</v>
      </c>
      <c r="E4864" s="1" t="s">
        <v>2019</v>
      </c>
      <c r="F4864" s="1" t="s">
        <v>481</v>
      </c>
      <c r="G4864" s="6">
        <v>305233</v>
      </c>
      <c r="H4864" t="str">
        <f>IFERROR(VLOOKUP(F4864,'LEAID Match'!$A$2:$B$142,2,FALSE),"")</f>
        <v/>
      </c>
    </row>
    <row r="4865" spans="1:8" x14ac:dyDescent="0.2">
      <c r="A4865" t="str">
        <f t="shared" si="75"/>
        <v/>
      </c>
      <c r="B4865" s="1">
        <v>2020</v>
      </c>
      <c r="C4865" s="1" t="s">
        <v>2505</v>
      </c>
      <c r="D4865" s="1" t="s">
        <v>2506</v>
      </c>
      <c r="E4865" s="1" t="s">
        <v>2019</v>
      </c>
      <c r="F4865" s="1" t="s">
        <v>481</v>
      </c>
      <c r="G4865" s="6">
        <v>335245</v>
      </c>
      <c r="H4865" t="str">
        <f>IFERROR(VLOOKUP(F4865,'LEAID Match'!$A$2:$B$142,2,FALSE),"")</f>
        <v/>
      </c>
    </row>
    <row r="4866" spans="1:8" x14ac:dyDescent="0.2">
      <c r="A4866" t="str">
        <f t="shared" si="75"/>
        <v/>
      </c>
      <c r="B4866" s="1">
        <v>2021</v>
      </c>
      <c r="C4866" s="1" t="s">
        <v>2505</v>
      </c>
      <c r="D4866" s="1" t="s">
        <v>2506</v>
      </c>
      <c r="E4866" s="1" t="s">
        <v>2019</v>
      </c>
      <c r="F4866" s="1" t="s">
        <v>481</v>
      </c>
      <c r="G4866" s="6">
        <v>341870</v>
      </c>
      <c r="H4866" t="str">
        <f>IFERROR(VLOOKUP(F4866,'LEAID Match'!$A$2:$B$142,2,FALSE),"")</f>
        <v/>
      </c>
    </row>
    <row r="4867" spans="1:8" x14ac:dyDescent="0.2">
      <c r="A4867" t="str">
        <f t="shared" ref="A4867:A4930" si="76">H4867</f>
        <v/>
      </c>
      <c r="B4867" s="1">
        <v>2022</v>
      </c>
      <c r="C4867" s="1" t="s">
        <v>2505</v>
      </c>
      <c r="D4867" s="1" t="s">
        <v>2506</v>
      </c>
      <c r="E4867" s="1" t="s">
        <v>2019</v>
      </c>
      <c r="F4867" s="1" t="s">
        <v>481</v>
      </c>
      <c r="G4867" s="6">
        <v>338287</v>
      </c>
      <c r="H4867" t="str">
        <f>IFERROR(VLOOKUP(F4867,'LEAID Match'!$A$2:$B$142,2,FALSE),"")</f>
        <v/>
      </c>
    </row>
    <row r="4868" spans="1:8" x14ac:dyDescent="0.2">
      <c r="A4868" t="str">
        <f t="shared" si="76"/>
        <v/>
      </c>
      <c r="B4868" s="1">
        <v>2023</v>
      </c>
      <c r="C4868" s="1" t="s">
        <v>2505</v>
      </c>
      <c r="D4868" s="1" t="s">
        <v>2506</v>
      </c>
      <c r="E4868" s="1" t="s">
        <v>2019</v>
      </c>
      <c r="F4868" s="1" t="s">
        <v>481</v>
      </c>
      <c r="G4868" s="6">
        <v>359397</v>
      </c>
      <c r="H4868" t="str">
        <f>IFERROR(VLOOKUP(F4868,'LEAID Match'!$A$2:$B$142,2,FALSE),"")</f>
        <v/>
      </c>
    </row>
    <row r="4869" spans="1:8" x14ac:dyDescent="0.2">
      <c r="A4869" t="str">
        <f t="shared" si="76"/>
        <v/>
      </c>
      <c r="B4869" s="1">
        <v>2024</v>
      </c>
      <c r="C4869" s="1" t="s">
        <v>2505</v>
      </c>
      <c r="D4869" s="1" t="s">
        <v>2506</v>
      </c>
      <c r="E4869" s="1" t="s">
        <v>2019</v>
      </c>
      <c r="F4869" s="1" t="s">
        <v>481</v>
      </c>
      <c r="G4869" s="6">
        <v>372646</v>
      </c>
      <c r="H4869" t="str">
        <f>IFERROR(VLOOKUP(F4869,'LEAID Match'!$A$2:$B$142,2,FALSE),"")</f>
        <v/>
      </c>
    </row>
    <row r="4870" spans="1:8" x14ac:dyDescent="0.2">
      <c r="A4870" t="str">
        <f t="shared" si="76"/>
        <v/>
      </c>
      <c r="B4870" s="1">
        <v>2015</v>
      </c>
      <c r="C4870" s="1" t="s">
        <v>2505</v>
      </c>
      <c r="D4870" s="1" t="s">
        <v>2506</v>
      </c>
      <c r="E4870" s="1" t="s">
        <v>2019</v>
      </c>
      <c r="F4870" s="1" t="s">
        <v>482</v>
      </c>
      <c r="G4870" s="6">
        <v>118670</v>
      </c>
      <c r="H4870" t="str">
        <f>IFERROR(VLOOKUP(F4870,'LEAID Match'!$A$2:$B$142,2,FALSE),"")</f>
        <v/>
      </c>
    </row>
    <row r="4871" spans="1:8" x14ac:dyDescent="0.2">
      <c r="A4871" t="str">
        <f t="shared" si="76"/>
        <v/>
      </c>
      <c r="B4871">
        <v>2016</v>
      </c>
      <c r="C4871" s="1" t="s">
        <v>2505</v>
      </c>
      <c r="D4871" s="1" t="s">
        <v>2506</v>
      </c>
      <c r="E4871" s="1" t="s">
        <v>2019</v>
      </c>
      <c r="F4871" s="1" t="s">
        <v>482</v>
      </c>
      <c r="G4871" s="12">
        <v>111758</v>
      </c>
      <c r="H4871" t="str">
        <f>IFERROR(VLOOKUP(F4871,'LEAID Match'!$A$2:$B$142,2,FALSE),"")</f>
        <v/>
      </c>
    </row>
    <row r="4872" spans="1:8" x14ac:dyDescent="0.2">
      <c r="A4872" t="str">
        <f t="shared" si="76"/>
        <v/>
      </c>
      <c r="B4872" s="1">
        <v>2017</v>
      </c>
      <c r="C4872" s="1" t="s">
        <v>2505</v>
      </c>
      <c r="D4872" s="1" t="s">
        <v>2506</v>
      </c>
      <c r="E4872" s="1" t="s">
        <v>2019</v>
      </c>
      <c r="F4872" s="1" t="s">
        <v>482</v>
      </c>
      <c r="G4872" s="47">
        <v>111827</v>
      </c>
      <c r="H4872" t="str">
        <f>IFERROR(VLOOKUP(F4872,'LEAID Match'!$A$2:$B$142,2,FALSE),"")</f>
        <v/>
      </c>
    </row>
    <row r="4873" spans="1:8" x14ac:dyDescent="0.2">
      <c r="A4873" t="str">
        <f t="shared" si="76"/>
        <v/>
      </c>
      <c r="B4873" s="1">
        <v>2018</v>
      </c>
      <c r="C4873" s="1" t="s">
        <v>2505</v>
      </c>
      <c r="D4873" s="1" t="s">
        <v>2506</v>
      </c>
      <c r="E4873" s="1" t="s">
        <v>2019</v>
      </c>
      <c r="F4873" s="1" t="s">
        <v>482</v>
      </c>
      <c r="G4873" s="6">
        <v>121875</v>
      </c>
      <c r="H4873" t="str">
        <f>IFERROR(VLOOKUP(F4873,'LEAID Match'!$A$2:$B$142,2,FALSE),"")</f>
        <v/>
      </c>
    </row>
    <row r="4874" spans="1:8" x14ac:dyDescent="0.2">
      <c r="A4874" t="str">
        <f t="shared" si="76"/>
        <v/>
      </c>
      <c r="B4874" s="1">
        <v>2019</v>
      </c>
      <c r="C4874" s="1" t="s">
        <v>2505</v>
      </c>
      <c r="D4874" s="1" t="s">
        <v>2506</v>
      </c>
      <c r="E4874" s="1" t="s">
        <v>2019</v>
      </c>
      <c r="F4874" s="1" t="s">
        <v>482</v>
      </c>
      <c r="G4874" s="6">
        <v>116668</v>
      </c>
      <c r="H4874" t="str">
        <f>IFERROR(VLOOKUP(F4874,'LEAID Match'!$A$2:$B$142,2,FALSE),"")</f>
        <v/>
      </c>
    </row>
    <row r="4875" spans="1:8" x14ac:dyDescent="0.2">
      <c r="A4875" t="str">
        <f t="shared" si="76"/>
        <v/>
      </c>
      <c r="B4875" s="1">
        <v>2020</v>
      </c>
      <c r="C4875" s="1" t="s">
        <v>2505</v>
      </c>
      <c r="D4875" s="1" t="s">
        <v>2506</v>
      </c>
      <c r="E4875" s="1" t="s">
        <v>2019</v>
      </c>
      <c r="F4875" s="1" t="s">
        <v>482</v>
      </c>
      <c r="G4875" s="6">
        <v>135787</v>
      </c>
      <c r="H4875" t="str">
        <f>IFERROR(VLOOKUP(F4875,'LEAID Match'!$A$2:$B$142,2,FALSE),"")</f>
        <v/>
      </c>
    </row>
    <row r="4876" spans="1:8" x14ac:dyDescent="0.2">
      <c r="A4876" t="str">
        <f t="shared" si="76"/>
        <v/>
      </c>
      <c r="B4876" s="1">
        <v>2021</v>
      </c>
      <c r="C4876" s="1" t="s">
        <v>2505</v>
      </c>
      <c r="D4876" s="1" t="s">
        <v>2506</v>
      </c>
      <c r="E4876" s="1" t="s">
        <v>2019</v>
      </c>
      <c r="F4876" s="1" t="s">
        <v>482</v>
      </c>
      <c r="G4876" s="6">
        <v>134375</v>
      </c>
      <c r="H4876" t="str">
        <f>IFERROR(VLOOKUP(F4876,'LEAID Match'!$A$2:$B$142,2,FALSE),"")</f>
        <v/>
      </c>
    </row>
    <row r="4877" spans="1:8" x14ac:dyDescent="0.2">
      <c r="A4877" t="str">
        <f t="shared" si="76"/>
        <v/>
      </c>
      <c r="B4877" s="1">
        <v>2022</v>
      </c>
      <c r="C4877" s="1" t="s">
        <v>2505</v>
      </c>
      <c r="D4877" s="1" t="s">
        <v>2506</v>
      </c>
      <c r="E4877" s="1" t="s">
        <v>2019</v>
      </c>
      <c r="F4877" s="1" t="s">
        <v>482</v>
      </c>
      <c r="G4877" s="6">
        <v>140737</v>
      </c>
      <c r="H4877" t="str">
        <f>IFERROR(VLOOKUP(F4877,'LEAID Match'!$A$2:$B$142,2,FALSE),"")</f>
        <v/>
      </c>
    </row>
    <row r="4878" spans="1:8" x14ac:dyDescent="0.2">
      <c r="A4878" t="str">
        <f t="shared" si="76"/>
        <v/>
      </c>
      <c r="B4878" s="1">
        <v>2023</v>
      </c>
      <c r="C4878" s="1" t="s">
        <v>2505</v>
      </c>
      <c r="D4878" s="1" t="s">
        <v>2506</v>
      </c>
      <c r="E4878" s="1" t="s">
        <v>2019</v>
      </c>
      <c r="F4878" s="1" t="s">
        <v>482</v>
      </c>
      <c r="G4878" s="6">
        <v>137962</v>
      </c>
      <c r="H4878" t="str">
        <f>IFERROR(VLOOKUP(F4878,'LEAID Match'!$A$2:$B$142,2,FALSE),"")</f>
        <v/>
      </c>
    </row>
    <row r="4879" spans="1:8" x14ac:dyDescent="0.2">
      <c r="A4879" t="str">
        <f t="shared" si="76"/>
        <v/>
      </c>
      <c r="B4879" s="1">
        <v>2024</v>
      </c>
      <c r="C4879" s="1" t="s">
        <v>2505</v>
      </c>
      <c r="D4879" s="1" t="s">
        <v>2506</v>
      </c>
      <c r="E4879" s="1" t="s">
        <v>2019</v>
      </c>
      <c r="F4879" s="1" t="s">
        <v>482</v>
      </c>
      <c r="G4879" s="6">
        <v>144140</v>
      </c>
      <c r="H4879" t="str">
        <f>IFERROR(VLOOKUP(F4879,'LEAID Match'!$A$2:$B$142,2,FALSE),"")</f>
        <v/>
      </c>
    </row>
    <row r="4880" spans="1:8" x14ac:dyDescent="0.2">
      <c r="A4880" t="str">
        <f t="shared" si="76"/>
        <v/>
      </c>
      <c r="B4880" s="1">
        <v>2015</v>
      </c>
      <c r="C4880" s="1" t="s">
        <v>2505</v>
      </c>
      <c r="D4880" s="1" t="s">
        <v>2506</v>
      </c>
      <c r="E4880" s="1" t="s">
        <v>2019</v>
      </c>
      <c r="F4880" s="1" t="s">
        <v>483</v>
      </c>
      <c r="G4880" s="6">
        <v>71877</v>
      </c>
      <c r="H4880" t="str">
        <f>IFERROR(VLOOKUP(F4880,'LEAID Match'!$A$2:$B$142,2,FALSE),"")</f>
        <v/>
      </c>
    </row>
    <row r="4881" spans="1:8" x14ac:dyDescent="0.2">
      <c r="A4881" t="str">
        <f t="shared" si="76"/>
        <v/>
      </c>
      <c r="B4881">
        <v>2016</v>
      </c>
      <c r="C4881" s="1" t="s">
        <v>2505</v>
      </c>
      <c r="D4881" s="1" t="s">
        <v>2506</v>
      </c>
      <c r="E4881" s="1" t="s">
        <v>2019</v>
      </c>
      <c r="F4881" s="1" t="s">
        <v>483</v>
      </c>
      <c r="G4881" s="12">
        <v>66453</v>
      </c>
      <c r="H4881" t="str">
        <f>IFERROR(VLOOKUP(F4881,'LEAID Match'!$A$2:$B$142,2,FALSE),"")</f>
        <v/>
      </c>
    </row>
    <row r="4882" spans="1:8" x14ac:dyDescent="0.2">
      <c r="A4882" t="str">
        <f t="shared" si="76"/>
        <v/>
      </c>
      <c r="B4882" s="1">
        <v>2017</v>
      </c>
      <c r="C4882" s="1" t="s">
        <v>2505</v>
      </c>
      <c r="D4882" s="1" t="s">
        <v>2506</v>
      </c>
      <c r="E4882" s="1" t="s">
        <v>2019</v>
      </c>
      <c r="F4882" s="1" t="s">
        <v>483</v>
      </c>
      <c r="G4882" s="47">
        <v>65397</v>
      </c>
      <c r="H4882" t="str">
        <f>IFERROR(VLOOKUP(F4882,'LEAID Match'!$A$2:$B$142,2,FALSE),"")</f>
        <v/>
      </c>
    </row>
    <row r="4883" spans="1:8" x14ac:dyDescent="0.2">
      <c r="A4883" t="str">
        <f t="shared" si="76"/>
        <v/>
      </c>
      <c r="B4883" s="1">
        <v>2018</v>
      </c>
      <c r="C4883" s="1" t="s">
        <v>2505</v>
      </c>
      <c r="D4883" s="1" t="s">
        <v>2506</v>
      </c>
      <c r="E4883" s="1" t="s">
        <v>2019</v>
      </c>
      <c r="F4883" s="1" t="s">
        <v>483</v>
      </c>
      <c r="G4883" s="6">
        <v>69796</v>
      </c>
      <c r="H4883" t="str">
        <f>IFERROR(VLOOKUP(F4883,'LEAID Match'!$A$2:$B$142,2,FALSE),"")</f>
        <v/>
      </c>
    </row>
    <row r="4884" spans="1:8" x14ac:dyDescent="0.2">
      <c r="A4884" t="str">
        <f t="shared" si="76"/>
        <v/>
      </c>
      <c r="B4884" s="1">
        <v>2019</v>
      </c>
      <c r="C4884" s="1" t="s">
        <v>2505</v>
      </c>
      <c r="D4884" s="1" t="s">
        <v>2506</v>
      </c>
      <c r="E4884" s="1" t="s">
        <v>2019</v>
      </c>
      <c r="F4884" s="1" t="s">
        <v>483</v>
      </c>
      <c r="G4884" s="6">
        <v>79032</v>
      </c>
      <c r="H4884" t="str">
        <f>IFERROR(VLOOKUP(F4884,'LEAID Match'!$A$2:$B$142,2,FALSE),"")</f>
        <v/>
      </c>
    </row>
    <row r="4885" spans="1:8" x14ac:dyDescent="0.2">
      <c r="A4885" t="str">
        <f t="shared" si="76"/>
        <v/>
      </c>
      <c r="B4885" s="1">
        <v>2020</v>
      </c>
      <c r="C4885" s="1" t="s">
        <v>2505</v>
      </c>
      <c r="D4885" s="1" t="s">
        <v>2506</v>
      </c>
      <c r="E4885" s="1" t="s">
        <v>2019</v>
      </c>
      <c r="F4885" s="1" t="s">
        <v>483</v>
      </c>
      <c r="G4885" s="6">
        <v>79675</v>
      </c>
      <c r="H4885" t="str">
        <f>IFERROR(VLOOKUP(F4885,'LEAID Match'!$A$2:$B$142,2,FALSE),"")</f>
        <v/>
      </c>
    </row>
    <row r="4886" spans="1:8" x14ac:dyDescent="0.2">
      <c r="A4886" t="str">
        <f t="shared" si="76"/>
        <v/>
      </c>
      <c r="B4886" s="1">
        <v>2021</v>
      </c>
      <c r="C4886" s="1" t="s">
        <v>2505</v>
      </c>
      <c r="D4886" s="1" t="s">
        <v>2506</v>
      </c>
      <c r="E4886" s="1" t="s">
        <v>2019</v>
      </c>
      <c r="F4886" s="1" t="s">
        <v>483</v>
      </c>
      <c r="G4886" s="6">
        <v>75554</v>
      </c>
      <c r="H4886" t="str">
        <f>IFERROR(VLOOKUP(F4886,'LEAID Match'!$A$2:$B$142,2,FALSE),"")</f>
        <v/>
      </c>
    </row>
    <row r="4887" spans="1:8" x14ac:dyDescent="0.2">
      <c r="A4887" t="str">
        <f t="shared" si="76"/>
        <v/>
      </c>
      <c r="B4887" s="1">
        <v>2022</v>
      </c>
      <c r="C4887" s="1" t="s">
        <v>2505</v>
      </c>
      <c r="D4887" s="1" t="s">
        <v>2506</v>
      </c>
      <c r="E4887" s="1" t="s">
        <v>2019</v>
      </c>
      <c r="F4887" s="1" t="s">
        <v>483</v>
      </c>
      <c r="G4887" s="6">
        <v>83267</v>
      </c>
      <c r="H4887" t="str">
        <f>IFERROR(VLOOKUP(F4887,'LEAID Match'!$A$2:$B$142,2,FALSE),"")</f>
        <v/>
      </c>
    </row>
    <row r="4888" spans="1:8" x14ac:dyDescent="0.2">
      <c r="A4888" t="str">
        <f t="shared" si="76"/>
        <v/>
      </c>
      <c r="B4888" s="1">
        <v>2023</v>
      </c>
      <c r="C4888" s="1" t="s">
        <v>2505</v>
      </c>
      <c r="D4888" s="1" t="s">
        <v>2506</v>
      </c>
      <c r="E4888" s="1" t="s">
        <v>2019</v>
      </c>
      <c r="F4888" s="1" t="s">
        <v>483</v>
      </c>
      <c r="G4888" s="6">
        <v>73581</v>
      </c>
      <c r="H4888" t="str">
        <f>IFERROR(VLOOKUP(F4888,'LEAID Match'!$A$2:$B$142,2,FALSE),"")</f>
        <v/>
      </c>
    </row>
    <row r="4889" spans="1:8" x14ac:dyDescent="0.2">
      <c r="A4889" t="str">
        <f t="shared" si="76"/>
        <v/>
      </c>
      <c r="B4889" s="1">
        <v>2024</v>
      </c>
      <c r="C4889" s="1" t="s">
        <v>2505</v>
      </c>
      <c r="D4889" s="1" t="s">
        <v>2506</v>
      </c>
      <c r="E4889" s="1" t="s">
        <v>2019</v>
      </c>
      <c r="F4889" s="1" t="s">
        <v>483</v>
      </c>
      <c r="G4889" s="6">
        <v>75824</v>
      </c>
      <c r="H4889" t="str">
        <f>IFERROR(VLOOKUP(F4889,'LEAID Match'!$A$2:$B$142,2,FALSE),"")</f>
        <v/>
      </c>
    </row>
    <row r="4890" spans="1:8" x14ac:dyDescent="0.2">
      <c r="A4890" t="str">
        <f t="shared" si="76"/>
        <v/>
      </c>
      <c r="B4890" s="1">
        <v>2015</v>
      </c>
      <c r="C4890" s="1" t="s">
        <v>2505</v>
      </c>
      <c r="D4890" s="1" t="s">
        <v>2506</v>
      </c>
      <c r="E4890" s="1" t="s">
        <v>2019</v>
      </c>
      <c r="F4890" s="1" t="s">
        <v>484</v>
      </c>
      <c r="G4890" s="6">
        <v>202313</v>
      </c>
      <c r="H4890" t="str">
        <f>IFERROR(VLOOKUP(F4890,'LEAID Match'!$A$2:$B$142,2,FALSE),"")</f>
        <v/>
      </c>
    </row>
    <row r="4891" spans="1:8" x14ac:dyDescent="0.2">
      <c r="A4891" t="str">
        <f t="shared" si="76"/>
        <v/>
      </c>
      <c r="B4891">
        <v>2016</v>
      </c>
      <c r="C4891" s="1" t="s">
        <v>2505</v>
      </c>
      <c r="D4891" s="1" t="s">
        <v>2506</v>
      </c>
      <c r="E4891" s="1" t="s">
        <v>2019</v>
      </c>
      <c r="F4891" s="1" t="s">
        <v>484</v>
      </c>
      <c r="G4891" s="12">
        <v>209681</v>
      </c>
      <c r="H4891" t="str">
        <f>IFERROR(VLOOKUP(F4891,'LEAID Match'!$A$2:$B$142,2,FALSE),"")</f>
        <v/>
      </c>
    </row>
    <row r="4892" spans="1:8" x14ac:dyDescent="0.2">
      <c r="A4892" t="str">
        <f t="shared" si="76"/>
        <v/>
      </c>
      <c r="B4892" s="1">
        <v>2017</v>
      </c>
      <c r="C4892" s="1" t="s">
        <v>2505</v>
      </c>
      <c r="D4892" s="1" t="s">
        <v>2506</v>
      </c>
      <c r="E4892" s="1" t="s">
        <v>2019</v>
      </c>
      <c r="F4892" s="1" t="s">
        <v>484</v>
      </c>
      <c r="G4892" s="47">
        <v>219681</v>
      </c>
      <c r="H4892" t="str">
        <f>IFERROR(VLOOKUP(F4892,'LEAID Match'!$A$2:$B$142,2,FALSE),"")</f>
        <v/>
      </c>
    </row>
    <row r="4893" spans="1:8" x14ac:dyDescent="0.2">
      <c r="A4893" t="str">
        <f t="shared" si="76"/>
        <v/>
      </c>
      <c r="B4893" s="1">
        <v>2018</v>
      </c>
      <c r="C4893" s="1" t="s">
        <v>2505</v>
      </c>
      <c r="D4893" s="1" t="s">
        <v>2506</v>
      </c>
      <c r="E4893" s="1" t="s">
        <v>2019</v>
      </c>
      <c r="F4893" s="1" t="s">
        <v>484</v>
      </c>
      <c r="G4893" s="6">
        <v>189769</v>
      </c>
      <c r="H4893" t="str">
        <f>IFERROR(VLOOKUP(F4893,'LEAID Match'!$A$2:$B$142,2,FALSE),"")</f>
        <v/>
      </c>
    </row>
    <row r="4894" spans="1:8" x14ac:dyDescent="0.2">
      <c r="A4894" t="str">
        <f t="shared" si="76"/>
        <v/>
      </c>
      <c r="B4894" s="1">
        <v>2019</v>
      </c>
      <c r="C4894" s="1" t="s">
        <v>2505</v>
      </c>
      <c r="D4894" s="1" t="s">
        <v>2506</v>
      </c>
      <c r="E4894" s="1" t="s">
        <v>2019</v>
      </c>
      <c r="F4894" s="1" t="s">
        <v>484</v>
      </c>
      <c r="G4894" s="6">
        <v>186791</v>
      </c>
      <c r="H4894" t="str">
        <f>IFERROR(VLOOKUP(F4894,'LEAID Match'!$A$2:$B$142,2,FALSE),"")</f>
        <v/>
      </c>
    </row>
    <row r="4895" spans="1:8" x14ac:dyDescent="0.2">
      <c r="A4895" t="str">
        <f t="shared" si="76"/>
        <v/>
      </c>
      <c r="B4895" s="1">
        <v>2020</v>
      </c>
      <c r="C4895" s="1" t="s">
        <v>2505</v>
      </c>
      <c r="D4895" s="1" t="s">
        <v>2506</v>
      </c>
      <c r="E4895" s="1" t="s">
        <v>2019</v>
      </c>
      <c r="F4895" s="1" t="s">
        <v>484</v>
      </c>
      <c r="G4895" s="6">
        <v>194578</v>
      </c>
      <c r="H4895" t="str">
        <f>IFERROR(VLOOKUP(F4895,'LEAID Match'!$A$2:$B$142,2,FALSE),"")</f>
        <v/>
      </c>
    </row>
    <row r="4896" spans="1:8" x14ac:dyDescent="0.2">
      <c r="A4896" t="str">
        <f t="shared" si="76"/>
        <v/>
      </c>
      <c r="B4896" s="1">
        <v>2021</v>
      </c>
      <c r="C4896" s="1" t="s">
        <v>2505</v>
      </c>
      <c r="D4896" s="1" t="s">
        <v>2506</v>
      </c>
      <c r="E4896" s="1" t="s">
        <v>2019</v>
      </c>
      <c r="F4896" s="1" t="s">
        <v>484</v>
      </c>
      <c r="G4896" s="6">
        <v>202615</v>
      </c>
      <c r="H4896" t="str">
        <f>IFERROR(VLOOKUP(F4896,'LEAID Match'!$A$2:$B$142,2,FALSE),"")</f>
        <v/>
      </c>
    </row>
    <row r="4897" spans="1:8" x14ac:dyDescent="0.2">
      <c r="A4897" t="str">
        <f t="shared" si="76"/>
        <v/>
      </c>
      <c r="B4897" s="1">
        <v>2022</v>
      </c>
      <c r="C4897" s="1" t="s">
        <v>2505</v>
      </c>
      <c r="D4897" s="1" t="s">
        <v>2506</v>
      </c>
      <c r="E4897" s="1" t="s">
        <v>2019</v>
      </c>
      <c r="F4897" s="1" t="s">
        <v>484</v>
      </c>
      <c r="G4897" s="6">
        <v>215674</v>
      </c>
      <c r="H4897" t="str">
        <f>IFERROR(VLOOKUP(F4897,'LEAID Match'!$A$2:$B$142,2,FALSE),"")</f>
        <v/>
      </c>
    </row>
    <row r="4898" spans="1:8" x14ac:dyDescent="0.2">
      <c r="A4898" t="str">
        <f t="shared" si="76"/>
        <v/>
      </c>
      <c r="B4898" s="1">
        <v>2023</v>
      </c>
      <c r="C4898" s="1" t="s">
        <v>2505</v>
      </c>
      <c r="D4898" s="1" t="s">
        <v>2506</v>
      </c>
      <c r="E4898" s="1" t="s">
        <v>2019</v>
      </c>
      <c r="F4898" s="1" t="s">
        <v>484</v>
      </c>
      <c r="G4898" s="6">
        <v>211113</v>
      </c>
      <c r="H4898" t="str">
        <f>IFERROR(VLOOKUP(F4898,'LEAID Match'!$A$2:$B$142,2,FALSE),"")</f>
        <v/>
      </c>
    </row>
    <row r="4899" spans="1:8" x14ac:dyDescent="0.2">
      <c r="A4899" t="str">
        <f t="shared" si="76"/>
        <v/>
      </c>
      <c r="B4899" s="1">
        <v>2024</v>
      </c>
      <c r="C4899" s="1" t="s">
        <v>2505</v>
      </c>
      <c r="D4899" s="1" t="s">
        <v>2506</v>
      </c>
      <c r="E4899" s="1" t="s">
        <v>2019</v>
      </c>
      <c r="F4899" s="1" t="s">
        <v>484</v>
      </c>
      <c r="G4899" s="6">
        <v>227586</v>
      </c>
      <c r="H4899" t="str">
        <f>IFERROR(VLOOKUP(F4899,'LEAID Match'!$A$2:$B$142,2,FALSE),"")</f>
        <v/>
      </c>
    </row>
    <row r="4900" spans="1:8" x14ac:dyDescent="0.2">
      <c r="A4900" t="str">
        <f t="shared" si="76"/>
        <v/>
      </c>
      <c r="B4900" s="1">
        <v>2015</v>
      </c>
      <c r="C4900" s="1" t="s">
        <v>2505</v>
      </c>
      <c r="D4900" s="1" t="s">
        <v>2506</v>
      </c>
      <c r="E4900" s="1" t="s">
        <v>2019</v>
      </c>
      <c r="F4900" s="1" t="s">
        <v>485</v>
      </c>
      <c r="G4900" s="6">
        <v>808761</v>
      </c>
      <c r="H4900" t="str">
        <f>IFERROR(VLOOKUP(F4900,'LEAID Match'!$A$2:$B$142,2,FALSE),"")</f>
        <v/>
      </c>
    </row>
    <row r="4901" spans="1:8" x14ac:dyDescent="0.2">
      <c r="A4901" t="str">
        <f t="shared" si="76"/>
        <v/>
      </c>
      <c r="B4901">
        <v>2016</v>
      </c>
      <c r="C4901" s="1" t="s">
        <v>2505</v>
      </c>
      <c r="D4901" s="1" t="s">
        <v>2506</v>
      </c>
      <c r="E4901" s="1" t="s">
        <v>2019</v>
      </c>
      <c r="F4901" s="1" t="s">
        <v>485</v>
      </c>
      <c r="G4901" s="12">
        <v>820192</v>
      </c>
      <c r="H4901" t="str">
        <f>IFERROR(VLOOKUP(F4901,'LEAID Match'!$A$2:$B$142,2,FALSE),"")</f>
        <v/>
      </c>
    </row>
    <row r="4902" spans="1:8" x14ac:dyDescent="0.2">
      <c r="A4902" t="str">
        <f t="shared" si="76"/>
        <v/>
      </c>
      <c r="B4902" s="1">
        <v>2017</v>
      </c>
      <c r="C4902" s="1" t="s">
        <v>2505</v>
      </c>
      <c r="D4902" s="1" t="s">
        <v>2506</v>
      </c>
      <c r="E4902" s="1" t="s">
        <v>2019</v>
      </c>
      <c r="F4902" s="1" t="s">
        <v>485</v>
      </c>
      <c r="G4902" s="47">
        <v>726431</v>
      </c>
      <c r="H4902" t="str">
        <f>IFERROR(VLOOKUP(F4902,'LEAID Match'!$A$2:$B$142,2,FALSE),"")</f>
        <v/>
      </c>
    </row>
    <row r="4903" spans="1:8" x14ac:dyDescent="0.2">
      <c r="A4903" t="str">
        <f t="shared" si="76"/>
        <v/>
      </c>
      <c r="B4903" s="1">
        <v>2018</v>
      </c>
      <c r="C4903" s="1" t="s">
        <v>2505</v>
      </c>
      <c r="D4903" s="1" t="s">
        <v>2506</v>
      </c>
      <c r="E4903" s="1" t="s">
        <v>2019</v>
      </c>
      <c r="F4903" s="1" t="s">
        <v>485</v>
      </c>
      <c r="G4903" s="6">
        <v>663589</v>
      </c>
      <c r="H4903" t="str">
        <f>IFERROR(VLOOKUP(F4903,'LEAID Match'!$A$2:$B$142,2,FALSE),"")</f>
        <v/>
      </c>
    </row>
    <row r="4904" spans="1:8" x14ac:dyDescent="0.2">
      <c r="A4904" t="str">
        <f t="shared" si="76"/>
        <v/>
      </c>
      <c r="B4904" s="1">
        <v>2019</v>
      </c>
      <c r="C4904" s="1" t="s">
        <v>2505</v>
      </c>
      <c r="D4904" s="1" t="s">
        <v>2506</v>
      </c>
      <c r="E4904" s="1" t="s">
        <v>2019</v>
      </c>
      <c r="F4904" s="1" t="s">
        <v>485</v>
      </c>
      <c r="G4904" s="6">
        <v>572742</v>
      </c>
      <c r="H4904" t="str">
        <f>IFERROR(VLOOKUP(F4904,'LEAID Match'!$A$2:$B$142,2,FALSE),"")</f>
        <v/>
      </c>
    </row>
    <row r="4905" spans="1:8" x14ac:dyDescent="0.2">
      <c r="A4905" t="str">
        <f t="shared" si="76"/>
        <v/>
      </c>
      <c r="B4905" s="1">
        <v>2020</v>
      </c>
      <c r="C4905" s="1" t="s">
        <v>2505</v>
      </c>
      <c r="D4905" s="1" t="s">
        <v>2506</v>
      </c>
      <c r="E4905" s="1" t="s">
        <v>2019</v>
      </c>
      <c r="F4905" s="1" t="s">
        <v>485</v>
      </c>
      <c r="G4905" s="6">
        <v>605093</v>
      </c>
      <c r="H4905" t="str">
        <f>IFERROR(VLOOKUP(F4905,'LEAID Match'!$A$2:$B$142,2,FALSE),"")</f>
        <v/>
      </c>
    </row>
    <row r="4906" spans="1:8" x14ac:dyDescent="0.2">
      <c r="A4906" t="str">
        <f t="shared" si="76"/>
        <v/>
      </c>
      <c r="B4906" s="1">
        <v>2021</v>
      </c>
      <c r="C4906" s="1" t="s">
        <v>2505</v>
      </c>
      <c r="D4906" s="1" t="s">
        <v>2506</v>
      </c>
      <c r="E4906" s="1" t="s">
        <v>2019</v>
      </c>
      <c r="F4906" s="1" t="s">
        <v>485</v>
      </c>
      <c r="G4906" s="6">
        <v>622725</v>
      </c>
      <c r="H4906" t="str">
        <f>IFERROR(VLOOKUP(F4906,'LEAID Match'!$A$2:$B$142,2,FALSE),"")</f>
        <v/>
      </c>
    </row>
    <row r="4907" spans="1:8" x14ac:dyDescent="0.2">
      <c r="A4907" t="str">
        <f t="shared" si="76"/>
        <v/>
      </c>
      <c r="B4907" s="1">
        <v>2022</v>
      </c>
      <c r="C4907" s="1" t="s">
        <v>2505</v>
      </c>
      <c r="D4907" s="1" t="s">
        <v>2506</v>
      </c>
      <c r="E4907" s="1" t="s">
        <v>2019</v>
      </c>
      <c r="F4907" s="1" t="s">
        <v>485</v>
      </c>
      <c r="G4907" s="6">
        <v>637656</v>
      </c>
      <c r="H4907" t="str">
        <f>IFERROR(VLOOKUP(F4907,'LEAID Match'!$A$2:$B$142,2,FALSE),"")</f>
        <v/>
      </c>
    </row>
    <row r="4908" spans="1:8" x14ac:dyDescent="0.2">
      <c r="A4908" t="str">
        <f t="shared" si="76"/>
        <v/>
      </c>
      <c r="B4908" s="1">
        <v>2023</v>
      </c>
      <c r="C4908" s="1" t="s">
        <v>2505</v>
      </c>
      <c r="D4908" s="1" t="s">
        <v>2506</v>
      </c>
      <c r="E4908" s="1" t="s">
        <v>2019</v>
      </c>
      <c r="F4908" s="1" t="s">
        <v>485</v>
      </c>
      <c r="G4908" s="6">
        <v>621483</v>
      </c>
      <c r="H4908" t="str">
        <f>IFERROR(VLOOKUP(F4908,'LEAID Match'!$A$2:$B$142,2,FALSE),"")</f>
        <v/>
      </c>
    </row>
    <row r="4909" spans="1:8" x14ac:dyDescent="0.2">
      <c r="A4909" t="str">
        <f t="shared" si="76"/>
        <v/>
      </c>
      <c r="B4909" s="1">
        <v>2024</v>
      </c>
      <c r="C4909" s="1" t="s">
        <v>2505</v>
      </c>
      <c r="D4909" s="1" t="s">
        <v>2506</v>
      </c>
      <c r="E4909" s="1" t="s">
        <v>2019</v>
      </c>
      <c r="F4909" s="1" t="s">
        <v>485</v>
      </c>
      <c r="G4909" s="6">
        <v>654322</v>
      </c>
      <c r="H4909" t="str">
        <f>IFERROR(VLOOKUP(F4909,'LEAID Match'!$A$2:$B$142,2,FALSE),"")</f>
        <v/>
      </c>
    </row>
    <row r="4910" spans="1:8" x14ac:dyDescent="0.2">
      <c r="A4910">
        <f t="shared" si="76"/>
        <v>2803000</v>
      </c>
      <c r="B4910" s="1">
        <v>2015</v>
      </c>
      <c r="C4910" s="1" t="s">
        <v>2505</v>
      </c>
      <c r="D4910" s="1" t="s">
        <v>2506</v>
      </c>
      <c r="E4910" s="1" t="s">
        <v>2019</v>
      </c>
      <c r="F4910" s="1" t="s">
        <v>486</v>
      </c>
      <c r="G4910" s="6">
        <v>1963476</v>
      </c>
      <c r="H4910">
        <f>IFERROR(VLOOKUP(F4910,'LEAID Match'!$A$2:$B$142,2,FALSE),"")</f>
        <v>2803000</v>
      </c>
    </row>
    <row r="4911" spans="1:8" x14ac:dyDescent="0.2">
      <c r="A4911">
        <f t="shared" si="76"/>
        <v>2803000</v>
      </c>
      <c r="B4911">
        <v>2016</v>
      </c>
      <c r="C4911" s="1" t="s">
        <v>2505</v>
      </c>
      <c r="D4911" s="1" t="s">
        <v>2506</v>
      </c>
      <c r="E4911" s="1" t="s">
        <v>2019</v>
      </c>
      <c r="F4911" s="1" t="s">
        <v>486</v>
      </c>
      <c r="G4911" s="12">
        <v>2035428</v>
      </c>
      <c r="H4911">
        <f>IFERROR(VLOOKUP(F4911,'LEAID Match'!$A$2:$B$142,2,FALSE),"")</f>
        <v>2803000</v>
      </c>
    </row>
    <row r="4912" spans="1:8" x14ac:dyDescent="0.2">
      <c r="A4912">
        <f t="shared" si="76"/>
        <v>2803000</v>
      </c>
      <c r="B4912" s="1">
        <v>2017</v>
      </c>
      <c r="C4912" s="1" t="s">
        <v>2505</v>
      </c>
      <c r="D4912" s="1" t="s">
        <v>2506</v>
      </c>
      <c r="E4912" s="1" t="s">
        <v>2019</v>
      </c>
      <c r="F4912" s="1" t="s">
        <v>486</v>
      </c>
      <c r="G4912" s="47">
        <v>2077947</v>
      </c>
      <c r="H4912">
        <f>IFERROR(VLOOKUP(F4912,'LEAID Match'!$A$2:$B$142,2,FALSE),"")</f>
        <v>2803000</v>
      </c>
    </row>
    <row r="4913" spans="1:8" x14ac:dyDescent="0.2">
      <c r="A4913">
        <f t="shared" si="76"/>
        <v>2803000</v>
      </c>
      <c r="B4913" s="1">
        <v>2018</v>
      </c>
      <c r="C4913" s="1" t="s">
        <v>2505</v>
      </c>
      <c r="D4913" s="1" t="s">
        <v>2506</v>
      </c>
      <c r="E4913" s="1" t="s">
        <v>2019</v>
      </c>
      <c r="F4913" s="1" t="s">
        <v>486</v>
      </c>
      <c r="G4913" s="6">
        <v>2019884</v>
      </c>
      <c r="H4913">
        <f>IFERROR(VLOOKUP(F4913,'LEAID Match'!$A$2:$B$142,2,FALSE),"")</f>
        <v>2803000</v>
      </c>
    </row>
    <row r="4914" spans="1:8" x14ac:dyDescent="0.2">
      <c r="A4914">
        <f t="shared" si="76"/>
        <v>2803000</v>
      </c>
      <c r="B4914" s="1">
        <v>2019</v>
      </c>
      <c r="C4914" s="1" t="s">
        <v>2505</v>
      </c>
      <c r="D4914" s="1" t="s">
        <v>2506</v>
      </c>
      <c r="E4914" s="1" t="s">
        <v>2019</v>
      </c>
      <c r="F4914" s="1" t="s">
        <v>486</v>
      </c>
      <c r="G4914" s="6">
        <v>2125826</v>
      </c>
      <c r="H4914">
        <f>IFERROR(VLOOKUP(F4914,'LEAID Match'!$A$2:$B$142,2,FALSE),"")</f>
        <v>2803000</v>
      </c>
    </row>
    <row r="4915" spans="1:8" x14ac:dyDescent="0.2">
      <c r="A4915">
        <f t="shared" si="76"/>
        <v>2803000</v>
      </c>
      <c r="B4915" s="1">
        <v>2020</v>
      </c>
      <c r="C4915" s="1" t="s">
        <v>2505</v>
      </c>
      <c r="D4915" s="1" t="s">
        <v>2506</v>
      </c>
      <c r="E4915" s="1" t="s">
        <v>2019</v>
      </c>
      <c r="F4915" s="1" t="s">
        <v>486</v>
      </c>
      <c r="G4915" s="6">
        <v>2437113</v>
      </c>
      <c r="H4915">
        <f>IFERROR(VLOOKUP(F4915,'LEAID Match'!$A$2:$B$142,2,FALSE),"")</f>
        <v>2803000</v>
      </c>
    </row>
    <row r="4916" spans="1:8" x14ac:dyDescent="0.2">
      <c r="A4916">
        <f t="shared" si="76"/>
        <v>2803000</v>
      </c>
      <c r="B4916" s="1">
        <v>2021</v>
      </c>
      <c r="C4916" s="1" t="s">
        <v>2505</v>
      </c>
      <c r="D4916" s="1" t="s">
        <v>2506</v>
      </c>
      <c r="E4916" s="1" t="s">
        <v>2019</v>
      </c>
      <c r="F4916" s="1" t="s">
        <v>486</v>
      </c>
      <c r="G4916" s="6">
        <v>2444263</v>
      </c>
      <c r="H4916">
        <f>IFERROR(VLOOKUP(F4916,'LEAID Match'!$A$2:$B$142,2,FALSE),"")</f>
        <v>2803000</v>
      </c>
    </row>
    <row r="4917" spans="1:8" x14ac:dyDescent="0.2">
      <c r="A4917">
        <f t="shared" si="76"/>
        <v>2803000</v>
      </c>
      <c r="B4917" s="1">
        <v>2022</v>
      </c>
      <c r="C4917" s="1" t="s">
        <v>2505</v>
      </c>
      <c r="D4917" s="1" t="s">
        <v>2506</v>
      </c>
      <c r="E4917" s="1" t="s">
        <v>2019</v>
      </c>
      <c r="F4917" s="1" t="s">
        <v>486</v>
      </c>
      <c r="G4917" s="6">
        <v>2623695</v>
      </c>
      <c r="H4917">
        <f>IFERROR(VLOOKUP(F4917,'LEAID Match'!$A$2:$B$142,2,FALSE),"")</f>
        <v>2803000</v>
      </c>
    </row>
    <row r="4918" spans="1:8" x14ac:dyDescent="0.2">
      <c r="A4918">
        <f t="shared" si="76"/>
        <v>2803000</v>
      </c>
      <c r="B4918" s="1">
        <v>2023</v>
      </c>
      <c r="C4918" s="1" t="s">
        <v>2505</v>
      </c>
      <c r="D4918" s="1" t="s">
        <v>2506</v>
      </c>
      <c r="E4918" s="1" t="s">
        <v>2019</v>
      </c>
      <c r="F4918" s="1" t="s">
        <v>486</v>
      </c>
      <c r="G4918" s="6">
        <v>2661384</v>
      </c>
      <c r="H4918">
        <f>IFERROR(VLOOKUP(F4918,'LEAID Match'!$A$2:$B$142,2,FALSE),"")</f>
        <v>2803000</v>
      </c>
    </row>
    <row r="4919" spans="1:8" x14ac:dyDescent="0.2">
      <c r="A4919">
        <f t="shared" si="76"/>
        <v>2803000</v>
      </c>
      <c r="B4919" s="1">
        <v>2024</v>
      </c>
      <c r="C4919" s="1" t="s">
        <v>2505</v>
      </c>
      <c r="D4919" s="1" t="s">
        <v>2506</v>
      </c>
      <c r="E4919" s="1" t="s">
        <v>2019</v>
      </c>
      <c r="F4919" s="1" t="s">
        <v>486</v>
      </c>
      <c r="G4919" s="6">
        <v>2878458</v>
      </c>
      <c r="H4919">
        <f>IFERROR(VLOOKUP(F4919,'LEAID Match'!$A$2:$B$142,2,FALSE),"")</f>
        <v>2803000</v>
      </c>
    </row>
    <row r="4920" spans="1:8" x14ac:dyDescent="0.2">
      <c r="A4920" t="str">
        <f t="shared" si="76"/>
        <v/>
      </c>
      <c r="B4920" s="1">
        <v>2015</v>
      </c>
      <c r="C4920" s="1" t="s">
        <v>2505</v>
      </c>
      <c r="D4920" s="1" t="s">
        <v>2506</v>
      </c>
      <c r="E4920" s="1" t="s">
        <v>2019</v>
      </c>
      <c r="F4920" s="1" t="s">
        <v>487</v>
      </c>
      <c r="G4920" s="6">
        <v>27105</v>
      </c>
      <c r="H4920" t="str">
        <f>IFERROR(VLOOKUP(F4920,'LEAID Match'!$A$2:$B$142,2,FALSE),"")</f>
        <v/>
      </c>
    </row>
    <row r="4921" spans="1:8" x14ac:dyDescent="0.2">
      <c r="A4921" t="str">
        <f t="shared" si="76"/>
        <v/>
      </c>
      <c r="B4921">
        <v>2016</v>
      </c>
      <c r="C4921" s="1" t="s">
        <v>2505</v>
      </c>
      <c r="D4921" s="1" t="s">
        <v>2506</v>
      </c>
      <c r="E4921" s="1" t="s">
        <v>2019</v>
      </c>
      <c r="F4921" s="1" t="s">
        <v>487</v>
      </c>
      <c r="G4921" s="12">
        <v>27279</v>
      </c>
      <c r="H4921" t="str">
        <f>IFERROR(VLOOKUP(F4921,'LEAID Match'!$A$2:$B$142,2,FALSE),"")</f>
        <v/>
      </c>
    </row>
    <row r="4922" spans="1:8" x14ac:dyDescent="0.2">
      <c r="A4922" t="str">
        <f t="shared" si="76"/>
        <v/>
      </c>
      <c r="B4922" s="1">
        <v>2017</v>
      </c>
      <c r="C4922" s="1" t="s">
        <v>2505</v>
      </c>
      <c r="D4922" s="1" t="s">
        <v>2506</v>
      </c>
      <c r="E4922" s="1" t="s">
        <v>2019</v>
      </c>
      <c r="F4922" s="1" t="s">
        <v>487</v>
      </c>
      <c r="G4922" s="47">
        <v>27766</v>
      </c>
      <c r="H4922" t="str">
        <f>IFERROR(VLOOKUP(F4922,'LEAID Match'!$A$2:$B$142,2,FALSE),"")</f>
        <v/>
      </c>
    </row>
    <row r="4923" spans="1:8" x14ac:dyDescent="0.2">
      <c r="A4923" t="str">
        <f t="shared" si="76"/>
        <v/>
      </c>
      <c r="B4923" s="1">
        <v>2018</v>
      </c>
      <c r="C4923" s="1" t="s">
        <v>2505</v>
      </c>
      <c r="D4923" s="1" t="s">
        <v>2506</v>
      </c>
      <c r="E4923" s="1" t="s">
        <v>2019</v>
      </c>
      <c r="F4923" s="1" t="s">
        <v>487</v>
      </c>
      <c r="G4923" s="6">
        <v>29274</v>
      </c>
      <c r="H4923" t="str">
        <f>IFERROR(VLOOKUP(F4923,'LEAID Match'!$A$2:$B$142,2,FALSE),"")</f>
        <v/>
      </c>
    </row>
    <row r="4924" spans="1:8" x14ac:dyDescent="0.2">
      <c r="A4924" t="str">
        <f t="shared" si="76"/>
        <v/>
      </c>
      <c r="B4924" s="1">
        <v>2019</v>
      </c>
      <c r="C4924" s="1" t="s">
        <v>2505</v>
      </c>
      <c r="D4924" s="1" t="s">
        <v>2506</v>
      </c>
      <c r="E4924" s="1" t="s">
        <v>2019</v>
      </c>
      <c r="F4924" s="1" t="s">
        <v>487</v>
      </c>
      <c r="G4924" s="6">
        <v>31334</v>
      </c>
      <c r="H4924" t="str">
        <f>IFERROR(VLOOKUP(F4924,'LEAID Match'!$A$2:$B$142,2,FALSE),"")</f>
        <v/>
      </c>
    </row>
    <row r="4925" spans="1:8" x14ac:dyDescent="0.2">
      <c r="A4925" t="str">
        <f t="shared" si="76"/>
        <v/>
      </c>
      <c r="B4925" s="1">
        <v>2020</v>
      </c>
      <c r="C4925" s="1" t="s">
        <v>2505</v>
      </c>
      <c r="D4925" s="1" t="s">
        <v>2506</v>
      </c>
      <c r="E4925" s="1" t="s">
        <v>2019</v>
      </c>
      <c r="F4925" s="1" t="s">
        <v>487</v>
      </c>
      <c r="G4925" s="6">
        <v>31123</v>
      </c>
      <c r="H4925" t="str">
        <f>IFERROR(VLOOKUP(F4925,'LEAID Match'!$A$2:$B$142,2,FALSE),"")</f>
        <v/>
      </c>
    </row>
    <row r="4926" spans="1:8" x14ac:dyDescent="0.2">
      <c r="A4926" t="str">
        <f t="shared" si="76"/>
        <v/>
      </c>
      <c r="B4926" s="1">
        <v>2021</v>
      </c>
      <c r="C4926" s="1" t="s">
        <v>2505</v>
      </c>
      <c r="D4926" s="1" t="s">
        <v>2506</v>
      </c>
      <c r="E4926" s="1" t="s">
        <v>2019</v>
      </c>
      <c r="F4926" s="1" t="s">
        <v>487</v>
      </c>
      <c r="G4926" s="6">
        <v>30624</v>
      </c>
      <c r="H4926" t="str">
        <f>IFERROR(VLOOKUP(F4926,'LEAID Match'!$A$2:$B$142,2,FALSE),"")</f>
        <v/>
      </c>
    </row>
    <row r="4927" spans="1:8" x14ac:dyDescent="0.2">
      <c r="A4927" t="str">
        <f t="shared" si="76"/>
        <v/>
      </c>
      <c r="B4927" s="1">
        <v>2022</v>
      </c>
      <c r="C4927" s="1" t="s">
        <v>2505</v>
      </c>
      <c r="D4927" s="1" t="s">
        <v>2506</v>
      </c>
      <c r="E4927" s="1" t="s">
        <v>2019</v>
      </c>
      <c r="F4927" s="1" t="s">
        <v>487</v>
      </c>
      <c r="G4927" s="6">
        <v>30759</v>
      </c>
      <c r="H4927" t="str">
        <f>IFERROR(VLOOKUP(F4927,'LEAID Match'!$A$2:$B$142,2,FALSE),"")</f>
        <v/>
      </c>
    </row>
    <row r="4928" spans="1:8" x14ac:dyDescent="0.2">
      <c r="A4928" t="str">
        <f t="shared" si="76"/>
        <v/>
      </c>
      <c r="B4928" s="1">
        <v>2023</v>
      </c>
      <c r="C4928" s="1" t="s">
        <v>2505</v>
      </c>
      <c r="D4928" s="1" t="s">
        <v>2506</v>
      </c>
      <c r="E4928" s="1" t="s">
        <v>2019</v>
      </c>
      <c r="F4928" s="1" t="s">
        <v>487</v>
      </c>
      <c r="G4928" s="6">
        <v>31874</v>
      </c>
      <c r="H4928" t="str">
        <f>IFERROR(VLOOKUP(F4928,'LEAID Match'!$A$2:$B$142,2,FALSE),"")</f>
        <v/>
      </c>
    </row>
    <row r="4929" spans="1:8" x14ac:dyDescent="0.2">
      <c r="A4929" t="str">
        <f t="shared" si="76"/>
        <v/>
      </c>
      <c r="B4929" s="1">
        <v>2024</v>
      </c>
      <c r="C4929" s="1" t="s">
        <v>2505</v>
      </c>
      <c r="D4929" s="1" t="s">
        <v>2506</v>
      </c>
      <c r="E4929" s="1" t="s">
        <v>2019</v>
      </c>
      <c r="F4929" s="1" t="s">
        <v>487</v>
      </c>
      <c r="G4929" s="6">
        <v>31874</v>
      </c>
      <c r="H4929" t="str">
        <f>IFERROR(VLOOKUP(F4929,'LEAID Match'!$A$2:$B$142,2,FALSE),"")</f>
        <v/>
      </c>
    </row>
    <row r="4930" spans="1:8" x14ac:dyDescent="0.2">
      <c r="A4930" t="str">
        <f t="shared" si="76"/>
        <v/>
      </c>
      <c r="B4930" s="1">
        <v>2015</v>
      </c>
      <c r="C4930" s="1" t="s">
        <v>2505</v>
      </c>
      <c r="D4930" s="1" t="s">
        <v>2506</v>
      </c>
      <c r="E4930" s="1" t="s">
        <v>2019</v>
      </c>
      <c r="F4930" s="1" t="s">
        <v>488</v>
      </c>
      <c r="G4930" s="6">
        <v>13820</v>
      </c>
      <c r="H4930" t="str">
        <f>IFERROR(VLOOKUP(F4930,'LEAID Match'!$A$2:$B$142,2,FALSE),"")</f>
        <v/>
      </c>
    </row>
    <row r="4931" spans="1:8" x14ac:dyDescent="0.2">
      <c r="A4931" t="str">
        <f t="shared" ref="A4931:A4994" si="77">H4931</f>
        <v/>
      </c>
      <c r="B4931">
        <v>2016</v>
      </c>
      <c r="C4931" s="1" t="s">
        <v>2505</v>
      </c>
      <c r="D4931" s="1" t="s">
        <v>2506</v>
      </c>
      <c r="E4931" s="1" t="s">
        <v>2019</v>
      </c>
      <c r="F4931" s="1" t="s">
        <v>488</v>
      </c>
      <c r="G4931" s="12">
        <v>13989</v>
      </c>
      <c r="H4931" t="str">
        <f>IFERROR(VLOOKUP(F4931,'LEAID Match'!$A$2:$B$142,2,FALSE),"")</f>
        <v/>
      </c>
    </row>
    <row r="4932" spans="1:8" x14ac:dyDescent="0.2">
      <c r="A4932" t="str">
        <f t="shared" si="77"/>
        <v/>
      </c>
      <c r="B4932" s="1">
        <v>2017</v>
      </c>
      <c r="C4932" s="1" t="s">
        <v>2505</v>
      </c>
      <c r="D4932" s="1" t="s">
        <v>2506</v>
      </c>
      <c r="E4932" s="1" t="s">
        <v>2019</v>
      </c>
      <c r="F4932" s="1" t="s">
        <v>488</v>
      </c>
      <c r="G4932" s="47">
        <v>20256</v>
      </c>
      <c r="H4932" t="str">
        <f>IFERROR(VLOOKUP(F4932,'LEAID Match'!$A$2:$B$142,2,FALSE),"")</f>
        <v/>
      </c>
    </row>
    <row r="4933" spans="1:8" x14ac:dyDescent="0.2">
      <c r="A4933" t="str">
        <f t="shared" si="77"/>
        <v/>
      </c>
      <c r="B4933" s="1">
        <v>2018</v>
      </c>
      <c r="C4933" s="1" t="s">
        <v>2505</v>
      </c>
      <c r="D4933" s="1" t="s">
        <v>2506</v>
      </c>
      <c r="E4933" s="1" t="s">
        <v>2019</v>
      </c>
      <c r="F4933" s="1" t="s">
        <v>488</v>
      </c>
      <c r="G4933" s="6">
        <v>24721</v>
      </c>
      <c r="H4933" t="str">
        <f>IFERROR(VLOOKUP(F4933,'LEAID Match'!$A$2:$B$142,2,FALSE),"")</f>
        <v/>
      </c>
    </row>
    <row r="4934" spans="1:8" x14ac:dyDescent="0.2">
      <c r="A4934" t="str">
        <f t="shared" si="77"/>
        <v/>
      </c>
      <c r="B4934" s="1">
        <v>2019</v>
      </c>
      <c r="C4934" s="1" t="s">
        <v>2505</v>
      </c>
      <c r="D4934" s="1" t="s">
        <v>2506</v>
      </c>
      <c r="E4934" s="1" t="s">
        <v>2019</v>
      </c>
      <c r="F4934" s="1" t="s">
        <v>488</v>
      </c>
      <c r="G4934" s="6">
        <v>27727</v>
      </c>
      <c r="H4934" t="str">
        <f>IFERROR(VLOOKUP(F4934,'LEAID Match'!$A$2:$B$142,2,FALSE),"")</f>
        <v/>
      </c>
    </row>
    <row r="4935" spans="1:8" x14ac:dyDescent="0.2">
      <c r="A4935" t="str">
        <f t="shared" si="77"/>
        <v/>
      </c>
      <c r="B4935" s="1">
        <v>2020</v>
      </c>
      <c r="C4935" s="1" t="s">
        <v>2505</v>
      </c>
      <c r="D4935" s="1" t="s">
        <v>2506</v>
      </c>
      <c r="E4935" s="1" t="s">
        <v>2019</v>
      </c>
      <c r="F4935" s="1" t="s">
        <v>488</v>
      </c>
      <c r="G4935" s="6">
        <v>31544</v>
      </c>
      <c r="H4935" t="str">
        <f>IFERROR(VLOOKUP(F4935,'LEAID Match'!$A$2:$B$142,2,FALSE),"")</f>
        <v/>
      </c>
    </row>
    <row r="4936" spans="1:8" x14ac:dyDescent="0.2">
      <c r="A4936" t="str">
        <f t="shared" si="77"/>
        <v/>
      </c>
      <c r="B4936" s="1">
        <v>2021</v>
      </c>
      <c r="C4936" s="1" t="s">
        <v>2505</v>
      </c>
      <c r="D4936" s="1" t="s">
        <v>2506</v>
      </c>
      <c r="E4936" s="1" t="s">
        <v>2019</v>
      </c>
      <c r="F4936" s="1" t="s">
        <v>488</v>
      </c>
      <c r="G4936" s="6">
        <v>33101</v>
      </c>
      <c r="H4936" t="str">
        <f>IFERROR(VLOOKUP(F4936,'LEAID Match'!$A$2:$B$142,2,FALSE),"")</f>
        <v/>
      </c>
    </row>
    <row r="4937" spans="1:8" x14ac:dyDescent="0.2">
      <c r="A4937" t="str">
        <f t="shared" si="77"/>
        <v/>
      </c>
      <c r="B4937" s="1">
        <v>2022</v>
      </c>
      <c r="C4937" s="1" t="s">
        <v>2505</v>
      </c>
      <c r="D4937" s="1" t="s">
        <v>2506</v>
      </c>
      <c r="E4937" s="1" t="s">
        <v>2019</v>
      </c>
      <c r="F4937" s="1" t="s">
        <v>488</v>
      </c>
      <c r="G4937" s="6">
        <v>29495</v>
      </c>
      <c r="H4937" t="str">
        <f>IFERROR(VLOOKUP(F4937,'LEAID Match'!$A$2:$B$142,2,FALSE),"")</f>
        <v/>
      </c>
    </row>
    <row r="4938" spans="1:8" x14ac:dyDescent="0.2">
      <c r="A4938" t="str">
        <f t="shared" si="77"/>
        <v/>
      </c>
      <c r="B4938" s="1">
        <v>2023</v>
      </c>
      <c r="C4938" s="1" t="s">
        <v>2505</v>
      </c>
      <c r="D4938" s="1" t="s">
        <v>2506</v>
      </c>
      <c r="E4938" s="1" t="s">
        <v>2019</v>
      </c>
      <c r="F4938" s="1" t="s">
        <v>488</v>
      </c>
      <c r="G4938" s="6">
        <v>31641</v>
      </c>
      <c r="H4938" t="str">
        <f>IFERROR(VLOOKUP(F4938,'LEAID Match'!$A$2:$B$142,2,FALSE),"")</f>
        <v/>
      </c>
    </row>
    <row r="4939" spans="1:8" x14ac:dyDescent="0.2">
      <c r="A4939" t="str">
        <f t="shared" si="77"/>
        <v/>
      </c>
      <c r="B4939" s="1">
        <v>2024</v>
      </c>
      <c r="C4939" s="1" t="s">
        <v>2505</v>
      </c>
      <c r="D4939" s="1" t="s">
        <v>2506</v>
      </c>
      <c r="E4939" s="1" t="s">
        <v>2019</v>
      </c>
      <c r="F4939" s="1" t="s">
        <v>488</v>
      </c>
      <c r="G4939" s="6">
        <v>35684</v>
      </c>
      <c r="H4939" t="str">
        <f>IFERROR(VLOOKUP(F4939,'LEAID Match'!$A$2:$B$142,2,FALSE),"")</f>
        <v/>
      </c>
    </row>
    <row r="4940" spans="1:8" x14ac:dyDescent="0.2">
      <c r="A4940" t="str">
        <f t="shared" si="77"/>
        <v/>
      </c>
      <c r="B4940" s="1">
        <v>2015</v>
      </c>
      <c r="C4940" s="1" t="s">
        <v>2505</v>
      </c>
      <c r="D4940" s="1" t="s">
        <v>2506</v>
      </c>
      <c r="E4940" s="1" t="s">
        <v>2019</v>
      </c>
      <c r="F4940" s="1" t="s">
        <v>2304</v>
      </c>
      <c r="G4940" s="6">
        <v>471957</v>
      </c>
      <c r="H4940" t="str">
        <f>IFERROR(VLOOKUP(F4940,'LEAID Match'!$A$2:$B$142,2,FALSE),"")</f>
        <v/>
      </c>
    </row>
    <row r="4941" spans="1:8" x14ac:dyDescent="0.2">
      <c r="A4941" t="str">
        <f t="shared" si="77"/>
        <v/>
      </c>
      <c r="B4941" s="1">
        <v>2015</v>
      </c>
      <c r="C4941" s="1" t="s">
        <v>2505</v>
      </c>
      <c r="D4941" s="1" t="s">
        <v>2506</v>
      </c>
      <c r="E4941" s="1" t="s">
        <v>2019</v>
      </c>
      <c r="F4941" s="1" t="s">
        <v>2330</v>
      </c>
      <c r="G4941" s="6">
        <v>21040</v>
      </c>
      <c r="H4941" t="str">
        <f>IFERROR(VLOOKUP(F4941,'LEAID Match'!$A$2:$B$142,2,FALSE),"")</f>
        <v/>
      </c>
    </row>
    <row r="4942" spans="1:8" x14ac:dyDescent="0.2">
      <c r="A4942" t="str">
        <f t="shared" si="77"/>
        <v/>
      </c>
      <c r="B4942">
        <v>2016</v>
      </c>
      <c r="C4942" s="1" t="s">
        <v>2505</v>
      </c>
      <c r="D4942" s="1" t="s">
        <v>2506</v>
      </c>
      <c r="E4942" s="1" t="s">
        <v>2019</v>
      </c>
      <c r="F4942" s="1" t="s">
        <v>489</v>
      </c>
      <c r="G4942" s="12">
        <v>13868</v>
      </c>
      <c r="H4942" t="str">
        <f>IFERROR(VLOOKUP(F4942,'LEAID Match'!$A$2:$B$142,2,FALSE),"")</f>
        <v/>
      </c>
    </row>
    <row r="4943" spans="1:8" x14ac:dyDescent="0.2">
      <c r="A4943" t="str">
        <f t="shared" si="77"/>
        <v/>
      </c>
      <c r="B4943" s="1">
        <v>2017</v>
      </c>
      <c r="C4943" s="1" t="s">
        <v>2505</v>
      </c>
      <c r="D4943" s="1" t="s">
        <v>2506</v>
      </c>
      <c r="E4943" s="1" t="s">
        <v>2019</v>
      </c>
      <c r="F4943" s="1" t="s">
        <v>1043</v>
      </c>
      <c r="G4943" s="52">
        <v>11091</v>
      </c>
      <c r="H4943" t="str">
        <f>IFERROR(VLOOKUP(F4943,'LEAID Match'!$A$2:$B$142,2,FALSE),"")</f>
        <v/>
      </c>
    </row>
    <row r="4944" spans="1:8" x14ac:dyDescent="0.2">
      <c r="A4944" t="str">
        <f t="shared" si="77"/>
        <v/>
      </c>
      <c r="B4944" s="1">
        <v>2018</v>
      </c>
      <c r="C4944" s="1" t="s">
        <v>2505</v>
      </c>
      <c r="D4944" s="1" t="s">
        <v>2506</v>
      </c>
      <c r="E4944" s="1" t="s">
        <v>2019</v>
      </c>
      <c r="F4944" s="1" t="s">
        <v>1043</v>
      </c>
      <c r="G4944" s="6">
        <v>10613</v>
      </c>
      <c r="H4944" t="str">
        <f>IFERROR(VLOOKUP(F4944,'LEAID Match'!$A$2:$B$142,2,FALSE),"")</f>
        <v/>
      </c>
    </row>
    <row r="4945" spans="1:8" x14ac:dyDescent="0.2">
      <c r="A4945" t="str">
        <f t="shared" si="77"/>
        <v/>
      </c>
      <c r="B4945" s="1">
        <v>2019</v>
      </c>
      <c r="C4945" s="1" t="s">
        <v>2505</v>
      </c>
      <c r="D4945" s="1" t="s">
        <v>2506</v>
      </c>
      <c r="E4945" s="1" t="s">
        <v>2019</v>
      </c>
      <c r="F4945" s="1" t="s">
        <v>1043</v>
      </c>
      <c r="G4945" s="6">
        <v>10613</v>
      </c>
      <c r="H4945" t="str">
        <f>IFERROR(VLOOKUP(F4945,'LEAID Match'!$A$2:$B$142,2,FALSE),"")</f>
        <v/>
      </c>
    </row>
    <row r="4946" spans="1:8" x14ac:dyDescent="0.2">
      <c r="A4946" t="str">
        <f t="shared" si="77"/>
        <v/>
      </c>
      <c r="B4946" s="1">
        <v>2020</v>
      </c>
      <c r="C4946" s="1" t="s">
        <v>2505</v>
      </c>
      <c r="D4946" s="1" t="s">
        <v>2506</v>
      </c>
      <c r="E4946" s="1" t="s">
        <v>2019</v>
      </c>
      <c r="F4946" s="1" t="s">
        <v>489</v>
      </c>
      <c r="G4946" s="6">
        <v>12696</v>
      </c>
      <c r="H4946" t="str">
        <f>IFERROR(VLOOKUP(F4946,'LEAID Match'!$A$2:$B$142,2,FALSE),"")</f>
        <v/>
      </c>
    </row>
    <row r="4947" spans="1:8" x14ac:dyDescent="0.2">
      <c r="A4947" t="str">
        <f t="shared" si="77"/>
        <v/>
      </c>
      <c r="B4947" s="1">
        <v>2021</v>
      </c>
      <c r="C4947" s="1" t="s">
        <v>2505</v>
      </c>
      <c r="D4947" s="1" t="s">
        <v>2506</v>
      </c>
      <c r="E4947" s="1" t="s">
        <v>2019</v>
      </c>
      <c r="F4947" s="1" t="s">
        <v>489</v>
      </c>
      <c r="G4947" s="6">
        <v>12691</v>
      </c>
      <c r="H4947" t="str">
        <f>IFERROR(VLOOKUP(F4947,'LEAID Match'!$A$2:$B$142,2,FALSE),"")</f>
        <v/>
      </c>
    </row>
    <row r="4948" spans="1:8" x14ac:dyDescent="0.2">
      <c r="A4948" t="str">
        <f t="shared" si="77"/>
        <v/>
      </c>
      <c r="B4948" s="1">
        <v>2022</v>
      </c>
      <c r="C4948" s="1" t="s">
        <v>2505</v>
      </c>
      <c r="D4948" s="1" t="s">
        <v>2506</v>
      </c>
      <c r="E4948" s="1" t="s">
        <v>2019</v>
      </c>
      <c r="F4948" s="1" t="s">
        <v>489</v>
      </c>
      <c r="G4948" s="6">
        <v>12305</v>
      </c>
      <c r="H4948" t="str">
        <f>IFERROR(VLOOKUP(F4948,'LEAID Match'!$A$2:$B$142,2,FALSE),"")</f>
        <v/>
      </c>
    </row>
    <row r="4949" spans="1:8" x14ac:dyDescent="0.2">
      <c r="A4949" t="str">
        <f t="shared" si="77"/>
        <v/>
      </c>
      <c r="B4949" s="1">
        <v>2023</v>
      </c>
      <c r="C4949" s="1" t="s">
        <v>2505</v>
      </c>
      <c r="D4949" s="1" t="s">
        <v>2506</v>
      </c>
      <c r="E4949" s="1" t="s">
        <v>2019</v>
      </c>
      <c r="F4949" s="1" t="s">
        <v>489</v>
      </c>
      <c r="G4949" s="6">
        <v>14901</v>
      </c>
      <c r="H4949" t="str">
        <f>IFERROR(VLOOKUP(F4949,'LEAID Match'!$A$2:$B$142,2,FALSE),"")</f>
        <v/>
      </c>
    </row>
    <row r="4950" spans="1:8" x14ac:dyDescent="0.2">
      <c r="A4950" t="str">
        <f t="shared" si="77"/>
        <v/>
      </c>
      <c r="B4950" s="1">
        <v>2024</v>
      </c>
      <c r="C4950" s="1" t="s">
        <v>2505</v>
      </c>
      <c r="D4950" s="1" t="s">
        <v>2506</v>
      </c>
      <c r="E4950" s="1" t="s">
        <v>2019</v>
      </c>
      <c r="F4950" s="1" t="s">
        <v>489</v>
      </c>
      <c r="G4950" s="6">
        <v>12869</v>
      </c>
      <c r="H4950" t="str">
        <f>IFERROR(VLOOKUP(F4950,'LEAID Match'!$A$2:$B$142,2,FALSE),"")</f>
        <v/>
      </c>
    </row>
    <row r="4951" spans="1:8" x14ac:dyDescent="0.2">
      <c r="A4951" t="str">
        <f t="shared" si="77"/>
        <v/>
      </c>
      <c r="B4951" s="1">
        <v>2019</v>
      </c>
      <c r="C4951" s="1" t="s">
        <v>2505</v>
      </c>
      <c r="D4951" s="1" t="s">
        <v>2506</v>
      </c>
      <c r="E4951" s="1" t="s">
        <v>2019</v>
      </c>
      <c r="F4951" s="1" t="s">
        <v>490</v>
      </c>
      <c r="G4951" s="6">
        <v>2944</v>
      </c>
      <c r="H4951" t="str">
        <f>IFERROR(VLOOKUP(F4951,'LEAID Match'!$A$2:$B$142,2,FALSE),"")</f>
        <v/>
      </c>
    </row>
    <row r="4952" spans="1:8" x14ac:dyDescent="0.2">
      <c r="A4952" t="str">
        <f t="shared" si="77"/>
        <v/>
      </c>
      <c r="B4952" s="1">
        <v>2020</v>
      </c>
      <c r="C4952" s="1" t="s">
        <v>2505</v>
      </c>
      <c r="D4952" s="1" t="s">
        <v>2506</v>
      </c>
      <c r="E4952" s="1" t="s">
        <v>2019</v>
      </c>
      <c r="F4952" s="1" t="s">
        <v>490</v>
      </c>
      <c r="G4952" s="6">
        <v>1883</v>
      </c>
      <c r="H4952" t="str">
        <f>IFERROR(VLOOKUP(F4952,'LEAID Match'!$A$2:$B$142,2,FALSE),"")</f>
        <v/>
      </c>
    </row>
    <row r="4953" spans="1:8" x14ac:dyDescent="0.2">
      <c r="A4953" t="str">
        <f t="shared" si="77"/>
        <v/>
      </c>
      <c r="B4953" s="1">
        <v>2022</v>
      </c>
      <c r="C4953" s="1" t="s">
        <v>2505</v>
      </c>
      <c r="D4953" s="1" t="s">
        <v>2506</v>
      </c>
      <c r="E4953" s="1" t="s">
        <v>2019</v>
      </c>
      <c r="F4953" s="1" t="s">
        <v>490</v>
      </c>
      <c r="G4953" s="6">
        <v>10440</v>
      </c>
      <c r="H4953" t="str">
        <f>IFERROR(VLOOKUP(F4953,'LEAID Match'!$A$2:$B$142,2,FALSE),"")</f>
        <v/>
      </c>
    </row>
    <row r="4954" spans="1:8" x14ac:dyDescent="0.2">
      <c r="A4954" t="str">
        <f t="shared" si="77"/>
        <v/>
      </c>
      <c r="B4954" s="1">
        <v>2023</v>
      </c>
      <c r="C4954" s="1" t="s">
        <v>2505</v>
      </c>
      <c r="D4954" s="1" t="s">
        <v>2506</v>
      </c>
      <c r="E4954" s="1" t="s">
        <v>2019</v>
      </c>
      <c r="F4954" s="1" t="s">
        <v>490</v>
      </c>
      <c r="G4954" s="6">
        <v>10440</v>
      </c>
      <c r="H4954" t="str">
        <f>IFERROR(VLOOKUP(F4954,'LEAID Match'!$A$2:$B$142,2,FALSE),"")</f>
        <v/>
      </c>
    </row>
    <row r="4955" spans="1:8" x14ac:dyDescent="0.2">
      <c r="A4955" t="str">
        <f t="shared" si="77"/>
        <v/>
      </c>
      <c r="B4955" s="1">
        <v>2024</v>
      </c>
      <c r="C4955" s="1" t="s">
        <v>2505</v>
      </c>
      <c r="D4955" s="1" t="s">
        <v>2506</v>
      </c>
      <c r="E4955" s="1" t="s">
        <v>2019</v>
      </c>
      <c r="F4955" s="1" t="s">
        <v>490</v>
      </c>
      <c r="G4955" s="6">
        <v>10440</v>
      </c>
      <c r="H4955" t="str">
        <f>IFERROR(VLOOKUP(F4955,'LEAID Match'!$A$2:$B$142,2,FALSE),"")</f>
        <v/>
      </c>
    </row>
    <row r="4956" spans="1:8" x14ac:dyDescent="0.2">
      <c r="A4956" t="str">
        <f t="shared" si="77"/>
        <v/>
      </c>
      <c r="B4956">
        <v>2016</v>
      </c>
      <c r="C4956" s="1" t="s">
        <v>2505</v>
      </c>
      <c r="D4956" s="1" t="s">
        <v>2506</v>
      </c>
      <c r="E4956" s="1" t="s">
        <v>2019</v>
      </c>
      <c r="F4956" s="1" t="s">
        <v>1044</v>
      </c>
      <c r="G4956" s="12">
        <v>186943</v>
      </c>
      <c r="H4956" t="str">
        <f>IFERROR(VLOOKUP(F4956,'LEAID Match'!$A$2:$B$142,2,FALSE),"")</f>
        <v/>
      </c>
    </row>
    <row r="4957" spans="1:8" x14ac:dyDescent="0.2">
      <c r="A4957" t="str">
        <f t="shared" si="77"/>
        <v/>
      </c>
      <c r="B4957" s="1">
        <v>2017</v>
      </c>
      <c r="C4957" s="1" t="s">
        <v>2505</v>
      </c>
      <c r="D4957" s="1" t="s">
        <v>2506</v>
      </c>
      <c r="E4957" s="1" t="s">
        <v>2019</v>
      </c>
      <c r="F4957" s="1" t="s">
        <v>1044</v>
      </c>
      <c r="G4957" s="50">
        <v>196170</v>
      </c>
      <c r="H4957" t="str">
        <f>IFERROR(VLOOKUP(F4957,'LEAID Match'!$A$2:$B$142,2,FALSE),"")</f>
        <v/>
      </c>
    </row>
    <row r="4958" spans="1:8" x14ac:dyDescent="0.2">
      <c r="A4958" t="str">
        <f t="shared" si="77"/>
        <v/>
      </c>
      <c r="B4958" s="1">
        <v>2018</v>
      </c>
      <c r="C4958" s="1" t="s">
        <v>2505</v>
      </c>
      <c r="D4958" s="1" t="s">
        <v>2506</v>
      </c>
      <c r="E4958" s="1" t="s">
        <v>2019</v>
      </c>
      <c r="F4958" s="1" t="s">
        <v>1044</v>
      </c>
      <c r="G4958" s="6">
        <v>203507</v>
      </c>
      <c r="H4958" t="str">
        <f>IFERROR(VLOOKUP(F4958,'LEAID Match'!$A$2:$B$142,2,FALSE),"")</f>
        <v/>
      </c>
    </row>
    <row r="4959" spans="1:8" x14ac:dyDescent="0.2">
      <c r="A4959" t="str">
        <f t="shared" si="77"/>
        <v/>
      </c>
      <c r="B4959" s="1">
        <v>2019</v>
      </c>
      <c r="C4959" s="1" t="s">
        <v>2505</v>
      </c>
      <c r="D4959" s="1" t="s">
        <v>2506</v>
      </c>
      <c r="E4959" s="1" t="s">
        <v>2019</v>
      </c>
      <c r="F4959" s="1" t="s">
        <v>1044</v>
      </c>
      <c r="G4959" s="6">
        <v>197097</v>
      </c>
      <c r="H4959" t="str">
        <f>IFERROR(VLOOKUP(F4959,'LEAID Match'!$A$2:$B$142,2,FALSE),"")</f>
        <v/>
      </c>
    </row>
    <row r="4960" spans="1:8" x14ac:dyDescent="0.2">
      <c r="A4960" t="str">
        <f t="shared" si="77"/>
        <v/>
      </c>
      <c r="B4960" s="1">
        <v>2020</v>
      </c>
      <c r="C4960" s="1" t="s">
        <v>2505</v>
      </c>
      <c r="D4960" s="1" t="s">
        <v>2506</v>
      </c>
      <c r="E4960" s="1" t="s">
        <v>2019</v>
      </c>
      <c r="F4960" s="1" t="s">
        <v>491</v>
      </c>
      <c r="G4960" s="6">
        <v>262226</v>
      </c>
      <c r="H4960" t="str">
        <f>IFERROR(VLOOKUP(F4960,'LEAID Match'!$A$2:$B$142,2,FALSE),"")</f>
        <v/>
      </c>
    </row>
    <row r="4961" spans="1:8" x14ac:dyDescent="0.2">
      <c r="A4961" t="str">
        <f t="shared" si="77"/>
        <v/>
      </c>
      <c r="B4961" s="1">
        <v>2021</v>
      </c>
      <c r="C4961" s="1" t="s">
        <v>2505</v>
      </c>
      <c r="D4961" s="1" t="s">
        <v>2506</v>
      </c>
      <c r="E4961" s="1" t="s">
        <v>2019</v>
      </c>
      <c r="F4961" s="1" t="s">
        <v>491</v>
      </c>
      <c r="G4961" s="6">
        <v>278865</v>
      </c>
      <c r="H4961" t="str">
        <f>IFERROR(VLOOKUP(F4961,'LEAID Match'!$A$2:$B$142,2,FALSE),"")</f>
        <v/>
      </c>
    </row>
    <row r="4962" spans="1:8" x14ac:dyDescent="0.2">
      <c r="A4962" t="str">
        <f t="shared" si="77"/>
        <v/>
      </c>
      <c r="B4962" s="1">
        <v>2022</v>
      </c>
      <c r="C4962" s="1" t="s">
        <v>2505</v>
      </c>
      <c r="D4962" s="1" t="s">
        <v>2506</v>
      </c>
      <c r="E4962" s="1" t="s">
        <v>2019</v>
      </c>
      <c r="F4962" s="1" t="s">
        <v>491</v>
      </c>
      <c r="G4962" s="6">
        <v>271119</v>
      </c>
      <c r="H4962" t="str">
        <f>IFERROR(VLOOKUP(F4962,'LEAID Match'!$A$2:$B$142,2,FALSE),"")</f>
        <v/>
      </c>
    </row>
    <row r="4963" spans="1:8" x14ac:dyDescent="0.2">
      <c r="A4963" t="str">
        <f t="shared" si="77"/>
        <v/>
      </c>
      <c r="B4963" s="1">
        <v>2023</v>
      </c>
      <c r="C4963" s="1" t="s">
        <v>2505</v>
      </c>
      <c r="D4963" s="1" t="s">
        <v>2506</v>
      </c>
      <c r="E4963" s="1" t="s">
        <v>2019</v>
      </c>
      <c r="F4963" s="1" t="s">
        <v>491</v>
      </c>
      <c r="G4963" s="6">
        <v>287520</v>
      </c>
      <c r="H4963" t="str">
        <f>IFERROR(VLOOKUP(F4963,'LEAID Match'!$A$2:$B$142,2,FALSE),"")</f>
        <v/>
      </c>
    </row>
    <row r="4964" spans="1:8" x14ac:dyDescent="0.2">
      <c r="A4964" t="str">
        <f t="shared" si="77"/>
        <v/>
      </c>
      <c r="B4964" s="1">
        <v>2024</v>
      </c>
      <c r="C4964" s="1" t="s">
        <v>2505</v>
      </c>
      <c r="D4964" s="1" t="s">
        <v>2506</v>
      </c>
      <c r="E4964" s="1" t="s">
        <v>2019</v>
      </c>
      <c r="F4964" s="1" t="s">
        <v>491</v>
      </c>
      <c r="G4964" s="6">
        <v>253901</v>
      </c>
      <c r="H4964" t="str">
        <f>IFERROR(VLOOKUP(F4964,'LEAID Match'!$A$2:$B$142,2,FALSE),"")</f>
        <v/>
      </c>
    </row>
    <row r="4965" spans="1:8" x14ac:dyDescent="0.2">
      <c r="A4965" t="str">
        <f t="shared" si="77"/>
        <v/>
      </c>
      <c r="B4965">
        <v>2016</v>
      </c>
      <c r="C4965" s="1" t="s">
        <v>2505</v>
      </c>
      <c r="D4965" s="1" t="s">
        <v>2506</v>
      </c>
      <c r="E4965" s="1" t="s">
        <v>2019</v>
      </c>
      <c r="F4965" s="1" t="s">
        <v>1045</v>
      </c>
      <c r="G4965" s="12">
        <v>71427</v>
      </c>
      <c r="H4965" t="str">
        <f>IFERROR(VLOOKUP(F4965,'LEAID Match'!$A$2:$B$142,2,FALSE),"")</f>
        <v/>
      </c>
    </row>
    <row r="4966" spans="1:8" x14ac:dyDescent="0.2">
      <c r="A4966" t="str">
        <f t="shared" si="77"/>
        <v/>
      </c>
      <c r="B4966" s="1">
        <v>2017</v>
      </c>
      <c r="C4966" s="1" t="s">
        <v>2505</v>
      </c>
      <c r="D4966" s="1" t="s">
        <v>2506</v>
      </c>
      <c r="E4966" s="1" t="s">
        <v>2019</v>
      </c>
      <c r="F4966" s="1" t="s">
        <v>1045</v>
      </c>
      <c r="G4966" s="50">
        <v>77147</v>
      </c>
      <c r="H4966" t="str">
        <f>IFERROR(VLOOKUP(F4966,'LEAID Match'!$A$2:$B$142,2,FALSE),"")</f>
        <v/>
      </c>
    </row>
    <row r="4967" spans="1:8" x14ac:dyDescent="0.2">
      <c r="A4967" t="str">
        <f t="shared" si="77"/>
        <v/>
      </c>
      <c r="B4967" s="1">
        <v>2018</v>
      </c>
      <c r="C4967" s="1" t="s">
        <v>2505</v>
      </c>
      <c r="D4967" s="1" t="s">
        <v>2506</v>
      </c>
      <c r="E4967" s="1" t="s">
        <v>2019</v>
      </c>
      <c r="F4967" s="1" t="s">
        <v>1045</v>
      </c>
      <c r="G4967" s="6">
        <v>75988</v>
      </c>
      <c r="H4967" t="str">
        <f>IFERROR(VLOOKUP(F4967,'LEAID Match'!$A$2:$B$142,2,FALSE),"")</f>
        <v/>
      </c>
    </row>
    <row r="4968" spans="1:8" x14ac:dyDescent="0.2">
      <c r="A4968" t="str">
        <f t="shared" si="77"/>
        <v/>
      </c>
      <c r="B4968" s="1">
        <v>2019</v>
      </c>
      <c r="C4968" s="1" t="s">
        <v>2505</v>
      </c>
      <c r="D4968" s="1" t="s">
        <v>2506</v>
      </c>
      <c r="E4968" s="1" t="s">
        <v>2019</v>
      </c>
      <c r="F4968" s="1" t="s">
        <v>1045</v>
      </c>
      <c r="G4968" s="6">
        <v>75764</v>
      </c>
      <c r="H4968" t="str">
        <f>IFERROR(VLOOKUP(F4968,'LEAID Match'!$A$2:$B$142,2,FALSE),"")</f>
        <v/>
      </c>
    </row>
    <row r="4969" spans="1:8" x14ac:dyDescent="0.2">
      <c r="A4969" t="str">
        <f t="shared" si="77"/>
        <v/>
      </c>
      <c r="B4969" s="1">
        <v>2020</v>
      </c>
      <c r="C4969" s="1" t="s">
        <v>2505</v>
      </c>
      <c r="D4969" s="1" t="s">
        <v>2506</v>
      </c>
      <c r="E4969" s="1" t="s">
        <v>2019</v>
      </c>
      <c r="F4969" s="1" t="s">
        <v>492</v>
      </c>
      <c r="G4969" s="6">
        <v>86134</v>
      </c>
      <c r="H4969" t="str">
        <f>IFERROR(VLOOKUP(F4969,'LEAID Match'!$A$2:$B$142,2,FALSE),"")</f>
        <v/>
      </c>
    </row>
    <row r="4970" spans="1:8" x14ac:dyDescent="0.2">
      <c r="A4970" t="str">
        <f t="shared" si="77"/>
        <v/>
      </c>
      <c r="B4970" s="1">
        <v>2021</v>
      </c>
      <c r="C4970" s="1" t="s">
        <v>2505</v>
      </c>
      <c r="D4970" s="1" t="s">
        <v>2506</v>
      </c>
      <c r="E4970" s="1" t="s">
        <v>2019</v>
      </c>
      <c r="F4970" s="1" t="s">
        <v>492</v>
      </c>
      <c r="G4970" s="6">
        <v>86134</v>
      </c>
      <c r="H4970" t="str">
        <f>IFERROR(VLOOKUP(F4970,'LEAID Match'!$A$2:$B$142,2,FALSE),"")</f>
        <v/>
      </c>
    </row>
    <row r="4971" spans="1:8" x14ac:dyDescent="0.2">
      <c r="A4971" t="str">
        <f t="shared" si="77"/>
        <v/>
      </c>
      <c r="B4971" s="1">
        <v>2022</v>
      </c>
      <c r="C4971" s="1" t="s">
        <v>2505</v>
      </c>
      <c r="D4971" s="1" t="s">
        <v>2506</v>
      </c>
      <c r="E4971" s="1" t="s">
        <v>2019</v>
      </c>
      <c r="F4971" s="1" t="s">
        <v>492</v>
      </c>
      <c r="G4971" s="6">
        <v>89736</v>
      </c>
      <c r="H4971" t="str">
        <f>IFERROR(VLOOKUP(F4971,'LEAID Match'!$A$2:$B$142,2,FALSE),"")</f>
        <v/>
      </c>
    </row>
    <row r="4972" spans="1:8" x14ac:dyDescent="0.2">
      <c r="A4972" t="str">
        <f t="shared" si="77"/>
        <v/>
      </c>
      <c r="B4972" s="1">
        <v>2023</v>
      </c>
      <c r="C4972" s="1" t="s">
        <v>2505</v>
      </c>
      <c r="D4972" s="1" t="s">
        <v>2506</v>
      </c>
      <c r="E4972" s="1" t="s">
        <v>2019</v>
      </c>
      <c r="F4972" s="1" t="s">
        <v>492</v>
      </c>
      <c r="G4972" s="6">
        <v>55264</v>
      </c>
      <c r="H4972" t="str">
        <f>IFERROR(VLOOKUP(F4972,'LEAID Match'!$A$2:$B$142,2,FALSE),"")</f>
        <v/>
      </c>
    </row>
    <row r="4973" spans="1:8" x14ac:dyDescent="0.2">
      <c r="A4973" t="str">
        <f t="shared" si="77"/>
        <v/>
      </c>
      <c r="B4973" s="1">
        <v>2024</v>
      </c>
      <c r="C4973" s="1" t="s">
        <v>2505</v>
      </c>
      <c r="D4973" s="1" t="s">
        <v>2506</v>
      </c>
      <c r="E4973" s="1" t="s">
        <v>2019</v>
      </c>
      <c r="F4973" s="1" t="s">
        <v>492</v>
      </c>
      <c r="G4973" s="6">
        <v>58744</v>
      </c>
      <c r="H4973" t="str">
        <f>IFERROR(VLOOKUP(F4973,'LEAID Match'!$A$2:$B$142,2,FALSE),"")</f>
        <v/>
      </c>
    </row>
    <row r="4974" spans="1:8" x14ac:dyDescent="0.2">
      <c r="A4974" t="str">
        <f t="shared" si="77"/>
        <v/>
      </c>
      <c r="B4974">
        <v>2016</v>
      </c>
      <c r="C4974" s="1" t="s">
        <v>2505</v>
      </c>
      <c r="D4974" s="1" t="s">
        <v>2506</v>
      </c>
      <c r="E4974" s="1" t="s">
        <v>2019</v>
      </c>
      <c r="F4974" s="1" t="s">
        <v>1046</v>
      </c>
      <c r="G4974" s="12">
        <v>95239</v>
      </c>
      <c r="H4974" t="str">
        <f>IFERROR(VLOOKUP(F4974,'LEAID Match'!$A$2:$B$142,2,FALSE),"")</f>
        <v/>
      </c>
    </row>
    <row r="4975" spans="1:8" x14ac:dyDescent="0.2">
      <c r="A4975" t="str">
        <f t="shared" si="77"/>
        <v/>
      </c>
      <c r="B4975" s="1">
        <v>2017</v>
      </c>
      <c r="C4975" s="1" t="s">
        <v>2505</v>
      </c>
      <c r="D4975" s="1" t="s">
        <v>2506</v>
      </c>
      <c r="E4975" s="1" t="s">
        <v>2019</v>
      </c>
      <c r="F4975" s="1" t="s">
        <v>1046</v>
      </c>
      <c r="G4975" s="50">
        <v>109372</v>
      </c>
      <c r="H4975" t="str">
        <f>IFERROR(VLOOKUP(F4975,'LEAID Match'!$A$2:$B$142,2,FALSE),"")</f>
        <v/>
      </c>
    </row>
    <row r="4976" spans="1:8" x14ac:dyDescent="0.2">
      <c r="A4976" t="str">
        <f t="shared" si="77"/>
        <v/>
      </c>
      <c r="B4976" s="1">
        <v>2018</v>
      </c>
      <c r="C4976" s="1" t="s">
        <v>2505</v>
      </c>
      <c r="D4976" s="1" t="s">
        <v>2506</v>
      </c>
      <c r="E4976" s="1" t="s">
        <v>2019</v>
      </c>
      <c r="F4976" s="1" t="s">
        <v>1046</v>
      </c>
      <c r="G4976" s="6">
        <v>116951</v>
      </c>
      <c r="H4976" t="str">
        <f>IFERROR(VLOOKUP(F4976,'LEAID Match'!$A$2:$B$142,2,FALSE),"")</f>
        <v/>
      </c>
    </row>
    <row r="4977" spans="1:8" x14ac:dyDescent="0.2">
      <c r="A4977" t="str">
        <f t="shared" si="77"/>
        <v/>
      </c>
      <c r="B4977" s="1">
        <v>2019</v>
      </c>
      <c r="C4977" s="1" t="s">
        <v>2505</v>
      </c>
      <c r="D4977" s="1" t="s">
        <v>2506</v>
      </c>
      <c r="E4977" s="1" t="s">
        <v>2019</v>
      </c>
      <c r="F4977" s="1" t="s">
        <v>1046</v>
      </c>
      <c r="G4977" s="6">
        <v>123949</v>
      </c>
      <c r="H4977" t="str">
        <f>IFERROR(VLOOKUP(F4977,'LEAID Match'!$A$2:$B$142,2,FALSE),"")</f>
        <v/>
      </c>
    </row>
    <row r="4978" spans="1:8" x14ac:dyDescent="0.2">
      <c r="A4978" t="str">
        <f t="shared" si="77"/>
        <v/>
      </c>
      <c r="B4978" s="1">
        <v>2020</v>
      </c>
      <c r="C4978" s="1" t="s">
        <v>2505</v>
      </c>
      <c r="D4978" s="1" t="s">
        <v>2506</v>
      </c>
      <c r="E4978" s="1" t="s">
        <v>2019</v>
      </c>
      <c r="F4978" s="1" t="s">
        <v>493</v>
      </c>
      <c r="G4978" s="6">
        <v>129005</v>
      </c>
      <c r="H4978" t="str">
        <f>IFERROR(VLOOKUP(F4978,'LEAID Match'!$A$2:$B$142,2,FALSE),"")</f>
        <v/>
      </c>
    </row>
    <row r="4979" spans="1:8" x14ac:dyDescent="0.2">
      <c r="A4979" t="str">
        <f t="shared" si="77"/>
        <v/>
      </c>
      <c r="B4979" s="1">
        <v>2021</v>
      </c>
      <c r="C4979" s="1" t="s">
        <v>2505</v>
      </c>
      <c r="D4979" s="1" t="s">
        <v>2506</v>
      </c>
      <c r="E4979" s="1" t="s">
        <v>2019</v>
      </c>
      <c r="F4979" s="1" t="s">
        <v>493</v>
      </c>
      <c r="G4979" s="6">
        <v>127070</v>
      </c>
      <c r="H4979" t="str">
        <f>IFERROR(VLOOKUP(F4979,'LEAID Match'!$A$2:$B$142,2,FALSE),"")</f>
        <v/>
      </c>
    </row>
    <row r="4980" spans="1:8" x14ac:dyDescent="0.2">
      <c r="A4980" t="str">
        <f t="shared" si="77"/>
        <v/>
      </c>
      <c r="B4980" s="1">
        <v>2022</v>
      </c>
      <c r="C4980" s="1" t="s">
        <v>2505</v>
      </c>
      <c r="D4980" s="1" t="s">
        <v>2506</v>
      </c>
      <c r="E4980" s="1" t="s">
        <v>2019</v>
      </c>
      <c r="F4980" s="1" t="s">
        <v>493</v>
      </c>
      <c r="G4980" s="6">
        <v>130124</v>
      </c>
      <c r="H4980" t="str">
        <f>IFERROR(VLOOKUP(F4980,'LEAID Match'!$A$2:$B$142,2,FALSE),"")</f>
        <v/>
      </c>
    </row>
    <row r="4981" spans="1:8" x14ac:dyDescent="0.2">
      <c r="A4981" t="str">
        <f t="shared" si="77"/>
        <v/>
      </c>
      <c r="B4981" s="1">
        <v>2023</v>
      </c>
      <c r="C4981" s="1" t="s">
        <v>2505</v>
      </c>
      <c r="D4981" s="1" t="s">
        <v>2506</v>
      </c>
      <c r="E4981" s="1" t="s">
        <v>2019</v>
      </c>
      <c r="F4981" s="1" t="s">
        <v>493</v>
      </c>
      <c r="G4981" s="6">
        <v>142026</v>
      </c>
      <c r="H4981" t="str">
        <f>IFERROR(VLOOKUP(F4981,'LEAID Match'!$A$2:$B$142,2,FALSE),"")</f>
        <v/>
      </c>
    </row>
    <row r="4982" spans="1:8" x14ac:dyDescent="0.2">
      <c r="A4982" t="str">
        <f t="shared" si="77"/>
        <v/>
      </c>
      <c r="B4982" s="1">
        <v>2024</v>
      </c>
      <c r="C4982" s="1" t="s">
        <v>2505</v>
      </c>
      <c r="D4982" s="1" t="s">
        <v>2506</v>
      </c>
      <c r="E4982" s="1" t="s">
        <v>2019</v>
      </c>
      <c r="F4982" s="1" t="s">
        <v>493</v>
      </c>
      <c r="G4982" s="6">
        <v>142404</v>
      </c>
      <c r="H4982" t="str">
        <f>IFERROR(VLOOKUP(F4982,'LEAID Match'!$A$2:$B$142,2,FALSE),"")</f>
        <v/>
      </c>
    </row>
    <row r="4983" spans="1:8" x14ac:dyDescent="0.2">
      <c r="A4983" t="str">
        <f t="shared" si="77"/>
        <v/>
      </c>
      <c r="B4983">
        <v>2016</v>
      </c>
      <c r="C4983" s="1" t="s">
        <v>2505</v>
      </c>
      <c r="D4983" s="1" t="s">
        <v>2506</v>
      </c>
      <c r="E4983" s="1" t="s">
        <v>2019</v>
      </c>
      <c r="F4983" s="1" t="s">
        <v>494</v>
      </c>
      <c r="G4983" s="12">
        <v>15356</v>
      </c>
      <c r="H4983" t="str">
        <f>IFERROR(VLOOKUP(F4983,'LEAID Match'!$A$2:$B$142,2,FALSE),"")</f>
        <v/>
      </c>
    </row>
    <row r="4984" spans="1:8" x14ac:dyDescent="0.2">
      <c r="A4984" t="str">
        <f t="shared" si="77"/>
        <v/>
      </c>
      <c r="B4984" s="1">
        <v>2017</v>
      </c>
      <c r="C4984" s="1" t="s">
        <v>2505</v>
      </c>
      <c r="D4984" s="1" t="s">
        <v>2506</v>
      </c>
      <c r="E4984" s="1" t="s">
        <v>2019</v>
      </c>
      <c r="F4984" s="1" t="s">
        <v>494</v>
      </c>
      <c r="G4984" s="50">
        <v>16144</v>
      </c>
      <c r="H4984" t="str">
        <f>IFERROR(VLOOKUP(F4984,'LEAID Match'!$A$2:$B$142,2,FALSE),"")</f>
        <v/>
      </c>
    </row>
    <row r="4985" spans="1:8" x14ac:dyDescent="0.2">
      <c r="A4985" t="str">
        <f t="shared" si="77"/>
        <v/>
      </c>
      <c r="B4985" s="1">
        <v>2018</v>
      </c>
      <c r="C4985" s="1" t="s">
        <v>2505</v>
      </c>
      <c r="D4985" s="1" t="s">
        <v>2506</v>
      </c>
      <c r="E4985" s="1" t="s">
        <v>2019</v>
      </c>
      <c r="F4985" s="1" t="s">
        <v>494</v>
      </c>
      <c r="G4985" s="6">
        <v>27093</v>
      </c>
      <c r="H4985" t="str">
        <f>IFERROR(VLOOKUP(F4985,'LEAID Match'!$A$2:$B$142,2,FALSE),"")</f>
        <v/>
      </c>
    </row>
    <row r="4986" spans="1:8" x14ac:dyDescent="0.2">
      <c r="A4986" t="str">
        <f t="shared" si="77"/>
        <v/>
      </c>
      <c r="B4986" s="1">
        <v>2019</v>
      </c>
      <c r="C4986" s="1" t="s">
        <v>2505</v>
      </c>
      <c r="D4986" s="1" t="s">
        <v>2506</v>
      </c>
      <c r="E4986" s="1" t="s">
        <v>2019</v>
      </c>
      <c r="F4986" s="1" t="s">
        <v>494</v>
      </c>
      <c r="G4986" s="6">
        <v>12496</v>
      </c>
      <c r="H4986" t="str">
        <f>IFERROR(VLOOKUP(F4986,'LEAID Match'!$A$2:$B$142,2,FALSE),"")</f>
        <v/>
      </c>
    </row>
    <row r="4987" spans="1:8" x14ac:dyDescent="0.2">
      <c r="A4987" t="str">
        <f t="shared" si="77"/>
        <v/>
      </c>
      <c r="B4987" s="1">
        <v>2020</v>
      </c>
      <c r="C4987" s="1" t="s">
        <v>2505</v>
      </c>
      <c r="D4987" s="1" t="s">
        <v>2506</v>
      </c>
      <c r="E4987" s="1" t="s">
        <v>2019</v>
      </c>
      <c r="F4987" s="1" t="s">
        <v>494</v>
      </c>
      <c r="G4987" s="6">
        <v>39276</v>
      </c>
      <c r="H4987" t="str">
        <f>IFERROR(VLOOKUP(F4987,'LEAID Match'!$A$2:$B$142,2,FALSE),"")</f>
        <v/>
      </c>
    </row>
    <row r="4988" spans="1:8" x14ac:dyDescent="0.2">
      <c r="A4988" t="str">
        <f t="shared" si="77"/>
        <v/>
      </c>
      <c r="B4988" s="1">
        <v>2021</v>
      </c>
      <c r="C4988" s="1" t="s">
        <v>2505</v>
      </c>
      <c r="D4988" s="1" t="s">
        <v>2506</v>
      </c>
      <c r="E4988" s="1" t="s">
        <v>2019</v>
      </c>
      <c r="F4988" s="1" t="s">
        <v>494</v>
      </c>
      <c r="G4988" s="6">
        <v>36517</v>
      </c>
      <c r="H4988" t="str">
        <f>IFERROR(VLOOKUP(F4988,'LEAID Match'!$A$2:$B$142,2,FALSE),"")</f>
        <v/>
      </c>
    </row>
    <row r="4989" spans="1:8" x14ac:dyDescent="0.2">
      <c r="A4989" t="str">
        <f t="shared" si="77"/>
        <v/>
      </c>
      <c r="B4989" s="1">
        <v>2022</v>
      </c>
      <c r="C4989" s="1" t="s">
        <v>2505</v>
      </c>
      <c r="D4989" s="1" t="s">
        <v>2506</v>
      </c>
      <c r="E4989" s="1" t="s">
        <v>2019</v>
      </c>
      <c r="F4989" s="1" t="s">
        <v>494</v>
      </c>
      <c r="G4989" s="6">
        <v>35883</v>
      </c>
      <c r="H4989" t="str">
        <f>IFERROR(VLOOKUP(F4989,'LEAID Match'!$A$2:$B$142,2,FALSE),"")</f>
        <v/>
      </c>
    </row>
    <row r="4990" spans="1:8" x14ac:dyDescent="0.2">
      <c r="A4990" t="str">
        <f t="shared" si="77"/>
        <v/>
      </c>
      <c r="B4990" s="1">
        <v>2023</v>
      </c>
      <c r="C4990" s="1" t="s">
        <v>2505</v>
      </c>
      <c r="D4990" s="1" t="s">
        <v>2506</v>
      </c>
      <c r="E4990" s="1" t="s">
        <v>2019</v>
      </c>
      <c r="F4990" s="1" t="s">
        <v>494</v>
      </c>
      <c r="G4990" s="6">
        <v>42994</v>
      </c>
      <c r="H4990" t="str">
        <f>IFERROR(VLOOKUP(F4990,'LEAID Match'!$A$2:$B$142,2,FALSE),"")</f>
        <v/>
      </c>
    </row>
    <row r="4991" spans="1:8" x14ac:dyDescent="0.2">
      <c r="A4991" t="str">
        <f t="shared" si="77"/>
        <v/>
      </c>
      <c r="B4991" s="1">
        <v>2024</v>
      </c>
      <c r="C4991" s="1" t="s">
        <v>2505</v>
      </c>
      <c r="D4991" s="1" t="s">
        <v>2506</v>
      </c>
      <c r="E4991" s="1" t="s">
        <v>2019</v>
      </c>
      <c r="F4991" s="1" t="s">
        <v>494</v>
      </c>
      <c r="G4991" s="6">
        <v>60483</v>
      </c>
      <c r="H4991" t="str">
        <f>IFERROR(VLOOKUP(F4991,'LEAID Match'!$A$2:$B$142,2,FALSE),"")</f>
        <v/>
      </c>
    </row>
    <row r="4992" spans="1:8" x14ac:dyDescent="0.2">
      <c r="A4992" t="str">
        <f t="shared" si="77"/>
        <v/>
      </c>
      <c r="B4992">
        <v>2016</v>
      </c>
      <c r="C4992" s="1" t="s">
        <v>2505</v>
      </c>
      <c r="D4992" s="1" t="s">
        <v>2506</v>
      </c>
      <c r="E4992" s="1" t="s">
        <v>2019</v>
      </c>
      <c r="F4992" s="1" t="s">
        <v>1048</v>
      </c>
      <c r="G4992" s="12">
        <v>1952308</v>
      </c>
      <c r="H4992" t="str">
        <f>IFERROR(VLOOKUP(F4992,'LEAID Match'!$A$2:$B$142,2,FALSE),"")</f>
        <v/>
      </c>
    </row>
    <row r="4993" spans="1:8" x14ac:dyDescent="0.2">
      <c r="A4993" t="str">
        <f t="shared" si="77"/>
        <v/>
      </c>
      <c r="B4993" s="1">
        <v>2017</v>
      </c>
      <c r="C4993" s="1" t="s">
        <v>2505</v>
      </c>
      <c r="D4993" s="1" t="s">
        <v>2506</v>
      </c>
      <c r="E4993" s="1" t="s">
        <v>2019</v>
      </c>
      <c r="F4993" s="1" t="s">
        <v>1048</v>
      </c>
      <c r="G4993" s="50">
        <v>1993119</v>
      </c>
      <c r="H4993" t="str">
        <f>IFERROR(VLOOKUP(F4993,'LEAID Match'!$A$2:$B$142,2,FALSE),"")</f>
        <v/>
      </c>
    </row>
    <row r="4994" spans="1:8" x14ac:dyDescent="0.2">
      <c r="A4994" t="str">
        <f t="shared" si="77"/>
        <v/>
      </c>
      <c r="B4994" s="1">
        <v>2018</v>
      </c>
      <c r="C4994" s="1" t="s">
        <v>2505</v>
      </c>
      <c r="D4994" s="1" t="s">
        <v>2506</v>
      </c>
      <c r="E4994" s="1" t="s">
        <v>2019</v>
      </c>
      <c r="F4994" s="1" t="s">
        <v>1048</v>
      </c>
      <c r="G4994" s="6">
        <v>1935101</v>
      </c>
      <c r="H4994" t="str">
        <f>IFERROR(VLOOKUP(F4994,'LEAID Match'!$A$2:$B$142,2,FALSE),"")</f>
        <v/>
      </c>
    </row>
    <row r="4995" spans="1:8" x14ac:dyDescent="0.2">
      <c r="A4995" t="str">
        <f t="shared" ref="A4995:A5058" si="78">H4995</f>
        <v/>
      </c>
      <c r="B4995" s="1">
        <v>2019</v>
      </c>
      <c r="C4995" s="1" t="s">
        <v>2505</v>
      </c>
      <c r="D4995" s="1" t="s">
        <v>2506</v>
      </c>
      <c r="E4995" s="1" t="s">
        <v>2019</v>
      </c>
      <c r="F4995" s="1" t="s">
        <v>1048</v>
      </c>
      <c r="G4995" s="6">
        <v>1962434</v>
      </c>
      <c r="H4995" t="str">
        <f>IFERROR(VLOOKUP(F4995,'LEAID Match'!$A$2:$B$142,2,FALSE),"")</f>
        <v/>
      </c>
    </row>
    <row r="4996" spans="1:8" x14ac:dyDescent="0.2">
      <c r="A4996" t="str">
        <f t="shared" si="78"/>
        <v/>
      </c>
      <c r="B4996" s="1">
        <v>2020</v>
      </c>
      <c r="C4996" s="1" t="s">
        <v>2505</v>
      </c>
      <c r="D4996" s="1" t="s">
        <v>2506</v>
      </c>
      <c r="E4996" s="1" t="s">
        <v>2019</v>
      </c>
      <c r="F4996" s="1" t="s">
        <v>495</v>
      </c>
      <c r="G4996" s="6">
        <v>2222165</v>
      </c>
      <c r="H4996" t="str">
        <f>IFERROR(VLOOKUP(F4996,'LEAID Match'!$A$2:$B$142,2,FALSE),"")</f>
        <v/>
      </c>
    </row>
    <row r="4997" spans="1:8" x14ac:dyDescent="0.2">
      <c r="A4997" t="str">
        <f t="shared" si="78"/>
        <v/>
      </c>
      <c r="B4997" s="1">
        <v>2021</v>
      </c>
      <c r="C4997" s="1" t="s">
        <v>2505</v>
      </c>
      <c r="D4997" s="1" t="s">
        <v>2506</v>
      </c>
      <c r="E4997" s="1" t="s">
        <v>2019</v>
      </c>
      <c r="F4997" s="1" t="s">
        <v>495</v>
      </c>
      <c r="G4997" s="6">
        <v>2099080</v>
      </c>
      <c r="H4997" t="str">
        <f>IFERROR(VLOOKUP(F4997,'LEAID Match'!$A$2:$B$142,2,FALSE),"")</f>
        <v/>
      </c>
    </row>
    <row r="4998" spans="1:8" x14ac:dyDescent="0.2">
      <c r="A4998" t="str">
        <f t="shared" si="78"/>
        <v/>
      </c>
      <c r="B4998" s="1">
        <v>2022</v>
      </c>
      <c r="C4998" s="1" t="s">
        <v>2505</v>
      </c>
      <c r="D4998" s="1" t="s">
        <v>2506</v>
      </c>
      <c r="E4998" s="1" t="s">
        <v>2019</v>
      </c>
      <c r="F4998" s="1" t="s">
        <v>495</v>
      </c>
      <c r="G4998" s="6">
        <v>2062131</v>
      </c>
      <c r="H4998" t="str">
        <f>IFERROR(VLOOKUP(F4998,'LEAID Match'!$A$2:$B$142,2,FALSE),"")</f>
        <v/>
      </c>
    </row>
    <row r="4999" spans="1:8" x14ac:dyDescent="0.2">
      <c r="A4999" t="str">
        <f t="shared" si="78"/>
        <v/>
      </c>
      <c r="B4999" s="1">
        <v>2023</v>
      </c>
      <c r="C4999" s="1" t="s">
        <v>2505</v>
      </c>
      <c r="D4999" s="1" t="s">
        <v>2506</v>
      </c>
      <c r="E4999" s="1" t="s">
        <v>2019</v>
      </c>
      <c r="F4999" s="1" t="s">
        <v>495</v>
      </c>
      <c r="G4999" s="6">
        <v>2079160</v>
      </c>
      <c r="H4999" t="str">
        <f>IFERROR(VLOOKUP(F4999,'LEAID Match'!$A$2:$B$142,2,FALSE),"")</f>
        <v/>
      </c>
    </row>
    <row r="5000" spans="1:8" x14ac:dyDescent="0.2">
      <c r="A5000" t="str">
        <f t="shared" si="78"/>
        <v/>
      </c>
      <c r="B5000" s="1">
        <v>2024</v>
      </c>
      <c r="C5000" s="1" t="s">
        <v>2505</v>
      </c>
      <c r="D5000" s="1" t="s">
        <v>2506</v>
      </c>
      <c r="E5000" s="1" t="s">
        <v>2019</v>
      </c>
      <c r="F5000" s="1" t="s">
        <v>495</v>
      </c>
      <c r="G5000" s="6">
        <v>2101727</v>
      </c>
      <c r="H5000" t="str">
        <f>IFERROR(VLOOKUP(F5000,'LEAID Match'!$A$2:$B$142,2,FALSE),"")</f>
        <v/>
      </c>
    </row>
    <row r="5001" spans="1:8" x14ac:dyDescent="0.2">
      <c r="A5001" t="str">
        <f t="shared" si="78"/>
        <v/>
      </c>
      <c r="B5001" s="1">
        <v>2024</v>
      </c>
      <c r="C5001" s="1" t="s">
        <v>2505</v>
      </c>
      <c r="D5001" s="1" t="s">
        <v>2506</v>
      </c>
      <c r="E5001" s="1" t="s">
        <v>2019</v>
      </c>
      <c r="F5001" s="1" t="s">
        <v>496</v>
      </c>
      <c r="G5001" s="6">
        <v>13486357</v>
      </c>
      <c r="H5001" t="str">
        <f>IFERROR(VLOOKUP(F5001,'LEAID Match'!$A$2:$B$142,2,FALSE),"")</f>
        <v/>
      </c>
    </row>
    <row r="5002" spans="1:8" x14ac:dyDescent="0.2">
      <c r="A5002" t="str">
        <f t="shared" si="78"/>
        <v/>
      </c>
      <c r="B5002">
        <v>2016</v>
      </c>
      <c r="C5002" s="1" t="s">
        <v>2505</v>
      </c>
      <c r="D5002" s="1" t="s">
        <v>2506</v>
      </c>
      <c r="E5002" s="1" t="s">
        <v>2019</v>
      </c>
      <c r="F5002" s="1" t="s">
        <v>1049</v>
      </c>
      <c r="G5002" s="12">
        <v>987622</v>
      </c>
      <c r="H5002" t="str">
        <f>IFERROR(VLOOKUP(F5002,'LEAID Match'!$A$2:$B$142,2,FALSE),"")</f>
        <v/>
      </c>
    </row>
    <row r="5003" spans="1:8" x14ac:dyDescent="0.2">
      <c r="A5003" t="str">
        <f t="shared" si="78"/>
        <v/>
      </c>
      <c r="B5003" s="1">
        <v>2017</v>
      </c>
      <c r="C5003" s="1" t="s">
        <v>2505</v>
      </c>
      <c r="D5003" s="1" t="s">
        <v>2506</v>
      </c>
      <c r="E5003" s="1" t="s">
        <v>2019</v>
      </c>
      <c r="F5003" s="1" t="s">
        <v>1049</v>
      </c>
      <c r="G5003" s="50">
        <v>1063728</v>
      </c>
      <c r="H5003" t="str">
        <f>IFERROR(VLOOKUP(F5003,'LEAID Match'!$A$2:$B$142,2,FALSE),"")</f>
        <v/>
      </c>
    </row>
    <row r="5004" spans="1:8" x14ac:dyDescent="0.2">
      <c r="A5004" t="str">
        <f t="shared" si="78"/>
        <v/>
      </c>
      <c r="B5004" s="1">
        <v>2018</v>
      </c>
      <c r="C5004" s="1" t="s">
        <v>2505</v>
      </c>
      <c r="D5004" s="1" t="s">
        <v>2506</v>
      </c>
      <c r="E5004" s="1" t="s">
        <v>2019</v>
      </c>
      <c r="F5004" s="1" t="s">
        <v>1049</v>
      </c>
      <c r="G5004" s="6">
        <v>1073638</v>
      </c>
      <c r="H5004" t="str">
        <f>IFERROR(VLOOKUP(F5004,'LEAID Match'!$A$2:$B$142,2,FALSE),"")</f>
        <v/>
      </c>
    </row>
    <row r="5005" spans="1:8" x14ac:dyDescent="0.2">
      <c r="A5005" t="str">
        <f t="shared" si="78"/>
        <v/>
      </c>
      <c r="B5005" s="1">
        <v>2019</v>
      </c>
      <c r="C5005" s="1" t="s">
        <v>2505</v>
      </c>
      <c r="D5005" s="1" t="s">
        <v>2506</v>
      </c>
      <c r="E5005" s="1" t="s">
        <v>2019</v>
      </c>
      <c r="F5005" s="1" t="s">
        <v>1049</v>
      </c>
      <c r="G5005" s="6">
        <v>1082504</v>
      </c>
      <c r="H5005" t="str">
        <f>IFERROR(VLOOKUP(F5005,'LEAID Match'!$A$2:$B$142,2,FALSE),"")</f>
        <v/>
      </c>
    </row>
    <row r="5006" spans="1:8" x14ac:dyDescent="0.2">
      <c r="A5006" t="str">
        <f t="shared" si="78"/>
        <v/>
      </c>
      <c r="B5006" s="1">
        <v>2020</v>
      </c>
      <c r="C5006" s="1" t="s">
        <v>2505</v>
      </c>
      <c r="D5006" s="1" t="s">
        <v>2506</v>
      </c>
      <c r="E5006" s="1" t="s">
        <v>2019</v>
      </c>
      <c r="F5006" s="1" t="s">
        <v>497</v>
      </c>
      <c r="G5006" s="6">
        <v>1244857</v>
      </c>
      <c r="H5006" t="str">
        <f>IFERROR(VLOOKUP(F5006,'LEAID Match'!$A$2:$B$142,2,FALSE),"")</f>
        <v/>
      </c>
    </row>
    <row r="5007" spans="1:8" x14ac:dyDescent="0.2">
      <c r="A5007" t="str">
        <f t="shared" si="78"/>
        <v/>
      </c>
      <c r="B5007" s="1">
        <v>2021</v>
      </c>
      <c r="C5007" s="1" t="s">
        <v>2505</v>
      </c>
      <c r="D5007" s="1" t="s">
        <v>2506</v>
      </c>
      <c r="E5007" s="1" t="s">
        <v>2019</v>
      </c>
      <c r="F5007" s="1" t="s">
        <v>497</v>
      </c>
      <c r="G5007" s="6">
        <v>1231719</v>
      </c>
      <c r="H5007" t="str">
        <f>IFERROR(VLOOKUP(F5007,'LEAID Match'!$A$2:$B$142,2,FALSE),"")</f>
        <v/>
      </c>
    </row>
    <row r="5008" spans="1:8" x14ac:dyDescent="0.2">
      <c r="A5008" t="str">
        <f t="shared" si="78"/>
        <v/>
      </c>
      <c r="B5008" s="1">
        <v>2022</v>
      </c>
      <c r="C5008" s="1" t="s">
        <v>2505</v>
      </c>
      <c r="D5008" s="1" t="s">
        <v>2506</v>
      </c>
      <c r="E5008" s="1" t="s">
        <v>2019</v>
      </c>
      <c r="F5008" s="1" t="s">
        <v>497</v>
      </c>
      <c r="G5008" s="6">
        <v>1242830</v>
      </c>
      <c r="H5008" t="str">
        <f>IFERROR(VLOOKUP(F5008,'LEAID Match'!$A$2:$B$142,2,FALSE),"")</f>
        <v/>
      </c>
    </row>
    <row r="5009" spans="1:8" x14ac:dyDescent="0.2">
      <c r="A5009" t="str">
        <f t="shared" si="78"/>
        <v/>
      </c>
      <c r="B5009" s="1">
        <v>2023</v>
      </c>
      <c r="C5009" s="1" t="s">
        <v>2505</v>
      </c>
      <c r="D5009" s="1" t="s">
        <v>2506</v>
      </c>
      <c r="E5009" s="1" t="s">
        <v>2019</v>
      </c>
      <c r="F5009" s="1" t="s">
        <v>497</v>
      </c>
      <c r="G5009" s="6">
        <v>1451073</v>
      </c>
      <c r="H5009" t="str">
        <f>IFERROR(VLOOKUP(F5009,'LEAID Match'!$A$2:$B$142,2,FALSE),"")</f>
        <v/>
      </c>
    </row>
    <row r="5010" spans="1:8" x14ac:dyDescent="0.2">
      <c r="A5010" t="str">
        <f t="shared" si="78"/>
        <v/>
      </c>
      <c r="B5010" s="1">
        <v>2024</v>
      </c>
      <c r="C5010" s="1" t="s">
        <v>2505</v>
      </c>
      <c r="D5010" s="1" t="s">
        <v>2506</v>
      </c>
      <c r="E5010" s="1" t="s">
        <v>2019</v>
      </c>
      <c r="F5010" s="1" t="s">
        <v>497</v>
      </c>
      <c r="G5010" s="6">
        <v>1484756</v>
      </c>
      <c r="H5010" t="str">
        <f>IFERROR(VLOOKUP(F5010,'LEAID Match'!$A$2:$B$142,2,FALSE),"")</f>
        <v/>
      </c>
    </row>
    <row r="5011" spans="1:8" x14ac:dyDescent="0.2">
      <c r="A5011" t="str">
        <f t="shared" si="78"/>
        <v/>
      </c>
      <c r="B5011">
        <v>2016</v>
      </c>
      <c r="C5011" s="1" t="s">
        <v>2505</v>
      </c>
      <c r="D5011" s="1" t="s">
        <v>2506</v>
      </c>
      <c r="E5011" s="1" t="s">
        <v>2019</v>
      </c>
      <c r="F5011" s="1" t="s">
        <v>1050</v>
      </c>
      <c r="G5011" s="12">
        <v>18002751</v>
      </c>
      <c r="H5011" t="str">
        <f>IFERROR(VLOOKUP(F5011,'LEAID Match'!$A$2:$B$142,2,FALSE),"")</f>
        <v/>
      </c>
    </row>
    <row r="5012" spans="1:8" x14ac:dyDescent="0.2">
      <c r="A5012" t="str">
        <f t="shared" si="78"/>
        <v/>
      </c>
      <c r="B5012" s="1">
        <v>2017</v>
      </c>
      <c r="C5012" s="1" t="s">
        <v>2505</v>
      </c>
      <c r="D5012" s="1" t="s">
        <v>2506</v>
      </c>
      <c r="E5012" s="1" t="s">
        <v>2019</v>
      </c>
      <c r="F5012" s="1" t="s">
        <v>1050</v>
      </c>
      <c r="G5012" s="50">
        <v>18240607</v>
      </c>
      <c r="H5012" t="str">
        <f>IFERROR(VLOOKUP(F5012,'LEAID Match'!$A$2:$B$142,2,FALSE),"")</f>
        <v/>
      </c>
    </row>
    <row r="5013" spans="1:8" x14ac:dyDescent="0.2">
      <c r="A5013" t="str">
        <f t="shared" si="78"/>
        <v/>
      </c>
      <c r="B5013" s="1">
        <v>2018</v>
      </c>
      <c r="C5013" s="1" t="s">
        <v>2505</v>
      </c>
      <c r="D5013" s="1" t="s">
        <v>2506</v>
      </c>
      <c r="E5013" s="1" t="s">
        <v>2019</v>
      </c>
      <c r="F5013" s="1" t="s">
        <v>1050</v>
      </c>
      <c r="G5013" s="6">
        <v>18013934</v>
      </c>
      <c r="H5013" t="str">
        <f>IFERROR(VLOOKUP(F5013,'LEAID Match'!$A$2:$B$142,2,FALSE),"")</f>
        <v/>
      </c>
    </row>
    <row r="5014" spans="1:8" x14ac:dyDescent="0.2">
      <c r="A5014" t="str">
        <f t="shared" si="78"/>
        <v/>
      </c>
      <c r="B5014" s="1">
        <v>2019</v>
      </c>
      <c r="C5014" s="1" t="s">
        <v>2505</v>
      </c>
      <c r="D5014" s="1" t="s">
        <v>2506</v>
      </c>
      <c r="E5014" s="1" t="s">
        <v>2019</v>
      </c>
      <c r="F5014" s="1" t="s">
        <v>1050</v>
      </c>
      <c r="G5014" s="6">
        <v>18180160</v>
      </c>
      <c r="H5014" t="str">
        <f>IFERROR(VLOOKUP(F5014,'LEAID Match'!$A$2:$B$142,2,FALSE),"")</f>
        <v/>
      </c>
    </row>
    <row r="5015" spans="1:8" x14ac:dyDescent="0.2">
      <c r="A5015" t="str">
        <f t="shared" si="78"/>
        <v/>
      </c>
      <c r="B5015" s="1">
        <v>2020</v>
      </c>
      <c r="C5015" s="1" t="s">
        <v>2505</v>
      </c>
      <c r="D5015" s="1" t="s">
        <v>2506</v>
      </c>
      <c r="E5015" s="1" t="s">
        <v>2019</v>
      </c>
      <c r="F5015" s="1" t="s">
        <v>498</v>
      </c>
      <c r="G5015" s="6">
        <v>20669628</v>
      </c>
      <c r="H5015" t="str">
        <f>IFERROR(VLOOKUP(F5015,'LEAID Match'!$A$2:$B$142,2,FALSE),"")</f>
        <v/>
      </c>
    </row>
    <row r="5016" spans="1:8" x14ac:dyDescent="0.2">
      <c r="A5016" t="str">
        <f t="shared" si="78"/>
        <v/>
      </c>
      <c r="B5016" s="1">
        <v>2021</v>
      </c>
      <c r="C5016" s="1" t="s">
        <v>2505</v>
      </c>
      <c r="D5016" s="1" t="s">
        <v>2506</v>
      </c>
      <c r="E5016" s="1" t="s">
        <v>2019</v>
      </c>
      <c r="F5016" s="1" t="s">
        <v>498</v>
      </c>
      <c r="G5016" s="6">
        <v>20433981</v>
      </c>
      <c r="H5016" t="str">
        <f>IFERROR(VLOOKUP(F5016,'LEAID Match'!$A$2:$B$142,2,FALSE),"")</f>
        <v/>
      </c>
    </row>
    <row r="5017" spans="1:8" x14ac:dyDescent="0.2">
      <c r="A5017" t="str">
        <f t="shared" si="78"/>
        <v/>
      </c>
      <c r="B5017" s="1">
        <v>2022</v>
      </c>
      <c r="C5017" s="1" t="s">
        <v>2505</v>
      </c>
      <c r="D5017" s="1" t="s">
        <v>2506</v>
      </c>
      <c r="E5017" s="1" t="s">
        <v>2019</v>
      </c>
      <c r="F5017" s="1" t="s">
        <v>498</v>
      </c>
      <c r="G5017" s="6">
        <v>19161278</v>
      </c>
      <c r="H5017" t="str">
        <f>IFERROR(VLOOKUP(F5017,'LEAID Match'!$A$2:$B$142,2,FALSE),"")</f>
        <v/>
      </c>
    </row>
    <row r="5018" spans="1:8" x14ac:dyDescent="0.2">
      <c r="A5018" t="str">
        <f t="shared" si="78"/>
        <v/>
      </c>
      <c r="B5018" s="1">
        <v>2023</v>
      </c>
      <c r="C5018" s="1" t="s">
        <v>2505</v>
      </c>
      <c r="D5018" s="1" t="s">
        <v>2506</v>
      </c>
      <c r="E5018" s="1" t="s">
        <v>2019</v>
      </c>
      <c r="F5018" s="1" t="s">
        <v>498</v>
      </c>
      <c r="G5018" s="6">
        <v>20597327</v>
      </c>
      <c r="H5018" t="str">
        <f>IFERROR(VLOOKUP(F5018,'LEAID Match'!$A$2:$B$142,2,FALSE),"")</f>
        <v/>
      </c>
    </row>
    <row r="5019" spans="1:8" x14ac:dyDescent="0.2">
      <c r="A5019" t="str">
        <f t="shared" si="78"/>
        <v/>
      </c>
      <c r="B5019" s="1">
        <v>2024</v>
      </c>
      <c r="C5019" s="1" t="s">
        <v>2505</v>
      </c>
      <c r="D5019" s="1" t="s">
        <v>2506</v>
      </c>
      <c r="E5019" s="1" t="s">
        <v>2019</v>
      </c>
      <c r="F5019" s="1" t="s">
        <v>498</v>
      </c>
      <c r="G5019" s="6">
        <v>21862609</v>
      </c>
      <c r="H5019" t="str">
        <f>IFERROR(VLOOKUP(F5019,'LEAID Match'!$A$2:$B$142,2,FALSE),"")</f>
        <v/>
      </c>
    </row>
    <row r="5020" spans="1:8" x14ac:dyDescent="0.2">
      <c r="A5020" t="str">
        <f t="shared" si="78"/>
        <v/>
      </c>
      <c r="B5020">
        <v>2016</v>
      </c>
      <c r="C5020" s="1" t="s">
        <v>2505</v>
      </c>
      <c r="D5020" s="1" t="s">
        <v>2506</v>
      </c>
      <c r="E5020" s="1" t="s">
        <v>2019</v>
      </c>
      <c r="F5020" s="1" t="s">
        <v>499</v>
      </c>
      <c r="G5020" s="12">
        <v>1908596</v>
      </c>
      <c r="H5020" t="str">
        <f>IFERROR(VLOOKUP(F5020,'LEAID Match'!$A$2:$B$142,2,FALSE),"")</f>
        <v/>
      </c>
    </row>
    <row r="5021" spans="1:8" x14ac:dyDescent="0.2">
      <c r="A5021" t="str">
        <f t="shared" si="78"/>
        <v/>
      </c>
      <c r="B5021" s="1">
        <v>2017</v>
      </c>
      <c r="C5021" s="1" t="s">
        <v>2505</v>
      </c>
      <c r="D5021" s="1" t="s">
        <v>2506</v>
      </c>
      <c r="E5021" s="1" t="s">
        <v>2019</v>
      </c>
      <c r="F5021" s="1" t="s">
        <v>499</v>
      </c>
      <c r="G5021" s="50">
        <v>1848745</v>
      </c>
      <c r="H5021" t="str">
        <f>IFERROR(VLOOKUP(F5021,'LEAID Match'!$A$2:$B$142,2,FALSE),"")</f>
        <v/>
      </c>
    </row>
    <row r="5022" spans="1:8" x14ac:dyDescent="0.2">
      <c r="A5022" t="str">
        <f t="shared" si="78"/>
        <v/>
      </c>
      <c r="B5022" s="1">
        <v>2018</v>
      </c>
      <c r="C5022" s="1" t="s">
        <v>2505</v>
      </c>
      <c r="D5022" s="1" t="s">
        <v>2506</v>
      </c>
      <c r="E5022" s="1" t="s">
        <v>2019</v>
      </c>
      <c r="F5022" s="1" t="s">
        <v>499</v>
      </c>
      <c r="G5022" s="6">
        <v>1817089</v>
      </c>
      <c r="H5022" t="str">
        <f>IFERROR(VLOOKUP(F5022,'LEAID Match'!$A$2:$B$142,2,FALSE),"")</f>
        <v/>
      </c>
    </row>
    <row r="5023" spans="1:8" x14ac:dyDescent="0.2">
      <c r="A5023" t="str">
        <f t="shared" si="78"/>
        <v/>
      </c>
      <c r="B5023" s="1">
        <v>2019</v>
      </c>
      <c r="C5023" s="1" t="s">
        <v>2505</v>
      </c>
      <c r="D5023" s="1" t="s">
        <v>2506</v>
      </c>
      <c r="E5023" s="1" t="s">
        <v>2019</v>
      </c>
      <c r="F5023" s="1" t="s">
        <v>499</v>
      </c>
      <c r="G5023" s="6">
        <v>1782933</v>
      </c>
      <c r="H5023" t="str">
        <f>IFERROR(VLOOKUP(F5023,'LEAID Match'!$A$2:$B$142,2,FALSE),"")</f>
        <v/>
      </c>
    </row>
    <row r="5024" spans="1:8" x14ac:dyDescent="0.2">
      <c r="A5024" t="str">
        <f t="shared" si="78"/>
        <v/>
      </c>
      <c r="B5024" s="1">
        <v>2020</v>
      </c>
      <c r="C5024" s="1" t="s">
        <v>2505</v>
      </c>
      <c r="D5024" s="1" t="s">
        <v>2506</v>
      </c>
      <c r="E5024" s="1" t="s">
        <v>2019</v>
      </c>
      <c r="F5024" s="1" t="s">
        <v>499</v>
      </c>
      <c r="G5024" s="6">
        <v>1970820</v>
      </c>
      <c r="H5024" t="str">
        <f>IFERROR(VLOOKUP(F5024,'LEAID Match'!$A$2:$B$142,2,FALSE),"")</f>
        <v/>
      </c>
    </row>
    <row r="5025" spans="1:8" x14ac:dyDescent="0.2">
      <c r="A5025" t="str">
        <f t="shared" si="78"/>
        <v/>
      </c>
      <c r="B5025" s="1">
        <v>2021</v>
      </c>
      <c r="C5025" s="1" t="s">
        <v>2505</v>
      </c>
      <c r="D5025" s="1" t="s">
        <v>2506</v>
      </c>
      <c r="E5025" s="1" t="s">
        <v>2019</v>
      </c>
      <c r="F5025" s="1" t="s">
        <v>499</v>
      </c>
      <c r="G5025" s="6">
        <v>2005066</v>
      </c>
      <c r="H5025" t="str">
        <f>IFERROR(VLOOKUP(F5025,'LEAID Match'!$A$2:$B$142,2,FALSE),"")</f>
        <v/>
      </c>
    </row>
    <row r="5026" spans="1:8" x14ac:dyDescent="0.2">
      <c r="A5026" t="str">
        <f t="shared" si="78"/>
        <v/>
      </c>
      <c r="B5026" s="1">
        <v>2022</v>
      </c>
      <c r="C5026" s="1" t="s">
        <v>2505</v>
      </c>
      <c r="D5026" s="1" t="s">
        <v>2506</v>
      </c>
      <c r="E5026" s="1" t="s">
        <v>2019</v>
      </c>
      <c r="F5026" s="1" t="s">
        <v>499</v>
      </c>
      <c r="G5026" s="6">
        <v>1911381</v>
      </c>
      <c r="H5026" t="str">
        <f>IFERROR(VLOOKUP(F5026,'LEAID Match'!$A$2:$B$142,2,FALSE),"")</f>
        <v/>
      </c>
    </row>
    <row r="5027" spans="1:8" x14ac:dyDescent="0.2">
      <c r="A5027" t="str">
        <f t="shared" si="78"/>
        <v/>
      </c>
      <c r="B5027" s="1">
        <v>2023</v>
      </c>
      <c r="C5027" s="1" t="s">
        <v>2505</v>
      </c>
      <c r="D5027" s="1" t="s">
        <v>2506</v>
      </c>
      <c r="E5027" s="1" t="s">
        <v>2019</v>
      </c>
      <c r="F5027" s="1" t="s">
        <v>499</v>
      </c>
      <c r="G5027" s="6">
        <v>1831152</v>
      </c>
      <c r="H5027" t="str">
        <f>IFERROR(VLOOKUP(F5027,'LEAID Match'!$A$2:$B$142,2,FALSE),"")</f>
        <v/>
      </c>
    </row>
    <row r="5028" spans="1:8" x14ac:dyDescent="0.2">
      <c r="A5028" t="str">
        <f t="shared" si="78"/>
        <v/>
      </c>
      <c r="B5028" s="1">
        <v>2024</v>
      </c>
      <c r="C5028" s="1" t="s">
        <v>2505</v>
      </c>
      <c r="D5028" s="1" t="s">
        <v>2506</v>
      </c>
      <c r="E5028" s="1" t="s">
        <v>2019</v>
      </c>
      <c r="F5028" s="1" t="s">
        <v>499</v>
      </c>
      <c r="G5028" s="6">
        <v>1933889</v>
      </c>
      <c r="H5028" t="str">
        <f>IFERROR(VLOOKUP(F5028,'LEAID Match'!$A$2:$B$142,2,FALSE),"")</f>
        <v/>
      </c>
    </row>
    <row r="5029" spans="1:8" x14ac:dyDescent="0.2">
      <c r="A5029" t="str">
        <f t="shared" si="78"/>
        <v/>
      </c>
      <c r="B5029">
        <v>2016</v>
      </c>
      <c r="C5029" s="1" t="s">
        <v>2505</v>
      </c>
      <c r="D5029" s="1" t="s">
        <v>2506</v>
      </c>
      <c r="E5029" s="1" t="s">
        <v>2019</v>
      </c>
      <c r="F5029" s="1" t="s">
        <v>1051</v>
      </c>
      <c r="G5029" s="12">
        <v>916841</v>
      </c>
      <c r="H5029" t="str">
        <f>IFERROR(VLOOKUP(F5029,'LEAID Match'!$A$2:$B$142,2,FALSE),"")</f>
        <v/>
      </c>
    </row>
    <row r="5030" spans="1:8" x14ac:dyDescent="0.2">
      <c r="A5030" t="str">
        <f t="shared" si="78"/>
        <v/>
      </c>
      <c r="B5030" s="1">
        <v>2017</v>
      </c>
      <c r="C5030" s="1" t="s">
        <v>2505</v>
      </c>
      <c r="D5030" s="1" t="s">
        <v>2506</v>
      </c>
      <c r="E5030" s="1" t="s">
        <v>2019</v>
      </c>
      <c r="F5030" s="1" t="s">
        <v>1051</v>
      </c>
      <c r="G5030" s="50">
        <v>903416</v>
      </c>
      <c r="H5030" t="str">
        <f>IFERROR(VLOOKUP(F5030,'LEAID Match'!$A$2:$B$142,2,FALSE),"")</f>
        <v/>
      </c>
    </row>
    <row r="5031" spans="1:8" x14ac:dyDescent="0.2">
      <c r="A5031" t="str">
        <f t="shared" si="78"/>
        <v/>
      </c>
      <c r="B5031" s="1">
        <v>2018</v>
      </c>
      <c r="C5031" s="1" t="s">
        <v>2505</v>
      </c>
      <c r="D5031" s="1" t="s">
        <v>2506</v>
      </c>
      <c r="E5031" s="1" t="s">
        <v>2019</v>
      </c>
      <c r="F5031" s="1" t="s">
        <v>1051</v>
      </c>
      <c r="G5031" s="6">
        <v>861307</v>
      </c>
      <c r="H5031" t="str">
        <f>IFERROR(VLOOKUP(F5031,'LEAID Match'!$A$2:$B$142,2,FALSE),"")</f>
        <v/>
      </c>
    </row>
    <row r="5032" spans="1:8" x14ac:dyDescent="0.2">
      <c r="A5032" t="str">
        <f t="shared" si="78"/>
        <v/>
      </c>
      <c r="B5032" s="1">
        <v>2019</v>
      </c>
      <c r="C5032" s="1" t="s">
        <v>2505</v>
      </c>
      <c r="D5032" s="1" t="s">
        <v>2506</v>
      </c>
      <c r="E5032" s="1" t="s">
        <v>2019</v>
      </c>
      <c r="F5032" s="1" t="s">
        <v>1051</v>
      </c>
      <c r="G5032" s="6">
        <v>865252</v>
      </c>
      <c r="H5032" t="str">
        <f>IFERROR(VLOOKUP(F5032,'LEAID Match'!$A$2:$B$142,2,FALSE),"")</f>
        <v/>
      </c>
    </row>
    <row r="5033" spans="1:8" x14ac:dyDescent="0.2">
      <c r="A5033" t="str">
        <f t="shared" si="78"/>
        <v/>
      </c>
      <c r="B5033" s="1">
        <v>2020</v>
      </c>
      <c r="C5033" s="1" t="s">
        <v>2505</v>
      </c>
      <c r="D5033" s="1" t="s">
        <v>2506</v>
      </c>
      <c r="E5033" s="1" t="s">
        <v>2019</v>
      </c>
      <c r="F5033" s="1" t="s">
        <v>500</v>
      </c>
      <c r="G5033" s="6">
        <v>986632</v>
      </c>
      <c r="H5033" t="str">
        <f>IFERROR(VLOOKUP(F5033,'LEAID Match'!$A$2:$B$142,2,FALSE),"")</f>
        <v/>
      </c>
    </row>
    <row r="5034" spans="1:8" x14ac:dyDescent="0.2">
      <c r="A5034" t="str">
        <f t="shared" si="78"/>
        <v/>
      </c>
      <c r="B5034" s="1">
        <v>2021</v>
      </c>
      <c r="C5034" s="1" t="s">
        <v>2505</v>
      </c>
      <c r="D5034" s="1" t="s">
        <v>2506</v>
      </c>
      <c r="E5034" s="1" t="s">
        <v>2019</v>
      </c>
      <c r="F5034" s="1" t="s">
        <v>500</v>
      </c>
      <c r="G5034" s="6">
        <v>943940</v>
      </c>
      <c r="H5034" t="str">
        <f>IFERROR(VLOOKUP(F5034,'LEAID Match'!$A$2:$B$142,2,FALSE),"")</f>
        <v/>
      </c>
    </row>
    <row r="5035" spans="1:8" x14ac:dyDescent="0.2">
      <c r="A5035" t="str">
        <f t="shared" si="78"/>
        <v/>
      </c>
      <c r="B5035" s="1">
        <v>2022</v>
      </c>
      <c r="C5035" s="1" t="s">
        <v>2505</v>
      </c>
      <c r="D5035" s="1" t="s">
        <v>2506</v>
      </c>
      <c r="E5035" s="1" t="s">
        <v>2019</v>
      </c>
      <c r="F5035" s="1" t="s">
        <v>500</v>
      </c>
      <c r="G5035" s="6">
        <v>961822</v>
      </c>
      <c r="H5035" t="str">
        <f>IFERROR(VLOOKUP(F5035,'LEAID Match'!$A$2:$B$142,2,FALSE),"")</f>
        <v/>
      </c>
    </row>
    <row r="5036" spans="1:8" x14ac:dyDescent="0.2">
      <c r="A5036" t="str">
        <f t="shared" si="78"/>
        <v/>
      </c>
      <c r="B5036" s="1">
        <v>2023</v>
      </c>
      <c r="C5036" s="1" t="s">
        <v>2505</v>
      </c>
      <c r="D5036" s="1" t="s">
        <v>2506</v>
      </c>
      <c r="E5036" s="1" t="s">
        <v>2019</v>
      </c>
      <c r="F5036" s="1" t="s">
        <v>500</v>
      </c>
      <c r="G5036" s="6">
        <v>1043397</v>
      </c>
      <c r="H5036" t="str">
        <f>IFERROR(VLOOKUP(F5036,'LEAID Match'!$A$2:$B$142,2,FALSE),"")</f>
        <v/>
      </c>
    </row>
    <row r="5037" spans="1:8" x14ac:dyDescent="0.2">
      <c r="A5037" t="str">
        <f t="shared" si="78"/>
        <v/>
      </c>
      <c r="B5037" s="1">
        <v>2024</v>
      </c>
      <c r="C5037" s="1" t="s">
        <v>2505</v>
      </c>
      <c r="D5037" s="1" t="s">
        <v>2506</v>
      </c>
      <c r="E5037" s="1" t="s">
        <v>2019</v>
      </c>
      <c r="F5037" s="1" t="s">
        <v>500</v>
      </c>
      <c r="G5037" s="6">
        <v>1103903</v>
      </c>
      <c r="H5037" t="str">
        <f>IFERROR(VLOOKUP(F5037,'LEAID Match'!$A$2:$B$142,2,FALSE),"")</f>
        <v/>
      </c>
    </row>
    <row r="5038" spans="1:8" x14ac:dyDescent="0.2">
      <c r="A5038" t="str">
        <f t="shared" si="78"/>
        <v/>
      </c>
      <c r="B5038">
        <v>2016</v>
      </c>
      <c r="C5038" s="1" t="s">
        <v>2505</v>
      </c>
      <c r="D5038" s="1" t="s">
        <v>2506</v>
      </c>
      <c r="E5038" s="1" t="s">
        <v>2019</v>
      </c>
      <c r="F5038" s="1" t="s">
        <v>1052</v>
      </c>
      <c r="G5038" s="12">
        <v>5873719</v>
      </c>
      <c r="H5038" t="str">
        <f>IFERROR(VLOOKUP(F5038,'LEAID Match'!$A$2:$B$142,2,FALSE),"")</f>
        <v/>
      </c>
    </row>
    <row r="5039" spans="1:8" x14ac:dyDescent="0.2">
      <c r="A5039" t="str">
        <f t="shared" si="78"/>
        <v/>
      </c>
      <c r="B5039" s="1">
        <v>2017</v>
      </c>
      <c r="C5039" s="1" t="s">
        <v>2505</v>
      </c>
      <c r="D5039" s="1" t="s">
        <v>2506</v>
      </c>
      <c r="E5039" s="1" t="s">
        <v>2019</v>
      </c>
      <c r="F5039" s="1" t="s">
        <v>1052</v>
      </c>
      <c r="G5039" s="50">
        <v>5906466</v>
      </c>
      <c r="H5039" t="str">
        <f>IFERROR(VLOOKUP(F5039,'LEAID Match'!$A$2:$B$142,2,FALSE),"")</f>
        <v/>
      </c>
    </row>
    <row r="5040" spans="1:8" x14ac:dyDescent="0.2">
      <c r="A5040" t="str">
        <f t="shared" si="78"/>
        <v/>
      </c>
      <c r="B5040" s="1">
        <v>2018</v>
      </c>
      <c r="C5040" s="1" t="s">
        <v>2505</v>
      </c>
      <c r="D5040" s="1" t="s">
        <v>2506</v>
      </c>
      <c r="E5040" s="1" t="s">
        <v>2019</v>
      </c>
      <c r="F5040" s="1" t="s">
        <v>1052</v>
      </c>
      <c r="G5040" s="6">
        <v>5884912</v>
      </c>
      <c r="H5040" t="str">
        <f>IFERROR(VLOOKUP(F5040,'LEAID Match'!$A$2:$B$142,2,FALSE),"")</f>
        <v/>
      </c>
    </row>
    <row r="5041" spans="1:8" x14ac:dyDescent="0.2">
      <c r="A5041" t="str">
        <f t="shared" si="78"/>
        <v/>
      </c>
      <c r="B5041" s="1">
        <v>2019</v>
      </c>
      <c r="C5041" s="1" t="s">
        <v>2505</v>
      </c>
      <c r="D5041" s="1" t="s">
        <v>2506</v>
      </c>
      <c r="E5041" s="1" t="s">
        <v>2019</v>
      </c>
      <c r="F5041" s="1" t="s">
        <v>1052</v>
      </c>
      <c r="G5041" s="6">
        <v>6023639</v>
      </c>
      <c r="H5041" t="str">
        <f>IFERROR(VLOOKUP(F5041,'LEAID Match'!$A$2:$B$142,2,FALSE),"")</f>
        <v/>
      </c>
    </row>
    <row r="5042" spans="1:8" x14ac:dyDescent="0.2">
      <c r="A5042" t="str">
        <f t="shared" si="78"/>
        <v/>
      </c>
      <c r="B5042" s="1">
        <v>2020</v>
      </c>
      <c r="C5042" s="1" t="s">
        <v>2505</v>
      </c>
      <c r="D5042" s="1" t="s">
        <v>2506</v>
      </c>
      <c r="E5042" s="1" t="s">
        <v>2019</v>
      </c>
      <c r="F5042" s="1" t="s">
        <v>501</v>
      </c>
      <c r="G5042" s="6">
        <v>6780156</v>
      </c>
      <c r="H5042" t="str">
        <f>IFERROR(VLOOKUP(F5042,'LEAID Match'!$A$2:$B$142,2,FALSE),"")</f>
        <v/>
      </c>
    </row>
    <row r="5043" spans="1:8" x14ac:dyDescent="0.2">
      <c r="A5043" t="str">
        <f t="shared" si="78"/>
        <v/>
      </c>
      <c r="B5043" s="1">
        <v>2021</v>
      </c>
      <c r="C5043" s="1" t="s">
        <v>2505</v>
      </c>
      <c r="D5043" s="1" t="s">
        <v>2506</v>
      </c>
      <c r="E5043" s="1" t="s">
        <v>2019</v>
      </c>
      <c r="F5043" s="1" t="s">
        <v>501</v>
      </c>
      <c r="G5043" s="6">
        <v>6928923</v>
      </c>
      <c r="H5043" t="str">
        <f>IFERROR(VLOOKUP(F5043,'LEAID Match'!$A$2:$B$142,2,FALSE),"")</f>
        <v/>
      </c>
    </row>
    <row r="5044" spans="1:8" x14ac:dyDescent="0.2">
      <c r="A5044" t="str">
        <f t="shared" si="78"/>
        <v/>
      </c>
      <c r="B5044" s="1">
        <v>2022</v>
      </c>
      <c r="C5044" s="1" t="s">
        <v>2505</v>
      </c>
      <c r="D5044" s="1" t="s">
        <v>2506</v>
      </c>
      <c r="E5044" s="1" t="s">
        <v>2019</v>
      </c>
      <c r="F5044" s="1" t="s">
        <v>501</v>
      </c>
      <c r="G5044" s="6">
        <v>6716349</v>
      </c>
      <c r="H5044" t="str">
        <f>IFERROR(VLOOKUP(F5044,'LEAID Match'!$A$2:$B$142,2,FALSE),"")</f>
        <v/>
      </c>
    </row>
    <row r="5045" spans="1:8" x14ac:dyDescent="0.2">
      <c r="A5045" t="str">
        <f t="shared" si="78"/>
        <v/>
      </c>
      <c r="B5045" s="1">
        <v>2023</v>
      </c>
      <c r="C5045" s="1" t="s">
        <v>2505</v>
      </c>
      <c r="D5045" s="1" t="s">
        <v>2506</v>
      </c>
      <c r="E5045" s="1" t="s">
        <v>2019</v>
      </c>
      <c r="F5045" s="1" t="s">
        <v>501</v>
      </c>
      <c r="G5045" s="6">
        <v>6740796</v>
      </c>
      <c r="H5045" t="str">
        <f>IFERROR(VLOOKUP(F5045,'LEAID Match'!$A$2:$B$142,2,FALSE),"")</f>
        <v/>
      </c>
    </row>
    <row r="5046" spans="1:8" x14ac:dyDescent="0.2">
      <c r="A5046" t="str">
        <f t="shared" si="78"/>
        <v/>
      </c>
      <c r="B5046" s="1">
        <v>2024</v>
      </c>
      <c r="C5046" s="1" t="s">
        <v>2505</v>
      </c>
      <c r="D5046" s="1" t="s">
        <v>2506</v>
      </c>
      <c r="E5046" s="1" t="s">
        <v>2019</v>
      </c>
      <c r="F5046" s="1" t="s">
        <v>501</v>
      </c>
      <c r="G5046" s="6">
        <v>7047229</v>
      </c>
      <c r="H5046" t="str">
        <f>IFERROR(VLOOKUP(F5046,'LEAID Match'!$A$2:$B$142,2,FALSE),"")</f>
        <v/>
      </c>
    </row>
    <row r="5047" spans="1:8" x14ac:dyDescent="0.2">
      <c r="A5047" t="str">
        <f t="shared" si="78"/>
        <v/>
      </c>
      <c r="B5047" s="1">
        <v>2018</v>
      </c>
      <c r="C5047" s="1" t="s">
        <v>2505</v>
      </c>
      <c r="D5047" s="1" t="s">
        <v>2506</v>
      </c>
      <c r="E5047" s="1" t="s">
        <v>2019</v>
      </c>
      <c r="F5047" s="1" t="s">
        <v>502</v>
      </c>
      <c r="G5047" s="6">
        <v>109389</v>
      </c>
      <c r="H5047" t="str">
        <f>IFERROR(VLOOKUP(F5047,'LEAID Match'!$A$2:$B$142,2,FALSE),"")</f>
        <v/>
      </c>
    </row>
    <row r="5048" spans="1:8" x14ac:dyDescent="0.2">
      <c r="A5048" t="str">
        <f t="shared" si="78"/>
        <v/>
      </c>
      <c r="B5048" s="1">
        <v>2019</v>
      </c>
      <c r="C5048" s="1" t="s">
        <v>2505</v>
      </c>
      <c r="D5048" s="1" t="s">
        <v>2506</v>
      </c>
      <c r="E5048" s="1" t="s">
        <v>2019</v>
      </c>
      <c r="F5048" s="1" t="s">
        <v>502</v>
      </c>
      <c r="G5048" s="6">
        <v>137109</v>
      </c>
      <c r="H5048" t="str">
        <f>IFERROR(VLOOKUP(F5048,'LEAID Match'!$A$2:$B$142,2,FALSE),"")</f>
        <v/>
      </c>
    </row>
    <row r="5049" spans="1:8" x14ac:dyDescent="0.2">
      <c r="A5049" t="str">
        <f t="shared" si="78"/>
        <v/>
      </c>
      <c r="B5049" s="1">
        <v>2020</v>
      </c>
      <c r="C5049" s="1" t="s">
        <v>2505</v>
      </c>
      <c r="D5049" s="1" t="s">
        <v>2506</v>
      </c>
      <c r="E5049" s="1" t="s">
        <v>2019</v>
      </c>
      <c r="F5049" s="1" t="s">
        <v>502</v>
      </c>
      <c r="G5049" s="6">
        <v>162598</v>
      </c>
      <c r="H5049" t="str">
        <f>IFERROR(VLOOKUP(F5049,'LEAID Match'!$A$2:$B$142,2,FALSE),"")</f>
        <v/>
      </c>
    </row>
    <row r="5050" spans="1:8" x14ac:dyDescent="0.2">
      <c r="A5050" t="str">
        <f t="shared" si="78"/>
        <v/>
      </c>
      <c r="B5050" s="1">
        <v>2021</v>
      </c>
      <c r="C5050" s="1" t="s">
        <v>2505</v>
      </c>
      <c r="D5050" s="1" t="s">
        <v>2506</v>
      </c>
      <c r="E5050" s="1" t="s">
        <v>2019</v>
      </c>
      <c r="F5050" s="1" t="s">
        <v>502</v>
      </c>
      <c r="G5050" s="6">
        <v>130602</v>
      </c>
      <c r="H5050" t="str">
        <f>IFERROR(VLOOKUP(F5050,'LEAID Match'!$A$2:$B$142,2,FALSE),"")</f>
        <v/>
      </c>
    </row>
    <row r="5051" spans="1:8" x14ac:dyDescent="0.2">
      <c r="A5051" t="str">
        <f t="shared" si="78"/>
        <v/>
      </c>
      <c r="B5051" s="1">
        <v>2022</v>
      </c>
      <c r="C5051" s="1" t="s">
        <v>2505</v>
      </c>
      <c r="D5051" s="1" t="s">
        <v>2506</v>
      </c>
      <c r="E5051" s="1" t="s">
        <v>2019</v>
      </c>
      <c r="F5051" s="1" t="s">
        <v>502</v>
      </c>
      <c r="G5051" s="6">
        <v>151795</v>
      </c>
      <c r="H5051" t="str">
        <f>IFERROR(VLOOKUP(F5051,'LEAID Match'!$A$2:$B$142,2,FALSE),"")</f>
        <v/>
      </c>
    </row>
    <row r="5052" spans="1:8" x14ac:dyDescent="0.2">
      <c r="A5052" t="str">
        <f t="shared" si="78"/>
        <v/>
      </c>
      <c r="B5052" s="1">
        <v>2023</v>
      </c>
      <c r="C5052" s="1" t="s">
        <v>2505</v>
      </c>
      <c r="D5052" s="1" t="s">
        <v>2506</v>
      </c>
      <c r="E5052" s="1" t="s">
        <v>2019</v>
      </c>
      <c r="F5052" s="1" t="s">
        <v>502</v>
      </c>
      <c r="G5052" s="6">
        <v>161870</v>
      </c>
      <c r="H5052" t="str">
        <f>IFERROR(VLOOKUP(F5052,'LEAID Match'!$A$2:$B$142,2,FALSE),"")</f>
        <v/>
      </c>
    </row>
    <row r="5053" spans="1:8" x14ac:dyDescent="0.2">
      <c r="A5053" t="str">
        <f t="shared" si="78"/>
        <v/>
      </c>
      <c r="B5053" s="1">
        <v>2024</v>
      </c>
      <c r="C5053" s="1" t="s">
        <v>2505</v>
      </c>
      <c r="D5053" s="1" t="s">
        <v>2506</v>
      </c>
      <c r="E5053" s="1" t="s">
        <v>2019</v>
      </c>
      <c r="F5053" s="1" t="s">
        <v>502</v>
      </c>
      <c r="G5053" s="6">
        <v>208440</v>
      </c>
      <c r="H5053" t="str">
        <f>IFERROR(VLOOKUP(F5053,'LEAID Match'!$A$2:$B$142,2,FALSE),"")</f>
        <v/>
      </c>
    </row>
    <row r="5054" spans="1:8" x14ac:dyDescent="0.2">
      <c r="A5054" t="str">
        <f t="shared" si="78"/>
        <v/>
      </c>
      <c r="B5054">
        <v>2016</v>
      </c>
      <c r="C5054" s="1" t="s">
        <v>2505</v>
      </c>
      <c r="D5054" s="1" t="s">
        <v>2506</v>
      </c>
      <c r="E5054" s="1" t="s">
        <v>2019</v>
      </c>
      <c r="F5054" s="1" t="s">
        <v>1053</v>
      </c>
      <c r="G5054" s="12">
        <v>3469512</v>
      </c>
      <c r="H5054" t="str">
        <f>IFERROR(VLOOKUP(F5054,'LEAID Match'!$A$2:$B$142,2,FALSE),"")</f>
        <v/>
      </c>
    </row>
    <row r="5055" spans="1:8" x14ac:dyDescent="0.2">
      <c r="A5055" t="str">
        <f t="shared" si="78"/>
        <v/>
      </c>
      <c r="B5055" s="1">
        <v>2017</v>
      </c>
      <c r="C5055" s="1" t="s">
        <v>2505</v>
      </c>
      <c r="D5055" s="1" t="s">
        <v>2506</v>
      </c>
      <c r="E5055" s="1" t="s">
        <v>2019</v>
      </c>
      <c r="F5055" s="1" t="s">
        <v>1053</v>
      </c>
      <c r="G5055" s="50">
        <v>3608281</v>
      </c>
      <c r="H5055" t="str">
        <f>IFERROR(VLOOKUP(F5055,'LEAID Match'!$A$2:$B$142,2,FALSE),"")</f>
        <v/>
      </c>
    </row>
    <row r="5056" spans="1:8" x14ac:dyDescent="0.2">
      <c r="A5056" t="str">
        <f t="shared" si="78"/>
        <v/>
      </c>
      <c r="B5056" s="1">
        <v>2018</v>
      </c>
      <c r="C5056" s="1" t="s">
        <v>2505</v>
      </c>
      <c r="D5056" s="1" t="s">
        <v>2506</v>
      </c>
      <c r="E5056" s="1" t="s">
        <v>2019</v>
      </c>
      <c r="F5056" s="1" t="s">
        <v>1053</v>
      </c>
      <c r="G5056" s="6">
        <v>3747722</v>
      </c>
      <c r="H5056" t="str">
        <f>IFERROR(VLOOKUP(F5056,'LEAID Match'!$A$2:$B$142,2,FALSE),"")</f>
        <v/>
      </c>
    </row>
    <row r="5057" spans="1:8" x14ac:dyDescent="0.2">
      <c r="A5057" t="str">
        <f t="shared" si="78"/>
        <v/>
      </c>
      <c r="B5057" s="1">
        <v>2019</v>
      </c>
      <c r="C5057" s="1" t="s">
        <v>2505</v>
      </c>
      <c r="D5057" s="1" t="s">
        <v>2506</v>
      </c>
      <c r="E5057" s="1" t="s">
        <v>2019</v>
      </c>
      <c r="F5057" s="1" t="s">
        <v>1053</v>
      </c>
      <c r="G5057" s="6">
        <v>3662660</v>
      </c>
      <c r="H5057" t="str">
        <f>IFERROR(VLOOKUP(F5057,'LEAID Match'!$A$2:$B$142,2,FALSE),"")</f>
        <v/>
      </c>
    </row>
    <row r="5058" spans="1:8" x14ac:dyDescent="0.2">
      <c r="A5058" t="str">
        <f t="shared" si="78"/>
        <v/>
      </c>
      <c r="B5058" s="1">
        <v>2020</v>
      </c>
      <c r="C5058" s="1" t="s">
        <v>2505</v>
      </c>
      <c r="D5058" s="1" t="s">
        <v>2506</v>
      </c>
      <c r="E5058" s="1" t="s">
        <v>2019</v>
      </c>
      <c r="F5058" s="1" t="s">
        <v>503</v>
      </c>
      <c r="G5058" s="6">
        <v>4284817</v>
      </c>
      <c r="H5058" t="str">
        <f>IFERROR(VLOOKUP(F5058,'LEAID Match'!$A$2:$B$142,2,FALSE),"")</f>
        <v/>
      </c>
    </row>
    <row r="5059" spans="1:8" x14ac:dyDescent="0.2">
      <c r="A5059" t="str">
        <f t="shared" ref="A5059:A5122" si="79">H5059</f>
        <v/>
      </c>
      <c r="B5059" s="1">
        <v>2021</v>
      </c>
      <c r="C5059" s="1" t="s">
        <v>2505</v>
      </c>
      <c r="D5059" s="1" t="s">
        <v>2506</v>
      </c>
      <c r="E5059" s="1" t="s">
        <v>2019</v>
      </c>
      <c r="F5059" s="1" t="s">
        <v>503</v>
      </c>
      <c r="G5059" s="6">
        <v>4379681</v>
      </c>
      <c r="H5059" t="str">
        <f>IFERROR(VLOOKUP(F5059,'LEAID Match'!$A$2:$B$142,2,FALSE),"")</f>
        <v/>
      </c>
    </row>
    <row r="5060" spans="1:8" x14ac:dyDescent="0.2">
      <c r="A5060" t="str">
        <f t="shared" si="79"/>
        <v/>
      </c>
      <c r="B5060" s="1">
        <v>2022</v>
      </c>
      <c r="C5060" s="1" t="s">
        <v>2505</v>
      </c>
      <c r="D5060" s="1" t="s">
        <v>2506</v>
      </c>
      <c r="E5060" s="1" t="s">
        <v>2019</v>
      </c>
      <c r="F5060" s="1" t="s">
        <v>503</v>
      </c>
      <c r="G5060" s="6">
        <v>6440804</v>
      </c>
      <c r="H5060" t="str">
        <f>IFERROR(VLOOKUP(F5060,'LEAID Match'!$A$2:$B$142,2,FALSE),"")</f>
        <v/>
      </c>
    </row>
    <row r="5061" spans="1:8" x14ac:dyDescent="0.2">
      <c r="A5061" t="str">
        <f t="shared" si="79"/>
        <v/>
      </c>
      <c r="B5061" s="1">
        <v>2023</v>
      </c>
      <c r="C5061" s="1" t="s">
        <v>2505</v>
      </c>
      <c r="D5061" s="1" t="s">
        <v>2506</v>
      </c>
      <c r="E5061" s="1" t="s">
        <v>2019</v>
      </c>
      <c r="F5061" s="1" t="s">
        <v>503</v>
      </c>
      <c r="G5061" s="6">
        <v>7479290</v>
      </c>
      <c r="H5061" t="str">
        <f>IFERROR(VLOOKUP(F5061,'LEAID Match'!$A$2:$B$142,2,FALSE),"")</f>
        <v/>
      </c>
    </row>
    <row r="5062" spans="1:8" x14ac:dyDescent="0.2">
      <c r="A5062" t="str">
        <f t="shared" si="79"/>
        <v/>
      </c>
      <c r="B5062" s="1">
        <v>2024</v>
      </c>
      <c r="C5062" s="1" t="s">
        <v>2505</v>
      </c>
      <c r="D5062" s="1" t="s">
        <v>2506</v>
      </c>
      <c r="E5062" s="1" t="s">
        <v>2019</v>
      </c>
      <c r="F5062" s="1" t="s">
        <v>503</v>
      </c>
      <c r="G5062" s="6">
        <v>8498891</v>
      </c>
      <c r="H5062" t="str">
        <f>IFERROR(VLOOKUP(F5062,'LEAID Match'!$A$2:$B$142,2,FALSE),"")</f>
        <v/>
      </c>
    </row>
    <row r="5063" spans="1:8" x14ac:dyDescent="0.2">
      <c r="A5063" t="str">
        <f t="shared" si="79"/>
        <v/>
      </c>
      <c r="B5063">
        <v>2016</v>
      </c>
      <c r="C5063" s="1" t="s">
        <v>2505</v>
      </c>
      <c r="D5063" s="1" t="s">
        <v>2506</v>
      </c>
      <c r="E5063" s="1" t="s">
        <v>2019</v>
      </c>
      <c r="F5063" s="1" t="s">
        <v>1054</v>
      </c>
      <c r="G5063" s="12">
        <v>239593</v>
      </c>
      <c r="H5063" t="str">
        <f>IFERROR(VLOOKUP(F5063,'LEAID Match'!$A$2:$B$142,2,FALSE),"")</f>
        <v/>
      </c>
    </row>
    <row r="5064" spans="1:8" x14ac:dyDescent="0.2">
      <c r="A5064" t="str">
        <f t="shared" si="79"/>
        <v/>
      </c>
      <c r="B5064" s="1">
        <v>2017</v>
      </c>
      <c r="C5064" s="1" t="s">
        <v>2505</v>
      </c>
      <c r="D5064" s="1" t="s">
        <v>2506</v>
      </c>
      <c r="E5064" s="1" t="s">
        <v>2019</v>
      </c>
      <c r="F5064" s="1" t="s">
        <v>1054</v>
      </c>
      <c r="G5064" s="50">
        <v>242762</v>
      </c>
      <c r="H5064" t="str">
        <f>IFERROR(VLOOKUP(F5064,'LEAID Match'!$A$2:$B$142,2,FALSE),"")</f>
        <v/>
      </c>
    </row>
    <row r="5065" spans="1:8" x14ac:dyDescent="0.2">
      <c r="A5065" t="str">
        <f t="shared" si="79"/>
        <v/>
      </c>
      <c r="B5065" s="1">
        <v>2018</v>
      </c>
      <c r="C5065" s="1" t="s">
        <v>2505</v>
      </c>
      <c r="D5065" s="1" t="s">
        <v>2506</v>
      </c>
      <c r="E5065" s="1" t="s">
        <v>2019</v>
      </c>
      <c r="F5065" s="1" t="s">
        <v>1054</v>
      </c>
      <c r="G5065" s="6">
        <v>245189</v>
      </c>
      <c r="H5065" t="str">
        <f>IFERROR(VLOOKUP(F5065,'LEAID Match'!$A$2:$B$142,2,FALSE),"")</f>
        <v/>
      </c>
    </row>
    <row r="5066" spans="1:8" x14ac:dyDescent="0.2">
      <c r="A5066" t="str">
        <f t="shared" si="79"/>
        <v/>
      </c>
      <c r="B5066" s="1">
        <v>2019</v>
      </c>
      <c r="C5066" s="1" t="s">
        <v>2505</v>
      </c>
      <c r="D5066" s="1" t="s">
        <v>2506</v>
      </c>
      <c r="E5066" s="1" t="s">
        <v>2019</v>
      </c>
      <c r="F5066" s="1" t="s">
        <v>1054</v>
      </c>
      <c r="G5066" s="6">
        <v>252983</v>
      </c>
      <c r="H5066" t="str">
        <f>IFERROR(VLOOKUP(F5066,'LEAID Match'!$A$2:$B$142,2,FALSE),"")</f>
        <v/>
      </c>
    </row>
    <row r="5067" spans="1:8" x14ac:dyDescent="0.2">
      <c r="A5067" t="str">
        <f t="shared" si="79"/>
        <v/>
      </c>
      <c r="B5067" s="1">
        <v>2020</v>
      </c>
      <c r="C5067" s="1" t="s">
        <v>2505</v>
      </c>
      <c r="D5067" s="1" t="s">
        <v>2506</v>
      </c>
      <c r="E5067" s="1" t="s">
        <v>2019</v>
      </c>
      <c r="F5067" s="1" t="s">
        <v>504</v>
      </c>
      <c r="G5067" s="6">
        <v>289925</v>
      </c>
      <c r="H5067" t="str">
        <f>IFERROR(VLOOKUP(F5067,'LEAID Match'!$A$2:$B$142,2,FALSE),"")</f>
        <v/>
      </c>
    </row>
    <row r="5068" spans="1:8" x14ac:dyDescent="0.2">
      <c r="A5068" t="str">
        <f t="shared" si="79"/>
        <v/>
      </c>
      <c r="B5068" s="1">
        <v>2021</v>
      </c>
      <c r="C5068" s="1" t="s">
        <v>2505</v>
      </c>
      <c r="D5068" s="1" t="s">
        <v>2506</v>
      </c>
      <c r="E5068" s="1" t="s">
        <v>2019</v>
      </c>
      <c r="F5068" s="1" t="s">
        <v>504</v>
      </c>
      <c r="G5068" s="6">
        <v>286949</v>
      </c>
      <c r="H5068" t="str">
        <f>IFERROR(VLOOKUP(F5068,'LEAID Match'!$A$2:$B$142,2,FALSE),"")</f>
        <v/>
      </c>
    </row>
    <row r="5069" spans="1:8" x14ac:dyDescent="0.2">
      <c r="A5069" t="str">
        <f t="shared" si="79"/>
        <v/>
      </c>
      <c r="B5069" s="1">
        <v>2022</v>
      </c>
      <c r="C5069" s="1" t="s">
        <v>2505</v>
      </c>
      <c r="D5069" s="1" t="s">
        <v>2506</v>
      </c>
      <c r="E5069" s="1" t="s">
        <v>2019</v>
      </c>
      <c r="F5069" s="1" t="s">
        <v>504</v>
      </c>
      <c r="G5069" s="6">
        <v>275980</v>
      </c>
      <c r="H5069" t="str">
        <f>IFERROR(VLOOKUP(F5069,'LEAID Match'!$A$2:$B$142,2,FALSE),"")</f>
        <v/>
      </c>
    </row>
    <row r="5070" spans="1:8" x14ac:dyDescent="0.2">
      <c r="A5070" t="str">
        <f t="shared" si="79"/>
        <v/>
      </c>
      <c r="B5070" s="1">
        <v>2023</v>
      </c>
      <c r="C5070" s="1" t="s">
        <v>2505</v>
      </c>
      <c r="D5070" s="1" t="s">
        <v>2506</v>
      </c>
      <c r="E5070" s="1" t="s">
        <v>2019</v>
      </c>
      <c r="F5070" s="1" t="s">
        <v>504</v>
      </c>
      <c r="G5070" s="6">
        <v>343271</v>
      </c>
      <c r="H5070" t="str">
        <f>IFERROR(VLOOKUP(F5070,'LEAID Match'!$A$2:$B$142,2,FALSE),"")</f>
        <v/>
      </c>
    </row>
    <row r="5071" spans="1:8" x14ac:dyDescent="0.2">
      <c r="A5071" t="str">
        <f t="shared" si="79"/>
        <v/>
      </c>
      <c r="B5071" s="1">
        <v>2024</v>
      </c>
      <c r="C5071" s="1" t="s">
        <v>2505</v>
      </c>
      <c r="D5071" s="1" t="s">
        <v>2506</v>
      </c>
      <c r="E5071" s="1" t="s">
        <v>2019</v>
      </c>
      <c r="F5071" s="1" t="s">
        <v>504</v>
      </c>
      <c r="G5071" s="6">
        <v>387171</v>
      </c>
      <c r="H5071" t="str">
        <f>IFERROR(VLOOKUP(F5071,'LEAID Match'!$A$2:$B$142,2,FALSE),"")</f>
        <v/>
      </c>
    </row>
    <row r="5072" spans="1:8" x14ac:dyDescent="0.2">
      <c r="A5072" t="str">
        <f t="shared" si="79"/>
        <v/>
      </c>
      <c r="B5072">
        <v>2016</v>
      </c>
      <c r="C5072" s="1" t="s">
        <v>2505</v>
      </c>
      <c r="D5072" s="1" t="s">
        <v>2506</v>
      </c>
      <c r="E5072" s="1" t="s">
        <v>2019</v>
      </c>
      <c r="F5072" s="1" t="s">
        <v>1055</v>
      </c>
      <c r="G5072" s="12">
        <v>953652</v>
      </c>
      <c r="H5072" t="str">
        <f>IFERROR(VLOOKUP(F5072,'LEAID Match'!$A$2:$B$142,2,FALSE),"")</f>
        <v/>
      </c>
    </row>
    <row r="5073" spans="1:8" x14ac:dyDescent="0.2">
      <c r="A5073" t="str">
        <f t="shared" si="79"/>
        <v/>
      </c>
      <c r="B5073" s="1">
        <v>2017</v>
      </c>
      <c r="C5073" s="1" t="s">
        <v>2505</v>
      </c>
      <c r="D5073" s="1" t="s">
        <v>2506</v>
      </c>
      <c r="E5073" s="1" t="s">
        <v>2019</v>
      </c>
      <c r="F5073" s="1" t="s">
        <v>1055</v>
      </c>
      <c r="G5073" s="50">
        <v>960553</v>
      </c>
      <c r="H5073" t="str">
        <f>IFERROR(VLOOKUP(F5073,'LEAID Match'!$A$2:$B$142,2,FALSE),"")</f>
        <v/>
      </c>
    </row>
    <row r="5074" spans="1:8" x14ac:dyDescent="0.2">
      <c r="A5074" t="str">
        <f t="shared" si="79"/>
        <v/>
      </c>
      <c r="B5074" s="1">
        <v>2018</v>
      </c>
      <c r="C5074" s="1" t="s">
        <v>2505</v>
      </c>
      <c r="D5074" s="1" t="s">
        <v>2506</v>
      </c>
      <c r="E5074" s="1" t="s">
        <v>2019</v>
      </c>
      <c r="F5074" s="1" t="s">
        <v>1055</v>
      </c>
      <c r="G5074" s="6">
        <v>1113962</v>
      </c>
      <c r="H5074" t="str">
        <f>IFERROR(VLOOKUP(F5074,'LEAID Match'!$A$2:$B$142,2,FALSE),"")</f>
        <v/>
      </c>
    </row>
    <row r="5075" spans="1:8" x14ac:dyDescent="0.2">
      <c r="A5075" t="str">
        <f t="shared" si="79"/>
        <v/>
      </c>
      <c r="B5075" s="1">
        <v>2019</v>
      </c>
      <c r="C5075" s="1" t="s">
        <v>2505</v>
      </c>
      <c r="D5075" s="1" t="s">
        <v>2506</v>
      </c>
      <c r="E5075" s="1" t="s">
        <v>2019</v>
      </c>
      <c r="F5075" s="1" t="s">
        <v>1055</v>
      </c>
      <c r="G5075" s="6">
        <v>1163542</v>
      </c>
      <c r="H5075" t="str">
        <f>IFERROR(VLOOKUP(F5075,'LEAID Match'!$A$2:$B$142,2,FALSE),"")</f>
        <v/>
      </c>
    </row>
    <row r="5076" spans="1:8" x14ac:dyDescent="0.2">
      <c r="A5076" t="str">
        <f t="shared" si="79"/>
        <v/>
      </c>
      <c r="B5076" s="1">
        <v>2020</v>
      </c>
      <c r="C5076" s="1" t="s">
        <v>2505</v>
      </c>
      <c r="D5076" s="1" t="s">
        <v>2506</v>
      </c>
      <c r="E5076" s="1" t="s">
        <v>2019</v>
      </c>
      <c r="F5076" s="1" t="s">
        <v>505</v>
      </c>
      <c r="G5076" s="6">
        <v>1330610</v>
      </c>
      <c r="H5076" t="str">
        <f>IFERROR(VLOOKUP(F5076,'LEAID Match'!$A$2:$B$142,2,FALSE),"")</f>
        <v/>
      </c>
    </row>
    <row r="5077" spans="1:8" x14ac:dyDescent="0.2">
      <c r="A5077" t="str">
        <f t="shared" si="79"/>
        <v/>
      </c>
      <c r="B5077" s="1">
        <v>2021</v>
      </c>
      <c r="C5077" s="1" t="s">
        <v>2505</v>
      </c>
      <c r="D5077" s="1" t="s">
        <v>2506</v>
      </c>
      <c r="E5077" s="1" t="s">
        <v>2019</v>
      </c>
      <c r="F5077" s="1" t="s">
        <v>505</v>
      </c>
      <c r="G5077" s="6">
        <v>1350244</v>
      </c>
      <c r="H5077" t="str">
        <f>IFERROR(VLOOKUP(F5077,'LEAID Match'!$A$2:$B$142,2,FALSE),"")</f>
        <v/>
      </c>
    </row>
    <row r="5078" spans="1:8" x14ac:dyDescent="0.2">
      <c r="A5078" t="str">
        <f t="shared" si="79"/>
        <v/>
      </c>
      <c r="B5078" s="1">
        <v>2022</v>
      </c>
      <c r="C5078" s="1" t="s">
        <v>2505</v>
      </c>
      <c r="D5078" s="1" t="s">
        <v>2506</v>
      </c>
      <c r="E5078" s="1" t="s">
        <v>2019</v>
      </c>
      <c r="F5078" s="1" t="s">
        <v>505</v>
      </c>
      <c r="G5078" s="6">
        <v>1341601</v>
      </c>
      <c r="H5078" t="str">
        <f>IFERROR(VLOOKUP(F5078,'LEAID Match'!$A$2:$B$142,2,FALSE),"")</f>
        <v/>
      </c>
    </row>
    <row r="5079" spans="1:8" x14ac:dyDescent="0.2">
      <c r="A5079" t="str">
        <f t="shared" si="79"/>
        <v/>
      </c>
      <c r="B5079" s="1">
        <v>2023</v>
      </c>
      <c r="C5079" s="1" t="s">
        <v>2505</v>
      </c>
      <c r="D5079" s="1" t="s">
        <v>2506</v>
      </c>
      <c r="E5079" s="1" t="s">
        <v>2019</v>
      </c>
      <c r="F5079" s="1" t="s">
        <v>505</v>
      </c>
      <c r="G5079" s="6">
        <v>1445319</v>
      </c>
      <c r="H5079" t="str">
        <f>IFERROR(VLOOKUP(F5079,'LEAID Match'!$A$2:$B$142,2,FALSE),"")</f>
        <v/>
      </c>
    </row>
    <row r="5080" spans="1:8" x14ac:dyDescent="0.2">
      <c r="A5080" t="str">
        <f t="shared" si="79"/>
        <v/>
      </c>
      <c r="B5080" s="1">
        <v>2024</v>
      </c>
      <c r="C5080" s="1" t="s">
        <v>2505</v>
      </c>
      <c r="D5080" s="1" t="s">
        <v>2506</v>
      </c>
      <c r="E5080" s="1" t="s">
        <v>2019</v>
      </c>
      <c r="F5080" s="1" t="s">
        <v>505</v>
      </c>
      <c r="G5080" s="6">
        <v>1479160</v>
      </c>
      <c r="H5080" t="str">
        <f>IFERROR(VLOOKUP(F5080,'LEAID Match'!$A$2:$B$142,2,FALSE),"")</f>
        <v/>
      </c>
    </row>
    <row r="5081" spans="1:8" x14ac:dyDescent="0.2">
      <c r="A5081" t="str">
        <f t="shared" si="79"/>
        <v/>
      </c>
      <c r="B5081">
        <v>2016</v>
      </c>
      <c r="C5081" s="1" t="s">
        <v>2505</v>
      </c>
      <c r="D5081" s="1" t="s">
        <v>2506</v>
      </c>
      <c r="E5081" s="1" t="s">
        <v>2019</v>
      </c>
      <c r="F5081" s="1" t="s">
        <v>1056</v>
      </c>
      <c r="G5081" s="12">
        <v>237016</v>
      </c>
      <c r="H5081" t="str">
        <f>IFERROR(VLOOKUP(F5081,'LEAID Match'!$A$2:$B$142,2,FALSE),"")</f>
        <v/>
      </c>
    </row>
    <row r="5082" spans="1:8" x14ac:dyDescent="0.2">
      <c r="A5082" t="str">
        <f t="shared" si="79"/>
        <v/>
      </c>
      <c r="B5082" s="1">
        <v>2017</v>
      </c>
      <c r="C5082" s="1" t="s">
        <v>2505</v>
      </c>
      <c r="D5082" s="1" t="s">
        <v>2506</v>
      </c>
      <c r="E5082" s="1" t="s">
        <v>2019</v>
      </c>
      <c r="F5082" s="1" t="s">
        <v>1056</v>
      </c>
      <c r="G5082" s="50">
        <v>276057</v>
      </c>
      <c r="H5082" t="str">
        <f>IFERROR(VLOOKUP(F5082,'LEAID Match'!$A$2:$B$142,2,FALSE),"")</f>
        <v/>
      </c>
    </row>
    <row r="5083" spans="1:8" x14ac:dyDescent="0.2">
      <c r="A5083" t="str">
        <f t="shared" si="79"/>
        <v/>
      </c>
      <c r="B5083" s="1">
        <v>2018</v>
      </c>
      <c r="C5083" s="1" t="s">
        <v>2505</v>
      </c>
      <c r="D5083" s="1" t="s">
        <v>2506</v>
      </c>
      <c r="E5083" s="1" t="s">
        <v>2019</v>
      </c>
      <c r="F5083" s="1" t="s">
        <v>1056</v>
      </c>
      <c r="G5083" s="6">
        <v>245924</v>
      </c>
      <c r="H5083" t="str">
        <f>IFERROR(VLOOKUP(F5083,'LEAID Match'!$A$2:$B$142,2,FALSE),"")</f>
        <v/>
      </c>
    </row>
    <row r="5084" spans="1:8" x14ac:dyDescent="0.2">
      <c r="A5084" t="str">
        <f t="shared" si="79"/>
        <v/>
      </c>
      <c r="B5084" s="1">
        <v>2019</v>
      </c>
      <c r="C5084" s="1" t="s">
        <v>2505</v>
      </c>
      <c r="D5084" s="1" t="s">
        <v>2506</v>
      </c>
      <c r="E5084" s="1" t="s">
        <v>2019</v>
      </c>
      <c r="F5084" s="1" t="s">
        <v>1056</v>
      </c>
      <c r="G5084" s="6">
        <v>175468</v>
      </c>
      <c r="H5084" t="str">
        <f>IFERROR(VLOOKUP(F5084,'LEAID Match'!$A$2:$B$142,2,FALSE),"")</f>
        <v/>
      </c>
    </row>
    <row r="5085" spans="1:8" x14ac:dyDescent="0.2">
      <c r="A5085" t="str">
        <f t="shared" si="79"/>
        <v/>
      </c>
      <c r="B5085" s="1">
        <v>2020</v>
      </c>
      <c r="C5085" s="1" t="s">
        <v>2505</v>
      </c>
      <c r="D5085" s="1" t="s">
        <v>2506</v>
      </c>
      <c r="E5085" s="1" t="s">
        <v>2019</v>
      </c>
      <c r="F5085" s="1" t="s">
        <v>911</v>
      </c>
      <c r="G5085" s="6">
        <v>218247</v>
      </c>
      <c r="H5085" t="str">
        <f>IFERROR(VLOOKUP(F5085,'LEAID Match'!$A$2:$B$142,2,FALSE),"")</f>
        <v/>
      </c>
    </row>
    <row r="5086" spans="1:8" x14ac:dyDescent="0.2">
      <c r="A5086" t="str">
        <f t="shared" si="79"/>
        <v/>
      </c>
      <c r="B5086" s="1">
        <v>2021</v>
      </c>
      <c r="C5086" s="1" t="s">
        <v>2505</v>
      </c>
      <c r="D5086" s="1" t="s">
        <v>2506</v>
      </c>
      <c r="E5086" s="1" t="s">
        <v>2019</v>
      </c>
      <c r="F5086" s="1" t="s">
        <v>911</v>
      </c>
      <c r="G5086" s="6">
        <v>268332</v>
      </c>
      <c r="H5086" t="str">
        <f>IFERROR(VLOOKUP(F5086,'LEAID Match'!$A$2:$B$142,2,FALSE),"")</f>
        <v/>
      </c>
    </row>
    <row r="5087" spans="1:8" x14ac:dyDescent="0.2">
      <c r="A5087" t="str">
        <f t="shared" si="79"/>
        <v/>
      </c>
      <c r="B5087">
        <v>2016</v>
      </c>
      <c r="C5087" s="1" t="s">
        <v>2505</v>
      </c>
      <c r="D5087" s="1" t="s">
        <v>2506</v>
      </c>
      <c r="E5087" s="1" t="s">
        <v>2019</v>
      </c>
      <c r="F5087" s="1" t="s">
        <v>506</v>
      </c>
      <c r="G5087" s="12">
        <v>25028</v>
      </c>
      <c r="H5087" t="str">
        <f>IFERROR(VLOOKUP(F5087,'LEAID Match'!$A$2:$B$142,2,FALSE),"")</f>
        <v/>
      </c>
    </row>
    <row r="5088" spans="1:8" x14ac:dyDescent="0.2">
      <c r="A5088" t="str">
        <f t="shared" si="79"/>
        <v/>
      </c>
      <c r="B5088" s="1">
        <v>2017</v>
      </c>
      <c r="C5088" s="1" t="s">
        <v>2505</v>
      </c>
      <c r="D5088" s="1" t="s">
        <v>2506</v>
      </c>
      <c r="E5088" s="1" t="s">
        <v>2019</v>
      </c>
      <c r="F5088" s="1" t="s">
        <v>506</v>
      </c>
      <c r="G5088" s="50">
        <v>25017</v>
      </c>
      <c r="H5088" t="str">
        <f>IFERROR(VLOOKUP(F5088,'LEAID Match'!$A$2:$B$142,2,FALSE),"")</f>
        <v/>
      </c>
    </row>
    <row r="5089" spans="1:8" x14ac:dyDescent="0.2">
      <c r="A5089" t="str">
        <f t="shared" si="79"/>
        <v/>
      </c>
      <c r="B5089" s="1">
        <v>2018</v>
      </c>
      <c r="C5089" s="1" t="s">
        <v>2505</v>
      </c>
      <c r="D5089" s="1" t="s">
        <v>2506</v>
      </c>
      <c r="E5089" s="1" t="s">
        <v>2019</v>
      </c>
      <c r="F5089" s="1" t="s">
        <v>506</v>
      </c>
      <c r="G5089" s="6">
        <v>24547</v>
      </c>
      <c r="H5089" t="str">
        <f>IFERROR(VLOOKUP(F5089,'LEAID Match'!$A$2:$B$142,2,FALSE),"")</f>
        <v/>
      </c>
    </row>
    <row r="5090" spans="1:8" x14ac:dyDescent="0.2">
      <c r="A5090" t="str">
        <f t="shared" si="79"/>
        <v/>
      </c>
      <c r="B5090" s="1">
        <v>2019</v>
      </c>
      <c r="C5090" s="1" t="s">
        <v>2505</v>
      </c>
      <c r="D5090" s="1" t="s">
        <v>2506</v>
      </c>
      <c r="E5090" s="1" t="s">
        <v>2019</v>
      </c>
      <c r="F5090" s="1" t="s">
        <v>506</v>
      </c>
      <c r="G5090" s="6">
        <v>23681</v>
      </c>
      <c r="H5090" t="str">
        <f>IFERROR(VLOOKUP(F5090,'LEAID Match'!$A$2:$B$142,2,FALSE),"")</f>
        <v/>
      </c>
    </row>
    <row r="5091" spans="1:8" x14ac:dyDescent="0.2">
      <c r="A5091" t="str">
        <f t="shared" si="79"/>
        <v/>
      </c>
      <c r="B5091" s="1">
        <v>2020</v>
      </c>
      <c r="C5091" s="1" t="s">
        <v>2505</v>
      </c>
      <c r="D5091" s="1" t="s">
        <v>2506</v>
      </c>
      <c r="E5091" s="1" t="s">
        <v>2019</v>
      </c>
      <c r="F5091" s="1" t="s">
        <v>506</v>
      </c>
      <c r="G5091" s="6">
        <v>25814</v>
      </c>
      <c r="H5091" t="str">
        <f>IFERROR(VLOOKUP(F5091,'LEAID Match'!$A$2:$B$142,2,FALSE),"")</f>
        <v/>
      </c>
    </row>
    <row r="5092" spans="1:8" x14ac:dyDescent="0.2">
      <c r="A5092" t="str">
        <f t="shared" si="79"/>
        <v/>
      </c>
      <c r="B5092" s="1">
        <v>2021</v>
      </c>
      <c r="C5092" s="1" t="s">
        <v>2505</v>
      </c>
      <c r="D5092" s="1" t="s">
        <v>2506</v>
      </c>
      <c r="E5092" s="1" t="s">
        <v>2019</v>
      </c>
      <c r="F5092" s="1" t="s">
        <v>506</v>
      </c>
      <c r="G5092" s="6">
        <v>16474</v>
      </c>
      <c r="H5092" t="str">
        <f>IFERROR(VLOOKUP(F5092,'LEAID Match'!$A$2:$B$142,2,FALSE),"")</f>
        <v/>
      </c>
    </row>
    <row r="5093" spans="1:8" x14ac:dyDescent="0.2">
      <c r="A5093" t="str">
        <f t="shared" si="79"/>
        <v/>
      </c>
      <c r="B5093" s="1">
        <v>2022</v>
      </c>
      <c r="C5093" s="1" t="s">
        <v>2505</v>
      </c>
      <c r="D5093" s="1" t="s">
        <v>2506</v>
      </c>
      <c r="E5093" s="1" t="s">
        <v>2019</v>
      </c>
      <c r="F5093" s="1" t="s">
        <v>506</v>
      </c>
      <c r="G5093" s="6">
        <v>23431</v>
      </c>
      <c r="H5093" t="str">
        <f>IFERROR(VLOOKUP(F5093,'LEAID Match'!$A$2:$B$142,2,FALSE),"")</f>
        <v/>
      </c>
    </row>
    <row r="5094" spans="1:8" x14ac:dyDescent="0.2">
      <c r="A5094" t="str">
        <f t="shared" si="79"/>
        <v/>
      </c>
      <c r="B5094" s="1">
        <v>2023</v>
      </c>
      <c r="C5094" s="1" t="s">
        <v>2505</v>
      </c>
      <c r="D5094" s="1" t="s">
        <v>2506</v>
      </c>
      <c r="E5094" s="1" t="s">
        <v>2019</v>
      </c>
      <c r="F5094" s="1" t="s">
        <v>506</v>
      </c>
      <c r="G5094" s="6">
        <v>23864</v>
      </c>
      <c r="H5094" t="str">
        <f>IFERROR(VLOOKUP(F5094,'LEAID Match'!$A$2:$B$142,2,FALSE),"")</f>
        <v/>
      </c>
    </row>
    <row r="5095" spans="1:8" x14ac:dyDescent="0.2">
      <c r="A5095" t="str">
        <f t="shared" si="79"/>
        <v/>
      </c>
      <c r="B5095" s="1">
        <v>2024</v>
      </c>
      <c r="C5095" s="1" t="s">
        <v>2505</v>
      </c>
      <c r="D5095" s="1" t="s">
        <v>2506</v>
      </c>
      <c r="E5095" s="1" t="s">
        <v>2019</v>
      </c>
      <c r="F5095" s="1" t="s">
        <v>506</v>
      </c>
      <c r="G5095" s="6">
        <v>31189</v>
      </c>
      <c r="H5095" t="str">
        <f>IFERROR(VLOOKUP(F5095,'LEAID Match'!$A$2:$B$142,2,FALSE),"")</f>
        <v/>
      </c>
    </row>
    <row r="5096" spans="1:8" x14ac:dyDescent="0.2">
      <c r="A5096" t="str">
        <f t="shared" si="79"/>
        <v/>
      </c>
      <c r="B5096">
        <v>2016</v>
      </c>
      <c r="C5096" s="1" t="s">
        <v>2505</v>
      </c>
      <c r="D5096" s="1" t="s">
        <v>2506</v>
      </c>
      <c r="E5096" s="1" t="s">
        <v>2019</v>
      </c>
      <c r="F5096" s="1" t="s">
        <v>509</v>
      </c>
      <c r="G5096" s="12">
        <v>193552</v>
      </c>
      <c r="H5096" t="str">
        <f>IFERROR(VLOOKUP(F5096,'LEAID Match'!$A$2:$B$142,2,FALSE),"")</f>
        <v/>
      </c>
    </row>
    <row r="5097" spans="1:8" x14ac:dyDescent="0.2">
      <c r="A5097" t="str">
        <f t="shared" si="79"/>
        <v/>
      </c>
      <c r="B5097" s="1">
        <v>2017</v>
      </c>
      <c r="C5097" s="1" t="s">
        <v>2505</v>
      </c>
      <c r="D5097" s="1" t="s">
        <v>2506</v>
      </c>
      <c r="E5097" s="1" t="s">
        <v>2019</v>
      </c>
      <c r="F5097" s="1" t="s">
        <v>509</v>
      </c>
      <c r="G5097" s="50">
        <v>201804</v>
      </c>
      <c r="H5097" t="str">
        <f>IFERROR(VLOOKUP(F5097,'LEAID Match'!$A$2:$B$142,2,FALSE),"")</f>
        <v/>
      </c>
    </row>
    <row r="5098" spans="1:8" x14ac:dyDescent="0.2">
      <c r="A5098" t="str">
        <f t="shared" si="79"/>
        <v/>
      </c>
      <c r="B5098" s="1">
        <v>2018</v>
      </c>
      <c r="C5098" s="1" t="s">
        <v>2505</v>
      </c>
      <c r="D5098" s="1" t="s">
        <v>2506</v>
      </c>
      <c r="E5098" s="1" t="s">
        <v>2019</v>
      </c>
      <c r="F5098" s="1" t="s">
        <v>509</v>
      </c>
      <c r="G5098" s="6">
        <v>194049</v>
      </c>
      <c r="H5098" t="str">
        <f>IFERROR(VLOOKUP(F5098,'LEAID Match'!$A$2:$B$142,2,FALSE),"")</f>
        <v/>
      </c>
    </row>
    <row r="5099" spans="1:8" x14ac:dyDescent="0.2">
      <c r="A5099" t="str">
        <f t="shared" si="79"/>
        <v/>
      </c>
      <c r="B5099" s="1">
        <v>2019</v>
      </c>
      <c r="C5099" s="1" t="s">
        <v>2505</v>
      </c>
      <c r="D5099" s="1" t="s">
        <v>2506</v>
      </c>
      <c r="E5099" s="1" t="s">
        <v>2019</v>
      </c>
      <c r="F5099" s="1" t="s">
        <v>509</v>
      </c>
      <c r="G5099" s="6">
        <v>184783</v>
      </c>
      <c r="H5099" t="str">
        <f>IFERROR(VLOOKUP(F5099,'LEAID Match'!$A$2:$B$142,2,FALSE),"")</f>
        <v/>
      </c>
    </row>
    <row r="5100" spans="1:8" x14ac:dyDescent="0.2">
      <c r="A5100" t="str">
        <f t="shared" si="79"/>
        <v/>
      </c>
      <c r="B5100" s="1">
        <v>2020</v>
      </c>
      <c r="C5100" s="1" t="s">
        <v>2505</v>
      </c>
      <c r="D5100" s="1" t="s">
        <v>2506</v>
      </c>
      <c r="E5100" s="1" t="s">
        <v>2019</v>
      </c>
      <c r="F5100" s="1" t="s">
        <v>509</v>
      </c>
      <c r="G5100" s="6">
        <v>204351</v>
      </c>
      <c r="H5100" t="str">
        <f>IFERROR(VLOOKUP(F5100,'LEAID Match'!$A$2:$B$142,2,FALSE),"")</f>
        <v/>
      </c>
    </row>
    <row r="5101" spans="1:8" x14ac:dyDescent="0.2">
      <c r="A5101" t="str">
        <f t="shared" si="79"/>
        <v/>
      </c>
      <c r="B5101" s="1">
        <v>2021</v>
      </c>
      <c r="C5101" s="1" t="s">
        <v>2505</v>
      </c>
      <c r="D5101" s="1" t="s">
        <v>2506</v>
      </c>
      <c r="E5101" s="1" t="s">
        <v>2019</v>
      </c>
      <c r="F5101" s="1" t="s">
        <v>509</v>
      </c>
      <c r="G5101" s="6">
        <v>206036</v>
      </c>
      <c r="H5101" t="str">
        <f>IFERROR(VLOOKUP(F5101,'LEAID Match'!$A$2:$B$142,2,FALSE),"")</f>
        <v/>
      </c>
    </row>
    <row r="5102" spans="1:8" x14ac:dyDescent="0.2">
      <c r="A5102" t="str">
        <f t="shared" si="79"/>
        <v/>
      </c>
      <c r="B5102" s="1">
        <v>2022</v>
      </c>
      <c r="C5102" s="1" t="s">
        <v>2505</v>
      </c>
      <c r="D5102" s="1" t="s">
        <v>2506</v>
      </c>
      <c r="E5102" s="1" t="s">
        <v>2019</v>
      </c>
      <c r="F5102" s="1" t="s">
        <v>509</v>
      </c>
      <c r="G5102" s="6">
        <v>206739</v>
      </c>
      <c r="H5102" t="str">
        <f>IFERROR(VLOOKUP(F5102,'LEAID Match'!$A$2:$B$142,2,FALSE),"")</f>
        <v/>
      </c>
    </row>
    <row r="5103" spans="1:8" x14ac:dyDescent="0.2">
      <c r="A5103" t="str">
        <f t="shared" si="79"/>
        <v/>
      </c>
      <c r="B5103" s="1">
        <v>2023</v>
      </c>
      <c r="C5103" s="1" t="s">
        <v>2505</v>
      </c>
      <c r="D5103" s="1" t="s">
        <v>2506</v>
      </c>
      <c r="E5103" s="1" t="s">
        <v>2019</v>
      </c>
      <c r="F5103" s="1" t="s">
        <v>509</v>
      </c>
      <c r="G5103" s="6">
        <v>210513</v>
      </c>
      <c r="H5103" t="str">
        <f>IFERROR(VLOOKUP(F5103,'LEAID Match'!$A$2:$B$142,2,FALSE),"")</f>
        <v/>
      </c>
    </row>
    <row r="5104" spans="1:8" x14ac:dyDescent="0.2">
      <c r="A5104" t="str">
        <f t="shared" si="79"/>
        <v/>
      </c>
      <c r="B5104" s="1">
        <v>2024</v>
      </c>
      <c r="C5104" s="1" t="s">
        <v>2505</v>
      </c>
      <c r="D5104" s="1" t="s">
        <v>2506</v>
      </c>
      <c r="E5104" s="1" t="s">
        <v>2019</v>
      </c>
      <c r="F5104" s="1" t="s">
        <v>509</v>
      </c>
      <c r="G5104" s="6">
        <v>225773</v>
      </c>
      <c r="H5104" t="str">
        <f>IFERROR(VLOOKUP(F5104,'LEAID Match'!$A$2:$B$142,2,FALSE),"")</f>
        <v/>
      </c>
    </row>
    <row r="5105" spans="1:8" x14ac:dyDescent="0.2">
      <c r="A5105" t="str">
        <f t="shared" si="79"/>
        <v/>
      </c>
      <c r="B5105">
        <v>2016</v>
      </c>
      <c r="C5105" s="1" t="s">
        <v>2505</v>
      </c>
      <c r="D5105" s="1" t="s">
        <v>2506</v>
      </c>
      <c r="E5105" s="1" t="s">
        <v>2019</v>
      </c>
      <c r="F5105" s="1" t="s">
        <v>510</v>
      </c>
      <c r="G5105" s="12">
        <v>222706</v>
      </c>
      <c r="H5105" t="str">
        <f>IFERROR(VLOOKUP(F5105,'LEAID Match'!$A$2:$B$142,2,FALSE),"")</f>
        <v/>
      </c>
    </row>
    <row r="5106" spans="1:8" x14ac:dyDescent="0.2">
      <c r="A5106" t="str">
        <f t="shared" si="79"/>
        <v/>
      </c>
      <c r="B5106" s="1">
        <v>2017</v>
      </c>
      <c r="C5106" s="1" t="s">
        <v>2505</v>
      </c>
      <c r="D5106" s="1" t="s">
        <v>2506</v>
      </c>
      <c r="E5106" s="1" t="s">
        <v>2019</v>
      </c>
      <c r="F5106" s="1" t="s">
        <v>510</v>
      </c>
      <c r="G5106" s="50">
        <v>210013</v>
      </c>
      <c r="H5106" t="str">
        <f>IFERROR(VLOOKUP(F5106,'LEAID Match'!$A$2:$B$142,2,FALSE),"")</f>
        <v/>
      </c>
    </row>
    <row r="5107" spans="1:8" x14ac:dyDescent="0.2">
      <c r="A5107" t="str">
        <f t="shared" si="79"/>
        <v/>
      </c>
      <c r="B5107" s="1">
        <v>2018</v>
      </c>
      <c r="C5107" s="1" t="s">
        <v>2505</v>
      </c>
      <c r="D5107" s="1" t="s">
        <v>2506</v>
      </c>
      <c r="E5107" s="1" t="s">
        <v>2019</v>
      </c>
      <c r="F5107" s="1" t="s">
        <v>1058</v>
      </c>
      <c r="G5107" s="6">
        <v>195926</v>
      </c>
      <c r="H5107" t="str">
        <f>IFERROR(VLOOKUP(F5107,'LEAID Match'!$A$2:$B$142,2,FALSE),"")</f>
        <v/>
      </c>
    </row>
    <row r="5108" spans="1:8" x14ac:dyDescent="0.2">
      <c r="A5108" t="str">
        <f t="shared" si="79"/>
        <v/>
      </c>
      <c r="B5108" s="1">
        <v>2019</v>
      </c>
      <c r="C5108" s="1" t="s">
        <v>2505</v>
      </c>
      <c r="D5108" s="1" t="s">
        <v>2506</v>
      </c>
      <c r="E5108" s="1" t="s">
        <v>2019</v>
      </c>
      <c r="F5108" s="1" t="s">
        <v>1058</v>
      </c>
      <c r="G5108" s="6">
        <v>200331</v>
      </c>
      <c r="H5108" t="str">
        <f>IFERROR(VLOOKUP(F5108,'LEAID Match'!$A$2:$B$142,2,FALSE),"")</f>
        <v/>
      </c>
    </row>
    <row r="5109" spans="1:8" x14ac:dyDescent="0.2">
      <c r="A5109" t="str">
        <f t="shared" si="79"/>
        <v/>
      </c>
      <c r="B5109" s="1">
        <v>2020</v>
      </c>
      <c r="C5109" s="1" t="s">
        <v>2505</v>
      </c>
      <c r="D5109" s="1" t="s">
        <v>2506</v>
      </c>
      <c r="E5109" s="1" t="s">
        <v>2019</v>
      </c>
      <c r="F5109" s="1" t="s">
        <v>510</v>
      </c>
      <c r="G5109" s="6">
        <v>219232</v>
      </c>
      <c r="H5109" t="str">
        <f>IFERROR(VLOOKUP(F5109,'LEAID Match'!$A$2:$B$142,2,FALSE),"")</f>
        <v/>
      </c>
    </row>
    <row r="5110" spans="1:8" x14ac:dyDescent="0.2">
      <c r="A5110" t="str">
        <f t="shared" si="79"/>
        <v/>
      </c>
      <c r="B5110" s="1">
        <v>2021</v>
      </c>
      <c r="C5110" s="1" t="s">
        <v>2505</v>
      </c>
      <c r="D5110" s="1" t="s">
        <v>2506</v>
      </c>
      <c r="E5110" s="1" t="s">
        <v>2019</v>
      </c>
      <c r="F5110" s="1" t="s">
        <v>510</v>
      </c>
      <c r="G5110" s="6">
        <v>220547</v>
      </c>
      <c r="H5110" t="str">
        <f>IFERROR(VLOOKUP(F5110,'LEAID Match'!$A$2:$B$142,2,FALSE),"")</f>
        <v/>
      </c>
    </row>
    <row r="5111" spans="1:8" x14ac:dyDescent="0.2">
      <c r="A5111" t="str">
        <f t="shared" si="79"/>
        <v/>
      </c>
      <c r="B5111" s="1">
        <v>2022</v>
      </c>
      <c r="C5111" s="1" t="s">
        <v>2505</v>
      </c>
      <c r="D5111" s="1" t="s">
        <v>2506</v>
      </c>
      <c r="E5111" s="1" t="s">
        <v>2019</v>
      </c>
      <c r="F5111" s="1" t="s">
        <v>510</v>
      </c>
      <c r="G5111" s="6">
        <v>266653</v>
      </c>
      <c r="H5111" t="str">
        <f>IFERROR(VLOOKUP(F5111,'LEAID Match'!$A$2:$B$142,2,FALSE),"")</f>
        <v/>
      </c>
    </row>
    <row r="5112" spans="1:8" x14ac:dyDescent="0.2">
      <c r="A5112" t="str">
        <f t="shared" si="79"/>
        <v/>
      </c>
      <c r="B5112" s="1">
        <v>2023</v>
      </c>
      <c r="C5112" s="1" t="s">
        <v>2505</v>
      </c>
      <c r="D5112" s="1" t="s">
        <v>2506</v>
      </c>
      <c r="E5112" s="1" t="s">
        <v>2019</v>
      </c>
      <c r="F5112" s="1" t="s">
        <v>510</v>
      </c>
      <c r="G5112" s="6">
        <v>295364</v>
      </c>
      <c r="H5112" t="str">
        <f>IFERROR(VLOOKUP(F5112,'LEAID Match'!$A$2:$B$142,2,FALSE),"")</f>
        <v/>
      </c>
    </row>
    <row r="5113" spans="1:8" x14ac:dyDescent="0.2">
      <c r="A5113" t="str">
        <f t="shared" si="79"/>
        <v/>
      </c>
      <c r="B5113" s="1">
        <v>2024</v>
      </c>
      <c r="C5113" s="1" t="s">
        <v>2505</v>
      </c>
      <c r="D5113" s="1" t="s">
        <v>2506</v>
      </c>
      <c r="E5113" s="1" t="s">
        <v>2019</v>
      </c>
      <c r="F5113" s="1" t="s">
        <v>510</v>
      </c>
      <c r="G5113" s="6">
        <v>337848</v>
      </c>
      <c r="H5113" t="str">
        <f>IFERROR(VLOOKUP(F5113,'LEAID Match'!$A$2:$B$142,2,FALSE),"")</f>
        <v/>
      </c>
    </row>
    <row r="5114" spans="1:8" x14ac:dyDescent="0.2">
      <c r="A5114" t="str">
        <f t="shared" si="79"/>
        <v/>
      </c>
      <c r="B5114" s="1">
        <v>2018</v>
      </c>
      <c r="C5114" s="1" t="s">
        <v>2505</v>
      </c>
      <c r="D5114" s="1" t="s">
        <v>2506</v>
      </c>
      <c r="E5114" s="1" t="s">
        <v>2019</v>
      </c>
      <c r="F5114" s="1" t="s">
        <v>508</v>
      </c>
      <c r="G5114" s="6">
        <v>506461</v>
      </c>
      <c r="H5114" t="str">
        <f>IFERROR(VLOOKUP(F5114,'LEAID Match'!$A$2:$B$142,2,FALSE),"")</f>
        <v/>
      </c>
    </row>
    <row r="5115" spans="1:8" x14ac:dyDescent="0.2">
      <c r="A5115" t="str">
        <f t="shared" si="79"/>
        <v/>
      </c>
      <c r="B5115" s="1">
        <v>2019</v>
      </c>
      <c r="C5115" s="1" t="s">
        <v>2505</v>
      </c>
      <c r="D5115" s="1" t="s">
        <v>2506</v>
      </c>
      <c r="E5115" s="1" t="s">
        <v>2019</v>
      </c>
      <c r="F5115" s="1" t="s">
        <v>1059</v>
      </c>
      <c r="G5115" s="6">
        <v>350600</v>
      </c>
      <c r="H5115" t="str">
        <f>IFERROR(VLOOKUP(F5115,'LEAID Match'!$A$2:$B$142,2,FALSE),"")</f>
        <v/>
      </c>
    </row>
    <row r="5116" spans="1:8" x14ac:dyDescent="0.2">
      <c r="A5116" t="str">
        <f t="shared" si="79"/>
        <v/>
      </c>
      <c r="B5116" s="1">
        <v>2020</v>
      </c>
      <c r="C5116" s="1" t="s">
        <v>2505</v>
      </c>
      <c r="D5116" s="1" t="s">
        <v>2506</v>
      </c>
      <c r="E5116" s="1" t="s">
        <v>2019</v>
      </c>
      <c r="F5116" s="1" t="s">
        <v>508</v>
      </c>
      <c r="G5116" s="6">
        <v>394367</v>
      </c>
      <c r="H5116" t="str">
        <f>IFERROR(VLOOKUP(F5116,'LEAID Match'!$A$2:$B$142,2,FALSE),"")</f>
        <v/>
      </c>
    </row>
    <row r="5117" spans="1:8" x14ac:dyDescent="0.2">
      <c r="A5117" t="str">
        <f t="shared" si="79"/>
        <v/>
      </c>
      <c r="B5117" s="1">
        <v>2021</v>
      </c>
      <c r="C5117" s="1" t="s">
        <v>2505</v>
      </c>
      <c r="D5117" s="1" t="s">
        <v>2506</v>
      </c>
      <c r="E5117" s="1" t="s">
        <v>2019</v>
      </c>
      <c r="F5117" s="1" t="s">
        <v>508</v>
      </c>
      <c r="G5117" s="6">
        <v>399632</v>
      </c>
      <c r="H5117" t="str">
        <f>IFERROR(VLOOKUP(F5117,'LEAID Match'!$A$2:$B$142,2,FALSE),"")</f>
        <v/>
      </c>
    </row>
    <row r="5118" spans="1:8" x14ac:dyDescent="0.2">
      <c r="A5118" t="str">
        <f t="shared" si="79"/>
        <v/>
      </c>
      <c r="B5118" s="1">
        <v>2021</v>
      </c>
      <c r="C5118" s="1" t="s">
        <v>2505</v>
      </c>
      <c r="D5118" s="1" t="s">
        <v>2506</v>
      </c>
      <c r="E5118" s="1" t="s">
        <v>2019</v>
      </c>
      <c r="F5118" s="1" t="s">
        <v>508</v>
      </c>
      <c r="G5118" s="6">
        <v>656710</v>
      </c>
      <c r="H5118" t="str">
        <f>IFERROR(VLOOKUP(F5118,'LEAID Match'!$A$2:$B$142,2,FALSE),"")</f>
        <v/>
      </c>
    </row>
    <row r="5119" spans="1:8" x14ac:dyDescent="0.2">
      <c r="A5119" t="str">
        <f t="shared" si="79"/>
        <v/>
      </c>
      <c r="B5119" s="1">
        <v>2022</v>
      </c>
      <c r="C5119" s="1" t="s">
        <v>2505</v>
      </c>
      <c r="D5119" s="1" t="s">
        <v>2506</v>
      </c>
      <c r="E5119" s="1" t="s">
        <v>2019</v>
      </c>
      <c r="F5119" s="1" t="s">
        <v>508</v>
      </c>
      <c r="G5119" s="6">
        <v>420202</v>
      </c>
      <c r="H5119" t="str">
        <f>IFERROR(VLOOKUP(F5119,'LEAID Match'!$A$2:$B$142,2,FALSE),"")</f>
        <v/>
      </c>
    </row>
    <row r="5120" spans="1:8" x14ac:dyDescent="0.2">
      <c r="A5120" t="str">
        <f t="shared" si="79"/>
        <v/>
      </c>
      <c r="B5120" s="1">
        <v>2022</v>
      </c>
      <c r="C5120" s="1" t="s">
        <v>2505</v>
      </c>
      <c r="D5120" s="1" t="s">
        <v>2506</v>
      </c>
      <c r="E5120" s="1" t="s">
        <v>2019</v>
      </c>
      <c r="F5120" s="1" t="s">
        <v>508</v>
      </c>
      <c r="G5120" s="6">
        <v>701603</v>
      </c>
      <c r="H5120" t="str">
        <f>IFERROR(VLOOKUP(F5120,'LEAID Match'!$A$2:$B$142,2,FALSE),"")</f>
        <v/>
      </c>
    </row>
    <row r="5121" spans="1:8" x14ac:dyDescent="0.2">
      <c r="A5121" t="str">
        <f t="shared" si="79"/>
        <v/>
      </c>
      <c r="B5121" s="1">
        <v>2023</v>
      </c>
      <c r="C5121" s="1" t="s">
        <v>2505</v>
      </c>
      <c r="D5121" s="1" t="s">
        <v>2506</v>
      </c>
      <c r="E5121" s="1" t="s">
        <v>2019</v>
      </c>
      <c r="F5121" s="1" t="s">
        <v>508</v>
      </c>
      <c r="G5121" s="6">
        <v>433998</v>
      </c>
      <c r="H5121" t="str">
        <f>IFERROR(VLOOKUP(F5121,'LEAID Match'!$A$2:$B$142,2,FALSE),"")</f>
        <v/>
      </c>
    </row>
    <row r="5122" spans="1:8" x14ac:dyDescent="0.2">
      <c r="A5122" t="str">
        <f t="shared" si="79"/>
        <v/>
      </c>
      <c r="B5122" s="1">
        <v>2024</v>
      </c>
      <c r="C5122" s="1" t="s">
        <v>2505</v>
      </c>
      <c r="D5122" s="1" t="s">
        <v>2506</v>
      </c>
      <c r="E5122" s="1" t="s">
        <v>2019</v>
      </c>
      <c r="F5122" s="1" t="s">
        <v>508</v>
      </c>
      <c r="G5122" s="6">
        <v>451653</v>
      </c>
      <c r="H5122" t="str">
        <f>IFERROR(VLOOKUP(F5122,'LEAID Match'!$A$2:$B$142,2,FALSE),"")</f>
        <v/>
      </c>
    </row>
    <row r="5123" spans="1:8" x14ac:dyDescent="0.2">
      <c r="A5123" t="str">
        <f t="shared" ref="A5123:A5186" si="80">H5123</f>
        <v/>
      </c>
      <c r="B5123">
        <v>2016</v>
      </c>
      <c r="C5123" s="1" t="s">
        <v>2505</v>
      </c>
      <c r="D5123" s="1" t="s">
        <v>2506</v>
      </c>
      <c r="E5123" s="1" t="s">
        <v>2019</v>
      </c>
      <c r="F5123" s="1" t="s">
        <v>507</v>
      </c>
      <c r="G5123" s="12">
        <v>82549</v>
      </c>
      <c r="H5123" t="str">
        <f>IFERROR(VLOOKUP(F5123,'LEAID Match'!$A$2:$B$142,2,FALSE),"")</f>
        <v/>
      </c>
    </row>
    <row r="5124" spans="1:8" x14ac:dyDescent="0.2">
      <c r="A5124" t="str">
        <f t="shared" si="80"/>
        <v/>
      </c>
      <c r="B5124" s="1">
        <v>2017</v>
      </c>
      <c r="C5124" s="1" t="s">
        <v>2505</v>
      </c>
      <c r="D5124" s="1" t="s">
        <v>2506</v>
      </c>
      <c r="E5124" s="1" t="s">
        <v>2019</v>
      </c>
      <c r="F5124" s="1" t="s">
        <v>507</v>
      </c>
      <c r="G5124" s="50">
        <v>91416</v>
      </c>
      <c r="H5124" t="str">
        <f>IFERROR(VLOOKUP(F5124,'LEAID Match'!$A$2:$B$142,2,FALSE),"")</f>
        <v/>
      </c>
    </row>
    <row r="5125" spans="1:8" x14ac:dyDescent="0.2">
      <c r="A5125" t="str">
        <f t="shared" si="80"/>
        <v/>
      </c>
      <c r="B5125" s="1">
        <v>2018</v>
      </c>
      <c r="C5125" s="1" t="s">
        <v>2505</v>
      </c>
      <c r="D5125" s="1" t="s">
        <v>2506</v>
      </c>
      <c r="E5125" s="1" t="s">
        <v>2019</v>
      </c>
      <c r="F5125" s="1" t="s">
        <v>1060</v>
      </c>
      <c r="G5125" s="6">
        <v>108666</v>
      </c>
      <c r="H5125" t="str">
        <f>IFERROR(VLOOKUP(F5125,'LEAID Match'!$A$2:$B$142,2,FALSE),"")</f>
        <v/>
      </c>
    </row>
    <row r="5126" spans="1:8" x14ac:dyDescent="0.2">
      <c r="A5126" t="str">
        <f t="shared" si="80"/>
        <v/>
      </c>
      <c r="B5126" s="1">
        <v>2019</v>
      </c>
      <c r="C5126" s="1" t="s">
        <v>2505</v>
      </c>
      <c r="D5126" s="1" t="s">
        <v>2506</v>
      </c>
      <c r="E5126" s="1" t="s">
        <v>2019</v>
      </c>
      <c r="F5126" s="1" t="s">
        <v>1060</v>
      </c>
      <c r="G5126" s="6">
        <v>114101</v>
      </c>
      <c r="H5126" t="str">
        <f>IFERROR(VLOOKUP(F5126,'LEAID Match'!$A$2:$B$142,2,FALSE),"")</f>
        <v/>
      </c>
    </row>
    <row r="5127" spans="1:8" x14ac:dyDescent="0.2">
      <c r="A5127" t="str">
        <f t="shared" si="80"/>
        <v/>
      </c>
      <c r="B5127" s="1">
        <v>2020</v>
      </c>
      <c r="C5127" s="1" t="s">
        <v>2505</v>
      </c>
      <c r="D5127" s="1" t="s">
        <v>2506</v>
      </c>
      <c r="E5127" s="1" t="s">
        <v>2019</v>
      </c>
      <c r="F5127" s="1" t="s">
        <v>507</v>
      </c>
      <c r="G5127" s="6">
        <v>152834</v>
      </c>
      <c r="H5127" t="str">
        <f>IFERROR(VLOOKUP(F5127,'LEAID Match'!$A$2:$B$142,2,FALSE),"")</f>
        <v/>
      </c>
    </row>
    <row r="5128" spans="1:8" x14ac:dyDescent="0.2">
      <c r="A5128" t="str">
        <f t="shared" si="80"/>
        <v/>
      </c>
      <c r="B5128" s="1">
        <v>2021</v>
      </c>
      <c r="C5128" s="1" t="s">
        <v>2505</v>
      </c>
      <c r="D5128" s="1" t="s">
        <v>2506</v>
      </c>
      <c r="E5128" s="1" t="s">
        <v>2019</v>
      </c>
      <c r="F5128" s="1" t="s">
        <v>507</v>
      </c>
      <c r="G5128" s="6">
        <v>151643</v>
      </c>
      <c r="H5128" t="str">
        <f>IFERROR(VLOOKUP(F5128,'LEAID Match'!$A$2:$B$142,2,FALSE),"")</f>
        <v/>
      </c>
    </row>
    <row r="5129" spans="1:8" x14ac:dyDescent="0.2">
      <c r="A5129" t="str">
        <f t="shared" si="80"/>
        <v/>
      </c>
      <c r="B5129" s="1">
        <v>2022</v>
      </c>
      <c r="C5129" s="1" t="s">
        <v>2505</v>
      </c>
      <c r="D5129" s="1" t="s">
        <v>2506</v>
      </c>
      <c r="E5129" s="1" t="s">
        <v>2019</v>
      </c>
      <c r="F5129" s="1" t="s">
        <v>507</v>
      </c>
      <c r="G5129" s="6">
        <v>134048</v>
      </c>
      <c r="H5129" t="str">
        <f>IFERROR(VLOOKUP(F5129,'LEAID Match'!$A$2:$B$142,2,FALSE),"")</f>
        <v/>
      </c>
    </row>
    <row r="5130" spans="1:8" x14ac:dyDescent="0.2">
      <c r="A5130" t="str">
        <f t="shared" si="80"/>
        <v/>
      </c>
      <c r="B5130" s="1">
        <v>2023</v>
      </c>
      <c r="C5130" s="1" t="s">
        <v>2505</v>
      </c>
      <c r="D5130" s="1" t="s">
        <v>2506</v>
      </c>
      <c r="E5130" s="1" t="s">
        <v>2019</v>
      </c>
      <c r="F5130" s="1" t="s">
        <v>507</v>
      </c>
      <c r="G5130" s="6">
        <v>138033</v>
      </c>
      <c r="H5130" t="str">
        <f>IFERROR(VLOOKUP(F5130,'LEAID Match'!$A$2:$B$142,2,FALSE),"")</f>
        <v/>
      </c>
    </row>
    <row r="5131" spans="1:8" x14ac:dyDescent="0.2">
      <c r="A5131" t="str">
        <f t="shared" si="80"/>
        <v/>
      </c>
      <c r="B5131" s="1">
        <v>2023</v>
      </c>
      <c r="C5131" s="1" t="s">
        <v>2505</v>
      </c>
      <c r="D5131" s="1" t="s">
        <v>2506</v>
      </c>
      <c r="E5131" s="1" t="s">
        <v>2019</v>
      </c>
      <c r="F5131" s="1" t="s">
        <v>507</v>
      </c>
      <c r="G5131" s="6">
        <v>774063</v>
      </c>
      <c r="H5131" t="str">
        <f>IFERROR(VLOOKUP(F5131,'LEAID Match'!$A$2:$B$142,2,FALSE),"")</f>
        <v/>
      </c>
    </row>
    <row r="5132" spans="1:8" x14ac:dyDescent="0.2">
      <c r="A5132" t="str">
        <f t="shared" si="80"/>
        <v/>
      </c>
      <c r="B5132" s="1">
        <v>2024</v>
      </c>
      <c r="C5132" s="1" t="s">
        <v>2505</v>
      </c>
      <c r="D5132" s="1" t="s">
        <v>2506</v>
      </c>
      <c r="E5132" s="1" t="s">
        <v>2019</v>
      </c>
      <c r="F5132" s="1" t="s">
        <v>507</v>
      </c>
      <c r="G5132" s="6">
        <v>132939</v>
      </c>
      <c r="H5132" t="str">
        <f>IFERROR(VLOOKUP(F5132,'LEAID Match'!$A$2:$B$142,2,FALSE),"")</f>
        <v/>
      </c>
    </row>
    <row r="5133" spans="1:8" x14ac:dyDescent="0.2">
      <c r="A5133" t="str">
        <f t="shared" si="80"/>
        <v/>
      </c>
      <c r="B5133">
        <v>2016</v>
      </c>
      <c r="C5133" s="1" t="s">
        <v>2505</v>
      </c>
      <c r="D5133" s="1" t="s">
        <v>2506</v>
      </c>
      <c r="E5133" s="1" t="s">
        <v>2019</v>
      </c>
      <c r="F5133" s="1" t="s">
        <v>511</v>
      </c>
      <c r="G5133" s="12">
        <v>468794</v>
      </c>
      <c r="H5133" t="str">
        <f>IFERROR(VLOOKUP(F5133,'LEAID Match'!$A$2:$B$142,2,FALSE),"")</f>
        <v/>
      </c>
    </row>
    <row r="5134" spans="1:8" x14ac:dyDescent="0.2">
      <c r="A5134" t="str">
        <f t="shared" si="80"/>
        <v/>
      </c>
      <c r="B5134" s="1">
        <v>2017</v>
      </c>
      <c r="C5134" s="1" t="s">
        <v>2505</v>
      </c>
      <c r="D5134" s="1" t="s">
        <v>2506</v>
      </c>
      <c r="E5134" s="1" t="s">
        <v>2019</v>
      </c>
      <c r="F5134" s="1" t="s">
        <v>511</v>
      </c>
      <c r="G5134" s="50">
        <v>470767</v>
      </c>
      <c r="H5134" t="str">
        <f>IFERROR(VLOOKUP(F5134,'LEAID Match'!$A$2:$B$142,2,FALSE),"")</f>
        <v/>
      </c>
    </row>
    <row r="5135" spans="1:8" x14ac:dyDescent="0.2">
      <c r="A5135" t="str">
        <f t="shared" si="80"/>
        <v/>
      </c>
      <c r="B5135" s="1">
        <v>2020</v>
      </c>
      <c r="C5135" s="1" t="s">
        <v>2505</v>
      </c>
      <c r="D5135" s="1" t="s">
        <v>2506</v>
      </c>
      <c r="E5135" s="1" t="s">
        <v>2019</v>
      </c>
      <c r="F5135" s="1" t="s">
        <v>511</v>
      </c>
      <c r="G5135" s="6">
        <v>585065</v>
      </c>
      <c r="H5135" t="str">
        <f>IFERROR(VLOOKUP(F5135,'LEAID Match'!$A$2:$B$142,2,FALSE),"")</f>
        <v/>
      </c>
    </row>
    <row r="5136" spans="1:8" x14ac:dyDescent="0.2">
      <c r="A5136" t="str">
        <f t="shared" si="80"/>
        <v/>
      </c>
      <c r="B5136" s="1">
        <v>2024</v>
      </c>
      <c r="C5136" s="1" t="s">
        <v>2505</v>
      </c>
      <c r="D5136" s="1" t="s">
        <v>2506</v>
      </c>
      <c r="E5136" s="1" t="s">
        <v>2019</v>
      </c>
      <c r="F5136" s="1" t="s">
        <v>511</v>
      </c>
      <c r="G5136" s="6">
        <v>789995</v>
      </c>
      <c r="H5136" t="str">
        <f>IFERROR(VLOOKUP(F5136,'LEAID Match'!$A$2:$B$142,2,FALSE),"")</f>
        <v/>
      </c>
    </row>
    <row r="5137" spans="1:8" x14ac:dyDescent="0.2">
      <c r="A5137" t="str">
        <f t="shared" si="80"/>
        <v/>
      </c>
      <c r="B5137">
        <v>2016</v>
      </c>
      <c r="C5137" s="1" t="s">
        <v>2505</v>
      </c>
      <c r="D5137" s="1" t="s">
        <v>2506</v>
      </c>
      <c r="E5137" s="1" t="s">
        <v>2019</v>
      </c>
      <c r="F5137" s="1" t="s">
        <v>1061</v>
      </c>
      <c r="G5137" s="12">
        <v>308714</v>
      </c>
      <c r="H5137" t="str">
        <f>IFERROR(VLOOKUP(F5137,'LEAID Match'!$A$2:$B$142,2,FALSE),"")</f>
        <v/>
      </c>
    </row>
    <row r="5138" spans="1:8" x14ac:dyDescent="0.2">
      <c r="A5138" t="str">
        <f t="shared" si="80"/>
        <v/>
      </c>
      <c r="B5138" s="1">
        <v>2017</v>
      </c>
      <c r="C5138" s="1" t="s">
        <v>2505</v>
      </c>
      <c r="D5138" s="1" t="s">
        <v>2506</v>
      </c>
      <c r="E5138" s="1" t="s">
        <v>2019</v>
      </c>
      <c r="F5138" s="1" t="s">
        <v>1061</v>
      </c>
      <c r="G5138" s="50">
        <v>334424</v>
      </c>
      <c r="H5138" t="str">
        <f>IFERROR(VLOOKUP(F5138,'LEAID Match'!$A$2:$B$142,2,FALSE),"")</f>
        <v/>
      </c>
    </row>
    <row r="5139" spans="1:8" x14ac:dyDescent="0.2">
      <c r="A5139" t="str">
        <f t="shared" si="80"/>
        <v/>
      </c>
      <c r="B5139" s="1">
        <v>2018</v>
      </c>
      <c r="C5139" s="1" t="s">
        <v>2505</v>
      </c>
      <c r="D5139" s="1" t="s">
        <v>2506</v>
      </c>
      <c r="E5139" s="1" t="s">
        <v>2019</v>
      </c>
      <c r="F5139" s="1" t="s">
        <v>1061</v>
      </c>
      <c r="G5139" s="6">
        <v>330021</v>
      </c>
      <c r="H5139" t="str">
        <f>IFERROR(VLOOKUP(F5139,'LEAID Match'!$A$2:$B$142,2,FALSE),"")</f>
        <v/>
      </c>
    </row>
    <row r="5140" spans="1:8" x14ac:dyDescent="0.2">
      <c r="A5140" t="str">
        <f t="shared" si="80"/>
        <v/>
      </c>
      <c r="B5140" s="1">
        <v>2019</v>
      </c>
      <c r="C5140" s="1" t="s">
        <v>2505</v>
      </c>
      <c r="D5140" s="1" t="s">
        <v>2506</v>
      </c>
      <c r="E5140" s="1" t="s">
        <v>2019</v>
      </c>
      <c r="F5140" s="1" t="s">
        <v>1061</v>
      </c>
      <c r="G5140" s="6">
        <v>510116</v>
      </c>
      <c r="H5140" t="str">
        <f>IFERROR(VLOOKUP(F5140,'LEAID Match'!$A$2:$B$142,2,FALSE),"")</f>
        <v/>
      </c>
    </row>
    <row r="5141" spans="1:8" x14ac:dyDescent="0.2">
      <c r="A5141">
        <f t="shared" si="80"/>
        <v>2801189</v>
      </c>
      <c r="B5141" s="1">
        <v>2022</v>
      </c>
      <c r="C5141" s="1" t="s">
        <v>2505</v>
      </c>
      <c r="D5141" s="1" t="s">
        <v>2506</v>
      </c>
      <c r="E5141" s="1" t="s">
        <v>2019</v>
      </c>
      <c r="F5141" s="1" t="s">
        <v>512</v>
      </c>
      <c r="G5141" s="6">
        <v>848209</v>
      </c>
      <c r="H5141">
        <f>IFERROR(VLOOKUP(F5141,'LEAID Match'!$A$2:$B$142,2,FALSE),"")</f>
        <v>2801189</v>
      </c>
    </row>
    <row r="5142" spans="1:8" x14ac:dyDescent="0.2">
      <c r="A5142">
        <f t="shared" si="80"/>
        <v>2801189</v>
      </c>
      <c r="B5142" s="1">
        <v>2023</v>
      </c>
      <c r="C5142" s="1" t="s">
        <v>2505</v>
      </c>
      <c r="D5142" s="1" t="s">
        <v>2506</v>
      </c>
      <c r="E5142" s="1" t="s">
        <v>2019</v>
      </c>
      <c r="F5142" s="1" t="s">
        <v>512</v>
      </c>
      <c r="G5142" s="6">
        <v>1017654</v>
      </c>
      <c r="H5142">
        <f>IFERROR(VLOOKUP(F5142,'LEAID Match'!$A$2:$B$142,2,FALSE),"")</f>
        <v>2801189</v>
      </c>
    </row>
    <row r="5143" spans="1:8" x14ac:dyDescent="0.2">
      <c r="A5143">
        <f t="shared" si="80"/>
        <v>2801189</v>
      </c>
      <c r="B5143" s="1">
        <v>2024</v>
      </c>
      <c r="C5143" s="1" t="s">
        <v>2505</v>
      </c>
      <c r="D5143" s="1" t="s">
        <v>2506</v>
      </c>
      <c r="E5143" s="1" t="s">
        <v>2019</v>
      </c>
      <c r="F5143" s="1" t="s">
        <v>512</v>
      </c>
      <c r="G5143" s="6">
        <v>973779</v>
      </c>
      <c r="H5143">
        <f>IFERROR(VLOOKUP(F5143,'LEAID Match'!$A$2:$B$142,2,FALSE),"")</f>
        <v>2801189</v>
      </c>
    </row>
    <row r="5144" spans="1:8" x14ac:dyDescent="0.2">
      <c r="A5144" t="str">
        <f t="shared" si="80"/>
        <v/>
      </c>
      <c r="B5144" s="1">
        <v>2015</v>
      </c>
      <c r="C5144" s="1" t="s">
        <v>2505</v>
      </c>
      <c r="D5144" s="1" t="s">
        <v>2506</v>
      </c>
      <c r="E5144" s="1" t="s">
        <v>2019</v>
      </c>
      <c r="F5144" s="1" t="s">
        <v>1063</v>
      </c>
      <c r="G5144" s="6">
        <v>173182</v>
      </c>
      <c r="H5144" t="str">
        <f>IFERROR(VLOOKUP(F5144,'LEAID Match'!$A$2:$B$142,2,FALSE),"")</f>
        <v/>
      </c>
    </row>
    <row r="5145" spans="1:8" x14ac:dyDescent="0.2">
      <c r="A5145" t="str">
        <f t="shared" si="80"/>
        <v/>
      </c>
      <c r="B5145">
        <v>2016</v>
      </c>
      <c r="C5145" s="1" t="s">
        <v>2505</v>
      </c>
      <c r="D5145" s="1" t="s">
        <v>2506</v>
      </c>
      <c r="E5145" s="1" t="s">
        <v>2019</v>
      </c>
      <c r="F5145" s="1" t="s">
        <v>1063</v>
      </c>
      <c r="G5145" s="12">
        <v>186615</v>
      </c>
      <c r="H5145" t="str">
        <f>IFERROR(VLOOKUP(F5145,'LEAID Match'!$A$2:$B$142,2,FALSE),"")</f>
        <v/>
      </c>
    </row>
    <row r="5146" spans="1:8" x14ac:dyDescent="0.2">
      <c r="A5146" t="str">
        <f t="shared" si="80"/>
        <v/>
      </c>
      <c r="B5146" s="1">
        <v>2017</v>
      </c>
      <c r="C5146" s="1" t="s">
        <v>2505</v>
      </c>
      <c r="D5146" s="1" t="s">
        <v>2506</v>
      </c>
      <c r="E5146" s="1" t="s">
        <v>2019</v>
      </c>
      <c r="F5146" s="1" t="s">
        <v>1063</v>
      </c>
      <c r="G5146" s="50">
        <v>208685</v>
      </c>
      <c r="H5146" t="str">
        <f>IFERROR(VLOOKUP(F5146,'LEAID Match'!$A$2:$B$142,2,FALSE),"")</f>
        <v/>
      </c>
    </row>
    <row r="5147" spans="1:8" x14ac:dyDescent="0.2">
      <c r="A5147" t="str">
        <f t="shared" si="80"/>
        <v/>
      </c>
      <c r="B5147" s="1">
        <v>2018</v>
      </c>
      <c r="C5147" s="1" t="s">
        <v>2505</v>
      </c>
      <c r="D5147" s="1" t="s">
        <v>2506</v>
      </c>
      <c r="E5147" s="1" t="s">
        <v>2019</v>
      </c>
      <c r="F5147" s="1" t="s">
        <v>1063</v>
      </c>
      <c r="G5147" s="6">
        <v>212957</v>
      </c>
      <c r="H5147" t="str">
        <f>IFERROR(VLOOKUP(F5147,'LEAID Match'!$A$2:$B$142,2,FALSE),"")</f>
        <v/>
      </c>
    </row>
    <row r="5148" spans="1:8" x14ac:dyDescent="0.2">
      <c r="A5148" t="str">
        <f t="shared" si="80"/>
        <v/>
      </c>
      <c r="B5148" s="1">
        <v>2019</v>
      </c>
      <c r="C5148" s="1" t="s">
        <v>2505</v>
      </c>
      <c r="D5148" s="1" t="s">
        <v>2506</v>
      </c>
      <c r="E5148" s="1" t="s">
        <v>2019</v>
      </c>
      <c r="F5148" s="1" t="s">
        <v>1063</v>
      </c>
      <c r="G5148" s="6">
        <v>201046</v>
      </c>
      <c r="H5148" t="str">
        <f>IFERROR(VLOOKUP(F5148,'LEAID Match'!$A$2:$B$142,2,FALSE),"")</f>
        <v/>
      </c>
    </row>
    <row r="5149" spans="1:8" x14ac:dyDescent="0.2">
      <c r="A5149" t="str">
        <f t="shared" si="80"/>
        <v/>
      </c>
      <c r="B5149" s="1">
        <v>2020</v>
      </c>
      <c r="C5149" s="1" t="s">
        <v>2505</v>
      </c>
      <c r="D5149" s="1" t="s">
        <v>2506</v>
      </c>
      <c r="E5149" s="1" t="s">
        <v>2019</v>
      </c>
      <c r="F5149" s="1" t="s">
        <v>513</v>
      </c>
      <c r="G5149" s="6">
        <v>245737</v>
      </c>
      <c r="H5149" t="str">
        <f>IFERROR(VLOOKUP(F5149,'LEAID Match'!$A$2:$B$142,2,FALSE),"")</f>
        <v/>
      </c>
    </row>
    <row r="5150" spans="1:8" x14ac:dyDescent="0.2">
      <c r="A5150" t="str">
        <f t="shared" si="80"/>
        <v/>
      </c>
      <c r="B5150" s="1">
        <v>2021</v>
      </c>
      <c r="C5150" s="1" t="s">
        <v>2505</v>
      </c>
      <c r="D5150" s="1" t="s">
        <v>2506</v>
      </c>
      <c r="E5150" s="1" t="s">
        <v>2019</v>
      </c>
      <c r="F5150" s="1" t="s">
        <v>513</v>
      </c>
      <c r="G5150" s="6">
        <v>267471</v>
      </c>
      <c r="H5150" t="str">
        <f>IFERROR(VLOOKUP(F5150,'LEAID Match'!$A$2:$B$142,2,FALSE),"")</f>
        <v/>
      </c>
    </row>
    <row r="5151" spans="1:8" x14ac:dyDescent="0.2">
      <c r="A5151" t="str">
        <f t="shared" si="80"/>
        <v/>
      </c>
      <c r="B5151" s="1">
        <v>2022</v>
      </c>
      <c r="C5151" s="1" t="s">
        <v>2505</v>
      </c>
      <c r="D5151" s="1" t="s">
        <v>2506</v>
      </c>
      <c r="E5151" s="1" t="s">
        <v>2019</v>
      </c>
      <c r="F5151" s="1" t="s">
        <v>513</v>
      </c>
      <c r="G5151" s="6">
        <v>276171</v>
      </c>
      <c r="H5151" t="str">
        <f>IFERROR(VLOOKUP(F5151,'LEAID Match'!$A$2:$B$142,2,FALSE),"")</f>
        <v/>
      </c>
    </row>
    <row r="5152" spans="1:8" x14ac:dyDescent="0.2">
      <c r="A5152" t="str">
        <f t="shared" si="80"/>
        <v/>
      </c>
      <c r="B5152" s="1">
        <v>2023</v>
      </c>
      <c r="C5152" s="1" t="s">
        <v>2505</v>
      </c>
      <c r="D5152" s="1" t="s">
        <v>2506</v>
      </c>
      <c r="E5152" s="1" t="s">
        <v>2019</v>
      </c>
      <c r="F5152" s="1" t="s">
        <v>513</v>
      </c>
      <c r="G5152" s="6">
        <v>291576</v>
      </c>
      <c r="H5152" t="str">
        <f>IFERROR(VLOOKUP(F5152,'LEAID Match'!$A$2:$B$142,2,FALSE),"")</f>
        <v/>
      </c>
    </row>
    <row r="5153" spans="1:8" x14ac:dyDescent="0.2">
      <c r="A5153" t="str">
        <f t="shared" si="80"/>
        <v/>
      </c>
      <c r="B5153" s="1">
        <v>2024</v>
      </c>
      <c r="C5153" s="1" t="s">
        <v>2505</v>
      </c>
      <c r="D5153" s="1" t="s">
        <v>2506</v>
      </c>
      <c r="E5153" s="1" t="s">
        <v>2019</v>
      </c>
      <c r="F5153" s="1" t="s">
        <v>513</v>
      </c>
      <c r="G5153" s="6">
        <v>305290</v>
      </c>
      <c r="H5153" t="str">
        <f>IFERROR(VLOOKUP(F5153,'LEAID Match'!$A$2:$B$142,2,FALSE),"")</f>
        <v/>
      </c>
    </row>
    <row r="5154" spans="1:8" x14ac:dyDescent="0.2">
      <c r="A5154" t="str">
        <f t="shared" si="80"/>
        <v/>
      </c>
      <c r="B5154" s="1">
        <v>2015</v>
      </c>
      <c r="C5154" s="1" t="s">
        <v>2505</v>
      </c>
      <c r="D5154" s="1" t="s">
        <v>2506</v>
      </c>
      <c r="E5154" s="1" t="s">
        <v>2019</v>
      </c>
      <c r="F5154" s="1" t="s">
        <v>1064</v>
      </c>
      <c r="G5154" s="6">
        <v>101549</v>
      </c>
      <c r="H5154" t="str">
        <f>IFERROR(VLOOKUP(F5154,'LEAID Match'!$A$2:$B$142,2,FALSE),"")</f>
        <v/>
      </c>
    </row>
    <row r="5155" spans="1:8" x14ac:dyDescent="0.2">
      <c r="A5155" t="str">
        <f t="shared" si="80"/>
        <v/>
      </c>
      <c r="B5155">
        <v>2016</v>
      </c>
      <c r="C5155" s="1" t="s">
        <v>2505</v>
      </c>
      <c r="D5155" s="1" t="s">
        <v>2506</v>
      </c>
      <c r="E5155" s="1" t="s">
        <v>2019</v>
      </c>
      <c r="F5155" s="1" t="s">
        <v>1064</v>
      </c>
      <c r="G5155" s="12">
        <v>109452</v>
      </c>
      <c r="H5155" t="str">
        <f>IFERROR(VLOOKUP(F5155,'LEAID Match'!$A$2:$B$142,2,FALSE),"")</f>
        <v/>
      </c>
    </row>
    <row r="5156" spans="1:8" x14ac:dyDescent="0.2">
      <c r="A5156" t="str">
        <f t="shared" si="80"/>
        <v/>
      </c>
      <c r="B5156" s="1">
        <v>2017</v>
      </c>
      <c r="C5156" s="1" t="s">
        <v>2505</v>
      </c>
      <c r="D5156" s="1" t="s">
        <v>2506</v>
      </c>
      <c r="E5156" s="1" t="s">
        <v>2019</v>
      </c>
      <c r="F5156" s="1" t="s">
        <v>1064</v>
      </c>
      <c r="G5156" s="50">
        <v>104552</v>
      </c>
      <c r="H5156" t="str">
        <f>IFERROR(VLOOKUP(F5156,'LEAID Match'!$A$2:$B$142,2,FALSE),"")</f>
        <v/>
      </c>
    </row>
    <row r="5157" spans="1:8" x14ac:dyDescent="0.2">
      <c r="A5157" t="str">
        <f t="shared" si="80"/>
        <v/>
      </c>
      <c r="B5157" s="1">
        <v>2018</v>
      </c>
      <c r="C5157" s="1" t="s">
        <v>2505</v>
      </c>
      <c r="D5157" s="1" t="s">
        <v>2506</v>
      </c>
      <c r="E5157" s="1" t="s">
        <v>2019</v>
      </c>
      <c r="F5157" s="1" t="s">
        <v>1064</v>
      </c>
      <c r="G5157" s="6">
        <v>114936</v>
      </c>
      <c r="H5157" t="str">
        <f>IFERROR(VLOOKUP(F5157,'LEAID Match'!$A$2:$B$142,2,FALSE),"")</f>
        <v/>
      </c>
    </row>
    <row r="5158" spans="1:8" x14ac:dyDescent="0.2">
      <c r="A5158" t="str">
        <f t="shared" si="80"/>
        <v/>
      </c>
      <c r="B5158" s="1">
        <v>2019</v>
      </c>
      <c r="C5158" s="1" t="s">
        <v>2505</v>
      </c>
      <c r="D5158" s="1" t="s">
        <v>2506</v>
      </c>
      <c r="E5158" s="1" t="s">
        <v>2019</v>
      </c>
      <c r="F5158" s="1" t="s">
        <v>1064</v>
      </c>
      <c r="G5158" s="6">
        <v>115185</v>
      </c>
      <c r="H5158" t="str">
        <f>IFERROR(VLOOKUP(F5158,'LEAID Match'!$A$2:$B$142,2,FALSE),"")</f>
        <v/>
      </c>
    </row>
    <row r="5159" spans="1:8" x14ac:dyDescent="0.2">
      <c r="A5159" t="str">
        <f t="shared" si="80"/>
        <v/>
      </c>
      <c r="B5159" s="1">
        <v>2020</v>
      </c>
      <c r="C5159" s="1" t="s">
        <v>2505</v>
      </c>
      <c r="D5159" s="1" t="s">
        <v>2506</v>
      </c>
      <c r="E5159" s="1" t="s">
        <v>2019</v>
      </c>
      <c r="F5159" s="1" t="s">
        <v>514</v>
      </c>
      <c r="G5159" s="6">
        <v>128603</v>
      </c>
      <c r="H5159" t="str">
        <f>IFERROR(VLOOKUP(F5159,'LEAID Match'!$A$2:$B$142,2,FALSE),"")</f>
        <v/>
      </c>
    </row>
    <row r="5160" spans="1:8" x14ac:dyDescent="0.2">
      <c r="A5160" t="str">
        <f t="shared" si="80"/>
        <v/>
      </c>
      <c r="B5160" s="1">
        <v>2021</v>
      </c>
      <c r="C5160" s="1" t="s">
        <v>2505</v>
      </c>
      <c r="D5160" s="1" t="s">
        <v>2506</v>
      </c>
      <c r="E5160" s="1" t="s">
        <v>2019</v>
      </c>
      <c r="F5160" s="1" t="s">
        <v>514</v>
      </c>
      <c r="G5160" s="6">
        <v>129946</v>
      </c>
      <c r="H5160" t="str">
        <f>IFERROR(VLOOKUP(F5160,'LEAID Match'!$A$2:$B$142,2,FALSE),"")</f>
        <v/>
      </c>
    </row>
    <row r="5161" spans="1:8" x14ac:dyDescent="0.2">
      <c r="A5161" t="str">
        <f t="shared" si="80"/>
        <v/>
      </c>
      <c r="B5161" s="1">
        <v>2022</v>
      </c>
      <c r="C5161" s="1" t="s">
        <v>2505</v>
      </c>
      <c r="D5161" s="1" t="s">
        <v>2506</v>
      </c>
      <c r="E5161" s="1" t="s">
        <v>2019</v>
      </c>
      <c r="F5161" s="1" t="s">
        <v>514</v>
      </c>
      <c r="G5161" s="6">
        <v>126810</v>
      </c>
      <c r="H5161" t="str">
        <f>IFERROR(VLOOKUP(F5161,'LEAID Match'!$A$2:$B$142,2,FALSE),"")</f>
        <v/>
      </c>
    </row>
    <row r="5162" spans="1:8" x14ac:dyDescent="0.2">
      <c r="A5162" t="str">
        <f t="shared" si="80"/>
        <v/>
      </c>
      <c r="B5162" s="1">
        <v>2023</v>
      </c>
      <c r="C5162" s="1" t="s">
        <v>2505</v>
      </c>
      <c r="D5162" s="1" t="s">
        <v>2506</v>
      </c>
      <c r="E5162" s="1" t="s">
        <v>2019</v>
      </c>
      <c r="F5162" s="1" t="s">
        <v>514</v>
      </c>
      <c r="G5162" s="6">
        <v>125211</v>
      </c>
      <c r="H5162" t="str">
        <f>IFERROR(VLOOKUP(F5162,'LEAID Match'!$A$2:$B$142,2,FALSE),"")</f>
        <v/>
      </c>
    </row>
    <row r="5163" spans="1:8" x14ac:dyDescent="0.2">
      <c r="A5163" t="str">
        <f t="shared" si="80"/>
        <v/>
      </c>
      <c r="B5163" s="1">
        <v>2024</v>
      </c>
      <c r="C5163" s="1" t="s">
        <v>2505</v>
      </c>
      <c r="D5163" s="1" t="s">
        <v>2506</v>
      </c>
      <c r="E5163" s="1" t="s">
        <v>2019</v>
      </c>
      <c r="F5163" s="1" t="s">
        <v>514</v>
      </c>
      <c r="G5163" s="6">
        <v>147202</v>
      </c>
      <c r="H5163" t="str">
        <f>IFERROR(VLOOKUP(F5163,'LEAID Match'!$A$2:$B$142,2,FALSE),"")</f>
        <v/>
      </c>
    </row>
    <row r="5164" spans="1:8" x14ac:dyDescent="0.2">
      <c r="A5164" t="str">
        <f t="shared" si="80"/>
        <v/>
      </c>
      <c r="B5164" s="1">
        <v>2015</v>
      </c>
      <c r="C5164" s="1" t="s">
        <v>2505</v>
      </c>
      <c r="D5164" s="1" t="s">
        <v>2506</v>
      </c>
      <c r="E5164" s="1" t="s">
        <v>2019</v>
      </c>
      <c r="F5164" s="1" t="s">
        <v>515</v>
      </c>
      <c r="G5164" s="6">
        <v>464981</v>
      </c>
      <c r="H5164" t="str">
        <f>IFERROR(VLOOKUP(F5164,'LEAID Match'!$A$2:$B$142,2,FALSE),"")</f>
        <v/>
      </c>
    </row>
    <row r="5165" spans="1:8" x14ac:dyDescent="0.2">
      <c r="A5165" t="str">
        <f t="shared" si="80"/>
        <v/>
      </c>
      <c r="B5165">
        <v>2016</v>
      </c>
      <c r="C5165" s="1" t="s">
        <v>2505</v>
      </c>
      <c r="D5165" s="1" t="s">
        <v>2506</v>
      </c>
      <c r="E5165" s="1" t="s">
        <v>2019</v>
      </c>
      <c r="F5165" s="1" t="s">
        <v>515</v>
      </c>
      <c r="G5165" s="12">
        <v>445922</v>
      </c>
      <c r="H5165" t="str">
        <f>IFERROR(VLOOKUP(F5165,'LEAID Match'!$A$2:$B$142,2,FALSE),"")</f>
        <v/>
      </c>
    </row>
    <row r="5166" spans="1:8" x14ac:dyDescent="0.2">
      <c r="A5166" t="str">
        <f t="shared" si="80"/>
        <v/>
      </c>
      <c r="B5166" s="1">
        <v>2017</v>
      </c>
      <c r="C5166" s="1" t="s">
        <v>2505</v>
      </c>
      <c r="D5166" s="1" t="s">
        <v>2506</v>
      </c>
      <c r="E5166" s="1" t="s">
        <v>2019</v>
      </c>
      <c r="F5166" s="1" t="s">
        <v>515</v>
      </c>
      <c r="G5166" s="50">
        <v>446225</v>
      </c>
      <c r="H5166" t="str">
        <f>IFERROR(VLOOKUP(F5166,'LEAID Match'!$A$2:$B$142,2,FALSE),"")</f>
        <v/>
      </c>
    </row>
    <row r="5167" spans="1:8" x14ac:dyDescent="0.2">
      <c r="A5167" t="str">
        <f t="shared" si="80"/>
        <v/>
      </c>
      <c r="B5167" s="1">
        <v>2018</v>
      </c>
      <c r="C5167" s="1" t="s">
        <v>2505</v>
      </c>
      <c r="D5167" s="1" t="s">
        <v>2506</v>
      </c>
      <c r="E5167" s="1" t="s">
        <v>2019</v>
      </c>
      <c r="F5167" s="1" t="s">
        <v>515</v>
      </c>
      <c r="G5167" s="6">
        <v>406666</v>
      </c>
      <c r="H5167" t="str">
        <f>IFERROR(VLOOKUP(F5167,'LEAID Match'!$A$2:$B$142,2,FALSE),"")</f>
        <v/>
      </c>
    </row>
    <row r="5168" spans="1:8" x14ac:dyDescent="0.2">
      <c r="A5168" t="str">
        <f t="shared" si="80"/>
        <v/>
      </c>
      <c r="B5168" s="1">
        <v>2019</v>
      </c>
      <c r="C5168" s="1" t="s">
        <v>2505</v>
      </c>
      <c r="D5168" s="1" t="s">
        <v>2506</v>
      </c>
      <c r="E5168" s="1" t="s">
        <v>2019</v>
      </c>
      <c r="F5168" s="1" t="s">
        <v>515</v>
      </c>
      <c r="G5168" s="6">
        <v>382570</v>
      </c>
      <c r="H5168" t="str">
        <f>IFERROR(VLOOKUP(F5168,'LEAID Match'!$A$2:$B$142,2,FALSE),"")</f>
        <v/>
      </c>
    </row>
    <row r="5169" spans="1:8" x14ac:dyDescent="0.2">
      <c r="A5169" t="str">
        <f t="shared" si="80"/>
        <v/>
      </c>
      <c r="B5169" s="1">
        <v>2020</v>
      </c>
      <c r="C5169" s="1" t="s">
        <v>2505</v>
      </c>
      <c r="D5169" s="1" t="s">
        <v>2506</v>
      </c>
      <c r="E5169" s="1" t="s">
        <v>2019</v>
      </c>
      <c r="F5169" s="1" t="s">
        <v>515</v>
      </c>
      <c r="G5169" s="6">
        <v>427010</v>
      </c>
      <c r="H5169" t="str">
        <f>IFERROR(VLOOKUP(F5169,'LEAID Match'!$A$2:$B$142,2,FALSE),"")</f>
        <v/>
      </c>
    </row>
    <row r="5170" spans="1:8" x14ac:dyDescent="0.2">
      <c r="A5170" t="str">
        <f t="shared" si="80"/>
        <v/>
      </c>
      <c r="B5170" s="1">
        <v>2021</v>
      </c>
      <c r="C5170" s="1" t="s">
        <v>2505</v>
      </c>
      <c r="D5170" s="1" t="s">
        <v>2506</v>
      </c>
      <c r="E5170" s="1" t="s">
        <v>2019</v>
      </c>
      <c r="F5170" s="1" t="s">
        <v>515</v>
      </c>
      <c r="G5170" s="6">
        <v>405289</v>
      </c>
      <c r="H5170" t="str">
        <f>IFERROR(VLOOKUP(F5170,'LEAID Match'!$A$2:$B$142,2,FALSE),"")</f>
        <v/>
      </c>
    </row>
    <row r="5171" spans="1:8" x14ac:dyDescent="0.2">
      <c r="A5171" t="str">
        <f t="shared" si="80"/>
        <v/>
      </c>
      <c r="B5171" s="1">
        <v>2022</v>
      </c>
      <c r="C5171" s="1" t="s">
        <v>2505</v>
      </c>
      <c r="D5171" s="1" t="s">
        <v>2506</v>
      </c>
      <c r="E5171" s="1" t="s">
        <v>2019</v>
      </c>
      <c r="F5171" s="1" t="s">
        <v>515</v>
      </c>
      <c r="G5171" s="6">
        <v>412318</v>
      </c>
      <c r="H5171" t="str">
        <f>IFERROR(VLOOKUP(F5171,'LEAID Match'!$A$2:$B$142,2,FALSE),"")</f>
        <v/>
      </c>
    </row>
    <row r="5172" spans="1:8" x14ac:dyDescent="0.2">
      <c r="A5172" t="str">
        <f t="shared" si="80"/>
        <v/>
      </c>
      <c r="B5172" s="1">
        <v>2023</v>
      </c>
      <c r="C5172" s="1" t="s">
        <v>2505</v>
      </c>
      <c r="D5172" s="1" t="s">
        <v>2506</v>
      </c>
      <c r="E5172" s="1" t="s">
        <v>2019</v>
      </c>
      <c r="F5172" s="1" t="s">
        <v>515</v>
      </c>
      <c r="G5172" s="6">
        <v>447671</v>
      </c>
      <c r="H5172" t="str">
        <f>IFERROR(VLOOKUP(F5172,'LEAID Match'!$A$2:$B$142,2,FALSE),"")</f>
        <v/>
      </c>
    </row>
    <row r="5173" spans="1:8" x14ac:dyDescent="0.2">
      <c r="A5173" t="str">
        <f t="shared" si="80"/>
        <v/>
      </c>
      <c r="B5173" s="1">
        <v>2024</v>
      </c>
      <c r="C5173" s="1" t="s">
        <v>2505</v>
      </c>
      <c r="D5173" s="1" t="s">
        <v>2506</v>
      </c>
      <c r="E5173" s="1" t="s">
        <v>2019</v>
      </c>
      <c r="F5173" s="1" t="s">
        <v>515</v>
      </c>
      <c r="G5173" s="6">
        <v>488251</v>
      </c>
      <c r="H5173" t="str">
        <f>IFERROR(VLOOKUP(F5173,'LEAID Match'!$A$2:$B$142,2,FALSE),"")</f>
        <v/>
      </c>
    </row>
    <row r="5174" spans="1:8" x14ac:dyDescent="0.2">
      <c r="A5174" t="str">
        <f t="shared" si="80"/>
        <v/>
      </c>
      <c r="B5174">
        <v>2016</v>
      </c>
      <c r="C5174" s="1" t="s">
        <v>2505</v>
      </c>
      <c r="D5174" s="1" t="s">
        <v>2506</v>
      </c>
      <c r="E5174" s="1" t="s">
        <v>2019</v>
      </c>
      <c r="F5174" s="1" t="s">
        <v>1066</v>
      </c>
      <c r="G5174" s="12">
        <v>2345662</v>
      </c>
      <c r="H5174" t="str">
        <f>IFERROR(VLOOKUP(F5174,'LEAID Match'!$A$2:$B$142,2,FALSE),"")</f>
        <v/>
      </c>
    </row>
    <row r="5175" spans="1:8" x14ac:dyDescent="0.2">
      <c r="A5175" t="str">
        <f t="shared" si="80"/>
        <v/>
      </c>
      <c r="B5175" s="1">
        <v>2017</v>
      </c>
      <c r="C5175" s="1" t="s">
        <v>2505</v>
      </c>
      <c r="D5175" s="1" t="s">
        <v>2506</v>
      </c>
      <c r="E5175" s="1" t="s">
        <v>2019</v>
      </c>
      <c r="F5175" s="1" t="s">
        <v>1066</v>
      </c>
      <c r="G5175" s="50">
        <v>2387085</v>
      </c>
      <c r="H5175" t="str">
        <f>IFERROR(VLOOKUP(F5175,'LEAID Match'!$A$2:$B$142,2,FALSE),"")</f>
        <v/>
      </c>
    </row>
    <row r="5176" spans="1:8" x14ac:dyDescent="0.2">
      <c r="A5176" t="str">
        <f t="shared" si="80"/>
        <v/>
      </c>
      <c r="B5176" s="1">
        <v>2018</v>
      </c>
      <c r="C5176" s="1" t="s">
        <v>2505</v>
      </c>
      <c r="D5176" s="1" t="s">
        <v>2506</v>
      </c>
      <c r="E5176" s="1" t="s">
        <v>2019</v>
      </c>
      <c r="F5176" s="1" t="s">
        <v>1066</v>
      </c>
      <c r="G5176" s="6">
        <v>2332090</v>
      </c>
      <c r="H5176" t="str">
        <f>IFERROR(VLOOKUP(F5176,'LEAID Match'!$A$2:$B$142,2,FALSE),"")</f>
        <v/>
      </c>
    </row>
    <row r="5177" spans="1:8" x14ac:dyDescent="0.2">
      <c r="A5177" t="str">
        <f t="shared" si="80"/>
        <v/>
      </c>
      <c r="B5177" s="1">
        <v>2019</v>
      </c>
      <c r="C5177" s="1" t="s">
        <v>2505</v>
      </c>
      <c r="D5177" s="1" t="s">
        <v>2506</v>
      </c>
      <c r="E5177" s="1" t="s">
        <v>2019</v>
      </c>
      <c r="F5177" s="1" t="s">
        <v>1066</v>
      </c>
      <c r="G5177" s="6">
        <v>2295807</v>
      </c>
      <c r="H5177" t="str">
        <f>IFERROR(VLOOKUP(F5177,'LEAID Match'!$A$2:$B$142,2,FALSE),"")</f>
        <v/>
      </c>
    </row>
    <row r="5178" spans="1:8" x14ac:dyDescent="0.2">
      <c r="A5178" t="str">
        <f t="shared" si="80"/>
        <v/>
      </c>
      <c r="B5178" s="1">
        <v>2020</v>
      </c>
      <c r="C5178" s="1" t="s">
        <v>2505</v>
      </c>
      <c r="D5178" s="1" t="s">
        <v>2506</v>
      </c>
      <c r="E5178" s="1" t="s">
        <v>2019</v>
      </c>
      <c r="F5178" s="1" t="s">
        <v>516</v>
      </c>
      <c r="G5178" s="6">
        <v>2633194</v>
      </c>
      <c r="H5178" t="str">
        <f>IFERROR(VLOOKUP(F5178,'LEAID Match'!$A$2:$B$142,2,FALSE),"")</f>
        <v/>
      </c>
    </row>
    <row r="5179" spans="1:8" x14ac:dyDescent="0.2">
      <c r="A5179" t="str">
        <f t="shared" si="80"/>
        <v/>
      </c>
      <c r="B5179" s="1">
        <v>2021</v>
      </c>
      <c r="C5179" s="1" t="s">
        <v>2505</v>
      </c>
      <c r="D5179" s="1" t="s">
        <v>2506</v>
      </c>
      <c r="E5179" s="1" t="s">
        <v>2019</v>
      </c>
      <c r="F5179" s="1" t="s">
        <v>516</v>
      </c>
      <c r="G5179" s="6">
        <v>2623402</v>
      </c>
      <c r="H5179" t="str">
        <f>IFERROR(VLOOKUP(F5179,'LEAID Match'!$A$2:$B$142,2,FALSE),"")</f>
        <v/>
      </c>
    </row>
    <row r="5180" spans="1:8" x14ac:dyDescent="0.2">
      <c r="A5180" t="str">
        <f t="shared" si="80"/>
        <v/>
      </c>
      <c r="B5180" s="1">
        <v>2022</v>
      </c>
      <c r="C5180" s="1" t="s">
        <v>2505</v>
      </c>
      <c r="D5180" s="1" t="s">
        <v>2506</v>
      </c>
      <c r="E5180" s="1" t="s">
        <v>2019</v>
      </c>
      <c r="F5180" s="1" t="s">
        <v>516</v>
      </c>
      <c r="G5180" s="6">
        <v>2771320</v>
      </c>
      <c r="H5180" t="str">
        <f>IFERROR(VLOOKUP(F5180,'LEAID Match'!$A$2:$B$142,2,FALSE),"")</f>
        <v/>
      </c>
    </row>
    <row r="5181" spans="1:8" x14ac:dyDescent="0.2">
      <c r="A5181" t="str">
        <f t="shared" si="80"/>
        <v/>
      </c>
      <c r="B5181" s="1">
        <v>2023</v>
      </c>
      <c r="C5181" s="1" t="s">
        <v>2505</v>
      </c>
      <c r="D5181" s="1" t="s">
        <v>2506</v>
      </c>
      <c r="E5181" s="1" t="s">
        <v>2019</v>
      </c>
      <c r="F5181" s="1" t="s">
        <v>516</v>
      </c>
      <c r="G5181" s="6">
        <v>2990571</v>
      </c>
      <c r="H5181" t="str">
        <f>IFERROR(VLOOKUP(F5181,'LEAID Match'!$A$2:$B$142,2,FALSE),"")</f>
        <v/>
      </c>
    </row>
    <row r="5182" spans="1:8" x14ac:dyDescent="0.2">
      <c r="A5182" t="str">
        <f t="shared" si="80"/>
        <v/>
      </c>
      <c r="B5182" s="1">
        <v>2024</v>
      </c>
      <c r="C5182" s="1" t="s">
        <v>2505</v>
      </c>
      <c r="D5182" s="1" t="s">
        <v>2506</v>
      </c>
      <c r="E5182" s="1" t="s">
        <v>2019</v>
      </c>
      <c r="F5182" s="1" t="s">
        <v>516</v>
      </c>
      <c r="G5182" s="6">
        <v>3047079</v>
      </c>
      <c r="H5182" t="str">
        <f>IFERROR(VLOOKUP(F5182,'LEAID Match'!$A$2:$B$142,2,FALSE),"")</f>
        <v/>
      </c>
    </row>
    <row r="5183" spans="1:8" x14ac:dyDescent="0.2">
      <c r="A5183" t="str">
        <f t="shared" si="80"/>
        <v/>
      </c>
      <c r="B5183">
        <v>2016</v>
      </c>
      <c r="C5183" s="1" t="s">
        <v>2505</v>
      </c>
      <c r="D5183" s="1" t="s">
        <v>2506</v>
      </c>
      <c r="E5183" s="1" t="s">
        <v>2019</v>
      </c>
      <c r="F5183" s="1" t="s">
        <v>1067</v>
      </c>
      <c r="G5183" s="12">
        <v>2522492</v>
      </c>
      <c r="H5183" t="str">
        <f>IFERROR(VLOOKUP(F5183,'LEAID Match'!$A$2:$B$142,2,FALSE),"")</f>
        <v/>
      </c>
    </row>
    <row r="5184" spans="1:8" x14ac:dyDescent="0.2">
      <c r="A5184" t="str">
        <f t="shared" si="80"/>
        <v/>
      </c>
      <c r="B5184" s="1">
        <v>2017</v>
      </c>
      <c r="C5184" s="1" t="s">
        <v>2505</v>
      </c>
      <c r="D5184" s="1" t="s">
        <v>2506</v>
      </c>
      <c r="E5184" s="1" t="s">
        <v>2019</v>
      </c>
      <c r="F5184" s="1" t="s">
        <v>1067</v>
      </c>
      <c r="G5184" s="50">
        <v>2552721</v>
      </c>
      <c r="H5184" t="str">
        <f>IFERROR(VLOOKUP(F5184,'LEAID Match'!$A$2:$B$142,2,FALSE),"")</f>
        <v/>
      </c>
    </row>
    <row r="5185" spans="1:8" x14ac:dyDescent="0.2">
      <c r="A5185" t="str">
        <f t="shared" si="80"/>
        <v/>
      </c>
      <c r="B5185" s="1">
        <v>2018</v>
      </c>
      <c r="C5185" s="1" t="s">
        <v>2505</v>
      </c>
      <c r="D5185" s="1" t="s">
        <v>2506</v>
      </c>
      <c r="E5185" s="1" t="s">
        <v>2019</v>
      </c>
      <c r="F5185" s="1" t="s">
        <v>1067</v>
      </c>
      <c r="G5185" s="6">
        <v>2558051</v>
      </c>
      <c r="H5185" t="str">
        <f>IFERROR(VLOOKUP(F5185,'LEAID Match'!$A$2:$B$142,2,FALSE),"")</f>
        <v/>
      </c>
    </row>
    <row r="5186" spans="1:8" x14ac:dyDescent="0.2">
      <c r="A5186" t="str">
        <f t="shared" si="80"/>
        <v/>
      </c>
      <c r="B5186" s="1">
        <v>2019</v>
      </c>
      <c r="C5186" s="1" t="s">
        <v>2505</v>
      </c>
      <c r="D5186" s="1" t="s">
        <v>2506</v>
      </c>
      <c r="E5186" s="1" t="s">
        <v>2019</v>
      </c>
      <c r="F5186" s="1" t="s">
        <v>1067</v>
      </c>
      <c r="G5186" s="6">
        <v>2577026</v>
      </c>
      <c r="H5186" t="str">
        <f>IFERROR(VLOOKUP(F5186,'LEAID Match'!$A$2:$B$142,2,FALSE),"")</f>
        <v/>
      </c>
    </row>
    <row r="5187" spans="1:8" x14ac:dyDescent="0.2">
      <c r="A5187" t="str">
        <f t="shared" ref="A5187:A5250" si="81">H5187</f>
        <v/>
      </c>
      <c r="B5187" s="1">
        <v>2020</v>
      </c>
      <c r="C5187" s="1" t="s">
        <v>2505</v>
      </c>
      <c r="D5187" s="1" t="s">
        <v>2506</v>
      </c>
      <c r="E5187" s="1" t="s">
        <v>2019</v>
      </c>
      <c r="F5187" s="1" t="s">
        <v>517</v>
      </c>
      <c r="G5187" s="6">
        <v>2854886</v>
      </c>
      <c r="H5187" t="str">
        <f>IFERROR(VLOOKUP(F5187,'LEAID Match'!$A$2:$B$142,2,FALSE),"")</f>
        <v/>
      </c>
    </row>
    <row r="5188" spans="1:8" x14ac:dyDescent="0.2">
      <c r="A5188" t="str">
        <f t="shared" si="81"/>
        <v/>
      </c>
      <c r="B5188" s="1">
        <v>2021</v>
      </c>
      <c r="C5188" s="1" t="s">
        <v>2505</v>
      </c>
      <c r="D5188" s="1" t="s">
        <v>2506</v>
      </c>
      <c r="E5188" s="1" t="s">
        <v>2019</v>
      </c>
      <c r="F5188" s="1" t="s">
        <v>517</v>
      </c>
      <c r="G5188" s="6">
        <v>2632891</v>
      </c>
      <c r="H5188" t="str">
        <f>IFERROR(VLOOKUP(F5188,'LEAID Match'!$A$2:$B$142,2,FALSE),"")</f>
        <v/>
      </c>
    </row>
    <row r="5189" spans="1:8" x14ac:dyDescent="0.2">
      <c r="A5189" t="str">
        <f t="shared" si="81"/>
        <v/>
      </c>
      <c r="B5189" s="1">
        <v>2022</v>
      </c>
      <c r="C5189" s="1" t="s">
        <v>2505</v>
      </c>
      <c r="D5189" s="1" t="s">
        <v>2506</v>
      </c>
      <c r="E5189" s="1" t="s">
        <v>2019</v>
      </c>
      <c r="F5189" s="1" t="s">
        <v>517</v>
      </c>
      <c r="G5189" s="6">
        <v>2646935</v>
      </c>
      <c r="H5189" t="str">
        <f>IFERROR(VLOOKUP(F5189,'LEAID Match'!$A$2:$B$142,2,FALSE),"")</f>
        <v/>
      </c>
    </row>
    <row r="5190" spans="1:8" x14ac:dyDescent="0.2">
      <c r="A5190" t="str">
        <f t="shared" si="81"/>
        <v/>
      </c>
      <c r="B5190" s="1">
        <v>2023</v>
      </c>
      <c r="C5190" s="1" t="s">
        <v>2505</v>
      </c>
      <c r="D5190" s="1" t="s">
        <v>2506</v>
      </c>
      <c r="E5190" s="1" t="s">
        <v>2019</v>
      </c>
      <c r="F5190" s="1" t="s">
        <v>517</v>
      </c>
      <c r="G5190" s="6">
        <v>2698292</v>
      </c>
      <c r="H5190" t="str">
        <f>IFERROR(VLOOKUP(F5190,'LEAID Match'!$A$2:$B$142,2,FALSE),"")</f>
        <v/>
      </c>
    </row>
    <row r="5191" spans="1:8" x14ac:dyDescent="0.2">
      <c r="A5191" t="str">
        <f t="shared" si="81"/>
        <v/>
      </c>
      <c r="B5191" s="1">
        <v>2024</v>
      </c>
      <c r="C5191" s="1" t="s">
        <v>2505</v>
      </c>
      <c r="D5191" s="1" t="s">
        <v>2506</v>
      </c>
      <c r="E5191" s="1" t="s">
        <v>2019</v>
      </c>
      <c r="F5191" s="1" t="s">
        <v>517</v>
      </c>
      <c r="G5191" s="6">
        <v>2781331</v>
      </c>
      <c r="H5191" t="str">
        <f>IFERROR(VLOOKUP(F5191,'LEAID Match'!$A$2:$B$142,2,FALSE),"")</f>
        <v/>
      </c>
    </row>
    <row r="5192" spans="1:8" x14ac:dyDescent="0.2">
      <c r="A5192" t="str">
        <f t="shared" si="81"/>
        <v/>
      </c>
      <c r="B5192">
        <v>2016</v>
      </c>
      <c r="C5192" s="1" t="s">
        <v>2505</v>
      </c>
      <c r="D5192" s="1" t="s">
        <v>2506</v>
      </c>
      <c r="E5192" s="1" t="s">
        <v>2019</v>
      </c>
      <c r="F5192" s="1" t="s">
        <v>518</v>
      </c>
      <c r="G5192" s="12">
        <v>16249</v>
      </c>
      <c r="H5192" t="str">
        <f>IFERROR(VLOOKUP(F5192,'LEAID Match'!$A$2:$B$142,2,FALSE),"")</f>
        <v/>
      </c>
    </row>
    <row r="5193" spans="1:8" x14ac:dyDescent="0.2">
      <c r="A5193" t="str">
        <f t="shared" si="81"/>
        <v/>
      </c>
      <c r="B5193" s="1">
        <v>2017</v>
      </c>
      <c r="C5193" s="1" t="s">
        <v>2505</v>
      </c>
      <c r="D5193" s="1" t="s">
        <v>2506</v>
      </c>
      <c r="E5193" s="1" t="s">
        <v>2019</v>
      </c>
      <c r="F5193" s="1" t="s">
        <v>518</v>
      </c>
      <c r="G5193" s="50">
        <v>11512</v>
      </c>
      <c r="H5193" t="str">
        <f>IFERROR(VLOOKUP(F5193,'LEAID Match'!$A$2:$B$142,2,FALSE),"")</f>
        <v/>
      </c>
    </row>
    <row r="5194" spans="1:8" x14ac:dyDescent="0.2">
      <c r="A5194" t="str">
        <f t="shared" si="81"/>
        <v/>
      </c>
      <c r="B5194" s="1">
        <v>2018</v>
      </c>
      <c r="C5194" s="1" t="s">
        <v>2505</v>
      </c>
      <c r="D5194" s="1" t="s">
        <v>2506</v>
      </c>
      <c r="E5194" s="1" t="s">
        <v>2019</v>
      </c>
      <c r="F5194" s="1" t="s">
        <v>518</v>
      </c>
      <c r="G5194" s="6">
        <v>16833</v>
      </c>
      <c r="H5194" t="str">
        <f>IFERROR(VLOOKUP(F5194,'LEAID Match'!$A$2:$B$142,2,FALSE),"")</f>
        <v/>
      </c>
    </row>
    <row r="5195" spans="1:8" x14ac:dyDescent="0.2">
      <c r="A5195" t="str">
        <f t="shared" si="81"/>
        <v/>
      </c>
      <c r="B5195" s="1">
        <v>2019</v>
      </c>
      <c r="C5195" s="1" t="s">
        <v>2505</v>
      </c>
      <c r="D5195" s="1" t="s">
        <v>2506</v>
      </c>
      <c r="E5195" s="1" t="s">
        <v>2019</v>
      </c>
      <c r="F5195" s="1" t="s">
        <v>518</v>
      </c>
      <c r="G5195" s="6">
        <v>20783</v>
      </c>
      <c r="H5195" t="str">
        <f>IFERROR(VLOOKUP(F5195,'LEAID Match'!$A$2:$B$142,2,FALSE),"")</f>
        <v/>
      </c>
    </row>
    <row r="5196" spans="1:8" x14ac:dyDescent="0.2">
      <c r="A5196" t="str">
        <f t="shared" si="81"/>
        <v/>
      </c>
      <c r="B5196" s="1">
        <v>2020</v>
      </c>
      <c r="C5196" s="1" t="s">
        <v>2505</v>
      </c>
      <c r="D5196" s="1" t="s">
        <v>2506</v>
      </c>
      <c r="E5196" s="1" t="s">
        <v>2019</v>
      </c>
      <c r="F5196" s="1" t="s">
        <v>518</v>
      </c>
      <c r="G5196" s="6">
        <v>26429</v>
      </c>
      <c r="H5196" t="str">
        <f>IFERROR(VLOOKUP(F5196,'LEAID Match'!$A$2:$B$142,2,FALSE),"")</f>
        <v/>
      </c>
    </row>
    <row r="5197" spans="1:8" x14ac:dyDescent="0.2">
      <c r="A5197" t="str">
        <f t="shared" si="81"/>
        <v/>
      </c>
      <c r="B5197" s="1">
        <v>2021</v>
      </c>
      <c r="C5197" s="1" t="s">
        <v>2505</v>
      </c>
      <c r="D5197" s="1" t="s">
        <v>2506</v>
      </c>
      <c r="E5197" s="1" t="s">
        <v>2019</v>
      </c>
      <c r="F5197" s="1" t="s">
        <v>518</v>
      </c>
      <c r="G5197" s="6">
        <v>27405</v>
      </c>
      <c r="H5197" t="str">
        <f>IFERROR(VLOOKUP(F5197,'LEAID Match'!$A$2:$B$142,2,FALSE),"")</f>
        <v/>
      </c>
    </row>
    <row r="5198" spans="1:8" x14ac:dyDescent="0.2">
      <c r="A5198" t="str">
        <f t="shared" si="81"/>
        <v/>
      </c>
      <c r="B5198" s="1">
        <v>2022</v>
      </c>
      <c r="C5198" s="1" t="s">
        <v>2505</v>
      </c>
      <c r="D5198" s="1" t="s">
        <v>2506</v>
      </c>
      <c r="E5198" s="1" t="s">
        <v>2019</v>
      </c>
      <c r="F5198" s="1" t="s">
        <v>518</v>
      </c>
      <c r="G5198" s="6">
        <v>27846</v>
      </c>
      <c r="H5198" t="str">
        <f>IFERROR(VLOOKUP(F5198,'LEAID Match'!$A$2:$B$142,2,FALSE),"")</f>
        <v/>
      </c>
    </row>
    <row r="5199" spans="1:8" x14ac:dyDescent="0.2">
      <c r="A5199" t="str">
        <f t="shared" si="81"/>
        <v/>
      </c>
      <c r="B5199" s="1">
        <v>2023</v>
      </c>
      <c r="C5199" s="1" t="s">
        <v>2505</v>
      </c>
      <c r="D5199" s="1" t="s">
        <v>2506</v>
      </c>
      <c r="E5199" s="1" t="s">
        <v>2019</v>
      </c>
      <c r="F5199" s="1" t="s">
        <v>518</v>
      </c>
      <c r="G5199" s="6">
        <v>39914</v>
      </c>
      <c r="H5199" t="str">
        <f>IFERROR(VLOOKUP(F5199,'LEAID Match'!$A$2:$B$142,2,FALSE),"")</f>
        <v/>
      </c>
    </row>
    <row r="5200" spans="1:8" x14ac:dyDescent="0.2">
      <c r="A5200" t="str">
        <f t="shared" si="81"/>
        <v/>
      </c>
      <c r="B5200" s="1">
        <v>2024</v>
      </c>
      <c r="C5200" s="1" t="s">
        <v>2505</v>
      </c>
      <c r="D5200" s="1" t="s">
        <v>2506</v>
      </c>
      <c r="E5200" s="1" t="s">
        <v>2019</v>
      </c>
      <c r="F5200" s="1" t="s">
        <v>518</v>
      </c>
      <c r="G5200" s="6">
        <v>46512</v>
      </c>
      <c r="H5200" t="str">
        <f>IFERROR(VLOOKUP(F5200,'LEAID Match'!$A$2:$B$142,2,FALSE),"")</f>
        <v/>
      </c>
    </row>
    <row r="5201" spans="1:8" x14ac:dyDescent="0.2">
      <c r="A5201" t="str">
        <f t="shared" si="81"/>
        <v/>
      </c>
      <c r="B5201" s="1">
        <v>2015</v>
      </c>
      <c r="C5201" s="1" t="s">
        <v>2505</v>
      </c>
      <c r="D5201" s="1" t="s">
        <v>2506</v>
      </c>
      <c r="E5201" s="1" t="s">
        <v>2019</v>
      </c>
      <c r="F5201" s="1" t="s">
        <v>1068</v>
      </c>
      <c r="G5201" s="6">
        <v>91197</v>
      </c>
      <c r="H5201" t="str">
        <f>IFERROR(VLOOKUP(F5201,'LEAID Match'!$A$2:$B$142,2,FALSE),"")</f>
        <v/>
      </c>
    </row>
    <row r="5202" spans="1:8" x14ac:dyDescent="0.2">
      <c r="A5202" t="str">
        <f t="shared" si="81"/>
        <v/>
      </c>
      <c r="B5202">
        <v>2016</v>
      </c>
      <c r="C5202" s="1" t="s">
        <v>2505</v>
      </c>
      <c r="D5202" s="1" t="s">
        <v>2506</v>
      </c>
      <c r="E5202" s="1" t="s">
        <v>2019</v>
      </c>
      <c r="F5202" s="1" t="s">
        <v>1068</v>
      </c>
      <c r="G5202" s="12">
        <v>95922</v>
      </c>
      <c r="H5202" t="str">
        <f>IFERROR(VLOOKUP(F5202,'LEAID Match'!$A$2:$B$142,2,FALSE),"")</f>
        <v/>
      </c>
    </row>
    <row r="5203" spans="1:8" x14ac:dyDescent="0.2">
      <c r="A5203" t="str">
        <f t="shared" si="81"/>
        <v/>
      </c>
      <c r="B5203" s="1">
        <v>2017</v>
      </c>
      <c r="C5203" s="1" t="s">
        <v>2505</v>
      </c>
      <c r="D5203" s="1" t="s">
        <v>2506</v>
      </c>
      <c r="E5203" s="1" t="s">
        <v>2019</v>
      </c>
      <c r="F5203" s="1" t="s">
        <v>1068</v>
      </c>
      <c r="G5203" s="50">
        <v>103879</v>
      </c>
      <c r="H5203" t="str">
        <f>IFERROR(VLOOKUP(F5203,'LEAID Match'!$A$2:$B$142,2,FALSE),"")</f>
        <v/>
      </c>
    </row>
    <row r="5204" spans="1:8" x14ac:dyDescent="0.2">
      <c r="A5204" t="str">
        <f t="shared" si="81"/>
        <v/>
      </c>
      <c r="B5204" s="1">
        <v>2018</v>
      </c>
      <c r="C5204" s="1" t="s">
        <v>2505</v>
      </c>
      <c r="D5204" s="1" t="s">
        <v>2506</v>
      </c>
      <c r="E5204" s="1" t="s">
        <v>2019</v>
      </c>
      <c r="F5204" s="1" t="s">
        <v>1068</v>
      </c>
      <c r="G5204" s="6">
        <v>113677</v>
      </c>
      <c r="H5204" t="str">
        <f>IFERROR(VLOOKUP(F5204,'LEAID Match'!$A$2:$B$142,2,FALSE),"")</f>
        <v/>
      </c>
    </row>
    <row r="5205" spans="1:8" x14ac:dyDescent="0.2">
      <c r="A5205" t="str">
        <f t="shared" si="81"/>
        <v/>
      </c>
      <c r="B5205" s="1">
        <v>2019</v>
      </c>
      <c r="C5205" s="1" t="s">
        <v>2505</v>
      </c>
      <c r="D5205" s="1" t="s">
        <v>2506</v>
      </c>
      <c r="E5205" s="1" t="s">
        <v>2019</v>
      </c>
      <c r="F5205" s="1" t="s">
        <v>1068</v>
      </c>
      <c r="G5205" s="6">
        <v>116961</v>
      </c>
      <c r="H5205" t="str">
        <f>IFERROR(VLOOKUP(F5205,'LEAID Match'!$A$2:$B$142,2,FALSE),"")</f>
        <v/>
      </c>
    </row>
    <row r="5206" spans="1:8" x14ac:dyDescent="0.2">
      <c r="A5206" t="str">
        <f t="shared" si="81"/>
        <v/>
      </c>
      <c r="B5206" s="1">
        <v>2020</v>
      </c>
      <c r="C5206" s="1" t="s">
        <v>2505</v>
      </c>
      <c r="D5206" s="1" t="s">
        <v>2506</v>
      </c>
      <c r="E5206" s="1" t="s">
        <v>2019</v>
      </c>
      <c r="F5206" s="1" t="s">
        <v>519</v>
      </c>
      <c r="G5206" s="6">
        <v>127215</v>
      </c>
      <c r="H5206" t="str">
        <f>IFERROR(VLOOKUP(F5206,'LEAID Match'!$A$2:$B$142,2,FALSE),"")</f>
        <v/>
      </c>
    </row>
    <row r="5207" spans="1:8" x14ac:dyDescent="0.2">
      <c r="A5207" t="str">
        <f t="shared" si="81"/>
        <v/>
      </c>
      <c r="B5207" s="1">
        <v>2021</v>
      </c>
      <c r="C5207" s="1" t="s">
        <v>2505</v>
      </c>
      <c r="D5207" s="1" t="s">
        <v>2506</v>
      </c>
      <c r="E5207" s="1" t="s">
        <v>2019</v>
      </c>
      <c r="F5207" s="1" t="s">
        <v>519</v>
      </c>
      <c r="G5207" s="6">
        <v>130905</v>
      </c>
      <c r="H5207" t="str">
        <f>IFERROR(VLOOKUP(F5207,'LEAID Match'!$A$2:$B$142,2,FALSE),"")</f>
        <v/>
      </c>
    </row>
    <row r="5208" spans="1:8" x14ac:dyDescent="0.2">
      <c r="A5208" t="str">
        <f t="shared" si="81"/>
        <v/>
      </c>
      <c r="B5208" s="1">
        <v>2022</v>
      </c>
      <c r="C5208" s="1" t="s">
        <v>2505</v>
      </c>
      <c r="D5208" s="1" t="s">
        <v>2506</v>
      </c>
      <c r="E5208" s="1" t="s">
        <v>2019</v>
      </c>
      <c r="F5208" s="1" t="s">
        <v>519</v>
      </c>
      <c r="G5208" s="6">
        <v>134391</v>
      </c>
      <c r="H5208" t="str">
        <f>IFERROR(VLOOKUP(F5208,'LEAID Match'!$A$2:$B$142,2,FALSE),"")</f>
        <v/>
      </c>
    </row>
    <row r="5209" spans="1:8" x14ac:dyDescent="0.2">
      <c r="A5209" t="str">
        <f t="shared" si="81"/>
        <v/>
      </c>
      <c r="B5209" s="1">
        <v>2023</v>
      </c>
      <c r="C5209" s="1" t="s">
        <v>2505</v>
      </c>
      <c r="D5209" s="1" t="s">
        <v>2506</v>
      </c>
      <c r="E5209" s="1" t="s">
        <v>2019</v>
      </c>
      <c r="F5209" s="1" t="s">
        <v>519</v>
      </c>
      <c r="G5209" s="6">
        <v>140132</v>
      </c>
      <c r="H5209" t="str">
        <f>IFERROR(VLOOKUP(F5209,'LEAID Match'!$A$2:$B$142,2,FALSE),"")</f>
        <v/>
      </c>
    </row>
    <row r="5210" spans="1:8" x14ac:dyDescent="0.2">
      <c r="A5210" t="str">
        <f t="shared" si="81"/>
        <v/>
      </c>
      <c r="B5210" s="1">
        <v>2024</v>
      </c>
      <c r="C5210" s="1" t="s">
        <v>2505</v>
      </c>
      <c r="D5210" s="1" t="s">
        <v>2506</v>
      </c>
      <c r="E5210" s="1" t="s">
        <v>2019</v>
      </c>
      <c r="F5210" s="1" t="s">
        <v>519</v>
      </c>
      <c r="G5210" s="6">
        <v>146042</v>
      </c>
      <c r="H5210" t="str">
        <f>IFERROR(VLOOKUP(F5210,'LEAID Match'!$A$2:$B$142,2,FALSE),"")</f>
        <v/>
      </c>
    </row>
    <row r="5211" spans="1:8" x14ac:dyDescent="0.2">
      <c r="A5211" t="str">
        <f t="shared" si="81"/>
        <v/>
      </c>
      <c r="B5211" s="1">
        <v>2015</v>
      </c>
      <c r="C5211" s="1" t="s">
        <v>2505</v>
      </c>
      <c r="D5211" s="1" t="s">
        <v>2506</v>
      </c>
      <c r="E5211" s="1" t="s">
        <v>2019</v>
      </c>
      <c r="F5211" s="1" t="s">
        <v>520</v>
      </c>
      <c r="G5211" s="6">
        <v>21976</v>
      </c>
      <c r="H5211" t="str">
        <f>IFERROR(VLOOKUP(F5211,'LEAID Match'!$A$2:$B$142,2,FALSE),"")</f>
        <v/>
      </c>
    </row>
    <row r="5212" spans="1:8" x14ac:dyDescent="0.2">
      <c r="A5212" t="str">
        <f t="shared" si="81"/>
        <v/>
      </c>
      <c r="B5212">
        <v>2016</v>
      </c>
      <c r="C5212" s="1" t="s">
        <v>2505</v>
      </c>
      <c r="D5212" s="1" t="s">
        <v>2506</v>
      </c>
      <c r="E5212" s="1" t="s">
        <v>2019</v>
      </c>
      <c r="F5212" s="1" t="s">
        <v>520</v>
      </c>
      <c r="G5212" s="12">
        <v>23371</v>
      </c>
      <c r="H5212" t="str">
        <f>IFERROR(VLOOKUP(F5212,'LEAID Match'!$A$2:$B$142,2,FALSE),"")</f>
        <v/>
      </c>
    </row>
    <row r="5213" spans="1:8" x14ac:dyDescent="0.2">
      <c r="A5213" t="str">
        <f t="shared" si="81"/>
        <v/>
      </c>
      <c r="B5213" s="1">
        <v>2017</v>
      </c>
      <c r="C5213" s="1" t="s">
        <v>2505</v>
      </c>
      <c r="D5213" s="1" t="s">
        <v>2506</v>
      </c>
      <c r="E5213" s="1" t="s">
        <v>2019</v>
      </c>
      <c r="F5213" s="1" t="s">
        <v>520</v>
      </c>
      <c r="G5213" s="50">
        <v>24109</v>
      </c>
      <c r="H5213" t="str">
        <f>IFERROR(VLOOKUP(F5213,'LEAID Match'!$A$2:$B$142,2,FALSE),"")</f>
        <v/>
      </c>
    </row>
    <row r="5214" spans="1:8" x14ac:dyDescent="0.2">
      <c r="A5214" t="str">
        <f t="shared" si="81"/>
        <v/>
      </c>
      <c r="B5214" s="1">
        <v>2018</v>
      </c>
      <c r="C5214" s="1" t="s">
        <v>2505</v>
      </c>
      <c r="D5214" s="1" t="s">
        <v>2506</v>
      </c>
      <c r="E5214" s="1" t="s">
        <v>2019</v>
      </c>
      <c r="F5214" s="1" t="s">
        <v>520</v>
      </c>
      <c r="G5214" s="6">
        <v>26148</v>
      </c>
      <c r="H5214" t="str">
        <f>IFERROR(VLOOKUP(F5214,'LEAID Match'!$A$2:$B$142,2,FALSE),"")</f>
        <v/>
      </c>
    </row>
    <row r="5215" spans="1:8" x14ac:dyDescent="0.2">
      <c r="A5215" t="str">
        <f t="shared" si="81"/>
        <v/>
      </c>
      <c r="B5215" s="1">
        <v>2019</v>
      </c>
      <c r="C5215" s="1" t="s">
        <v>2505</v>
      </c>
      <c r="D5215" s="1" t="s">
        <v>2506</v>
      </c>
      <c r="E5215" s="1" t="s">
        <v>2019</v>
      </c>
      <c r="F5215" s="1" t="s">
        <v>520</v>
      </c>
      <c r="G5215" s="6">
        <v>23778</v>
      </c>
      <c r="H5215" t="str">
        <f>IFERROR(VLOOKUP(F5215,'LEAID Match'!$A$2:$B$142,2,FALSE),"")</f>
        <v/>
      </c>
    </row>
    <row r="5216" spans="1:8" x14ac:dyDescent="0.2">
      <c r="A5216" t="str">
        <f t="shared" si="81"/>
        <v/>
      </c>
      <c r="B5216" s="1">
        <v>2020</v>
      </c>
      <c r="C5216" s="1" t="s">
        <v>2505</v>
      </c>
      <c r="D5216" s="1" t="s">
        <v>2506</v>
      </c>
      <c r="E5216" s="1" t="s">
        <v>2019</v>
      </c>
      <c r="F5216" s="1" t="s">
        <v>520</v>
      </c>
      <c r="G5216" s="6">
        <v>28102</v>
      </c>
      <c r="H5216" t="str">
        <f>IFERROR(VLOOKUP(F5216,'LEAID Match'!$A$2:$B$142,2,FALSE),"")</f>
        <v/>
      </c>
    </row>
    <row r="5217" spans="1:8" x14ac:dyDescent="0.2">
      <c r="A5217" t="str">
        <f t="shared" si="81"/>
        <v/>
      </c>
      <c r="B5217" s="1">
        <v>2021</v>
      </c>
      <c r="C5217" s="1" t="s">
        <v>2505</v>
      </c>
      <c r="D5217" s="1" t="s">
        <v>2506</v>
      </c>
      <c r="E5217" s="1" t="s">
        <v>2019</v>
      </c>
      <c r="F5217" s="1" t="s">
        <v>520</v>
      </c>
      <c r="G5217" s="6">
        <v>28715</v>
      </c>
      <c r="H5217" t="str">
        <f>IFERROR(VLOOKUP(F5217,'LEAID Match'!$A$2:$B$142,2,FALSE),"")</f>
        <v/>
      </c>
    </row>
    <row r="5218" spans="1:8" x14ac:dyDescent="0.2">
      <c r="A5218" t="str">
        <f t="shared" si="81"/>
        <v/>
      </c>
      <c r="B5218" s="1">
        <v>2022</v>
      </c>
      <c r="C5218" s="1" t="s">
        <v>2505</v>
      </c>
      <c r="D5218" s="1" t="s">
        <v>2506</v>
      </c>
      <c r="E5218" s="1" t="s">
        <v>2019</v>
      </c>
      <c r="F5218" s="1" t="s">
        <v>520</v>
      </c>
      <c r="G5218" s="6">
        <v>30624</v>
      </c>
      <c r="H5218" t="str">
        <f>IFERROR(VLOOKUP(F5218,'LEAID Match'!$A$2:$B$142,2,FALSE),"")</f>
        <v/>
      </c>
    </row>
    <row r="5219" spans="1:8" x14ac:dyDescent="0.2">
      <c r="A5219" t="str">
        <f t="shared" si="81"/>
        <v/>
      </c>
      <c r="B5219" s="1">
        <v>2023</v>
      </c>
      <c r="C5219" s="1" t="s">
        <v>2505</v>
      </c>
      <c r="D5219" s="1" t="s">
        <v>2506</v>
      </c>
      <c r="E5219" s="1" t="s">
        <v>2019</v>
      </c>
      <c r="F5219" s="1" t="s">
        <v>520</v>
      </c>
      <c r="G5219" s="6">
        <v>31239</v>
      </c>
      <c r="H5219" t="str">
        <f>IFERROR(VLOOKUP(F5219,'LEAID Match'!$A$2:$B$142,2,FALSE),"")</f>
        <v/>
      </c>
    </row>
    <row r="5220" spans="1:8" x14ac:dyDescent="0.2">
      <c r="A5220" t="str">
        <f t="shared" si="81"/>
        <v/>
      </c>
      <c r="B5220" s="1">
        <v>2024</v>
      </c>
      <c r="C5220" s="1" t="s">
        <v>2505</v>
      </c>
      <c r="D5220" s="1" t="s">
        <v>2506</v>
      </c>
      <c r="E5220" s="1" t="s">
        <v>2019</v>
      </c>
      <c r="F5220" s="1" t="s">
        <v>520</v>
      </c>
      <c r="G5220" s="6">
        <v>30611</v>
      </c>
      <c r="H5220" t="str">
        <f>IFERROR(VLOOKUP(F5220,'LEAID Match'!$A$2:$B$142,2,FALSE),"")</f>
        <v/>
      </c>
    </row>
    <row r="5221" spans="1:8" x14ac:dyDescent="0.2">
      <c r="A5221" t="str">
        <f t="shared" si="81"/>
        <v/>
      </c>
      <c r="B5221" s="1">
        <v>2015</v>
      </c>
      <c r="C5221" s="1" t="s">
        <v>2505</v>
      </c>
      <c r="D5221" s="1" t="s">
        <v>2506</v>
      </c>
      <c r="E5221" s="1" t="s">
        <v>2019</v>
      </c>
      <c r="F5221" s="1" t="s">
        <v>521</v>
      </c>
      <c r="G5221" s="6">
        <v>1140570</v>
      </c>
      <c r="H5221" t="str">
        <f>IFERROR(VLOOKUP(F5221,'LEAID Match'!$A$2:$B$142,2,FALSE),"")</f>
        <v/>
      </c>
    </row>
    <row r="5222" spans="1:8" x14ac:dyDescent="0.2">
      <c r="A5222" t="str">
        <f t="shared" si="81"/>
        <v/>
      </c>
      <c r="B5222">
        <v>2016</v>
      </c>
      <c r="C5222" s="1" t="s">
        <v>2505</v>
      </c>
      <c r="D5222" s="1" t="s">
        <v>2506</v>
      </c>
      <c r="E5222" s="1" t="s">
        <v>2019</v>
      </c>
      <c r="F5222" s="1" t="s">
        <v>521</v>
      </c>
      <c r="G5222" s="12">
        <v>1170886</v>
      </c>
      <c r="H5222" t="str">
        <f>IFERROR(VLOOKUP(F5222,'LEAID Match'!$A$2:$B$142,2,FALSE),"")</f>
        <v/>
      </c>
    </row>
    <row r="5223" spans="1:8" x14ac:dyDescent="0.2">
      <c r="A5223" t="str">
        <f t="shared" si="81"/>
        <v/>
      </c>
      <c r="B5223" s="1">
        <v>2017</v>
      </c>
      <c r="C5223" s="1" t="s">
        <v>2505</v>
      </c>
      <c r="D5223" s="1" t="s">
        <v>2506</v>
      </c>
      <c r="E5223" s="1" t="s">
        <v>2019</v>
      </c>
      <c r="F5223" s="1" t="s">
        <v>521</v>
      </c>
      <c r="G5223" s="50">
        <v>1137307</v>
      </c>
      <c r="H5223" t="str">
        <f>IFERROR(VLOOKUP(F5223,'LEAID Match'!$A$2:$B$142,2,FALSE),"")</f>
        <v/>
      </c>
    </row>
    <row r="5224" spans="1:8" x14ac:dyDescent="0.2">
      <c r="A5224" t="str">
        <f t="shared" si="81"/>
        <v/>
      </c>
      <c r="B5224" s="1">
        <v>2018</v>
      </c>
      <c r="C5224" s="1" t="s">
        <v>2505</v>
      </c>
      <c r="D5224" s="1" t="s">
        <v>2506</v>
      </c>
      <c r="E5224" s="1" t="s">
        <v>2019</v>
      </c>
      <c r="F5224" s="1" t="s">
        <v>521</v>
      </c>
      <c r="G5224" s="6">
        <v>1108856</v>
      </c>
      <c r="H5224" t="str">
        <f>IFERROR(VLOOKUP(F5224,'LEAID Match'!$A$2:$B$142,2,FALSE),"")</f>
        <v/>
      </c>
    </row>
    <row r="5225" spans="1:8" x14ac:dyDescent="0.2">
      <c r="A5225" t="str">
        <f t="shared" si="81"/>
        <v/>
      </c>
      <c r="B5225" s="1">
        <v>2019</v>
      </c>
      <c r="C5225" s="1" t="s">
        <v>2505</v>
      </c>
      <c r="D5225" s="1" t="s">
        <v>2506</v>
      </c>
      <c r="E5225" s="1" t="s">
        <v>2019</v>
      </c>
      <c r="F5225" s="1" t="s">
        <v>521</v>
      </c>
      <c r="G5225" s="6">
        <v>1092889</v>
      </c>
      <c r="H5225" t="str">
        <f>IFERROR(VLOOKUP(F5225,'LEAID Match'!$A$2:$B$142,2,FALSE),"")</f>
        <v/>
      </c>
    </row>
    <row r="5226" spans="1:8" x14ac:dyDescent="0.2">
      <c r="A5226" t="str">
        <f t="shared" si="81"/>
        <v/>
      </c>
      <c r="B5226" s="1">
        <v>2020</v>
      </c>
      <c r="C5226" s="1" t="s">
        <v>2505</v>
      </c>
      <c r="D5226" s="1" t="s">
        <v>2506</v>
      </c>
      <c r="E5226" s="1" t="s">
        <v>2019</v>
      </c>
      <c r="F5226" s="1" t="s">
        <v>521</v>
      </c>
      <c r="G5226" s="6">
        <v>1143008</v>
      </c>
      <c r="H5226" t="str">
        <f>IFERROR(VLOOKUP(F5226,'LEAID Match'!$A$2:$B$142,2,FALSE),"")</f>
        <v/>
      </c>
    </row>
    <row r="5227" spans="1:8" x14ac:dyDescent="0.2">
      <c r="A5227" t="str">
        <f t="shared" si="81"/>
        <v/>
      </c>
      <c r="B5227" s="1">
        <v>2021</v>
      </c>
      <c r="C5227" s="1" t="s">
        <v>2505</v>
      </c>
      <c r="D5227" s="1" t="s">
        <v>2506</v>
      </c>
      <c r="E5227" s="1" t="s">
        <v>2019</v>
      </c>
      <c r="F5227" s="1" t="s">
        <v>521</v>
      </c>
      <c r="G5227" s="6">
        <v>1108568</v>
      </c>
      <c r="H5227" t="str">
        <f>IFERROR(VLOOKUP(F5227,'LEAID Match'!$A$2:$B$142,2,FALSE),"")</f>
        <v/>
      </c>
    </row>
    <row r="5228" spans="1:8" x14ac:dyDescent="0.2">
      <c r="A5228" t="str">
        <f t="shared" si="81"/>
        <v/>
      </c>
      <c r="B5228" s="1">
        <v>2022</v>
      </c>
      <c r="C5228" s="1" t="s">
        <v>2505</v>
      </c>
      <c r="D5228" s="1" t="s">
        <v>2506</v>
      </c>
      <c r="E5228" s="1" t="s">
        <v>2019</v>
      </c>
      <c r="F5228" s="1" t="s">
        <v>521</v>
      </c>
      <c r="G5228" s="6">
        <v>1200877</v>
      </c>
      <c r="H5228" t="str">
        <f>IFERROR(VLOOKUP(F5228,'LEAID Match'!$A$2:$B$142,2,FALSE),"")</f>
        <v/>
      </c>
    </row>
    <row r="5229" spans="1:8" x14ac:dyDescent="0.2">
      <c r="A5229" t="str">
        <f t="shared" si="81"/>
        <v/>
      </c>
      <c r="B5229" s="1">
        <v>2023</v>
      </c>
      <c r="C5229" s="1" t="s">
        <v>2505</v>
      </c>
      <c r="D5229" s="1" t="s">
        <v>2506</v>
      </c>
      <c r="E5229" s="1" t="s">
        <v>2019</v>
      </c>
      <c r="F5229" s="1" t="s">
        <v>521</v>
      </c>
      <c r="G5229" s="6">
        <v>1284479</v>
      </c>
      <c r="H5229" t="str">
        <f>IFERROR(VLOOKUP(F5229,'LEAID Match'!$A$2:$B$142,2,FALSE),"")</f>
        <v/>
      </c>
    </row>
    <row r="5230" spans="1:8" x14ac:dyDescent="0.2">
      <c r="A5230" t="str">
        <f t="shared" si="81"/>
        <v/>
      </c>
      <c r="B5230" s="1">
        <v>2024</v>
      </c>
      <c r="C5230" s="1" t="s">
        <v>2505</v>
      </c>
      <c r="D5230" s="1" t="s">
        <v>2506</v>
      </c>
      <c r="E5230" s="1" t="s">
        <v>2019</v>
      </c>
      <c r="F5230" s="1" t="s">
        <v>521</v>
      </c>
      <c r="G5230" s="6">
        <v>1386121</v>
      </c>
      <c r="H5230" t="str">
        <f>IFERROR(VLOOKUP(F5230,'LEAID Match'!$A$2:$B$142,2,FALSE),"")</f>
        <v/>
      </c>
    </row>
    <row r="5231" spans="1:8" x14ac:dyDescent="0.2">
      <c r="A5231" t="str">
        <f t="shared" si="81"/>
        <v/>
      </c>
      <c r="B5231" s="1">
        <v>2021</v>
      </c>
      <c r="C5231" s="1" t="s">
        <v>2505</v>
      </c>
      <c r="D5231" s="1" t="s">
        <v>2506</v>
      </c>
      <c r="E5231" s="1" t="s">
        <v>2019</v>
      </c>
      <c r="F5231" s="1" t="s">
        <v>522</v>
      </c>
      <c r="G5231" s="6">
        <v>19965</v>
      </c>
      <c r="H5231" t="str">
        <f>IFERROR(VLOOKUP(F5231,'LEAID Match'!$A$2:$B$142,2,FALSE),"")</f>
        <v/>
      </c>
    </row>
    <row r="5232" spans="1:8" x14ac:dyDescent="0.2">
      <c r="A5232" t="str">
        <f t="shared" si="81"/>
        <v/>
      </c>
      <c r="B5232" s="1">
        <v>2022</v>
      </c>
      <c r="C5232" s="1" t="s">
        <v>2505</v>
      </c>
      <c r="D5232" s="1" t="s">
        <v>2506</v>
      </c>
      <c r="E5232" s="1" t="s">
        <v>2019</v>
      </c>
      <c r="F5232" s="1" t="s">
        <v>522</v>
      </c>
      <c r="G5232" s="6">
        <v>46677</v>
      </c>
      <c r="H5232" t="str">
        <f>IFERROR(VLOOKUP(F5232,'LEAID Match'!$A$2:$B$142,2,FALSE),"")</f>
        <v/>
      </c>
    </row>
    <row r="5233" spans="1:8" x14ac:dyDescent="0.2">
      <c r="A5233" t="str">
        <f t="shared" si="81"/>
        <v/>
      </c>
      <c r="B5233" s="1">
        <v>2023</v>
      </c>
      <c r="C5233" s="1" t="s">
        <v>2505</v>
      </c>
      <c r="D5233" s="1" t="s">
        <v>2506</v>
      </c>
      <c r="E5233" s="1" t="s">
        <v>2019</v>
      </c>
      <c r="F5233" s="1" t="s">
        <v>522</v>
      </c>
      <c r="G5233" s="6">
        <v>48295</v>
      </c>
      <c r="H5233" t="str">
        <f>IFERROR(VLOOKUP(F5233,'LEAID Match'!$A$2:$B$142,2,FALSE),"")</f>
        <v/>
      </c>
    </row>
    <row r="5234" spans="1:8" x14ac:dyDescent="0.2">
      <c r="A5234" t="str">
        <f t="shared" si="81"/>
        <v/>
      </c>
      <c r="B5234" s="1">
        <v>2024</v>
      </c>
      <c r="C5234" s="1" t="s">
        <v>2505</v>
      </c>
      <c r="D5234" s="1" t="s">
        <v>2506</v>
      </c>
      <c r="E5234" s="1" t="s">
        <v>2019</v>
      </c>
      <c r="F5234" s="1" t="s">
        <v>522</v>
      </c>
      <c r="G5234" s="6">
        <v>44213</v>
      </c>
      <c r="H5234" t="str">
        <f>IFERROR(VLOOKUP(F5234,'LEAID Match'!$A$2:$B$142,2,FALSE),"")</f>
        <v/>
      </c>
    </row>
    <row r="5235" spans="1:8" x14ac:dyDescent="0.2">
      <c r="A5235" t="str">
        <f t="shared" si="81"/>
        <v/>
      </c>
      <c r="B5235" s="1">
        <v>2015</v>
      </c>
      <c r="C5235" s="1" t="s">
        <v>2505</v>
      </c>
      <c r="D5235" s="1" t="s">
        <v>2506</v>
      </c>
      <c r="E5235" s="1" t="s">
        <v>2019</v>
      </c>
      <c r="F5235" s="1" t="s">
        <v>523</v>
      </c>
      <c r="G5235" s="6">
        <v>73705</v>
      </c>
      <c r="H5235" t="str">
        <f>IFERROR(VLOOKUP(F5235,'LEAID Match'!$A$2:$B$142,2,FALSE),"")</f>
        <v/>
      </c>
    </row>
    <row r="5236" spans="1:8" x14ac:dyDescent="0.2">
      <c r="A5236" t="str">
        <f t="shared" si="81"/>
        <v/>
      </c>
      <c r="B5236">
        <v>2016</v>
      </c>
      <c r="C5236" s="1" t="s">
        <v>2505</v>
      </c>
      <c r="D5236" s="1" t="s">
        <v>2506</v>
      </c>
      <c r="E5236" s="1" t="s">
        <v>2019</v>
      </c>
      <c r="F5236" s="1" t="s">
        <v>523</v>
      </c>
      <c r="G5236" s="12">
        <v>74010</v>
      </c>
      <c r="H5236" t="str">
        <f>IFERROR(VLOOKUP(F5236,'LEAID Match'!$A$2:$B$142,2,FALSE),"")</f>
        <v/>
      </c>
    </row>
    <row r="5237" spans="1:8" x14ac:dyDescent="0.2">
      <c r="A5237" t="str">
        <f t="shared" si="81"/>
        <v/>
      </c>
      <c r="B5237" s="1">
        <v>2017</v>
      </c>
      <c r="C5237" s="1" t="s">
        <v>2505</v>
      </c>
      <c r="D5237" s="1" t="s">
        <v>2506</v>
      </c>
      <c r="E5237" s="1" t="s">
        <v>2019</v>
      </c>
      <c r="F5237" s="1" t="s">
        <v>523</v>
      </c>
      <c r="G5237" s="50">
        <v>78094</v>
      </c>
      <c r="H5237" t="str">
        <f>IFERROR(VLOOKUP(F5237,'LEAID Match'!$A$2:$B$142,2,FALSE),"")</f>
        <v/>
      </c>
    </row>
    <row r="5238" spans="1:8" x14ac:dyDescent="0.2">
      <c r="A5238" t="str">
        <f t="shared" si="81"/>
        <v/>
      </c>
      <c r="B5238" s="1">
        <v>2018</v>
      </c>
      <c r="C5238" s="1" t="s">
        <v>2505</v>
      </c>
      <c r="D5238" s="1" t="s">
        <v>2506</v>
      </c>
      <c r="E5238" s="1" t="s">
        <v>2019</v>
      </c>
      <c r="F5238" s="1" t="s">
        <v>523</v>
      </c>
      <c r="G5238" s="6">
        <v>80765</v>
      </c>
      <c r="H5238" t="str">
        <f>IFERROR(VLOOKUP(F5238,'LEAID Match'!$A$2:$B$142,2,FALSE),"")</f>
        <v/>
      </c>
    </row>
    <row r="5239" spans="1:8" x14ac:dyDescent="0.2">
      <c r="A5239" t="str">
        <f t="shared" si="81"/>
        <v/>
      </c>
      <c r="B5239" s="1">
        <v>2019</v>
      </c>
      <c r="C5239" s="1" t="s">
        <v>2505</v>
      </c>
      <c r="D5239" s="1" t="s">
        <v>2506</v>
      </c>
      <c r="E5239" s="1" t="s">
        <v>2019</v>
      </c>
      <c r="F5239" s="1" t="s">
        <v>523</v>
      </c>
      <c r="G5239" s="6">
        <v>85222</v>
      </c>
      <c r="H5239" t="str">
        <f>IFERROR(VLOOKUP(F5239,'LEAID Match'!$A$2:$B$142,2,FALSE),"")</f>
        <v/>
      </c>
    </row>
    <row r="5240" spans="1:8" x14ac:dyDescent="0.2">
      <c r="A5240" t="str">
        <f t="shared" si="81"/>
        <v/>
      </c>
      <c r="B5240" s="1">
        <v>2020</v>
      </c>
      <c r="C5240" s="1" t="s">
        <v>2505</v>
      </c>
      <c r="D5240" s="1" t="s">
        <v>2506</v>
      </c>
      <c r="E5240" s="1" t="s">
        <v>2019</v>
      </c>
      <c r="F5240" s="1" t="s">
        <v>523</v>
      </c>
      <c r="G5240" s="6">
        <v>102731</v>
      </c>
      <c r="H5240" t="str">
        <f>IFERROR(VLOOKUP(F5240,'LEAID Match'!$A$2:$B$142,2,FALSE),"")</f>
        <v/>
      </c>
    </row>
    <row r="5241" spans="1:8" x14ac:dyDescent="0.2">
      <c r="A5241" t="str">
        <f t="shared" si="81"/>
        <v/>
      </c>
      <c r="B5241" s="1">
        <v>2021</v>
      </c>
      <c r="C5241" s="1" t="s">
        <v>2505</v>
      </c>
      <c r="D5241" s="1" t="s">
        <v>2506</v>
      </c>
      <c r="E5241" s="1" t="s">
        <v>2019</v>
      </c>
      <c r="F5241" s="1" t="s">
        <v>523</v>
      </c>
      <c r="G5241" s="6">
        <v>116402</v>
      </c>
      <c r="H5241" t="str">
        <f>IFERROR(VLOOKUP(F5241,'LEAID Match'!$A$2:$B$142,2,FALSE),"")</f>
        <v/>
      </c>
    </row>
    <row r="5242" spans="1:8" x14ac:dyDescent="0.2">
      <c r="A5242" t="str">
        <f t="shared" si="81"/>
        <v/>
      </c>
      <c r="B5242" s="1">
        <v>2022</v>
      </c>
      <c r="C5242" s="1" t="s">
        <v>2505</v>
      </c>
      <c r="D5242" s="1" t="s">
        <v>2506</v>
      </c>
      <c r="E5242" s="1" t="s">
        <v>2019</v>
      </c>
      <c r="F5242" s="1" t="s">
        <v>523</v>
      </c>
      <c r="G5242" s="6">
        <v>117020</v>
      </c>
      <c r="H5242" t="str">
        <f>IFERROR(VLOOKUP(F5242,'LEAID Match'!$A$2:$B$142,2,FALSE),"")</f>
        <v/>
      </c>
    </row>
    <row r="5243" spans="1:8" x14ac:dyDescent="0.2">
      <c r="A5243" t="str">
        <f t="shared" si="81"/>
        <v/>
      </c>
      <c r="B5243" s="1">
        <v>2023</v>
      </c>
      <c r="C5243" s="1" t="s">
        <v>2505</v>
      </c>
      <c r="D5243" s="1" t="s">
        <v>2506</v>
      </c>
      <c r="E5243" s="1" t="s">
        <v>2019</v>
      </c>
      <c r="F5243" s="1" t="s">
        <v>523</v>
      </c>
      <c r="G5243" s="6">
        <v>123789</v>
      </c>
      <c r="H5243" t="str">
        <f>IFERROR(VLOOKUP(F5243,'LEAID Match'!$A$2:$B$142,2,FALSE),"")</f>
        <v/>
      </c>
    </row>
    <row r="5244" spans="1:8" x14ac:dyDescent="0.2">
      <c r="A5244" t="str">
        <f t="shared" si="81"/>
        <v/>
      </c>
      <c r="B5244" s="1">
        <v>2024</v>
      </c>
      <c r="C5244" s="1" t="s">
        <v>2505</v>
      </c>
      <c r="D5244" s="1" t="s">
        <v>2506</v>
      </c>
      <c r="E5244" s="1" t="s">
        <v>2019</v>
      </c>
      <c r="F5244" s="1" t="s">
        <v>523</v>
      </c>
      <c r="G5244" s="6">
        <v>123158</v>
      </c>
      <c r="H5244" t="str">
        <f>IFERROR(VLOOKUP(F5244,'LEAID Match'!$A$2:$B$142,2,FALSE),"")</f>
        <v/>
      </c>
    </row>
    <row r="5245" spans="1:8" x14ac:dyDescent="0.2">
      <c r="A5245" t="str">
        <f t="shared" si="81"/>
        <v/>
      </c>
      <c r="B5245" s="1">
        <v>2015</v>
      </c>
      <c r="C5245" s="1" t="s">
        <v>2505</v>
      </c>
      <c r="D5245" s="1" t="s">
        <v>2506</v>
      </c>
      <c r="E5245" s="1" t="s">
        <v>2019</v>
      </c>
      <c r="F5245" s="1" t="s">
        <v>524</v>
      </c>
      <c r="G5245" s="6">
        <v>322463</v>
      </c>
      <c r="H5245" t="str">
        <f>IFERROR(VLOOKUP(F5245,'LEAID Match'!$A$2:$B$142,2,FALSE),"")</f>
        <v/>
      </c>
    </row>
    <row r="5246" spans="1:8" x14ac:dyDescent="0.2">
      <c r="A5246" t="str">
        <f t="shared" si="81"/>
        <v/>
      </c>
      <c r="B5246">
        <v>2016</v>
      </c>
      <c r="C5246" s="1" t="s">
        <v>2505</v>
      </c>
      <c r="D5246" s="1" t="s">
        <v>2506</v>
      </c>
      <c r="E5246" s="1" t="s">
        <v>2019</v>
      </c>
      <c r="F5246" s="1" t="s">
        <v>524</v>
      </c>
      <c r="G5246" s="12">
        <v>299262</v>
      </c>
      <c r="H5246" t="str">
        <f>IFERROR(VLOOKUP(F5246,'LEAID Match'!$A$2:$B$142,2,FALSE),"")</f>
        <v/>
      </c>
    </row>
    <row r="5247" spans="1:8" x14ac:dyDescent="0.2">
      <c r="A5247" t="str">
        <f t="shared" si="81"/>
        <v/>
      </c>
      <c r="B5247" s="1">
        <v>2017</v>
      </c>
      <c r="C5247" s="1" t="s">
        <v>2505</v>
      </c>
      <c r="D5247" s="1" t="s">
        <v>2506</v>
      </c>
      <c r="E5247" s="1" t="s">
        <v>2019</v>
      </c>
      <c r="F5247" s="1" t="s">
        <v>524</v>
      </c>
      <c r="G5247" s="50">
        <v>296785</v>
      </c>
      <c r="H5247" t="str">
        <f>IFERROR(VLOOKUP(F5247,'LEAID Match'!$A$2:$B$142,2,FALSE),"")</f>
        <v/>
      </c>
    </row>
    <row r="5248" spans="1:8" x14ac:dyDescent="0.2">
      <c r="A5248" t="str">
        <f t="shared" si="81"/>
        <v/>
      </c>
      <c r="B5248" s="1">
        <v>2018</v>
      </c>
      <c r="C5248" s="1" t="s">
        <v>2505</v>
      </c>
      <c r="D5248" s="1" t="s">
        <v>2506</v>
      </c>
      <c r="E5248" s="1" t="s">
        <v>2019</v>
      </c>
      <c r="F5248" s="1" t="s">
        <v>524</v>
      </c>
      <c r="G5248" s="6">
        <v>319286</v>
      </c>
      <c r="H5248" t="str">
        <f>IFERROR(VLOOKUP(F5248,'LEAID Match'!$A$2:$B$142,2,FALSE),"")</f>
        <v/>
      </c>
    </row>
    <row r="5249" spans="1:8" x14ac:dyDescent="0.2">
      <c r="A5249" t="str">
        <f t="shared" si="81"/>
        <v/>
      </c>
      <c r="B5249" s="1">
        <v>2019</v>
      </c>
      <c r="C5249" s="1" t="s">
        <v>2505</v>
      </c>
      <c r="D5249" s="1" t="s">
        <v>2506</v>
      </c>
      <c r="E5249" s="1" t="s">
        <v>2019</v>
      </c>
      <c r="F5249" s="1" t="s">
        <v>524</v>
      </c>
      <c r="G5249" s="6">
        <v>316939</v>
      </c>
      <c r="H5249" t="str">
        <f>IFERROR(VLOOKUP(F5249,'LEAID Match'!$A$2:$B$142,2,FALSE),"")</f>
        <v/>
      </c>
    </row>
    <row r="5250" spans="1:8" x14ac:dyDescent="0.2">
      <c r="A5250" t="str">
        <f t="shared" si="81"/>
        <v/>
      </c>
      <c r="B5250" s="1">
        <v>2020</v>
      </c>
      <c r="C5250" s="1" t="s">
        <v>2505</v>
      </c>
      <c r="D5250" s="1" t="s">
        <v>2506</v>
      </c>
      <c r="E5250" s="1" t="s">
        <v>2019</v>
      </c>
      <c r="F5250" s="1" t="s">
        <v>524</v>
      </c>
      <c r="G5250" s="6">
        <v>354754</v>
      </c>
      <c r="H5250" t="str">
        <f>IFERROR(VLOOKUP(F5250,'LEAID Match'!$A$2:$B$142,2,FALSE),"")</f>
        <v/>
      </c>
    </row>
    <row r="5251" spans="1:8" x14ac:dyDescent="0.2">
      <c r="A5251" t="str">
        <f t="shared" ref="A5251:A5314" si="82">H5251</f>
        <v/>
      </c>
      <c r="B5251" s="1">
        <v>2021</v>
      </c>
      <c r="C5251" s="1" t="s">
        <v>2505</v>
      </c>
      <c r="D5251" s="1" t="s">
        <v>2506</v>
      </c>
      <c r="E5251" s="1" t="s">
        <v>2019</v>
      </c>
      <c r="F5251" s="1" t="s">
        <v>524</v>
      </c>
      <c r="G5251" s="6">
        <v>377445</v>
      </c>
      <c r="H5251" t="str">
        <f>IFERROR(VLOOKUP(F5251,'LEAID Match'!$A$2:$B$142,2,FALSE),"")</f>
        <v/>
      </c>
    </row>
    <row r="5252" spans="1:8" x14ac:dyDescent="0.2">
      <c r="A5252" t="str">
        <f t="shared" si="82"/>
        <v/>
      </c>
      <c r="B5252" s="1">
        <v>2022</v>
      </c>
      <c r="C5252" s="1" t="s">
        <v>2505</v>
      </c>
      <c r="D5252" s="1" t="s">
        <v>2506</v>
      </c>
      <c r="E5252" s="1" t="s">
        <v>2019</v>
      </c>
      <c r="F5252" s="1" t="s">
        <v>524</v>
      </c>
      <c r="G5252" s="6">
        <v>376248</v>
      </c>
      <c r="H5252" t="str">
        <f>IFERROR(VLOOKUP(F5252,'LEAID Match'!$A$2:$B$142,2,FALSE),"")</f>
        <v/>
      </c>
    </row>
    <row r="5253" spans="1:8" x14ac:dyDescent="0.2">
      <c r="A5253" t="str">
        <f t="shared" si="82"/>
        <v/>
      </c>
      <c r="B5253" s="1">
        <v>2023</v>
      </c>
      <c r="C5253" s="1" t="s">
        <v>2505</v>
      </c>
      <c r="D5253" s="1" t="s">
        <v>2506</v>
      </c>
      <c r="E5253" s="1" t="s">
        <v>2019</v>
      </c>
      <c r="F5253" s="1" t="s">
        <v>524</v>
      </c>
      <c r="G5253" s="6">
        <v>382880</v>
      </c>
      <c r="H5253" t="str">
        <f>IFERROR(VLOOKUP(F5253,'LEAID Match'!$A$2:$B$142,2,FALSE),"")</f>
        <v/>
      </c>
    </row>
    <row r="5254" spans="1:8" x14ac:dyDescent="0.2">
      <c r="A5254" t="str">
        <f t="shared" si="82"/>
        <v/>
      </c>
      <c r="B5254" s="1">
        <v>2024</v>
      </c>
      <c r="C5254" s="1" t="s">
        <v>2505</v>
      </c>
      <c r="D5254" s="1" t="s">
        <v>2506</v>
      </c>
      <c r="E5254" s="1" t="s">
        <v>2019</v>
      </c>
      <c r="F5254" s="1" t="s">
        <v>524</v>
      </c>
      <c r="G5254" s="6">
        <v>377771</v>
      </c>
      <c r="H5254" t="str">
        <f>IFERROR(VLOOKUP(F5254,'LEAID Match'!$A$2:$B$142,2,FALSE),"")</f>
        <v/>
      </c>
    </row>
    <row r="5255" spans="1:8" x14ac:dyDescent="0.2">
      <c r="A5255" t="str">
        <f t="shared" si="82"/>
        <v/>
      </c>
      <c r="B5255" s="1">
        <v>2015</v>
      </c>
      <c r="C5255" s="1" t="s">
        <v>2505</v>
      </c>
      <c r="D5255" s="1" t="s">
        <v>2506</v>
      </c>
      <c r="E5255" s="1" t="s">
        <v>2019</v>
      </c>
      <c r="F5255" s="1" t="s">
        <v>525</v>
      </c>
      <c r="G5255" s="6">
        <v>117836</v>
      </c>
      <c r="H5255" t="str">
        <f>IFERROR(VLOOKUP(F5255,'LEAID Match'!$A$2:$B$142,2,FALSE),"")</f>
        <v/>
      </c>
    </row>
    <row r="5256" spans="1:8" x14ac:dyDescent="0.2">
      <c r="A5256" t="str">
        <f t="shared" si="82"/>
        <v/>
      </c>
      <c r="B5256">
        <v>2016</v>
      </c>
      <c r="C5256" s="1" t="s">
        <v>2505</v>
      </c>
      <c r="D5256" s="1" t="s">
        <v>2506</v>
      </c>
      <c r="E5256" s="1" t="s">
        <v>2019</v>
      </c>
      <c r="F5256" s="1" t="s">
        <v>525</v>
      </c>
      <c r="G5256" s="12">
        <v>114347</v>
      </c>
      <c r="H5256" t="str">
        <f>IFERROR(VLOOKUP(F5256,'LEAID Match'!$A$2:$B$142,2,FALSE),"")</f>
        <v/>
      </c>
    </row>
    <row r="5257" spans="1:8" x14ac:dyDescent="0.2">
      <c r="A5257" t="str">
        <f t="shared" si="82"/>
        <v/>
      </c>
      <c r="B5257" s="1">
        <v>2017</v>
      </c>
      <c r="C5257" s="1" t="s">
        <v>2505</v>
      </c>
      <c r="D5257" s="1" t="s">
        <v>2506</v>
      </c>
      <c r="E5257" s="1" t="s">
        <v>2019</v>
      </c>
      <c r="F5257" s="1" t="s">
        <v>525</v>
      </c>
      <c r="G5257" s="50">
        <v>110091</v>
      </c>
      <c r="H5257" t="str">
        <f>IFERROR(VLOOKUP(F5257,'LEAID Match'!$A$2:$B$142,2,FALSE),"")</f>
        <v/>
      </c>
    </row>
    <row r="5258" spans="1:8" x14ac:dyDescent="0.2">
      <c r="A5258" t="str">
        <f t="shared" si="82"/>
        <v/>
      </c>
      <c r="B5258" s="1">
        <v>2018</v>
      </c>
      <c r="C5258" s="1" t="s">
        <v>2505</v>
      </c>
      <c r="D5258" s="1" t="s">
        <v>2506</v>
      </c>
      <c r="E5258" s="1" t="s">
        <v>2019</v>
      </c>
      <c r="F5258" s="1" t="s">
        <v>525</v>
      </c>
      <c r="G5258" s="6">
        <v>126336</v>
      </c>
      <c r="H5258" t="str">
        <f>IFERROR(VLOOKUP(F5258,'LEAID Match'!$A$2:$B$142,2,FALSE),"")</f>
        <v/>
      </c>
    </row>
    <row r="5259" spans="1:8" x14ac:dyDescent="0.2">
      <c r="A5259" t="str">
        <f t="shared" si="82"/>
        <v/>
      </c>
      <c r="B5259" s="1">
        <v>2019</v>
      </c>
      <c r="C5259" s="1" t="s">
        <v>2505</v>
      </c>
      <c r="D5259" s="1" t="s">
        <v>2506</v>
      </c>
      <c r="E5259" s="1" t="s">
        <v>2019</v>
      </c>
      <c r="F5259" s="1" t="s">
        <v>525</v>
      </c>
      <c r="G5259" s="6">
        <v>132024</v>
      </c>
      <c r="H5259" t="str">
        <f>IFERROR(VLOOKUP(F5259,'LEAID Match'!$A$2:$B$142,2,FALSE),"")</f>
        <v/>
      </c>
    </row>
    <row r="5260" spans="1:8" x14ac:dyDescent="0.2">
      <c r="A5260" t="str">
        <f t="shared" si="82"/>
        <v/>
      </c>
      <c r="B5260" s="1">
        <v>2020</v>
      </c>
      <c r="C5260" s="1" t="s">
        <v>2505</v>
      </c>
      <c r="D5260" s="1" t="s">
        <v>2506</v>
      </c>
      <c r="E5260" s="1" t="s">
        <v>2019</v>
      </c>
      <c r="F5260" s="1" t="s">
        <v>525</v>
      </c>
      <c r="G5260" s="6">
        <v>136364</v>
      </c>
      <c r="H5260" t="str">
        <f>IFERROR(VLOOKUP(F5260,'LEAID Match'!$A$2:$B$142,2,FALSE),"")</f>
        <v/>
      </c>
    </row>
    <row r="5261" spans="1:8" x14ac:dyDescent="0.2">
      <c r="A5261" t="str">
        <f t="shared" si="82"/>
        <v/>
      </c>
      <c r="B5261" s="1">
        <v>2021</v>
      </c>
      <c r="C5261" s="1" t="s">
        <v>2505</v>
      </c>
      <c r="D5261" s="1" t="s">
        <v>2506</v>
      </c>
      <c r="E5261" s="1" t="s">
        <v>2019</v>
      </c>
      <c r="F5261" s="1" t="s">
        <v>525</v>
      </c>
      <c r="G5261" s="6">
        <v>120629</v>
      </c>
      <c r="H5261" t="str">
        <f>IFERROR(VLOOKUP(F5261,'LEAID Match'!$A$2:$B$142,2,FALSE),"")</f>
        <v/>
      </c>
    </row>
    <row r="5262" spans="1:8" x14ac:dyDescent="0.2">
      <c r="A5262" t="str">
        <f t="shared" si="82"/>
        <v/>
      </c>
      <c r="B5262" s="1">
        <v>2022</v>
      </c>
      <c r="C5262" s="1" t="s">
        <v>2505</v>
      </c>
      <c r="D5262" s="1" t="s">
        <v>2506</v>
      </c>
      <c r="E5262" s="1" t="s">
        <v>2019</v>
      </c>
      <c r="F5262" s="1" t="s">
        <v>525</v>
      </c>
      <c r="G5262" s="6">
        <v>126807</v>
      </c>
      <c r="H5262" t="str">
        <f>IFERROR(VLOOKUP(F5262,'LEAID Match'!$A$2:$B$142,2,FALSE),"")</f>
        <v/>
      </c>
    </row>
    <row r="5263" spans="1:8" x14ac:dyDescent="0.2">
      <c r="A5263" t="str">
        <f t="shared" si="82"/>
        <v/>
      </c>
      <c r="B5263" s="1">
        <v>2023</v>
      </c>
      <c r="C5263" s="1" t="s">
        <v>2505</v>
      </c>
      <c r="D5263" s="1" t="s">
        <v>2506</v>
      </c>
      <c r="E5263" s="1" t="s">
        <v>2019</v>
      </c>
      <c r="F5263" s="1" t="s">
        <v>525</v>
      </c>
      <c r="G5263" s="6">
        <v>119863</v>
      </c>
      <c r="H5263" t="str">
        <f>IFERROR(VLOOKUP(F5263,'LEAID Match'!$A$2:$B$142,2,FALSE),"")</f>
        <v/>
      </c>
    </row>
    <row r="5264" spans="1:8" x14ac:dyDescent="0.2">
      <c r="A5264" t="str">
        <f t="shared" si="82"/>
        <v/>
      </c>
      <c r="B5264" s="1">
        <v>2024</v>
      </c>
      <c r="C5264" s="1" t="s">
        <v>2505</v>
      </c>
      <c r="D5264" s="1" t="s">
        <v>2506</v>
      </c>
      <c r="E5264" s="1" t="s">
        <v>2019</v>
      </c>
      <c r="F5264" s="1" t="s">
        <v>525</v>
      </c>
      <c r="G5264" s="6">
        <v>129245</v>
      </c>
      <c r="H5264" t="str">
        <f>IFERROR(VLOOKUP(F5264,'LEAID Match'!$A$2:$B$142,2,FALSE),"")</f>
        <v/>
      </c>
    </row>
    <row r="5265" spans="1:8" x14ac:dyDescent="0.2">
      <c r="A5265">
        <f t="shared" si="82"/>
        <v>2803030</v>
      </c>
      <c r="B5265" s="1">
        <v>2015</v>
      </c>
      <c r="C5265" s="1" t="s">
        <v>2505</v>
      </c>
      <c r="D5265" s="1" t="s">
        <v>2506</v>
      </c>
      <c r="E5265" s="1" t="s">
        <v>2019</v>
      </c>
      <c r="F5265" t="s">
        <v>885</v>
      </c>
      <c r="G5265" s="6">
        <v>2914826</v>
      </c>
      <c r="H5265">
        <f>IFERROR(VLOOKUP(F5265,'LEAID Match'!$A$2:$B$142,2,FALSE),"")</f>
        <v>2803030</v>
      </c>
    </row>
    <row r="5266" spans="1:8" x14ac:dyDescent="0.2">
      <c r="A5266">
        <f t="shared" si="82"/>
        <v>2803030</v>
      </c>
      <c r="B5266">
        <v>2016</v>
      </c>
      <c r="C5266" s="1" t="s">
        <v>2505</v>
      </c>
      <c r="D5266" s="1" t="s">
        <v>2506</v>
      </c>
      <c r="E5266" s="1" t="s">
        <v>2019</v>
      </c>
      <c r="F5266" t="s">
        <v>885</v>
      </c>
      <c r="G5266" s="12">
        <v>3073348</v>
      </c>
      <c r="H5266">
        <f>IFERROR(VLOOKUP(F5266,'LEAID Match'!$A$2:$B$142,2,FALSE),"")</f>
        <v>2803030</v>
      </c>
    </row>
    <row r="5267" spans="1:8" x14ac:dyDescent="0.2">
      <c r="A5267">
        <f t="shared" si="82"/>
        <v>2803030</v>
      </c>
      <c r="B5267" s="1">
        <v>2017</v>
      </c>
      <c r="C5267" s="1" t="s">
        <v>2505</v>
      </c>
      <c r="D5267" s="1" t="s">
        <v>2506</v>
      </c>
      <c r="E5267" s="1" t="s">
        <v>2019</v>
      </c>
      <c r="F5267" t="s">
        <v>885</v>
      </c>
      <c r="G5267" s="50">
        <v>3285458</v>
      </c>
      <c r="H5267">
        <f>IFERROR(VLOOKUP(F5267,'LEAID Match'!$A$2:$B$142,2,FALSE),"")</f>
        <v>2803030</v>
      </c>
    </row>
    <row r="5268" spans="1:8" x14ac:dyDescent="0.2">
      <c r="A5268">
        <f t="shared" si="82"/>
        <v>2803030</v>
      </c>
      <c r="B5268" s="1">
        <v>2018</v>
      </c>
      <c r="C5268" s="1" t="s">
        <v>2505</v>
      </c>
      <c r="D5268" s="1" t="s">
        <v>2506</v>
      </c>
      <c r="E5268" s="1" t="s">
        <v>2019</v>
      </c>
      <c r="F5268" t="s">
        <v>885</v>
      </c>
      <c r="G5268" s="6">
        <v>3250129</v>
      </c>
      <c r="H5268">
        <f>IFERROR(VLOOKUP(F5268,'LEAID Match'!$A$2:$B$142,2,FALSE),"")</f>
        <v>2803030</v>
      </c>
    </row>
    <row r="5269" spans="1:8" x14ac:dyDescent="0.2">
      <c r="A5269">
        <f t="shared" si="82"/>
        <v>2803030</v>
      </c>
      <c r="B5269" s="1">
        <v>2019</v>
      </c>
      <c r="C5269" s="1" t="s">
        <v>2505</v>
      </c>
      <c r="D5269" s="1" t="s">
        <v>2506</v>
      </c>
      <c r="E5269" s="1" t="s">
        <v>2019</v>
      </c>
      <c r="F5269" t="s">
        <v>885</v>
      </c>
      <c r="G5269" s="6">
        <v>3325674</v>
      </c>
      <c r="H5269">
        <f>IFERROR(VLOOKUP(F5269,'LEAID Match'!$A$2:$B$142,2,FALSE),"")</f>
        <v>2803030</v>
      </c>
    </row>
    <row r="5270" spans="1:8" x14ac:dyDescent="0.2">
      <c r="A5270">
        <f t="shared" si="82"/>
        <v>2803030</v>
      </c>
      <c r="B5270" s="1">
        <v>2020</v>
      </c>
      <c r="C5270" s="1" t="s">
        <v>2505</v>
      </c>
      <c r="D5270" s="1" t="s">
        <v>2506</v>
      </c>
      <c r="E5270" s="1" t="s">
        <v>2019</v>
      </c>
      <c r="F5270" t="s">
        <v>885</v>
      </c>
      <c r="G5270" s="6">
        <v>3751998</v>
      </c>
      <c r="H5270">
        <f>IFERROR(VLOOKUP(F5270,'LEAID Match'!$A$2:$B$142,2,FALSE),"")</f>
        <v>2803030</v>
      </c>
    </row>
    <row r="5271" spans="1:8" x14ac:dyDescent="0.2">
      <c r="A5271">
        <f t="shared" si="82"/>
        <v>2803030</v>
      </c>
      <c r="B5271" s="1">
        <v>2021</v>
      </c>
      <c r="C5271" s="1" t="s">
        <v>2505</v>
      </c>
      <c r="D5271" s="1" t="s">
        <v>2506</v>
      </c>
      <c r="E5271" s="1" t="s">
        <v>2019</v>
      </c>
      <c r="F5271" t="s">
        <v>885</v>
      </c>
      <c r="G5271" s="6">
        <v>3675551</v>
      </c>
      <c r="H5271">
        <f>IFERROR(VLOOKUP(F5271,'LEAID Match'!$A$2:$B$142,2,FALSE),"")</f>
        <v>2803030</v>
      </c>
    </row>
    <row r="5272" spans="1:8" x14ac:dyDescent="0.2">
      <c r="A5272">
        <f t="shared" si="82"/>
        <v>2803030</v>
      </c>
      <c r="B5272" s="1">
        <v>2022</v>
      </c>
      <c r="C5272" s="1" t="s">
        <v>2505</v>
      </c>
      <c r="D5272" s="1" t="s">
        <v>2506</v>
      </c>
      <c r="E5272" s="1" t="s">
        <v>2019</v>
      </c>
      <c r="F5272" t="s">
        <v>885</v>
      </c>
      <c r="G5272" s="6">
        <v>3839134</v>
      </c>
      <c r="H5272">
        <f>IFERROR(VLOOKUP(F5272,'LEAID Match'!$A$2:$B$142,2,FALSE),"")</f>
        <v>2803030</v>
      </c>
    </row>
    <row r="5273" spans="1:8" x14ac:dyDescent="0.2">
      <c r="A5273">
        <f t="shared" si="82"/>
        <v>2803030</v>
      </c>
      <c r="B5273" s="1">
        <v>2023</v>
      </c>
      <c r="C5273" s="1" t="s">
        <v>2505</v>
      </c>
      <c r="D5273" s="1" t="s">
        <v>2506</v>
      </c>
      <c r="E5273" s="1" t="s">
        <v>2019</v>
      </c>
      <c r="F5273" t="s">
        <v>885</v>
      </c>
      <c r="G5273" s="6">
        <v>3898030</v>
      </c>
      <c r="H5273">
        <f>IFERROR(VLOOKUP(F5273,'LEAID Match'!$A$2:$B$142,2,FALSE),"")</f>
        <v>2803030</v>
      </c>
    </row>
    <row r="5274" spans="1:8" x14ac:dyDescent="0.2">
      <c r="A5274">
        <f t="shared" si="82"/>
        <v>2803030</v>
      </c>
      <c r="B5274" s="1">
        <v>2024</v>
      </c>
      <c r="C5274" s="1" t="s">
        <v>2505</v>
      </c>
      <c r="D5274" s="1" t="s">
        <v>2506</v>
      </c>
      <c r="E5274" s="1" t="s">
        <v>2019</v>
      </c>
      <c r="F5274" t="s">
        <v>885</v>
      </c>
      <c r="G5274" s="6">
        <v>3841841</v>
      </c>
      <c r="H5274">
        <f>IFERROR(VLOOKUP(F5274,'LEAID Match'!$A$2:$B$142,2,FALSE),"")</f>
        <v>2803030</v>
      </c>
    </row>
    <row r="5275" spans="1:8" x14ac:dyDescent="0.2">
      <c r="A5275" t="str">
        <f t="shared" si="82"/>
        <v/>
      </c>
      <c r="B5275">
        <v>2016</v>
      </c>
      <c r="C5275" s="1" t="s">
        <v>2505</v>
      </c>
      <c r="D5275" s="1" t="s">
        <v>2506</v>
      </c>
      <c r="E5275" s="1" t="s">
        <v>2019</v>
      </c>
      <c r="F5275" s="1" t="s">
        <v>527</v>
      </c>
      <c r="G5275" s="12">
        <v>9112</v>
      </c>
      <c r="H5275" t="str">
        <f>IFERROR(VLOOKUP(F5275,'LEAID Match'!$A$2:$B$142,2,FALSE),"")</f>
        <v/>
      </c>
    </row>
    <row r="5276" spans="1:8" x14ac:dyDescent="0.2">
      <c r="A5276" t="str">
        <f t="shared" si="82"/>
        <v/>
      </c>
      <c r="B5276" s="1">
        <v>2017</v>
      </c>
      <c r="C5276" s="1" t="s">
        <v>2505</v>
      </c>
      <c r="D5276" s="1" t="s">
        <v>2506</v>
      </c>
      <c r="E5276" s="1" t="s">
        <v>2019</v>
      </c>
      <c r="F5276" s="1" t="s">
        <v>527</v>
      </c>
      <c r="G5276" s="50">
        <v>9482</v>
      </c>
      <c r="H5276" t="str">
        <f>IFERROR(VLOOKUP(F5276,'LEAID Match'!$A$2:$B$142,2,FALSE),"")</f>
        <v/>
      </c>
    </row>
    <row r="5277" spans="1:8" x14ac:dyDescent="0.2">
      <c r="A5277" t="str">
        <f t="shared" si="82"/>
        <v/>
      </c>
      <c r="B5277" s="1">
        <v>2018</v>
      </c>
      <c r="C5277" s="1" t="s">
        <v>2505</v>
      </c>
      <c r="D5277" s="1" t="s">
        <v>2506</v>
      </c>
      <c r="E5277" s="1" t="s">
        <v>2019</v>
      </c>
      <c r="F5277" s="1" t="s">
        <v>527</v>
      </c>
      <c r="G5277" s="6">
        <v>9683</v>
      </c>
      <c r="H5277" t="str">
        <f>IFERROR(VLOOKUP(F5277,'LEAID Match'!$A$2:$B$142,2,FALSE),"")</f>
        <v/>
      </c>
    </row>
    <row r="5278" spans="1:8" x14ac:dyDescent="0.2">
      <c r="A5278" t="str">
        <f t="shared" si="82"/>
        <v/>
      </c>
      <c r="B5278" s="1">
        <v>2019</v>
      </c>
      <c r="C5278" s="1" t="s">
        <v>2505</v>
      </c>
      <c r="D5278" s="1" t="s">
        <v>2506</v>
      </c>
      <c r="E5278" s="1" t="s">
        <v>2019</v>
      </c>
      <c r="F5278" s="1" t="s">
        <v>527</v>
      </c>
      <c r="G5278" s="6">
        <v>9993</v>
      </c>
      <c r="H5278" t="str">
        <f>IFERROR(VLOOKUP(F5278,'LEAID Match'!$A$2:$B$142,2,FALSE),"")</f>
        <v/>
      </c>
    </row>
    <row r="5279" spans="1:8" x14ac:dyDescent="0.2">
      <c r="A5279" t="str">
        <f t="shared" si="82"/>
        <v/>
      </c>
      <c r="B5279" s="1">
        <v>2020</v>
      </c>
      <c r="C5279" s="1" t="s">
        <v>2505</v>
      </c>
      <c r="D5279" s="1" t="s">
        <v>2506</v>
      </c>
      <c r="E5279" s="1" t="s">
        <v>2019</v>
      </c>
      <c r="F5279" s="1" t="s">
        <v>527</v>
      </c>
      <c r="G5279" s="6">
        <v>11391</v>
      </c>
      <c r="H5279" t="str">
        <f>IFERROR(VLOOKUP(F5279,'LEAID Match'!$A$2:$B$142,2,FALSE),"")</f>
        <v/>
      </c>
    </row>
    <row r="5280" spans="1:8" x14ac:dyDescent="0.2">
      <c r="A5280" t="str">
        <f t="shared" si="82"/>
        <v/>
      </c>
      <c r="B5280" s="1">
        <v>2021</v>
      </c>
      <c r="C5280" s="1" t="s">
        <v>2505</v>
      </c>
      <c r="D5280" s="1" t="s">
        <v>2506</v>
      </c>
      <c r="E5280" s="1" t="s">
        <v>2019</v>
      </c>
      <c r="F5280" s="1" t="s">
        <v>527</v>
      </c>
      <c r="G5280" s="6">
        <v>12005</v>
      </c>
      <c r="H5280" t="str">
        <f>IFERROR(VLOOKUP(F5280,'LEAID Match'!$A$2:$B$142,2,FALSE),"")</f>
        <v/>
      </c>
    </row>
    <row r="5281" spans="1:8" x14ac:dyDescent="0.2">
      <c r="A5281" t="str">
        <f t="shared" si="82"/>
        <v/>
      </c>
      <c r="B5281" s="1">
        <v>2022</v>
      </c>
      <c r="C5281" s="1" t="s">
        <v>2505</v>
      </c>
      <c r="D5281" s="1" t="s">
        <v>2506</v>
      </c>
      <c r="E5281" s="1" t="s">
        <v>2019</v>
      </c>
      <c r="F5281" s="1" t="s">
        <v>527</v>
      </c>
      <c r="G5281" s="6">
        <v>8137</v>
      </c>
      <c r="H5281" t="str">
        <f>IFERROR(VLOOKUP(F5281,'LEAID Match'!$A$2:$B$142,2,FALSE),"")</f>
        <v/>
      </c>
    </row>
    <row r="5282" spans="1:8" x14ac:dyDescent="0.2">
      <c r="A5282" t="str">
        <f t="shared" si="82"/>
        <v/>
      </c>
      <c r="B5282" s="1">
        <v>2023</v>
      </c>
      <c r="C5282" s="1" t="s">
        <v>2505</v>
      </c>
      <c r="D5282" s="1" t="s">
        <v>2506</v>
      </c>
      <c r="E5282" s="1" t="s">
        <v>2019</v>
      </c>
      <c r="F5282" s="1" t="s">
        <v>527</v>
      </c>
      <c r="G5282" s="6">
        <v>8558</v>
      </c>
      <c r="H5282" t="str">
        <f>IFERROR(VLOOKUP(F5282,'LEAID Match'!$A$2:$B$142,2,FALSE),"")</f>
        <v/>
      </c>
    </row>
    <row r="5283" spans="1:8" x14ac:dyDescent="0.2">
      <c r="A5283" t="str">
        <f t="shared" si="82"/>
        <v/>
      </c>
      <c r="B5283" s="1">
        <v>2024</v>
      </c>
      <c r="C5283" s="1" t="s">
        <v>2505</v>
      </c>
      <c r="D5283" s="1" t="s">
        <v>2506</v>
      </c>
      <c r="E5283" s="1" t="s">
        <v>2019</v>
      </c>
      <c r="F5283" s="1" t="s">
        <v>527</v>
      </c>
      <c r="G5283" s="6">
        <v>8959</v>
      </c>
      <c r="H5283" t="str">
        <f>IFERROR(VLOOKUP(F5283,'LEAID Match'!$A$2:$B$142,2,FALSE),"")</f>
        <v/>
      </c>
    </row>
    <row r="5284" spans="1:8" x14ac:dyDescent="0.2">
      <c r="A5284">
        <f t="shared" si="82"/>
        <v>2803060</v>
      </c>
      <c r="B5284" s="1">
        <v>2015</v>
      </c>
      <c r="C5284" s="1" t="s">
        <v>2505</v>
      </c>
      <c r="D5284" s="1" t="s">
        <v>2506</v>
      </c>
      <c r="E5284" s="1" t="s">
        <v>2019</v>
      </c>
      <c r="F5284" s="1" t="s">
        <v>528</v>
      </c>
      <c r="G5284" s="6">
        <v>2274354</v>
      </c>
      <c r="H5284">
        <f>IFERROR(VLOOKUP(F5284,'LEAID Match'!$A$2:$B$142,2,FALSE),"")</f>
        <v>2803060</v>
      </c>
    </row>
    <row r="5285" spans="1:8" x14ac:dyDescent="0.2">
      <c r="A5285">
        <f t="shared" si="82"/>
        <v>2803060</v>
      </c>
      <c r="B5285">
        <v>2016</v>
      </c>
      <c r="C5285" s="1" t="s">
        <v>2505</v>
      </c>
      <c r="D5285" s="1" t="s">
        <v>2506</v>
      </c>
      <c r="E5285" s="1" t="s">
        <v>2019</v>
      </c>
      <c r="F5285" s="1" t="s">
        <v>528</v>
      </c>
      <c r="G5285" s="12">
        <v>2333869</v>
      </c>
      <c r="H5285">
        <f>IFERROR(VLOOKUP(F5285,'LEAID Match'!$A$2:$B$142,2,FALSE),"")</f>
        <v>2803060</v>
      </c>
    </row>
    <row r="5286" spans="1:8" x14ac:dyDescent="0.2">
      <c r="A5286">
        <f t="shared" si="82"/>
        <v>2803060</v>
      </c>
      <c r="B5286" s="1">
        <v>2017</v>
      </c>
      <c r="C5286" s="1" t="s">
        <v>2505</v>
      </c>
      <c r="D5286" s="1" t="s">
        <v>2506</v>
      </c>
      <c r="E5286" s="1" t="s">
        <v>2019</v>
      </c>
      <c r="F5286" s="1" t="s">
        <v>528</v>
      </c>
      <c r="G5286" s="50">
        <v>2294128</v>
      </c>
      <c r="H5286">
        <f>IFERROR(VLOOKUP(F5286,'LEAID Match'!$A$2:$B$142,2,FALSE),"")</f>
        <v>2803060</v>
      </c>
    </row>
    <row r="5287" spans="1:8" x14ac:dyDescent="0.2">
      <c r="A5287">
        <f t="shared" si="82"/>
        <v>2803060</v>
      </c>
      <c r="B5287" s="1">
        <v>2018</v>
      </c>
      <c r="C5287" s="1" t="s">
        <v>2505</v>
      </c>
      <c r="D5287" s="1" t="s">
        <v>2506</v>
      </c>
      <c r="E5287" s="1" t="s">
        <v>2019</v>
      </c>
      <c r="F5287" s="1" t="s">
        <v>528</v>
      </c>
      <c r="G5287" s="6">
        <v>2242665</v>
      </c>
      <c r="H5287">
        <f>IFERROR(VLOOKUP(F5287,'LEAID Match'!$A$2:$B$142,2,FALSE),"")</f>
        <v>2803060</v>
      </c>
    </row>
    <row r="5288" spans="1:8" x14ac:dyDescent="0.2">
      <c r="A5288">
        <f t="shared" si="82"/>
        <v>2803060</v>
      </c>
      <c r="B5288" s="1">
        <v>2019</v>
      </c>
      <c r="C5288" s="1" t="s">
        <v>2505</v>
      </c>
      <c r="D5288" s="1" t="s">
        <v>2506</v>
      </c>
      <c r="E5288" s="1" t="s">
        <v>2019</v>
      </c>
      <c r="F5288" s="1" t="s">
        <v>528</v>
      </c>
      <c r="G5288" s="6">
        <v>2288130</v>
      </c>
      <c r="H5288">
        <f>IFERROR(VLOOKUP(F5288,'LEAID Match'!$A$2:$B$142,2,FALSE),"")</f>
        <v>2803060</v>
      </c>
    </row>
    <row r="5289" spans="1:8" x14ac:dyDescent="0.2">
      <c r="A5289">
        <f t="shared" si="82"/>
        <v>2803060</v>
      </c>
      <c r="B5289" s="1">
        <v>2020</v>
      </c>
      <c r="C5289" s="1" t="s">
        <v>2505</v>
      </c>
      <c r="D5289" s="1" t="s">
        <v>2506</v>
      </c>
      <c r="E5289" s="1" t="s">
        <v>2019</v>
      </c>
      <c r="F5289" s="1" t="s">
        <v>528</v>
      </c>
      <c r="G5289" s="6">
        <v>2600888</v>
      </c>
      <c r="H5289">
        <f>IFERROR(VLOOKUP(F5289,'LEAID Match'!$A$2:$B$142,2,FALSE),"")</f>
        <v>2803060</v>
      </c>
    </row>
    <row r="5290" spans="1:8" x14ac:dyDescent="0.2">
      <c r="A5290">
        <f t="shared" si="82"/>
        <v>2803060</v>
      </c>
      <c r="B5290" s="1">
        <v>2021</v>
      </c>
      <c r="C5290" s="1" t="s">
        <v>2505</v>
      </c>
      <c r="D5290" s="1" t="s">
        <v>2506</v>
      </c>
      <c r="E5290" s="1" t="s">
        <v>2019</v>
      </c>
      <c r="F5290" s="1" t="s">
        <v>528</v>
      </c>
      <c r="G5290" s="6">
        <v>2710058</v>
      </c>
      <c r="H5290">
        <f>IFERROR(VLOOKUP(F5290,'LEAID Match'!$A$2:$B$142,2,FALSE),"")</f>
        <v>2803060</v>
      </c>
    </row>
    <row r="5291" spans="1:8" x14ac:dyDescent="0.2">
      <c r="A5291">
        <f t="shared" si="82"/>
        <v>2803060</v>
      </c>
      <c r="B5291" s="1">
        <v>2022</v>
      </c>
      <c r="C5291" s="1" t="s">
        <v>2505</v>
      </c>
      <c r="D5291" s="1" t="s">
        <v>2506</v>
      </c>
      <c r="E5291" s="1" t="s">
        <v>2019</v>
      </c>
      <c r="F5291" s="1" t="s">
        <v>528</v>
      </c>
      <c r="G5291" s="6">
        <v>2788728</v>
      </c>
      <c r="H5291">
        <f>IFERROR(VLOOKUP(F5291,'LEAID Match'!$A$2:$B$142,2,FALSE),"")</f>
        <v>2803060</v>
      </c>
    </row>
    <row r="5292" spans="1:8" x14ac:dyDescent="0.2">
      <c r="A5292">
        <f t="shared" si="82"/>
        <v>2803060</v>
      </c>
      <c r="B5292" s="1">
        <v>2023</v>
      </c>
      <c r="C5292" s="1" t="s">
        <v>2505</v>
      </c>
      <c r="D5292" s="1" t="s">
        <v>2506</v>
      </c>
      <c r="E5292" s="1" t="s">
        <v>2019</v>
      </c>
      <c r="F5292" s="1" t="s">
        <v>528</v>
      </c>
      <c r="G5292" s="6">
        <v>3105062</v>
      </c>
      <c r="H5292">
        <f>IFERROR(VLOOKUP(F5292,'LEAID Match'!$A$2:$B$142,2,FALSE),"")</f>
        <v>2803060</v>
      </c>
    </row>
    <row r="5293" spans="1:8" x14ac:dyDescent="0.2">
      <c r="A5293">
        <f t="shared" si="82"/>
        <v>2803060</v>
      </c>
      <c r="B5293" s="1">
        <v>2024</v>
      </c>
      <c r="C5293" s="1" t="s">
        <v>2505</v>
      </c>
      <c r="D5293" s="1" t="s">
        <v>2506</v>
      </c>
      <c r="E5293" s="1" t="s">
        <v>2019</v>
      </c>
      <c r="F5293" s="1" t="s">
        <v>528</v>
      </c>
      <c r="G5293" s="6">
        <v>3238210</v>
      </c>
      <c r="H5293">
        <f>IFERROR(VLOOKUP(F5293,'LEAID Match'!$A$2:$B$142,2,FALSE),"")</f>
        <v>2803060</v>
      </c>
    </row>
    <row r="5294" spans="1:8" x14ac:dyDescent="0.2">
      <c r="A5294" t="str">
        <f t="shared" si="82"/>
        <v/>
      </c>
      <c r="B5294" s="1">
        <v>2015</v>
      </c>
      <c r="C5294" s="1" t="s">
        <v>2505</v>
      </c>
      <c r="D5294" s="1" t="s">
        <v>2506</v>
      </c>
      <c r="E5294" s="1" t="s">
        <v>2019</v>
      </c>
      <c r="F5294" s="1" t="s">
        <v>529</v>
      </c>
      <c r="G5294" s="6">
        <v>624366</v>
      </c>
      <c r="H5294" t="str">
        <f>IFERROR(VLOOKUP(F5294,'LEAID Match'!$A$2:$B$142,2,FALSE),"")</f>
        <v/>
      </c>
    </row>
    <row r="5295" spans="1:8" x14ac:dyDescent="0.2">
      <c r="A5295" t="str">
        <f t="shared" si="82"/>
        <v/>
      </c>
      <c r="B5295">
        <v>2016</v>
      </c>
      <c r="C5295" s="1" t="s">
        <v>2505</v>
      </c>
      <c r="D5295" s="1" t="s">
        <v>2506</v>
      </c>
      <c r="E5295" s="1" t="s">
        <v>2019</v>
      </c>
      <c r="F5295" s="1" t="s">
        <v>529</v>
      </c>
      <c r="G5295" s="12">
        <v>599510</v>
      </c>
      <c r="H5295" t="str">
        <f>IFERROR(VLOOKUP(F5295,'LEAID Match'!$A$2:$B$142,2,FALSE),"")</f>
        <v/>
      </c>
    </row>
    <row r="5296" spans="1:8" x14ac:dyDescent="0.2">
      <c r="A5296" t="str">
        <f t="shared" si="82"/>
        <v/>
      </c>
      <c r="B5296" s="1">
        <v>2017</v>
      </c>
      <c r="C5296" s="1" t="s">
        <v>2505</v>
      </c>
      <c r="D5296" s="1" t="s">
        <v>2506</v>
      </c>
      <c r="E5296" s="1" t="s">
        <v>2019</v>
      </c>
      <c r="F5296" s="1" t="s">
        <v>529</v>
      </c>
      <c r="G5296" s="50">
        <v>610712</v>
      </c>
      <c r="H5296" t="str">
        <f>IFERROR(VLOOKUP(F5296,'LEAID Match'!$A$2:$B$142,2,FALSE),"")</f>
        <v/>
      </c>
    </row>
    <row r="5297" spans="1:8" x14ac:dyDescent="0.2">
      <c r="A5297" t="str">
        <f t="shared" si="82"/>
        <v/>
      </c>
      <c r="B5297" s="1">
        <v>2018</v>
      </c>
      <c r="C5297" s="1" t="s">
        <v>2505</v>
      </c>
      <c r="D5297" s="1" t="s">
        <v>2506</v>
      </c>
      <c r="E5297" s="1" t="s">
        <v>2019</v>
      </c>
      <c r="F5297" s="1" t="s">
        <v>529</v>
      </c>
      <c r="G5297" s="6">
        <v>645115</v>
      </c>
      <c r="H5297" t="str">
        <f>IFERROR(VLOOKUP(F5297,'LEAID Match'!$A$2:$B$142,2,FALSE),"")</f>
        <v/>
      </c>
    </row>
    <row r="5298" spans="1:8" x14ac:dyDescent="0.2">
      <c r="A5298" t="str">
        <f t="shared" si="82"/>
        <v/>
      </c>
      <c r="B5298" s="1">
        <v>2019</v>
      </c>
      <c r="C5298" s="1" t="s">
        <v>2505</v>
      </c>
      <c r="D5298" s="1" t="s">
        <v>2506</v>
      </c>
      <c r="E5298" s="1" t="s">
        <v>2019</v>
      </c>
      <c r="F5298" s="1" t="s">
        <v>529</v>
      </c>
      <c r="G5298" s="6">
        <v>660359</v>
      </c>
      <c r="H5298" t="str">
        <f>IFERROR(VLOOKUP(F5298,'LEAID Match'!$A$2:$B$142,2,FALSE),"")</f>
        <v/>
      </c>
    </row>
    <row r="5299" spans="1:8" x14ac:dyDescent="0.2">
      <c r="A5299" t="str">
        <f t="shared" si="82"/>
        <v/>
      </c>
      <c r="B5299" s="1">
        <v>2020</v>
      </c>
      <c r="C5299" s="1" t="s">
        <v>2505</v>
      </c>
      <c r="D5299" s="1" t="s">
        <v>2506</v>
      </c>
      <c r="E5299" s="1" t="s">
        <v>2019</v>
      </c>
      <c r="F5299" s="1" t="s">
        <v>529</v>
      </c>
      <c r="G5299" s="6">
        <v>725837</v>
      </c>
      <c r="H5299" t="str">
        <f>IFERROR(VLOOKUP(F5299,'LEAID Match'!$A$2:$B$142,2,FALSE),"")</f>
        <v/>
      </c>
    </row>
    <row r="5300" spans="1:8" x14ac:dyDescent="0.2">
      <c r="A5300" t="str">
        <f t="shared" si="82"/>
        <v/>
      </c>
      <c r="B5300" s="1">
        <v>2021</v>
      </c>
      <c r="C5300" s="1" t="s">
        <v>2505</v>
      </c>
      <c r="D5300" s="1" t="s">
        <v>2506</v>
      </c>
      <c r="E5300" s="1" t="s">
        <v>2019</v>
      </c>
      <c r="F5300" s="1" t="s">
        <v>529</v>
      </c>
      <c r="G5300" s="6">
        <v>749403</v>
      </c>
      <c r="H5300" t="str">
        <f>IFERROR(VLOOKUP(F5300,'LEAID Match'!$A$2:$B$142,2,FALSE),"")</f>
        <v/>
      </c>
    </row>
    <row r="5301" spans="1:8" x14ac:dyDescent="0.2">
      <c r="A5301" t="str">
        <f t="shared" si="82"/>
        <v/>
      </c>
      <c r="B5301" s="1">
        <v>2022</v>
      </c>
      <c r="C5301" s="1" t="s">
        <v>2505</v>
      </c>
      <c r="D5301" s="1" t="s">
        <v>2506</v>
      </c>
      <c r="E5301" s="1" t="s">
        <v>2019</v>
      </c>
      <c r="F5301" s="1" t="s">
        <v>529</v>
      </c>
      <c r="G5301" s="6">
        <v>789974</v>
      </c>
      <c r="H5301" t="str">
        <f>IFERROR(VLOOKUP(F5301,'LEAID Match'!$A$2:$B$142,2,FALSE),"")</f>
        <v/>
      </c>
    </row>
    <row r="5302" spans="1:8" x14ac:dyDescent="0.2">
      <c r="A5302" t="str">
        <f t="shared" si="82"/>
        <v/>
      </c>
      <c r="B5302" s="1">
        <v>2023</v>
      </c>
      <c r="C5302" s="1" t="s">
        <v>2505</v>
      </c>
      <c r="D5302" s="1" t="s">
        <v>2506</v>
      </c>
      <c r="E5302" s="1" t="s">
        <v>2019</v>
      </c>
      <c r="F5302" s="1" t="s">
        <v>529</v>
      </c>
      <c r="G5302" s="6">
        <v>943813</v>
      </c>
      <c r="H5302" t="str">
        <f>IFERROR(VLOOKUP(F5302,'LEAID Match'!$A$2:$B$142,2,FALSE),"")</f>
        <v/>
      </c>
    </row>
    <row r="5303" spans="1:8" x14ac:dyDescent="0.2">
      <c r="A5303" t="str">
        <f t="shared" si="82"/>
        <v/>
      </c>
      <c r="B5303" s="1">
        <v>2024</v>
      </c>
      <c r="C5303" s="1" t="s">
        <v>2505</v>
      </c>
      <c r="D5303" s="1" t="s">
        <v>2506</v>
      </c>
      <c r="E5303" s="1" t="s">
        <v>2019</v>
      </c>
      <c r="F5303" s="1" t="s">
        <v>529</v>
      </c>
      <c r="G5303" s="6">
        <v>962824</v>
      </c>
      <c r="H5303" t="str">
        <f>IFERROR(VLOOKUP(F5303,'LEAID Match'!$A$2:$B$142,2,FALSE),"")</f>
        <v/>
      </c>
    </row>
    <row r="5304" spans="1:8" x14ac:dyDescent="0.2">
      <c r="A5304" t="str">
        <f t="shared" si="82"/>
        <v/>
      </c>
      <c r="B5304" s="1">
        <v>2015</v>
      </c>
      <c r="C5304" s="1" t="s">
        <v>2505</v>
      </c>
      <c r="D5304" s="1" t="s">
        <v>2506</v>
      </c>
      <c r="E5304" s="1" t="s">
        <v>2019</v>
      </c>
      <c r="F5304" s="1" t="s">
        <v>530</v>
      </c>
      <c r="G5304" s="6">
        <v>26955</v>
      </c>
      <c r="H5304" t="str">
        <f>IFERROR(VLOOKUP(F5304,'LEAID Match'!$A$2:$B$142,2,FALSE),"")</f>
        <v/>
      </c>
    </row>
    <row r="5305" spans="1:8" x14ac:dyDescent="0.2">
      <c r="A5305" t="str">
        <f t="shared" si="82"/>
        <v/>
      </c>
      <c r="B5305">
        <v>2016</v>
      </c>
      <c r="C5305" s="1" t="s">
        <v>2505</v>
      </c>
      <c r="D5305" s="1" t="s">
        <v>2506</v>
      </c>
      <c r="E5305" s="1" t="s">
        <v>2019</v>
      </c>
      <c r="F5305" s="1" t="s">
        <v>530</v>
      </c>
      <c r="G5305" s="12">
        <v>27657</v>
      </c>
      <c r="H5305" t="str">
        <f>IFERROR(VLOOKUP(F5305,'LEAID Match'!$A$2:$B$142,2,FALSE),"")</f>
        <v/>
      </c>
    </row>
    <row r="5306" spans="1:8" x14ac:dyDescent="0.2">
      <c r="A5306" t="str">
        <f t="shared" si="82"/>
        <v/>
      </c>
      <c r="B5306" s="1">
        <v>2017</v>
      </c>
      <c r="C5306" s="1" t="s">
        <v>2505</v>
      </c>
      <c r="D5306" s="1" t="s">
        <v>2506</v>
      </c>
      <c r="E5306" s="1" t="s">
        <v>2019</v>
      </c>
      <c r="F5306" s="1" t="s">
        <v>530</v>
      </c>
      <c r="G5306" s="50">
        <v>24596</v>
      </c>
      <c r="H5306" t="str">
        <f>IFERROR(VLOOKUP(F5306,'LEAID Match'!$A$2:$B$142,2,FALSE),"")</f>
        <v/>
      </c>
    </row>
    <row r="5307" spans="1:8" x14ac:dyDescent="0.2">
      <c r="A5307" t="str">
        <f t="shared" si="82"/>
        <v/>
      </c>
      <c r="B5307" s="1">
        <v>2018</v>
      </c>
      <c r="C5307" s="1" t="s">
        <v>2505</v>
      </c>
      <c r="D5307" s="1" t="s">
        <v>2506</v>
      </c>
      <c r="E5307" s="1" t="s">
        <v>2019</v>
      </c>
      <c r="F5307" s="1" t="s">
        <v>530</v>
      </c>
      <c r="G5307" s="6">
        <v>27604</v>
      </c>
      <c r="H5307" t="str">
        <f>IFERROR(VLOOKUP(F5307,'LEAID Match'!$A$2:$B$142,2,FALSE),"")</f>
        <v/>
      </c>
    </row>
    <row r="5308" spans="1:8" x14ac:dyDescent="0.2">
      <c r="A5308" t="str">
        <f t="shared" si="82"/>
        <v/>
      </c>
      <c r="B5308" s="1">
        <v>2019</v>
      </c>
      <c r="C5308" s="1" t="s">
        <v>2505</v>
      </c>
      <c r="D5308" s="1" t="s">
        <v>2506</v>
      </c>
      <c r="E5308" s="1" t="s">
        <v>2019</v>
      </c>
      <c r="F5308" s="1" t="s">
        <v>530</v>
      </c>
      <c r="G5308" s="6">
        <v>30457</v>
      </c>
      <c r="H5308" t="str">
        <f>IFERROR(VLOOKUP(F5308,'LEAID Match'!$A$2:$B$142,2,FALSE),"")</f>
        <v/>
      </c>
    </row>
    <row r="5309" spans="1:8" x14ac:dyDescent="0.2">
      <c r="A5309" t="str">
        <f t="shared" si="82"/>
        <v/>
      </c>
      <c r="B5309" s="1">
        <v>2020</v>
      </c>
      <c r="C5309" s="1" t="s">
        <v>2505</v>
      </c>
      <c r="D5309" s="1" t="s">
        <v>2506</v>
      </c>
      <c r="E5309" s="1" t="s">
        <v>2019</v>
      </c>
      <c r="F5309" s="1" t="s">
        <v>530</v>
      </c>
      <c r="G5309" s="6">
        <v>27654</v>
      </c>
      <c r="H5309" t="str">
        <f>IFERROR(VLOOKUP(F5309,'LEAID Match'!$A$2:$B$142,2,FALSE),"")</f>
        <v/>
      </c>
    </row>
    <row r="5310" spans="1:8" x14ac:dyDescent="0.2">
      <c r="A5310" t="str">
        <f t="shared" si="82"/>
        <v/>
      </c>
      <c r="B5310" s="1">
        <v>2021</v>
      </c>
      <c r="C5310" s="1" t="s">
        <v>2505</v>
      </c>
      <c r="D5310" s="1" t="s">
        <v>2506</v>
      </c>
      <c r="E5310" s="1" t="s">
        <v>2019</v>
      </c>
      <c r="F5310" s="1" t="s">
        <v>530</v>
      </c>
      <c r="G5310" s="6">
        <v>21751</v>
      </c>
      <c r="H5310" t="str">
        <f>IFERROR(VLOOKUP(F5310,'LEAID Match'!$A$2:$B$142,2,FALSE),"")</f>
        <v/>
      </c>
    </row>
    <row r="5311" spans="1:8" x14ac:dyDescent="0.2">
      <c r="A5311" t="str">
        <f t="shared" si="82"/>
        <v/>
      </c>
      <c r="B5311" s="1">
        <v>2022</v>
      </c>
      <c r="C5311" s="1" t="s">
        <v>2505</v>
      </c>
      <c r="D5311" s="1" t="s">
        <v>2506</v>
      </c>
      <c r="E5311" s="1" t="s">
        <v>2019</v>
      </c>
      <c r="F5311" s="1" t="s">
        <v>530</v>
      </c>
      <c r="G5311" s="6">
        <v>22836</v>
      </c>
      <c r="H5311" t="str">
        <f>IFERROR(VLOOKUP(F5311,'LEAID Match'!$A$2:$B$142,2,FALSE),"")</f>
        <v/>
      </c>
    </row>
    <row r="5312" spans="1:8" x14ac:dyDescent="0.2">
      <c r="A5312" t="str">
        <f t="shared" si="82"/>
        <v/>
      </c>
      <c r="B5312" s="1">
        <v>2023</v>
      </c>
      <c r="C5312" s="1" t="s">
        <v>2505</v>
      </c>
      <c r="D5312" s="1" t="s">
        <v>2506</v>
      </c>
      <c r="E5312" s="1" t="s">
        <v>2019</v>
      </c>
      <c r="F5312" s="1" t="s">
        <v>530</v>
      </c>
      <c r="G5312" s="6">
        <v>19206</v>
      </c>
      <c r="H5312" t="str">
        <f>IFERROR(VLOOKUP(F5312,'LEAID Match'!$A$2:$B$142,2,FALSE),"")</f>
        <v/>
      </c>
    </row>
    <row r="5313" spans="1:8" x14ac:dyDescent="0.2">
      <c r="A5313" t="str">
        <f t="shared" si="82"/>
        <v/>
      </c>
      <c r="B5313" s="1">
        <v>2024</v>
      </c>
      <c r="C5313" s="1" t="s">
        <v>2505</v>
      </c>
      <c r="D5313" s="1" t="s">
        <v>2506</v>
      </c>
      <c r="E5313" s="1" t="s">
        <v>2019</v>
      </c>
      <c r="F5313" s="1" t="s">
        <v>530</v>
      </c>
      <c r="G5313" s="6">
        <v>18752</v>
      </c>
      <c r="H5313" t="str">
        <f>IFERROR(VLOOKUP(F5313,'LEAID Match'!$A$2:$B$142,2,FALSE),"")</f>
        <v/>
      </c>
    </row>
    <row r="5314" spans="1:8" x14ac:dyDescent="0.2">
      <c r="A5314" t="str">
        <f t="shared" si="82"/>
        <v/>
      </c>
      <c r="B5314" s="1">
        <v>2015</v>
      </c>
      <c r="C5314" s="1" t="s">
        <v>2505</v>
      </c>
      <c r="D5314" s="1" t="s">
        <v>2506</v>
      </c>
      <c r="E5314" s="1" t="s">
        <v>2019</v>
      </c>
      <c r="F5314" s="1" t="s">
        <v>531</v>
      </c>
      <c r="G5314" s="6">
        <v>4268</v>
      </c>
      <c r="H5314" t="str">
        <f>IFERROR(VLOOKUP(F5314,'LEAID Match'!$A$2:$B$142,2,FALSE),"")</f>
        <v/>
      </c>
    </row>
    <row r="5315" spans="1:8" x14ac:dyDescent="0.2">
      <c r="A5315" t="str">
        <f t="shared" ref="A5315:A5378" si="83">H5315</f>
        <v/>
      </c>
      <c r="B5315">
        <v>2016</v>
      </c>
      <c r="C5315" s="1" t="s">
        <v>2505</v>
      </c>
      <c r="D5315" s="1" t="s">
        <v>2506</v>
      </c>
      <c r="E5315" s="1" t="s">
        <v>2019</v>
      </c>
      <c r="F5315" s="1" t="s">
        <v>531</v>
      </c>
      <c r="G5315" s="12">
        <v>4341</v>
      </c>
      <c r="H5315" t="str">
        <f>IFERROR(VLOOKUP(F5315,'LEAID Match'!$A$2:$B$142,2,FALSE),"")</f>
        <v/>
      </c>
    </row>
    <row r="5316" spans="1:8" x14ac:dyDescent="0.2">
      <c r="A5316" t="str">
        <f t="shared" si="83"/>
        <v/>
      </c>
      <c r="B5316" s="1">
        <v>2017</v>
      </c>
      <c r="C5316" s="1" t="s">
        <v>2505</v>
      </c>
      <c r="D5316" s="1" t="s">
        <v>2506</v>
      </c>
      <c r="E5316" s="1" t="s">
        <v>2019</v>
      </c>
      <c r="F5316" s="1" t="s">
        <v>531</v>
      </c>
      <c r="G5316" s="49">
        <v>4505</v>
      </c>
      <c r="H5316" t="str">
        <f>IFERROR(VLOOKUP(F5316,'LEAID Match'!$A$2:$B$142,2,FALSE),"")</f>
        <v/>
      </c>
    </row>
    <row r="5317" spans="1:8" x14ac:dyDescent="0.2">
      <c r="A5317" t="str">
        <f t="shared" si="83"/>
        <v/>
      </c>
      <c r="B5317" s="1">
        <v>2018</v>
      </c>
      <c r="C5317" s="1" t="s">
        <v>2505</v>
      </c>
      <c r="D5317" s="1" t="s">
        <v>2506</v>
      </c>
      <c r="E5317" s="1" t="s">
        <v>2019</v>
      </c>
      <c r="F5317" s="1" t="s">
        <v>531</v>
      </c>
      <c r="G5317" s="6">
        <v>4668</v>
      </c>
      <c r="H5317" t="str">
        <f>IFERROR(VLOOKUP(F5317,'LEAID Match'!$A$2:$B$142,2,FALSE),"")</f>
        <v/>
      </c>
    </row>
    <row r="5318" spans="1:8" x14ac:dyDescent="0.2">
      <c r="A5318" t="str">
        <f t="shared" si="83"/>
        <v/>
      </c>
      <c r="B5318" s="1">
        <v>2020</v>
      </c>
      <c r="C5318" s="1" t="s">
        <v>2505</v>
      </c>
      <c r="D5318" s="1" t="s">
        <v>2506</v>
      </c>
      <c r="E5318" s="1" t="s">
        <v>2019</v>
      </c>
      <c r="F5318" s="1" t="s">
        <v>531</v>
      </c>
      <c r="G5318" s="6">
        <v>5331</v>
      </c>
      <c r="H5318" t="str">
        <f>IFERROR(VLOOKUP(F5318,'LEAID Match'!$A$2:$B$142,2,FALSE),"")</f>
        <v/>
      </c>
    </row>
    <row r="5319" spans="1:8" x14ac:dyDescent="0.2">
      <c r="A5319" t="str">
        <f t="shared" si="83"/>
        <v/>
      </c>
      <c r="B5319" s="1">
        <v>2021</v>
      </c>
      <c r="C5319" s="1" t="s">
        <v>2505</v>
      </c>
      <c r="D5319" s="1" t="s">
        <v>2506</v>
      </c>
      <c r="E5319" s="1" t="s">
        <v>2019</v>
      </c>
      <c r="F5319" s="1" t="s">
        <v>531</v>
      </c>
      <c r="G5319" s="6">
        <v>5338</v>
      </c>
      <c r="H5319" t="str">
        <f>IFERROR(VLOOKUP(F5319,'LEAID Match'!$A$2:$B$142,2,FALSE),"")</f>
        <v/>
      </c>
    </row>
    <row r="5320" spans="1:8" x14ac:dyDescent="0.2">
      <c r="A5320" t="str">
        <f t="shared" si="83"/>
        <v/>
      </c>
      <c r="B5320" s="1">
        <v>2022</v>
      </c>
      <c r="C5320" s="1" t="s">
        <v>2505</v>
      </c>
      <c r="D5320" s="1" t="s">
        <v>2506</v>
      </c>
      <c r="E5320" s="1" t="s">
        <v>2019</v>
      </c>
      <c r="F5320" s="1" t="s">
        <v>531</v>
      </c>
      <c r="G5320" s="6">
        <v>5495</v>
      </c>
      <c r="H5320" t="str">
        <f>IFERROR(VLOOKUP(F5320,'LEAID Match'!$A$2:$B$142,2,FALSE),"")</f>
        <v/>
      </c>
    </row>
    <row r="5321" spans="1:8" x14ac:dyDescent="0.2">
      <c r="A5321" t="str">
        <f t="shared" si="83"/>
        <v/>
      </c>
      <c r="B5321" s="1">
        <v>2023</v>
      </c>
      <c r="C5321" s="1" t="s">
        <v>2505</v>
      </c>
      <c r="D5321" s="1" t="s">
        <v>2506</v>
      </c>
      <c r="E5321" s="1" t="s">
        <v>2019</v>
      </c>
      <c r="F5321" s="1" t="s">
        <v>531</v>
      </c>
      <c r="G5321" s="6">
        <v>5826</v>
      </c>
      <c r="H5321" t="str">
        <f>IFERROR(VLOOKUP(F5321,'LEAID Match'!$A$2:$B$142,2,FALSE),"")</f>
        <v/>
      </c>
    </row>
    <row r="5322" spans="1:8" x14ac:dyDescent="0.2">
      <c r="A5322" t="str">
        <f t="shared" si="83"/>
        <v/>
      </c>
      <c r="B5322" s="1">
        <v>2024</v>
      </c>
      <c r="C5322" s="1" t="s">
        <v>2505</v>
      </c>
      <c r="D5322" s="1" t="s">
        <v>2506</v>
      </c>
      <c r="E5322" s="1" t="s">
        <v>2019</v>
      </c>
      <c r="F5322" s="1" t="s">
        <v>531</v>
      </c>
      <c r="G5322" s="6">
        <v>5756</v>
      </c>
      <c r="H5322" t="str">
        <f>IFERROR(VLOOKUP(F5322,'LEAID Match'!$A$2:$B$142,2,FALSE),"")</f>
        <v/>
      </c>
    </row>
    <row r="5323" spans="1:8" x14ac:dyDescent="0.2">
      <c r="A5323" t="str">
        <f t="shared" si="83"/>
        <v/>
      </c>
      <c r="B5323" s="1">
        <v>2019</v>
      </c>
      <c r="C5323" s="1" t="s">
        <v>2505</v>
      </c>
      <c r="D5323" s="1" t="s">
        <v>2506</v>
      </c>
      <c r="E5323" s="1" t="s">
        <v>2019</v>
      </c>
      <c r="F5323" s="1" t="s">
        <v>1071</v>
      </c>
      <c r="G5323" s="6">
        <v>4668</v>
      </c>
      <c r="H5323" t="str">
        <f>IFERROR(VLOOKUP(F5323,'LEAID Match'!$A$2:$B$142,2,FALSE),"")</f>
        <v/>
      </c>
    </row>
    <row r="5324" spans="1:8" x14ac:dyDescent="0.2">
      <c r="A5324">
        <f t="shared" si="83"/>
        <v>2803090</v>
      </c>
      <c r="B5324" s="1">
        <v>2015</v>
      </c>
      <c r="C5324" s="1" t="s">
        <v>2505</v>
      </c>
      <c r="D5324" s="1" t="s">
        <v>2506</v>
      </c>
      <c r="E5324" s="1" t="s">
        <v>2019</v>
      </c>
      <c r="F5324" s="1" t="s">
        <v>532</v>
      </c>
      <c r="G5324" s="6">
        <v>1000078</v>
      </c>
      <c r="H5324">
        <f>IFERROR(VLOOKUP(F5324,'LEAID Match'!$A$2:$B$142,2,FALSE),"")</f>
        <v>2803090</v>
      </c>
    </row>
    <row r="5325" spans="1:8" x14ac:dyDescent="0.2">
      <c r="A5325">
        <f t="shared" si="83"/>
        <v>2803090</v>
      </c>
      <c r="B5325">
        <v>2016</v>
      </c>
      <c r="C5325" s="1" t="s">
        <v>2505</v>
      </c>
      <c r="D5325" s="1" t="s">
        <v>2506</v>
      </c>
      <c r="E5325" s="1" t="s">
        <v>2019</v>
      </c>
      <c r="F5325" s="1" t="s">
        <v>532</v>
      </c>
      <c r="G5325" s="12">
        <v>988961</v>
      </c>
      <c r="H5325">
        <f>IFERROR(VLOOKUP(F5325,'LEAID Match'!$A$2:$B$142,2,FALSE),"")</f>
        <v>2803090</v>
      </c>
    </row>
    <row r="5326" spans="1:8" x14ac:dyDescent="0.2">
      <c r="A5326">
        <f t="shared" si="83"/>
        <v>2803090</v>
      </c>
      <c r="B5326" s="1">
        <v>2017</v>
      </c>
      <c r="C5326" s="1" t="s">
        <v>2505</v>
      </c>
      <c r="D5326" s="1" t="s">
        <v>2506</v>
      </c>
      <c r="E5326" s="1" t="s">
        <v>2019</v>
      </c>
      <c r="F5326" s="1" t="s">
        <v>532</v>
      </c>
      <c r="G5326" s="49">
        <v>968395</v>
      </c>
      <c r="H5326">
        <f>IFERROR(VLOOKUP(F5326,'LEAID Match'!$A$2:$B$142,2,FALSE),"")</f>
        <v>2803090</v>
      </c>
    </row>
    <row r="5327" spans="1:8" x14ac:dyDescent="0.2">
      <c r="A5327">
        <f t="shared" si="83"/>
        <v>2803090</v>
      </c>
      <c r="B5327" s="1">
        <v>2018</v>
      </c>
      <c r="C5327" s="1" t="s">
        <v>2505</v>
      </c>
      <c r="D5327" s="1" t="s">
        <v>2506</v>
      </c>
      <c r="E5327" s="1" t="s">
        <v>2019</v>
      </c>
      <c r="F5327" s="1" t="s">
        <v>532</v>
      </c>
      <c r="G5327" s="6">
        <v>863242</v>
      </c>
      <c r="H5327">
        <f>IFERROR(VLOOKUP(F5327,'LEAID Match'!$A$2:$B$142,2,FALSE),"")</f>
        <v>2803090</v>
      </c>
    </row>
    <row r="5328" spans="1:8" x14ac:dyDescent="0.2">
      <c r="A5328">
        <f t="shared" si="83"/>
        <v>2803090</v>
      </c>
      <c r="B5328" s="1">
        <v>2019</v>
      </c>
      <c r="C5328" s="1" t="s">
        <v>2505</v>
      </c>
      <c r="D5328" s="1" t="s">
        <v>2506</v>
      </c>
      <c r="E5328" s="1" t="s">
        <v>2019</v>
      </c>
      <c r="F5328" s="1" t="s">
        <v>532</v>
      </c>
      <c r="G5328" s="6">
        <v>928595</v>
      </c>
      <c r="H5328">
        <f>IFERROR(VLOOKUP(F5328,'LEAID Match'!$A$2:$B$142,2,FALSE),"")</f>
        <v>2803090</v>
      </c>
    </row>
    <row r="5329" spans="1:8" x14ac:dyDescent="0.2">
      <c r="A5329">
        <f t="shared" si="83"/>
        <v>2803090</v>
      </c>
      <c r="B5329" s="1">
        <v>2020</v>
      </c>
      <c r="C5329" s="1" t="s">
        <v>2505</v>
      </c>
      <c r="D5329" s="1" t="s">
        <v>2506</v>
      </c>
      <c r="E5329" s="1" t="s">
        <v>2019</v>
      </c>
      <c r="F5329" s="1" t="s">
        <v>532</v>
      </c>
      <c r="G5329" s="6">
        <v>1064061</v>
      </c>
      <c r="H5329">
        <f>IFERROR(VLOOKUP(F5329,'LEAID Match'!$A$2:$B$142,2,FALSE),"")</f>
        <v>2803090</v>
      </c>
    </row>
    <row r="5330" spans="1:8" x14ac:dyDescent="0.2">
      <c r="A5330">
        <f t="shared" si="83"/>
        <v>2803090</v>
      </c>
      <c r="B5330" s="1">
        <v>2021</v>
      </c>
      <c r="C5330" s="1" t="s">
        <v>2505</v>
      </c>
      <c r="D5330" s="1" t="s">
        <v>2506</v>
      </c>
      <c r="E5330" s="1" t="s">
        <v>2019</v>
      </c>
      <c r="F5330" s="1" t="s">
        <v>532</v>
      </c>
      <c r="G5330" s="6">
        <v>1059664</v>
      </c>
      <c r="H5330">
        <f>IFERROR(VLOOKUP(F5330,'LEAID Match'!$A$2:$B$142,2,FALSE),"")</f>
        <v>2803090</v>
      </c>
    </row>
    <row r="5331" spans="1:8" x14ac:dyDescent="0.2">
      <c r="A5331">
        <f t="shared" si="83"/>
        <v>2803090</v>
      </c>
      <c r="B5331" s="1">
        <v>2022</v>
      </c>
      <c r="C5331" s="1" t="s">
        <v>2505</v>
      </c>
      <c r="D5331" s="1" t="s">
        <v>2506</v>
      </c>
      <c r="E5331" s="1" t="s">
        <v>2019</v>
      </c>
      <c r="F5331" s="1" t="s">
        <v>532</v>
      </c>
      <c r="G5331" s="6">
        <v>1062276</v>
      </c>
      <c r="H5331">
        <f>IFERROR(VLOOKUP(F5331,'LEAID Match'!$A$2:$B$142,2,FALSE),"")</f>
        <v>2803090</v>
      </c>
    </row>
    <row r="5332" spans="1:8" x14ac:dyDescent="0.2">
      <c r="A5332">
        <f t="shared" si="83"/>
        <v>2803090</v>
      </c>
      <c r="B5332" s="1">
        <v>2023</v>
      </c>
      <c r="C5332" s="1" t="s">
        <v>2505</v>
      </c>
      <c r="D5332" s="1" t="s">
        <v>2506</v>
      </c>
      <c r="E5332" s="1" t="s">
        <v>2019</v>
      </c>
      <c r="F5332" s="1" t="s">
        <v>532</v>
      </c>
      <c r="G5332" s="6">
        <v>1159133</v>
      </c>
      <c r="H5332">
        <f>IFERROR(VLOOKUP(F5332,'LEAID Match'!$A$2:$B$142,2,FALSE),"")</f>
        <v>2803090</v>
      </c>
    </row>
    <row r="5333" spans="1:8" x14ac:dyDescent="0.2">
      <c r="A5333">
        <f t="shared" si="83"/>
        <v>2803090</v>
      </c>
      <c r="B5333" s="1">
        <v>2024</v>
      </c>
      <c r="C5333" s="1" t="s">
        <v>2505</v>
      </c>
      <c r="D5333" s="1" t="s">
        <v>2506</v>
      </c>
      <c r="E5333" s="1" t="s">
        <v>2019</v>
      </c>
      <c r="F5333" s="1" t="s">
        <v>532</v>
      </c>
      <c r="G5333" s="6">
        <v>1238002</v>
      </c>
      <c r="H5333">
        <f>IFERROR(VLOOKUP(F5333,'LEAID Match'!$A$2:$B$142,2,FALSE),"")</f>
        <v>2803090</v>
      </c>
    </row>
    <row r="5334" spans="1:8" x14ac:dyDescent="0.2">
      <c r="A5334" t="str">
        <f t="shared" si="83"/>
        <v/>
      </c>
      <c r="B5334" s="1">
        <v>2015</v>
      </c>
      <c r="C5334" s="1" t="s">
        <v>2505</v>
      </c>
      <c r="D5334" s="1" t="s">
        <v>2506</v>
      </c>
      <c r="E5334" s="1" t="s">
        <v>2019</v>
      </c>
      <c r="F5334" s="1" t="s">
        <v>533</v>
      </c>
      <c r="G5334" s="6">
        <v>77566</v>
      </c>
      <c r="H5334" t="str">
        <f>IFERROR(VLOOKUP(F5334,'LEAID Match'!$A$2:$B$142,2,FALSE),"")</f>
        <v/>
      </c>
    </row>
    <row r="5335" spans="1:8" x14ac:dyDescent="0.2">
      <c r="A5335" t="str">
        <f t="shared" si="83"/>
        <v/>
      </c>
      <c r="B5335">
        <v>2016</v>
      </c>
      <c r="C5335" s="1" t="s">
        <v>2505</v>
      </c>
      <c r="D5335" s="1" t="s">
        <v>2506</v>
      </c>
      <c r="E5335" s="1" t="s">
        <v>2019</v>
      </c>
      <c r="F5335" s="1" t="s">
        <v>533</v>
      </c>
      <c r="G5335" s="12">
        <v>76812</v>
      </c>
      <c r="H5335" t="str">
        <f>IFERROR(VLOOKUP(F5335,'LEAID Match'!$A$2:$B$142,2,FALSE),"")</f>
        <v/>
      </c>
    </row>
    <row r="5336" spans="1:8" x14ac:dyDescent="0.2">
      <c r="A5336" t="str">
        <f t="shared" si="83"/>
        <v/>
      </c>
      <c r="B5336" s="1">
        <v>2017</v>
      </c>
      <c r="C5336" s="1" t="s">
        <v>2505</v>
      </c>
      <c r="D5336" s="1" t="s">
        <v>2506</v>
      </c>
      <c r="E5336" s="1" t="s">
        <v>2019</v>
      </c>
      <c r="F5336" s="1" t="s">
        <v>533</v>
      </c>
      <c r="G5336" s="49">
        <v>73713</v>
      </c>
      <c r="H5336" t="str">
        <f>IFERROR(VLOOKUP(F5336,'LEAID Match'!$A$2:$B$142,2,FALSE),"")</f>
        <v/>
      </c>
    </row>
    <row r="5337" spans="1:8" x14ac:dyDescent="0.2">
      <c r="A5337" t="str">
        <f t="shared" si="83"/>
        <v/>
      </c>
      <c r="B5337" s="1">
        <v>2018</v>
      </c>
      <c r="C5337" s="1" t="s">
        <v>2505</v>
      </c>
      <c r="D5337" s="1" t="s">
        <v>2506</v>
      </c>
      <c r="E5337" s="1" t="s">
        <v>2019</v>
      </c>
      <c r="F5337" s="1" t="s">
        <v>533</v>
      </c>
      <c r="G5337" s="6">
        <v>74610</v>
      </c>
      <c r="H5337" t="str">
        <f>IFERROR(VLOOKUP(F5337,'LEAID Match'!$A$2:$B$142,2,FALSE),"")</f>
        <v/>
      </c>
    </row>
    <row r="5338" spans="1:8" x14ac:dyDescent="0.2">
      <c r="A5338" t="str">
        <f t="shared" si="83"/>
        <v/>
      </c>
      <c r="B5338" s="1">
        <v>2019</v>
      </c>
      <c r="C5338" s="1" t="s">
        <v>2505</v>
      </c>
      <c r="D5338" s="1" t="s">
        <v>2506</v>
      </c>
      <c r="E5338" s="1" t="s">
        <v>2019</v>
      </c>
      <c r="F5338" s="1" t="s">
        <v>533</v>
      </c>
      <c r="G5338" s="6">
        <v>77016</v>
      </c>
      <c r="H5338" t="str">
        <f>IFERROR(VLOOKUP(F5338,'LEAID Match'!$A$2:$B$142,2,FALSE),"")</f>
        <v/>
      </c>
    </row>
    <row r="5339" spans="1:8" x14ac:dyDescent="0.2">
      <c r="A5339" t="str">
        <f t="shared" si="83"/>
        <v/>
      </c>
      <c r="B5339" s="1">
        <v>2020</v>
      </c>
      <c r="C5339" s="1" t="s">
        <v>2505</v>
      </c>
      <c r="D5339" s="1" t="s">
        <v>2506</v>
      </c>
      <c r="E5339" s="1" t="s">
        <v>2019</v>
      </c>
      <c r="F5339" s="1" t="s">
        <v>533</v>
      </c>
      <c r="G5339" s="6">
        <v>93019</v>
      </c>
      <c r="H5339" t="str">
        <f>IFERROR(VLOOKUP(F5339,'LEAID Match'!$A$2:$B$142,2,FALSE),"")</f>
        <v/>
      </c>
    </row>
    <row r="5340" spans="1:8" x14ac:dyDescent="0.2">
      <c r="A5340" t="str">
        <f t="shared" si="83"/>
        <v/>
      </c>
      <c r="B5340" s="1">
        <v>2021</v>
      </c>
      <c r="C5340" s="1" t="s">
        <v>2505</v>
      </c>
      <c r="D5340" s="1" t="s">
        <v>2506</v>
      </c>
      <c r="E5340" s="1" t="s">
        <v>2019</v>
      </c>
      <c r="F5340" s="1" t="s">
        <v>533</v>
      </c>
      <c r="G5340" s="6">
        <v>94453</v>
      </c>
      <c r="H5340" t="str">
        <f>IFERROR(VLOOKUP(F5340,'LEAID Match'!$A$2:$B$142,2,FALSE),"")</f>
        <v/>
      </c>
    </row>
    <row r="5341" spans="1:8" x14ac:dyDescent="0.2">
      <c r="A5341" t="str">
        <f t="shared" si="83"/>
        <v/>
      </c>
      <c r="B5341" s="1">
        <v>2022</v>
      </c>
      <c r="C5341" s="1" t="s">
        <v>2505</v>
      </c>
      <c r="D5341" s="1" t="s">
        <v>2506</v>
      </c>
      <c r="E5341" s="1" t="s">
        <v>2019</v>
      </c>
      <c r="F5341" s="1" t="s">
        <v>533</v>
      </c>
      <c r="G5341" s="6">
        <v>98404</v>
      </c>
      <c r="H5341" t="str">
        <f>IFERROR(VLOOKUP(F5341,'LEAID Match'!$A$2:$B$142,2,FALSE),"")</f>
        <v/>
      </c>
    </row>
    <row r="5342" spans="1:8" x14ac:dyDescent="0.2">
      <c r="A5342" t="str">
        <f t="shared" si="83"/>
        <v/>
      </c>
      <c r="B5342" s="1">
        <v>2023</v>
      </c>
      <c r="C5342" s="1" t="s">
        <v>2505</v>
      </c>
      <c r="D5342" s="1" t="s">
        <v>2506</v>
      </c>
      <c r="E5342" s="1" t="s">
        <v>2019</v>
      </c>
      <c r="F5342" s="1" t="s">
        <v>533</v>
      </c>
      <c r="G5342" s="6">
        <v>103678</v>
      </c>
      <c r="H5342" t="str">
        <f>IFERROR(VLOOKUP(F5342,'LEAID Match'!$A$2:$B$142,2,FALSE),"")</f>
        <v/>
      </c>
    </row>
    <row r="5343" spans="1:8" x14ac:dyDescent="0.2">
      <c r="A5343" t="str">
        <f t="shared" si="83"/>
        <v/>
      </c>
      <c r="B5343" s="1">
        <v>2024</v>
      </c>
      <c r="C5343" s="1" t="s">
        <v>2505</v>
      </c>
      <c r="D5343" s="1" t="s">
        <v>2506</v>
      </c>
      <c r="E5343" s="1" t="s">
        <v>2019</v>
      </c>
      <c r="F5343" s="1" t="s">
        <v>533</v>
      </c>
      <c r="G5343" s="6">
        <v>114409</v>
      </c>
      <c r="H5343" t="str">
        <f>IFERROR(VLOOKUP(F5343,'LEAID Match'!$A$2:$B$142,2,FALSE),"")</f>
        <v/>
      </c>
    </row>
    <row r="5344" spans="1:8" x14ac:dyDescent="0.2">
      <c r="A5344" t="str">
        <f t="shared" si="83"/>
        <v/>
      </c>
      <c r="B5344" s="1">
        <v>2015</v>
      </c>
      <c r="C5344" s="1" t="s">
        <v>2505</v>
      </c>
      <c r="D5344" s="1" t="s">
        <v>2506</v>
      </c>
      <c r="E5344" s="1" t="s">
        <v>2019</v>
      </c>
      <c r="F5344" s="1" t="s">
        <v>534</v>
      </c>
      <c r="G5344" s="6">
        <v>523430</v>
      </c>
      <c r="H5344" t="str">
        <f>IFERROR(VLOOKUP(F5344,'LEAID Match'!$A$2:$B$142,2,FALSE),"")</f>
        <v/>
      </c>
    </row>
    <row r="5345" spans="1:8" x14ac:dyDescent="0.2">
      <c r="A5345" t="str">
        <f t="shared" si="83"/>
        <v/>
      </c>
      <c r="B5345">
        <v>2016</v>
      </c>
      <c r="C5345" s="1" t="s">
        <v>2505</v>
      </c>
      <c r="D5345" s="1" t="s">
        <v>2506</v>
      </c>
      <c r="E5345" s="1" t="s">
        <v>2019</v>
      </c>
      <c r="F5345" s="1" t="s">
        <v>534</v>
      </c>
      <c r="G5345" s="12">
        <v>536839</v>
      </c>
      <c r="H5345" t="str">
        <f>IFERROR(VLOOKUP(F5345,'LEAID Match'!$A$2:$B$142,2,FALSE),"")</f>
        <v/>
      </c>
    </row>
    <row r="5346" spans="1:8" x14ac:dyDescent="0.2">
      <c r="A5346" t="str">
        <f t="shared" si="83"/>
        <v/>
      </c>
      <c r="B5346" s="1">
        <v>2017</v>
      </c>
      <c r="C5346" s="1" t="s">
        <v>2505</v>
      </c>
      <c r="D5346" s="1" t="s">
        <v>2506</v>
      </c>
      <c r="E5346" s="1" t="s">
        <v>2019</v>
      </c>
      <c r="F5346" s="1" t="s">
        <v>534</v>
      </c>
      <c r="G5346" s="49">
        <v>572791</v>
      </c>
      <c r="H5346" t="str">
        <f>IFERROR(VLOOKUP(F5346,'LEAID Match'!$A$2:$B$142,2,FALSE),"")</f>
        <v/>
      </c>
    </row>
    <row r="5347" spans="1:8" x14ac:dyDescent="0.2">
      <c r="A5347" t="str">
        <f t="shared" si="83"/>
        <v/>
      </c>
      <c r="B5347" s="1">
        <v>2018</v>
      </c>
      <c r="C5347" s="1" t="s">
        <v>2505</v>
      </c>
      <c r="D5347" s="1" t="s">
        <v>2506</v>
      </c>
      <c r="E5347" s="1" t="s">
        <v>2019</v>
      </c>
      <c r="F5347" s="1" t="s">
        <v>534</v>
      </c>
      <c r="G5347" s="6">
        <v>565141</v>
      </c>
      <c r="H5347" t="str">
        <f>IFERROR(VLOOKUP(F5347,'LEAID Match'!$A$2:$B$142,2,FALSE),"")</f>
        <v/>
      </c>
    </row>
    <row r="5348" spans="1:8" x14ac:dyDescent="0.2">
      <c r="A5348" t="str">
        <f t="shared" si="83"/>
        <v/>
      </c>
      <c r="B5348" s="1">
        <v>2019</v>
      </c>
      <c r="C5348" s="1" t="s">
        <v>2505</v>
      </c>
      <c r="D5348" s="1" t="s">
        <v>2506</v>
      </c>
      <c r="E5348" s="1" t="s">
        <v>2019</v>
      </c>
      <c r="F5348" s="1" t="s">
        <v>534</v>
      </c>
      <c r="G5348" s="6">
        <v>587901</v>
      </c>
      <c r="H5348" t="str">
        <f>IFERROR(VLOOKUP(F5348,'LEAID Match'!$A$2:$B$142,2,FALSE),"")</f>
        <v/>
      </c>
    </row>
    <row r="5349" spans="1:8" x14ac:dyDescent="0.2">
      <c r="A5349" t="str">
        <f t="shared" si="83"/>
        <v/>
      </c>
      <c r="B5349" s="1">
        <v>2020</v>
      </c>
      <c r="C5349" s="1" t="s">
        <v>2505</v>
      </c>
      <c r="D5349" s="1" t="s">
        <v>2506</v>
      </c>
      <c r="E5349" s="1" t="s">
        <v>2019</v>
      </c>
      <c r="F5349" s="1" t="s">
        <v>534</v>
      </c>
      <c r="G5349" s="6">
        <v>682040</v>
      </c>
      <c r="H5349" t="str">
        <f>IFERROR(VLOOKUP(F5349,'LEAID Match'!$A$2:$B$142,2,FALSE),"")</f>
        <v/>
      </c>
    </row>
    <row r="5350" spans="1:8" x14ac:dyDescent="0.2">
      <c r="A5350" t="str">
        <f t="shared" si="83"/>
        <v/>
      </c>
      <c r="B5350" s="1">
        <v>2021</v>
      </c>
      <c r="C5350" s="1" t="s">
        <v>2505</v>
      </c>
      <c r="D5350" s="1" t="s">
        <v>2506</v>
      </c>
      <c r="E5350" s="1" t="s">
        <v>2019</v>
      </c>
      <c r="F5350" s="1" t="s">
        <v>534</v>
      </c>
      <c r="G5350" s="6">
        <v>705958</v>
      </c>
      <c r="H5350" t="str">
        <f>IFERROR(VLOOKUP(F5350,'LEAID Match'!$A$2:$B$142,2,FALSE),"")</f>
        <v/>
      </c>
    </row>
    <row r="5351" spans="1:8" x14ac:dyDescent="0.2">
      <c r="A5351" t="str">
        <f t="shared" si="83"/>
        <v/>
      </c>
      <c r="B5351" s="1">
        <v>2022</v>
      </c>
      <c r="C5351" s="1" t="s">
        <v>2505</v>
      </c>
      <c r="D5351" s="1" t="s">
        <v>2506</v>
      </c>
      <c r="E5351" s="1" t="s">
        <v>2019</v>
      </c>
      <c r="F5351" s="1" t="s">
        <v>534</v>
      </c>
      <c r="G5351" s="6">
        <v>714875</v>
      </c>
      <c r="H5351" t="str">
        <f>IFERROR(VLOOKUP(F5351,'LEAID Match'!$A$2:$B$142,2,FALSE),"")</f>
        <v/>
      </c>
    </row>
    <row r="5352" spans="1:8" x14ac:dyDescent="0.2">
      <c r="A5352" t="str">
        <f t="shared" si="83"/>
        <v/>
      </c>
      <c r="B5352" s="1">
        <v>2023</v>
      </c>
      <c r="C5352" s="1" t="s">
        <v>2505</v>
      </c>
      <c r="D5352" s="1" t="s">
        <v>2506</v>
      </c>
      <c r="E5352" s="1" t="s">
        <v>2019</v>
      </c>
      <c r="F5352" s="1" t="s">
        <v>534</v>
      </c>
      <c r="G5352" s="6">
        <v>766335</v>
      </c>
      <c r="H5352" t="str">
        <f>IFERROR(VLOOKUP(F5352,'LEAID Match'!$A$2:$B$142,2,FALSE),"")</f>
        <v/>
      </c>
    </row>
    <row r="5353" spans="1:8" x14ac:dyDescent="0.2">
      <c r="A5353" t="str">
        <f t="shared" si="83"/>
        <v/>
      </c>
      <c r="B5353" s="1">
        <v>2024</v>
      </c>
      <c r="C5353" s="1" t="s">
        <v>2505</v>
      </c>
      <c r="D5353" s="1" t="s">
        <v>2506</v>
      </c>
      <c r="E5353" s="1" t="s">
        <v>2019</v>
      </c>
      <c r="F5353" s="1" t="s">
        <v>534</v>
      </c>
      <c r="G5353" s="6">
        <v>795677</v>
      </c>
      <c r="H5353" t="str">
        <f>IFERROR(VLOOKUP(F5353,'LEAID Match'!$A$2:$B$142,2,FALSE),"")</f>
        <v/>
      </c>
    </row>
    <row r="5354" spans="1:8" x14ac:dyDescent="0.2">
      <c r="A5354" t="str">
        <f t="shared" si="83"/>
        <v/>
      </c>
      <c r="B5354" s="1">
        <v>2015</v>
      </c>
      <c r="C5354" s="1" t="s">
        <v>2505</v>
      </c>
      <c r="D5354" s="1" t="s">
        <v>2506</v>
      </c>
      <c r="E5354" s="1" t="s">
        <v>2019</v>
      </c>
      <c r="F5354" s="1" t="s">
        <v>535</v>
      </c>
      <c r="G5354" s="6">
        <v>498827</v>
      </c>
      <c r="H5354" t="str">
        <f>IFERROR(VLOOKUP(F5354,'LEAID Match'!$A$2:$B$142,2,FALSE),"")</f>
        <v/>
      </c>
    </row>
    <row r="5355" spans="1:8" x14ac:dyDescent="0.2">
      <c r="A5355" t="str">
        <f t="shared" si="83"/>
        <v/>
      </c>
      <c r="B5355">
        <v>2016</v>
      </c>
      <c r="C5355" s="1" t="s">
        <v>2505</v>
      </c>
      <c r="D5355" s="1" t="s">
        <v>2506</v>
      </c>
      <c r="E5355" s="1" t="s">
        <v>2019</v>
      </c>
      <c r="F5355" s="1" t="s">
        <v>535</v>
      </c>
      <c r="G5355" s="12">
        <v>503806</v>
      </c>
      <c r="H5355" t="str">
        <f>IFERROR(VLOOKUP(F5355,'LEAID Match'!$A$2:$B$142,2,FALSE),"")</f>
        <v/>
      </c>
    </row>
    <row r="5356" spans="1:8" x14ac:dyDescent="0.2">
      <c r="A5356" t="str">
        <f t="shared" si="83"/>
        <v/>
      </c>
      <c r="B5356" s="1">
        <v>2017</v>
      </c>
      <c r="C5356" s="1" t="s">
        <v>2505</v>
      </c>
      <c r="D5356" s="1" t="s">
        <v>2506</v>
      </c>
      <c r="E5356" s="1" t="s">
        <v>2019</v>
      </c>
      <c r="F5356" s="1" t="s">
        <v>535</v>
      </c>
      <c r="G5356" s="49">
        <v>528660</v>
      </c>
      <c r="H5356" t="str">
        <f>IFERROR(VLOOKUP(F5356,'LEAID Match'!$A$2:$B$142,2,FALSE),"")</f>
        <v/>
      </c>
    </row>
    <row r="5357" spans="1:8" x14ac:dyDescent="0.2">
      <c r="A5357" t="str">
        <f t="shared" si="83"/>
        <v/>
      </c>
      <c r="B5357" s="1">
        <v>2018</v>
      </c>
      <c r="C5357" s="1" t="s">
        <v>2505</v>
      </c>
      <c r="D5357" s="1" t="s">
        <v>2506</v>
      </c>
      <c r="E5357" s="1" t="s">
        <v>2019</v>
      </c>
      <c r="F5357" s="1" t="s">
        <v>535</v>
      </c>
      <c r="G5357" s="6">
        <v>535021</v>
      </c>
      <c r="H5357" t="str">
        <f>IFERROR(VLOOKUP(F5357,'LEAID Match'!$A$2:$B$142,2,FALSE),"")</f>
        <v/>
      </c>
    </row>
    <row r="5358" spans="1:8" x14ac:dyDescent="0.2">
      <c r="A5358" t="str">
        <f t="shared" si="83"/>
        <v/>
      </c>
      <c r="B5358" s="1">
        <v>2019</v>
      </c>
      <c r="C5358" s="1" t="s">
        <v>2505</v>
      </c>
      <c r="D5358" s="1" t="s">
        <v>2506</v>
      </c>
      <c r="E5358" s="1" t="s">
        <v>2019</v>
      </c>
      <c r="F5358" s="1" t="s">
        <v>535</v>
      </c>
      <c r="G5358" s="6">
        <v>556894</v>
      </c>
      <c r="H5358" t="str">
        <f>IFERROR(VLOOKUP(F5358,'LEAID Match'!$A$2:$B$142,2,FALSE),"")</f>
        <v/>
      </c>
    </row>
    <row r="5359" spans="1:8" x14ac:dyDescent="0.2">
      <c r="A5359" t="str">
        <f t="shared" si="83"/>
        <v/>
      </c>
      <c r="B5359" s="1">
        <v>2020</v>
      </c>
      <c r="C5359" s="1" t="s">
        <v>2505</v>
      </c>
      <c r="D5359" s="1" t="s">
        <v>2506</v>
      </c>
      <c r="E5359" s="1" t="s">
        <v>2019</v>
      </c>
      <c r="F5359" s="1" t="s">
        <v>535</v>
      </c>
      <c r="G5359" s="6">
        <v>672992</v>
      </c>
      <c r="H5359" t="str">
        <f>IFERROR(VLOOKUP(F5359,'LEAID Match'!$A$2:$B$142,2,FALSE),"")</f>
        <v/>
      </c>
    </row>
    <row r="5360" spans="1:8" x14ac:dyDescent="0.2">
      <c r="A5360" t="str">
        <f t="shared" si="83"/>
        <v/>
      </c>
      <c r="B5360" s="1">
        <v>2021</v>
      </c>
      <c r="C5360" s="1" t="s">
        <v>2505</v>
      </c>
      <c r="D5360" s="1" t="s">
        <v>2506</v>
      </c>
      <c r="E5360" s="1" t="s">
        <v>2019</v>
      </c>
      <c r="F5360" s="1" t="s">
        <v>535</v>
      </c>
      <c r="G5360" s="6">
        <v>657646</v>
      </c>
      <c r="H5360" t="str">
        <f>IFERROR(VLOOKUP(F5360,'LEAID Match'!$A$2:$B$142,2,FALSE),"")</f>
        <v/>
      </c>
    </row>
    <row r="5361" spans="1:8" x14ac:dyDescent="0.2">
      <c r="A5361" t="str">
        <f t="shared" si="83"/>
        <v/>
      </c>
      <c r="B5361" s="1">
        <v>2022</v>
      </c>
      <c r="C5361" s="1" t="s">
        <v>2505</v>
      </c>
      <c r="D5361" s="1" t="s">
        <v>2506</v>
      </c>
      <c r="E5361" s="1" t="s">
        <v>2019</v>
      </c>
      <c r="F5361" s="1" t="s">
        <v>535</v>
      </c>
      <c r="G5361" s="6">
        <v>721193</v>
      </c>
      <c r="H5361" t="str">
        <f>IFERROR(VLOOKUP(F5361,'LEAID Match'!$A$2:$B$142,2,FALSE),"")</f>
        <v/>
      </c>
    </row>
    <row r="5362" spans="1:8" x14ac:dyDescent="0.2">
      <c r="A5362" t="str">
        <f t="shared" si="83"/>
        <v/>
      </c>
      <c r="B5362" s="1">
        <v>2023</v>
      </c>
      <c r="C5362" s="1" t="s">
        <v>2505</v>
      </c>
      <c r="D5362" s="1" t="s">
        <v>2506</v>
      </c>
      <c r="E5362" s="1" t="s">
        <v>2019</v>
      </c>
      <c r="F5362" s="1" t="s">
        <v>535</v>
      </c>
      <c r="G5362" s="6">
        <v>783421</v>
      </c>
      <c r="H5362" t="str">
        <f>IFERROR(VLOOKUP(F5362,'LEAID Match'!$A$2:$B$142,2,FALSE),"")</f>
        <v/>
      </c>
    </row>
    <row r="5363" spans="1:8" x14ac:dyDescent="0.2">
      <c r="A5363" t="str">
        <f t="shared" si="83"/>
        <v/>
      </c>
      <c r="B5363" s="1">
        <v>2024</v>
      </c>
      <c r="C5363" s="1" t="s">
        <v>2505</v>
      </c>
      <c r="D5363" s="1" t="s">
        <v>2506</v>
      </c>
      <c r="E5363" s="1" t="s">
        <v>2019</v>
      </c>
      <c r="F5363" s="1" t="s">
        <v>535</v>
      </c>
      <c r="G5363" s="6">
        <v>795175</v>
      </c>
      <c r="H5363" t="str">
        <f>IFERROR(VLOOKUP(F5363,'LEAID Match'!$A$2:$B$142,2,FALSE),"")</f>
        <v/>
      </c>
    </row>
    <row r="5364" spans="1:8" x14ac:dyDescent="0.2">
      <c r="A5364">
        <f t="shared" si="83"/>
        <v>2803120</v>
      </c>
      <c r="B5364" s="1">
        <v>2015</v>
      </c>
      <c r="C5364" s="1" t="s">
        <v>2505</v>
      </c>
      <c r="D5364" s="1" t="s">
        <v>2506</v>
      </c>
      <c r="E5364" s="1" t="s">
        <v>2019</v>
      </c>
      <c r="F5364" s="1" t="s">
        <v>536</v>
      </c>
      <c r="G5364" s="6">
        <v>1722073</v>
      </c>
      <c r="H5364">
        <f>IFERROR(VLOOKUP(F5364,'LEAID Match'!$A$2:$B$142,2,FALSE),"")</f>
        <v>2803120</v>
      </c>
    </row>
    <row r="5365" spans="1:8" x14ac:dyDescent="0.2">
      <c r="A5365">
        <f t="shared" si="83"/>
        <v>2803120</v>
      </c>
      <c r="B5365">
        <v>2016</v>
      </c>
      <c r="C5365" s="1" t="s">
        <v>2505</v>
      </c>
      <c r="D5365" s="1" t="s">
        <v>2506</v>
      </c>
      <c r="E5365" s="1" t="s">
        <v>2019</v>
      </c>
      <c r="F5365" s="1" t="s">
        <v>536</v>
      </c>
      <c r="G5365" s="12">
        <v>1769429</v>
      </c>
      <c r="H5365">
        <f>IFERROR(VLOOKUP(F5365,'LEAID Match'!$A$2:$B$142,2,FALSE),"")</f>
        <v>2803120</v>
      </c>
    </row>
    <row r="5366" spans="1:8" x14ac:dyDescent="0.2">
      <c r="A5366">
        <f t="shared" si="83"/>
        <v>2803120</v>
      </c>
      <c r="B5366" s="1">
        <v>2017</v>
      </c>
      <c r="C5366" s="1" t="s">
        <v>2505</v>
      </c>
      <c r="D5366" s="1" t="s">
        <v>2506</v>
      </c>
      <c r="E5366" s="1" t="s">
        <v>2019</v>
      </c>
      <c r="F5366" s="1" t="s">
        <v>536</v>
      </c>
      <c r="G5366" s="49">
        <v>1640641</v>
      </c>
      <c r="H5366">
        <f>IFERROR(VLOOKUP(F5366,'LEAID Match'!$A$2:$B$142,2,FALSE),"")</f>
        <v>2803120</v>
      </c>
    </row>
    <row r="5367" spans="1:8" x14ac:dyDescent="0.2">
      <c r="A5367">
        <f t="shared" si="83"/>
        <v>2803120</v>
      </c>
      <c r="B5367" s="1">
        <v>2018</v>
      </c>
      <c r="C5367" s="1" t="s">
        <v>2505</v>
      </c>
      <c r="D5367" s="1" t="s">
        <v>2506</v>
      </c>
      <c r="E5367" s="1" t="s">
        <v>2019</v>
      </c>
      <c r="F5367" s="1" t="s">
        <v>536</v>
      </c>
      <c r="G5367" s="6">
        <v>1766290</v>
      </c>
      <c r="H5367">
        <f>IFERROR(VLOOKUP(F5367,'LEAID Match'!$A$2:$B$142,2,FALSE),"")</f>
        <v>2803120</v>
      </c>
    </row>
    <row r="5368" spans="1:8" x14ac:dyDescent="0.2">
      <c r="A5368">
        <f t="shared" si="83"/>
        <v>2803120</v>
      </c>
      <c r="B5368" s="1">
        <v>2019</v>
      </c>
      <c r="C5368" s="1" t="s">
        <v>2505</v>
      </c>
      <c r="D5368" s="1" t="s">
        <v>2506</v>
      </c>
      <c r="E5368" s="1" t="s">
        <v>2019</v>
      </c>
      <c r="F5368" s="1" t="s">
        <v>536</v>
      </c>
      <c r="G5368" s="6">
        <v>1917514</v>
      </c>
      <c r="H5368">
        <f>IFERROR(VLOOKUP(F5368,'LEAID Match'!$A$2:$B$142,2,FALSE),"")</f>
        <v>2803120</v>
      </c>
    </row>
    <row r="5369" spans="1:8" x14ac:dyDescent="0.2">
      <c r="A5369">
        <f t="shared" si="83"/>
        <v>2803120</v>
      </c>
      <c r="B5369" s="1">
        <v>2020</v>
      </c>
      <c r="C5369" s="1" t="s">
        <v>2505</v>
      </c>
      <c r="D5369" s="1" t="s">
        <v>2506</v>
      </c>
      <c r="E5369" s="1" t="s">
        <v>2019</v>
      </c>
      <c r="F5369" s="1" t="s">
        <v>536</v>
      </c>
      <c r="G5369" s="6">
        <v>2059700</v>
      </c>
      <c r="H5369">
        <f>IFERROR(VLOOKUP(F5369,'LEAID Match'!$A$2:$B$142,2,FALSE),"")</f>
        <v>2803120</v>
      </c>
    </row>
    <row r="5370" spans="1:8" x14ac:dyDescent="0.2">
      <c r="A5370">
        <f t="shared" si="83"/>
        <v>2803120</v>
      </c>
      <c r="B5370" s="1">
        <v>2021</v>
      </c>
      <c r="C5370" s="1" t="s">
        <v>2505</v>
      </c>
      <c r="D5370" s="1" t="s">
        <v>2506</v>
      </c>
      <c r="E5370" s="1" t="s">
        <v>2019</v>
      </c>
      <c r="F5370" s="1" t="s">
        <v>536</v>
      </c>
      <c r="G5370" s="6">
        <v>2021687</v>
      </c>
      <c r="H5370">
        <f>IFERROR(VLOOKUP(F5370,'LEAID Match'!$A$2:$B$142,2,FALSE),"")</f>
        <v>2803120</v>
      </c>
    </row>
    <row r="5371" spans="1:8" x14ac:dyDescent="0.2">
      <c r="A5371">
        <f t="shared" si="83"/>
        <v>2803120</v>
      </c>
      <c r="B5371" s="1">
        <v>2022</v>
      </c>
      <c r="C5371" s="1" t="s">
        <v>2505</v>
      </c>
      <c r="D5371" s="1" t="s">
        <v>2506</v>
      </c>
      <c r="E5371" s="1" t="s">
        <v>2019</v>
      </c>
      <c r="F5371" s="1" t="s">
        <v>536</v>
      </c>
      <c r="G5371" s="6">
        <v>2187452</v>
      </c>
      <c r="H5371">
        <f>IFERROR(VLOOKUP(F5371,'LEAID Match'!$A$2:$B$142,2,FALSE),"")</f>
        <v>2803120</v>
      </c>
    </row>
    <row r="5372" spans="1:8" x14ac:dyDescent="0.2">
      <c r="A5372">
        <f t="shared" si="83"/>
        <v>2803120</v>
      </c>
      <c r="B5372" s="1">
        <v>2023</v>
      </c>
      <c r="C5372" s="1" t="s">
        <v>2505</v>
      </c>
      <c r="D5372" s="1" t="s">
        <v>2506</v>
      </c>
      <c r="E5372" s="1" t="s">
        <v>2019</v>
      </c>
      <c r="F5372" s="1" t="s">
        <v>536</v>
      </c>
      <c r="G5372" s="6">
        <v>2443359</v>
      </c>
      <c r="H5372">
        <f>IFERROR(VLOOKUP(F5372,'LEAID Match'!$A$2:$B$142,2,FALSE),"")</f>
        <v>2803120</v>
      </c>
    </row>
    <row r="5373" spans="1:8" x14ac:dyDescent="0.2">
      <c r="A5373">
        <f t="shared" si="83"/>
        <v>2803120</v>
      </c>
      <c r="B5373" s="1">
        <v>2024</v>
      </c>
      <c r="C5373" s="1" t="s">
        <v>2505</v>
      </c>
      <c r="D5373" s="1" t="s">
        <v>2506</v>
      </c>
      <c r="E5373" s="1" t="s">
        <v>2019</v>
      </c>
      <c r="F5373" s="1" t="s">
        <v>536</v>
      </c>
      <c r="G5373" s="6">
        <v>2505344</v>
      </c>
      <c r="H5373">
        <f>IFERROR(VLOOKUP(F5373,'LEAID Match'!$A$2:$B$142,2,FALSE),"")</f>
        <v>2803120</v>
      </c>
    </row>
    <row r="5374" spans="1:8" x14ac:dyDescent="0.2">
      <c r="A5374" t="str">
        <f t="shared" si="83"/>
        <v/>
      </c>
      <c r="B5374" s="1">
        <v>2015</v>
      </c>
      <c r="C5374" s="1" t="s">
        <v>2505</v>
      </c>
      <c r="D5374" s="1" t="s">
        <v>2506</v>
      </c>
      <c r="E5374" s="1" t="s">
        <v>2019</v>
      </c>
      <c r="F5374" s="1" t="s">
        <v>537</v>
      </c>
      <c r="G5374" s="6">
        <v>40320</v>
      </c>
      <c r="H5374" t="str">
        <f>IFERROR(VLOOKUP(F5374,'LEAID Match'!$A$2:$B$142,2,FALSE),"")</f>
        <v/>
      </c>
    </row>
    <row r="5375" spans="1:8" x14ac:dyDescent="0.2">
      <c r="A5375" t="str">
        <f t="shared" si="83"/>
        <v/>
      </c>
      <c r="B5375">
        <v>2016</v>
      </c>
      <c r="C5375" s="1" t="s">
        <v>2505</v>
      </c>
      <c r="D5375" s="1" t="s">
        <v>2506</v>
      </c>
      <c r="E5375" s="1" t="s">
        <v>2019</v>
      </c>
      <c r="F5375" s="1" t="s">
        <v>537</v>
      </c>
      <c r="G5375" s="12">
        <v>40866</v>
      </c>
      <c r="H5375" t="str">
        <f>IFERROR(VLOOKUP(F5375,'LEAID Match'!$A$2:$B$142,2,FALSE),"")</f>
        <v/>
      </c>
    </row>
    <row r="5376" spans="1:8" x14ac:dyDescent="0.2">
      <c r="A5376" t="str">
        <f t="shared" si="83"/>
        <v/>
      </c>
      <c r="B5376" s="1">
        <v>2017</v>
      </c>
      <c r="C5376" s="1" t="s">
        <v>2505</v>
      </c>
      <c r="D5376" s="1" t="s">
        <v>2506</v>
      </c>
      <c r="E5376" s="1" t="s">
        <v>2019</v>
      </c>
      <c r="F5376" s="1" t="s">
        <v>537</v>
      </c>
      <c r="G5376" s="49">
        <v>37645</v>
      </c>
      <c r="H5376" t="str">
        <f>IFERROR(VLOOKUP(F5376,'LEAID Match'!$A$2:$B$142,2,FALSE),"")</f>
        <v/>
      </c>
    </row>
    <row r="5377" spans="1:8" x14ac:dyDescent="0.2">
      <c r="A5377" t="str">
        <f t="shared" si="83"/>
        <v/>
      </c>
      <c r="B5377" s="1">
        <v>2018</v>
      </c>
      <c r="C5377" s="1" t="s">
        <v>2505</v>
      </c>
      <c r="D5377" s="1" t="s">
        <v>2506</v>
      </c>
      <c r="E5377" s="1" t="s">
        <v>2019</v>
      </c>
      <c r="F5377" s="1" t="s">
        <v>537</v>
      </c>
      <c r="G5377" s="6">
        <v>34584</v>
      </c>
      <c r="H5377" t="str">
        <f>IFERROR(VLOOKUP(F5377,'LEAID Match'!$A$2:$B$142,2,FALSE),"")</f>
        <v/>
      </c>
    </row>
    <row r="5378" spans="1:8" x14ac:dyDescent="0.2">
      <c r="A5378" t="str">
        <f t="shared" si="83"/>
        <v/>
      </c>
      <c r="B5378" s="1">
        <v>2019</v>
      </c>
      <c r="C5378" s="1" t="s">
        <v>2505</v>
      </c>
      <c r="D5378" s="1" t="s">
        <v>2506</v>
      </c>
      <c r="E5378" s="1" t="s">
        <v>2019</v>
      </c>
      <c r="F5378" s="1" t="s">
        <v>537</v>
      </c>
      <c r="G5378" s="6">
        <v>37479</v>
      </c>
      <c r="H5378" t="str">
        <f>IFERROR(VLOOKUP(F5378,'LEAID Match'!$A$2:$B$142,2,FALSE),"")</f>
        <v/>
      </c>
    </row>
    <row r="5379" spans="1:8" x14ac:dyDescent="0.2">
      <c r="A5379" t="str">
        <f t="shared" ref="A5379:A5442" si="84">H5379</f>
        <v/>
      </c>
      <c r="B5379" s="1">
        <v>2020</v>
      </c>
      <c r="C5379" s="1" t="s">
        <v>2505</v>
      </c>
      <c r="D5379" s="1" t="s">
        <v>2506</v>
      </c>
      <c r="E5379" s="1" t="s">
        <v>2019</v>
      </c>
      <c r="F5379" s="1" t="s">
        <v>537</v>
      </c>
      <c r="G5379" s="6">
        <v>39258</v>
      </c>
      <c r="H5379" t="str">
        <f>IFERROR(VLOOKUP(F5379,'LEAID Match'!$A$2:$B$142,2,FALSE),"")</f>
        <v/>
      </c>
    </row>
    <row r="5380" spans="1:8" x14ac:dyDescent="0.2">
      <c r="A5380" t="str">
        <f t="shared" si="84"/>
        <v/>
      </c>
      <c r="B5380" s="1">
        <v>2021</v>
      </c>
      <c r="C5380" s="1" t="s">
        <v>2505</v>
      </c>
      <c r="D5380" s="1" t="s">
        <v>2506</v>
      </c>
      <c r="E5380" s="1" t="s">
        <v>2019</v>
      </c>
      <c r="F5380" s="1" t="s">
        <v>537</v>
      </c>
      <c r="G5380" s="6">
        <v>42625</v>
      </c>
      <c r="H5380" t="str">
        <f>IFERROR(VLOOKUP(F5380,'LEAID Match'!$A$2:$B$142,2,FALSE),"")</f>
        <v/>
      </c>
    </row>
    <row r="5381" spans="1:8" x14ac:dyDescent="0.2">
      <c r="A5381" t="str">
        <f t="shared" si="84"/>
        <v/>
      </c>
      <c r="B5381" s="1">
        <v>2022</v>
      </c>
      <c r="C5381" s="1" t="s">
        <v>2505</v>
      </c>
      <c r="D5381" s="1" t="s">
        <v>2506</v>
      </c>
      <c r="E5381" s="1" t="s">
        <v>2019</v>
      </c>
      <c r="F5381" s="1" t="s">
        <v>537</v>
      </c>
      <c r="G5381" s="6">
        <v>41194</v>
      </c>
      <c r="H5381" t="str">
        <f>IFERROR(VLOOKUP(F5381,'LEAID Match'!$A$2:$B$142,2,FALSE),"")</f>
        <v/>
      </c>
    </row>
    <row r="5382" spans="1:8" x14ac:dyDescent="0.2">
      <c r="A5382" t="str">
        <f t="shared" si="84"/>
        <v/>
      </c>
      <c r="B5382" s="1">
        <v>2023</v>
      </c>
      <c r="C5382" s="1" t="s">
        <v>2505</v>
      </c>
      <c r="D5382" s="1" t="s">
        <v>2506</v>
      </c>
      <c r="E5382" s="1" t="s">
        <v>2019</v>
      </c>
      <c r="F5382" s="1" t="s">
        <v>537</v>
      </c>
      <c r="G5382" s="6">
        <v>39876</v>
      </c>
      <c r="H5382" t="str">
        <f>IFERROR(VLOOKUP(F5382,'LEAID Match'!$A$2:$B$142,2,FALSE),"")</f>
        <v/>
      </c>
    </row>
    <row r="5383" spans="1:8" x14ac:dyDescent="0.2">
      <c r="A5383" t="str">
        <f t="shared" si="84"/>
        <v/>
      </c>
      <c r="B5383" s="1">
        <v>2024</v>
      </c>
      <c r="C5383" s="1" t="s">
        <v>2505</v>
      </c>
      <c r="D5383" s="1" t="s">
        <v>2506</v>
      </c>
      <c r="E5383" s="1" t="s">
        <v>2019</v>
      </c>
      <c r="F5383" s="1" t="s">
        <v>537</v>
      </c>
      <c r="G5383" s="6">
        <v>37194</v>
      </c>
      <c r="H5383" t="str">
        <f>IFERROR(VLOOKUP(F5383,'LEAID Match'!$A$2:$B$142,2,FALSE),"")</f>
        <v/>
      </c>
    </row>
    <row r="5384" spans="1:8" x14ac:dyDescent="0.2">
      <c r="A5384" t="str">
        <f t="shared" si="84"/>
        <v/>
      </c>
      <c r="B5384" s="1">
        <v>2015</v>
      </c>
      <c r="C5384" s="1" t="s">
        <v>2505</v>
      </c>
      <c r="D5384" s="1" t="s">
        <v>2506</v>
      </c>
      <c r="E5384" s="1" t="s">
        <v>2019</v>
      </c>
      <c r="F5384" s="1" t="s">
        <v>538</v>
      </c>
      <c r="G5384" s="6">
        <v>22825</v>
      </c>
      <c r="H5384" t="str">
        <f>IFERROR(VLOOKUP(F5384,'LEAID Match'!$A$2:$B$142,2,FALSE),"")</f>
        <v/>
      </c>
    </row>
    <row r="5385" spans="1:8" x14ac:dyDescent="0.2">
      <c r="A5385" t="str">
        <f t="shared" si="84"/>
        <v/>
      </c>
      <c r="B5385">
        <v>2016</v>
      </c>
      <c r="C5385" s="1" t="s">
        <v>2505</v>
      </c>
      <c r="D5385" s="1" t="s">
        <v>2506</v>
      </c>
      <c r="E5385" s="1" t="s">
        <v>2019</v>
      </c>
      <c r="F5385" s="1" t="s">
        <v>538</v>
      </c>
      <c r="G5385" s="12">
        <v>21670</v>
      </c>
      <c r="H5385" t="str">
        <f>IFERROR(VLOOKUP(F5385,'LEAID Match'!$A$2:$B$142,2,FALSE),"")</f>
        <v/>
      </c>
    </row>
    <row r="5386" spans="1:8" x14ac:dyDescent="0.2">
      <c r="A5386" t="str">
        <f t="shared" si="84"/>
        <v/>
      </c>
      <c r="B5386" s="1">
        <v>2017</v>
      </c>
      <c r="C5386" s="1" t="s">
        <v>2505</v>
      </c>
      <c r="D5386" s="1" t="s">
        <v>2506</v>
      </c>
      <c r="E5386" s="1" t="s">
        <v>2019</v>
      </c>
      <c r="F5386" s="1" t="s">
        <v>538</v>
      </c>
      <c r="G5386" s="49">
        <v>21953</v>
      </c>
      <c r="H5386" t="str">
        <f>IFERROR(VLOOKUP(F5386,'LEAID Match'!$A$2:$B$142,2,FALSE),"")</f>
        <v/>
      </c>
    </row>
    <row r="5387" spans="1:8" x14ac:dyDescent="0.2">
      <c r="A5387" t="str">
        <f t="shared" si="84"/>
        <v/>
      </c>
      <c r="B5387" s="1">
        <v>2018</v>
      </c>
      <c r="C5387" s="1" t="s">
        <v>2505</v>
      </c>
      <c r="D5387" s="1" t="s">
        <v>2506</v>
      </c>
      <c r="E5387" s="1" t="s">
        <v>2019</v>
      </c>
      <c r="F5387" s="1" t="s">
        <v>538</v>
      </c>
      <c r="G5387" s="6">
        <v>24683</v>
      </c>
      <c r="H5387" t="str">
        <f>IFERROR(VLOOKUP(F5387,'LEAID Match'!$A$2:$B$142,2,FALSE),"")</f>
        <v/>
      </c>
    </row>
    <row r="5388" spans="1:8" x14ac:dyDescent="0.2">
      <c r="A5388" t="str">
        <f t="shared" si="84"/>
        <v/>
      </c>
      <c r="B5388" s="1">
        <v>2019</v>
      </c>
      <c r="C5388" s="1" t="s">
        <v>2505</v>
      </c>
      <c r="D5388" s="1" t="s">
        <v>2506</v>
      </c>
      <c r="E5388" s="1" t="s">
        <v>2019</v>
      </c>
      <c r="F5388" s="1" t="s">
        <v>538</v>
      </c>
      <c r="G5388" s="6">
        <v>24491</v>
      </c>
      <c r="H5388" t="str">
        <f>IFERROR(VLOOKUP(F5388,'LEAID Match'!$A$2:$B$142,2,FALSE),"")</f>
        <v/>
      </c>
    </row>
    <row r="5389" spans="1:8" x14ac:dyDescent="0.2">
      <c r="A5389" t="str">
        <f t="shared" si="84"/>
        <v/>
      </c>
      <c r="B5389" s="1">
        <v>2020</v>
      </c>
      <c r="C5389" s="1" t="s">
        <v>2505</v>
      </c>
      <c r="D5389" s="1" t="s">
        <v>2506</v>
      </c>
      <c r="E5389" s="1" t="s">
        <v>2019</v>
      </c>
      <c r="F5389" s="1" t="s">
        <v>538</v>
      </c>
      <c r="G5389" s="6">
        <v>27676</v>
      </c>
      <c r="H5389" t="str">
        <f>IFERROR(VLOOKUP(F5389,'LEAID Match'!$A$2:$B$142,2,FALSE),"")</f>
        <v/>
      </c>
    </row>
    <row r="5390" spans="1:8" x14ac:dyDescent="0.2">
      <c r="A5390" t="str">
        <f t="shared" si="84"/>
        <v/>
      </c>
      <c r="B5390" s="1">
        <v>2021</v>
      </c>
      <c r="C5390" s="1" t="s">
        <v>2505</v>
      </c>
      <c r="D5390" s="1" t="s">
        <v>2506</v>
      </c>
      <c r="E5390" s="1" t="s">
        <v>2019</v>
      </c>
      <c r="F5390" s="1" t="s">
        <v>538</v>
      </c>
      <c r="G5390" s="6">
        <v>27487</v>
      </c>
      <c r="H5390" t="str">
        <f>IFERROR(VLOOKUP(F5390,'LEAID Match'!$A$2:$B$142,2,FALSE),"")</f>
        <v/>
      </c>
    </row>
    <row r="5391" spans="1:8" x14ac:dyDescent="0.2">
      <c r="A5391" t="str">
        <f t="shared" si="84"/>
        <v/>
      </c>
      <c r="B5391" s="1">
        <v>2022</v>
      </c>
      <c r="C5391" s="1" t="s">
        <v>2505</v>
      </c>
      <c r="D5391" s="1" t="s">
        <v>2506</v>
      </c>
      <c r="E5391" s="1" t="s">
        <v>2019</v>
      </c>
      <c r="F5391" s="1" t="s">
        <v>538</v>
      </c>
      <c r="G5391" s="6">
        <v>29441</v>
      </c>
      <c r="H5391" t="str">
        <f>IFERROR(VLOOKUP(F5391,'LEAID Match'!$A$2:$B$142,2,FALSE),"")</f>
        <v/>
      </c>
    </row>
    <row r="5392" spans="1:8" x14ac:dyDescent="0.2">
      <c r="A5392" t="str">
        <f t="shared" si="84"/>
        <v/>
      </c>
      <c r="B5392" s="1">
        <v>2023</v>
      </c>
      <c r="C5392" s="1" t="s">
        <v>2505</v>
      </c>
      <c r="D5392" s="1" t="s">
        <v>2506</v>
      </c>
      <c r="E5392" s="1" t="s">
        <v>2019</v>
      </c>
      <c r="F5392" s="1" t="s">
        <v>538</v>
      </c>
      <c r="G5392" s="6">
        <v>30531</v>
      </c>
      <c r="H5392" t="str">
        <f>IFERROR(VLOOKUP(F5392,'LEAID Match'!$A$2:$B$142,2,FALSE),"")</f>
        <v/>
      </c>
    </row>
    <row r="5393" spans="1:8" x14ac:dyDescent="0.2">
      <c r="A5393" t="str">
        <f t="shared" si="84"/>
        <v/>
      </c>
      <c r="B5393" s="1">
        <v>2024</v>
      </c>
      <c r="C5393" s="1" t="s">
        <v>2505</v>
      </c>
      <c r="D5393" s="1" t="s">
        <v>2506</v>
      </c>
      <c r="E5393" s="1" t="s">
        <v>2019</v>
      </c>
      <c r="F5393" s="1" t="s">
        <v>538</v>
      </c>
      <c r="G5393" s="6">
        <v>34984</v>
      </c>
      <c r="H5393" t="str">
        <f>IFERROR(VLOOKUP(F5393,'LEAID Match'!$A$2:$B$142,2,FALSE),"")</f>
        <v/>
      </c>
    </row>
    <row r="5394" spans="1:8" x14ac:dyDescent="0.2">
      <c r="A5394" t="str">
        <f t="shared" si="84"/>
        <v/>
      </c>
      <c r="B5394" s="1">
        <v>2015</v>
      </c>
      <c r="C5394" s="1" t="s">
        <v>2505</v>
      </c>
      <c r="D5394" s="1" t="s">
        <v>2506</v>
      </c>
      <c r="E5394" s="1" t="s">
        <v>2019</v>
      </c>
      <c r="F5394" s="1" t="s">
        <v>539</v>
      </c>
      <c r="G5394" s="6">
        <v>225666</v>
      </c>
      <c r="H5394" t="str">
        <f>IFERROR(VLOOKUP(F5394,'LEAID Match'!$A$2:$B$142,2,FALSE),"")</f>
        <v/>
      </c>
    </row>
    <row r="5395" spans="1:8" x14ac:dyDescent="0.2">
      <c r="A5395" t="str">
        <f t="shared" si="84"/>
        <v/>
      </c>
      <c r="B5395">
        <v>2016</v>
      </c>
      <c r="C5395" s="1" t="s">
        <v>2505</v>
      </c>
      <c r="D5395" s="1" t="s">
        <v>2506</v>
      </c>
      <c r="E5395" s="1" t="s">
        <v>2019</v>
      </c>
      <c r="F5395" s="1" t="s">
        <v>539</v>
      </c>
      <c r="G5395" s="12">
        <v>220277</v>
      </c>
      <c r="H5395" t="str">
        <f>IFERROR(VLOOKUP(F5395,'LEAID Match'!$A$2:$B$142,2,FALSE),"")</f>
        <v/>
      </c>
    </row>
    <row r="5396" spans="1:8" x14ac:dyDescent="0.2">
      <c r="A5396" t="str">
        <f t="shared" si="84"/>
        <v/>
      </c>
      <c r="B5396" s="1">
        <v>2017</v>
      </c>
      <c r="C5396" s="1" t="s">
        <v>2505</v>
      </c>
      <c r="D5396" s="1" t="s">
        <v>2506</v>
      </c>
      <c r="E5396" s="1" t="s">
        <v>2019</v>
      </c>
      <c r="F5396" s="1" t="s">
        <v>539</v>
      </c>
      <c r="G5396" s="49">
        <v>222108</v>
      </c>
      <c r="H5396" t="str">
        <f>IFERROR(VLOOKUP(F5396,'LEAID Match'!$A$2:$B$142,2,FALSE),"")</f>
        <v/>
      </c>
    </row>
    <row r="5397" spans="1:8" x14ac:dyDescent="0.2">
      <c r="A5397" t="str">
        <f t="shared" si="84"/>
        <v/>
      </c>
      <c r="B5397" s="1">
        <v>2018</v>
      </c>
      <c r="C5397" s="1" t="s">
        <v>2505</v>
      </c>
      <c r="D5397" s="1" t="s">
        <v>2506</v>
      </c>
      <c r="E5397" s="1" t="s">
        <v>2019</v>
      </c>
      <c r="F5397" s="1" t="s">
        <v>539</v>
      </c>
      <c r="G5397" s="6">
        <v>221892</v>
      </c>
      <c r="H5397" t="str">
        <f>IFERROR(VLOOKUP(F5397,'LEAID Match'!$A$2:$B$142,2,FALSE),"")</f>
        <v/>
      </c>
    </row>
    <row r="5398" spans="1:8" x14ac:dyDescent="0.2">
      <c r="A5398" t="str">
        <f t="shared" si="84"/>
        <v/>
      </c>
      <c r="B5398" s="1">
        <v>2019</v>
      </c>
      <c r="C5398" s="1" t="s">
        <v>2505</v>
      </c>
      <c r="D5398" s="1" t="s">
        <v>2506</v>
      </c>
      <c r="E5398" s="1" t="s">
        <v>2019</v>
      </c>
      <c r="F5398" s="1" t="s">
        <v>539</v>
      </c>
      <c r="G5398" s="6">
        <v>220636</v>
      </c>
      <c r="H5398" t="str">
        <f>IFERROR(VLOOKUP(F5398,'LEAID Match'!$A$2:$B$142,2,FALSE),"")</f>
        <v/>
      </c>
    </row>
    <row r="5399" spans="1:8" x14ac:dyDescent="0.2">
      <c r="A5399" t="str">
        <f t="shared" si="84"/>
        <v/>
      </c>
      <c r="B5399" s="1">
        <v>2020</v>
      </c>
      <c r="C5399" s="1" t="s">
        <v>2505</v>
      </c>
      <c r="D5399" s="1" t="s">
        <v>2506</v>
      </c>
      <c r="E5399" s="1" t="s">
        <v>2019</v>
      </c>
      <c r="F5399" s="1" t="s">
        <v>539</v>
      </c>
      <c r="G5399" s="6">
        <v>238851</v>
      </c>
      <c r="H5399" t="str">
        <f>IFERROR(VLOOKUP(F5399,'LEAID Match'!$A$2:$B$142,2,FALSE),"")</f>
        <v/>
      </c>
    </row>
    <row r="5400" spans="1:8" x14ac:dyDescent="0.2">
      <c r="A5400" t="str">
        <f t="shared" si="84"/>
        <v/>
      </c>
      <c r="B5400" s="1">
        <v>2021</v>
      </c>
      <c r="C5400" s="1" t="s">
        <v>2505</v>
      </c>
      <c r="D5400" s="1" t="s">
        <v>2506</v>
      </c>
      <c r="E5400" s="1" t="s">
        <v>2019</v>
      </c>
      <c r="F5400" s="1" t="s">
        <v>539</v>
      </c>
      <c r="G5400" s="6">
        <v>257434</v>
      </c>
      <c r="H5400" t="str">
        <f>IFERROR(VLOOKUP(F5400,'LEAID Match'!$A$2:$B$142,2,FALSE),"")</f>
        <v/>
      </c>
    </row>
    <row r="5401" spans="1:8" x14ac:dyDescent="0.2">
      <c r="A5401" t="str">
        <f t="shared" si="84"/>
        <v/>
      </c>
      <c r="B5401" s="1">
        <v>2022</v>
      </c>
      <c r="C5401" s="1" t="s">
        <v>2505</v>
      </c>
      <c r="D5401" s="1" t="s">
        <v>2506</v>
      </c>
      <c r="E5401" s="1" t="s">
        <v>2019</v>
      </c>
      <c r="F5401" s="1" t="s">
        <v>539</v>
      </c>
      <c r="G5401" s="6">
        <v>246087</v>
      </c>
      <c r="H5401" t="str">
        <f>IFERROR(VLOOKUP(F5401,'LEAID Match'!$A$2:$B$142,2,FALSE),"")</f>
        <v/>
      </c>
    </row>
    <row r="5402" spans="1:8" x14ac:dyDescent="0.2">
      <c r="A5402" t="str">
        <f t="shared" si="84"/>
        <v/>
      </c>
      <c r="B5402" s="1">
        <v>2023</v>
      </c>
      <c r="C5402" s="1" t="s">
        <v>2505</v>
      </c>
      <c r="D5402" s="1" t="s">
        <v>2506</v>
      </c>
      <c r="E5402" s="1" t="s">
        <v>2019</v>
      </c>
      <c r="F5402" s="1" t="s">
        <v>539</v>
      </c>
      <c r="G5402" s="6">
        <v>262476</v>
      </c>
      <c r="H5402" t="str">
        <f>IFERROR(VLOOKUP(F5402,'LEAID Match'!$A$2:$B$142,2,FALSE),"")</f>
        <v/>
      </c>
    </row>
    <row r="5403" spans="1:8" x14ac:dyDescent="0.2">
      <c r="A5403" t="str">
        <f t="shared" si="84"/>
        <v/>
      </c>
      <c r="B5403" s="1">
        <v>2024</v>
      </c>
      <c r="C5403" s="1" t="s">
        <v>2505</v>
      </c>
      <c r="D5403" s="1" t="s">
        <v>2506</v>
      </c>
      <c r="E5403" s="1" t="s">
        <v>2019</v>
      </c>
      <c r="F5403" s="1" t="s">
        <v>539</v>
      </c>
      <c r="G5403" s="6">
        <v>256902</v>
      </c>
      <c r="H5403" t="str">
        <f>IFERROR(VLOOKUP(F5403,'LEAID Match'!$A$2:$B$142,2,FALSE),"")</f>
        <v/>
      </c>
    </row>
    <row r="5404" spans="1:8" x14ac:dyDescent="0.2">
      <c r="A5404">
        <f t="shared" si="84"/>
        <v>2803150</v>
      </c>
      <c r="B5404" s="1">
        <v>2015</v>
      </c>
      <c r="C5404" s="1" t="s">
        <v>2505</v>
      </c>
      <c r="D5404" s="1" t="s">
        <v>2506</v>
      </c>
      <c r="E5404" s="1" t="s">
        <v>2019</v>
      </c>
      <c r="F5404" s="1" t="s">
        <v>540</v>
      </c>
      <c r="G5404" s="6">
        <v>1490230</v>
      </c>
      <c r="H5404">
        <f>IFERROR(VLOOKUP(F5404,'LEAID Match'!$A$2:$B$142,2,FALSE),"")</f>
        <v>2803150</v>
      </c>
    </row>
    <row r="5405" spans="1:8" x14ac:dyDescent="0.2">
      <c r="A5405">
        <f t="shared" si="84"/>
        <v>2803150</v>
      </c>
      <c r="B5405">
        <v>2016</v>
      </c>
      <c r="C5405" s="1" t="s">
        <v>2505</v>
      </c>
      <c r="D5405" s="1" t="s">
        <v>2506</v>
      </c>
      <c r="E5405" s="1" t="s">
        <v>2019</v>
      </c>
      <c r="F5405" s="1" t="s">
        <v>540</v>
      </c>
      <c r="G5405" s="12">
        <v>1513999</v>
      </c>
      <c r="H5405">
        <f>IFERROR(VLOOKUP(F5405,'LEAID Match'!$A$2:$B$142,2,FALSE),"")</f>
        <v>2803150</v>
      </c>
    </row>
    <row r="5406" spans="1:8" x14ac:dyDescent="0.2">
      <c r="A5406">
        <f t="shared" si="84"/>
        <v>2803150</v>
      </c>
      <c r="B5406" s="1">
        <v>2017</v>
      </c>
      <c r="C5406" s="1" t="s">
        <v>2505</v>
      </c>
      <c r="D5406" s="1" t="s">
        <v>2506</v>
      </c>
      <c r="E5406" s="1" t="s">
        <v>2019</v>
      </c>
      <c r="F5406" s="1" t="s">
        <v>540</v>
      </c>
      <c r="G5406" s="49">
        <v>1528193</v>
      </c>
      <c r="H5406">
        <f>IFERROR(VLOOKUP(F5406,'LEAID Match'!$A$2:$B$142,2,FALSE),"")</f>
        <v>2803150</v>
      </c>
    </row>
    <row r="5407" spans="1:8" x14ac:dyDescent="0.2">
      <c r="A5407">
        <f t="shared" si="84"/>
        <v>2803150</v>
      </c>
      <c r="B5407" s="1">
        <v>2018</v>
      </c>
      <c r="C5407" s="1" t="s">
        <v>2505</v>
      </c>
      <c r="D5407" s="1" t="s">
        <v>2506</v>
      </c>
      <c r="E5407" s="1" t="s">
        <v>2019</v>
      </c>
      <c r="F5407" s="1" t="s">
        <v>540</v>
      </c>
      <c r="G5407" s="6">
        <v>1526713</v>
      </c>
      <c r="H5407">
        <f>IFERROR(VLOOKUP(F5407,'LEAID Match'!$A$2:$B$142,2,FALSE),"")</f>
        <v>2803150</v>
      </c>
    </row>
    <row r="5408" spans="1:8" x14ac:dyDescent="0.2">
      <c r="A5408">
        <f t="shared" si="84"/>
        <v>2803150</v>
      </c>
      <c r="B5408" s="1">
        <v>2019</v>
      </c>
      <c r="C5408" s="1" t="s">
        <v>2505</v>
      </c>
      <c r="D5408" s="1" t="s">
        <v>2506</v>
      </c>
      <c r="E5408" s="1" t="s">
        <v>2019</v>
      </c>
      <c r="F5408" s="1" t="s">
        <v>540</v>
      </c>
      <c r="G5408" s="6">
        <v>1509917</v>
      </c>
      <c r="H5408">
        <f>IFERROR(VLOOKUP(F5408,'LEAID Match'!$A$2:$B$142,2,FALSE),"")</f>
        <v>2803150</v>
      </c>
    </row>
    <row r="5409" spans="1:8" x14ac:dyDescent="0.2">
      <c r="A5409">
        <f t="shared" si="84"/>
        <v>2803150</v>
      </c>
      <c r="B5409" s="1">
        <v>2020</v>
      </c>
      <c r="C5409" s="1" t="s">
        <v>2505</v>
      </c>
      <c r="D5409" s="1" t="s">
        <v>2506</v>
      </c>
      <c r="E5409" s="1" t="s">
        <v>2019</v>
      </c>
      <c r="F5409" s="1" t="s">
        <v>540</v>
      </c>
      <c r="G5409" s="6">
        <v>1737594</v>
      </c>
      <c r="H5409">
        <f>IFERROR(VLOOKUP(F5409,'LEAID Match'!$A$2:$B$142,2,FALSE),"")</f>
        <v>2803150</v>
      </c>
    </row>
    <row r="5410" spans="1:8" x14ac:dyDescent="0.2">
      <c r="A5410">
        <f t="shared" si="84"/>
        <v>2803150</v>
      </c>
      <c r="B5410" s="1">
        <v>2021</v>
      </c>
      <c r="C5410" s="1" t="s">
        <v>2505</v>
      </c>
      <c r="D5410" s="1" t="s">
        <v>2506</v>
      </c>
      <c r="E5410" s="1" t="s">
        <v>2019</v>
      </c>
      <c r="F5410" s="1" t="s">
        <v>540</v>
      </c>
      <c r="G5410" s="6">
        <v>1752235</v>
      </c>
      <c r="H5410">
        <f>IFERROR(VLOOKUP(F5410,'LEAID Match'!$A$2:$B$142,2,FALSE),"")</f>
        <v>2803150</v>
      </c>
    </row>
    <row r="5411" spans="1:8" x14ac:dyDescent="0.2">
      <c r="A5411">
        <f t="shared" si="84"/>
        <v>2803150</v>
      </c>
      <c r="B5411" s="1">
        <v>2022</v>
      </c>
      <c r="C5411" s="1" t="s">
        <v>2505</v>
      </c>
      <c r="D5411" s="1" t="s">
        <v>2506</v>
      </c>
      <c r="E5411" s="1" t="s">
        <v>2019</v>
      </c>
      <c r="F5411" s="1" t="s">
        <v>540</v>
      </c>
      <c r="G5411" s="6">
        <v>1790653</v>
      </c>
      <c r="H5411">
        <f>IFERROR(VLOOKUP(F5411,'LEAID Match'!$A$2:$B$142,2,FALSE),"")</f>
        <v>2803150</v>
      </c>
    </row>
    <row r="5412" spans="1:8" x14ac:dyDescent="0.2">
      <c r="A5412">
        <f t="shared" si="84"/>
        <v>2803150</v>
      </c>
      <c r="B5412" s="1">
        <v>2023</v>
      </c>
      <c r="C5412" s="1" t="s">
        <v>2505</v>
      </c>
      <c r="D5412" s="1" t="s">
        <v>2506</v>
      </c>
      <c r="E5412" s="1" t="s">
        <v>2019</v>
      </c>
      <c r="F5412" s="1" t="s">
        <v>540</v>
      </c>
      <c r="G5412" s="6">
        <v>1983337</v>
      </c>
      <c r="H5412">
        <f>IFERROR(VLOOKUP(F5412,'LEAID Match'!$A$2:$B$142,2,FALSE),"")</f>
        <v>2803150</v>
      </c>
    </row>
    <row r="5413" spans="1:8" x14ac:dyDescent="0.2">
      <c r="A5413">
        <f t="shared" si="84"/>
        <v>2803150</v>
      </c>
      <c r="B5413" s="1">
        <v>2024</v>
      </c>
      <c r="C5413" s="1" t="s">
        <v>2505</v>
      </c>
      <c r="D5413" s="1" t="s">
        <v>2506</v>
      </c>
      <c r="E5413" s="1" t="s">
        <v>2019</v>
      </c>
      <c r="F5413" s="1" t="s">
        <v>540</v>
      </c>
      <c r="G5413" s="6">
        <v>1857402</v>
      </c>
      <c r="H5413">
        <f>IFERROR(VLOOKUP(F5413,'LEAID Match'!$A$2:$B$142,2,FALSE),"")</f>
        <v>2803150</v>
      </c>
    </row>
    <row r="5414" spans="1:8" x14ac:dyDescent="0.2">
      <c r="A5414" t="str">
        <f t="shared" si="84"/>
        <v/>
      </c>
      <c r="B5414" s="1">
        <v>2015</v>
      </c>
      <c r="C5414" s="1" t="s">
        <v>2505</v>
      </c>
      <c r="D5414" s="1" t="s">
        <v>2506</v>
      </c>
      <c r="E5414" s="1" t="s">
        <v>2019</v>
      </c>
      <c r="F5414" s="1" t="s">
        <v>541</v>
      </c>
      <c r="G5414" s="6">
        <v>478854</v>
      </c>
      <c r="H5414" t="str">
        <f>IFERROR(VLOOKUP(F5414,'LEAID Match'!$A$2:$B$142,2,FALSE),"")</f>
        <v/>
      </c>
    </row>
    <row r="5415" spans="1:8" x14ac:dyDescent="0.2">
      <c r="A5415" t="str">
        <f t="shared" si="84"/>
        <v/>
      </c>
      <c r="B5415">
        <v>2016</v>
      </c>
      <c r="C5415" s="1" t="s">
        <v>2505</v>
      </c>
      <c r="D5415" s="1" t="s">
        <v>2506</v>
      </c>
      <c r="E5415" s="1" t="s">
        <v>2019</v>
      </c>
      <c r="F5415" s="1" t="s">
        <v>541</v>
      </c>
      <c r="G5415" s="12">
        <v>480758</v>
      </c>
      <c r="H5415" t="str">
        <f>IFERROR(VLOOKUP(F5415,'LEAID Match'!$A$2:$B$142,2,FALSE),"")</f>
        <v/>
      </c>
    </row>
    <row r="5416" spans="1:8" x14ac:dyDescent="0.2">
      <c r="A5416" t="str">
        <f t="shared" si="84"/>
        <v/>
      </c>
      <c r="B5416" s="1">
        <v>2017</v>
      </c>
      <c r="C5416" s="1" t="s">
        <v>2505</v>
      </c>
      <c r="D5416" s="1" t="s">
        <v>2506</v>
      </c>
      <c r="E5416" s="1" t="s">
        <v>2019</v>
      </c>
      <c r="F5416" s="1" t="s">
        <v>541</v>
      </c>
      <c r="G5416" s="49">
        <v>510333</v>
      </c>
      <c r="H5416" t="str">
        <f>IFERROR(VLOOKUP(F5416,'LEAID Match'!$A$2:$B$142,2,FALSE),"")</f>
        <v/>
      </c>
    </row>
    <row r="5417" spans="1:8" x14ac:dyDescent="0.2">
      <c r="A5417" t="str">
        <f t="shared" si="84"/>
        <v/>
      </c>
      <c r="B5417" s="1">
        <v>2018</v>
      </c>
      <c r="C5417" s="1" t="s">
        <v>2505</v>
      </c>
      <c r="D5417" s="1" t="s">
        <v>2506</v>
      </c>
      <c r="E5417" s="1" t="s">
        <v>2019</v>
      </c>
      <c r="F5417" s="1" t="s">
        <v>541</v>
      </c>
      <c r="G5417" s="6">
        <v>530712</v>
      </c>
      <c r="H5417" t="str">
        <f>IFERROR(VLOOKUP(F5417,'LEAID Match'!$A$2:$B$142,2,FALSE),"")</f>
        <v/>
      </c>
    </row>
    <row r="5418" spans="1:8" x14ac:dyDescent="0.2">
      <c r="A5418" t="str">
        <f t="shared" si="84"/>
        <v/>
      </c>
      <c r="B5418" s="1">
        <v>2019</v>
      </c>
      <c r="C5418" s="1" t="s">
        <v>2505</v>
      </c>
      <c r="D5418" s="1" t="s">
        <v>2506</v>
      </c>
      <c r="E5418" s="1" t="s">
        <v>2019</v>
      </c>
      <c r="F5418" s="1" t="s">
        <v>541</v>
      </c>
      <c r="G5418" s="6">
        <v>539834</v>
      </c>
      <c r="H5418" t="str">
        <f>IFERROR(VLOOKUP(F5418,'LEAID Match'!$A$2:$B$142,2,FALSE),"")</f>
        <v/>
      </c>
    </row>
    <row r="5419" spans="1:8" x14ac:dyDescent="0.2">
      <c r="A5419" t="str">
        <f t="shared" si="84"/>
        <v/>
      </c>
      <c r="B5419" s="1">
        <v>2020</v>
      </c>
      <c r="C5419" s="1" t="s">
        <v>2505</v>
      </c>
      <c r="D5419" s="1" t="s">
        <v>2506</v>
      </c>
      <c r="E5419" s="1" t="s">
        <v>2019</v>
      </c>
      <c r="F5419" s="1" t="s">
        <v>541</v>
      </c>
      <c r="G5419" s="6">
        <v>629921</v>
      </c>
      <c r="H5419" t="str">
        <f>IFERROR(VLOOKUP(F5419,'LEAID Match'!$A$2:$B$142,2,FALSE),"")</f>
        <v/>
      </c>
    </row>
    <row r="5420" spans="1:8" x14ac:dyDescent="0.2">
      <c r="A5420" t="str">
        <f t="shared" si="84"/>
        <v/>
      </c>
      <c r="B5420" s="1">
        <v>2021</v>
      </c>
      <c r="C5420" s="1" t="s">
        <v>2505</v>
      </c>
      <c r="D5420" s="1" t="s">
        <v>2506</v>
      </c>
      <c r="E5420" s="1" t="s">
        <v>2019</v>
      </c>
      <c r="F5420" s="1" t="s">
        <v>541</v>
      </c>
      <c r="G5420" s="6">
        <v>679184</v>
      </c>
      <c r="H5420" t="str">
        <f>IFERROR(VLOOKUP(F5420,'LEAID Match'!$A$2:$B$142,2,FALSE),"")</f>
        <v/>
      </c>
    </row>
    <row r="5421" spans="1:8" x14ac:dyDescent="0.2">
      <c r="A5421" t="str">
        <f t="shared" si="84"/>
        <v/>
      </c>
      <c r="B5421" s="1">
        <v>2022</v>
      </c>
      <c r="C5421" s="1" t="s">
        <v>2505</v>
      </c>
      <c r="D5421" s="1" t="s">
        <v>2506</v>
      </c>
      <c r="E5421" s="1" t="s">
        <v>2019</v>
      </c>
      <c r="F5421" s="1" t="s">
        <v>541</v>
      </c>
      <c r="G5421" s="6">
        <v>693972</v>
      </c>
      <c r="H5421" t="str">
        <f>IFERROR(VLOOKUP(F5421,'LEAID Match'!$A$2:$B$142,2,FALSE),"")</f>
        <v/>
      </c>
    </row>
    <row r="5422" spans="1:8" x14ac:dyDescent="0.2">
      <c r="A5422" t="str">
        <f t="shared" si="84"/>
        <v/>
      </c>
      <c r="B5422" s="1">
        <v>2023</v>
      </c>
      <c r="C5422" s="1" t="s">
        <v>2505</v>
      </c>
      <c r="D5422" s="1" t="s">
        <v>2506</v>
      </c>
      <c r="E5422" s="1" t="s">
        <v>2019</v>
      </c>
      <c r="F5422" s="1" t="s">
        <v>541</v>
      </c>
      <c r="G5422" s="6">
        <v>722445</v>
      </c>
      <c r="H5422" t="str">
        <f>IFERROR(VLOOKUP(F5422,'LEAID Match'!$A$2:$B$142,2,FALSE),"")</f>
        <v/>
      </c>
    </row>
    <row r="5423" spans="1:8" x14ac:dyDescent="0.2">
      <c r="A5423" t="str">
        <f t="shared" si="84"/>
        <v/>
      </c>
      <c r="B5423" s="1">
        <v>2024</v>
      </c>
      <c r="C5423" s="1" t="s">
        <v>2505</v>
      </c>
      <c r="D5423" s="1" t="s">
        <v>2506</v>
      </c>
      <c r="E5423" s="1" t="s">
        <v>2019</v>
      </c>
      <c r="F5423" s="1" t="s">
        <v>541</v>
      </c>
      <c r="G5423" s="6">
        <v>698860</v>
      </c>
      <c r="H5423" t="str">
        <f>IFERROR(VLOOKUP(F5423,'LEAID Match'!$A$2:$B$142,2,FALSE),"")</f>
        <v/>
      </c>
    </row>
    <row r="5424" spans="1:8" x14ac:dyDescent="0.2">
      <c r="A5424" t="str">
        <f t="shared" si="84"/>
        <v/>
      </c>
      <c r="B5424" s="1">
        <v>2015</v>
      </c>
      <c r="C5424" s="1" t="s">
        <v>2505</v>
      </c>
      <c r="D5424" s="1" t="s">
        <v>2506</v>
      </c>
      <c r="E5424" s="1" t="s">
        <v>2019</v>
      </c>
      <c r="F5424" s="1" t="s">
        <v>542</v>
      </c>
      <c r="G5424" s="6">
        <v>2421</v>
      </c>
      <c r="H5424" t="str">
        <f>IFERROR(VLOOKUP(F5424,'LEAID Match'!$A$2:$B$142,2,FALSE),"")</f>
        <v/>
      </c>
    </row>
    <row r="5425" spans="1:8" x14ac:dyDescent="0.2">
      <c r="A5425" t="str">
        <f t="shared" si="84"/>
        <v/>
      </c>
      <c r="B5425">
        <v>2016</v>
      </c>
      <c r="C5425" s="1" t="s">
        <v>2505</v>
      </c>
      <c r="D5425" s="1" t="s">
        <v>2506</v>
      </c>
      <c r="E5425" s="1" t="s">
        <v>2019</v>
      </c>
      <c r="F5425" s="1" t="s">
        <v>542</v>
      </c>
      <c r="G5425" s="12">
        <v>2421</v>
      </c>
      <c r="H5425" t="str">
        <f>IFERROR(VLOOKUP(F5425,'LEAID Match'!$A$2:$B$142,2,FALSE),"")</f>
        <v/>
      </c>
    </row>
    <row r="5426" spans="1:8" x14ac:dyDescent="0.2">
      <c r="A5426" t="str">
        <f t="shared" si="84"/>
        <v/>
      </c>
      <c r="B5426" s="1">
        <v>2017</v>
      </c>
      <c r="C5426" s="1" t="s">
        <v>2505</v>
      </c>
      <c r="D5426" s="1" t="s">
        <v>2506</v>
      </c>
      <c r="E5426" s="1" t="s">
        <v>2019</v>
      </c>
      <c r="F5426" s="1" t="s">
        <v>542</v>
      </c>
      <c r="G5426" s="49">
        <v>2522</v>
      </c>
      <c r="H5426" t="str">
        <f>IFERROR(VLOOKUP(F5426,'LEAID Match'!$A$2:$B$142,2,FALSE),"")</f>
        <v/>
      </c>
    </row>
    <row r="5427" spans="1:8" x14ac:dyDescent="0.2">
      <c r="A5427" t="str">
        <f t="shared" si="84"/>
        <v/>
      </c>
      <c r="B5427" s="1">
        <v>2018</v>
      </c>
      <c r="C5427" s="1" t="s">
        <v>2505</v>
      </c>
      <c r="D5427" s="1" t="s">
        <v>2506</v>
      </c>
      <c r="E5427" s="1" t="s">
        <v>2019</v>
      </c>
      <c r="F5427" s="1" t="s">
        <v>542</v>
      </c>
      <c r="G5427" s="6">
        <v>2622</v>
      </c>
      <c r="H5427" t="str">
        <f>IFERROR(VLOOKUP(F5427,'LEAID Match'!$A$2:$B$142,2,FALSE),"")</f>
        <v/>
      </c>
    </row>
    <row r="5428" spans="1:8" x14ac:dyDescent="0.2">
      <c r="A5428" t="str">
        <f t="shared" si="84"/>
        <v/>
      </c>
      <c r="B5428" s="1">
        <v>2019</v>
      </c>
      <c r="C5428" s="1" t="s">
        <v>2505</v>
      </c>
      <c r="D5428" s="1" t="s">
        <v>2506</v>
      </c>
      <c r="E5428" s="1" t="s">
        <v>2019</v>
      </c>
      <c r="F5428" s="1" t="s">
        <v>542</v>
      </c>
      <c r="G5428" s="6">
        <v>1953</v>
      </c>
      <c r="H5428" t="str">
        <f>IFERROR(VLOOKUP(F5428,'LEAID Match'!$A$2:$B$142,2,FALSE),"")</f>
        <v/>
      </c>
    </row>
    <row r="5429" spans="1:8" x14ac:dyDescent="0.2">
      <c r="A5429" t="str">
        <f t="shared" si="84"/>
        <v/>
      </c>
      <c r="B5429" s="1">
        <v>2020</v>
      </c>
      <c r="C5429" s="1" t="s">
        <v>2505</v>
      </c>
      <c r="D5429" s="1" t="s">
        <v>2506</v>
      </c>
      <c r="E5429" s="1" t="s">
        <v>2019</v>
      </c>
      <c r="F5429" s="1" t="s">
        <v>542</v>
      </c>
      <c r="G5429" s="6">
        <v>2128</v>
      </c>
      <c r="H5429" t="str">
        <f>IFERROR(VLOOKUP(F5429,'LEAID Match'!$A$2:$B$142,2,FALSE),"")</f>
        <v/>
      </c>
    </row>
    <row r="5430" spans="1:8" x14ac:dyDescent="0.2">
      <c r="A5430" t="str">
        <f t="shared" si="84"/>
        <v/>
      </c>
      <c r="B5430" s="1">
        <v>2021</v>
      </c>
      <c r="C5430" s="1" t="s">
        <v>2505</v>
      </c>
      <c r="D5430" s="1" t="s">
        <v>2506</v>
      </c>
      <c r="E5430" s="1" t="s">
        <v>2019</v>
      </c>
      <c r="F5430" s="1" t="s">
        <v>542</v>
      </c>
      <c r="G5430" s="6">
        <v>819</v>
      </c>
      <c r="H5430" t="str">
        <f>IFERROR(VLOOKUP(F5430,'LEAID Match'!$A$2:$B$142,2,FALSE),"")</f>
        <v/>
      </c>
    </row>
    <row r="5431" spans="1:8" x14ac:dyDescent="0.2">
      <c r="A5431" t="str">
        <f t="shared" si="84"/>
        <v/>
      </c>
      <c r="B5431" s="1">
        <v>2022</v>
      </c>
      <c r="C5431" s="1" t="s">
        <v>2505</v>
      </c>
      <c r="D5431" s="1" t="s">
        <v>2506</v>
      </c>
      <c r="E5431" s="1" t="s">
        <v>2019</v>
      </c>
      <c r="F5431" s="1" t="s">
        <v>542</v>
      </c>
      <c r="G5431" s="6">
        <v>3737</v>
      </c>
      <c r="H5431" t="str">
        <f>IFERROR(VLOOKUP(F5431,'LEAID Match'!$A$2:$B$142,2,FALSE),"")</f>
        <v/>
      </c>
    </row>
    <row r="5432" spans="1:8" x14ac:dyDescent="0.2">
      <c r="A5432" t="str">
        <f t="shared" si="84"/>
        <v/>
      </c>
      <c r="B5432" s="1">
        <v>2023</v>
      </c>
      <c r="C5432" s="1" t="s">
        <v>2505</v>
      </c>
      <c r="D5432" s="1" t="s">
        <v>2506</v>
      </c>
      <c r="E5432" s="1" t="s">
        <v>2019</v>
      </c>
      <c r="F5432" s="1" t="s">
        <v>542</v>
      </c>
      <c r="G5432" s="6">
        <v>3474</v>
      </c>
      <c r="H5432" t="str">
        <f>IFERROR(VLOOKUP(F5432,'LEAID Match'!$A$2:$B$142,2,FALSE),"")</f>
        <v/>
      </c>
    </row>
    <row r="5433" spans="1:8" x14ac:dyDescent="0.2">
      <c r="A5433" t="str">
        <f t="shared" si="84"/>
        <v/>
      </c>
      <c r="B5433" s="1">
        <v>2024</v>
      </c>
      <c r="C5433" s="1" t="s">
        <v>2505</v>
      </c>
      <c r="D5433" s="1" t="s">
        <v>2506</v>
      </c>
      <c r="E5433" s="1" t="s">
        <v>2019</v>
      </c>
      <c r="F5433" s="1" t="s">
        <v>542</v>
      </c>
      <c r="G5433" s="6">
        <v>4562</v>
      </c>
      <c r="H5433" t="str">
        <f>IFERROR(VLOOKUP(F5433,'LEAID Match'!$A$2:$B$142,2,FALSE),"")</f>
        <v/>
      </c>
    </row>
    <row r="5434" spans="1:8" x14ac:dyDescent="0.2">
      <c r="A5434">
        <f t="shared" si="84"/>
        <v>2803180</v>
      </c>
      <c r="B5434" s="1">
        <v>2015</v>
      </c>
      <c r="C5434" s="1" t="s">
        <v>2505</v>
      </c>
      <c r="D5434" s="1" t="s">
        <v>2506</v>
      </c>
      <c r="E5434" s="1" t="s">
        <v>2019</v>
      </c>
      <c r="F5434" s="1" t="s">
        <v>543</v>
      </c>
      <c r="G5434" s="6">
        <v>826766</v>
      </c>
      <c r="H5434">
        <f>IFERROR(VLOOKUP(F5434,'LEAID Match'!$A$2:$B$142,2,FALSE),"")</f>
        <v>2803180</v>
      </c>
    </row>
    <row r="5435" spans="1:8" x14ac:dyDescent="0.2">
      <c r="A5435">
        <f t="shared" si="84"/>
        <v>2803180</v>
      </c>
      <c r="B5435">
        <v>2016</v>
      </c>
      <c r="C5435" s="1" t="s">
        <v>2505</v>
      </c>
      <c r="D5435" s="1" t="s">
        <v>2506</v>
      </c>
      <c r="E5435" s="1" t="s">
        <v>2019</v>
      </c>
      <c r="F5435" s="1" t="s">
        <v>543</v>
      </c>
      <c r="G5435" s="12">
        <v>859333</v>
      </c>
      <c r="H5435">
        <f>IFERROR(VLOOKUP(F5435,'LEAID Match'!$A$2:$B$142,2,FALSE),"")</f>
        <v>2803180</v>
      </c>
    </row>
    <row r="5436" spans="1:8" x14ac:dyDescent="0.2">
      <c r="A5436">
        <f t="shared" si="84"/>
        <v>2803180</v>
      </c>
      <c r="B5436" s="1">
        <v>2017</v>
      </c>
      <c r="C5436" s="1" t="s">
        <v>2505</v>
      </c>
      <c r="D5436" s="1" t="s">
        <v>2506</v>
      </c>
      <c r="E5436" s="1" t="s">
        <v>2019</v>
      </c>
      <c r="F5436" s="1" t="s">
        <v>543</v>
      </c>
      <c r="G5436" s="49">
        <v>933323</v>
      </c>
      <c r="H5436">
        <f>IFERROR(VLOOKUP(F5436,'LEAID Match'!$A$2:$B$142,2,FALSE),"")</f>
        <v>2803180</v>
      </c>
    </row>
    <row r="5437" spans="1:8" x14ac:dyDescent="0.2">
      <c r="A5437">
        <f t="shared" si="84"/>
        <v>2803180</v>
      </c>
      <c r="B5437" s="1">
        <v>2018</v>
      </c>
      <c r="C5437" s="1" t="s">
        <v>2505</v>
      </c>
      <c r="D5437" s="1" t="s">
        <v>2506</v>
      </c>
      <c r="E5437" s="1" t="s">
        <v>2019</v>
      </c>
      <c r="F5437" s="1" t="s">
        <v>543</v>
      </c>
      <c r="G5437" s="6">
        <v>821486</v>
      </c>
      <c r="H5437">
        <f>IFERROR(VLOOKUP(F5437,'LEAID Match'!$A$2:$B$142,2,FALSE),"")</f>
        <v>2803180</v>
      </c>
    </row>
    <row r="5438" spans="1:8" x14ac:dyDescent="0.2">
      <c r="A5438">
        <f t="shared" si="84"/>
        <v>2803180</v>
      </c>
      <c r="B5438" s="1">
        <v>2019</v>
      </c>
      <c r="C5438" s="1" t="s">
        <v>2505</v>
      </c>
      <c r="D5438" s="1" t="s">
        <v>2506</v>
      </c>
      <c r="E5438" s="1" t="s">
        <v>2019</v>
      </c>
      <c r="F5438" s="1" t="s">
        <v>543</v>
      </c>
      <c r="G5438" s="6">
        <v>886295</v>
      </c>
      <c r="H5438">
        <f>IFERROR(VLOOKUP(F5438,'LEAID Match'!$A$2:$B$142,2,FALSE),"")</f>
        <v>2803180</v>
      </c>
    </row>
    <row r="5439" spans="1:8" x14ac:dyDescent="0.2">
      <c r="A5439">
        <f t="shared" si="84"/>
        <v>2803180</v>
      </c>
      <c r="B5439" s="1">
        <v>2020</v>
      </c>
      <c r="C5439" s="1" t="s">
        <v>2505</v>
      </c>
      <c r="D5439" s="1" t="s">
        <v>2506</v>
      </c>
      <c r="E5439" s="1" t="s">
        <v>2019</v>
      </c>
      <c r="F5439" s="1" t="s">
        <v>543</v>
      </c>
      <c r="G5439" s="6">
        <v>977082</v>
      </c>
      <c r="H5439">
        <f>IFERROR(VLOOKUP(F5439,'LEAID Match'!$A$2:$B$142,2,FALSE),"")</f>
        <v>2803180</v>
      </c>
    </row>
    <row r="5440" spans="1:8" x14ac:dyDescent="0.2">
      <c r="A5440">
        <f t="shared" si="84"/>
        <v>2803180</v>
      </c>
      <c r="B5440" s="1">
        <v>2021</v>
      </c>
      <c r="C5440" s="1" t="s">
        <v>2505</v>
      </c>
      <c r="D5440" s="1" t="s">
        <v>2506</v>
      </c>
      <c r="E5440" s="1" t="s">
        <v>2019</v>
      </c>
      <c r="F5440" s="1" t="s">
        <v>543</v>
      </c>
      <c r="G5440" s="6">
        <v>887789</v>
      </c>
      <c r="H5440">
        <f>IFERROR(VLOOKUP(F5440,'LEAID Match'!$A$2:$B$142,2,FALSE),"")</f>
        <v>2803180</v>
      </c>
    </row>
    <row r="5441" spans="1:11" x14ac:dyDescent="0.2">
      <c r="A5441">
        <f t="shared" si="84"/>
        <v>2803180</v>
      </c>
      <c r="B5441" s="1">
        <v>2022</v>
      </c>
      <c r="C5441" s="1" t="s">
        <v>2505</v>
      </c>
      <c r="D5441" s="1" t="s">
        <v>2506</v>
      </c>
      <c r="E5441" s="1" t="s">
        <v>2019</v>
      </c>
      <c r="F5441" s="1" t="s">
        <v>543</v>
      </c>
      <c r="G5441" s="6">
        <v>1032283</v>
      </c>
      <c r="H5441">
        <f>IFERROR(VLOOKUP(F5441,'LEAID Match'!$A$2:$B$142,2,FALSE),"")</f>
        <v>2803180</v>
      </c>
    </row>
    <row r="5442" spans="1:11" x14ac:dyDescent="0.2">
      <c r="A5442">
        <f t="shared" si="84"/>
        <v>2803180</v>
      </c>
      <c r="B5442" s="1">
        <v>2023</v>
      </c>
      <c r="C5442" s="1" t="s">
        <v>2505</v>
      </c>
      <c r="D5442" s="1" t="s">
        <v>2506</v>
      </c>
      <c r="E5442" s="1" t="s">
        <v>2019</v>
      </c>
      <c r="F5442" s="1" t="s">
        <v>543</v>
      </c>
      <c r="G5442" s="6">
        <v>1028272</v>
      </c>
      <c r="H5442">
        <f>IFERROR(VLOOKUP(F5442,'LEAID Match'!$A$2:$B$142,2,FALSE),"")</f>
        <v>2803180</v>
      </c>
    </row>
    <row r="5443" spans="1:11" x14ac:dyDescent="0.2">
      <c r="A5443">
        <f t="shared" ref="A5443:A5506" si="85">H5443</f>
        <v>2803180</v>
      </c>
      <c r="B5443" s="1">
        <v>2024</v>
      </c>
      <c r="C5443" s="1" t="s">
        <v>2505</v>
      </c>
      <c r="D5443" s="1" t="s">
        <v>2506</v>
      </c>
      <c r="E5443" s="1" t="s">
        <v>2019</v>
      </c>
      <c r="F5443" s="1" t="s">
        <v>543</v>
      </c>
      <c r="G5443" s="6">
        <v>1166580</v>
      </c>
      <c r="H5443">
        <f>IFERROR(VLOOKUP(F5443,'LEAID Match'!$A$2:$B$142,2,FALSE),"")</f>
        <v>2803180</v>
      </c>
    </row>
    <row r="5444" spans="1:11" x14ac:dyDescent="0.2">
      <c r="A5444" t="str">
        <f t="shared" si="85"/>
        <v/>
      </c>
      <c r="B5444" s="1">
        <v>2015</v>
      </c>
      <c r="C5444" s="1" t="s">
        <v>2505</v>
      </c>
      <c r="D5444" s="1" t="s">
        <v>2506</v>
      </c>
      <c r="E5444" s="1" t="s">
        <v>2019</v>
      </c>
      <c r="F5444" s="1" t="s">
        <v>544</v>
      </c>
      <c r="G5444" s="6">
        <v>8658</v>
      </c>
      <c r="H5444" t="str">
        <f>IFERROR(VLOOKUP(F5444,'LEAID Match'!$A$2:$B$142,2,FALSE),"")</f>
        <v/>
      </c>
    </row>
    <row r="5445" spans="1:11" x14ac:dyDescent="0.2">
      <c r="A5445" t="str">
        <f t="shared" si="85"/>
        <v/>
      </c>
      <c r="B5445">
        <v>2016</v>
      </c>
      <c r="C5445" s="1" t="s">
        <v>2505</v>
      </c>
      <c r="D5445" s="1" t="s">
        <v>2506</v>
      </c>
      <c r="E5445" s="1" t="s">
        <v>2019</v>
      </c>
      <c r="F5445" s="1" t="s">
        <v>544</v>
      </c>
      <c r="G5445" s="12">
        <v>8581</v>
      </c>
      <c r="H5445" t="str">
        <f>IFERROR(VLOOKUP(F5445,'LEAID Match'!$A$2:$B$142,2,FALSE),"")</f>
        <v/>
      </c>
    </row>
    <row r="5446" spans="1:11" x14ac:dyDescent="0.2">
      <c r="A5446" t="str">
        <f t="shared" si="85"/>
        <v/>
      </c>
      <c r="B5446" s="1">
        <v>2017</v>
      </c>
      <c r="C5446" s="1" t="s">
        <v>2505</v>
      </c>
      <c r="D5446" s="1" t="s">
        <v>2506</v>
      </c>
      <c r="E5446" s="1" t="s">
        <v>2019</v>
      </c>
      <c r="F5446" s="1" t="s">
        <v>544</v>
      </c>
      <c r="G5446" s="49">
        <v>8147</v>
      </c>
      <c r="H5446" t="str">
        <f>IFERROR(VLOOKUP(F5446,'LEAID Match'!$A$2:$B$142,2,FALSE),"")</f>
        <v/>
      </c>
    </row>
    <row r="5447" spans="1:11" x14ac:dyDescent="0.2">
      <c r="A5447" t="str">
        <f t="shared" si="85"/>
        <v/>
      </c>
      <c r="B5447" s="1">
        <v>2018</v>
      </c>
      <c r="C5447" s="1" t="s">
        <v>2505</v>
      </c>
      <c r="D5447" s="1" t="s">
        <v>2506</v>
      </c>
      <c r="E5447" s="1" t="s">
        <v>2019</v>
      </c>
      <c r="F5447" s="1" t="s">
        <v>544</v>
      </c>
      <c r="G5447" s="6">
        <v>7953</v>
      </c>
      <c r="H5447" t="str">
        <f>IFERROR(VLOOKUP(F5447,'LEAID Match'!$A$2:$B$142,2,FALSE),"")</f>
        <v/>
      </c>
    </row>
    <row r="5448" spans="1:11" x14ac:dyDescent="0.2">
      <c r="A5448" t="str">
        <f t="shared" si="85"/>
        <v/>
      </c>
      <c r="B5448" s="1">
        <v>2019</v>
      </c>
      <c r="C5448" s="1" t="s">
        <v>2505</v>
      </c>
      <c r="D5448" s="1" t="s">
        <v>2506</v>
      </c>
      <c r="E5448" s="1" t="s">
        <v>2019</v>
      </c>
      <c r="F5448" s="1" t="s">
        <v>544</v>
      </c>
      <c r="G5448" s="6">
        <v>8931</v>
      </c>
      <c r="H5448" t="str">
        <f>IFERROR(VLOOKUP(F5448,'LEAID Match'!$A$2:$B$142,2,FALSE),"")</f>
        <v/>
      </c>
    </row>
    <row r="5449" spans="1:11" x14ac:dyDescent="0.2">
      <c r="A5449" t="str">
        <f t="shared" si="85"/>
        <v/>
      </c>
      <c r="B5449" s="1">
        <v>2020</v>
      </c>
      <c r="C5449" s="1" t="s">
        <v>2505</v>
      </c>
      <c r="D5449" s="1" t="s">
        <v>2506</v>
      </c>
      <c r="E5449" s="1" t="s">
        <v>2019</v>
      </c>
      <c r="F5449" s="1" t="s">
        <v>544</v>
      </c>
      <c r="G5449" s="6">
        <v>9252</v>
      </c>
      <c r="H5449" t="str">
        <f>IFERROR(VLOOKUP(F5449,'LEAID Match'!$A$2:$B$142,2,FALSE),"")</f>
        <v/>
      </c>
    </row>
    <row r="5450" spans="1:11" x14ac:dyDescent="0.2">
      <c r="A5450" t="str">
        <f t="shared" si="85"/>
        <v/>
      </c>
      <c r="B5450" s="1">
        <v>2021</v>
      </c>
      <c r="C5450" s="1" t="s">
        <v>2505</v>
      </c>
      <c r="D5450" s="1" t="s">
        <v>2506</v>
      </c>
      <c r="E5450" s="1" t="s">
        <v>2019</v>
      </c>
      <c r="F5450" s="1" t="s">
        <v>544</v>
      </c>
      <c r="G5450" s="6">
        <v>9124</v>
      </c>
      <c r="H5450" t="str">
        <f>IFERROR(VLOOKUP(F5450,'LEAID Match'!$A$2:$B$142,2,FALSE),"")</f>
        <v/>
      </c>
    </row>
    <row r="5451" spans="1:11" x14ac:dyDescent="0.2">
      <c r="A5451" t="str">
        <f t="shared" si="85"/>
        <v/>
      </c>
      <c r="B5451" s="1">
        <v>2022</v>
      </c>
      <c r="C5451" s="1" t="s">
        <v>2505</v>
      </c>
      <c r="D5451" s="1" t="s">
        <v>2506</v>
      </c>
      <c r="E5451" s="1" t="s">
        <v>2019</v>
      </c>
      <c r="F5451" s="1" t="s">
        <v>544</v>
      </c>
      <c r="G5451" s="6">
        <v>9240</v>
      </c>
      <c r="H5451" t="str">
        <f>IFERROR(VLOOKUP(F5451,'LEAID Match'!$A$2:$B$142,2,FALSE),"")</f>
        <v/>
      </c>
    </row>
    <row r="5452" spans="1:11" x14ac:dyDescent="0.2">
      <c r="A5452" t="str">
        <f t="shared" si="85"/>
        <v/>
      </c>
      <c r="B5452" s="1">
        <v>2023</v>
      </c>
      <c r="C5452" s="1" t="s">
        <v>2505</v>
      </c>
      <c r="D5452" s="1" t="s">
        <v>2506</v>
      </c>
      <c r="E5452" s="1" t="s">
        <v>2019</v>
      </c>
      <c r="F5452" s="1" t="s">
        <v>544</v>
      </c>
      <c r="G5452" s="6">
        <v>9724</v>
      </c>
      <c r="H5452" t="str">
        <f>IFERROR(VLOOKUP(F5452,'LEAID Match'!$A$2:$B$142,2,FALSE),"")</f>
        <v/>
      </c>
    </row>
    <row r="5453" spans="1:11" x14ac:dyDescent="0.2">
      <c r="A5453" t="str">
        <f t="shared" si="85"/>
        <v/>
      </c>
      <c r="B5453" s="1">
        <v>2024</v>
      </c>
      <c r="C5453" s="1" t="s">
        <v>2505</v>
      </c>
      <c r="D5453" s="1" t="s">
        <v>2506</v>
      </c>
      <c r="E5453" s="1" t="s">
        <v>2019</v>
      </c>
      <c r="F5453" s="1" t="s">
        <v>544</v>
      </c>
      <c r="G5453" s="6">
        <v>9528</v>
      </c>
      <c r="H5453" t="str">
        <f>IFERROR(VLOOKUP(F5453,'LEAID Match'!$A$2:$B$142,2,FALSE),"")</f>
        <v/>
      </c>
    </row>
    <row r="5454" spans="1:11" x14ac:dyDescent="0.2">
      <c r="A5454">
        <f t="shared" si="85"/>
        <v>2800186</v>
      </c>
      <c r="B5454" s="1">
        <v>2015</v>
      </c>
      <c r="C5454" s="1" t="s">
        <v>2505</v>
      </c>
      <c r="D5454" s="1" t="s">
        <v>2506</v>
      </c>
      <c r="E5454" s="1" t="s">
        <v>2019</v>
      </c>
      <c r="F5454" s="1" t="s">
        <v>545</v>
      </c>
      <c r="G5454" s="6">
        <v>615199</v>
      </c>
      <c r="H5454">
        <f>IFERROR(VLOOKUP(F5454,'LEAID Match'!$A$2:$B$142,2,FALSE),"")</f>
        <v>2800186</v>
      </c>
      <c r="K5454" s="13"/>
    </row>
    <row r="5455" spans="1:11" x14ac:dyDescent="0.2">
      <c r="A5455">
        <f t="shared" si="85"/>
        <v>2800186</v>
      </c>
      <c r="B5455">
        <v>2016</v>
      </c>
      <c r="C5455" s="1" t="s">
        <v>2505</v>
      </c>
      <c r="D5455" s="1" t="s">
        <v>2506</v>
      </c>
      <c r="E5455" s="1" t="s">
        <v>2019</v>
      </c>
      <c r="F5455" s="1" t="s">
        <v>545</v>
      </c>
      <c r="G5455" s="12">
        <v>1123555</v>
      </c>
      <c r="H5455">
        <f>IFERROR(VLOOKUP(F5455,'LEAID Match'!$A$2:$B$142,2,FALSE),"")</f>
        <v>2800186</v>
      </c>
    </row>
    <row r="5456" spans="1:11" x14ac:dyDescent="0.2">
      <c r="A5456">
        <f t="shared" si="85"/>
        <v>2800186</v>
      </c>
      <c r="B5456" s="1">
        <v>2017</v>
      </c>
      <c r="C5456" s="1" t="s">
        <v>2505</v>
      </c>
      <c r="D5456" s="1" t="s">
        <v>2506</v>
      </c>
      <c r="E5456" s="1" t="s">
        <v>2019</v>
      </c>
      <c r="F5456" s="1" t="s">
        <v>545</v>
      </c>
      <c r="G5456" s="49">
        <v>1056668</v>
      </c>
      <c r="H5456">
        <f>IFERROR(VLOOKUP(F5456,'LEAID Match'!$A$2:$B$142,2,FALSE),"")</f>
        <v>2800186</v>
      </c>
    </row>
    <row r="5457" spans="1:8" x14ac:dyDescent="0.2">
      <c r="A5457">
        <f t="shared" si="85"/>
        <v>2800186</v>
      </c>
      <c r="B5457" s="1">
        <v>2018</v>
      </c>
      <c r="C5457" s="1" t="s">
        <v>2505</v>
      </c>
      <c r="D5457" s="1" t="s">
        <v>2506</v>
      </c>
      <c r="E5457" s="1" t="s">
        <v>2019</v>
      </c>
      <c r="F5457" s="1" t="s">
        <v>545</v>
      </c>
      <c r="G5457" s="6">
        <v>865736</v>
      </c>
      <c r="H5457">
        <f>IFERROR(VLOOKUP(F5457,'LEAID Match'!$A$2:$B$142,2,FALSE),"")</f>
        <v>2800186</v>
      </c>
    </row>
    <row r="5458" spans="1:8" x14ac:dyDescent="0.2">
      <c r="A5458">
        <f t="shared" si="85"/>
        <v>2800186</v>
      </c>
      <c r="B5458" s="1">
        <v>2019</v>
      </c>
      <c r="C5458" s="1" t="s">
        <v>2505</v>
      </c>
      <c r="D5458" s="1" t="s">
        <v>2506</v>
      </c>
      <c r="E5458" s="1" t="s">
        <v>2019</v>
      </c>
      <c r="F5458" s="1" t="s">
        <v>545</v>
      </c>
      <c r="G5458" s="6">
        <v>802303</v>
      </c>
      <c r="H5458">
        <f>IFERROR(VLOOKUP(F5458,'LEAID Match'!$A$2:$B$142,2,FALSE),"")</f>
        <v>2800186</v>
      </c>
    </row>
    <row r="5459" spans="1:8" x14ac:dyDescent="0.2">
      <c r="A5459">
        <f t="shared" si="85"/>
        <v>2800186</v>
      </c>
      <c r="B5459" s="1">
        <v>2020</v>
      </c>
      <c r="C5459" s="1" t="s">
        <v>2505</v>
      </c>
      <c r="D5459" s="1" t="s">
        <v>2506</v>
      </c>
      <c r="E5459" s="1" t="s">
        <v>2019</v>
      </c>
      <c r="F5459" s="1" t="s">
        <v>545</v>
      </c>
      <c r="G5459" s="6">
        <v>982024</v>
      </c>
      <c r="H5459">
        <f>IFERROR(VLOOKUP(F5459,'LEAID Match'!$A$2:$B$142,2,FALSE),"")</f>
        <v>2800186</v>
      </c>
    </row>
    <row r="5460" spans="1:8" x14ac:dyDescent="0.2">
      <c r="A5460">
        <f t="shared" si="85"/>
        <v>2800186</v>
      </c>
      <c r="B5460" s="1">
        <v>2021</v>
      </c>
      <c r="C5460" s="1" t="s">
        <v>2505</v>
      </c>
      <c r="D5460" s="1" t="s">
        <v>2506</v>
      </c>
      <c r="E5460" s="1" t="s">
        <v>2019</v>
      </c>
      <c r="F5460" s="1" t="s">
        <v>545</v>
      </c>
      <c r="G5460" s="6">
        <v>1008151</v>
      </c>
      <c r="H5460">
        <f>IFERROR(VLOOKUP(F5460,'LEAID Match'!$A$2:$B$142,2,FALSE),"")</f>
        <v>2800186</v>
      </c>
    </row>
    <row r="5461" spans="1:8" x14ac:dyDescent="0.2">
      <c r="A5461">
        <f t="shared" si="85"/>
        <v>2800186</v>
      </c>
      <c r="B5461" s="1">
        <v>2022</v>
      </c>
      <c r="C5461" s="1" t="s">
        <v>2505</v>
      </c>
      <c r="D5461" s="1" t="s">
        <v>2506</v>
      </c>
      <c r="E5461" s="1" t="s">
        <v>2019</v>
      </c>
      <c r="F5461" s="1" t="s">
        <v>545</v>
      </c>
      <c r="G5461" s="6">
        <v>1051405</v>
      </c>
      <c r="H5461">
        <f>IFERROR(VLOOKUP(F5461,'LEAID Match'!$A$2:$B$142,2,FALSE),"")</f>
        <v>2800186</v>
      </c>
    </row>
    <row r="5462" spans="1:8" x14ac:dyDescent="0.2">
      <c r="A5462">
        <f t="shared" si="85"/>
        <v>2800186</v>
      </c>
      <c r="B5462" s="1">
        <v>2023</v>
      </c>
      <c r="C5462" s="1" t="s">
        <v>2505</v>
      </c>
      <c r="D5462" s="1" t="s">
        <v>2506</v>
      </c>
      <c r="E5462" s="1" t="s">
        <v>2019</v>
      </c>
      <c r="F5462" s="1" t="s">
        <v>545</v>
      </c>
      <c r="G5462" s="6">
        <v>1117636</v>
      </c>
      <c r="H5462">
        <f>IFERROR(VLOOKUP(F5462,'LEAID Match'!$A$2:$B$142,2,FALSE),"")</f>
        <v>2800186</v>
      </c>
    </row>
    <row r="5463" spans="1:8" x14ac:dyDescent="0.2">
      <c r="A5463">
        <f t="shared" si="85"/>
        <v>2800186</v>
      </c>
      <c r="B5463" s="1">
        <v>2024</v>
      </c>
      <c r="C5463" s="1" t="s">
        <v>2505</v>
      </c>
      <c r="D5463" s="1" t="s">
        <v>2506</v>
      </c>
      <c r="E5463" s="1" t="s">
        <v>2019</v>
      </c>
      <c r="F5463" s="1" t="s">
        <v>545</v>
      </c>
      <c r="G5463" s="6">
        <v>1201343</v>
      </c>
      <c r="H5463">
        <f>IFERROR(VLOOKUP(F5463,'LEAID Match'!$A$2:$B$142,2,FALSE),"")</f>
        <v>2800186</v>
      </c>
    </row>
    <row r="5464" spans="1:8" x14ac:dyDescent="0.2">
      <c r="A5464" t="str">
        <f t="shared" si="85"/>
        <v/>
      </c>
      <c r="B5464" s="1">
        <v>2015</v>
      </c>
      <c r="C5464" s="1" t="s">
        <v>2505</v>
      </c>
      <c r="D5464" s="1" t="s">
        <v>2506</v>
      </c>
      <c r="E5464" s="1" t="s">
        <v>2019</v>
      </c>
      <c r="F5464" s="1" t="s">
        <v>2345</v>
      </c>
      <c r="G5464" s="6">
        <v>4713201</v>
      </c>
      <c r="H5464" t="str">
        <f>IFERROR(VLOOKUP(F5464,'LEAID Match'!$A$2:$B$142,2,FALSE),"")</f>
        <v/>
      </c>
    </row>
    <row r="5465" spans="1:8" x14ac:dyDescent="0.2">
      <c r="A5465" t="str">
        <f t="shared" si="85"/>
        <v/>
      </c>
      <c r="B5465" s="1">
        <v>2015</v>
      </c>
      <c r="C5465" s="1" t="s">
        <v>2505</v>
      </c>
      <c r="D5465" s="1" t="s">
        <v>2506</v>
      </c>
      <c r="E5465" s="1" t="s">
        <v>2019</v>
      </c>
      <c r="F5465" s="1" t="s">
        <v>1701</v>
      </c>
      <c r="G5465" s="6">
        <v>719623</v>
      </c>
      <c r="H5465" t="str">
        <f>IFERROR(VLOOKUP(F5465,'LEAID Match'!$A$2:$B$142,2,FALSE),"")</f>
        <v/>
      </c>
    </row>
    <row r="5466" spans="1:8" x14ac:dyDescent="0.2">
      <c r="A5466" t="str">
        <f t="shared" si="85"/>
        <v/>
      </c>
      <c r="B5466">
        <v>2016</v>
      </c>
      <c r="C5466" s="1" t="s">
        <v>2505</v>
      </c>
      <c r="D5466" s="1" t="s">
        <v>2506</v>
      </c>
      <c r="E5466" s="1" t="s">
        <v>2019</v>
      </c>
      <c r="F5466" t="s">
        <v>1701</v>
      </c>
      <c r="G5466" s="12">
        <v>717979</v>
      </c>
      <c r="H5466" t="str">
        <f>IFERROR(VLOOKUP(F5466,'LEAID Match'!$A$2:$B$142,2,FALSE),"")</f>
        <v/>
      </c>
    </row>
    <row r="5467" spans="1:8" x14ac:dyDescent="0.2">
      <c r="A5467" t="str">
        <f t="shared" si="85"/>
        <v/>
      </c>
      <c r="B5467" s="1">
        <v>2017</v>
      </c>
      <c r="C5467" s="1" t="s">
        <v>2505</v>
      </c>
      <c r="D5467" s="1" t="s">
        <v>2506</v>
      </c>
      <c r="E5467" s="1" t="s">
        <v>2019</v>
      </c>
      <c r="F5467" s="14" t="s">
        <v>1701</v>
      </c>
      <c r="G5467" s="49">
        <v>654712</v>
      </c>
      <c r="H5467" t="str">
        <f>IFERROR(VLOOKUP(F5467,'LEAID Match'!$A$2:$B$142,2,FALSE),"")</f>
        <v/>
      </c>
    </row>
    <row r="5468" spans="1:8" x14ac:dyDescent="0.2">
      <c r="A5468" t="str">
        <f t="shared" si="85"/>
        <v/>
      </c>
      <c r="B5468" s="1">
        <v>2018</v>
      </c>
      <c r="C5468" s="1" t="s">
        <v>2505</v>
      </c>
      <c r="D5468" s="1" t="s">
        <v>2506</v>
      </c>
      <c r="E5468" s="1" t="s">
        <v>2019</v>
      </c>
      <c r="F5468" s="1" t="s">
        <v>1701</v>
      </c>
      <c r="G5468" s="6">
        <v>27405</v>
      </c>
      <c r="H5468" t="str">
        <f>IFERROR(VLOOKUP(F5468,'LEAID Match'!$A$2:$B$142,2,FALSE),"")</f>
        <v/>
      </c>
    </row>
    <row r="5469" spans="1:8" x14ac:dyDescent="0.2">
      <c r="A5469" t="str">
        <f t="shared" si="85"/>
        <v/>
      </c>
      <c r="B5469">
        <v>2016</v>
      </c>
      <c r="C5469" s="1" t="s">
        <v>2505</v>
      </c>
      <c r="D5469" s="1" t="s">
        <v>2506</v>
      </c>
      <c r="E5469" s="1" t="s">
        <v>2019</v>
      </c>
      <c r="F5469" s="1" t="s">
        <v>546</v>
      </c>
      <c r="G5469" s="12">
        <v>4704074</v>
      </c>
      <c r="H5469" t="str">
        <f>IFERROR(VLOOKUP(F5469,'LEAID Match'!$A$2:$B$142,2,FALSE),"")</f>
        <v/>
      </c>
    </row>
    <row r="5470" spans="1:8" x14ac:dyDescent="0.2">
      <c r="A5470" t="str">
        <f t="shared" si="85"/>
        <v/>
      </c>
      <c r="B5470" s="1">
        <v>2017</v>
      </c>
      <c r="C5470" s="1" t="s">
        <v>2505</v>
      </c>
      <c r="D5470" s="1" t="s">
        <v>2506</v>
      </c>
      <c r="E5470" s="1" t="s">
        <v>2019</v>
      </c>
      <c r="F5470" s="1" t="s">
        <v>546</v>
      </c>
      <c r="G5470" s="49">
        <v>4521786</v>
      </c>
      <c r="H5470" t="str">
        <f>IFERROR(VLOOKUP(F5470,'LEAID Match'!$A$2:$B$142,2,FALSE),"")</f>
        <v/>
      </c>
    </row>
    <row r="5471" spans="1:8" x14ac:dyDescent="0.2">
      <c r="A5471" t="str">
        <f t="shared" si="85"/>
        <v/>
      </c>
      <c r="B5471" s="1">
        <v>2018</v>
      </c>
      <c r="C5471" s="1" t="s">
        <v>2505</v>
      </c>
      <c r="D5471" s="1" t="s">
        <v>2506</v>
      </c>
      <c r="E5471" s="1" t="s">
        <v>2019</v>
      </c>
      <c r="F5471" s="1" t="s">
        <v>546</v>
      </c>
      <c r="G5471" s="6">
        <v>4051024</v>
      </c>
      <c r="H5471" t="str">
        <f>IFERROR(VLOOKUP(F5471,'LEAID Match'!$A$2:$B$142,2,FALSE),"")</f>
        <v/>
      </c>
    </row>
    <row r="5472" spans="1:8" x14ac:dyDescent="0.2">
      <c r="A5472" t="str">
        <f t="shared" si="85"/>
        <v/>
      </c>
      <c r="B5472" s="1">
        <v>2019</v>
      </c>
      <c r="C5472" s="1" t="s">
        <v>2505</v>
      </c>
      <c r="D5472" s="1" t="s">
        <v>2506</v>
      </c>
      <c r="E5472" s="1" t="s">
        <v>2019</v>
      </c>
      <c r="F5472" s="1" t="s">
        <v>546</v>
      </c>
      <c r="G5472" s="6">
        <v>4670540</v>
      </c>
      <c r="H5472" t="str">
        <f>IFERROR(VLOOKUP(F5472,'LEAID Match'!$A$2:$B$142,2,FALSE),"")</f>
        <v/>
      </c>
    </row>
    <row r="5473" spans="1:8" x14ac:dyDescent="0.2">
      <c r="A5473" t="str">
        <f t="shared" si="85"/>
        <v/>
      </c>
      <c r="B5473" s="1">
        <v>2020</v>
      </c>
      <c r="C5473" s="1" t="s">
        <v>2505</v>
      </c>
      <c r="D5473" s="1" t="s">
        <v>2506</v>
      </c>
      <c r="E5473" s="1" t="s">
        <v>2019</v>
      </c>
      <c r="F5473" s="1" t="s">
        <v>546</v>
      </c>
      <c r="G5473" s="6">
        <v>5441869</v>
      </c>
      <c r="H5473" t="str">
        <f>IFERROR(VLOOKUP(F5473,'LEAID Match'!$A$2:$B$142,2,FALSE),"")</f>
        <v/>
      </c>
    </row>
    <row r="5474" spans="1:8" x14ac:dyDescent="0.2">
      <c r="A5474" t="str">
        <f t="shared" si="85"/>
        <v/>
      </c>
      <c r="B5474" s="1">
        <v>2021</v>
      </c>
      <c r="C5474" s="1" t="s">
        <v>2505</v>
      </c>
      <c r="D5474" s="1" t="s">
        <v>2506</v>
      </c>
      <c r="E5474" s="1" t="s">
        <v>2019</v>
      </c>
      <c r="F5474" s="1" t="s">
        <v>546</v>
      </c>
      <c r="G5474" s="6">
        <v>5072644</v>
      </c>
      <c r="H5474" t="str">
        <f>IFERROR(VLOOKUP(F5474,'LEAID Match'!$A$2:$B$142,2,FALSE),"")</f>
        <v/>
      </c>
    </row>
    <row r="5475" spans="1:8" x14ac:dyDescent="0.2">
      <c r="A5475" t="str">
        <f t="shared" si="85"/>
        <v/>
      </c>
      <c r="B5475" s="1">
        <v>2022</v>
      </c>
      <c r="C5475" s="1" t="s">
        <v>2505</v>
      </c>
      <c r="D5475" s="1" t="s">
        <v>2506</v>
      </c>
      <c r="E5475" s="1" t="s">
        <v>2019</v>
      </c>
      <c r="F5475" s="1" t="s">
        <v>546</v>
      </c>
      <c r="G5475" s="6">
        <v>5031594</v>
      </c>
      <c r="H5475" t="str">
        <f>IFERROR(VLOOKUP(F5475,'LEAID Match'!$A$2:$B$142,2,FALSE),"")</f>
        <v/>
      </c>
    </row>
    <row r="5476" spans="1:8" x14ac:dyDescent="0.2">
      <c r="A5476" t="str">
        <f t="shared" si="85"/>
        <v/>
      </c>
      <c r="B5476" s="1">
        <v>2023</v>
      </c>
      <c r="C5476" s="1" t="s">
        <v>2505</v>
      </c>
      <c r="D5476" s="1" t="s">
        <v>2506</v>
      </c>
      <c r="E5476" s="1" t="s">
        <v>2019</v>
      </c>
      <c r="F5476" s="1" t="s">
        <v>546</v>
      </c>
      <c r="G5476" s="6">
        <v>4997063</v>
      </c>
      <c r="H5476" t="str">
        <f>IFERROR(VLOOKUP(F5476,'LEAID Match'!$A$2:$B$142,2,FALSE),"")</f>
        <v/>
      </c>
    </row>
    <row r="5477" spans="1:8" x14ac:dyDescent="0.2">
      <c r="A5477" t="str">
        <f t="shared" si="85"/>
        <v/>
      </c>
      <c r="B5477" s="1">
        <v>2024</v>
      </c>
      <c r="C5477" s="1" t="s">
        <v>2505</v>
      </c>
      <c r="D5477" s="1" t="s">
        <v>2506</v>
      </c>
      <c r="E5477" s="1" t="s">
        <v>2019</v>
      </c>
      <c r="F5477" s="1" t="s">
        <v>546</v>
      </c>
      <c r="G5477" s="6">
        <v>5015504</v>
      </c>
      <c r="H5477" t="str">
        <f>IFERROR(VLOOKUP(F5477,'LEAID Match'!$A$2:$B$142,2,FALSE),"")</f>
        <v/>
      </c>
    </row>
    <row r="5478" spans="1:8" x14ac:dyDescent="0.2">
      <c r="A5478">
        <f t="shared" si="85"/>
        <v>2803210</v>
      </c>
      <c r="B5478" s="1">
        <v>2015</v>
      </c>
      <c r="C5478" s="1" t="s">
        <v>2505</v>
      </c>
      <c r="D5478" s="1" t="s">
        <v>2506</v>
      </c>
      <c r="E5478" s="1" t="s">
        <v>2019</v>
      </c>
      <c r="F5478" s="1" t="s">
        <v>547</v>
      </c>
      <c r="G5478" s="6">
        <v>1323678</v>
      </c>
      <c r="H5478">
        <f>IFERROR(VLOOKUP(F5478,'LEAID Match'!$A$2:$B$142,2,FALSE),"")</f>
        <v>2803210</v>
      </c>
    </row>
    <row r="5479" spans="1:8" x14ac:dyDescent="0.2">
      <c r="A5479">
        <f t="shared" si="85"/>
        <v>2803210</v>
      </c>
      <c r="B5479">
        <v>2016</v>
      </c>
      <c r="C5479" s="1" t="s">
        <v>2505</v>
      </c>
      <c r="D5479" s="1" t="s">
        <v>2506</v>
      </c>
      <c r="E5479" s="1" t="s">
        <v>2019</v>
      </c>
      <c r="F5479" s="1" t="s">
        <v>547</v>
      </c>
      <c r="G5479" s="12">
        <v>1370570</v>
      </c>
      <c r="H5479">
        <f>IFERROR(VLOOKUP(F5479,'LEAID Match'!$A$2:$B$142,2,FALSE),"")</f>
        <v>2803210</v>
      </c>
    </row>
    <row r="5480" spans="1:8" x14ac:dyDescent="0.2">
      <c r="A5480">
        <f t="shared" si="85"/>
        <v>2803210</v>
      </c>
      <c r="B5480" s="1">
        <v>2017</v>
      </c>
      <c r="C5480" s="1" t="s">
        <v>2505</v>
      </c>
      <c r="D5480" s="1" t="s">
        <v>2506</v>
      </c>
      <c r="E5480" s="1" t="s">
        <v>2019</v>
      </c>
      <c r="F5480" s="1" t="s">
        <v>547</v>
      </c>
      <c r="G5480" s="49">
        <v>1329780</v>
      </c>
      <c r="H5480">
        <f>IFERROR(VLOOKUP(F5480,'LEAID Match'!$A$2:$B$142,2,FALSE),"")</f>
        <v>2803210</v>
      </c>
    </row>
    <row r="5481" spans="1:8" x14ac:dyDescent="0.2">
      <c r="A5481">
        <f t="shared" si="85"/>
        <v>2803210</v>
      </c>
      <c r="B5481" s="1">
        <v>2018</v>
      </c>
      <c r="C5481" s="1" t="s">
        <v>2505</v>
      </c>
      <c r="D5481" s="1" t="s">
        <v>2506</v>
      </c>
      <c r="E5481" s="1" t="s">
        <v>2019</v>
      </c>
      <c r="F5481" s="1" t="s">
        <v>547</v>
      </c>
      <c r="G5481" s="6">
        <v>1345907</v>
      </c>
      <c r="H5481">
        <f>IFERROR(VLOOKUP(F5481,'LEAID Match'!$A$2:$B$142,2,FALSE),"")</f>
        <v>2803210</v>
      </c>
    </row>
    <row r="5482" spans="1:8" x14ac:dyDescent="0.2">
      <c r="A5482">
        <f t="shared" si="85"/>
        <v>2803210</v>
      </c>
      <c r="B5482" s="1">
        <v>2019</v>
      </c>
      <c r="C5482" s="1" t="s">
        <v>2505</v>
      </c>
      <c r="D5482" s="1" t="s">
        <v>2506</v>
      </c>
      <c r="E5482" s="1" t="s">
        <v>2019</v>
      </c>
      <c r="F5482" s="1" t="s">
        <v>547</v>
      </c>
      <c r="G5482" s="6">
        <v>1408830</v>
      </c>
      <c r="H5482">
        <f>IFERROR(VLOOKUP(F5482,'LEAID Match'!$A$2:$B$142,2,FALSE),"")</f>
        <v>2803210</v>
      </c>
    </row>
    <row r="5483" spans="1:8" x14ac:dyDescent="0.2">
      <c r="A5483">
        <f t="shared" si="85"/>
        <v>2803210</v>
      </c>
      <c r="B5483" s="1">
        <v>2020</v>
      </c>
      <c r="C5483" s="1" t="s">
        <v>2505</v>
      </c>
      <c r="D5483" s="1" t="s">
        <v>2506</v>
      </c>
      <c r="E5483" s="1" t="s">
        <v>2019</v>
      </c>
      <c r="F5483" s="1" t="s">
        <v>547</v>
      </c>
      <c r="G5483" s="6">
        <v>1467447</v>
      </c>
      <c r="H5483">
        <f>IFERROR(VLOOKUP(F5483,'LEAID Match'!$A$2:$B$142,2,FALSE),"")</f>
        <v>2803210</v>
      </c>
    </row>
    <row r="5484" spans="1:8" x14ac:dyDescent="0.2">
      <c r="A5484">
        <f t="shared" si="85"/>
        <v>2803210</v>
      </c>
      <c r="B5484" s="1">
        <v>2021</v>
      </c>
      <c r="C5484" s="1" t="s">
        <v>2505</v>
      </c>
      <c r="D5484" s="1" t="s">
        <v>2506</v>
      </c>
      <c r="E5484" s="1" t="s">
        <v>2019</v>
      </c>
      <c r="F5484" s="1" t="s">
        <v>547</v>
      </c>
      <c r="G5484" s="6">
        <v>1405708</v>
      </c>
      <c r="H5484">
        <f>IFERROR(VLOOKUP(F5484,'LEAID Match'!$A$2:$B$142,2,FALSE),"")</f>
        <v>2803210</v>
      </c>
    </row>
    <row r="5485" spans="1:8" x14ac:dyDescent="0.2">
      <c r="A5485">
        <f t="shared" si="85"/>
        <v>2803210</v>
      </c>
      <c r="B5485" s="1">
        <v>2022</v>
      </c>
      <c r="C5485" s="1" t="s">
        <v>2505</v>
      </c>
      <c r="D5485" s="1" t="s">
        <v>2506</v>
      </c>
      <c r="E5485" s="1" t="s">
        <v>2019</v>
      </c>
      <c r="F5485" s="1" t="s">
        <v>547</v>
      </c>
      <c r="G5485" s="6">
        <v>1432012</v>
      </c>
      <c r="H5485">
        <f>IFERROR(VLOOKUP(F5485,'LEAID Match'!$A$2:$B$142,2,FALSE),"")</f>
        <v>2803210</v>
      </c>
    </row>
    <row r="5486" spans="1:8" x14ac:dyDescent="0.2">
      <c r="A5486">
        <f t="shared" si="85"/>
        <v>2803210</v>
      </c>
      <c r="B5486" s="1">
        <v>2023</v>
      </c>
      <c r="C5486" s="1" t="s">
        <v>2505</v>
      </c>
      <c r="D5486" s="1" t="s">
        <v>2506</v>
      </c>
      <c r="E5486" s="1" t="s">
        <v>2019</v>
      </c>
      <c r="F5486" s="1" t="s">
        <v>547</v>
      </c>
      <c r="G5486" s="6">
        <v>1490021</v>
      </c>
      <c r="H5486">
        <f>IFERROR(VLOOKUP(F5486,'LEAID Match'!$A$2:$B$142,2,FALSE),"")</f>
        <v>2803210</v>
      </c>
    </row>
    <row r="5487" spans="1:8" x14ac:dyDescent="0.2">
      <c r="A5487">
        <f t="shared" si="85"/>
        <v>2803210</v>
      </c>
      <c r="B5487" s="1">
        <v>2024</v>
      </c>
      <c r="C5487" s="1" t="s">
        <v>2505</v>
      </c>
      <c r="D5487" s="1" t="s">
        <v>2506</v>
      </c>
      <c r="E5487" s="1" t="s">
        <v>2019</v>
      </c>
      <c r="F5487" s="1" t="s">
        <v>547</v>
      </c>
      <c r="G5487" s="6">
        <v>1465039</v>
      </c>
      <c r="H5487">
        <f>IFERROR(VLOOKUP(F5487,'LEAID Match'!$A$2:$B$142,2,FALSE),"")</f>
        <v>2803210</v>
      </c>
    </row>
    <row r="5488" spans="1:8" x14ac:dyDescent="0.2">
      <c r="A5488">
        <f t="shared" si="85"/>
        <v>2803240</v>
      </c>
      <c r="B5488" s="1">
        <v>2015</v>
      </c>
      <c r="C5488" s="1" t="s">
        <v>2505</v>
      </c>
      <c r="D5488" s="1" t="s">
        <v>2506</v>
      </c>
      <c r="E5488" s="1" t="s">
        <v>2019</v>
      </c>
      <c r="F5488" s="1" t="s">
        <v>548</v>
      </c>
      <c r="G5488" s="6">
        <v>1632701</v>
      </c>
      <c r="H5488">
        <f>IFERROR(VLOOKUP(F5488,'LEAID Match'!$A$2:$B$142,2,FALSE),"")</f>
        <v>2803240</v>
      </c>
    </row>
    <row r="5489" spans="1:8" x14ac:dyDescent="0.2">
      <c r="A5489">
        <f t="shared" si="85"/>
        <v>2803240</v>
      </c>
      <c r="B5489">
        <v>2016</v>
      </c>
      <c r="C5489" s="1" t="s">
        <v>2505</v>
      </c>
      <c r="D5489" s="1" t="s">
        <v>2506</v>
      </c>
      <c r="E5489" s="1" t="s">
        <v>2019</v>
      </c>
      <c r="F5489" s="1" t="s">
        <v>548</v>
      </c>
      <c r="G5489" s="12">
        <v>1721415</v>
      </c>
      <c r="H5489">
        <f>IFERROR(VLOOKUP(F5489,'LEAID Match'!$A$2:$B$142,2,FALSE),"")</f>
        <v>2803240</v>
      </c>
    </row>
    <row r="5490" spans="1:8" x14ac:dyDescent="0.2">
      <c r="A5490">
        <f t="shared" si="85"/>
        <v>2803240</v>
      </c>
      <c r="B5490" s="1">
        <v>2017</v>
      </c>
      <c r="C5490" s="1" t="s">
        <v>2505</v>
      </c>
      <c r="D5490" s="1" t="s">
        <v>2506</v>
      </c>
      <c r="E5490" s="1" t="s">
        <v>2019</v>
      </c>
      <c r="F5490" s="1" t="s">
        <v>548</v>
      </c>
      <c r="G5490" s="49">
        <v>1769996</v>
      </c>
      <c r="H5490">
        <f>IFERROR(VLOOKUP(F5490,'LEAID Match'!$A$2:$B$142,2,FALSE),"")</f>
        <v>2803240</v>
      </c>
    </row>
    <row r="5491" spans="1:8" x14ac:dyDescent="0.2">
      <c r="A5491">
        <f t="shared" si="85"/>
        <v>2803240</v>
      </c>
      <c r="B5491" s="1">
        <v>2018</v>
      </c>
      <c r="C5491" s="1" t="s">
        <v>2505</v>
      </c>
      <c r="D5491" s="1" t="s">
        <v>2506</v>
      </c>
      <c r="E5491" s="1" t="s">
        <v>2019</v>
      </c>
      <c r="F5491" s="1" t="s">
        <v>548</v>
      </c>
      <c r="G5491" s="6">
        <v>1788505</v>
      </c>
      <c r="H5491">
        <f>IFERROR(VLOOKUP(F5491,'LEAID Match'!$A$2:$B$142,2,FALSE),"")</f>
        <v>2803240</v>
      </c>
    </row>
    <row r="5492" spans="1:8" x14ac:dyDescent="0.2">
      <c r="A5492">
        <f t="shared" si="85"/>
        <v>2803240</v>
      </c>
      <c r="B5492" s="1">
        <v>2019</v>
      </c>
      <c r="C5492" s="1" t="s">
        <v>2505</v>
      </c>
      <c r="D5492" s="1" t="s">
        <v>2506</v>
      </c>
      <c r="E5492" s="1" t="s">
        <v>2019</v>
      </c>
      <c r="F5492" s="1" t="s">
        <v>548</v>
      </c>
      <c r="G5492" s="6">
        <v>1933879</v>
      </c>
      <c r="H5492">
        <f>IFERROR(VLOOKUP(F5492,'LEAID Match'!$A$2:$B$142,2,FALSE),"")</f>
        <v>2803240</v>
      </c>
    </row>
    <row r="5493" spans="1:8" x14ac:dyDescent="0.2">
      <c r="A5493">
        <f t="shared" si="85"/>
        <v>2803240</v>
      </c>
      <c r="B5493" s="1">
        <v>2020</v>
      </c>
      <c r="C5493" s="1" t="s">
        <v>2505</v>
      </c>
      <c r="D5493" s="1" t="s">
        <v>2506</v>
      </c>
      <c r="E5493" s="1" t="s">
        <v>2019</v>
      </c>
      <c r="F5493" s="1" t="s">
        <v>548</v>
      </c>
      <c r="G5493" s="6">
        <v>1974471</v>
      </c>
      <c r="H5493">
        <f>IFERROR(VLOOKUP(F5493,'LEAID Match'!$A$2:$B$142,2,FALSE),"")</f>
        <v>2803240</v>
      </c>
    </row>
    <row r="5494" spans="1:8" x14ac:dyDescent="0.2">
      <c r="A5494">
        <f t="shared" si="85"/>
        <v>2803240</v>
      </c>
      <c r="B5494" s="1">
        <v>2021</v>
      </c>
      <c r="C5494" s="1" t="s">
        <v>2505</v>
      </c>
      <c r="D5494" s="1" t="s">
        <v>2506</v>
      </c>
      <c r="E5494" s="1" t="s">
        <v>2019</v>
      </c>
      <c r="F5494" s="1" t="s">
        <v>548</v>
      </c>
      <c r="G5494" s="6">
        <v>2135885</v>
      </c>
      <c r="H5494">
        <f>IFERROR(VLOOKUP(F5494,'LEAID Match'!$A$2:$B$142,2,FALSE),"")</f>
        <v>2803240</v>
      </c>
    </row>
    <row r="5495" spans="1:8" x14ac:dyDescent="0.2">
      <c r="A5495">
        <f t="shared" si="85"/>
        <v>2803240</v>
      </c>
      <c r="B5495" s="1">
        <v>2022</v>
      </c>
      <c r="C5495" s="1" t="s">
        <v>2505</v>
      </c>
      <c r="D5495" s="1" t="s">
        <v>2506</v>
      </c>
      <c r="E5495" s="1" t="s">
        <v>2019</v>
      </c>
      <c r="F5495" s="1" t="s">
        <v>548</v>
      </c>
      <c r="G5495" s="6">
        <v>2273618</v>
      </c>
      <c r="H5495">
        <f>IFERROR(VLOOKUP(F5495,'LEAID Match'!$A$2:$B$142,2,FALSE),"")</f>
        <v>2803240</v>
      </c>
    </row>
    <row r="5496" spans="1:8" x14ac:dyDescent="0.2">
      <c r="A5496">
        <f t="shared" si="85"/>
        <v>2803240</v>
      </c>
      <c r="B5496" s="1">
        <v>2023</v>
      </c>
      <c r="C5496" s="1" t="s">
        <v>2505</v>
      </c>
      <c r="D5496" s="1" t="s">
        <v>2506</v>
      </c>
      <c r="E5496" s="1" t="s">
        <v>2019</v>
      </c>
      <c r="F5496" s="1" t="s">
        <v>548</v>
      </c>
      <c r="G5496" s="6">
        <v>2435995</v>
      </c>
      <c r="H5496">
        <f>IFERROR(VLOOKUP(F5496,'LEAID Match'!$A$2:$B$142,2,FALSE),"")</f>
        <v>2803240</v>
      </c>
    </row>
    <row r="5497" spans="1:8" x14ac:dyDescent="0.2">
      <c r="A5497">
        <f t="shared" si="85"/>
        <v>2803240</v>
      </c>
      <c r="B5497" s="1">
        <v>2024</v>
      </c>
      <c r="C5497" s="1" t="s">
        <v>2505</v>
      </c>
      <c r="D5497" s="1" t="s">
        <v>2506</v>
      </c>
      <c r="E5497" s="1" t="s">
        <v>2019</v>
      </c>
      <c r="F5497" s="1" t="s">
        <v>548</v>
      </c>
      <c r="G5497" s="6">
        <v>2566587</v>
      </c>
      <c r="H5497">
        <f>IFERROR(VLOOKUP(F5497,'LEAID Match'!$A$2:$B$142,2,FALSE),"")</f>
        <v>2803240</v>
      </c>
    </row>
    <row r="5498" spans="1:8" x14ac:dyDescent="0.2">
      <c r="A5498" t="str">
        <f t="shared" si="85"/>
        <v/>
      </c>
      <c r="B5498" s="1">
        <v>2015</v>
      </c>
      <c r="C5498" s="1" t="s">
        <v>2505</v>
      </c>
      <c r="D5498" s="1" t="s">
        <v>2506</v>
      </c>
      <c r="E5498" s="1" t="s">
        <v>2019</v>
      </c>
      <c r="F5498" s="1" t="s">
        <v>549</v>
      </c>
      <c r="G5498" s="6">
        <v>3049641</v>
      </c>
      <c r="H5498" t="str">
        <f>IFERROR(VLOOKUP(F5498,'LEAID Match'!$A$2:$B$142,2,FALSE),"")</f>
        <v/>
      </c>
    </row>
    <row r="5499" spans="1:8" x14ac:dyDescent="0.2">
      <c r="A5499" t="str">
        <f t="shared" si="85"/>
        <v/>
      </c>
      <c r="B5499">
        <v>2016</v>
      </c>
      <c r="C5499" s="1" t="s">
        <v>2505</v>
      </c>
      <c r="D5499" s="1" t="s">
        <v>2506</v>
      </c>
      <c r="E5499" s="1" t="s">
        <v>2019</v>
      </c>
      <c r="F5499" s="1" t="s">
        <v>549</v>
      </c>
      <c r="G5499" s="12">
        <v>3365806</v>
      </c>
      <c r="H5499" t="str">
        <f>IFERROR(VLOOKUP(F5499,'LEAID Match'!$A$2:$B$142,2,FALSE),"")</f>
        <v/>
      </c>
    </row>
    <row r="5500" spans="1:8" x14ac:dyDescent="0.2">
      <c r="A5500" t="str">
        <f t="shared" si="85"/>
        <v/>
      </c>
      <c r="B5500" s="1">
        <v>2017</v>
      </c>
      <c r="C5500" s="1" t="s">
        <v>2505</v>
      </c>
      <c r="D5500" s="1" t="s">
        <v>2506</v>
      </c>
      <c r="E5500" s="1" t="s">
        <v>2019</v>
      </c>
      <c r="F5500" s="1" t="s">
        <v>549</v>
      </c>
      <c r="G5500" s="49">
        <v>3957458</v>
      </c>
      <c r="H5500" t="str">
        <f>IFERROR(VLOOKUP(F5500,'LEAID Match'!$A$2:$B$142,2,FALSE),"")</f>
        <v/>
      </c>
    </row>
    <row r="5501" spans="1:8" x14ac:dyDescent="0.2">
      <c r="A5501" t="str">
        <f t="shared" si="85"/>
        <v/>
      </c>
      <c r="B5501" s="1">
        <v>2018</v>
      </c>
      <c r="C5501" s="1" t="s">
        <v>2505</v>
      </c>
      <c r="D5501" s="1" t="s">
        <v>2506</v>
      </c>
      <c r="E5501" s="1" t="s">
        <v>2019</v>
      </c>
      <c r="F5501" s="1" t="s">
        <v>549</v>
      </c>
      <c r="G5501" s="6">
        <v>3787367</v>
      </c>
      <c r="H5501" t="str">
        <f>IFERROR(VLOOKUP(F5501,'LEAID Match'!$A$2:$B$142,2,FALSE),"")</f>
        <v/>
      </c>
    </row>
    <row r="5502" spans="1:8" x14ac:dyDescent="0.2">
      <c r="A5502" t="str">
        <f t="shared" si="85"/>
        <v/>
      </c>
      <c r="B5502" s="1">
        <v>2019</v>
      </c>
      <c r="C5502" s="1" t="s">
        <v>2505</v>
      </c>
      <c r="D5502" s="1" t="s">
        <v>2506</v>
      </c>
      <c r="E5502" s="1" t="s">
        <v>2019</v>
      </c>
      <c r="F5502" s="1" t="s">
        <v>549</v>
      </c>
      <c r="G5502" s="6">
        <v>3626943</v>
      </c>
      <c r="H5502" t="str">
        <f>IFERROR(VLOOKUP(F5502,'LEAID Match'!$A$2:$B$142,2,FALSE),"")</f>
        <v/>
      </c>
    </row>
    <row r="5503" spans="1:8" x14ac:dyDescent="0.2">
      <c r="A5503" t="str">
        <f t="shared" si="85"/>
        <v/>
      </c>
      <c r="B5503" s="1">
        <v>2020</v>
      </c>
      <c r="C5503" s="1" t="s">
        <v>2505</v>
      </c>
      <c r="D5503" s="1" t="s">
        <v>2506</v>
      </c>
      <c r="E5503" s="1" t="s">
        <v>2019</v>
      </c>
      <c r="F5503" s="1" t="s">
        <v>549</v>
      </c>
      <c r="G5503" s="6">
        <v>3972995</v>
      </c>
      <c r="H5503" t="str">
        <f>IFERROR(VLOOKUP(F5503,'LEAID Match'!$A$2:$B$142,2,FALSE),"")</f>
        <v/>
      </c>
    </row>
    <row r="5504" spans="1:8" x14ac:dyDescent="0.2">
      <c r="A5504" t="str">
        <f t="shared" si="85"/>
        <v/>
      </c>
      <c r="B5504" s="1">
        <v>2021</v>
      </c>
      <c r="C5504" s="1" t="s">
        <v>2505</v>
      </c>
      <c r="D5504" s="1" t="s">
        <v>2506</v>
      </c>
      <c r="E5504" s="1" t="s">
        <v>2019</v>
      </c>
      <c r="F5504" s="1" t="s">
        <v>549</v>
      </c>
      <c r="G5504" s="6">
        <v>4303657</v>
      </c>
      <c r="H5504" t="str">
        <f>IFERROR(VLOOKUP(F5504,'LEAID Match'!$A$2:$B$142,2,FALSE),"")</f>
        <v/>
      </c>
    </row>
    <row r="5505" spans="1:8" x14ac:dyDescent="0.2">
      <c r="A5505" t="str">
        <f t="shared" si="85"/>
        <v/>
      </c>
      <c r="B5505" s="1">
        <v>2022</v>
      </c>
      <c r="C5505" s="1" t="s">
        <v>2505</v>
      </c>
      <c r="D5505" s="1" t="s">
        <v>2506</v>
      </c>
      <c r="E5505" s="1" t="s">
        <v>2019</v>
      </c>
      <c r="F5505" s="1" t="s">
        <v>549</v>
      </c>
      <c r="G5505" s="6">
        <v>4338772</v>
      </c>
      <c r="H5505" t="str">
        <f>IFERROR(VLOOKUP(F5505,'LEAID Match'!$A$2:$B$142,2,FALSE),"")</f>
        <v/>
      </c>
    </row>
    <row r="5506" spans="1:8" x14ac:dyDescent="0.2">
      <c r="A5506" t="str">
        <f t="shared" si="85"/>
        <v/>
      </c>
      <c r="B5506" s="1">
        <v>2023</v>
      </c>
      <c r="C5506" s="1" t="s">
        <v>2505</v>
      </c>
      <c r="D5506" s="1" t="s">
        <v>2506</v>
      </c>
      <c r="E5506" s="1" t="s">
        <v>2019</v>
      </c>
      <c r="F5506" s="1" t="s">
        <v>549</v>
      </c>
      <c r="G5506" s="6">
        <v>4398283</v>
      </c>
      <c r="H5506" t="str">
        <f>IFERROR(VLOOKUP(F5506,'LEAID Match'!$A$2:$B$142,2,FALSE),"")</f>
        <v/>
      </c>
    </row>
    <row r="5507" spans="1:8" x14ac:dyDescent="0.2">
      <c r="A5507" t="str">
        <f t="shared" ref="A5507:A5570" si="86">H5507</f>
        <v/>
      </c>
      <c r="B5507" s="1">
        <v>2024</v>
      </c>
      <c r="C5507" s="1" t="s">
        <v>2505</v>
      </c>
      <c r="D5507" s="1" t="s">
        <v>2506</v>
      </c>
      <c r="E5507" s="1" t="s">
        <v>2019</v>
      </c>
      <c r="F5507" s="1" t="s">
        <v>549</v>
      </c>
      <c r="G5507" s="6">
        <v>4704040</v>
      </c>
      <c r="H5507" t="str">
        <f>IFERROR(VLOOKUP(F5507,'LEAID Match'!$A$2:$B$142,2,FALSE),"")</f>
        <v/>
      </c>
    </row>
    <row r="5508" spans="1:8" x14ac:dyDescent="0.2">
      <c r="A5508">
        <f t="shared" si="86"/>
        <v>2803270</v>
      </c>
      <c r="B5508" s="1">
        <v>2015</v>
      </c>
      <c r="C5508" s="1" t="s">
        <v>2505</v>
      </c>
      <c r="D5508" s="1" t="s">
        <v>2506</v>
      </c>
      <c r="E5508" s="1" t="s">
        <v>2019</v>
      </c>
      <c r="F5508" s="1" t="s">
        <v>550</v>
      </c>
      <c r="G5508" s="6">
        <v>1006205</v>
      </c>
      <c r="H5508">
        <f>IFERROR(VLOOKUP(F5508,'LEAID Match'!$A$2:$B$142,2,FALSE),"")</f>
        <v>2803270</v>
      </c>
    </row>
    <row r="5509" spans="1:8" x14ac:dyDescent="0.2">
      <c r="A5509">
        <f t="shared" si="86"/>
        <v>2803270</v>
      </c>
      <c r="B5509">
        <v>2016</v>
      </c>
      <c r="C5509" s="1" t="s">
        <v>2505</v>
      </c>
      <c r="D5509" s="1" t="s">
        <v>2506</v>
      </c>
      <c r="E5509" s="1" t="s">
        <v>2019</v>
      </c>
      <c r="F5509" s="1" t="s">
        <v>550</v>
      </c>
      <c r="G5509" s="12">
        <v>1027724</v>
      </c>
      <c r="H5509">
        <f>IFERROR(VLOOKUP(F5509,'LEAID Match'!$A$2:$B$142,2,FALSE),"")</f>
        <v>2803270</v>
      </c>
    </row>
    <row r="5510" spans="1:8" x14ac:dyDescent="0.2">
      <c r="A5510">
        <f t="shared" si="86"/>
        <v>2803270</v>
      </c>
      <c r="B5510" s="1">
        <v>2017</v>
      </c>
      <c r="C5510" s="1" t="s">
        <v>2505</v>
      </c>
      <c r="D5510" s="1" t="s">
        <v>2506</v>
      </c>
      <c r="E5510" s="1" t="s">
        <v>2019</v>
      </c>
      <c r="F5510" s="1" t="s">
        <v>550</v>
      </c>
      <c r="G5510" s="49">
        <v>1030246</v>
      </c>
      <c r="H5510">
        <f>IFERROR(VLOOKUP(F5510,'LEAID Match'!$A$2:$B$142,2,FALSE),"")</f>
        <v>2803270</v>
      </c>
    </row>
    <row r="5511" spans="1:8" x14ac:dyDescent="0.2">
      <c r="A5511">
        <f t="shared" si="86"/>
        <v>2803270</v>
      </c>
      <c r="B5511" s="1">
        <v>2018</v>
      </c>
      <c r="C5511" s="1" t="s">
        <v>2505</v>
      </c>
      <c r="D5511" s="1" t="s">
        <v>2506</v>
      </c>
      <c r="E5511" s="1" t="s">
        <v>2019</v>
      </c>
      <c r="F5511" s="1" t="s">
        <v>550</v>
      </c>
      <c r="G5511" s="6">
        <v>935461</v>
      </c>
      <c r="H5511">
        <f>IFERROR(VLOOKUP(F5511,'LEAID Match'!$A$2:$B$142,2,FALSE),"")</f>
        <v>2803270</v>
      </c>
    </row>
    <row r="5512" spans="1:8" x14ac:dyDescent="0.2">
      <c r="A5512">
        <f t="shared" si="86"/>
        <v>2803270</v>
      </c>
      <c r="B5512" s="1">
        <v>2019</v>
      </c>
      <c r="C5512" s="1" t="s">
        <v>2505</v>
      </c>
      <c r="D5512" s="1" t="s">
        <v>2506</v>
      </c>
      <c r="E5512" s="1" t="s">
        <v>2019</v>
      </c>
      <c r="F5512" s="1" t="s">
        <v>550</v>
      </c>
      <c r="G5512" s="6">
        <v>1012118</v>
      </c>
      <c r="H5512">
        <f>IFERROR(VLOOKUP(F5512,'LEAID Match'!$A$2:$B$142,2,FALSE),"")</f>
        <v>2803270</v>
      </c>
    </row>
    <row r="5513" spans="1:8" x14ac:dyDescent="0.2">
      <c r="A5513">
        <f t="shared" si="86"/>
        <v>2803270</v>
      </c>
      <c r="B5513" s="1">
        <v>2020</v>
      </c>
      <c r="C5513" s="1" t="s">
        <v>2505</v>
      </c>
      <c r="D5513" s="1" t="s">
        <v>2506</v>
      </c>
      <c r="E5513" s="1" t="s">
        <v>2019</v>
      </c>
      <c r="F5513" s="1" t="s">
        <v>550</v>
      </c>
      <c r="G5513" s="6">
        <v>1121259</v>
      </c>
      <c r="H5513">
        <f>IFERROR(VLOOKUP(F5513,'LEAID Match'!$A$2:$B$142,2,FALSE),"")</f>
        <v>2803270</v>
      </c>
    </row>
    <row r="5514" spans="1:8" x14ac:dyDescent="0.2">
      <c r="A5514">
        <f t="shared" si="86"/>
        <v>2803270</v>
      </c>
      <c r="B5514" s="1">
        <v>2021</v>
      </c>
      <c r="C5514" s="1" t="s">
        <v>2505</v>
      </c>
      <c r="D5514" s="1" t="s">
        <v>2506</v>
      </c>
      <c r="E5514" s="1" t="s">
        <v>2019</v>
      </c>
      <c r="F5514" s="1" t="s">
        <v>550</v>
      </c>
      <c r="G5514" s="6">
        <v>1087671</v>
      </c>
      <c r="H5514">
        <f>IFERROR(VLOOKUP(F5514,'LEAID Match'!$A$2:$B$142,2,FALSE),"")</f>
        <v>2803270</v>
      </c>
    </row>
    <row r="5515" spans="1:8" x14ac:dyDescent="0.2">
      <c r="A5515">
        <f t="shared" si="86"/>
        <v>2803270</v>
      </c>
      <c r="B5515" s="1">
        <v>2022</v>
      </c>
      <c r="C5515" s="1" t="s">
        <v>2505</v>
      </c>
      <c r="D5515" s="1" t="s">
        <v>2506</v>
      </c>
      <c r="E5515" s="1" t="s">
        <v>2019</v>
      </c>
      <c r="F5515" s="1" t="s">
        <v>550</v>
      </c>
      <c r="G5515" s="6">
        <v>1200538</v>
      </c>
      <c r="H5515">
        <f>IFERROR(VLOOKUP(F5515,'LEAID Match'!$A$2:$B$142,2,FALSE),"")</f>
        <v>2803270</v>
      </c>
    </row>
    <row r="5516" spans="1:8" x14ac:dyDescent="0.2">
      <c r="A5516">
        <f t="shared" si="86"/>
        <v>2803270</v>
      </c>
      <c r="B5516" s="1">
        <v>2023</v>
      </c>
      <c r="C5516" s="1" t="s">
        <v>2505</v>
      </c>
      <c r="D5516" s="1" t="s">
        <v>2506</v>
      </c>
      <c r="E5516" s="1" t="s">
        <v>2019</v>
      </c>
      <c r="F5516" s="1" t="s">
        <v>550</v>
      </c>
      <c r="G5516" s="6">
        <v>1354633</v>
      </c>
      <c r="H5516">
        <f>IFERROR(VLOOKUP(F5516,'LEAID Match'!$A$2:$B$142,2,FALSE),"")</f>
        <v>2803270</v>
      </c>
    </row>
    <row r="5517" spans="1:8" x14ac:dyDescent="0.2">
      <c r="A5517">
        <f t="shared" si="86"/>
        <v>2803270</v>
      </c>
      <c r="B5517" s="1">
        <v>2024</v>
      </c>
      <c r="C5517" s="1" t="s">
        <v>2505</v>
      </c>
      <c r="D5517" s="1" t="s">
        <v>2506</v>
      </c>
      <c r="E5517" s="1" t="s">
        <v>2019</v>
      </c>
      <c r="F5517" s="1" t="s">
        <v>550</v>
      </c>
      <c r="G5517" s="6">
        <v>1496463</v>
      </c>
      <c r="H5517">
        <f>IFERROR(VLOOKUP(F5517,'LEAID Match'!$A$2:$B$142,2,FALSE),"")</f>
        <v>2803270</v>
      </c>
    </row>
    <row r="5518" spans="1:8" x14ac:dyDescent="0.2">
      <c r="A5518" t="str">
        <f t="shared" si="86"/>
        <v/>
      </c>
      <c r="B5518" s="1">
        <v>2015</v>
      </c>
      <c r="C5518" s="1" t="s">
        <v>2505</v>
      </c>
      <c r="D5518" s="1" t="s">
        <v>2506</v>
      </c>
      <c r="E5518" s="1" t="s">
        <v>2019</v>
      </c>
      <c r="F5518" s="1" t="s">
        <v>551</v>
      </c>
      <c r="G5518" s="6">
        <v>1195203</v>
      </c>
      <c r="H5518" t="str">
        <f>IFERROR(VLOOKUP(F5518,'LEAID Match'!$A$2:$B$142,2,FALSE),"")</f>
        <v/>
      </c>
    </row>
    <row r="5519" spans="1:8" x14ac:dyDescent="0.2">
      <c r="A5519" t="str">
        <f t="shared" si="86"/>
        <v/>
      </c>
      <c r="B5519">
        <v>2016</v>
      </c>
      <c r="C5519" s="1" t="s">
        <v>2505</v>
      </c>
      <c r="D5519" s="1" t="s">
        <v>2506</v>
      </c>
      <c r="E5519" s="1" t="s">
        <v>2019</v>
      </c>
      <c r="F5519" s="1" t="s">
        <v>551</v>
      </c>
      <c r="G5519" s="12">
        <v>1356467</v>
      </c>
      <c r="H5519" t="str">
        <f>IFERROR(VLOOKUP(F5519,'LEAID Match'!$A$2:$B$142,2,FALSE),"")</f>
        <v/>
      </c>
    </row>
    <row r="5520" spans="1:8" x14ac:dyDescent="0.2">
      <c r="A5520" t="str">
        <f t="shared" si="86"/>
        <v/>
      </c>
      <c r="B5520" s="1">
        <v>2017</v>
      </c>
      <c r="C5520" s="1" t="s">
        <v>2505</v>
      </c>
      <c r="D5520" s="1" t="s">
        <v>2506</v>
      </c>
      <c r="E5520" s="1" t="s">
        <v>2019</v>
      </c>
      <c r="F5520" s="1" t="s">
        <v>551</v>
      </c>
      <c r="G5520" s="49">
        <v>1471667</v>
      </c>
      <c r="H5520" t="str">
        <f>IFERROR(VLOOKUP(F5520,'LEAID Match'!$A$2:$B$142,2,FALSE),"")</f>
        <v/>
      </c>
    </row>
    <row r="5521" spans="1:8" x14ac:dyDescent="0.2">
      <c r="A5521" t="str">
        <f t="shared" si="86"/>
        <v/>
      </c>
      <c r="B5521" s="1">
        <v>2018</v>
      </c>
      <c r="C5521" s="1" t="s">
        <v>2505</v>
      </c>
      <c r="D5521" s="1" t="s">
        <v>2506</v>
      </c>
      <c r="E5521" s="1" t="s">
        <v>2019</v>
      </c>
      <c r="F5521" s="1" t="s">
        <v>551</v>
      </c>
      <c r="G5521" s="6">
        <v>1447274</v>
      </c>
      <c r="H5521" t="str">
        <f>IFERROR(VLOOKUP(F5521,'LEAID Match'!$A$2:$B$142,2,FALSE),"")</f>
        <v/>
      </c>
    </row>
    <row r="5522" spans="1:8" x14ac:dyDescent="0.2">
      <c r="A5522" t="str">
        <f t="shared" si="86"/>
        <v/>
      </c>
      <c r="B5522" s="1">
        <v>2019</v>
      </c>
      <c r="C5522" s="1" t="s">
        <v>2505</v>
      </c>
      <c r="D5522" s="1" t="s">
        <v>2506</v>
      </c>
      <c r="E5522" s="1" t="s">
        <v>2019</v>
      </c>
      <c r="F5522" s="1" t="s">
        <v>551</v>
      </c>
      <c r="G5522" s="6">
        <v>1470336</v>
      </c>
      <c r="H5522" t="str">
        <f>IFERROR(VLOOKUP(F5522,'LEAID Match'!$A$2:$B$142,2,FALSE),"")</f>
        <v/>
      </c>
    </row>
    <row r="5523" spans="1:8" x14ac:dyDescent="0.2">
      <c r="A5523" t="str">
        <f t="shared" si="86"/>
        <v/>
      </c>
      <c r="B5523" s="1">
        <v>2020</v>
      </c>
      <c r="C5523" s="1" t="s">
        <v>2505</v>
      </c>
      <c r="D5523" s="1" t="s">
        <v>2506</v>
      </c>
      <c r="E5523" s="1" t="s">
        <v>2019</v>
      </c>
      <c r="F5523" s="1" t="s">
        <v>551</v>
      </c>
      <c r="G5523" s="6">
        <v>1679493</v>
      </c>
      <c r="H5523" t="str">
        <f>IFERROR(VLOOKUP(F5523,'LEAID Match'!$A$2:$B$142,2,FALSE),"")</f>
        <v/>
      </c>
    </row>
    <row r="5524" spans="1:8" x14ac:dyDescent="0.2">
      <c r="A5524" t="str">
        <f t="shared" si="86"/>
        <v/>
      </c>
      <c r="B5524" s="1">
        <v>2021</v>
      </c>
      <c r="C5524" s="1" t="s">
        <v>2505</v>
      </c>
      <c r="D5524" s="1" t="s">
        <v>2506</v>
      </c>
      <c r="E5524" s="1" t="s">
        <v>2019</v>
      </c>
      <c r="F5524" s="1" t="s">
        <v>551</v>
      </c>
      <c r="G5524" s="6">
        <v>1701983</v>
      </c>
      <c r="H5524" t="str">
        <f>IFERROR(VLOOKUP(F5524,'LEAID Match'!$A$2:$B$142,2,FALSE),"")</f>
        <v/>
      </c>
    </row>
    <row r="5525" spans="1:8" x14ac:dyDescent="0.2">
      <c r="A5525" t="str">
        <f t="shared" si="86"/>
        <v/>
      </c>
      <c r="B5525" s="1">
        <v>2022</v>
      </c>
      <c r="C5525" s="1" t="s">
        <v>2505</v>
      </c>
      <c r="D5525" s="1" t="s">
        <v>2506</v>
      </c>
      <c r="E5525" s="1" t="s">
        <v>2019</v>
      </c>
      <c r="F5525" s="1" t="s">
        <v>551</v>
      </c>
      <c r="G5525" s="6">
        <v>1741403</v>
      </c>
      <c r="H5525" t="str">
        <f>IFERROR(VLOOKUP(F5525,'LEAID Match'!$A$2:$B$142,2,FALSE),"")</f>
        <v/>
      </c>
    </row>
    <row r="5526" spans="1:8" x14ac:dyDescent="0.2">
      <c r="A5526" t="str">
        <f t="shared" si="86"/>
        <v/>
      </c>
      <c r="B5526" s="1">
        <v>2023</v>
      </c>
      <c r="C5526" s="1" t="s">
        <v>2505</v>
      </c>
      <c r="D5526" s="1" t="s">
        <v>2506</v>
      </c>
      <c r="E5526" s="1" t="s">
        <v>2019</v>
      </c>
      <c r="F5526" s="1" t="s">
        <v>551</v>
      </c>
      <c r="G5526" s="6">
        <v>1823086</v>
      </c>
      <c r="H5526" t="str">
        <f>IFERROR(VLOOKUP(F5526,'LEAID Match'!$A$2:$B$142,2,FALSE),"")</f>
        <v/>
      </c>
    </row>
    <row r="5527" spans="1:8" x14ac:dyDescent="0.2">
      <c r="A5527" t="str">
        <f t="shared" si="86"/>
        <v/>
      </c>
      <c r="B5527" s="1">
        <v>2024</v>
      </c>
      <c r="C5527" s="1" t="s">
        <v>2505</v>
      </c>
      <c r="D5527" s="1" t="s">
        <v>2506</v>
      </c>
      <c r="E5527" s="1" t="s">
        <v>2019</v>
      </c>
      <c r="F5527" s="1" t="s">
        <v>551</v>
      </c>
      <c r="G5527" s="6">
        <v>1993956</v>
      </c>
      <c r="H5527" t="str">
        <f>IFERROR(VLOOKUP(F5527,'LEAID Match'!$A$2:$B$142,2,FALSE),"")</f>
        <v/>
      </c>
    </row>
    <row r="5528" spans="1:8" x14ac:dyDescent="0.2">
      <c r="A5528" t="str">
        <f t="shared" si="86"/>
        <v/>
      </c>
      <c r="B5528" s="1">
        <v>2015</v>
      </c>
      <c r="C5528" s="1" t="s">
        <v>2505</v>
      </c>
      <c r="D5528" s="1" t="s">
        <v>2506</v>
      </c>
      <c r="E5528" s="1" t="s">
        <v>2019</v>
      </c>
      <c r="F5528" s="1" t="s">
        <v>2350</v>
      </c>
      <c r="G5528" s="6">
        <v>2263873</v>
      </c>
      <c r="H5528" t="str">
        <f>IFERROR(VLOOKUP(F5528,'LEAID Match'!$A$2:$B$142,2,FALSE),"")</f>
        <v/>
      </c>
    </row>
    <row r="5529" spans="1:8" x14ac:dyDescent="0.2">
      <c r="A5529" t="str">
        <f t="shared" si="86"/>
        <v/>
      </c>
      <c r="B5529" s="1">
        <v>2015</v>
      </c>
      <c r="C5529" s="1" t="s">
        <v>2505</v>
      </c>
      <c r="D5529" s="1" t="s">
        <v>2506</v>
      </c>
      <c r="E5529" s="1" t="s">
        <v>2019</v>
      </c>
      <c r="F5529" s="1" t="s">
        <v>552</v>
      </c>
      <c r="G5529" s="6">
        <v>49224</v>
      </c>
      <c r="H5529" t="str">
        <f>IFERROR(VLOOKUP(F5529,'LEAID Match'!$A$2:$B$142,2,FALSE),"")</f>
        <v/>
      </c>
    </row>
    <row r="5530" spans="1:8" x14ac:dyDescent="0.2">
      <c r="A5530" t="str">
        <f t="shared" si="86"/>
        <v/>
      </c>
      <c r="B5530">
        <v>2016</v>
      </c>
      <c r="C5530" s="1" t="s">
        <v>2505</v>
      </c>
      <c r="D5530" s="1" t="s">
        <v>2506</v>
      </c>
      <c r="E5530" s="1" t="s">
        <v>2019</v>
      </c>
      <c r="F5530" s="1" t="s">
        <v>552</v>
      </c>
      <c r="G5530" s="12">
        <v>45531</v>
      </c>
      <c r="H5530" t="str">
        <f>IFERROR(VLOOKUP(F5530,'LEAID Match'!$A$2:$B$142,2,FALSE),"")</f>
        <v/>
      </c>
    </row>
    <row r="5531" spans="1:8" x14ac:dyDescent="0.2">
      <c r="A5531" t="str">
        <f t="shared" si="86"/>
        <v/>
      </c>
      <c r="B5531" s="1">
        <v>2017</v>
      </c>
      <c r="C5531" s="1" t="s">
        <v>2505</v>
      </c>
      <c r="D5531" s="1" t="s">
        <v>2506</v>
      </c>
      <c r="E5531" s="1" t="s">
        <v>2019</v>
      </c>
      <c r="F5531" s="1" t="s">
        <v>552</v>
      </c>
      <c r="G5531" s="49">
        <v>50761</v>
      </c>
      <c r="H5531" t="str">
        <f>IFERROR(VLOOKUP(F5531,'LEAID Match'!$A$2:$B$142,2,FALSE),"")</f>
        <v/>
      </c>
    </row>
    <row r="5532" spans="1:8" x14ac:dyDescent="0.2">
      <c r="A5532" t="str">
        <f t="shared" si="86"/>
        <v/>
      </c>
      <c r="B5532" s="1">
        <v>2018</v>
      </c>
      <c r="C5532" s="1" t="s">
        <v>2505</v>
      </c>
      <c r="D5532" s="1" t="s">
        <v>2506</v>
      </c>
      <c r="E5532" s="1" t="s">
        <v>2019</v>
      </c>
      <c r="F5532" s="1" t="s">
        <v>552</v>
      </c>
      <c r="G5532" s="6">
        <v>49353</v>
      </c>
      <c r="H5532" t="str">
        <f>IFERROR(VLOOKUP(F5532,'LEAID Match'!$A$2:$B$142,2,FALSE),"")</f>
        <v/>
      </c>
    </row>
    <row r="5533" spans="1:8" x14ac:dyDescent="0.2">
      <c r="A5533" t="str">
        <f t="shared" si="86"/>
        <v/>
      </c>
      <c r="B5533" s="1">
        <v>2019</v>
      </c>
      <c r="C5533" s="1" t="s">
        <v>2505</v>
      </c>
      <c r="D5533" s="1" t="s">
        <v>2506</v>
      </c>
      <c r="E5533" s="1" t="s">
        <v>2019</v>
      </c>
      <c r="F5533" s="1" t="s">
        <v>552</v>
      </c>
      <c r="G5533" s="6">
        <v>59310</v>
      </c>
      <c r="H5533" t="str">
        <f>IFERROR(VLOOKUP(F5533,'LEAID Match'!$A$2:$B$142,2,FALSE),"")</f>
        <v/>
      </c>
    </row>
    <row r="5534" spans="1:8" x14ac:dyDescent="0.2">
      <c r="A5534" t="str">
        <f t="shared" si="86"/>
        <v/>
      </c>
      <c r="B5534" s="1">
        <v>2020</v>
      </c>
      <c r="C5534" s="1" t="s">
        <v>2505</v>
      </c>
      <c r="D5534" s="1" t="s">
        <v>2506</v>
      </c>
      <c r="E5534" s="1" t="s">
        <v>2019</v>
      </c>
      <c r="F5534" s="1" t="s">
        <v>552</v>
      </c>
      <c r="G5534" s="6">
        <v>66194</v>
      </c>
      <c r="H5534" t="str">
        <f>IFERROR(VLOOKUP(F5534,'LEAID Match'!$A$2:$B$142,2,FALSE),"")</f>
        <v/>
      </c>
    </row>
    <row r="5535" spans="1:8" x14ac:dyDescent="0.2">
      <c r="A5535" t="str">
        <f t="shared" si="86"/>
        <v/>
      </c>
      <c r="B5535" s="1">
        <v>2021</v>
      </c>
      <c r="C5535" s="1" t="s">
        <v>2505</v>
      </c>
      <c r="D5535" s="1" t="s">
        <v>2506</v>
      </c>
      <c r="E5535" s="1" t="s">
        <v>2019</v>
      </c>
      <c r="F5535" s="1" t="s">
        <v>552</v>
      </c>
      <c r="G5535" s="6">
        <v>65387</v>
      </c>
      <c r="H5535" t="str">
        <f>IFERROR(VLOOKUP(F5535,'LEAID Match'!$A$2:$B$142,2,FALSE),"")</f>
        <v/>
      </c>
    </row>
    <row r="5536" spans="1:8" x14ac:dyDescent="0.2">
      <c r="A5536" t="str">
        <f t="shared" si="86"/>
        <v/>
      </c>
      <c r="B5536" s="1">
        <v>2022</v>
      </c>
      <c r="C5536" s="1" t="s">
        <v>2505</v>
      </c>
      <c r="D5536" s="1" t="s">
        <v>2506</v>
      </c>
      <c r="E5536" s="1" t="s">
        <v>2019</v>
      </c>
      <c r="F5536" s="1" t="s">
        <v>552</v>
      </c>
      <c r="G5536" s="6">
        <v>67748</v>
      </c>
      <c r="H5536" t="str">
        <f>IFERROR(VLOOKUP(F5536,'LEAID Match'!$A$2:$B$142,2,FALSE),"")</f>
        <v/>
      </c>
    </row>
    <row r="5537" spans="1:8" x14ac:dyDescent="0.2">
      <c r="A5537" t="str">
        <f t="shared" si="86"/>
        <v/>
      </c>
      <c r="B5537" s="1">
        <v>2023</v>
      </c>
      <c r="C5537" s="1" t="s">
        <v>2505</v>
      </c>
      <c r="D5537" s="1" t="s">
        <v>2506</v>
      </c>
      <c r="E5537" s="1" t="s">
        <v>2019</v>
      </c>
      <c r="F5537" s="1" t="s">
        <v>552</v>
      </c>
      <c r="G5537" s="6">
        <v>50060</v>
      </c>
      <c r="H5537" t="str">
        <f>IFERROR(VLOOKUP(F5537,'LEAID Match'!$A$2:$B$142,2,FALSE),"")</f>
        <v/>
      </c>
    </row>
    <row r="5538" spans="1:8" x14ac:dyDescent="0.2">
      <c r="A5538" t="str">
        <f t="shared" si="86"/>
        <v/>
      </c>
      <c r="B5538" s="1">
        <v>2024</v>
      </c>
      <c r="C5538" s="1" t="s">
        <v>2505</v>
      </c>
      <c r="D5538" s="1" t="s">
        <v>2506</v>
      </c>
      <c r="E5538" s="1" t="s">
        <v>2019</v>
      </c>
      <c r="F5538" s="1" t="s">
        <v>552</v>
      </c>
      <c r="G5538" s="6">
        <v>61056</v>
      </c>
      <c r="H5538" t="str">
        <f>IFERROR(VLOOKUP(F5538,'LEAID Match'!$A$2:$B$142,2,FALSE),"")</f>
        <v/>
      </c>
    </row>
    <row r="5539" spans="1:8" x14ac:dyDescent="0.2">
      <c r="A5539" t="str">
        <f t="shared" si="86"/>
        <v/>
      </c>
      <c r="B5539" s="1">
        <v>2015</v>
      </c>
      <c r="C5539" s="1" t="s">
        <v>2505</v>
      </c>
      <c r="D5539" s="1" t="s">
        <v>2506</v>
      </c>
      <c r="E5539" s="1" t="s">
        <v>2019</v>
      </c>
      <c r="F5539" s="1" t="s">
        <v>2351</v>
      </c>
      <c r="G5539" s="6">
        <v>9009</v>
      </c>
      <c r="H5539" t="str">
        <f>IFERROR(VLOOKUP(F5539,'LEAID Match'!$A$2:$B$142,2,FALSE),"")</f>
        <v/>
      </c>
    </row>
    <row r="5540" spans="1:8" x14ac:dyDescent="0.2">
      <c r="A5540" t="str">
        <f t="shared" si="86"/>
        <v/>
      </c>
      <c r="B5540">
        <v>2016</v>
      </c>
      <c r="C5540" s="1" t="s">
        <v>2505</v>
      </c>
      <c r="D5540" s="1" t="s">
        <v>2506</v>
      </c>
      <c r="E5540" s="1" t="s">
        <v>2019</v>
      </c>
      <c r="F5540" s="1" t="s">
        <v>553</v>
      </c>
      <c r="G5540" s="12">
        <v>2315002</v>
      </c>
      <c r="H5540" t="str">
        <f>IFERROR(VLOOKUP(F5540,'LEAID Match'!$A$2:$B$142,2,FALSE),"")</f>
        <v/>
      </c>
    </row>
    <row r="5541" spans="1:8" x14ac:dyDescent="0.2">
      <c r="A5541" t="str">
        <f t="shared" si="86"/>
        <v/>
      </c>
      <c r="B5541" s="1">
        <v>2017</v>
      </c>
      <c r="C5541" s="1" t="s">
        <v>2505</v>
      </c>
      <c r="D5541" s="1" t="s">
        <v>2506</v>
      </c>
      <c r="E5541" s="1" t="s">
        <v>2019</v>
      </c>
      <c r="F5541" s="1" t="s">
        <v>553</v>
      </c>
      <c r="G5541" s="49">
        <v>2348955</v>
      </c>
      <c r="H5541" t="str">
        <f>IFERROR(VLOOKUP(F5541,'LEAID Match'!$A$2:$B$142,2,FALSE),"")</f>
        <v/>
      </c>
    </row>
    <row r="5542" spans="1:8" x14ac:dyDescent="0.2">
      <c r="A5542" t="str">
        <f t="shared" si="86"/>
        <v/>
      </c>
      <c r="B5542" s="1">
        <v>2018</v>
      </c>
      <c r="C5542" s="1" t="s">
        <v>2505</v>
      </c>
      <c r="D5542" s="1" t="s">
        <v>2506</v>
      </c>
      <c r="E5542" s="1" t="s">
        <v>2019</v>
      </c>
      <c r="F5542" s="1" t="s">
        <v>553</v>
      </c>
      <c r="G5542" s="6">
        <v>2401029</v>
      </c>
      <c r="H5542" t="str">
        <f>IFERROR(VLOOKUP(F5542,'LEAID Match'!$A$2:$B$142,2,FALSE),"")</f>
        <v/>
      </c>
    </row>
    <row r="5543" spans="1:8" x14ac:dyDescent="0.2">
      <c r="A5543" t="str">
        <f t="shared" si="86"/>
        <v/>
      </c>
      <c r="B5543" s="1">
        <v>2019</v>
      </c>
      <c r="C5543" s="1" t="s">
        <v>2505</v>
      </c>
      <c r="D5543" s="1" t="s">
        <v>2506</v>
      </c>
      <c r="E5543" s="1" t="s">
        <v>2019</v>
      </c>
      <c r="F5543" s="1" t="s">
        <v>553</v>
      </c>
      <c r="G5543" s="6">
        <v>2516102</v>
      </c>
      <c r="H5543" t="str">
        <f>IFERROR(VLOOKUP(F5543,'LEAID Match'!$A$2:$B$142,2,FALSE),"")</f>
        <v/>
      </c>
    </row>
    <row r="5544" spans="1:8" x14ac:dyDescent="0.2">
      <c r="A5544" t="str">
        <f t="shared" si="86"/>
        <v/>
      </c>
      <c r="B5544" s="1">
        <v>2020</v>
      </c>
      <c r="C5544" s="1" t="s">
        <v>2505</v>
      </c>
      <c r="D5544" s="1" t="s">
        <v>2506</v>
      </c>
      <c r="E5544" s="1" t="s">
        <v>2019</v>
      </c>
      <c r="F5544" s="1" t="s">
        <v>553</v>
      </c>
      <c r="G5544" s="6">
        <v>2854717</v>
      </c>
      <c r="H5544" t="str">
        <f>IFERROR(VLOOKUP(F5544,'LEAID Match'!$A$2:$B$142,2,FALSE),"")</f>
        <v/>
      </c>
    </row>
    <row r="5545" spans="1:8" x14ac:dyDescent="0.2">
      <c r="A5545" t="str">
        <f t="shared" si="86"/>
        <v/>
      </c>
      <c r="B5545" s="1">
        <v>2021</v>
      </c>
      <c r="C5545" s="1" t="s">
        <v>2505</v>
      </c>
      <c r="D5545" s="1" t="s">
        <v>2506</v>
      </c>
      <c r="E5545" s="1" t="s">
        <v>2019</v>
      </c>
      <c r="F5545" s="1" t="s">
        <v>553</v>
      </c>
      <c r="G5545" s="6">
        <v>2893200</v>
      </c>
      <c r="H5545" t="str">
        <f>IFERROR(VLOOKUP(F5545,'LEAID Match'!$A$2:$B$142,2,FALSE),"")</f>
        <v/>
      </c>
    </row>
    <row r="5546" spans="1:8" x14ac:dyDescent="0.2">
      <c r="A5546" t="str">
        <f t="shared" si="86"/>
        <v/>
      </c>
      <c r="B5546" s="1">
        <v>2022</v>
      </c>
      <c r="C5546" s="1" t="s">
        <v>2505</v>
      </c>
      <c r="D5546" s="1" t="s">
        <v>2506</v>
      </c>
      <c r="E5546" s="1" t="s">
        <v>2019</v>
      </c>
      <c r="F5546" s="1" t="s">
        <v>553</v>
      </c>
      <c r="G5546" s="6">
        <v>3044137</v>
      </c>
      <c r="H5546" t="str">
        <f>IFERROR(VLOOKUP(F5546,'LEAID Match'!$A$2:$B$142,2,FALSE),"")</f>
        <v/>
      </c>
    </row>
    <row r="5547" spans="1:8" x14ac:dyDescent="0.2">
      <c r="A5547" t="str">
        <f t="shared" si="86"/>
        <v/>
      </c>
      <c r="B5547" s="1">
        <v>2023</v>
      </c>
      <c r="C5547" s="1" t="s">
        <v>2505</v>
      </c>
      <c r="D5547" s="1" t="s">
        <v>2506</v>
      </c>
      <c r="E5547" s="1" t="s">
        <v>2019</v>
      </c>
      <c r="F5547" s="1" t="s">
        <v>553</v>
      </c>
      <c r="G5547" s="6">
        <v>3160768</v>
      </c>
      <c r="H5547" t="str">
        <f>IFERROR(VLOOKUP(F5547,'LEAID Match'!$A$2:$B$142,2,FALSE),"")</f>
        <v/>
      </c>
    </row>
    <row r="5548" spans="1:8" x14ac:dyDescent="0.2">
      <c r="A5548" t="str">
        <f t="shared" si="86"/>
        <v/>
      </c>
      <c r="B5548" s="1">
        <v>2024</v>
      </c>
      <c r="C5548" s="1" t="s">
        <v>2505</v>
      </c>
      <c r="D5548" s="1" t="s">
        <v>2506</v>
      </c>
      <c r="E5548" s="1" t="s">
        <v>2019</v>
      </c>
      <c r="F5548" s="1" t="s">
        <v>553</v>
      </c>
      <c r="G5548" s="6">
        <v>3296553</v>
      </c>
      <c r="H5548" t="str">
        <f>IFERROR(VLOOKUP(F5548,'LEAID Match'!$A$2:$B$142,2,FALSE),"")</f>
        <v/>
      </c>
    </row>
    <row r="5549" spans="1:8" x14ac:dyDescent="0.2">
      <c r="A5549" t="str">
        <f t="shared" si="86"/>
        <v/>
      </c>
      <c r="B5549" s="1">
        <v>2015</v>
      </c>
      <c r="C5549" s="1" t="s">
        <v>2505</v>
      </c>
      <c r="D5549" s="1" t="s">
        <v>2506</v>
      </c>
      <c r="E5549" s="1" t="s">
        <v>2019</v>
      </c>
      <c r="F5549" s="1" t="s">
        <v>554</v>
      </c>
      <c r="G5549" s="6">
        <v>64502</v>
      </c>
      <c r="H5549" t="str">
        <f>IFERROR(VLOOKUP(F5549,'LEAID Match'!$A$2:$B$142,2,FALSE),"")</f>
        <v/>
      </c>
    </row>
    <row r="5550" spans="1:8" x14ac:dyDescent="0.2">
      <c r="A5550" t="str">
        <f t="shared" si="86"/>
        <v/>
      </c>
      <c r="B5550">
        <v>2016</v>
      </c>
      <c r="C5550" s="1" t="s">
        <v>2505</v>
      </c>
      <c r="D5550" s="1" t="s">
        <v>2506</v>
      </c>
      <c r="E5550" s="1" t="s">
        <v>2019</v>
      </c>
      <c r="F5550" s="1" t="s">
        <v>554</v>
      </c>
      <c r="G5550" s="12">
        <v>65403</v>
      </c>
      <c r="H5550" t="str">
        <f>IFERROR(VLOOKUP(F5550,'LEAID Match'!$A$2:$B$142,2,FALSE),"")</f>
        <v/>
      </c>
    </row>
    <row r="5551" spans="1:8" x14ac:dyDescent="0.2">
      <c r="A5551" t="str">
        <f t="shared" si="86"/>
        <v/>
      </c>
      <c r="B5551" s="1">
        <v>2017</v>
      </c>
      <c r="C5551" s="1" t="s">
        <v>2505</v>
      </c>
      <c r="D5551" s="1" t="s">
        <v>2506</v>
      </c>
      <c r="E5551" s="1" t="s">
        <v>2019</v>
      </c>
      <c r="F5551" s="1" t="s">
        <v>554</v>
      </c>
      <c r="G5551" s="49">
        <v>64020</v>
      </c>
      <c r="H5551" t="str">
        <f>IFERROR(VLOOKUP(F5551,'LEAID Match'!$A$2:$B$142,2,FALSE),"")</f>
        <v/>
      </c>
    </row>
    <row r="5552" spans="1:8" x14ac:dyDescent="0.2">
      <c r="A5552" t="str">
        <f t="shared" si="86"/>
        <v/>
      </c>
      <c r="B5552" s="1">
        <v>2018</v>
      </c>
      <c r="C5552" s="1" t="s">
        <v>2505</v>
      </c>
      <c r="D5552" s="1" t="s">
        <v>2506</v>
      </c>
      <c r="E5552" s="1" t="s">
        <v>2019</v>
      </c>
      <c r="F5552" s="1" t="s">
        <v>554</v>
      </c>
      <c r="G5552" s="6">
        <v>61513</v>
      </c>
      <c r="H5552" t="str">
        <f>IFERROR(VLOOKUP(F5552,'LEAID Match'!$A$2:$B$142,2,FALSE),"")</f>
        <v/>
      </c>
    </row>
    <row r="5553" spans="1:8" x14ac:dyDescent="0.2">
      <c r="A5553" t="str">
        <f t="shared" si="86"/>
        <v/>
      </c>
      <c r="B5553" s="1">
        <v>2019</v>
      </c>
      <c r="C5553" s="1" t="s">
        <v>2505</v>
      </c>
      <c r="D5553" s="1" t="s">
        <v>2506</v>
      </c>
      <c r="E5553" s="1" t="s">
        <v>2019</v>
      </c>
      <c r="F5553" s="1" t="s">
        <v>554</v>
      </c>
      <c r="G5553" s="6">
        <v>63446</v>
      </c>
      <c r="H5553" t="str">
        <f>IFERROR(VLOOKUP(F5553,'LEAID Match'!$A$2:$B$142,2,FALSE),"")</f>
        <v/>
      </c>
    </row>
    <row r="5554" spans="1:8" x14ac:dyDescent="0.2">
      <c r="A5554" t="str">
        <f t="shared" si="86"/>
        <v/>
      </c>
      <c r="B5554" s="1">
        <v>2020</v>
      </c>
      <c r="C5554" s="1" t="s">
        <v>2505</v>
      </c>
      <c r="D5554" s="1" t="s">
        <v>2506</v>
      </c>
      <c r="E5554" s="1" t="s">
        <v>2019</v>
      </c>
      <c r="F5554" s="1" t="s">
        <v>554</v>
      </c>
      <c r="G5554" s="6">
        <v>66523</v>
      </c>
      <c r="H5554" t="str">
        <f>IFERROR(VLOOKUP(F5554,'LEAID Match'!$A$2:$B$142,2,FALSE),"")</f>
        <v/>
      </c>
    </row>
    <row r="5555" spans="1:8" x14ac:dyDescent="0.2">
      <c r="A5555" t="str">
        <f t="shared" si="86"/>
        <v/>
      </c>
      <c r="B5555" s="1">
        <v>2021</v>
      </c>
      <c r="C5555" s="1" t="s">
        <v>2505</v>
      </c>
      <c r="D5555" s="1" t="s">
        <v>2506</v>
      </c>
      <c r="E5555" s="1" t="s">
        <v>2019</v>
      </c>
      <c r="F5555" s="1" t="s">
        <v>554</v>
      </c>
      <c r="G5555" s="6">
        <v>59127</v>
      </c>
      <c r="H5555" t="str">
        <f>IFERROR(VLOOKUP(F5555,'LEAID Match'!$A$2:$B$142,2,FALSE),"")</f>
        <v/>
      </c>
    </row>
    <row r="5556" spans="1:8" x14ac:dyDescent="0.2">
      <c r="A5556" t="str">
        <f t="shared" si="86"/>
        <v/>
      </c>
      <c r="B5556" s="1">
        <v>2022</v>
      </c>
      <c r="C5556" s="1" t="s">
        <v>2505</v>
      </c>
      <c r="D5556" s="1" t="s">
        <v>2506</v>
      </c>
      <c r="E5556" s="1" t="s">
        <v>2019</v>
      </c>
      <c r="F5556" s="1" t="s">
        <v>554</v>
      </c>
      <c r="G5556" s="6">
        <v>67136</v>
      </c>
      <c r="H5556" t="str">
        <f>IFERROR(VLOOKUP(F5556,'LEAID Match'!$A$2:$B$142,2,FALSE),"")</f>
        <v/>
      </c>
    </row>
    <row r="5557" spans="1:8" x14ac:dyDescent="0.2">
      <c r="A5557" t="str">
        <f t="shared" si="86"/>
        <v/>
      </c>
      <c r="B5557" s="1">
        <v>2023</v>
      </c>
      <c r="C5557" s="1" t="s">
        <v>2505</v>
      </c>
      <c r="D5557" s="1" t="s">
        <v>2506</v>
      </c>
      <c r="E5557" s="1" t="s">
        <v>2019</v>
      </c>
      <c r="F5557" s="1" t="s">
        <v>554</v>
      </c>
      <c r="G5557" s="6">
        <v>69261</v>
      </c>
      <c r="H5557" t="str">
        <f>IFERROR(VLOOKUP(F5557,'LEAID Match'!$A$2:$B$142,2,FALSE),"")</f>
        <v/>
      </c>
    </row>
    <row r="5558" spans="1:8" x14ac:dyDescent="0.2">
      <c r="A5558" t="str">
        <f t="shared" si="86"/>
        <v/>
      </c>
      <c r="B5558" s="1">
        <v>2024</v>
      </c>
      <c r="C5558" s="1" t="s">
        <v>2505</v>
      </c>
      <c r="D5558" s="1" t="s">
        <v>2506</v>
      </c>
      <c r="E5558" s="1" t="s">
        <v>2019</v>
      </c>
      <c r="F5558" s="1" t="s">
        <v>554</v>
      </c>
      <c r="G5558" s="6">
        <v>74181</v>
      </c>
      <c r="H5558" t="str">
        <f>IFERROR(VLOOKUP(F5558,'LEAID Match'!$A$2:$B$142,2,FALSE),"")</f>
        <v/>
      </c>
    </row>
    <row r="5559" spans="1:8" x14ac:dyDescent="0.2">
      <c r="A5559" t="str">
        <f t="shared" si="86"/>
        <v/>
      </c>
      <c r="B5559" s="1">
        <v>2015</v>
      </c>
      <c r="C5559" s="1" t="s">
        <v>2505</v>
      </c>
      <c r="D5559" s="1" t="s">
        <v>2506</v>
      </c>
      <c r="E5559" s="1" t="s">
        <v>2019</v>
      </c>
      <c r="F5559" s="1" t="s">
        <v>555</v>
      </c>
      <c r="G5559" s="6">
        <v>4753034</v>
      </c>
      <c r="H5559" t="str">
        <f>IFERROR(VLOOKUP(F5559,'LEAID Match'!$A$2:$B$142,2,FALSE),"")</f>
        <v/>
      </c>
    </row>
    <row r="5560" spans="1:8" x14ac:dyDescent="0.2">
      <c r="A5560" t="str">
        <f t="shared" si="86"/>
        <v/>
      </c>
      <c r="B5560">
        <v>2016</v>
      </c>
      <c r="C5560" s="1" t="s">
        <v>2505</v>
      </c>
      <c r="D5560" s="1" t="s">
        <v>2506</v>
      </c>
      <c r="E5560" s="1" t="s">
        <v>2019</v>
      </c>
      <c r="F5560" s="1" t="s">
        <v>555</v>
      </c>
      <c r="G5560" s="12">
        <v>4781675</v>
      </c>
      <c r="H5560" t="str">
        <f>IFERROR(VLOOKUP(F5560,'LEAID Match'!$A$2:$B$142,2,FALSE),"")</f>
        <v/>
      </c>
    </row>
    <row r="5561" spans="1:8" x14ac:dyDescent="0.2">
      <c r="A5561" t="str">
        <f t="shared" si="86"/>
        <v/>
      </c>
      <c r="B5561" s="1">
        <v>2017</v>
      </c>
      <c r="C5561" s="1" t="s">
        <v>2505</v>
      </c>
      <c r="D5561" s="1" t="s">
        <v>2506</v>
      </c>
      <c r="E5561" s="1" t="s">
        <v>2019</v>
      </c>
      <c r="F5561" s="1" t="s">
        <v>555</v>
      </c>
      <c r="G5561" s="49">
        <v>4840039</v>
      </c>
      <c r="H5561" t="str">
        <f>IFERROR(VLOOKUP(F5561,'LEAID Match'!$A$2:$B$142,2,FALSE),"")</f>
        <v/>
      </c>
    </row>
    <row r="5562" spans="1:8" x14ac:dyDescent="0.2">
      <c r="A5562" t="str">
        <f t="shared" si="86"/>
        <v/>
      </c>
      <c r="B5562" s="1">
        <v>2018</v>
      </c>
      <c r="C5562" s="1" t="s">
        <v>2505</v>
      </c>
      <c r="D5562" s="1" t="s">
        <v>2506</v>
      </c>
      <c r="E5562" s="1" t="s">
        <v>2019</v>
      </c>
      <c r="F5562" s="1" t="s">
        <v>555</v>
      </c>
      <c r="G5562" s="6">
        <v>4761198</v>
      </c>
      <c r="H5562" t="str">
        <f>IFERROR(VLOOKUP(F5562,'LEAID Match'!$A$2:$B$142,2,FALSE),"")</f>
        <v/>
      </c>
    </row>
    <row r="5563" spans="1:8" x14ac:dyDescent="0.2">
      <c r="A5563" t="str">
        <f t="shared" si="86"/>
        <v/>
      </c>
      <c r="B5563" s="1">
        <v>2019</v>
      </c>
      <c r="C5563" s="1" t="s">
        <v>2505</v>
      </c>
      <c r="D5563" s="1" t="s">
        <v>2506</v>
      </c>
      <c r="E5563" s="1" t="s">
        <v>2019</v>
      </c>
      <c r="F5563" s="1" t="s">
        <v>555</v>
      </c>
      <c r="G5563" s="6">
        <v>4698531</v>
      </c>
      <c r="H5563" t="str">
        <f>IFERROR(VLOOKUP(F5563,'LEAID Match'!$A$2:$B$142,2,FALSE),"")</f>
        <v/>
      </c>
    </row>
    <row r="5564" spans="1:8" x14ac:dyDescent="0.2">
      <c r="A5564" t="str">
        <f t="shared" si="86"/>
        <v/>
      </c>
      <c r="B5564" s="1">
        <v>2020</v>
      </c>
      <c r="C5564" s="1" t="s">
        <v>2505</v>
      </c>
      <c r="D5564" s="1" t="s">
        <v>2506</v>
      </c>
      <c r="E5564" s="1" t="s">
        <v>2019</v>
      </c>
      <c r="F5564" s="1" t="s">
        <v>555</v>
      </c>
      <c r="G5564" s="6">
        <v>5111616</v>
      </c>
      <c r="H5564" t="str">
        <f>IFERROR(VLOOKUP(F5564,'LEAID Match'!$A$2:$B$142,2,FALSE),"")</f>
        <v/>
      </c>
    </row>
    <row r="5565" spans="1:8" x14ac:dyDescent="0.2">
      <c r="A5565" t="str">
        <f t="shared" si="86"/>
        <v/>
      </c>
      <c r="B5565" s="1">
        <v>2021</v>
      </c>
      <c r="C5565" s="1" t="s">
        <v>2505</v>
      </c>
      <c r="D5565" s="1" t="s">
        <v>2506</v>
      </c>
      <c r="E5565" s="1" t="s">
        <v>2019</v>
      </c>
      <c r="F5565" s="1" t="s">
        <v>555</v>
      </c>
      <c r="G5565" s="6">
        <v>5013721</v>
      </c>
      <c r="H5565" t="str">
        <f>IFERROR(VLOOKUP(F5565,'LEAID Match'!$A$2:$B$142,2,FALSE),"")</f>
        <v/>
      </c>
    </row>
    <row r="5566" spans="1:8" x14ac:dyDescent="0.2">
      <c r="A5566" t="str">
        <f t="shared" si="86"/>
        <v/>
      </c>
      <c r="B5566" s="1">
        <v>2022</v>
      </c>
      <c r="C5566" s="1" t="s">
        <v>2505</v>
      </c>
      <c r="D5566" s="1" t="s">
        <v>2506</v>
      </c>
      <c r="E5566" s="1" t="s">
        <v>2019</v>
      </c>
      <c r="F5566" s="1" t="s">
        <v>555</v>
      </c>
      <c r="G5566" s="6">
        <v>5003365</v>
      </c>
      <c r="H5566" t="str">
        <f>IFERROR(VLOOKUP(F5566,'LEAID Match'!$A$2:$B$142,2,FALSE),"")</f>
        <v/>
      </c>
    </row>
    <row r="5567" spans="1:8" x14ac:dyDescent="0.2">
      <c r="A5567" t="str">
        <f t="shared" si="86"/>
        <v/>
      </c>
      <c r="B5567" s="1">
        <v>2023</v>
      </c>
      <c r="C5567" s="1" t="s">
        <v>2505</v>
      </c>
      <c r="D5567" s="1" t="s">
        <v>2506</v>
      </c>
      <c r="E5567" s="1" t="s">
        <v>2019</v>
      </c>
      <c r="F5567" s="1" t="s">
        <v>555</v>
      </c>
      <c r="G5567" s="6">
        <v>5158999</v>
      </c>
      <c r="H5567" t="str">
        <f>IFERROR(VLOOKUP(F5567,'LEAID Match'!$A$2:$B$142,2,FALSE),"")</f>
        <v/>
      </c>
    </row>
    <row r="5568" spans="1:8" x14ac:dyDescent="0.2">
      <c r="A5568" t="str">
        <f t="shared" si="86"/>
        <v/>
      </c>
      <c r="B5568" s="1">
        <v>2024</v>
      </c>
      <c r="C5568" s="1" t="s">
        <v>2505</v>
      </c>
      <c r="D5568" s="1" t="s">
        <v>2506</v>
      </c>
      <c r="E5568" s="1" t="s">
        <v>2019</v>
      </c>
      <c r="F5568" s="1" t="s">
        <v>555</v>
      </c>
      <c r="G5568" s="6">
        <v>5638377</v>
      </c>
      <c r="H5568" t="str">
        <f>IFERROR(VLOOKUP(F5568,'LEAID Match'!$A$2:$B$142,2,FALSE),"")</f>
        <v/>
      </c>
    </row>
    <row r="5569" spans="1:8" x14ac:dyDescent="0.2">
      <c r="A5569" t="str">
        <f t="shared" si="86"/>
        <v/>
      </c>
      <c r="B5569" s="1">
        <v>2015</v>
      </c>
      <c r="C5569" s="1" t="s">
        <v>2505</v>
      </c>
      <c r="D5569" s="1" t="s">
        <v>2506</v>
      </c>
      <c r="E5569" s="1" t="s">
        <v>2019</v>
      </c>
      <c r="F5569" s="1" t="s">
        <v>556</v>
      </c>
      <c r="G5569" s="6">
        <v>29015</v>
      </c>
      <c r="H5569" t="str">
        <f>IFERROR(VLOOKUP(F5569,'LEAID Match'!$A$2:$B$142,2,FALSE),"")</f>
        <v/>
      </c>
    </row>
    <row r="5570" spans="1:8" x14ac:dyDescent="0.2">
      <c r="A5570" t="str">
        <f t="shared" si="86"/>
        <v/>
      </c>
      <c r="B5570">
        <v>2016</v>
      </c>
      <c r="C5570" s="1" t="s">
        <v>2505</v>
      </c>
      <c r="D5570" s="1" t="s">
        <v>2506</v>
      </c>
      <c r="E5570" s="1" t="s">
        <v>2019</v>
      </c>
      <c r="F5570" s="1" t="s">
        <v>556</v>
      </c>
      <c r="G5570" s="12">
        <v>31705</v>
      </c>
      <c r="H5570" t="str">
        <f>IFERROR(VLOOKUP(F5570,'LEAID Match'!$A$2:$B$142,2,FALSE),"")</f>
        <v/>
      </c>
    </row>
    <row r="5571" spans="1:8" x14ac:dyDescent="0.2">
      <c r="A5571" t="str">
        <f t="shared" ref="A5571:A5634" si="87">H5571</f>
        <v/>
      </c>
      <c r="B5571" s="1">
        <v>2017</v>
      </c>
      <c r="C5571" s="1" t="s">
        <v>2505</v>
      </c>
      <c r="D5571" s="1" t="s">
        <v>2506</v>
      </c>
      <c r="E5571" s="1" t="s">
        <v>2019</v>
      </c>
      <c r="F5571" s="1" t="s">
        <v>556</v>
      </c>
      <c r="G5571" s="49">
        <v>32845</v>
      </c>
      <c r="H5571" t="str">
        <f>IFERROR(VLOOKUP(F5571,'LEAID Match'!$A$2:$B$142,2,FALSE),"")</f>
        <v/>
      </c>
    </row>
    <row r="5572" spans="1:8" x14ac:dyDescent="0.2">
      <c r="A5572" t="str">
        <f t="shared" si="87"/>
        <v/>
      </c>
      <c r="B5572" s="1">
        <v>2018</v>
      </c>
      <c r="C5572" s="1" t="s">
        <v>2505</v>
      </c>
      <c r="D5572" s="1" t="s">
        <v>2506</v>
      </c>
      <c r="E5572" s="1" t="s">
        <v>2019</v>
      </c>
      <c r="F5572" s="1" t="s">
        <v>556</v>
      </c>
      <c r="G5572" s="6">
        <v>28668</v>
      </c>
      <c r="H5572" t="str">
        <f>IFERROR(VLOOKUP(F5572,'LEAID Match'!$A$2:$B$142,2,FALSE),"")</f>
        <v/>
      </c>
    </row>
    <row r="5573" spans="1:8" x14ac:dyDescent="0.2">
      <c r="A5573" t="str">
        <f t="shared" si="87"/>
        <v/>
      </c>
      <c r="B5573" s="1">
        <v>2019</v>
      </c>
      <c r="C5573" s="1" t="s">
        <v>2505</v>
      </c>
      <c r="D5573" s="1" t="s">
        <v>2506</v>
      </c>
      <c r="E5573" s="1" t="s">
        <v>2019</v>
      </c>
      <c r="F5573" s="1" t="s">
        <v>556</v>
      </c>
      <c r="G5573" s="6">
        <v>30538</v>
      </c>
      <c r="H5573" t="str">
        <f>IFERROR(VLOOKUP(F5573,'LEAID Match'!$A$2:$B$142,2,FALSE),"")</f>
        <v/>
      </c>
    </row>
    <row r="5574" spans="1:8" x14ac:dyDescent="0.2">
      <c r="A5574" t="str">
        <f t="shared" si="87"/>
        <v/>
      </c>
      <c r="B5574" s="1">
        <v>2020</v>
      </c>
      <c r="C5574" s="1" t="s">
        <v>2505</v>
      </c>
      <c r="D5574" s="1" t="s">
        <v>2506</v>
      </c>
      <c r="E5574" s="1" t="s">
        <v>2019</v>
      </c>
      <c r="F5574" s="1" t="s">
        <v>556</v>
      </c>
      <c r="G5574" s="6">
        <v>35282</v>
      </c>
      <c r="H5574" t="str">
        <f>IFERROR(VLOOKUP(F5574,'LEAID Match'!$A$2:$B$142,2,FALSE),"")</f>
        <v/>
      </c>
    </row>
    <row r="5575" spans="1:8" x14ac:dyDescent="0.2">
      <c r="A5575" t="str">
        <f t="shared" si="87"/>
        <v/>
      </c>
      <c r="B5575" s="1">
        <v>2021</v>
      </c>
      <c r="C5575" s="1" t="s">
        <v>2505</v>
      </c>
      <c r="D5575" s="1" t="s">
        <v>2506</v>
      </c>
      <c r="E5575" s="1" t="s">
        <v>2019</v>
      </c>
      <c r="F5575" s="1" t="s">
        <v>556</v>
      </c>
      <c r="G5575" s="6">
        <v>33377</v>
      </c>
      <c r="H5575" t="str">
        <f>IFERROR(VLOOKUP(F5575,'LEAID Match'!$A$2:$B$142,2,FALSE),"")</f>
        <v/>
      </c>
    </row>
    <row r="5576" spans="1:8" x14ac:dyDescent="0.2">
      <c r="A5576" t="str">
        <f t="shared" si="87"/>
        <v/>
      </c>
      <c r="B5576" s="1">
        <v>2022</v>
      </c>
      <c r="C5576" s="1" t="s">
        <v>2505</v>
      </c>
      <c r="D5576" s="1" t="s">
        <v>2506</v>
      </c>
      <c r="E5576" s="1" t="s">
        <v>2019</v>
      </c>
      <c r="F5576" s="1" t="s">
        <v>556</v>
      </c>
      <c r="G5576" s="6">
        <v>33174</v>
      </c>
      <c r="H5576" t="str">
        <f>IFERROR(VLOOKUP(F5576,'LEAID Match'!$A$2:$B$142,2,FALSE),"")</f>
        <v/>
      </c>
    </row>
    <row r="5577" spans="1:8" x14ac:dyDescent="0.2">
      <c r="A5577" t="str">
        <f t="shared" si="87"/>
        <v/>
      </c>
      <c r="B5577" s="1">
        <v>2023</v>
      </c>
      <c r="C5577" s="1" t="s">
        <v>2505</v>
      </c>
      <c r="D5577" s="1" t="s">
        <v>2506</v>
      </c>
      <c r="E5577" s="1" t="s">
        <v>2019</v>
      </c>
      <c r="F5577" s="1" t="s">
        <v>556</v>
      </c>
      <c r="G5577" s="6">
        <v>37808</v>
      </c>
      <c r="H5577" t="str">
        <f>IFERROR(VLOOKUP(F5577,'LEAID Match'!$A$2:$B$142,2,FALSE),"")</f>
        <v/>
      </c>
    </row>
    <row r="5578" spans="1:8" x14ac:dyDescent="0.2">
      <c r="A5578" t="str">
        <f t="shared" si="87"/>
        <v/>
      </c>
      <c r="B5578" s="1">
        <v>2024</v>
      </c>
      <c r="C5578" s="1" t="s">
        <v>2505</v>
      </c>
      <c r="D5578" s="1" t="s">
        <v>2506</v>
      </c>
      <c r="E5578" s="1" t="s">
        <v>2019</v>
      </c>
      <c r="F5578" s="1" t="s">
        <v>556</v>
      </c>
      <c r="G5578" s="6">
        <v>37735</v>
      </c>
      <c r="H5578" t="str">
        <f>IFERROR(VLOOKUP(F5578,'LEAID Match'!$A$2:$B$142,2,FALSE),"")</f>
        <v/>
      </c>
    </row>
    <row r="5579" spans="1:8" x14ac:dyDescent="0.2">
      <c r="A5579">
        <f t="shared" si="87"/>
        <v>2803300</v>
      </c>
      <c r="B5579" s="1">
        <v>2015</v>
      </c>
      <c r="C5579" s="1" t="s">
        <v>2505</v>
      </c>
      <c r="D5579" s="1" t="s">
        <v>2506</v>
      </c>
      <c r="E5579" s="1" t="s">
        <v>2019</v>
      </c>
      <c r="F5579" s="1" t="s">
        <v>557</v>
      </c>
      <c r="G5579" s="6">
        <v>1430955</v>
      </c>
      <c r="H5579">
        <f>IFERROR(VLOOKUP(F5579,'LEAID Match'!$A$2:$B$142,2,FALSE),"")</f>
        <v>2803300</v>
      </c>
    </row>
    <row r="5580" spans="1:8" x14ac:dyDescent="0.2">
      <c r="A5580">
        <f t="shared" si="87"/>
        <v>2803300</v>
      </c>
      <c r="B5580">
        <v>2016</v>
      </c>
      <c r="C5580" s="1" t="s">
        <v>2505</v>
      </c>
      <c r="D5580" s="1" t="s">
        <v>2506</v>
      </c>
      <c r="E5580" s="1" t="s">
        <v>2019</v>
      </c>
      <c r="F5580" s="1" t="s">
        <v>557</v>
      </c>
      <c r="G5580" s="12">
        <v>1437331</v>
      </c>
      <c r="H5580">
        <f>IFERROR(VLOOKUP(F5580,'LEAID Match'!$A$2:$B$142,2,FALSE),"")</f>
        <v>2803300</v>
      </c>
    </row>
    <row r="5581" spans="1:8" x14ac:dyDescent="0.2">
      <c r="A5581">
        <f t="shared" si="87"/>
        <v>2803300</v>
      </c>
      <c r="B5581" s="1">
        <v>2017</v>
      </c>
      <c r="C5581" s="1" t="s">
        <v>2505</v>
      </c>
      <c r="D5581" s="1" t="s">
        <v>2506</v>
      </c>
      <c r="E5581" s="1" t="s">
        <v>2019</v>
      </c>
      <c r="F5581" s="1" t="s">
        <v>557</v>
      </c>
      <c r="G5581" s="49">
        <v>1290087</v>
      </c>
      <c r="H5581">
        <f>IFERROR(VLOOKUP(F5581,'LEAID Match'!$A$2:$B$142,2,FALSE),"")</f>
        <v>2803300</v>
      </c>
    </row>
    <row r="5582" spans="1:8" x14ac:dyDescent="0.2">
      <c r="A5582">
        <f t="shared" si="87"/>
        <v>2803300</v>
      </c>
      <c r="B5582" s="1">
        <v>2018</v>
      </c>
      <c r="C5582" s="1" t="s">
        <v>2505</v>
      </c>
      <c r="D5582" s="1" t="s">
        <v>2506</v>
      </c>
      <c r="E5582" s="1" t="s">
        <v>2019</v>
      </c>
      <c r="F5582" s="1" t="s">
        <v>557</v>
      </c>
      <c r="G5582" s="6">
        <v>1417119</v>
      </c>
      <c r="H5582">
        <f>IFERROR(VLOOKUP(F5582,'LEAID Match'!$A$2:$B$142,2,FALSE),"")</f>
        <v>2803300</v>
      </c>
    </row>
    <row r="5583" spans="1:8" x14ac:dyDescent="0.2">
      <c r="A5583">
        <f t="shared" si="87"/>
        <v>2803300</v>
      </c>
      <c r="B5583" s="1">
        <v>2019</v>
      </c>
      <c r="C5583" s="1" t="s">
        <v>2505</v>
      </c>
      <c r="D5583" s="1" t="s">
        <v>2506</v>
      </c>
      <c r="E5583" s="1" t="s">
        <v>2019</v>
      </c>
      <c r="F5583" s="1" t="s">
        <v>557</v>
      </c>
      <c r="G5583" s="6">
        <v>1265467</v>
      </c>
      <c r="H5583">
        <f>IFERROR(VLOOKUP(F5583,'LEAID Match'!$A$2:$B$142,2,FALSE),"")</f>
        <v>2803300</v>
      </c>
    </row>
    <row r="5584" spans="1:8" x14ac:dyDescent="0.2">
      <c r="A5584">
        <f t="shared" si="87"/>
        <v>2803300</v>
      </c>
      <c r="B5584" s="1">
        <v>2020</v>
      </c>
      <c r="C5584" s="1" t="s">
        <v>2505</v>
      </c>
      <c r="D5584" s="1" t="s">
        <v>2506</v>
      </c>
      <c r="E5584" s="1" t="s">
        <v>2019</v>
      </c>
      <c r="F5584" s="1" t="s">
        <v>557</v>
      </c>
      <c r="G5584" s="6">
        <v>1310745</v>
      </c>
      <c r="H5584">
        <f>IFERROR(VLOOKUP(F5584,'LEAID Match'!$A$2:$B$142,2,FALSE),"")</f>
        <v>2803300</v>
      </c>
    </row>
    <row r="5585" spans="1:8" x14ac:dyDescent="0.2">
      <c r="A5585">
        <f t="shared" si="87"/>
        <v>2803300</v>
      </c>
      <c r="B5585" s="1">
        <v>2021</v>
      </c>
      <c r="C5585" s="1" t="s">
        <v>2505</v>
      </c>
      <c r="D5585" s="1" t="s">
        <v>2506</v>
      </c>
      <c r="E5585" s="1" t="s">
        <v>2019</v>
      </c>
      <c r="F5585" s="1" t="s">
        <v>557</v>
      </c>
      <c r="G5585" s="6">
        <v>1347721</v>
      </c>
      <c r="H5585">
        <f>IFERROR(VLOOKUP(F5585,'LEAID Match'!$A$2:$B$142,2,FALSE),"")</f>
        <v>2803300</v>
      </c>
    </row>
    <row r="5586" spans="1:8" x14ac:dyDescent="0.2">
      <c r="A5586">
        <f t="shared" si="87"/>
        <v>2803300</v>
      </c>
      <c r="B5586" s="1">
        <v>2022</v>
      </c>
      <c r="C5586" s="1" t="s">
        <v>2505</v>
      </c>
      <c r="D5586" s="1" t="s">
        <v>2506</v>
      </c>
      <c r="E5586" s="1" t="s">
        <v>2019</v>
      </c>
      <c r="F5586" s="1" t="s">
        <v>557</v>
      </c>
      <c r="G5586" s="6">
        <v>1367382</v>
      </c>
      <c r="H5586">
        <f>IFERROR(VLOOKUP(F5586,'LEAID Match'!$A$2:$B$142,2,FALSE),"")</f>
        <v>2803300</v>
      </c>
    </row>
    <row r="5587" spans="1:8" x14ac:dyDescent="0.2">
      <c r="A5587">
        <f t="shared" si="87"/>
        <v>2803300</v>
      </c>
      <c r="B5587" s="1">
        <v>2023</v>
      </c>
      <c r="C5587" s="1" t="s">
        <v>2505</v>
      </c>
      <c r="D5587" s="1" t="s">
        <v>2506</v>
      </c>
      <c r="E5587" s="1" t="s">
        <v>2019</v>
      </c>
      <c r="F5587" s="1" t="s">
        <v>557</v>
      </c>
      <c r="G5587" s="6">
        <v>1617172</v>
      </c>
      <c r="H5587">
        <f>IFERROR(VLOOKUP(F5587,'LEAID Match'!$A$2:$B$142,2,FALSE),"")</f>
        <v>2803300</v>
      </c>
    </row>
    <row r="5588" spans="1:8" x14ac:dyDescent="0.2">
      <c r="A5588">
        <f t="shared" si="87"/>
        <v>2803300</v>
      </c>
      <c r="B5588" s="1">
        <v>2024</v>
      </c>
      <c r="C5588" s="1" t="s">
        <v>2505</v>
      </c>
      <c r="D5588" s="1" t="s">
        <v>2506</v>
      </c>
      <c r="E5588" s="1" t="s">
        <v>2019</v>
      </c>
      <c r="F5588" s="1" t="s">
        <v>557</v>
      </c>
      <c r="G5588" s="6">
        <v>1657410</v>
      </c>
      <c r="H5588">
        <f>IFERROR(VLOOKUP(F5588,'LEAID Match'!$A$2:$B$142,2,FALSE),"")</f>
        <v>2803300</v>
      </c>
    </row>
    <row r="5589" spans="1:8" x14ac:dyDescent="0.2">
      <c r="A5589" t="str">
        <f t="shared" si="87"/>
        <v/>
      </c>
      <c r="B5589" s="1">
        <v>2015</v>
      </c>
      <c r="C5589" s="1" t="s">
        <v>2505</v>
      </c>
      <c r="D5589" s="1" t="s">
        <v>2506</v>
      </c>
      <c r="E5589" s="1" t="s">
        <v>2019</v>
      </c>
      <c r="F5589" s="1" t="s">
        <v>558</v>
      </c>
      <c r="G5589" s="6">
        <v>325644</v>
      </c>
      <c r="H5589" t="str">
        <f>IFERROR(VLOOKUP(F5589,'LEAID Match'!$A$2:$B$142,2,FALSE),"")</f>
        <v/>
      </c>
    </row>
    <row r="5590" spans="1:8" x14ac:dyDescent="0.2">
      <c r="A5590" t="str">
        <f t="shared" si="87"/>
        <v/>
      </c>
      <c r="B5590">
        <v>2016</v>
      </c>
      <c r="C5590" s="1" t="s">
        <v>2505</v>
      </c>
      <c r="D5590" s="1" t="s">
        <v>2506</v>
      </c>
      <c r="E5590" s="1" t="s">
        <v>2019</v>
      </c>
      <c r="F5590" s="1" t="s">
        <v>558</v>
      </c>
      <c r="G5590" s="12">
        <v>332140</v>
      </c>
      <c r="H5590" t="str">
        <f>IFERROR(VLOOKUP(F5590,'LEAID Match'!$A$2:$B$142,2,FALSE),"")</f>
        <v/>
      </c>
    </row>
    <row r="5591" spans="1:8" x14ac:dyDescent="0.2">
      <c r="A5591" t="str">
        <f t="shared" si="87"/>
        <v/>
      </c>
      <c r="B5591" s="1">
        <v>2017</v>
      </c>
      <c r="C5591" s="1" t="s">
        <v>2505</v>
      </c>
      <c r="D5591" s="1" t="s">
        <v>2506</v>
      </c>
      <c r="E5591" s="1" t="s">
        <v>2019</v>
      </c>
      <c r="F5591" s="1" t="s">
        <v>558</v>
      </c>
      <c r="G5591" s="49">
        <v>346717</v>
      </c>
      <c r="H5591" t="str">
        <f>IFERROR(VLOOKUP(F5591,'LEAID Match'!$A$2:$B$142,2,FALSE),"")</f>
        <v/>
      </c>
    </row>
    <row r="5592" spans="1:8" x14ac:dyDescent="0.2">
      <c r="A5592" t="str">
        <f t="shared" si="87"/>
        <v/>
      </c>
      <c r="B5592" s="1">
        <v>2018</v>
      </c>
      <c r="C5592" s="1" t="s">
        <v>2505</v>
      </c>
      <c r="D5592" s="1" t="s">
        <v>2506</v>
      </c>
      <c r="E5592" s="1" t="s">
        <v>2019</v>
      </c>
      <c r="F5592" s="1" t="s">
        <v>558</v>
      </c>
      <c r="G5592" s="6">
        <v>350418</v>
      </c>
      <c r="H5592" t="str">
        <f>IFERROR(VLOOKUP(F5592,'LEAID Match'!$A$2:$B$142,2,FALSE),"")</f>
        <v/>
      </c>
    </row>
    <row r="5593" spans="1:8" x14ac:dyDescent="0.2">
      <c r="A5593" t="str">
        <f t="shared" si="87"/>
        <v/>
      </c>
      <c r="B5593" s="1">
        <v>2019</v>
      </c>
      <c r="C5593" s="1" t="s">
        <v>2505</v>
      </c>
      <c r="D5593" s="1" t="s">
        <v>2506</v>
      </c>
      <c r="E5593" s="1" t="s">
        <v>2019</v>
      </c>
      <c r="F5593" s="1" t="s">
        <v>558</v>
      </c>
      <c r="G5593" s="6">
        <v>333159</v>
      </c>
      <c r="H5593" t="str">
        <f>IFERROR(VLOOKUP(F5593,'LEAID Match'!$A$2:$B$142,2,FALSE),"")</f>
        <v/>
      </c>
    </row>
    <row r="5594" spans="1:8" x14ac:dyDescent="0.2">
      <c r="A5594" t="str">
        <f t="shared" si="87"/>
        <v/>
      </c>
      <c r="B5594" s="1">
        <v>2020</v>
      </c>
      <c r="C5594" s="1" t="s">
        <v>2505</v>
      </c>
      <c r="D5594" s="1" t="s">
        <v>2506</v>
      </c>
      <c r="E5594" s="1" t="s">
        <v>2019</v>
      </c>
      <c r="F5594" s="1" t="s">
        <v>558</v>
      </c>
      <c r="G5594" s="6">
        <v>396148</v>
      </c>
      <c r="H5594" t="str">
        <f>IFERROR(VLOOKUP(F5594,'LEAID Match'!$A$2:$B$142,2,FALSE),"")</f>
        <v/>
      </c>
    </row>
    <row r="5595" spans="1:8" x14ac:dyDescent="0.2">
      <c r="A5595" t="str">
        <f t="shared" si="87"/>
        <v/>
      </c>
      <c r="B5595" s="1">
        <v>2021</v>
      </c>
      <c r="C5595" s="1" t="s">
        <v>2505</v>
      </c>
      <c r="D5595" s="1" t="s">
        <v>2506</v>
      </c>
      <c r="E5595" s="1" t="s">
        <v>2019</v>
      </c>
      <c r="F5595" s="1" t="s">
        <v>558</v>
      </c>
      <c r="G5595" s="6">
        <v>410631</v>
      </c>
      <c r="H5595" t="str">
        <f>IFERROR(VLOOKUP(F5595,'LEAID Match'!$A$2:$B$142,2,FALSE),"")</f>
        <v/>
      </c>
    </row>
    <row r="5596" spans="1:8" x14ac:dyDescent="0.2">
      <c r="A5596" t="str">
        <f t="shared" si="87"/>
        <v/>
      </c>
      <c r="B5596" s="1">
        <v>2022</v>
      </c>
      <c r="C5596" s="1" t="s">
        <v>2505</v>
      </c>
      <c r="D5596" s="1" t="s">
        <v>2506</v>
      </c>
      <c r="E5596" s="1" t="s">
        <v>2019</v>
      </c>
      <c r="F5596" s="1" t="s">
        <v>558</v>
      </c>
      <c r="G5596" s="6">
        <v>426646</v>
      </c>
      <c r="H5596" t="str">
        <f>IFERROR(VLOOKUP(F5596,'LEAID Match'!$A$2:$B$142,2,FALSE),"")</f>
        <v/>
      </c>
    </row>
    <row r="5597" spans="1:8" x14ac:dyDescent="0.2">
      <c r="A5597" t="str">
        <f t="shared" si="87"/>
        <v/>
      </c>
      <c r="B5597" s="1">
        <v>2023</v>
      </c>
      <c r="C5597" s="1" t="s">
        <v>2505</v>
      </c>
      <c r="D5597" s="1" t="s">
        <v>2506</v>
      </c>
      <c r="E5597" s="1" t="s">
        <v>2019</v>
      </c>
      <c r="F5597" s="1" t="s">
        <v>558</v>
      </c>
      <c r="G5597" s="6">
        <v>453130</v>
      </c>
      <c r="H5597" t="str">
        <f>IFERROR(VLOOKUP(F5597,'LEAID Match'!$A$2:$B$142,2,FALSE),"")</f>
        <v/>
      </c>
    </row>
    <row r="5598" spans="1:8" x14ac:dyDescent="0.2">
      <c r="A5598" t="str">
        <f t="shared" si="87"/>
        <v/>
      </c>
      <c r="B5598" s="1">
        <v>2024</v>
      </c>
      <c r="C5598" s="1" t="s">
        <v>2505</v>
      </c>
      <c r="D5598" s="1" t="s">
        <v>2506</v>
      </c>
      <c r="E5598" s="1" t="s">
        <v>2019</v>
      </c>
      <c r="F5598" s="1" t="s">
        <v>558</v>
      </c>
      <c r="G5598" s="6">
        <v>450977</v>
      </c>
      <c r="H5598" t="str">
        <f>IFERROR(VLOOKUP(F5598,'LEAID Match'!$A$2:$B$142,2,FALSE),"")</f>
        <v/>
      </c>
    </row>
    <row r="5599" spans="1:8" x14ac:dyDescent="0.2">
      <c r="A5599" t="str">
        <f t="shared" si="87"/>
        <v/>
      </c>
      <c r="B5599" s="1">
        <v>2015</v>
      </c>
      <c r="C5599" s="1" t="s">
        <v>2505</v>
      </c>
      <c r="D5599" s="1" t="s">
        <v>2506</v>
      </c>
      <c r="E5599" s="1" t="s">
        <v>2019</v>
      </c>
      <c r="F5599" t="s">
        <v>2039</v>
      </c>
      <c r="G5599" s="6">
        <v>2423</v>
      </c>
      <c r="H5599" t="str">
        <f>IFERROR(VLOOKUP(F5599,'LEAID Match'!$A$2:$B$142,2,FALSE),"")</f>
        <v/>
      </c>
    </row>
    <row r="5600" spans="1:8" x14ac:dyDescent="0.2">
      <c r="A5600" t="str">
        <f t="shared" si="87"/>
        <v/>
      </c>
      <c r="B5600">
        <v>2016</v>
      </c>
      <c r="C5600" s="1" t="s">
        <v>2505</v>
      </c>
      <c r="D5600" s="1" t="s">
        <v>2506</v>
      </c>
      <c r="E5600" s="1" t="s">
        <v>2019</v>
      </c>
      <c r="F5600" t="s">
        <v>2039</v>
      </c>
      <c r="G5600" s="12">
        <v>1212</v>
      </c>
      <c r="H5600" t="str">
        <f>IFERROR(VLOOKUP(F5600,'LEAID Match'!$A$2:$B$142,2,FALSE),"")</f>
        <v/>
      </c>
    </row>
    <row r="5601" spans="1:8" x14ac:dyDescent="0.2">
      <c r="A5601" t="str">
        <f t="shared" si="87"/>
        <v/>
      </c>
      <c r="B5601" s="1">
        <v>2015</v>
      </c>
      <c r="C5601" s="1" t="s">
        <v>2505</v>
      </c>
      <c r="D5601" s="1" t="s">
        <v>2506</v>
      </c>
      <c r="E5601" s="1" t="s">
        <v>2019</v>
      </c>
      <c r="F5601" s="1" t="s">
        <v>559</v>
      </c>
      <c r="G5601" s="6">
        <v>7271</v>
      </c>
      <c r="H5601" t="str">
        <f>IFERROR(VLOOKUP(F5601,'LEAID Match'!$A$2:$B$142,2,FALSE),"")</f>
        <v/>
      </c>
    </row>
    <row r="5602" spans="1:8" x14ac:dyDescent="0.2">
      <c r="A5602" t="str">
        <f t="shared" si="87"/>
        <v/>
      </c>
      <c r="B5602">
        <v>2016</v>
      </c>
      <c r="C5602" s="1" t="s">
        <v>2505</v>
      </c>
      <c r="D5602" s="1" t="s">
        <v>2506</v>
      </c>
      <c r="E5602" s="1" t="s">
        <v>2019</v>
      </c>
      <c r="F5602" s="1" t="s">
        <v>559</v>
      </c>
      <c r="G5602" s="12">
        <v>7329</v>
      </c>
      <c r="H5602" t="str">
        <f>IFERROR(VLOOKUP(F5602,'LEAID Match'!$A$2:$B$142,2,FALSE),"")</f>
        <v/>
      </c>
    </row>
    <row r="5603" spans="1:8" x14ac:dyDescent="0.2">
      <c r="A5603" t="str">
        <f t="shared" si="87"/>
        <v/>
      </c>
      <c r="B5603" s="1">
        <v>2017</v>
      </c>
      <c r="C5603" s="1" t="s">
        <v>2505</v>
      </c>
      <c r="D5603" s="1" t="s">
        <v>2506</v>
      </c>
      <c r="E5603" s="1" t="s">
        <v>2019</v>
      </c>
      <c r="F5603" s="1" t="s">
        <v>559</v>
      </c>
      <c r="G5603" s="49">
        <v>8340</v>
      </c>
      <c r="H5603" t="str">
        <f>IFERROR(VLOOKUP(F5603,'LEAID Match'!$A$2:$B$142,2,FALSE),"")</f>
        <v/>
      </c>
    </row>
    <row r="5604" spans="1:8" x14ac:dyDescent="0.2">
      <c r="A5604" t="str">
        <f t="shared" si="87"/>
        <v/>
      </c>
      <c r="B5604" s="1">
        <v>2018</v>
      </c>
      <c r="C5604" s="1" t="s">
        <v>2505</v>
      </c>
      <c r="D5604" s="1" t="s">
        <v>2506</v>
      </c>
      <c r="E5604" s="1" t="s">
        <v>2019</v>
      </c>
      <c r="F5604" s="1" t="s">
        <v>559</v>
      </c>
      <c r="G5604" s="6">
        <v>9106</v>
      </c>
      <c r="H5604" t="str">
        <f>IFERROR(VLOOKUP(F5604,'LEAID Match'!$A$2:$B$142,2,FALSE),"")</f>
        <v/>
      </c>
    </row>
    <row r="5605" spans="1:8" x14ac:dyDescent="0.2">
      <c r="A5605" t="str">
        <f t="shared" si="87"/>
        <v/>
      </c>
      <c r="B5605" s="1">
        <v>2019</v>
      </c>
      <c r="C5605" s="1" t="s">
        <v>2505</v>
      </c>
      <c r="D5605" s="1" t="s">
        <v>2506</v>
      </c>
      <c r="E5605" s="1" t="s">
        <v>2019</v>
      </c>
      <c r="F5605" s="1" t="s">
        <v>559</v>
      </c>
      <c r="G5605" s="6">
        <v>8050</v>
      </c>
      <c r="H5605" t="str">
        <f>IFERROR(VLOOKUP(F5605,'LEAID Match'!$A$2:$B$142,2,FALSE),"")</f>
        <v/>
      </c>
    </row>
    <row r="5606" spans="1:8" x14ac:dyDescent="0.2">
      <c r="A5606" t="str">
        <f t="shared" si="87"/>
        <v/>
      </c>
      <c r="B5606" s="1">
        <v>2020</v>
      </c>
      <c r="C5606" s="1" t="s">
        <v>2505</v>
      </c>
      <c r="D5606" s="1" t="s">
        <v>2506</v>
      </c>
      <c r="E5606" s="1" t="s">
        <v>2019</v>
      </c>
      <c r="F5606" s="1" t="s">
        <v>559</v>
      </c>
      <c r="G5606" s="6">
        <v>8468</v>
      </c>
      <c r="H5606" t="str">
        <f>IFERROR(VLOOKUP(F5606,'LEAID Match'!$A$2:$B$142,2,FALSE),"")</f>
        <v/>
      </c>
    </row>
    <row r="5607" spans="1:8" x14ac:dyDescent="0.2">
      <c r="A5607" t="str">
        <f t="shared" si="87"/>
        <v/>
      </c>
      <c r="B5607" s="1">
        <v>2021</v>
      </c>
      <c r="C5607" s="1" t="s">
        <v>2505</v>
      </c>
      <c r="D5607" s="1" t="s">
        <v>2506</v>
      </c>
      <c r="E5607" s="1" t="s">
        <v>2019</v>
      </c>
      <c r="F5607" s="1" t="s">
        <v>559</v>
      </c>
      <c r="G5607" s="6">
        <v>8453</v>
      </c>
      <c r="H5607" t="str">
        <f>IFERROR(VLOOKUP(F5607,'LEAID Match'!$A$2:$B$142,2,FALSE),"")</f>
        <v/>
      </c>
    </row>
    <row r="5608" spans="1:8" x14ac:dyDescent="0.2">
      <c r="A5608" t="str">
        <f t="shared" si="87"/>
        <v/>
      </c>
      <c r="B5608" s="1">
        <v>2022</v>
      </c>
      <c r="C5608" s="1" t="s">
        <v>2505</v>
      </c>
      <c r="D5608" s="1" t="s">
        <v>2506</v>
      </c>
      <c r="E5608" s="1" t="s">
        <v>2019</v>
      </c>
      <c r="F5608" s="1" t="s">
        <v>559</v>
      </c>
      <c r="G5608" s="6">
        <v>8468</v>
      </c>
      <c r="H5608" t="str">
        <f>IFERROR(VLOOKUP(F5608,'LEAID Match'!$A$2:$B$142,2,FALSE),"")</f>
        <v/>
      </c>
    </row>
    <row r="5609" spans="1:8" x14ac:dyDescent="0.2">
      <c r="A5609" t="str">
        <f t="shared" si="87"/>
        <v/>
      </c>
      <c r="B5609" s="1">
        <v>2023</v>
      </c>
      <c r="C5609" s="1" t="s">
        <v>2505</v>
      </c>
      <c r="D5609" s="1" t="s">
        <v>2506</v>
      </c>
      <c r="E5609" s="1" t="s">
        <v>2019</v>
      </c>
      <c r="F5609" s="1" t="s">
        <v>559</v>
      </c>
      <c r="G5609" s="6">
        <v>8468</v>
      </c>
      <c r="H5609" t="str">
        <f>IFERROR(VLOOKUP(F5609,'LEAID Match'!$A$2:$B$142,2,FALSE),"")</f>
        <v/>
      </c>
    </row>
    <row r="5610" spans="1:8" x14ac:dyDescent="0.2">
      <c r="A5610" t="str">
        <f t="shared" si="87"/>
        <v/>
      </c>
      <c r="B5610" s="1">
        <v>2024</v>
      </c>
      <c r="C5610" s="1" t="s">
        <v>2505</v>
      </c>
      <c r="D5610" s="1" t="s">
        <v>2506</v>
      </c>
      <c r="E5610" s="1" t="s">
        <v>2019</v>
      </c>
      <c r="F5610" s="1" t="s">
        <v>559</v>
      </c>
      <c r="G5610" s="6">
        <v>8483</v>
      </c>
      <c r="H5610" t="str">
        <f>IFERROR(VLOOKUP(F5610,'LEAID Match'!$A$2:$B$142,2,FALSE),"")</f>
        <v/>
      </c>
    </row>
    <row r="5611" spans="1:8" x14ac:dyDescent="0.2">
      <c r="A5611" t="str">
        <f t="shared" si="87"/>
        <v/>
      </c>
      <c r="B5611" s="1">
        <v>2015</v>
      </c>
      <c r="C5611" s="1" t="s">
        <v>2505</v>
      </c>
      <c r="D5611" s="1" t="s">
        <v>2506</v>
      </c>
      <c r="E5611" s="1" t="s">
        <v>2019</v>
      </c>
      <c r="F5611" s="1" t="s">
        <v>560</v>
      </c>
      <c r="G5611" s="6">
        <v>33050</v>
      </c>
      <c r="H5611" t="str">
        <f>IFERROR(VLOOKUP(F5611,'LEAID Match'!$A$2:$B$142,2,FALSE),"")</f>
        <v/>
      </c>
    </row>
    <row r="5612" spans="1:8" x14ac:dyDescent="0.2">
      <c r="A5612" t="str">
        <f t="shared" si="87"/>
        <v/>
      </c>
      <c r="B5612">
        <v>2016</v>
      </c>
      <c r="C5612" s="1" t="s">
        <v>2505</v>
      </c>
      <c r="D5612" s="1" t="s">
        <v>2506</v>
      </c>
      <c r="E5612" s="1" t="s">
        <v>2019</v>
      </c>
      <c r="F5612" s="1" t="s">
        <v>560</v>
      </c>
      <c r="G5612" s="12">
        <v>38101</v>
      </c>
      <c r="H5612" t="str">
        <f>IFERROR(VLOOKUP(F5612,'LEAID Match'!$A$2:$B$142,2,FALSE),"")</f>
        <v/>
      </c>
    </row>
    <row r="5613" spans="1:8" x14ac:dyDescent="0.2">
      <c r="A5613" t="str">
        <f t="shared" si="87"/>
        <v/>
      </c>
      <c r="B5613" s="1">
        <v>2017</v>
      </c>
      <c r="C5613" s="1" t="s">
        <v>2505</v>
      </c>
      <c r="D5613" s="1" t="s">
        <v>2506</v>
      </c>
      <c r="E5613" s="1" t="s">
        <v>2019</v>
      </c>
      <c r="F5613" s="1" t="s">
        <v>560</v>
      </c>
      <c r="G5613" s="49">
        <v>41471</v>
      </c>
      <c r="H5613" t="str">
        <f>IFERROR(VLOOKUP(F5613,'LEAID Match'!$A$2:$B$142,2,FALSE),"")</f>
        <v/>
      </c>
    </row>
    <row r="5614" spans="1:8" x14ac:dyDescent="0.2">
      <c r="A5614" t="str">
        <f t="shared" si="87"/>
        <v/>
      </c>
      <c r="B5614" s="1">
        <v>2018</v>
      </c>
      <c r="C5614" s="1" t="s">
        <v>2505</v>
      </c>
      <c r="D5614" s="1" t="s">
        <v>2506</v>
      </c>
      <c r="E5614" s="1" t="s">
        <v>2019</v>
      </c>
      <c r="F5614" s="1" t="s">
        <v>560</v>
      </c>
      <c r="G5614" s="6">
        <v>42343</v>
      </c>
      <c r="H5614" t="str">
        <f>IFERROR(VLOOKUP(F5614,'LEAID Match'!$A$2:$B$142,2,FALSE),"")</f>
        <v/>
      </c>
    </row>
    <row r="5615" spans="1:8" x14ac:dyDescent="0.2">
      <c r="A5615" t="str">
        <f t="shared" si="87"/>
        <v/>
      </c>
      <c r="B5615" s="1">
        <v>2019</v>
      </c>
      <c r="C5615" s="1" t="s">
        <v>2505</v>
      </c>
      <c r="D5615" s="1" t="s">
        <v>2506</v>
      </c>
      <c r="E5615" s="1" t="s">
        <v>2019</v>
      </c>
      <c r="F5615" s="1" t="s">
        <v>560</v>
      </c>
      <c r="G5615" s="6">
        <v>51103</v>
      </c>
      <c r="H5615" t="str">
        <f>IFERROR(VLOOKUP(F5615,'LEAID Match'!$A$2:$B$142,2,FALSE),"")</f>
        <v/>
      </c>
    </row>
    <row r="5616" spans="1:8" x14ac:dyDescent="0.2">
      <c r="A5616" t="str">
        <f t="shared" si="87"/>
        <v/>
      </c>
      <c r="B5616" s="1">
        <v>2020</v>
      </c>
      <c r="C5616" s="1" t="s">
        <v>2505</v>
      </c>
      <c r="D5616" s="1" t="s">
        <v>2506</v>
      </c>
      <c r="E5616" s="1" t="s">
        <v>2019</v>
      </c>
      <c r="F5616" s="1" t="s">
        <v>560</v>
      </c>
      <c r="G5616" s="6">
        <v>51996</v>
      </c>
      <c r="H5616" t="str">
        <f>IFERROR(VLOOKUP(F5616,'LEAID Match'!$A$2:$B$142,2,FALSE),"")</f>
        <v/>
      </c>
    </row>
    <row r="5617" spans="1:8" x14ac:dyDescent="0.2">
      <c r="A5617" t="str">
        <f t="shared" si="87"/>
        <v/>
      </c>
      <c r="B5617" s="1">
        <v>2021</v>
      </c>
      <c r="C5617" s="1" t="s">
        <v>2505</v>
      </c>
      <c r="D5617" s="1" t="s">
        <v>2506</v>
      </c>
      <c r="E5617" s="1" t="s">
        <v>2019</v>
      </c>
      <c r="F5617" s="1" t="s">
        <v>560</v>
      </c>
      <c r="G5617" s="6">
        <v>47985</v>
      </c>
      <c r="H5617" t="str">
        <f>IFERROR(VLOOKUP(F5617,'LEAID Match'!$A$2:$B$142,2,FALSE),"")</f>
        <v/>
      </c>
    </row>
    <row r="5618" spans="1:8" x14ac:dyDescent="0.2">
      <c r="A5618" t="str">
        <f t="shared" si="87"/>
        <v/>
      </c>
      <c r="B5618" s="1">
        <v>2022</v>
      </c>
      <c r="C5618" s="1" t="s">
        <v>2505</v>
      </c>
      <c r="D5618" s="1" t="s">
        <v>2506</v>
      </c>
      <c r="E5618" s="1" t="s">
        <v>2019</v>
      </c>
      <c r="F5618" s="1" t="s">
        <v>560</v>
      </c>
      <c r="G5618" s="6">
        <v>55028</v>
      </c>
      <c r="H5618" t="str">
        <f>IFERROR(VLOOKUP(F5618,'LEAID Match'!$A$2:$B$142,2,FALSE),"")</f>
        <v/>
      </c>
    </row>
    <row r="5619" spans="1:8" x14ac:dyDescent="0.2">
      <c r="A5619" t="str">
        <f t="shared" si="87"/>
        <v/>
      </c>
      <c r="B5619" s="1">
        <v>2023</v>
      </c>
      <c r="C5619" s="1" t="s">
        <v>2505</v>
      </c>
      <c r="D5619" s="1" t="s">
        <v>2506</v>
      </c>
      <c r="E5619" s="1" t="s">
        <v>2019</v>
      </c>
      <c r="F5619" s="1" t="s">
        <v>560</v>
      </c>
      <c r="G5619" s="6">
        <v>64838</v>
      </c>
      <c r="H5619" t="str">
        <f>IFERROR(VLOOKUP(F5619,'LEAID Match'!$A$2:$B$142,2,FALSE),"")</f>
        <v/>
      </c>
    </row>
    <row r="5620" spans="1:8" x14ac:dyDescent="0.2">
      <c r="A5620" t="str">
        <f t="shared" si="87"/>
        <v/>
      </c>
      <c r="B5620" s="1">
        <v>2024</v>
      </c>
      <c r="C5620" s="1" t="s">
        <v>2505</v>
      </c>
      <c r="D5620" s="1" t="s">
        <v>2506</v>
      </c>
      <c r="E5620" s="1" t="s">
        <v>2019</v>
      </c>
      <c r="F5620" s="1" t="s">
        <v>560</v>
      </c>
      <c r="G5620" s="6">
        <v>68178</v>
      </c>
      <c r="H5620" t="str">
        <f>IFERROR(VLOOKUP(F5620,'LEAID Match'!$A$2:$B$142,2,FALSE),"")</f>
        <v/>
      </c>
    </row>
    <row r="5621" spans="1:8" x14ac:dyDescent="0.2">
      <c r="A5621" t="str">
        <f t="shared" si="87"/>
        <v/>
      </c>
      <c r="B5621" s="1">
        <v>2015</v>
      </c>
      <c r="C5621" s="1" t="s">
        <v>2505</v>
      </c>
      <c r="D5621" s="1" t="s">
        <v>2506</v>
      </c>
      <c r="E5621" s="1" t="s">
        <v>2019</v>
      </c>
      <c r="F5621" s="1" t="s">
        <v>1078</v>
      </c>
      <c r="G5621" s="6">
        <v>10023</v>
      </c>
      <c r="H5621" t="str">
        <f>IFERROR(VLOOKUP(F5621,'LEAID Match'!$A$2:$B$142,2,FALSE),"")</f>
        <v/>
      </c>
    </row>
    <row r="5622" spans="1:8" x14ac:dyDescent="0.2">
      <c r="A5622" t="str">
        <f t="shared" si="87"/>
        <v/>
      </c>
      <c r="B5622">
        <v>2016</v>
      </c>
      <c r="C5622" s="1" t="s">
        <v>2505</v>
      </c>
      <c r="D5622" s="1" t="s">
        <v>2506</v>
      </c>
      <c r="E5622" s="1" t="s">
        <v>2019</v>
      </c>
      <c r="F5622" s="1" t="s">
        <v>1078</v>
      </c>
      <c r="G5622" s="12">
        <v>12346</v>
      </c>
      <c r="H5622" t="str">
        <f>IFERROR(VLOOKUP(F5622,'LEAID Match'!$A$2:$B$142,2,FALSE),"")</f>
        <v/>
      </c>
    </row>
    <row r="5623" spans="1:8" x14ac:dyDescent="0.2">
      <c r="A5623" t="str">
        <f t="shared" si="87"/>
        <v/>
      </c>
      <c r="B5623" s="1">
        <v>2017</v>
      </c>
      <c r="C5623" s="1" t="s">
        <v>2505</v>
      </c>
      <c r="D5623" s="1" t="s">
        <v>2506</v>
      </c>
      <c r="E5623" s="1" t="s">
        <v>2019</v>
      </c>
      <c r="F5623" s="1" t="s">
        <v>1078</v>
      </c>
      <c r="G5623" s="49">
        <v>12763</v>
      </c>
      <c r="H5623" t="str">
        <f>IFERROR(VLOOKUP(F5623,'LEAID Match'!$A$2:$B$142,2,FALSE),"")</f>
        <v/>
      </c>
    </row>
    <row r="5624" spans="1:8" x14ac:dyDescent="0.2">
      <c r="A5624" t="str">
        <f t="shared" si="87"/>
        <v/>
      </c>
      <c r="B5624" s="1">
        <v>2018</v>
      </c>
      <c r="C5624" s="1" t="s">
        <v>2505</v>
      </c>
      <c r="D5624" s="1" t="s">
        <v>2506</v>
      </c>
      <c r="E5624" s="1" t="s">
        <v>2019</v>
      </c>
      <c r="F5624" s="1" t="s">
        <v>1078</v>
      </c>
      <c r="G5624" s="6">
        <v>13602</v>
      </c>
      <c r="H5624" t="str">
        <f>IFERROR(VLOOKUP(F5624,'LEAID Match'!$A$2:$B$142,2,FALSE),"")</f>
        <v/>
      </c>
    </row>
    <row r="5625" spans="1:8" x14ac:dyDescent="0.2">
      <c r="A5625" t="str">
        <f t="shared" si="87"/>
        <v/>
      </c>
      <c r="B5625" s="1">
        <v>2019</v>
      </c>
      <c r="C5625" s="1" t="s">
        <v>2505</v>
      </c>
      <c r="D5625" s="1" t="s">
        <v>2506</v>
      </c>
      <c r="E5625" s="1" t="s">
        <v>2019</v>
      </c>
      <c r="F5625" s="1" t="s">
        <v>1078</v>
      </c>
      <c r="G5625" s="6">
        <v>14441</v>
      </c>
      <c r="H5625" t="str">
        <f>IFERROR(VLOOKUP(F5625,'LEAID Match'!$A$2:$B$142,2,FALSE),"")</f>
        <v/>
      </c>
    </row>
    <row r="5626" spans="1:8" x14ac:dyDescent="0.2">
      <c r="A5626" t="str">
        <f t="shared" si="87"/>
        <v/>
      </c>
      <c r="B5626" s="1">
        <v>2020</v>
      </c>
      <c r="C5626" s="1" t="s">
        <v>2505</v>
      </c>
      <c r="D5626" s="1" t="s">
        <v>2506</v>
      </c>
      <c r="E5626" s="1" t="s">
        <v>2019</v>
      </c>
      <c r="F5626" s="1" t="s">
        <v>1078</v>
      </c>
      <c r="G5626" s="6">
        <v>16117</v>
      </c>
      <c r="H5626" t="str">
        <f>IFERROR(VLOOKUP(F5626,'LEAID Match'!$A$2:$B$142,2,FALSE),"")</f>
        <v/>
      </c>
    </row>
    <row r="5627" spans="1:8" x14ac:dyDescent="0.2">
      <c r="A5627" t="str">
        <f t="shared" si="87"/>
        <v/>
      </c>
      <c r="B5627" s="1">
        <v>2021</v>
      </c>
      <c r="C5627" s="1" t="s">
        <v>2505</v>
      </c>
      <c r="D5627" s="1" t="s">
        <v>2506</v>
      </c>
      <c r="E5627" s="1" t="s">
        <v>2019</v>
      </c>
      <c r="F5627" s="1" t="s">
        <v>1078</v>
      </c>
      <c r="G5627" s="6">
        <v>16117</v>
      </c>
      <c r="H5627" t="str">
        <f>IFERROR(VLOOKUP(F5627,'LEAID Match'!$A$2:$B$142,2,FALSE),"")</f>
        <v/>
      </c>
    </row>
    <row r="5628" spans="1:8" x14ac:dyDescent="0.2">
      <c r="A5628" t="str">
        <f t="shared" si="87"/>
        <v/>
      </c>
      <c r="B5628" s="1">
        <v>2022</v>
      </c>
      <c r="C5628" s="1" t="s">
        <v>2505</v>
      </c>
      <c r="D5628" s="1" t="s">
        <v>2506</v>
      </c>
      <c r="E5628" s="1" t="s">
        <v>2019</v>
      </c>
      <c r="F5628" s="1" t="s">
        <v>1078</v>
      </c>
      <c r="G5628" s="6">
        <v>15652</v>
      </c>
      <c r="H5628" t="str">
        <f>IFERROR(VLOOKUP(F5628,'LEAID Match'!$A$2:$B$142,2,FALSE),"")</f>
        <v/>
      </c>
    </row>
    <row r="5629" spans="1:8" x14ac:dyDescent="0.2">
      <c r="A5629" t="str">
        <f t="shared" si="87"/>
        <v/>
      </c>
      <c r="B5629" s="1">
        <v>2023</v>
      </c>
      <c r="C5629" s="1" t="s">
        <v>2505</v>
      </c>
      <c r="D5629" s="1" t="s">
        <v>2506</v>
      </c>
      <c r="E5629" s="1" t="s">
        <v>2019</v>
      </c>
      <c r="F5629" s="1" t="s">
        <v>1078</v>
      </c>
      <c r="G5629" s="6">
        <v>16135</v>
      </c>
      <c r="H5629" t="str">
        <f>IFERROR(VLOOKUP(F5629,'LEAID Match'!$A$2:$B$142,2,FALSE),"")</f>
        <v/>
      </c>
    </row>
    <row r="5630" spans="1:8" x14ac:dyDescent="0.2">
      <c r="A5630" t="str">
        <f t="shared" si="87"/>
        <v/>
      </c>
      <c r="B5630" s="1">
        <v>2024</v>
      </c>
      <c r="C5630" s="1" t="s">
        <v>2505</v>
      </c>
      <c r="D5630" s="1" t="s">
        <v>2506</v>
      </c>
      <c r="E5630" s="1" t="s">
        <v>2019</v>
      </c>
      <c r="F5630" s="1" t="s">
        <v>1078</v>
      </c>
      <c r="G5630" s="6">
        <v>16135</v>
      </c>
      <c r="H5630" t="str">
        <f>IFERROR(VLOOKUP(F5630,'LEAID Match'!$A$2:$B$142,2,FALSE),"")</f>
        <v/>
      </c>
    </row>
    <row r="5631" spans="1:8" x14ac:dyDescent="0.2">
      <c r="A5631" t="str">
        <f t="shared" si="87"/>
        <v/>
      </c>
      <c r="B5631" s="1">
        <v>2015</v>
      </c>
      <c r="C5631" s="1" t="s">
        <v>2505</v>
      </c>
      <c r="D5631" s="1" t="s">
        <v>2506</v>
      </c>
      <c r="E5631" s="1" t="s">
        <v>2019</v>
      </c>
      <c r="F5631" s="1" t="s">
        <v>562</v>
      </c>
      <c r="G5631" s="6">
        <v>1080883</v>
      </c>
      <c r="H5631" t="str">
        <f>IFERROR(VLOOKUP(F5631,'LEAID Match'!$A$2:$B$142,2,FALSE),"")</f>
        <v/>
      </c>
    </row>
    <row r="5632" spans="1:8" x14ac:dyDescent="0.2">
      <c r="A5632" t="str">
        <f t="shared" si="87"/>
        <v/>
      </c>
      <c r="B5632">
        <v>2016</v>
      </c>
      <c r="C5632" s="1" t="s">
        <v>2505</v>
      </c>
      <c r="D5632" s="1" t="s">
        <v>2506</v>
      </c>
      <c r="E5632" s="1" t="s">
        <v>2019</v>
      </c>
      <c r="F5632" s="1" t="s">
        <v>562</v>
      </c>
      <c r="G5632" s="12">
        <v>1100006</v>
      </c>
      <c r="H5632" t="str">
        <f>IFERROR(VLOOKUP(F5632,'LEAID Match'!$A$2:$B$142,2,FALSE),"")</f>
        <v/>
      </c>
    </row>
    <row r="5633" spans="1:8" x14ac:dyDescent="0.2">
      <c r="A5633" t="str">
        <f t="shared" si="87"/>
        <v/>
      </c>
      <c r="B5633" s="1">
        <v>2017</v>
      </c>
      <c r="C5633" s="1" t="s">
        <v>2505</v>
      </c>
      <c r="D5633" s="1" t="s">
        <v>2506</v>
      </c>
      <c r="E5633" s="1" t="s">
        <v>2019</v>
      </c>
      <c r="F5633" s="1" t="s">
        <v>562</v>
      </c>
      <c r="G5633" s="49">
        <v>1106563</v>
      </c>
      <c r="H5633" t="str">
        <f>IFERROR(VLOOKUP(F5633,'LEAID Match'!$A$2:$B$142,2,FALSE),"")</f>
        <v/>
      </c>
    </row>
    <row r="5634" spans="1:8" x14ac:dyDescent="0.2">
      <c r="A5634" t="str">
        <f t="shared" si="87"/>
        <v/>
      </c>
      <c r="B5634" s="1">
        <v>2018</v>
      </c>
      <c r="C5634" s="1" t="s">
        <v>2505</v>
      </c>
      <c r="D5634" s="1" t="s">
        <v>2506</v>
      </c>
      <c r="E5634" s="1" t="s">
        <v>2019</v>
      </c>
      <c r="F5634" s="1" t="s">
        <v>562</v>
      </c>
      <c r="G5634" s="6">
        <v>1122863</v>
      </c>
      <c r="H5634" t="str">
        <f>IFERROR(VLOOKUP(F5634,'LEAID Match'!$A$2:$B$142,2,FALSE),"")</f>
        <v/>
      </c>
    </row>
    <row r="5635" spans="1:8" x14ac:dyDescent="0.2">
      <c r="A5635" t="str">
        <f t="shared" ref="A5635:A5698" si="88">H5635</f>
        <v/>
      </c>
      <c r="B5635" s="1">
        <v>2019</v>
      </c>
      <c r="C5635" s="1" t="s">
        <v>2505</v>
      </c>
      <c r="D5635" s="1" t="s">
        <v>2506</v>
      </c>
      <c r="E5635" s="1" t="s">
        <v>2019</v>
      </c>
      <c r="F5635" s="1" t="s">
        <v>562</v>
      </c>
      <c r="G5635" s="6">
        <v>1091945</v>
      </c>
      <c r="H5635" t="str">
        <f>IFERROR(VLOOKUP(F5635,'LEAID Match'!$A$2:$B$142,2,FALSE),"")</f>
        <v/>
      </c>
    </row>
    <row r="5636" spans="1:8" x14ac:dyDescent="0.2">
      <c r="A5636" t="str">
        <f t="shared" si="88"/>
        <v/>
      </c>
      <c r="B5636" s="1">
        <v>2020</v>
      </c>
      <c r="C5636" s="1" t="s">
        <v>2505</v>
      </c>
      <c r="D5636" s="1" t="s">
        <v>2506</v>
      </c>
      <c r="E5636" s="1" t="s">
        <v>2019</v>
      </c>
      <c r="F5636" s="1" t="s">
        <v>562</v>
      </c>
      <c r="G5636" s="6">
        <v>1212159</v>
      </c>
      <c r="H5636" t="str">
        <f>IFERROR(VLOOKUP(F5636,'LEAID Match'!$A$2:$B$142,2,FALSE),"")</f>
        <v/>
      </c>
    </row>
    <row r="5637" spans="1:8" x14ac:dyDescent="0.2">
      <c r="A5637" t="str">
        <f t="shared" si="88"/>
        <v/>
      </c>
      <c r="B5637" s="1">
        <v>2021</v>
      </c>
      <c r="C5637" s="1" t="s">
        <v>2505</v>
      </c>
      <c r="D5637" s="1" t="s">
        <v>2506</v>
      </c>
      <c r="E5637" s="1" t="s">
        <v>2019</v>
      </c>
      <c r="F5637" s="1" t="s">
        <v>562</v>
      </c>
      <c r="G5637" s="6">
        <v>1289629</v>
      </c>
      <c r="H5637" t="str">
        <f>IFERROR(VLOOKUP(F5637,'LEAID Match'!$A$2:$B$142,2,FALSE),"")</f>
        <v/>
      </c>
    </row>
    <row r="5638" spans="1:8" x14ac:dyDescent="0.2">
      <c r="A5638" t="str">
        <f t="shared" si="88"/>
        <v/>
      </c>
      <c r="B5638" s="1">
        <v>2022</v>
      </c>
      <c r="C5638" s="1" t="s">
        <v>2505</v>
      </c>
      <c r="D5638" s="1" t="s">
        <v>2506</v>
      </c>
      <c r="E5638" s="1" t="s">
        <v>2019</v>
      </c>
      <c r="F5638" s="1" t="s">
        <v>562</v>
      </c>
      <c r="G5638" s="6">
        <v>1354845</v>
      </c>
      <c r="H5638" t="str">
        <f>IFERROR(VLOOKUP(F5638,'LEAID Match'!$A$2:$B$142,2,FALSE),"")</f>
        <v/>
      </c>
    </row>
    <row r="5639" spans="1:8" x14ac:dyDescent="0.2">
      <c r="A5639" t="str">
        <f t="shared" si="88"/>
        <v/>
      </c>
      <c r="B5639" s="1">
        <v>2023</v>
      </c>
      <c r="C5639" s="1" t="s">
        <v>2505</v>
      </c>
      <c r="D5639" s="1" t="s">
        <v>2506</v>
      </c>
      <c r="E5639" s="1" t="s">
        <v>2019</v>
      </c>
      <c r="F5639" s="1" t="s">
        <v>562</v>
      </c>
      <c r="G5639" s="6">
        <v>1442324</v>
      </c>
      <c r="H5639" t="str">
        <f>IFERROR(VLOOKUP(F5639,'LEAID Match'!$A$2:$B$142,2,FALSE),"")</f>
        <v/>
      </c>
    </row>
    <row r="5640" spans="1:8" x14ac:dyDescent="0.2">
      <c r="A5640" t="str">
        <f t="shared" si="88"/>
        <v/>
      </c>
      <c r="B5640" s="1">
        <v>2024</v>
      </c>
      <c r="C5640" s="1" t="s">
        <v>2505</v>
      </c>
      <c r="D5640" s="1" t="s">
        <v>2506</v>
      </c>
      <c r="E5640" s="1" t="s">
        <v>2019</v>
      </c>
      <c r="F5640" s="1" t="s">
        <v>562</v>
      </c>
      <c r="G5640" s="6">
        <v>1452387</v>
      </c>
      <c r="H5640" t="str">
        <f>IFERROR(VLOOKUP(F5640,'LEAID Match'!$A$2:$B$142,2,FALSE),"")</f>
        <v/>
      </c>
    </row>
    <row r="5641" spans="1:8" x14ac:dyDescent="0.2">
      <c r="A5641">
        <f t="shared" si="88"/>
        <v>2803360</v>
      </c>
      <c r="B5641" s="1">
        <v>2015</v>
      </c>
      <c r="C5641" s="1" t="s">
        <v>2505</v>
      </c>
      <c r="D5641" s="1" t="s">
        <v>2506</v>
      </c>
      <c r="E5641" s="1" t="s">
        <v>2019</v>
      </c>
      <c r="F5641" s="1" t="s">
        <v>563</v>
      </c>
      <c r="G5641" s="6">
        <v>4263675</v>
      </c>
      <c r="H5641">
        <f>IFERROR(VLOOKUP(F5641,'LEAID Match'!$A$2:$B$142,2,FALSE),"")</f>
        <v>2803360</v>
      </c>
    </row>
    <row r="5642" spans="1:8" x14ac:dyDescent="0.2">
      <c r="A5642">
        <f t="shared" si="88"/>
        <v>2803360</v>
      </c>
      <c r="B5642">
        <v>2016</v>
      </c>
      <c r="C5642" s="1" t="s">
        <v>2505</v>
      </c>
      <c r="D5642" s="1" t="s">
        <v>2506</v>
      </c>
      <c r="E5642" s="1" t="s">
        <v>2019</v>
      </c>
      <c r="F5642" s="1" t="s">
        <v>563</v>
      </c>
      <c r="G5642" s="12">
        <v>4450614</v>
      </c>
      <c r="H5642">
        <f>IFERROR(VLOOKUP(F5642,'LEAID Match'!$A$2:$B$142,2,FALSE),"")</f>
        <v>2803360</v>
      </c>
    </row>
    <row r="5643" spans="1:8" x14ac:dyDescent="0.2">
      <c r="A5643">
        <f t="shared" si="88"/>
        <v>2803360</v>
      </c>
      <c r="B5643" s="1">
        <v>2017</v>
      </c>
      <c r="C5643" s="1" t="s">
        <v>2505</v>
      </c>
      <c r="D5643" s="1" t="s">
        <v>2506</v>
      </c>
      <c r="E5643" s="1" t="s">
        <v>2019</v>
      </c>
      <c r="F5643" s="1" t="s">
        <v>563</v>
      </c>
      <c r="G5643" s="49">
        <v>4499972</v>
      </c>
      <c r="H5643">
        <f>IFERROR(VLOOKUP(F5643,'LEAID Match'!$A$2:$B$142,2,FALSE),"")</f>
        <v>2803360</v>
      </c>
    </row>
    <row r="5644" spans="1:8" x14ac:dyDescent="0.2">
      <c r="A5644">
        <f t="shared" si="88"/>
        <v>2803360</v>
      </c>
      <c r="B5644" s="1">
        <v>2018</v>
      </c>
      <c r="C5644" s="1" t="s">
        <v>2505</v>
      </c>
      <c r="D5644" s="1" t="s">
        <v>2506</v>
      </c>
      <c r="E5644" s="1" t="s">
        <v>2019</v>
      </c>
      <c r="F5644" s="1" t="s">
        <v>563</v>
      </c>
      <c r="G5644" s="6">
        <v>4590567</v>
      </c>
      <c r="H5644">
        <f>IFERROR(VLOOKUP(F5644,'LEAID Match'!$A$2:$B$142,2,FALSE),"")</f>
        <v>2803360</v>
      </c>
    </row>
    <row r="5645" spans="1:8" x14ac:dyDescent="0.2">
      <c r="A5645">
        <f t="shared" si="88"/>
        <v>2803360</v>
      </c>
      <c r="B5645" s="1">
        <v>2019</v>
      </c>
      <c r="C5645" s="1" t="s">
        <v>2505</v>
      </c>
      <c r="D5645" s="1" t="s">
        <v>2506</v>
      </c>
      <c r="E5645" s="1" t="s">
        <v>2019</v>
      </c>
      <c r="F5645" s="1" t="s">
        <v>563</v>
      </c>
      <c r="G5645" s="6">
        <v>4714971</v>
      </c>
      <c r="H5645">
        <f>IFERROR(VLOOKUP(F5645,'LEAID Match'!$A$2:$B$142,2,FALSE),"")</f>
        <v>2803360</v>
      </c>
    </row>
    <row r="5646" spans="1:8" x14ac:dyDescent="0.2">
      <c r="A5646">
        <f t="shared" si="88"/>
        <v>2803360</v>
      </c>
      <c r="B5646" s="1">
        <v>2020</v>
      </c>
      <c r="C5646" s="1" t="s">
        <v>2505</v>
      </c>
      <c r="D5646" s="1" t="s">
        <v>2506</v>
      </c>
      <c r="E5646" s="1" t="s">
        <v>2019</v>
      </c>
      <c r="F5646" s="1" t="s">
        <v>563</v>
      </c>
      <c r="G5646" s="6">
        <v>5456941</v>
      </c>
      <c r="H5646">
        <f>IFERROR(VLOOKUP(F5646,'LEAID Match'!$A$2:$B$142,2,FALSE),"")</f>
        <v>2803360</v>
      </c>
    </row>
    <row r="5647" spans="1:8" x14ac:dyDescent="0.2">
      <c r="A5647">
        <f t="shared" si="88"/>
        <v>2803360</v>
      </c>
      <c r="B5647" s="1">
        <v>2021</v>
      </c>
      <c r="C5647" s="1" t="s">
        <v>2505</v>
      </c>
      <c r="D5647" s="1" t="s">
        <v>2506</v>
      </c>
      <c r="E5647" s="1" t="s">
        <v>2019</v>
      </c>
      <c r="F5647" s="1" t="s">
        <v>563</v>
      </c>
      <c r="G5647" s="6">
        <v>5646859</v>
      </c>
      <c r="H5647">
        <f>IFERROR(VLOOKUP(F5647,'LEAID Match'!$A$2:$B$142,2,FALSE),"")</f>
        <v>2803360</v>
      </c>
    </row>
    <row r="5648" spans="1:8" x14ac:dyDescent="0.2">
      <c r="A5648">
        <f t="shared" si="88"/>
        <v>2803360</v>
      </c>
      <c r="B5648" s="1">
        <v>2022</v>
      </c>
      <c r="C5648" s="1" t="s">
        <v>2505</v>
      </c>
      <c r="D5648" s="1" t="s">
        <v>2506</v>
      </c>
      <c r="E5648" s="1" t="s">
        <v>2019</v>
      </c>
      <c r="F5648" s="1" t="s">
        <v>563</v>
      </c>
      <c r="G5648" s="6">
        <v>5876713</v>
      </c>
      <c r="H5648">
        <f>IFERROR(VLOOKUP(F5648,'LEAID Match'!$A$2:$B$142,2,FALSE),"")</f>
        <v>2803360</v>
      </c>
    </row>
    <row r="5649" spans="1:8" x14ac:dyDescent="0.2">
      <c r="A5649">
        <f t="shared" si="88"/>
        <v>2803360</v>
      </c>
      <c r="B5649" s="1">
        <v>2023</v>
      </c>
      <c r="C5649" s="1" t="s">
        <v>2505</v>
      </c>
      <c r="D5649" s="1" t="s">
        <v>2506</v>
      </c>
      <c r="E5649" s="1" t="s">
        <v>2019</v>
      </c>
      <c r="F5649" s="1" t="s">
        <v>563</v>
      </c>
      <c r="G5649" s="6">
        <v>6394005</v>
      </c>
      <c r="H5649">
        <f>IFERROR(VLOOKUP(F5649,'LEAID Match'!$A$2:$B$142,2,FALSE),"")</f>
        <v>2803360</v>
      </c>
    </row>
    <row r="5650" spans="1:8" x14ac:dyDescent="0.2">
      <c r="A5650">
        <f t="shared" si="88"/>
        <v>2803360</v>
      </c>
      <c r="B5650" s="1">
        <v>2024</v>
      </c>
      <c r="C5650" s="1" t="s">
        <v>2505</v>
      </c>
      <c r="D5650" s="1" t="s">
        <v>2506</v>
      </c>
      <c r="E5650" s="1" t="s">
        <v>2019</v>
      </c>
      <c r="F5650" s="1" t="s">
        <v>563</v>
      </c>
      <c r="G5650" s="6">
        <v>6876486</v>
      </c>
      <c r="H5650">
        <f>IFERROR(VLOOKUP(F5650,'LEAID Match'!$A$2:$B$142,2,FALSE),"")</f>
        <v>2803360</v>
      </c>
    </row>
    <row r="5651" spans="1:8" x14ac:dyDescent="0.2">
      <c r="A5651" t="str">
        <f t="shared" si="88"/>
        <v/>
      </c>
      <c r="B5651" s="1">
        <v>2021</v>
      </c>
      <c r="C5651" s="1" t="s">
        <v>2505</v>
      </c>
      <c r="D5651" s="1" t="s">
        <v>2506</v>
      </c>
      <c r="E5651" s="1" t="s">
        <v>2019</v>
      </c>
      <c r="F5651" s="1" t="s">
        <v>564</v>
      </c>
      <c r="G5651" s="6">
        <v>6907</v>
      </c>
      <c r="H5651" t="str">
        <f>IFERROR(VLOOKUP(F5651,'LEAID Match'!$A$2:$B$142,2,FALSE),"")</f>
        <v/>
      </c>
    </row>
    <row r="5652" spans="1:8" x14ac:dyDescent="0.2">
      <c r="A5652" t="str">
        <f t="shared" si="88"/>
        <v/>
      </c>
      <c r="B5652" s="1">
        <v>2022</v>
      </c>
      <c r="C5652" s="1" t="s">
        <v>2505</v>
      </c>
      <c r="D5652" s="1" t="s">
        <v>2506</v>
      </c>
      <c r="E5652" s="1" t="s">
        <v>2019</v>
      </c>
      <c r="F5652" s="1" t="s">
        <v>564</v>
      </c>
      <c r="G5652" s="6">
        <v>99026</v>
      </c>
      <c r="H5652" t="str">
        <f>IFERROR(VLOOKUP(F5652,'LEAID Match'!$A$2:$B$142,2,FALSE),"")</f>
        <v/>
      </c>
    </row>
    <row r="5653" spans="1:8" x14ac:dyDescent="0.2">
      <c r="A5653" t="str">
        <f t="shared" si="88"/>
        <v/>
      </c>
      <c r="B5653" s="1">
        <v>2023</v>
      </c>
      <c r="C5653" s="1" t="s">
        <v>2505</v>
      </c>
      <c r="D5653" s="1" t="s">
        <v>2506</v>
      </c>
      <c r="E5653" s="1" t="s">
        <v>2019</v>
      </c>
      <c r="F5653" s="1" t="s">
        <v>564</v>
      </c>
      <c r="G5653" s="6">
        <v>268313</v>
      </c>
      <c r="H5653" t="str">
        <f>IFERROR(VLOOKUP(F5653,'LEAID Match'!$A$2:$B$142,2,FALSE),"")</f>
        <v/>
      </c>
    </row>
    <row r="5654" spans="1:8" x14ac:dyDescent="0.2">
      <c r="A5654" t="str">
        <f t="shared" si="88"/>
        <v/>
      </c>
      <c r="B5654" s="1">
        <v>2024</v>
      </c>
      <c r="C5654" s="1" t="s">
        <v>2505</v>
      </c>
      <c r="D5654" s="1" t="s">
        <v>2506</v>
      </c>
      <c r="E5654" s="1" t="s">
        <v>2019</v>
      </c>
      <c r="F5654" s="1" t="s">
        <v>564</v>
      </c>
      <c r="G5654" s="6">
        <v>273820</v>
      </c>
      <c r="H5654" t="str">
        <f>IFERROR(VLOOKUP(F5654,'LEAID Match'!$A$2:$B$142,2,FALSE),"")</f>
        <v/>
      </c>
    </row>
    <row r="5655" spans="1:8" x14ac:dyDescent="0.2">
      <c r="A5655" t="str">
        <f t="shared" si="88"/>
        <v/>
      </c>
      <c r="B5655" s="1">
        <v>2015</v>
      </c>
      <c r="C5655" s="1" t="s">
        <v>2505</v>
      </c>
      <c r="D5655" s="1" t="s">
        <v>2506</v>
      </c>
      <c r="E5655" s="1" t="s">
        <v>2019</v>
      </c>
      <c r="F5655" s="1" t="s">
        <v>565</v>
      </c>
      <c r="G5655" s="6">
        <v>303419</v>
      </c>
      <c r="H5655" t="str">
        <f>IFERROR(VLOOKUP(F5655,'LEAID Match'!$A$2:$B$142,2,FALSE),"")</f>
        <v/>
      </c>
    </row>
    <row r="5656" spans="1:8" x14ac:dyDescent="0.2">
      <c r="A5656" t="str">
        <f t="shared" si="88"/>
        <v/>
      </c>
      <c r="B5656">
        <v>2016</v>
      </c>
      <c r="C5656" s="1" t="s">
        <v>2505</v>
      </c>
      <c r="D5656" s="1" t="s">
        <v>2506</v>
      </c>
      <c r="E5656" s="1" t="s">
        <v>2019</v>
      </c>
      <c r="F5656" s="1" t="s">
        <v>565</v>
      </c>
      <c r="G5656" s="12">
        <v>303243</v>
      </c>
      <c r="H5656" t="str">
        <f>IFERROR(VLOOKUP(F5656,'LEAID Match'!$A$2:$B$142,2,FALSE),"")</f>
        <v/>
      </c>
    </row>
    <row r="5657" spans="1:8" x14ac:dyDescent="0.2">
      <c r="A5657" t="str">
        <f t="shared" si="88"/>
        <v/>
      </c>
      <c r="B5657" s="1">
        <v>2017</v>
      </c>
      <c r="C5657" s="1" t="s">
        <v>2505</v>
      </c>
      <c r="D5657" s="1" t="s">
        <v>2506</v>
      </c>
      <c r="E5657" s="1" t="s">
        <v>2019</v>
      </c>
      <c r="F5657" s="1" t="s">
        <v>565</v>
      </c>
      <c r="G5657" s="49">
        <v>307421</v>
      </c>
      <c r="H5657" t="str">
        <f>IFERROR(VLOOKUP(F5657,'LEAID Match'!$A$2:$B$142,2,FALSE),"")</f>
        <v/>
      </c>
    </row>
    <row r="5658" spans="1:8" x14ac:dyDescent="0.2">
      <c r="A5658" t="str">
        <f t="shared" si="88"/>
        <v/>
      </c>
      <c r="B5658" s="1">
        <v>2018</v>
      </c>
      <c r="C5658" s="1" t="s">
        <v>2505</v>
      </c>
      <c r="D5658" s="1" t="s">
        <v>2506</v>
      </c>
      <c r="E5658" s="1" t="s">
        <v>2019</v>
      </c>
      <c r="F5658" s="1" t="s">
        <v>565</v>
      </c>
      <c r="G5658" s="6">
        <v>287999</v>
      </c>
      <c r="H5658" t="str">
        <f>IFERROR(VLOOKUP(F5658,'LEAID Match'!$A$2:$B$142,2,FALSE),"")</f>
        <v/>
      </c>
    </row>
    <row r="5659" spans="1:8" x14ac:dyDescent="0.2">
      <c r="A5659" t="str">
        <f t="shared" si="88"/>
        <v/>
      </c>
      <c r="B5659" s="1">
        <v>2019</v>
      </c>
      <c r="C5659" s="1" t="s">
        <v>2505</v>
      </c>
      <c r="D5659" s="1" t="s">
        <v>2506</v>
      </c>
      <c r="E5659" s="1" t="s">
        <v>2019</v>
      </c>
      <c r="F5659" s="1" t="s">
        <v>565</v>
      </c>
      <c r="G5659" s="6">
        <v>290986</v>
      </c>
      <c r="H5659" t="str">
        <f>IFERROR(VLOOKUP(F5659,'LEAID Match'!$A$2:$B$142,2,FALSE),"")</f>
        <v/>
      </c>
    </row>
    <row r="5660" spans="1:8" x14ac:dyDescent="0.2">
      <c r="A5660" t="str">
        <f t="shared" si="88"/>
        <v/>
      </c>
      <c r="B5660" s="1">
        <v>2020</v>
      </c>
      <c r="C5660" s="1" t="s">
        <v>2505</v>
      </c>
      <c r="D5660" s="1" t="s">
        <v>2506</v>
      </c>
      <c r="E5660" s="1" t="s">
        <v>2019</v>
      </c>
      <c r="F5660" s="1" t="s">
        <v>565</v>
      </c>
      <c r="G5660" s="6">
        <v>323347</v>
      </c>
      <c r="H5660" t="str">
        <f>IFERROR(VLOOKUP(F5660,'LEAID Match'!$A$2:$B$142,2,FALSE),"")</f>
        <v/>
      </c>
    </row>
    <row r="5661" spans="1:8" x14ac:dyDescent="0.2">
      <c r="A5661" t="str">
        <f t="shared" si="88"/>
        <v/>
      </c>
      <c r="B5661" s="1">
        <v>2021</v>
      </c>
      <c r="C5661" s="1" t="s">
        <v>2505</v>
      </c>
      <c r="D5661" s="1" t="s">
        <v>2506</v>
      </c>
      <c r="E5661" s="1" t="s">
        <v>2019</v>
      </c>
      <c r="F5661" s="1" t="s">
        <v>565</v>
      </c>
      <c r="G5661" s="6">
        <v>297061</v>
      </c>
      <c r="H5661" t="str">
        <f>IFERROR(VLOOKUP(F5661,'LEAID Match'!$A$2:$B$142,2,FALSE),"")</f>
        <v/>
      </c>
    </row>
    <row r="5662" spans="1:8" x14ac:dyDescent="0.2">
      <c r="A5662" t="str">
        <f t="shared" si="88"/>
        <v/>
      </c>
      <c r="B5662" s="1">
        <v>2022</v>
      </c>
      <c r="C5662" s="1" t="s">
        <v>2505</v>
      </c>
      <c r="D5662" s="1" t="s">
        <v>2506</v>
      </c>
      <c r="E5662" s="1" t="s">
        <v>2019</v>
      </c>
      <c r="F5662" s="1" t="s">
        <v>565</v>
      </c>
      <c r="G5662" s="6">
        <v>313076</v>
      </c>
      <c r="H5662" t="str">
        <f>IFERROR(VLOOKUP(F5662,'LEAID Match'!$A$2:$B$142,2,FALSE),"")</f>
        <v/>
      </c>
    </row>
    <row r="5663" spans="1:8" x14ac:dyDescent="0.2">
      <c r="A5663" t="str">
        <f t="shared" si="88"/>
        <v/>
      </c>
      <c r="B5663" s="1">
        <v>2023</v>
      </c>
      <c r="C5663" s="1" t="s">
        <v>2505</v>
      </c>
      <c r="D5663" s="1" t="s">
        <v>2506</v>
      </c>
      <c r="E5663" s="1" t="s">
        <v>2019</v>
      </c>
      <c r="F5663" s="1" t="s">
        <v>565</v>
      </c>
      <c r="G5663" s="6">
        <v>389781</v>
      </c>
      <c r="H5663" t="str">
        <f>IFERROR(VLOOKUP(F5663,'LEAID Match'!$A$2:$B$142,2,FALSE),"")</f>
        <v/>
      </c>
    </row>
    <row r="5664" spans="1:8" x14ac:dyDescent="0.2">
      <c r="A5664" t="str">
        <f t="shared" si="88"/>
        <v/>
      </c>
      <c r="B5664" s="1">
        <v>2024</v>
      </c>
      <c r="C5664" s="1" t="s">
        <v>2505</v>
      </c>
      <c r="D5664" s="1" t="s">
        <v>2506</v>
      </c>
      <c r="E5664" s="1" t="s">
        <v>2019</v>
      </c>
      <c r="F5664" s="1" t="s">
        <v>565</v>
      </c>
      <c r="G5664" s="6">
        <v>412601</v>
      </c>
      <c r="H5664" t="str">
        <f>IFERROR(VLOOKUP(F5664,'LEAID Match'!$A$2:$B$142,2,FALSE),"")</f>
        <v/>
      </c>
    </row>
    <row r="5665" spans="1:8" x14ac:dyDescent="0.2">
      <c r="A5665" t="str">
        <f t="shared" si="88"/>
        <v/>
      </c>
      <c r="B5665" s="1">
        <v>2015</v>
      </c>
      <c r="C5665" s="1" t="s">
        <v>2505</v>
      </c>
      <c r="D5665" s="1" t="s">
        <v>2506</v>
      </c>
      <c r="E5665" s="1" t="s">
        <v>2019</v>
      </c>
      <c r="F5665" s="1" t="s">
        <v>566</v>
      </c>
      <c r="G5665" s="6">
        <v>194684</v>
      </c>
      <c r="H5665" t="str">
        <f>IFERROR(VLOOKUP(F5665,'LEAID Match'!$A$2:$B$142,2,FALSE),"")</f>
        <v/>
      </c>
    </row>
    <row r="5666" spans="1:8" x14ac:dyDescent="0.2">
      <c r="A5666" t="str">
        <f t="shared" si="88"/>
        <v/>
      </c>
      <c r="B5666">
        <v>2016</v>
      </c>
      <c r="C5666" s="1" t="s">
        <v>2505</v>
      </c>
      <c r="D5666" s="1" t="s">
        <v>2506</v>
      </c>
      <c r="E5666" s="1" t="s">
        <v>2019</v>
      </c>
      <c r="F5666" s="1" t="s">
        <v>566</v>
      </c>
      <c r="G5666" s="12">
        <v>195323</v>
      </c>
      <c r="H5666" t="str">
        <f>IFERROR(VLOOKUP(F5666,'LEAID Match'!$A$2:$B$142,2,FALSE),"")</f>
        <v/>
      </c>
    </row>
    <row r="5667" spans="1:8" x14ac:dyDescent="0.2">
      <c r="A5667" t="str">
        <f t="shared" si="88"/>
        <v/>
      </c>
      <c r="B5667" s="1">
        <v>2017</v>
      </c>
      <c r="C5667" s="1" t="s">
        <v>2505</v>
      </c>
      <c r="D5667" s="1" t="s">
        <v>2506</v>
      </c>
      <c r="E5667" s="1" t="s">
        <v>2019</v>
      </c>
      <c r="F5667" s="1" t="s">
        <v>566</v>
      </c>
      <c r="G5667" s="49">
        <v>191486</v>
      </c>
      <c r="H5667" t="str">
        <f>IFERROR(VLOOKUP(F5667,'LEAID Match'!$A$2:$B$142,2,FALSE),"")</f>
        <v/>
      </c>
    </row>
    <row r="5668" spans="1:8" x14ac:dyDescent="0.2">
      <c r="A5668" t="str">
        <f t="shared" si="88"/>
        <v/>
      </c>
      <c r="B5668" s="1">
        <v>2018</v>
      </c>
      <c r="C5668" s="1" t="s">
        <v>2505</v>
      </c>
      <c r="D5668" s="1" t="s">
        <v>2506</v>
      </c>
      <c r="E5668" s="1" t="s">
        <v>2019</v>
      </c>
      <c r="F5668" s="1" t="s">
        <v>566</v>
      </c>
      <c r="G5668" s="6">
        <v>180608</v>
      </c>
      <c r="H5668" t="str">
        <f>IFERROR(VLOOKUP(F5668,'LEAID Match'!$A$2:$B$142,2,FALSE),"")</f>
        <v/>
      </c>
    </row>
    <row r="5669" spans="1:8" x14ac:dyDescent="0.2">
      <c r="A5669" t="str">
        <f t="shared" si="88"/>
        <v/>
      </c>
      <c r="B5669" s="1">
        <v>2019</v>
      </c>
      <c r="C5669" s="1" t="s">
        <v>2505</v>
      </c>
      <c r="D5669" s="1" t="s">
        <v>2506</v>
      </c>
      <c r="E5669" s="1" t="s">
        <v>2019</v>
      </c>
      <c r="F5669" s="1" t="s">
        <v>566</v>
      </c>
      <c r="G5669" s="6">
        <v>178313</v>
      </c>
      <c r="H5669" t="str">
        <f>IFERROR(VLOOKUP(F5669,'LEAID Match'!$A$2:$B$142,2,FALSE),"")</f>
        <v/>
      </c>
    </row>
    <row r="5670" spans="1:8" x14ac:dyDescent="0.2">
      <c r="A5670" t="str">
        <f t="shared" si="88"/>
        <v/>
      </c>
      <c r="B5670" s="1">
        <v>2020</v>
      </c>
      <c r="C5670" s="1" t="s">
        <v>2505</v>
      </c>
      <c r="D5670" s="1" t="s">
        <v>2506</v>
      </c>
      <c r="E5670" s="1" t="s">
        <v>2019</v>
      </c>
      <c r="F5670" s="1" t="s">
        <v>566</v>
      </c>
      <c r="G5670" s="6">
        <v>228375</v>
      </c>
      <c r="H5670" t="str">
        <f>IFERROR(VLOOKUP(F5670,'LEAID Match'!$A$2:$B$142,2,FALSE),"")</f>
        <v/>
      </c>
    </row>
    <row r="5671" spans="1:8" x14ac:dyDescent="0.2">
      <c r="A5671" t="str">
        <f t="shared" si="88"/>
        <v/>
      </c>
      <c r="B5671" s="1">
        <v>2021</v>
      </c>
      <c r="C5671" s="1" t="s">
        <v>2505</v>
      </c>
      <c r="D5671" s="1" t="s">
        <v>2506</v>
      </c>
      <c r="E5671" s="1" t="s">
        <v>2019</v>
      </c>
      <c r="F5671" s="1" t="s">
        <v>566</v>
      </c>
      <c r="G5671" s="6">
        <v>222446</v>
      </c>
      <c r="H5671" t="str">
        <f>IFERROR(VLOOKUP(F5671,'LEAID Match'!$A$2:$B$142,2,FALSE),"")</f>
        <v/>
      </c>
    </row>
    <row r="5672" spans="1:8" x14ac:dyDescent="0.2">
      <c r="A5672" t="str">
        <f t="shared" si="88"/>
        <v/>
      </c>
      <c r="B5672" s="1">
        <v>2022</v>
      </c>
      <c r="C5672" s="1" t="s">
        <v>2505</v>
      </c>
      <c r="D5672" s="1" t="s">
        <v>2506</v>
      </c>
      <c r="E5672" s="1" t="s">
        <v>2019</v>
      </c>
      <c r="F5672" s="1" t="s">
        <v>566</v>
      </c>
      <c r="G5672" s="6">
        <v>222592</v>
      </c>
      <c r="H5672" t="str">
        <f>IFERROR(VLOOKUP(F5672,'LEAID Match'!$A$2:$B$142,2,FALSE),"")</f>
        <v/>
      </c>
    </row>
    <row r="5673" spans="1:8" x14ac:dyDescent="0.2">
      <c r="A5673" t="str">
        <f t="shared" si="88"/>
        <v/>
      </c>
      <c r="B5673" s="1">
        <v>2023</v>
      </c>
      <c r="C5673" s="1" t="s">
        <v>2505</v>
      </c>
      <c r="D5673" s="1" t="s">
        <v>2506</v>
      </c>
      <c r="E5673" s="1" t="s">
        <v>2019</v>
      </c>
      <c r="F5673" s="1" t="s">
        <v>566</v>
      </c>
      <c r="G5673" s="6">
        <v>235594</v>
      </c>
      <c r="H5673" t="str">
        <f>IFERROR(VLOOKUP(F5673,'LEAID Match'!$A$2:$B$142,2,FALSE),"")</f>
        <v/>
      </c>
    </row>
    <row r="5674" spans="1:8" x14ac:dyDescent="0.2">
      <c r="A5674" t="str">
        <f t="shared" si="88"/>
        <v/>
      </c>
      <c r="B5674" s="1">
        <v>2024</v>
      </c>
      <c r="C5674" s="1" t="s">
        <v>2505</v>
      </c>
      <c r="D5674" s="1" t="s">
        <v>2506</v>
      </c>
      <c r="E5674" s="1" t="s">
        <v>2019</v>
      </c>
      <c r="F5674" s="1" t="s">
        <v>566</v>
      </c>
      <c r="G5674" s="6">
        <v>256360</v>
      </c>
      <c r="H5674" t="str">
        <f>IFERROR(VLOOKUP(F5674,'LEAID Match'!$A$2:$B$142,2,FALSE),"")</f>
        <v/>
      </c>
    </row>
    <row r="5675" spans="1:8" x14ac:dyDescent="0.2">
      <c r="A5675" t="str">
        <f t="shared" si="88"/>
        <v/>
      </c>
      <c r="B5675" s="1">
        <v>2015</v>
      </c>
      <c r="C5675" s="1" t="s">
        <v>2505</v>
      </c>
      <c r="D5675" s="1" t="s">
        <v>2506</v>
      </c>
      <c r="E5675" s="1" t="s">
        <v>2019</v>
      </c>
      <c r="F5675" s="1" t="s">
        <v>567</v>
      </c>
      <c r="G5675" s="6">
        <v>166952</v>
      </c>
      <c r="H5675" t="str">
        <f>IFERROR(VLOOKUP(F5675,'LEAID Match'!$A$2:$B$142,2,FALSE),"")</f>
        <v/>
      </c>
    </row>
    <row r="5676" spans="1:8" x14ac:dyDescent="0.2">
      <c r="A5676" t="str">
        <f t="shared" si="88"/>
        <v/>
      </c>
      <c r="B5676">
        <v>2016</v>
      </c>
      <c r="C5676" s="1" t="s">
        <v>2505</v>
      </c>
      <c r="D5676" s="1" t="s">
        <v>2506</v>
      </c>
      <c r="E5676" s="1" t="s">
        <v>2019</v>
      </c>
      <c r="F5676" s="1" t="s">
        <v>567</v>
      </c>
      <c r="G5676" s="12">
        <v>169174</v>
      </c>
      <c r="H5676" t="str">
        <f>IFERROR(VLOOKUP(F5676,'LEAID Match'!$A$2:$B$142,2,FALSE),"")</f>
        <v/>
      </c>
    </row>
    <row r="5677" spans="1:8" x14ac:dyDescent="0.2">
      <c r="A5677" t="str">
        <f t="shared" si="88"/>
        <v/>
      </c>
      <c r="B5677" s="1">
        <v>2017</v>
      </c>
      <c r="C5677" s="1" t="s">
        <v>2505</v>
      </c>
      <c r="D5677" s="1" t="s">
        <v>2506</v>
      </c>
      <c r="E5677" s="1" t="s">
        <v>2019</v>
      </c>
      <c r="F5677" s="1" t="s">
        <v>567</v>
      </c>
      <c r="G5677" s="49">
        <v>153344</v>
      </c>
      <c r="H5677" t="str">
        <f>IFERROR(VLOOKUP(F5677,'LEAID Match'!$A$2:$B$142,2,FALSE),"")</f>
        <v/>
      </c>
    </row>
    <row r="5678" spans="1:8" x14ac:dyDescent="0.2">
      <c r="A5678" t="str">
        <f t="shared" si="88"/>
        <v/>
      </c>
      <c r="B5678" s="1">
        <v>2018</v>
      </c>
      <c r="C5678" s="1" t="s">
        <v>2505</v>
      </c>
      <c r="D5678" s="1" t="s">
        <v>2506</v>
      </c>
      <c r="E5678" s="1" t="s">
        <v>2019</v>
      </c>
      <c r="F5678" s="1" t="s">
        <v>567</v>
      </c>
      <c r="G5678" s="6">
        <v>164078</v>
      </c>
      <c r="H5678" t="str">
        <f>IFERROR(VLOOKUP(F5678,'LEAID Match'!$A$2:$B$142,2,FALSE),"")</f>
        <v/>
      </c>
    </row>
    <row r="5679" spans="1:8" x14ac:dyDescent="0.2">
      <c r="A5679" t="str">
        <f t="shared" si="88"/>
        <v/>
      </c>
      <c r="B5679" s="1">
        <v>2019</v>
      </c>
      <c r="C5679" s="1" t="s">
        <v>2505</v>
      </c>
      <c r="D5679" s="1" t="s">
        <v>2506</v>
      </c>
      <c r="E5679" s="1" t="s">
        <v>2019</v>
      </c>
      <c r="F5679" s="1" t="s">
        <v>567</v>
      </c>
      <c r="G5679" s="6">
        <v>153540</v>
      </c>
      <c r="H5679" t="str">
        <f>IFERROR(VLOOKUP(F5679,'LEAID Match'!$A$2:$B$142,2,FALSE),"")</f>
        <v/>
      </c>
    </row>
    <row r="5680" spans="1:8" x14ac:dyDescent="0.2">
      <c r="A5680" t="str">
        <f t="shared" si="88"/>
        <v/>
      </c>
      <c r="B5680" s="1">
        <v>2020</v>
      </c>
      <c r="C5680" s="1" t="s">
        <v>2505</v>
      </c>
      <c r="D5680" s="1" t="s">
        <v>2506</v>
      </c>
      <c r="E5680" s="1" t="s">
        <v>2019</v>
      </c>
      <c r="F5680" s="1" t="s">
        <v>567</v>
      </c>
      <c r="G5680" s="6">
        <v>166047</v>
      </c>
      <c r="H5680" t="str">
        <f>IFERROR(VLOOKUP(F5680,'LEAID Match'!$A$2:$B$142,2,FALSE),"")</f>
        <v/>
      </c>
    </row>
    <row r="5681" spans="1:8" x14ac:dyDescent="0.2">
      <c r="A5681" t="str">
        <f t="shared" si="88"/>
        <v/>
      </c>
      <c r="B5681" s="1">
        <v>2021</v>
      </c>
      <c r="C5681" s="1" t="s">
        <v>2505</v>
      </c>
      <c r="D5681" s="1" t="s">
        <v>2506</v>
      </c>
      <c r="E5681" s="1" t="s">
        <v>2019</v>
      </c>
      <c r="F5681" s="1" t="s">
        <v>567</v>
      </c>
      <c r="G5681" s="6">
        <v>157534</v>
      </c>
      <c r="H5681" t="str">
        <f>IFERROR(VLOOKUP(F5681,'LEAID Match'!$A$2:$B$142,2,FALSE),"")</f>
        <v/>
      </c>
    </row>
    <row r="5682" spans="1:8" x14ac:dyDescent="0.2">
      <c r="A5682" t="str">
        <f t="shared" si="88"/>
        <v/>
      </c>
      <c r="B5682" s="1">
        <v>2022</v>
      </c>
      <c r="C5682" s="1" t="s">
        <v>2505</v>
      </c>
      <c r="D5682" s="1" t="s">
        <v>2506</v>
      </c>
      <c r="E5682" s="1" t="s">
        <v>2019</v>
      </c>
      <c r="F5682" s="1" t="s">
        <v>567</v>
      </c>
      <c r="G5682" s="6">
        <v>179476</v>
      </c>
      <c r="H5682" t="str">
        <f>IFERROR(VLOOKUP(F5682,'LEAID Match'!$A$2:$B$142,2,FALSE),"")</f>
        <v/>
      </c>
    </row>
    <row r="5683" spans="1:8" x14ac:dyDescent="0.2">
      <c r="A5683" t="str">
        <f t="shared" si="88"/>
        <v/>
      </c>
      <c r="B5683" s="1">
        <v>2023</v>
      </c>
      <c r="C5683" s="1" t="s">
        <v>2505</v>
      </c>
      <c r="D5683" s="1" t="s">
        <v>2506</v>
      </c>
      <c r="E5683" s="1" t="s">
        <v>2019</v>
      </c>
      <c r="F5683" s="1" t="s">
        <v>567</v>
      </c>
      <c r="G5683" s="6">
        <v>192466</v>
      </c>
      <c r="H5683" t="str">
        <f>IFERROR(VLOOKUP(F5683,'LEAID Match'!$A$2:$B$142,2,FALSE),"")</f>
        <v/>
      </c>
    </row>
    <row r="5684" spans="1:8" x14ac:dyDescent="0.2">
      <c r="A5684" t="str">
        <f t="shared" si="88"/>
        <v/>
      </c>
      <c r="B5684" s="1">
        <v>2024</v>
      </c>
      <c r="C5684" s="1" t="s">
        <v>2505</v>
      </c>
      <c r="D5684" s="1" t="s">
        <v>2506</v>
      </c>
      <c r="E5684" s="1" t="s">
        <v>2019</v>
      </c>
      <c r="F5684" s="1" t="s">
        <v>567</v>
      </c>
      <c r="G5684" s="6">
        <v>192156</v>
      </c>
      <c r="H5684" t="str">
        <f>IFERROR(VLOOKUP(F5684,'LEAID Match'!$A$2:$B$142,2,FALSE),"")</f>
        <v/>
      </c>
    </row>
    <row r="5685" spans="1:8" x14ac:dyDescent="0.2">
      <c r="A5685" t="str">
        <f t="shared" si="88"/>
        <v/>
      </c>
      <c r="B5685" s="1">
        <v>2015</v>
      </c>
      <c r="C5685" s="1" t="s">
        <v>2505</v>
      </c>
      <c r="D5685" s="1" t="s">
        <v>2506</v>
      </c>
      <c r="E5685" s="1" t="s">
        <v>2019</v>
      </c>
      <c r="F5685" s="1" t="s">
        <v>568</v>
      </c>
      <c r="G5685" s="6">
        <v>166657</v>
      </c>
      <c r="H5685" t="str">
        <f>IFERROR(VLOOKUP(F5685,'LEAID Match'!$A$2:$B$142,2,FALSE),"")</f>
        <v/>
      </c>
    </row>
    <row r="5686" spans="1:8" x14ac:dyDescent="0.2">
      <c r="A5686" t="str">
        <f t="shared" si="88"/>
        <v/>
      </c>
      <c r="B5686">
        <v>2016</v>
      </c>
      <c r="C5686" s="1" t="s">
        <v>2505</v>
      </c>
      <c r="D5686" s="1" t="s">
        <v>2506</v>
      </c>
      <c r="E5686" s="1" t="s">
        <v>2019</v>
      </c>
      <c r="F5686" s="1" t="s">
        <v>568</v>
      </c>
      <c r="G5686" s="12">
        <v>166982</v>
      </c>
      <c r="H5686" t="str">
        <f>IFERROR(VLOOKUP(F5686,'LEAID Match'!$A$2:$B$142,2,FALSE),"")</f>
        <v/>
      </c>
    </row>
    <row r="5687" spans="1:8" x14ac:dyDescent="0.2">
      <c r="A5687" t="str">
        <f t="shared" si="88"/>
        <v/>
      </c>
      <c r="B5687" s="1">
        <v>2017</v>
      </c>
      <c r="C5687" s="1" t="s">
        <v>2505</v>
      </c>
      <c r="D5687" s="1" t="s">
        <v>2506</v>
      </c>
      <c r="E5687" s="1" t="s">
        <v>2019</v>
      </c>
      <c r="F5687" s="1" t="s">
        <v>568</v>
      </c>
      <c r="G5687" s="49">
        <v>144908</v>
      </c>
      <c r="H5687" t="str">
        <f>IFERROR(VLOOKUP(F5687,'LEAID Match'!$A$2:$B$142,2,FALSE),"")</f>
        <v/>
      </c>
    </row>
    <row r="5688" spans="1:8" x14ac:dyDescent="0.2">
      <c r="A5688" t="str">
        <f t="shared" si="88"/>
        <v/>
      </c>
      <c r="B5688" s="1">
        <v>2018</v>
      </c>
      <c r="C5688" s="1" t="s">
        <v>2505</v>
      </c>
      <c r="D5688" s="1" t="s">
        <v>2506</v>
      </c>
      <c r="E5688" s="1" t="s">
        <v>2019</v>
      </c>
      <c r="F5688" s="1" t="s">
        <v>568</v>
      </c>
      <c r="G5688" s="6">
        <v>153592</v>
      </c>
      <c r="H5688" t="str">
        <f>IFERROR(VLOOKUP(F5688,'LEAID Match'!$A$2:$B$142,2,FALSE),"")</f>
        <v/>
      </c>
    </row>
    <row r="5689" spans="1:8" x14ac:dyDescent="0.2">
      <c r="A5689" t="str">
        <f t="shared" si="88"/>
        <v/>
      </c>
      <c r="B5689" s="1">
        <v>2019</v>
      </c>
      <c r="C5689" s="1" t="s">
        <v>2505</v>
      </c>
      <c r="D5689" s="1" t="s">
        <v>2506</v>
      </c>
      <c r="E5689" s="1" t="s">
        <v>2019</v>
      </c>
      <c r="F5689" s="1" t="s">
        <v>568</v>
      </c>
      <c r="G5689" s="6">
        <v>161839</v>
      </c>
      <c r="H5689" t="str">
        <f>IFERROR(VLOOKUP(F5689,'LEAID Match'!$A$2:$B$142,2,FALSE),"")</f>
        <v/>
      </c>
    </row>
    <row r="5690" spans="1:8" x14ac:dyDescent="0.2">
      <c r="A5690" t="str">
        <f t="shared" si="88"/>
        <v/>
      </c>
      <c r="B5690" s="1">
        <v>2020</v>
      </c>
      <c r="C5690" s="1" t="s">
        <v>2505</v>
      </c>
      <c r="D5690" s="1" t="s">
        <v>2506</v>
      </c>
      <c r="E5690" s="1" t="s">
        <v>2019</v>
      </c>
      <c r="F5690" s="1" t="s">
        <v>568</v>
      </c>
      <c r="G5690" s="6">
        <v>183845</v>
      </c>
      <c r="H5690" t="str">
        <f>IFERROR(VLOOKUP(F5690,'LEAID Match'!$A$2:$B$142,2,FALSE),"")</f>
        <v/>
      </c>
    </row>
    <row r="5691" spans="1:8" x14ac:dyDescent="0.2">
      <c r="A5691" t="str">
        <f t="shared" si="88"/>
        <v/>
      </c>
      <c r="B5691" s="1">
        <v>2021</v>
      </c>
      <c r="C5691" s="1" t="s">
        <v>2505</v>
      </c>
      <c r="D5691" s="1" t="s">
        <v>2506</v>
      </c>
      <c r="E5691" s="1" t="s">
        <v>2019</v>
      </c>
      <c r="F5691" s="1" t="s">
        <v>568</v>
      </c>
      <c r="G5691" s="6">
        <v>169680</v>
      </c>
      <c r="H5691" t="str">
        <f>IFERROR(VLOOKUP(F5691,'LEAID Match'!$A$2:$B$142,2,FALSE),"")</f>
        <v/>
      </c>
    </row>
    <row r="5692" spans="1:8" x14ac:dyDescent="0.2">
      <c r="A5692" t="str">
        <f t="shared" si="88"/>
        <v/>
      </c>
      <c r="B5692" s="1">
        <v>2022</v>
      </c>
      <c r="C5692" s="1" t="s">
        <v>2505</v>
      </c>
      <c r="D5692" s="1" t="s">
        <v>2506</v>
      </c>
      <c r="E5692" s="1" t="s">
        <v>2019</v>
      </c>
      <c r="F5692" s="1" t="s">
        <v>568</v>
      </c>
      <c r="G5692" s="6">
        <v>185590</v>
      </c>
      <c r="H5692" t="str">
        <f>IFERROR(VLOOKUP(F5692,'LEAID Match'!$A$2:$B$142,2,FALSE),"")</f>
        <v/>
      </c>
    </row>
    <row r="5693" spans="1:8" x14ac:dyDescent="0.2">
      <c r="A5693" t="str">
        <f t="shared" si="88"/>
        <v/>
      </c>
      <c r="B5693" s="1">
        <v>2023</v>
      </c>
      <c r="C5693" s="1" t="s">
        <v>2505</v>
      </c>
      <c r="D5693" s="1" t="s">
        <v>2506</v>
      </c>
      <c r="E5693" s="1" t="s">
        <v>2019</v>
      </c>
      <c r="F5693" s="1" t="s">
        <v>568</v>
      </c>
      <c r="G5693" s="6">
        <v>204679</v>
      </c>
      <c r="H5693" t="str">
        <f>IFERROR(VLOOKUP(F5693,'LEAID Match'!$A$2:$B$142,2,FALSE),"")</f>
        <v/>
      </c>
    </row>
    <row r="5694" spans="1:8" x14ac:dyDescent="0.2">
      <c r="A5694" t="str">
        <f t="shared" si="88"/>
        <v/>
      </c>
      <c r="B5694" s="1">
        <v>2024</v>
      </c>
      <c r="C5694" s="1" t="s">
        <v>2505</v>
      </c>
      <c r="D5694" s="1" t="s">
        <v>2506</v>
      </c>
      <c r="E5694" s="1" t="s">
        <v>2019</v>
      </c>
      <c r="F5694" s="1" t="s">
        <v>568</v>
      </c>
      <c r="G5694" s="6">
        <v>196582</v>
      </c>
      <c r="H5694" t="str">
        <f>IFERROR(VLOOKUP(F5694,'LEAID Match'!$A$2:$B$142,2,FALSE),"")</f>
        <v/>
      </c>
    </row>
    <row r="5695" spans="1:8" x14ac:dyDescent="0.2">
      <c r="A5695">
        <f t="shared" si="88"/>
        <v>2803390</v>
      </c>
      <c r="B5695" s="1">
        <v>2015</v>
      </c>
      <c r="C5695" s="1" t="s">
        <v>2505</v>
      </c>
      <c r="D5695" s="1" t="s">
        <v>2506</v>
      </c>
      <c r="E5695" s="1" t="s">
        <v>2019</v>
      </c>
      <c r="F5695" s="1" t="s">
        <v>569</v>
      </c>
      <c r="G5695" s="6">
        <v>539510</v>
      </c>
      <c r="H5695">
        <f>IFERROR(VLOOKUP(F5695,'LEAID Match'!$A$2:$B$142,2,FALSE),"")</f>
        <v>2803390</v>
      </c>
    </row>
    <row r="5696" spans="1:8" x14ac:dyDescent="0.2">
      <c r="A5696">
        <f t="shared" si="88"/>
        <v>2803390</v>
      </c>
      <c r="B5696">
        <v>2016</v>
      </c>
      <c r="C5696" s="1" t="s">
        <v>2505</v>
      </c>
      <c r="D5696" s="1" t="s">
        <v>2506</v>
      </c>
      <c r="E5696" s="1" t="s">
        <v>2019</v>
      </c>
      <c r="F5696" s="1" t="s">
        <v>569</v>
      </c>
      <c r="G5696" s="12">
        <v>565531</v>
      </c>
      <c r="H5696">
        <f>IFERROR(VLOOKUP(F5696,'LEAID Match'!$A$2:$B$142,2,FALSE),"")</f>
        <v>2803390</v>
      </c>
    </row>
    <row r="5697" spans="1:8" x14ac:dyDescent="0.2">
      <c r="A5697">
        <f t="shared" si="88"/>
        <v>2803390</v>
      </c>
      <c r="B5697" s="1">
        <v>2017</v>
      </c>
      <c r="C5697" s="1" t="s">
        <v>2505</v>
      </c>
      <c r="D5697" s="1" t="s">
        <v>2506</v>
      </c>
      <c r="E5697" s="1" t="s">
        <v>2019</v>
      </c>
      <c r="F5697" s="1" t="s">
        <v>569</v>
      </c>
      <c r="G5697" s="47">
        <v>544271</v>
      </c>
      <c r="H5697">
        <f>IFERROR(VLOOKUP(F5697,'LEAID Match'!$A$2:$B$142,2,FALSE),"")</f>
        <v>2803390</v>
      </c>
    </row>
    <row r="5698" spans="1:8" x14ac:dyDescent="0.2">
      <c r="A5698">
        <f t="shared" si="88"/>
        <v>2803390</v>
      </c>
      <c r="B5698" s="1">
        <v>2018</v>
      </c>
      <c r="C5698" s="1" t="s">
        <v>2505</v>
      </c>
      <c r="D5698" s="1" t="s">
        <v>2506</v>
      </c>
      <c r="E5698" s="1" t="s">
        <v>2019</v>
      </c>
      <c r="F5698" s="1" t="s">
        <v>569</v>
      </c>
      <c r="G5698" s="6">
        <v>547208</v>
      </c>
      <c r="H5698">
        <f>IFERROR(VLOOKUP(F5698,'LEAID Match'!$A$2:$B$142,2,FALSE),"")</f>
        <v>2803390</v>
      </c>
    </row>
    <row r="5699" spans="1:8" x14ac:dyDescent="0.2">
      <c r="A5699">
        <f t="shared" ref="A5699:A5762" si="89">H5699</f>
        <v>2803390</v>
      </c>
      <c r="B5699" s="1">
        <v>2019</v>
      </c>
      <c r="C5699" s="1" t="s">
        <v>2505</v>
      </c>
      <c r="D5699" s="1" t="s">
        <v>2506</v>
      </c>
      <c r="E5699" s="1" t="s">
        <v>2019</v>
      </c>
      <c r="F5699" s="1" t="s">
        <v>569</v>
      </c>
      <c r="G5699" s="6">
        <v>548040</v>
      </c>
      <c r="H5699">
        <f>IFERROR(VLOOKUP(F5699,'LEAID Match'!$A$2:$B$142,2,FALSE),"")</f>
        <v>2803390</v>
      </c>
    </row>
    <row r="5700" spans="1:8" x14ac:dyDescent="0.2">
      <c r="A5700">
        <f t="shared" si="89"/>
        <v>2803390</v>
      </c>
      <c r="B5700" s="1">
        <v>2020</v>
      </c>
      <c r="C5700" s="1" t="s">
        <v>2505</v>
      </c>
      <c r="D5700" s="1" t="s">
        <v>2506</v>
      </c>
      <c r="E5700" s="1" t="s">
        <v>2019</v>
      </c>
      <c r="F5700" s="1" t="s">
        <v>569</v>
      </c>
      <c r="G5700" s="6">
        <v>618934</v>
      </c>
      <c r="H5700">
        <f>IFERROR(VLOOKUP(F5700,'LEAID Match'!$A$2:$B$142,2,FALSE),"")</f>
        <v>2803390</v>
      </c>
    </row>
    <row r="5701" spans="1:8" x14ac:dyDescent="0.2">
      <c r="A5701">
        <f t="shared" si="89"/>
        <v>2803390</v>
      </c>
      <c r="B5701" s="1">
        <v>2021</v>
      </c>
      <c r="C5701" s="1" t="s">
        <v>2505</v>
      </c>
      <c r="D5701" s="1" t="s">
        <v>2506</v>
      </c>
      <c r="E5701" s="1" t="s">
        <v>2019</v>
      </c>
      <c r="F5701" s="1" t="s">
        <v>569</v>
      </c>
      <c r="G5701" s="6">
        <v>643949</v>
      </c>
      <c r="H5701">
        <f>IFERROR(VLOOKUP(F5701,'LEAID Match'!$A$2:$B$142,2,FALSE),"")</f>
        <v>2803390</v>
      </c>
    </row>
    <row r="5702" spans="1:8" x14ac:dyDescent="0.2">
      <c r="A5702">
        <f t="shared" si="89"/>
        <v>2803390</v>
      </c>
      <c r="B5702" s="1">
        <v>2022</v>
      </c>
      <c r="C5702" s="1" t="s">
        <v>2505</v>
      </c>
      <c r="D5702" s="1" t="s">
        <v>2506</v>
      </c>
      <c r="E5702" s="1" t="s">
        <v>2019</v>
      </c>
      <c r="F5702" s="1" t="s">
        <v>569</v>
      </c>
      <c r="G5702" s="6">
        <v>672216</v>
      </c>
      <c r="H5702">
        <f>IFERROR(VLOOKUP(F5702,'LEAID Match'!$A$2:$B$142,2,FALSE),"")</f>
        <v>2803390</v>
      </c>
    </row>
    <row r="5703" spans="1:8" x14ac:dyDescent="0.2">
      <c r="A5703">
        <f t="shared" si="89"/>
        <v>2803390</v>
      </c>
      <c r="B5703" s="1">
        <v>2023</v>
      </c>
      <c r="C5703" s="1" t="s">
        <v>2505</v>
      </c>
      <c r="D5703" s="1" t="s">
        <v>2506</v>
      </c>
      <c r="E5703" s="1" t="s">
        <v>2019</v>
      </c>
      <c r="F5703" s="1" t="s">
        <v>569</v>
      </c>
      <c r="G5703" s="6">
        <v>715809</v>
      </c>
      <c r="H5703">
        <f>IFERROR(VLOOKUP(F5703,'LEAID Match'!$A$2:$B$142,2,FALSE),"")</f>
        <v>2803390</v>
      </c>
    </row>
    <row r="5704" spans="1:8" x14ac:dyDescent="0.2">
      <c r="A5704">
        <f t="shared" si="89"/>
        <v>2803390</v>
      </c>
      <c r="B5704" s="1">
        <v>2024</v>
      </c>
      <c r="C5704" s="1" t="s">
        <v>2505</v>
      </c>
      <c r="D5704" s="1" t="s">
        <v>2506</v>
      </c>
      <c r="E5704" s="1" t="s">
        <v>2019</v>
      </c>
      <c r="F5704" s="1" t="s">
        <v>569</v>
      </c>
      <c r="G5704" s="6">
        <v>726946</v>
      </c>
      <c r="H5704">
        <f>IFERROR(VLOOKUP(F5704,'LEAID Match'!$A$2:$B$142,2,FALSE),"")</f>
        <v>2803390</v>
      </c>
    </row>
    <row r="5705" spans="1:8" x14ac:dyDescent="0.2">
      <c r="A5705" t="str">
        <f t="shared" si="89"/>
        <v/>
      </c>
      <c r="B5705" s="1">
        <v>2015</v>
      </c>
      <c r="C5705" s="1" t="s">
        <v>2505</v>
      </c>
      <c r="D5705" s="1" t="s">
        <v>2506</v>
      </c>
      <c r="E5705" s="1" t="s">
        <v>2019</v>
      </c>
      <c r="F5705" s="1" t="s">
        <v>570</v>
      </c>
      <c r="G5705" s="6">
        <v>966034</v>
      </c>
      <c r="H5705" t="str">
        <f>IFERROR(VLOOKUP(F5705,'LEAID Match'!$A$2:$B$142,2,FALSE),"")</f>
        <v/>
      </c>
    </row>
    <row r="5706" spans="1:8" x14ac:dyDescent="0.2">
      <c r="A5706" t="str">
        <f t="shared" si="89"/>
        <v/>
      </c>
      <c r="B5706">
        <v>2016</v>
      </c>
      <c r="C5706" s="1" t="s">
        <v>2505</v>
      </c>
      <c r="D5706" s="1" t="s">
        <v>2506</v>
      </c>
      <c r="E5706" s="1" t="s">
        <v>2019</v>
      </c>
      <c r="F5706" s="1" t="s">
        <v>570</v>
      </c>
      <c r="G5706" s="12">
        <v>999334</v>
      </c>
      <c r="H5706" t="str">
        <f>IFERROR(VLOOKUP(F5706,'LEAID Match'!$A$2:$B$142,2,FALSE),"")</f>
        <v/>
      </c>
    </row>
    <row r="5707" spans="1:8" x14ac:dyDescent="0.2">
      <c r="A5707" t="str">
        <f t="shared" si="89"/>
        <v/>
      </c>
      <c r="B5707" s="1">
        <v>2017</v>
      </c>
      <c r="C5707" s="1" t="s">
        <v>2505</v>
      </c>
      <c r="D5707" s="1" t="s">
        <v>2506</v>
      </c>
      <c r="E5707" s="1" t="s">
        <v>2019</v>
      </c>
      <c r="F5707" s="1" t="s">
        <v>570</v>
      </c>
      <c r="G5707" s="47">
        <v>1020643</v>
      </c>
      <c r="H5707" t="str">
        <f>IFERROR(VLOOKUP(F5707,'LEAID Match'!$A$2:$B$142,2,FALSE),"")</f>
        <v/>
      </c>
    </row>
    <row r="5708" spans="1:8" x14ac:dyDescent="0.2">
      <c r="A5708" t="str">
        <f t="shared" si="89"/>
        <v/>
      </c>
      <c r="B5708" s="1">
        <v>2018</v>
      </c>
      <c r="C5708" s="1" t="s">
        <v>2505</v>
      </c>
      <c r="D5708" s="1" t="s">
        <v>2506</v>
      </c>
      <c r="E5708" s="1" t="s">
        <v>2019</v>
      </c>
      <c r="F5708" s="1" t="s">
        <v>570</v>
      </c>
      <c r="G5708" s="6">
        <v>1052430</v>
      </c>
      <c r="H5708" t="str">
        <f>IFERROR(VLOOKUP(F5708,'LEAID Match'!$A$2:$B$142,2,FALSE),"")</f>
        <v/>
      </c>
    </row>
    <row r="5709" spans="1:8" x14ac:dyDescent="0.2">
      <c r="A5709" t="str">
        <f t="shared" si="89"/>
        <v/>
      </c>
      <c r="B5709" s="1">
        <v>2019</v>
      </c>
      <c r="C5709" s="1" t="s">
        <v>2505</v>
      </c>
      <c r="D5709" s="1" t="s">
        <v>2506</v>
      </c>
      <c r="E5709" s="1" t="s">
        <v>2019</v>
      </c>
      <c r="F5709" s="1" t="s">
        <v>570</v>
      </c>
      <c r="G5709" s="6">
        <v>1104272</v>
      </c>
      <c r="H5709" t="str">
        <f>IFERROR(VLOOKUP(F5709,'LEAID Match'!$A$2:$B$142,2,FALSE),"")</f>
        <v/>
      </c>
    </row>
    <row r="5710" spans="1:8" x14ac:dyDescent="0.2">
      <c r="A5710" t="str">
        <f t="shared" si="89"/>
        <v/>
      </c>
      <c r="B5710" s="1">
        <v>2020</v>
      </c>
      <c r="C5710" s="1" t="s">
        <v>2505</v>
      </c>
      <c r="D5710" s="1" t="s">
        <v>2506</v>
      </c>
      <c r="E5710" s="1" t="s">
        <v>2019</v>
      </c>
      <c r="F5710" s="1" t="s">
        <v>570</v>
      </c>
      <c r="G5710" s="6">
        <v>1224162</v>
      </c>
      <c r="H5710" t="str">
        <f>IFERROR(VLOOKUP(F5710,'LEAID Match'!$A$2:$B$142,2,FALSE),"")</f>
        <v/>
      </c>
    </row>
    <row r="5711" spans="1:8" x14ac:dyDescent="0.2">
      <c r="A5711" t="str">
        <f t="shared" si="89"/>
        <v/>
      </c>
      <c r="B5711" s="1">
        <v>2021</v>
      </c>
      <c r="C5711" s="1" t="s">
        <v>2505</v>
      </c>
      <c r="D5711" s="1" t="s">
        <v>2506</v>
      </c>
      <c r="E5711" s="1" t="s">
        <v>2019</v>
      </c>
      <c r="F5711" s="1" t="s">
        <v>570</v>
      </c>
      <c r="G5711" s="6">
        <v>1240457</v>
      </c>
      <c r="H5711" t="str">
        <f>IFERROR(VLOOKUP(F5711,'LEAID Match'!$A$2:$B$142,2,FALSE),"")</f>
        <v/>
      </c>
    </row>
    <row r="5712" spans="1:8" x14ac:dyDescent="0.2">
      <c r="A5712" t="str">
        <f t="shared" si="89"/>
        <v/>
      </c>
      <c r="B5712" s="1">
        <v>2022</v>
      </c>
      <c r="C5712" s="1" t="s">
        <v>2505</v>
      </c>
      <c r="D5712" s="1" t="s">
        <v>2506</v>
      </c>
      <c r="E5712" s="1" t="s">
        <v>2019</v>
      </c>
      <c r="F5712" s="1" t="s">
        <v>570</v>
      </c>
      <c r="G5712" s="6">
        <v>1308415</v>
      </c>
      <c r="H5712" t="str">
        <f>IFERROR(VLOOKUP(F5712,'LEAID Match'!$A$2:$B$142,2,FALSE),"")</f>
        <v/>
      </c>
    </row>
    <row r="5713" spans="1:8" x14ac:dyDescent="0.2">
      <c r="A5713" t="str">
        <f t="shared" si="89"/>
        <v/>
      </c>
      <c r="B5713" s="1">
        <v>2023</v>
      </c>
      <c r="C5713" s="1" t="s">
        <v>2505</v>
      </c>
      <c r="D5713" s="1" t="s">
        <v>2506</v>
      </c>
      <c r="E5713" s="1" t="s">
        <v>2019</v>
      </c>
      <c r="F5713" s="1" t="s">
        <v>570</v>
      </c>
      <c r="G5713" s="6">
        <v>1516404</v>
      </c>
      <c r="H5713" t="str">
        <f>IFERROR(VLOOKUP(F5713,'LEAID Match'!$A$2:$B$142,2,FALSE),"")</f>
        <v/>
      </c>
    </row>
    <row r="5714" spans="1:8" x14ac:dyDescent="0.2">
      <c r="A5714" t="str">
        <f t="shared" si="89"/>
        <v/>
      </c>
      <c r="B5714" s="1">
        <v>2024</v>
      </c>
      <c r="C5714" s="1" t="s">
        <v>2505</v>
      </c>
      <c r="D5714" s="1" t="s">
        <v>2506</v>
      </c>
      <c r="E5714" s="1" t="s">
        <v>2019</v>
      </c>
      <c r="F5714" s="1" t="s">
        <v>570</v>
      </c>
      <c r="G5714" s="6">
        <v>1632698</v>
      </c>
      <c r="H5714" t="str">
        <f>IFERROR(VLOOKUP(F5714,'LEAID Match'!$A$2:$B$142,2,FALSE),"")</f>
        <v/>
      </c>
    </row>
    <row r="5715" spans="1:8" x14ac:dyDescent="0.2">
      <c r="A5715" t="str">
        <f t="shared" si="89"/>
        <v/>
      </c>
      <c r="B5715" s="1">
        <v>2015</v>
      </c>
      <c r="C5715" s="1" t="s">
        <v>2505</v>
      </c>
      <c r="D5715" s="1" t="s">
        <v>2506</v>
      </c>
      <c r="E5715" s="1" t="s">
        <v>2019</v>
      </c>
      <c r="F5715" s="1" t="s">
        <v>571</v>
      </c>
      <c r="G5715" s="6">
        <v>35805</v>
      </c>
      <c r="H5715" t="str">
        <f>IFERROR(VLOOKUP(F5715,'LEAID Match'!$A$2:$B$142,2,FALSE),"")</f>
        <v/>
      </c>
    </row>
    <row r="5716" spans="1:8" x14ac:dyDescent="0.2">
      <c r="A5716" t="str">
        <f t="shared" si="89"/>
        <v/>
      </c>
      <c r="B5716">
        <v>2016</v>
      </c>
      <c r="C5716" s="1" t="s">
        <v>2505</v>
      </c>
      <c r="D5716" s="1" t="s">
        <v>2506</v>
      </c>
      <c r="E5716" s="1" t="s">
        <v>2019</v>
      </c>
      <c r="F5716" s="1" t="s">
        <v>571</v>
      </c>
      <c r="G5716" s="12">
        <v>34238</v>
      </c>
      <c r="H5716" t="str">
        <f>IFERROR(VLOOKUP(F5716,'LEAID Match'!$A$2:$B$142,2,FALSE),"")</f>
        <v/>
      </c>
    </row>
    <row r="5717" spans="1:8" x14ac:dyDescent="0.2">
      <c r="A5717" t="str">
        <f t="shared" si="89"/>
        <v/>
      </c>
      <c r="B5717" s="1">
        <v>2017</v>
      </c>
      <c r="C5717" s="1" t="s">
        <v>2505</v>
      </c>
      <c r="D5717" s="1" t="s">
        <v>2506</v>
      </c>
      <c r="E5717" s="1" t="s">
        <v>2019</v>
      </c>
      <c r="F5717" s="1" t="s">
        <v>571</v>
      </c>
      <c r="G5717" s="47">
        <v>37016</v>
      </c>
      <c r="H5717" t="str">
        <f>IFERROR(VLOOKUP(F5717,'LEAID Match'!$A$2:$B$142,2,FALSE),"")</f>
        <v/>
      </c>
    </row>
    <row r="5718" spans="1:8" x14ac:dyDescent="0.2">
      <c r="A5718" t="str">
        <f t="shared" si="89"/>
        <v/>
      </c>
      <c r="B5718" s="1">
        <v>2018</v>
      </c>
      <c r="C5718" s="1" t="s">
        <v>2505</v>
      </c>
      <c r="D5718" s="1" t="s">
        <v>2506</v>
      </c>
      <c r="E5718" s="1" t="s">
        <v>2019</v>
      </c>
      <c r="F5718" s="1" t="s">
        <v>571</v>
      </c>
      <c r="G5718" s="6">
        <v>32854</v>
      </c>
      <c r="H5718" t="str">
        <f>IFERROR(VLOOKUP(F5718,'LEAID Match'!$A$2:$B$142,2,FALSE),"")</f>
        <v/>
      </c>
    </row>
    <row r="5719" spans="1:8" x14ac:dyDescent="0.2">
      <c r="A5719" t="str">
        <f t="shared" si="89"/>
        <v/>
      </c>
      <c r="B5719" s="1">
        <v>2019</v>
      </c>
      <c r="C5719" s="1" t="s">
        <v>2505</v>
      </c>
      <c r="D5719" s="1" t="s">
        <v>2506</v>
      </c>
      <c r="E5719" s="1" t="s">
        <v>2019</v>
      </c>
      <c r="F5719" s="1" t="s">
        <v>571</v>
      </c>
      <c r="G5719" s="6">
        <v>33722</v>
      </c>
      <c r="H5719" t="str">
        <f>IFERROR(VLOOKUP(F5719,'LEAID Match'!$A$2:$B$142,2,FALSE),"")</f>
        <v/>
      </c>
    </row>
    <row r="5720" spans="1:8" x14ac:dyDescent="0.2">
      <c r="A5720" t="str">
        <f t="shared" si="89"/>
        <v/>
      </c>
      <c r="B5720" s="1">
        <v>2020</v>
      </c>
      <c r="C5720" s="1" t="s">
        <v>2505</v>
      </c>
      <c r="D5720" s="1" t="s">
        <v>2506</v>
      </c>
      <c r="E5720" s="1" t="s">
        <v>2019</v>
      </c>
      <c r="F5720" s="1" t="s">
        <v>571</v>
      </c>
      <c r="G5720" s="6">
        <v>36470</v>
      </c>
      <c r="H5720" t="str">
        <f>IFERROR(VLOOKUP(F5720,'LEAID Match'!$A$2:$B$142,2,FALSE),"")</f>
        <v/>
      </c>
    </row>
    <row r="5721" spans="1:8" x14ac:dyDescent="0.2">
      <c r="A5721" t="str">
        <f t="shared" si="89"/>
        <v/>
      </c>
      <c r="B5721" s="1">
        <v>2021</v>
      </c>
      <c r="C5721" s="1" t="s">
        <v>2505</v>
      </c>
      <c r="D5721" s="1" t="s">
        <v>2506</v>
      </c>
      <c r="E5721" s="1" t="s">
        <v>2019</v>
      </c>
      <c r="F5721" s="1" t="s">
        <v>571</v>
      </c>
      <c r="G5721" s="6">
        <v>40404</v>
      </c>
      <c r="H5721" t="str">
        <f>IFERROR(VLOOKUP(F5721,'LEAID Match'!$A$2:$B$142,2,FALSE),"")</f>
        <v/>
      </c>
    </row>
    <row r="5722" spans="1:8" x14ac:dyDescent="0.2">
      <c r="A5722" t="str">
        <f t="shared" si="89"/>
        <v/>
      </c>
      <c r="B5722" s="1">
        <v>2022</v>
      </c>
      <c r="C5722" s="1" t="s">
        <v>2505</v>
      </c>
      <c r="D5722" s="1" t="s">
        <v>2506</v>
      </c>
      <c r="E5722" s="1" t="s">
        <v>2019</v>
      </c>
      <c r="F5722" s="1" t="s">
        <v>571</v>
      </c>
      <c r="G5722" s="6">
        <v>52614</v>
      </c>
      <c r="H5722" t="str">
        <f>IFERROR(VLOOKUP(F5722,'LEAID Match'!$A$2:$B$142,2,FALSE),"")</f>
        <v/>
      </c>
    </row>
    <row r="5723" spans="1:8" x14ac:dyDescent="0.2">
      <c r="A5723" t="str">
        <f t="shared" si="89"/>
        <v/>
      </c>
      <c r="B5723" s="1">
        <v>2023</v>
      </c>
      <c r="C5723" s="1" t="s">
        <v>2505</v>
      </c>
      <c r="D5723" s="1" t="s">
        <v>2506</v>
      </c>
      <c r="E5723" s="1" t="s">
        <v>2019</v>
      </c>
      <c r="F5723" s="1" t="s">
        <v>571</v>
      </c>
      <c r="G5723" s="6">
        <v>57671</v>
      </c>
      <c r="H5723" t="str">
        <f>IFERROR(VLOOKUP(F5723,'LEAID Match'!$A$2:$B$142,2,FALSE),"")</f>
        <v/>
      </c>
    </row>
    <row r="5724" spans="1:8" x14ac:dyDescent="0.2">
      <c r="A5724" t="str">
        <f t="shared" si="89"/>
        <v/>
      </c>
      <c r="B5724" s="1">
        <v>2024</v>
      </c>
      <c r="C5724" s="1" t="s">
        <v>2505</v>
      </c>
      <c r="D5724" s="1" t="s">
        <v>2506</v>
      </c>
      <c r="E5724" s="1" t="s">
        <v>2019</v>
      </c>
      <c r="F5724" s="1" t="s">
        <v>571</v>
      </c>
      <c r="G5724" s="6">
        <v>60280</v>
      </c>
      <c r="H5724" t="str">
        <f>IFERROR(VLOOKUP(F5724,'LEAID Match'!$A$2:$B$142,2,FALSE),"")</f>
        <v/>
      </c>
    </row>
    <row r="5725" spans="1:8" x14ac:dyDescent="0.2">
      <c r="A5725" t="str">
        <f t="shared" si="89"/>
        <v/>
      </c>
      <c r="B5725" s="1">
        <v>2015</v>
      </c>
      <c r="C5725" s="1" t="s">
        <v>2505</v>
      </c>
      <c r="D5725" s="1" t="s">
        <v>2506</v>
      </c>
      <c r="E5725" s="1" t="s">
        <v>2019</v>
      </c>
      <c r="F5725" s="1" t="s">
        <v>572</v>
      </c>
      <c r="G5725" s="6">
        <v>2714355</v>
      </c>
      <c r="H5725" t="str">
        <f>IFERROR(VLOOKUP(F5725,'LEAID Match'!$A$2:$B$142,2,FALSE),"")</f>
        <v/>
      </c>
    </row>
    <row r="5726" spans="1:8" x14ac:dyDescent="0.2">
      <c r="A5726" t="str">
        <f t="shared" si="89"/>
        <v/>
      </c>
      <c r="B5726">
        <v>2016</v>
      </c>
      <c r="C5726" s="1" t="s">
        <v>2505</v>
      </c>
      <c r="D5726" s="1" t="s">
        <v>2506</v>
      </c>
      <c r="E5726" s="1" t="s">
        <v>2019</v>
      </c>
      <c r="F5726" s="1" t="s">
        <v>572</v>
      </c>
      <c r="G5726" s="12">
        <v>2882644</v>
      </c>
      <c r="H5726" t="str">
        <f>IFERROR(VLOOKUP(F5726,'LEAID Match'!$A$2:$B$142,2,FALSE),"")</f>
        <v/>
      </c>
    </row>
    <row r="5727" spans="1:8" x14ac:dyDescent="0.2">
      <c r="A5727" t="str">
        <f t="shared" si="89"/>
        <v/>
      </c>
      <c r="B5727" s="1">
        <v>2017</v>
      </c>
      <c r="C5727" s="1" t="s">
        <v>2505</v>
      </c>
      <c r="D5727" s="1" t="s">
        <v>2506</v>
      </c>
      <c r="E5727" s="1" t="s">
        <v>2019</v>
      </c>
      <c r="F5727" s="1" t="s">
        <v>572</v>
      </c>
      <c r="G5727" s="47">
        <v>3061626</v>
      </c>
      <c r="H5727" t="str">
        <f>IFERROR(VLOOKUP(F5727,'LEAID Match'!$A$2:$B$142,2,FALSE),"")</f>
        <v/>
      </c>
    </row>
    <row r="5728" spans="1:8" x14ac:dyDescent="0.2">
      <c r="A5728" t="str">
        <f t="shared" si="89"/>
        <v/>
      </c>
      <c r="B5728" s="1">
        <v>2018</v>
      </c>
      <c r="C5728" s="1" t="s">
        <v>2505</v>
      </c>
      <c r="D5728" s="1" t="s">
        <v>2506</v>
      </c>
      <c r="E5728" s="1" t="s">
        <v>2019</v>
      </c>
      <c r="F5728" s="1" t="s">
        <v>572</v>
      </c>
      <c r="G5728" s="6">
        <v>3251844</v>
      </c>
      <c r="H5728" t="str">
        <f>IFERROR(VLOOKUP(F5728,'LEAID Match'!$A$2:$B$142,2,FALSE),"")</f>
        <v/>
      </c>
    </row>
    <row r="5729" spans="1:8" x14ac:dyDescent="0.2">
      <c r="A5729" t="str">
        <f t="shared" si="89"/>
        <v/>
      </c>
      <c r="B5729" s="1">
        <v>2019</v>
      </c>
      <c r="C5729" s="1" t="s">
        <v>2505</v>
      </c>
      <c r="D5729" s="1" t="s">
        <v>2506</v>
      </c>
      <c r="E5729" s="1" t="s">
        <v>2019</v>
      </c>
      <c r="F5729" s="1" t="s">
        <v>572</v>
      </c>
      <c r="G5729" s="6">
        <v>3314745</v>
      </c>
      <c r="H5729" t="str">
        <f>IFERROR(VLOOKUP(F5729,'LEAID Match'!$A$2:$B$142,2,FALSE),"")</f>
        <v/>
      </c>
    </row>
    <row r="5730" spans="1:8" x14ac:dyDescent="0.2">
      <c r="A5730" t="str">
        <f t="shared" si="89"/>
        <v/>
      </c>
      <c r="B5730" s="1">
        <v>2020</v>
      </c>
      <c r="C5730" s="1" t="s">
        <v>2505</v>
      </c>
      <c r="D5730" s="1" t="s">
        <v>2506</v>
      </c>
      <c r="E5730" s="1" t="s">
        <v>2019</v>
      </c>
      <c r="F5730" s="1" t="s">
        <v>572</v>
      </c>
      <c r="G5730" s="6">
        <v>3816108</v>
      </c>
      <c r="H5730" t="str">
        <f>IFERROR(VLOOKUP(F5730,'LEAID Match'!$A$2:$B$142,2,FALSE),"")</f>
        <v/>
      </c>
    </row>
    <row r="5731" spans="1:8" x14ac:dyDescent="0.2">
      <c r="A5731" t="str">
        <f t="shared" si="89"/>
        <v/>
      </c>
      <c r="B5731" s="1">
        <v>2021</v>
      </c>
      <c r="C5731" s="1" t="s">
        <v>2505</v>
      </c>
      <c r="D5731" s="1" t="s">
        <v>2506</v>
      </c>
      <c r="E5731" s="1" t="s">
        <v>2019</v>
      </c>
      <c r="F5731" s="1" t="s">
        <v>572</v>
      </c>
      <c r="G5731" s="6">
        <v>3807229</v>
      </c>
      <c r="H5731" t="str">
        <f>IFERROR(VLOOKUP(F5731,'LEAID Match'!$A$2:$B$142,2,FALSE),"")</f>
        <v/>
      </c>
    </row>
    <row r="5732" spans="1:8" x14ac:dyDescent="0.2">
      <c r="A5732" t="str">
        <f t="shared" si="89"/>
        <v/>
      </c>
      <c r="B5732" s="1">
        <v>2022</v>
      </c>
      <c r="C5732" s="1" t="s">
        <v>2505</v>
      </c>
      <c r="D5732" s="1" t="s">
        <v>2506</v>
      </c>
      <c r="E5732" s="1" t="s">
        <v>2019</v>
      </c>
      <c r="F5732" s="1" t="s">
        <v>572</v>
      </c>
      <c r="G5732" s="6">
        <v>4077156</v>
      </c>
      <c r="H5732" t="str">
        <f>IFERROR(VLOOKUP(F5732,'LEAID Match'!$A$2:$B$142,2,FALSE),"")</f>
        <v/>
      </c>
    </row>
    <row r="5733" spans="1:8" x14ac:dyDescent="0.2">
      <c r="A5733" t="str">
        <f t="shared" si="89"/>
        <v/>
      </c>
      <c r="B5733" s="1">
        <v>2023</v>
      </c>
      <c r="C5733" s="1" t="s">
        <v>2505</v>
      </c>
      <c r="D5733" s="1" t="s">
        <v>2506</v>
      </c>
      <c r="E5733" s="1" t="s">
        <v>2019</v>
      </c>
      <c r="F5733" s="1" t="s">
        <v>572</v>
      </c>
      <c r="G5733" s="6">
        <v>4557752</v>
      </c>
      <c r="H5733" t="str">
        <f>IFERROR(VLOOKUP(F5733,'LEAID Match'!$A$2:$B$142,2,FALSE),"")</f>
        <v/>
      </c>
    </row>
    <row r="5734" spans="1:8" x14ac:dyDescent="0.2">
      <c r="A5734" t="str">
        <f t="shared" si="89"/>
        <v/>
      </c>
      <c r="B5734" s="1">
        <v>2024</v>
      </c>
      <c r="C5734" s="1" t="s">
        <v>2505</v>
      </c>
      <c r="D5734" s="1" t="s">
        <v>2506</v>
      </c>
      <c r="E5734" s="1" t="s">
        <v>2019</v>
      </c>
      <c r="F5734" s="1" t="s">
        <v>572</v>
      </c>
      <c r="G5734" s="6">
        <v>4777990</v>
      </c>
      <c r="H5734" t="str">
        <f>IFERROR(VLOOKUP(F5734,'LEAID Match'!$A$2:$B$142,2,FALSE),"")</f>
        <v/>
      </c>
    </row>
    <row r="5735" spans="1:8" x14ac:dyDescent="0.2">
      <c r="A5735" t="str">
        <f t="shared" si="89"/>
        <v/>
      </c>
      <c r="B5735" s="1">
        <v>2015</v>
      </c>
      <c r="C5735" s="1" t="s">
        <v>2505</v>
      </c>
      <c r="D5735" s="1" t="s">
        <v>2506</v>
      </c>
      <c r="E5735" s="1" t="s">
        <v>2019</v>
      </c>
      <c r="F5735" s="1" t="s">
        <v>573</v>
      </c>
      <c r="G5735" s="6">
        <v>24976</v>
      </c>
      <c r="H5735" t="str">
        <f>IFERROR(VLOOKUP(F5735,'LEAID Match'!$A$2:$B$142,2,FALSE),"")</f>
        <v/>
      </c>
    </row>
    <row r="5736" spans="1:8" x14ac:dyDescent="0.2">
      <c r="A5736" t="str">
        <f t="shared" si="89"/>
        <v/>
      </c>
      <c r="B5736">
        <v>2016</v>
      </c>
      <c r="C5736" s="1" t="s">
        <v>2505</v>
      </c>
      <c r="D5736" s="1" t="s">
        <v>2506</v>
      </c>
      <c r="E5736" s="1" t="s">
        <v>2019</v>
      </c>
      <c r="F5736" s="1" t="s">
        <v>573</v>
      </c>
      <c r="G5736" s="12">
        <v>25571</v>
      </c>
      <c r="H5736" t="str">
        <f>IFERROR(VLOOKUP(F5736,'LEAID Match'!$A$2:$B$142,2,FALSE),"")</f>
        <v/>
      </c>
    </row>
    <row r="5737" spans="1:8" x14ac:dyDescent="0.2">
      <c r="A5737" t="str">
        <f t="shared" si="89"/>
        <v/>
      </c>
      <c r="B5737" s="1">
        <v>2017</v>
      </c>
      <c r="C5737" s="1" t="s">
        <v>2505</v>
      </c>
      <c r="D5737" s="1" t="s">
        <v>2506</v>
      </c>
      <c r="E5737" s="1" t="s">
        <v>2019</v>
      </c>
      <c r="F5737" s="1" t="s">
        <v>573</v>
      </c>
      <c r="G5737" s="47">
        <v>26269</v>
      </c>
      <c r="H5737" t="str">
        <f>IFERROR(VLOOKUP(F5737,'LEAID Match'!$A$2:$B$142,2,FALSE),"")</f>
        <v/>
      </c>
    </row>
    <row r="5738" spans="1:8" x14ac:dyDescent="0.2">
      <c r="A5738" t="str">
        <f t="shared" si="89"/>
        <v/>
      </c>
      <c r="B5738" s="1">
        <v>2018</v>
      </c>
      <c r="C5738" s="1" t="s">
        <v>2505</v>
      </c>
      <c r="D5738" s="1" t="s">
        <v>2506</v>
      </c>
      <c r="E5738" s="1" t="s">
        <v>2019</v>
      </c>
      <c r="F5738" s="1" t="s">
        <v>573</v>
      </c>
      <c r="G5738" s="6">
        <v>25863</v>
      </c>
      <c r="H5738" t="str">
        <f>IFERROR(VLOOKUP(F5738,'LEAID Match'!$A$2:$B$142,2,FALSE),"")</f>
        <v/>
      </c>
    </row>
    <row r="5739" spans="1:8" x14ac:dyDescent="0.2">
      <c r="A5739" t="str">
        <f t="shared" si="89"/>
        <v/>
      </c>
      <c r="B5739" s="1">
        <v>2019</v>
      </c>
      <c r="C5739" s="1" t="s">
        <v>2505</v>
      </c>
      <c r="D5739" s="1" t="s">
        <v>2506</v>
      </c>
      <c r="E5739" s="1" t="s">
        <v>2019</v>
      </c>
      <c r="F5739" s="1" t="s">
        <v>573</v>
      </c>
      <c r="G5739" s="6">
        <v>24561</v>
      </c>
      <c r="H5739" t="str">
        <f>IFERROR(VLOOKUP(F5739,'LEAID Match'!$A$2:$B$142,2,FALSE),"")</f>
        <v/>
      </c>
    </row>
    <row r="5740" spans="1:8" x14ac:dyDescent="0.2">
      <c r="A5740" t="str">
        <f t="shared" si="89"/>
        <v/>
      </c>
      <c r="B5740" s="1">
        <v>2020</v>
      </c>
      <c r="C5740" s="1" t="s">
        <v>2505</v>
      </c>
      <c r="D5740" s="1" t="s">
        <v>2506</v>
      </c>
      <c r="E5740" s="1" t="s">
        <v>2019</v>
      </c>
      <c r="F5740" s="1" t="s">
        <v>573</v>
      </c>
      <c r="G5740" s="6">
        <v>31850</v>
      </c>
      <c r="H5740" t="str">
        <f>IFERROR(VLOOKUP(F5740,'LEAID Match'!$A$2:$B$142,2,FALSE),"")</f>
        <v/>
      </c>
    </row>
    <row r="5741" spans="1:8" x14ac:dyDescent="0.2">
      <c r="A5741" t="str">
        <f t="shared" si="89"/>
        <v/>
      </c>
      <c r="B5741" s="1">
        <v>2021</v>
      </c>
      <c r="C5741" s="1" t="s">
        <v>2505</v>
      </c>
      <c r="D5741" s="1" t="s">
        <v>2506</v>
      </c>
      <c r="E5741" s="1" t="s">
        <v>2019</v>
      </c>
      <c r="F5741" s="1" t="s">
        <v>573</v>
      </c>
      <c r="G5741" s="6">
        <v>31525</v>
      </c>
      <c r="H5741" t="str">
        <f>IFERROR(VLOOKUP(F5741,'LEAID Match'!$A$2:$B$142,2,FALSE),"")</f>
        <v/>
      </c>
    </row>
    <row r="5742" spans="1:8" x14ac:dyDescent="0.2">
      <c r="A5742" t="str">
        <f t="shared" si="89"/>
        <v/>
      </c>
      <c r="B5742" s="1">
        <v>2022</v>
      </c>
      <c r="C5742" s="1" t="s">
        <v>2505</v>
      </c>
      <c r="D5742" s="1" t="s">
        <v>2506</v>
      </c>
      <c r="E5742" s="1" t="s">
        <v>2019</v>
      </c>
      <c r="F5742" s="1" t="s">
        <v>573</v>
      </c>
      <c r="G5742" s="6">
        <v>30709</v>
      </c>
      <c r="H5742" t="str">
        <f>IFERROR(VLOOKUP(F5742,'LEAID Match'!$A$2:$B$142,2,FALSE),"")</f>
        <v/>
      </c>
    </row>
    <row r="5743" spans="1:8" x14ac:dyDescent="0.2">
      <c r="A5743" t="str">
        <f t="shared" si="89"/>
        <v/>
      </c>
      <c r="B5743" s="1">
        <v>2023</v>
      </c>
      <c r="C5743" s="1" t="s">
        <v>2505</v>
      </c>
      <c r="D5743" s="1" t="s">
        <v>2506</v>
      </c>
      <c r="E5743" s="1" t="s">
        <v>2019</v>
      </c>
      <c r="F5743" s="1" t="s">
        <v>573</v>
      </c>
      <c r="G5743" s="6">
        <v>33573</v>
      </c>
      <c r="H5743" t="str">
        <f>IFERROR(VLOOKUP(F5743,'LEAID Match'!$A$2:$B$142,2,FALSE),"")</f>
        <v/>
      </c>
    </row>
    <row r="5744" spans="1:8" x14ac:dyDescent="0.2">
      <c r="A5744" t="str">
        <f t="shared" si="89"/>
        <v/>
      </c>
      <c r="B5744" s="1">
        <v>2024</v>
      </c>
      <c r="C5744" s="1" t="s">
        <v>2505</v>
      </c>
      <c r="D5744" s="1" t="s">
        <v>2506</v>
      </c>
      <c r="E5744" s="1" t="s">
        <v>2019</v>
      </c>
      <c r="F5744" s="1" t="s">
        <v>573</v>
      </c>
      <c r="G5744" s="6">
        <v>27947</v>
      </c>
      <c r="H5744" t="str">
        <f>IFERROR(VLOOKUP(F5744,'LEAID Match'!$A$2:$B$142,2,FALSE),"")</f>
        <v/>
      </c>
    </row>
    <row r="5745" spans="1:8" x14ac:dyDescent="0.2">
      <c r="A5745" t="str">
        <f t="shared" si="89"/>
        <v/>
      </c>
      <c r="B5745" s="1">
        <v>2015</v>
      </c>
      <c r="C5745" s="1" t="s">
        <v>2505</v>
      </c>
      <c r="D5745" s="1" t="s">
        <v>2506</v>
      </c>
      <c r="E5745" s="1" t="s">
        <v>2019</v>
      </c>
      <c r="F5745" s="1" t="s">
        <v>2361</v>
      </c>
      <c r="G5745" s="6">
        <v>4197</v>
      </c>
      <c r="H5745" t="str">
        <f>IFERROR(VLOOKUP(F5745,'LEAID Match'!$A$2:$B$142,2,FALSE),"")</f>
        <v/>
      </c>
    </row>
    <row r="5746" spans="1:8" x14ac:dyDescent="0.2">
      <c r="A5746" t="str">
        <f t="shared" si="89"/>
        <v/>
      </c>
      <c r="B5746" s="1">
        <v>2015</v>
      </c>
      <c r="C5746" s="1" t="s">
        <v>2505</v>
      </c>
      <c r="D5746" s="1" t="s">
        <v>2506</v>
      </c>
      <c r="E5746" s="1" t="s">
        <v>2019</v>
      </c>
      <c r="F5746" s="1" t="s">
        <v>574</v>
      </c>
      <c r="G5746" s="6">
        <v>2104659</v>
      </c>
      <c r="H5746" t="str">
        <f>IFERROR(VLOOKUP(F5746,'LEAID Match'!$A$2:$B$142,2,FALSE),"")</f>
        <v/>
      </c>
    </row>
    <row r="5747" spans="1:8" x14ac:dyDescent="0.2">
      <c r="A5747" t="str">
        <f t="shared" si="89"/>
        <v/>
      </c>
      <c r="B5747">
        <v>2016</v>
      </c>
      <c r="C5747" s="1" t="s">
        <v>2505</v>
      </c>
      <c r="D5747" s="1" t="s">
        <v>2506</v>
      </c>
      <c r="E5747" s="1" t="s">
        <v>2019</v>
      </c>
      <c r="F5747" s="1" t="s">
        <v>574</v>
      </c>
      <c r="G5747" s="12">
        <v>2304776</v>
      </c>
      <c r="H5747" t="str">
        <f>IFERROR(VLOOKUP(F5747,'LEAID Match'!$A$2:$B$142,2,FALSE),"")</f>
        <v/>
      </c>
    </row>
    <row r="5748" spans="1:8" x14ac:dyDescent="0.2">
      <c r="A5748" t="str">
        <f t="shared" si="89"/>
        <v/>
      </c>
      <c r="B5748" s="1">
        <v>2017</v>
      </c>
      <c r="C5748" s="1" t="s">
        <v>2505</v>
      </c>
      <c r="D5748" s="1" t="s">
        <v>2506</v>
      </c>
      <c r="E5748" s="1" t="s">
        <v>2019</v>
      </c>
      <c r="F5748" s="1" t="s">
        <v>574</v>
      </c>
      <c r="G5748" s="47">
        <v>2450662</v>
      </c>
      <c r="H5748" t="str">
        <f>IFERROR(VLOOKUP(F5748,'LEAID Match'!$A$2:$B$142,2,FALSE),"")</f>
        <v/>
      </c>
    </row>
    <row r="5749" spans="1:8" x14ac:dyDescent="0.2">
      <c r="A5749" t="str">
        <f t="shared" si="89"/>
        <v/>
      </c>
      <c r="B5749" s="1">
        <v>2018</v>
      </c>
      <c r="C5749" s="1" t="s">
        <v>2505</v>
      </c>
      <c r="D5749" s="1" t="s">
        <v>2506</v>
      </c>
      <c r="E5749" s="1" t="s">
        <v>2019</v>
      </c>
      <c r="F5749" s="1" t="s">
        <v>574</v>
      </c>
      <c r="G5749" s="6">
        <v>2603285</v>
      </c>
      <c r="H5749" t="str">
        <f>IFERROR(VLOOKUP(F5749,'LEAID Match'!$A$2:$B$142,2,FALSE),"")</f>
        <v/>
      </c>
    </row>
    <row r="5750" spans="1:8" x14ac:dyDescent="0.2">
      <c r="A5750" t="str">
        <f t="shared" si="89"/>
        <v/>
      </c>
      <c r="B5750" s="1">
        <v>2019</v>
      </c>
      <c r="C5750" s="1" t="s">
        <v>2505</v>
      </c>
      <c r="D5750" s="1" t="s">
        <v>2506</v>
      </c>
      <c r="E5750" s="1" t="s">
        <v>2019</v>
      </c>
      <c r="F5750" s="1" t="s">
        <v>574</v>
      </c>
      <c r="G5750" s="6">
        <v>2584445</v>
      </c>
      <c r="H5750" t="str">
        <f>IFERROR(VLOOKUP(F5750,'LEAID Match'!$A$2:$B$142,2,FALSE),"")</f>
        <v/>
      </c>
    </row>
    <row r="5751" spans="1:8" x14ac:dyDescent="0.2">
      <c r="A5751" t="str">
        <f t="shared" si="89"/>
        <v/>
      </c>
      <c r="B5751" s="1">
        <v>2020</v>
      </c>
      <c r="C5751" s="1" t="s">
        <v>2505</v>
      </c>
      <c r="D5751" s="1" t="s">
        <v>2506</v>
      </c>
      <c r="E5751" s="1" t="s">
        <v>2019</v>
      </c>
      <c r="F5751" s="1" t="s">
        <v>574</v>
      </c>
      <c r="G5751" s="6">
        <v>2795601</v>
      </c>
      <c r="H5751" t="str">
        <f>IFERROR(VLOOKUP(F5751,'LEAID Match'!$A$2:$B$142,2,FALSE),"")</f>
        <v/>
      </c>
    </row>
    <row r="5752" spans="1:8" x14ac:dyDescent="0.2">
      <c r="A5752" t="str">
        <f t="shared" si="89"/>
        <v/>
      </c>
      <c r="B5752" s="1">
        <v>2021</v>
      </c>
      <c r="C5752" s="1" t="s">
        <v>2505</v>
      </c>
      <c r="D5752" s="1" t="s">
        <v>2506</v>
      </c>
      <c r="E5752" s="1" t="s">
        <v>2019</v>
      </c>
      <c r="F5752" s="1" t="s">
        <v>574</v>
      </c>
      <c r="G5752" s="6">
        <v>2795556</v>
      </c>
      <c r="H5752" t="str">
        <f>IFERROR(VLOOKUP(F5752,'LEAID Match'!$A$2:$B$142,2,FALSE),"")</f>
        <v/>
      </c>
    </row>
    <row r="5753" spans="1:8" x14ac:dyDescent="0.2">
      <c r="A5753" t="str">
        <f t="shared" si="89"/>
        <v/>
      </c>
      <c r="B5753" s="1">
        <v>2022</v>
      </c>
      <c r="C5753" s="1" t="s">
        <v>2505</v>
      </c>
      <c r="D5753" s="1" t="s">
        <v>2506</v>
      </c>
      <c r="E5753" s="1" t="s">
        <v>2019</v>
      </c>
      <c r="F5753" s="1" t="s">
        <v>574</v>
      </c>
      <c r="G5753" s="6">
        <v>3199244</v>
      </c>
      <c r="H5753" t="str">
        <f>IFERROR(VLOOKUP(F5753,'LEAID Match'!$A$2:$B$142,2,FALSE),"")</f>
        <v/>
      </c>
    </row>
    <row r="5754" spans="1:8" x14ac:dyDescent="0.2">
      <c r="A5754" t="str">
        <f t="shared" si="89"/>
        <v/>
      </c>
      <c r="B5754" s="1">
        <v>2023</v>
      </c>
      <c r="C5754" s="1" t="s">
        <v>2505</v>
      </c>
      <c r="D5754" s="1" t="s">
        <v>2506</v>
      </c>
      <c r="E5754" s="1" t="s">
        <v>2019</v>
      </c>
      <c r="F5754" s="1" t="s">
        <v>574</v>
      </c>
      <c r="G5754" s="6">
        <v>3826218</v>
      </c>
      <c r="H5754" t="str">
        <f>IFERROR(VLOOKUP(F5754,'LEAID Match'!$A$2:$B$142,2,FALSE),"")</f>
        <v/>
      </c>
    </row>
    <row r="5755" spans="1:8" x14ac:dyDescent="0.2">
      <c r="A5755" t="str">
        <f t="shared" si="89"/>
        <v/>
      </c>
      <c r="B5755" s="1">
        <v>2024</v>
      </c>
      <c r="C5755" s="1" t="s">
        <v>2505</v>
      </c>
      <c r="D5755" s="1" t="s">
        <v>2506</v>
      </c>
      <c r="E5755" s="1" t="s">
        <v>2019</v>
      </c>
      <c r="F5755" s="1" t="s">
        <v>574</v>
      </c>
      <c r="G5755" s="6">
        <v>3823955</v>
      </c>
      <c r="H5755" t="str">
        <f>IFERROR(VLOOKUP(F5755,'LEAID Match'!$A$2:$B$142,2,FALSE),"")</f>
        <v/>
      </c>
    </row>
    <row r="5756" spans="1:8" x14ac:dyDescent="0.2">
      <c r="A5756" t="str">
        <f t="shared" si="89"/>
        <v/>
      </c>
      <c r="B5756" s="1">
        <v>2015</v>
      </c>
      <c r="C5756" s="1" t="s">
        <v>2505</v>
      </c>
      <c r="D5756" s="1" t="s">
        <v>2506</v>
      </c>
      <c r="E5756" s="1" t="s">
        <v>2019</v>
      </c>
      <c r="F5756" s="1" t="s">
        <v>887</v>
      </c>
      <c r="G5756" s="6">
        <v>244528</v>
      </c>
      <c r="H5756" t="str">
        <f>IFERROR(VLOOKUP(F5756,'LEAID Match'!$A$2:$B$142,2,FALSE),"")</f>
        <v/>
      </c>
    </row>
    <row r="5757" spans="1:8" x14ac:dyDescent="0.2">
      <c r="A5757" t="str">
        <f t="shared" si="89"/>
        <v/>
      </c>
      <c r="B5757">
        <v>2016</v>
      </c>
      <c r="C5757" s="1" t="s">
        <v>2505</v>
      </c>
      <c r="D5757" s="1" t="s">
        <v>2506</v>
      </c>
      <c r="E5757" s="1" t="s">
        <v>2019</v>
      </c>
      <c r="F5757" s="1" t="s">
        <v>887</v>
      </c>
      <c r="G5757" s="12">
        <v>254674</v>
      </c>
      <c r="H5757" t="str">
        <f>IFERROR(VLOOKUP(F5757,'LEAID Match'!$A$2:$B$142,2,FALSE),"")</f>
        <v/>
      </c>
    </row>
    <row r="5758" spans="1:8" x14ac:dyDescent="0.2">
      <c r="A5758" t="str">
        <f t="shared" si="89"/>
        <v/>
      </c>
      <c r="B5758" s="1">
        <v>2017</v>
      </c>
      <c r="C5758" s="1" t="s">
        <v>2505</v>
      </c>
      <c r="D5758" s="1" t="s">
        <v>2506</v>
      </c>
      <c r="E5758" s="1" t="s">
        <v>2019</v>
      </c>
      <c r="F5758" s="1" t="s">
        <v>887</v>
      </c>
      <c r="G5758" s="47">
        <v>259162</v>
      </c>
      <c r="H5758" t="str">
        <f>IFERROR(VLOOKUP(F5758,'LEAID Match'!$A$2:$B$142,2,FALSE),"")</f>
        <v/>
      </c>
    </row>
    <row r="5759" spans="1:8" x14ac:dyDescent="0.2">
      <c r="A5759" t="str">
        <f t="shared" si="89"/>
        <v/>
      </c>
      <c r="B5759" s="1">
        <v>2018</v>
      </c>
      <c r="C5759" s="1" t="s">
        <v>2505</v>
      </c>
      <c r="D5759" s="1" t="s">
        <v>2506</v>
      </c>
      <c r="E5759" s="1" t="s">
        <v>2019</v>
      </c>
      <c r="F5759" s="1" t="s">
        <v>887</v>
      </c>
      <c r="G5759" s="6">
        <v>257369</v>
      </c>
      <c r="H5759" t="str">
        <f>IFERROR(VLOOKUP(F5759,'LEAID Match'!$A$2:$B$142,2,FALSE),"")</f>
        <v/>
      </c>
    </row>
    <row r="5760" spans="1:8" x14ac:dyDescent="0.2">
      <c r="A5760" t="str">
        <f t="shared" si="89"/>
        <v/>
      </c>
      <c r="B5760" s="1">
        <v>2019</v>
      </c>
      <c r="C5760" s="1" t="s">
        <v>2505</v>
      </c>
      <c r="D5760" s="1" t="s">
        <v>2506</v>
      </c>
      <c r="E5760" s="1" t="s">
        <v>2019</v>
      </c>
      <c r="F5760" s="1" t="s">
        <v>887</v>
      </c>
      <c r="G5760" s="6">
        <v>378676</v>
      </c>
      <c r="H5760" t="str">
        <f>IFERROR(VLOOKUP(F5760,'LEAID Match'!$A$2:$B$142,2,FALSE),"")</f>
        <v/>
      </c>
    </row>
    <row r="5761" spans="1:8" x14ac:dyDescent="0.2">
      <c r="A5761" t="str">
        <f t="shared" si="89"/>
        <v/>
      </c>
      <c r="B5761" s="1">
        <v>2020</v>
      </c>
      <c r="C5761" s="1" t="s">
        <v>2505</v>
      </c>
      <c r="D5761" s="1" t="s">
        <v>2506</v>
      </c>
      <c r="E5761" s="1" t="s">
        <v>2019</v>
      </c>
      <c r="F5761" s="1" t="s">
        <v>887</v>
      </c>
      <c r="G5761" s="6">
        <v>525454</v>
      </c>
      <c r="H5761" t="str">
        <f>IFERROR(VLOOKUP(F5761,'LEAID Match'!$A$2:$B$142,2,FALSE),"")</f>
        <v/>
      </c>
    </row>
    <row r="5762" spans="1:8" x14ac:dyDescent="0.2">
      <c r="A5762" t="str">
        <f t="shared" si="89"/>
        <v/>
      </c>
      <c r="B5762" s="1">
        <v>2021</v>
      </c>
      <c r="C5762" s="1" t="s">
        <v>2505</v>
      </c>
      <c r="D5762" s="1" t="s">
        <v>2506</v>
      </c>
      <c r="E5762" s="1" t="s">
        <v>2019</v>
      </c>
      <c r="F5762" s="1" t="s">
        <v>887</v>
      </c>
      <c r="G5762" s="6">
        <v>528572</v>
      </c>
      <c r="H5762" t="str">
        <f>IFERROR(VLOOKUP(F5762,'LEAID Match'!$A$2:$B$142,2,FALSE),"")</f>
        <v/>
      </c>
    </row>
    <row r="5763" spans="1:8" x14ac:dyDescent="0.2">
      <c r="A5763" t="str">
        <f t="shared" ref="A5763:A5826" si="90">H5763</f>
        <v/>
      </c>
      <c r="B5763" s="1">
        <v>2022</v>
      </c>
      <c r="C5763" s="1" t="s">
        <v>2505</v>
      </c>
      <c r="D5763" s="1" t="s">
        <v>2506</v>
      </c>
      <c r="E5763" s="1" t="s">
        <v>2019</v>
      </c>
      <c r="F5763" s="1" t="s">
        <v>887</v>
      </c>
      <c r="G5763" s="6">
        <v>576965</v>
      </c>
      <c r="H5763" t="str">
        <f>IFERROR(VLOOKUP(F5763,'LEAID Match'!$A$2:$B$142,2,FALSE),"")</f>
        <v/>
      </c>
    </row>
    <row r="5764" spans="1:8" x14ac:dyDescent="0.2">
      <c r="A5764" t="str">
        <f t="shared" si="90"/>
        <v/>
      </c>
      <c r="B5764" s="1">
        <v>2023</v>
      </c>
      <c r="C5764" s="1" t="s">
        <v>2505</v>
      </c>
      <c r="D5764" s="1" t="s">
        <v>2506</v>
      </c>
      <c r="E5764" s="1" t="s">
        <v>2019</v>
      </c>
      <c r="F5764" s="1" t="s">
        <v>887</v>
      </c>
      <c r="G5764" s="6">
        <v>574857</v>
      </c>
      <c r="H5764" t="str">
        <f>IFERROR(VLOOKUP(F5764,'LEAID Match'!$A$2:$B$142,2,FALSE),"")</f>
        <v/>
      </c>
    </row>
    <row r="5765" spans="1:8" x14ac:dyDescent="0.2">
      <c r="A5765" t="str">
        <f t="shared" si="90"/>
        <v/>
      </c>
      <c r="B5765" s="1">
        <v>2015</v>
      </c>
      <c r="C5765" s="1" t="s">
        <v>2505</v>
      </c>
      <c r="D5765" s="1" t="s">
        <v>2506</v>
      </c>
      <c r="E5765" s="1" t="s">
        <v>2019</v>
      </c>
      <c r="F5765" s="1" t="s">
        <v>576</v>
      </c>
      <c r="G5765" s="6">
        <v>88744</v>
      </c>
      <c r="H5765" t="str">
        <f>IFERROR(VLOOKUP(F5765,'LEAID Match'!$A$2:$B$142,2,FALSE),"")</f>
        <v/>
      </c>
    </row>
    <row r="5766" spans="1:8" x14ac:dyDescent="0.2">
      <c r="A5766" t="str">
        <f t="shared" si="90"/>
        <v/>
      </c>
      <c r="B5766">
        <v>2016</v>
      </c>
      <c r="C5766" s="1" t="s">
        <v>2505</v>
      </c>
      <c r="D5766" s="1" t="s">
        <v>2506</v>
      </c>
      <c r="E5766" s="1" t="s">
        <v>2019</v>
      </c>
      <c r="F5766" s="1" t="s">
        <v>576</v>
      </c>
      <c r="G5766" s="12">
        <v>89033</v>
      </c>
      <c r="H5766" t="str">
        <f>IFERROR(VLOOKUP(F5766,'LEAID Match'!$A$2:$B$142,2,FALSE),"")</f>
        <v/>
      </c>
    </row>
    <row r="5767" spans="1:8" x14ac:dyDescent="0.2">
      <c r="A5767" t="str">
        <f t="shared" si="90"/>
        <v/>
      </c>
      <c r="B5767" s="1">
        <v>2017</v>
      </c>
      <c r="C5767" s="1" t="s">
        <v>2505</v>
      </c>
      <c r="D5767" s="1" t="s">
        <v>2506</v>
      </c>
      <c r="E5767" s="1" t="s">
        <v>2019</v>
      </c>
      <c r="F5767" s="1" t="s">
        <v>576</v>
      </c>
      <c r="G5767" s="47">
        <v>86918</v>
      </c>
      <c r="H5767" t="str">
        <f>IFERROR(VLOOKUP(F5767,'LEAID Match'!$A$2:$B$142,2,FALSE),"")</f>
        <v/>
      </c>
    </row>
    <row r="5768" spans="1:8" x14ac:dyDescent="0.2">
      <c r="A5768" t="str">
        <f t="shared" si="90"/>
        <v/>
      </c>
      <c r="B5768" s="1">
        <v>2018</v>
      </c>
      <c r="C5768" s="1" t="s">
        <v>2505</v>
      </c>
      <c r="D5768" s="1" t="s">
        <v>2506</v>
      </c>
      <c r="E5768" s="1" t="s">
        <v>2019</v>
      </c>
      <c r="F5768" s="1" t="s">
        <v>576</v>
      </c>
      <c r="G5768" s="6">
        <v>89369</v>
      </c>
      <c r="H5768" t="str">
        <f>IFERROR(VLOOKUP(F5768,'LEAID Match'!$A$2:$B$142,2,FALSE),"")</f>
        <v/>
      </c>
    </row>
    <row r="5769" spans="1:8" x14ac:dyDescent="0.2">
      <c r="A5769" t="str">
        <f t="shared" si="90"/>
        <v/>
      </c>
      <c r="B5769" s="1">
        <v>2019</v>
      </c>
      <c r="C5769" s="1" t="s">
        <v>2505</v>
      </c>
      <c r="D5769" s="1" t="s">
        <v>2506</v>
      </c>
      <c r="E5769" s="1" t="s">
        <v>2019</v>
      </c>
      <c r="F5769" s="1" t="s">
        <v>576</v>
      </c>
      <c r="G5769" s="6">
        <v>78900</v>
      </c>
      <c r="H5769" t="str">
        <f>IFERROR(VLOOKUP(F5769,'LEAID Match'!$A$2:$B$142,2,FALSE),"")</f>
        <v/>
      </c>
    </row>
    <row r="5770" spans="1:8" x14ac:dyDescent="0.2">
      <c r="A5770" t="str">
        <f t="shared" si="90"/>
        <v/>
      </c>
      <c r="B5770" s="1">
        <v>2020</v>
      </c>
      <c r="C5770" s="1" t="s">
        <v>2505</v>
      </c>
      <c r="D5770" s="1" t="s">
        <v>2506</v>
      </c>
      <c r="E5770" s="1" t="s">
        <v>2019</v>
      </c>
      <c r="F5770" s="1" t="s">
        <v>576</v>
      </c>
      <c r="G5770" s="6">
        <v>91130</v>
      </c>
      <c r="H5770" t="str">
        <f>IFERROR(VLOOKUP(F5770,'LEAID Match'!$A$2:$B$142,2,FALSE),"")</f>
        <v/>
      </c>
    </row>
    <row r="5771" spans="1:8" x14ac:dyDescent="0.2">
      <c r="A5771" t="str">
        <f t="shared" si="90"/>
        <v/>
      </c>
      <c r="B5771" s="1">
        <v>2021</v>
      </c>
      <c r="C5771" s="1" t="s">
        <v>2505</v>
      </c>
      <c r="D5771" s="1" t="s">
        <v>2506</v>
      </c>
      <c r="E5771" s="1" t="s">
        <v>2019</v>
      </c>
      <c r="F5771" s="1" t="s">
        <v>576</v>
      </c>
      <c r="G5771" s="6">
        <v>93972</v>
      </c>
      <c r="H5771" t="str">
        <f>IFERROR(VLOOKUP(F5771,'LEAID Match'!$A$2:$B$142,2,FALSE),"")</f>
        <v/>
      </c>
    </row>
    <row r="5772" spans="1:8" x14ac:dyDescent="0.2">
      <c r="A5772" t="str">
        <f t="shared" si="90"/>
        <v/>
      </c>
      <c r="B5772" s="1">
        <v>2022</v>
      </c>
      <c r="C5772" s="1" t="s">
        <v>2505</v>
      </c>
      <c r="D5772" s="1" t="s">
        <v>2506</v>
      </c>
      <c r="E5772" s="1" t="s">
        <v>2019</v>
      </c>
      <c r="F5772" s="1" t="s">
        <v>576</v>
      </c>
      <c r="G5772" s="6">
        <v>105272</v>
      </c>
      <c r="H5772" t="str">
        <f>IFERROR(VLOOKUP(F5772,'LEAID Match'!$A$2:$B$142,2,FALSE),"")</f>
        <v/>
      </c>
    </row>
    <row r="5773" spans="1:8" x14ac:dyDescent="0.2">
      <c r="A5773" t="str">
        <f t="shared" si="90"/>
        <v/>
      </c>
      <c r="B5773" s="1">
        <v>2023</v>
      </c>
      <c r="C5773" s="1" t="s">
        <v>2505</v>
      </c>
      <c r="D5773" s="1" t="s">
        <v>2506</v>
      </c>
      <c r="E5773" s="1" t="s">
        <v>2019</v>
      </c>
      <c r="F5773" s="1" t="s">
        <v>576</v>
      </c>
      <c r="G5773" s="6">
        <v>119197</v>
      </c>
      <c r="H5773" t="str">
        <f>IFERROR(VLOOKUP(F5773,'LEAID Match'!$A$2:$B$142,2,FALSE),"")</f>
        <v/>
      </c>
    </row>
    <row r="5774" spans="1:8" x14ac:dyDescent="0.2">
      <c r="A5774" t="str">
        <f t="shared" si="90"/>
        <v/>
      </c>
      <c r="B5774" s="1">
        <v>2024</v>
      </c>
      <c r="C5774" s="1" t="s">
        <v>2505</v>
      </c>
      <c r="D5774" s="1" t="s">
        <v>2506</v>
      </c>
      <c r="E5774" s="1" t="s">
        <v>2019</v>
      </c>
      <c r="F5774" s="1" t="s">
        <v>576</v>
      </c>
      <c r="G5774" s="6">
        <v>129694</v>
      </c>
      <c r="H5774" t="str">
        <f>IFERROR(VLOOKUP(F5774,'LEAID Match'!$A$2:$B$142,2,FALSE),"")</f>
        <v/>
      </c>
    </row>
    <row r="5775" spans="1:8" x14ac:dyDescent="0.2">
      <c r="A5775">
        <f t="shared" si="90"/>
        <v>2803450</v>
      </c>
      <c r="B5775" s="1">
        <v>2015</v>
      </c>
      <c r="C5775" s="1" t="s">
        <v>2505</v>
      </c>
      <c r="D5775" s="1" t="s">
        <v>2506</v>
      </c>
      <c r="E5775" s="1" t="s">
        <v>2019</v>
      </c>
      <c r="F5775" s="1" t="s">
        <v>577</v>
      </c>
      <c r="G5775" s="6">
        <v>3361618</v>
      </c>
      <c r="H5775">
        <f>IFERROR(VLOOKUP(F5775,'LEAID Match'!$A$2:$B$142,2,FALSE),"")</f>
        <v>2803450</v>
      </c>
    </row>
    <row r="5776" spans="1:8" x14ac:dyDescent="0.2">
      <c r="A5776">
        <f t="shared" si="90"/>
        <v>2803450</v>
      </c>
      <c r="B5776">
        <v>2016</v>
      </c>
      <c r="C5776" s="1" t="s">
        <v>2505</v>
      </c>
      <c r="D5776" s="1" t="s">
        <v>2506</v>
      </c>
      <c r="E5776" s="1" t="s">
        <v>2019</v>
      </c>
      <c r="F5776" s="1" t="s">
        <v>577</v>
      </c>
      <c r="G5776" s="12">
        <v>3594298</v>
      </c>
      <c r="H5776">
        <f>IFERROR(VLOOKUP(F5776,'LEAID Match'!$A$2:$B$142,2,FALSE),"")</f>
        <v>2803450</v>
      </c>
    </row>
    <row r="5777" spans="1:8" x14ac:dyDescent="0.2">
      <c r="A5777">
        <f t="shared" si="90"/>
        <v>2803450</v>
      </c>
      <c r="B5777" s="1">
        <v>2017</v>
      </c>
      <c r="C5777" s="1" t="s">
        <v>2505</v>
      </c>
      <c r="D5777" s="1" t="s">
        <v>2506</v>
      </c>
      <c r="E5777" s="1" t="s">
        <v>2019</v>
      </c>
      <c r="F5777" s="1" t="s">
        <v>577</v>
      </c>
      <c r="G5777" s="47">
        <v>3719014</v>
      </c>
      <c r="H5777">
        <f>IFERROR(VLOOKUP(F5777,'LEAID Match'!$A$2:$B$142,2,FALSE),"")</f>
        <v>2803450</v>
      </c>
    </row>
    <row r="5778" spans="1:8" x14ac:dyDescent="0.2">
      <c r="A5778">
        <f t="shared" si="90"/>
        <v>2803450</v>
      </c>
      <c r="B5778" s="1">
        <v>2018</v>
      </c>
      <c r="C5778" s="1" t="s">
        <v>2505</v>
      </c>
      <c r="D5778" s="1" t="s">
        <v>2506</v>
      </c>
      <c r="E5778" s="1" t="s">
        <v>2019</v>
      </c>
      <c r="F5778" s="1" t="s">
        <v>577</v>
      </c>
      <c r="G5778" s="6">
        <v>3754686</v>
      </c>
      <c r="H5778">
        <f>IFERROR(VLOOKUP(F5778,'LEAID Match'!$A$2:$B$142,2,FALSE),"")</f>
        <v>2803450</v>
      </c>
    </row>
    <row r="5779" spans="1:8" x14ac:dyDescent="0.2">
      <c r="A5779">
        <f t="shared" si="90"/>
        <v>2803450</v>
      </c>
      <c r="B5779" s="1">
        <v>2019</v>
      </c>
      <c r="C5779" s="1" t="s">
        <v>2505</v>
      </c>
      <c r="D5779" s="1" t="s">
        <v>2506</v>
      </c>
      <c r="E5779" s="1" t="s">
        <v>2019</v>
      </c>
      <c r="F5779" s="1" t="s">
        <v>577</v>
      </c>
      <c r="G5779" s="6">
        <v>3826815</v>
      </c>
      <c r="H5779">
        <f>IFERROR(VLOOKUP(F5779,'LEAID Match'!$A$2:$B$142,2,FALSE),"")</f>
        <v>2803450</v>
      </c>
    </row>
    <row r="5780" spans="1:8" x14ac:dyDescent="0.2">
      <c r="A5780">
        <f t="shared" si="90"/>
        <v>2803450</v>
      </c>
      <c r="B5780" s="1">
        <v>2020</v>
      </c>
      <c r="C5780" s="1" t="s">
        <v>2505</v>
      </c>
      <c r="D5780" s="1" t="s">
        <v>2506</v>
      </c>
      <c r="E5780" s="1" t="s">
        <v>2019</v>
      </c>
      <c r="F5780" s="1" t="s">
        <v>577</v>
      </c>
      <c r="G5780" s="6">
        <v>4360237</v>
      </c>
      <c r="H5780">
        <f>IFERROR(VLOOKUP(F5780,'LEAID Match'!$A$2:$B$142,2,FALSE),"")</f>
        <v>2803450</v>
      </c>
    </row>
    <row r="5781" spans="1:8" x14ac:dyDescent="0.2">
      <c r="A5781">
        <f t="shared" si="90"/>
        <v>2803450</v>
      </c>
      <c r="B5781" s="1">
        <v>2021</v>
      </c>
      <c r="C5781" s="1" t="s">
        <v>2505</v>
      </c>
      <c r="D5781" s="1" t="s">
        <v>2506</v>
      </c>
      <c r="E5781" s="1" t="s">
        <v>2019</v>
      </c>
      <c r="F5781" s="1" t="s">
        <v>577</v>
      </c>
      <c r="G5781" s="6">
        <v>4456663</v>
      </c>
      <c r="H5781">
        <f>IFERROR(VLOOKUP(F5781,'LEAID Match'!$A$2:$B$142,2,FALSE),"")</f>
        <v>2803450</v>
      </c>
    </row>
    <row r="5782" spans="1:8" x14ac:dyDescent="0.2">
      <c r="A5782">
        <f t="shared" si="90"/>
        <v>2803450</v>
      </c>
      <c r="B5782" s="1">
        <v>2022</v>
      </c>
      <c r="C5782" s="1" t="s">
        <v>2505</v>
      </c>
      <c r="D5782" s="1" t="s">
        <v>2506</v>
      </c>
      <c r="E5782" s="1" t="s">
        <v>2019</v>
      </c>
      <c r="F5782" s="1" t="s">
        <v>577</v>
      </c>
      <c r="G5782" s="6">
        <v>5011297</v>
      </c>
      <c r="H5782">
        <f>IFERROR(VLOOKUP(F5782,'LEAID Match'!$A$2:$B$142,2,FALSE),"")</f>
        <v>2803450</v>
      </c>
    </row>
    <row r="5783" spans="1:8" x14ac:dyDescent="0.2">
      <c r="A5783">
        <f t="shared" si="90"/>
        <v>2803450</v>
      </c>
      <c r="B5783" s="1">
        <v>2023</v>
      </c>
      <c r="C5783" s="1" t="s">
        <v>2505</v>
      </c>
      <c r="D5783" s="1" t="s">
        <v>2506</v>
      </c>
      <c r="E5783" s="1" t="s">
        <v>2019</v>
      </c>
      <c r="F5783" s="1" t="s">
        <v>577</v>
      </c>
      <c r="G5783" s="6">
        <v>5665983</v>
      </c>
      <c r="H5783">
        <f>IFERROR(VLOOKUP(F5783,'LEAID Match'!$A$2:$B$142,2,FALSE),"")</f>
        <v>2803450</v>
      </c>
    </row>
    <row r="5784" spans="1:8" x14ac:dyDescent="0.2">
      <c r="A5784">
        <f t="shared" si="90"/>
        <v>2803450</v>
      </c>
      <c r="B5784" s="1">
        <v>2024</v>
      </c>
      <c r="C5784" s="1" t="s">
        <v>2505</v>
      </c>
      <c r="D5784" s="1" t="s">
        <v>2506</v>
      </c>
      <c r="E5784" s="1" t="s">
        <v>2019</v>
      </c>
      <c r="F5784" s="1" t="s">
        <v>577</v>
      </c>
      <c r="G5784" s="6">
        <v>5973172</v>
      </c>
      <c r="H5784">
        <f>IFERROR(VLOOKUP(F5784,'LEAID Match'!$A$2:$B$142,2,FALSE),"")</f>
        <v>2803450</v>
      </c>
    </row>
    <row r="5785" spans="1:8" x14ac:dyDescent="0.2">
      <c r="A5785" t="str">
        <f t="shared" si="90"/>
        <v/>
      </c>
      <c r="B5785" s="1">
        <v>2015</v>
      </c>
      <c r="C5785" s="1" t="s">
        <v>2505</v>
      </c>
      <c r="D5785" s="1" t="s">
        <v>2506</v>
      </c>
      <c r="E5785" s="1" t="s">
        <v>2019</v>
      </c>
      <c r="F5785" s="1" t="s">
        <v>578</v>
      </c>
      <c r="G5785" s="6">
        <v>24390</v>
      </c>
      <c r="H5785" t="str">
        <f>IFERROR(VLOOKUP(F5785,'LEAID Match'!$A$2:$B$142,2,FALSE),"")</f>
        <v/>
      </c>
    </row>
    <row r="5786" spans="1:8" x14ac:dyDescent="0.2">
      <c r="A5786" t="str">
        <f t="shared" si="90"/>
        <v/>
      </c>
      <c r="B5786">
        <v>2016</v>
      </c>
      <c r="C5786" s="1" t="s">
        <v>2505</v>
      </c>
      <c r="D5786" s="1" t="s">
        <v>2506</v>
      </c>
      <c r="E5786" s="1" t="s">
        <v>2019</v>
      </c>
      <c r="F5786" s="1" t="s">
        <v>578</v>
      </c>
      <c r="G5786" s="12">
        <v>27682</v>
      </c>
      <c r="H5786" t="str">
        <f>IFERROR(VLOOKUP(F5786,'LEAID Match'!$A$2:$B$142,2,FALSE),"")</f>
        <v/>
      </c>
    </row>
    <row r="5787" spans="1:8" x14ac:dyDescent="0.2">
      <c r="A5787" t="str">
        <f t="shared" si="90"/>
        <v/>
      </c>
      <c r="B5787" s="1">
        <v>2017</v>
      </c>
      <c r="C5787" s="1" t="s">
        <v>2505</v>
      </c>
      <c r="D5787" s="1" t="s">
        <v>2506</v>
      </c>
      <c r="E5787" s="1" t="s">
        <v>2019</v>
      </c>
      <c r="F5787" s="1" t="s">
        <v>578</v>
      </c>
      <c r="G5787" s="47">
        <v>28235</v>
      </c>
      <c r="H5787" t="str">
        <f>IFERROR(VLOOKUP(F5787,'LEAID Match'!$A$2:$B$142,2,FALSE),"")</f>
        <v/>
      </c>
    </row>
    <row r="5788" spans="1:8" x14ac:dyDescent="0.2">
      <c r="A5788" t="str">
        <f t="shared" si="90"/>
        <v/>
      </c>
      <c r="B5788" s="1">
        <v>2018</v>
      </c>
      <c r="C5788" s="1" t="s">
        <v>2505</v>
      </c>
      <c r="D5788" s="1" t="s">
        <v>2506</v>
      </c>
      <c r="E5788" s="1" t="s">
        <v>2019</v>
      </c>
      <c r="F5788" s="1" t="s">
        <v>578</v>
      </c>
      <c r="G5788" s="6">
        <v>32905</v>
      </c>
      <c r="H5788" t="str">
        <f>IFERROR(VLOOKUP(F5788,'LEAID Match'!$A$2:$B$142,2,FALSE),"")</f>
        <v/>
      </c>
    </row>
    <row r="5789" spans="1:8" x14ac:dyDescent="0.2">
      <c r="A5789" t="str">
        <f t="shared" si="90"/>
        <v/>
      </c>
      <c r="B5789" s="1">
        <v>2019</v>
      </c>
      <c r="C5789" s="1" t="s">
        <v>2505</v>
      </c>
      <c r="D5789" s="1" t="s">
        <v>2506</v>
      </c>
      <c r="E5789" s="1" t="s">
        <v>2019</v>
      </c>
      <c r="F5789" s="1" t="s">
        <v>578</v>
      </c>
      <c r="G5789" s="6">
        <v>36407</v>
      </c>
      <c r="H5789" t="str">
        <f>IFERROR(VLOOKUP(F5789,'LEAID Match'!$A$2:$B$142,2,FALSE),"")</f>
        <v/>
      </c>
    </row>
    <row r="5790" spans="1:8" x14ac:dyDescent="0.2">
      <c r="A5790" t="str">
        <f t="shared" si="90"/>
        <v/>
      </c>
      <c r="B5790" s="1">
        <v>2020</v>
      </c>
      <c r="C5790" s="1" t="s">
        <v>2505</v>
      </c>
      <c r="D5790" s="1" t="s">
        <v>2506</v>
      </c>
      <c r="E5790" s="1" t="s">
        <v>2019</v>
      </c>
      <c r="F5790" s="1" t="s">
        <v>578</v>
      </c>
      <c r="G5790" s="6">
        <v>38590</v>
      </c>
      <c r="H5790" t="str">
        <f>IFERROR(VLOOKUP(F5790,'LEAID Match'!$A$2:$B$142,2,FALSE),"")</f>
        <v/>
      </c>
    </row>
    <row r="5791" spans="1:8" x14ac:dyDescent="0.2">
      <c r="A5791" t="str">
        <f t="shared" si="90"/>
        <v/>
      </c>
      <c r="B5791" s="1">
        <v>2021</v>
      </c>
      <c r="C5791" s="1" t="s">
        <v>2505</v>
      </c>
      <c r="D5791" s="1" t="s">
        <v>2506</v>
      </c>
      <c r="E5791" s="1" t="s">
        <v>2019</v>
      </c>
      <c r="F5791" s="1" t="s">
        <v>578</v>
      </c>
      <c r="G5791" s="6">
        <v>34063</v>
      </c>
      <c r="H5791" t="str">
        <f>IFERROR(VLOOKUP(F5791,'LEAID Match'!$A$2:$B$142,2,FALSE),"")</f>
        <v/>
      </c>
    </row>
    <row r="5792" spans="1:8" x14ac:dyDescent="0.2">
      <c r="A5792" t="str">
        <f t="shared" si="90"/>
        <v/>
      </c>
      <c r="B5792" s="1">
        <v>2022</v>
      </c>
      <c r="C5792" s="1" t="s">
        <v>2505</v>
      </c>
      <c r="D5792" s="1" t="s">
        <v>2506</v>
      </c>
      <c r="E5792" s="1" t="s">
        <v>2019</v>
      </c>
      <c r="F5792" s="1" t="s">
        <v>578</v>
      </c>
      <c r="G5792" s="6">
        <v>37121</v>
      </c>
      <c r="H5792" t="str">
        <f>IFERROR(VLOOKUP(F5792,'LEAID Match'!$A$2:$B$142,2,FALSE),"")</f>
        <v/>
      </c>
    </row>
    <row r="5793" spans="1:8" x14ac:dyDescent="0.2">
      <c r="A5793" t="str">
        <f t="shared" si="90"/>
        <v/>
      </c>
      <c r="B5793" s="1">
        <v>2023</v>
      </c>
      <c r="C5793" s="1" t="s">
        <v>2505</v>
      </c>
      <c r="D5793" s="1" t="s">
        <v>2506</v>
      </c>
      <c r="E5793" s="1" t="s">
        <v>2019</v>
      </c>
      <c r="F5793" s="1" t="s">
        <v>578</v>
      </c>
      <c r="G5793" s="6">
        <v>43112</v>
      </c>
      <c r="H5793" t="str">
        <f>IFERROR(VLOOKUP(F5793,'LEAID Match'!$A$2:$B$142,2,FALSE),"")</f>
        <v/>
      </c>
    </row>
    <row r="5794" spans="1:8" x14ac:dyDescent="0.2">
      <c r="A5794" t="str">
        <f t="shared" si="90"/>
        <v/>
      </c>
      <c r="B5794" s="1">
        <v>2024</v>
      </c>
      <c r="C5794" s="1" t="s">
        <v>2505</v>
      </c>
      <c r="D5794" s="1" t="s">
        <v>2506</v>
      </c>
      <c r="E5794" s="1" t="s">
        <v>2019</v>
      </c>
      <c r="F5794" s="1" t="s">
        <v>578</v>
      </c>
      <c r="G5794" s="6">
        <v>48353</v>
      </c>
      <c r="H5794" t="str">
        <f>IFERROR(VLOOKUP(F5794,'LEAID Match'!$A$2:$B$142,2,FALSE),"")</f>
        <v/>
      </c>
    </row>
    <row r="5795" spans="1:8" x14ac:dyDescent="0.2">
      <c r="A5795" t="str">
        <f t="shared" si="90"/>
        <v/>
      </c>
      <c r="B5795" s="1">
        <v>2024</v>
      </c>
      <c r="C5795" s="1" t="s">
        <v>2505</v>
      </c>
      <c r="D5795" s="1" t="s">
        <v>2506</v>
      </c>
      <c r="E5795" s="1" t="s">
        <v>2019</v>
      </c>
      <c r="F5795" s="1" t="s">
        <v>575</v>
      </c>
      <c r="G5795" s="6">
        <v>622086</v>
      </c>
      <c r="H5795" t="str">
        <f>IFERROR(VLOOKUP(F5795,'LEAID Match'!$A$2:$B$142,2,FALSE),"")</f>
        <v/>
      </c>
    </row>
    <row r="5796" spans="1:8" x14ac:dyDescent="0.2">
      <c r="A5796" t="str">
        <f t="shared" si="90"/>
        <v/>
      </c>
      <c r="B5796" s="1">
        <v>2023</v>
      </c>
      <c r="C5796" s="1" t="s">
        <v>2505</v>
      </c>
      <c r="D5796" s="1" t="s">
        <v>2506</v>
      </c>
      <c r="E5796" s="1" t="s">
        <v>2019</v>
      </c>
      <c r="F5796" s="1" t="s">
        <v>579</v>
      </c>
      <c r="G5796" s="6">
        <v>17703</v>
      </c>
      <c r="H5796" t="str">
        <f>IFERROR(VLOOKUP(F5796,'LEAID Match'!$A$2:$B$142,2,FALSE),"")</f>
        <v/>
      </c>
    </row>
    <row r="5797" spans="1:8" x14ac:dyDescent="0.2">
      <c r="A5797" t="str">
        <f t="shared" si="90"/>
        <v/>
      </c>
      <c r="B5797" s="1">
        <v>2024</v>
      </c>
      <c r="C5797" s="1" t="s">
        <v>2505</v>
      </c>
      <c r="D5797" s="1" t="s">
        <v>2506</v>
      </c>
      <c r="E5797" s="1" t="s">
        <v>2019</v>
      </c>
      <c r="F5797" s="1" t="s">
        <v>579</v>
      </c>
      <c r="G5797" s="6">
        <v>20593</v>
      </c>
      <c r="H5797" t="str">
        <f>IFERROR(VLOOKUP(F5797,'LEAID Match'!$A$2:$B$142,2,FALSE),"")</f>
        <v/>
      </c>
    </row>
    <row r="5798" spans="1:8" x14ac:dyDescent="0.2">
      <c r="A5798" t="str">
        <f t="shared" si="90"/>
        <v/>
      </c>
      <c r="B5798" s="1">
        <v>2015</v>
      </c>
      <c r="C5798" s="1" t="s">
        <v>2505</v>
      </c>
      <c r="D5798" s="1" t="s">
        <v>2506</v>
      </c>
      <c r="E5798" s="1" t="s">
        <v>2019</v>
      </c>
      <c r="F5798" s="1" t="s">
        <v>580</v>
      </c>
      <c r="G5798" s="6">
        <v>1034500</v>
      </c>
      <c r="H5798" t="str">
        <f>IFERROR(VLOOKUP(F5798,'LEAID Match'!$A$2:$B$142,2,FALSE),"")</f>
        <v/>
      </c>
    </row>
    <row r="5799" spans="1:8" x14ac:dyDescent="0.2">
      <c r="A5799" t="str">
        <f t="shared" si="90"/>
        <v/>
      </c>
      <c r="B5799">
        <v>2016</v>
      </c>
      <c r="C5799" s="1" t="s">
        <v>2505</v>
      </c>
      <c r="D5799" s="1" t="s">
        <v>2506</v>
      </c>
      <c r="E5799" s="1" t="s">
        <v>2019</v>
      </c>
      <c r="F5799" s="1" t="s">
        <v>580</v>
      </c>
      <c r="G5799" s="12">
        <v>1085429</v>
      </c>
      <c r="H5799" t="str">
        <f>IFERROR(VLOOKUP(F5799,'LEAID Match'!$A$2:$B$142,2,FALSE),"")</f>
        <v/>
      </c>
    </row>
    <row r="5800" spans="1:8" x14ac:dyDescent="0.2">
      <c r="A5800" t="str">
        <f t="shared" si="90"/>
        <v/>
      </c>
      <c r="B5800" s="1">
        <v>2017</v>
      </c>
      <c r="C5800" s="1" t="s">
        <v>2505</v>
      </c>
      <c r="D5800" s="1" t="s">
        <v>2506</v>
      </c>
      <c r="E5800" s="1" t="s">
        <v>2019</v>
      </c>
      <c r="F5800" s="1" t="s">
        <v>580</v>
      </c>
      <c r="G5800" s="47">
        <v>1140795</v>
      </c>
      <c r="H5800" t="str">
        <f>IFERROR(VLOOKUP(F5800,'LEAID Match'!$A$2:$B$142,2,FALSE),"")</f>
        <v/>
      </c>
    </row>
    <row r="5801" spans="1:8" x14ac:dyDescent="0.2">
      <c r="A5801" t="str">
        <f t="shared" si="90"/>
        <v/>
      </c>
      <c r="B5801" s="1">
        <v>2018</v>
      </c>
      <c r="C5801" s="1" t="s">
        <v>2505</v>
      </c>
      <c r="D5801" s="1" t="s">
        <v>2506</v>
      </c>
      <c r="E5801" s="1" t="s">
        <v>2019</v>
      </c>
      <c r="F5801" s="1" t="s">
        <v>580</v>
      </c>
      <c r="G5801" s="6">
        <v>1231490</v>
      </c>
      <c r="H5801" t="str">
        <f>IFERROR(VLOOKUP(F5801,'LEAID Match'!$A$2:$B$142,2,FALSE),"")</f>
        <v/>
      </c>
    </row>
    <row r="5802" spans="1:8" x14ac:dyDescent="0.2">
      <c r="A5802" t="str">
        <f t="shared" si="90"/>
        <v/>
      </c>
      <c r="B5802" s="1">
        <v>2019</v>
      </c>
      <c r="C5802" s="1" t="s">
        <v>2505</v>
      </c>
      <c r="D5802" s="1" t="s">
        <v>2506</v>
      </c>
      <c r="E5802" s="1" t="s">
        <v>2019</v>
      </c>
      <c r="F5802" s="1" t="s">
        <v>580</v>
      </c>
      <c r="G5802" s="6">
        <v>1274592</v>
      </c>
      <c r="H5802" t="str">
        <f>IFERROR(VLOOKUP(F5802,'LEAID Match'!$A$2:$B$142,2,FALSE),"")</f>
        <v/>
      </c>
    </row>
    <row r="5803" spans="1:8" x14ac:dyDescent="0.2">
      <c r="A5803" t="str">
        <f t="shared" si="90"/>
        <v/>
      </c>
      <c r="B5803" s="1">
        <v>2020</v>
      </c>
      <c r="C5803" s="1" t="s">
        <v>2505</v>
      </c>
      <c r="D5803" s="1" t="s">
        <v>2506</v>
      </c>
      <c r="E5803" s="1" t="s">
        <v>2019</v>
      </c>
      <c r="F5803" s="1" t="s">
        <v>580</v>
      </c>
      <c r="G5803" s="6">
        <v>1415567</v>
      </c>
      <c r="H5803" t="str">
        <f>IFERROR(VLOOKUP(F5803,'LEAID Match'!$A$2:$B$142,2,FALSE),"")</f>
        <v/>
      </c>
    </row>
    <row r="5804" spans="1:8" x14ac:dyDescent="0.2">
      <c r="A5804" t="str">
        <f t="shared" si="90"/>
        <v/>
      </c>
      <c r="B5804" s="1">
        <v>2021</v>
      </c>
      <c r="C5804" s="1" t="s">
        <v>2505</v>
      </c>
      <c r="D5804" s="1" t="s">
        <v>2506</v>
      </c>
      <c r="E5804" s="1" t="s">
        <v>2019</v>
      </c>
      <c r="F5804" s="1" t="s">
        <v>580</v>
      </c>
      <c r="G5804" s="6">
        <v>1512789</v>
      </c>
      <c r="H5804" t="str">
        <f>IFERROR(VLOOKUP(F5804,'LEAID Match'!$A$2:$B$142,2,FALSE),"")</f>
        <v/>
      </c>
    </row>
    <row r="5805" spans="1:8" x14ac:dyDescent="0.2">
      <c r="A5805" t="str">
        <f t="shared" si="90"/>
        <v/>
      </c>
      <c r="B5805" s="1">
        <v>2022</v>
      </c>
      <c r="C5805" s="1" t="s">
        <v>2505</v>
      </c>
      <c r="D5805" s="1" t="s">
        <v>2506</v>
      </c>
      <c r="E5805" s="1" t="s">
        <v>2019</v>
      </c>
      <c r="F5805" s="1" t="s">
        <v>580</v>
      </c>
      <c r="G5805" s="6">
        <v>1576931</v>
      </c>
      <c r="H5805" t="str">
        <f>IFERROR(VLOOKUP(F5805,'LEAID Match'!$A$2:$B$142,2,FALSE),"")</f>
        <v/>
      </c>
    </row>
    <row r="5806" spans="1:8" x14ac:dyDescent="0.2">
      <c r="A5806" t="str">
        <f t="shared" si="90"/>
        <v/>
      </c>
      <c r="B5806" s="1">
        <v>2023</v>
      </c>
      <c r="C5806" s="1" t="s">
        <v>2505</v>
      </c>
      <c r="D5806" s="1" t="s">
        <v>2506</v>
      </c>
      <c r="E5806" s="1" t="s">
        <v>2019</v>
      </c>
      <c r="F5806" s="1" t="s">
        <v>580</v>
      </c>
      <c r="G5806" s="6">
        <v>1671771</v>
      </c>
      <c r="H5806" t="str">
        <f>IFERROR(VLOOKUP(F5806,'LEAID Match'!$A$2:$B$142,2,FALSE),"")</f>
        <v/>
      </c>
    </row>
    <row r="5807" spans="1:8" x14ac:dyDescent="0.2">
      <c r="A5807" t="str">
        <f t="shared" si="90"/>
        <v/>
      </c>
      <c r="B5807" s="1">
        <v>2024</v>
      </c>
      <c r="C5807" s="1" t="s">
        <v>2505</v>
      </c>
      <c r="D5807" s="1" t="s">
        <v>2506</v>
      </c>
      <c r="E5807" s="1" t="s">
        <v>2019</v>
      </c>
      <c r="F5807" s="1" t="s">
        <v>580</v>
      </c>
      <c r="G5807" s="6">
        <v>1751871</v>
      </c>
      <c r="H5807" t="str">
        <f>IFERROR(VLOOKUP(F5807,'LEAID Match'!$A$2:$B$142,2,FALSE),"")</f>
        <v/>
      </c>
    </row>
    <row r="5808" spans="1:8" x14ac:dyDescent="0.2">
      <c r="A5808" t="str">
        <f t="shared" si="90"/>
        <v/>
      </c>
      <c r="B5808" s="1">
        <v>2015</v>
      </c>
      <c r="C5808" s="1" t="s">
        <v>2505</v>
      </c>
      <c r="D5808" s="1" t="s">
        <v>2506</v>
      </c>
      <c r="E5808" s="1" t="s">
        <v>2019</v>
      </c>
      <c r="F5808" s="1" t="s">
        <v>581</v>
      </c>
      <c r="G5808" s="6">
        <v>3863</v>
      </c>
      <c r="H5808" t="str">
        <f>IFERROR(VLOOKUP(F5808,'LEAID Match'!$A$2:$B$142,2,FALSE),"")</f>
        <v/>
      </c>
    </row>
    <row r="5809" spans="1:8" x14ac:dyDescent="0.2">
      <c r="A5809" t="str">
        <f t="shared" si="90"/>
        <v/>
      </c>
      <c r="B5809">
        <v>2016</v>
      </c>
      <c r="C5809" s="1" t="s">
        <v>2505</v>
      </c>
      <c r="D5809" s="1" t="s">
        <v>2506</v>
      </c>
      <c r="E5809" s="1" t="s">
        <v>2019</v>
      </c>
      <c r="F5809" s="1" t="s">
        <v>581</v>
      </c>
      <c r="G5809" s="12">
        <v>3931</v>
      </c>
      <c r="H5809" t="str">
        <f>IFERROR(VLOOKUP(F5809,'LEAID Match'!$A$2:$B$142,2,FALSE),"")</f>
        <v/>
      </c>
    </row>
    <row r="5810" spans="1:8" x14ac:dyDescent="0.2">
      <c r="A5810" t="str">
        <f t="shared" si="90"/>
        <v/>
      </c>
      <c r="B5810" s="1">
        <v>2017</v>
      </c>
      <c r="C5810" s="1" t="s">
        <v>2505</v>
      </c>
      <c r="D5810" s="1" t="s">
        <v>2506</v>
      </c>
      <c r="E5810" s="1" t="s">
        <v>2019</v>
      </c>
      <c r="F5810" s="1" t="s">
        <v>581</v>
      </c>
      <c r="G5810" s="47">
        <v>4126</v>
      </c>
      <c r="H5810" t="str">
        <f>IFERROR(VLOOKUP(F5810,'LEAID Match'!$A$2:$B$142,2,FALSE),"")</f>
        <v/>
      </c>
    </row>
    <row r="5811" spans="1:8" x14ac:dyDescent="0.2">
      <c r="A5811" t="str">
        <f t="shared" si="90"/>
        <v/>
      </c>
      <c r="B5811" s="1">
        <v>2018</v>
      </c>
      <c r="C5811" s="1" t="s">
        <v>2505</v>
      </c>
      <c r="D5811" s="1" t="s">
        <v>2506</v>
      </c>
      <c r="E5811" s="1" t="s">
        <v>2019</v>
      </c>
      <c r="F5811" s="1" t="s">
        <v>581</v>
      </c>
      <c r="G5811" s="6">
        <v>4296</v>
      </c>
      <c r="H5811" t="str">
        <f>IFERROR(VLOOKUP(F5811,'LEAID Match'!$A$2:$B$142,2,FALSE),"")</f>
        <v/>
      </c>
    </row>
    <row r="5812" spans="1:8" x14ac:dyDescent="0.2">
      <c r="A5812" t="str">
        <f t="shared" si="90"/>
        <v/>
      </c>
      <c r="B5812" s="1">
        <v>2019</v>
      </c>
      <c r="C5812" s="1" t="s">
        <v>2505</v>
      </c>
      <c r="D5812" s="1" t="s">
        <v>2506</v>
      </c>
      <c r="E5812" s="1" t="s">
        <v>2019</v>
      </c>
      <c r="F5812" s="1" t="s">
        <v>581</v>
      </c>
      <c r="G5812" s="6">
        <v>3948</v>
      </c>
      <c r="H5812" t="str">
        <f>IFERROR(VLOOKUP(F5812,'LEAID Match'!$A$2:$B$142,2,FALSE),"")</f>
        <v/>
      </c>
    </row>
    <row r="5813" spans="1:8" x14ac:dyDescent="0.2">
      <c r="A5813" t="str">
        <f t="shared" si="90"/>
        <v/>
      </c>
      <c r="B5813" s="1">
        <v>2020</v>
      </c>
      <c r="C5813" s="1" t="s">
        <v>2505</v>
      </c>
      <c r="D5813" s="1" t="s">
        <v>2506</v>
      </c>
      <c r="E5813" s="1" t="s">
        <v>2019</v>
      </c>
      <c r="F5813" s="1" t="s">
        <v>581</v>
      </c>
      <c r="G5813" s="6">
        <v>4473</v>
      </c>
      <c r="H5813" t="str">
        <f>IFERROR(VLOOKUP(F5813,'LEAID Match'!$A$2:$B$142,2,FALSE),"")</f>
        <v/>
      </c>
    </row>
    <row r="5814" spans="1:8" x14ac:dyDescent="0.2">
      <c r="A5814" t="str">
        <f t="shared" si="90"/>
        <v/>
      </c>
      <c r="B5814" s="1">
        <v>2021</v>
      </c>
      <c r="C5814" s="1" t="s">
        <v>2505</v>
      </c>
      <c r="D5814" s="1" t="s">
        <v>2506</v>
      </c>
      <c r="E5814" s="1" t="s">
        <v>2019</v>
      </c>
      <c r="F5814" s="1" t="s">
        <v>581</v>
      </c>
      <c r="G5814" s="6">
        <v>5429</v>
      </c>
      <c r="H5814" t="str">
        <f>IFERROR(VLOOKUP(F5814,'LEAID Match'!$A$2:$B$142,2,FALSE),"")</f>
        <v/>
      </c>
    </row>
    <row r="5815" spans="1:8" x14ac:dyDescent="0.2">
      <c r="A5815" t="str">
        <f t="shared" si="90"/>
        <v/>
      </c>
      <c r="B5815" s="1">
        <v>2022</v>
      </c>
      <c r="C5815" s="1" t="s">
        <v>2505</v>
      </c>
      <c r="D5815" s="1" t="s">
        <v>2506</v>
      </c>
      <c r="E5815" s="1" t="s">
        <v>2019</v>
      </c>
      <c r="F5815" s="1" t="s">
        <v>581</v>
      </c>
      <c r="G5815" s="6">
        <v>5450</v>
      </c>
      <c r="H5815" t="str">
        <f>IFERROR(VLOOKUP(F5815,'LEAID Match'!$A$2:$B$142,2,FALSE),"")</f>
        <v/>
      </c>
    </row>
    <row r="5816" spans="1:8" x14ac:dyDescent="0.2">
      <c r="A5816" t="str">
        <f t="shared" si="90"/>
        <v/>
      </c>
      <c r="B5816" s="1">
        <v>2023</v>
      </c>
      <c r="C5816" s="1" t="s">
        <v>2505</v>
      </c>
      <c r="D5816" s="1" t="s">
        <v>2506</v>
      </c>
      <c r="E5816" s="1" t="s">
        <v>2019</v>
      </c>
      <c r="F5816" s="1" t="s">
        <v>581</v>
      </c>
      <c r="G5816" s="6">
        <v>5789</v>
      </c>
      <c r="H5816" t="str">
        <f>IFERROR(VLOOKUP(F5816,'LEAID Match'!$A$2:$B$142,2,FALSE),"")</f>
        <v/>
      </c>
    </row>
    <row r="5817" spans="1:8" x14ac:dyDescent="0.2">
      <c r="A5817" t="str">
        <f t="shared" si="90"/>
        <v/>
      </c>
      <c r="B5817" s="1">
        <v>2024</v>
      </c>
      <c r="C5817" s="1" t="s">
        <v>2505</v>
      </c>
      <c r="D5817" s="1" t="s">
        <v>2506</v>
      </c>
      <c r="E5817" s="1" t="s">
        <v>2019</v>
      </c>
      <c r="F5817" s="1" t="s">
        <v>581</v>
      </c>
      <c r="G5817" s="6">
        <v>5881</v>
      </c>
      <c r="H5817" t="str">
        <f>IFERROR(VLOOKUP(F5817,'LEAID Match'!$A$2:$B$142,2,FALSE),"")</f>
        <v/>
      </c>
    </row>
    <row r="5818" spans="1:8" x14ac:dyDescent="0.2">
      <c r="A5818" t="str">
        <f t="shared" si="90"/>
        <v/>
      </c>
      <c r="B5818" s="1">
        <v>2015</v>
      </c>
      <c r="C5818" s="1" t="s">
        <v>2505</v>
      </c>
      <c r="D5818" s="1" t="s">
        <v>2506</v>
      </c>
      <c r="E5818" s="1" t="s">
        <v>2019</v>
      </c>
      <c r="F5818" s="1" t="s">
        <v>582</v>
      </c>
      <c r="G5818" s="6">
        <v>1615244</v>
      </c>
      <c r="H5818" t="str">
        <f>IFERROR(VLOOKUP(F5818,'LEAID Match'!$A$2:$B$142,2,FALSE),"")</f>
        <v/>
      </c>
    </row>
    <row r="5819" spans="1:8" x14ac:dyDescent="0.2">
      <c r="A5819" t="str">
        <f t="shared" si="90"/>
        <v/>
      </c>
      <c r="B5819">
        <v>2016</v>
      </c>
      <c r="C5819" s="1" t="s">
        <v>2505</v>
      </c>
      <c r="D5819" s="1" t="s">
        <v>2506</v>
      </c>
      <c r="E5819" s="1" t="s">
        <v>2019</v>
      </c>
      <c r="F5819" s="1" t="s">
        <v>582</v>
      </c>
      <c r="G5819" s="12">
        <v>1636510</v>
      </c>
      <c r="H5819" t="str">
        <f>IFERROR(VLOOKUP(F5819,'LEAID Match'!$A$2:$B$142,2,FALSE),"")</f>
        <v/>
      </c>
    </row>
    <row r="5820" spans="1:8" x14ac:dyDescent="0.2">
      <c r="A5820" t="str">
        <f t="shared" si="90"/>
        <v/>
      </c>
      <c r="B5820" s="1">
        <v>2017</v>
      </c>
      <c r="C5820" s="1" t="s">
        <v>2505</v>
      </c>
      <c r="D5820" s="1" t="s">
        <v>2506</v>
      </c>
      <c r="E5820" s="1" t="s">
        <v>2019</v>
      </c>
      <c r="F5820" s="1" t="s">
        <v>582</v>
      </c>
      <c r="G5820" s="47">
        <v>1708243</v>
      </c>
      <c r="H5820" t="str">
        <f>IFERROR(VLOOKUP(F5820,'LEAID Match'!$A$2:$B$142,2,FALSE),"")</f>
        <v/>
      </c>
    </row>
    <row r="5821" spans="1:8" x14ac:dyDescent="0.2">
      <c r="A5821" t="str">
        <f t="shared" si="90"/>
        <v/>
      </c>
      <c r="B5821" s="1">
        <v>2018</v>
      </c>
      <c r="C5821" s="1" t="s">
        <v>2505</v>
      </c>
      <c r="D5821" s="1" t="s">
        <v>2506</v>
      </c>
      <c r="E5821" s="1" t="s">
        <v>2019</v>
      </c>
      <c r="F5821" s="1" t="s">
        <v>582</v>
      </c>
      <c r="G5821" s="6">
        <v>1662075</v>
      </c>
      <c r="H5821" t="str">
        <f>IFERROR(VLOOKUP(F5821,'LEAID Match'!$A$2:$B$142,2,FALSE),"")</f>
        <v/>
      </c>
    </row>
    <row r="5822" spans="1:8" x14ac:dyDescent="0.2">
      <c r="A5822" t="str">
        <f t="shared" si="90"/>
        <v/>
      </c>
      <c r="B5822" s="1">
        <v>2019</v>
      </c>
      <c r="C5822" s="1" t="s">
        <v>2505</v>
      </c>
      <c r="D5822" s="1" t="s">
        <v>2506</v>
      </c>
      <c r="E5822" s="1" t="s">
        <v>2019</v>
      </c>
      <c r="F5822" s="1" t="s">
        <v>582</v>
      </c>
      <c r="G5822" s="6">
        <v>1493290</v>
      </c>
      <c r="H5822" t="str">
        <f>IFERROR(VLOOKUP(F5822,'LEAID Match'!$A$2:$B$142,2,FALSE),"")</f>
        <v/>
      </c>
    </row>
    <row r="5823" spans="1:8" x14ac:dyDescent="0.2">
      <c r="A5823" t="str">
        <f t="shared" si="90"/>
        <v/>
      </c>
      <c r="B5823" s="1">
        <v>2020</v>
      </c>
      <c r="C5823" s="1" t="s">
        <v>2505</v>
      </c>
      <c r="D5823" s="1" t="s">
        <v>2506</v>
      </c>
      <c r="E5823" s="1" t="s">
        <v>2019</v>
      </c>
      <c r="F5823" s="1" t="s">
        <v>582</v>
      </c>
      <c r="G5823" s="6">
        <v>1535153</v>
      </c>
      <c r="H5823" t="str">
        <f>IFERROR(VLOOKUP(F5823,'LEAID Match'!$A$2:$B$142,2,FALSE),"")</f>
        <v/>
      </c>
    </row>
    <row r="5824" spans="1:8" x14ac:dyDescent="0.2">
      <c r="A5824" t="str">
        <f t="shared" si="90"/>
        <v/>
      </c>
      <c r="B5824" s="1">
        <v>2021</v>
      </c>
      <c r="C5824" s="1" t="s">
        <v>2505</v>
      </c>
      <c r="D5824" s="1" t="s">
        <v>2506</v>
      </c>
      <c r="E5824" s="1" t="s">
        <v>2019</v>
      </c>
      <c r="F5824" s="1" t="s">
        <v>582</v>
      </c>
      <c r="G5824" s="6">
        <v>1559373</v>
      </c>
      <c r="H5824" t="str">
        <f>IFERROR(VLOOKUP(F5824,'LEAID Match'!$A$2:$B$142,2,FALSE),"")</f>
        <v/>
      </c>
    </row>
    <row r="5825" spans="1:8" x14ac:dyDescent="0.2">
      <c r="A5825" t="str">
        <f t="shared" si="90"/>
        <v/>
      </c>
      <c r="B5825" s="1">
        <v>2022</v>
      </c>
      <c r="C5825" s="1" t="s">
        <v>2505</v>
      </c>
      <c r="D5825" s="1" t="s">
        <v>2506</v>
      </c>
      <c r="E5825" s="1" t="s">
        <v>2019</v>
      </c>
      <c r="F5825" s="1" t="s">
        <v>582</v>
      </c>
      <c r="G5825" s="6">
        <v>1589683</v>
      </c>
      <c r="H5825" t="str">
        <f>IFERROR(VLOOKUP(F5825,'LEAID Match'!$A$2:$B$142,2,FALSE),"")</f>
        <v/>
      </c>
    </row>
    <row r="5826" spans="1:8" x14ac:dyDescent="0.2">
      <c r="A5826" t="str">
        <f t="shared" si="90"/>
        <v/>
      </c>
      <c r="B5826" s="1">
        <v>2023</v>
      </c>
      <c r="C5826" s="1" t="s">
        <v>2505</v>
      </c>
      <c r="D5826" s="1" t="s">
        <v>2506</v>
      </c>
      <c r="E5826" s="1" t="s">
        <v>2019</v>
      </c>
      <c r="F5826" s="1" t="s">
        <v>582</v>
      </c>
      <c r="G5826" s="6">
        <v>1653524</v>
      </c>
      <c r="H5826" t="str">
        <f>IFERROR(VLOOKUP(F5826,'LEAID Match'!$A$2:$B$142,2,FALSE),"")</f>
        <v/>
      </c>
    </row>
    <row r="5827" spans="1:8" x14ac:dyDescent="0.2">
      <c r="A5827" t="str">
        <f t="shared" ref="A5827:A5890" si="91">H5827</f>
        <v/>
      </c>
      <c r="B5827" s="1">
        <v>2024</v>
      </c>
      <c r="C5827" s="1" t="s">
        <v>2505</v>
      </c>
      <c r="D5827" s="1" t="s">
        <v>2506</v>
      </c>
      <c r="E5827" s="1" t="s">
        <v>2019</v>
      </c>
      <c r="F5827" s="1" t="s">
        <v>582</v>
      </c>
      <c r="G5827" s="6">
        <v>1760150</v>
      </c>
      <c r="H5827" t="str">
        <f>IFERROR(VLOOKUP(F5827,'LEAID Match'!$A$2:$B$142,2,FALSE),"")</f>
        <v/>
      </c>
    </row>
    <row r="5828" spans="1:8" x14ac:dyDescent="0.2">
      <c r="A5828">
        <f t="shared" si="91"/>
        <v>2803480</v>
      </c>
      <c r="B5828" s="1">
        <v>2015</v>
      </c>
      <c r="C5828" s="1" t="s">
        <v>2505</v>
      </c>
      <c r="D5828" s="1" t="s">
        <v>2506</v>
      </c>
      <c r="E5828" s="1" t="s">
        <v>2019</v>
      </c>
      <c r="F5828" s="1" t="s">
        <v>583</v>
      </c>
      <c r="G5828" s="6">
        <v>7649074</v>
      </c>
      <c r="H5828">
        <f>IFERROR(VLOOKUP(F5828,'LEAID Match'!$A$2:$B$142,2,FALSE),"")</f>
        <v>2803480</v>
      </c>
    </row>
    <row r="5829" spans="1:8" x14ac:dyDescent="0.2">
      <c r="A5829">
        <f t="shared" si="91"/>
        <v>2803480</v>
      </c>
      <c r="B5829">
        <v>2016</v>
      </c>
      <c r="C5829" s="1" t="s">
        <v>2505</v>
      </c>
      <c r="D5829" s="1" t="s">
        <v>2506</v>
      </c>
      <c r="E5829" s="1" t="s">
        <v>2019</v>
      </c>
      <c r="F5829" s="1" t="s">
        <v>583</v>
      </c>
      <c r="G5829" s="12">
        <v>8295836</v>
      </c>
      <c r="H5829">
        <f>IFERROR(VLOOKUP(F5829,'LEAID Match'!$A$2:$B$142,2,FALSE),"")</f>
        <v>2803480</v>
      </c>
    </row>
    <row r="5830" spans="1:8" x14ac:dyDescent="0.2">
      <c r="A5830">
        <f t="shared" si="91"/>
        <v>2803480</v>
      </c>
      <c r="B5830" s="1">
        <v>2017</v>
      </c>
      <c r="C5830" s="1" t="s">
        <v>2505</v>
      </c>
      <c r="D5830" s="1" t="s">
        <v>2506</v>
      </c>
      <c r="E5830" s="1" t="s">
        <v>2019</v>
      </c>
      <c r="F5830" s="1" t="s">
        <v>583</v>
      </c>
      <c r="G5830" s="47">
        <v>8345961</v>
      </c>
      <c r="H5830">
        <f>IFERROR(VLOOKUP(F5830,'LEAID Match'!$A$2:$B$142,2,FALSE),"")</f>
        <v>2803480</v>
      </c>
    </row>
    <row r="5831" spans="1:8" x14ac:dyDescent="0.2">
      <c r="A5831">
        <f t="shared" si="91"/>
        <v>2803480</v>
      </c>
      <c r="B5831" s="1">
        <v>2018</v>
      </c>
      <c r="C5831" s="1" t="s">
        <v>2505</v>
      </c>
      <c r="D5831" s="1" t="s">
        <v>2506</v>
      </c>
      <c r="E5831" s="1" t="s">
        <v>2019</v>
      </c>
      <c r="F5831" s="1" t="s">
        <v>583</v>
      </c>
      <c r="G5831" s="6">
        <v>8738321</v>
      </c>
      <c r="H5831">
        <f>IFERROR(VLOOKUP(F5831,'LEAID Match'!$A$2:$B$142,2,FALSE),"")</f>
        <v>2803480</v>
      </c>
    </row>
    <row r="5832" spans="1:8" x14ac:dyDescent="0.2">
      <c r="A5832">
        <f t="shared" si="91"/>
        <v>2803480</v>
      </c>
      <c r="B5832" s="1">
        <v>2019</v>
      </c>
      <c r="C5832" s="1" t="s">
        <v>2505</v>
      </c>
      <c r="D5832" s="1" t="s">
        <v>2506</v>
      </c>
      <c r="E5832" s="1" t="s">
        <v>2019</v>
      </c>
      <c r="F5832" s="1" t="s">
        <v>583</v>
      </c>
      <c r="G5832" s="6">
        <v>8334197</v>
      </c>
      <c r="H5832">
        <f>IFERROR(VLOOKUP(F5832,'LEAID Match'!$A$2:$B$142,2,FALSE),"")</f>
        <v>2803480</v>
      </c>
    </row>
    <row r="5833" spans="1:8" x14ac:dyDescent="0.2">
      <c r="A5833">
        <f t="shared" si="91"/>
        <v>2803480</v>
      </c>
      <c r="B5833" s="1">
        <v>2020</v>
      </c>
      <c r="C5833" s="1" t="s">
        <v>2505</v>
      </c>
      <c r="D5833" s="1" t="s">
        <v>2506</v>
      </c>
      <c r="E5833" s="1" t="s">
        <v>2019</v>
      </c>
      <c r="F5833" s="1" t="s">
        <v>583</v>
      </c>
      <c r="G5833" s="6">
        <v>9104440</v>
      </c>
      <c r="H5833">
        <f>IFERROR(VLOOKUP(F5833,'LEAID Match'!$A$2:$B$142,2,FALSE),"")</f>
        <v>2803480</v>
      </c>
    </row>
    <row r="5834" spans="1:8" x14ac:dyDescent="0.2">
      <c r="A5834">
        <f t="shared" si="91"/>
        <v>2803480</v>
      </c>
      <c r="B5834" s="1">
        <v>2021</v>
      </c>
      <c r="C5834" s="1" t="s">
        <v>2505</v>
      </c>
      <c r="D5834" s="1" t="s">
        <v>2506</v>
      </c>
      <c r="E5834" s="1" t="s">
        <v>2019</v>
      </c>
      <c r="F5834" s="1" t="s">
        <v>583</v>
      </c>
      <c r="G5834" s="6">
        <v>9710955</v>
      </c>
      <c r="H5834">
        <f>IFERROR(VLOOKUP(F5834,'LEAID Match'!$A$2:$B$142,2,FALSE),"")</f>
        <v>2803480</v>
      </c>
    </row>
    <row r="5835" spans="1:8" x14ac:dyDescent="0.2">
      <c r="A5835">
        <f t="shared" si="91"/>
        <v>2803480</v>
      </c>
      <c r="B5835" s="1">
        <v>2022</v>
      </c>
      <c r="C5835" s="1" t="s">
        <v>2505</v>
      </c>
      <c r="D5835" s="1" t="s">
        <v>2506</v>
      </c>
      <c r="E5835" s="1" t="s">
        <v>2019</v>
      </c>
      <c r="F5835" s="1" t="s">
        <v>583</v>
      </c>
      <c r="G5835" s="6">
        <v>10228917</v>
      </c>
      <c r="H5835">
        <f>IFERROR(VLOOKUP(F5835,'LEAID Match'!$A$2:$B$142,2,FALSE),"")</f>
        <v>2803480</v>
      </c>
    </row>
    <row r="5836" spans="1:8" x14ac:dyDescent="0.2">
      <c r="A5836">
        <f t="shared" si="91"/>
        <v>2803480</v>
      </c>
      <c r="B5836" s="1">
        <v>2023</v>
      </c>
      <c r="C5836" s="1" t="s">
        <v>2505</v>
      </c>
      <c r="D5836" s="1" t="s">
        <v>2506</v>
      </c>
      <c r="E5836" s="1" t="s">
        <v>2019</v>
      </c>
      <c r="F5836" s="1" t="s">
        <v>583</v>
      </c>
      <c r="G5836" s="6">
        <v>10897016</v>
      </c>
      <c r="H5836">
        <f>IFERROR(VLOOKUP(F5836,'LEAID Match'!$A$2:$B$142,2,FALSE),"")</f>
        <v>2803480</v>
      </c>
    </row>
    <row r="5837" spans="1:8" x14ac:dyDescent="0.2">
      <c r="A5837">
        <f t="shared" si="91"/>
        <v>2803480</v>
      </c>
      <c r="B5837" s="1">
        <v>2024</v>
      </c>
      <c r="C5837" s="1" t="s">
        <v>2505</v>
      </c>
      <c r="D5837" s="1" t="s">
        <v>2506</v>
      </c>
      <c r="E5837" s="1" t="s">
        <v>2019</v>
      </c>
      <c r="F5837" s="1" t="s">
        <v>583</v>
      </c>
      <c r="G5837" s="6">
        <v>11579535</v>
      </c>
      <c r="H5837">
        <f>IFERROR(VLOOKUP(F5837,'LEAID Match'!$A$2:$B$142,2,FALSE),"")</f>
        <v>2803480</v>
      </c>
    </row>
    <row r="5838" spans="1:8" x14ac:dyDescent="0.2">
      <c r="A5838" t="str">
        <f t="shared" si="91"/>
        <v/>
      </c>
      <c r="B5838" s="1">
        <v>2015</v>
      </c>
      <c r="C5838" s="1" t="s">
        <v>2505</v>
      </c>
      <c r="D5838" s="1" t="s">
        <v>2506</v>
      </c>
      <c r="E5838" s="1" t="s">
        <v>2019</v>
      </c>
      <c r="F5838" s="1" t="s">
        <v>584</v>
      </c>
      <c r="G5838" s="6">
        <v>358853</v>
      </c>
      <c r="H5838" t="str">
        <f>IFERROR(VLOOKUP(F5838,'LEAID Match'!$A$2:$B$142,2,FALSE),"")</f>
        <v/>
      </c>
    </row>
    <row r="5839" spans="1:8" x14ac:dyDescent="0.2">
      <c r="A5839" t="str">
        <f t="shared" si="91"/>
        <v/>
      </c>
      <c r="B5839">
        <v>2016</v>
      </c>
      <c r="C5839" s="1" t="s">
        <v>2505</v>
      </c>
      <c r="D5839" s="1" t="s">
        <v>2506</v>
      </c>
      <c r="E5839" s="1" t="s">
        <v>2019</v>
      </c>
      <c r="F5839" s="1" t="s">
        <v>584</v>
      </c>
      <c r="G5839" s="12">
        <v>384207</v>
      </c>
      <c r="H5839" t="str">
        <f>IFERROR(VLOOKUP(F5839,'LEAID Match'!$A$2:$B$142,2,FALSE),"")</f>
        <v/>
      </c>
    </row>
    <row r="5840" spans="1:8" x14ac:dyDescent="0.2">
      <c r="A5840" t="str">
        <f t="shared" si="91"/>
        <v/>
      </c>
      <c r="B5840" s="1">
        <v>2017</v>
      </c>
      <c r="C5840" s="1" t="s">
        <v>2505</v>
      </c>
      <c r="D5840" s="1" t="s">
        <v>2506</v>
      </c>
      <c r="E5840" s="1" t="s">
        <v>2019</v>
      </c>
      <c r="F5840" s="1" t="s">
        <v>584</v>
      </c>
      <c r="G5840" s="47">
        <v>411805</v>
      </c>
      <c r="H5840" t="str">
        <f>IFERROR(VLOOKUP(F5840,'LEAID Match'!$A$2:$B$142,2,FALSE),"")</f>
        <v/>
      </c>
    </row>
    <row r="5841" spans="1:8" x14ac:dyDescent="0.2">
      <c r="A5841" t="str">
        <f t="shared" si="91"/>
        <v/>
      </c>
      <c r="B5841" s="1">
        <v>2018</v>
      </c>
      <c r="C5841" s="1" t="s">
        <v>2505</v>
      </c>
      <c r="D5841" s="1" t="s">
        <v>2506</v>
      </c>
      <c r="E5841" s="1" t="s">
        <v>2019</v>
      </c>
      <c r="F5841" s="1" t="s">
        <v>584</v>
      </c>
      <c r="G5841" s="6">
        <v>458913</v>
      </c>
      <c r="H5841" t="str">
        <f>IFERROR(VLOOKUP(F5841,'LEAID Match'!$A$2:$B$142,2,FALSE),"")</f>
        <v/>
      </c>
    </row>
    <row r="5842" spans="1:8" x14ac:dyDescent="0.2">
      <c r="A5842" t="str">
        <f t="shared" si="91"/>
        <v/>
      </c>
      <c r="B5842" s="1">
        <v>2019</v>
      </c>
      <c r="C5842" s="1" t="s">
        <v>2505</v>
      </c>
      <c r="D5842" s="1" t="s">
        <v>2506</v>
      </c>
      <c r="E5842" s="1" t="s">
        <v>2019</v>
      </c>
      <c r="F5842" s="1" t="s">
        <v>584</v>
      </c>
      <c r="G5842" s="6">
        <v>463948</v>
      </c>
      <c r="H5842" t="str">
        <f>IFERROR(VLOOKUP(F5842,'LEAID Match'!$A$2:$B$142,2,FALSE),"")</f>
        <v/>
      </c>
    </row>
    <row r="5843" spans="1:8" x14ac:dyDescent="0.2">
      <c r="A5843" t="str">
        <f t="shared" si="91"/>
        <v/>
      </c>
      <c r="B5843" s="1">
        <v>2020</v>
      </c>
      <c r="C5843" s="1" t="s">
        <v>2505</v>
      </c>
      <c r="D5843" s="1" t="s">
        <v>2506</v>
      </c>
      <c r="E5843" s="1" t="s">
        <v>2019</v>
      </c>
      <c r="F5843" s="1" t="s">
        <v>584</v>
      </c>
      <c r="G5843" s="6">
        <v>524436</v>
      </c>
      <c r="H5843" t="str">
        <f>IFERROR(VLOOKUP(F5843,'LEAID Match'!$A$2:$B$142,2,FALSE),"")</f>
        <v/>
      </c>
    </row>
    <row r="5844" spans="1:8" x14ac:dyDescent="0.2">
      <c r="A5844" t="str">
        <f t="shared" si="91"/>
        <v/>
      </c>
      <c r="B5844" s="1">
        <v>2021</v>
      </c>
      <c r="C5844" s="1" t="s">
        <v>2505</v>
      </c>
      <c r="D5844" s="1" t="s">
        <v>2506</v>
      </c>
      <c r="E5844" s="1" t="s">
        <v>2019</v>
      </c>
      <c r="F5844" s="1" t="s">
        <v>584</v>
      </c>
      <c r="G5844" s="6">
        <v>584265</v>
      </c>
      <c r="H5844" t="str">
        <f>IFERROR(VLOOKUP(F5844,'LEAID Match'!$A$2:$B$142,2,FALSE),"")</f>
        <v/>
      </c>
    </row>
    <row r="5845" spans="1:8" x14ac:dyDescent="0.2">
      <c r="A5845" t="str">
        <f t="shared" si="91"/>
        <v/>
      </c>
      <c r="B5845" s="1">
        <v>2022</v>
      </c>
      <c r="C5845" s="1" t="s">
        <v>2505</v>
      </c>
      <c r="D5845" s="1" t="s">
        <v>2506</v>
      </c>
      <c r="E5845" s="1" t="s">
        <v>2019</v>
      </c>
      <c r="F5845" s="1" t="s">
        <v>584</v>
      </c>
      <c r="G5845" s="6">
        <v>618902</v>
      </c>
      <c r="H5845" t="str">
        <f>IFERROR(VLOOKUP(F5845,'LEAID Match'!$A$2:$B$142,2,FALSE),"")</f>
        <v/>
      </c>
    </row>
    <row r="5846" spans="1:8" x14ac:dyDescent="0.2">
      <c r="A5846" t="str">
        <f t="shared" si="91"/>
        <v/>
      </c>
      <c r="B5846" s="1">
        <v>2023</v>
      </c>
      <c r="C5846" s="1" t="s">
        <v>2505</v>
      </c>
      <c r="D5846" s="1" t="s">
        <v>2506</v>
      </c>
      <c r="E5846" s="1" t="s">
        <v>2019</v>
      </c>
      <c r="F5846" s="1" t="s">
        <v>584</v>
      </c>
      <c r="G5846" s="6">
        <v>706177</v>
      </c>
      <c r="H5846" t="str">
        <f>IFERROR(VLOOKUP(F5846,'LEAID Match'!$A$2:$B$142,2,FALSE),"")</f>
        <v/>
      </c>
    </row>
    <row r="5847" spans="1:8" x14ac:dyDescent="0.2">
      <c r="A5847" t="str">
        <f t="shared" si="91"/>
        <v/>
      </c>
      <c r="B5847" s="1">
        <v>2024</v>
      </c>
      <c r="C5847" s="1" t="s">
        <v>2505</v>
      </c>
      <c r="D5847" s="1" t="s">
        <v>2506</v>
      </c>
      <c r="E5847" s="1" t="s">
        <v>2019</v>
      </c>
      <c r="F5847" s="1" t="s">
        <v>584</v>
      </c>
      <c r="G5847" s="6">
        <v>768991</v>
      </c>
      <c r="H5847" t="str">
        <f>IFERROR(VLOOKUP(F5847,'LEAID Match'!$A$2:$B$142,2,FALSE),"")</f>
        <v/>
      </c>
    </row>
    <row r="5848" spans="1:8" x14ac:dyDescent="0.2">
      <c r="A5848">
        <f t="shared" si="91"/>
        <v>2803510</v>
      </c>
      <c r="B5848" s="1">
        <v>2015</v>
      </c>
      <c r="C5848" s="1" t="s">
        <v>2505</v>
      </c>
      <c r="D5848" s="1" t="s">
        <v>2506</v>
      </c>
      <c r="E5848" s="1" t="s">
        <v>2019</v>
      </c>
      <c r="F5848" s="1" t="s">
        <v>585</v>
      </c>
      <c r="G5848" s="6">
        <v>1715672</v>
      </c>
      <c r="H5848">
        <f>IFERROR(VLOOKUP(F5848,'LEAID Match'!$A$2:$B$142,2,FALSE),"")</f>
        <v>2803510</v>
      </c>
    </row>
    <row r="5849" spans="1:8" x14ac:dyDescent="0.2">
      <c r="A5849">
        <f t="shared" si="91"/>
        <v>2803510</v>
      </c>
      <c r="B5849">
        <v>2016</v>
      </c>
      <c r="C5849" s="1" t="s">
        <v>2505</v>
      </c>
      <c r="D5849" s="1" t="s">
        <v>2506</v>
      </c>
      <c r="E5849" s="1" t="s">
        <v>2019</v>
      </c>
      <c r="F5849" s="1" t="s">
        <v>585</v>
      </c>
      <c r="G5849" s="12">
        <v>1747600</v>
      </c>
      <c r="H5849">
        <f>IFERROR(VLOOKUP(F5849,'LEAID Match'!$A$2:$B$142,2,FALSE),"")</f>
        <v>2803510</v>
      </c>
    </row>
    <row r="5850" spans="1:8" x14ac:dyDescent="0.2">
      <c r="A5850">
        <f t="shared" si="91"/>
        <v>2803510</v>
      </c>
      <c r="B5850" s="1">
        <v>2017</v>
      </c>
      <c r="C5850" s="1" t="s">
        <v>2505</v>
      </c>
      <c r="D5850" s="1" t="s">
        <v>2506</v>
      </c>
      <c r="E5850" s="1" t="s">
        <v>2019</v>
      </c>
      <c r="F5850" s="1" t="s">
        <v>585</v>
      </c>
      <c r="G5850" s="47">
        <v>1796606</v>
      </c>
      <c r="H5850">
        <f>IFERROR(VLOOKUP(F5850,'LEAID Match'!$A$2:$B$142,2,FALSE),"")</f>
        <v>2803510</v>
      </c>
    </row>
    <row r="5851" spans="1:8" x14ac:dyDescent="0.2">
      <c r="A5851">
        <f t="shared" si="91"/>
        <v>2803510</v>
      </c>
      <c r="B5851" s="1">
        <v>2018</v>
      </c>
      <c r="C5851" s="1" t="s">
        <v>2505</v>
      </c>
      <c r="D5851" s="1" t="s">
        <v>2506</v>
      </c>
      <c r="E5851" s="1" t="s">
        <v>2019</v>
      </c>
      <c r="F5851" s="1" t="s">
        <v>585</v>
      </c>
      <c r="G5851" s="6">
        <v>1707767</v>
      </c>
      <c r="H5851">
        <f>IFERROR(VLOOKUP(F5851,'LEAID Match'!$A$2:$B$142,2,FALSE),"")</f>
        <v>2803510</v>
      </c>
    </row>
    <row r="5852" spans="1:8" x14ac:dyDescent="0.2">
      <c r="A5852">
        <f t="shared" si="91"/>
        <v>2803510</v>
      </c>
      <c r="B5852" s="1">
        <v>2019</v>
      </c>
      <c r="C5852" s="1" t="s">
        <v>2505</v>
      </c>
      <c r="D5852" s="1" t="s">
        <v>2506</v>
      </c>
      <c r="E5852" s="1" t="s">
        <v>2019</v>
      </c>
      <c r="F5852" s="1" t="s">
        <v>585</v>
      </c>
      <c r="G5852" s="6">
        <v>1945030</v>
      </c>
      <c r="H5852">
        <f>IFERROR(VLOOKUP(F5852,'LEAID Match'!$A$2:$B$142,2,FALSE),"")</f>
        <v>2803510</v>
      </c>
    </row>
    <row r="5853" spans="1:8" x14ac:dyDescent="0.2">
      <c r="A5853">
        <f t="shared" si="91"/>
        <v>2803510</v>
      </c>
      <c r="B5853" s="1">
        <v>2020</v>
      </c>
      <c r="C5853" s="1" t="s">
        <v>2505</v>
      </c>
      <c r="D5853" s="1" t="s">
        <v>2506</v>
      </c>
      <c r="E5853" s="1" t="s">
        <v>2019</v>
      </c>
      <c r="F5853" s="1" t="s">
        <v>585</v>
      </c>
      <c r="G5853" s="6">
        <v>2127347</v>
      </c>
      <c r="H5853">
        <f>IFERROR(VLOOKUP(F5853,'LEAID Match'!$A$2:$B$142,2,FALSE),"")</f>
        <v>2803510</v>
      </c>
    </row>
    <row r="5854" spans="1:8" x14ac:dyDescent="0.2">
      <c r="A5854">
        <f t="shared" si="91"/>
        <v>2803510</v>
      </c>
      <c r="B5854" s="1">
        <v>2021</v>
      </c>
      <c r="C5854" s="1" t="s">
        <v>2505</v>
      </c>
      <c r="D5854" s="1" t="s">
        <v>2506</v>
      </c>
      <c r="E5854" s="1" t="s">
        <v>2019</v>
      </c>
      <c r="F5854" s="1" t="s">
        <v>585</v>
      </c>
      <c r="G5854" s="6">
        <v>2170041</v>
      </c>
      <c r="H5854">
        <f>IFERROR(VLOOKUP(F5854,'LEAID Match'!$A$2:$B$142,2,FALSE),"")</f>
        <v>2803510</v>
      </c>
    </row>
    <row r="5855" spans="1:8" x14ac:dyDescent="0.2">
      <c r="A5855">
        <f t="shared" si="91"/>
        <v>2803510</v>
      </c>
      <c r="B5855" s="1">
        <v>2022</v>
      </c>
      <c r="C5855" s="1" t="s">
        <v>2505</v>
      </c>
      <c r="D5855" s="1" t="s">
        <v>2506</v>
      </c>
      <c r="E5855" s="1" t="s">
        <v>2019</v>
      </c>
      <c r="F5855" s="1" t="s">
        <v>585</v>
      </c>
      <c r="G5855" s="6">
        <v>2255749</v>
      </c>
      <c r="H5855">
        <f>IFERROR(VLOOKUP(F5855,'LEAID Match'!$A$2:$B$142,2,FALSE),"")</f>
        <v>2803510</v>
      </c>
    </row>
    <row r="5856" spans="1:8" x14ac:dyDescent="0.2">
      <c r="A5856">
        <f t="shared" si="91"/>
        <v>2803510</v>
      </c>
      <c r="B5856" s="1">
        <v>2023</v>
      </c>
      <c r="C5856" s="1" t="s">
        <v>2505</v>
      </c>
      <c r="D5856" s="1" t="s">
        <v>2506</v>
      </c>
      <c r="E5856" s="1" t="s">
        <v>2019</v>
      </c>
      <c r="F5856" s="1" t="s">
        <v>585</v>
      </c>
      <c r="G5856" s="6">
        <v>2597328</v>
      </c>
      <c r="H5856">
        <f>IFERROR(VLOOKUP(F5856,'LEAID Match'!$A$2:$B$142,2,FALSE),"")</f>
        <v>2803510</v>
      </c>
    </row>
    <row r="5857" spans="1:8" x14ac:dyDescent="0.2">
      <c r="A5857">
        <f t="shared" si="91"/>
        <v>2803510</v>
      </c>
      <c r="B5857" s="1">
        <v>2024</v>
      </c>
      <c r="C5857" s="1" t="s">
        <v>2505</v>
      </c>
      <c r="D5857" s="1" t="s">
        <v>2506</v>
      </c>
      <c r="E5857" s="1" t="s">
        <v>2019</v>
      </c>
      <c r="F5857" s="1" t="s">
        <v>585</v>
      </c>
      <c r="G5857" s="6">
        <v>2777047</v>
      </c>
      <c r="H5857">
        <f>IFERROR(VLOOKUP(F5857,'LEAID Match'!$A$2:$B$142,2,FALSE),"")</f>
        <v>2803510</v>
      </c>
    </row>
    <row r="5858" spans="1:8" x14ac:dyDescent="0.2">
      <c r="A5858" t="str">
        <f t="shared" si="91"/>
        <v/>
      </c>
      <c r="B5858" s="1">
        <v>2015</v>
      </c>
      <c r="C5858" s="1" t="s">
        <v>2505</v>
      </c>
      <c r="D5858" s="1" t="s">
        <v>2506</v>
      </c>
      <c r="E5858" s="1" t="s">
        <v>2019</v>
      </c>
      <c r="F5858" s="1" t="s">
        <v>586</v>
      </c>
      <c r="G5858" s="6">
        <v>217942</v>
      </c>
      <c r="H5858" t="str">
        <f>IFERROR(VLOOKUP(F5858,'LEAID Match'!$A$2:$B$142,2,FALSE),"")</f>
        <v/>
      </c>
    </row>
    <row r="5859" spans="1:8" x14ac:dyDescent="0.2">
      <c r="A5859" t="str">
        <f t="shared" si="91"/>
        <v/>
      </c>
      <c r="B5859">
        <v>2016</v>
      </c>
      <c r="C5859" s="1" t="s">
        <v>2505</v>
      </c>
      <c r="D5859" s="1" t="s">
        <v>2506</v>
      </c>
      <c r="E5859" s="1" t="s">
        <v>2019</v>
      </c>
      <c r="F5859" s="1" t="s">
        <v>586</v>
      </c>
      <c r="G5859" s="12">
        <v>201515</v>
      </c>
      <c r="H5859" t="str">
        <f>IFERROR(VLOOKUP(F5859,'LEAID Match'!$A$2:$B$142,2,FALSE),"")</f>
        <v/>
      </c>
    </row>
    <row r="5860" spans="1:8" x14ac:dyDescent="0.2">
      <c r="A5860" t="str">
        <f t="shared" si="91"/>
        <v/>
      </c>
      <c r="B5860" s="1">
        <v>2017</v>
      </c>
      <c r="C5860" s="1" t="s">
        <v>2505</v>
      </c>
      <c r="D5860" s="1" t="s">
        <v>2506</v>
      </c>
      <c r="E5860" s="1" t="s">
        <v>2019</v>
      </c>
      <c r="F5860" s="1" t="s">
        <v>586</v>
      </c>
      <c r="G5860" s="47">
        <v>195707</v>
      </c>
      <c r="H5860" t="str">
        <f>IFERROR(VLOOKUP(F5860,'LEAID Match'!$A$2:$B$142,2,FALSE),"")</f>
        <v/>
      </c>
    </row>
    <row r="5861" spans="1:8" x14ac:dyDescent="0.2">
      <c r="A5861" t="str">
        <f t="shared" si="91"/>
        <v/>
      </c>
      <c r="B5861" s="1">
        <v>2018</v>
      </c>
      <c r="C5861" s="1" t="s">
        <v>2505</v>
      </c>
      <c r="D5861" s="1" t="s">
        <v>2506</v>
      </c>
      <c r="E5861" s="1" t="s">
        <v>2019</v>
      </c>
      <c r="F5861" s="1" t="s">
        <v>586</v>
      </c>
      <c r="G5861" s="6">
        <v>188734</v>
      </c>
      <c r="H5861" t="str">
        <f>IFERROR(VLOOKUP(F5861,'LEAID Match'!$A$2:$B$142,2,FALSE),"")</f>
        <v/>
      </c>
    </row>
    <row r="5862" spans="1:8" x14ac:dyDescent="0.2">
      <c r="A5862" t="str">
        <f t="shared" si="91"/>
        <v/>
      </c>
      <c r="B5862" s="1">
        <v>2019</v>
      </c>
      <c r="C5862" s="1" t="s">
        <v>2505</v>
      </c>
      <c r="D5862" s="1" t="s">
        <v>2506</v>
      </c>
      <c r="E5862" s="1" t="s">
        <v>2019</v>
      </c>
      <c r="F5862" s="1" t="s">
        <v>586</v>
      </c>
      <c r="G5862" s="6">
        <v>176248</v>
      </c>
      <c r="H5862" t="str">
        <f>IFERROR(VLOOKUP(F5862,'LEAID Match'!$A$2:$B$142,2,FALSE),"")</f>
        <v/>
      </c>
    </row>
    <row r="5863" spans="1:8" x14ac:dyDescent="0.2">
      <c r="A5863" t="str">
        <f t="shared" si="91"/>
        <v/>
      </c>
      <c r="B5863" s="1">
        <v>2020</v>
      </c>
      <c r="C5863" s="1" t="s">
        <v>2505</v>
      </c>
      <c r="D5863" s="1" t="s">
        <v>2506</v>
      </c>
      <c r="E5863" s="1" t="s">
        <v>2019</v>
      </c>
      <c r="F5863" s="1" t="s">
        <v>586</v>
      </c>
      <c r="G5863" s="6">
        <v>197957</v>
      </c>
      <c r="H5863" t="str">
        <f>IFERROR(VLOOKUP(F5863,'LEAID Match'!$A$2:$B$142,2,FALSE),"")</f>
        <v/>
      </c>
    </row>
    <row r="5864" spans="1:8" x14ac:dyDescent="0.2">
      <c r="A5864" t="str">
        <f t="shared" si="91"/>
        <v/>
      </c>
      <c r="B5864" s="1">
        <v>2021</v>
      </c>
      <c r="C5864" s="1" t="s">
        <v>2505</v>
      </c>
      <c r="D5864" s="1" t="s">
        <v>2506</v>
      </c>
      <c r="E5864" s="1" t="s">
        <v>2019</v>
      </c>
      <c r="F5864" s="1" t="s">
        <v>586</v>
      </c>
      <c r="G5864" s="6">
        <v>188962</v>
      </c>
      <c r="H5864" t="str">
        <f>IFERROR(VLOOKUP(F5864,'LEAID Match'!$A$2:$B$142,2,FALSE),"")</f>
        <v/>
      </c>
    </row>
    <row r="5865" spans="1:8" x14ac:dyDescent="0.2">
      <c r="A5865" t="str">
        <f t="shared" si="91"/>
        <v/>
      </c>
      <c r="B5865" s="1">
        <v>2022</v>
      </c>
      <c r="C5865" s="1" t="s">
        <v>2505</v>
      </c>
      <c r="D5865" s="1" t="s">
        <v>2506</v>
      </c>
      <c r="E5865" s="1" t="s">
        <v>2019</v>
      </c>
      <c r="F5865" s="1" t="s">
        <v>586</v>
      </c>
      <c r="G5865" s="6">
        <v>172683</v>
      </c>
      <c r="H5865" t="str">
        <f>IFERROR(VLOOKUP(F5865,'LEAID Match'!$A$2:$B$142,2,FALSE),"")</f>
        <v/>
      </c>
    </row>
    <row r="5866" spans="1:8" x14ac:dyDescent="0.2">
      <c r="A5866" t="str">
        <f t="shared" si="91"/>
        <v/>
      </c>
      <c r="B5866" s="1">
        <v>2023</v>
      </c>
      <c r="C5866" s="1" t="s">
        <v>2505</v>
      </c>
      <c r="D5866" s="1" t="s">
        <v>2506</v>
      </c>
      <c r="E5866" s="1" t="s">
        <v>2019</v>
      </c>
      <c r="F5866" s="1" t="s">
        <v>586</v>
      </c>
      <c r="G5866" s="6">
        <v>185780</v>
      </c>
      <c r="H5866" t="str">
        <f>IFERROR(VLOOKUP(F5866,'LEAID Match'!$A$2:$B$142,2,FALSE),"")</f>
        <v/>
      </c>
    </row>
    <row r="5867" spans="1:8" x14ac:dyDescent="0.2">
      <c r="A5867" t="str">
        <f t="shared" si="91"/>
        <v/>
      </c>
      <c r="B5867" s="1">
        <v>2024</v>
      </c>
      <c r="C5867" s="1" t="s">
        <v>2505</v>
      </c>
      <c r="D5867" s="1" t="s">
        <v>2506</v>
      </c>
      <c r="E5867" s="1" t="s">
        <v>2019</v>
      </c>
      <c r="F5867" s="1" t="s">
        <v>586</v>
      </c>
      <c r="G5867" s="6">
        <v>183185</v>
      </c>
      <c r="H5867" t="str">
        <f>IFERROR(VLOOKUP(F5867,'LEAID Match'!$A$2:$B$142,2,FALSE),"")</f>
        <v/>
      </c>
    </row>
    <row r="5868" spans="1:8" x14ac:dyDescent="0.2">
      <c r="A5868" t="str">
        <f t="shared" si="91"/>
        <v/>
      </c>
      <c r="B5868" s="1">
        <v>2015</v>
      </c>
      <c r="C5868" s="1" t="s">
        <v>2505</v>
      </c>
      <c r="D5868" s="1" t="s">
        <v>2506</v>
      </c>
      <c r="E5868" s="1" t="s">
        <v>2019</v>
      </c>
      <c r="F5868" s="1" t="s">
        <v>587</v>
      </c>
      <c r="G5868" s="6">
        <v>1419376</v>
      </c>
      <c r="H5868" t="str">
        <f>IFERROR(VLOOKUP(F5868,'LEAID Match'!$A$2:$B$142,2,FALSE),"")</f>
        <v/>
      </c>
    </row>
    <row r="5869" spans="1:8" x14ac:dyDescent="0.2">
      <c r="A5869" t="str">
        <f t="shared" si="91"/>
        <v/>
      </c>
      <c r="B5869">
        <v>2016</v>
      </c>
      <c r="C5869" s="1" t="s">
        <v>2505</v>
      </c>
      <c r="D5869" s="1" t="s">
        <v>2506</v>
      </c>
      <c r="E5869" s="1" t="s">
        <v>2019</v>
      </c>
      <c r="F5869" s="1" t="s">
        <v>587</v>
      </c>
      <c r="G5869" s="12">
        <v>1465628</v>
      </c>
      <c r="H5869" t="str">
        <f>IFERROR(VLOOKUP(F5869,'LEAID Match'!$A$2:$B$142,2,FALSE),"")</f>
        <v/>
      </c>
    </row>
    <row r="5870" spans="1:8" x14ac:dyDescent="0.2">
      <c r="A5870" t="str">
        <f t="shared" si="91"/>
        <v/>
      </c>
      <c r="B5870" s="1">
        <v>2017</v>
      </c>
      <c r="C5870" s="1" t="s">
        <v>2505</v>
      </c>
      <c r="D5870" s="1" t="s">
        <v>2506</v>
      </c>
      <c r="E5870" s="1" t="s">
        <v>2019</v>
      </c>
      <c r="F5870" s="1" t="s">
        <v>587</v>
      </c>
      <c r="G5870" s="47">
        <v>1531996</v>
      </c>
      <c r="H5870" t="str">
        <f>IFERROR(VLOOKUP(F5870,'LEAID Match'!$A$2:$B$142,2,FALSE),"")</f>
        <v/>
      </c>
    </row>
    <row r="5871" spans="1:8" x14ac:dyDescent="0.2">
      <c r="A5871" t="str">
        <f t="shared" si="91"/>
        <v/>
      </c>
      <c r="B5871" s="1">
        <v>2018</v>
      </c>
      <c r="C5871" s="1" t="s">
        <v>2505</v>
      </c>
      <c r="D5871" s="1" t="s">
        <v>2506</v>
      </c>
      <c r="E5871" s="1" t="s">
        <v>2019</v>
      </c>
      <c r="F5871" s="1" t="s">
        <v>587</v>
      </c>
      <c r="G5871" s="6">
        <v>1439908</v>
      </c>
      <c r="H5871" t="str">
        <f>IFERROR(VLOOKUP(F5871,'LEAID Match'!$A$2:$B$142,2,FALSE),"")</f>
        <v/>
      </c>
    </row>
    <row r="5872" spans="1:8" x14ac:dyDescent="0.2">
      <c r="A5872" t="str">
        <f t="shared" si="91"/>
        <v/>
      </c>
      <c r="B5872" s="1">
        <v>2019</v>
      </c>
      <c r="C5872" s="1" t="s">
        <v>2505</v>
      </c>
      <c r="D5872" s="1" t="s">
        <v>2506</v>
      </c>
      <c r="E5872" s="1" t="s">
        <v>2019</v>
      </c>
      <c r="F5872" s="1" t="s">
        <v>587</v>
      </c>
      <c r="G5872" s="6">
        <v>1366660</v>
      </c>
      <c r="H5872" t="str">
        <f>IFERROR(VLOOKUP(F5872,'LEAID Match'!$A$2:$B$142,2,FALSE),"")</f>
        <v/>
      </c>
    </row>
    <row r="5873" spans="1:8" x14ac:dyDescent="0.2">
      <c r="A5873" t="str">
        <f t="shared" si="91"/>
        <v/>
      </c>
      <c r="B5873" s="1">
        <v>2020</v>
      </c>
      <c r="C5873" s="1" t="s">
        <v>2505</v>
      </c>
      <c r="D5873" s="1" t="s">
        <v>2506</v>
      </c>
      <c r="E5873" s="1" t="s">
        <v>2019</v>
      </c>
      <c r="F5873" s="1" t="s">
        <v>587</v>
      </c>
      <c r="G5873" s="6">
        <v>1658077</v>
      </c>
      <c r="H5873" t="str">
        <f>IFERROR(VLOOKUP(F5873,'LEAID Match'!$A$2:$B$142,2,FALSE),"")</f>
        <v/>
      </c>
    </row>
    <row r="5874" spans="1:8" x14ac:dyDescent="0.2">
      <c r="A5874" t="str">
        <f t="shared" si="91"/>
        <v/>
      </c>
      <c r="B5874" s="1">
        <v>2021</v>
      </c>
      <c r="C5874" s="1" t="s">
        <v>2505</v>
      </c>
      <c r="D5874" s="1" t="s">
        <v>2506</v>
      </c>
      <c r="E5874" s="1" t="s">
        <v>2019</v>
      </c>
      <c r="F5874" s="1" t="s">
        <v>587</v>
      </c>
      <c r="G5874" s="6">
        <v>1735547</v>
      </c>
      <c r="H5874" t="str">
        <f>IFERROR(VLOOKUP(F5874,'LEAID Match'!$A$2:$B$142,2,FALSE),"")</f>
        <v/>
      </c>
    </row>
    <row r="5875" spans="1:8" x14ac:dyDescent="0.2">
      <c r="A5875" t="str">
        <f t="shared" si="91"/>
        <v/>
      </c>
      <c r="B5875" s="1">
        <v>2022</v>
      </c>
      <c r="C5875" s="1" t="s">
        <v>2505</v>
      </c>
      <c r="D5875" s="1" t="s">
        <v>2506</v>
      </c>
      <c r="E5875" s="1" t="s">
        <v>2019</v>
      </c>
      <c r="F5875" s="1" t="s">
        <v>587</v>
      </c>
      <c r="G5875" s="6">
        <v>1810894</v>
      </c>
      <c r="H5875" t="str">
        <f>IFERROR(VLOOKUP(F5875,'LEAID Match'!$A$2:$B$142,2,FALSE),"")</f>
        <v/>
      </c>
    </row>
    <row r="5876" spans="1:8" x14ac:dyDescent="0.2">
      <c r="A5876" t="str">
        <f t="shared" si="91"/>
        <v/>
      </c>
      <c r="B5876" s="1">
        <v>2023</v>
      </c>
      <c r="C5876" s="1" t="s">
        <v>2505</v>
      </c>
      <c r="D5876" s="1" t="s">
        <v>2506</v>
      </c>
      <c r="E5876" s="1" t="s">
        <v>2019</v>
      </c>
      <c r="F5876" s="1" t="s">
        <v>587</v>
      </c>
      <c r="G5876" s="6">
        <v>2046994</v>
      </c>
      <c r="H5876" t="str">
        <f>IFERROR(VLOOKUP(F5876,'LEAID Match'!$A$2:$B$142,2,FALSE),"")</f>
        <v/>
      </c>
    </row>
    <row r="5877" spans="1:8" x14ac:dyDescent="0.2">
      <c r="A5877" t="str">
        <f t="shared" si="91"/>
        <v/>
      </c>
      <c r="B5877" s="1">
        <v>2024</v>
      </c>
      <c r="C5877" s="1" t="s">
        <v>2505</v>
      </c>
      <c r="D5877" s="1" t="s">
        <v>2506</v>
      </c>
      <c r="E5877" s="1" t="s">
        <v>2019</v>
      </c>
      <c r="F5877" s="1" t="s">
        <v>587</v>
      </c>
      <c r="G5877" s="6">
        <v>2187707</v>
      </c>
      <c r="H5877" t="str">
        <f>IFERROR(VLOOKUP(F5877,'LEAID Match'!$A$2:$B$142,2,FALSE),"")</f>
        <v/>
      </c>
    </row>
    <row r="5878" spans="1:8" x14ac:dyDescent="0.2">
      <c r="A5878">
        <f t="shared" si="91"/>
        <v>2803520</v>
      </c>
      <c r="B5878" s="1">
        <v>2015</v>
      </c>
      <c r="C5878" s="1" t="s">
        <v>2505</v>
      </c>
      <c r="D5878" s="1" t="s">
        <v>2506</v>
      </c>
      <c r="E5878" s="1" t="s">
        <v>2019</v>
      </c>
      <c r="F5878" s="1" t="s">
        <v>588</v>
      </c>
      <c r="G5878" s="6">
        <v>2972737</v>
      </c>
      <c r="H5878">
        <f>IFERROR(VLOOKUP(F5878,'LEAID Match'!$A$2:$B$142,2,FALSE),"")</f>
        <v>2803520</v>
      </c>
    </row>
    <row r="5879" spans="1:8" x14ac:dyDescent="0.2">
      <c r="A5879">
        <f t="shared" si="91"/>
        <v>2803520</v>
      </c>
      <c r="B5879">
        <v>2016</v>
      </c>
      <c r="C5879" s="1" t="s">
        <v>2505</v>
      </c>
      <c r="D5879" s="1" t="s">
        <v>2506</v>
      </c>
      <c r="E5879" s="1" t="s">
        <v>2019</v>
      </c>
      <c r="F5879" s="1" t="s">
        <v>588</v>
      </c>
      <c r="G5879" s="12">
        <v>3136067</v>
      </c>
      <c r="H5879">
        <f>IFERROR(VLOOKUP(F5879,'LEAID Match'!$A$2:$B$142,2,FALSE),"")</f>
        <v>2803520</v>
      </c>
    </row>
    <row r="5880" spans="1:8" x14ac:dyDescent="0.2">
      <c r="A5880">
        <f t="shared" si="91"/>
        <v>2803520</v>
      </c>
      <c r="B5880" s="1">
        <v>2017</v>
      </c>
      <c r="C5880" s="1" t="s">
        <v>2505</v>
      </c>
      <c r="D5880" s="1" t="s">
        <v>2506</v>
      </c>
      <c r="E5880" s="1" t="s">
        <v>2019</v>
      </c>
      <c r="F5880" s="1" t="s">
        <v>588</v>
      </c>
      <c r="G5880" s="47">
        <v>3123097</v>
      </c>
      <c r="H5880">
        <f>IFERROR(VLOOKUP(F5880,'LEAID Match'!$A$2:$B$142,2,FALSE),"")</f>
        <v>2803520</v>
      </c>
    </row>
    <row r="5881" spans="1:8" x14ac:dyDescent="0.2">
      <c r="A5881">
        <f t="shared" si="91"/>
        <v>2803520</v>
      </c>
      <c r="B5881" s="1">
        <v>2018</v>
      </c>
      <c r="C5881" s="1" t="s">
        <v>2505</v>
      </c>
      <c r="D5881" s="1" t="s">
        <v>2506</v>
      </c>
      <c r="E5881" s="1" t="s">
        <v>2019</v>
      </c>
      <c r="F5881" s="1" t="s">
        <v>588</v>
      </c>
      <c r="G5881" s="6">
        <v>3153251</v>
      </c>
      <c r="H5881">
        <f>IFERROR(VLOOKUP(F5881,'LEAID Match'!$A$2:$B$142,2,FALSE),"")</f>
        <v>2803520</v>
      </c>
    </row>
    <row r="5882" spans="1:8" x14ac:dyDescent="0.2">
      <c r="A5882">
        <f t="shared" si="91"/>
        <v>2803520</v>
      </c>
      <c r="B5882" s="1">
        <v>2019</v>
      </c>
      <c r="C5882" s="1" t="s">
        <v>2505</v>
      </c>
      <c r="D5882" s="1" t="s">
        <v>2506</v>
      </c>
      <c r="E5882" s="1" t="s">
        <v>2019</v>
      </c>
      <c r="F5882" s="1" t="s">
        <v>588</v>
      </c>
      <c r="G5882" s="6">
        <v>3201213</v>
      </c>
      <c r="H5882">
        <f>IFERROR(VLOOKUP(F5882,'LEAID Match'!$A$2:$B$142,2,FALSE),"")</f>
        <v>2803520</v>
      </c>
    </row>
    <row r="5883" spans="1:8" x14ac:dyDescent="0.2">
      <c r="A5883">
        <f t="shared" si="91"/>
        <v>2803520</v>
      </c>
      <c r="B5883" s="1">
        <v>2020</v>
      </c>
      <c r="C5883" s="1" t="s">
        <v>2505</v>
      </c>
      <c r="D5883" s="1" t="s">
        <v>2506</v>
      </c>
      <c r="E5883" s="1" t="s">
        <v>2019</v>
      </c>
      <c r="F5883" s="1" t="s">
        <v>588</v>
      </c>
      <c r="G5883" s="6">
        <v>3737118</v>
      </c>
      <c r="H5883">
        <f>IFERROR(VLOOKUP(F5883,'LEAID Match'!$A$2:$B$142,2,FALSE),"")</f>
        <v>2803520</v>
      </c>
    </row>
    <row r="5884" spans="1:8" x14ac:dyDescent="0.2">
      <c r="A5884">
        <f t="shared" si="91"/>
        <v>2803520</v>
      </c>
      <c r="B5884" s="1">
        <v>2021</v>
      </c>
      <c r="C5884" s="1" t="s">
        <v>2505</v>
      </c>
      <c r="D5884" s="1" t="s">
        <v>2506</v>
      </c>
      <c r="E5884" s="1" t="s">
        <v>2019</v>
      </c>
      <c r="F5884" s="1" t="s">
        <v>588</v>
      </c>
      <c r="G5884" s="6">
        <v>3819536</v>
      </c>
      <c r="H5884">
        <f>IFERROR(VLOOKUP(F5884,'LEAID Match'!$A$2:$B$142,2,FALSE),"")</f>
        <v>2803520</v>
      </c>
    </row>
    <row r="5885" spans="1:8" x14ac:dyDescent="0.2">
      <c r="A5885">
        <f t="shared" si="91"/>
        <v>2803520</v>
      </c>
      <c r="B5885" s="1">
        <v>2022</v>
      </c>
      <c r="C5885" s="1" t="s">
        <v>2505</v>
      </c>
      <c r="D5885" s="1" t="s">
        <v>2506</v>
      </c>
      <c r="E5885" s="1" t="s">
        <v>2019</v>
      </c>
      <c r="F5885" s="1" t="s">
        <v>588</v>
      </c>
      <c r="G5885" s="6">
        <v>4055587</v>
      </c>
      <c r="H5885">
        <f>IFERROR(VLOOKUP(F5885,'LEAID Match'!$A$2:$B$142,2,FALSE),"")</f>
        <v>2803520</v>
      </c>
    </row>
    <row r="5886" spans="1:8" x14ac:dyDescent="0.2">
      <c r="A5886">
        <f t="shared" si="91"/>
        <v>2803520</v>
      </c>
      <c r="B5886" s="1">
        <v>2023</v>
      </c>
      <c r="C5886" s="1" t="s">
        <v>2505</v>
      </c>
      <c r="D5886" s="1" t="s">
        <v>2506</v>
      </c>
      <c r="E5886" s="1" t="s">
        <v>2019</v>
      </c>
      <c r="F5886" s="1" t="s">
        <v>588</v>
      </c>
      <c r="G5886" s="6">
        <v>4432189</v>
      </c>
      <c r="H5886">
        <f>IFERROR(VLOOKUP(F5886,'LEAID Match'!$A$2:$B$142,2,FALSE),"")</f>
        <v>2803520</v>
      </c>
    </row>
    <row r="5887" spans="1:8" x14ac:dyDescent="0.2">
      <c r="A5887">
        <f t="shared" si="91"/>
        <v>2803520</v>
      </c>
      <c r="B5887" s="1">
        <v>2024</v>
      </c>
      <c r="C5887" s="1" t="s">
        <v>2505</v>
      </c>
      <c r="D5887" s="1" t="s">
        <v>2506</v>
      </c>
      <c r="E5887" s="1" t="s">
        <v>2019</v>
      </c>
      <c r="F5887" s="1" t="s">
        <v>588</v>
      </c>
      <c r="G5887" s="6">
        <v>4856851</v>
      </c>
      <c r="H5887">
        <f>IFERROR(VLOOKUP(F5887,'LEAID Match'!$A$2:$B$142,2,FALSE),"")</f>
        <v>2803520</v>
      </c>
    </row>
    <row r="5888" spans="1:8" x14ac:dyDescent="0.2">
      <c r="A5888" t="str">
        <f t="shared" si="91"/>
        <v/>
      </c>
      <c r="B5888" s="1">
        <v>2015</v>
      </c>
      <c r="C5888" s="1" t="s">
        <v>2505</v>
      </c>
      <c r="D5888" s="1" t="s">
        <v>2506</v>
      </c>
      <c r="E5888" s="1" t="s">
        <v>2019</v>
      </c>
      <c r="F5888" s="1" t="s">
        <v>1743</v>
      </c>
      <c r="G5888" s="6">
        <v>25460</v>
      </c>
      <c r="H5888" t="str">
        <f>IFERROR(VLOOKUP(F5888,'LEAID Match'!$A$2:$B$142,2,FALSE),"")</f>
        <v/>
      </c>
    </row>
    <row r="5889" spans="1:8" x14ac:dyDescent="0.2">
      <c r="A5889" t="str">
        <f t="shared" si="91"/>
        <v/>
      </c>
      <c r="B5889">
        <v>2016</v>
      </c>
      <c r="C5889" s="1" t="s">
        <v>2505</v>
      </c>
      <c r="D5889" s="1" t="s">
        <v>2506</v>
      </c>
      <c r="E5889" s="1" t="s">
        <v>2019</v>
      </c>
      <c r="F5889" t="s">
        <v>1743</v>
      </c>
      <c r="G5889" s="12">
        <v>26903</v>
      </c>
      <c r="H5889" t="str">
        <f>IFERROR(VLOOKUP(F5889,'LEAID Match'!$A$2:$B$142,2,FALSE),"")</f>
        <v/>
      </c>
    </row>
    <row r="5890" spans="1:8" x14ac:dyDescent="0.2">
      <c r="A5890" t="str">
        <f t="shared" si="91"/>
        <v/>
      </c>
      <c r="B5890" s="1">
        <v>2017</v>
      </c>
      <c r="C5890" s="1" t="s">
        <v>2505</v>
      </c>
      <c r="D5890" s="1" t="s">
        <v>2506</v>
      </c>
      <c r="E5890" s="1" t="s">
        <v>2019</v>
      </c>
      <c r="F5890" s="37" t="s">
        <v>1743</v>
      </c>
      <c r="G5890" s="47">
        <v>27002</v>
      </c>
      <c r="H5890" t="str">
        <f>IFERROR(VLOOKUP(F5890,'LEAID Match'!$A$2:$B$142,2,FALSE),"")</f>
        <v/>
      </c>
    </row>
    <row r="5891" spans="1:8" x14ac:dyDescent="0.2">
      <c r="A5891" t="str">
        <f t="shared" ref="A5891:A5954" si="92">H5891</f>
        <v/>
      </c>
      <c r="B5891" s="1">
        <v>2018</v>
      </c>
      <c r="C5891" s="1" t="s">
        <v>2505</v>
      </c>
      <c r="D5891" s="1" t="s">
        <v>2506</v>
      </c>
      <c r="E5891" s="1" t="s">
        <v>2019</v>
      </c>
      <c r="F5891" s="1" t="s">
        <v>1743</v>
      </c>
      <c r="G5891" s="6">
        <v>26378</v>
      </c>
      <c r="H5891" t="str">
        <f>IFERROR(VLOOKUP(F5891,'LEAID Match'!$A$2:$B$142,2,FALSE),"")</f>
        <v/>
      </c>
    </row>
    <row r="5892" spans="1:8" x14ac:dyDescent="0.2">
      <c r="A5892">
        <f t="shared" si="92"/>
        <v>2803540</v>
      </c>
      <c r="B5892" s="1">
        <v>2015</v>
      </c>
      <c r="C5892" s="1" t="s">
        <v>2505</v>
      </c>
      <c r="D5892" s="1" t="s">
        <v>2506</v>
      </c>
      <c r="E5892" s="1" t="s">
        <v>2019</v>
      </c>
      <c r="F5892" s="1" t="s">
        <v>589</v>
      </c>
      <c r="G5892" s="6">
        <v>2185097</v>
      </c>
      <c r="H5892">
        <f>IFERROR(VLOOKUP(F5892,'LEAID Match'!$A$2:$B$142,2,FALSE),"")</f>
        <v>2803540</v>
      </c>
    </row>
    <row r="5893" spans="1:8" x14ac:dyDescent="0.2">
      <c r="A5893">
        <f t="shared" si="92"/>
        <v>2803540</v>
      </c>
      <c r="B5893">
        <v>2016</v>
      </c>
      <c r="C5893" s="1" t="s">
        <v>2505</v>
      </c>
      <c r="D5893" s="1" t="s">
        <v>2506</v>
      </c>
      <c r="E5893" s="1" t="s">
        <v>2019</v>
      </c>
      <c r="F5893" s="1" t="s">
        <v>589</v>
      </c>
      <c r="G5893" s="12">
        <v>2165755</v>
      </c>
      <c r="H5893">
        <f>IFERROR(VLOOKUP(F5893,'LEAID Match'!$A$2:$B$142,2,FALSE),"")</f>
        <v>2803540</v>
      </c>
    </row>
    <row r="5894" spans="1:8" x14ac:dyDescent="0.2">
      <c r="A5894">
        <f t="shared" si="92"/>
        <v>2803540</v>
      </c>
      <c r="B5894" s="1">
        <v>2017</v>
      </c>
      <c r="C5894" s="1" t="s">
        <v>2505</v>
      </c>
      <c r="D5894" s="1" t="s">
        <v>2506</v>
      </c>
      <c r="E5894" s="1" t="s">
        <v>2019</v>
      </c>
      <c r="F5894" s="1" t="s">
        <v>589</v>
      </c>
      <c r="G5894" s="47">
        <v>2178331</v>
      </c>
      <c r="H5894">
        <f>IFERROR(VLOOKUP(F5894,'LEAID Match'!$A$2:$B$142,2,FALSE),"")</f>
        <v>2803540</v>
      </c>
    </row>
    <row r="5895" spans="1:8" x14ac:dyDescent="0.2">
      <c r="A5895">
        <f t="shared" si="92"/>
        <v>2803540</v>
      </c>
      <c r="B5895" s="1">
        <v>2018</v>
      </c>
      <c r="C5895" s="1" t="s">
        <v>2505</v>
      </c>
      <c r="D5895" s="1" t="s">
        <v>2506</v>
      </c>
      <c r="E5895" s="1" t="s">
        <v>2019</v>
      </c>
      <c r="F5895" s="1" t="s">
        <v>589</v>
      </c>
      <c r="G5895" s="6">
        <v>2325690</v>
      </c>
      <c r="H5895">
        <f>IFERROR(VLOOKUP(F5895,'LEAID Match'!$A$2:$B$142,2,FALSE),"")</f>
        <v>2803540</v>
      </c>
    </row>
    <row r="5896" spans="1:8" x14ac:dyDescent="0.2">
      <c r="A5896">
        <f t="shared" si="92"/>
        <v>2803540</v>
      </c>
      <c r="B5896" s="1">
        <v>2019</v>
      </c>
      <c r="C5896" s="1" t="s">
        <v>2505</v>
      </c>
      <c r="D5896" s="1" t="s">
        <v>2506</v>
      </c>
      <c r="E5896" s="1" t="s">
        <v>2019</v>
      </c>
      <c r="F5896" s="1" t="s">
        <v>589</v>
      </c>
      <c r="G5896" s="6">
        <v>2351618</v>
      </c>
      <c r="H5896">
        <f>IFERROR(VLOOKUP(F5896,'LEAID Match'!$A$2:$B$142,2,FALSE),"")</f>
        <v>2803540</v>
      </c>
    </row>
    <row r="5897" spans="1:8" x14ac:dyDescent="0.2">
      <c r="A5897">
        <f t="shared" si="92"/>
        <v>2803540</v>
      </c>
      <c r="B5897" s="1">
        <v>2020</v>
      </c>
      <c r="C5897" s="1" t="s">
        <v>2505</v>
      </c>
      <c r="D5897" s="1" t="s">
        <v>2506</v>
      </c>
      <c r="E5897" s="1" t="s">
        <v>2019</v>
      </c>
      <c r="F5897" s="1" t="s">
        <v>589</v>
      </c>
      <c r="G5897" s="6">
        <v>2716132</v>
      </c>
      <c r="H5897">
        <f>IFERROR(VLOOKUP(F5897,'LEAID Match'!$A$2:$B$142,2,FALSE),"")</f>
        <v>2803540</v>
      </c>
    </row>
    <row r="5898" spans="1:8" x14ac:dyDescent="0.2">
      <c r="A5898">
        <f t="shared" si="92"/>
        <v>2803540</v>
      </c>
      <c r="B5898" s="1">
        <v>2021</v>
      </c>
      <c r="C5898" s="1" t="s">
        <v>2505</v>
      </c>
      <c r="D5898" s="1" t="s">
        <v>2506</v>
      </c>
      <c r="E5898" s="1" t="s">
        <v>2019</v>
      </c>
      <c r="F5898" s="1" t="s">
        <v>589</v>
      </c>
      <c r="G5898" s="6">
        <v>2708806</v>
      </c>
      <c r="H5898">
        <f>IFERROR(VLOOKUP(F5898,'LEAID Match'!$A$2:$B$142,2,FALSE),"")</f>
        <v>2803540</v>
      </c>
    </row>
    <row r="5899" spans="1:8" x14ac:dyDescent="0.2">
      <c r="A5899">
        <f t="shared" si="92"/>
        <v>2803540</v>
      </c>
      <c r="B5899" s="1">
        <v>2022</v>
      </c>
      <c r="C5899" s="1" t="s">
        <v>2505</v>
      </c>
      <c r="D5899" s="1" t="s">
        <v>2506</v>
      </c>
      <c r="E5899" s="1" t="s">
        <v>2019</v>
      </c>
      <c r="F5899" s="1" t="s">
        <v>589</v>
      </c>
      <c r="G5899" s="6">
        <v>2891365</v>
      </c>
      <c r="H5899">
        <f>IFERROR(VLOOKUP(F5899,'LEAID Match'!$A$2:$B$142,2,FALSE),"")</f>
        <v>2803540</v>
      </c>
    </row>
    <row r="5900" spans="1:8" x14ac:dyDescent="0.2">
      <c r="A5900">
        <f t="shared" si="92"/>
        <v>2803540</v>
      </c>
      <c r="B5900" s="1">
        <v>2023</v>
      </c>
      <c r="C5900" s="1" t="s">
        <v>2505</v>
      </c>
      <c r="D5900" s="1" t="s">
        <v>2506</v>
      </c>
      <c r="E5900" s="1" t="s">
        <v>2019</v>
      </c>
      <c r="F5900" s="1" t="s">
        <v>589</v>
      </c>
      <c r="G5900" s="6">
        <v>3233994</v>
      </c>
      <c r="H5900">
        <f>IFERROR(VLOOKUP(F5900,'LEAID Match'!$A$2:$B$142,2,FALSE),"")</f>
        <v>2803540</v>
      </c>
    </row>
    <row r="5901" spans="1:8" x14ac:dyDescent="0.2">
      <c r="A5901">
        <f t="shared" si="92"/>
        <v>2803540</v>
      </c>
      <c r="B5901" s="1">
        <v>2024</v>
      </c>
      <c r="C5901" s="1" t="s">
        <v>2505</v>
      </c>
      <c r="D5901" s="1" t="s">
        <v>2506</v>
      </c>
      <c r="E5901" s="1" t="s">
        <v>2019</v>
      </c>
      <c r="F5901" s="1" t="s">
        <v>589</v>
      </c>
      <c r="G5901" s="6">
        <v>3183940</v>
      </c>
      <c r="H5901">
        <f>IFERROR(VLOOKUP(F5901,'LEAID Match'!$A$2:$B$142,2,FALSE),"")</f>
        <v>2803540</v>
      </c>
    </row>
    <row r="5902" spans="1:8" x14ac:dyDescent="0.2">
      <c r="A5902" t="str">
        <f t="shared" si="92"/>
        <v/>
      </c>
      <c r="B5902" s="1">
        <v>2015</v>
      </c>
      <c r="C5902" s="1" t="s">
        <v>2505</v>
      </c>
      <c r="D5902" s="1" t="s">
        <v>2506</v>
      </c>
      <c r="E5902" s="1" t="s">
        <v>2019</v>
      </c>
      <c r="F5902" s="1" t="s">
        <v>590</v>
      </c>
      <c r="G5902" s="6">
        <v>1348582</v>
      </c>
      <c r="H5902" t="str">
        <f>IFERROR(VLOOKUP(F5902,'LEAID Match'!$A$2:$B$142,2,FALSE),"")</f>
        <v/>
      </c>
    </row>
    <row r="5903" spans="1:8" x14ac:dyDescent="0.2">
      <c r="A5903" t="str">
        <f t="shared" si="92"/>
        <v/>
      </c>
      <c r="B5903">
        <v>2016</v>
      </c>
      <c r="C5903" s="1" t="s">
        <v>2505</v>
      </c>
      <c r="D5903" s="1" t="s">
        <v>2506</v>
      </c>
      <c r="E5903" s="1" t="s">
        <v>2019</v>
      </c>
      <c r="F5903" s="1" t="s">
        <v>590</v>
      </c>
      <c r="G5903" s="12">
        <v>1331592</v>
      </c>
      <c r="H5903" t="str">
        <f>IFERROR(VLOOKUP(F5903,'LEAID Match'!$A$2:$B$142,2,FALSE),"")</f>
        <v/>
      </c>
    </row>
    <row r="5904" spans="1:8" x14ac:dyDescent="0.2">
      <c r="A5904" t="str">
        <f t="shared" si="92"/>
        <v/>
      </c>
      <c r="B5904" s="1">
        <v>2017</v>
      </c>
      <c r="C5904" s="1" t="s">
        <v>2505</v>
      </c>
      <c r="D5904" s="1" t="s">
        <v>2506</v>
      </c>
      <c r="E5904" s="1" t="s">
        <v>2019</v>
      </c>
      <c r="F5904" s="1" t="s">
        <v>590</v>
      </c>
      <c r="G5904" s="47">
        <v>1363088</v>
      </c>
      <c r="H5904" t="str">
        <f>IFERROR(VLOOKUP(F5904,'LEAID Match'!$A$2:$B$142,2,FALSE),"")</f>
        <v/>
      </c>
    </row>
    <row r="5905" spans="1:8" x14ac:dyDescent="0.2">
      <c r="A5905" t="str">
        <f t="shared" si="92"/>
        <v/>
      </c>
      <c r="B5905" s="1">
        <v>2018</v>
      </c>
      <c r="C5905" s="1" t="s">
        <v>2505</v>
      </c>
      <c r="D5905" s="1" t="s">
        <v>2506</v>
      </c>
      <c r="E5905" s="1" t="s">
        <v>2019</v>
      </c>
      <c r="F5905" s="1" t="s">
        <v>590</v>
      </c>
      <c r="G5905" s="6">
        <v>1399562</v>
      </c>
      <c r="H5905" t="str">
        <f>IFERROR(VLOOKUP(F5905,'LEAID Match'!$A$2:$B$142,2,FALSE),"")</f>
        <v/>
      </c>
    </row>
    <row r="5906" spans="1:8" x14ac:dyDescent="0.2">
      <c r="A5906" t="str">
        <f t="shared" si="92"/>
        <v/>
      </c>
      <c r="B5906" s="1">
        <v>2019</v>
      </c>
      <c r="C5906" s="1" t="s">
        <v>2505</v>
      </c>
      <c r="D5906" s="1" t="s">
        <v>2506</v>
      </c>
      <c r="E5906" s="1" t="s">
        <v>2019</v>
      </c>
      <c r="F5906" s="1" t="s">
        <v>590</v>
      </c>
      <c r="G5906" s="6">
        <v>1440552</v>
      </c>
      <c r="H5906" t="str">
        <f>IFERROR(VLOOKUP(F5906,'LEAID Match'!$A$2:$B$142,2,FALSE),"")</f>
        <v/>
      </c>
    </row>
    <row r="5907" spans="1:8" x14ac:dyDescent="0.2">
      <c r="A5907" t="str">
        <f t="shared" si="92"/>
        <v/>
      </c>
      <c r="B5907" s="1">
        <v>2020</v>
      </c>
      <c r="C5907" s="1" t="s">
        <v>2505</v>
      </c>
      <c r="D5907" s="1" t="s">
        <v>2506</v>
      </c>
      <c r="E5907" s="1" t="s">
        <v>2019</v>
      </c>
      <c r="F5907" s="1" t="s">
        <v>590</v>
      </c>
      <c r="G5907" s="6">
        <v>1723875</v>
      </c>
      <c r="H5907" t="str">
        <f>IFERROR(VLOOKUP(F5907,'LEAID Match'!$A$2:$B$142,2,FALSE),"")</f>
        <v/>
      </c>
    </row>
    <row r="5908" spans="1:8" x14ac:dyDescent="0.2">
      <c r="A5908" t="str">
        <f t="shared" si="92"/>
        <v/>
      </c>
      <c r="B5908" s="1">
        <v>2021</v>
      </c>
      <c r="C5908" s="1" t="s">
        <v>2505</v>
      </c>
      <c r="D5908" s="1" t="s">
        <v>2506</v>
      </c>
      <c r="E5908" s="1" t="s">
        <v>2019</v>
      </c>
      <c r="F5908" s="1" t="s">
        <v>590</v>
      </c>
      <c r="G5908" s="6">
        <v>1746454</v>
      </c>
      <c r="H5908" t="str">
        <f>IFERROR(VLOOKUP(F5908,'LEAID Match'!$A$2:$B$142,2,FALSE),"")</f>
        <v/>
      </c>
    </row>
    <row r="5909" spans="1:8" x14ac:dyDescent="0.2">
      <c r="A5909" t="str">
        <f t="shared" si="92"/>
        <v/>
      </c>
      <c r="B5909" s="1">
        <v>2022</v>
      </c>
      <c r="C5909" s="1" t="s">
        <v>2505</v>
      </c>
      <c r="D5909" s="1" t="s">
        <v>2506</v>
      </c>
      <c r="E5909" s="1" t="s">
        <v>2019</v>
      </c>
      <c r="F5909" s="1" t="s">
        <v>590</v>
      </c>
      <c r="G5909" s="6">
        <v>1866583</v>
      </c>
      <c r="H5909" t="str">
        <f>IFERROR(VLOOKUP(F5909,'LEAID Match'!$A$2:$B$142,2,FALSE),"")</f>
        <v/>
      </c>
    </row>
    <row r="5910" spans="1:8" x14ac:dyDescent="0.2">
      <c r="A5910" t="str">
        <f t="shared" si="92"/>
        <v/>
      </c>
      <c r="B5910" s="1">
        <v>2023</v>
      </c>
      <c r="C5910" s="1" t="s">
        <v>2505</v>
      </c>
      <c r="D5910" s="1" t="s">
        <v>2506</v>
      </c>
      <c r="E5910" s="1" t="s">
        <v>2019</v>
      </c>
      <c r="F5910" s="1" t="s">
        <v>590</v>
      </c>
      <c r="G5910" s="6">
        <v>2120792</v>
      </c>
      <c r="H5910" t="str">
        <f>IFERROR(VLOOKUP(F5910,'LEAID Match'!$A$2:$B$142,2,FALSE),"")</f>
        <v/>
      </c>
    </row>
    <row r="5911" spans="1:8" x14ac:dyDescent="0.2">
      <c r="A5911" t="str">
        <f t="shared" si="92"/>
        <v/>
      </c>
      <c r="B5911" s="1">
        <v>2024</v>
      </c>
      <c r="C5911" s="1" t="s">
        <v>2505</v>
      </c>
      <c r="D5911" s="1" t="s">
        <v>2506</v>
      </c>
      <c r="E5911" s="1" t="s">
        <v>2019</v>
      </c>
      <c r="F5911" s="1" t="s">
        <v>590</v>
      </c>
      <c r="G5911" s="6">
        <v>2106283</v>
      </c>
      <c r="H5911" t="str">
        <f>IFERROR(VLOOKUP(F5911,'LEAID Match'!$A$2:$B$142,2,FALSE),"")</f>
        <v/>
      </c>
    </row>
    <row r="5912" spans="1:8" x14ac:dyDescent="0.2">
      <c r="A5912" t="str">
        <f t="shared" si="92"/>
        <v/>
      </c>
      <c r="B5912" s="1">
        <v>2015</v>
      </c>
      <c r="C5912" s="1" t="s">
        <v>2505</v>
      </c>
      <c r="D5912" s="1" t="s">
        <v>2506</v>
      </c>
      <c r="E5912" s="1" t="s">
        <v>2019</v>
      </c>
      <c r="F5912" s="1" t="s">
        <v>591</v>
      </c>
      <c r="G5912" s="6">
        <v>41806</v>
      </c>
      <c r="H5912" t="str">
        <f>IFERROR(VLOOKUP(F5912,'LEAID Match'!$A$2:$B$142,2,FALSE),"")</f>
        <v/>
      </c>
    </row>
    <row r="5913" spans="1:8" x14ac:dyDescent="0.2">
      <c r="A5913" t="str">
        <f t="shared" si="92"/>
        <v/>
      </c>
      <c r="B5913">
        <v>2016</v>
      </c>
      <c r="C5913" s="1" t="s">
        <v>2505</v>
      </c>
      <c r="D5913" s="1" t="s">
        <v>2506</v>
      </c>
      <c r="E5913" s="1" t="s">
        <v>2019</v>
      </c>
      <c r="F5913" s="1" t="s">
        <v>591</v>
      </c>
      <c r="G5913" s="12">
        <v>43524</v>
      </c>
      <c r="H5913" t="str">
        <f>IFERROR(VLOOKUP(F5913,'LEAID Match'!$A$2:$B$142,2,FALSE),"")</f>
        <v/>
      </c>
    </row>
    <row r="5914" spans="1:8" x14ac:dyDescent="0.2">
      <c r="A5914" t="str">
        <f t="shared" si="92"/>
        <v/>
      </c>
      <c r="B5914" s="1">
        <v>2017</v>
      </c>
      <c r="C5914" s="1" t="s">
        <v>2505</v>
      </c>
      <c r="D5914" s="1" t="s">
        <v>2506</v>
      </c>
      <c r="E5914" s="1" t="s">
        <v>2019</v>
      </c>
      <c r="F5914" s="1" t="s">
        <v>591</v>
      </c>
      <c r="G5914" s="47">
        <v>42274</v>
      </c>
      <c r="H5914" t="str">
        <f>IFERROR(VLOOKUP(F5914,'LEAID Match'!$A$2:$B$142,2,FALSE),"")</f>
        <v/>
      </c>
    </row>
    <row r="5915" spans="1:8" x14ac:dyDescent="0.2">
      <c r="A5915" t="str">
        <f t="shared" si="92"/>
        <v/>
      </c>
      <c r="B5915" s="1">
        <v>2018</v>
      </c>
      <c r="C5915" s="1" t="s">
        <v>2505</v>
      </c>
      <c r="D5915" s="1" t="s">
        <v>2506</v>
      </c>
      <c r="E5915" s="1" t="s">
        <v>2019</v>
      </c>
      <c r="F5915" s="1" t="s">
        <v>591</v>
      </c>
      <c r="G5915" s="6">
        <v>45049</v>
      </c>
      <c r="H5915" t="str">
        <f>IFERROR(VLOOKUP(F5915,'LEAID Match'!$A$2:$B$142,2,FALSE),"")</f>
        <v/>
      </c>
    </row>
    <row r="5916" spans="1:8" x14ac:dyDescent="0.2">
      <c r="A5916" t="str">
        <f t="shared" si="92"/>
        <v/>
      </c>
      <c r="B5916" s="1">
        <v>2019</v>
      </c>
      <c r="C5916" s="1" t="s">
        <v>2505</v>
      </c>
      <c r="D5916" s="1" t="s">
        <v>2506</v>
      </c>
      <c r="E5916" s="1" t="s">
        <v>2019</v>
      </c>
      <c r="F5916" s="1" t="s">
        <v>591</v>
      </c>
      <c r="G5916" s="6">
        <v>43720</v>
      </c>
      <c r="H5916" t="str">
        <f>IFERROR(VLOOKUP(F5916,'LEAID Match'!$A$2:$B$142,2,FALSE),"")</f>
        <v/>
      </c>
    </row>
    <row r="5917" spans="1:8" x14ac:dyDescent="0.2">
      <c r="A5917" t="str">
        <f t="shared" si="92"/>
        <v/>
      </c>
      <c r="B5917" s="1">
        <v>2020</v>
      </c>
      <c r="C5917" s="1" t="s">
        <v>2505</v>
      </c>
      <c r="D5917" s="1" t="s">
        <v>2506</v>
      </c>
      <c r="E5917" s="1" t="s">
        <v>2019</v>
      </c>
      <c r="F5917" s="1" t="s">
        <v>591</v>
      </c>
      <c r="G5917" s="6">
        <v>50130</v>
      </c>
      <c r="H5917" t="str">
        <f>IFERROR(VLOOKUP(F5917,'LEAID Match'!$A$2:$B$142,2,FALSE),"")</f>
        <v/>
      </c>
    </row>
    <row r="5918" spans="1:8" x14ac:dyDescent="0.2">
      <c r="A5918" t="str">
        <f t="shared" si="92"/>
        <v/>
      </c>
      <c r="B5918" s="1">
        <v>2021</v>
      </c>
      <c r="C5918" s="1" t="s">
        <v>2505</v>
      </c>
      <c r="D5918" s="1" t="s">
        <v>2506</v>
      </c>
      <c r="E5918" s="1" t="s">
        <v>2019</v>
      </c>
      <c r="F5918" s="1" t="s">
        <v>591</v>
      </c>
      <c r="G5918" s="6">
        <v>52305</v>
      </c>
      <c r="H5918" t="str">
        <f>IFERROR(VLOOKUP(F5918,'LEAID Match'!$A$2:$B$142,2,FALSE),"")</f>
        <v/>
      </c>
    </row>
    <row r="5919" spans="1:8" x14ac:dyDescent="0.2">
      <c r="A5919" t="str">
        <f t="shared" si="92"/>
        <v/>
      </c>
      <c r="B5919" s="1">
        <v>2022</v>
      </c>
      <c r="C5919" s="1" t="s">
        <v>2505</v>
      </c>
      <c r="D5919" s="1" t="s">
        <v>2506</v>
      </c>
      <c r="E5919" s="1" t="s">
        <v>2019</v>
      </c>
      <c r="F5919" s="1" t="s">
        <v>591</v>
      </c>
      <c r="G5919" s="6">
        <v>60544</v>
      </c>
      <c r="H5919" t="str">
        <f>IFERROR(VLOOKUP(F5919,'LEAID Match'!$A$2:$B$142,2,FALSE),"")</f>
        <v/>
      </c>
    </row>
    <row r="5920" spans="1:8" x14ac:dyDescent="0.2">
      <c r="A5920" t="str">
        <f t="shared" si="92"/>
        <v/>
      </c>
      <c r="B5920" s="1">
        <v>2023</v>
      </c>
      <c r="C5920" s="1" t="s">
        <v>2505</v>
      </c>
      <c r="D5920" s="1" t="s">
        <v>2506</v>
      </c>
      <c r="E5920" s="1" t="s">
        <v>2019</v>
      </c>
      <c r="F5920" s="1" t="s">
        <v>591</v>
      </c>
      <c r="G5920" s="6">
        <v>63773</v>
      </c>
      <c r="H5920" t="str">
        <f>IFERROR(VLOOKUP(F5920,'LEAID Match'!$A$2:$B$142,2,FALSE),"")</f>
        <v/>
      </c>
    </row>
    <row r="5921" spans="1:8" x14ac:dyDescent="0.2">
      <c r="A5921" t="str">
        <f t="shared" si="92"/>
        <v/>
      </c>
      <c r="B5921" s="1">
        <v>2024</v>
      </c>
      <c r="C5921" s="1" t="s">
        <v>2505</v>
      </c>
      <c r="D5921" s="1" t="s">
        <v>2506</v>
      </c>
      <c r="E5921" s="1" t="s">
        <v>2019</v>
      </c>
      <c r="F5921" s="1" t="s">
        <v>591</v>
      </c>
      <c r="G5921" s="6">
        <v>69264</v>
      </c>
      <c r="H5921" t="str">
        <f>IFERROR(VLOOKUP(F5921,'LEAID Match'!$A$2:$B$142,2,FALSE),"")</f>
        <v/>
      </c>
    </row>
    <row r="5922" spans="1:8" x14ac:dyDescent="0.2">
      <c r="A5922" t="str">
        <f t="shared" si="92"/>
        <v/>
      </c>
      <c r="B5922" s="1">
        <v>2015</v>
      </c>
      <c r="C5922" s="1" t="s">
        <v>2505</v>
      </c>
      <c r="D5922" s="1" t="s">
        <v>2506</v>
      </c>
      <c r="E5922" s="1" t="s">
        <v>2019</v>
      </c>
      <c r="F5922" s="1" t="s">
        <v>592</v>
      </c>
      <c r="G5922" s="6">
        <v>3067794</v>
      </c>
      <c r="H5922" t="str">
        <f>IFERROR(VLOOKUP(F5922,'LEAID Match'!$A$2:$B$142,2,FALSE),"")</f>
        <v/>
      </c>
    </row>
    <row r="5923" spans="1:8" x14ac:dyDescent="0.2">
      <c r="A5923" t="str">
        <f t="shared" si="92"/>
        <v/>
      </c>
      <c r="B5923">
        <v>2016</v>
      </c>
      <c r="C5923" s="1" t="s">
        <v>2505</v>
      </c>
      <c r="D5923" s="1" t="s">
        <v>2506</v>
      </c>
      <c r="E5923" s="1" t="s">
        <v>2019</v>
      </c>
      <c r="F5923" s="1" t="s">
        <v>592</v>
      </c>
      <c r="G5923" s="12">
        <v>3025045</v>
      </c>
      <c r="H5923" t="str">
        <f>IFERROR(VLOOKUP(F5923,'LEAID Match'!$A$2:$B$142,2,FALSE),"")</f>
        <v/>
      </c>
    </row>
    <row r="5924" spans="1:8" x14ac:dyDescent="0.2">
      <c r="A5924" t="str">
        <f t="shared" si="92"/>
        <v/>
      </c>
      <c r="B5924" s="1">
        <v>2017</v>
      </c>
      <c r="C5924" s="1" t="s">
        <v>2505</v>
      </c>
      <c r="D5924" s="1" t="s">
        <v>2506</v>
      </c>
      <c r="E5924" s="1" t="s">
        <v>2019</v>
      </c>
      <c r="F5924" s="1" t="s">
        <v>592</v>
      </c>
      <c r="G5924" s="47">
        <v>3005997</v>
      </c>
      <c r="H5924" t="str">
        <f>IFERROR(VLOOKUP(F5924,'LEAID Match'!$A$2:$B$142,2,FALSE),"")</f>
        <v/>
      </c>
    </row>
    <row r="5925" spans="1:8" x14ac:dyDescent="0.2">
      <c r="A5925" t="str">
        <f t="shared" si="92"/>
        <v/>
      </c>
      <c r="B5925" s="1">
        <v>2018</v>
      </c>
      <c r="C5925" s="1" t="s">
        <v>2505</v>
      </c>
      <c r="D5925" s="1" t="s">
        <v>2506</v>
      </c>
      <c r="E5925" s="1" t="s">
        <v>2019</v>
      </c>
      <c r="F5925" s="1" t="s">
        <v>592</v>
      </c>
      <c r="G5925" s="6">
        <v>2945225</v>
      </c>
      <c r="H5925" t="str">
        <f>IFERROR(VLOOKUP(F5925,'LEAID Match'!$A$2:$B$142,2,FALSE),"")</f>
        <v/>
      </c>
    </row>
    <row r="5926" spans="1:8" x14ac:dyDescent="0.2">
      <c r="A5926" t="str">
        <f t="shared" si="92"/>
        <v/>
      </c>
      <c r="B5926" s="1">
        <v>2019</v>
      </c>
      <c r="C5926" s="1" t="s">
        <v>2505</v>
      </c>
      <c r="D5926" s="1" t="s">
        <v>2506</v>
      </c>
      <c r="E5926" s="1" t="s">
        <v>2019</v>
      </c>
      <c r="F5926" s="1" t="s">
        <v>592</v>
      </c>
      <c r="G5926" s="6">
        <v>3122563</v>
      </c>
      <c r="H5926" t="str">
        <f>IFERROR(VLOOKUP(F5926,'LEAID Match'!$A$2:$B$142,2,FALSE),"")</f>
        <v/>
      </c>
    </row>
    <row r="5927" spans="1:8" x14ac:dyDescent="0.2">
      <c r="A5927" t="str">
        <f t="shared" si="92"/>
        <v/>
      </c>
      <c r="B5927" s="1">
        <v>2020</v>
      </c>
      <c r="C5927" s="1" t="s">
        <v>2505</v>
      </c>
      <c r="D5927" s="1" t="s">
        <v>2506</v>
      </c>
      <c r="E5927" s="1" t="s">
        <v>2019</v>
      </c>
      <c r="F5927" s="1" t="s">
        <v>592</v>
      </c>
      <c r="G5927" s="6">
        <v>3657590</v>
      </c>
      <c r="H5927" t="str">
        <f>IFERROR(VLOOKUP(F5927,'LEAID Match'!$A$2:$B$142,2,FALSE),"")</f>
        <v/>
      </c>
    </row>
    <row r="5928" spans="1:8" x14ac:dyDescent="0.2">
      <c r="A5928" t="str">
        <f t="shared" si="92"/>
        <v/>
      </c>
      <c r="B5928" s="1">
        <v>2021</v>
      </c>
      <c r="C5928" s="1" t="s">
        <v>2505</v>
      </c>
      <c r="D5928" s="1" t="s">
        <v>2506</v>
      </c>
      <c r="E5928" s="1" t="s">
        <v>2019</v>
      </c>
      <c r="F5928" s="1" t="s">
        <v>592</v>
      </c>
      <c r="G5928" s="6">
        <v>3759765</v>
      </c>
      <c r="H5928" t="str">
        <f>IFERROR(VLOOKUP(F5928,'LEAID Match'!$A$2:$B$142,2,FALSE),"")</f>
        <v/>
      </c>
    </row>
    <row r="5929" spans="1:8" x14ac:dyDescent="0.2">
      <c r="A5929" t="str">
        <f t="shared" si="92"/>
        <v/>
      </c>
      <c r="B5929" s="1">
        <v>2022</v>
      </c>
      <c r="C5929" s="1" t="s">
        <v>2505</v>
      </c>
      <c r="D5929" s="1" t="s">
        <v>2506</v>
      </c>
      <c r="E5929" s="1" t="s">
        <v>2019</v>
      </c>
      <c r="F5929" s="1" t="s">
        <v>592</v>
      </c>
      <c r="G5929" s="6">
        <v>3923273</v>
      </c>
      <c r="H5929" t="str">
        <f>IFERROR(VLOOKUP(F5929,'LEAID Match'!$A$2:$B$142,2,FALSE),"")</f>
        <v/>
      </c>
    </row>
    <row r="5930" spans="1:8" x14ac:dyDescent="0.2">
      <c r="A5930" t="str">
        <f t="shared" si="92"/>
        <v/>
      </c>
      <c r="B5930" s="1">
        <v>2023</v>
      </c>
      <c r="C5930" s="1" t="s">
        <v>2505</v>
      </c>
      <c r="D5930" s="1" t="s">
        <v>2506</v>
      </c>
      <c r="E5930" s="1" t="s">
        <v>2019</v>
      </c>
      <c r="F5930" s="1" t="s">
        <v>592</v>
      </c>
      <c r="G5930" s="6">
        <v>4226188</v>
      </c>
      <c r="H5930" t="str">
        <f>IFERROR(VLOOKUP(F5930,'LEAID Match'!$A$2:$B$142,2,FALSE),"")</f>
        <v/>
      </c>
    </row>
    <row r="5931" spans="1:8" x14ac:dyDescent="0.2">
      <c r="A5931" t="str">
        <f t="shared" si="92"/>
        <v/>
      </c>
      <c r="B5931" s="1">
        <v>2024</v>
      </c>
      <c r="C5931" s="1" t="s">
        <v>2505</v>
      </c>
      <c r="D5931" s="1" t="s">
        <v>2506</v>
      </c>
      <c r="E5931" s="1" t="s">
        <v>2019</v>
      </c>
      <c r="F5931" s="1" t="s">
        <v>592</v>
      </c>
      <c r="G5931" s="6">
        <v>4478814</v>
      </c>
      <c r="H5931" t="str">
        <f>IFERROR(VLOOKUP(F5931,'LEAID Match'!$A$2:$B$142,2,FALSE),"")</f>
        <v/>
      </c>
    </row>
    <row r="5932" spans="1:8" x14ac:dyDescent="0.2">
      <c r="A5932" t="str">
        <f t="shared" si="92"/>
        <v/>
      </c>
      <c r="B5932" s="1">
        <v>2022</v>
      </c>
      <c r="C5932" s="1" t="s">
        <v>2505</v>
      </c>
      <c r="D5932" s="1" t="s">
        <v>2506</v>
      </c>
      <c r="E5932" s="1" t="s">
        <v>2019</v>
      </c>
      <c r="F5932" s="1" t="s">
        <v>593</v>
      </c>
      <c r="G5932" s="6">
        <v>668</v>
      </c>
      <c r="H5932" t="str">
        <f>IFERROR(VLOOKUP(F5932,'LEAID Match'!$A$2:$B$142,2,FALSE),"")</f>
        <v/>
      </c>
    </row>
    <row r="5933" spans="1:8" x14ac:dyDescent="0.2">
      <c r="A5933" t="str">
        <f t="shared" si="92"/>
        <v/>
      </c>
      <c r="B5933" s="1">
        <v>2023</v>
      </c>
      <c r="C5933" s="1" t="s">
        <v>2505</v>
      </c>
      <c r="D5933" s="1" t="s">
        <v>2506</v>
      </c>
      <c r="E5933" s="1" t="s">
        <v>2019</v>
      </c>
      <c r="F5933" s="1" t="s">
        <v>593</v>
      </c>
      <c r="G5933" s="6">
        <v>2339</v>
      </c>
      <c r="H5933" t="str">
        <f>IFERROR(VLOOKUP(F5933,'LEAID Match'!$A$2:$B$142,2,FALSE),"")</f>
        <v/>
      </c>
    </row>
    <row r="5934" spans="1:8" x14ac:dyDescent="0.2">
      <c r="A5934" t="str">
        <f t="shared" si="92"/>
        <v/>
      </c>
      <c r="B5934" s="1">
        <v>2024</v>
      </c>
      <c r="C5934" s="1" t="s">
        <v>2505</v>
      </c>
      <c r="D5934" s="1" t="s">
        <v>2506</v>
      </c>
      <c r="E5934" s="1" t="s">
        <v>2019</v>
      </c>
      <c r="F5934" s="1" t="s">
        <v>593</v>
      </c>
      <c r="G5934" s="6">
        <v>2071</v>
      </c>
      <c r="H5934" t="str">
        <f>IFERROR(VLOOKUP(F5934,'LEAID Match'!$A$2:$B$142,2,FALSE),"")</f>
        <v/>
      </c>
    </row>
    <row r="5935" spans="1:8" x14ac:dyDescent="0.2">
      <c r="A5935" t="str">
        <f t="shared" si="92"/>
        <v/>
      </c>
      <c r="B5935" s="1">
        <v>2015</v>
      </c>
      <c r="C5935" s="1" t="s">
        <v>2505</v>
      </c>
      <c r="D5935" s="1" t="s">
        <v>2506</v>
      </c>
      <c r="E5935" s="1" t="s">
        <v>2019</v>
      </c>
      <c r="F5935" s="1" t="s">
        <v>594</v>
      </c>
      <c r="G5935" s="6">
        <v>563929</v>
      </c>
      <c r="H5935" t="str">
        <f>IFERROR(VLOOKUP(F5935,'LEAID Match'!$A$2:$B$142,2,FALSE),"")</f>
        <v/>
      </c>
    </row>
    <row r="5936" spans="1:8" x14ac:dyDescent="0.2">
      <c r="A5936" t="str">
        <f t="shared" si="92"/>
        <v/>
      </c>
      <c r="B5936">
        <v>2016</v>
      </c>
      <c r="C5936" s="1" t="s">
        <v>2505</v>
      </c>
      <c r="D5936" s="1" t="s">
        <v>2506</v>
      </c>
      <c r="E5936" s="1" t="s">
        <v>2019</v>
      </c>
      <c r="F5936" s="1" t="s">
        <v>594</v>
      </c>
      <c r="G5936" s="12">
        <v>532924</v>
      </c>
      <c r="H5936" t="str">
        <f>IFERROR(VLOOKUP(F5936,'LEAID Match'!$A$2:$B$142,2,FALSE),"")</f>
        <v/>
      </c>
    </row>
    <row r="5937" spans="1:8" x14ac:dyDescent="0.2">
      <c r="A5937" t="str">
        <f t="shared" si="92"/>
        <v/>
      </c>
      <c r="B5937" s="1">
        <v>2017</v>
      </c>
      <c r="C5937" s="1" t="s">
        <v>2505</v>
      </c>
      <c r="D5937" s="1" t="s">
        <v>2506</v>
      </c>
      <c r="E5937" s="1" t="s">
        <v>2019</v>
      </c>
      <c r="F5937" s="1" t="s">
        <v>594</v>
      </c>
      <c r="G5937" s="47">
        <v>526338</v>
      </c>
      <c r="H5937" t="str">
        <f>IFERROR(VLOOKUP(F5937,'LEAID Match'!$A$2:$B$142,2,FALSE),"")</f>
        <v/>
      </c>
    </row>
    <row r="5938" spans="1:8" x14ac:dyDescent="0.2">
      <c r="A5938" t="str">
        <f t="shared" si="92"/>
        <v/>
      </c>
      <c r="B5938" s="1">
        <v>2018</v>
      </c>
      <c r="C5938" s="1" t="s">
        <v>2505</v>
      </c>
      <c r="D5938" s="1" t="s">
        <v>2506</v>
      </c>
      <c r="E5938" s="1" t="s">
        <v>2019</v>
      </c>
      <c r="F5938" s="1" t="s">
        <v>594</v>
      </c>
      <c r="G5938" s="6">
        <v>531808</v>
      </c>
      <c r="H5938" t="str">
        <f>IFERROR(VLOOKUP(F5938,'LEAID Match'!$A$2:$B$142,2,FALSE),"")</f>
        <v/>
      </c>
    </row>
    <row r="5939" spans="1:8" x14ac:dyDescent="0.2">
      <c r="A5939" t="str">
        <f t="shared" si="92"/>
        <v/>
      </c>
      <c r="B5939" s="1">
        <v>2019</v>
      </c>
      <c r="C5939" s="1" t="s">
        <v>2505</v>
      </c>
      <c r="D5939" s="1" t="s">
        <v>2506</v>
      </c>
      <c r="E5939" s="1" t="s">
        <v>2019</v>
      </c>
      <c r="F5939" s="1" t="s">
        <v>594</v>
      </c>
      <c r="G5939" s="6">
        <v>534297</v>
      </c>
      <c r="H5939" t="str">
        <f>IFERROR(VLOOKUP(F5939,'LEAID Match'!$A$2:$B$142,2,FALSE),"")</f>
        <v/>
      </c>
    </row>
    <row r="5940" spans="1:8" x14ac:dyDescent="0.2">
      <c r="A5940" t="str">
        <f t="shared" si="92"/>
        <v/>
      </c>
      <c r="B5940" s="1">
        <v>2020</v>
      </c>
      <c r="C5940" s="1" t="s">
        <v>2505</v>
      </c>
      <c r="D5940" s="1" t="s">
        <v>2506</v>
      </c>
      <c r="E5940" s="1" t="s">
        <v>2019</v>
      </c>
      <c r="F5940" s="1" t="s">
        <v>594</v>
      </c>
      <c r="G5940" s="6">
        <v>666552</v>
      </c>
      <c r="H5940" t="str">
        <f>IFERROR(VLOOKUP(F5940,'LEAID Match'!$A$2:$B$142,2,FALSE),"")</f>
        <v/>
      </c>
    </row>
    <row r="5941" spans="1:8" x14ac:dyDescent="0.2">
      <c r="A5941" t="str">
        <f t="shared" si="92"/>
        <v/>
      </c>
      <c r="B5941" s="1">
        <v>2021</v>
      </c>
      <c r="C5941" s="1" t="s">
        <v>2505</v>
      </c>
      <c r="D5941" s="1" t="s">
        <v>2506</v>
      </c>
      <c r="E5941" s="1" t="s">
        <v>2019</v>
      </c>
      <c r="F5941" s="1" t="s">
        <v>594</v>
      </c>
      <c r="G5941" s="6">
        <v>661339</v>
      </c>
      <c r="H5941" t="str">
        <f>IFERROR(VLOOKUP(F5941,'LEAID Match'!$A$2:$B$142,2,FALSE),"")</f>
        <v/>
      </c>
    </row>
    <row r="5942" spans="1:8" x14ac:dyDescent="0.2">
      <c r="A5942" t="str">
        <f t="shared" si="92"/>
        <v/>
      </c>
      <c r="B5942" s="1">
        <v>2022</v>
      </c>
      <c r="C5942" s="1" t="s">
        <v>2505</v>
      </c>
      <c r="D5942" s="1" t="s">
        <v>2506</v>
      </c>
      <c r="E5942" s="1" t="s">
        <v>2019</v>
      </c>
      <c r="F5942" s="1" t="s">
        <v>594</v>
      </c>
      <c r="G5942" s="6">
        <v>626135</v>
      </c>
      <c r="H5942" t="str">
        <f>IFERROR(VLOOKUP(F5942,'LEAID Match'!$A$2:$B$142,2,FALSE),"")</f>
        <v/>
      </c>
    </row>
    <row r="5943" spans="1:8" x14ac:dyDescent="0.2">
      <c r="A5943" t="str">
        <f t="shared" si="92"/>
        <v/>
      </c>
      <c r="B5943" s="1">
        <v>2023</v>
      </c>
      <c r="C5943" s="1" t="s">
        <v>2505</v>
      </c>
      <c r="D5943" s="1" t="s">
        <v>2506</v>
      </c>
      <c r="E5943" s="1" t="s">
        <v>2019</v>
      </c>
      <c r="F5943" s="1" t="s">
        <v>594</v>
      </c>
      <c r="G5943" s="6">
        <v>678124</v>
      </c>
      <c r="H5943" t="str">
        <f>IFERROR(VLOOKUP(F5943,'LEAID Match'!$A$2:$B$142,2,FALSE),"")</f>
        <v/>
      </c>
    </row>
    <row r="5944" spans="1:8" x14ac:dyDescent="0.2">
      <c r="A5944" t="str">
        <f t="shared" si="92"/>
        <v/>
      </c>
      <c r="B5944" s="1">
        <v>2024</v>
      </c>
      <c r="C5944" s="1" t="s">
        <v>2505</v>
      </c>
      <c r="D5944" s="1" t="s">
        <v>2506</v>
      </c>
      <c r="E5944" s="1" t="s">
        <v>2019</v>
      </c>
      <c r="F5944" s="1" t="s">
        <v>594</v>
      </c>
      <c r="G5944" s="6">
        <v>720673</v>
      </c>
      <c r="H5944" t="str">
        <f>IFERROR(VLOOKUP(F5944,'LEAID Match'!$A$2:$B$142,2,FALSE),"")</f>
        <v/>
      </c>
    </row>
    <row r="5945" spans="1:8" x14ac:dyDescent="0.2">
      <c r="A5945" t="str">
        <f t="shared" si="92"/>
        <v/>
      </c>
      <c r="B5945" s="1">
        <v>2015</v>
      </c>
      <c r="C5945" s="1" t="s">
        <v>2505</v>
      </c>
      <c r="D5945" s="1" t="s">
        <v>2506</v>
      </c>
      <c r="E5945" s="1" t="s">
        <v>2019</v>
      </c>
      <c r="F5945" s="1" t="s">
        <v>595</v>
      </c>
      <c r="G5945" s="6">
        <v>86506</v>
      </c>
      <c r="H5945" t="str">
        <f>IFERROR(VLOOKUP(F5945,'LEAID Match'!$A$2:$B$142,2,FALSE),"")</f>
        <v/>
      </c>
    </row>
    <row r="5946" spans="1:8" x14ac:dyDescent="0.2">
      <c r="A5946" t="str">
        <f t="shared" si="92"/>
        <v/>
      </c>
      <c r="B5946">
        <v>2016</v>
      </c>
      <c r="C5946" s="1" t="s">
        <v>2505</v>
      </c>
      <c r="D5946" s="1" t="s">
        <v>2506</v>
      </c>
      <c r="E5946" s="1" t="s">
        <v>2019</v>
      </c>
      <c r="F5946" s="1" t="s">
        <v>595</v>
      </c>
      <c r="G5946" s="12">
        <v>95002</v>
      </c>
      <c r="H5946" t="str">
        <f>IFERROR(VLOOKUP(F5946,'LEAID Match'!$A$2:$B$142,2,FALSE),"")</f>
        <v/>
      </c>
    </row>
    <row r="5947" spans="1:8" x14ac:dyDescent="0.2">
      <c r="A5947" t="str">
        <f t="shared" si="92"/>
        <v/>
      </c>
      <c r="B5947" s="1">
        <v>2017</v>
      </c>
      <c r="C5947" s="1" t="s">
        <v>2505</v>
      </c>
      <c r="D5947" s="1" t="s">
        <v>2506</v>
      </c>
      <c r="E5947" s="1" t="s">
        <v>2019</v>
      </c>
      <c r="F5947" s="1" t="s">
        <v>595</v>
      </c>
      <c r="G5947" s="47">
        <v>124294</v>
      </c>
      <c r="H5947" t="str">
        <f>IFERROR(VLOOKUP(F5947,'LEAID Match'!$A$2:$B$142,2,FALSE),"")</f>
        <v/>
      </c>
    </row>
    <row r="5948" spans="1:8" x14ac:dyDescent="0.2">
      <c r="A5948" t="str">
        <f t="shared" si="92"/>
        <v/>
      </c>
      <c r="B5948" s="1">
        <v>2018</v>
      </c>
      <c r="C5948" s="1" t="s">
        <v>2505</v>
      </c>
      <c r="D5948" s="1" t="s">
        <v>2506</v>
      </c>
      <c r="E5948" s="1" t="s">
        <v>2019</v>
      </c>
      <c r="F5948" s="1" t="s">
        <v>595</v>
      </c>
      <c r="G5948" s="6">
        <v>101401</v>
      </c>
      <c r="H5948" t="str">
        <f>IFERROR(VLOOKUP(F5948,'LEAID Match'!$A$2:$B$142,2,FALSE),"")</f>
        <v/>
      </c>
    </row>
    <row r="5949" spans="1:8" x14ac:dyDescent="0.2">
      <c r="A5949" t="str">
        <f t="shared" si="92"/>
        <v/>
      </c>
      <c r="B5949" s="1">
        <v>2019</v>
      </c>
      <c r="C5949" s="1" t="s">
        <v>2505</v>
      </c>
      <c r="D5949" s="1" t="s">
        <v>2506</v>
      </c>
      <c r="E5949" s="1" t="s">
        <v>2019</v>
      </c>
      <c r="F5949" s="1" t="s">
        <v>595</v>
      </c>
      <c r="G5949" s="6">
        <v>75456</v>
      </c>
      <c r="H5949" t="str">
        <f>IFERROR(VLOOKUP(F5949,'LEAID Match'!$A$2:$B$142,2,FALSE),"")</f>
        <v/>
      </c>
    </row>
    <row r="5950" spans="1:8" x14ac:dyDescent="0.2">
      <c r="A5950" t="str">
        <f t="shared" si="92"/>
        <v/>
      </c>
      <c r="B5950" s="1">
        <v>2020</v>
      </c>
      <c r="C5950" s="1" t="s">
        <v>2505</v>
      </c>
      <c r="D5950" s="1" t="s">
        <v>2506</v>
      </c>
      <c r="E5950" s="1" t="s">
        <v>2019</v>
      </c>
      <c r="F5950" s="1" t="s">
        <v>595</v>
      </c>
      <c r="G5950" s="6">
        <v>85396</v>
      </c>
      <c r="H5950" t="str">
        <f>IFERROR(VLOOKUP(F5950,'LEAID Match'!$A$2:$B$142,2,FALSE),"")</f>
        <v/>
      </c>
    </row>
    <row r="5951" spans="1:8" x14ac:dyDescent="0.2">
      <c r="A5951" t="str">
        <f t="shared" si="92"/>
        <v/>
      </c>
      <c r="B5951" s="1">
        <v>2021</v>
      </c>
      <c r="C5951" s="1" t="s">
        <v>2505</v>
      </c>
      <c r="D5951" s="1" t="s">
        <v>2506</v>
      </c>
      <c r="E5951" s="1" t="s">
        <v>2019</v>
      </c>
      <c r="F5951" s="1" t="s">
        <v>595</v>
      </c>
      <c r="G5951" s="6">
        <v>98456</v>
      </c>
      <c r="H5951" t="str">
        <f>IFERROR(VLOOKUP(F5951,'LEAID Match'!$A$2:$B$142,2,FALSE),"")</f>
        <v/>
      </c>
    </row>
    <row r="5952" spans="1:8" x14ac:dyDescent="0.2">
      <c r="A5952" t="str">
        <f t="shared" si="92"/>
        <v/>
      </c>
      <c r="B5952" s="1">
        <v>2022</v>
      </c>
      <c r="C5952" s="1" t="s">
        <v>2505</v>
      </c>
      <c r="D5952" s="1" t="s">
        <v>2506</v>
      </c>
      <c r="E5952" s="1" t="s">
        <v>2019</v>
      </c>
      <c r="F5952" s="1" t="s">
        <v>595</v>
      </c>
      <c r="G5952" s="6">
        <v>107864</v>
      </c>
      <c r="H5952" t="str">
        <f>IFERROR(VLOOKUP(F5952,'LEAID Match'!$A$2:$B$142,2,FALSE),"")</f>
        <v/>
      </c>
    </row>
    <row r="5953" spans="1:8" x14ac:dyDescent="0.2">
      <c r="A5953" t="str">
        <f t="shared" si="92"/>
        <v/>
      </c>
      <c r="B5953" s="1">
        <v>2023</v>
      </c>
      <c r="C5953" s="1" t="s">
        <v>2505</v>
      </c>
      <c r="D5953" s="1" t="s">
        <v>2506</v>
      </c>
      <c r="E5953" s="1" t="s">
        <v>2019</v>
      </c>
      <c r="F5953" s="1" t="s">
        <v>595</v>
      </c>
      <c r="G5953" s="6">
        <v>120210</v>
      </c>
      <c r="H5953" t="str">
        <f>IFERROR(VLOOKUP(F5953,'LEAID Match'!$A$2:$B$142,2,FALSE),"")</f>
        <v/>
      </c>
    </row>
    <row r="5954" spans="1:8" x14ac:dyDescent="0.2">
      <c r="A5954" t="str">
        <f t="shared" si="92"/>
        <v/>
      </c>
      <c r="B5954" s="1">
        <v>2024</v>
      </c>
      <c r="C5954" s="1" t="s">
        <v>2505</v>
      </c>
      <c r="D5954" s="1" t="s">
        <v>2506</v>
      </c>
      <c r="E5954" s="1" t="s">
        <v>2019</v>
      </c>
      <c r="F5954" s="1" t="s">
        <v>595</v>
      </c>
      <c r="G5954" s="6">
        <v>119409</v>
      </c>
      <c r="H5954" t="str">
        <f>IFERROR(VLOOKUP(F5954,'LEAID Match'!$A$2:$B$142,2,FALSE),"")</f>
        <v/>
      </c>
    </row>
    <row r="5955" spans="1:8" x14ac:dyDescent="0.2">
      <c r="A5955">
        <f t="shared" ref="A5955:A6018" si="93">H5955</f>
        <v>2803570</v>
      </c>
      <c r="B5955" s="1">
        <v>2015</v>
      </c>
      <c r="C5955" s="1" t="s">
        <v>2505</v>
      </c>
      <c r="D5955" s="1" t="s">
        <v>2506</v>
      </c>
      <c r="E5955" s="1" t="s">
        <v>2019</v>
      </c>
      <c r="F5955" s="1" t="s">
        <v>596</v>
      </c>
      <c r="G5955" s="6">
        <v>1037814</v>
      </c>
      <c r="H5955">
        <f>IFERROR(VLOOKUP(F5955,'LEAID Match'!$A$2:$B$142,2,FALSE),"")</f>
        <v>2803570</v>
      </c>
    </row>
    <row r="5956" spans="1:8" x14ac:dyDescent="0.2">
      <c r="A5956">
        <f t="shared" si="93"/>
        <v>2803570</v>
      </c>
      <c r="B5956">
        <v>2016</v>
      </c>
      <c r="C5956" s="1" t="s">
        <v>2505</v>
      </c>
      <c r="D5956" s="1" t="s">
        <v>2506</v>
      </c>
      <c r="E5956" s="1" t="s">
        <v>2019</v>
      </c>
      <c r="F5956" s="1" t="s">
        <v>596</v>
      </c>
      <c r="G5956" s="12">
        <v>1037951</v>
      </c>
      <c r="H5956">
        <f>IFERROR(VLOOKUP(F5956,'LEAID Match'!$A$2:$B$142,2,FALSE),"")</f>
        <v>2803570</v>
      </c>
    </row>
    <row r="5957" spans="1:8" x14ac:dyDescent="0.2">
      <c r="A5957">
        <f t="shared" si="93"/>
        <v>2803570</v>
      </c>
      <c r="B5957" s="1">
        <v>2017</v>
      </c>
      <c r="C5957" s="1" t="s">
        <v>2505</v>
      </c>
      <c r="D5957" s="1" t="s">
        <v>2506</v>
      </c>
      <c r="E5957" s="1" t="s">
        <v>2019</v>
      </c>
      <c r="F5957" s="1" t="s">
        <v>596</v>
      </c>
      <c r="G5957" s="47">
        <v>1041709</v>
      </c>
      <c r="H5957">
        <f>IFERROR(VLOOKUP(F5957,'LEAID Match'!$A$2:$B$142,2,FALSE),"")</f>
        <v>2803570</v>
      </c>
    </row>
    <row r="5958" spans="1:8" x14ac:dyDescent="0.2">
      <c r="A5958">
        <f t="shared" si="93"/>
        <v>2803570</v>
      </c>
      <c r="B5958" s="1">
        <v>2018</v>
      </c>
      <c r="C5958" s="1" t="s">
        <v>2505</v>
      </c>
      <c r="D5958" s="1" t="s">
        <v>2506</v>
      </c>
      <c r="E5958" s="1" t="s">
        <v>2019</v>
      </c>
      <c r="F5958" s="1" t="s">
        <v>596</v>
      </c>
      <c r="G5958" s="6">
        <v>1014477</v>
      </c>
      <c r="H5958">
        <f>IFERROR(VLOOKUP(F5958,'LEAID Match'!$A$2:$B$142,2,FALSE),"")</f>
        <v>2803570</v>
      </c>
    </row>
    <row r="5959" spans="1:8" x14ac:dyDescent="0.2">
      <c r="A5959">
        <f t="shared" si="93"/>
        <v>2803570</v>
      </c>
      <c r="B5959" s="1">
        <v>2019</v>
      </c>
      <c r="C5959" s="1" t="s">
        <v>2505</v>
      </c>
      <c r="D5959" s="1" t="s">
        <v>2506</v>
      </c>
      <c r="E5959" s="1" t="s">
        <v>2019</v>
      </c>
      <c r="F5959" s="1" t="s">
        <v>596</v>
      </c>
      <c r="G5959" s="6">
        <v>1033662</v>
      </c>
      <c r="H5959">
        <f>IFERROR(VLOOKUP(F5959,'LEAID Match'!$A$2:$B$142,2,FALSE),"")</f>
        <v>2803570</v>
      </c>
    </row>
    <row r="5960" spans="1:8" x14ac:dyDescent="0.2">
      <c r="A5960">
        <f t="shared" si="93"/>
        <v>2803570</v>
      </c>
      <c r="B5960" s="1">
        <v>2020</v>
      </c>
      <c r="C5960" s="1" t="s">
        <v>2505</v>
      </c>
      <c r="D5960" s="1" t="s">
        <v>2506</v>
      </c>
      <c r="E5960" s="1" t="s">
        <v>2019</v>
      </c>
      <c r="F5960" s="1" t="s">
        <v>596</v>
      </c>
      <c r="G5960" s="6">
        <v>1218456</v>
      </c>
      <c r="H5960">
        <f>IFERROR(VLOOKUP(F5960,'LEAID Match'!$A$2:$B$142,2,FALSE),"")</f>
        <v>2803570</v>
      </c>
    </row>
    <row r="5961" spans="1:8" x14ac:dyDescent="0.2">
      <c r="A5961">
        <f t="shared" si="93"/>
        <v>2803570</v>
      </c>
      <c r="B5961" s="1">
        <v>2021</v>
      </c>
      <c r="C5961" s="1" t="s">
        <v>2505</v>
      </c>
      <c r="D5961" s="1" t="s">
        <v>2506</v>
      </c>
      <c r="E5961" s="1" t="s">
        <v>2019</v>
      </c>
      <c r="F5961" s="1" t="s">
        <v>596</v>
      </c>
      <c r="G5961" s="6">
        <v>1215383</v>
      </c>
      <c r="H5961">
        <f>IFERROR(VLOOKUP(F5961,'LEAID Match'!$A$2:$B$142,2,FALSE),"")</f>
        <v>2803570</v>
      </c>
    </row>
    <row r="5962" spans="1:8" x14ac:dyDescent="0.2">
      <c r="A5962">
        <f t="shared" si="93"/>
        <v>2803570</v>
      </c>
      <c r="B5962" s="1">
        <v>2022</v>
      </c>
      <c r="C5962" s="1" t="s">
        <v>2505</v>
      </c>
      <c r="D5962" s="1" t="s">
        <v>2506</v>
      </c>
      <c r="E5962" s="1" t="s">
        <v>2019</v>
      </c>
      <c r="F5962" s="1" t="s">
        <v>596</v>
      </c>
      <c r="G5962" s="6">
        <v>1276998</v>
      </c>
      <c r="H5962">
        <f>IFERROR(VLOOKUP(F5962,'LEAID Match'!$A$2:$B$142,2,FALSE),"")</f>
        <v>2803570</v>
      </c>
    </row>
    <row r="5963" spans="1:8" x14ac:dyDescent="0.2">
      <c r="A5963">
        <f t="shared" si="93"/>
        <v>2803570</v>
      </c>
      <c r="B5963" s="1">
        <v>2023</v>
      </c>
      <c r="C5963" s="1" t="s">
        <v>2505</v>
      </c>
      <c r="D5963" s="1" t="s">
        <v>2506</v>
      </c>
      <c r="E5963" s="1" t="s">
        <v>2019</v>
      </c>
      <c r="F5963" s="1" t="s">
        <v>596</v>
      </c>
      <c r="G5963" s="6">
        <v>1387145</v>
      </c>
      <c r="H5963">
        <f>IFERROR(VLOOKUP(F5963,'LEAID Match'!$A$2:$B$142,2,FALSE),"")</f>
        <v>2803570</v>
      </c>
    </row>
    <row r="5964" spans="1:8" x14ac:dyDescent="0.2">
      <c r="A5964">
        <f t="shared" si="93"/>
        <v>2803570</v>
      </c>
      <c r="B5964" s="1">
        <v>2024</v>
      </c>
      <c r="C5964" s="1" t="s">
        <v>2505</v>
      </c>
      <c r="D5964" s="1" t="s">
        <v>2506</v>
      </c>
      <c r="E5964" s="1" t="s">
        <v>2019</v>
      </c>
      <c r="F5964" s="1" t="s">
        <v>596</v>
      </c>
      <c r="G5964" s="6">
        <v>1462358</v>
      </c>
      <c r="H5964">
        <f>IFERROR(VLOOKUP(F5964,'LEAID Match'!$A$2:$B$142,2,FALSE),"")</f>
        <v>2803570</v>
      </c>
    </row>
    <row r="5965" spans="1:8" x14ac:dyDescent="0.2">
      <c r="A5965" t="str">
        <f t="shared" si="93"/>
        <v/>
      </c>
      <c r="B5965" s="1">
        <v>2015</v>
      </c>
      <c r="C5965" s="1" t="s">
        <v>2505</v>
      </c>
      <c r="D5965" s="1" t="s">
        <v>2506</v>
      </c>
      <c r="E5965" s="1" t="s">
        <v>2019</v>
      </c>
      <c r="F5965" s="1" t="s">
        <v>597</v>
      </c>
      <c r="G5965" s="6">
        <v>377187</v>
      </c>
      <c r="H5965" t="str">
        <f>IFERROR(VLOOKUP(F5965,'LEAID Match'!$A$2:$B$142,2,FALSE),"")</f>
        <v/>
      </c>
    </row>
    <row r="5966" spans="1:8" x14ac:dyDescent="0.2">
      <c r="A5966" t="str">
        <f t="shared" si="93"/>
        <v/>
      </c>
      <c r="B5966">
        <v>2016</v>
      </c>
      <c r="C5966" s="1" t="s">
        <v>2505</v>
      </c>
      <c r="D5966" s="1" t="s">
        <v>2506</v>
      </c>
      <c r="E5966" s="1" t="s">
        <v>2019</v>
      </c>
      <c r="F5966" s="1" t="s">
        <v>597</v>
      </c>
      <c r="G5966" s="12">
        <v>374059</v>
      </c>
      <c r="H5966" t="str">
        <f>IFERROR(VLOOKUP(F5966,'LEAID Match'!$A$2:$B$142,2,FALSE),"")</f>
        <v/>
      </c>
    </row>
    <row r="5967" spans="1:8" x14ac:dyDescent="0.2">
      <c r="A5967" t="str">
        <f t="shared" si="93"/>
        <v/>
      </c>
      <c r="B5967" s="1">
        <v>2017</v>
      </c>
      <c r="C5967" s="1" t="s">
        <v>2505</v>
      </c>
      <c r="D5967" s="1" t="s">
        <v>2506</v>
      </c>
      <c r="E5967" s="1" t="s">
        <v>2019</v>
      </c>
      <c r="F5967" s="1" t="s">
        <v>597</v>
      </c>
      <c r="G5967" s="47">
        <v>362212</v>
      </c>
      <c r="H5967" t="str">
        <f>IFERROR(VLOOKUP(F5967,'LEAID Match'!$A$2:$B$142,2,FALSE),"")</f>
        <v/>
      </c>
    </row>
    <row r="5968" spans="1:8" x14ac:dyDescent="0.2">
      <c r="A5968" t="str">
        <f t="shared" si="93"/>
        <v/>
      </c>
      <c r="B5968" s="1">
        <v>2018</v>
      </c>
      <c r="C5968" s="1" t="s">
        <v>2505</v>
      </c>
      <c r="D5968" s="1" t="s">
        <v>2506</v>
      </c>
      <c r="E5968" s="1" t="s">
        <v>2019</v>
      </c>
      <c r="F5968" s="1" t="s">
        <v>597</v>
      </c>
      <c r="G5968" s="6">
        <v>366345</v>
      </c>
      <c r="H5968" t="str">
        <f>IFERROR(VLOOKUP(F5968,'LEAID Match'!$A$2:$B$142,2,FALSE),"")</f>
        <v/>
      </c>
    </row>
    <row r="5969" spans="1:8" x14ac:dyDescent="0.2">
      <c r="A5969" t="str">
        <f t="shared" si="93"/>
        <v/>
      </c>
      <c r="B5969" s="1">
        <v>2019</v>
      </c>
      <c r="C5969" s="1" t="s">
        <v>2505</v>
      </c>
      <c r="D5969" s="1" t="s">
        <v>2506</v>
      </c>
      <c r="E5969" s="1" t="s">
        <v>2019</v>
      </c>
      <c r="F5969" s="1" t="s">
        <v>597</v>
      </c>
      <c r="G5969" s="6">
        <v>386217</v>
      </c>
      <c r="H5969" t="str">
        <f>IFERROR(VLOOKUP(F5969,'LEAID Match'!$A$2:$B$142,2,FALSE),"")</f>
        <v/>
      </c>
    </row>
    <row r="5970" spans="1:8" x14ac:dyDescent="0.2">
      <c r="A5970" t="str">
        <f t="shared" si="93"/>
        <v/>
      </c>
      <c r="B5970" s="1">
        <v>2020</v>
      </c>
      <c r="C5970" s="1" t="s">
        <v>2505</v>
      </c>
      <c r="D5970" s="1" t="s">
        <v>2506</v>
      </c>
      <c r="E5970" s="1" t="s">
        <v>2019</v>
      </c>
      <c r="F5970" s="1" t="s">
        <v>597</v>
      </c>
      <c r="G5970" s="6">
        <v>445721</v>
      </c>
      <c r="H5970" t="str">
        <f>IFERROR(VLOOKUP(F5970,'LEAID Match'!$A$2:$B$142,2,FALSE),"")</f>
        <v/>
      </c>
    </row>
    <row r="5971" spans="1:8" x14ac:dyDescent="0.2">
      <c r="A5971" t="str">
        <f t="shared" si="93"/>
        <v/>
      </c>
      <c r="B5971" s="1">
        <v>2021</v>
      </c>
      <c r="C5971" s="1" t="s">
        <v>2505</v>
      </c>
      <c r="D5971" s="1" t="s">
        <v>2506</v>
      </c>
      <c r="E5971" s="1" t="s">
        <v>2019</v>
      </c>
      <c r="F5971" s="1" t="s">
        <v>597</v>
      </c>
      <c r="G5971" s="6">
        <v>458775</v>
      </c>
      <c r="H5971" t="str">
        <f>IFERROR(VLOOKUP(F5971,'LEAID Match'!$A$2:$B$142,2,FALSE),"")</f>
        <v/>
      </c>
    </row>
    <row r="5972" spans="1:8" x14ac:dyDescent="0.2">
      <c r="A5972" t="str">
        <f t="shared" si="93"/>
        <v/>
      </c>
      <c r="B5972" s="1">
        <v>2022</v>
      </c>
      <c r="C5972" s="1" t="s">
        <v>2505</v>
      </c>
      <c r="D5972" s="1" t="s">
        <v>2506</v>
      </c>
      <c r="E5972" s="1" t="s">
        <v>2019</v>
      </c>
      <c r="F5972" s="1" t="s">
        <v>597</v>
      </c>
      <c r="G5972" s="6">
        <v>503729</v>
      </c>
      <c r="H5972" t="str">
        <f>IFERROR(VLOOKUP(F5972,'LEAID Match'!$A$2:$B$142,2,FALSE),"")</f>
        <v/>
      </c>
    </row>
    <row r="5973" spans="1:8" x14ac:dyDescent="0.2">
      <c r="A5973" t="str">
        <f t="shared" si="93"/>
        <v/>
      </c>
      <c r="B5973" s="1">
        <v>2023</v>
      </c>
      <c r="C5973" s="1" t="s">
        <v>2505</v>
      </c>
      <c r="D5973" s="1" t="s">
        <v>2506</v>
      </c>
      <c r="E5973" s="1" t="s">
        <v>2019</v>
      </c>
      <c r="F5973" s="1" t="s">
        <v>597</v>
      </c>
      <c r="G5973" s="6">
        <v>539075</v>
      </c>
      <c r="H5973" t="str">
        <f>IFERROR(VLOOKUP(F5973,'LEAID Match'!$A$2:$B$142,2,FALSE),"")</f>
        <v/>
      </c>
    </row>
    <row r="5974" spans="1:8" x14ac:dyDescent="0.2">
      <c r="A5974" t="str">
        <f t="shared" si="93"/>
        <v/>
      </c>
      <c r="B5974" s="1">
        <v>2024</v>
      </c>
      <c r="C5974" s="1" t="s">
        <v>2505</v>
      </c>
      <c r="D5974" s="1" t="s">
        <v>2506</v>
      </c>
      <c r="E5974" s="1" t="s">
        <v>2019</v>
      </c>
      <c r="F5974" s="1" t="s">
        <v>597</v>
      </c>
      <c r="G5974" s="6">
        <v>539364</v>
      </c>
      <c r="H5974" t="str">
        <f>IFERROR(VLOOKUP(F5974,'LEAID Match'!$A$2:$B$142,2,FALSE),"")</f>
        <v/>
      </c>
    </row>
    <row r="5975" spans="1:8" x14ac:dyDescent="0.2">
      <c r="A5975" t="str">
        <f t="shared" si="93"/>
        <v/>
      </c>
      <c r="B5975" s="1">
        <v>2015</v>
      </c>
      <c r="C5975" s="1" t="s">
        <v>2505</v>
      </c>
      <c r="D5975" s="1" t="s">
        <v>2506</v>
      </c>
      <c r="E5975" s="1" t="s">
        <v>2019</v>
      </c>
      <c r="F5975" s="1" t="s">
        <v>598</v>
      </c>
      <c r="G5975" s="6">
        <v>546527</v>
      </c>
      <c r="H5975" t="str">
        <f>IFERROR(VLOOKUP(F5975,'LEAID Match'!$A$2:$B$142,2,FALSE),"")</f>
        <v/>
      </c>
    </row>
    <row r="5976" spans="1:8" x14ac:dyDescent="0.2">
      <c r="A5976" t="str">
        <f t="shared" si="93"/>
        <v/>
      </c>
      <c r="B5976">
        <v>2016</v>
      </c>
      <c r="C5976" s="1" t="s">
        <v>2505</v>
      </c>
      <c r="D5976" s="1" t="s">
        <v>2506</v>
      </c>
      <c r="E5976" s="1" t="s">
        <v>2019</v>
      </c>
      <c r="F5976" s="1" t="s">
        <v>598</v>
      </c>
      <c r="G5976" s="12">
        <v>556748</v>
      </c>
      <c r="H5976" t="str">
        <f>IFERROR(VLOOKUP(F5976,'LEAID Match'!$A$2:$B$142,2,FALSE),"")</f>
        <v/>
      </c>
    </row>
    <row r="5977" spans="1:8" x14ac:dyDescent="0.2">
      <c r="A5977" t="str">
        <f t="shared" si="93"/>
        <v/>
      </c>
      <c r="B5977" s="1">
        <v>2017</v>
      </c>
      <c r="C5977" s="1" t="s">
        <v>2505</v>
      </c>
      <c r="D5977" s="1" t="s">
        <v>2506</v>
      </c>
      <c r="E5977" s="1" t="s">
        <v>2019</v>
      </c>
      <c r="F5977" s="1" t="s">
        <v>598</v>
      </c>
      <c r="G5977" s="47">
        <v>564628</v>
      </c>
      <c r="H5977" t="str">
        <f>IFERROR(VLOOKUP(F5977,'LEAID Match'!$A$2:$B$142,2,FALSE),"")</f>
        <v/>
      </c>
    </row>
    <row r="5978" spans="1:8" x14ac:dyDescent="0.2">
      <c r="A5978" t="str">
        <f t="shared" si="93"/>
        <v/>
      </c>
      <c r="B5978" s="1">
        <v>2018</v>
      </c>
      <c r="C5978" s="1" t="s">
        <v>2505</v>
      </c>
      <c r="D5978" s="1" t="s">
        <v>2506</v>
      </c>
      <c r="E5978" s="1" t="s">
        <v>2019</v>
      </c>
      <c r="F5978" s="1" t="s">
        <v>598</v>
      </c>
      <c r="G5978" s="6">
        <v>629703</v>
      </c>
      <c r="H5978" t="str">
        <f>IFERROR(VLOOKUP(F5978,'LEAID Match'!$A$2:$B$142,2,FALSE),"")</f>
        <v/>
      </c>
    </row>
    <row r="5979" spans="1:8" x14ac:dyDescent="0.2">
      <c r="A5979" t="str">
        <f t="shared" si="93"/>
        <v/>
      </c>
      <c r="B5979" s="1">
        <v>2019</v>
      </c>
      <c r="C5979" s="1" t="s">
        <v>2505</v>
      </c>
      <c r="D5979" s="1" t="s">
        <v>2506</v>
      </c>
      <c r="E5979" s="1" t="s">
        <v>2019</v>
      </c>
      <c r="F5979" s="1" t="s">
        <v>598</v>
      </c>
      <c r="G5979" s="6">
        <v>677457</v>
      </c>
      <c r="H5979" t="str">
        <f>IFERROR(VLOOKUP(F5979,'LEAID Match'!$A$2:$B$142,2,FALSE),"")</f>
        <v/>
      </c>
    </row>
    <row r="5980" spans="1:8" x14ac:dyDescent="0.2">
      <c r="A5980" t="str">
        <f t="shared" si="93"/>
        <v/>
      </c>
      <c r="B5980" s="1">
        <v>2020</v>
      </c>
      <c r="C5980" s="1" t="s">
        <v>2505</v>
      </c>
      <c r="D5980" s="1" t="s">
        <v>2506</v>
      </c>
      <c r="E5980" s="1" t="s">
        <v>2019</v>
      </c>
      <c r="F5980" s="1" t="s">
        <v>598</v>
      </c>
      <c r="G5980" s="6">
        <v>721682</v>
      </c>
      <c r="H5980" t="str">
        <f>IFERROR(VLOOKUP(F5980,'LEAID Match'!$A$2:$B$142,2,FALSE),"")</f>
        <v/>
      </c>
    </row>
    <row r="5981" spans="1:8" x14ac:dyDescent="0.2">
      <c r="A5981" t="str">
        <f t="shared" si="93"/>
        <v/>
      </c>
      <c r="B5981" s="1">
        <v>2021</v>
      </c>
      <c r="C5981" s="1" t="s">
        <v>2505</v>
      </c>
      <c r="D5981" s="1" t="s">
        <v>2506</v>
      </c>
      <c r="E5981" s="1" t="s">
        <v>2019</v>
      </c>
      <c r="F5981" s="1" t="s">
        <v>598</v>
      </c>
      <c r="G5981" s="6">
        <v>709456</v>
      </c>
      <c r="H5981" t="str">
        <f>IFERROR(VLOOKUP(F5981,'LEAID Match'!$A$2:$B$142,2,FALSE),"")</f>
        <v/>
      </c>
    </row>
    <row r="5982" spans="1:8" x14ac:dyDescent="0.2">
      <c r="A5982" t="str">
        <f t="shared" si="93"/>
        <v/>
      </c>
      <c r="B5982" s="1">
        <v>2022</v>
      </c>
      <c r="C5982" s="1" t="s">
        <v>2505</v>
      </c>
      <c r="D5982" s="1" t="s">
        <v>2506</v>
      </c>
      <c r="E5982" s="1" t="s">
        <v>2019</v>
      </c>
      <c r="F5982" s="1" t="s">
        <v>598</v>
      </c>
      <c r="G5982" s="6">
        <v>737797</v>
      </c>
      <c r="H5982" t="str">
        <f>IFERROR(VLOOKUP(F5982,'LEAID Match'!$A$2:$B$142,2,FALSE),"")</f>
        <v/>
      </c>
    </row>
    <row r="5983" spans="1:8" x14ac:dyDescent="0.2">
      <c r="A5983" t="str">
        <f t="shared" si="93"/>
        <v/>
      </c>
      <c r="B5983" s="1">
        <v>2023</v>
      </c>
      <c r="C5983" s="1" t="s">
        <v>2505</v>
      </c>
      <c r="D5983" s="1" t="s">
        <v>2506</v>
      </c>
      <c r="E5983" s="1" t="s">
        <v>2019</v>
      </c>
      <c r="F5983" s="1" t="s">
        <v>598</v>
      </c>
      <c r="G5983" s="6">
        <v>756052</v>
      </c>
      <c r="H5983" t="str">
        <f>IFERROR(VLOOKUP(F5983,'LEAID Match'!$A$2:$B$142,2,FALSE),"")</f>
        <v/>
      </c>
    </row>
    <row r="5984" spans="1:8" x14ac:dyDescent="0.2">
      <c r="A5984" t="str">
        <f t="shared" si="93"/>
        <v/>
      </c>
      <c r="B5984" s="1">
        <v>2024</v>
      </c>
      <c r="C5984" s="1" t="s">
        <v>2505</v>
      </c>
      <c r="D5984" s="1" t="s">
        <v>2506</v>
      </c>
      <c r="E5984" s="1" t="s">
        <v>2019</v>
      </c>
      <c r="F5984" s="1" t="s">
        <v>598</v>
      </c>
      <c r="G5984" s="6">
        <v>720944</v>
      </c>
      <c r="H5984" t="str">
        <f>IFERROR(VLOOKUP(F5984,'LEAID Match'!$A$2:$B$142,2,FALSE),"")</f>
        <v/>
      </c>
    </row>
    <row r="5985" spans="1:8" x14ac:dyDescent="0.2">
      <c r="A5985">
        <f t="shared" si="93"/>
        <v>2803530</v>
      </c>
      <c r="B5985" s="1">
        <v>2015</v>
      </c>
      <c r="C5985" s="1" t="s">
        <v>2505</v>
      </c>
      <c r="D5985" s="1" t="s">
        <v>2506</v>
      </c>
      <c r="E5985" s="1" t="s">
        <v>2019</v>
      </c>
      <c r="F5985" s="1" t="s">
        <v>599</v>
      </c>
      <c r="G5985" s="6">
        <v>3220443</v>
      </c>
      <c r="H5985">
        <f>IFERROR(VLOOKUP(F5985,'LEAID Match'!$A$2:$B$142,2,FALSE),"")</f>
        <v>2803530</v>
      </c>
    </row>
    <row r="5986" spans="1:8" x14ac:dyDescent="0.2">
      <c r="A5986">
        <f t="shared" si="93"/>
        <v>2803530</v>
      </c>
      <c r="B5986">
        <v>2016</v>
      </c>
      <c r="C5986" s="1" t="s">
        <v>2505</v>
      </c>
      <c r="D5986" s="1" t="s">
        <v>2506</v>
      </c>
      <c r="E5986" s="1" t="s">
        <v>2019</v>
      </c>
      <c r="F5986" s="1" t="s">
        <v>599</v>
      </c>
      <c r="G5986" s="12">
        <v>3302635</v>
      </c>
      <c r="H5986">
        <f>IFERROR(VLOOKUP(F5986,'LEAID Match'!$A$2:$B$142,2,FALSE),"")</f>
        <v>2803530</v>
      </c>
    </row>
    <row r="5987" spans="1:8" x14ac:dyDescent="0.2">
      <c r="A5987">
        <f t="shared" si="93"/>
        <v>2803530</v>
      </c>
      <c r="B5987" s="1">
        <v>2017</v>
      </c>
      <c r="C5987" s="1" t="s">
        <v>2505</v>
      </c>
      <c r="D5987" s="1" t="s">
        <v>2506</v>
      </c>
      <c r="E5987" s="1" t="s">
        <v>2019</v>
      </c>
      <c r="F5987" s="1" t="s">
        <v>599</v>
      </c>
      <c r="G5987" s="47">
        <v>3283721</v>
      </c>
      <c r="H5987">
        <f>IFERROR(VLOOKUP(F5987,'LEAID Match'!$A$2:$B$142,2,FALSE),"")</f>
        <v>2803530</v>
      </c>
    </row>
    <row r="5988" spans="1:8" x14ac:dyDescent="0.2">
      <c r="A5988">
        <f t="shared" si="93"/>
        <v>2803530</v>
      </c>
      <c r="B5988" s="1">
        <v>2018</v>
      </c>
      <c r="C5988" s="1" t="s">
        <v>2505</v>
      </c>
      <c r="D5988" s="1" t="s">
        <v>2506</v>
      </c>
      <c r="E5988" s="1" t="s">
        <v>2019</v>
      </c>
      <c r="F5988" s="1" t="s">
        <v>599</v>
      </c>
      <c r="G5988" s="6">
        <v>3302262</v>
      </c>
      <c r="H5988">
        <f>IFERROR(VLOOKUP(F5988,'LEAID Match'!$A$2:$B$142,2,FALSE),"")</f>
        <v>2803530</v>
      </c>
    </row>
    <row r="5989" spans="1:8" x14ac:dyDescent="0.2">
      <c r="A5989">
        <f t="shared" si="93"/>
        <v>2803530</v>
      </c>
      <c r="B5989" s="1">
        <v>2019</v>
      </c>
      <c r="C5989" s="1" t="s">
        <v>2505</v>
      </c>
      <c r="D5989" s="1" t="s">
        <v>2506</v>
      </c>
      <c r="E5989" s="1" t="s">
        <v>2019</v>
      </c>
      <c r="F5989" s="1" t="s">
        <v>599</v>
      </c>
      <c r="G5989" s="6">
        <v>3349445</v>
      </c>
      <c r="H5989">
        <f>IFERROR(VLOOKUP(F5989,'LEAID Match'!$A$2:$B$142,2,FALSE),"")</f>
        <v>2803530</v>
      </c>
    </row>
    <row r="5990" spans="1:8" x14ac:dyDescent="0.2">
      <c r="A5990">
        <f t="shared" si="93"/>
        <v>2803530</v>
      </c>
      <c r="B5990" s="1">
        <v>2020</v>
      </c>
      <c r="C5990" s="1" t="s">
        <v>2505</v>
      </c>
      <c r="D5990" s="1" t="s">
        <v>2506</v>
      </c>
      <c r="E5990" s="1" t="s">
        <v>2019</v>
      </c>
      <c r="F5990" s="1" t="s">
        <v>599</v>
      </c>
      <c r="G5990" s="6">
        <v>3855470</v>
      </c>
      <c r="H5990">
        <f>IFERROR(VLOOKUP(F5990,'LEAID Match'!$A$2:$B$142,2,FALSE),"")</f>
        <v>2803530</v>
      </c>
    </row>
    <row r="5991" spans="1:8" x14ac:dyDescent="0.2">
      <c r="A5991">
        <f t="shared" si="93"/>
        <v>2803530</v>
      </c>
      <c r="B5991" s="1">
        <v>2021</v>
      </c>
      <c r="C5991" s="1" t="s">
        <v>2505</v>
      </c>
      <c r="D5991" s="1" t="s">
        <v>2506</v>
      </c>
      <c r="E5991" s="1" t="s">
        <v>2019</v>
      </c>
      <c r="F5991" s="1" t="s">
        <v>599</v>
      </c>
      <c r="G5991" s="6">
        <v>3966631</v>
      </c>
      <c r="H5991">
        <f>IFERROR(VLOOKUP(F5991,'LEAID Match'!$A$2:$B$142,2,FALSE),"")</f>
        <v>2803530</v>
      </c>
    </row>
    <row r="5992" spans="1:8" x14ac:dyDescent="0.2">
      <c r="A5992">
        <f t="shared" si="93"/>
        <v>2803530</v>
      </c>
      <c r="B5992" s="1">
        <v>2022</v>
      </c>
      <c r="C5992" s="1" t="s">
        <v>2505</v>
      </c>
      <c r="D5992" s="1" t="s">
        <v>2506</v>
      </c>
      <c r="E5992" s="1" t="s">
        <v>2019</v>
      </c>
      <c r="F5992" s="1" t="s">
        <v>599</v>
      </c>
      <c r="G5992" s="6">
        <v>4212584</v>
      </c>
      <c r="H5992">
        <f>IFERROR(VLOOKUP(F5992,'LEAID Match'!$A$2:$B$142,2,FALSE),"")</f>
        <v>2803530</v>
      </c>
    </row>
    <row r="5993" spans="1:8" x14ac:dyDescent="0.2">
      <c r="A5993">
        <f t="shared" si="93"/>
        <v>2803530</v>
      </c>
      <c r="B5993" s="1">
        <v>2023</v>
      </c>
      <c r="C5993" s="1" t="s">
        <v>2505</v>
      </c>
      <c r="D5993" s="1" t="s">
        <v>2506</v>
      </c>
      <c r="E5993" s="1" t="s">
        <v>2019</v>
      </c>
      <c r="F5993" s="1" t="s">
        <v>599</v>
      </c>
      <c r="G5993" s="6">
        <v>4723144</v>
      </c>
      <c r="H5993">
        <f>IFERROR(VLOOKUP(F5993,'LEAID Match'!$A$2:$B$142,2,FALSE),"")</f>
        <v>2803530</v>
      </c>
    </row>
    <row r="5994" spans="1:8" x14ac:dyDescent="0.2">
      <c r="A5994">
        <f t="shared" si="93"/>
        <v>2803530</v>
      </c>
      <c r="B5994" s="1">
        <v>2024</v>
      </c>
      <c r="C5994" s="1" t="s">
        <v>2505</v>
      </c>
      <c r="D5994" s="1" t="s">
        <v>2506</v>
      </c>
      <c r="E5994" s="1" t="s">
        <v>2019</v>
      </c>
      <c r="F5994" s="1" t="s">
        <v>599</v>
      </c>
      <c r="G5994" s="6">
        <v>4892398</v>
      </c>
      <c r="H5994">
        <f>IFERROR(VLOOKUP(F5994,'LEAID Match'!$A$2:$B$142,2,FALSE),"")</f>
        <v>2803530</v>
      </c>
    </row>
    <row r="5995" spans="1:8" x14ac:dyDescent="0.2">
      <c r="A5995" t="str">
        <f t="shared" si="93"/>
        <v/>
      </c>
      <c r="B5995" s="1">
        <v>2015</v>
      </c>
      <c r="C5995" s="1" t="s">
        <v>2505</v>
      </c>
      <c r="D5995" s="1" t="s">
        <v>2506</v>
      </c>
      <c r="E5995" s="1" t="s">
        <v>2019</v>
      </c>
      <c r="F5995" s="1" t="s">
        <v>600</v>
      </c>
      <c r="G5995" s="6">
        <v>465544</v>
      </c>
      <c r="H5995" t="str">
        <f>IFERROR(VLOOKUP(F5995,'LEAID Match'!$A$2:$B$142,2,FALSE),"")</f>
        <v/>
      </c>
    </row>
    <row r="5996" spans="1:8" x14ac:dyDescent="0.2">
      <c r="A5996" t="str">
        <f t="shared" si="93"/>
        <v/>
      </c>
      <c r="B5996">
        <v>2016</v>
      </c>
      <c r="C5996" s="1" t="s">
        <v>2505</v>
      </c>
      <c r="D5996" s="1" t="s">
        <v>2506</v>
      </c>
      <c r="E5996" s="1" t="s">
        <v>2019</v>
      </c>
      <c r="F5996" s="1" t="s">
        <v>600</v>
      </c>
      <c r="G5996" s="12">
        <v>470941</v>
      </c>
      <c r="H5996" t="str">
        <f>IFERROR(VLOOKUP(F5996,'LEAID Match'!$A$2:$B$142,2,FALSE),"")</f>
        <v/>
      </c>
    </row>
    <row r="5997" spans="1:8" x14ac:dyDescent="0.2">
      <c r="A5997" t="str">
        <f t="shared" si="93"/>
        <v/>
      </c>
      <c r="B5997" s="1">
        <v>2017</v>
      </c>
      <c r="C5997" s="1" t="s">
        <v>2505</v>
      </c>
      <c r="D5997" s="1" t="s">
        <v>2506</v>
      </c>
      <c r="E5997" s="1" t="s">
        <v>2019</v>
      </c>
      <c r="F5997" s="1" t="s">
        <v>600</v>
      </c>
      <c r="G5997" s="47">
        <v>508438</v>
      </c>
      <c r="H5997" t="str">
        <f>IFERROR(VLOOKUP(F5997,'LEAID Match'!$A$2:$B$142,2,FALSE),"")</f>
        <v/>
      </c>
    </row>
    <row r="5998" spans="1:8" x14ac:dyDescent="0.2">
      <c r="A5998" t="str">
        <f t="shared" si="93"/>
        <v/>
      </c>
      <c r="B5998" s="1">
        <v>2018</v>
      </c>
      <c r="C5998" s="1" t="s">
        <v>2505</v>
      </c>
      <c r="D5998" s="1" t="s">
        <v>2506</v>
      </c>
      <c r="E5998" s="1" t="s">
        <v>2019</v>
      </c>
      <c r="F5998" s="1" t="s">
        <v>600</v>
      </c>
      <c r="G5998" s="6">
        <v>497777</v>
      </c>
      <c r="H5998" t="str">
        <f>IFERROR(VLOOKUP(F5998,'LEAID Match'!$A$2:$B$142,2,FALSE),"")</f>
        <v/>
      </c>
    </row>
    <row r="5999" spans="1:8" x14ac:dyDescent="0.2">
      <c r="A5999" t="str">
        <f t="shared" si="93"/>
        <v/>
      </c>
      <c r="B5999" s="1">
        <v>2019</v>
      </c>
      <c r="C5999" s="1" t="s">
        <v>2505</v>
      </c>
      <c r="D5999" s="1" t="s">
        <v>2506</v>
      </c>
      <c r="E5999" s="1" t="s">
        <v>2019</v>
      </c>
      <c r="F5999" s="1" t="s">
        <v>600</v>
      </c>
      <c r="G5999" s="6">
        <v>508362</v>
      </c>
      <c r="H5999" t="str">
        <f>IFERROR(VLOOKUP(F5999,'LEAID Match'!$A$2:$B$142,2,FALSE),"")</f>
        <v/>
      </c>
    </row>
    <row r="6000" spans="1:8" x14ac:dyDescent="0.2">
      <c r="A6000" t="str">
        <f t="shared" si="93"/>
        <v/>
      </c>
      <c r="B6000" s="1">
        <v>2020</v>
      </c>
      <c r="C6000" s="1" t="s">
        <v>2505</v>
      </c>
      <c r="D6000" s="1" t="s">
        <v>2506</v>
      </c>
      <c r="E6000" s="1" t="s">
        <v>2019</v>
      </c>
      <c r="F6000" s="1" t="s">
        <v>600</v>
      </c>
      <c r="G6000" s="6">
        <v>585967</v>
      </c>
      <c r="H6000" t="str">
        <f>IFERROR(VLOOKUP(F6000,'LEAID Match'!$A$2:$B$142,2,FALSE),"")</f>
        <v/>
      </c>
    </row>
    <row r="6001" spans="1:8" x14ac:dyDescent="0.2">
      <c r="A6001" t="str">
        <f t="shared" si="93"/>
        <v/>
      </c>
      <c r="B6001" s="1">
        <v>2021</v>
      </c>
      <c r="C6001" s="1" t="s">
        <v>2505</v>
      </c>
      <c r="D6001" s="1" t="s">
        <v>2506</v>
      </c>
      <c r="E6001" s="1" t="s">
        <v>2019</v>
      </c>
      <c r="F6001" s="1" t="s">
        <v>600</v>
      </c>
      <c r="G6001" s="6">
        <v>603960</v>
      </c>
      <c r="H6001" t="str">
        <f>IFERROR(VLOOKUP(F6001,'LEAID Match'!$A$2:$B$142,2,FALSE),"")</f>
        <v/>
      </c>
    </row>
    <row r="6002" spans="1:8" x14ac:dyDescent="0.2">
      <c r="A6002" t="str">
        <f t="shared" si="93"/>
        <v/>
      </c>
      <c r="B6002" s="1">
        <v>2022</v>
      </c>
      <c r="C6002" s="1" t="s">
        <v>2505</v>
      </c>
      <c r="D6002" s="1" t="s">
        <v>2506</v>
      </c>
      <c r="E6002" s="1" t="s">
        <v>2019</v>
      </c>
      <c r="F6002" s="1" t="s">
        <v>600</v>
      </c>
      <c r="G6002" s="6">
        <v>630168</v>
      </c>
      <c r="H6002" t="str">
        <f>IFERROR(VLOOKUP(F6002,'LEAID Match'!$A$2:$B$142,2,FALSE),"")</f>
        <v/>
      </c>
    </row>
    <row r="6003" spans="1:8" x14ac:dyDescent="0.2">
      <c r="A6003" t="str">
        <f t="shared" si="93"/>
        <v/>
      </c>
      <c r="B6003" s="1">
        <v>2023</v>
      </c>
      <c r="C6003" s="1" t="s">
        <v>2505</v>
      </c>
      <c r="D6003" s="1" t="s">
        <v>2506</v>
      </c>
      <c r="E6003" s="1" t="s">
        <v>2019</v>
      </c>
      <c r="F6003" s="1" t="s">
        <v>600</v>
      </c>
      <c r="G6003" s="6">
        <v>652152</v>
      </c>
      <c r="H6003" t="str">
        <f>IFERROR(VLOOKUP(F6003,'LEAID Match'!$A$2:$B$142,2,FALSE),"")</f>
        <v/>
      </c>
    </row>
    <row r="6004" spans="1:8" x14ac:dyDescent="0.2">
      <c r="A6004" t="str">
        <f t="shared" si="93"/>
        <v/>
      </c>
      <c r="B6004" s="1">
        <v>2024</v>
      </c>
      <c r="C6004" s="1" t="s">
        <v>2505</v>
      </c>
      <c r="D6004" s="1" t="s">
        <v>2506</v>
      </c>
      <c r="E6004" s="1" t="s">
        <v>2019</v>
      </c>
      <c r="F6004" s="1" t="s">
        <v>600</v>
      </c>
      <c r="G6004" s="6">
        <v>677205</v>
      </c>
      <c r="H6004" t="str">
        <f>IFERROR(VLOOKUP(F6004,'LEAID Match'!$A$2:$B$142,2,FALSE),"")</f>
        <v/>
      </c>
    </row>
    <row r="6005" spans="1:8" x14ac:dyDescent="0.2">
      <c r="A6005">
        <f t="shared" si="93"/>
        <v>2803600</v>
      </c>
      <c r="B6005" s="1">
        <v>2015</v>
      </c>
      <c r="C6005" s="1" t="s">
        <v>2505</v>
      </c>
      <c r="D6005" s="1" t="s">
        <v>2506</v>
      </c>
      <c r="E6005" s="1" t="s">
        <v>2019</v>
      </c>
      <c r="F6005" s="1" t="s">
        <v>601</v>
      </c>
      <c r="G6005" s="6">
        <v>869254</v>
      </c>
      <c r="H6005">
        <f>IFERROR(VLOOKUP(F6005,'LEAID Match'!$A$2:$B$142,2,FALSE),"")</f>
        <v>2803600</v>
      </c>
    </row>
    <row r="6006" spans="1:8" x14ac:dyDescent="0.2">
      <c r="A6006">
        <f t="shared" si="93"/>
        <v>2803600</v>
      </c>
      <c r="B6006">
        <v>2016</v>
      </c>
      <c r="C6006" s="1" t="s">
        <v>2505</v>
      </c>
      <c r="D6006" s="1" t="s">
        <v>2506</v>
      </c>
      <c r="E6006" s="1" t="s">
        <v>2019</v>
      </c>
      <c r="F6006" s="1" t="s">
        <v>601</v>
      </c>
      <c r="G6006" s="12">
        <v>794661</v>
      </c>
      <c r="H6006">
        <f>IFERROR(VLOOKUP(F6006,'LEAID Match'!$A$2:$B$142,2,FALSE),"")</f>
        <v>2803600</v>
      </c>
    </row>
    <row r="6007" spans="1:8" x14ac:dyDescent="0.2">
      <c r="A6007">
        <f t="shared" si="93"/>
        <v>2803600</v>
      </c>
      <c r="B6007" s="1">
        <v>2017</v>
      </c>
      <c r="C6007" s="1" t="s">
        <v>2505</v>
      </c>
      <c r="D6007" s="1" t="s">
        <v>2506</v>
      </c>
      <c r="E6007" s="1" t="s">
        <v>2019</v>
      </c>
      <c r="F6007" s="1" t="s">
        <v>601</v>
      </c>
      <c r="G6007" s="47">
        <v>840389</v>
      </c>
      <c r="H6007">
        <f>IFERROR(VLOOKUP(F6007,'LEAID Match'!$A$2:$B$142,2,FALSE),"")</f>
        <v>2803600</v>
      </c>
    </row>
    <row r="6008" spans="1:8" x14ac:dyDescent="0.2">
      <c r="A6008">
        <f t="shared" si="93"/>
        <v>2803600</v>
      </c>
      <c r="B6008" s="1">
        <v>2018</v>
      </c>
      <c r="C6008" s="1" t="s">
        <v>2505</v>
      </c>
      <c r="D6008" s="1" t="s">
        <v>2506</v>
      </c>
      <c r="E6008" s="1" t="s">
        <v>2019</v>
      </c>
      <c r="F6008" s="1" t="s">
        <v>601</v>
      </c>
      <c r="G6008" s="6">
        <v>763700</v>
      </c>
      <c r="H6008">
        <f>IFERROR(VLOOKUP(F6008,'LEAID Match'!$A$2:$B$142,2,FALSE),"")</f>
        <v>2803600</v>
      </c>
    </row>
    <row r="6009" spans="1:8" x14ac:dyDescent="0.2">
      <c r="A6009">
        <f t="shared" si="93"/>
        <v>2803600</v>
      </c>
      <c r="B6009" s="1">
        <v>2019</v>
      </c>
      <c r="C6009" s="1" t="s">
        <v>2505</v>
      </c>
      <c r="D6009" s="1" t="s">
        <v>2506</v>
      </c>
      <c r="E6009" s="1" t="s">
        <v>2019</v>
      </c>
      <c r="F6009" s="1" t="s">
        <v>601</v>
      </c>
      <c r="G6009" s="6">
        <v>774196</v>
      </c>
      <c r="H6009">
        <f>IFERROR(VLOOKUP(F6009,'LEAID Match'!$A$2:$B$142,2,FALSE),"")</f>
        <v>2803600</v>
      </c>
    </row>
    <row r="6010" spans="1:8" x14ac:dyDescent="0.2">
      <c r="A6010">
        <f t="shared" si="93"/>
        <v>2803600</v>
      </c>
      <c r="B6010" s="1">
        <v>2020</v>
      </c>
      <c r="C6010" s="1" t="s">
        <v>2505</v>
      </c>
      <c r="D6010" s="1" t="s">
        <v>2506</v>
      </c>
      <c r="E6010" s="1" t="s">
        <v>2019</v>
      </c>
      <c r="F6010" s="1" t="s">
        <v>601</v>
      </c>
      <c r="G6010" s="6">
        <v>855259</v>
      </c>
      <c r="H6010">
        <f>IFERROR(VLOOKUP(F6010,'LEAID Match'!$A$2:$B$142,2,FALSE),"")</f>
        <v>2803600</v>
      </c>
    </row>
    <row r="6011" spans="1:8" x14ac:dyDescent="0.2">
      <c r="A6011">
        <f t="shared" si="93"/>
        <v>2803600</v>
      </c>
      <c r="B6011" s="1">
        <v>2021</v>
      </c>
      <c r="C6011" s="1" t="s">
        <v>2505</v>
      </c>
      <c r="D6011" s="1" t="s">
        <v>2506</v>
      </c>
      <c r="E6011" s="1" t="s">
        <v>2019</v>
      </c>
      <c r="F6011" s="1" t="s">
        <v>601</v>
      </c>
      <c r="G6011" s="6">
        <v>894672</v>
      </c>
      <c r="H6011">
        <f>IFERROR(VLOOKUP(F6011,'LEAID Match'!$A$2:$B$142,2,FALSE),"")</f>
        <v>2803600</v>
      </c>
    </row>
    <row r="6012" spans="1:8" x14ac:dyDescent="0.2">
      <c r="A6012">
        <f t="shared" si="93"/>
        <v>2803600</v>
      </c>
      <c r="B6012" s="1">
        <v>2022</v>
      </c>
      <c r="C6012" s="1" t="s">
        <v>2505</v>
      </c>
      <c r="D6012" s="1" t="s">
        <v>2506</v>
      </c>
      <c r="E6012" s="1" t="s">
        <v>2019</v>
      </c>
      <c r="F6012" s="1" t="s">
        <v>601</v>
      </c>
      <c r="G6012" s="6">
        <v>945381</v>
      </c>
      <c r="H6012">
        <f>IFERROR(VLOOKUP(F6012,'LEAID Match'!$A$2:$B$142,2,FALSE),"")</f>
        <v>2803600</v>
      </c>
    </row>
    <row r="6013" spans="1:8" x14ac:dyDescent="0.2">
      <c r="A6013">
        <f t="shared" si="93"/>
        <v>2803600</v>
      </c>
      <c r="B6013" s="1">
        <v>2023</v>
      </c>
      <c r="C6013" s="1" t="s">
        <v>2505</v>
      </c>
      <c r="D6013" s="1" t="s">
        <v>2506</v>
      </c>
      <c r="E6013" s="1" t="s">
        <v>2019</v>
      </c>
      <c r="F6013" s="1" t="s">
        <v>601</v>
      </c>
      <c r="G6013" s="6">
        <v>1052350</v>
      </c>
      <c r="H6013">
        <f>IFERROR(VLOOKUP(F6013,'LEAID Match'!$A$2:$B$142,2,FALSE),"")</f>
        <v>2803600</v>
      </c>
    </row>
    <row r="6014" spans="1:8" x14ac:dyDescent="0.2">
      <c r="A6014">
        <f t="shared" si="93"/>
        <v>2803600</v>
      </c>
      <c r="B6014" s="1">
        <v>2024</v>
      </c>
      <c r="C6014" s="1" t="s">
        <v>2505</v>
      </c>
      <c r="D6014" s="1" t="s">
        <v>2506</v>
      </c>
      <c r="E6014" s="1" t="s">
        <v>2019</v>
      </c>
      <c r="F6014" s="1" t="s">
        <v>601</v>
      </c>
      <c r="G6014" s="6">
        <v>1050040</v>
      </c>
      <c r="H6014">
        <f>IFERROR(VLOOKUP(F6014,'LEAID Match'!$A$2:$B$142,2,FALSE),"")</f>
        <v>2803600</v>
      </c>
    </row>
    <row r="6015" spans="1:8" x14ac:dyDescent="0.2">
      <c r="A6015" t="str">
        <f t="shared" si="93"/>
        <v/>
      </c>
      <c r="B6015" s="1">
        <v>2015</v>
      </c>
      <c r="C6015" s="1" t="s">
        <v>2505</v>
      </c>
      <c r="D6015" s="1" t="s">
        <v>2506</v>
      </c>
      <c r="E6015" s="1" t="s">
        <v>2019</v>
      </c>
      <c r="F6015" s="1" t="s">
        <v>602</v>
      </c>
      <c r="G6015" s="6">
        <v>22748</v>
      </c>
      <c r="H6015" t="str">
        <f>IFERROR(VLOOKUP(F6015,'LEAID Match'!$A$2:$B$142,2,FALSE),"")</f>
        <v/>
      </c>
    </row>
    <row r="6016" spans="1:8" x14ac:dyDescent="0.2">
      <c r="A6016" t="str">
        <f t="shared" si="93"/>
        <v/>
      </c>
      <c r="B6016">
        <v>2016</v>
      </c>
      <c r="C6016" s="1" t="s">
        <v>2505</v>
      </c>
      <c r="D6016" s="1" t="s">
        <v>2506</v>
      </c>
      <c r="E6016" s="1" t="s">
        <v>2019</v>
      </c>
      <c r="F6016" s="1" t="s">
        <v>602</v>
      </c>
      <c r="G6016" s="12">
        <v>22740</v>
      </c>
      <c r="H6016" t="str">
        <f>IFERROR(VLOOKUP(F6016,'LEAID Match'!$A$2:$B$142,2,FALSE),"")</f>
        <v/>
      </c>
    </row>
    <row r="6017" spans="1:8" x14ac:dyDescent="0.2">
      <c r="A6017" t="str">
        <f t="shared" si="93"/>
        <v/>
      </c>
      <c r="B6017" s="1">
        <v>2017</v>
      </c>
      <c r="C6017" s="1" t="s">
        <v>2505</v>
      </c>
      <c r="D6017" s="1" t="s">
        <v>2506</v>
      </c>
      <c r="E6017" s="1" t="s">
        <v>2019</v>
      </c>
      <c r="F6017" s="1" t="s">
        <v>602</v>
      </c>
      <c r="G6017" s="47">
        <v>24276</v>
      </c>
      <c r="H6017" t="str">
        <f>IFERROR(VLOOKUP(F6017,'LEAID Match'!$A$2:$B$142,2,FALSE),"")</f>
        <v/>
      </c>
    </row>
    <row r="6018" spans="1:8" x14ac:dyDescent="0.2">
      <c r="A6018" t="str">
        <f t="shared" si="93"/>
        <v/>
      </c>
      <c r="B6018" s="1">
        <v>2018</v>
      </c>
      <c r="C6018" s="1" t="s">
        <v>2505</v>
      </c>
      <c r="D6018" s="1" t="s">
        <v>2506</v>
      </c>
      <c r="E6018" s="1" t="s">
        <v>2019</v>
      </c>
      <c r="F6018" s="1" t="s">
        <v>602</v>
      </c>
      <c r="G6018" s="6">
        <v>24076</v>
      </c>
      <c r="H6018" t="str">
        <f>IFERROR(VLOOKUP(F6018,'LEAID Match'!$A$2:$B$142,2,FALSE),"")</f>
        <v/>
      </c>
    </row>
    <row r="6019" spans="1:8" x14ac:dyDescent="0.2">
      <c r="A6019" t="str">
        <f t="shared" ref="A6019:A6082" si="94">H6019</f>
        <v/>
      </c>
      <c r="B6019" s="1">
        <v>2019</v>
      </c>
      <c r="C6019" s="1" t="s">
        <v>2505</v>
      </c>
      <c r="D6019" s="1" t="s">
        <v>2506</v>
      </c>
      <c r="E6019" s="1" t="s">
        <v>2019</v>
      </c>
      <c r="F6019" s="1" t="s">
        <v>602</v>
      </c>
      <c r="G6019" s="6">
        <v>26574</v>
      </c>
      <c r="H6019" t="str">
        <f>IFERROR(VLOOKUP(F6019,'LEAID Match'!$A$2:$B$142,2,FALSE),"")</f>
        <v/>
      </c>
    </row>
    <row r="6020" spans="1:8" x14ac:dyDescent="0.2">
      <c r="A6020" t="str">
        <f t="shared" si="94"/>
        <v/>
      </c>
      <c r="B6020" s="1">
        <v>2020</v>
      </c>
      <c r="C6020" s="1" t="s">
        <v>2505</v>
      </c>
      <c r="D6020" s="1" t="s">
        <v>2506</v>
      </c>
      <c r="E6020" s="1" t="s">
        <v>2019</v>
      </c>
      <c r="F6020" s="1" t="s">
        <v>602</v>
      </c>
      <c r="G6020" s="6">
        <v>29689</v>
      </c>
      <c r="H6020" t="str">
        <f>IFERROR(VLOOKUP(F6020,'LEAID Match'!$A$2:$B$142,2,FALSE),"")</f>
        <v/>
      </c>
    </row>
    <row r="6021" spans="1:8" x14ac:dyDescent="0.2">
      <c r="A6021" t="str">
        <f t="shared" si="94"/>
        <v/>
      </c>
      <c r="B6021" s="1">
        <v>2021</v>
      </c>
      <c r="C6021" s="1" t="s">
        <v>2505</v>
      </c>
      <c r="D6021" s="1" t="s">
        <v>2506</v>
      </c>
      <c r="E6021" s="1" t="s">
        <v>2019</v>
      </c>
      <c r="F6021" s="1" t="s">
        <v>602</v>
      </c>
      <c r="G6021" s="6">
        <v>25447</v>
      </c>
      <c r="H6021" t="str">
        <f>IFERROR(VLOOKUP(F6021,'LEAID Match'!$A$2:$B$142,2,FALSE),"")</f>
        <v/>
      </c>
    </row>
    <row r="6022" spans="1:8" x14ac:dyDescent="0.2">
      <c r="A6022" t="str">
        <f t="shared" si="94"/>
        <v/>
      </c>
      <c r="B6022" s="1">
        <v>2024</v>
      </c>
      <c r="C6022" s="1" t="s">
        <v>2505</v>
      </c>
      <c r="D6022" s="1" t="s">
        <v>2506</v>
      </c>
      <c r="E6022" s="1" t="s">
        <v>2019</v>
      </c>
      <c r="F6022" s="1" t="s">
        <v>602</v>
      </c>
      <c r="G6022" s="6">
        <v>27666</v>
      </c>
      <c r="H6022" t="str">
        <f>IFERROR(VLOOKUP(F6022,'LEAID Match'!$A$2:$B$142,2,FALSE),"")</f>
        <v/>
      </c>
    </row>
    <row r="6023" spans="1:8" x14ac:dyDescent="0.2">
      <c r="A6023" t="str">
        <f t="shared" si="94"/>
        <v/>
      </c>
      <c r="B6023" s="1">
        <v>2022</v>
      </c>
      <c r="C6023" s="1" t="s">
        <v>2505</v>
      </c>
      <c r="D6023" s="1" t="s">
        <v>2506</v>
      </c>
      <c r="E6023" s="1" t="s">
        <v>2019</v>
      </c>
      <c r="F6023" s="1" t="s">
        <v>888</v>
      </c>
      <c r="G6023" s="6">
        <v>25192</v>
      </c>
      <c r="H6023" t="str">
        <f>IFERROR(VLOOKUP(F6023,'LEAID Match'!$A$2:$B$142,2,FALSE),"")</f>
        <v/>
      </c>
    </row>
    <row r="6024" spans="1:8" x14ac:dyDescent="0.2">
      <c r="A6024" t="str">
        <f t="shared" si="94"/>
        <v/>
      </c>
      <c r="B6024" s="1">
        <v>2023</v>
      </c>
      <c r="C6024" s="1" t="s">
        <v>2505</v>
      </c>
      <c r="D6024" s="1" t="s">
        <v>2506</v>
      </c>
      <c r="E6024" s="1" t="s">
        <v>2019</v>
      </c>
      <c r="F6024" s="1" t="s">
        <v>888</v>
      </c>
      <c r="G6024" s="6">
        <v>26769</v>
      </c>
      <c r="H6024" t="str">
        <f>IFERROR(VLOOKUP(F6024,'LEAID Match'!$A$2:$B$142,2,FALSE),"")</f>
        <v/>
      </c>
    </row>
    <row r="6025" spans="1:8" x14ac:dyDescent="0.2">
      <c r="A6025" t="str">
        <f t="shared" si="94"/>
        <v/>
      </c>
      <c r="B6025" s="1">
        <v>2015</v>
      </c>
      <c r="C6025" s="1" t="s">
        <v>2505</v>
      </c>
      <c r="D6025" s="1" t="s">
        <v>2506</v>
      </c>
      <c r="E6025" s="1" t="s">
        <v>2019</v>
      </c>
      <c r="F6025" s="1" t="s">
        <v>603</v>
      </c>
      <c r="G6025" s="6">
        <v>839832</v>
      </c>
      <c r="H6025" t="str">
        <f>IFERROR(VLOOKUP(F6025,'LEAID Match'!$A$2:$B$142,2,FALSE),"")</f>
        <v/>
      </c>
    </row>
    <row r="6026" spans="1:8" x14ac:dyDescent="0.2">
      <c r="A6026" t="str">
        <f t="shared" si="94"/>
        <v/>
      </c>
      <c r="B6026">
        <v>2016</v>
      </c>
      <c r="C6026" s="1" t="s">
        <v>2505</v>
      </c>
      <c r="D6026" s="1" t="s">
        <v>2506</v>
      </c>
      <c r="E6026" s="1" t="s">
        <v>2019</v>
      </c>
      <c r="F6026" s="1" t="s">
        <v>603</v>
      </c>
      <c r="G6026" s="12">
        <v>874553</v>
      </c>
      <c r="H6026" t="str">
        <f>IFERROR(VLOOKUP(F6026,'LEAID Match'!$A$2:$B$142,2,FALSE),"")</f>
        <v/>
      </c>
    </row>
    <row r="6027" spans="1:8" x14ac:dyDescent="0.2">
      <c r="A6027" t="str">
        <f t="shared" si="94"/>
        <v/>
      </c>
      <c r="B6027" s="1">
        <v>2017</v>
      </c>
      <c r="C6027" s="1" t="s">
        <v>2505</v>
      </c>
      <c r="D6027" s="1" t="s">
        <v>2506</v>
      </c>
      <c r="E6027" s="1" t="s">
        <v>2019</v>
      </c>
      <c r="F6027" s="1" t="s">
        <v>603</v>
      </c>
      <c r="G6027" s="47">
        <v>886292</v>
      </c>
      <c r="H6027" t="str">
        <f>IFERROR(VLOOKUP(F6027,'LEAID Match'!$A$2:$B$142,2,FALSE),"")</f>
        <v/>
      </c>
    </row>
    <row r="6028" spans="1:8" x14ac:dyDescent="0.2">
      <c r="A6028" t="str">
        <f t="shared" si="94"/>
        <v/>
      </c>
      <c r="B6028" s="1">
        <v>2018</v>
      </c>
      <c r="C6028" s="1" t="s">
        <v>2505</v>
      </c>
      <c r="D6028" s="1" t="s">
        <v>2506</v>
      </c>
      <c r="E6028" s="1" t="s">
        <v>2019</v>
      </c>
      <c r="F6028" s="1" t="s">
        <v>603</v>
      </c>
      <c r="G6028" s="6">
        <v>896305</v>
      </c>
      <c r="H6028" t="str">
        <f>IFERROR(VLOOKUP(F6028,'LEAID Match'!$A$2:$B$142,2,FALSE),"")</f>
        <v/>
      </c>
    </row>
    <row r="6029" spans="1:8" x14ac:dyDescent="0.2">
      <c r="A6029" t="str">
        <f t="shared" si="94"/>
        <v/>
      </c>
      <c r="B6029" s="1">
        <v>2019</v>
      </c>
      <c r="C6029" s="1" t="s">
        <v>2505</v>
      </c>
      <c r="D6029" s="1" t="s">
        <v>2506</v>
      </c>
      <c r="E6029" s="1" t="s">
        <v>2019</v>
      </c>
      <c r="F6029" s="1" t="s">
        <v>603</v>
      </c>
      <c r="G6029" s="6">
        <v>956015</v>
      </c>
      <c r="H6029" t="str">
        <f>IFERROR(VLOOKUP(F6029,'LEAID Match'!$A$2:$B$142,2,FALSE),"")</f>
        <v/>
      </c>
    </row>
    <row r="6030" spans="1:8" x14ac:dyDescent="0.2">
      <c r="A6030" t="str">
        <f t="shared" si="94"/>
        <v/>
      </c>
      <c r="B6030" s="1">
        <v>2020</v>
      </c>
      <c r="C6030" s="1" t="s">
        <v>2505</v>
      </c>
      <c r="D6030" s="1" t="s">
        <v>2506</v>
      </c>
      <c r="E6030" s="1" t="s">
        <v>2019</v>
      </c>
      <c r="F6030" s="1" t="s">
        <v>603</v>
      </c>
      <c r="G6030" s="6">
        <v>1084168</v>
      </c>
      <c r="H6030" t="str">
        <f>IFERROR(VLOOKUP(F6030,'LEAID Match'!$A$2:$B$142,2,FALSE),"")</f>
        <v/>
      </c>
    </row>
    <row r="6031" spans="1:8" x14ac:dyDescent="0.2">
      <c r="A6031" t="str">
        <f t="shared" si="94"/>
        <v/>
      </c>
      <c r="B6031" s="1">
        <v>2021</v>
      </c>
      <c r="C6031" s="1" t="s">
        <v>2505</v>
      </c>
      <c r="D6031" s="1" t="s">
        <v>2506</v>
      </c>
      <c r="E6031" s="1" t="s">
        <v>2019</v>
      </c>
      <c r="F6031" s="1" t="s">
        <v>603</v>
      </c>
      <c r="G6031" s="6">
        <v>1041312</v>
      </c>
      <c r="H6031" t="str">
        <f>IFERROR(VLOOKUP(F6031,'LEAID Match'!$A$2:$B$142,2,FALSE),"")</f>
        <v/>
      </c>
    </row>
    <row r="6032" spans="1:8" x14ac:dyDescent="0.2">
      <c r="A6032" t="str">
        <f t="shared" si="94"/>
        <v/>
      </c>
      <c r="B6032" s="1">
        <v>2022</v>
      </c>
      <c r="C6032" s="1" t="s">
        <v>2505</v>
      </c>
      <c r="D6032" s="1" t="s">
        <v>2506</v>
      </c>
      <c r="E6032" s="1" t="s">
        <v>2019</v>
      </c>
      <c r="F6032" s="1" t="s">
        <v>603</v>
      </c>
      <c r="G6032" s="6">
        <v>1084177</v>
      </c>
      <c r="H6032" t="str">
        <f>IFERROR(VLOOKUP(F6032,'LEAID Match'!$A$2:$B$142,2,FALSE),"")</f>
        <v/>
      </c>
    </row>
    <row r="6033" spans="1:8" x14ac:dyDescent="0.2">
      <c r="A6033" t="str">
        <f t="shared" si="94"/>
        <v/>
      </c>
      <c r="B6033" s="1">
        <v>2023</v>
      </c>
      <c r="C6033" s="1" t="s">
        <v>2505</v>
      </c>
      <c r="D6033" s="1" t="s">
        <v>2506</v>
      </c>
      <c r="E6033" s="1" t="s">
        <v>2019</v>
      </c>
      <c r="F6033" s="1" t="s">
        <v>603</v>
      </c>
      <c r="G6033" s="6">
        <v>1204043</v>
      </c>
      <c r="H6033" t="str">
        <f>IFERROR(VLOOKUP(F6033,'LEAID Match'!$A$2:$B$142,2,FALSE),"")</f>
        <v/>
      </c>
    </row>
    <row r="6034" spans="1:8" x14ac:dyDescent="0.2">
      <c r="A6034" t="str">
        <f t="shared" si="94"/>
        <v/>
      </c>
      <c r="B6034" s="1">
        <v>2024</v>
      </c>
      <c r="C6034" s="1" t="s">
        <v>2505</v>
      </c>
      <c r="D6034" s="1" t="s">
        <v>2506</v>
      </c>
      <c r="E6034" s="1" t="s">
        <v>2019</v>
      </c>
      <c r="F6034" s="1" t="s">
        <v>603</v>
      </c>
      <c r="G6034" s="6">
        <v>1014342</v>
      </c>
      <c r="H6034" t="str">
        <f>IFERROR(VLOOKUP(F6034,'LEAID Match'!$A$2:$B$142,2,FALSE),"")</f>
        <v/>
      </c>
    </row>
    <row r="6035" spans="1:8" x14ac:dyDescent="0.2">
      <c r="A6035" t="str">
        <f t="shared" si="94"/>
        <v/>
      </c>
      <c r="B6035" s="1">
        <v>2015</v>
      </c>
      <c r="C6035" s="1" t="s">
        <v>2505</v>
      </c>
      <c r="D6035" s="1" t="s">
        <v>2506</v>
      </c>
      <c r="E6035" s="1" t="s">
        <v>2019</v>
      </c>
      <c r="F6035" s="1" t="s">
        <v>604</v>
      </c>
      <c r="G6035" s="6">
        <v>92520</v>
      </c>
      <c r="H6035" t="str">
        <f>IFERROR(VLOOKUP(F6035,'LEAID Match'!$A$2:$B$142,2,FALSE),"")</f>
        <v/>
      </c>
    </row>
    <row r="6036" spans="1:8" x14ac:dyDescent="0.2">
      <c r="A6036" t="str">
        <f t="shared" si="94"/>
        <v/>
      </c>
      <c r="B6036">
        <v>2016</v>
      </c>
      <c r="C6036" s="1" t="s">
        <v>2505</v>
      </c>
      <c r="D6036" s="1" t="s">
        <v>2506</v>
      </c>
      <c r="E6036" s="1" t="s">
        <v>2019</v>
      </c>
      <c r="F6036" s="1" t="s">
        <v>604</v>
      </c>
      <c r="G6036" s="12">
        <v>89021</v>
      </c>
      <c r="H6036" t="str">
        <f>IFERROR(VLOOKUP(F6036,'LEAID Match'!$A$2:$B$142,2,FALSE),"")</f>
        <v/>
      </c>
    </row>
    <row r="6037" spans="1:8" x14ac:dyDescent="0.2">
      <c r="A6037" t="str">
        <f t="shared" si="94"/>
        <v/>
      </c>
      <c r="B6037" s="1">
        <v>2017</v>
      </c>
      <c r="C6037" s="1" t="s">
        <v>2505</v>
      </c>
      <c r="D6037" s="1" t="s">
        <v>2506</v>
      </c>
      <c r="E6037" s="1" t="s">
        <v>2019</v>
      </c>
      <c r="F6037" s="1" t="s">
        <v>604</v>
      </c>
      <c r="G6037" s="47">
        <v>93108</v>
      </c>
      <c r="H6037" t="str">
        <f>IFERROR(VLOOKUP(F6037,'LEAID Match'!$A$2:$B$142,2,FALSE),"")</f>
        <v/>
      </c>
    </row>
    <row r="6038" spans="1:8" x14ac:dyDescent="0.2">
      <c r="A6038" t="str">
        <f t="shared" si="94"/>
        <v/>
      </c>
      <c r="B6038" s="1">
        <v>2018</v>
      </c>
      <c r="C6038" s="1" t="s">
        <v>2505</v>
      </c>
      <c r="D6038" s="1" t="s">
        <v>2506</v>
      </c>
      <c r="E6038" s="1" t="s">
        <v>2019</v>
      </c>
      <c r="F6038" s="1" t="s">
        <v>604</v>
      </c>
      <c r="G6038" s="6">
        <v>91639</v>
      </c>
      <c r="H6038" t="str">
        <f>IFERROR(VLOOKUP(F6038,'LEAID Match'!$A$2:$B$142,2,FALSE),"")</f>
        <v/>
      </c>
    </row>
    <row r="6039" spans="1:8" x14ac:dyDescent="0.2">
      <c r="A6039" t="str">
        <f t="shared" si="94"/>
        <v/>
      </c>
      <c r="B6039" s="1">
        <v>2019</v>
      </c>
      <c r="C6039" s="1" t="s">
        <v>2505</v>
      </c>
      <c r="D6039" s="1" t="s">
        <v>2506</v>
      </c>
      <c r="E6039" s="1" t="s">
        <v>2019</v>
      </c>
      <c r="F6039" s="1" t="s">
        <v>604</v>
      </c>
      <c r="G6039" s="6">
        <v>91391</v>
      </c>
      <c r="H6039" t="str">
        <f>IFERROR(VLOOKUP(F6039,'LEAID Match'!$A$2:$B$142,2,FALSE),"")</f>
        <v/>
      </c>
    </row>
    <row r="6040" spans="1:8" x14ac:dyDescent="0.2">
      <c r="A6040" t="str">
        <f t="shared" si="94"/>
        <v/>
      </c>
      <c r="B6040" s="1">
        <v>2020</v>
      </c>
      <c r="C6040" s="1" t="s">
        <v>2505</v>
      </c>
      <c r="D6040" s="1" t="s">
        <v>2506</v>
      </c>
      <c r="E6040" s="1" t="s">
        <v>2019</v>
      </c>
      <c r="F6040" s="1" t="s">
        <v>604</v>
      </c>
      <c r="G6040" s="6">
        <v>105616</v>
      </c>
      <c r="H6040" t="str">
        <f>IFERROR(VLOOKUP(F6040,'LEAID Match'!$A$2:$B$142,2,FALSE),"")</f>
        <v/>
      </c>
    </row>
    <row r="6041" spans="1:8" x14ac:dyDescent="0.2">
      <c r="A6041" t="str">
        <f t="shared" si="94"/>
        <v/>
      </c>
      <c r="B6041" s="1">
        <v>2021</v>
      </c>
      <c r="C6041" s="1" t="s">
        <v>2505</v>
      </c>
      <c r="D6041" s="1" t="s">
        <v>2506</v>
      </c>
      <c r="E6041" s="1" t="s">
        <v>2019</v>
      </c>
      <c r="F6041" s="1" t="s">
        <v>604</v>
      </c>
      <c r="G6041" s="6">
        <v>111488</v>
      </c>
      <c r="H6041" t="str">
        <f>IFERROR(VLOOKUP(F6041,'LEAID Match'!$A$2:$B$142,2,FALSE),"")</f>
        <v/>
      </c>
    </row>
    <row r="6042" spans="1:8" x14ac:dyDescent="0.2">
      <c r="A6042" t="str">
        <f t="shared" si="94"/>
        <v/>
      </c>
      <c r="B6042" s="1">
        <v>2022</v>
      </c>
      <c r="C6042" s="1" t="s">
        <v>2505</v>
      </c>
      <c r="D6042" s="1" t="s">
        <v>2506</v>
      </c>
      <c r="E6042" s="1" t="s">
        <v>2019</v>
      </c>
      <c r="F6042" s="1" t="s">
        <v>604</v>
      </c>
      <c r="G6042" s="6">
        <v>110584</v>
      </c>
      <c r="H6042" t="str">
        <f>IFERROR(VLOOKUP(F6042,'LEAID Match'!$A$2:$B$142,2,FALSE),"")</f>
        <v/>
      </c>
    </row>
    <row r="6043" spans="1:8" x14ac:dyDescent="0.2">
      <c r="A6043" t="str">
        <f t="shared" si="94"/>
        <v/>
      </c>
      <c r="B6043" s="1">
        <v>2023</v>
      </c>
      <c r="C6043" s="1" t="s">
        <v>2505</v>
      </c>
      <c r="D6043" s="1" t="s">
        <v>2506</v>
      </c>
      <c r="E6043" s="1" t="s">
        <v>2019</v>
      </c>
      <c r="F6043" s="1" t="s">
        <v>604</v>
      </c>
      <c r="G6043" s="6">
        <v>115741</v>
      </c>
      <c r="H6043" t="str">
        <f>IFERROR(VLOOKUP(F6043,'LEAID Match'!$A$2:$B$142,2,FALSE),"")</f>
        <v/>
      </c>
    </row>
    <row r="6044" spans="1:8" x14ac:dyDescent="0.2">
      <c r="A6044" t="str">
        <f t="shared" si="94"/>
        <v/>
      </c>
      <c r="B6044" s="1">
        <v>2024</v>
      </c>
      <c r="C6044" s="1" t="s">
        <v>2505</v>
      </c>
      <c r="D6044" s="1" t="s">
        <v>2506</v>
      </c>
      <c r="E6044" s="1" t="s">
        <v>2019</v>
      </c>
      <c r="F6044" s="1" t="s">
        <v>604</v>
      </c>
      <c r="G6044" s="6">
        <v>121272</v>
      </c>
      <c r="H6044" t="str">
        <f>IFERROR(VLOOKUP(F6044,'LEAID Match'!$A$2:$B$142,2,FALSE),"")</f>
        <v/>
      </c>
    </row>
    <row r="6045" spans="1:8" x14ac:dyDescent="0.2">
      <c r="A6045">
        <f t="shared" si="94"/>
        <v>2803630</v>
      </c>
      <c r="B6045" s="1">
        <v>2015</v>
      </c>
      <c r="C6045" s="1" t="s">
        <v>2505</v>
      </c>
      <c r="D6045" s="1" t="s">
        <v>2506</v>
      </c>
      <c r="E6045" s="1" t="s">
        <v>2019</v>
      </c>
      <c r="F6045" s="1" t="s">
        <v>605</v>
      </c>
      <c r="G6045" s="6">
        <v>3020534</v>
      </c>
      <c r="H6045">
        <f>IFERROR(VLOOKUP(F6045,'LEAID Match'!$A$2:$B$142,2,FALSE),"")</f>
        <v>2803630</v>
      </c>
    </row>
    <row r="6046" spans="1:8" x14ac:dyDescent="0.2">
      <c r="A6046">
        <f t="shared" si="94"/>
        <v>2803630</v>
      </c>
      <c r="B6046">
        <v>2016</v>
      </c>
      <c r="C6046" s="1" t="s">
        <v>2505</v>
      </c>
      <c r="D6046" s="1" t="s">
        <v>2506</v>
      </c>
      <c r="E6046" s="1" t="s">
        <v>2019</v>
      </c>
      <c r="F6046" s="1" t="s">
        <v>605</v>
      </c>
      <c r="G6046" s="12">
        <v>3155370</v>
      </c>
      <c r="H6046">
        <f>IFERROR(VLOOKUP(F6046,'LEAID Match'!$A$2:$B$142,2,FALSE),"")</f>
        <v>2803630</v>
      </c>
    </row>
    <row r="6047" spans="1:8" x14ac:dyDescent="0.2">
      <c r="A6047">
        <f t="shared" si="94"/>
        <v>2803630</v>
      </c>
      <c r="B6047" s="1">
        <v>2017</v>
      </c>
      <c r="C6047" s="1" t="s">
        <v>2505</v>
      </c>
      <c r="D6047" s="1" t="s">
        <v>2506</v>
      </c>
      <c r="E6047" s="1" t="s">
        <v>2019</v>
      </c>
      <c r="F6047" s="1" t="s">
        <v>605</v>
      </c>
      <c r="G6047" s="47">
        <v>3212963</v>
      </c>
      <c r="H6047">
        <f>IFERROR(VLOOKUP(F6047,'LEAID Match'!$A$2:$B$142,2,FALSE),"")</f>
        <v>2803630</v>
      </c>
    </row>
    <row r="6048" spans="1:8" x14ac:dyDescent="0.2">
      <c r="A6048">
        <f t="shared" si="94"/>
        <v>2803630</v>
      </c>
      <c r="B6048" s="1">
        <v>2018</v>
      </c>
      <c r="C6048" s="1" t="s">
        <v>2505</v>
      </c>
      <c r="D6048" s="1" t="s">
        <v>2506</v>
      </c>
      <c r="E6048" s="1" t="s">
        <v>2019</v>
      </c>
      <c r="F6048" s="1" t="s">
        <v>605</v>
      </c>
      <c r="G6048" s="6">
        <v>3243486</v>
      </c>
      <c r="H6048">
        <f>IFERROR(VLOOKUP(F6048,'LEAID Match'!$A$2:$B$142,2,FALSE),"")</f>
        <v>2803630</v>
      </c>
    </row>
    <row r="6049" spans="1:8" x14ac:dyDescent="0.2">
      <c r="A6049">
        <f t="shared" si="94"/>
        <v>2803630</v>
      </c>
      <c r="B6049" s="1">
        <v>2019</v>
      </c>
      <c r="C6049" s="1" t="s">
        <v>2505</v>
      </c>
      <c r="D6049" s="1" t="s">
        <v>2506</v>
      </c>
      <c r="E6049" s="1" t="s">
        <v>2019</v>
      </c>
      <c r="F6049" s="1" t="s">
        <v>605</v>
      </c>
      <c r="G6049" s="6">
        <v>3292770</v>
      </c>
      <c r="H6049">
        <f>IFERROR(VLOOKUP(F6049,'LEAID Match'!$A$2:$B$142,2,FALSE),"")</f>
        <v>2803630</v>
      </c>
    </row>
    <row r="6050" spans="1:8" x14ac:dyDescent="0.2">
      <c r="A6050">
        <f t="shared" si="94"/>
        <v>2803630</v>
      </c>
      <c r="B6050" s="1">
        <v>2020</v>
      </c>
      <c r="C6050" s="1" t="s">
        <v>2505</v>
      </c>
      <c r="D6050" s="1" t="s">
        <v>2506</v>
      </c>
      <c r="E6050" s="1" t="s">
        <v>2019</v>
      </c>
      <c r="F6050" s="1" t="s">
        <v>605</v>
      </c>
      <c r="G6050" s="6">
        <v>3719643</v>
      </c>
      <c r="H6050">
        <f>IFERROR(VLOOKUP(F6050,'LEAID Match'!$A$2:$B$142,2,FALSE),"")</f>
        <v>2803630</v>
      </c>
    </row>
    <row r="6051" spans="1:8" x14ac:dyDescent="0.2">
      <c r="A6051">
        <f t="shared" si="94"/>
        <v>2803630</v>
      </c>
      <c r="B6051" s="1">
        <v>2021</v>
      </c>
      <c r="C6051" s="1" t="s">
        <v>2505</v>
      </c>
      <c r="D6051" s="1" t="s">
        <v>2506</v>
      </c>
      <c r="E6051" s="1" t="s">
        <v>2019</v>
      </c>
      <c r="F6051" s="1" t="s">
        <v>605</v>
      </c>
      <c r="G6051" s="6">
        <v>3792563</v>
      </c>
      <c r="H6051">
        <f>IFERROR(VLOOKUP(F6051,'LEAID Match'!$A$2:$B$142,2,FALSE),"")</f>
        <v>2803630</v>
      </c>
    </row>
    <row r="6052" spans="1:8" x14ac:dyDescent="0.2">
      <c r="A6052">
        <f t="shared" si="94"/>
        <v>2803630</v>
      </c>
      <c r="B6052" s="1">
        <v>2022</v>
      </c>
      <c r="C6052" s="1" t="s">
        <v>2505</v>
      </c>
      <c r="D6052" s="1" t="s">
        <v>2506</v>
      </c>
      <c r="E6052" s="1" t="s">
        <v>2019</v>
      </c>
      <c r="F6052" s="1" t="s">
        <v>605</v>
      </c>
      <c r="G6052" s="6">
        <v>3911805</v>
      </c>
      <c r="H6052">
        <f>IFERROR(VLOOKUP(F6052,'LEAID Match'!$A$2:$B$142,2,FALSE),"")</f>
        <v>2803630</v>
      </c>
    </row>
    <row r="6053" spans="1:8" x14ac:dyDescent="0.2">
      <c r="A6053">
        <f t="shared" si="94"/>
        <v>2803630</v>
      </c>
      <c r="B6053" s="1">
        <v>2023</v>
      </c>
      <c r="C6053" s="1" t="s">
        <v>2505</v>
      </c>
      <c r="D6053" s="1" t="s">
        <v>2506</v>
      </c>
      <c r="E6053" s="1" t="s">
        <v>2019</v>
      </c>
      <c r="F6053" s="1" t="s">
        <v>605</v>
      </c>
      <c r="G6053" s="6">
        <v>4298942</v>
      </c>
      <c r="H6053">
        <f>IFERROR(VLOOKUP(F6053,'LEAID Match'!$A$2:$B$142,2,FALSE),"")</f>
        <v>2803630</v>
      </c>
    </row>
    <row r="6054" spans="1:8" x14ac:dyDescent="0.2">
      <c r="A6054">
        <f t="shared" si="94"/>
        <v>2803630</v>
      </c>
      <c r="B6054" s="1">
        <v>2024</v>
      </c>
      <c r="C6054" s="1" t="s">
        <v>2505</v>
      </c>
      <c r="D6054" s="1" t="s">
        <v>2506</v>
      </c>
      <c r="E6054" s="1" t="s">
        <v>2019</v>
      </c>
      <c r="F6054" s="1" t="s">
        <v>605</v>
      </c>
      <c r="G6054" s="6">
        <v>4687686</v>
      </c>
      <c r="H6054">
        <f>IFERROR(VLOOKUP(F6054,'LEAID Match'!$A$2:$B$142,2,FALSE),"")</f>
        <v>2803630</v>
      </c>
    </row>
    <row r="6055" spans="1:8" x14ac:dyDescent="0.2">
      <c r="A6055" t="str">
        <f t="shared" si="94"/>
        <v/>
      </c>
      <c r="B6055" s="1">
        <v>2015</v>
      </c>
      <c r="C6055" s="1" t="s">
        <v>2505</v>
      </c>
      <c r="D6055" s="1" t="s">
        <v>2506</v>
      </c>
      <c r="E6055" s="1" t="s">
        <v>2019</v>
      </c>
      <c r="F6055" s="1" t="s">
        <v>606</v>
      </c>
      <c r="G6055" s="6">
        <v>1162476</v>
      </c>
      <c r="H6055" t="str">
        <f>IFERROR(VLOOKUP(F6055,'LEAID Match'!$A$2:$B$142,2,FALSE),"")</f>
        <v/>
      </c>
    </row>
    <row r="6056" spans="1:8" x14ac:dyDescent="0.2">
      <c r="A6056" t="str">
        <f t="shared" si="94"/>
        <v/>
      </c>
      <c r="B6056">
        <v>2016</v>
      </c>
      <c r="C6056" s="1" t="s">
        <v>2505</v>
      </c>
      <c r="D6056" s="1" t="s">
        <v>2506</v>
      </c>
      <c r="E6056" s="1" t="s">
        <v>2019</v>
      </c>
      <c r="F6056" s="1" t="s">
        <v>606</v>
      </c>
      <c r="G6056" s="12">
        <v>1141745</v>
      </c>
      <c r="H6056" t="str">
        <f>IFERROR(VLOOKUP(F6056,'LEAID Match'!$A$2:$B$142,2,FALSE),"")</f>
        <v/>
      </c>
    </row>
    <row r="6057" spans="1:8" x14ac:dyDescent="0.2">
      <c r="A6057" t="str">
        <f t="shared" si="94"/>
        <v/>
      </c>
      <c r="B6057" s="1">
        <v>2017</v>
      </c>
      <c r="C6057" s="1" t="s">
        <v>2505</v>
      </c>
      <c r="D6057" s="1" t="s">
        <v>2506</v>
      </c>
      <c r="E6057" s="1" t="s">
        <v>2019</v>
      </c>
      <c r="F6057" s="1" t="s">
        <v>606</v>
      </c>
      <c r="G6057" s="47">
        <v>1152960</v>
      </c>
      <c r="H6057" t="str">
        <f>IFERROR(VLOOKUP(F6057,'LEAID Match'!$A$2:$B$142,2,FALSE),"")</f>
        <v/>
      </c>
    </row>
    <row r="6058" spans="1:8" x14ac:dyDescent="0.2">
      <c r="A6058" t="str">
        <f t="shared" si="94"/>
        <v/>
      </c>
      <c r="B6058" s="1">
        <v>2018</v>
      </c>
      <c r="C6058" s="1" t="s">
        <v>2505</v>
      </c>
      <c r="D6058" s="1" t="s">
        <v>2506</v>
      </c>
      <c r="E6058" s="1" t="s">
        <v>2019</v>
      </c>
      <c r="F6058" s="1" t="s">
        <v>606</v>
      </c>
      <c r="G6058" s="6">
        <v>1193545</v>
      </c>
      <c r="H6058" t="str">
        <f>IFERROR(VLOOKUP(F6058,'LEAID Match'!$A$2:$B$142,2,FALSE),"")</f>
        <v/>
      </c>
    </row>
    <row r="6059" spans="1:8" x14ac:dyDescent="0.2">
      <c r="A6059" t="str">
        <f t="shared" si="94"/>
        <v/>
      </c>
      <c r="B6059" s="1">
        <v>2019</v>
      </c>
      <c r="C6059" s="1" t="s">
        <v>2505</v>
      </c>
      <c r="D6059" s="1" t="s">
        <v>2506</v>
      </c>
      <c r="E6059" s="1" t="s">
        <v>2019</v>
      </c>
      <c r="F6059" s="1" t="s">
        <v>606</v>
      </c>
      <c r="G6059" s="6">
        <v>1169015</v>
      </c>
      <c r="H6059" t="str">
        <f>IFERROR(VLOOKUP(F6059,'LEAID Match'!$A$2:$B$142,2,FALSE),"")</f>
        <v/>
      </c>
    </row>
    <row r="6060" spans="1:8" x14ac:dyDescent="0.2">
      <c r="A6060" t="str">
        <f t="shared" si="94"/>
        <v/>
      </c>
      <c r="B6060" s="1">
        <v>2020</v>
      </c>
      <c r="C6060" s="1" t="s">
        <v>2505</v>
      </c>
      <c r="D6060" s="1" t="s">
        <v>2506</v>
      </c>
      <c r="E6060" s="1" t="s">
        <v>2019</v>
      </c>
      <c r="F6060" s="1" t="s">
        <v>606</v>
      </c>
      <c r="G6060" s="6">
        <v>1326579</v>
      </c>
      <c r="H6060" t="str">
        <f>IFERROR(VLOOKUP(F6060,'LEAID Match'!$A$2:$B$142,2,FALSE),"")</f>
        <v/>
      </c>
    </row>
    <row r="6061" spans="1:8" x14ac:dyDescent="0.2">
      <c r="A6061" t="str">
        <f t="shared" si="94"/>
        <v/>
      </c>
      <c r="B6061" s="1">
        <v>2021</v>
      </c>
      <c r="C6061" s="1" t="s">
        <v>2505</v>
      </c>
      <c r="D6061" s="1" t="s">
        <v>2506</v>
      </c>
      <c r="E6061" s="1" t="s">
        <v>2019</v>
      </c>
      <c r="F6061" s="1" t="s">
        <v>606</v>
      </c>
      <c r="G6061" s="6">
        <v>1320664</v>
      </c>
      <c r="H6061" t="str">
        <f>IFERROR(VLOOKUP(F6061,'LEAID Match'!$A$2:$B$142,2,FALSE),"")</f>
        <v/>
      </c>
    </row>
    <row r="6062" spans="1:8" x14ac:dyDescent="0.2">
      <c r="A6062" t="str">
        <f t="shared" si="94"/>
        <v/>
      </c>
      <c r="B6062" s="1">
        <v>2022</v>
      </c>
      <c r="C6062" s="1" t="s">
        <v>2505</v>
      </c>
      <c r="D6062" s="1" t="s">
        <v>2506</v>
      </c>
      <c r="E6062" s="1" t="s">
        <v>2019</v>
      </c>
      <c r="F6062" s="1" t="s">
        <v>606</v>
      </c>
      <c r="G6062" s="6">
        <v>1342950</v>
      </c>
      <c r="H6062" t="str">
        <f>IFERROR(VLOOKUP(F6062,'LEAID Match'!$A$2:$B$142,2,FALSE),"")</f>
        <v/>
      </c>
    </row>
    <row r="6063" spans="1:8" x14ac:dyDescent="0.2">
      <c r="A6063" t="str">
        <f t="shared" si="94"/>
        <v/>
      </c>
      <c r="B6063" s="1">
        <v>2023</v>
      </c>
      <c r="C6063" s="1" t="s">
        <v>2505</v>
      </c>
      <c r="D6063" s="1" t="s">
        <v>2506</v>
      </c>
      <c r="E6063" s="1" t="s">
        <v>2019</v>
      </c>
      <c r="F6063" s="1" t="s">
        <v>606</v>
      </c>
      <c r="G6063" s="6">
        <v>1391299</v>
      </c>
      <c r="H6063" t="str">
        <f>IFERROR(VLOOKUP(F6063,'LEAID Match'!$A$2:$B$142,2,FALSE),"")</f>
        <v/>
      </c>
    </row>
    <row r="6064" spans="1:8" x14ac:dyDescent="0.2">
      <c r="A6064" t="str">
        <f t="shared" si="94"/>
        <v/>
      </c>
      <c r="B6064" s="1">
        <v>2024</v>
      </c>
      <c r="C6064" s="1" t="s">
        <v>2505</v>
      </c>
      <c r="D6064" s="1" t="s">
        <v>2506</v>
      </c>
      <c r="E6064" s="1" t="s">
        <v>2019</v>
      </c>
      <c r="F6064" s="1" t="s">
        <v>606</v>
      </c>
      <c r="G6064" s="6">
        <v>1425062</v>
      </c>
      <c r="H6064" t="str">
        <f>IFERROR(VLOOKUP(F6064,'LEAID Match'!$A$2:$B$142,2,FALSE),"")</f>
        <v/>
      </c>
    </row>
    <row r="6065" spans="1:8" x14ac:dyDescent="0.2">
      <c r="A6065" t="str">
        <f t="shared" si="94"/>
        <v/>
      </c>
      <c r="B6065" s="1">
        <v>2015</v>
      </c>
      <c r="C6065" s="1" t="s">
        <v>2505</v>
      </c>
      <c r="D6065" s="1" t="s">
        <v>2506</v>
      </c>
      <c r="E6065" s="1" t="s">
        <v>2019</v>
      </c>
      <c r="F6065" s="1" t="s">
        <v>607</v>
      </c>
      <c r="G6065" s="6">
        <v>3440</v>
      </c>
      <c r="H6065" t="str">
        <f>IFERROR(VLOOKUP(F6065,'LEAID Match'!$A$2:$B$142,2,FALSE),"")</f>
        <v/>
      </c>
    </row>
    <row r="6066" spans="1:8" x14ac:dyDescent="0.2">
      <c r="A6066" t="str">
        <f t="shared" si="94"/>
        <v/>
      </c>
      <c r="B6066">
        <v>2016</v>
      </c>
      <c r="C6066" s="1" t="s">
        <v>2505</v>
      </c>
      <c r="D6066" s="1" t="s">
        <v>2506</v>
      </c>
      <c r="E6066" s="1" t="s">
        <v>2019</v>
      </c>
      <c r="F6066" s="1" t="s">
        <v>607</v>
      </c>
      <c r="G6066" s="12">
        <v>3693</v>
      </c>
      <c r="H6066" t="str">
        <f>IFERROR(VLOOKUP(F6066,'LEAID Match'!$A$2:$B$142,2,FALSE),"")</f>
        <v/>
      </c>
    </row>
    <row r="6067" spans="1:8" x14ac:dyDescent="0.2">
      <c r="A6067" t="str">
        <f t="shared" si="94"/>
        <v/>
      </c>
      <c r="B6067" s="1">
        <v>2017</v>
      </c>
      <c r="C6067" s="1" t="s">
        <v>2505</v>
      </c>
      <c r="D6067" s="1" t="s">
        <v>2506</v>
      </c>
      <c r="E6067" s="1" t="s">
        <v>2019</v>
      </c>
      <c r="F6067" s="1" t="s">
        <v>607</v>
      </c>
      <c r="G6067" s="47">
        <v>2686</v>
      </c>
      <c r="H6067" t="str">
        <f>IFERROR(VLOOKUP(F6067,'LEAID Match'!$A$2:$B$142,2,FALSE),"")</f>
        <v/>
      </c>
    </row>
    <row r="6068" spans="1:8" x14ac:dyDescent="0.2">
      <c r="A6068" t="str">
        <f t="shared" si="94"/>
        <v/>
      </c>
      <c r="B6068" s="1">
        <v>2018</v>
      </c>
      <c r="C6068" s="1" t="s">
        <v>2505</v>
      </c>
      <c r="D6068" s="1" t="s">
        <v>2506</v>
      </c>
      <c r="E6068" s="1" t="s">
        <v>2019</v>
      </c>
      <c r="F6068" s="1" t="s">
        <v>607</v>
      </c>
      <c r="G6068" s="6">
        <v>2035</v>
      </c>
      <c r="H6068" t="str">
        <f>IFERROR(VLOOKUP(F6068,'LEAID Match'!$A$2:$B$142,2,FALSE),"")</f>
        <v/>
      </c>
    </row>
    <row r="6069" spans="1:8" x14ac:dyDescent="0.2">
      <c r="A6069" t="str">
        <f t="shared" si="94"/>
        <v/>
      </c>
      <c r="B6069" s="1">
        <v>2019</v>
      </c>
      <c r="C6069" s="1" t="s">
        <v>2505</v>
      </c>
      <c r="D6069" s="1" t="s">
        <v>2506</v>
      </c>
      <c r="E6069" s="1" t="s">
        <v>2019</v>
      </c>
      <c r="F6069" s="1" t="s">
        <v>607</v>
      </c>
      <c r="G6069" s="6">
        <v>2392</v>
      </c>
      <c r="H6069" t="str">
        <f>IFERROR(VLOOKUP(F6069,'LEAID Match'!$A$2:$B$142,2,FALSE),"")</f>
        <v/>
      </c>
    </row>
    <row r="6070" spans="1:8" x14ac:dyDescent="0.2">
      <c r="A6070" t="str">
        <f t="shared" si="94"/>
        <v/>
      </c>
      <c r="B6070" s="1">
        <v>2020</v>
      </c>
      <c r="C6070" s="1" t="s">
        <v>2505</v>
      </c>
      <c r="D6070" s="1" t="s">
        <v>2506</v>
      </c>
      <c r="E6070" s="1" t="s">
        <v>2019</v>
      </c>
      <c r="F6070" s="1" t="s">
        <v>607</v>
      </c>
      <c r="G6070" s="6">
        <v>2991</v>
      </c>
      <c r="H6070" t="str">
        <f>IFERROR(VLOOKUP(F6070,'LEAID Match'!$A$2:$B$142,2,FALSE),"")</f>
        <v/>
      </c>
    </row>
    <row r="6071" spans="1:8" x14ac:dyDescent="0.2">
      <c r="A6071" t="str">
        <f t="shared" si="94"/>
        <v/>
      </c>
      <c r="B6071" s="1">
        <v>2021</v>
      </c>
      <c r="C6071" s="1" t="s">
        <v>2505</v>
      </c>
      <c r="D6071" s="1" t="s">
        <v>2506</v>
      </c>
      <c r="E6071" s="1" t="s">
        <v>2019</v>
      </c>
      <c r="F6071" s="1" t="s">
        <v>607</v>
      </c>
      <c r="G6071" s="6">
        <v>2748</v>
      </c>
      <c r="H6071" t="str">
        <f>IFERROR(VLOOKUP(F6071,'LEAID Match'!$A$2:$B$142,2,FALSE),"")</f>
        <v/>
      </c>
    </row>
    <row r="6072" spans="1:8" x14ac:dyDescent="0.2">
      <c r="A6072" t="str">
        <f t="shared" si="94"/>
        <v/>
      </c>
      <c r="B6072" s="1">
        <v>2022</v>
      </c>
      <c r="C6072" s="1" t="s">
        <v>2505</v>
      </c>
      <c r="D6072" s="1" t="s">
        <v>2506</v>
      </c>
      <c r="E6072" s="1" t="s">
        <v>2019</v>
      </c>
      <c r="F6072" s="1" t="s">
        <v>607</v>
      </c>
      <c r="G6072" s="6">
        <v>3143</v>
      </c>
      <c r="H6072" t="str">
        <f>IFERROR(VLOOKUP(F6072,'LEAID Match'!$A$2:$B$142,2,FALSE),"")</f>
        <v/>
      </c>
    </row>
    <row r="6073" spans="1:8" x14ac:dyDescent="0.2">
      <c r="A6073" t="str">
        <f t="shared" si="94"/>
        <v/>
      </c>
      <c r="B6073" s="1">
        <v>2023</v>
      </c>
      <c r="C6073" s="1" t="s">
        <v>2505</v>
      </c>
      <c r="D6073" s="1" t="s">
        <v>2506</v>
      </c>
      <c r="E6073" s="1" t="s">
        <v>2019</v>
      </c>
      <c r="F6073" s="1" t="s">
        <v>607</v>
      </c>
      <c r="G6073" s="6">
        <v>5457</v>
      </c>
      <c r="H6073" t="str">
        <f>IFERROR(VLOOKUP(F6073,'LEAID Match'!$A$2:$B$142,2,FALSE),"")</f>
        <v/>
      </c>
    </row>
    <row r="6074" spans="1:8" x14ac:dyDescent="0.2">
      <c r="A6074" t="str">
        <f t="shared" si="94"/>
        <v/>
      </c>
      <c r="B6074" s="1">
        <v>2024</v>
      </c>
      <c r="C6074" s="1" t="s">
        <v>2505</v>
      </c>
      <c r="D6074" s="1" t="s">
        <v>2506</v>
      </c>
      <c r="E6074" s="1" t="s">
        <v>2019</v>
      </c>
      <c r="F6074" s="1" t="s">
        <v>607</v>
      </c>
      <c r="G6074" s="6">
        <v>4496</v>
      </c>
      <c r="H6074" t="str">
        <f>IFERROR(VLOOKUP(F6074,'LEAID Match'!$A$2:$B$142,2,FALSE),"")</f>
        <v/>
      </c>
    </row>
    <row r="6075" spans="1:8" x14ac:dyDescent="0.2">
      <c r="A6075" t="str">
        <f t="shared" si="94"/>
        <v/>
      </c>
      <c r="B6075" s="1">
        <v>2015</v>
      </c>
      <c r="C6075" s="1" t="s">
        <v>2505</v>
      </c>
      <c r="D6075" s="1" t="s">
        <v>2506</v>
      </c>
      <c r="E6075" s="1" t="s">
        <v>2019</v>
      </c>
      <c r="F6075" s="1" t="s">
        <v>608</v>
      </c>
      <c r="G6075" s="6">
        <v>62919</v>
      </c>
      <c r="H6075" t="str">
        <f>IFERROR(VLOOKUP(F6075,'LEAID Match'!$A$2:$B$142,2,FALSE),"")</f>
        <v/>
      </c>
    </row>
    <row r="6076" spans="1:8" x14ac:dyDescent="0.2">
      <c r="A6076" t="str">
        <f t="shared" si="94"/>
        <v/>
      </c>
      <c r="B6076">
        <v>2016</v>
      </c>
      <c r="C6076" s="1" t="s">
        <v>2505</v>
      </c>
      <c r="D6076" s="1" t="s">
        <v>2506</v>
      </c>
      <c r="E6076" s="1" t="s">
        <v>2019</v>
      </c>
      <c r="F6076" s="1" t="s">
        <v>608</v>
      </c>
      <c r="G6076" s="12">
        <v>63436</v>
      </c>
      <c r="H6076" t="str">
        <f>IFERROR(VLOOKUP(F6076,'LEAID Match'!$A$2:$B$142,2,FALSE),"")</f>
        <v/>
      </c>
    </row>
    <row r="6077" spans="1:8" x14ac:dyDescent="0.2">
      <c r="A6077" t="str">
        <f t="shared" si="94"/>
        <v/>
      </c>
      <c r="B6077" s="1">
        <v>2017</v>
      </c>
      <c r="C6077" s="1" t="s">
        <v>2505</v>
      </c>
      <c r="D6077" s="1" t="s">
        <v>2506</v>
      </c>
      <c r="E6077" s="1" t="s">
        <v>2019</v>
      </c>
      <c r="F6077" s="1" t="s">
        <v>608</v>
      </c>
      <c r="G6077" s="47">
        <v>64754</v>
      </c>
      <c r="H6077" t="str">
        <f>IFERROR(VLOOKUP(F6077,'LEAID Match'!$A$2:$B$142,2,FALSE),"")</f>
        <v/>
      </c>
    </row>
    <row r="6078" spans="1:8" x14ac:dyDescent="0.2">
      <c r="A6078" t="str">
        <f t="shared" si="94"/>
        <v/>
      </c>
      <c r="B6078" s="1">
        <v>2018</v>
      </c>
      <c r="C6078" s="1" t="s">
        <v>2505</v>
      </c>
      <c r="D6078" s="1" t="s">
        <v>2506</v>
      </c>
      <c r="E6078" s="1" t="s">
        <v>2019</v>
      </c>
      <c r="F6078" s="1" t="s">
        <v>608</v>
      </c>
      <c r="G6078" s="6">
        <v>67445</v>
      </c>
      <c r="H6078" t="str">
        <f>IFERROR(VLOOKUP(F6078,'LEAID Match'!$A$2:$B$142,2,FALSE),"")</f>
        <v/>
      </c>
    </row>
    <row r="6079" spans="1:8" x14ac:dyDescent="0.2">
      <c r="A6079" t="str">
        <f t="shared" si="94"/>
        <v/>
      </c>
      <c r="B6079" s="1">
        <v>2019</v>
      </c>
      <c r="C6079" s="1" t="s">
        <v>2505</v>
      </c>
      <c r="D6079" s="1" t="s">
        <v>2506</v>
      </c>
      <c r="E6079" s="1" t="s">
        <v>2019</v>
      </c>
      <c r="F6079" s="1" t="s">
        <v>608</v>
      </c>
      <c r="G6079" s="6">
        <v>64856</v>
      </c>
      <c r="H6079" t="str">
        <f>IFERROR(VLOOKUP(F6079,'LEAID Match'!$A$2:$B$142,2,FALSE),"")</f>
        <v/>
      </c>
    </row>
    <row r="6080" spans="1:8" x14ac:dyDescent="0.2">
      <c r="A6080" t="str">
        <f t="shared" si="94"/>
        <v/>
      </c>
      <c r="B6080" s="1">
        <v>2020</v>
      </c>
      <c r="C6080" s="1" t="s">
        <v>2505</v>
      </c>
      <c r="D6080" s="1" t="s">
        <v>2506</v>
      </c>
      <c r="E6080" s="1" t="s">
        <v>2019</v>
      </c>
      <c r="F6080" s="1" t="s">
        <v>608</v>
      </c>
      <c r="G6080" s="6">
        <v>72783</v>
      </c>
      <c r="H6080" t="str">
        <f>IFERROR(VLOOKUP(F6080,'LEAID Match'!$A$2:$B$142,2,FALSE),"")</f>
        <v/>
      </c>
    </row>
    <row r="6081" spans="1:8" x14ac:dyDescent="0.2">
      <c r="A6081" t="str">
        <f t="shared" si="94"/>
        <v/>
      </c>
      <c r="B6081" s="1">
        <v>2021</v>
      </c>
      <c r="C6081" s="1" t="s">
        <v>2505</v>
      </c>
      <c r="D6081" s="1" t="s">
        <v>2506</v>
      </c>
      <c r="E6081" s="1" t="s">
        <v>2019</v>
      </c>
      <c r="F6081" s="1" t="s">
        <v>608</v>
      </c>
      <c r="G6081" s="6">
        <v>73630</v>
      </c>
      <c r="H6081" t="str">
        <f>IFERROR(VLOOKUP(F6081,'LEAID Match'!$A$2:$B$142,2,FALSE),"")</f>
        <v/>
      </c>
    </row>
    <row r="6082" spans="1:8" x14ac:dyDescent="0.2">
      <c r="A6082" t="str">
        <f t="shared" si="94"/>
        <v/>
      </c>
      <c r="B6082" s="1">
        <v>2022</v>
      </c>
      <c r="C6082" s="1" t="s">
        <v>2505</v>
      </c>
      <c r="D6082" s="1" t="s">
        <v>2506</v>
      </c>
      <c r="E6082" s="1" t="s">
        <v>2019</v>
      </c>
      <c r="F6082" s="1" t="s">
        <v>608</v>
      </c>
      <c r="G6082" s="6">
        <v>74448</v>
      </c>
      <c r="H6082" t="str">
        <f>IFERROR(VLOOKUP(F6082,'LEAID Match'!$A$2:$B$142,2,FALSE),"")</f>
        <v/>
      </c>
    </row>
    <row r="6083" spans="1:8" x14ac:dyDescent="0.2">
      <c r="A6083" t="str">
        <f t="shared" ref="A6083:A6146" si="95">H6083</f>
        <v/>
      </c>
      <c r="B6083" s="1">
        <v>2023</v>
      </c>
      <c r="C6083" s="1" t="s">
        <v>2505</v>
      </c>
      <c r="D6083" s="1" t="s">
        <v>2506</v>
      </c>
      <c r="E6083" s="1" t="s">
        <v>2019</v>
      </c>
      <c r="F6083" s="1" t="s">
        <v>608</v>
      </c>
      <c r="G6083" s="6">
        <v>76122</v>
      </c>
      <c r="H6083" t="str">
        <f>IFERROR(VLOOKUP(F6083,'LEAID Match'!$A$2:$B$142,2,FALSE),"")</f>
        <v/>
      </c>
    </row>
    <row r="6084" spans="1:8" x14ac:dyDescent="0.2">
      <c r="A6084" t="str">
        <f t="shared" si="95"/>
        <v/>
      </c>
      <c r="B6084" s="1">
        <v>2024</v>
      </c>
      <c r="C6084" s="1" t="s">
        <v>2505</v>
      </c>
      <c r="D6084" s="1" t="s">
        <v>2506</v>
      </c>
      <c r="E6084" s="1" t="s">
        <v>2019</v>
      </c>
      <c r="F6084" s="1" t="s">
        <v>608</v>
      </c>
      <c r="G6084" s="6">
        <v>77419</v>
      </c>
      <c r="H6084" t="str">
        <f>IFERROR(VLOOKUP(F6084,'LEAID Match'!$A$2:$B$142,2,FALSE),"")</f>
        <v/>
      </c>
    </row>
    <row r="6085" spans="1:8" x14ac:dyDescent="0.2">
      <c r="A6085" t="str">
        <f t="shared" si="95"/>
        <v/>
      </c>
      <c r="B6085" s="1">
        <v>2015</v>
      </c>
      <c r="C6085" s="1" t="s">
        <v>2505</v>
      </c>
      <c r="D6085" s="1" t="s">
        <v>2506</v>
      </c>
      <c r="E6085" s="1" t="s">
        <v>2019</v>
      </c>
      <c r="F6085" s="1" t="s">
        <v>609</v>
      </c>
      <c r="G6085" s="6">
        <v>17564</v>
      </c>
      <c r="H6085" t="str">
        <f>IFERROR(VLOOKUP(F6085,'LEAID Match'!$A$2:$B$142,2,FALSE),"")</f>
        <v/>
      </c>
    </row>
    <row r="6086" spans="1:8" x14ac:dyDescent="0.2">
      <c r="A6086" t="str">
        <f t="shared" si="95"/>
        <v/>
      </c>
      <c r="B6086">
        <v>2016</v>
      </c>
      <c r="C6086" s="1" t="s">
        <v>2505</v>
      </c>
      <c r="D6086" s="1" t="s">
        <v>2506</v>
      </c>
      <c r="E6086" s="1" t="s">
        <v>2019</v>
      </c>
      <c r="F6086" s="1" t="s">
        <v>609</v>
      </c>
      <c r="G6086" s="12">
        <v>22061</v>
      </c>
      <c r="H6086" t="str">
        <f>IFERROR(VLOOKUP(F6086,'LEAID Match'!$A$2:$B$142,2,FALSE),"")</f>
        <v/>
      </c>
    </row>
    <row r="6087" spans="1:8" x14ac:dyDescent="0.2">
      <c r="A6087" t="str">
        <f t="shared" si="95"/>
        <v/>
      </c>
      <c r="B6087" s="1">
        <v>2017</v>
      </c>
      <c r="C6087" s="1" t="s">
        <v>2505</v>
      </c>
      <c r="D6087" s="1" t="s">
        <v>2506</v>
      </c>
      <c r="E6087" s="1" t="s">
        <v>2019</v>
      </c>
      <c r="F6087" s="1" t="s">
        <v>609</v>
      </c>
      <c r="G6087" s="47">
        <v>17838</v>
      </c>
      <c r="H6087" t="str">
        <f>IFERROR(VLOOKUP(F6087,'LEAID Match'!$A$2:$B$142,2,FALSE),"")</f>
        <v/>
      </c>
    </row>
    <row r="6088" spans="1:8" x14ac:dyDescent="0.2">
      <c r="A6088" t="str">
        <f t="shared" si="95"/>
        <v/>
      </c>
      <c r="B6088" s="1">
        <v>2018</v>
      </c>
      <c r="C6088" s="1" t="s">
        <v>2505</v>
      </c>
      <c r="D6088" s="1" t="s">
        <v>2506</v>
      </c>
      <c r="E6088" s="1" t="s">
        <v>2019</v>
      </c>
      <c r="F6088" s="1" t="s">
        <v>609</v>
      </c>
      <c r="G6088" s="6">
        <v>18286</v>
      </c>
      <c r="H6088" t="str">
        <f>IFERROR(VLOOKUP(F6088,'LEAID Match'!$A$2:$B$142,2,FALSE),"")</f>
        <v/>
      </c>
    </row>
    <row r="6089" spans="1:8" x14ac:dyDescent="0.2">
      <c r="A6089" t="str">
        <f t="shared" si="95"/>
        <v/>
      </c>
      <c r="B6089" s="1">
        <v>2019</v>
      </c>
      <c r="C6089" s="1" t="s">
        <v>2505</v>
      </c>
      <c r="D6089" s="1" t="s">
        <v>2506</v>
      </c>
      <c r="E6089" s="1" t="s">
        <v>2019</v>
      </c>
      <c r="F6089" s="1" t="s">
        <v>609</v>
      </c>
      <c r="G6089" s="6">
        <v>18875</v>
      </c>
      <c r="H6089" t="str">
        <f>IFERROR(VLOOKUP(F6089,'LEAID Match'!$A$2:$B$142,2,FALSE),"")</f>
        <v/>
      </c>
    </row>
    <row r="6090" spans="1:8" x14ac:dyDescent="0.2">
      <c r="A6090" t="str">
        <f t="shared" si="95"/>
        <v/>
      </c>
      <c r="B6090" s="1">
        <v>2020</v>
      </c>
      <c r="C6090" s="1" t="s">
        <v>2505</v>
      </c>
      <c r="D6090" s="1" t="s">
        <v>2506</v>
      </c>
      <c r="E6090" s="1" t="s">
        <v>2019</v>
      </c>
      <c r="F6090" s="1" t="s">
        <v>609</v>
      </c>
      <c r="G6090" s="6">
        <v>21948</v>
      </c>
      <c r="H6090" t="str">
        <f>IFERROR(VLOOKUP(F6090,'LEAID Match'!$A$2:$B$142,2,FALSE),"")</f>
        <v/>
      </c>
    </row>
    <row r="6091" spans="1:8" x14ac:dyDescent="0.2">
      <c r="A6091" t="str">
        <f t="shared" si="95"/>
        <v/>
      </c>
      <c r="B6091" s="1">
        <v>2021</v>
      </c>
      <c r="C6091" s="1" t="s">
        <v>2505</v>
      </c>
      <c r="D6091" s="1" t="s">
        <v>2506</v>
      </c>
      <c r="E6091" s="1" t="s">
        <v>2019</v>
      </c>
      <c r="F6091" s="1" t="s">
        <v>609</v>
      </c>
      <c r="G6091" s="6">
        <v>22762</v>
      </c>
      <c r="H6091" t="str">
        <f>IFERROR(VLOOKUP(F6091,'LEAID Match'!$A$2:$B$142,2,FALSE),"")</f>
        <v/>
      </c>
    </row>
    <row r="6092" spans="1:8" x14ac:dyDescent="0.2">
      <c r="A6092" t="str">
        <f t="shared" si="95"/>
        <v/>
      </c>
      <c r="B6092" s="1">
        <v>2022</v>
      </c>
      <c r="C6092" s="1" t="s">
        <v>2505</v>
      </c>
      <c r="D6092" s="1" t="s">
        <v>2506</v>
      </c>
      <c r="E6092" s="1" t="s">
        <v>2019</v>
      </c>
      <c r="F6092" s="1" t="s">
        <v>609</v>
      </c>
      <c r="G6092" s="6">
        <v>23658</v>
      </c>
      <c r="H6092" t="str">
        <f>IFERROR(VLOOKUP(F6092,'LEAID Match'!$A$2:$B$142,2,FALSE),"")</f>
        <v/>
      </c>
    </row>
    <row r="6093" spans="1:8" x14ac:dyDescent="0.2">
      <c r="A6093" t="str">
        <f t="shared" si="95"/>
        <v/>
      </c>
      <c r="B6093" s="1">
        <v>2023</v>
      </c>
      <c r="C6093" s="1" t="s">
        <v>2505</v>
      </c>
      <c r="D6093" s="1" t="s">
        <v>2506</v>
      </c>
      <c r="E6093" s="1" t="s">
        <v>2019</v>
      </c>
      <c r="F6093" s="1" t="s">
        <v>609</v>
      </c>
      <c r="G6093" s="6">
        <v>26390</v>
      </c>
      <c r="H6093" t="str">
        <f>IFERROR(VLOOKUP(F6093,'LEAID Match'!$A$2:$B$142,2,FALSE),"")</f>
        <v/>
      </c>
    </row>
    <row r="6094" spans="1:8" x14ac:dyDescent="0.2">
      <c r="A6094" t="str">
        <f t="shared" si="95"/>
        <v/>
      </c>
      <c r="B6094" s="1">
        <v>2024</v>
      </c>
      <c r="C6094" s="1" t="s">
        <v>2505</v>
      </c>
      <c r="D6094" s="1" t="s">
        <v>2506</v>
      </c>
      <c r="E6094" s="1" t="s">
        <v>2019</v>
      </c>
      <c r="F6094" s="1" t="s">
        <v>609</v>
      </c>
      <c r="G6094" s="6">
        <v>27678</v>
      </c>
      <c r="H6094" t="str">
        <f>IFERROR(VLOOKUP(F6094,'LEAID Match'!$A$2:$B$142,2,FALSE),"")</f>
        <v/>
      </c>
    </row>
    <row r="6095" spans="1:8" x14ac:dyDescent="0.2">
      <c r="A6095" t="str">
        <f t="shared" si="95"/>
        <v/>
      </c>
      <c r="B6095" s="1">
        <v>2015</v>
      </c>
      <c r="C6095" s="1" t="s">
        <v>2505</v>
      </c>
      <c r="D6095" s="1" t="s">
        <v>2506</v>
      </c>
      <c r="E6095" s="1" t="s">
        <v>2019</v>
      </c>
      <c r="F6095" s="1" t="s">
        <v>610</v>
      </c>
      <c r="G6095" s="6">
        <v>28895</v>
      </c>
      <c r="H6095" t="str">
        <f>IFERROR(VLOOKUP(F6095,'LEAID Match'!$A$2:$B$142,2,FALSE),"")</f>
        <v/>
      </c>
    </row>
    <row r="6096" spans="1:8" x14ac:dyDescent="0.2">
      <c r="A6096" t="str">
        <f t="shared" si="95"/>
        <v/>
      </c>
      <c r="B6096">
        <v>2016</v>
      </c>
      <c r="C6096" s="1" t="s">
        <v>2505</v>
      </c>
      <c r="D6096" s="1" t="s">
        <v>2506</v>
      </c>
      <c r="E6096" s="1" t="s">
        <v>2019</v>
      </c>
      <c r="F6096" s="1" t="s">
        <v>610</v>
      </c>
      <c r="G6096" s="12">
        <v>32796</v>
      </c>
      <c r="H6096" t="str">
        <f>IFERROR(VLOOKUP(F6096,'LEAID Match'!$A$2:$B$142,2,FALSE),"")</f>
        <v/>
      </c>
    </row>
    <row r="6097" spans="1:8" x14ac:dyDescent="0.2">
      <c r="A6097" t="str">
        <f t="shared" si="95"/>
        <v/>
      </c>
      <c r="B6097" s="1">
        <v>2017</v>
      </c>
      <c r="C6097" s="1" t="s">
        <v>2505</v>
      </c>
      <c r="D6097" s="1" t="s">
        <v>2506</v>
      </c>
      <c r="E6097" s="1" t="s">
        <v>2019</v>
      </c>
      <c r="F6097" s="1" t="s">
        <v>610</v>
      </c>
      <c r="G6097" s="47">
        <v>27301</v>
      </c>
      <c r="H6097" t="str">
        <f>IFERROR(VLOOKUP(F6097,'LEAID Match'!$A$2:$B$142,2,FALSE),"")</f>
        <v/>
      </c>
    </row>
    <row r="6098" spans="1:8" x14ac:dyDescent="0.2">
      <c r="A6098" t="str">
        <f t="shared" si="95"/>
        <v/>
      </c>
      <c r="B6098" s="1">
        <v>2018</v>
      </c>
      <c r="C6098" s="1" t="s">
        <v>2505</v>
      </c>
      <c r="D6098" s="1" t="s">
        <v>2506</v>
      </c>
      <c r="E6098" s="1" t="s">
        <v>2019</v>
      </c>
      <c r="F6098" s="1" t="s">
        <v>610</v>
      </c>
      <c r="G6098" s="6">
        <v>24200</v>
      </c>
      <c r="H6098" t="str">
        <f>IFERROR(VLOOKUP(F6098,'LEAID Match'!$A$2:$B$142,2,FALSE),"")</f>
        <v/>
      </c>
    </row>
    <row r="6099" spans="1:8" x14ac:dyDescent="0.2">
      <c r="A6099" t="str">
        <f t="shared" si="95"/>
        <v/>
      </c>
      <c r="B6099" s="1">
        <v>2019</v>
      </c>
      <c r="C6099" s="1" t="s">
        <v>2505</v>
      </c>
      <c r="D6099" s="1" t="s">
        <v>2506</v>
      </c>
      <c r="E6099" s="1" t="s">
        <v>2019</v>
      </c>
      <c r="F6099" s="1" t="s">
        <v>610</v>
      </c>
      <c r="G6099" s="6">
        <v>22268</v>
      </c>
      <c r="H6099" t="str">
        <f>IFERROR(VLOOKUP(F6099,'LEAID Match'!$A$2:$B$142,2,FALSE),"")</f>
        <v/>
      </c>
    </row>
    <row r="6100" spans="1:8" x14ac:dyDescent="0.2">
      <c r="A6100" t="str">
        <f t="shared" si="95"/>
        <v/>
      </c>
      <c r="B6100" s="1">
        <v>2020</v>
      </c>
      <c r="C6100" s="1" t="s">
        <v>2505</v>
      </c>
      <c r="D6100" s="1" t="s">
        <v>2506</v>
      </c>
      <c r="E6100" s="1" t="s">
        <v>2019</v>
      </c>
      <c r="F6100" s="1" t="s">
        <v>610</v>
      </c>
      <c r="G6100" s="6">
        <v>22976</v>
      </c>
      <c r="H6100" t="str">
        <f>IFERROR(VLOOKUP(F6100,'LEAID Match'!$A$2:$B$142,2,FALSE),"")</f>
        <v/>
      </c>
    </row>
    <row r="6101" spans="1:8" x14ac:dyDescent="0.2">
      <c r="A6101" t="str">
        <f t="shared" si="95"/>
        <v/>
      </c>
      <c r="B6101" s="1">
        <v>2021</v>
      </c>
      <c r="C6101" s="1" t="s">
        <v>2505</v>
      </c>
      <c r="D6101" s="1" t="s">
        <v>2506</v>
      </c>
      <c r="E6101" s="1" t="s">
        <v>2019</v>
      </c>
      <c r="F6101" s="1" t="s">
        <v>610</v>
      </c>
      <c r="G6101" s="6">
        <v>21301</v>
      </c>
      <c r="H6101" t="str">
        <f>IFERROR(VLOOKUP(F6101,'LEAID Match'!$A$2:$B$142,2,FALSE),"")</f>
        <v/>
      </c>
    </row>
    <row r="6102" spans="1:8" x14ac:dyDescent="0.2">
      <c r="A6102" t="str">
        <f t="shared" si="95"/>
        <v/>
      </c>
      <c r="B6102" s="1">
        <v>2022</v>
      </c>
      <c r="C6102" s="1" t="s">
        <v>2505</v>
      </c>
      <c r="D6102" s="1" t="s">
        <v>2506</v>
      </c>
      <c r="E6102" s="1" t="s">
        <v>2019</v>
      </c>
      <c r="F6102" s="1" t="s">
        <v>610</v>
      </c>
      <c r="G6102" s="6">
        <v>20669</v>
      </c>
      <c r="H6102" t="str">
        <f>IFERROR(VLOOKUP(F6102,'LEAID Match'!$A$2:$B$142,2,FALSE),"")</f>
        <v/>
      </c>
    </row>
    <row r="6103" spans="1:8" x14ac:dyDescent="0.2">
      <c r="A6103" t="str">
        <f t="shared" si="95"/>
        <v/>
      </c>
      <c r="B6103" s="1">
        <v>2023</v>
      </c>
      <c r="C6103" s="1" t="s">
        <v>2505</v>
      </c>
      <c r="D6103" s="1" t="s">
        <v>2506</v>
      </c>
      <c r="E6103" s="1" t="s">
        <v>2019</v>
      </c>
      <c r="F6103" s="1" t="s">
        <v>610</v>
      </c>
      <c r="G6103" s="6">
        <v>21509</v>
      </c>
      <c r="H6103" t="str">
        <f>IFERROR(VLOOKUP(F6103,'LEAID Match'!$A$2:$B$142,2,FALSE),"")</f>
        <v/>
      </c>
    </row>
    <row r="6104" spans="1:8" x14ac:dyDescent="0.2">
      <c r="A6104" t="str">
        <f t="shared" si="95"/>
        <v/>
      </c>
      <c r="B6104" s="1">
        <v>2024</v>
      </c>
      <c r="C6104" s="1" t="s">
        <v>2505</v>
      </c>
      <c r="D6104" s="1" t="s">
        <v>2506</v>
      </c>
      <c r="E6104" s="1" t="s">
        <v>2019</v>
      </c>
      <c r="F6104" s="1" t="s">
        <v>610</v>
      </c>
      <c r="G6104" s="6">
        <v>21016</v>
      </c>
      <c r="H6104" t="str">
        <f>IFERROR(VLOOKUP(F6104,'LEAID Match'!$A$2:$B$142,2,FALSE),"")</f>
        <v/>
      </c>
    </row>
    <row r="6105" spans="1:8" x14ac:dyDescent="0.2">
      <c r="A6105" t="str">
        <f t="shared" si="95"/>
        <v/>
      </c>
      <c r="B6105" s="1">
        <v>2015</v>
      </c>
      <c r="C6105" s="1" t="s">
        <v>2505</v>
      </c>
      <c r="D6105" s="1" t="s">
        <v>2506</v>
      </c>
      <c r="E6105" s="1" t="s">
        <v>2019</v>
      </c>
      <c r="F6105" s="1" t="s">
        <v>611</v>
      </c>
      <c r="G6105" s="6">
        <v>32358</v>
      </c>
      <c r="H6105" t="str">
        <f>IFERROR(VLOOKUP(F6105,'LEAID Match'!$A$2:$B$142,2,FALSE),"")</f>
        <v/>
      </c>
    </row>
    <row r="6106" spans="1:8" x14ac:dyDescent="0.2">
      <c r="A6106" t="str">
        <f t="shared" si="95"/>
        <v/>
      </c>
      <c r="B6106">
        <v>2016</v>
      </c>
      <c r="C6106" s="1" t="s">
        <v>2505</v>
      </c>
      <c r="D6106" s="1" t="s">
        <v>2506</v>
      </c>
      <c r="E6106" s="1" t="s">
        <v>2019</v>
      </c>
      <c r="F6106" s="1" t="s">
        <v>611</v>
      </c>
      <c r="G6106" s="12">
        <v>34964</v>
      </c>
      <c r="H6106" t="str">
        <f>IFERROR(VLOOKUP(F6106,'LEAID Match'!$A$2:$B$142,2,FALSE),"")</f>
        <v/>
      </c>
    </row>
    <row r="6107" spans="1:8" x14ac:dyDescent="0.2">
      <c r="A6107" t="str">
        <f t="shared" si="95"/>
        <v/>
      </c>
      <c r="B6107" s="1">
        <v>2017</v>
      </c>
      <c r="C6107" s="1" t="s">
        <v>2505</v>
      </c>
      <c r="D6107" s="1" t="s">
        <v>2506</v>
      </c>
      <c r="E6107" s="1" t="s">
        <v>2019</v>
      </c>
      <c r="F6107" s="1" t="s">
        <v>611</v>
      </c>
      <c r="G6107" s="47">
        <v>36317</v>
      </c>
      <c r="H6107" t="str">
        <f>IFERROR(VLOOKUP(F6107,'LEAID Match'!$A$2:$B$142,2,FALSE),"")</f>
        <v/>
      </c>
    </row>
    <row r="6108" spans="1:8" x14ac:dyDescent="0.2">
      <c r="A6108" t="str">
        <f t="shared" si="95"/>
        <v/>
      </c>
      <c r="B6108" s="1">
        <v>2018</v>
      </c>
      <c r="C6108" s="1" t="s">
        <v>2505</v>
      </c>
      <c r="D6108" s="1" t="s">
        <v>2506</v>
      </c>
      <c r="E6108" s="1" t="s">
        <v>2019</v>
      </c>
      <c r="F6108" s="1" t="s">
        <v>611</v>
      </c>
      <c r="G6108" s="6">
        <v>34136</v>
      </c>
      <c r="H6108" t="str">
        <f>IFERROR(VLOOKUP(F6108,'LEAID Match'!$A$2:$B$142,2,FALSE),"")</f>
        <v/>
      </c>
    </row>
    <row r="6109" spans="1:8" x14ac:dyDescent="0.2">
      <c r="A6109" t="str">
        <f t="shared" si="95"/>
        <v/>
      </c>
      <c r="B6109" s="1">
        <v>2019</v>
      </c>
      <c r="C6109" s="1" t="s">
        <v>2505</v>
      </c>
      <c r="D6109" s="1" t="s">
        <v>2506</v>
      </c>
      <c r="E6109" s="1" t="s">
        <v>2019</v>
      </c>
      <c r="F6109" s="1" t="s">
        <v>611</v>
      </c>
      <c r="G6109" s="6">
        <v>35914</v>
      </c>
      <c r="H6109" t="str">
        <f>IFERROR(VLOOKUP(F6109,'LEAID Match'!$A$2:$B$142,2,FALSE),"")</f>
        <v/>
      </c>
    </row>
    <row r="6110" spans="1:8" x14ac:dyDescent="0.2">
      <c r="A6110" t="str">
        <f t="shared" si="95"/>
        <v/>
      </c>
      <c r="B6110" s="1">
        <v>2020</v>
      </c>
      <c r="C6110" s="1" t="s">
        <v>2505</v>
      </c>
      <c r="D6110" s="1" t="s">
        <v>2506</v>
      </c>
      <c r="E6110" s="1" t="s">
        <v>2019</v>
      </c>
      <c r="F6110" s="1" t="s">
        <v>611</v>
      </c>
      <c r="G6110" s="6">
        <v>39061</v>
      </c>
      <c r="H6110" t="str">
        <f>IFERROR(VLOOKUP(F6110,'LEAID Match'!$A$2:$B$142,2,FALSE),"")</f>
        <v/>
      </c>
    </row>
    <row r="6111" spans="1:8" x14ac:dyDescent="0.2">
      <c r="A6111" t="str">
        <f t="shared" si="95"/>
        <v/>
      </c>
      <c r="B6111" s="1">
        <v>2021</v>
      </c>
      <c r="C6111" s="1" t="s">
        <v>2505</v>
      </c>
      <c r="D6111" s="1" t="s">
        <v>2506</v>
      </c>
      <c r="E6111" s="1" t="s">
        <v>2019</v>
      </c>
      <c r="F6111" s="1" t="s">
        <v>611</v>
      </c>
      <c r="G6111" s="6">
        <v>38006</v>
      </c>
      <c r="H6111" t="str">
        <f>IFERROR(VLOOKUP(F6111,'LEAID Match'!$A$2:$B$142,2,FALSE),"")</f>
        <v/>
      </c>
    </row>
    <row r="6112" spans="1:8" x14ac:dyDescent="0.2">
      <c r="A6112" t="str">
        <f t="shared" si="95"/>
        <v/>
      </c>
      <c r="B6112" s="1">
        <v>2022</v>
      </c>
      <c r="C6112" s="1" t="s">
        <v>2505</v>
      </c>
      <c r="D6112" s="1" t="s">
        <v>2506</v>
      </c>
      <c r="E6112" s="1" t="s">
        <v>2019</v>
      </c>
      <c r="F6112" s="1" t="s">
        <v>611</v>
      </c>
      <c r="G6112" s="6">
        <v>44741</v>
      </c>
      <c r="H6112" t="str">
        <f>IFERROR(VLOOKUP(F6112,'LEAID Match'!$A$2:$B$142,2,FALSE),"")</f>
        <v/>
      </c>
    </row>
    <row r="6113" spans="1:8" x14ac:dyDescent="0.2">
      <c r="A6113" t="str">
        <f t="shared" si="95"/>
        <v/>
      </c>
      <c r="B6113" s="1">
        <v>2023</v>
      </c>
      <c r="C6113" s="1" t="s">
        <v>2505</v>
      </c>
      <c r="D6113" s="1" t="s">
        <v>2506</v>
      </c>
      <c r="E6113" s="1" t="s">
        <v>2019</v>
      </c>
      <c r="F6113" s="1" t="s">
        <v>611</v>
      </c>
      <c r="G6113" s="6">
        <v>46047</v>
      </c>
      <c r="H6113" t="str">
        <f>IFERROR(VLOOKUP(F6113,'LEAID Match'!$A$2:$B$142,2,FALSE),"")</f>
        <v/>
      </c>
    </row>
    <row r="6114" spans="1:8" x14ac:dyDescent="0.2">
      <c r="A6114" t="str">
        <f t="shared" si="95"/>
        <v/>
      </c>
      <c r="B6114" s="1">
        <v>2024</v>
      </c>
      <c r="C6114" s="1" t="s">
        <v>2505</v>
      </c>
      <c r="D6114" s="1" t="s">
        <v>2506</v>
      </c>
      <c r="E6114" s="1" t="s">
        <v>2019</v>
      </c>
      <c r="F6114" s="1" t="s">
        <v>611</v>
      </c>
      <c r="G6114" s="6">
        <v>48913</v>
      </c>
      <c r="H6114" t="str">
        <f>IFERROR(VLOOKUP(F6114,'LEAID Match'!$A$2:$B$142,2,FALSE),"")</f>
        <v/>
      </c>
    </row>
    <row r="6115" spans="1:8" x14ac:dyDescent="0.2">
      <c r="A6115" t="str">
        <f t="shared" si="95"/>
        <v/>
      </c>
      <c r="B6115" s="1">
        <v>2015</v>
      </c>
      <c r="C6115" s="1" t="s">
        <v>2505</v>
      </c>
      <c r="D6115" s="1" t="s">
        <v>2506</v>
      </c>
      <c r="E6115" s="1" t="s">
        <v>2019</v>
      </c>
      <c r="F6115" s="1" t="s">
        <v>612</v>
      </c>
      <c r="G6115" s="6">
        <v>472722</v>
      </c>
      <c r="H6115" t="str">
        <f>IFERROR(VLOOKUP(F6115,'LEAID Match'!$A$2:$B$142,2,FALSE),"")</f>
        <v/>
      </c>
    </row>
    <row r="6116" spans="1:8" x14ac:dyDescent="0.2">
      <c r="A6116" t="str">
        <f t="shared" si="95"/>
        <v/>
      </c>
      <c r="B6116">
        <v>2016</v>
      </c>
      <c r="C6116" s="1" t="s">
        <v>2505</v>
      </c>
      <c r="D6116" s="1" t="s">
        <v>2506</v>
      </c>
      <c r="E6116" s="1" t="s">
        <v>2019</v>
      </c>
      <c r="F6116" s="1" t="s">
        <v>612</v>
      </c>
      <c r="G6116" s="12">
        <v>503430</v>
      </c>
      <c r="H6116" t="str">
        <f>IFERROR(VLOOKUP(F6116,'LEAID Match'!$A$2:$B$142,2,FALSE),"")</f>
        <v/>
      </c>
    </row>
    <row r="6117" spans="1:8" x14ac:dyDescent="0.2">
      <c r="A6117" t="str">
        <f t="shared" si="95"/>
        <v/>
      </c>
      <c r="B6117" s="1">
        <v>2017</v>
      </c>
      <c r="C6117" s="1" t="s">
        <v>2505</v>
      </c>
      <c r="D6117" s="1" t="s">
        <v>2506</v>
      </c>
      <c r="E6117" s="1" t="s">
        <v>2019</v>
      </c>
      <c r="F6117" s="1" t="s">
        <v>612</v>
      </c>
      <c r="G6117" s="47">
        <v>531061</v>
      </c>
      <c r="H6117" t="str">
        <f>IFERROR(VLOOKUP(F6117,'LEAID Match'!$A$2:$B$142,2,FALSE),"")</f>
        <v/>
      </c>
    </row>
    <row r="6118" spans="1:8" x14ac:dyDescent="0.2">
      <c r="A6118" t="str">
        <f t="shared" si="95"/>
        <v/>
      </c>
      <c r="B6118" s="1">
        <v>2018</v>
      </c>
      <c r="C6118" s="1" t="s">
        <v>2505</v>
      </c>
      <c r="D6118" s="1" t="s">
        <v>2506</v>
      </c>
      <c r="E6118" s="1" t="s">
        <v>2019</v>
      </c>
      <c r="F6118" s="1" t="s">
        <v>612</v>
      </c>
      <c r="G6118" s="6">
        <v>532684</v>
      </c>
      <c r="H6118" t="str">
        <f>IFERROR(VLOOKUP(F6118,'LEAID Match'!$A$2:$B$142,2,FALSE),"")</f>
        <v/>
      </c>
    </row>
    <row r="6119" spans="1:8" x14ac:dyDescent="0.2">
      <c r="A6119" t="str">
        <f t="shared" si="95"/>
        <v/>
      </c>
      <c r="B6119" s="1">
        <v>2019</v>
      </c>
      <c r="C6119" s="1" t="s">
        <v>2505</v>
      </c>
      <c r="D6119" s="1" t="s">
        <v>2506</v>
      </c>
      <c r="E6119" s="1" t="s">
        <v>2019</v>
      </c>
      <c r="F6119" s="1" t="s">
        <v>612</v>
      </c>
      <c r="G6119" s="6">
        <v>582489</v>
      </c>
      <c r="H6119" t="str">
        <f>IFERROR(VLOOKUP(F6119,'LEAID Match'!$A$2:$B$142,2,FALSE),"")</f>
        <v/>
      </c>
    </row>
    <row r="6120" spans="1:8" x14ac:dyDescent="0.2">
      <c r="A6120" t="str">
        <f t="shared" si="95"/>
        <v/>
      </c>
      <c r="B6120" s="1">
        <v>2020</v>
      </c>
      <c r="C6120" s="1" t="s">
        <v>2505</v>
      </c>
      <c r="D6120" s="1" t="s">
        <v>2506</v>
      </c>
      <c r="E6120" s="1" t="s">
        <v>2019</v>
      </c>
      <c r="F6120" s="1" t="s">
        <v>612</v>
      </c>
      <c r="G6120" s="6">
        <v>669975</v>
      </c>
      <c r="H6120" t="str">
        <f>IFERROR(VLOOKUP(F6120,'LEAID Match'!$A$2:$B$142,2,FALSE),"")</f>
        <v/>
      </c>
    </row>
    <row r="6121" spans="1:8" x14ac:dyDescent="0.2">
      <c r="A6121" t="str">
        <f t="shared" si="95"/>
        <v/>
      </c>
      <c r="B6121" s="1">
        <v>2021</v>
      </c>
      <c r="C6121" s="1" t="s">
        <v>2505</v>
      </c>
      <c r="D6121" s="1" t="s">
        <v>2506</v>
      </c>
      <c r="E6121" s="1" t="s">
        <v>2019</v>
      </c>
      <c r="F6121" s="1" t="s">
        <v>612</v>
      </c>
      <c r="G6121" s="6">
        <v>707543</v>
      </c>
      <c r="H6121" t="str">
        <f>IFERROR(VLOOKUP(F6121,'LEAID Match'!$A$2:$B$142,2,FALSE),"")</f>
        <v/>
      </c>
    </row>
    <row r="6122" spans="1:8" x14ac:dyDescent="0.2">
      <c r="A6122" t="str">
        <f t="shared" si="95"/>
        <v/>
      </c>
      <c r="B6122" s="1">
        <v>2022</v>
      </c>
      <c r="C6122" s="1" t="s">
        <v>2505</v>
      </c>
      <c r="D6122" s="1" t="s">
        <v>2506</v>
      </c>
      <c r="E6122" s="1" t="s">
        <v>2019</v>
      </c>
      <c r="F6122" s="1" t="s">
        <v>612</v>
      </c>
      <c r="G6122" s="6">
        <v>758410</v>
      </c>
      <c r="H6122" t="str">
        <f>IFERROR(VLOOKUP(F6122,'LEAID Match'!$A$2:$B$142,2,FALSE),"")</f>
        <v/>
      </c>
    </row>
    <row r="6123" spans="1:8" x14ac:dyDescent="0.2">
      <c r="A6123" t="str">
        <f t="shared" si="95"/>
        <v/>
      </c>
      <c r="B6123" s="1">
        <v>2023</v>
      </c>
      <c r="C6123" s="1" t="s">
        <v>2505</v>
      </c>
      <c r="D6123" s="1" t="s">
        <v>2506</v>
      </c>
      <c r="E6123" s="1" t="s">
        <v>2019</v>
      </c>
      <c r="F6123" s="1" t="s">
        <v>612</v>
      </c>
      <c r="G6123" s="6">
        <v>823288</v>
      </c>
      <c r="H6123" t="str">
        <f>IFERROR(VLOOKUP(F6123,'LEAID Match'!$A$2:$B$142,2,FALSE),"")</f>
        <v/>
      </c>
    </row>
    <row r="6124" spans="1:8" x14ac:dyDescent="0.2">
      <c r="A6124" t="str">
        <f t="shared" si="95"/>
        <v/>
      </c>
      <c r="B6124" s="1">
        <v>2024</v>
      </c>
      <c r="C6124" s="1" t="s">
        <v>2505</v>
      </c>
      <c r="D6124" s="1" t="s">
        <v>2506</v>
      </c>
      <c r="E6124" s="1" t="s">
        <v>2019</v>
      </c>
      <c r="F6124" s="1" t="s">
        <v>612</v>
      </c>
      <c r="G6124" s="6">
        <v>908029</v>
      </c>
      <c r="H6124" t="str">
        <f>IFERROR(VLOOKUP(F6124,'LEAID Match'!$A$2:$B$142,2,FALSE),"")</f>
        <v/>
      </c>
    </row>
    <row r="6125" spans="1:8" x14ac:dyDescent="0.2">
      <c r="A6125">
        <f t="shared" si="95"/>
        <v>2803660</v>
      </c>
      <c r="B6125" s="1">
        <v>2015</v>
      </c>
      <c r="C6125" s="1" t="s">
        <v>2505</v>
      </c>
      <c r="D6125" s="1" t="s">
        <v>2506</v>
      </c>
      <c r="E6125" s="1" t="s">
        <v>2019</v>
      </c>
      <c r="F6125" s="1" t="s">
        <v>613</v>
      </c>
      <c r="G6125" s="6">
        <v>2483274</v>
      </c>
      <c r="H6125">
        <f>IFERROR(VLOOKUP(F6125,'LEAID Match'!$A$2:$B$142,2,FALSE),"")</f>
        <v>2803660</v>
      </c>
    </row>
    <row r="6126" spans="1:8" x14ac:dyDescent="0.2">
      <c r="A6126">
        <f t="shared" si="95"/>
        <v>2803660</v>
      </c>
      <c r="B6126">
        <v>2016</v>
      </c>
      <c r="C6126" s="1" t="s">
        <v>2505</v>
      </c>
      <c r="D6126" s="1" t="s">
        <v>2506</v>
      </c>
      <c r="E6126" s="1" t="s">
        <v>2019</v>
      </c>
      <c r="F6126" s="1" t="s">
        <v>613</v>
      </c>
      <c r="G6126" s="12">
        <v>2544720</v>
      </c>
      <c r="H6126">
        <f>IFERROR(VLOOKUP(F6126,'LEAID Match'!$A$2:$B$142,2,FALSE),"")</f>
        <v>2803660</v>
      </c>
    </row>
    <row r="6127" spans="1:8" x14ac:dyDescent="0.2">
      <c r="A6127">
        <f t="shared" si="95"/>
        <v>2803660</v>
      </c>
      <c r="B6127" s="1">
        <v>2017</v>
      </c>
      <c r="C6127" s="1" t="s">
        <v>2505</v>
      </c>
      <c r="D6127" s="1" t="s">
        <v>2506</v>
      </c>
      <c r="E6127" s="1" t="s">
        <v>2019</v>
      </c>
      <c r="F6127" s="1" t="s">
        <v>613</v>
      </c>
      <c r="G6127" s="47">
        <v>2505065</v>
      </c>
      <c r="H6127">
        <f>IFERROR(VLOOKUP(F6127,'LEAID Match'!$A$2:$B$142,2,FALSE),"")</f>
        <v>2803660</v>
      </c>
    </row>
    <row r="6128" spans="1:8" x14ac:dyDescent="0.2">
      <c r="A6128">
        <f t="shared" si="95"/>
        <v>2803660</v>
      </c>
      <c r="B6128" s="1">
        <v>2018</v>
      </c>
      <c r="C6128" s="1" t="s">
        <v>2505</v>
      </c>
      <c r="D6128" s="1" t="s">
        <v>2506</v>
      </c>
      <c r="E6128" s="1" t="s">
        <v>2019</v>
      </c>
      <c r="F6128" s="1" t="s">
        <v>613</v>
      </c>
      <c r="G6128" s="6">
        <v>2504979</v>
      </c>
      <c r="H6128">
        <f>IFERROR(VLOOKUP(F6128,'LEAID Match'!$A$2:$B$142,2,FALSE),"")</f>
        <v>2803660</v>
      </c>
    </row>
    <row r="6129" spans="1:8" x14ac:dyDescent="0.2">
      <c r="A6129">
        <f t="shared" si="95"/>
        <v>2803660</v>
      </c>
      <c r="B6129" s="1">
        <v>2019</v>
      </c>
      <c r="C6129" s="1" t="s">
        <v>2505</v>
      </c>
      <c r="D6129" s="1" t="s">
        <v>2506</v>
      </c>
      <c r="E6129" s="1" t="s">
        <v>2019</v>
      </c>
      <c r="F6129" s="1" t="s">
        <v>613</v>
      </c>
      <c r="G6129" s="6">
        <v>2535992</v>
      </c>
      <c r="H6129">
        <f>IFERROR(VLOOKUP(F6129,'LEAID Match'!$A$2:$B$142,2,FALSE),"")</f>
        <v>2803660</v>
      </c>
    </row>
    <row r="6130" spans="1:8" x14ac:dyDescent="0.2">
      <c r="A6130">
        <f t="shared" si="95"/>
        <v>2803660</v>
      </c>
      <c r="B6130" s="1">
        <v>2020</v>
      </c>
      <c r="C6130" s="1" t="s">
        <v>2505</v>
      </c>
      <c r="D6130" s="1" t="s">
        <v>2506</v>
      </c>
      <c r="E6130" s="1" t="s">
        <v>2019</v>
      </c>
      <c r="F6130" s="1" t="s">
        <v>613</v>
      </c>
      <c r="G6130" s="6">
        <v>3043539</v>
      </c>
      <c r="H6130">
        <f>IFERROR(VLOOKUP(F6130,'LEAID Match'!$A$2:$B$142,2,FALSE),"")</f>
        <v>2803660</v>
      </c>
    </row>
    <row r="6131" spans="1:8" x14ac:dyDescent="0.2">
      <c r="A6131">
        <f t="shared" si="95"/>
        <v>2803660</v>
      </c>
      <c r="B6131" s="1">
        <v>2021</v>
      </c>
      <c r="C6131" s="1" t="s">
        <v>2505</v>
      </c>
      <c r="D6131" s="1" t="s">
        <v>2506</v>
      </c>
      <c r="E6131" s="1" t="s">
        <v>2019</v>
      </c>
      <c r="F6131" s="1" t="s">
        <v>613</v>
      </c>
      <c r="G6131" s="6">
        <v>3020396</v>
      </c>
      <c r="H6131">
        <f>IFERROR(VLOOKUP(F6131,'LEAID Match'!$A$2:$B$142,2,FALSE),"")</f>
        <v>2803660</v>
      </c>
    </row>
    <row r="6132" spans="1:8" x14ac:dyDescent="0.2">
      <c r="A6132">
        <f t="shared" si="95"/>
        <v>2803660</v>
      </c>
      <c r="B6132" s="1">
        <v>2022</v>
      </c>
      <c r="C6132" s="1" t="s">
        <v>2505</v>
      </c>
      <c r="D6132" s="1" t="s">
        <v>2506</v>
      </c>
      <c r="E6132" s="1" t="s">
        <v>2019</v>
      </c>
      <c r="F6132" s="1" t="s">
        <v>613</v>
      </c>
      <c r="G6132" s="6">
        <v>3221345</v>
      </c>
      <c r="H6132">
        <f>IFERROR(VLOOKUP(F6132,'LEAID Match'!$A$2:$B$142,2,FALSE),"")</f>
        <v>2803660</v>
      </c>
    </row>
    <row r="6133" spans="1:8" x14ac:dyDescent="0.2">
      <c r="A6133">
        <f t="shared" si="95"/>
        <v>2803660</v>
      </c>
      <c r="B6133" s="1">
        <v>2023</v>
      </c>
      <c r="C6133" s="1" t="s">
        <v>2505</v>
      </c>
      <c r="D6133" s="1" t="s">
        <v>2506</v>
      </c>
      <c r="E6133" s="1" t="s">
        <v>2019</v>
      </c>
      <c r="F6133" s="1" t="s">
        <v>613</v>
      </c>
      <c r="G6133" s="6">
        <v>3645764</v>
      </c>
      <c r="H6133">
        <f>IFERROR(VLOOKUP(F6133,'LEAID Match'!$A$2:$B$142,2,FALSE),"")</f>
        <v>2803660</v>
      </c>
    </row>
    <row r="6134" spans="1:8" x14ac:dyDescent="0.2">
      <c r="A6134">
        <f t="shared" si="95"/>
        <v>2803660</v>
      </c>
      <c r="B6134" s="1">
        <v>2024</v>
      </c>
      <c r="C6134" s="1" t="s">
        <v>2505</v>
      </c>
      <c r="D6134" s="1" t="s">
        <v>2506</v>
      </c>
      <c r="E6134" s="1" t="s">
        <v>2019</v>
      </c>
      <c r="F6134" s="1" t="s">
        <v>613</v>
      </c>
      <c r="G6134" s="6">
        <v>3651530</v>
      </c>
      <c r="H6134">
        <f>IFERROR(VLOOKUP(F6134,'LEAID Match'!$A$2:$B$142,2,FALSE),"")</f>
        <v>2803660</v>
      </c>
    </row>
    <row r="6135" spans="1:8" x14ac:dyDescent="0.2">
      <c r="A6135" t="str">
        <f t="shared" si="95"/>
        <v/>
      </c>
      <c r="B6135" s="1">
        <v>2015</v>
      </c>
      <c r="C6135" s="1" t="s">
        <v>2505</v>
      </c>
      <c r="D6135" s="1" t="s">
        <v>2506</v>
      </c>
      <c r="E6135" s="1" t="s">
        <v>2019</v>
      </c>
      <c r="F6135" s="1" t="s">
        <v>614</v>
      </c>
      <c r="G6135" s="6">
        <v>634305</v>
      </c>
      <c r="H6135" t="str">
        <f>IFERROR(VLOOKUP(F6135,'LEAID Match'!$A$2:$B$142,2,FALSE),"")</f>
        <v/>
      </c>
    </row>
    <row r="6136" spans="1:8" x14ac:dyDescent="0.2">
      <c r="A6136" t="str">
        <f t="shared" si="95"/>
        <v/>
      </c>
      <c r="B6136">
        <v>2016</v>
      </c>
      <c r="C6136" s="1" t="s">
        <v>2505</v>
      </c>
      <c r="D6136" s="1" t="s">
        <v>2506</v>
      </c>
      <c r="E6136" s="1" t="s">
        <v>2019</v>
      </c>
      <c r="F6136" s="1" t="s">
        <v>614</v>
      </c>
      <c r="G6136" s="12">
        <v>664732</v>
      </c>
      <c r="H6136" t="str">
        <f>IFERROR(VLOOKUP(F6136,'LEAID Match'!$A$2:$B$142,2,FALSE),"")</f>
        <v/>
      </c>
    </row>
    <row r="6137" spans="1:8" x14ac:dyDescent="0.2">
      <c r="A6137" t="str">
        <f t="shared" si="95"/>
        <v/>
      </c>
      <c r="B6137" s="1">
        <v>2017</v>
      </c>
      <c r="C6137" s="1" t="s">
        <v>2505</v>
      </c>
      <c r="D6137" s="1" t="s">
        <v>2506</v>
      </c>
      <c r="E6137" s="1" t="s">
        <v>2019</v>
      </c>
      <c r="F6137" s="1" t="s">
        <v>614</v>
      </c>
      <c r="G6137" s="47">
        <v>670498</v>
      </c>
      <c r="H6137" t="str">
        <f>IFERROR(VLOOKUP(F6137,'LEAID Match'!$A$2:$B$142,2,FALSE),"")</f>
        <v/>
      </c>
    </row>
    <row r="6138" spans="1:8" x14ac:dyDescent="0.2">
      <c r="A6138" t="str">
        <f t="shared" si="95"/>
        <v/>
      </c>
      <c r="B6138" s="1">
        <v>2018</v>
      </c>
      <c r="C6138" s="1" t="s">
        <v>2505</v>
      </c>
      <c r="D6138" s="1" t="s">
        <v>2506</v>
      </c>
      <c r="E6138" s="1" t="s">
        <v>2019</v>
      </c>
      <c r="F6138" s="1" t="s">
        <v>614</v>
      </c>
      <c r="G6138" s="6">
        <v>697254</v>
      </c>
      <c r="H6138" t="str">
        <f>IFERROR(VLOOKUP(F6138,'LEAID Match'!$A$2:$B$142,2,FALSE),"")</f>
        <v/>
      </c>
    </row>
    <row r="6139" spans="1:8" x14ac:dyDescent="0.2">
      <c r="A6139" t="str">
        <f t="shared" si="95"/>
        <v/>
      </c>
      <c r="B6139" s="1">
        <v>2019</v>
      </c>
      <c r="C6139" s="1" t="s">
        <v>2505</v>
      </c>
      <c r="D6139" s="1" t="s">
        <v>2506</v>
      </c>
      <c r="E6139" s="1" t="s">
        <v>2019</v>
      </c>
      <c r="F6139" s="1" t="s">
        <v>614</v>
      </c>
      <c r="G6139" s="6">
        <v>728098</v>
      </c>
      <c r="H6139" t="str">
        <f>IFERROR(VLOOKUP(F6139,'LEAID Match'!$A$2:$B$142,2,FALSE),"")</f>
        <v/>
      </c>
    </row>
    <row r="6140" spans="1:8" x14ac:dyDescent="0.2">
      <c r="A6140" t="str">
        <f t="shared" si="95"/>
        <v/>
      </c>
      <c r="B6140" s="1">
        <v>2020</v>
      </c>
      <c r="C6140" s="1" t="s">
        <v>2505</v>
      </c>
      <c r="D6140" s="1" t="s">
        <v>2506</v>
      </c>
      <c r="E6140" s="1" t="s">
        <v>2019</v>
      </c>
      <c r="F6140" s="1" t="s">
        <v>614</v>
      </c>
      <c r="G6140" s="6">
        <v>837655</v>
      </c>
      <c r="H6140" t="str">
        <f>IFERROR(VLOOKUP(F6140,'LEAID Match'!$A$2:$B$142,2,FALSE),"")</f>
        <v/>
      </c>
    </row>
    <row r="6141" spans="1:8" x14ac:dyDescent="0.2">
      <c r="A6141" t="str">
        <f t="shared" si="95"/>
        <v/>
      </c>
      <c r="B6141" s="1">
        <v>2021</v>
      </c>
      <c r="C6141" s="1" t="s">
        <v>2505</v>
      </c>
      <c r="D6141" s="1" t="s">
        <v>2506</v>
      </c>
      <c r="E6141" s="1" t="s">
        <v>2019</v>
      </c>
      <c r="F6141" s="1" t="s">
        <v>614</v>
      </c>
      <c r="G6141" s="6">
        <v>875920</v>
      </c>
      <c r="H6141" t="str">
        <f>IFERROR(VLOOKUP(F6141,'LEAID Match'!$A$2:$B$142,2,FALSE),"")</f>
        <v/>
      </c>
    </row>
    <row r="6142" spans="1:8" x14ac:dyDescent="0.2">
      <c r="A6142" t="str">
        <f t="shared" si="95"/>
        <v/>
      </c>
      <c r="B6142" s="1">
        <v>2022</v>
      </c>
      <c r="C6142" s="1" t="s">
        <v>2505</v>
      </c>
      <c r="D6142" s="1" t="s">
        <v>2506</v>
      </c>
      <c r="E6142" s="1" t="s">
        <v>2019</v>
      </c>
      <c r="F6142" s="1" t="s">
        <v>614</v>
      </c>
      <c r="G6142" s="6">
        <v>868280</v>
      </c>
      <c r="H6142" t="str">
        <f>IFERROR(VLOOKUP(F6142,'LEAID Match'!$A$2:$B$142,2,FALSE),"")</f>
        <v/>
      </c>
    </row>
    <row r="6143" spans="1:8" x14ac:dyDescent="0.2">
      <c r="A6143" t="str">
        <f t="shared" si="95"/>
        <v/>
      </c>
      <c r="B6143" s="1">
        <v>2023</v>
      </c>
      <c r="C6143" s="1" t="s">
        <v>2505</v>
      </c>
      <c r="D6143" s="1" t="s">
        <v>2506</v>
      </c>
      <c r="E6143" s="1" t="s">
        <v>2019</v>
      </c>
      <c r="F6143" s="1" t="s">
        <v>614</v>
      </c>
      <c r="G6143" s="6">
        <v>967700</v>
      </c>
      <c r="H6143" t="str">
        <f>IFERROR(VLOOKUP(F6143,'LEAID Match'!$A$2:$B$142,2,FALSE),"")</f>
        <v/>
      </c>
    </row>
    <row r="6144" spans="1:8" x14ac:dyDescent="0.2">
      <c r="A6144" t="str">
        <f t="shared" si="95"/>
        <v/>
      </c>
      <c r="B6144" s="1">
        <v>2024</v>
      </c>
      <c r="C6144" s="1" t="s">
        <v>2505</v>
      </c>
      <c r="D6144" s="1" t="s">
        <v>2506</v>
      </c>
      <c r="E6144" s="1" t="s">
        <v>2019</v>
      </c>
      <c r="F6144" s="1" t="s">
        <v>614</v>
      </c>
      <c r="G6144" s="6">
        <v>1006107</v>
      </c>
      <c r="H6144" t="str">
        <f>IFERROR(VLOOKUP(F6144,'LEAID Match'!$A$2:$B$142,2,FALSE),"")</f>
        <v/>
      </c>
    </row>
    <row r="6145" spans="1:8" x14ac:dyDescent="0.2">
      <c r="A6145" t="str">
        <f t="shared" si="95"/>
        <v/>
      </c>
      <c r="B6145" s="1">
        <v>2015</v>
      </c>
      <c r="C6145" s="1" t="s">
        <v>2505</v>
      </c>
      <c r="D6145" s="1" t="s">
        <v>2506</v>
      </c>
      <c r="E6145" s="1" t="s">
        <v>2019</v>
      </c>
      <c r="F6145" s="1" t="s">
        <v>890</v>
      </c>
      <c r="G6145" s="6">
        <v>4007</v>
      </c>
      <c r="H6145" t="str">
        <f>IFERROR(VLOOKUP(F6145,'LEAID Match'!$A$2:$B$142,2,FALSE),"")</f>
        <v/>
      </c>
    </row>
    <row r="6146" spans="1:8" x14ac:dyDescent="0.2">
      <c r="A6146" t="str">
        <f t="shared" si="95"/>
        <v/>
      </c>
      <c r="B6146">
        <v>2016</v>
      </c>
      <c r="C6146" s="1" t="s">
        <v>2505</v>
      </c>
      <c r="D6146" s="1" t="s">
        <v>2506</v>
      </c>
      <c r="E6146" s="1" t="s">
        <v>2019</v>
      </c>
      <c r="F6146" s="1" t="s">
        <v>890</v>
      </c>
      <c r="G6146" s="12">
        <v>4095</v>
      </c>
      <c r="H6146" t="str">
        <f>IFERROR(VLOOKUP(F6146,'LEAID Match'!$A$2:$B$142,2,FALSE),"")</f>
        <v/>
      </c>
    </row>
    <row r="6147" spans="1:8" x14ac:dyDescent="0.2">
      <c r="A6147" t="str">
        <f t="shared" ref="A6147:A6210" si="96">H6147</f>
        <v/>
      </c>
      <c r="B6147" s="1">
        <v>2017</v>
      </c>
      <c r="C6147" s="1" t="s">
        <v>2505</v>
      </c>
      <c r="D6147" s="1" t="s">
        <v>2506</v>
      </c>
      <c r="E6147" s="1" t="s">
        <v>2019</v>
      </c>
      <c r="F6147" s="1" t="s">
        <v>890</v>
      </c>
      <c r="G6147" s="47">
        <v>4259</v>
      </c>
      <c r="H6147" t="str">
        <f>IFERROR(VLOOKUP(F6147,'LEAID Match'!$A$2:$B$142,2,FALSE),"")</f>
        <v/>
      </c>
    </row>
    <row r="6148" spans="1:8" x14ac:dyDescent="0.2">
      <c r="A6148" t="str">
        <f t="shared" si="96"/>
        <v/>
      </c>
      <c r="B6148" s="1">
        <v>2018</v>
      </c>
      <c r="C6148" s="1" t="s">
        <v>2505</v>
      </c>
      <c r="D6148" s="1" t="s">
        <v>2506</v>
      </c>
      <c r="E6148" s="1" t="s">
        <v>2019</v>
      </c>
      <c r="F6148" s="1" t="s">
        <v>890</v>
      </c>
      <c r="G6148" s="6">
        <v>4712</v>
      </c>
      <c r="H6148" t="str">
        <f>IFERROR(VLOOKUP(F6148,'LEAID Match'!$A$2:$B$142,2,FALSE),"")</f>
        <v/>
      </c>
    </row>
    <row r="6149" spans="1:8" x14ac:dyDescent="0.2">
      <c r="A6149" t="str">
        <f t="shared" si="96"/>
        <v/>
      </c>
      <c r="B6149" s="1">
        <v>2019</v>
      </c>
      <c r="C6149" s="1" t="s">
        <v>2505</v>
      </c>
      <c r="D6149" s="1" t="s">
        <v>2506</v>
      </c>
      <c r="E6149" s="1" t="s">
        <v>2019</v>
      </c>
      <c r="F6149" s="1" t="s">
        <v>890</v>
      </c>
      <c r="G6149" s="6">
        <v>4410</v>
      </c>
      <c r="H6149" t="str">
        <f>IFERROR(VLOOKUP(F6149,'LEAID Match'!$A$2:$B$142,2,FALSE),"")</f>
        <v/>
      </c>
    </row>
    <row r="6150" spans="1:8" x14ac:dyDescent="0.2">
      <c r="A6150" t="str">
        <f t="shared" si="96"/>
        <v/>
      </c>
      <c r="B6150" s="1">
        <v>2020</v>
      </c>
      <c r="C6150" s="1" t="s">
        <v>2505</v>
      </c>
      <c r="D6150" s="1" t="s">
        <v>2506</v>
      </c>
      <c r="E6150" s="1" t="s">
        <v>2019</v>
      </c>
      <c r="F6150" s="1" t="s">
        <v>890</v>
      </c>
      <c r="G6150" s="6">
        <v>5262</v>
      </c>
      <c r="H6150" t="str">
        <f>IFERROR(VLOOKUP(F6150,'LEAID Match'!$A$2:$B$142,2,FALSE),"")</f>
        <v/>
      </c>
    </row>
    <row r="6151" spans="1:8" x14ac:dyDescent="0.2">
      <c r="A6151" t="str">
        <f t="shared" si="96"/>
        <v/>
      </c>
      <c r="B6151" s="1">
        <v>2021</v>
      </c>
      <c r="C6151" s="1" t="s">
        <v>2505</v>
      </c>
      <c r="D6151" s="1" t="s">
        <v>2506</v>
      </c>
      <c r="E6151" s="1" t="s">
        <v>2019</v>
      </c>
      <c r="F6151" s="1" t="s">
        <v>890</v>
      </c>
      <c r="G6151" s="6">
        <v>5067</v>
      </c>
      <c r="H6151" t="str">
        <f>IFERROR(VLOOKUP(F6151,'LEAID Match'!$A$2:$B$142,2,FALSE),"")</f>
        <v/>
      </c>
    </row>
    <row r="6152" spans="1:8" x14ac:dyDescent="0.2">
      <c r="A6152" t="str">
        <f t="shared" si="96"/>
        <v/>
      </c>
      <c r="B6152" s="1">
        <v>2022</v>
      </c>
      <c r="C6152" s="1" t="s">
        <v>2505</v>
      </c>
      <c r="D6152" s="1" t="s">
        <v>2506</v>
      </c>
      <c r="E6152" s="1" t="s">
        <v>2019</v>
      </c>
      <c r="F6152" s="1" t="s">
        <v>890</v>
      </c>
      <c r="G6152" s="6">
        <v>2748</v>
      </c>
      <c r="H6152" t="str">
        <f>IFERROR(VLOOKUP(F6152,'LEAID Match'!$A$2:$B$142,2,FALSE),"")</f>
        <v/>
      </c>
    </row>
    <row r="6153" spans="1:8" x14ac:dyDescent="0.2">
      <c r="A6153" t="str">
        <f t="shared" si="96"/>
        <v/>
      </c>
      <c r="B6153" s="1">
        <v>2023</v>
      </c>
      <c r="C6153" s="1" t="s">
        <v>2505</v>
      </c>
      <c r="D6153" s="1" t="s">
        <v>2506</v>
      </c>
      <c r="E6153" s="1" t="s">
        <v>2019</v>
      </c>
      <c r="F6153" s="1" t="s">
        <v>890</v>
      </c>
      <c r="G6153" s="6">
        <v>2144</v>
      </c>
      <c r="H6153" t="str">
        <f>IFERROR(VLOOKUP(F6153,'LEAID Match'!$A$2:$B$142,2,FALSE),"")</f>
        <v/>
      </c>
    </row>
    <row r="6154" spans="1:8" x14ac:dyDescent="0.2">
      <c r="A6154" t="str">
        <f t="shared" si="96"/>
        <v/>
      </c>
      <c r="B6154" s="1">
        <v>2015</v>
      </c>
      <c r="C6154" s="1" t="s">
        <v>2505</v>
      </c>
      <c r="D6154" s="1" t="s">
        <v>2506</v>
      </c>
      <c r="E6154" s="1" t="s">
        <v>2019</v>
      </c>
      <c r="F6154" s="1" t="s">
        <v>615</v>
      </c>
      <c r="G6154" s="6">
        <v>19291</v>
      </c>
      <c r="H6154" t="str">
        <f>IFERROR(VLOOKUP(F6154,'LEAID Match'!$A$2:$B$142,2,FALSE),"")</f>
        <v/>
      </c>
    </row>
    <row r="6155" spans="1:8" x14ac:dyDescent="0.2">
      <c r="A6155" t="str">
        <f t="shared" si="96"/>
        <v/>
      </c>
      <c r="B6155">
        <v>2016</v>
      </c>
      <c r="C6155" s="1" t="s">
        <v>2505</v>
      </c>
      <c r="D6155" s="1" t="s">
        <v>2506</v>
      </c>
      <c r="E6155" s="1" t="s">
        <v>2019</v>
      </c>
      <c r="F6155" s="1" t="s">
        <v>615</v>
      </c>
      <c r="G6155" s="12">
        <v>19869</v>
      </c>
      <c r="H6155" t="str">
        <f>IFERROR(VLOOKUP(F6155,'LEAID Match'!$A$2:$B$142,2,FALSE),"")</f>
        <v/>
      </c>
    </row>
    <row r="6156" spans="1:8" x14ac:dyDescent="0.2">
      <c r="A6156" t="str">
        <f t="shared" si="96"/>
        <v/>
      </c>
      <c r="B6156" s="1">
        <v>2017</v>
      </c>
      <c r="C6156" s="1" t="s">
        <v>2505</v>
      </c>
      <c r="D6156" s="1" t="s">
        <v>2506</v>
      </c>
      <c r="E6156" s="1" t="s">
        <v>2019</v>
      </c>
      <c r="F6156" s="1" t="s">
        <v>615</v>
      </c>
      <c r="G6156" s="47">
        <v>20467</v>
      </c>
      <c r="H6156" t="str">
        <f>IFERROR(VLOOKUP(F6156,'LEAID Match'!$A$2:$B$142,2,FALSE),"")</f>
        <v/>
      </c>
    </row>
    <row r="6157" spans="1:8" x14ac:dyDescent="0.2">
      <c r="A6157" t="str">
        <f t="shared" si="96"/>
        <v/>
      </c>
      <c r="B6157" s="1">
        <v>2018</v>
      </c>
      <c r="C6157" s="1" t="s">
        <v>2505</v>
      </c>
      <c r="D6157" s="1" t="s">
        <v>2506</v>
      </c>
      <c r="E6157" s="1" t="s">
        <v>2019</v>
      </c>
      <c r="F6157" s="1" t="s">
        <v>615</v>
      </c>
      <c r="G6157" s="6">
        <v>21080</v>
      </c>
      <c r="H6157" t="str">
        <f>IFERROR(VLOOKUP(F6157,'LEAID Match'!$A$2:$B$142,2,FALSE),"")</f>
        <v/>
      </c>
    </row>
    <row r="6158" spans="1:8" x14ac:dyDescent="0.2">
      <c r="A6158" t="str">
        <f t="shared" si="96"/>
        <v/>
      </c>
      <c r="B6158" s="1">
        <v>2019</v>
      </c>
      <c r="C6158" s="1" t="s">
        <v>2505</v>
      </c>
      <c r="D6158" s="1" t="s">
        <v>2506</v>
      </c>
      <c r="E6158" s="1" t="s">
        <v>2019</v>
      </c>
      <c r="F6158" s="1" t="s">
        <v>615</v>
      </c>
      <c r="G6158" s="6">
        <v>21712</v>
      </c>
      <c r="H6158" t="str">
        <f>IFERROR(VLOOKUP(F6158,'LEAID Match'!$A$2:$B$142,2,FALSE),"")</f>
        <v/>
      </c>
    </row>
    <row r="6159" spans="1:8" x14ac:dyDescent="0.2">
      <c r="A6159" t="str">
        <f t="shared" si="96"/>
        <v/>
      </c>
      <c r="B6159" s="1">
        <v>2020</v>
      </c>
      <c r="C6159" s="1" t="s">
        <v>2505</v>
      </c>
      <c r="D6159" s="1" t="s">
        <v>2506</v>
      </c>
      <c r="E6159" s="1" t="s">
        <v>2019</v>
      </c>
      <c r="F6159" s="1" t="s">
        <v>615</v>
      </c>
      <c r="G6159" s="6">
        <v>24707</v>
      </c>
      <c r="H6159" t="str">
        <f>IFERROR(VLOOKUP(F6159,'LEAID Match'!$A$2:$B$142,2,FALSE),"")</f>
        <v/>
      </c>
    </row>
    <row r="6160" spans="1:8" x14ac:dyDescent="0.2">
      <c r="A6160" t="str">
        <f t="shared" si="96"/>
        <v/>
      </c>
      <c r="B6160" s="1">
        <v>2021</v>
      </c>
      <c r="C6160" s="1" t="s">
        <v>2505</v>
      </c>
      <c r="D6160" s="1" t="s">
        <v>2506</v>
      </c>
      <c r="E6160" s="1" t="s">
        <v>2019</v>
      </c>
      <c r="F6160" s="1" t="s">
        <v>615</v>
      </c>
      <c r="G6160" s="6">
        <v>25452</v>
      </c>
      <c r="H6160" t="str">
        <f>IFERROR(VLOOKUP(F6160,'LEAID Match'!$A$2:$B$142,2,FALSE),"")</f>
        <v/>
      </c>
    </row>
    <row r="6161" spans="1:8" x14ac:dyDescent="0.2">
      <c r="A6161" t="str">
        <f t="shared" si="96"/>
        <v/>
      </c>
      <c r="B6161" s="1">
        <v>2022</v>
      </c>
      <c r="C6161" s="1" t="s">
        <v>2505</v>
      </c>
      <c r="D6161" s="1" t="s">
        <v>2506</v>
      </c>
      <c r="E6161" s="1" t="s">
        <v>2019</v>
      </c>
      <c r="F6161" s="1" t="s">
        <v>615</v>
      </c>
      <c r="G6161" s="6">
        <v>26211</v>
      </c>
      <c r="H6161" t="str">
        <f>IFERROR(VLOOKUP(F6161,'LEAID Match'!$A$2:$B$142,2,FALSE),"")</f>
        <v/>
      </c>
    </row>
    <row r="6162" spans="1:8" x14ac:dyDescent="0.2">
      <c r="A6162" t="str">
        <f t="shared" si="96"/>
        <v/>
      </c>
      <c r="B6162" s="1">
        <v>2023</v>
      </c>
      <c r="C6162" s="1" t="s">
        <v>2505</v>
      </c>
      <c r="D6162" s="1" t="s">
        <v>2506</v>
      </c>
      <c r="E6162" s="1" t="s">
        <v>2019</v>
      </c>
      <c r="F6162" s="1" t="s">
        <v>615</v>
      </c>
      <c r="G6162" s="6">
        <v>26998</v>
      </c>
      <c r="H6162" t="str">
        <f>IFERROR(VLOOKUP(F6162,'LEAID Match'!$A$2:$B$142,2,FALSE),"")</f>
        <v/>
      </c>
    </row>
    <row r="6163" spans="1:8" x14ac:dyDescent="0.2">
      <c r="A6163" t="str">
        <f t="shared" si="96"/>
        <v/>
      </c>
      <c r="B6163" s="1">
        <v>2024</v>
      </c>
      <c r="C6163" s="1" t="s">
        <v>2505</v>
      </c>
      <c r="D6163" s="1" t="s">
        <v>2506</v>
      </c>
      <c r="E6163" s="1" t="s">
        <v>2019</v>
      </c>
      <c r="F6163" s="1" t="s">
        <v>615</v>
      </c>
      <c r="G6163" s="6">
        <v>20333</v>
      </c>
      <c r="H6163" t="str">
        <f>IFERROR(VLOOKUP(F6163,'LEAID Match'!$A$2:$B$142,2,FALSE),"")</f>
        <v/>
      </c>
    </row>
    <row r="6164" spans="1:8" x14ac:dyDescent="0.2">
      <c r="A6164">
        <f t="shared" si="96"/>
        <v>2803690</v>
      </c>
      <c r="B6164" s="1">
        <v>2015</v>
      </c>
      <c r="C6164" s="1" t="s">
        <v>2505</v>
      </c>
      <c r="D6164" s="1" t="s">
        <v>2506</v>
      </c>
      <c r="E6164" s="1" t="s">
        <v>2019</v>
      </c>
      <c r="F6164" s="1" t="s">
        <v>616</v>
      </c>
      <c r="G6164" s="6">
        <v>1721441</v>
      </c>
      <c r="H6164">
        <f>IFERROR(VLOOKUP(F6164,'LEAID Match'!$A$2:$B$142,2,FALSE),"")</f>
        <v>2803690</v>
      </c>
    </row>
    <row r="6165" spans="1:8" x14ac:dyDescent="0.2">
      <c r="A6165">
        <f t="shared" si="96"/>
        <v>2803690</v>
      </c>
      <c r="B6165">
        <v>2016</v>
      </c>
      <c r="C6165" s="1" t="s">
        <v>2505</v>
      </c>
      <c r="D6165" s="1" t="s">
        <v>2506</v>
      </c>
      <c r="E6165" s="1" t="s">
        <v>2019</v>
      </c>
      <c r="F6165" s="1" t="s">
        <v>616</v>
      </c>
      <c r="G6165" s="12">
        <v>1813380</v>
      </c>
      <c r="H6165">
        <f>IFERROR(VLOOKUP(F6165,'LEAID Match'!$A$2:$B$142,2,FALSE),"")</f>
        <v>2803690</v>
      </c>
    </row>
    <row r="6166" spans="1:8" x14ac:dyDescent="0.2">
      <c r="A6166">
        <f t="shared" si="96"/>
        <v>2803690</v>
      </c>
      <c r="B6166" s="1">
        <v>2017</v>
      </c>
      <c r="C6166" s="1" t="s">
        <v>2505</v>
      </c>
      <c r="D6166" s="1" t="s">
        <v>2506</v>
      </c>
      <c r="E6166" s="1" t="s">
        <v>2019</v>
      </c>
      <c r="F6166" s="1" t="s">
        <v>616</v>
      </c>
      <c r="G6166" s="47">
        <v>1843991</v>
      </c>
      <c r="H6166">
        <f>IFERROR(VLOOKUP(F6166,'LEAID Match'!$A$2:$B$142,2,FALSE),"")</f>
        <v>2803690</v>
      </c>
    </row>
    <row r="6167" spans="1:8" x14ac:dyDescent="0.2">
      <c r="A6167">
        <f t="shared" si="96"/>
        <v>2803690</v>
      </c>
      <c r="B6167" s="1">
        <v>2018</v>
      </c>
      <c r="C6167" s="1" t="s">
        <v>2505</v>
      </c>
      <c r="D6167" s="1" t="s">
        <v>2506</v>
      </c>
      <c r="E6167" s="1" t="s">
        <v>2019</v>
      </c>
      <c r="F6167" s="1" t="s">
        <v>616</v>
      </c>
      <c r="G6167" s="6">
        <v>1678838</v>
      </c>
      <c r="H6167">
        <f>IFERROR(VLOOKUP(F6167,'LEAID Match'!$A$2:$B$142,2,FALSE),"")</f>
        <v>2803690</v>
      </c>
    </row>
    <row r="6168" spans="1:8" x14ac:dyDescent="0.2">
      <c r="A6168">
        <f t="shared" si="96"/>
        <v>2803690</v>
      </c>
      <c r="B6168" s="1">
        <v>2019</v>
      </c>
      <c r="C6168" s="1" t="s">
        <v>2505</v>
      </c>
      <c r="D6168" s="1" t="s">
        <v>2506</v>
      </c>
      <c r="E6168" s="1" t="s">
        <v>2019</v>
      </c>
      <c r="F6168" s="1" t="s">
        <v>616</v>
      </c>
      <c r="G6168" s="6">
        <v>1870095</v>
      </c>
      <c r="H6168">
        <f>IFERROR(VLOOKUP(F6168,'LEAID Match'!$A$2:$B$142,2,FALSE),"")</f>
        <v>2803690</v>
      </c>
    </row>
    <row r="6169" spans="1:8" x14ac:dyDescent="0.2">
      <c r="A6169">
        <f t="shared" si="96"/>
        <v>2803690</v>
      </c>
      <c r="B6169" s="1">
        <v>2020</v>
      </c>
      <c r="C6169" s="1" t="s">
        <v>2505</v>
      </c>
      <c r="D6169" s="1" t="s">
        <v>2506</v>
      </c>
      <c r="E6169" s="1" t="s">
        <v>2019</v>
      </c>
      <c r="F6169" s="1" t="s">
        <v>616</v>
      </c>
      <c r="G6169" s="6">
        <v>2208544</v>
      </c>
      <c r="H6169">
        <f>IFERROR(VLOOKUP(F6169,'LEAID Match'!$A$2:$B$142,2,FALSE),"")</f>
        <v>2803690</v>
      </c>
    </row>
    <row r="6170" spans="1:8" x14ac:dyDescent="0.2">
      <c r="A6170">
        <f t="shared" si="96"/>
        <v>2803690</v>
      </c>
      <c r="B6170" s="1">
        <v>2021</v>
      </c>
      <c r="C6170" s="1" t="s">
        <v>2505</v>
      </c>
      <c r="D6170" s="1" t="s">
        <v>2506</v>
      </c>
      <c r="E6170" s="1" t="s">
        <v>2019</v>
      </c>
      <c r="F6170" s="1" t="s">
        <v>616</v>
      </c>
      <c r="G6170" s="6">
        <v>2245974</v>
      </c>
      <c r="H6170">
        <f>IFERROR(VLOOKUP(F6170,'LEAID Match'!$A$2:$B$142,2,FALSE),"")</f>
        <v>2803690</v>
      </c>
    </row>
    <row r="6171" spans="1:8" x14ac:dyDescent="0.2">
      <c r="A6171">
        <f t="shared" si="96"/>
        <v>2803690</v>
      </c>
      <c r="B6171" s="1">
        <v>2022</v>
      </c>
      <c r="C6171" s="1" t="s">
        <v>2505</v>
      </c>
      <c r="D6171" s="1" t="s">
        <v>2506</v>
      </c>
      <c r="E6171" s="1" t="s">
        <v>2019</v>
      </c>
      <c r="F6171" s="1" t="s">
        <v>616</v>
      </c>
      <c r="G6171" s="6">
        <v>2352955</v>
      </c>
      <c r="H6171">
        <f>IFERROR(VLOOKUP(F6171,'LEAID Match'!$A$2:$B$142,2,FALSE),"")</f>
        <v>2803690</v>
      </c>
    </row>
    <row r="6172" spans="1:8" x14ac:dyDescent="0.2">
      <c r="A6172">
        <f t="shared" si="96"/>
        <v>2803690</v>
      </c>
      <c r="B6172" s="1">
        <v>2023</v>
      </c>
      <c r="C6172" s="1" t="s">
        <v>2505</v>
      </c>
      <c r="D6172" s="1" t="s">
        <v>2506</v>
      </c>
      <c r="E6172" s="1" t="s">
        <v>2019</v>
      </c>
      <c r="F6172" s="1" t="s">
        <v>616</v>
      </c>
      <c r="G6172" s="6">
        <v>2663452</v>
      </c>
      <c r="H6172">
        <f>IFERROR(VLOOKUP(F6172,'LEAID Match'!$A$2:$B$142,2,FALSE),"")</f>
        <v>2803690</v>
      </c>
    </row>
    <row r="6173" spans="1:8" x14ac:dyDescent="0.2">
      <c r="A6173">
        <f t="shared" si="96"/>
        <v>2803690</v>
      </c>
      <c r="B6173" s="1">
        <v>2024</v>
      </c>
      <c r="C6173" s="1" t="s">
        <v>2505</v>
      </c>
      <c r="D6173" s="1" t="s">
        <v>2506</v>
      </c>
      <c r="E6173" s="1" t="s">
        <v>2019</v>
      </c>
      <c r="F6173" s="1" t="s">
        <v>616</v>
      </c>
      <c r="G6173" s="6">
        <v>2863848</v>
      </c>
      <c r="H6173">
        <f>IFERROR(VLOOKUP(F6173,'LEAID Match'!$A$2:$B$142,2,FALSE),"")</f>
        <v>2803690</v>
      </c>
    </row>
    <row r="6174" spans="1:8" x14ac:dyDescent="0.2">
      <c r="A6174" t="str">
        <f t="shared" si="96"/>
        <v/>
      </c>
      <c r="B6174" s="1">
        <v>2015</v>
      </c>
      <c r="C6174" s="1" t="s">
        <v>2505</v>
      </c>
      <c r="D6174" s="1" t="s">
        <v>2506</v>
      </c>
      <c r="E6174" s="1" t="s">
        <v>2019</v>
      </c>
      <c r="F6174" s="1" t="s">
        <v>617</v>
      </c>
      <c r="G6174" s="6">
        <v>160734</v>
      </c>
      <c r="H6174" t="str">
        <f>IFERROR(VLOOKUP(F6174,'LEAID Match'!$A$2:$B$142,2,FALSE),"")</f>
        <v/>
      </c>
    </row>
    <row r="6175" spans="1:8" x14ac:dyDescent="0.2">
      <c r="A6175" t="str">
        <f t="shared" si="96"/>
        <v/>
      </c>
      <c r="B6175">
        <v>2016</v>
      </c>
      <c r="C6175" s="1" t="s">
        <v>2505</v>
      </c>
      <c r="D6175" s="1" t="s">
        <v>2506</v>
      </c>
      <c r="E6175" s="1" t="s">
        <v>2019</v>
      </c>
      <c r="F6175" s="1" t="s">
        <v>617</v>
      </c>
      <c r="G6175" s="12">
        <v>165405</v>
      </c>
      <c r="H6175" t="str">
        <f>IFERROR(VLOOKUP(F6175,'LEAID Match'!$A$2:$B$142,2,FALSE),"")</f>
        <v/>
      </c>
    </row>
    <row r="6176" spans="1:8" x14ac:dyDescent="0.2">
      <c r="A6176" t="str">
        <f t="shared" si="96"/>
        <v/>
      </c>
      <c r="B6176" s="1">
        <v>2017</v>
      </c>
      <c r="C6176" s="1" t="s">
        <v>2505</v>
      </c>
      <c r="D6176" s="1" t="s">
        <v>2506</v>
      </c>
      <c r="E6176" s="1" t="s">
        <v>2019</v>
      </c>
      <c r="F6176" s="1" t="s">
        <v>617</v>
      </c>
      <c r="G6176" s="47">
        <v>174138</v>
      </c>
      <c r="H6176" t="str">
        <f>IFERROR(VLOOKUP(F6176,'LEAID Match'!$A$2:$B$142,2,FALSE),"")</f>
        <v/>
      </c>
    </row>
    <row r="6177" spans="1:8" x14ac:dyDescent="0.2">
      <c r="A6177" t="str">
        <f t="shared" si="96"/>
        <v/>
      </c>
      <c r="B6177" s="1">
        <v>2018</v>
      </c>
      <c r="C6177" s="1" t="s">
        <v>2505</v>
      </c>
      <c r="D6177" s="1" t="s">
        <v>2506</v>
      </c>
      <c r="E6177" s="1" t="s">
        <v>2019</v>
      </c>
      <c r="F6177" s="1" t="s">
        <v>617</v>
      </c>
      <c r="G6177" s="6">
        <v>176443</v>
      </c>
      <c r="H6177" t="str">
        <f>IFERROR(VLOOKUP(F6177,'LEAID Match'!$A$2:$B$142,2,FALSE),"")</f>
        <v/>
      </c>
    </row>
    <row r="6178" spans="1:8" x14ac:dyDescent="0.2">
      <c r="A6178" t="str">
        <f t="shared" si="96"/>
        <v/>
      </c>
      <c r="B6178" s="1">
        <v>2019</v>
      </c>
      <c r="C6178" s="1" t="s">
        <v>2505</v>
      </c>
      <c r="D6178" s="1" t="s">
        <v>2506</v>
      </c>
      <c r="E6178" s="1" t="s">
        <v>2019</v>
      </c>
      <c r="F6178" s="1" t="s">
        <v>617</v>
      </c>
      <c r="G6178" s="6">
        <v>176544</v>
      </c>
      <c r="H6178" t="str">
        <f>IFERROR(VLOOKUP(F6178,'LEAID Match'!$A$2:$B$142,2,FALSE),"")</f>
        <v/>
      </c>
    </row>
    <row r="6179" spans="1:8" x14ac:dyDescent="0.2">
      <c r="A6179" t="str">
        <f t="shared" si="96"/>
        <v/>
      </c>
      <c r="B6179" s="1">
        <v>2020</v>
      </c>
      <c r="C6179" s="1" t="s">
        <v>2505</v>
      </c>
      <c r="D6179" s="1" t="s">
        <v>2506</v>
      </c>
      <c r="E6179" s="1" t="s">
        <v>2019</v>
      </c>
      <c r="F6179" s="1" t="s">
        <v>617</v>
      </c>
      <c r="G6179" s="6">
        <v>183387</v>
      </c>
      <c r="H6179" t="str">
        <f>IFERROR(VLOOKUP(F6179,'LEAID Match'!$A$2:$B$142,2,FALSE),"")</f>
        <v/>
      </c>
    </row>
    <row r="6180" spans="1:8" x14ac:dyDescent="0.2">
      <c r="A6180" t="str">
        <f t="shared" si="96"/>
        <v/>
      </c>
      <c r="B6180" s="1">
        <v>2021</v>
      </c>
      <c r="C6180" s="1" t="s">
        <v>2505</v>
      </c>
      <c r="D6180" s="1" t="s">
        <v>2506</v>
      </c>
      <c r="E6180" s="1" t="s">
        <v>2019</v>
      </c>
      <c r="F6180" s="1" t="s">
        <v>617</v>
      </c>
      <c r="G6180" s="6">
        <v>177110</v>
      </c>
      <c r="H6180" t="str">
        <f>IFERROR(VLOOKUP(F6180,'LEAID Match'!$A$2:$B$142,2,FALSE),"")</f>
        <v/>
      </c>
    </row>
    <row r="6181" spans="1:8" x14ac:dyDescent="0.2">
      <c r="A6181" t="str">
        <f t="shared" si="96"/>
        <v/>
      </c>
      <c r="B6181" s="1">
        <v>2022</v>
      </c>
      <c r="C6181" s="1" t="s">
        <v>2505</v>
      </c>
      <c r="D6181" s="1" t="s">
        <v>2506</v>
      </c>
      <c r="E6181" s="1" t="s">
        <v>2019</v>
      </c>
      <c r="F6181" s="1" t="s">
        <v>617</v>
      </c>
      <c r="G6181" s="6">
        <v>186049</v>
      </c>
      <c r="H6181" t="str">
        <f>IFERROR(VLOOKUP(F6181,'LEAID Match'!$A$2:$B$142,2,FALSE),"")</f>
        <v/>
      </c>
    </row>
    <row r="6182" spans="1:8" x14ac:dyDescent="0.2">
      <c r="A6182" t="str">
        <f t="shared" si="96"/>
        <v/>
      </c>
      <c r="B6182" s="1">
        <v>2023</v>
      </c>
      <c r="C6182" s="1" t="s">
        <v>2505</v>
      </c>
      <c r="D6182" s="1" t="s">
        <v>2506</v>
      </c>
      <c r="E6182" s="1" t="s">
        <v>2019</v>
      </c>
      <c r="F6182" s="1" t="s">
        <v>617</v>
      </c>
      <c r="G6182" s="6">
        <v>202168</v>
      </c>
      <c r="H6182" t="str">
        <f>IFERROR(VLOOKUP(F6182,'LEAID Match'!$A$2:$B$142,2,FALSE),"")</f>
        <v/>
      </c>
    </row>
    <row r="6183" spans="1:8" x14ac:dyDescent="0.2">
      <c r="A6183" t="str">
        <f t="shared" si="96"/>
        <v/>
      </c>
      <c r="B6183" s="1">
        <v>2024</v>
      </c>
      <c r="C6183" s="1" t="s">
        <v>2505</v>
      </c>
      <c r="D6183" s="1" t="s">
        <v>2506</v>
      </c>
      <c r="E6183" s="1" t="s">
        <v>2019</v>
      </c>
      <c r="F6183" s="1" t="s">
        <v>617</v>
      </c>
      <c r="G6183" s="6">
        <v>225280</v>
      </c>
      <c r="H6183" t="str">
        <f>IFERROR(VLOOKUP(F6183,'LEAID Match'!$A$2:$B$142,2,FALSE),"")</f>
        <v/>
      </c>
    </row>
    <row r="6184" spans="1:8" x14ac:dyDescent="0.2">
      <c r="A6184">
        <f t="shared" si="96"/>
        <v>2803720</v>
      </c>
      <c r="B6184" s="1">
        <v>2015</v>
      </c>
      <c r="C6184" s="1" t="s">
        <v>2505</v>
      </c>
      <c r="D6184" s="1" t="s">
        <v>2506</v>
      </c>
      <c r="E6184" s="1" t="s">
        <v>2019</v>
      </c>
      <c r="F6184" s="1" t="s">
        <v>618</v>
      </c>
      <c r="G6184" s="6">
        <v>1723916</v>
      </c>
      <c r="H6184">
        <f>IFERROR(VLOOKUP(F6184,'LEAID Match'!$A$2:$B$142,2,FALSE),"")</f>
        <v>2803720</v>
      </c>
    </row>
    <row r="6185" spans="1:8" x14ac:dyDescent="0.2">
      <c r="A6185">
        <f t="shared" si="96"/>
        <v>2803720</v>
      </c>
      <c r="B6185">
        <v>2016</v>
      </c>
      <c r="C6185" s="1" t="s">
        <v>2505</v>
      </c>
      <c r="D6185" s="1" t="s">
        <v>2506</v>
      </c>
      <c r="E6185" s="1" t="s">
        <v>2019</v>
      </c>
      <c r="F6185" s="1" t="s">
        <v>618</v>
      </c>
      <c r="G6185" s="12">
        <v>1676742</v>
      </c>
      <c r="H6185">
        <f>IFERROR(VLOOKUP(F6185,'LEAID Match'!$A$2:$B$142,2,FALSE),"")</f>
        <v>2803720</v>
      </c>
    </row>
    <row r="6186" spans="1:8" x14ac:dyDescent="0.2">
      <c r="A6186">
        <f t="shared" si="96"/>
        <v>2803720</v>
      </c>
      <c r="B6186" s="1">
        <v>2017</v>
      </c>
      <c r="C6186" s="1" t="s">
        <v>2505</v>
      </c>
      <c r="D6186" s="1" t="s">
        <v>2506</v>
      </c>
      <c r="E6186" s="1" t="s">
        <v>2019</v>
      </c>
      <c r="F6186" s="1" t="s">
        <v>618</v>
      </c>
      <c r="G6186" s="47">
        <v>1665133</v>
      </c>
      <c r="H6186">
        <f>IFERROR(VLOOKUP(F6186,'LEAID Match'!$A$2:$B$142,2,FALSE),"")</f>
        <v>2803720</v>
      </c>
    </row>
    <row r="6187" spans="1:8" x14ac:dyDescent="0.2">
      <c r="A6187">
        <f t="shared" si="96"/>
        <v>2803720</v>
      </c>
      <c r="B6187" s="1">
        <v>2018</v>
      </c>
      <c r="C6187" s="1" t="s">
        <v>2505</v>
      </c>
      <c r="D6187" s="1" t="s">
        <v>2506</v>
      </c>
      <c r="E6187" s="1" t="s">
        <v>2019</v>
      </c>
      <c r="F6187" s="1" t="s">
        <v>618</v>
      </c>
      <c r="G6187" s="6">
        <v>1580463</v>
      </c>
      <c r="H6187">
        <f>IFERROR(VLOOKUP(F6187,'LEAID Match'!$A$2:$B$142,2,FALSE),"")</f>
        <v>2803720</v>
      </c>
    </row>
    <row r="6188" spans="1:8" x14ac:dyDescent="0.2">
      <c r="A6188">
        <f t="shared" si="96"/>
        <v>2803720</v>
      </c>
      <c r="B6188" s="1">
        <v>2019</v>
      </c>
      <c r="C6188" s="1" t="s">
        <v>2505</v>
      </c>
      <c r="D6188" s="1" t="s">
        <v>2506</v>
      </c>
      <c r="E6188" s="1" t="s">
        <v>2019</v>
      </c>
      <c r="F6188" s="1" t="s">
        <v>618</v>
      </c>
      <c r="G6188" s="6">
        <v>1672534</v>
      </c>
      <c r="H6188">
        <f>IFERROR(VLOOKUP(F6188,'LEAID Match'!$A$2:$B$142,2,FALSE),"")</f>
        <v>2803720</v>
      </c>
    </row>
    <row r="6189" spans="1:8" x14ac:dyDescent="0.2">
      <c r="A6189">
        <f t="shared" si="96"/>
        <v>2803720</v>
      </c>
      <c r="B6189" s="1">
        <v>2020</v>
      </c>
      <c r="C6189" s="1" t="s">
        <v>2505</v>
      </c>
      <c r="D6189" s="1" t="s">
        <v>2506</v>
      </c>
      <c r="E6189" s="1" t="s">
        <v>2019</v>
      </c>
      <c r="F6189" s="1" t="s">
        <v>618</v>
      </c>
      <c r="G6189" s="6">
        <v>1853209</v>
      </c>
      <c r="H6189">
        <f>IFERROR(VLOOKUP(F6189,'LEAID Match'!$A$2:$B$142,2,FALSE),"")</f>
        <v>2803720</v>
      </c>
    </row>
    <row r="6190" spans="1:8" x14ac:dyDescent="0.2">
      <c r="A6190">
        <f t="shared" si="96"/>
        <v>2803720</v>
      </c>
      <c r="B6190" s="1">
        <v>2021</v>
      </c>
      <c r="C6190" s="1" t="s">
        <v>2505</v>
      </c>
      <c r="D6190" s="1" t="s">
        <v>2506</v>
      </c>
      <c r="E6190" s="1" t="s">
        <v>2019</v>
      </c>
      <c r="F6190" s="1" t="s">
        <v>618</v>
      </c>
      <c r="G6190" s="6">
        <v>1851656</v>
      </c>
      <c r="H6190">
        <f>IFERROR(VLOOKUP(F6190,'LEAID Match'!$A$2:$B$142,2,FALSE),"")</f>
        <v>2803720</v>
      </c>
    </row>
    <row r="6191" spans="1:8" x14ac:dyDescent="0.2">
      <c r="A6191">
        <f t="shared" si="96"/>
        <v>2803720</v>
      </c>
      <c r="B6191" s="1">
        <v>2022</v>
      </c>
      <c r="C6191" s="1" t="s">
        <v>2505</v>
      </c>
      <c r="D6191" s="1" t="s">
        <v>2506</v>
      </c>
      <c r="E6191" s="1" t="s">
        <v>2019</v>
      </c>
      <c r="F6191" s="1" t="s">
        <v>618</v>
      </c>
      <c r="G6191" s="6">
        <v>1974736</v>
      </c>
      <c r="H6191">
        <f>IFERROR(VLOOKUP(F6191,'LEAID Match'!$A$2:$B$142,2,FALSE),"")</f>
        <v>2803720</v>
      </c>
    </row>
    <row r="6192" spans="1:8" x14ac:dyDescent="0.2">
      <c r="A6192">
        <f t="shared" si="96"/>
        <v>2803720</v>
      </c>
      <c r="B6192" s="1">
        <v>2023</v>
      </c>
      <c r="C6192" s="1" t="s">
        <v>2505</v>
      </c>
      <c r="D6192" s="1" t="s">
        <v>2506</v>
      </c>
      <c r="E6192" s="1" t="s">
        <v>2019</v>
      </c>
      <c r="F6192" s="1" t="s">
        <v>618</v>
      </c>
      <c r="G6192" s="6">
        <v>2132083</v>
      </c>
      <c r="H6192">
        <f>IFERROR(VLOOKUP(F6192,'LEAID Match'!$A$2:$B$142,2,FALSE),"")</f>
        <v>2803720</v>
      </c>
    </row>
    <row r="6193" spans="1:8" x14ac:dyDescent="0.2">
      <c r="A6193">
        <f t="shared" si="96"/>
        <v>2803720</v>
      </c>
      <c r="B6193" s="1">
        <v>2024</v>
      </c>
      <c r="C6193" s="1" t="s">
        <v>2505</v>
      </c>
      <c r="D6193" s="1" t="s">
        <v>2506</v>
      </c>
      <c r="E6193" s="1" t="s">
        <v>2019</v>
      </c>
      <c r="F6193" s="1" t="s">
        <v>618</v>
      </c>
      <c r="G6193" s="6">
        <v>2276602</v>
      </c>
      <c r="H6193">
        <f>IFERROR(VLOOKUP(F6193,'LEAID Match'!$A$2:$B$142,2,FALSE),"")</f>
        <v>2803720</v>
      </c>
    </row>
    <row r="6194" spans="1:8" x14ac:dyDescent="0.2">
      <c r="A6194" t="str">
        <f t="shared" si="96"/>
        <v/>
      </c>
      <c r="B6194" s="1">
        <v>2015</v>
      </c>
      <c r="C6194" s="1" t="s">
        <v>2505</v>
      </c>
      <c r="D6194" s="1" t="s">
        <v>2506</v>
      </c>
      <c r="E6194" s="1" t="s">
        <v>2019</v>
      </c>
      <c r="F6194" s="1" t="s">
        <v>619</v>
      </c>
      <c r="G6194" s="6">
        <v>358328</v>
      </c>
      <c r="H6194" t="str">
        <f>IFERROR(VLOOKUP(F6194,'LEAID Match'!$A$2:$B$142,2,FALSE),"")</f>
        <v/>
      </c>
    </row>
    <row r="6195" spans="1:8" x14ac:dyDescent="0.2">
      <c r="A6195" t="str">
        <f t="shared" si="96"/>
        <v/>
      </c>
      <c r="B6195">
        <v>2016</v>
      </c>
      <c r="C6195" s="1" t="s">
        <v>2505</v>
      </c>
      <c r="D6195" s="1" t="s">
        <v>2506</v>
      </c>
      <c r="E6195" s="1" t="s">
        <v>2019</v>
      </c>
      <c r="F6195" s="1" t="s">
        <v>619</v>
      </c>
      <c r="G6195" s="12">
        <v>384089</v>
      </c>
      <c r="H6195" t="str">
        <f>IFERROR(VLOOKUP(F6195,'LEAID Match'!$A$2:$B$142,2,FALSE),"")</f>
        <v/>
      </c>
    </row>
    <row r="6196" spans="1:8" x14ac:dyDescent="0.2">
      <c r="A6196" t="str">
        <f t="shared" si="96"/>
        <v/>
      </c>
      <c r="B6196" s="1">
        <v>2017</v>
      </c>
      <c r="C6196" s="1" t="s">
        <v>2505</v>
      </c>
      <c r="D6196" s="1" t="s">
        <v>2506</v>
      </c>
      <c r="E6196" s="1" t="s">
        <v>2019</v>
      </c>
      <c r="F6196" s="1" t="s">
        <v>619</v>
      </c>
      <c r="G6196" s="47">
        <v>412157</v>
      </c>
      <c r="H6196" t="str">
        <f>IFERROR(VLOOKUP(F6196,'LEAID Match'!$A$2:$B$142,2,FALSE),"")</f>
        <v/>
      </c>
    </row>
    <row r="6197" spans="1:8" x14ac:dyDescent="0.2">
      <c r="A6197" t="str">
        <f t="shared" si="96"/>
        <v/>
      </c>
      <c r="B6197" s="1">
        <v>2018</v>
      </c>
      <c r="C6197" s="1" t="s">
        <v>2505</v>
      </c>
      <c r="D6197" s="1" t="s">
        <v>2506</v>
      </c>
      <c r="E6197" s="1" t="s">
        <v>2019</v>
      </c>
      <c r="F6197" s="1" t="s">
        <v>619</v>
      </c>
      <c r="G6197" s="6">
        <v>414205</v>
      </c>
      <c r="H6197" t="str">
        <f>IFERROR(VLOOKUP(F6197,'LEAID Match'!$A$2:$B$142,2,FALSE),"")</f>
        <v/>
      </c>
    </row>
    <row r="6198" spans="1:8" x14ac:dyDescent="0.2">
      <c r="A6198" t="str">
        <f t="shared" si="96"/>
        <v/>
      </c>
      <c r="B6198" s="1">
        <v>2019</v>
      </c>
      <c r="C6198" s="1" t="s">
        <v>2505</v>
      </c>
      <c r="D6198" s="1" t="s">
        <v>2506</v>
      </c>
      <c r="E6198" s="1" t="s">
        <v>2019</v>
      </c>
      <c r="F6198" s="1" t="s">
        <v>619</v>
      </c>
      <c r="G6198" s="6">
        <v>449256</v>
      </c>
      <c r="H6198" t="str">
        <f>IFERROR(VLOOKUP(F6198,'LEAID Match'!$A$2:$B$142,2,FALSE),"")</f>
        <v/>
      </c>
    </row>
    <row r="6199" spans="1:8" x14ac:dyDescent="0.2">
      <c r="A6199" t="str">
        <f t="shared" si="96"/>
        <v/>
      </c>
      <c r="B6199" s="1">
        <v>2020</v>
      </c>
      <c r="C6199" s="1" t="s">
        <v>2505</v>
      </c>
      <c r="D6199" s="1" t="s">
        <v>2506</v>
      </c>
      <c r="E6199" s="1" t="s">
        <v>2019</v>
      </c>
      <c r="F6199" s="1" t="s">
        <v>619</v>
      </c>
      <c r="G6199" s="6">
        <v>503589</v>
      </c>
      <c r="H6199" t="str">
        <f>IFERROR(VLOOKUP(F6199,'LEAID Match'!$A$2:$B$142,2,FALSE),"")</f>
        <v/>
      </c>
    </row>
    <row r="6200" spans="1:8" x14ac:dyDescent="0.2">
      <c r="A6200" t="str">
        <f t="shared" si="96"/>
        <v/>
      </c>
      <c r="B6200" s="1">
        <v>2021</v>
      </c>
      <c r="C6200" s="1" t="s">
        <v>2505</v>
      </c>
      <c r="D6200" s="1" t="s">
        <v>2506</v>
      </c>
      <c r="E6200" s="1" t="s">
        <v>2019</v>
      </c>
      <c r="F6200" s="1" t="s">
        <v>619</v>
      </c>
      <c r="G6200" s="6">
        <v>482573</v>
      </c>
      <c r="H6200" t="str">
        <f>IFERROR(VLOOKUP(F6200,'LEAID Match'!$A$2:$B$142,2,FALSE),"")</f>
        <v/>
      </c>
    </row>
    <row r="6201" spans="1:8" x14ac:dyDescent="0.2">
      <c r="A6201" t="str">
        <f t="shared" si="96"/>
        <v/>
      </c>
      <c r="B6201" s="1">
        <v>2022</v>
      </c>
      <c r="C6201" s="1" t="s">
        <v>2505</v>
      </c>
      <c r="D6201" s="1" t="s">
        <v>2506</v>
      </c>
      <c r="E6201" s="1" t="s">
        <v>2019</v>
      </c>
      <c r="F6201" s="1" t="s">
        <v>619</v>
      </c>
      <c r="G6201" s="6">
        <v>541111</v>
      </c>
      <c r="H6201" t="str">
        <f>IFERROR(VLOOKUP(F6201,'LEAID Match'!$A$2:$B$142,2,FALSE),"")</f>
        <v/>
      </c>
    </row>
    <row r="6202" spans="1:8" x14ac:dyDescent="0.2">
      <c r="A6202" t="str">
        <f t="shared" si="96"/>
        <v/>
      </c>
      <c r="B6202" s="1">
        <v>2023</v>
      </c>
      <c r="C6202" s="1" t="s">
        <v>2505</v>
      </c>
      <c r="D6202" s="1" t="s">
        <v>2506</v>
      </c>
      <c r="E6202" s="1" t="s">
        <v>2019</v>
      </c>
      <c r="F6202" s="1" t="s">
        <v>619</v>
      </c>
      <c r="G6202" s="6">
        <v>541234</v>
      </c>
      <c r="H6202" t="str">
        <f>IFERROR(VLOOKUP(F6202,'LEAID Match'!$A$2:$B$142,2,FALSE),"")</f>
        <v/>
      </c>
    </row>
    <row r="6203" spans="1:8" x14ac:dyDescent="0.2">
      <c r="A6203" t="str">
        <f t="shared" si="96"/>
        <v/>
      </c>
      <c r="B6203" s="1">
        <v>2024</v>
      </c>
      <c r="C6203" s="1" t="s">
        <v>2505</v>
      </c>
      <c r="D6203" s="1" t="s">
        <v>2506</v>
      </c>
      <c r="E6203" s="1" t="s">
        <v>2019</v>
      </c>
      <c r="F6203" s="1" t="s">
        <v>619</v>
      </c>
      <c r="G6203" s="6">
        <v>511065</v>
      </c>
      <c r="H6203" t="str">
        <f>IFERROR(VLOOKUP(F6203,'LEAID Match'!$A$2:$B$142,2,FALSE),"")</f>
        <v/>
      </c>
    </row>
    <row r="6204" spans="1:8" x14ac:dyDescent="0.2">
      <c r="A6204" t="str">
        <f t="shared" si="96"/>
        <v/>
      </c>
      <c r="B6204" s="1">
        <v>2015</v>
      </c>
      <c r="C6204" s="1" t="s">
        <v>2505</v>
      </c>
      <c r="D6204" s="1" t="s">
        <v>2506</v>
      </c>
      <c r="E6204" s="1" t="s">
        <v>2019</v>
      </c>
      <c r="F6204" s="1" t="s">
        <v>620</v>
      </c>
      <c r="G6204" s="6">
        <v>116908</v>
      </c>
      <c r="H6204" t="str">
        <f>IFERROR(VLOOKUP(F6204,'LEAID Match'!$A$2:$B$142,2,FALSE),"")</f>
        <v/>
      </c>
    </row>
    <row r="6205" spans="1:8" x14ac:dyDescent="0.2">
      <c r="A6205" t="str">
        <f t="shared" si="96"/>
        <v/>
      </c>
      <c r="B6205">
        <v>2016</v>
      </c>
      <c r="C6205" s="1" t="s">
        <v>2505</v>
      </c>
      <c r="D6205" s="1" t="s">
        <v>2506</v>
      </c>
      <c r="E6205" s="1" t="s">
        <v>2019</v>
      </c>
      <c r="F6205" s="1" t="s">
        <v>620</v>
      </c>
      <c r="G6205" s="12">
        <v>119233</v>
      </c>
      <c r="H6205" t="str">
        <f>IFERROR(VLOOKUP(F6205,'LEAID Match'!$A$2:$B$142,2,FALSE),"")</f>
        <v/>
      </c>
    </row>
    <row r="6206" spans="1:8" x14ac:dyDescent="0.2">
      <c r="A6206" t="str">
        <f t="shared" si="96"/>
        <v/>
      </c>
      <c r="B6206" s="1">
        <v>2017</v>
      </c>
      <c r="C6206" s="1" t="s">
        <v>2505</v>
      </c>
      <c r="D6206" s="1" t="s">
        <v>2506</v>
      </c>
      <c r="E6206" s="1" t="s">
        <v>2019</v>
      </c>
      <c r="F6206" s="1" t="s">
        <v>620</v>
      </c>
      <c r="G6206" s="47">
        <v>122121</v>
      </c>
      <c r="H6206" t="str">
        <f>IFERROR(VLOOKUP(F6206,'LEAID Match'!$A$2:$B$142,2,FALSE),"")</f>
        <v/>
      </c>
    </row>
    <row r="6207" spans="1:8" x14ac:dyDescent="0.2">
      <c r="A6207" t="str">
        <f t="shared" si="96"/>
        <v/>
      </c>
      <c r="B6207" s="1">
        <v>2018</v>
      </c>
      <c r="C6207" s="1" t="s">
        <v>2505</v>
      </c>
      <c r="D6207" s="1" t="s">
        <v>2506</v>
      </c>
      <c r="E6207" s="1" t="s">
        <v>2019</v>
      </c>
      <c r="F6207" s="1" t="s">
        <v>620</v>
      </c>
      <c r="G6207" s="6">
        <v>121855</v>
      </c>
      <c r="H6207" t="str">
        <f>IFERROR(VLOOKUP(F6207,'LEAID Match'!$A$2:$B$142,2,FALSE),"")</f>
        <v/>
      </c>
    </row>
    <row r="6208" spans="1:8" x14ac:dyDescent="0.2">
      <c r="A6208" t="str">
        <f t="shared" si="96"/>
        <v/>
      </c>
      <c r="B6208" s="1">
        <v>2019</v>
      </c>
      <c r="C6208" s="1" t="s">
        <v>2505</v>
      </c>
      <c r="D6208" s="1" t="s">
        <v>2506</v>
      </c>
      <c r="E6208" s="1" t="s">
        <v>2019</v>
      </c>
      <c r="F6208" s="1" t="s">
        <v>620</v>
      </c>
      <c r="G6208" s="6">
        <v>130466</v>
      </c>
      <c r="H6208" t="str">
        <f>IFERROR(VLOOKUP(F6208,'LEAID Match'!$A$2:$B$142,2,FALSE),"")</f>
        <v/>
      </c>
    </row>
    <row r="6209" spans="1:8" x14ac:dyDescent="0.2">
      <c r="A6209" t="str">
        <f t="shared" si="96"/>
        <v/>
      </c>
      <c r="B6209" s="1">
        <v>2020</v>
      </c>
      <c r="C6209" s="1" t="s">
        <v>2505</v>
      </c>
      <c r="D6209" s="1" t="s">
        <v>2506</v>
      </c>
      <c r="E6209" s="1" t="s">
        <v>2019</v>
      </c>
      <c r="F6209" s="1" t="s">
        <v>620</v>
      </c>
      <c r="G6209" s="6">
        <v>152795</v>
      </c>
      <c r="H6209" t="str">
        <f>IFERROR(VLOOKUP(F6209,'LEAID Match'!$A$2:$B$142,2,FALSE),"")</f>
        <v/>
      </c>
    </row>
    <row r="6210" spans="1:8" x14ac:dyDescent="0.2">
      <c r="A6210" t="str">
        <f t="shared" si="96"/>
        <v/>
      </c>
      <c r="B6210" s="1">
        <v>2021</v>
      </c>
      <c r="C6210" s="1" t="s">
        <v>2505</v>
      </c>
      <c r="D6210" s="1" t="s">
        <v>2506</v>
      </c>
      <c r="E6210" s="1" t="s">
        <v>2019</v>
      </c>
      <c r="F6210" s="1" t="s">
        <v>620</v>
      </c>
      <c r="G6210" s="6">
        <v>157576</v>
      </c>
      <c r="H6210" t="str">
        <f>IFERROR(VLOOKUP(F6210,'LEAID Match'!$A$2:$B$142,2,FALSE),"")</f>
        <v/>
      </c>
    </row>
    <row r="6211" spans="1:8" x14ac:dyDescent="0.2">
      <c r="A6211" t="str">
        <f t="shared" ref="A6211:A6274" si="97">H6211</f>
        <v/>
      </c>
      <c r="B6211" s="1">
        <v>2022</v>
      </c>
      <c r="C6211" s="1" t="s">
        <v>2505</v>
      </c>
      <c r="D6211" s="1" t="s">
        <v>2506</v>
      </c>
      <c r="E6211" s="1" t="s">
        <v>2019</v>
      </c>
      <c r="F6211" s="1" t="s">
        <v>620</v>
      </c>
      <c r="G6211" s="6">
        <v>157880</v>
      </c>
      <c r="H6211" t="str">
        <f>IFERROR(VLOOKUP(F6211,'LEAID Match'!$A$2:$B$142,2,FALSE),"")</f>
        <v/>
      </c>
    </row>
    <row r="6212" spans="1:8" x14ac:dyDescent="0.2">
      <c r="A6212" t="str">
        <f t="shared" si="97"/>
        <v/>
      </c>
      <c r="B6212" s="1">
        <v>2023</v>
      </c>
      <c r="C6212" s="1" t="s">
        <v>2505</v>
      </c>
      <c r="D6212" s="1" t="s">
        <v>2506</v>
      </c>
      <c r="E6212" s="1" t="s">
        <v>2019</v>
      </c>
      <c r="F6212" s="1" t="s">
        <v>620</v>
      </c>
      <c r="G6212" s="6">
        <v>177701</v>
      </c>
      <c r="H6212" t="str">
        <f>IFERROR(VLOOKUP(F6212,'LEAID Match'!$A$2:$B$142,2,FALSE),"")</f>
        <v/>
      </c>
    </row>
    <row r="6213" spans="1:8" x14ac:dyDescent="0.2">
      <c r="A6213" t="str">
        <f t="shared" si="97"/>
        <v/>
      </c>
      <c r="B6213" s="1">
        <v>2024</v>
      </c>
      <c r="C6213" s="1" t="s">
        <v>2505</v>
      </c>
      <c r="D6213" s="1" t="s">
        <v>2506</v>
      </c>
      <c r="E6213" s="1" t="s">
        <v>2019</v>
      </c>
      <c r="F6213" s="1" t="s">
        <v>620</v>
      </c>
      <c r="G6213" s="6">
        <v>159737</v>
      </c>
      <c r="H6213" t="str">
        <f>IFERROR(VLOOKUP(F6213,'LEAID Match'!$A$2:$B$142,2,FALSE),"")</f>
        <v/>
      </c>
    </row>
    <row r="6214" spans="1:8" x14ac:dyDescent="0.2">
      <c r="A6214" t="str">
        <f t="shared" si="97"/>
        <v/>
      </c>
      <c r="B6214" s="1">
        <v>2015</v>
      </c>
      <c r="C6214" s="1" t="s">
        <v>2505</v>
      </c>
      <c r="D6214" s="1" t="s">
        <v>2506</v>
      </c>
      <c r="E6214" s="1" t="s">
        <v>2019</v>
      </c>
      <c r="F6214" s="1" t="s">
        <v>621</v>
      </c>
      <c r="G6214" s="6">
        <v>14118</v>
      </c>
      <c r="H6214" t="str">
        <f>IFERROR(VLOOKUP(F6214,'LEAID Match'!$A$2:$B$142,2,FALSE),"")</f>
        <v/>
      </c>
    </row>
    <row r="6215" spans="1:8" x14ac:dyDescent="0.2">
      <c r="A6215" t="str">
        <f t="shared" si="97"/>
        <v/>
      </c>
      <c r="B6215">
        <v>2016</v>
      </c>
      <c r="C6215" s="1" t="s">
        <v>2505</v>
      </c>
      <c r="D6215" s="1" t="s">
        <v>2506</v>
      </c>
      <c r="E6215" s="1" t="s">
        <v>2019</v>
      </c>
      <c r="F6215" s="1" t="s">
        <v>621</v>
      </c>
      <c r="G6215" s="12">
        <v>13775</v>
      </c>
      <c r="H6215" t="str">
        <f>IFERROR(VLOOKUP(F6215,'LEAID Match'!$A$2:$B$142,2,FALSE),"")</f>
        <v/>
      </c>
    </row>
    <row r="6216" spans="1:8" x14ac:dyDescent="0.2">
      <c r="A6216" t="str">
        <f t="shared" si="97"/>
        <v/>
      </c>
      <c r="B6216" s="1">
        <v>2017</v>
      </c>
      <c r="C6216" s="1" t="s">
        <v>2505</v>
      </c>
      <c r="D6216" s="1" t="s">
        <v>2506</v>
      </c>
      <c r="E6216" s="1" t="s">
        <v>2019</v>
      </c>
      <c r="F6216" s="1" t="s">
        <v>621</v>
      </c>
      <c r="G6216" s="47">
        <v>7097</v>
      </c>
      <c r="H6216" t="str">
        <f>IFERROR(VLOOKUP(F6216,'LEAID Match'!$A$2:$B$142,2,FALSE),"")</f>
        <v/>
      </c>
    </row>
    <row r="6217" spans="1:8" x14ac:dyDescent="0.2">
      <c r="A6217" t="str">
        <f t="shared" si="97"/>
        <v/>
      </c>
      <c r="B6217" s="1">
        <v>2018</v>
      </c>
      <c r="C6217" s="1" t="s">
        <v>2505</v>
      </c>
      <c r="D6217" s="1" t="s">
        <v>2506</v>
      </c>
      <c r="E6217" s="1" t="s">
        <v>2019</v>
      </c>
      <c r="F6217" s="1" t="s">
        <v>621</v>
      </c>
      <c r="G6217" s="6">
        <v>7597</v>
      </c>
      <c r="H6217" t="str">
        <f>IFERROR(VLOOKUP(F6217,'LEAID Match'!$A$2:$B$142,2,FALSE),"")</f>
        <v/>
      </c>
    </row>
    <row r="6218" spans="1:8" x14ac:dyDescent="0.2">
      <c r="A6218" t="str">
        <f t="shared" si="97"/>
        <v/>
      </c>
      <c r="B6218" s="1">
        <v>2019</v>
      </c>
      <c r="C6218" s="1" t="s">
        <v>2505</v>
      </c>
      <c r="D6218" s="1" t="s">
        <v>2506</v>
      </c>
      <c r="E6218" s="1" t="s">
        <v>2019</v>
      </c>
      <c r="F6218" s="1" t="s">
        <v>621</v>
      </c>
      <c r="G6218" s="6">
        <v>13646</v>
      </c>
      <c r="H6218" t="str">
        <f>IFERROR(VLOOKUP(F6218,'LEAID Match'!$A$2:$B$142,2,FALSE),"")</f>
        <v/>
      </c>
    </row>
    <row r="6219" spans="1:8" x14ac:dyDescent="0.2">
      <c r="A6219" t="str">
        <f t="shared" si="97"/>
        <v/>
      </c>
      <c r="B6219" s="1">
        <v>2020</v>
      </c>
      <c r="C6219" s="1" t="s">
        <v>2505</v>
      </c>
      <c r="D6219" s="1" t="s">
        <v>2506</v>
      </c>
      <c r="E6219" s="1" t="s">
        <v>2019</v>
      </c>
      <c r="F6219" s="1" t="s">
        <v>621</v>
      </c>
      <c r="G6219" s="6">
        <v>15654</v>
      </c>
      <c r="H6219" t="str">
        <f>IFERROR(VLOOKUP(F6219,'LEAID Match'!$A$2:$B$142,2,FALSE),"")</f>
        <v/>
      </c>
    </row>
    <row r="6220" spans="1:8" x14ac:dyDescent="0.2">
      <c r="A6220" t="str">
        <f t="shared" si="97"/>
        <v/>
      </c>
      <c r="B6220" s="1">
        <v>2021</v>
      </c>
      <c r="C6220" s="1" t="s">
        <v>2505</v>
      </c>
      <c r="D6220" s="1" t="s">
        <v>2506</v>
      </c>
      <c r="E6220" s="1" t="s">
        <v>2019</v>
      </c>
      <c r="F6220" s="1" t="s">
        <v>621</v>
      </c>
      <c r="G6220" s="6">
        <v>21898</v>
      </c>
      <c r="H6220" t="str">
        <f>IFERROR(VLOOKUP(F6220,'LEAID Match'!$A$2:$B$142,2,FALSE),"")</f>
        <v/>
      </c>
    </row>
    <row r="6221" spans="1:8" x14ac:dyDescent="0.2">
      <c r="A6221" t="str">
        <f t="shared" si="97"/>
        <v/>
      </c>
      <c r="B6221" s="1">
        <v>2022</v>
      </c>
      <c r="C6221" s="1" t="s">
        <v>2505</v>
      </c>
      <c r="D6221" s="1" t="s">
        <v>2506</v>
      </c>
      <c r="E6221" s="1" t="s">
        <v>2019</v>
      </c>
      <c r="F6221" s="1" t="s">
        <v>621</v>
      </c>
      <c r="G6221" s="6">
        <v>22529</v>
      </c>
      <c r="H6221" t="str">
        <f>IFERROR(VLOOKUP(F6221,'LEAID Match'!$A$2:$B$142,2,FALSE),"")</f>
        <v/>
      </c>
    </row>
    <row r="6222" spans="1:8" x14ac:dyDescent="0.2">
      <c r="A6222" t="str">
        <f t="shared" si="97"/>
        <v/>
      </c>
      <c r="B6222" s="1">
        <v>2023</v>
      </c>
      <c r="C6222" s="1" t="s">
        <v>2505</v>
      </c>
      <c r="D6222" s="1" t="s">
        <v>2506</v>
      </c>
      <c r="E6222" s="1" t="s">
        <v>2019</v>
      </c>
      <c r="F6222" s="1" t="s">
        <v>621</v>
      </c>
      <c r="G6222" s="6">
        <v>23616</v>
      </c>
      <c r="H6222" t="str">
        <f>IFERROR(VLOOKUP(F6222,'LEAID Match'!$A$2:$B$142,2,FALSE),"")</f>
        <v/>
      </c>
    </row>
    <row r="6223" spans="1:8" x14ac:dyDescent="0.2">
      <c r="A6223" t="str">
        <f t="shared" si="97"/>
        <v/>
      </c>
      <c r="B6223" s="1">
        <v>2024</v>
      </c>
      <c r="C6223" s="1" t="s">
        <v>2505</v>
      </c>
      <c r="D6223" s="1" t="s">
        <v>2506</v>
      </c>
      <c r="E6223" s="1" t="s">
        <v>2019</v>
      </c>
      <c r="F6223" s="1" t="s">
        <v>621</v>
      </c>
      <c r="G6223" s="6">
        <v>19752</v>
      </c>
      <c r="H6223" t="str">
        <f>IFERROR(VLOOKUP(F6223,'LEAID Match'!$A$2:$B$142,2,FALSE),"")</f>
        <v/>
      </c>
    </row>
    <row r="6224" spans="1:8" x14ac:dyDescent="0.2">
      <c r="A6224">
        <f t="shared" si="97"/>
        <v>2803750</v>
      </c>
      <c r="B6224" s="1">
        <v>2015</v>
      </c>
      <c r="C6224" s="1" t="s">
        <v>2505</v>
      </c>
      <c r="D6224" s="1" t="s">
        <v>2506</v>
      </c>
      <c r="E6224" s="1" t="s">
        <v>2019</v>
      </c>
      <c r="F6224" s="1" t="s">
        <v>622</v>
      </c>
      <c r="G6224" s="6">
        <v>1886772</v>
      </c>
      <c r="H6224">
        <f>IFERROR(VLOOKUP(F6224,'LEAID Match'!$A$2:$B$142,2,FALSE),"")</f>
        <v>2803750</v>
      </c>
    </row>
    <row r="6225" spans="1:8" x14ac:dyDescent="0.2">
      <c r="A6225">
        <f t="shared" si="97"/>
        <v>2803750</v>
      </c>
      <c r="B6225">
        <v>2016</v>
      </c>
      <c r="C6225" s="1" t="s">
        <v>2505</v>
      </c>
      <c r="D6225" s="1" t="s">
        <v>2506</v>
      </c>
      <c r="E6225" s="1" t="s">
        <v>2019</v>
      </c>
      <c r="F6225" s="1" t="s">
        <v>622</v>
      </c>
      <c r="G6225" s="12">
        <v>1943795</v>
      </c>
      <c r="H6225">
        <f>IFERROR(VLOOKUP(F6225,'LEAID Match'!$A$2:$B$142,2,FALSE),"")</f>
        <v>2803750</v>
      </c>
    </row>
    <row r="6226" spans="1:8" x14ac:dyDescent="0.2">
      <c r="A6226">
        <f t="shared" si="97"/>
        <v>2803750</v>
      </c>
      <c r="B6226" s="1">
        <v>2017</v>
      </c>
      <c r="C6226" s="1" t="s">
        <v>2505</v>
      </c>
      <c r="D6226" s="1" t="s">
        <v>2506</v>
      </c>
      <c r="E6226" s="1" t="s">
        <v>2019</v>
      </c>
      <c r="F6226" s="1" t="s">
        <v>622</v>
      </c>
      <c r="G6226" s="47">
        <v>1964423</v>
      </c>
      <c r="H6226">
        <f>IFERROR(VLOOKUP(F6226,'LEAID Match'!$A$2:$B$142,2,FALSE),"")</f>
        <v>2803750</v>
      </c>
    </row>
    <row r="6227" spans="1:8" x14ac:dyDescent="0.2">
      <c r="A6227">
        <f t="shared" si="97"/>
        <v>2803750</v>
      </c>
      <c r="B6227" s="1">
        <v>2018</v>
      </c>
      <c r="C6227" s="1" t="s">
        <v>2505</v>
      </c>
      <c r="D6227" s="1" t="s">
        <v>2506</v>
      </c>
      <c r="E6227" s="1" t="s">
        <v>2019</v>
      </c>
      <c r="F6227" s="1" t="s">
        <v>622</v>
      </c>
      <c r="G6227" s="6">
        <v>1998123</v>
      </c>
      <c r="H6227">
        <f>IFERROR(VLOOKUP(F6227,'LEAID Match'!$A$2:$B$142,2,FALSE),"")</f>
        <v>2803750</v>
      </c>
    </row>
    <row r="6228" spans="1:8" x14ac:dyDescent="0.2">
      <c r="A6228">
        <f t="shared" si="97"/>
        <v>2803750</v>
      </c>
      <c r="B6228" s="1">
        <v>2019</v>
      </c>
      <c r="C6228" s="1" t="s">
        <v>2505</v>
      </c>
      <c r="D6228" s="1" t="s">
        <v>2506</v>
      </c>
      <c r="E6228" s="1" t="s">
        <v>2019</v>
      </c>
      <c r="F6228" s="1" t="s">
        <v>622</v>
      </c>
      <c r="G6228" s="6">
        <v>1970314</v>
      </c>
      <c r="H6228">
        <f>IFERROR(VLOOKUP(F6228,'LEAID Match'!$A$2:$B$142,2,FALSE),"")</f>
        <v>2803750</v>
      </c>
    </row>
    <row r="6229" spans="1:8" x14ac:dyDescent="0.2">
      <c r="A6229">
        <f t="shared" si="97"/>
        <v>2803750</v>
      </c>
      <c r="B6229" s="1">
        <v>2020</v>
      </c>
      <c r="C6229" s="1" t="s">
        <v>2505</v>
      </c>
      <c r="D6229" s="1" t="s">
        <v>2506</v>
      </c>
      <c r="E6229" s="1" t="s">
        <v>2019</v>
      </c>
      <c r="F6229" s="1" t="s">
        <v>622</v>
      </c>
      <c r="G6229" s="6">
        <v>2134716</v>
      </c>
      <c r="H6229">
        <f>IFERROR(VLOOKUP(F6229,'LEAID Match'!$A$2:$B$142,2,FALSE),"")</f>
        <v>2803750</v>
      </c>
    </row>
    <row r="6230" spans="1:8" x14ac:dyDescent="0.2">
      <c r="A6230">
        <f t="shared" si="97"/>
        <v>2803750</v>
      </c>
      <c r="B6230" s="1">
        <v>2021</v>
      </c>
      <c r="C6230" s="1" t="s">
        <v>2505</v>
      </c>
      <c r="D6230" s="1" t="s">
        <v>2506</v>
      </c>
      <c r="E6230" s="1" t="s">
        <v>2019</v>
      </c>
      <c r="F6230" s="1" t="s">
        <v>622</v>
      </c>
      <c r="G6230" s="6">
        <v>2487376</v>
      </c>
      <c r="H6230">
        <f>IFERROR(VLOOKUP(F6230,'LEAID Match'!$A$2:$B$142,2,FALSE),"")</f>
        <v>2803750</v>
      </c>
    </row>
    <row r="6231" spans="1:8" x14ac:dyDescent="0.2">
      <c r="A6231">
        <f t="shared" si="97"/>
        <v>2803750</v>
      </c>
      <c r="B6231" s="1">
        <v>2022</v>
      </c>
      <c r="C6231" s="1" t="s">
        <v>2505</v>
      </c>
      <c r="D6231" s="1" t="s">
        <v>2506</v>
      </c>
      <c r="E6231" s="1" t="s">
        <v>2019</v>
      </c>
      <c r="F6231" s="1" t="s">
        <v>622</v>
      </c>
      <c r="G6231" s="6">
        <v>2441885</v>
      </c>
      <c r="H6231">
        <f>IFERROR(VLOOKUP(F6231,'LEAID Match'!$A$2:$B$142,2,FALSE),"")</f>
        <v>2803750</v>
      </c>
    </row>
    <row r="6232" spans="1:8" x14ac:dyDescent="0.2">
      <c r="A6232">
        <f t="shared" si="97"/>
        <v>2803750</v>
      </c>
      <c r="B6232" s="1">
        <v>2023</v>
      </c>
      <c r="C6232" s="1" t="s">
        <v>2505</v>
      </c>
      <c r="D6232" s="1" t="s">
        <v>2506</v>
      </c>
      <c r="E6232" s="1" t="s">
        <v>2019</v>
      </c>
      <c r="F6232" s="1" t="s">
        <v>622</v>
      </c>
      <c r="G6232" s="6">
        <v>2705073</v>
      </c>
      <c r="H6232">
        <f>IFERROR(VLOOKUP(F6232,'LEAID Match'!$A$2:$B$142,2,FALSE),"")</f>
        <v>2803750</v>
      </c>
    </row>
    <row r="6233" spans="1:8" x14ac:dyDescent="0.2">
      <c r="A6233">
        <f t="shared" si="97"/>
        <v>2803750</v>
      </c>
      <c r="B6233" s="1">
        <v>2024</v>
      </c>
      <c r="C6233" s="1" t="s">
        <v>2505</v>
      </c>
      <c r="D6233" s="1" t="s">
        <v>2506</v>
      </c>
      <c r="E6233" s="1" t="s">
        <v>2019</v>
      </c>
      <c r="F6233" s="1" t="s">
        <v>622</v>
      </c>
      <c r="G6233" s="6">
        <v>2750606</v>
      </c>
      <c r="H6233">
        <f>IFERROR(VLOOKUP(F6233,'LEAID Match'!$A$2:$B$142,2,FALSE),"")</f>
        <v>2803750</v>
      </c>
    </row>
    <row r="6234" spans="1:8" x14ac:dyDescent="0.2">
      <c r="A6234" t="str">
        <f t="shared" si="97"/>
        <v/>
      </c>
      <c r="B6234" s="1">
        <v>2015</v>
      </c>
      <c r="C6234" s="1" t="s">
        <v>2505</v>
      </c>
      <c r="D6234" s="1" t="s">
        <v>2506</v>
      </c>
      <c r="E6234" s="1" t="s">
        <v>2019</v>
      </c>
      <c r="F6234" s="1" t="s">
        <v>623</v>
      </c>
      <c r="G6234" s="6">
        <v>551221</v>
      </c>
      <c r="H6234" t="str">
        <f>IFERROR(VLOOKUP(F6234,'LEAID Match'!$A$2:$B$142,2,FALSE),"")</f>
        <v/>
      </c>
    </row>
    <row r="6235" spans="1:8" x14ac:dyDescent="0.2">
      <c r="A6235" t="str">
        <f t="shared" si="97"/>
        <v/>
      </c>
      <c r="B6235">
        <v>2016</v>
      </c>
      <c r="C6235" s="1" t="s">
        <v>2505</v>
      </c>
      <c r="D6235" s="1" t="s">
        <v>2506</v>
      </c>
      <c r="E6235" s="1" t="s">
        <v>2019</v>
      </c>
      <c r="F6235" s="1" t="s">
        <v>623</v>
      </c>
      <c r="G6235" s="12">
        <v>566521</v>
      </c>
      <c r="H6235" t="str">
        <f>IFERROR(VLOOKUP(F6235,'LEAID Match'!$A$2:$B$142,2,FALSE),"")</f>
        <v/>
      </c>
    </row>
    <row r="6236" spans="1:8" x14ac:dyDescent="0.2">
      <c r="A6236" t="str">
        <f t="shared" si="97"/>
        <v/>
      </c>
      <c r="B6236" s="1">
        <v>2017</v>
      </c>
      <c r="C6236" s="1" t="s">
        <v>2505</v>
      </c>
      <c r="D6236" s="1" t="s">
        <v>2506</v>
      </c>
      <c r="E6236" s="1" t="s">
        <v>2019</v>
      </c>
      <c r="F6236" s="1" t="s">
        <v>623</v>
      </c>
      <c r="G6236" s="47">
        <v>572441</v>
      </c>
      <c r="H6236" t="str">
        <f>IFERROR(VLOOKUP(F6236,'LEAID Match'!$A$2:$B$142,2,FALSE),"")</f>
        <v/>
      </c>
    </row>
    <row r="6237" spans="1:8" x14ac:dyDescent="0.2">
      <c r="A6237" t="str">
        <f t="shared" si="97"/>
        <v/>
      </c>
      <c r="B6237" s="1">
        <v>2018</v>
      </c>
      <c r="C6237" s="1" t="s">
        <v>2505</v>
      </c>
      <c r="D6237" s="1" t="s">
        <v>2506</v>
      </c>
      <c r="E6237" s="1" t="s">
        <v>2019</v>
      </c>
      <c r="F6237" s="1" t="s">
        <v>623</v>
      </c>
      <c r="G6237" s="6">
        <v>584147</v>
      </c>
      <c r="H6237" t="str">
        <f>IFERROR(VLOOKUP(F6237,'LEAID Match'!$A$2:$B$142,2,FALSE),"")</f>
        <v/>
      </c>
    </row>
    <row r="6238" spans="1:8" x14ac:dyDescent="0.2">
      <c r="A6238" t="str">
        <f t="shared" si="97"/>
        <v/>
      </c>
      <c r="B6238" s="1">
        <v>2019</v>
      </c>
      <c r="C6238" s="1" t="s">
        <v>2505</v>
      </c>
      <c r="D6238" s="1" t="s">
        <v>2506</v>
      </c>
      <c r="E6238" s="1" t="s">
        <v>2019</v>
      </c>
      <c r="F6238" s="1" t="s">
        <v>623</v>
      </c>
      <c r="G6238" s="6">
        <v>596968</v>
      </c>
      <c r="H6238" t="str">
        <f>IFERROR(VLOOKUP(F6238,'LEAID Match'!$A$2:$B$142,2,FALSE),"")</f>
        <v/>
      </c>
    </row>
    <row r="6239" spans="1:8" x14ac:dyDescent="0.2">
      <c r="A6239" t="str">
        <f t="shared" si="97"/>
        <v/>
      </c>
      <c r="B6239" s="1">
        <v>2020</v>
      </c>
      <c r="C6239" s="1" t="s">
        <v>2505</v>
      </c>
      <c r="D6239" s="1" t="s">
        <v>2506</v>
      </c>
      <c r="E6239" s="1" t="s">
        <v>2019</v>
      </c>
      <c r="F6239" s="1" t="s">
        <v>623</v>
      </c>
      <c r="G6239" s="6">
        <v>651850</v>
      </c>
      <c r="H6239" t="str">
        <f>IFERROR(VLOOKUP(F6239,'LEAID Match'!$A$2:$B$142,2,FALSE),"")</f>
        <v/>
      </c>
    </row>
    <row r="6240" spans="1:8" x14ac:dyDescent="0.2">
      <c r="A6240" t="str">
        <f t="shared" si="97"/>
        <v/>
      </c>
      <c r="B6240" s="1">
        <v>2021</v>
      </c>
      <c r="C6240" s="1" t="s">
        <v>2505</v>
      </c>
      <c r="D6240" s="1" t="s">
        <v>2506</v>
      </c>
      <c r="E6240" s="1" t="s">
        <v>2019</v>
      </c>
      <c r="F6240" s="1" t="s">
        <v>623</v>
      </c>
      <c r="G6240" s="6">
        <v>671054</v>
      </c>
      <c r="H6240" t="str">
        <f>IFERROR(VLOOKUP(F6240,'LEAID Match'!$A$2:$B$142,2,FALSE),"")</f>
        <v/>
      </c>
    </row>
    <row r="6241" spans="1:8" x14ac:dyDescent="0.2">
      <c r="A6241" t="str">
        <f t="shared" si="97"/>
        <v/>
      </c>
      <c r="B6241" s="1">
        <v>2022</v>
      </c>
      <c r="C6241" s="1" t="s">
        <v>2505</v>
      </c>
      <c r="D6241" s="1" t="s">
        <v>2506</v>
      </c>
      <c r="E6241" s="1" t="s">
        <v>2019</v>
      </c>
      <c r="F6241" s="1" t="s">
        <v>623</v>
      </c>
      <c r="G6241" s="6">
        <v>739409</v>
      </c>
      <c r="H6241" t="str">
        <f>IFERROR(VLOOKUP(F6241,'LEAID Match'!$A$2:$B$142,2,FALSE),"")</f>
        <v/>
      </c>
    </row>
    <row r="6242" spans="1:8" x14ac:dyDescent="0.2">
      <c r="A6242" t="str">
        <f t="shared" si="97"/>
        <v/>
      </c>
      <c r="B6242" s="1">
        <v>2023</v>
      </c>
      <c r="C6242" s="1" t="s">
        <v>2505</v>
      </c>
      <c r="D6242" s="1" t="s">
        <v>2506</v>
      </c>
      <c r="E6242" s="1" t="s">
        <v>2019</v>
      </c>
      <c r="F6242" s="1" t="s">
        <v>623</v>
      </c>
      <c r="G6242" s="6">
        <v>794429</v>
      </c>
      <c r="H6242" t="str">
        <f>IFERROR(VLOOKUP(F6242,'LEAID Match'!$A$2:$B$142,2,FALSE),"")</f>
        <v/>
      </c>
    </row>
    <row r="6243" spans="1:8" x14ac:dyDescent="0.2">
      <c r="A6243" t="str">
        <f t="shared" si="97"/>
        <v/>
      </c>
      <c r="B6243" s="1">
        <v>2024</v>
      </c>
      <c r="C6243" s="1" t="s">
        <v>2505</v>
      </c>
      <c r="D6243" s="1" t="s">
        <v>2506</v>
      </c>
      <c r="E6243" s="1" t="s">
        <v>2019</v>
      </c>
      <c r="F6243" s="1" t="s">
        <v>623</v>
      </c>
      <c r="G6243" s="6">
        <v>832652</v>
      </c>
      <c r="H6243" t="str">
        <f>IFERROR(VLOOKUP(F6243,'LEAID Match'!$A$2:$B$142,2,FALSE),"")</f>
        <v/>
      </c>
    </row>
    <row r="6244" spans="1:8" x14ac:dyDescent="0.2">
      <c r="A6244" t="str">
        <f t="shared" si="97"/>
        <v/>
      </c>
      <c r="B6244" s="1">
        <v>2015</v>
      </c>
      <c r="C6244" s="1" t="s">
        <v>2505</v>
      </c>
      <c r="D6244" s="1" t="s">
        <v>2506</v>
      </c>
      <c r="E6244" s="1" t="s">
        <v>2019</v>
      </c>
      <c r="F6244" s="1" t="s">
        <v>891</v>
      </c>
      <c r="G6244" s="6">
        <v>1802</v>
      </c>
      <c r="H6244" t="str">
        <f>IFERROR(VLOOKUP(F6244,'LEAID Match'!$A$2:$B$142,2,FALSE),"")</f>
        <v/>
      </c>
    </row>
    <row r="6245" spans="1:8" x14ac:dyDescent="0.2">
      <c r="A6245" t="str">
        <f t="shared" si="97"/>
        <v/>
      </c>
      <c r="B6245">
        <v>2016</v>
      </c>
      <c r="C6245" s="1" t="s">
        <v>2505</v>
      </c>
      <c r="D6245" s="1" t="s">
        <v>2506</v>
      </c>
      <c r="E6245" s="1" t="s">
        <v>2019</v>
      </c>
      <c r="F6245" s="1" t="s">
        <v>891</v>
      </c>
      <c r="G6245" s="12">
        <v>1871</v>
      </c>
      <c r="H6245" t="str">
        <f>IFERROR(VLOOKUP(F6245,'LEAID Match'!$A$2:$B$142,2,FALSE),"")</f>
        <v/>
      </c>
    </row>
    <row r="6246" spans="1:8" x14ac:dyDescent="0.2">
      <c r="A6246" t="str">
        <f t="shared" si="97"/>
        <v/>
      </c>
      <c r="B6246" s="1">
        <v>2017</v>
      </c>
      <c r="C6246" s="1" t="s">
        <v>2505</v>
      </c>
      <c r="D6246" s="1" t="s">
        <v>2506</v>
      </c>
      <c r="E6246" s="1" t="s">
        <v>2019</v>
      </c>
      <c r="F6246" s="1" t="s">
        <v>891</v>
      </c>
      <c r="G6246" s="47">
        <v>1733</v>
      </c>
      <c r="H6246" t="str">
        <f>IFERROR(VLOOKUP(F6246,'LEAID Match'!$A$2:$B$142,2,FALSE),"")</f>
        <v/>
      </c>
    </row>
    <row r="6247" spans="1:8" x14ac:dyDescent="0.2">
      <c r="A6247" t="str">
        <f t="shared" si="97"/>
        <v/>
      </c>
      <c r="B6247" s="1">
        <v>2018</v>
      </c>
      <c r="C6247" s="1" t="s">
        <v>2505</v>
      </c>
      <c r="D6247" s="1" t="s">
        <v>2506</v>
      </c>
      <c r="E6247" s="1" t="s">
        <v>2019</v>
      </c>
      <c r="F6247" s="1" t="s">
        <v>891</v>
      </c>
      <c r="G6247" s="6">
        <v>1871</v>
      </c>
      <c r="H6247" t="str">
        <f>IFERROR(VLOOKUP(F6247,'LEAID Match'!$A$2:$B$142,2,FALSE),"")</f>
        <v/>
      </c>
    </row>
    <row r="6248" spans="1:8" x14ac:dyDescent="0.2">
      <c r="A6248" t="str">
        <f t="shared" si="97"/>
        <v/>
      </c>
      <c r="B6248" s="1">
        <v>2019</v>
      </c>
      <c r="C6248" s="1" t="s">
        <v>2505</v>
      </c>
      <c r="D6248" s="1" t="s">
        <v>2506</v>
      </c>
      <c r="E6248" s="1" t="s">
        <v>2019</v>
      </c>
      <c r="F6248" s="1" t="s">
        <v>891</v>
      </c>
      <c r="G6248" s="6">
        <v>1455</v>
      </c>
      <c r="H6248" t="str">
        <f>IFERROR(VLOOKUP(F6248,'LEAID Match'!$A$2:$B$142,2,FALSE),"")</f>
        <v/>
      </c>
    </row>
    <row r="6249" spans="1:8" x14ac:dyDescent="0.2">
      <c r="A6249" t="str">
        <f t="shared" si="97"/>
        <v/>
      </c>
      <c r="B6249" s="1">
        <v>2020</v>
      </c>
      <c r="C6249" s="1" t="s">
        <v>2505</v>
      </c>
      <c r="D6249" s="1" t="s">
        <v>2506</v>
      </c>
      <c r="E6249" s="1" t="s">
        <v>2019</v>
      </c>
      <c r="F6249" s="1" t="s">
        <v>891</v>
      </c>
      <c r="G6249" s="6">
        <v>2382</v>
      </c>
      <c r="H6249" t="str">
        <f>IFERROR(VLOOKUP(F6249,'LEAID Match'!$A$2:$B$142,2,FALSE),"")</f>
        <v/>
      </c>
    </row>
    <row r="6250" spans="1:8" x14ac:dyDescent="0.2">
      <c r="A6250" t="str">
        <f t="shared" si="97"/>
        <v/>
      </c>
      <c r="B6250" s="1">
        <v>2021</v>
      </c>
      <c r="C6250" s="1" t="s">
        <v>2505</v>
      </c>
      <c r="D6250" s="1" t="s">
        <v>2506</v>
      </c>
      <c r="E6250" s="1" t="s">
        <v>2019</v>
      </c>
      <c r="F6250" s="1" t="s">
        <v>891</v>
      </c>
      <c r="G6250" s="6">
        <v>4350</v>
      </c>
      <c r="H6250" t="str">
        <f>IFERROR(VLOOKUP(F6250,'LEAID Match'!$A$2:$B$142,2,FALSE),"")</f>
        <v/>
      </c>
    </row>
    <row r="6251" spans="1:8" x14ac:dyDescent="0.2">
      <c r="A6251" t="str">
        <f t="shared" si="97"/>
        <v/>
      </c>
      <c r="B6251" s="1">
        <v>2022</v>
      </c>
      <c r="C6251" s="1" t="s">
        <v>2505</v>
      </c>
      <c r="D6251" s="1" t="s">
        <v>2506</v>
      </c>
      <c r="E6251" s="1" t="s">
        <v>2019</v>
      </c>
      <c r="F6251" s="1" t="s">
        <v>891</v>
      </c>
      <c r="G6251" s="6">
        <v>4183</v>
      </c>
      <c r="H6251" t="str">
        <f>IFERROR(VLOOKUP(F6251,'LEAID Match'!$A$2:$B$142,2,FALSE),"")</f>
        <v/>
      </c>
    </row>
    <row r="6252" spans="1:8" x14ac:dyDescent="0.2">
      <c r="A6252" t="str">
        <f t="shared" si="97"/>
        <v/>
      </c>
      <c r="B6252" s="1">
        <v>2023</v>
      </c>
      <c r="C6252" s="1" t="s">
        <v>2505</v>
      </c>
      <c r="D6252" s="1" t="s">
        <v>2506</v>
      </c>
      <c r="E6252" s="1" t="s">
        <v>2019</v>
      </c>
      <c r="F6252" s="1" t="s">
        <v>891</v>
      </c>
      <c r="G6252" s="6">
        <v>4534</v>
      </c>
      <c r="H6252" t="str">
        <f>IFERROR(VLOOKUP(F6252,'LEAID Match'!$A$2:$B$142,2,FALSE),"")</f>
        <v/>
      </c>
    </row>
    <row r="6253" spans="1:8" x14ac:dyDescent="0.2">
      <c r="A6253" t="str">
        <f t="shared" si="97"/>
        <v/>
      </c>
      <c r="B6253" s="1">
        <v>2015</v>
      </c>
      <c r="C6253" s="1" t="s">
        <v>2505</v>
      </c>
      <c r="D6253" s="1" t="s">
        <v>2506</v>
      </c>
      <c r="E6253" s="1" t="s">
        <v>2019</v>
      </c>
      <c r="F6253" s="1" t="s">
        <v>624</v>
      </c>
      <c r="G6253" s="6">
        <v>87446</v>
      </c>
      <c r="H6253" t="str">
        <f>IFERROR(VLOOKUP(F6253,'LEAID Match'!$A$2:$B$142,2,FALSE),"")</f>
        <v/>
      </c>
    </row>
    <row r="6254" spans="1:8" x14ac:dyDescent="0.2">
      <c r="A6254" t="str">
        <f t="shared" si="97"/>
        <v/>
      </c>
      <c r="B6254">
        <v>2016</v>
      </c>
      <c r="C6254" s="1" t="s">
        <v>2505</v>
      </c>
      <c r="D6254" s="1" t="s">
        <v>2506</v>
      </c>
      <c r="E6254" s="1" t="s">
        <v>2019</v>
      </c>
      <c r="F6254" s="1" t="s">
        <v>624</v>
      </c>
      <c r="G6254" s="12">
        <v>92742</v>
      </c>
      <c r="H6254" t="str">
        <f>IFERROR(VLOOKUP(F6254,'LEAID Match'!$A$2:$B$142,2,FALSE),"")</f>
        <v/>
      </c>
    </row>
    <row r="6255" spans="1:8" x14ac:dyDescent="0.2">
      <c r="A6255" t="str">
        <f t="shared" si="97"/>
        <v/>
      </c>
      <c r="B6255" s="1">
        <v>2017</v>
      </c>
      <c r="C6255" s="1" t="s">
        <v>2505</v>
      </c>
      <c r="D6255" s="1" t="s">
        <v>2506</v>
      </c>
      <c r="E6255" s="1" t="s">
        <v>2019</v>
      </c>
      <c r="F6255" s="1" t="s">
        <v>624</v>
      </c>
      <c r="G6255" s="47">
        <v>93668</v>
      </c>
      <c r="H6255" t="str">
        <f>IFERROR(VLOOKUP(F6255,'LEAID Match'!$A$2:$B$142,2,FALSE),"")</f>
        <v/>
      </c>
    </row>
    <row r="6256" spans="1:8" x14ac:dyDescent="0.2">
      <c r="A6256" t="str">
        <f t="shared" si="97"/>
        <v/>
      </c>
      <c r="B6256" s="1">
        <v>2018</v>
      </c>
      <c r="C6256" s="1" t="s">
        <v>2505</v>
      </c>
      <c r="D6256" s="1" t="s">
        <v>2506</v>
      </c>
      <c r="E6256" s="1" t="s">
        <v>2019</v>
      </c>
      <c r="F6256" s="1" t="s">
        <v>624</v>
      </c>
      <c r="G6256" s="6">
        <v>90480</v>
      </c>
      <c r="H6256" t="str">
        <f>IFERROR(VLOOKUP(F6256,'LEAID Match'!$A$2:$B$142,2,FALSE),"")</f>
        <v/>
      </c>
    </row>
    <row r="6257" spans="1:8" x14ac:dyDescent="0.2">
      <c r="A6257" t="str">
        <f t="shared" si="97"/>
        <v/>
      </c>
      <c r="B6257" s="1">
        <v>2019</v>
      </c>
      <c r="C6257" s="1" t="s">
        <v>2505</v>
      </c>
      <c r="D6257" s="1" t="s">
        <v>2506</v>
      </c>
      <c r="E6257" s="1" t="s">
        <v>2019</v>
      </c>
      <c r="F6257" s="1" t="s">
        <v>624</v>
      </c>
      <c r="G6257" s="6">
        <v>87613</v>
      </c>
      <c r="H6257" t="str">
        <f>IFERROR(VLOOKUP(F6257,'LEAID Match'!$A$2:$B$142,2,FALSE),"")</f>
        <v/>
      </c>
    </row>
    <row r="6258" spans="1:8" x14ac:dyDescent="0.2">
      <c r="A6258" t="str">
        <f t="shared" si="97"/>
        <v/>
      </c>
      <c r="B6258" s="1">
        <v>2020</v>
      </c>
      <c r="C6258" s="1" t="s">
        <v>2505</v>
      </c>
      <c r="D6258" s="1" t="s">
        <v>2506</v>
      </c>
      <c r="E6258" s="1" t="s">
        <v>2019</v>
      </c>
      <c r="F6258" s="1" t="s">
        <v>624</v>
      </c>
      <c r="G6258" s="6">
        <v>93756</v>
      </c>
      <c r="H6258" t="str">
        <f>IFERROR(VLOOKUP(F6258,'LEAID Match'!$A$2:$B$142,2,FALSE),"")</f>
        <v/>
      </c>
    </row>
    <row r="6259" spans="1:8" x14ac:dyDescent="0.2">
      <c r="A6259" t="str">
        <f t="shared" si="97"/>
        <v/>
      </c>
      <c r="B6259" s="1">
        <v>2021</v>
      </c>
      <c r="C6259" s="1" t="s">
        <v>2505</v>
      </c>
      <c r="D6259" s="1" t="s">
        <v>2506</v>
      </c>
      <c r="E6259" s="1" t="s">
        <v>2019</v>
      </c>
      <c r="F6259" s="1" t="s">
        <v>624</v>
      </c>
      <c r="G6259" s="6">
        <v>97949</v>
      </c>
      <c r="H6259" t="str">
        <f>IFERROR(VLOOKUP(F6259,'LEAID Match'!$A$2:$B$142,2,FALSE),"")</f>
        <v/>
      </c>
    </row>
    <row r="6260" spans="1:8" x14ac:dyDescent="0.2">
      <c r="A6260" t="str">
        <f t="shared" si="97"/>
        <v/>
      </c>
      <c r="B6260" s="1">
        <v>2022</v>
      </c>
      <c r="C6260" s="1" t="s">
        <v>2505</v>
      </c>
      <c r="D6260" s="1" t="s">
        <v>2506</v>
      </c>
      <c r="E6260" s="1" t="s">
        <v>2019</v>
      </c>
      <c r="F6260" s="1" t="s">
        <v>624</v>
      </c>
      <c r="G6260" s="6">
        <v>99043</v>
      </c>
      <c r="H6260" t="str">
        <f>IFERROR(VLOOKUP(F6260,'LEAID Match'!$A$2:$B$142,2,FALSE),"")</f>
        <v/>
      </c>
    </row>
    <row r="6261" spans="1:8" x14ac:dyDescent="0.2">
      <c r="A6261" t="str">
        <f t="shared" si="97"/>
        <v/>
      </c>
      <c r="B6261" s="1">
        <v>2023</v>
      </c>
      <c r="C6261" s="1" t="s">
        <v>2505</v>
      </c>
      <c r="D6261" s="1" t="s">
        <v>2506</v>
      </c>
      <c r="E6261" s="1" t="s">
        <v>2019</v>
      </c>
      <c r="F6261" s="1" t="s">
        <v>624</v>
      </c>
      <c r="G6261" s="6">
        <v>105698</v>
      </c>
      <c r="H6261" t="str">
        <f>IFERROR(VLOOKUP(F6261,'LEAID Match'!$A$2:$B$142,2,FALSE),"")</f>
        <v/>
      </c>
    </row>
    <row r="6262" spans="1:8" x14ac:dyDescent="0.2">
      <c r="A6262" t="str">
        <f t="shared" si="97"/>
        <v/>
      </c>
      <c r="B6262" s="1">
        <v>2024</v>
      </c>
      <c r="C6262" s="1" t="s">
        <v>2505</v>
      </c>
      <c r="D6262" s="1" t="s">
        <v>2506</v>
      </c>
      <c r="E6262" s="1" t="s">
        <v>2019</v>
      </c>
      <c r="F6262" s="1" t="s">
        <v>624</v>
      </c>
      <c r="G6262" s="6">
        <v>108250</v>
      </c>
      <c r="H6262" t="str">
        <f>IFERROR(VLOOKUP(F6262,'LEAID Match'!$A$2:$B$142,2,FALSE),"")</f>
        <v/>
      </c>
    </row>
    <row r="6263" spans="1:8" x14ac:dyDescent="0.2">
      <c r="A6263" t="str">
        <f t="shared" si="97"/>
        <v/>
      </c>
      <c r="B6263" s="1">
        <v>2015</v>
      </c>
      <c r="C6263" s="1" t="s">
        <v>2505</v>
      </c>
      <c r="D6263" s="1" t="s">
        <v>2506</v>
      </c>
      <c r="E6263" s="1" t="s">
        <v>2019</v>
      </c>
      <c r="F6263" s="1" t="s">
        <v>625</v>
      </c>
      <c r="G6263" s="6">
        <v>40124</v>
      </c>
      <c r="H6263" t="str">
        <f>IFERROR(VLOOKUP(F6263,'LEAID Match'!$A$2:$B$142,2,FALSE),"")</f>
        <v/>
      </c>
    </row>
    <row r="6264" spans="1:8" x14ac:dyDescent="0.2">
      <c r="A6264" t="str">
        <f t="shared" si="97"/>
        <v/>
      </c>
      <c r="B6264">
        <v>2016</v>
      </c>
      <c r="C6264" s="1" t="s">
        <v>2505</v>
      </c>
      <c r="D6264" s="1" t="s">
        <v>2506</v>
      </c>
      <c r="E6264" s="1" t="s">
        <v>2019</v>
      </c>
      <c r="F6264" s="1" t="s">
        <v>625</v>
      </c>
      <c r="G6264" s="12">
        <v>40768</v>
      </c>
      <c r="H6264" t="str">
        <f>IFERROR(VLOOKUP(F6264,'LEAID Match'!$A$2:$B$142,2,FALSE),"")</f>
        <v/>
      </c>
    </row>
    <row r="6265" spans="1:8" x14ac:dyDescent="0.2">
      <c r="A6265" t="str">
        <f t="shared" si="97"/>
        <v/>
      </c>
      <c r="B6265" s="1">
        <v>2017</v>
      </c>
      <c r="C6265" s="1" t="s">
        <v>2505</v>
      </c>
      <c r="D6265" s="1" t="s">
        <v>2506</v>
      </c>
      <c r="E6265" s="1" t="s">
        <v>2019</v>
      </c>
      <c r="F6265" s="1" t="s">
        <v>625</v>
      </c>
      <c r="G6265" s="47">
        <v>42417</v>
      </c>
      <c r="H6265" t="str">
        <f>IFERROR(VLOOKUP(F6265,'LEAID Match'!$A$2:$B$142,2,FALSE),"")</f>
        <v/>
      </c>
    </row>
    <row r="6266" spans="1:8" x14ac:dyDescent="0.2">
      <c r="A6266" t="str">
        <f t="shared" si="97"/>
        <v/>
      </c>
      <c r="B6266" s="1">
        <v>2018</v>
      </c>
      <c r="C6266" s="1" t="s">
        <v>2505</v>
      </c>
      <c r="D6266" s="1" t="s">
        <v>2506</v>
      </c>
      <c r="E6266" s="1" t="s">
        <v>2019</v>
      </c>
      <c r="F6266" s="1" t="s">
        <v>625</v>
      </c>
      <c r="G6266" s="6">
        <v>43910</v>
      </c>
      <c r="H6266" t="str">
        <f>IFERROR(VLOOKUP(F6266,'LEAID Match'!$A$2:$B$142,2,FALSE),"")</f>
        <v/>
      </c>
    </row>
    <row r="6267" spans="1:8" x14ac:dyDescent="0.2">
      <c r="A6267" t="str">
        <f t="shared" si="97"/>
        <v/>
      </c>
      <c r="B6267" s="1">
        <v>2019</v>
      </c>
      <c r="C6267" s="1" t="s">
        <v>2505</v>
      </c>
      <c r="D6267" s="1" t="s">
        <v>2506</v>
      </c>
      <c r="E6267" s="1" t="s">
        <v>2019</v>
      </c>
      <c r="F6267" s="1" t="s">
        <v>625</v>
      </c>
      <c r="G6267" s="6">
        <v>42549</v>
      </c>
      <c r="H6267" t="str">
        <f>IFERROR(VLOOKUP(F6267,'LEAID Match'!$A$2:$B$142,2,FALSE),"")</f>
        <v/>
      </c>
    </row>
    <row r="6268" spans="1:8" x14ac:dyDescent="0.2">
      <c r="A6268" t="str">
        <f t="shared" si="97"/>
        <v/>
      </c>
      <c r="B6268" s="1">
        <v>2020</v>
      </c>
      <c r="C6268" s="1" t="s">
        <v>2505</v>
      </c>
      <c r="D6268" s="1" t="s">
        <v>2506</v>
      </c>
      <c r="E6268" s="1" t="s">
        <v>2019</v>
      </c>
      <c r="F6268" s="1" t="s">
        <v>625</v>
      </c>
      <c r="G6268" s="6">
        <v>41980</v>
      </c>
      <c r="H6268" t="str">
        <f>IFERROR(VLOOKUP(F6268,'LEAID Match'!$A$2:$B$142,2,FALSE),"")</f>
        <v/>
      </c>
    </row>
    <row r="6269" spans="1:8" x14ac:dyDescent="0.2">
      <c r="A6269" t="str">
        <f t="shared" si="97"/>
        <v/>
      </c>
      <c r="B6269" s="1">
        <v>2021</v>
      </c>
      <c r="C6269" s="1" t="s">
        <v>2505</v>
      </c>
      <c r="D6269" s="1" t="s">
        <v>2506</v>
      </c>
      <c r="E6269" s="1" t="s">
        <v>2019</v>
      </c>
      <c r="F6269" s="1" t="s">
        <v>625</v>
      </c>
      <c r="G6269" s="6">
        <v>40526</v>
      </c>
      <c r="H6269" t="str">
        <f>IFERROR(VLOOKUP(F6269,'LEAID Match'!$A$2:$B$142,2,FALSE),"")</f>
        <v/>
      </c>
    </row>
    <row r="6270" spans="1:8" x14ac:dyDescent="0.2">
      <c r="A6270" t="str">
        <f t="shared" si="97"/>
        <v/>
      </c>
      <c r="B6270" s="1">
        <v>2022</v>
      </c>
      <c r="C6270" s="1" t="s">
        <v>2505</v>
      </c>
      <c r="D6270" s="1" t="s">
        <v>2506</v>
      </c>
      <c r="E6270" s="1" t="s">
        <v>2019</v>
      </c>
      <c r="F6270" s="1" t="s">
        <v>625</v>
      </c>
      <c r="G6270" s="6">
        <v>41924</v>
      </c>
      <c r="H6270" t="str">
        <f>IFERROR(VLOOKUP(F6270,'LEAID Match'!$A$2:$B$142,2,FALSE),"")</f>
        <v/>
      </c>
    </row>
    <row r="6271" spans="1:8" x14ac:dyDescent="0.2">
      <c r="A6271" t="str">
        <f t="shared" si="97"/>
        <v/>
      </c>
      <c r="B6271" s="1">
        <v>2023</v>
      </c>
      <c r="C6271" s="1" t="s">
        <v>2505</v>
      </c>
      <c r="D6271" s="1" t="s">
        <v>2506</v>
      </c>
      <c r="E6271" s="1" t="s">
        <v>2019</v>
      </c>
      <c r="F6271" s="1" t="s">
        <v>625</v>
      </c>
      <c r="G6271" s="6">
        <v>40970</v>
      </c>
      <c r="H6271" t="str">
        <f>IFERROR(VLOOKUP(F6271,'LEAID Match'!$A$2:$B$142,2,FALSE),"")</f>
        <v/>
      </c>
    </row>
    <row r="6272" spans="1:8" x14ac:dyDescent="0.2">
      <c r="A6272" t="str">
        <f t="shared" si="97"/>
        <v/>
      </c>
      <c r="B6272" s="1">
        <v>2024</v>
      </c>
      <c r="C6272" s="1" t="s">
        <v>2505</v>
      </c>
      <c r="D6272" s="1" t="s">
        <v>2506</v>
      </c>
      <c r="E6272" s="1" t="s">
        <v>2019</v>
      </c>
      <c r="F6272" s="1" t="s">
        <v>625</v>
      </c>
      <c r="G6272" s="6">
        <v>36428</v>
      </c>
      <c r="H6272" t="str">
        <f>IFERROR(VLOOKUP(F6272,'LEAID Match'!$A$2:$B$142,2,FALSE),"")</f>
        <v/>
      </c>
    </row>
    <row r="6273" spans="1:8" x14ac:dyDescent="0.2">
      <c r="A6273" t="str">
        <f t="shared" si="97"/>
        <v/>
      </c>
      <c r="B6273" s="1">
        <v>2015</v>
      </c>
      <c r="C6273" s="1" t="s">
        <v>2505</v>
      </c>
      <c r="D6273" s="1" t="s">
        <v>2506</v>
      </c>
      <c r="E6273" s="1" t="s">
        <v>2019</v>
      </c>
      <c r="F6273" s="1" t="s">
        <v>626</v>
      </c>
      <c r="G6273" s="6">
        <v>47933</v>
      </c>
      <c r="H6273" t="str">
        <f>IFERROR(VLOOKUP(F6273,'LEAID Match'!$A$2:$B$142,2,FALSE),"")</f>
        <v/>
      </c>
    </row>
    <row r="6274" spans="1:8" x14ac:dyDescent="0.2">
      <c r="A6274" t="str">
        <f t="shared" si="97"/>
        <v/>
      </c>
      <c r="B6274">
        <v>2016</v>
      </c>
      <c r="C6274" s="1" t="s">
        <v>2505</v>
      </c>
      <c r="D6274" s="1" t="s">
        <v>2506</v>
      </c>
      <c r="E6274" s="1" t="s">
        <v>2019</v>
      </c>
      <c r="F6274" s="1" t="s">
        <v>626</v>
      </c>
      <c r="G6274" s="12">
        <v>44751</v>
      </c>
      <c r="H6274" t="str">
        <f>IFERROR(VLOOKUP(F6274,'LEAID Match'!$A$2:$B$142,2,FALSE),"")</f>
        <v/>
      </c>
    </row>
    <row r="6275" spans="1:8" x14ac:dyDescent="0.2">
      <c r="A6275" t="str">
        <f t="shared" ref="A6275:A6338" si="98">H6275</f>
        <v/>
      </c>
      <c r="B6275" s="1">
        <v>2017</v>
      </c>
      <c r="C6275" s="1" t="s">
        <v>2505</v>
      </c>
      <c r="D6275" s="1" t="s">
        <v>2506</v>
      </c>
      <c r="E6275" s="1" t="s">
        <v>2019</v>
      </c>
      <c r="F6275" s="1" t="s">
        <v>626</v>
      </c>
      <c r="G6275" s="47">
        <v>41028</v>
      </c>
      <c r="H6275" t="str">
        <f>IFERROR(VLOOKUP(F6275,'LEAID Match'!$A$2:$B$142,2,FALSE),"")</f>
        <v/>
      </c>
    </row>
    <row r="6276" spans="1:8" x14ac:dyDescent="0.2">
      <c r="A6276" t="str">
        <f t="shared" si="98"/>
        <v/>
      </c>
      <c r="B6276" s="1">
        <v>2018</v>
      </c>
      <c r="C6276" s="1" t="s">
        <v>2505</v>
      </c>
      <c r="D6276" s="1" t="s">
        <v>2506</v>
      </c>
      <c r="E6276" s="1" t="s">
        <v>2019</v>
      </c>
      <c r="F6276" s="1" t="s">
        <v>626</v>
      </c>
      <c r="G6276" s="6">
        <v>45442</v>
      </c>
      <c r="H6276" t="str">
        <f>IFERROR(VLOOKUP(F6276,'LEAID Match'!$A$2:$B$142,2,FALSE),"")</f>
        <v/>
      </c>
    </row>
    <row r="6277" spans="1:8" x14ac:dyDescent="0.2">
      <c r="A6277" t="str">
        <f t="shared" si="98"/>
        <v/>
      </c>
      <c r="B6277" s="1">
        <v>2019</v>
      </c>
      <c r="C6277" s="1" t="s">
        <v>2505</v>
      </c>
      <c r="D6277" s="1" t="s">
        <v>2506</v>
      </c>
      <c r="E6277" s="1" t="s">
        <v>2019</v>
      </c>
      <c r="F6277" s="1" t="s">
        <v>626</v>
      </c>
      <c r="G6277" s="6">
        <v>46768</v>
      </c>
      <c r="H6277" t="str">
        <f>IFERROR(VLOOKUP(F6277,'LEAID Match'!$A$2:$B$142,2,FALSE),"")</f>
        <v/>
      </c>
    </row>
    <row r="6278" spans="1:8" x14ac:dyDescent="0.2">
      <c r="A6278" t="str">
        <f t="shared" si="98"/>
        <v/>
      </c>
      <c r="B6278" s="1">
        <v>2020</v>
      </c>
      <c r="C6278" s="1" t="s">
        <v>2505</v>
      </c>
      <c r="D6278" s="1" t="s">
        <v>2506</v>
      </c>
      <c r="E6278" s="1" t="s">
        <v>2019</v>
      </c>
      <c r="F6278" s="1" t="s">
        <v>626</v>
      </c>
      <c r="G6278" s="6">
        <v>54380</v>
      </c>
      <c r="H6278" t="str">
        <f>IFERROR(VLOOKUP(F6278,'LEAID Match'!$A$2:$B$142,2,FALSE),"")</f>
        <v/>
      </c>
    </row>
    <row r="6279" spans="1:8" x14ac:dyDescent="0.2">
      <c r="A6279" t="str">
        <f t="shared" si="98"/>
        <v/>
      </c>
      <c r="B6279" s="1">
        <v>2021</v>
      </c>
      <c r="C6279" s="1" t="s">
        <v>2505</v>
      </c>
      <c r="D6279" s="1" t="s">
        <v>2506</v>
      </c>
      <c r="E6279" s="1" t="s">
        <v>2019</v>
      </c>
      <c r="F6279" s="1" t="s">
        <v>626</v>
      </c>
      <c r="G6279" s="6">
        <v>54380</v>
      </c>
      <c r="H6279" t="str">
        <f>IFERROR(VLOOKUP(F6279,'LEAID Match'!$A$2:$B$142,2,FALSE),"")</f>
        <v/>
      </c>
    </row>
    <row r="6280" spans="1:8" x14ac:dyDescent="0.2">
      <c r="A6280" t="str">
        <f t="shared" si="98"/>
        <v/>
      </c>
      <c r="B6280" s="1">
        <v>2022</v>
      </c>
      <c r="C6280" s="1" t="s">
        <v>2505</v>
      </c>
      <c r="D6280" s="1" t="s">
        <v>2506</v>
      </c>
      <c r="E6280" s="1" t="s">
        <v>2019</v>
      </c>
      <c r="F6280" s="1" t="s">
        <v>626</v>
      </c>
      <c r="G6280" s="6">
        <v>52254</v>
      </c>
      <c r="H6280" t="str">
        <f>IFERROR(VLOOKUP(F6280,'LEAID Match'!$A$2:$B$142,2,FALSE),"")</f>
        <v/>
      </c>
    </row>
    <row r="6281" spans="1:8" x14ac:dyDescent="0.2">
      <c r="A6281" t="str">
        <f t="shared" si="98"/>
        <v/>
      </c>
      <c r="B6281" s="1">
        <v>2023</v>
      </c>
      <c r="C6281" s="1" t="s">
        <v>2505</v>
      </c>
      <c r="D6281" s="1" t="s">
        <v>2506</v>
      </c>
      <c r="E6281" s="1" t="s">
        <v>2019</v>
      </c>
      <c r="F6281" s="1" t="s">
        <v>626</v>
      </c>
      <c r="G6281" s="6">
        <v>53032</v>
      </c>
      <c r="H6281" t="str">
        <f>IFERROR(VLOOKUP(F6281,'LEAID Match'!$A$2:$B$142,2,FALSE),"")</f>
        <v/>
      </c>
    </row>
    <row r="6282" spans="1:8" x14ac:dyDescent="0.2">
      <c r="A6282" t="str">
        <f t="shared" si="98"/>
        <v/>
      </c>
      <c r="B6282" s="1">
        <v>2024</v>
      </c>
      <c r="C6282" s="1" t="s">
        <v>2505</v>
      </c>
      <c r="D6282" s="1" t="s">
        <v>2506</v>
      </c>
      <c r="E6282" s="1" t="s">
        <v>2019</v>
      </c>
      <c r="F6282" s="1" t="s">
        <v>626</v>
      </c>
      <c r="G6282" s="6">
        <v>50608</v>
      </c>
      <c r="H6282" t="str">
        <f>IFERROR(VLOOKUP(F6282,'LEAID Match'!$A$2:$B$142,2,FALSE),"")</f>
        <v/>
      </c>
    </row>
    <row r="6283" spans="1:8" x14ac:dyDescent="0.2">
      <c r="A6283" t="str">
        <f t="shared" si="98"/>
        <v/>
      </c>
      <c r="B6283" s="1">
        <v>2015</v>
      </c>
      <c r="C6283" s="1" t="s">
        <v>2505</v>
      </c>
      <c r="D6283" s="1" t="s">
        <v>2506</v>
      </c>
      <c r="E6283" s="1" t="s">
        <v>2019</v>
      </c>
      <c r="F6283" s="1" t="s">
        <v>627</v>
      </c>
      <c r="G6283" s="6">
        <v>1095971</v>
      </c>
      <c r="H6283" t="str">
        <f>IFERROR(VLOOKUP(F6283,'LEAID Match'!$A$2:$B$142,2,FALSE),"")</f>
        <v/>
      </c>
    </row>
    <row r="6284" spans="1:8" x14ac:dyDescent="0.2">
      <c r="A6284" t="str">
        <f t="shared" si="98"/>
        <v/>
      </c>
      <c r="B6284">
        <v>2016</v>
      </c>
      <c r="C6284" s="1" t="s">
        <v>2505</v>
      </c>
      <c r="D6284" s="1" t="s">
        <v>2506</v>
      </c>
      <c r="E6284" s="1" t="s">
        <v>2019</v>
      </c>
      <c r="F6284" s="1" t="s">
        <v>627</v>
      </c>
      <c r="G6284" s="12">
        <v>1127291</v>
      </c>
      <c r="H6284" t="str">
        <f>IFERROR(VLOOKUP(F6284,'LEAID Match'!$A$2:$B$142,2,FALSE),"")</f>
        <v/>
      </c>
    </row>
    <row r="6285" spans="1:8" x14ac:dyDescent="0.2">
      <c r="A6285" t="str">
        <f t="shared" si="98"/>
        <v/>
      </c>
      <c r="B6285" s="1">
        <v>2017</v>
      </c>
      <c r="C6285" s="1" t="s">
        <v>2505</v>
      </c>
      <c r="D6285" s="1" t="s">
        <v>2506</v>
      </c>
      <c r="E6285" s="1" t="s">
        <v>2019</v>
      </c>
      <c r="F6285" s="1" t="s">
        <v>627</v>
      </c>
      <c r="G6285" s="47">
        <v>1151362</v>
      </c>
      <c r="H6285" t="str">
        <f>IFERROR(VLOOKUP(F6285,'LEAID Match'!$A$2:$B$142,2,FALSE),"")</f>
        <v/>
      </c>
    </row>
    <row r="6286" spans="1:8" x14ac:dyDescent="0.2">
      <c r="A6286" t="str">
        <f t="shared" si="98"/>
        <v/>
      </c>
      <c r="B6286" s="1">
        <v>2018</v>
      </c>
      <c r="C6286" s="1" t="s">
        <v>2505</v>
      </c>
      <c r="D6286" s="1" t="s">
        <v>2506</v>
      </c>
      <c r="E6286" s="1" t="s">
        <v>2019</v>
      </c>
      <c r="F6286" s="1" t="s">
        <v>627</v>
      </c>
      <c r="G6286" s="6">
        <v>1168670</v>
      </c>
      <c r="H6286" t="str">
        <f>IFERROR(VLOOKUP(F6286,'LEAID Match'!$A$2:$B$142,2,FALSE),"")</f>
        <v/>
      </c>
    </row>
    <row r="6287" spans="1:8" x14ac:dyDescent="0.2">
      <c r="A6287" t="str">
        <f t="shared" si="98"/>
        <v/>
      </c>
      <c r="B6287" s="1">
        <v>2019</v>
      </c>
      <c r="C6287" s="1" t="s">
        <v>2505</v>
      </c>
      <c r="D6287" s="1" t="s">
        <v>2506</v>
      </c>
      <c r="E6287" s="1" t="s">
        <v>2019</v>
      </c>
      <c r="F6287" s="1" t="s">
        <v>627</v>
      </c>
      <c r="G6287" s="6">
        <v>1220255</v>
      </c>
      <c r="H6287" t="str">
        <f>IFERROR(VLOOKUP(F6287,'LEAID Match'!$A$2:$B$142,2,FALSE),"")</f>
        <v/>
      </c>
    </row>
    <row r="6288" spans="1:8" x14ac:dyDescent="0.2">
      <c r="A6288" t="str">
        <f t="shared" si="98"/>
        <v/>
      </c>
      <c r="B6288" s="1">
        <v>2020</v>
      </c>
      <c r="C6288" s="1" t="s">
        <v>2505</v>
      </c>
      <c r="D6288" s="1" t="s">
        <v>2506</v>
      </c>
      <c r="E6288" s="1" t="s">
        <v>2019</v>
      </c>
      <c r="F6288" s="1" t="s">
        <v>627</v>
      </c>
      <c r="G6288" s="6">
        <v>1364149</v>
      </c>
      <c r="H6288" t="str">
        <f>IFERROR(VLOOKUP(F6288,'LEAID Match'!$A$2:$B$142,2,FALSE),"")</f>
        <v/>
      </c>
    </row>
    <row r="6289" spans="1:8" x14ac:dyDescent="0.2">
      <c r="A6289" t="str">
        <f t="shared" si="98"/>
        <v/>
      </c>
      <c r="B6289" s="1">
        <v>2021</v>
      </c>
      <c r="C6289" s="1" t="s">
        <v>2505</v>
      </c>
      <c r="D6289" s="1" t="s">
        <v>2506</v>
      </c>
      <c r="E6289" s="1" t="s">
        <v>2019</v>
      </c>
      <c r="F6289" s="1" t="s">
        <v>627</v>
      </c>
      <c r="G6289" s="6">
        <v>1361390</v>
      </c>
      <c r="H6289" t="str">
        <f>IFERROR(VLOOKUP(F6289,'LEAID Match'!$A$2:$B$142,2,FALSE),"")</f>
        <v/>
      </c>
    </row>
    <row r="6290" spans="1:8" x14ac:dyDescent="0.2">
      <c r="A6290" t="str">
        <f t="shared" si="98"/>
        <v/>
      </c>
      <c r="B6290" s="1">
        <v>2022</v>
      </c>
      <c r="C6290" s="1" t="s">
        <v>2505</v>
      </c>
      <c r="D6290" s="1" t="s">
        <v>2506</v>
      </c>
      <c r="E6290" s="1" t="s">
        <v>2019</v>
      </c>
      <c r="F6290" s="1" t="s">
        <v>627</v>
      </c>
      <c r="G6290" s="6">
        <v>1345143</v>
      </c>
      <c r="H6290" t="str">
        <f>IFERROR(VLOOKUP(F6290,'LEAID Match'!$A$2:$B$142,2,FALSE),"")</f>
        <v/>
      </c>
    </row>
    <row r="6291" spans="1:8" x14ac:dyDescent="0.2">
      <c r="A6291" t="str">
        <f t="shared" si="98"/>
        <v/>
      </c>
      <c r="B6291" s="1">
        <v>2023</v>
      </c>
      <c r="C6291" s="1" t="s">
        <v>2505</v>
      </c>
      <c r="D6291" s="1" t="s">
        <v>2506</v>
      </c>
      <c r="E6291" s="1" t="s">
        <v>2019</v>
      </c>
      <c r="F6291" s="1" t="s">
        <v>627</v>
      </c>
      <c r="G6291" s="6">
        <v>1378470</v>
      </c>
      <c r="H6291" t="str">
        <f>IFERROR(VLOOKUP(F6291,'LEAID Match'!$A$2:$B$142,2,FALSE),"")</f>
        <v/>
      </c>
    </row>
    <row r="6292" spans="1:8" x14ac:dyDescent="0.2">
      <c r="A6292" t="str">
        <f t="shared" si="98"/>
        <v/>
      </c>
      <c r="B6292" s="1">
        <v>2024</v>
      </c>
      <c r="C6292" s="1" t="s">
        <v>2505</v>
      </c>
      <c r="D6292" s="1" t="s">
        <v>2506</v>
      </c>
      <c r="E6292" s="1" t="s">
        <v>2019</v>
      </c>
      <c r="F6292" s="1" t="s">
        <v>627</v>
      </c>
      <c r="G6292" s="6">
        <v>1472086</v>
      </c>
      <c r="H6292" t="str">
        <f>IFERROR(VLOOKUP(F6292,'LEAID Match'!$A$2:$B$142,2,FALSE),"")</f>
        <v/>
      </c>
    </row>
    <row r="6293" spans="1:8" x14ac:dyDescent="0.2">
      <c r="A6293" t="str">
        <f t="shared" si="98"/>
        <v/>
      </c>
      <c r="B6293" s="1">
        <v>2015</v>
      </c>
      <c r="C6293" s="1" t="s">
        <v>2505</v>
      </c>
      <c r="D6293" s="1" t="s">
        <v>2506</v>
      </c>
      <c r="E6293" s="1" t="s">
        <v>2019</v>
      </c>
      <c r="F6293" s="1" t="s">
        <v>628</v>
      </c>
      <c r="G6293" s="6">
        <v>702427</v>
      </c>
      <c r="H6293" t="str">
        <f>IFERROR(VLOOKUP(F6293,'LEAID Match'!$A$2:$B$142,2,FALSE),"")</f>
        <v/>
      </c>
    </row>
    <row r="6294" spans="1:8" x14ac:dyDescent="0.2">
      <c r="A6294" t="str">
        <f t="shared" si="98"/>
        <v/>
      </c>
      <c r="B6294">
        <v>2016</v>
      </c>
      <c r="C6294" s="1" t="s">
        <v>2505</v>
      </c>
      <c r="D6294" s="1" t="s">
        <v>2506</v>
      </c>
      <c r="E6294" s="1" t="s">
        <v>2019</v>
      </c>
      <c r="F6294" s="1" t="s">
        <v>628</v>
      </c>
      <c r="G6294" s="12">
        <v>719475</v>
      </c>
      <c r="H6294" t="str">
        <f>IFERROR(VLOOKUP(F6294,'LEAID Match'!$A$2:$B$142,2,FALSE),"")</f>
        <v/>
      </c>
    </row>
    <row r="6295" spans="1:8" x14ac:dyDescent="0.2">
      <c r="A6295" t="str">
        <f t="shared" si="98"/>
        <v/>
      </c>
      <c r="B6295" s="1">
        <v>2017</v>
      </c>
      <c r="C6295" s="1" t="s">
        <v>2505</v>
      </c>
      <c r="D6295" s="1" t="s">
        <v>2506</v>
      </c>
      <c r="E6295" s="1" t="s">
        <v>2019</v>
      </c>
      <c r="F6295" s="1" t="s">
        <v>628</v>
      </c>
      <c r="G6295" s="47">
        <v>738219</v>
      </c>
      <c r="H6295" t="str">
        <f>IFERROR(VLOOKUP(F6295,'LEAID Match'!$A$2:$B$142,2,FALSE),"")</f>
        <v/>
      </c>
    </row>
    <row r="6296" spans="1:8" x14ac:dyDescent="0.2">
      <c r="A6296" t="str">
        <f t="shared" si="98"/>
        <v/>
      </c>
      <c r="B6296" s="1">
        <v>2018</v>
      </c>
      <c r="C6296" s="1" t="s">
        <v>2505</v>
      </c>
      <c r="D6296" s="1" t="s">
        <v>2506</v>
      </c>
      <c r="E6296" s="1" t="s">
        <v>2019</v>
      </c>
      <c r="F6296" s="1" t="s">
        <v>628</v>
      </c>
      <c r="G6296" s="6">
        <v>694998</v>
      </c>
      <c r="H6296" t="str">
        <f>IFERROR(VLOOKUP(F6296,'LEAID Match'!$A$2:$B$142,2,FALSE),"")</f>
        <v/>
      </c>
    </row>
    <row r="6297" spans="1:8" x14ac:dyDescent="0.2">
      <c r="A6297" t="str">
        <f t="shared" si="98"/>
        <v/>
      </c>
      <c r="B6297" s="1">
        <v>2019</v>
      </c>
      <c r="C6297" s="1" t="s">
        <v>2505</v>
      </c>
      <c r="D6297" s="1" t="s">
        <v>2506</v>
      </c>
      <c r="E6297" s="1" t="s">
        <v>2019</v>
      </c>
      <c r="F6297" s="1" t="s">
        <v>628</v>
      </c>
      <c r="G6297" s="6">
        <v>672226</v>
      </c>
      <c r="H6297" t="str">
        <f>IFERROR(VLOOKUP(F6297,'LEAID Match'!$A$2:$B$142,2,FALSE),"")</f>
        <v/>
      </c>
    </row>
    <row r="6298" spans="1:8" x14ac:dyDescent="0.2">
      <c r="A6298" t="str">
        <f t="shared" si="98"/>
        <v/>
      </c>
      <c r="B6298" s="1">
        <v>2020</v>
      </c>
      <c r="C6298" s="1" t="s">
        <v>2505</v>
      </c>
      <c r="D6298" s="1" t="s">
        <v>2506</v>
      </c>
      <c r="E6298" s="1" t="s">
        <v>2019</v>
      </c>
      <c r="F6298" s="1" t="s">
        <v>628</v>
      </c>
      <c r="G6298" s="6">
        <v>761086</v>
      </c>
      <c r="H6298" t="str">
        <f>IFERROR(VLOOKUP(F6298,'LEAID Match'!$A$2:$B$142,2,FALSE),"")</f>
        <v/>
      </c>
    </row>
    <row r="6299" spans="1:8" x14ac:dyDescent="0.2">
      <c r="A6299" t="str">
        <f t="shared" si="98"/>
        <v/>
      </c>
      <c r="B6299" s="1">
        <v>2021</v>
      </c>
      <c r="C6299" s="1" t="s">
        <v>2505</v>
      </c>
      <c r="D6299" s="1" t="s">
        <v>2506</v>
      </c>
      <c r="E6299" s="1" t="s">
        <v>2019</v>
      </c>
      <c r="F6299" s="1" t="s">
        <v>628</v>
      </c>
      <c r="G6299" s="6">
        <v>738889</v>
      </c>
      <c r="H6299" t="str">
        <f>IFERROR(VLOOKUP(F6299,'LEAID Match'!$A$2:$B$142,2,FALSE),"")</f>
        <v/>
      </c>
    </row>
    <row r="6300" spans="1:8" x14ac:dyDescent="0.2">
      <c r="A6300" t="str">
        <f t="shared" si="98"/>
        <v/>
      </c>
      <c r="B6300" s="1">
        <v>2022</v>
      </c>
      <c r="C6300" s="1" t="s">
        <v>2505</v>
      </c>
      <c r="D6300" s="1" t="s">
        <v>2506</v>
      </c>
      <c r="E6300" s="1" t="s">
        <v>2019</v>
      </c>
      <c r="F6300" s="1" t="s">
        <v>628</v>
      </c>
      <c r="G6300" s="6">
        <v>756310</v>
      </c>
      <c r="H6300" t="str">
        <f>IFERROR(VLOOKUP(F6300,'LEAID Match'!$A$2:$B$142,2,FALSE),"")</f>
        <v/>
      </c>
    </row>
    <row r="6301" spans="1:8" x14ac:dyDescent="0.2">
      <c r="A6301" t="str">
        <f t="shared" si="98"/>
        <v/>
      </c>
      <c r="B6301" s="1">
        <v>2023</v>
      </c>
      <c r="C6301" s="1" t="s">
        <v>2505</v>
      </c>
      <c r="D6301" s="1" t="s">
        <v>2506</v>
      </c>
      <c r="E6301" s="1" t="s">
        <v>2019</v>
      </c>
      <c r="F6301" s="1" t="s">
        <v>628</v>
      </c>
      <c r="G6301" s="6">
        <v>756417</v>
      </c>
      <c r="H6301" t="str">
        <f>IFERROR(VLOOKUP(F6301,'LEAID Match'!$A$2:$B$142,2,FALSE),"")</f>
        <v/>
      </c>
    </row>
    <row r="6302" spans="1:8" x14ac:dyDescent="0.2">
      <c r="A6302" t="str">
        <f t="shared" si="98"/>
        <v/>
      </c>
      <c r="B6302" s="1">
        <v>2024</v>
      </c>
      <c r="C6302" s="1" t="s">
        <v>2505</v>
      </c>
      <c r="D6302" s="1" t="s">
        <v>2506</v>
      </c>
      <c r="E6302" s="1" t="s">
        <v>2019</v>
      </c>
      <c r="F6302" s="1" t="s">
        <v>628</v>
      </c>
      <c r="G6302" s="6">
        <v>780915</v>
      </c>
      <c r="H6302" t="str">
        <f>IFERROR(VLOOKUP(F6302,'LEAID Match'!$A$2:$B$142,2,FALSE),"")</f>
        <v/>
      </c>
    </row>
    <row r="6303" spans="1:8" x14ac:dyDescent="0.2">
      <c r="A6303" t="str">
        <f t="shared" si="98"/>
        <v/>
      </c>
      <c r="B6303" s="1">
        <v>2015</v>
      </c>
      <c r="C6303" s="1" t="s">
        <v>2505</v>
      </c>
      <c r="D6303" s="1" t="s">
        <v>2506</v>
      </c>
      <c r="E6303" s="1" t="s">
        <v>2019</v>
      </c>
      <c r="F6303" s="1" t="s">
        <v>629</v>
      </c>
      <c r="G6303" s="6">
        <v>15418</v>
      </c>
      <c r="H6303" t="str">
        <f>IFERROR(VLOOKUP(F6303,'LEAID Match'!$A$2:$B$142,2,FALSE),"")</f>
        <v/>
      </c>
    </row>
    <row r="6304" spans="1:8" x14ac:dyDescent="0.2">
      <c r="A6304" t="str">
        <f t="shared" si="98"/>
        <v/>
      </c>
      <c r="B6304">
        <v>2016</v>
      </c>
      <c r="C6304" s="1" t="s">
        <v>2505</v>
      </c>
      <c r="D6304" s="1" t="s">
        <v>2506</v>
      </c>
      <c r="E6304" s="1" t="s">
        <v>2019</v>
      </c>
      <c r="F6304" s="1" t="s">
        <v>629</v>
      </c>
      <c r="G6304" s="12">
        <v>15797</v>
      </c>
      <c r="H6304" t="str">
        <f>IFERROR(VLOOKUP(F6304,'LEAID Match'!$A$2:$B$142,2,FALSE),"")</f>
        <v/>
      </c>
    </row>
    <row r="6305" spans="1:8" x14ac:dyDescent="0.2">
      <c r="A6305" t="str">
        <f t="shared" si="98"/>
        <v/>
      </c>
      <c r="B6305" s="1">
        <v>2017</v>
      </c>
      <c r="C6305" s="1" t="s">
        <v>2505</v>
      </c>
      <c r="D6305" s="1" t="s">
        <v>2506</v>
      </c>
      <c r="E6305" s="1" t="s">
        <v>2019</v>
      </c>
      <c r="F6305" s="1" t="s">
        <v>629</v>
      </c>
      <c r="G6305" s="47">
        <v>15129</v>
      </c>
      <c r="H6305" t="str">
        <f>IFERROR(VLOOKUP(F6305,'LEAID Match'!$A$2:$B$142,2,FALSE),"")</f>
        <v/>
      </c>
    </row>
    <row r="6306" spans="1:8" x14ac:dyDescent="0.2">
      <c r="A6306" t="str">
        <f t="shared" si="98"/>
        <v/>
      </c>
      <c r="B6306" s="1">
        <v>2018</v>
      </c>
      <c r="C6306" s="1" t="s">
        <v>2505</v>
      </c>
      <c r="D6306" s="1" t="s">
        <v>2506</v>
      </c>
      <c r="E6306" s="1" t="s">
        <v>2019</v>
      </c>
      <c r="F6306" s="1" t="s">
        <v>629</v>
      </c>
      <c r="G6306" s="6">
        <v>13642</v>
      </c>
      <c r="H6306" t="str">
        <f>IFERROR(VLOOKUP(F6306,'LEAID Match'!$A$2:$B$142,2,FALSE),"")</f>
        <v/>
      </c>
    </row>
    <row r="6307" spans="1:8" x14ac:dyDescent="0.2">
      <c r="A6307" t="str">
        <f t="shared" si="98"/>
        <v/>
      </c>
      <c r="B6307" s="1">
        <v>2019</v>
      </c>
      <c r="C6307" s="1" t="s">
        <v>2505</v>
      </c>
      <c r="D6307" s="1" t="s">
        <v>2506</v>
      </c>
      <c r="E6307" s="1" t="s">
        <v>2019</v>
      </c>
      <c r="F6307" s="1" t="s">
        <v>629</v>
      </c>
      <c r="G6307" s="6">
        <v>15188</v>
      </c>
      <c r="H6307" t="str">
        <f>IFERROR(VLOOKUP(F6307,'LEAID Match'!$A$2:$B$142,2,FALSE),"")</f>
        <v/>
      </c>
    </row>
    <row r="6308" spans="1:8" x14ac:dyDescent="0.2">
      <c r="A6308" t="str">
        <f t="shared" si="98"/>
        <v/>
      </c>
      <c r="B6308" s="1">
        <v>2020</v>
      </c>
      <c r="C6308" s="1" t="s">
        <v>2505</v>
      </c>
      <c r="D6308" s="1" t="s">
        <v>2506</v>
      </c>
      <c r="E6308" s="1" t="s">
        <v>2019</v>
      </c>
      <c r="F6308" s="1" t="s">
        <v>629</v>
      </c>
      <c r="G6308" s="6">
        <v>15831</v>
      </c>
      <c r="H6308" t="str">
        <f>IFERROR(VLOOKUP(F6308,'LEAID Match'!$A$2:$B$142,2,FALSE),"")</f>
        <v/>
      </c>
    </row>
    <row r="6309" spans="1:8" x14ac:dyDescent="0.2">
      <c r="A6309" t="str">
        <f t="shared" si="98"/>
        <v/>
      </c>
      <c r="B6309" s="1">
        <v>2021</v>
      </c>
      <c r="C6309" s="1" t="s">
        <v>2505</v>
      </c>
      <c r="D6309" s="1" t="s">
        <v>2506</v>
      </c>
      <c r="E6309" s="1" t="s">
        <v>2019</v>
      </c>
      <c r="F6309" s="1" t="s">
        <v>629</v>
      </c>
      <c r="G6309" s="6">
        <v>15759</v>
      </c>
      <c r="H6309" t="str">
        <f>IFERROR(VLOOKUP(F6309,'LEAID Match'!$A$2:$B$142,2,FALSE),"")</f>
        <v/>
      </c>
    </row>
    <row r="6310" spans="1:8" x14ac:dyDescent="0.2">
      <c r="A6310" t="str">
        <f t="shared" si="98"/>
        <v/>
      </c>
      <c r="B6310" s="1">
        <v>2022</v>
      </c>
      <c r="C6310" s="1" t="s">
        <v>2505</v>
      </c>
      <c r="D6310" s="1" t="s">
        <v>2506</v>
      </c>
      <c r="E6310" s="1" t="s">
        <v>2019</v>
      </c>
      <c r="F6310" s="1" t="s">
        <v>629</v>
      </c>
      <c r="G6310" s="6">
        <v>15389</v>
      </c>
      <c r="H6310" t="str">
        <f>IFERROR(VLOOKUP(F6310,'LEAID Match'!$A$2:$B$142,2,FALSE),"")</f>
        <v/>
      </c>
    </row>
    <row r="6311" spans="1:8" x14ac:dyDescent="0.2">
      <c r="A6311" t="str">
        <f t="shared" si="98"/>
        <v/>
      </c>
      <c r="B6311" s="1">
        <v>2023</v>
      </c>
      <c r="C6311" s="1" t="s">
        <v>2505</v>
      </c>
      <c r="D6311" s="1" t="s">
        <v>2506</v>
      </c>
      <c r="E6311" s="1" t="s">
        <v>2019</v>
      </c>
      <c r="F6311" s="1" t="s">
        <v>629</v>
      </c>
      <c r="G6311" s="6">
        <v>20487</v>
      </c>
      <c r="H6311" t="str">
        <f>IFERROR(VLOOKUP(F6311,'LEAID Match'!$A$2:$B$142,2,FALSE),"")</f>
        <v/>
      </c>
    </row>
    <row r="6312" spans="1:8" x14ac:dyDescent="0.2">
      <c r="A6312" t="str">
        <f t="shared" si="98"/>
        <v/>
      </c>
      <c r="B6312" s="1">
        <v>2024</v>
      </c>
      <c r="C6312" s="1" t="s">
        <v>2505</v>
      </c>
      <c r="D6312" s="1" t="s">
        <v>2506</v>
      </c>
      <c r="E6312" s="1" t="s">
        <v>2019</v>
      </c>
      <c r="F6312" s="1" t="s">
        <v>629</v>
      </c>
      <c r="G6312" s="6">
        <v>20021</v>
      </c>
      <c r="H6312" t="str">
        <f>IFERROR(VLOOKUP(F6312,'LEAID Match'!$A$2:$B$142,2,FALSE),"")</f>
        <v/>
      </c>
    </row>
    <row r="6313" spans="1:8" x14ac:dyDescent="0.2">
      <c r="A6313" t="str">
        <f t="shared" si="98"/>
        <v/>
      </c>
      <c r="B6313" s="1">
        <v>2015</v>
      </c>
      <c r="C6313" s="1" t="s">
        <v>2505</v>
      </c>
      <c r="D6313" s="1" t="s">
        <v>2506</v>
      </c>
      <c r="E6313" s="1" t="s">
        <v>2019</v>
      </c>
      <c r="F6313" s="1" t="s">
        <v>630</v>
      </c>
      <c r="G6313" s="6">
        <v>148096</v>
      </c>
      <c r="H6313" t="str">
        <f>IFERROR(VLOOKUP(F6313,'LEAID Match'!$A$2:$B$142,2,FALSE),"")</f>
        <v/>
      </c>
    </row>
    <row r="6314" spans="1:8" x14ac:dyDescent="0.2">
      <c r="A6314" t="str">
        <f t="shared" si="98"/>
        <v/>
      </c>
      <c r="B6314">
        <v>2016</v>
      </c>
      <c r="C6314" s="1" t="s">
        <v>2505</v>
      </c>
      <c r="D6314" s="1" t="s">
        <v>2506</v>
      </c>
      <c r="E6314" s="1" t="s">
        <v>2019</v>
      </c>
      <c r="F6314" s="1" t="s">
        <v>630</v>
      </c>
      <c r="G6314" s="12">
        <v>152308</v>
      </c>
      <c r="H6314" t="str">
        <f>IFERROR(VLOOKUP(F6314,'LEAID Match'!$A$2:$B$142,2,FALSE),"")</f>
        <v/>
      </c>
    </row>
    <row r="6315" spans="1:8" x14ac:dyDescent="0.2">
      <c r="A6315" t="str">
        <f t="shared" si="98"/>
        <v/>
      </c>
      <c r="B6315" s="1">
        <v>2017</v>
      </c>
      <c r="C6315" s="1" t="s">
        <v>2505</v>
      </c>
      <c r="D6315" s="1" t="s">
        <v>2506</v>
      </c>
      <c r="E6315" s="1" t="s">
        <v>2019</v>
      </c>
      <c r="F6315" s="1" t="s">
        <v>630</v>
      </c>
      <c r="G6315" s="47">
        <v>155340</v>
      </c>
      <c r="H6315" t="str">
        <f>IFERROR(VLOOKUP(F6315,'LEAID Match'!$A$2:$B$142,2,FALSE),"")</f>
        <v/>
      </c>
    </row>
    <row r="6316" spans="1:8" x14ac:dyDescent="0.2">
      <c r="A6316" t="str">
        <f t="shared" si="98"/>
        <v/>
      </c>
      <c r="B6316" s="1">
        <v>2018</v>
      </c>
      <c r="C6316" s="1" t="s">
        <v>2505</v>
      </c>
      <c r="D6316" s="1" t="s">
        <v>2506</v>
      </c>
      <c r="E6316" s="1" t="s">
        <v>2019</v>
      </c>
      <c r="F6316" s="1" t="s">
        <v>630</v>
      </c>
      <c r="G6316" s="6">
        <v>160698</v>
      </c>
      <c r="H6316" t="str">
        <f>IFERROR(VLOOKUP(F6316,'LEAID Match'!$A$2:$B$142,2,FALSE),"")</f>
        <v/>
      </c>
    </row>
    <row r="6317" spans="1:8" x14ac:dyDescent="0.2">
      <c r="A6317" t="str">
        <f t="shared" si="98"/>
        <v/>
      </c>
      <c r="B6317" s="1">
        <v>2019</v>
      </c>
      <c r="C6317" s="1" t="s">
        <v>2505</v>
      </c>
      <c r="D6317" s="1" t="s">
        <v>2506</v>
      </c>
      <c r="E6317" s="1" t="s">
        <v>2019</v>
      </c>
      <c r="F6317" s="1" t="s">
        <v>630</v>
      </c>
      <c r="G6317" s="6">
        <v>154877</v>
      </c>
      <c r="H6317" t="str">
        <f>IFERROR(VLOOKUP(F6317,'LEAID Match'!$A$2:$B$142,2,FALSE),"")</f>
        <v/>
      </c>
    </row>
    <row r="6318" spans="1:8" x14ac:dyDescent="0.2">
      <c r="A6318" t="str">
        <f t="shared" si="98"/>
        <v/>
      </c>
      <c r="B6318" s="1">
        <v>2020</v>
      </c>
      <c r="C6318" s="1" t="s">
        <v>2505</v>
      </c>
      <c r="D6318" s="1" t="s">
        <v>2506</v>
      </c>
      <c r="E6318" s="1" t="s">
        <v>2019</v>
      </c>
      <c r="F6318" s="1" t="s">
        <v>630</v>
      </c>
      <c r="G6318" s="6">
        <v>179805</v>
      </c>
      <c r="H6318" t="str">
        <f>IFERROR(VLOOKUP(F6318,'LEAID Match'!$A$2:$B$142,2,FALSE),"")</f>
        <v/>
      </c>
    </row>
    <row r="6319" spans="1:8" x14ac:dyDescent="0.2">
      <c r="A6319" t="str">
        <f t="shared" si="98"/>
        <v/>
      </c>
      <c r="B6319" s="1">
        <v>2021</v>
      </c>
      <c r="C6319" s="1" t="s">
        <v>2505</v>
      </c>
      <c r="D6319" s="1" t="s">
        <v>2506</v>
      </c>
      <c r="E6319" s="1" t="s">
        <v>2019</v>
      </c>
      <c r="F6319" s="1" t="s">
        <v>630</v>
      </c>
      <c r="G6319" s="6">
        <v>190228</v>
      </c>
      <c r="H6319" t="str">
        <f>IFERROR(VLOOKUP(F6319,'LEAID Match'!$A$2:$B$142,2,FALSE),"")</f>
        <v/>
      </c>
    </row>
    <row r="6320" spans="1:8" x14ac:dyDescent="0.2">
      <c r="A6320" t="str">
        <f t="shared" si="98"/>
        <v/>
      </c>
      <c r="B6320" s="1">
        <v>2022</v>
      </c>
      <c r="C6320" s="1" t="s">
        <v>2505</v>
      </c>
      <c r="D6320" s="1" t="s">
        <v>2506</v>
      </c>
      <c r="E6320" s="1" t="s">
        <v>2019</v>
      </c>
      <c r="F6320" s="1" t="s">
        <v>630</v>
      </c>
      <c r="G6320" s="6">
        <v>192211</v>
      </c>
      <c r="H6320" t="str">
        <f>IFERROR(VLOOKUP(F6320,'LEAID Match'!$A$2:$B$142,2,FALSE),"")</f>
        <v/>
      </c>
    </row>
    <row r="6321" spans="1:8" x14ac:dyDescent="0.2">
      <c r="A6321" t="str">
        <f t="shared" si="98"/>
        <v/>
      </c>
      <c r="B6321" s="1">
        <v>2023</v>
      </c>
      <c r="C6321" s="1" t="s">
        <v>2505</v>
      </c>
      <c r="D6321" s="1" t="s">
        <v>2506</v>
      </c>
      <c r="E6321" s="1" t="s">
        <v>2019</v>
      </c>
      <c r="F6321" s="1" t="s">
        <v>630</v>
      </c>
      <c r="G6321" s="6">
        <v>196983</v>
      </c>
      <c r="H6321" t="str">
        <f>IFERROR(VLOOKUP(F6321,'LEAID Match'!$A$2:$B$142,2,FALSE),"")</f>
        <v/>
      </c>
    </row>
    <row r="6322" spans="1:8" x14ac:dyDescent="0.2">
      <c r="A6322" t="str">
        <f t="shared" si="98"/>
        <v/>
      </c>
      <c r="B6322" s="1">
        <v>2024</v>
      </c>
      <c r="C6322" s="1" t="s">
        <v>2505</v>
      </c>
      <c r="D6322" s="1" t="s">
        <v>2506</v>
      </c>
      <c r="E6322" s="1" t="s">
        <v>2019</v>
      </c>
      <c r="F6322" s="1" t="s">
        <v>630</v>
      </c>
      <c r="G6322" s="6">
        <v>213751</v>
      </c>
      <c r="H6322" t="str">
        <f>IFERROR(VLOOKUP(F6322,'LEAID Match'!$A$2:$B$142,2,FALSE),"")</f>
        <v/>
      </c>
    </row>
    <row r="6323" spans="1:8" x14ac:dyDescent="0.2">
      <c r="A6323">
        <f t="shared" si="98"/>
        <v>2803810</v>
      </c>
      <c r="B6323" s="1">
        <v>2015</v>
      </c>
      <c r="C6323" s="1" t="s">
        <v>2505</v>
      </c>
      <c r="D6323" s="1" t="s">
        <v>2506</v>
      </c>
      <c r="E6323" s="1" t="s">
        <v>2019</v>
      </c>
      <c r="F6323" s="1" t="s">
        <v>631</v>
      </c>
      <c r="G6323" s="6">
        <v>1072319</v>
      </c>
      <c r="H6323">
        <f>IFERROR(VLOOKUP(F6323,'LEAID Match'!$A$2:$B$142,2,FALSE),"")</f>
        <v>2803810</v>
      </c>
    </row>
    <row r="6324" spans="1:8" x14ac:dyDescent="0.2">
      <c r="A6324">
        <f t="shared" si="98"/>
        <v>2803810</v>
      </c>
      <c r="B6324">
        <v>2016</v>
      </c>
      <c r="C6324" s="1" t="s">
        <v>2505</v>
      </c>
      <c r="D6324" s="1" t="s">
        <v>2506</v>
      </c>
      <c r="E6324" s="1" t="s">
        <v>2019</v>
      </c>
      <c r="F6324" s="1" t="s">
        <v>631</v>
      </c>
      <c r="G6324" s="12">
        <v>979796</v>
      </c>
      <c r="H6324">
        <f>IFERROR(VLOOKUP(F6324,'LEAID Match'!$A$2:$B$142,2,FALSE),"")</f>
        <v>2803810</v>
      </c>
    </row>
    <row r="6325" spans="1:8" x14ac:dyDescent="0.2">
      <c r="A6325">
        <f t="shared" si="98"/>
        <v>2803810</v>
      </c>
      <c r="B6325" s="1">
        <v>2017</v>
      </c>
      <c r="C6325" s="1" t="s">
        <v>2505</v>
      </c>
      <c r="D6325" s="1" t="s">
        <v>2506</v>
      </c>
      <c r="E6325" s="1" t="s">
        <v>2019</v>
      </c>
      <c r="F6325" s="1" t="s">
        <v>631</v>
      </c>
      <c r="G6325" s="47">
        <v>978363</v>
      </c>
      <c r="H6325">
        <f>IFERROR(VLOOKUP(F6325,'LEAID Match'!$A$2:$B$142,2,FALSE),"")</f>
        <v>2803810</v>
      </c>
    </row>
    <row r="6326" spans="1:8" x14ac:dyDescent="0.2">
      <c r="A6326">
        <f t="shared" si="98"/>
        <v>2803810</v>
      </c>
      <c r="B6326" s="1">
        <v>2018</v>
      </c>
      <c r="C6326" s="1" t="s">
        <v>2505</v>
      </c>
      <c r="D6326" s="1" t="s">
        <v>2506</v>
      </c>
      <c r="E6326" s="1" t="s">
        <v>2019</v>
      </c>
      <c r="F6326" s="1" t="s">
        <v>631</v>
      </c>
      <c r="G6326" s="6">
        <v>1085415</v>
      </c>
      <c r="H6326">
        <f>IFERROR(VLOOKUP(F6326,'LEAID Match'!$A$2:$B$142,2,FALSE),"")</f>
        <v>2803810</v>
      </c>
    </row>
    <row r="6327" spans="1:8" x14ac:dyDescent="0.2">
      <c r="A6327">
        <f t="shared" si="98"/>
        <v>2803810</v>
      </c>
      <c r="B6327" s="1">
        <v>2019</v>
      </c>
      <c r="C6327" s="1" t="s">
        <v>2505</v>
      </c>
      <c r="D6327" s="1" t="s">
        <v>2506</v>
      </c>
      <c r="E6327" s="1" t="s">
        <v>2019</v>
      </c>
      <c r="F6327" s="1" t="s">
        <v>631</v>
      </c>
      <c r="G6327" s="6">
        <v>1090755</v>
      </c>
      <c r="H6327">
        <f>IFERROR(VLOOKUP(F6327,'LEAID Match'!$A$2:$B$142,2,FALSE),"")</f>
        <v>2803810</v>
      </c>
    </row>
    <row r="6328" spans="1:8" x14ac:dyDescent="0.2">
      <c r="A6328">
        <f t="shared" si="98"/>
        <v>2803810</v>
      </c>
      <c r="B6328" s="1">
        <v>2020</v>
      </c>
      <c r="C6328" s="1" t="s">
        <v>2505</v>
      </c>
      <c r="D6328" s="1" t="s">
        <v>2506</v>
      </c>
      <c r="E6328" s="1" t="s">
        <v>2019</v>
      </c>
      <c r="F6328" s="1" t="s">
        <v>631</v>
      </c>
      <c r="G6328" s="6">
        <v>1163086</v>
      </c>
      <c r="H6328">
        <f>IFERROR(VLOOKUP(F6328,'LEAID Match'!$A$2:$B$142,2,FALSE),"")</f>
        <v>2803810</v>
      </c>
    </row>
    <row r="6329" spans="1:8" x14ac:dyDescent="0.2">
      <c r="A6329">
        <f t="shared" si="98"/>
        <v>2803810</v>
      </c>
      <c r="B6329" s="1">
        <v>2021</v>
      </c>
      <c r="C6329" s="1" t="s">
        <v>2505</v>
      </c>
      <c r="D6329" s="1" t="s">
        <v>2506</v>
      </c>
      <c r="E6329" s="1" t="s">
        <v>2019</v>
      </c>
      <c r="F6329" s="1" t="s">
        <v>631</v>
      </c>
      <c r="G6329" s="6">
        <v>1179682</v>
      </c>
      <c r="H6329">
        <f>IFERROR(VLOOKUP(F6329,'LEAID Match'!$A$2:$B$142,2,FALSE),"")</f>
        <v>2803810</v>
      </c>
    </row>
    <row r="6330" spans="1:8" x14ac:dyDescent="0.2">
      <c r="A6330">
        <f t="shared" si="98"/>
        <v>2803810</v>
      </c>
      <c r="B6330" s="1">
        <v>2022</v>
      </c>
      <c r="C6330" s="1" t="s">
        <v>2505</v>
      </c>
      <c r="D6330" s="1" t="s">
        <v>2506</v>
      </c>
      <c r="E6330" s="1" t="s">
        <v>2019</v>
      </c>
      <c r="F6330" s="1" t="s">
        <v>631</v>
      </c>
      <c r="G6330" s="6">
        <v>1332890</v>
      </c>
      <c r="H6330">
        <f>IFERROR(VLOOKUP(F6330,'LEAID Match'!$A$2:$B$142,2,FALSE),"")</f>
        <v>2803810</v>
      </c>
    </row>
    <row r="6331" spans="1:8" x14ac:dyDescent="0.2">
      <c r="A6331">
        <f t="shared" si="98"/>
        <v>2803810</v>
      </c>
      <c r="B6331" s="1">
        <v>2023</v>
      </c>
      <c r="C6331" s="1" t="s">
        <v>2505</v>
      </c>
      <c r="D6331" s="1" t="s">
        <v>2506</v>
      </c>
      <c r="E6331" s="1" t="s">
        <v>2019</v>
      </c>
      <c r="F6331" s="1" t="s">
        <v>631</v>
      </c>
      <c r="G6331" s="6">
        <v>1219250</v>
      </c>
      <c r="H6331">
        <f>IFERROR(VLOOKUP(F6331,'LEAID Match'!$A$2:$B$142,2,FALSE),"")</f>
        <v>2803810</v>
      </c>
    </row>
    <row r="6332" spans="1:8" x14ac:dyDescent="0.2">
      <c r="A6332">
        <f t="shared" si="98"/>
        <v>2803810</v>
      </c>
      <c r="B6332" s="1">
        <v>2024</v>
      </c>
      <c r="C6332" s="1" t="s">
        <v>2505</v>
      </c>
      <c r="D6332" s="1" t="s">
        <v>2506</v>
      </c>
      <c r="E6332" s="1" t="s">
        <v>2019</v>
      </c>
      <c r="F6332" s="1" t="s">
        <v>631</v>
      </c>
      <c r="G6332" s="6">
        <v>1140997</v>
      </c>
      <c r="H6332">
        <f>IFERROR(VLOOKUP(F6332,'LEAID Match'!$A$2:$B$142,2,FALSE),"")</f>
        <v>2803810</v>
      </c>
    </row>
    <row r="6333" spans="1:8" x14ac:dyDescent="0.2">
      <c r="A6333" t="str">
        <f t="shared" si="98"/>
        <v/>
      </c>
      <c r="B6333" s="1">
        <v>2015</v>
      </c>
      <c r="C6333" s="1" t="s">
        <v>2505</v>
      </c>
      <c r="D6333" s="1" t="s">
        <v>2506</v>
      </c>
      <c r="E6333" s="1" t="s">
        <v>2019</v>
      </c>
      <c r="F6333" s="1" t="s">
        <v>632</v>
      </c>
      <c r="G6333" s="6">
        <v>377783</v>
      </c>
      <c r="H6333" t="str">
        <f>IFERROR(VLOOKUP(F6333,'LEAID Match'!$A$2:$B$142,2,FALSE),"")</f>
        <v/>
      </c>
    </row>
    <row r="6334" spans="1:8" x14ac:dyDescent="0.2">
      <c r="A6334" t="str">
        <f t="shared" si="98"/>
        <v/>
      </c>
      <c r="B6334">
        <v>2016</v>
      </c>
      <c r="C6334" s="1" t="s">
        <v>2505</v>
      </c>
      <c r="D6334" s="1" t="s">
        <v>2506</v>
      </c>
      <c r="E6334" s="1" t="s">
        <v>2019</v>
      </c>
      <c r="F6334" s="1" t="s">
        <v>632</v>
      </c>
      <c r="G6334" s="12">
        <v>400741</v>
      </c>
      <c r="H6334" t="str">
        <f>IFERROR(VLOOKUP(F6334,'LEAID Match'!$A$2:$B$142,2,FALSE),"")</f>
        <v/>
      </c>
    </row>
    <row r="6335" spans="1:8" x14ac:dyDescent="0.2">
      <c r="A6335" t="str">
        <f t="shared" si="98"/>
        <v/>
      </c>
      <c r="B6335" s="1">
        <v>2017</v>
      </c>
      <c r="C6335" s="1" t="s">
        <v>2505</v>
      </c>
      <c r="D6335" s="1" t="s">
        <v>2506</v>
      </c>
      <c r="E6335" s="1" t="s">
        <v>2019</v>
      </c>
      <c r="F6335" s="1" t="s">
        <v>632</v>
      </c>
      <c r="G6335" s="47">
        <v>401233</v>
      </c>
      <c r="H6335" t="str">
        <f>IFERROR(VLOOKUP(F6335,'LEAID Match'!$A$2:$B$142,2,FALSE),"")</f>
        <v/>
      </c>
    </row>
    <row r="6336" spans="1:8" x14ac:dyDescent="0.2">
      <c r="A6336" t="str">
        <f t="shared" si="98"/>
        <v/>
      </c>
      <c r="B6336" s="1">
        <v>2018</v>
      </c>
      <c r="C6336" s="1" t="s">
        <v>2505</v>
      </c>
      <c r="D6336" s="1" t="s">
        <v>2506</v>
      </c>
      <c r="E6336" s="1" t="s">
        <v>2019</v>
      </c>
      <c r="F6336" s="1" t="s">
        <v>632</v>
      </c>
      <c r="G6336" s="6">
        <v>417574</v>
      </c>
      <c r="H6336" t="str">
        <f>IFERROR(VLOOKUP(F6336,'LEAID Match'!$A$2:$B$142,2,FALSE),"")</f>
        <v/>
      </c>
    </row>
    <row r="6337" spans="1:8" x14ac:dyDescent="0.2">
      <c r="A6337" t="str">
        <f t="shared" si="98"/>
        <v/>
      </c>
      <c r="B6337" s="1">
        <v>2019</v>
      </c>
      <c r="C6337" s="1" t="s">
        <v>2505</v>
      </c>
      <c r="D6337" s="1" t="s">
        <v>2506</v>
      </c>
      <c r="E6337" s="1" t="s">
        <v>2019</v>
      </c>
      <c r="F6337" s="1" t="s">
        <v>632</v>
      </c>
      <c r="G6337" s="6">
        <v>433811</v>
      </c>
      <c r="H6337" t="str">
        <f>IFERROR(VLOOKUP(F6337,'LEAID Match'!$A$2:$B$142,2,FALSE),"")</f>
        <v/>
      </c>
    </row>
    <row r="6338" spans="1:8" x14ac:dyDescent="0.2">
      <c r="A6338" t="str">
        <f t="shared" si="98"/>
        <v/>
      </c>
      <c r="B6338" s="1">
        <v>2020</v>
      </c>
      <c r="C6338" s="1" t="s">
        <v>2505</v>
      </c>
      <c r="D6338" s="1" t="s">
        <v>2506</v>
      </c>
      <c r="E6338" s="1" t="s">
        <v>2019</v>
      </c>
      <c r="F6338" s="1" t="s">
        <v>632</v>
      </c>
      <c r="G6338" s="6">
        <v>501935</v>
      </c>
      <c r="H6338" t="str">
        <f>IFERROR(VLOOKUP(F6338,'LEAID Match'!$A$2:$B$142,2,FALSE),"")</f>
        <v/>
      </c>
    </row>
    <row r="6339" spans="1:8" x14ac:dyDescent="0.2">
      <c r="A6339" t="str">
        <f t="shared" ref="A6339:A6402" si="99">H6339</f>
        <v/>
      </c>
      <c r="B6339" s="1">
        <v>2021</v>
      </c>
      <c r="C6339" s="1" t="s">
        <v>2505</v>
      </c>
      <c r="D6339" s="1" t="s">
        <v>2506</v>
      </c>
      <c r="E6339" s="1" t="s">
        <v>2019</v>
      </c>
      <c r="F6339" s="1" t="s">
        <v>632</v>
      </c>
      <c r="G6339" s="6">
        <v>555042</v>
      </c>
      <c r="H6339" t="str">
        <f>IFERROR(VLOOKUP(F6339,'LEAID Match'!$A$2:$B$142,2,FALSE),"")</f>
        <v/>
      </c>
    </row>
    <row r="6340" spans="1:8" x14ac:dyDescent="0.2">
      <c r="A6340" t="str">
        <f t="shared" si="99"/>
        <v/>
      </c>
      <c r="B6340" s="1">
        <v>2022</v>
      </c>
      <c r="C6340" s="1" t="s">
        <v>2505</v>
      </c>
      <c r="D6340" s="1" t="s">
        <v>2506</v>
      </c>
      <c r="E6340" s="1" t="s">
        <v>2019</v>
      </c>
      <c r="F6340" s="1" t="s">
        <v>632</v>
      </c>
      <c r="G6340" s="6">
        <v>589554</v>
      </c>
      <c r="H6340" t="str">
        <f>IFERROR(VLOOKUP(F6340,'LEAID Match'!$A$2:$B$142,2,FALSE),"")</f>
        <v/>
      </c>
    </row>
    <row r="6341" spans="1:8" x14ac:dyDescent="0.2">
      <c r="A6341" t="str">
        <f t="shared" si="99"/>
        <v/>
      </c>
      <c r="B6341" s="1">
        <v>2023</v>
      </c>
      <c r="C6341" s="1" t="s">
        <v>2505</v>
      </c>
      <c r="D6341" s="1" t="s">
        <v>2506</v>
      </c>
      <c r="E6341" s="1" t="s">
        <v>2019</v>
      </c>
      <c r="F6341" s="1" t="s">
        <v>632</v>
      </c>
      <c r="G6341" s="6">
        <v>610140</v>
      </c>
      <c r="H6341" t="str">
        <f>IFERROR(VLOOKUP(F6341,'LEAID Match'!$A$2:$B$142,2,FALSE),"")</f>
        <v/>
      </c>
    </row>
    <row r="6342" spans="1:8" x14ac:dyDescent="0.2">
      <c r="A6342" t="str">
        <f t="shared" si="99"/>
        <v/>
      </c>
      <c r="B6342" s="1">
        <v>2024</v>
      </c>
      <c r="C6342" s="1" t="s">
        <v>2505</v>
      </c>
      <c r="D6342" s="1" t="s">
        <v>2506</v>
      </c>
      <c r="E6342" s="1" t="s">
        <v>2019</v>
      </c>
      <c r="F6342" s="1" t="s">
        <v>632</v>
      </c>
      <c r="G6342" s="6">
        <v>591681</v>
      </c>
      <c r="H6342" t="str">
        <f>IFERROR(VLOOKUP(F6342,'LEAID Match'!$A$2:$B$142,2,FALSE),"")</f>
        <v/>
      </c>
    </row>
    <row r="6343" spans="1:8" x14ac:dyDescent="0.2">
      <c r="A6343">
        <f t="shared" si="99"/>
        <v>2803780</v>
      </c>
      <c r="B6343" s="1">
        <v>2015</v>
      </c>
      <c r="C6343" s="1" t="s">
        <v>2505</v>
      </c>
      <c r="D6343" s="1" t="s">
        <v>2506</v>
      </c>
      <c r="E6343" s="1" t="s">
        <v>2019</v>
      </c>
      <c r="F6343" s="1" t="s">
        <v>633</v>
      </c>
      <c r="G6343" s="6">
        <v>1608049</v>
      </c>
      <c r="H6343">
        <f>IFERROR(VLOOKUP(F6343,'LEAID Match'!$A$2:$B$142,2,FALSE),"")</f>
        <v>2803780</v>
      </c>
    </row>
    <row r="6344" spans="1:8" x14ac:dyDescent="0.2">
      <c r="A6344">
        <f t="shared" si="99"/>
        <v>2803780</v>
      </c>
      <c r="B6344">
        <v>2016</v>
      </c>
      <c r="C6344" s="1" t="s">
        <v>2505</v>
      </c>
      <c r="D6344" s="1" t="s">
        <v>2506</v>
      </c>
      <c r="E6344" s="1" t="s">
        <v>2019</v>
      </c>
      <c r="F6344" s="1" t="s">
        <v>633</v>
      </c>
      <c r="G6344" s="12">
        <v>1626294</v>
      </c>
      <c r="H6344">
        <f>IFERROR(VLOOKUP(F6344,'LEAID Match'!$A$2:$B$142,2,FALSE),"")</f>
        <v>2803780</v>
      </c>
    </row>
    <row r="6345" spans="1:8" x14ac:dyDescent="0.2">
      <c r="A6345">
        <f t="shared" si="99"/>
        <v>2803780</v>
      </c>
      <c r="B6345" s="1">
        <v>2017</v>
      </c>
      <c r="C6345" s="1" t="s">
        <v>2505</v>
      </c>
      <c r="D6345" s="1" t="s">
        <v>2506</v>
      </c>
      <c r="E6345" s="1" t="s">
        <v>2019</v>
      </c>
      <c r="F6345" s="1" t="s">
        <v>633</v>
      </c>
      <c r="G6345" s="47">
        <v>1519834</v>
      </c>
      <c r="H6345">
        <f>IFERROR(VLOOKUP(F6345,'LEAID Match'!$A$2:$B$142,2,FALSE),"")</f>
        <v>2803780</v>
      </c>
    </row>
    <row r="6346" spans="1:8" x14ac:dyDescent="0.2">
      <c r="A6346">
        <f t="shared" si="99"/>
        <v>2803780</v>
      </c>
      <c r="B6346" s="1">
        <v>2018</v>
      </c>
      <c r="C6346" s="1" t="s">
        <v>2505</v>
      </c>
      <c r="D6346" s="1" t="s">
        <v>2506</v>
      </c>
      <c r="E6346" s="1" t="s">
        <v>2019</v>
      </c>
      <c r="F6346" s="1" t="s">
        <v>633</v>
      </c>
      <c r="G6346" s="6">
        <v>1486189</v>
      </c>
      <c r="H6346">
        <f>IFERROR(VLOOKUP(F6346,'LEAID Match'!$A$2:$B$142,2,FALSE),"")</f>
        <v>2803780</v>
      </c>
    </row>
    <row r="6347" spans="1:8" x14ac:dyDescent="0.2">
      <c r="A6347">
        <f t="shared" si="99"/>
        <v>2803780</v>
      </c>
      <c r="B6347" s="1">
        <v>2019</v>
      </c>
      <c r="C6347" s="1" t="s">
        <v>2505</v>
      </c>
      <c r="D6347" s="1" t="s">
        <v>2506</v>
      </c>
      <c r="E6347" s="1" t="s">
        <v>2019</v>
      </c>
      <c r="F6347" s="1" t="s">
        <v>633</v>
      </c>
      <c r="G6347" s="6">
        <v>1507912</v>
      </c>
      <c r="H6347">
        <f>IFERROR(VLOOKUP(F6347,'LEAID Match'!$A$2:$B$142,2,FALSE),"")</f>
        <v>2803780</v>
      </c>
    </row>
    <row r="6348" spans="1:8" x14ac:dyDescent="0.2">
      <c r="A6348">
        <f t="shared" si="99"/>
        <v>2803780</v>
      </c>
      <c r="B6348" s="1">
        <v>2020</v>
      </c>
      <c r="C6348" s="1" t="s">
        <v>2505</v>
      </c>
      <c r="D6348" s="1" t="s">
        <v>2506</v>
      </c>
      <c r="E6348" s="1" t="s">
        <v>2019</v>
      </c>
      <c r="F6348" s="1" t="s">
        <v>633</v>
      </c>
      <c r="G6348" s="6">
        <v>1758561</v>
      </c>
      <c r="H6348">
        <f>IFERROR(VLOOKUP(F6348,'LEAID Match'!$A$2:$B$142,2,FALSE),"")</f>
        <v>2803780</v>
      </c>
    </row>
    <row r="6349" spans="1:8" x14ac:dyDescent="0.2">
      <c r="A6349">
        <f t="shared" si="99"/>
        <v>2803780</v>
      </c>
      <c r="B6349" s="1">
        <v>2021</v>
      </c>
      <c r="C6349" s="1" t="s">
        <v>2505</v>
      </c>
      <c r="D6349" s="1" t="s">
        <v>2506</v>
      </c>
      <c r="E6349" s="1" t="s">
        <v>2019</v>
      </c>
      <c r="F6349" s="1" t="s">
        <v>633</v>
      </c>
      <c r="G6349" s="6">
        <v>1744786</v>
      </c>
      <c r="H6349">
        <f>IFERROR(VLOOKUP(F6349,'LEAID Match'!$A$2:$B$142,2,FALSE),"")</f>
        <v>2803780</v>
      </c>
    </row>
    <row r="6350" spans="1:8" x14ac:dyDescent="0.2">
      <c r="A6350">
        <f t="shared" si="99"/>
        <v>2803780</v>
      </c>
      <c r="B6350" s="1">
        <v>2022</v>
      </c>
      <c r="C6350" s="1" t="s">
        <v>2505</v>
      </c>
      <c r="D6350" s="1" t="s">
        <v>2506</v>
      </c>
      <c r="E6350" s="1" t="s">
        <v>2019</v>
      </c>
      <c r="F6350" s="1" t="s">
        <v>633</v>
      </c>
      <c r="G6350" s="6">
        <v>1769779</v>
      </c>
      <c r="H6350">
        <f>IFERROR(VLOOKUP(F6350,'LEAID Match'!$A$2:$B$142,2,FALSE),"")</f>
        <v>2803780</v>
      </c>
    </row>
    <row r="6351" spans="1:8" x14ac:dyDescent="0.2">
      <c r="A6351">
        <f t="shared" si="99"/>
        <v>2803780</v>
      </c>
      <c r="B6351" s="1">
        <v>2023</v>
      </c>
      <c r="C6351" s="1" t="s">
        <v>2505</v>
      </c>
      <c r="D6351" s="1" t="s">
        <v>2506</v>
      </c>
      <c r="E6351" s="1" t="s">
        <v>2019</v>
      </c>
      <c r="F6351" s="1" t="s">
        <v>633</v>
      </c>
      <c r="G6351" s="6">
        <v>1966857</v>
      </c>
      <c r="H6351">
        <f>IFERROR(VLOOKUP(F6351,'LEAID Match'!$A$2:$B$142,2,FALSE),"")</f>
        <v>2803780</v>
      </c>
    </row>
    <row r="6352" spans="1:8" x14ac:dyDescent="0.2">
      <c r="A6352">
        <f t="shared" si="99"/>
        <v>2803780</v>
      </c>
      <c r="B6352" s="1">
        <v>2024</v>
      </c>
      <c r="C6352" s="1" t="s">
        <v>2505</v>
      </c>
      <c r="D6352" s="1" t="s">
        <v>2506</v>
      </c>
      <c r="E6352" s="1" t="s">
        <v>2019</v>
      </c>
      <c r="F6352" s="1" t="s">
        <v>633</v>
      </c>
      <c r="G6352" s="6">
        <v>1980391</v>
      </c>
      <c r="H6352">
        <f>IFERROR(VLOOKUP(F6352,'LEAID Match'!$A$2:$B$142,2,FALSE),"")</f>
        <v>2803780</v>
      </c>
    </row>
    <row r="6353" spans="1:8" x14ac:dyDescent="0.2">
      <c r="A6353" t="str">
        <f t="shared" si="99"/>
        <v/>
      </c>
      <c r="B6353" s="1">
        <v>2015</v>
      </c>
      <c r="C6353" s="1" t="s">
        <v>2505</v>
      </c>
      <c r="D6353" s="1" t="s">
        <v>2506</v>
      </c>
      <c r="E6353" s="1" t="s">
        <v>2019</v>
      </c>
      <c r="F6353" s="1" t="s">
        <v>634</v>
      </c>
      <c r="G6353" s="6">
        <v>49647</v>
      </c>
      <c r="H6353" t="str">
        <f>IFERROR(VLOOKUP(F6353,'LEAID Match'!$A$2:$B$142,2,FALSE),"")</f>
        <v/>
      </c>
    </row>
    <row r="6354" spans="1:8" x14ac:dyDescent="0.2">
      <c r="A6354" t="str">
        <f t="shared" si="99"/>
        <v/>
      </c>
      <c r="B6354">
        <v>2016</v>
      </c>
      <c r="C6354" s="1" t="s">
        <v>2505</v>
      </c>
      <c r="D6354" s="1" t="s">
        <v>2506</v>
      </c>
      <c r="E6354" s="1" t="s">
        <v>2019</v>
      </c>
      <c r="F6354" s="1" t="s">
        <v>634</v>
      </c>
      <c r="G6354" s="12">
        <v>52754</v>
      </c>
      <c r="H6354" t="str">
        <f>IFERROR(VLOOKUP(F6354,'LEAID Match'!$A$2:$B$142,2,FALSE),"")</f>
        <v/>
      </c>
    </row>
    <row r="6355" spans="1:8" x14ac:dyDescent="0.2">
      <c r="A6355" t="str">
        <f t="shared" si="99"/>
        <v/>
      </c>
      <c r="B6355" s="1">
        <v>2017</v>
      </c>
      <c r="C6355" s="1" t="s">
        <v>2505</v>
      </c>
      <c r="D6355" s="1" t="s">
        <v>2506</v>
      </c>
      <c r="E6355" s="1" t="s">
        <v>2019</v>
      </c>
      <c r="F6355" s="1" t="s">
        <v>634</v>
      </c>
      <c r="G6355" s="47">
        <v>52463</v>
      </c>
      <c r="H6355" t="str">
        <f>IFERROR(VLOOKUP(F6355,'LEAID Match'!$A$2:$B$142,2,FALSE),"")</f>
        <v/>
      </c>
    </row>
    <row r="6356" spans="1:8" x14ac:dyDescent="0.2">
      <c r="A6356" t="str">
        <f t="shared" si="99"/>
        <v/>
      </c>
      <c r="B6356" s="1">
        <v>2018</v>
      </c>
      <c r="C6356" s="1" t="s">
        <v>2505</v>
      </c>
      <c r="D6356" s="1" t="s">
        <v>2506</v>
      </c>
      <c r="E6356" s="1" t="s">
        <v>2019</v>
      </c>
      <c r="F6356" s="1" t="s">
        <v>634</v>
      </c>
      <c r="G6356" s="6">
        <v>50371</v>
      </c>
      <c r="H6356" t="str">
        <f>IFERROR(VLOOKUP(F6356,'LEAID Match'!$A$2:$B$142,2,FALSE),"")</f>
        <v/>
      </c>
    </row>
    <row r="6357" spans="1:8" x14ac:dyDescent="0.2">
      <c r="A6357" t="str">
        <f t="shared" si="99"/>
        <v/>
      </c>
      <c r="B6357" s="1">
        <v>2019</v>
      </c>
      <c r="C6357" s="1" t="s">
        <v>2505</v>
      </c>
      <c r="D6357" s="1" t="s">
        <v>2506</v>
      </c>
      <c r="E6357" s="1" t="s">
        <v>2019</v>
      </c>
      <c r="F6357" s="1" t="s">
        <v>634</v>
      </c>
      <c r="G6357" s="6">
        <v>45817</v>
      </c>
      <c r="H6357" t="str">
        <f>IFERROR(VLOOKUP(F6357,'LEAID Match'!$A$2:$B$142,2,FALSE),"")</f>
        <v/>
      </c>
    </row>
    <row r="6358" spans="1:8" x14ac:dyDescent="0.2">
      <c r="A6358" t="str">
        <f t="shared" si="99"/>
        <v/>
      </c>
      <c r="B6358" s="1">
        <v>2020</v>
      </c>
      <c r="C6358" s="1" t="s">
        <v>2505</v>
      </c>
      <c r="D6358" s="1" t="s">
        <v>2506</v>
      </c>
      <c r="E6358" s="1" t="s">
        <v>2019</v>
      </c>
      <c r="F6358" s="1" t="s">
        <v>634</v>
      </c>
      <c r="G6358" s="6">
        <v>45133</v>
      </c>
      <c r="H6358" t="str">
        <f>IFERROR(VLOOKUP(F6358,'LEAID Match'!$A$2:$B$142,2,FALSE),"")</f>
        <v/>
      </c>
    </row>
    <row r="6359" spans="1:8" x14ac:dyDescent="0.2">
      <c r="A6359" t="str">
        <f t="shared" si="99"/>
        <v/>
      </c>
      <c r="B6359" s="1">
        <v>2021</v>
      </c>
      <c r="C6359" s="1" t="s">
        <v>2505</v>
      </c>
      <c r="D6359" s="1" t="s">
        <v>2506</v>
      </c>
      <c r="E6359" s="1" t="s">
        <v>2019</v>
      </c>
      <c r="F6359" s="1" t="s">
        <v>634</v>
      </c>
      <c r="G6359" s="6">
        <v>53114</v>
      </c>
      <c r="H6359" t="str">
        <f>IFERROR(VLOOKUP(F6359,'LEAID Match'!$A$2:$B$142,2,FALSE),"")</f>
        <v/>
      </c>
    </row>
    <row r="6360" spans="1:8" x14ac:dyDescent="0.2">
      <c r="A6360" t="str">
        <f t="shared" si="99"/>
        <v/>
      </c>
      <c r="B6360" s="1">
        <v>2022</v>
      </c>
      <c r="C6360" s="1" t="s">
        <v>2505</v>
      </c>
      <c r="D6360" s="1" t="s">
        <v>2506</v>
      </c>
      <c r="E6360" s="1" t="s">
        <v>2019</v>
      </c>
      <c r="F6360" s="1" t="s">
        <v>634</v>
      </c>
      <c r="G6360" s="6">
        <v>59485</v>
      </c>
      <c r="H6360" t="str">
        <f>IFERROR(VLOOKUP(F6360,'LEAID Match'!$A$2:$B$142,2,FALSE),"")</f>
        <v/>
      </c>
    </row>
    <row r="6361" spans="1:8" x14ac:dyDescent="0.2">
      <c r="A6361" t="str">
        <f t="shared" si="99"/>
        <v/>
      </c>
      <c r="B6361" s="1">
        <v>2023</v>
      </c>
      <c r="C6361" s="1" t="s">
        <v>2505</v>
      </c>
      <c r="D6361" s="1" t="s">
        <v>2506</v>
      </c>
      <c r="E6361" s="1" t="s">
        <v>2019</v>
      </c>
      <c r="F6361" s="1" t="s">
        <v>634</v>
      </c>
      <c r="G6361" s="6">
        <v>77157</v>
      </c>
      <c r="H6361" t="str">
        <f>IFERROR(VLOOKUP(F6361,'LEAID Match'!$A$2:$B$142,2,FALSE),"")</f>
        <v/>
      </c>
    </row>
    <row r="6362" spans="1:8" x14ac:dyDescent="0.2">
      <c r="A6362" t="str">
        <f t="shared" si="99"/>
        <v/>
      </c>
      <c r="B6362" s="1">
        <v>2024</v>
      </c>
      <c r="C6362" s="1" t="s">
        <v>2505</v>
      </c>
      <c r="D6362" s="1" t="s">
        <v>2506</v>
      </c>
      <c r="E6362" s="1" t="s">
        <v>2019</v>
      </c>
      <c r="F6362" s="1" t="s">
        <v>634</v>
      </c>
      <c r="G6362" s="6">
        <v>64782</v>
      </c>
      <c r="H6362" t="str">
        <f>IFERROR(VLOOKUP(F6362,'LEAID Match'!$A$2:$B$142,2,FALSE),"")</f>
        <v/>
      </c>
    </row>
    <row r="6363" spans="1:8" x14ac:dyDescent="0.2">
      <c r="A6363">
        <f t="shared" si="99"/>
        <v>2803830</v>
      </c>
      <c r="B6363" s="1">
        <v>2015</v>
      </c>
      <c r="C6363" s="1" t="s">
        <v>2505</v>
      </c>
      <c r="D6363" s="1" t="s">
        <v>2506</v>
      </c>
      <c r="E6363" s="1" t="s">
        <v>2019</v>
      </c>
      <c r="F6363" s="1" t="s">
        <v>635</v>
      </c>
      <c r="G6363" s="6">
        <v>14085657</v>
      </c>
      <c r="H6363">
        <f>IFERROR(VLOOKUP(F6363,'LEAID Match'!$A$2:$B$142,2,FALSE),"")</f>
        <v>2803830</v>
      </c>
    </row>
    <row r="6364" spans="1:8" x14ac:dyDescent="0.2">
      <c r="A6364">
        <f t="shared" si="99"/>
        <v>2803830</v>
      </c>
      <c r="B6364">
        <v>2016</v>
      </c>
      <c r="C6364" s="1" t="s">
        <v>2505</v>
      </c>
      <c r="D6364" s="1" t="s">
        <v>2506</v>
      </c>
      <c r="E6364" s="1" t="s">
        <v>2019</v>
      </c>
      <c r="F6364" s="1" t="s">
        <v>635</v>
      </c>
      <c r="G6364" s="12">
        <v>14776908</v>
      </c>
      <c r="H6364">
        <f>IFERROR(VLOOKUP(F6364,'LEAID Match'!$A$2:$B$142,2,FALSE),"")</f>
        <v>2803830</v>
      </c>
    </row>
    <row r="6365" spans="1:8" x14ac:dyDescent="0.2">
      <c r="A6365">
        <f t="shared" si="99"/>
        <v>2803830</v>
      </c>
      <c r="B6365" s="1">
        <v>2017</v>
      </c>
      <c r="C6365" s="1" t="s">
        <v>2505</v>
      </c>
      <c r="D6365" s="1" t="s">
        <v>2506</v>
      </c>
      <c r="E6365" s="1" t="s">
        <v>2019</v>
      </c>
      <c r="F6365" s="1" t="s">
        <v>635</v>
      </c>
      <c r="G6365" s="47">
        <v>14970737</v>
      </c>
      <c r="H6365">
        <f>IFERROR(VLOOKUP(F6365,'LEAID Match'!$A$2:$B$142,2,FALSE),"")</f>
        <v>2803830</v>
      </c>
    </row>
    <row r="6366" spans="1:8" x14ac:dyDescent="0.2">
      <c r="A6366">
        <f t="shared" si="99"/>
        <v>2803830</v>
      </c>
      <c r="B6366" s="1">
        <v>2018</v>
      </c>
      <c r="C6366" s="1" t="s">
        <v>2505</v>
      </c>
      <c r="D6366" s="1" t="s">
        <v>2506</v>
      </c>
      <c r="E6366" s="1" t="s">
        <v>2019</v>
      </c>
      <c r="F6366" s="1" t="s">
        <v>635</v>
      </c>
      <c r="G6366" s="6">
        <v>15066378</v>
      </c>
      <c r="H6366">
        <f>IFERROR(VLOOKUP(F6366,'LEAID Match'!$A$2:$B$142,2,FALSE),"")</f>
        <v>2803830</v>
      </c>
    </row>
    <row r="6367" spans="1:8" x14ac:dyDescent="0.2">
      <c r="A6367">
        <f t="shared" si="99"/>
        <v>2803830</v>
      </c>
      <c r="B6367" s="1">
        <v>2019</v>
      </c>
      <c r="C6367" s="1" t="s">
        <v>2505</v>
      </c>
      <c r="D6367" s="1" t="s">
        <v>2506</v>
      </c>
      <c r="E6367" s="1" t="s">
        <v>2019</v>
      </c>
      <c r="F6367" s="1" t="s">
        <v>635</v>
      </c>
      <c r="G6367" s="6">
        <v>15542802</v>
      </c>
      <c r="H6367">
        <f>IFERROR(VLOOKUP(F6367,'LEAID Match'!$A$2:$B$142,2,FALSE),"")</f>
        <v>2803830</v>
      </c>
    </row>
    <row r="6368" spans="1:8" x14ac:dyDescent="0.2">
      <c r="A6368">
        <f t="shared" si="99"/>
        <v>2803830</v>
      </c>
      <c r="B6368" s="1">
        <v>2020</v>
      </c>
      <c r="C6368" s="1" t="s">
        <v>2505</v>
      </c>
      <c r="D6368" s="1" t="s">
        <v>2506</v>
      </c>
      <c r="E6368" s="1" t="s">
        <v>2019</v>
      </c>
      <c r="F6368" s="1" t="s">
        <v>635</v>
      </c>
      <c r="G6368" s="6">
        <v>18154807</v>
      </c>
      <c r="H6368">
        <f>IFERROR(VLOOKUP(F6368,'LEAID Match'!$A$2:$B$142,2,FALSE),"")</f>
        <v>2803830</v>
      </c>
    </row>
    <row r="6369" spans="1:8" x14ac:dyDescent="0.2">
      <c r="A6369">
        <f t="shared" si="99"/>
        <v>2803830</v>
      </c>
      <c r="B6369" s="1">
        <v>2021</v>
      </c>
      <c r="C6369" s="1" t="s">
        <v>2505</v>
      </c>
      <c r="D6369" s="1" t="s">
        <v>2506</v>
      </c>
      <c r="E6369" s="1" t="s">
        <v>2019</v>
      </c>
      <c r="F6369" s="1" t="s">
        <v>635</v>
      </c>
      <c r="G6369" s="6">
        <v>18297473</v>
      </c>
      <c r="H6369">
        <f>IFERROR(VLOOKUP(F6369,'LEAID Match'!$A$2:$B$142,2,FALSE),"")</f>
        <v>2803830</v>
      </c>
    </row>
    <row r="6370" spans="1:8" x14ac:dyDescent="0.2">
      <c r="A6370">
        <f t="shared" si="99"/>
        <v>2803830</v>
      </c>
      <c r="B6370" s="1">
        <v>2022</v>
      </c>
      <c r="C6370" s="1" t="s">
        <v>2505</v>
      </c>
      <c r="D6370" s="1" t="s">
        <v>2506</v>
      </c>
      <c r="E6370" s="1" t="s">
        <v>2019</v>
      </c>
      <c r="F6370" s="1" t="s">
        <v>635</v>
      </c>
      <c r="G6370" s="6">
        <v>19362279</v>
      </c>
      <c r="H6370">
        <f>IFERROR(VLOOKUP(F6370,'LEAID Match'!$A$2:$B$142,2,FALSE),"")</f>
        <v>2803830</v>
      </c>
    </row>
    <row r="6371" spans="1:8" x14ac:dyDescent="0.2">
      <c r="A6371">
        <f t="shared" si="99"/>
        <v>2803830</v>
      </c>
      <c r="B6371" s="1">
        <v>2023</v>
      </c>
      <c r="C6371" s="1" t="s">
        <v>2505</v>
      </c>
      <c r="D6371" s="1" t="s">
        <v>2506</v>
      </c>
      <c r="E6371" s="1" t="s">
        <v>2019</v>
      </c>
      <c r="F6371" s="1" t="s">
        <v>635</v>
      </c>
      <c r="G6371" s="6">
        <v>21458778</v>
      </c>
      <c r="H6371">
        <f>IFERROR(VLOOKUP(F6371,'LEAID Match'!$A$2:$B$142,2,FALSE),"")</f>
        <v>2803830</v>
      </c>
    </row>
    <row r="6372" spans="1:8" x14ac:dyDescent="0.2">
      <c r="A6372">
        <f t="shared" si="99"/>
        <v>2803830</v>
      </c>
      <c r="B6372" s="1">
        <v>2024</v>
      </c>
      <c r="C6372" s="1" t="s">
        <v>2505</v>
      </c>
      <c r="D6372" s="1" t="s">
        <v>2506</v>
      </c>
      <c r="E6372" s="1" t="s">
        <v>2019</v>
      </c>
      <c r="F6372" s="1" t="s">
        <v>635</v>
      </c>
      <c r="G6372" s="6">
        <v>22351335</v>
      </c>
      <c r="H6372">
        <f>IFERROR(VLOOKUP(F6372,'LEAID Match'!$A$2:$B$142,2,FALSE),"")</f>
        <v>2803830</v>
      </c>
    </row>
    <row r="6373" spans="1:8" x14ac:dyDescent="0.2">
      <c r="A6373" t="str">
        <f t="shared" si="99"/>
        <v/>
      </c>
      <c r="B6373" s="1">
        <v>2015</v>
      </c>
      <c r="C6373" s="1" t="s">
        <v>2505</v>
      </c>
      <c r="D6373" s="1" t="s">
        <v>2506</v>
      </c>
      <c r="E6373" s="1" t="s">
        <v>2019</v>
      </c>
      <c r="F6373" s="1" t="s">
        <v>636</v>
      </c>
      <c r="G6373" s="6">
        <v>2766159</v>
      </c>
      <c r="H6373" t="str">
        <f>IFERROR(VLOOKUP(F6373,'LEAID Match'!$A$2:$B$142,2,FALSE),"")</f>
        <v/>
      </c>
    </row>
    <row r="6374" spans="1:8" x14ac:dyDescent="0.2">
      <c r="A6374" t="str">
        <f t="shared" si="99"/>
        <v/>
      </c>
      <c r="B6374">
        <v>2016</v>
      </c>
      <c r="C6374" s="1" t="s">
        <v>2505</v>
      </c>
      <c r="D6374" s="1" t="s">
        <v>2506</v>
      </c>
      <c r="E6374" s="1" t="s">
        <v>2019</v>
      </c>
      <c r="F6374" s="1" t="s">
        <v>636</v>
      </c>
      <c r="G6374" s="12">
        <v>2851629</v>
      </c>
      <c r="H6374" t="str">
        <f>IFERROR(VLOOKUP(F6374,'LEAID Match'!$A$2:$B$142,2,FALSE),"")</f>
        <v/>
      </c>
    </row>
    <row r="6375" spans="1:8" x14ac:dyDescent="0.2">
      <c r="A6375" t="str">
        <f t="shared" si="99"/>
        <v/>
      </c>
      <c r="B6375" s="1">
        <v>2017</v>
      </c>
      <c r="C6375" s="1" t="s">
        <v>2505</v>
      </c>
      <c r="D6375" s="1" t="s">
        <v>2506</v>
      </c>
      <c r="E6375" s="1" t="s">
        <v>2019</v>
      </c>
      <c r="F6375" s="1" t="s">
        <v>636</v>
      </c>
      <c r="G6375" s="47">
        <v>3079882</v>
      </c>
      <c r="H6375" t="str">
        <f>IFERROR(VLOOKUP(F6375,'LEAID Match'!$A$2:$B$142,2,FALSE),"")</f>
        <v/>
      </c>
    </row>
    <row r="6376" spans="1:8" x14ac:dyDescent="0.2">
      <c r="A6376" t="str">
        <f t="shared" si="99"/>
        <v/>
      </c>
      <c r="B6376" s="1">
        <v>2018</v>
      </c>
      <c r="C6376" s="1" t="s">
        <v>2505</v>
      </c>
      <c r="D6376" s="1" t="s">
        <v>2506</v>
      </c>
      <c r="E6376" s="1" t="s">
        <v>2019</v>
      </c>
      <c r="F6376" s="1" t="s">
        <v>636</v>
      </c>
      <c r="G6376" s="6">
        <v>3108445</v>
      </c>
      <c r="H6376" t="str">
        <f>IFERROR(VLOOKUP(F6376,'LEAID Match'!$A$2:$B$142,2,FALSE),"")</f>
        <v/>
      </c>
    </row>
    <row r="6377" spans="1:8" x14ac:dyDescent="0.2">
      <c r="A6377" t="str">
        <f t="shared" si="99"/>
        <v/>
      </c>
      <c r="B6377" s="1">
        <v>2019</v>
      </c>
      <c r="C6377" s="1" t="s">
        <v>2505</v>
      </c>
      <c r="D6377" s="1" t="s">
        <v>2506</v>
      </c>
      <c r="E6377" s="1" t="s">
        <v>2019</v>
      </c>
      <c r="F6377" s="1" t="s">
        <v>636</v>
      </c>
      <c r="G6377" s="6">
        <v>3212758</v>
      </c>
      <c r="H6377" t="str">
        <f>IFERROR(VLOOKUP(F6377,'LEAID Match'!$A$2:$B$142,2,FALSE),"")</f>
        <v/>
      </c>
    </row>
    <row r="6378" spans="1:8" x14ac:dyDescent="0.2">
      <c r="A6378" t="str">
        <f t="shared" si="99"/>
        <v/>
      </c>
      <c r="B6378" s="1">
        <v>2020</v>
      </c>
      <c r="C6378" s="1" t="s">
        <v>2505</v>
      </c>
      <c r="D6378" s="1" t="s">
        <v>2506</v>
      </c>
      <c r="E6378" s="1" t="s">
        <v>2019</v>
      </c>
      <c r="F6378" s="1" t="s">
        <v>636</v>
      </c>
      <c r="G6378" s="6">
        <v>3622143</v>
      </c>
      <c r="H6378" t="str">
        <f>IFERROR(VLOOKUP(F6378,'LEAID Match'!$A$2:$B$142,2,FALSE),"")</f>
        <v/>
      </c>
    </row>
    <row r="6379" spans="1:8" x14ac:dyDescent="0.2">
      <c r="A6379" t="str">
        <f t="shared" si="99"/>
        <v/>
      </c>
      <c r="B6379" s="1">
        <v>2021</v>
      </c>
      <c r="C6379" s="1" t="s">
        <v>2505</v>
      </c>
      <c r="D6379" s="1" t="s">
        <v>2506</v>
      </c>
      <c r="E6379" s="1" t="s">
        <v>2019</v>
      </c>
      <c r="F6379" s="1" t="s">
        <v>636</v>
      </c>
      <c r="G6379" s="6">
        <v>3678375</v>
      </c>
      <c r="H6379" t="str">
        <f>IFERROR(VLOOKUP(F6379,'LEAID Match'!$A$2:$B$142,2,FALSE),"")</f>
        <v/>
      </c>
    </row>
    <row r="6380" spans="1:8" x14ac:dyDescent="0.2">
      <c r="A6380" t="str">
        <f t="shared" si="99"/>
        <v/>
      </c>
      <c r="B6380" s="1">
        <v>2022</v>
      </c>
      <c r="C6380" s="1" t="s">
        <v>2505</v>
      </c>
      <c r="D6380" s="1" t="s">
        <v>2506</v>
      </c>
      <c r="E6380" s="1" t="s">
        <v>2019</v>
      </c>
      <c r="F6380" s="1" t="s">
        <v>636</v>
      </c>
      <c r="G6380" s="6">
        <v>3917340</v>
      </c>
      <c r="H6380" t="str">
        <f>IFERROR(VLOOKUP(F6380,'LEAID Match'!$A$2:$B$142,2,FALSE),"")</f>
        <v/>
      </c>
    </row>
    <row r="6381" spans="1:8" x14ac:dyDescent="0.2">
      <c r="A6381" t="str">
        <f t="shared" si="99"/>
        <v/>
      </c>
      <c r="B6381" s="1">
        <v>2023</v>
      </c>
      <c r="C6381" s="1" t="s">
        <v>2505</v>
      </c>
      <c r="D6381" s="1" t="s">
        <v>2506</v>
      </c>
      <c r="E6381" s="1" t="s">
        <v>2019</v>
      </c>
      <c r="F6381" s="1" t="s">
        <v>636</v>
      </c>
      <c r="G6381" s="6">
        <v>4227866</v>
      </c>
      <c r="H6381" t="str">
        <f>IFERROR(VLOOKUP(F6381,'LEAID Match'!$A$2:$B$142,2,FALSE),"")</f>
        <v/>
      </c>
    </row>
    <row r="6382" spans="1:8" x14ac:dyDescent="0.2">
      <c r="A6382" t="str">
        <f t="shared" si="99"/>
        <v/>
      </c>
      <c r="B6382" s="1">
        <v>2024</v>
      </c>
      <c r="C6382" s="1" t="s">
        <v>2505</v>
      </c>
      <c r="D6382" s="1" t="s">
        <v>2506</v>
      </c>
      <c r="E6382" s="1" t="s">
        <v>2019</v>
      </c>
      <c r="F6382" s="1" t="s">
        <v>636</v>
      </c>
      <c r="G6382" s="6">
        <v>4260168</v>
      </c>
      <c r="H6382" t="str">
        <f>IFERROR(VLOOKUP(F6382,'LEAID Match'!$A$2:$B$142,2,FALSE),"")</f>
        <v/>
      </c>
    </row>
    <row r="6383" spans="1:8" x14ac:dyDescent="0.2">
      <c r="A6383" t="str">
        <f t="shared" si="99"/>
        <v/>
      </c>
      <c r="B6383" s="1">
        <v>2015</v>
      </c>
      <c r="C6383" s="1" t="s">
        <v>2505</v>
      </c>
      <c r="D6383" s="1" t="s">
        <v>2506</v>
      </c>
      <c r="E6383" s="1" t="s">
        <v>2019</v>
      </c>
      <c r="F6383" s="1" t="s">
        <v>892</v>
      </c>
      <c r="G6383" s="6">
        <v>60756</v>
      </c>
      <c r="H6383" t="str">
        <f>IFERROR(VLOOKUP(F6383,'LEAID Match'!$A$2:$B$142,2,FALSE),"")</f>
        <v/>
      </c>
    </row>
    <row r="6384" spans="1:8" x14ac:dyDescent="0.2">
      <c r="A6384" t="str">
        <f t="shared" si="99"/>
        <v/>
      </c>
      <c r="B6384">
        <v>2016</v>
      </c>
      <c r="C6384" s="1" t="s">
        <v>2505</v>
      </c>
      <c r="D6384" s="1" t="s">
        <v>2506</v>
      </c>
      <c r="E6384" s="1" t="s">
        <v>2019</v>
      </c>
      <c r="F6384" s="1" t="s">
        <v>892</v>
      </c>
      <c r="G6384" s="12">
        <v>61232</v>
      </c>
      <c r="H6384" t="str">
        <f>IFERROR(VLOOKUP(F6384,'LEAID Match'!$A$2:$B$142,2,FALSE),"")</f>
        <v/>
      </c>
    </row>
    <row r="6385" spans="1:8" x14ac:dyDescent="0.2">
      <c r="A6385" t="str">
        <f t="shared" si="99"/>
        <v/>
      </c>
      <c r="B6385" s="1">
        <v>2017</v>
      </c>
      <c r="C6385" s="1" t="s">
        <v>2505</v>
      </c>
      <c r="D6385" s="1" t="s">
        <v>2506</v>
      </c>
      <c r="E6385" s="1" t="s">
        <v>2019</v>
      </c>
      <c r="F6385" s="1" t="s">
        <v>892</v>
      </c>
      <c r="G6385" s="47">
        <v>62885</v>
      </c>
      <c r="H6385" t="str">
        <f>IFERROR(VLOOKUP(F6385,'LEAID Match'!$A$2:$B$142,2,FALSE),"")</f>
        <v/>
      </c>
    </row>
    <row r="6386" spans="1:8" x14ac:dyDescent="0.2">
      <c r="A6386" t="str">
        <f t="shared" si="99"/>
        <v/>
      </c>
      <c r="B6386" s="1">
        <v>2018</v>
      </c>
      <c r="C6386" s="1" t="s">
        <v>2505</v>
      </c>
      <c r="D6386" s="1" t="s">
        <v>2506</v>
      </c>
      <c r="E6386" s="1" t="s">
        <v>2019</v>
      </c>
      <c r="F6386" s="1" t="s">
        <v>892</v>
      </c>
      <c r="G6386" s="6">
        <v>65204</v>
      </c>
      <c r="H6386" t="str">
        <f>IFERROR(VLOOKUP(F6386,'LEAID Match'!$A$2:$B$142,2,FALSE),"")</f>
        <v/>
      </c>
    </row>
    <row r="6387" spans="1:8" x14ac:dyDescent="0.2">
      <c r="A6387" t="str">
        <f t="shared" si="99"/>
        <v/>
      </c>
      <c r="B6387" s="1">
        <v>2019</v>
      </c>
      <c r="C6387" s="1" t="s">
        <v>2505</v>
      </c>
      <c r="D6387" s="1" t="s">
        <v>2506</v>
      </c>
      <c r="E6387" s="1" t="s">
        <v>2019</v>
      </c>
      <c r="F6387" s="1" t="s">
        <v>892</v>
      </c>
      <c r="G6387" s="6">
        <v>66494</v>
      </c>
      <c r="H6387" t="str">
        <f>IFERROR(VLOOKUP(F6387,'LEAID Match'!$A$2:$B$142,2,FALSE),"")</f>
        <v/>
      </c>
    </row>
    <row r="6388" spans="1:8" x14ac:dyDescent="0.2">
      <c r="A6388" t="str">
        <f t="shared" si="99"/>
        <v/>
      </c>
      <c r="B6388" s="1">
        <v>2020</v>
      </c>
      <c r="C6388" s="1" t="s">
        <v>2505</v>
      </c>
      <c r="D6388" s="1" t="s">
        <v>2506</v>
      </c>
      <c r="E6388" s="1" t="s">
        <v>2019</v>
      </c>
      <c r="F6388" s="1" t="s">
        <v>892</v>
      </c>
      <c r="G6388" s="6">
        <v>73649</v>
      </c>
      <c r="H6388" t="str">
        <f>IFERROR(VLOOKUP(F6388,'LEAID Match'!$A$2:$B$142,2,FALSE),"")</f>
        <v/>
      </c>
    </row>
    <row r="6389" spans="1:8" x14ac:dyDescent="0.2">
      <c r="A6389" t="str">
        <f t="shared" si="99"/>
        <v/>
      </c>
      <c r="B6389" s="1">
        <v>2021</v>
      </c>
      <c r="C6389" s="1" t="s">
        <v>2505</v>
      </c>
      <c r="D6389" s="1" t="s">
        <v>2506</v>
      </c>
      <c r="E6389" s="1" t="s">
        <v>2019</v>
      </c>
      <c r="F6389" s="1" t="s">
        <v>892</v>
      </c>
      <c r="G6389" s="6">
        <v>75621</v>
      </c>
      <c r="H6389" t="str">
        <f>IFERROR(VLOOKUP(F6389,'LEAID Match'!$A$2:$B$142,2,FALSE),"")</f>
        <v/>
      </c>
    </row>
    <row r="6390" spans="1:8" x14ac:dyDescent="0.2">
      <c r="A6390" t="str">
        <f t="shared" si="99"/>
        <v/>
      </c>
      <c r="B6390" s="1">
        <v>2022</v>
      </c>
      <c r="C6390" s="1" t="s">
        <v>2505</v>
      </c>
      <c r="D6390" s="1" t="s">
        <v>2506</v>
      </c>
      <c r="E6390" s="1" t="s">
        <v>2019</v>
      </c>
      <c r="F6390" s="1" t="s">
        <v>892</v>
      </c>
      <c r="G6390" s="6">
        <v>71440</v>
      </c>
      <c r="H6390" t="str">
        <f>IFERROR(VLOOKUP(F6390,'LEAID Match'!$A$2:$B$142,2,FALSE),"")</f>
        <v/>
      </c>
    </row>
    <row r="6391" spans="1:8" x14ac:dyDescent="0.2">
      <c r="A6391" t="str">
        <f t="shared" si="99"/>
        <v/>
      </c>
      <c r="B6391" s="1">
        <v>2023</v>
      </c>
      <c r="C6391" s="1" t="s">
        <v>2505</v>
      </c>
      <c r="D6391" s="1" t="s">
        <v>2506</v>
      </c>
      <c r="E6391" s="1" t="s">
        <v>2019</v>
      </c>
      <c r="F6391" s="1" t="s">
        <v>892</v>
      </c>
      <c r="G6391" s="6">
        <v>2058</v>
      </c>
      <c r="H6391" t="str">
        <f>IFERROR(VLOOKUP(F6391,'LEAID Match'!$A$2:$B$142,2,FALSE),"")</f>
        <v/>
      </c>
    </row>
    <row r="6392" spans="1:8" x14ac:dyDescent="0.2">
      <c r="A6392" t="str">
        <f t="shared" si="99"/>
        <v/>
      </c>
      <c r="B6392" s="1">
        <v>2015</v>
      </c>
      <c r="C6392" s="1" t="s">
        <v>2505</v>
      </c>
      <c r="D6392" s="1" t="s">
        <v>2506</v>
      </c>
      <c r="E6392" s="1" t="s">
        <v>2019</v>
      </c>
      <c r="F6392" s="1" t="s">
        <v>637</v>
      </c>
      <c r="G6392" s="6">
        <v>15290</v>
      </c>
      <c r="H6392" t="str">
        <f>IFERROR(VLOOKUP(F6392,'LEAID Match'!$A$2:$B$142,2,FALSE),"")</f>
        <v/>
      </c>
    </row>
    <row r="6393" spans="1:8" x14ac:dyDescent="0.2">
      <c r="A6393" t="str">
        <f t="shared" si="99"/>
        <v/>
      </c>
      <c r="B6393">
        <v>2016</v>
      </c>
      <c r="C6393" s="1" t="s">
        <v>2505</v>
      </c>
      <c r="D6393" s="1" t="s">
        <v>2506</v>
      </c>
      <c r="E6393" s="1" t="s">
        <v>2019</v>
      </c>
      <c r="F6393" s="1" t="s">
        <v>637</v>
      </c>
      <c r="G6393" s="12">
        <v>14341</v>
      </c>
      <c r="H6393" t="str">
        <f>IFERROR(VLOOKUP(F6393,'LEAID Match'!$A$2:$B$142,2,FALSE),"")</f>
        <v/>
      </c>
    </row>
    <row r="6394" spans="1:8" x14ac:dyDescent="0.2">
      <c r="A6394" t="str">
        <f t="shared" si="99"/>
        <v/>
      </c>
      <c r="B6394" s="1">
        <v>2017</v>
      </c>
      <c r="C6394" s="1" t="s">
        <v>2505</v>
      </c>
      <c r="D6394" s="1" t="s">
        <v>2506</v>
      </c>
      <c r="E6394" s="1" t="s">
        <v>2019</v>
      </c>
      <c r="F6394" s="1" t="s">
        <v>637</v>
      </c>
      <c r="G6394" s="47">
        <v>16483</v>
      </c>
      <c r="H6394" t="str">
        <f>IFERROR(VLOOKUP(F6394,'LEAID Match'!$A$2:$B$142,2,FALSE),"")</f>
        <v/>
      </c>
    </row>
    <row r="6395" spans="1:8" x14ac:dyDescent="0.2">
      <c r="A6395" t="str">
        <f t="shared" si="99"/>
        <v/>
      </c>
      <c r="B6395" s="1">
        <v>2018</v>
      </c>
      <c r="C6395" s="1" t="s">
        <v>2505</v>
      </c>
      <c r="D6395" s="1" t="s">
        <v>2506</v>
      </c>
      <c r="E6395" s="1" t="s">
        <v>2019</v>
      </c>
      <c r="F6395" s="1" t="s">
        <v>637</v>
      </c>
      <c r="G6395" s="6">
        <v>19302</v>
      </c>
      <c r="H6395" t="str">
        <f>IFERROR(VLOOKUP(F6395,'LEAID Match'!$A$2:$B$142,2,FALSE),"")</f>
        <v/>
      </c>
    </row>
    <row r="6396" spans="1:8" x14ac:dyDescent="0.2">
      <c r="A6396" t="str">
        <f t="shared" si="99"/>
        <v/>
      </c>
      <c r="B6396" s="1">
        <v>2019</v>
      </c>
      <c r="C6396" s="1" t="s">
        <v>2505</v>
      </c>
      <c r="D6396" s="1" t="s">
        <v>2506</v>
      </c>
      <c r="E6396" s="1" t="s">
        <v>2019</v>
      </c>
      <c r="F6396" s="1" t="s">
        <v>637</v>
      </c>
      <c r="G6396" s="6">
        <v>20600</v>
      </c>
      <c r="H6396" t="str">
        <f>IFERROR(VLOOKUP(F6396,'LEAID Match'!$A$2:$B$142,2,FALSE),"")</f>
        <v/>
      </c>
    </row>
    <row r="6397" spans="1:8" x14ac:dyDescent="0.2">
      <c r="A6397" t="str">
        <f t="shared" si="99"/>
        <v/>
      </c>
      <c r="B6397" s="1">
        <v>2020</v>
      </c>
      <c r="C6397" s="1" t="s">
        <v>2505</v>
      </c>
      <c r="D6397" s="1" t="s">
        <v>2506</v>
      </c>
      <c r="E6397" s="1" t="s">
        <v>2019</v>
      </c>
      <c r="F6397" s="1" t="s">
        <v>637</v>
      </c>
      <c r="G6397" s="6">
        <v>24719</v>
      </c>
      <c r="H6397" t="str">
        <f>IFERROR(VLOOKUP(F6397,'LEAID Match'!$A$2:$B$142,2,FALSE),"")</f>
        <v/>
      </c>
    </row>
    <row r="6398" spans="1:8" x14ac:dyDescent="0.2">
      <c r="A6398" t="str">
        <f t="shared" si="99"/>
        <v/>
      </c>
      <c r="B6398" s="1">
        <v>2021</v>
      </c>
      <c r="C6398" s="1" t="s">
        <v>2505</v>
      </c>
      <c r="D6398" s="1" t="s">
        <v>2506</v>
      </c>
      <c r="E6398" s="1" t="s">
        <v>2019</v>
      </c>
      <c r="F6398" s="1" t="s">
        <v>637</v>
      </c>
      <c r="G6398" s="6">
        <v>18182</v>
      </c>
      <c r="H6398" t="str">
        <f>IFERROR(VLOOKUP(F6398,'LEAID Match'!$A$2:$B$142,2,FALSE),"")</f>
        <v/>
      </c>
    </row>
    <row r="6399" spans="1:8" x14ac:dyDescent="0.2">
      <c r="A6399" t="str">
        <f t="shared" si="99"/>
        <v/>
      </c>
      <c r="B6399" s="1">
        <v>2024</v>
      </c>
      <c r="C6399" s="1" t="s">
        <v>2505</v>
      </c>
      <c r="D6399" s="1" t="s">
        <v>2506</v>
      </c>
      <c r="E6399" s="1" t="s">
        <v>2019</v>
      </c>
      <c r="F6399" s="1" t="s">
        <v>637</v>
      </c>
      <c r="G6399" s="6">
        <v>21484</v>
      </c>
      <c r="H6399" t="str">
        <f>IFERROR(VLOOKUP(F6399,'LEAID Match'!$A$2:$B$142,2,FALSE),"")</f>
        <v/>
      </c>
    </row>
    <row r="6400" spans="1:8" x14ac:dyDescent="0.2">
      <c r="A6400" t="str">
        <f t="shared" si="99"/>
        <v/>
      </c>
      <c r="B6400" s="1">
        <v>2022</v>
      </c>
      <c r="C6400" s="1" t="s">
        <v>2505</v>
      </c>
      <c r="D6400" s="1" t="s">
        <v>2506</v>
      </c>
      <c r="E6400" s="1" t="s">
        <v>2019</v>
      </c>
      <c r="F6400" s="1" t="s">
        <v>893</v>
      </c>
      <c r="G6400" s="6">
        <v>18475</v>
      </c>
      <c r="H6400" t="str">
        <f>IFERROR(VLOOKUP(F6400,'LEAID Match'!$A$2:$B$142,2,FALSE),"")</f>
        <v/>
      </c>
    </row>
    <row r="6401" spans="1:8" x14ac:dyDescent="0.2">
      <c r="A6401" t="str">
        <f t="shared" si="99"/>
        <v/>
      </c>
      <c r="B6401" s="1">
        <v>2023</v>
      </c>
      <c r="C6401" s="1" t="s">
        <v>2505</v>
      </c>
      <c r="D6401" s="1" t="s">
        <v>2506</v>
      </c>
      <c r="E6401" s="1" t="s">
        <v>2019</v>
      </c>
      <c r="F6401" s="1" t="s">
        <v>893</v>
      </c>
      <c r="G6401" s="6">
        <v>23632</v>
      </c>
      <c r="H6401" t="str">
        <f>IFERROR(VLOOKUP(F6401,'LEAID Match'!$A$2:$B$142,2,FALSE),"")</f>
        <v/>
      </c>
    </row>
    <row r="6402" spans="1:8" x14ac:dyDescent="0.2">
      <c r="A6402" t="str">
        <f t="shared" si="99"/>
        <v/>
      </c>
      <c r="B6402" s="1">
        <v>2015</v>
      </c>
      <c r="C6402" s="1" t="s">
        <v>2505</v>
      </c>
      <c r="D6402" s="1" t="s">
        <v>2506</v>
      </c>
      <c r="E6402" s="1" t="s">
        <v>2019</v>
      </c>
      <c r="F6402" s="1" t="s">
        <v>638</v>
      </c>
      <c r="G6402" s="6">
        <v>104269</v>
      </c>
      <c r="H6402" t="str">
        <f>IFERROR(VLOOKUP(F6402,'LEAID Match'!$A$2:$B$142,2,FALSE),"")</f>
        <v/>
      </c>
    </row>
    <row r="6403" spans="1:8" x14ac:dyDescent="0.2">
      <c r="A6403" t="str">
        <f t="shared" ref="A6403:A6466" si="100">H6403</f>
        <v/>
      </c>
      <c r="B6403">
        <v>2016</v>
      </c>
      <c r="C6403" s="1" t="s">
        <v>2505</v>
      </c>
      <c r="D6403" s="1" t="s">
        <v>2506</v>
      </c>
      <c r="E6403" s="1" t="s">
        <v>2019</v>
      </c>
      <c r="F6403" s="1" t="s">
        <v>638</v>
      </c>
      <c r="G6403" s="12">
        <v>106031</v>
      </c>
      <c r="H6403" t="str">
        <f>IFERROR(VLOOKUP(F6403,'LEAID Match'!$A$2:$B$142,2,FALSE),"")</f>
        <v/>
      </c>
    </row>
    <row r="6404" spans="1:8" x14ac:dyDescent="0.2">
      <c r="A6404" t="str">
        <f t="shared" si="100"/>
        <v/>
      </c>
      <c r="B6404" s="1">
        <v>2017</v>
      </c>
      <c r="C6404" s="1" t="s">
        <v>2505</v>
      </c>
      <c r="D6404" s="1" t="s">
        <v>2506</v>
      </c>
      <c r="E6404" s="1" t="s">
        <v>2019</v>
      </c>
      <c r="F6404" s="1" t="s">
        <v>638</v>
      </c>
      <c r="G6404" s="47">
        <v>102470</v>
      </c>
      <c r="H6404" t="str">
        <f>IFERROR(VLOOKUP(F6404,'LEAID Match'!$A$2:$B$142,2,FALSE),"")</f>
        <v/>
      </c>
    </row>
    <row r="6405" spans="1:8" x14ac:dyDescent="0.2">
      <c r="A6405" t="str">
        <f t="shared" si="100"/>
        <v/>
      </c>
      <c r="B6405" s="1">
        <v>2018</v>
      </c>
      <c r="C6405" s="1" t="s">
        <v>2505</v>
      </c>
      <c r="D6405" s="1" t="s">
        <v>2506</v>
      </c>
      <c r="E6405" s="1" t="s">
        <v>2019</v>
      </c>
      <c r="F6405" s="1" t="s">
        <v>638</v>
      </c>
      <c r="G6405" s="6">
        <v>101933</v>
      </c>
      <c r="H6405" t="str">
        <f>IFERROR(VLOOKUP(F6405,'LEAID Match'!$A$2:$B$142,2,FALSE),"")</f>
        <v/>
      </c>
    </row>
    <row r="6406" spans="1:8" x14ac:dyDescent="0.2">
      <c r="A6406" t="str">
        <f t="shared" si="100"/>
        <v/>
      </c>
      <c r="B6406" s="1">
        <v>2019</v>
      </c>
      <c r="C6406" s="1" t="s">
        <v>2505</v>
      </c>
      <c r="D6406" s="1" t="s">
        <v>2506</v>
      </c>
      <c r="E6406" s="1" t="s">
        <v>2019</v>
      </c>
      <c r="F6406" s="1" t="s">
        <v>638</v>
      </c>
      <c r="G6406" s="6">
        <v>102315</v>
      </c>
      <c r="H6406" t="str">
        <f>IFERROR(VLOOKUP(F6406,'LEAID Match'!$A$2:$B$142,2,FALSE),"")</f>
        <v/>
      </c>
    </row>
    <row r="6407" spans="1:8" x14ac:dyDescent="0.2">
      <c r="A6407" t="str">
        <f t="shared" si="100"/>
        <v/>
      </c>
      <c r="B6407" s="1">
        <v>2020</v>
      </c>
      <c r="C6407" s="1" t="s">
        <v>2505</v>
      </c>
      <c r="D6407" s="1" t="s">
        <v>2506</v>
      </c>
      <c r="E6407" s="1" t="s">
        <v>2019</v>
      </c>
      <c r="F6407" s="1" t="s">
        <v>638</v>
      </c>
      <c r="G6407" s="6">
        <v>106907</v>
      </c>
      <c r="H6407" t="str">
        <f>IFERROR(VLOOKUP(F6407,'LEAID Match'!$A$2:$B$142,2,FALSE),"")</f>
        <v/>
      </c>
    </row>
    <row r="6408" spans="1:8" x14ac:dyDescent="0.2">
      <c r="A6408" t="str">
        <f t="shared" si="100"/>
        <v/>
      </c>
      <c r="B6408" s="1">
        <v>2021</v>
      </c>
      <c r="C6408" s="1" t="s">
        <v>2505</v>
      </c>
      <c r="D6408" s="1" t="s">
        <v>2506</v>
      </c>
      <c r="E6408" s="1" t="s">
        <v>2019</v>
      </c>
      <c r="F6408" s="1" t="s">
        <v>638</v>
      </c>
      <c r="G6408" s="6">
        <v>104669</v>
      </c>
      <c r="H6408" t="str">
        <f>IFERROR(VLOOKUP(F6408,'LEAID Match'!$A$2:$B$142,2,FALSE),"")</f>
        <v/>
      </c>
    </row>
    <row r="6409" spans="1:8" x14ac:dyDescent="0.2">
      <c r="A6409" t="str">
        <f t="shared" si="100"/>
        <v/>
      </c>
      <c r="B6409" s="1">
        <v>2022</v>
      </c>
      <c r="C6409" s="1" t="s">
        <v>2505</v>
      </c>
      <c r="D6409" s="1" t="s">
        <v>2506</v>
      </c>
      <c r="E6409" s="1" t="s">
        <v>2019</v>
      </c>
      <c r="F6409" s="1" t="s">
        <v>638</v>
      </c>
      <c r="G6409" s="6">
        <v>102208</v>
      </c>
      <c r="H6409" t="str">
        <f>IFERROR(VLOOKUP(F6409,'LEAID Match'!$A$2:$B$142,2,FALSE),"")</f>
        <v/>
      </c>
    </row>
    <row r="6410" spans="1:8" x14ac:dyDescent="0.2">
      <c r="A6410" t="str">
        <f t="shared" si="100"/>
        <v/>
      </c>
      <c r="B6410" s="1">
        <v>2023</v>
      </c>
      <c r="C6410" s="1" t="s">
        <v>2505</v>
      </c>
      <c r="D6410" s="1" t="s">
        <v>2506</v>
      </c>
      <c r="E6410" s="1" t="s">
        <v>2019</v>
      </c>
      <c r="F6410" s="1" t="s">
        <v>638</v>
      </c>
      <c r="G6410" s="6">
        <v>101115</v>
      </c>
      <c r="H6410" t="str">
        <f>IFERROR(VLOOKUP(F6410,'LEAID Match'!$A$2:$B$142,2,FALSE),"")</f>
        <v/>
      </c>
    </row>
    <row r="6411" spans="1:8" x14ac:dyDescent="0.2">
      <c r="A6411" t="str">
        <f t="shared" si="100"/>
        <v/>
      </c>
      <c r="B6411" s="1">
        <v>2024</v>
      </c>
      <c r="C6411" s="1" t="s">
        <v>2505</v>
      </c>
      <c r="D6411" s="1" t="s">
        <v>2506</v>
      </c>
      <c r="E6411" s="1" t="s">
        <v>2019</v>
      </c>
      <c r="F6411" s="1" t="s">
        <v>638</v>
      </c>
      <c r="G6411" s="6">
        <v>113585</v>
      </c>
      <c r="H6411" t="str">
        <f>IFERROR(VLOOKUP(F6411,'LEAID Match'!$A$2:$B$142,2,FALSE),"")</f>
        <v/>
      </c>
    </row>
    <row r="6412" spans="1:8" x14ac:dyDescent="0.2">
      <c r="A6412" t="str">
        <f t="shared" si="100"/>
        <v/>
      </c>
      <c r="B6412" s="1">
        <v>2015</v>
      </c>
      <c r="C6412" s="1" t="s">
        <v>2505</v>
      </c>
      <c r="D6412" s="1" t="s">
        <v>2506</v>
      </c>
      <c r="E6412" s="1" t="s">
        <v>2019</v>
      </c>
      <c r="F6412" s="1" t="s">
        <v>639</v>
      </c>
      <c r="G6412" s="6">
        <v>88116</v>
      </c>
      <c r="H6412" t="str">
        <f>IFERROR(VLOOKUP(F6412,'LEAID Match'!$A$2:$B$142,2,FALSE),"")</f>
        <v/>
      </c>
    </row>
    <row r="6413" spans="1:8" x14ac:dyDescent="0.2">
      <c r="A6413" t="str">
        <f t="shared" si="100"/>
        <v/>
      </c>
      <c r="B6413">
        <v>2016</v>
      </c>
      <c r="C6413" s="1" t="s">
        <v>2505</v>
      </c>
      <c r="D6413" s="1" t="s">
        <v>2506</v>
      </c>
      <c r="E6413" s="1" t="s">
        <v>2019</v>
      </c>
      <c r="F6413" s="1" t="s">
        <v>639</v>
      </c>
      <c r="G6413" s="12">
        <v>85747</v>
      </c>
      <c r="H6413" t="str">
        <f>IFERROR(VLOOKUP(F6413,'LEAID Match'!$A$2:$B$142,2,FALSE),"")</f>
        <v/>
      </c>
    </row>
    <row r="6414" spans="1:8" x14ac:dyDescent="0.2">
      <c r="A6414" t="str">
        <f t="shared" si="100"/>
        <v/>
      </c>
      <c r="B6414" s="1">
        <v>2017</v>
      </c>
      <c r="C6414" s="1" t="s">
        <v>2505</v>
      </c>
      <c r="D6414" s="1" t="s">
        <v>2506</v>
      </c>
      <c r="E6414" s="1" t="s">
        <v>2019</v>
      </c>
      <c r="F6414" s="1" t="s">
        <v>639</v>
      </c>
      <c r="G6414" s="47">
        <v>88747</v>
      </c>
      <c r="H6414" t="str">
        <f>IFERROR(VLOOKUP(F6414,'LEAID Match'!$A$2:$B$142,2,FALSE),"")</f>
        <v/>
      </c>
    </row>
    <row r="6415" spans="1:8" x14ac:dyDescent="0.2">
      <c r="A6415" t="str">
        <f t="shared" si="100"/>
        <v/>
      </c>
      <c r="B6415" s="1">
        <v>2018</v>
      </c>
      <c r="C6415" s="1" t="s">
        <v>2505</v>
      </c>
      <c r="D6415" s="1" t="s">
        <v>2506</v>
      </c>
      <c r="E6415" s="1" t="s">
        <v>2019</v>
      </c>
      <c r="F6415" s="1" t="s">
        <v>639</v>
      </c>
      <c r="G6415" s="6">
        <v>98809</v>
      </c>
      <c r="H6415" t="str">
        <f>IFERROR(VLOOKUP(F6415,'LEAID Match'!$A$2:$B$142,2,FALSE),"")</f>
        <v/>
      </c>
    </row>
    <row r="6416" spans="1:8" x14ac:dyDescent="0.2">
      <c r="A6416" t="str">
        <f t="shared" si="100"/>
        <v/>
      </c>
      <c r="B6416" s="1">
        <v>2019</v>
      </c>
      <c r="C6416" s="1" t="s">
        <v>2505</v>
      </c>
      <c r="D6416" s="1" t="s">
        <v>2506</v>
      </c>
      <c r="E6416" s="1" t="s">
        <v>2019</v>
      </c>
      <c r="F6416" s="1" t="s">
        <v>639</v>
      </c>
      <c r="G6416" s="6">
        <v>101930</v>
      </c>
      <c r="H6416" t="str">
        <f>IFERROR(VLOOKUP(F6416,'LEAID Match'!$A$2:$B$142,2,FALSE),"")</f>
        <v/>
      </c>
    </row>
    <row r="6417" spans="1:8" x14ac:dyDescent="0.2">
      <c r="A6417" t="str">
        <f t="shared" si="100"/>
        <v/>
      </c>
      <c r="B6417" s="1">
        <v>2020</v>
      </c>
      <c r="C6417" s="1" t="s">
        <v>2505</v>
      </c>
      <c r="D6417" s="1" t="s">
        <v>2506</v>
      </c>
      <c r="E6417" s="1" t="s">
        <v>2019</v>
      </c>
      <c r="F6417" s="1" t="s">
        <v>639</v>
      </c>
      <c r="G6417" s="6">
        <v>115711</v>
      </c>
      <c r="H6417" t="str">
        <f>IFERROR(VLOOKUP(F6417,'LEAID Match'!$A$2:$B$142,2,FALSE),"")</f>
        <v/>
      </c>
    </row>
    <row r="6418" spans="1:8" x14ac:dyDescent="0.2">
      <c r="A6418" t="str">
        <f t="shared" si="100"/>
        <v/>
      </c>
      <c r="B6418" s="1">
        <v>2021</v>
      </c>
      <c r="C6418" s="1" t="s">
        <v>2505</v>
      </c>
      <c r="D6418" s="1" t="s">
        <v>2506</v>
      </c>
      <c r="E6418" s="1" t="s">
        <v>2019</v>
      </c>
      <c r="F6418" s="1" t="s">
        <v>639</v>
      </c>
      <c r="G6418" s="6">
        <v>114487</v>
      </c>
      <c r="H6418" t="str">
        <f>IFERROR(VLOOKUP(F6418,'LEAID Match'!$A$2:$B$142,2,FALSE),"")</f>
        <v/>
      </c>
    </row>
    <row r="6419" spans="1:8" x14ac:dyDescent="0.2">
      <c r="A6419" t="str">
        <f t="shared" si="100"/>
        <v/>
      </c>
      <c r="B6419" s="1">
        <v>2022</v>
      </c>
      <c r="C6419" s="1" t="s">
        <v>2505</v>
      </c>
      <c r="D6419" s="1" t="s">
        <v>2506</v>
      </c>
      <c r="E6419" s="1" t="s">
        <v>2019</v>
      </c>
      <c r="F6419" s="1" t="s">
        <v>639</v>
      </c>
      <c r="G6419" s="6">
        <v>111911</v>
      </c>
      <c r="H6419" t="str">
        <f>IFERROR(VLOOKUP(F6419,'LEAID Match'!$A$2:$B$142,2,FALSE),"")</f>
        <v/>
      </c>
    </row>
    <row r="6420" spans="1:8" x14ac:dyDescent="0.2">
      <c r="A6420" t="str">
        <f t="shared" si="100"/>
        <v/>
      </c>
      <c r="B6420" s="1">
        <v>2023</v>
      </c>
      <c r="C6420" s="1" t="s">
        <v>2505</v>
      </c>
      <c r="D6420" s="1" t="s">
        <v>2506</v>
      </c>
      <c r="E6420" s="1" t="s">
        <v>2019</v>
      </c>
      <c r="F6420" s="1" t="s">
        <v>639</v>
      </c>
      <c r="G6420" s="6">
        <v>114080</v>
      </c>
      <c r="H6420" t="str">
        <f>IFERROR(VLOOKUP(F6420,'LEAID Match'!$A$2:$B$142,2,FALSE),"")</f>
        <v/>
      </c>
    </row>
    <row r="6421" spans="1:8" x14ac:dyDescent="0.2">
      <c r="A6421" t="str">
        <f t="shared" si="100"/>
        <v/>
      </c>
      <c r="B6421" s="1">
        <v>2024</v>
      </c>
      <c r="C6421" s="1" t="s">
        <v>2505</v>
      </c>
      <c r="D6421" s="1" t="s">
        <v>2506</v>
      </c>
      <c r="E6421" s="1" t="s">
        <v>2019</v>
      </c>
      <c r="F6421" s="1" t="s">
        <v>639</v>
      </c>
      <c r="G6421" s="6">
        <v>134240</v>
      </c>
      <c r="H6421" t="str">
        <f>IFERROR(VLOOKUP(F6421,'LEAID Match'!$A$2:$B$142,2,FALSE),"")</f>
        <v/>
      </c>
    </row>
    <row r="6422" spans="1:8" x14ac:dyDescent="0.2">
      <c r="A6422" t="str">
        <f t="shared" si="100"/>
        <v/>
      </c>
      <c r="B6422" s="1">
        <v>2015</v>
      </c>
      <c r="C6422" s="1" t="s">
        <v>2505</v>
      </c>
      <c r="D6422" s="1" t="s">
        <v>2506</v>
      </c>
      <c r="E6422" s="1" t="s">
        <v>2019</v>
      </c>
      <c r="F6422" s="1" t="s">
        <v>640</v>
      </c>
      <c r="G6422" s="6">
        <v>5376351</v>
      </c>
      <c r="H6422" t="str">
        <f>IFERROR(VLOOKUP(F6422,'LEAID Match'!$A$2:$B$142,2,FALSE),"")</f>
        <v/>
      </c>
    </row>
    <row r="6423" spans="1:8" x14ac:dyDescent="0.2">
      <c r="A6423" t="str">
        <f t="shared" si="100"/>
        <v/>
      </c>
      <c r="B6423">
        <v>2016</v>
      </c>
      <c r="C6423" s="1" t="s">
        <v>2505</v>
      </c>
      <c r="D6423" s="1" t="s">
        <v>2506</v>
      </c>
      <c r="E6423" s="1" t="s">
        <v>2019</v>
      </c>
      <c r="F6423" s="1" t="s">
        <v>640</v>
      </c>
      <c r="G6423" s="12">
        <v>5528538</v>
      </c>
      <c r="H6423" t="str">
        <f>IFERROR(VLOOKUP(F6423,'LEAID Match'!$A$2:$B$142,2,FALSE),"")</f>
        <v/>
      </c>
    </row>
    <row r="6424" spans="1:8" x14ac:dyDescent="0.2">
      <c r="A6424" t="str">
        <f t="shared" si="100"/>
        <v/>
      </c>
      <c r="B6424" s="1">
        <v>2017</v>
      </c>
      <c r="C6424" s="1" t="s">
        <v>2505</v>
      </c>
      <c r="D6424" s="1" t="s">
        <v>2506</v>
      </c>
      <c r="E6424" s="1" t="s">
        <v>2019</v>
      </c>
      <c r="F6424" s="1" t="s">
        <v>640</v>
      </c>
      <c r="G6424" s="47">
        <v>5705516</v>
      </c>
      <c r="H6424" t="str">
        <f>IFERROR(VLOOKUP(F6424,'LEAID Match'!$A$2:$B$142,2,FALSE),"")</f>
        <v/>
      </c>
    </row>
    <row r="6425" spans="1:8" x14ac:dyDescent="0.2">
      <c r="A6425" t="str">
        <f t="shared" si="100"/>
        <v/>
      </c>
      <c r="B6425" s="1">
        <v>2018</v>
      </c>
      <c r="C6425" s="1" t="s">
        <v>2505</v>
      </c>
      <c r="D6425" s="1" t="s">
        <v>2506</v>
      </c>
      <c r="E6425" s="1" t="s">
        <v>2019</v>
      </c>
      <c r="F6425" s="1" t="s">
        <v>640</v>
      </c>
      <c r="G6425" s="6">
        <v>5413191</v>
      </c>
      <c r="H6425" t="str">
        <f>IFERROR(VLOOKUP(F6425,'LEAID Match'!$A$2:$B$142,2,FALSE),"")</f>
        <v/>
      </c>
    </row>
    <row r="6426" spans="1:8" x14ac:dyDescent="0.2">
      <c r="A6426" t="str">
        <f t="shared" si="100"/>
        <v/>
      </c>
      <c r="B6426" s="1">
        <v>2019</v>
      </c>
      <c r="C6426" s="1" t="s">
        <v>2505</v>
      </c>
      <c r="D6426" s="1" t="s">
        <v>2506</v>
      </c>
      <c r="E6426" s="1" t="s">
        <v>2019</v>
      </c>
      <c r="F6426" s="1" t="s">
        <v>640</v>
      </c>
      <c r="G6426" s="6">
        <v>5404862</v>
      </c>
      <c r="H6426" t="str">
        <f>IFERROR(VLOOKUP(F6426,'LEAID Match'!$A$2:$B$142,2,FALSE),"")</f>
        <v/>
      </c>
    </row>
    <row r="6427" spans="1:8" x14ac:dyDescent="0.2">
      <c r="A6427" t="str">
        <f t="shared" si="100"/>
        <v/>
      </c>
      <c r="B6427" s="1">
        <v>2020</v>
      </c>
      <c r="C6427" s="1" t="s">
        <v>2505</v>
      </c>
      <c r="D6427" s="1" t="s">
        <v>2506</v>
      </c>
      <c r="E6427" s="1" t="s">
        <v>2019</v>
      </c>
      <c r="F6427" s="1" t="s">
        <v>640</v>
      </c>
      <c r="G6427" s="6">
        <v>6318738</v>
      </c>
      <c r="H6427" t="str">
        <f>IFERROR(VLOOKUP(F6427,'LEAID Match'!$A$2:$B$142,2,FALSE),"")</f>
        <v/>
      </c>
    </row>
    <row r="6428" spans="1:8" x14ac:dyDescent="0.2">
      <c r="A6428" t="str">
        <f t="shared" si="100"/>
        <v/>
      </c>
      <c r="B6428" s="1">
        <v>2021</v>
      </c>
      <c r="C6428" s="1" t="s">
        <v>2505</v>
      </c>
      <c r="D6428" s="1" t="s">
        <v>2506</v>
      </c>
      <c r="E6428" s="1" t="s">
        <v>2019</v>
      </c>
      <c r="F6428" s="1" t="s">
        <v>640</v>
      </c>
      <c r="G6428" s="6">
        <v>6564700</v>
      </c>
      <c r="H6428" t="str">
        <f>IFERROR(VLOOKUP(F6428,'LEAID Match'!$A$2:$B$142,2,FALSE),"")</f>
        <v/>
      </c>
    </row>
    <row r="6429" spans="1:8" x14ac:dyDescent="0.2">
      <c r="A6429" t="str">
        <f t="shared" si="100"/>
        <v/>
      </c>
      <c r="B6429" s="1">
        <v>2022</v>
      </c>
      <c r="C6429" s="1" t="s">
        <v>2505</v>
      </c>
      <c r="D6429" s="1" t="s">
        <v>2506</v>
      </c>
      <c r="E6429" s="1" t="s">
        <v>2019</v>
      </c>
      <c r="F6429" s="1" t="s">
        <v>640</v>
      </c>
      <c r="G6429" s="6">
        <v>6511075</v>
      </c>
      <c r="H6429" t="str">
        <f>IFERROR(VLOOKUP(F6429,'LEAID Match'!$A$2:$B$142,2,FALSE),"")</f>
        <v/>
      </c>
    </row>
    <row r="6430" spans="1:8" x14ac:dyDescent="0.2">
      <c r="A6430" t="str">
        <f t="shared" si="100"/>
        <v/>
      </c>
      <c r="B6430" s="1">
        <v>2023</v>
      </c>
      <c r="C6430" s="1" t="s">
        <v>2505</v>
      </c>
      <c r="D6430" s="1" t="s">
        <v>2506</v>
      </c>
      <c r="E6430" s="1" t="s">
        <v>2019</v>
      </c>
      <c r="F6430" s="1" t="s">
        <v>640</v>
      </c>
      <c r="G6430" s="6">
        <v>6898434</v>
      </c>
      <c r="H6430" t="str">
        <f>IFERROR(VLOOKUP(F6430,'LEAID Match'!$A$2:$B$142,2,FALSE),"")</f>
        <v/>
      </c>
    </row>
    <row r="6431" spans="1:8" x14ac:dyDescent="0.2">
      <c r="A6431" t="str">
        <f t="shared" si="100"/>
        <v/>
      </c>
      <c r="B6431" s="1">
        <v>2024</v>
      </c>
      <c r="C6431" s="1" t="s">
        <v>2505</v>
      </c>
      <c r="D6431" s="1" t="s">
        <v>2506</v>
      </c>
      <c r="E6431" s="1" t="s">
        <v>2019</v>
      </c>
      <c r="F6431" s="1" t="s">
        <v>640</v>
      </c>
      <c r="G6431" s="6">
        <v>7449774</v>
      </c>
      <c r="H6431" t="str">
        <f>IFERROR(VLOOKUP(F6431,'LEAID Match'!$A$2:$B$142,2,FALSE),"")</f>
        <v/>
      </c>
    </row>
    <row r="6432" spans="1:8" x14ac:dyDescent="0.2">
      <c r="A6432" t="str">
        <f t="shared" si="100"/>
        <v/>
      </c>
      <c r="B6432" s="1">
        <v>2015</v>
      </c>
      <c r="C6432" s="1" t="s">
        <v>2505</v>
      </c>
      <c r="D6432" s="1" t="s">
        <v>2506</v>
      </c>
      <c r="E6432" s="1" t="s">
        <v>2019</v>
      </c>
      <c r="F6432" s="1" t="s">
        <v>641</v>
      </c>
      <c r="G6432" s="6">
        <v>150685</v>
      </c>
      <c r="H6432" t="str">
        <f>IFERROR(VLOOKUP(F6432,'LEAID Match'!$A$2:$B$142,2,FALSE),"")</f>
        <v/>
      </c>
    </row>
    <row r="6433" spans="1:8" x14ac:dyDescent="0.2">
      <c r="A6433" t="str">
        <f t="shared" si="100"/>
        <v/>
      </c>
      <c r="B6433">
        <v>2016</v>
      </c>
      <c r="C6433" s="1" t="s">
        <v>2505</v>
      </c>
      <c r="D6433" s="1" t="s">
        <v>2506</v>
      </c>
      <c r="E6433" s="1" t="s">
        <v>2019</v>
      </c>
      <c r="F6433" s="1" t="s">
        <v>641</v>
      </c>
      <c r="G6433" s="12">
        <v>157793</v>
      </c>
      <c r="H6433" t="str">
        <f>IFERROR(VLOOKUP(F6433,'LEAID Match'!$A$2:$B$142,2,FALSE),"")</f>
        <v/>
      </c>
    </row>
    <row r="6434" spans="1:8" x14ac:dyDescent="0.2">
      <c r="A6434" t="str">
        <f t="shared" si="100"/>
        <v/>
      </c>
      <c r="B6434" s="1">
        <v>2017</v>
      </c>
      <c r="C6434" s="1" t="s">
        <v>2505</v>
      </c>
      <c r="D6434" s="1" t="s">
        <v>2506</v>
      </c>
      <c r="E6434" s="1" t="s">
        <v>2019</v>
      </c>
      <c r="F6434" s="1" t="s">
        <v>641</v>
      </c>
      <c r="G6434" s="47">
        <v>170063</v>
      </c>
      <c r="H6434" t="str">
        <f>IFERROR(VLOOKUP(F6434,'LEAID Match'!$A$2:$B$142,2,FALSE),"")</f>
        <v/>
      </c>
    </row>
    <row r="6435" spans="1:8" x14ac:dyDescent="0.2">
      <c r="A6435" t="str">
        <f t="shared" si="100"/>
        <v/>
      </c>
      <c r="B6435" s="1">
        <v>2018</v>
      </c>
      <c r="C6435" s="1" t="s">
        <v>2505</v>
      </c>
      <c r="D6435" s="1" t="s">
        <v>2506</v>
      </c>
      <c r="E6435" s="1" t="s">
        <v>2019</v>
      </c>
      <c r="F6435" s="1" t="s">
        <v>641</v>
      </c>
      <c r="G6435" s="6">
        <v>179912</v>
      </c>
      <c r="H6435" t="str">
        <f>IFERROR(VLOOKUP(F6435,'LEAID Match'!$A$2:$B$142,2,FALSE),"")</f>
        <v/>
      </c>
    </row>
    <row r="6436" spans="1:8" x14ac:dyDescent="0.2">
      <c r="A6436" t="str">
        <f t="shared" si="100"/>
        <v/>
      </c>
      <c r="B6436" s="1">
        <v>2019</v>
      </c>
      <c r="C6436" s="1" t="s">
        <v>2505</v>
      </c>
      <c r="D6436" s="1" t="s">
        <v>2506</v>
      </c>
      <c r="E6436" s="1" t="s">
        <v>2019</v>
      </c>
      <c r="F6436" s="1" t="s">
        <v>641</v>
      </c>
      <c r="G6436" s="6">
        <v>182103</v>
      </c>
      <c r="H6436" t="str">
        <f>IFERROR(VLOOKUP(F6436,'LEAID Match'!$A$2:$B$142,2,FALSE),"")</f>
        <v/>
      </c>
    </row>
    <row r="6437" spans="1:8" x14ac:dyDescent="0.2">
      <c r="A6437" t="str">
        <f t="shared" si="100"/>
        <v/>
      </c>
      <c r="B6437" s="1">
        <v>2020</v>
      </c>
      <c r="C6437" s="1" t="s">
        <v>2505</v>
      </c>
      <c r="D6437" s="1" t="s">
        <v>2506</v>
      </c>
      <c r="E6437" s="1" t="s">
        <v>2019</v>
      </c>
      <c r="F6437" s="1" t="s">
        <v>641</v>
      </c>
      <c r="G6437" s="6">
        <v>209222</v>
      </c>
      <c r="H6437" t="str">
        <f>IFERROR(VLOOKUP(F6437,'LEAID Match'!$A$2:$B$142,2,FALSE),"")</f>
        <v/>
      </c>
    </row>
    <row r="6438" spans="1:8" x14ac:dyDescent="0.2">
      <c r="A6438" t="str">
        <f t="shared" si="100"/>
        <v/>
      </c>
      <c r="B6438" s="1">
        <v>2021</v>
      </c>
      <c r="C6438" s="1" t="s">
        <v>2505</v>
      </c>
      <c r="D6438" s="1" t="s">
        <v>2506</v>
      </c>
      <c r="E6438" s="1" t="s">
        <v>2019</v>
      </c>
      <c r="F6438" s="1" t="s">
        <v>641</v>
      </c>
      <c r="G6438" s="6">
        <v>228433</v>
      </c>
      <c r="H6438" t="str">
        <f>IFERROR(VLOOKUP(F6438,'LEAID Match'!$A$2:$B$142,2,FALSE),"")</f>
        <v/>
      </c>
    </row>
    <row r="6439" spans="1:8" x14ac:dyDescent="0.2">
      <c r="A6439" t="str">
        <f t="shared" si="100"/>
        <v/>
      </c>
      <c r="B6439" s="1">
        <v>2022</v>
      </c>
      <c r="C6439" s="1" t="s">
        <v>2505</v>
      </c>
      <c r="D6439" s="1" t="s">
        <v>2506</v>
      </c>
      <c r="E6439" s="1" t="s">
        <v>2019</v>
      </c>
      <c r="F6439" s="1" t="s">
        <v>641</v>
      </c>
      <c r="G6439" s="6">
        <v>230246</v>
      </c>
      <c r="H6439" t="str">
        <f>IFERROR(VLOOKUP(F6439,'LEAID Match'!$A$2:$B$142,2,FALSE),"")</f>
        <v/>
      </c>
    </row>
    <row r="6440" spans="1:8" x14ac:dyDescent="0.2">
      <c r="A6440" t="str">
        <f t="shared" si="100"/>
        <v/>
      </c>
      <c r="B6440" s="1">
        <v>2023</v>
      </c>
      <c r="C6440" s="1" t="s">
        <v>2505</v>
      </c>
      <c r="D6440" s="1" t="s">
        <v>2506</v>
      </c>
      <c r="E6440" s="1" t="s">
        <v>2019</v>
      </c>
      <c r="F6440" s="1" t="s">
        <v>641</v>
      </c>
      <c r="G6440" s="6">
        <v>252020</v>
      </c>
      <c r="H6440" t="str">
        <f>IFERROR(VLOOKUP(F6440,'LEAID Match'!$A$2:$B$142,2,FALSE),"")</f>
        <v/>
      </c>
    </row>
    <row r="6441" spans="1:8" x14ac:dyDescent="0.2">
      <c r="A6441" t="str">
        <f t="shared" si="100"/>
        <v/>
      </c>
      <c r="B6441" s="1">
        <v>2024</v>
      </c>
      <c r="C6441" s="1" t="s">
        <v>2505</v>
      </c>
      <c r="D6441" s="1" t="s">
        <v>2506</v>
      </c>
      <c r="E6441" s="1" t="s">
        <v>2019</v>
      </c>
      <c r="F6441" s="1" t="s">
        <v>641</v>
      </c>
      <c r="G6441" s="6">
        <v>266637</v>
      </c>
      <c r="H6441" t="str">
        <f>IFERROR(VLOOKUP(F6441,'LEAID Match'!$A$2:$B$142,2,FALSE),"")</f>
        <v/>
      </c>
    </row>
    <row r="6442" spans="1:8" x14ac:dyDescent="0.2">
      <c r="A6442" t="str">
        <f t="shared" si="100"/>
        <v/>
      </c>
      <c r="B6442" s="1">
        <v>2015</v>
      </c>
      <c r="C6442" s="1" t="s">
        <v>2505</v>
      </c>
      <c r="D6442" s="1" t="s">
        <v>2506</v>
      </c>
      <c r="E6442" s="1" t="s">
        <v>2019</v>
      </c>
      <c r="F6442" s="1" t="s">
        <v>642</v>
      </c>
      <c r="G6442" s="6">
        <v>727955</v>
      </c>
      <c r="H6442" t="str">
        <f>IFERROR(VLOOKUP(F6442,'LEAID Match'!$A$2:$B$142,2,FALSE),"")</f>
        <v/>
      </c>
    </row>
    <row r="6443" spans="1:8" x14ac:dyDescent="0.2">
      <c r="A6443" t="str">
        <f t="shared" si="100"/>
        <v/>
      </c>
      <c r="B6443">
        <v>2016</v>
      </c>
      <c r="C6443" s="1" t="s">
        <v>2505</v>
      </c>
      <c r="D6443" s="1" t="s">
        <v>2506</v>
      </c>
      <c r="E6443" s="1" t="s">
        <v>2019</v>
      </c>
      <c r="F6443" s="1" t="s">
        <v>642</v>
      </c>
      <c r="G6443" s="12">
        <v>751500</v>
      </c>
      <c r="H6443" t="str">
        <f>IFERROR(VLOOKUP(F6443,'LEAID Match'!$A$2:$B$142,2,FALSE),"")</f>
        <v/>
      </c>
    </row>
    <row r="6444" spans="1:8" x14ac:dyDescent="0.2">
      <c r="A6444" t="str">
        <f t="shared" si="100"/>
        <v/>
      </c>
      <c r="B6444" s="1">
        <v>2017</v>
      </c>
      <c r="C6444" s="1" t="s">
        <v>2505</v>
      </c>
      <c r="D6444" s="1" t="s">
        <v>2506</v>
      </c>
      <c r="E6444" s="1" t="s">
        <v>2019</v>
      </c>
      <c r="F6444" s="1" t="s">
        <v>642</v>
      </c>
      <c r="G6444" s="47">
        <v>806961</v>
      </c>
      <c r="H6444" t="str">
        <f>IFERROR(VLOOKUP(F6444,'LEAID Match'!$A$2:$B$142,2,FALSE),"")</f>
        <v/>
      </c>
    </row>
    <row r="6445" spans="1:8" x14ac:dyDescent="0.2">
      <c r="A6445" t="str">
        <f t="shared" si="100"/>
        <v/>
      </c>
      <c r="B6445" s="1">
        <v>2018</v>
      </c>
      <c r="C6445" s="1" t="s">
        <v>2505</v>
      </c>
      <c r="D6445" s="1" t="s">
        <v>2506</v>
      </c>
      <c r="E6445" s="1" t="s">
        <v>2019</v>
      </c>
      <c r="F6445" s="1" t="s">
        <v>642</v>
      </c>
      <c r="G6445" s="6">
        <v>855010</v>
      </c>
      <c r="H6445" t="str">
        <f>IFERROR(VLOOKUP(F6445,'LEAID Match'!$A$2:$B$142,2,FALSE),"")</f>
        <v/>
      </c>
    </row>
    <row r="6446" spans="1:8" x14ac:dyDescent="0.2">
      <c r="A6446" t="str">
        <f t="shared" si="100"/>
        <v/>
      </c>
      <c r="B6446" s="1">
        <v>2019</v>
      </c>
      <c r="C6446" s="1" t="s">
        <v>2505</v>
      </c>
      <c r="D6446" s="1" t="s">
        <v>2506</v>
      </c>
      <c r="E6446" s="1" t="s">
        <v>2019</v>
      </c>
      <c r="F6446" s="1" t="s">
        <v>642</v>
      </c>
      <c r="G6446" s="6">
        <v>858716</v>
      </c>
      <c r="H6446" t="str">
        <f>IFERROR(VLOOKUP(F6446,'LEAID Match'!$A$2:$B$142,2,FALSE),"")</f>
        <v/>
      </c>
    </row>
    <row r="6447" spans="1:8" x14ac:dyDescent="0.2">
      <c r="A6447" t="str">
        <f t="shared" si="100"/>
        <v/>
      </c>
      <c r="B6447" s="1">
        <v>2020</v>
      </c>
      <c r="C6447" s="1" t="s">
        <v>2505</v>
      </c>
      <c r="D6447" s="1" t="s">
        <v>2506</v>
      </c>
      <c r="E6447" s="1" t="s">
        <v>2019</v>
      </c>
      <c r="F6447" s="1" t="s">
        <v>642</v>
      </c>
      <c r="G6447" s="6">
        <v>962947</v>
      </c>
      <c r="H6447" t="str">
        <f>IFERROR(VLOOKUP(F6447,'LEAID Match'!$A$2:$B$142,2,FALSE),"")</f>
        <v/>
      </c>
    </row>
    <row r="6448" spans="1:8" x14ac:dyDescent="0.2">
      <c r="A6448" t="str">
        <f t="shared" si="100"/>
        <v/>
      </c>
      <c r="B6448" s="1">
        <v>2021</v>
      </c>
      <c r="C6448" s="1" t="s">
        <v>2505</v>
      </c>
      <c r="D6448" s="1" t="s">
        <v>2506</v>
      </c>
      <c r="E6448" s="1" t="s">
        <v>2019</v>
      </c>
      <c r="F6448" s="1" t="s">
        <v>642</v>
      </c>
      <c r="G6448" s="6">
        <v>943684</v>
      </c>
      <c r="H6448" t="str">
        <f>IFERROR(VLOOKUP(F6448,'LEAID Match'!$A$2:$B$142,2,FALSE),"")</f>
        <v/>
      </c>
    </row>
    <row r="6449" spans="1:8" x14ac:dyDescent="0.2">
      <c r="A6449" t="str">
        <f t="shared" si="100"/>
        <v/>
      </c>
      <c r="B6449" s="1">
        <v>2022</v>
      </c>
      <c r="C6449" s="1" t="s">
        <v>2505</v>
      </c>
      <c r="D6449" s="1" t="s">
        <v>2506</v>
      </c>
      <c r="E6449" s="1" t="s">
        <v>2019</v>
      </c>
      <c r="F6449" s="1" t="s">
        <v>642</v>
      </c>
      <c r="G6449" s="6">
        <v>969046</v>
      </c>
      <c r="H6449" t="str">
        <f>IFERROR(VLOOKUP(F6449,'LEAID Match'!$A$2:$B$142,2,FALSE),"")</f>
        <v/>
      </c>
    </row>
    <row r="6450" spans="1:8" x14ac:dyDescent="0.2">
      <c r="A6450" t="str">
        <f t="shared" si="100"/>
        <v/>
      </c>
      <c r="B6450" s="1">
        <v>2023</v>
      </c>
      <c r="C6450" s="1" t="s">
        <v>2505</v>
      </c>
      <c r="D6450" s="1" t="s">
        <v>2506</v>
      </c>
      <c r="E6450" s="1" t="s">
        <v>2019</v>
      </c>
      <c r="F6450" s="1" t="s">
        <v>642</v>
      </c>
      <c r="G6450" s="6">
        <v>1066658</v>
      </c>
      <c r="H6450" t="str">
        <f>IFERROR(VLOOKUP(F6450,'LEAID Match'!$A$2:$B$142,2,FALSE),"")</f>
        <v/>
      </c>
    </row>
    <row r="6451" spans="1:8" x14ac:dyDescent="0.2">
      <c r="A6451" t="str">
        <f t="shared" si="100"/>
        <v/>
      </c>
      <c r="B6451" s="1">
        <v>2024</v>
      </c>
      <c r="C6451" s="1" t="s">
        <v>2505</v>
      </c>
      <c r="D6451" s="1" t="s">
        <v>2506</v>
      </c>
      <c r="E6451" s="1" t="s">
        <v>2019</v>
      </c>
      <c r="F6451" s="1" t="s">
        <v>642</v>
      </c>
      <c r="G6451" s="6">
        <v>1081422</v>
      </c>
      <c r="H6451" t="str">
        <f>IFERROR(VLOOKUP(F6451,'LEAID Match'!$A$2:$B$142,2,FALSE),"")</f>
        <v/>
      </c>
    </row>
    <row r="6452" spans="1:8" x14ac:dyDescent="0.2">
      <c r="A6452">
        <f t="shared" si="100"/>
        <v>2803870</v>
      </c>
      <c r="B6452" s="1">
        <v>2015</v>
      </c>
      <c r="C6452" s="1" t="s">
        <v>2505</v>
      </c>
      <c r="D6452" s="1" t="s">
        <v>2506</v>
      </c>
      <c r="E6452" s="1" t="s">
        <v>2019</v>
      </c>
      <c r="F6452" s="1" t="s">
        <v>643</v>
      </c>
      <c r="G6452" s="6">
        <v>493768</v>
      </c>
      <c r="H6452">
        <f>IFERROR(VLOOKUP(F6452,'LEAID Match'!$A$2:$B$142,2,FALSE),"")</f>
        <v>2803870</v>
      </c>
    </row>
    <row r="6453" spans="1:8" x14ac:dyDescent="0.2">
      <c r="A6453">
        <f t="shared" si="100"/>
        <v>2803870</v>
      </c>
      <c r="B6453">
        <v>2016</v>
      </c>
      <c r="C6453" s="1" t="s">
        <v>2505</v>
      </c>
      <c r="D6453" s="1" t="s">
        <v>2506</v>
      </c>
      <c r="E6453" s="1" t="s">
        <v>2019</v>
      </c>
      <c r="F6453" s="1" t="s">
        <v>643</v>
      </c>
      <c r="G6453" s="12">
        <v>550059</v>
      </c>
      <c r="H6453">
        <f>IFERROR(VLOOKUP(F6453,'LEAID Match'!$A$2:$B$142,2,FALSE),"")</f>
        <v>2803870</v>
      </c>
    </row>
    <row r="6454" spans="1:8" x14ac:dyDescent="0.2">
      <c r="A6454">
        <f t="shared" si="100"/>
        <v>2803870</v>
      </c>
      <c r="B6454" s="1">
        <v>2017</v>
      </c>
      <c r="C6454" s="1" t="s">
        <v>2505</v>
      </c>
      <c r="D6454" s="1" t="s">
        <v>2506</v>
      </c>
      <c r="E6454" s="1" t="s">
        <v>2019</v>
      </c>
      <c r="F6454" s="1" t="s">
        <v>643</v>
      </c>
      <c r="G6454" s="51">
        <v>508571</v>
      </c>
      <c r="H6454">
        <f>IFERROR(VLOOKUP(F6454,'LEAID Match'!$A$2:$B$142,2,FALSE),"")</f>
        <v>2803870</v>
      </c>
    </row>
    <row r="6455" spans="1:8" x14ac:dyDescent="0.2">
      <c r="A6455">
        <f t="shared" si="100"/>
        <v>2803870</v>
      </c>
      <c r="B6455" s="1">
        <v>2018</v>
      </c>
      <c r="C6455" s="1" t="s">
        <v>2505</v>
      </c>
      <c r="D6455" s="1" t="s">
        <v>2506</v>
      </c>
      <c r="E6455" s="1" t="s">
        <v>2019</v>
      </c>
      <c r="F6455" s="1" t="s">
        <v>643</v>
      </c>
      <c r="G6455" s="6">
        <v>467513</v>
      </c>
      <c r="H6455">
        <f>IFERROR(VLOOKUP(F6455,'LEAID Match'!$A$2:$B$142,2,FALSE),"")</f>
        <v>2803870</v>
      </c>
    </row>
    <row r="6456" spans="1:8" x14ac:dyDescent="0.2">
      <c r="A6456">
        <f t="shared" si="100"/>
        <v>2803870</v>
      </c>
      <c r="B6456" s="1">
        <v>2019</v>
      </c>
      <c r="C6456" s="1" t="s">
        <v>2505</v>
      </c>
      <c r="D6456" s="1" t="s">
        <v>2506</v>
      </c>
      <c r="E6456" s="1" t="s">
        <v>2019</v>
      </c>
      <c r="F6456" s="1" t="s">
        <v>643</v>
      </c>
      <c r="G6456" s="6">
        <v>529235</v>
      </c>
      <c r="H6456">
        <f>IFERROR(VLOOKUP(F6456,'LEAID Match'!$A$2:$B$142,2,FALSE),"")</f>
        <v>2803870</v>
      </c>
    </row>
    <row r="6457" spans="1:8" x14ac:dyDescent="0.2">
      <c r="A6457">
        <f t="shared" si="100"/>
        <v>2803870</v>
      </c>
      <c r="B6457" s="1">
        <v>2020</v>
      </c>
      <c r="C6457" s="1" t="s">
        <v>2505</v>
      </c>
      <c r="D6457" s="1" t="s">
        <v>2506</v>
      </c>
      <c r="E6457" s="1" t="s">
        <v>2019</v>
      </c>
      <c r="F6457" s="1" t="s">
        <v>643</v>
      </c>
      <c r="G6457" s="6">
        <v>557825</v>
      </c>
      <c r="H6457">
        <f>IFERROR(VLOOKUP(F6457,'LEAID Match'!$A$2:$B$142,2,FALSE),"")</f>
        <v>2803870</v>
      </c>
    </row>
    <row r="6458" spans="1:8" x14ac:dyDescent="0.2">
      <c r="A6458">
        <f t="shared" si="100"/>
        <v>2803870</v>
      </c>
      <c r="B6458" s="1">
        <v>2021</v>
      </c>
      <c r="C6458" s="1" t="s">
        <v>2505</v>
      </c>
      <c r="D6458" s="1" t="s">
        <v>2506</v>
      </c>
      <c r="E6458" s="1" t="s">
        <v>2019</v>
      </c>
      <c r="F6458" s="1" t="s">
        <v>643</v>
      </c>
      <c r="G6458" s="6">
        <v>566702</v>
      </c>
      <c r="H6458">
        <f>IFERROR(VLOOKUP(F6458,'LEAID Match'!$A$2:$B$142,2,FALSE),"")</f>
        <v>2803870</v>
      </c>
    </row>
    <row r="6459" spans="1:8" x14ac:dyDescent="0.2">
      <c r="A6459">
        <f t="shared" si="100"/>
        <v>2803870</v>
      </c>
      <c r="B6459" s="1">
        <v>2022</v>
      </c>
      <c r="C6459" s="1" t="s">
        <v>2505</v>
      </c>
      <c r="D6459" s="1" t="s">
        <v>2506</v>
      </c>
      <c r="E6459" s="1" t="s">
        <v>2019</v>
      </c>
      <c r="F6459" s="1" t="s">
        <v>643</v>
      </c>
      <c r="G6459" s="6">
        <v>582422</v>
      </c>
      <c r="H6459">
        <f>IFERROR(VLOOKUP(F6459,'LEAID Match'!$A$2:$B$142,2,FALSE),"")</f>
        <v>2803870</v>
      </c>
    </row>
    <row r="6460" spans="1:8" x14ac:dyDescent="0.2">
      <c r="A6460">
        <f t="shared" si="100"/>
        <v>2803870</v>
      </c>
      <c r="B6460" s="1">
        <v>2023</v>
      </c>
      <c r="C6460" s="1" t="s">
        <v>2505</v>
      </c>
      <c r="D6460" s="1" t="s">
        <v>2506</v>
      </c>
      <c r="E6460" s="1" t="s">
        <v>2019</v>
      </c>
      <c r="F6460" s="1" t="s">
        <v>643</v>
      </c>
      <c r="G6460" s="6">
        <v>666105</v>
      </c>
      <c r="H6460">
        <f>IFERROR(VLOOKUP(F6460,'LEAID Match'!$A$2:$B$142,2,FALSE),"")</f>
        <v>2803870</v>
      </c>
    </row>
    <row r="6461" spans="1:8" x14ac:dyDescent="0.2">
      <c r="A6461">
        <f t="shared" si="100"/>
        <v>2803870</v>
      </c>
      <c r="B6461" s="1">
        <v>2024</v>
      </c>
      <c r="C6461" s="1" t="s">
        <v>2505</v>
      </c>
      <c r="D6461" s="1" t="s">
        <v>2506</v>
      </c>
      <c r="E6461" s="1" t="s">
        <v>2019</v>
      </c>
      <c r="F6461" s="1" t="s">
        <v>643</v>
      </c>
      <c r="G6461" s="6">
        <v>662274</v>
      </c>
      <c r="H6461">
        <f>IFERROR(VLOOKUP(F6461,'LEAID Match'!$A$2:$B$142,2,FALSE),"")</f>
        <v>2803870</v>
      </c>
    </row>
    <row r="6462" spans="1:8" x14ac:dyDescent="0.2">
      <c r="A6462" t="str">
        <f t="shared" si="100"/>
        <v/>
      </c>
      <c r="B6462" s="1">
        <v>2015</v>
      </c>
      <c r="C6462" s="1" t="s">
        <v>2505</v>
      </c>
      <c r="D6462" s="1" t="s">
        <v>2506</v>
      </c>
      <c r="E6462" s="1" t="s">
        <v>2019</v>
      </c>
      <c r="F6462" s="1" t="s">
        <v>644</v>
      </c>
      <c r="G6462" s="6">
        <v>47997</v>
      </c>
      <c r="H6462" t="str">
        <f>IFERROR(VLOOKUP(F6462,'LEAID Match'!$A$2:$B$142,2,FALSE),"")</f>
        <v/>
      </c>
    </row>
    <row r="6463" spans="1:8" x14ac:dyDescent="0.2">
      <c r="A6463" t="str">
        <f t="shared" si="100"/>
        <v/>
      </c>
      <c r="B6463">
        <v>2016</v>
      </c>
      <c r="C6463" s="1" t="s">
        <v>2505</v>
      </c>
      <c r="D6463" s="1" t="s">
        <v>2506</v>
      </c>
      <c r="E6463" s="1" t="s">
        <v>2019</v>
      </c>
      <c r="F6463" s="1" t="s">
        <v>644</v>
      </c>
      <c r="G6463" s="12">
        <v>47377</v>
      </c>
      <c r="H6463" t="str">
        <f>IFERROR(VLOOKUP(F6463,'LEAID Match'!$A$2:$B$142,2,FALSE),"")</f>
        <v/>
      </c>
    </row>
    <row r="6464" spans="1:8" x14ac:dyDescent="0.2">
      <c r="A6464" t="str">
        <f t="shared" si="100"/>
        <v/>
      </c>
      <c r="B6464" s="1">
        <v>2017</v>
      </c>
      <c r="C6464" s="1" t="s">
        <v>2505</v>
      </c>
      <c r="D6464" s="1" t="s">
        <v>2506</v>
      </c>
      <c r="E6464" s="1" t="s">
        <v>2019</v>
      </c>
      <c r="F6464" s="1" t="s">
        <v>644</v>
      </c>
      <c r="G6464" s="51">
        <v>49121</v>
      </c>
      <c r="H6464" t="str">
        <f>IFERROR(VLOOKUP(F6464,'LEAID Match'!$A$2:$B$142,2,FALSE),"")</f>
        <v/>
      </c>
    </row>
    <row r="6465" spans="1:8" x14ac:dyDescent="0.2">
      <c r="A6465" t="str">
        <f t="shared" si="100"/>
        <v/>
      </c>
      <c r="B6465" s="1">
        <v>2018</v>
      </c>
      <c r="C6465" s="1" t="s">
        <v>2505</v>
      </c>
      <c r="D6465" s="1" t="s">
        <v>2506</v>
      </c>
      <c r="E6465" s="1" t="s">
        <v>2019</v>
      </c>
      <c r="F6465" s="1" t="s">
        <v>644</v>
      </c>
      <c r="G6465" s="6">
        <v>52712</v>
      </c>
      <c r="H6465" t="str">
        <f>IFERROR(VLOOKUP(F6465,'LEAID Match'!$A$2:$B$142,2,FALSE),"")</f>
        <v/>
      </c>
    </row>
    <row r="6466" spans="1:8" x14ac:dyDescent="0.2">
      <c r="A6466" t="str">
        <f t="shared" si="100"/>
        <v/>
      </c>
      <c r="B6466" s="1">
        <v>2019</v>
      </c>
      <c r="C6466" s="1" t="s">
        <v>2505</v>
      </c>
      <c r="D6466" s="1" t="s">
        <v>2506</v>
      </c>
      <c r="E6466" s="1" t="s">
        <v>2019</v>
      </c>
      <c r="F6466" s="1" t="s">
        <v>644</v>
      </c>
      <c r="G6466" s="6">
        <v>53780</v>
      </c>
      <c r="H6466" t="str">
        <f>IFERROR(VLOOKUP(F6466,'LEAID Match'!$A$2:$B$142,2,FALSE),"")</f>
        <v/>
      </c>
    </row>
    <row r="6467" spans="1:8" x14ac:dyDescent="0.2">
      <c r="A6467" t="str">
        <f t="shared" ref="A6467:A6530" si="101">H6467</f>
        <v/>
      </c>
      <c r="B6467" s="1">
        <v>2020</v>
      </c>
      <c r="C6467" s="1" t="s">
        <v>2505</v>
      </c>
      <c r="D6467" s="1" t="s">
        <v>2506</v>
      </c>
      <c r="E6467" s="1" t="s">
        <v>2019</v>
      </c>
      <c r="F6467" s="1" t="s">
        <v>644</v>
      </c>
      <c r="G6467" s="6">
        <v>55596</v>
      </c>
      <c r="H6467" t="str">
        <f>IFERROR(VLOOKUP(F6467,'LEAID Match'!$A$2:$B$142,2,FALSE),"")</f>
        <v/>
      </c>
    </row>
    <row r="6468" spans="1:8" x14ac:dyDescent="0.2">
      <c r="A6468" t="str">
        <f t="shared" si="101"/>
        <v/>
      </c>
      <c r="B6468" s="1">
        <v>2021</v>
      </c>
      <c r="C6468" s="1" t="s">
        <v>2505</v>
      </c>
      <c r="D6468" s="1" t="s">
        <v>2506</v>
      </c>
      <c r="E6468" s="1" t="s">
        <v>2019</v>
      </c>
      <c r="F6468" s="1" t="s">
        <v>644</v>
      </c>
      <c r="G6468" s="6">
        <v>53737</v>
      </c>
      <c r="H6468" t="str">
        <f>IFERROR(VLOOKUP(F6468,'LEAID Match'!$A$2:$B$142,2,FALSE),"")</f>
        <v/>
      </c>
    </row>
    <row r="6469" spans="1:8" x14ac:dyDescent="0.2">
      <c r="A6469" t="str">
        <f t="shared" si="101"/>
        <v/>
      </c>
      <c r="B6469" s="1">
        <v>2022</v>
      </c>
      <c r="C6469" s="1" t="s">
        <v>2505</v>
      </c>
      <c r="D6469" s="1" t="s">
        <v>2506</v>
      </c>
      <c r="E6469" s="1" t="s">
        <v>2019</v>
      </c>
      <c r="F6469" s="1" t="s">
        <v>644</v>
      </c>
      <c r="G6469" s="6">
        <v>65844</v>
      </c>
      <c r="H6469" t="str">
        <f>IFERROR(VLOOKUP(F6469,'LEAID Match'!$A$2:$B$142,2,FALSE),"")</f>
        <v/>
      </c>
    </row>
    <row r="6470" spans="1:8" x14ac:dyDescent="0.2">
      <c r="A6470" t="str">
        <f t="shared" si="101"/>
        <v/>
      </c>
      <c r="B6470" s="1">
        <v>2023</v>
      </c>
      <c r="C6470" s="1" t="s">
        <v>2505</v>
      </c>
      <c r="D6470" s="1" t="s">
        <v>2506</v>
      </c>
      <c r="E6470" s="1" t="s">
        <v>2019</v>
      </c>
      <c r="F6470" s="1" t="s">
        <v>644</v>
      </c>
      <c r="G6470" s="6">
        <v>82325</v>
      </c>
      <c r="H6470" t="str">
        <f>IFERROR(VLOOKUP(F6470,'LEAID Match'!$A$2:$B$142,2,FALSE),"")</f>
        <v/>
      </c>
    </row>
    <row r="6471" spans="1:8" x14ac:dyDescent="0.2">
      <c r="A6471" t="str">
        <f t="shared" si="101"/>
        <v/>
      </c>
      <c r="B6471" s="1">
        <v>2024</v>
      </c>
      <c r="C6471" s="1" t="s">
        <v>2505</v>
      </c>
      <c r="D6471" s="1" t="s">
        <v>2506</v>
      </c>
      <c r="E6471" s="1" t="s">
        <v>2019</v>
      </c>
      <c r="F6471" s="1" t="s">
        <v>644</v>
      </c>
      <c r="G6471" s="6">
        <v>86875</v>
      </c>
      <c r="H6471" t="str">
        <f>IFERROR(VLOOKUP(F6471,'LEAID Match'!$A$2:$B$142,2,FALSE),"")</f>
        <v/>
      </c>
    </row>
    <row r="6472" spans="1:8" x14ac:dyDescent="0.2">
      <c r="A6472" t="str">
        <f t="shared" si="101"/>
        <v/>
      </c>
      <c r="B6472" s="1">
        <v>2015</v>
      </c>
      <c r="C6472" s="1" t="s">
        <v>2505</v>
      </c>
      <c r="D6472" s="1" t="s">
        <v>2506</v>
      </c>
      <c r="E6472" s="1" t="s">
        <v>2019</v>
      </c>
      <c r="F6472" s="1" t="s">
        <v>645</v>
      </c>
      <c r="G6472" s="6">
        <v>1778757</v>
      </c>
      <c r="H6472" t="str">
        <f>IFERROR(VLOOKUP(F6472,'LEAID Match'!$A$2:$B$142,2,FALSE),"")</f>
        <v/>
      </c>
    </row>
    <row r="6473" spans="1:8" x14ac:dyDescent="0.2">
      <c r="A6473" t="str">
        <f t="shared" si="101"/>
        <v/>
      </c>
      <c r="B6473">
        <v>2016</v>
      </c>
      <c r="C6473" s="1" t="s">
        <v>2505</v>
      </c>
      <c r="D6473" s="1" t="s">
        <v>2506</v>
      </c>
      <c r="E6473" s="1" t="s">
        <v>2019</v>
      </c>
      <c r="F6473" s="1" t="s">
        <v>645</v>
      </c>
      <c r="G6473" s="12">
        <v>1772690</v>
      </c>
      <c r="H6473" t="str">
        <f>IFERROR(VLOOKUP(F6473,'LEAID Match'!$A$2:$B$142,2,FALSE),"")</f>
        <v/>
      </c>
    </row>
    <row r="6474" spans="1:8" x14ac:dyDescent="0.2">
      <c r="A6474" t="str">
        <f t="shared" si="101"/>
        <v/>
      </c>
      <c r="B6474" s="1">
        <v>2017</v>
      </c>
      <c r="C6474" s="1" t="s">
        <v>2505</v>
      </c>
      <c r="D6474" s="1" t="s">
        <v>2506</v>
      </c>
      <c r="E6474" s="1" t="s">
        <v>2019</v>
      </c>
      <c r="F6474" s="1" t="s">
        <v>645</v>
      </c>
      <c r="G6474" s="51">
        <v>1804988</v>
      </c>
      <c r="H6474" t="str">
        <f>IFERROR(VLOOKUP(F6474,'LEAID Match'!$A$2:$B$142,2,FALSE),"")</f>
        <v/>
      </c>
    </row>
    <row r="6475" spans="1:8" x14ac:dyDescent="0.2">
      <c r="A6475" t="str">
        <f t="shared" si="101"/>
        <v/>
      </c>
      <c r="B6475" s="1">
        <v>2018</v>
      </c>
      <c r="C6475" s="1" t="s">
        <v>2505</v>
      </c>
      <c r="D6475" s="1" t="s">
        <v>2506</v>
      </c>
      <c r="E6475" s="1" t="s">
        <v>2019</v>
      </c>
      <c r="F6475" s="1" t="s">
        <v>645</v>
      </c>
      <c r="G6475" s="6">
        <v>1798483</v>
      </c>
      <c r="H6475" t="str">
        <f>IFERROR(VLOOKUP(F6475,'LEAID Match'!$A$2:$B$142,2,FALSE),"")</f>
        <v/>
      </c>
    </row>
    <row r="6476" spans="1:8" x14ac:dyDescent="0.2">
      <c r="A6476" t="str">
        <f t="shared" si="101"/>
        <v/>
      </c>
      <c r="B6476" s="1">
        <v>2019</v>
      </c>
      <c r="C6476" s="1" t="s">
        <v>2505</v>
      </c>
      <c r="D6476" s="1" t="s">
        <v>2506</v>
      </c>
      <c r="E6476" s="1" t="s">
        <v>2019</v>
      </c>
      <c r="F6476" s="1" t="s">
        <v>645</v>
      </c>
      <c r="G6476" s="6">
        <v>1808662</v>
      </c>
      <c r="H6476" t="str">
        <f>IFERROR(VLOOKUP(F6476,'LEAID Match'!$A$2:$B$142,2,FALSE),"")</f>
        <v/>
      </c>
    </row>
    <row r="6477" spans="1:8" x14ac:dyDescent="0.2">
      <c r="A6477" t="str">
        <f t="shared" si="101"/>
        <v/>
      </c>
      <c r="B6477" s="1">
        <v>2020</v>
      </c>
      <c r="C6477" s="1" t="s">
        <v>2505</v>
      </c>
      <c r="D6477" s="1" t="s">
        <v>2506</v>
      </c>
      <c r="E6477" s="1" t="s">
        <v>2019</v>
      </c>
      <c r="F6477" s="1" t="s">
        <v>645</v>
      </c>
      <c r="G6477" s="6">
        <v>2024002</v>
      </c>
      <c r="H6477" t="str">
        <f>IFERROR(VLOOKUP(F6477,'LEAID Match'!$A$2:$B$142,2,FALSE),"")</f>
        <v/>
      </c>
    </row>
    <row r="6478" spans="1:8" x14ac:dyDescent="0.2">
      <c r="A6478" t="str">
        <f t="shared" si="101"/>
        <v/>
      </c>
      <c r="B6478" s="1">
        <v>2021</v>
      </c>
      <c r="C6478" s="1" t="s">
        <v>2505</v>
      </c>
      <c r="D6478" s="1" t="s">
        <v>2506</v>
      </c>
      <c r="E6478" s="1" t="s">
        <v>2019</v>
      </c>
      <c r="F6478" s="1" t="s">
        <v>645</v>
      </c>
      <c r="G6478" s="6">
        <v>2015092</v>
      </c>
      <c r="H6478" t="str">
        <f>IFERROR(VLOOKUP(F6478,'LEAID Match'!$A$2:$B$142,2,FALSE),"")</f>
        <v/>
      </c>
    </row>
    <row r="6479" spans="1:8" x14ac:dyDescent="0.2">
      <c r="A6479" t="str">
        <f t="shared" si="101"/>
        <v/>
      </c>
      <c r="B6479" s="1">
        <v>2022</v>
      </c>
      <c r="C6479" s="1" t="s">
        <v>2505</v>
      </c>
      <c r="D6479" s="1" t="s">
        <v>2506</v>
      </c>
      <c r="E6479" s="1" t="s">
        <v>2019</v>
      </c>
      <c r="F6479" s="1" t="s">
        <v>645</v>
      </c>
      <c r="G6479" s="6">
        <v>2053877</v>
      </c>
      <c r="H6479" t="str">
        <f>IFERROR(VLOOKUP(F6479,'LEAID Match'!$A$2:$B$142,2,FALSE),"")</f>
        <v/>
      </c>
    </row>
    <row r="6480" spans="1:8" x14ac:dyDescent="0.2">
      <c r="A6480" t="str">
        <f t="shared" si="101"/>
        <v/>
      </c>
      <c r="B6480" s="1">
        <v>2023</v>
      </c>
      <c r="C6480" s="1" t="s">
        <v>2505</v>
      </c>
      <c r="D6480" s="1" t="s">
        <v>2506</v>
      </c>
      <c r="E6480" s="1" t="s">
        <v>2019</v>
      </c>
      <c r="F6480" s="1" t="s">
        <v>645</v>
      </c>
      <c r="G6480" s="6">
        <v>2294441</v>
      </c>
      <c r="H6480" t="str">
        <f>IFERROR(VLOOKUP(F6480,'LEAID Match'!$A$2:$B$142,2,FALSE),"")</f>
        <v/>
      </c>
    </row>
    <row r="6481" spans="1:8" x14ac:dyDescent="0.2">
      <c r="A6481" t="str">
        <f t="shared" si="101"/>
        <v/>
      </c>
      <c r="B6481" s="1">
        <v>2024</v>
      </c>
      <c r="C6481" s="1" t="s">
        <v>2505</v>
      </c>
      <c r="D6481" s="1" t="s">
        <v>2506</v>
      </c>
      <c r="E6481" s="1" t="s">
        <v>2019</v>
      </c>
      <c r="F6481" s="1" t="s">
        <v>645</v>
      </c>
      <c r="G6481" s="6">
        <v>2405158</v>
      </c>
      <c r="H6481" t="str">
        <f>IFERROR(VLOOKUP(F6481,'LEAID Match'!$A$2:$B$142,2,FALSE),"")</f>
        <v/>
      </c>
    </row>
    <row r="6482" spans="1:8" x14ac:dyDescent="0.2">
      <c r="A6482" t="str">
        <f t="shared" si="101"/>
        <v/>
      </c>
      <c r="B6482" s="1">
        <v>2015</v>
      </c>
      <c r="C6482" s="1" t="s">
        <v>2505</v>
      </c>
      <c r="D6482" s="1" t="s">
        <v>2506</v>
      </c>
      <c r="E6482" s="1" t="s">
        <v>2019</v>
      </c>
      <c r="F6482" s="1" t="s">
        <v>646</v>
      </c>
      <c r="G6482" s="6">
        <v>48709</v>
      </c>
      <c r="H6482" t="str">
        <f>IFERROR(VLOOKUP(F6482,'LEAID Match'!$A$2:$B$142,2,FALSE),"")</f>
        <v/>
      </c>
    </row>
    <row r="6483" spans="1:8" x14ac:dyDescent="0.2">
      <c r="A6483" t="str">
        <f t="shared" si="101"/>
        <v/>
      </c>
      <c r="B6483">
        <v>2016</v>
      </c>
      <c r="C6483" s="1" t="s">
        <v>2505</v>
      </c>
      <c r="D6483" s="1" t="s">
        <v>2506</v>
      </c>
      <c r="E6483" s="1" t="s">
        <v>2019</v>
      </c>
      <c r="F6483" s="1" t="s">
        <v>646</v>
      </c>
      <c r="G6483" s="12">
        <v>49810</v>
      </c>
      <c r="H6483" t="str">
        <f>IFERROR(VLOOKUP(F6483,'LEAID Match'!$A$2:$B$142,2,FALSE),"")</f>
        <v/>
      </c>
    </row>
    <row r="6484" spans="1:8" x14ac:dyDescent="0.2">
      <c r="A6484" t="str">
        <f t="shared" si="101"/>
        <v/>
      </c>
      <c r="B6484" s="1">
        <v>2017</v>
      </c>
      <c r="C6484" s="1" t="s">
        <v>2505</v>
      </c>
      <c r="D6484" s="1" t="s">
        <v>2506</v>
      </c>
      <c r="E6484" s="1" t="s">
        <v>2019</v>
      </c>
      <c r="F6484" s="1" t="s">
        <v>646</v>
      </c>
      <c r="G6484" s="51">
        <v>48704</v>
      </c>
      <c r="H6484" t="str">
        <f>IFERROR(VLOOKUP(F6484,'LEAID Match'!$A$2:$B$142,2,FALSE),"")</f>
        <v/>
      </c>
    </row>
    <row r="6485" spans="1:8" x14ac:dyDescent="0.2">
      <c r="A6485" t="str">
        <f t="shared" si="101"/>
        <v/>
      </c>
      <c r="B6485" s="1">
        <v>2018</v>
      </c>
      <c r="C6485" s="1" t="s">
        <v>2505</v>
      </c>
      <c r="D6485" s="1" t="s">
        <v>2506</v>
      </c>
      <c r="E6485" s="1" t="s">
        <v>2019</v>
      </c>
      <c r="F6485" s="1" t="s">
        <v>646</v>
      </c>
      <c r="G6485" s="6">
        <v>53980</v>
      </c>
      <c r="H6485" t="str">
        <f>IFERROR(VLOOKUP(F6485,'LEAID Match'!$A$2:$B$142,2,FALSE),"")</f>
        <v/>
      </c>
    </row>
    <row r="6486" spans="1:8" x14ac:dyDescent="0.2">
      <c r="A6486" t="str">
        <f t="shared" si="101"/>
        <v/>
      </c>
      <c r="B6486" s="1">
        <v>2019</v>
      </c>
      <c r="C6486" s="1" t="s">
        <v>2505</v>
      </c>
      <c r="D6486" s="1" t="s">
        <v>2506</v>
      </c>
      <c r="E6486" s="1" t="s">
        <v>2019</v>
      </c>
      <c r="F6486" s="1" t="s">
        <v>646</v>
      </c>
      <c r="G6486" s="6">
        <v>55361</v>
      </c>
      <c r="H6486" t="str">
        <f>IFERROR(VLOOKUP(F6486,'LEAID Match'!$A$2:$B$142,2,FALSE),"")</f>
        <v/>
      </c>
    </row>
    <row r="6487" spans="1:8" x14ac:dyDescent="0.2">
      <c r="A6487" t="str">
        <f t="shared" si="101"/>
        <v/>
      </c>
      <c r="B6487" s="1">
        <v>2020</v>
      </c>
      <c r="C6487" s="1" t="s">
        <v>2505</v>
      </c>
      <c r="D6487" s="1" t="s">
        <v>2506</v>
      </c>
      <c r="E6487" s="1" t="s">
        <v>2019</v>
      </c>
      <c r="F6487" s="1" t="s">
        <v>646</v>
      </c>
      <c r="G6487" s="6">
        <v>62625</v>
      </c>
      <c r="H6487" t="str">
        <f>IFERROR(VLOOKUP(F6487,'LEAID Match'!$A$2:$B$142,2,FALSE),"")</f>
        <v/>
      </c>
    </row>
    <row r="6488" spans="1:8" x14ac:dyDescent="0.2">
      <c r="A6488" t="str">
        <f t="shared" si="101"/>
        <v/>
      </c>
      <c r="B6488" s="1">
        <v>2021</v>
      </c>
      <c r="C6488" s="1" t="s">
        <v>2505</v>
      </c>
      <c r="D6488" s="1" t="s">
        <v>2506</v>
      </c>
      <c r="E6488" s="1" t="s">
        <v>2019</v>
      </c>
      <c r="F6488" s="1" t="s">
        <v>646</v>
      </c>
      <c r="G6488" s="6">
        <v>63783</v>
      </c>
      <c r="H6488" t="str">
        <f>IFERROR(VLOOKUP(F6488,'LEAID Match'!$A$2:$B$142,2,FALSE),"")</f>
        <v/>
      </c>
    </row>
    <row r="6489" spans="1:8" x14ac:dyDescent="0.2">
      <c r="A6489" t="str">
        <f t="shared" si="101"/>
        <v/>
      </c>
      <c r="B6489" s="1">
        <v>2022</v>
      </c>
      <c r="C6489" s="1" t="s">
        <v>2505</v>
      </c>
      <c r="D6489" s="1" t="s">
        <v>2506</v>
      </c>
      <c r="E6489" s="1" t="s">
        <v>2019</v>
      </c>
      <c r="F6489" s="1" t="s">
        <v>646</v>
      </c>
      <c r="G6489" s="6">
        <v>74912</v>
      </c>
      <c r="H6489" t="str">
        <f>IFERROR(VLOOKUP(F6489,'LEAID Match'!$A$2:$B$142,2,FALSE),"")</f>
        <v/>
      </c>
    </row>
    <row r="6490" spans="1:8" x14ac:dyDescent="0.2">
      <c r="A6490" t="str">
        <f t="shared" si="101"/>
        <v/>
      </c>
      <c r="B6490" s="1">
        <v>2023</v>
      </c>
      <c r="C6490" s="1" t="s">
        <v>2505</v>
      </c>
      <c r="D6490" s="1" t="s">
        <v>2506</v>
      </c>
      <c r="E6490" s="1" t="s">
        <v>2019</v>
      </c>
      <c r="F6490" s="1" t="s">
        <v>646</v>
      </c>
      <c r="G6490" s="6">
        <v>82936</v>
      </c>
      <c r="H6490" t="str">
        <f>IFERROR(VLOOKUP(F6490,'LEAID Match'!$A$2:$B$142,2,FALSE),"")</f>
        <v/>
      </c>
    </row>
    <row r="6491" spans="1:8" x14ac:dyDescent="0.2">
      <c r="A6491" t="str">
        <f t="shared" si="101"/>
        <v/>
      </c>
      <c r="B6491" s="1">
        <v>2024</v>
      </c>
      <c r="C6491" s="1" t="s">
        <v>2505</v>
      </c>
      <c r="D6491" s="1" t="s">
        <v>2506</v>
      </c>
      <c r="E6491" s="1" t="s">
        <v>2019</v>
      </c>
      <c r="F6491" s="1" t="s">
        <v>646</v>
      </c>
      <c r="G6491" s="6">
        <v>93654</v>
      </c>
      <c r="H6491" t="str">
        <f>IFERROR(VLOOKUP(F6491,'LEAID Match'!$A$2:$B$142,2,FALSE),"")</f>
        <v/>
      </c>
    </row>
    <row r="6492" spans="1:8" x14ac:dyDescent="0.2">
      <c r="A6492" t="str">
        <f t="shared" si="101"/>
        <v/>
      </c>
      <c r="B6492" s="1">
        <v>2015</v>
      </c>
      <c r="C6492" s="1" t="s">
        <v>2505</v>
      </c>
      <c r="D6492" s="1" t="s">
        <v>2506</v>
      </c>
      <c r="E6492" s="1" t="s">
        <v>2019</v>
      </c>
      <c r="F6492" s="1" t="s">
        <v>647</v>
      </c>
      <c r="G6492" s="6">
        <v>243365</v>
      </c>
      <c r="H6492" t="str">
        <f>IFERROR(VLOOKUP(F6492,'LEAID Match'!$A$2:$B$142,2,FALSE),"")</f>
        <v/>
      </c>
    </row>
    <row r="6493" spans="1:8" x14ac:dyDescent="0.2">
      <c r="A6493" t="str">
        <f t="shared" si="101"/>
        <v/>
      </c>
      <c r="B6493">
        <v>2016</v>
      </c>
      <c r="C6493" s="1" t="s">
        <v>2505</v>
      </c>
      <c r="D6493" s="1" t="s">
        <v>2506</v>
      </c>
      <c r="E6493" s="1" t="s">
        <v>2019</v>
      </c>
      <c r="F6493" s="1" t="s">
        <v>647</v>
      </c>
      <c r="G6493" s="12">
        <v>249642</v>
      </c>
      <c r="H6493" t="str">
        <f>IFERROR(VLOOKUP(F6493,'LEAID Match'!$A$2:$B$142,2,FALSE),"")</f>
        <v/>
      </c>
    </row>
    <row r="6494" spans="1:8" x14ac:dyDescent="0.2">
      <c r="A6494" t="str">
        <f t="shared" si="101"/>
        <v/>
      </c>
      <c r="B6494" s="1">
        <v>2017</v>
      </c>
      <c r="C6494" s="1" t="s">
        <v>2505</v>
      </c>
      <c r="D6494" s="1" t="s">
        <v>2506</v>
      </c>
      <c r="E6494" s="1" t="s">
        <v>2019</v>
      </c>
      <c r="F6494" s="1" t="s">
        <v>647</v>
      </c>
      <c r="G6494" s="51">
        <v>243277</v>
      </c>
      <c r="H6494" t="str">
        <f>IFERROR(VLOOKUP(F6494,'LEAID Match'!$A$2:$B$142,2,FALSE),"")</f>
        <v/>
      </c>
    </row>
    <row r="6495" spans="1:8" x14ac:dyDescent="0.2">
      <c r="A6495" t="str">
        <f t="shared" si="101"/>
        <v/>
      </c>
      <c r="B6495" s="1">
        <v>2018</v>
      </c>
      <c r="C6495" s="1" t="s">
        <v>2505</v>
      </c>
      <c r="D6495" s="1" t="s">
        <v>2506</v>
      </c>
      <c r="E6495" s="1" t="s">
        <v>2019</v>
      </c>
      <c r="F6495" s="1" t="s">
        <v>647</v>
      </c>
      <c r="G6495" s="6">
        <v>251870</v>
      </c>
      <c r="H6495" t="str">
        <f>IFERROR(VLOOKUP(F6495,'LEAID Match'!$A$2:$B$142,2,FALSE),"")</f>
        <v/>
      </c>
    </row>
    <row r="6496" spans="1:8" x14ac:dyDescent="0.2">
      <c r="A6496" t="str">
        <f t="shared" si="101"/>
        <v/>
      </c>
      <c r="B6496" s="1">
        <v>2019</v>
      </c>
      <c r="C6496" s="1" t="s">
        <v>2505</v>
      </c>
      <c r="D6496" s="1" t="s">
        <v>2506</v>
      </c>
      <c r="E6496" s="1" t="s">
        <v>2019</v>
      </c>
      <c r="F6496" s="1" t="s">
        <v>647</v>
      </c>
      <c r="G6496" s="6">
        <v>269760</v>
      </c>
      <c r="H6496" t="str">
        <f>IFERROR(VLOOKUP(F6496,'LEAID Match'!$A$2:$B$142,2,FALSE),"")</f>
        <v/>
      </c>
    </row>
    <row r="6497" spans="1:8" x14ac:dyDescent="0.2">
      <c r="A6497" t="str">
        <f t="shared" si="101"/>
        <v/>
      </c>
      <c r="B6497" s="1">
        <v>2020</v>
      </c>
      <c r="C6497" s="1" t="s">
        <v>2505</v>
      </c>
      <c r="D6497" s="1" t="s">
        <v>2506</v>
      </c>
      <c r="E6497" s="1" t="s">
        <v>2019</v>
      </c>
      <c r="F6497" s="1" t="s">
        <v>647</v>
      </c>
      <c r="G6497" s="6">
        <v>305992</v>
      </c>
      <c r="H6497" t="str">
        <f>IFERROR(VLOOKUP(F6497,'LEAID Match'!$A$2:$B$142,2,FALSE),"")</f>
        <v/>
      </c>
    </row>
    <row r="6498" spans="1:8" x14ac:dyDescent="0.2">
      <c r="A6498" t="str">
        <f t="shared" si="101"/>
        <v/>
      </c>
      <c r="B6498" s="1">
        <v>2021</v>
      </c>
      <c r="C6498" s="1" t="s">
        <v>2505</v>
      </c>
      <c r="D6498" s="1" t="s">
        <v>2506</v>
      </c>
      <c r="E6498" s="1" t="s">
        <v>2019</v>
      </c>
      <c r="F6498" s="1" t="s">
        <v>647</v>
      </c>
      <c r="G6498" s="6">
        <v>310155</v>
      </c>
      <c r="H6498" t="str">
        <f>IFERROR(VLOOKUP(F6498,'LEAID Match'!$A$2:$B$142,2,FALSE),"")</f>
        <v/>
      </c>
    </row>
    <row r="6499" spans="1:8" x14ac:dyDescent="0.2">
      <c r="A6499" t="str">
        <f t="shared" si="101"/>
        <v/>
      </c>
      <c r="B6499" s="1">
        <v>2022</v>
      </c>
      <c r="C6499" s="1" t="s">
        <v>2505</v>
      </c>
      <c r="D6499" s="1" t="s">
        <v>2506</v>
      </c>
      <c r="E6499" s="1" t="s">
        <v>2019</v>
      </c>
      <c r="F6499" s="1" t="s">
        <v>647</v>
      </c>
      <c r="G6499" s="6">
        <v>317368</v>
      </c>
      <c r="H6499" t="str">
        <f>IFERROR(VLOOKUP(F6499,'LEAID Match'!$A$2:$B$142,2,FALSE),"")</f>
        <v/>
      </c>
    </row>
    <row r="6500" spans="1:8" x14ac:dyDescent="0.2">
      <c r="A6500" t="str">
        <f t="shared" si="101"/>
        <v/>
      </c>
      <c r="B6500" s="1">
        <v>2023</v>
      </c>
      <c r="C6500" s="1" t="s">
        <v>2505</v>
      </c>
      <c r="D6500" s="1" t="s">
        <v>2506</v>
      </c>
      <c r="E6500" s="1" t="s">
        <v>2019</v>
      </c>
      <c r="F6500" s="1" t="s">
        <v>647</v>
      </c>
      <c r="G6500" s="6">
        <v>334038</v>
      </c>
      <c r="H6500" t="str">
        <f>IFERROR(VLOOKUP(F6500,'LEAID Match'!$A$2:$B$142,2,FALSE),"")</f>
        <v/>
      </c>
    </row>
    <row r="6501" spans="1:8" x14ac:dyDescent="0.2">
      <c r="A6501" t="str">
        <f t="shared" si="101"/>
        <v/>
      </c>
      <c r="B6501" s="1">
        <v>2024</v>
      </c>
      <c r="C6501" s="1" t="s">
        <v>2505</v>
      </c>
      <c r="D6501" s="1" t="s">
        <v>2506</v>
      </c>
      <c r="E6501" s="1" t="s">
        <v>2019</v>
      </c>
      <c r="F6501" s="1" t="s">
        <v>647</v>
      </c>
      <c r="G6501" s="6">
        <v>354537</v>
      </c>
      <c r="H6501" t="str">
        <f>IFERROR(VLOOKUP(F6501,'LEAID Match'!$A$2:$B$142,2,FALSE),"")</f>
        <v/>
      </c>
    </row>
    <row r="6502" spans="1:8" x14ac:dyDescent="0.2">
      <c r="A6502" t="str">
        <f t="shared" si="101"/>
        <v/>
      </c>
      <c r="B6502" s="1">
        <v>2015</v>
      </c>
      <c r="C6502" s="1" t="s">
        <v>2505</v>
      </c>
      <c r="D6502" s="1" t="s">
        <v>2506</v>
      </c>
      <c r="E6502" s="1" t="s">
        <v>2019</v>
      </c>
      <c r="F6502" s="1" t="s">
        <v>648</v>
      </c>
      <c r="G6502" s="6">
        <v>95966</v>
      </c>
      <c r="H6502" t="str">
        <f>IFERROR(VLOOKUP(F6502,'LEAID Match'!$A$2:$B$142,2,FALSE),"")</f>
        <v/>
      </c>
    </row>
    <row r="6503" spans="1:8" x14ac:dyDescent="0.2">
      <c r="A6503" t="str">
        <f t="shared" si="101"/>
        <v/>
      </c>
      <c r="B6503">
        <v>2016</v>
      </c>
      <c r="C6503" s="1" t="s">
        <v>2505</v>
      </c>
      <c r="D6503" s="1" t="s">
        <v>2506</v>
      </c>
      <c r="E6503" s="1" t="s">
        <v>2019</v>
      </c>
      <c r="F6503" s="1" t="s">
        <v>648</v>
      </c>
      <c r="G6503" s="12">
        <v>96632</v>
      </c>
      <c r="H6503" t="str">
        <f>IFERROR(VLOOKUP(F6503,'LEAID Match'!$A$2:$B$142,2,FALSE),"")</f>
        <v/>
      </c>
    </row>
    <row r="6504" spans="1:8" x14ac:dyDescent="0.2">
      <c r="A6504" t="str">
        <f t="shared" si="101"/>
        <v/>
      </c>
      <c r="B6504" s="1">
        <v>2017</v>
      </c>
      <c r="C6504" s="1" t="s">
        <v>2505</v>
      </c>
      <c r="D6504" s="1" t="s">
        <v>2506</v>
      </c>
      <c r="E6504" s="1" t="s">
        <v>2019</v>
      </c>
      <c r="F6504" s="1" t="s">
        <v>648</v>
      </c>
      <c r="G6504" s="51">
        <v>104683</v>
      </c>
      <c r="H6504" t="str">
        <f>IFERROR(VLOOKUP(F6504,'LEAID Match'!$A$2:$B$142,2,FALSE),"")</f>
        <v/>
      </c>
    </row>
    <row r="6505" spans="1:8" x14ac:dyDescent="0.2">
      <c r="A6505" t="str">
        <f t="shared" si="101"/>
        <v/>
      </c>
      <c r="B6505" s="1">
        <v>2018</v>
      </c>
      <c r="C6505" s="1" t="s">
        <v>2505</v>
      </c>
      <c r="D6505" s="1" t="s">
        <v>2506</v>
      </c>
      <c r="E6505" s="1" t="s">
        <v>2019</v>
      </c>
      <c r="F6505" s="1" t="s">
        <v>648</v>
      </c>
      <c r="G6505" s="6">
        <v>118594</v>
      </c>
      <c r="H6505" t="str">
        <f>IFERROR(VLOOKUP(F6505,'LEAID Match'!$A$2:$B$142,2,FALSE),"")</f>
        <v/>
      </c>
    </row>
    <row r="6506" spans="1:8" x14ac:dyDescent="0.2">
      <c r="A6506" t="str">
        <f t="shared" si="101"/>
        <v/>
      </c>
      <c r="B6506" s="1">
        <v>2019</v>
      </c>
      <c r="C6506" s="1" t="s">
        <v>2505</v>
      </c>
      <c r="D6506" s="1" t="s">
        <v>2506</v>
      </c>
      <c r="E6506" s="1" t="s">
        <v>2019</v>
      </c>
      <c r="F6506" s="1" t="s">
        <v>648</v>
      </c>
      <c r="G6506" s="6">
        <v>130398</v>
      </c>
      <c r="H6506" t="str">
        <f>IFERROR(VLOOKUP(F6506,'LEAID Match'!$A$2:$B$142,2,FALSE),"")</f>
        <v/>
      </c>
    </row>
    <row r="6507" spans="1:8" x14ac:dyDescent="0.2">
      <c r="A6507" t="str">
        <f t="shared" si="101"/>
        <v/>
      </c>
      <c r="B6507" s="1">
        <v>2020</v>
      </c>
      <c r="C6507" s="1" t="s">
        <v>2505</v>
      </c>
      <c r="D6507" s="1" t="s">
        <v>2506</v>
      </c>
      <c r="E6507" s="1" t="s">
        <v>2019</v>
      </c>
      <c r="F6507" s="1" t="s">
        <v>648</v>
      </c>
      <c r="G6507" s="6">
        <v>151275</v>
      </c>
      <c r="H6507" t="str">
        <f>IFERROR(VLOOKUP(F6507,'LEAID Match'!$A$2:$B$142,2,FALSE),"")</f>
        <v/>
      </c>
    </row>
    <row r="6508" spans="1:8" x14ac:dyDescent="0.2">
      <c r="A6508" t="str">
        <f t="shared" si="101"/>
        <v/>
      </c>
      <c r="B6508" s="1">
        <v>2021</v>
      </c>
      <c r="C6508" s="1" t="s">
        <v>2505</v>
      </c>
      <c r="D6508" s="1" t="s">
        <v>2506</v>
      </c>
      <c r="E6508" s="1" t="s">
        <v>2019</v>
      </c>
      <c r="F6508" s="1" t="s">
        <v>648</v>
      </c>
      <c r="G6508" s="6">
        <v>160782</v>
      </c>
      <c r="H6508" t="str">
        <f>IFERROR(VLOOKUP(F6508,'LEAID Match'!$A$2:$B$142,2,FALSE),"")</f>
        <v/>
      </c>
    </row>
    <row r="6509" spans="1:8" x14ac:dyDescent="0.2">
      <c r="A6509" t="str">
        <f t="shared" si="101"/>
        <v/>
      </c>
      <c r="B6509" s="1">
        <v>2022</v>
      </c>
      <c r="C6509" s="1" t="s">
        <v>2505</v>
      </c>
      <c r="D6509" s="1" t="s">
        <v>2506</v>
      </c>
      <c r="E6509" s="1" t="s">
        <v>2019</v>
      </c>
      <c r="F6509" s="1" t="s">
        <v>648</v>
      </c>
      <c r="G6509" s="6">
        <v>177354</v>
      </c>
      <c r="H6509" t="str">
        <f>IFERROR(VLOOKUP(F6509,'LEAID Match'!$A$2:$B$142,2,FALSE),"")</f>
        <v/>
      </c>
    </row>
    <row r="6510" spans="1:8" x14ac:dyDescent="0.2">
      <c r="A6510" t="str">
        <f t="shared" si="101"/>
        <v/>
      </c>
      <c r="B6510" s="1">
        <v>2023</v>
      </c>
      <c r="C6510" s="1" t="s">
        <v>2505</v>
      </c>
      <c r="D6510" s="1" t="s">
        <v>2506</v>
      </c>
      <c r="E6510" s="1" t="s">
        <v>2019</v>
      </c>
      <c r="F6510" s="1" t="s">
        <v>648</v>
      </c>
      <c r="G6510" s="6">
        <v>165672</v>
      </c>
      <c r="H6510" t="str">
        <f>IFERROR(VLOOKUP(F6510,'LEAID Match'!$A$2:$B$142,2,FALSE),"")</f>
        <v/>
      </c>
    </row>
    <row r="6511" spans="1:8" x14ac:dyDescent="0.2">
      <c r="A6511" t="str">
        <f t="shared" si="101"/>
        <v/>
      </c>
      <c r="B6511" s="1">
        <v>2024</v>
      </c>
      <c r="C6511" s="1" t="s">
        <v>2505</v>
      </c>
      <c r="D6511" s="1" t="s">
        <v>2506</v>
      </c>
      <c r="E6511" s="1" t="s">
        <v>2019</v>
      </c>
      <c r="F6511" s="1" t="s">
        <v>648</v>
      </c>
      <c r="G6511" s="6">
        <v>160790</v>
      </c>
      <c r="H6511" t="str">
        <f>IFERROR(VLOOKUP(F6511,'LEAID Match'!$A$2:$B$142,2,FALSE),"")</f>
        <v/>
      </c>
    </row>
    <row r="6512" spans="1:8" x14ac:dyDescent="0.2">
      <c r="A6512" t="str">
        <f t="shared" si="101"/>
        <v/>
      </c>
      <c r="B6512" s="1">
        <v>2015</v>
      </c>
      <c r="C6512" s="1" t="s">
        <v>2505</v>
      </c>
      <c r="D6512" s="1" t="s">
        <v>2506</v>
      </c>
      <c r="E6512" s="1" t="s">
        <v>2019</v>
      </c>
      <c r="F6512" s="1" t="s">
        <v>649</v>
      </c>
      <c r="G6512" s="6">
        <v>49546</v>
      </c>
      <c r="H6512" t="str">
        <f>IFERROR(VLOOKUP(F6512,'LEAID Match'!$A$2:$B$142,2,FALSE),"")</f>
        <v/>
      </c>
    </row>
    <row r="6513" spans="1:8" x14ac:dyDescent="0.2">
      <c r="A6513" t="str">
        <f t="shared" si="101"/>
        <v/>
      </c>
      <c r="B6513">
        <v>2016</v>
      </c>
      <c r="C6513" s="1" t="s">
        <v>2505</v>
      </c>
      <c r="D6513" s="1" t="s">
        <v>2506</v>
      </c>
      <c r="E6513" s="1" t="s">
        <v>2019</v>
      </c>
      <c r="F6513" s="1" t="s">
        <v>649</v>
      </c>
      <c r="G6513" s="12">
        <v>46178</v>
      </c>
      <c r="H6513" t="str">
        <f>IFERROR(VLOOKUP(F6513,'LEAID Match'!$A$2:$B$142,2,FALSE),"")</f>
        <v/>
      </c>
    </row>
    <row r="6514" spans="1:8" x14ac:dyDescent="0.2">
      <c r="A6514" t="str">
        <f t="shared" si="101"/>
        <v/>
      </c>
      <c r="B6514" s="1">
        <v>2017</v>
      </c>
      <c r="C6514" s="1" t="s">
        <v>2505</v>
      </c>
      <c r="D6514" s="1" t="s">
        <v>2506</v>
      </c>
      <c r="E6514" s="1" t="s">
        <v>2019</v>
      </c>
      <c r="F6514" s="1" t="s">
        <v>649</v>
      </c>
      <c r="G6514" s="51">
        <v>49067</v>
      </c>
      <c r="H6514" t="str">
        <f>IFERROR(VLOOKUP(F6514,'LEAID Match'!$A$2:$B$142,2,FALSE),"")</f>
        <v/>
      </c>
    </row>
    <row r="6515" spans="1:8" x14ac:dyDescent="0.2">
      <c r="A6515" t="str">
        <f t="shared" si="101"/>
        <v/>
      </c>
      <c r="B6515" s="1">
        <v>2018</v>
      </c>
      <c r="C6515" s="1" t="s">
        <v>2505</v>
      </c>
      <c r="D6515" s="1" t="s">
        <v>2506</v>
      </c>
      <c r="E6515" s="1" t="s">
        <v>2019</v>
      </c>
      <c r="F6515" s="1" t="s">
        <v>649</v>
      </c>
      <c r="G6515" s="6">
        <v>49060</v>
      </c>
      <c r="H6515" t="str">
        <f>IFERROR(VLOOKUP(F6515,'LEAID Match'!$A$2:$B$142,2,FALSE),"")</f>
        <v/>
      </c>
    </row>
    <row r="6516" spans="1:8" x14ac:dyDescent="0.2">
      <c r="A6516" t="str">
        <f t="shared" si="101"/>
        <v/>
      </c>
      <c r="B6516" s="1">
        <v>2019</v>
      </c>
      <c r="C6516" s="1" t="s">
        <v>2505</v>
      </c>
      <c r="D6516" s="1" t="s">
        <v>2506</v>
      </c>
      <c r="E6516" s="1" t="s">
        <v>2019</v>
      </c>
      <c r="F6516" s="1" t="s">
        <v>649</v>
      </c>
      <c r="G6516" s="6">
        <v>48405</v>
      </c>
      <c r="H6516" t="str">
        <f>IFERROR(VLOOKUP(F6516,'LEAID Match'!$A$2:$B$142,2,FALSE),"")</f>
        <v/>
      </c>
    </row>
    <row r="6517" spans="1:8" x14ac:dyDescent="0.2">
      <c r="A6517" t="str">
        <f t="shared" si="101"/>
        <v/>
      </c>
      <c r="B6517" s="1">
        <v>2020</v>
      </c>
      <c r="C6517" s="1" t="s">
        <v>2505</v>
      </c>
      <c r="D6517" s="1" t="s">
        <v>2506</v>
      </c>
      <c r="E6517" s="1" t="s">
        <v>2019</v>
      </c>
      <c r="F6517" s="1" t="s">
        <v>649</v>
      </c>
      <c r="G6517" s="6">
        <v>53088</v>
      </c>
      <c r="H6517" t="str">
        <f>IFERROR(VLOOKUP(F6517,'LEAID Match'!$A$2:$B$142,2,FALSE),"")</f>
        <v/>
      </c>
    </row>
    <row r="6518" spans="1:8" x14ac:dyDescent="0.2">
      <c r="A6518" t="str">
        <f t="shared" si="101"/>
        <v/>
      </c>
      <c r="B6518" s="1">
        <v>2021</v>
      </c>
      <c r="C6518" s="1" t="s">
        <v>2505</v>
      </c>
      <c r="D6518" s="1" t="s">
        <v>2506</v>
      </c>
      <c r="E6518" s="1" t="s">
        <v>2019</v>
      </c>
      <c r="F6518" s="1" t="s">
        <v>649</v>
      </c>
      <c r="G6518" s="6">
        <v>48103</v>
      </c>
      <c r="H6518" t="str">
        <f>IFERROR(VLOOKUP(F6518,'LEAID Match'!$A$2:$B$142,2,FALSE),"")</f>
        <v/>
      </c>
    </row>
    <row r="6519" spans="1:8" x14ac:dyDescent="0.2">
      <c r="A6519" t="str">
        <f t="shared" si="101"/>
        <v/>
      </c>
      <c r="B6519" s="1">
        <v>2022</v>
      </c>
      <c r="C6519" s="1" t="s">
        <v>2505</v>
      </c>
      <c r="D6519" s="1" t="s">
        <v>2506</v>
      </c>
      <c r="E6519" s="1" t="s">
        <v>2019</v>
      </c>
      <c r="F6519" s="1" t="s">
        <v>649</v>
      </c>
      <c r="G6519" s="6">
        <v>45639</v>
      </c>
      <c r="H6519" t="str">
        <f>IFERROR(VLOOKUP(F6519,'LEAID Match'!$A$2:$B$142,2,FALSE),"")</f>
        <v/>
      </c>
    </row>
    <row r="6520" spans="1:8" x14ac:dyDescent="0.2">
      <c r="A6520" t="str">
        <f t="shared" si="101"/>
        <v/>
      </c>
      <c r="B6520" s="1">
        <v>2023</v>
      </c>
      <c r="C6520" s="1" t="s">
        <v>2505</v>
      </c>
      <c r="D6520" s="1" t="s">
        <v>2506</v>
      </c>
      <c r="E6520" s="1" t="s">
        <v>2019</v>
      </c>
      <c r="F6520" s="1" t="s">
        <v>649</v>
      </c>
      <c r="G6520" s="6">
        <v>53956</v>
      </c>
      <c r="H6520" t="str">
        <f>IFERROR(VLOOKUP(F6520,'LEAID Match'!$A$2:$B$142,2,FALSE),"")</f>
        <v/>
      </c>
    </row>
    <row r="6521" spans="1:8" x14ac:dyDescent="0.2">
      <c r="A6521" t="str">
        <f t="shared" si="101"/>
        <v/>
      </c>
      <c r="B6521" s="1">
        <v>2024</v>
      </c>
      <c r="C6521" s="1" t="s">
        <v>2505</v>
      </c>
      <c r="D6521" s="1" t="s">
        <v>2506</v>
      </c>
      <c r="E6521" s="1" t="s">
        <v>2019</v>
      </c>
      <c r="F6521" s="1" t="s">
        <v>649</v>
      </c>
      <c r="G6521" s="6">
        <v>46954</v>
      </c>
      <c r="H6521" t="str">
        <f>IFERROR(VLOOKUP(F6521,'LEAID Match'!$A$2:$B$142,2,FALSE),"")</f>
        <v/>
      </c>
    </row>
    <row r="6522" spans="1:8" x14ac:dyDescent="0.2">
      <c r="A6522" t="str">
        <f t="shared" si="101"/>
        <v/>
      </c>
      <c r="B6522" s="1">
        <v>2015</v>
      </c>
      <c r="C6522" s="1" t="s">
        <v>2505</v>
      </c>
      <c r="D6522" s="1" t="s">
        <v>2506</v>
      </c>
      <c r="E6522" s="1" t="s">
        <v>2019</v>
      </c>
      <c r="F6522" s="1" t="s">
        <v>650</v>
      </c>
      <c r="G6522" s="6">
        <v>47110</v>
      </c>
      <c r="H6522" t="str">
        <f>IFERROR(VLOOKUP(F6522,'LEAID Match'!$A$2:$B$142,2,FALSE),"")</f>
        <v/>
      </c>
    </row>
    <row r="6523" spans="1:8" x14ac:dyDescent="0.2">
      <c r="A6523" t="str">
        <f t="shared" si="101"/>
        <v/>
      </c>
      <c r="B6523">
        <v>2016</v>
      </c>
      <c r="C6523" s="1" t="s">
        <v>2505</v>
      </c>
      <c r="D6523" s="1" t="s">
        <v>2506</v>
      </c>
      <c r="E6523" s="1" t="s">
        <v>2019</v>
      </c>
      <c r="F6523" s="1" t="s">
        <v>650</v>
      </c>
      <c r="G6523" s="12">
        <v>50028</v>
      </c>
      <c r="H6523" t="str">
        <f>IFERROR(VLOOKUP(F6523,'LEAID Match'!$A$2:$B$142,2,FALSE),"")</f>
        <v/>
      </c>
    </row>
    <row r="6524" spans="1:8" x14ac:dyDescent="0.2">
      <c r="A6524" t="str">
        <f t="shared" si="101"/>
        <v/>
      </c>
      <c r="B6524" s="1">
        <v>2017</v>
      </c>
      <c r="C6524" s="1" t="s">
        <v>2505</v>
      </c>
      <c r="D6524" s="1" t="s">
        <v>2506</v>
      </c>
      <c r="E6524" s="1" t="s">
        <v>2019</v>
      </c>
      <c r="F6524" s="1" t="s">
        <v>650</v>
      </c>
      <c r="G6524" s="51">
        <v>46949</v>
      </c>
      <c r="H6524" t="str">
        <f>IFERROR(VLOOKUP(F6524,'LEAID Match'!$A$2:$B$142,2,FALSE),"")</f>
        <v/>
      </c>
    </row>
    <row r="6525" spans="1:8" x14ac:dyDescent="0.2">
      <c r="A6525" t="str">
        <f t="shared" si="101"/>
        <v/>
      </c>
      <c r="B6525" s="1">
        <v>2018</v>
      </c>
      <c r="C6525" s="1" t="s">
        <v>2505</v>
      </c>
      <c r="D6525" s="1" t="s">
        <v>2506</v>
      </c>
      <c r="E6525" s="1" t="s">
        <v>2019</v>
      </c>
      <c r="F6525" s="1" t="s">
        <v>650</v>
      </c>
      <c r="G6525" s="6">
        <v>49529</v>
      </c>
      <c r="H6525" t="str">
        <f>IFERROR(VLOOKUP(F6525,'LEAID Match'!$A$2:$B$142,2,FALSE),"")</f>
        <v/>
      </c>
    </row>
    <row r="6526" spans="1:8" x14ac:dyDescent="0.2">
      <c r="A6526" t="str">
        <f t="shared" si="101"/>
        <v/>
      </c>
      <c r="B6526" s="1">
        <v>2019</v>
      </c>
      <c r="C6526" s="1" t="s">
        <v>2505</v>
      </c>
      <c r="D6526" s="1" t="s">
        <v>2506</v>
      </c>
      <c r="E6526" s="1" t="s">
        <v>2019</v>
      </c>
      <c r="F6526" s="1" t="s">
        <v>650</v>
      </c>
      <c r="G6526" s="6">
        <v>50257</v>
      </c>
      <c r="H6526" t="str">
        <f>IFERROR(VLOOKUP(F6526,'LEAID Match'!$A$2:$B$142,2,FALSE),"")</f>
        <v/>
      </c>
    </row>
    <row r="6527" spans="1:8" x14ac:dyDescent="0.2">
      <c r="A6527" t="str">
        <f t="shared" si="101"/>
        <v/>
      </c>
      <c r="B6527" s="1">
        <v>2020</v>
      </c>
      <c r="C6527" s="1" t="s">
        <v>2505</v>
      </c>
      <c r="D6527" s="1" t="s">
        <v>2506</v>
      </c>
      <c r="E6527" s="1" t="s">
        <v>2019</v>
      </c>
      <c r="F6527" s="1" t="s">
        <v>650</v>
      </c>
      <c r="G6527" s="6">
        <v>56450</v>
      </c>
      <c r="H6527" t="str">
        <f>IFERROR(VLOOKUP(F6527,'LEAID Match'!$A$2:$B$142,2,FALSE),"")</f>
        <v/>
      </c>
    </row>
    <row r="6528" spans="1:8" x14ac:dyDescent="0.2">
      <c r="A6528" t="str">
        <f t="shared" si="101"/>
        <v/>
      </c>
      <c r="B6528" s="1">
        <v>2021</v>
      </c>
      <c r="C6528" s="1" t="s">
        <v>2505</v>
      </c>
      <c r="D6528" s="1" t="s">
        <v>2506</v>
      </c>
      <c r="E6528" s="1" t="s">
        <v>2019</v>
      </c>
      <c r="F6528" s="1" t="s">
        <v>650</v>
      </c>
      <c r="G6528" s="6">
        <v>45029</v>
      </c>
      <c r="H6528" t="str">
        <f>IFERROR(VLOOKUP(F6528,'LEAID Match'!$A$2:$B$142,2,FALSE),"")</f>
        <v/>
      </c>
    </row>
    <row r="6529" spans="1:8" x14ac:dyDescent="0.2">
      <c r="A6529" t="str">
        <f t="shared" si="101"/>
        <v/>
      </c>
      <c r="B6529" s="1">
        <v>2022</v>
      </c>
      <c r="C6529" s="1" t="s">
        <v>2505</v>
      </c>
      <c r="D6529" s="1" t="s">
        <v>2506</v>
      </c>
      <c r="E6529" s="1" t="s">
        <v>2019</v>
      </c>
      <c r="F6529" s="1" t="s">
        <v>650</v>
      </c>
      <c r="G6529" s="6">
        <v>43949</v>
      </c>
      <c r="H6529" t="str">
        <f>IFERROR(VLOOKUP(F6529,'LEAID Match'!$A$2:$B$142,2,FALSE),"")</f>
        <v/>
      </c>
    </row>
    <row r="6530" spans="1:8" x14ac:dyDescent="0.2">
      <c r="A6530" t="str">
        <f t="shared" si="101"/>
        <v/>
      </c>
      <c r="B6530" s="1">
        <v>2023</v>
      </c>
      <c r="C6530" s="1" t="s">
        <v>2505</v>
      </c>
      <c r="D6530" s="1" t="s">
        <v>2506</v>
      </c>
      <c r="E6530" s="1" t="s">
        <v>2019</v>
      </c>
      <c r="F6530" s="1" t="s">
        <v>650</v>
      </c>
      <c r="G6530" s="6">
        <v>48602</v>
      </c>
      <c r="H6530" t="str">
        <f>IFERROR(VLOOKUP(F6530,'LEAID Match'!$A$2:$B$142,2,FALSE),"")</f>
        <v/>
      </c>
    </row>
    <row r="6531" spans="1:8" x14ac:dyDescent="0.2">
      <c r="A6531" t="str">
        <f t="shared" ref="A6531:A6594" si="102">H6531</f>
        <v/>
      </c>
      <c r="B6531" s="1">
        <v>2024</v>
      </c>
      <c r="C6531" s="1" t="s">
        <v>2505</v>
      </c>
      <c r="D6531" s="1" t="s">
        <v>2506</v>
      </c>
      <c r="E6531" s="1" t="s">
        <v>2019</v>
      </c>
      <c r="F6531" s="1" t="s">
        <v>650</v>
      </c>
      <c r="G6531" s="6">
        <v>50087</v>
      </c>
      <c r="H6531" t="str">
        <f>IFERROR(VLOOKUP(F6531,'LEAID Match'!$A$2:$B$142,2,FALSE),"")</f>
        <v/>
      </c>
    </row>
    <row r="6532" spans="1:8" x14ac:dyDescent="0.2">
      <c r="A6532" t="str">
        <f t="shared" si="102"/>
        <v/>
      </c>
      <c r="B6532" s="1">
        <v>2015</v>
      </c>
      <c r="C6532" s="1" t="s">
        <v>2505</v>
      </c>
      <c r="D6532" s="1" t="s">
        <v>2506</v>
      </c>
      <c r="E6532" s="1" t="s">
        <v>2019</v>
      </c>
      <c r="F6532" s="1" t="s">
        <v>651</v>
      </c>
      <c r="G6532" s="6">
        <v>15808</v>
      </c>
      <c r="H6532" t="str">
        <f>IFERROR(VLOOKUP(F6532,'LEAID Match'!$A$2:$B$142,2,FALSE),"")</f>
        <v/>
      </c>
    </row>
    <row r="6533" spans="1:8" x14ac:dyDescent="0.2">
      <c r="A6533" t="str">
        <f t="shared" si="102"/>
        <v/>
      </c>
      <c r="B6533">
        <v>2016</v>
      </c>
      <c r="C6533" s="1" t="s">
        <v>2505</v>
      </c>
      <c r="D6533" s="1" t="s">
        <v>2506</v>
      </c>
      <c r="E6533" s="1" t="s">
        <v>2019</v>
      </c>
      <c r="F6533" s="1" t="s">
        <v>651</v>
      </c>
      <c r="G6533" s="12">
        <v>15906</v>
      </c>
      <c r="H6533" t="str">
        <f>IFERROR(VLOOKUP(F6533,'LEAID Match'!$A$2:$B$142,2,FALSE),"")</f>
        <v/>
      </c>
    </row>
    <row r="6534" spans="1:8" x14ac:dyDescent="0.2">
      <c r="A6534" t="str">
        <f t="shared" si="102"/>
        <v/>
      </c>
      <c r="B6534" s="1">
        <v>2017</v>
      </c>
      <c r="C6534" s="1" t="s">
        <v>2505</v>
      </c>
      <c r="D6534" s="1" t="s">
        <v>2506</v>
      </c>
      <c r="E6534" s="1" t="s">
        <v>2019</v>
      </c>
      <c r="F6534" s="1" t="s">
        <v>651</v>
      </c>
      <c r="G6534" s="51">
        <v>17445</v>
      </c>
      <c r="H6534" t="str">
        <f>IFERROR(VLOOKUP(F6534,'LEAID Match'!$A$2:$B$142,2,FALSE),"")</f>
        <v/>
      </c>
    </row>
    <row r="6535" spans="1:8" x14ac:dyDescent="0.2">
      <c r="A6535" t="str">
        <f t="shared" si="102"/>
        <v/>
      </c>
      <c r="B6535" s="1">
        <v>2018</v>
      </c>
      <c r="C6535" s="1" t="s">
        <v>2505</v>
      </c>
      <c r="D6535" s="1" t="s">
        <v>2506</v>
      </c>
      <c r="E6535" s="1" t="s">
        <v>2019</v>
      </c>
      <c r="F6535" s="1" t="s">
        <v>651</v>
      </c>
      <c r="G6535" s="6">
        <v>17839</v>
      </c>
      <c r="H6535" t="str">
        <f>IFERROR(VLOOKUP(F6535,'LEAID Match'!$A$2:$B$142,2,FALSE),"")</f>
        <v/>
      </c>
    </row>
    <row r="6536" spans="1:8" x14ac:dyDescent="0.2">
      <c r="A6536" t="str">
        <f t="shared" si="102"/>
        <v/>
      </c>
      <c r="B6536" s="1">
        <v>2019</v>
      </c>
      <c r="C6536" s="1" t="s">
        <v>2505</v>
      </c>
      <c r="D6536" s="1" t="s">
        <v>2506</v>
      </c>
      <c r="E6536" s="1" t="s">
        <v>2019</v>
      </c>
      <c r="F6536" s="1" t="s">
        <v>651</v>
      </c>
      <c r="G6536" s="6">
        <v>17048</v>
      </c>
      <c r="H6536" t="str">
        <f>IFERROR(VLOOKUP(F6536,'LEAID Match'!$A$2:$B$142,2,FALSE),"")</f>
        <v/>
      </c>
    </row>
    <row r="6537" spans="1:8" x14ac:dyDescent="0.2">
      <c r="A6537" t="str">
        <f t="shared" si="102"/>
        <v/>
      </c>
      <c r="B6537" s="1">
        <v>2020</v>
      </c>
      <c r="C6537" s="1" t="s">
        <v>2505</v>
      </c>
      <c r="D6537" s="1" t="s">
        <v>2506</v>
      </c>
      <c r="E6537" s="1" t="s">
        <v>2019</v>
      </c>
      <c r="F6537" s="1" t="s">
        <v>651</v>
      </c>
      <c r="G6537" s="6">
        <v>17688</v>
      </c>
      <c r="H6537" t="str">
        <f>IFERROR(VLOOKUP(F6537,'LEAID Match'!$A$2:$B$142,2,FALSE),"")</f>
        <v/>
      </c>
    </row>
    <row r="6538" spans="1:8" x14ac:dyDescent="0.2">
      <c r="A6538" t="str">
        <f t="shared" si="102"/>
        <v/>
      </c>
      <c r="B6538" s="1">
        <v>2021</v>
      </c>
      <c r="C6538" s="1" t="s">
        <v>2505</v>
      </c>
      <c r="D6538" s="1" t="s">
        <v>2506</v>
      </c>
      <c r="E6538" s="1" t="s">
        <v>2019</v>
      </c>
      <c r="F6538" s="1" t="s">
        <v>651</v>
      </c>
      <c r="G6538" s="6">
        <v>16994</v>
      </c>
      <c r="H6538" t="str">
        <f>IFERROR(VLOOKUP(F6538,'LEAID Match'!$A$2:$B$142,2,FALSE),"")</f>
        <v/>
      </c>
    </row>
    <row r="6539" spans="1:8" x14ac:dyDescent="0.2">
      <c r="A6539" t="str">
        <f t="shared" si="102"/>
        <v/>
      </c>
      <c r="B6539" s="1">
        <v>2022</v>
      </c>
      <c r="C6539" s="1" t="s">
        <v>2505</v>
      </c>
      <c r="D6539" s="1" t="s">
        <v>2506</v>
      </c>
      <c r="E6539" s="1" t="s">
        <v>2019</v>
      </c>
      <c r="F6539" s="1" t="s">
        <v>651</v>
      </c>
      <c r="G6539" s="6">
        <v>19850</v>
      </c>
      <c r="H6539" t="str">
        <f>IFERROR(VLOOKUP(F6539,'LEAID Match'!$A$2:$B$142,2,FALSE),"")</f>
        <v/>
      </c>
    </row>
    <row r="6540" spans="1:8" x14ac:dyDescent="0.2">
      <c r="A6540" t="str">
        <f t="shared" si="102"/>
        <v/>
      </c>
      <c r="B6540" s="1">
        <v>2023</v>
      </c>
      <c r="C6540" s="1" t="s">
        <v>2505</v>
      </c>
      <c r="D6540" s="1" t="s">
        <v>2506</v>
      </c>
      <c r="E6540" s="1" t="s">
        <v>2019</v>
      </c>
      <c r="F6540" s="1" t="s">
        <v>651</v>
      </c>
      <c r="G6540" s="6">
        <v>20004</v>
      </c>
      <c r="H6540" t="str">
        <f>IFERROR(VLOOKUP(F6540,'LEAID Match'!$A$2:$B$142,2,FALSE),"")</f>
        <v/>
      </c>
    </row>
    <row r="6541" spans="1:8" x14ac:dyDescent="0.2">
      <c r="A6541" t="str">
        <f t="shared" si="102"/>
        <v/>
      </c>
      <c r="B6541" s="1">
        <v>2024</v>
      </c>
      <c r="C6541" s="1" t="s">
        <v>2505</v>
      </c>
      <c r="D6541" s="1" t="s">
        <v>2506</v>
      </c>
      <c r="E6541" s="1" t="s">
        <v>2019</v>
      </c>
      <c r="F6541" s="1" t="s">
        <v>651</v>
      </c>
      <c r="G6541" s="6">
        <v>20457</v>
      </c>
      <c r="H6541" t="str">
        <f>IFERROR(VLOOKUP(F6541,'LEAID Match'!$A$2:$B$142,2,FALSE),"")</f>
        <v/>
      </c>
    </row>
    <row r="6542" spans="1:8" x14ac:dyDescent="0.2">
      <c r="A6542" t="str">
        <f t="shared" si="102"/>
        <v/>
      </c>
      <c r="B6542" s="1">
        <v>2015</v>
      </c>
      <c r="C6542" s="1" t="s">
        <v>2505</v>
      </c>
      <c r="D6542" s="1" t="s">
        <v>2506</v>
      </c>
      <c r="E6542" s="1" t="s">
        <v>2019</v>
      </c>
      <c r="F6542" s="1" t="s">
        <v>652</v>
      </c>
      <c r="G6542" s="6">
        <v>94327</v>
      </c>
      <c r="H6542" t="str">
        <f>IFERROR(VLOOKUP(F6542,'LEAID Match'!$A$2:$B$142,2,FALSE),"")</f>
        <v/>
      </c>
    </row>
    <row r="6543" spans="1:8" x14ac:dyDescent="0.2">
      <c r="A6543" t="str">
        <f t="shared" si="102"/>
        <v/>
      </c>
      <c r="B6543">
        <v>2016</v>
      </c>
      <c r="C6543" s="1" t="s">
        <v>2505</v>
      </c>
      <c r="D6543" s="1" t="s">
        <v>2506</v>
      </c>
      <c r="E6543" s="1" t="s">
        <v>2019</v>
      </c>
      <c r="F6543" s="1" t="s">
        <v>652</v>
      </c>
      <c r="G6543" s="12">
        <v>103519</v>
      </c>
      <c r="H6543" t="str">
        <f>IFERROR(VLOOKUP(F6543,'LEAID Match'!$A$2:$B$142,2,FALSE),"")</f>
        <v/>
      </c>
    </row>
    <row r="6544" spans="1:8" x14ac:dyDescent="0.2">
      <c r="A6544" t="str">
        <f t="shared" si="102"/>
        <v/>
      </c>
      <c r="B6544" s="1">
        <v>2017</v>
      </c>
      <c r="C6544" s="1" t="s">
        <v>2505</v>
      </c>
      <c r="D6544" s="1" t="s">
        <v>2506</v>
      </c>
      <c r="E6544" s="1" t="s">
        <v>2019</v>
      </c>
      <c r="F6544" s="1" t="s">
        <v>652</v>
      </c>
      <c r="G6544" s="51">
        <v>93883</v>
      </c>
      <c r="H6544" t="str">
        <f>IFERROR(VLOOKUP(F6544,'LEAID Match'!$A$2:$B$142,2,FALSE),"")</f>
        <v/>
      </c>
    </row>
    <row r="6545" spans="1:8" x14ac:dyDescent="0.2">
      <c r="A6545" t="str">
        <f t="shared" si="102"/>
        <v/>
      </c>
      <c r="B6545" s="1">
        <v>2018</v>
      </c>
      <c r="C6545" s="1" t="s">
        <v>2505</v>
      </c>
      <c r="D6545" s="1" t="s">
        <v>2506</v>
      </c>
      <c r="E6545" s="1" t="s">
        <v>2019</v>
      </c>
      <c r="F6545" s="1" t="s">
        <v>652</v>
      </c>
      <c r="G6545" s="6">
        <v>113500</v>
      </c>
      <c r="H6545" t="str">
        <f>IFERROR(VLOOKUP(F6545,'LEAID Match'!$A$2:$B$142,2,FALSE),"")</f>
        <v/>
      </c>
    </row>
    <row r="6546" spans="1:8" x14ac:dyDescent="0.2">
      <c r="A6546" t="str">
        <f t="shared" si="102"/>
        <v/>
      </c>
      <c r="B6546" s="1">
        <v>2019</v>
      </c>
      <c r="C6546" s="1" t="s">
        <v>2505</v>
      </c>
      <c r="D6546" s="1" t="s">
        <v>2506</v>
      </c>
      <c r="E6546" s="1" t="s">
        <v>2019</v>
      </c>
      <c r="F6546" s="1" t="s">
        <v>652</v>
      </c>
      <c r="G6546" s="6">
        <v>109513</v>
      </c>
      <c r="H6546" t="str">
        <f>IFERROR(VLOOKUP(F6546,'LEAID Match'!$A$2:$B$142,2,FALSE),"")</f>
        <v/>
      </c>
    </row>
    <row r="6547" spans="1:8" x14ac:dyDescent="0.2">
      <c r="A6547" t="str">
        <f t="shared" si="102"/>
        <v/>
      </c>
      <c r="B6547" s="1">
        <v>2020</v>
      </c>
      <c r="C6547" s="1" t="s">
        <v>2505</v>
      </c>
      <c r="D6547" s="1" t="s">
        <v>2506</v>
      </c>
      <c r="E6547" s="1" t="s">
        <v>2019</v>
      </c>
      <c r="F6547" s="1" t="s">
        <v>652</v>
      </c>
      <c r="G6547" s="6">
        <v>128892</v>
      </c>
      <c r="H6547" t="str">
        <f>IFERROR(VLOOKUP(F6547,'LEAID Match'!$A$2:$B$142,2,FALSE),"")</f>
        <v/>
      </c>
    </row>
    <row r="6548" spans="1:8" x14ac:dyDescent="0.2">
      <c r="A6548" t="str">
        <f t="shared" si="102"/>
        <v/>
      </c>
      <c r="B6548" s="1">
        <v>2021</v>
      </c>
      <c r="C6548" s="1" t="s">
        <v>2505</v>
      </c>
      <c r="D6548" s="1" t="s">
        <v>2506</v>
      </c>
      <c r="E6548" s="1" t="s">
        <v>2019</v>
      </c>
      <c r="F6548" s="1" t="s">
        <v>652</v>
      </c>
      <c r="G6548" s="6">
        <v>124017</v>
      </c>
      <c r="H6548" t="str">
        <f>IFERROR(VLOOKUP(F6548,'LEAID Match'!$A$2:$B$142,2,FALSE),"")</f>
        <v/>
      </c>
    </row>
    <row r="6549" spans="1:8" x14ac:dyDescent="0.2">
      <c r="A6549" t="str">
        <f t="shared" si="102"/>
        <v/>
      </c>
      <c r="B6549" s="1">
        <v>2022</v>
      </c>
      <c r="C6549" s="1" t="s">
        <v>2505</v>
      </c>
      <c r="D6549" s="1" t="s">
        <v>2506</v>
      </c>
      <c r="E6549" s="1" t="s">
        <v>2019</v>
      </c>
      <c r="F6549" s="1" t="s">
        <v>652</v>
      </c>
      <c r="G6549" s="6">
        <v>133970</v>
      </c>
      <c r="H6549" t="str">
        <f>IFERROR(VLOOKUP(F6549,'LEAID Match'!$A$2:$B$142,2,FALSE),"")</f>
        <v/>
      </c>
    </row>
    <row r="6550" spans="1:8" x14ac:dyDescent="0.2">
      <c r="A6550" t="str">
        <f t="shared" si="102"/>
        <v/>
      </c>
      <c r="B6550" s="1">
        <v>2023</v>
      </c>
      <c r="C6550" s="1" t="s">
        <v>2505</v>
      </c>
      <c r="D6550" s="1" t="s">
        <v>2506</v>
      </c>
      <c r="E6550" s="1" t="s">
        <v>2019</v>
      </c>
      <c r="F6550" s="1" t="s">
        <v>652</v>
      </c>
      <c r="G6550" s="6">
        <v>132093</v>
      </c>
      <c r="H6550" t="str">
        <f>IFERROR(VLOOKUP(F6550,'LEAID Match'!$A$2:$B$142,2,FALSE),"")</f>
        <v/>
      </c>
    </row>
    <row r="6551" spans="1:8" x14ac:dyDescent="0.2">
      <c r="A6551" t="str">
        <f t="shared" si="102"/>
        <v/>
      </c>
      <c r="B6551" s="1">
        <v>2024</v>
      </c>
      <c r="C6551" s="1" t="s">
        <v>2505</v>
      </c>
      <c r="D6551" s="1" t="s">
        <v>2506</v>
      </c>
      <c r="E6551" s="1" t="s">
        <v>2019</v>
      </c>
      <c r="F6551" s="1" t="s">
        <v>652</v>
      </c>
      <c r="G6551" s="6">
        <v>123170</v>
      </c>
      <c r="H6551" t="str">
        <f>IFERROR(VLOOKUP(F6551,'LEAID Match'!$A$2:$B$142,2,FALSE),"")</f>
        <v/>
      </c>
    </row>
    <row r="6552" spans="1:8" x14ac:dyDescent="0.2">
      <c r="A6552" t="str">
        <f t="shared" si="102"/>
        <v/>
      </c>
      <c r="B6552" s="1">
        <v>2015</v>
      </c>
      <c r="C6552" s="1" t="s">
        <v>2505</v>
      </c>
      <c r="D6552" s="1" t="s">
        <v>2506</v>
      </c>
      <c r="E6552" s="1" t="s">
        <v>2019</v>
      </c>
      <c r="F6552" s="1" t="s">
        <v>653</v>
      </c>
      <c r="G6552" s="6">
        <v>15171</v>
      </c>
      <c r="H6552" t="str">
        <f>IFERROR(VLOOKUP(F6552,'LEAID Match'!$A$2:$B$142,2,FALSE),"")</f>
        <v/>
      </c>
    </row>
    <row r="6553" spans="1:8" x14ac:dyDescent="0.2">
      <c r="A6553" t="str">
        <f t="shared" si="102"/>
        <v/>
      </c>
      <c r="B6553">
        <v>2016</v>
      </c>
      <c r="C6553" s="1" t="s">
        <v>2505</v>
      </c>
      <c r="D6553" s="1" t="s">
        <v>2506</v>
      </c>
      <c r="E6553" s="1" t="s">
        <v>2019</v>
      </c>
      <c r="F6553" s="1" t="s">
        <v>653</v>
      </c>
      <c r="G6553" s="12">
        <v>16434</v>
      </c>
      <c r="H6553" t="str">
        <f>IFERROR(VLOOKUP(F6553,'LEAID Match'!$A$2:$B$142,2,FALSE),"")</f>
        <v/>
      </c>
    </row>
    <row r="6554" spans="1:8" x14ac:dyDescent="0.2">
      <c r="A6554" t="str">
        <f t="shared" si="102"/>
        <v/>
      </c>
      <c r="B6554" s="1">
        <v>2017</v>
      </c>
      <c r="C6554" s="1" t="s">
        <v>2505</v>
      </c>
      <c r="D6554" s="1" t="s">
        <v>2506</v>
      </c>
      <c r="E6554" s="1" t="s">
        <v>2019</v>
      </c>
      <c r="F6554" s="1" t="s">
        <v>653</v>
      </c>
      <c r="G6554" s="51">
        <v>16755</v>
      </c>
      <c r="H6554" t="str">
        <f>IFERROR(VLOOKUP(F6554,'LEAID Match'!$A$2:$B$142,2,FALSE),"")</f>
        <v/>
      </c>
    </row>
    <row r="6555" spans="1:8" x14ac:dyDescent="0.2">
      <c r="A6555" t="str">
        <f t="shared" si="102"/>
        <v/>
      </c>
      <c r="B6555" s="1">
        <v>2018</v>
      </c>
      <c r="C6555" s="1" t="s">
        <v>2505</v>
      </c>
      <c r="D6555" s="1" t="s">
        <v>2506</v>
      </c>
      <c r="E6555" s="1" t="s">
        <v>2019</v>
      </c>
      <c r="F6555" s="1" t="s">
        <v>653</v>
      </c>
      <c r="G6555" s="6">
        <v>11297</v>
      </c>
      <c r="H6555" t="str">
        <f>IFERROR(VLOOKUP(F6555,'LEAID Match'!$A$2:$B$142,2,FALSE),"")</f>
        <v/>
      </c>
    </row>
    <row r="6556" spans="1:8" x14ac:dyDescent="0.2">
      <c r="A6556" t="str">
        <f t="shared" si="102"/>
        <v/>
      </c>
      <c r="B6556" s="1">
        <v>2019</v>
      </c>
      <c r="C6556" s="1" t="s">
        <v>2505</v>
      </c>
      <c r="D6556" s="1" t="s">
        <v>2506</v>
      </c>
      <c r="E6556" s="1" t="s">
        <v>2019</v>
      </c>
      <c r="F6556" s="1" t="s">
        <v>653</v>
      </c>
      <c r="G6556" s="6">
        <v>12075</v>
      </c>
      <c r="H6556" t="str">
        <f>IFERROR(VLOOKUP(F6556,'LEAID Match'!$A$2:$B$142,2,FALSE),"")</f>
        <v/>
      </c>
    </row>
    <row r="6557" spans="1:8" x14ac:dyDescent="0.2">
      <c r="A6557" t="str">
        <f t="shared" si="102"/>
        <v/>
      </c>
      <c r="B6557" s="1">
        <v>2020</v>
      </c>
      <c r="C6557" s="1" t="s">
        <v>2505</v>
      </c>
      <c r="D6557" s="1" t="s">
        <v>2506</v>
      </c>
      <c r="E6557" s="1" t="s">
        <v>2019</v>
      </c>
      <c r="F6557" s="1" t="s">
        <v>653</v>
      </c>
      <c r="G6557" s="6">
        <v>13311</v>
      </c>
      <c r="H6557" t="str">
        <f>IFERROR(VLOOKUP(F6557,'LEAID Match'!$A$2:$B$142,2,FALSE),"")</f>
        <v/>
      </c>
    </row>
    <row r="6558" spans="1:8" x14ac:dyDescent="0.2">
      <c r="A6558" t="str">
        <f t="shared" si="102"/>
        <v/>
      </c>
      <c r="B6558" s="1">
        <v>2021</v>
      </c>
      <c r="C6558" s="1" t="s">
        <v>2505</v>
      </c>
      <c r="D6558" s="1" t="s">
        <v>2506</v>
      </c>
      <c r="E6558" s="1" t="s">
        <v>2019</v>
      </c>
      <c r="F6558" s="1" t="s">
        <v>653</v>
      </c>
      <c r="G6558" s="6">
        <v>12563</v>
      </c>
      <c r="H6558" t="str">
        <f>IFERROR(VLOOKUP(F6558,'LEAID Match'!$A$2:$B$142,2,FALSE),"")</f>
        <v/>
      </c>
    </row>
    <row r="6559" spans="1:8" x14ac:dyDescent="0.2">
      <c r="A6559" t="str">
        <f t="shared" si="102"/>
        <v/>
      </c>
      <c r="B6559" s="1">
        <v>2022</v>
      </c>
      <c r="C6559" s="1" t="s">
        <v>2505</v>
      </c>
      <c r="D6559" s="1" t="s">
        <v>2506</v>
      </c>
      <c r="E6559" s="1" t="s">
        <v>2019</v>
      </c>
      <c r="F6559" s="1" t="s">
        <v>653</v>
      </c>
      <c r="G6559" s="6">
        <v>16727</v>
      </c>
      <c r="H6559" t="str">
        <f>IFERROR(VLOOKUP(F6559,'LEAID Match'!$A$2:$B$142,2,FALSE),"")</f>
        <v/>
      </c>
    </row>
    <row r="6560" spans="1:8" x14ac:dyDescent="0.2">
      <c r="A6560" t="str">
        <f t="shared" si="102"/>
        <v/>
      </c>
      <c r="B6560" s="1">
        <v>2023</v>
      </c>
      <c r="C6560" s="1" t="s">
        <v>2505</v>
      </c>
      <c r="D6560" s="1" t="s">
        <v>2506</v>
      </c>
      <c r="E6560" s="1" t="s">
        <v>2019</v>
      </c>
      <c r="F6560" s="1" t="s">
        <v>653</v>
      </c>
      <c r="G6560" s="6">
        <v>18537</v>
      </c>
      <c r="H6560" t="str">
        <f>IFERROR(VLOOKUP(F6560,'LEAID Match'!$A$2:$B$142,2,FALSE),"")</f>
        <v/>
      </c>
    </row>
    <row r="6561" spans="1:8" x14ac:dyDescent="0.2">
      <c r="A6561" t="str">
        <f t="shared" si="102"/>
        <v/>
      </c>
      <c r="B6561" s="1">
        <v>2024</v>
      </c>
      <c r="C6561" s="1" t="s">
        <v>2505</v>
      </c>
      <c r="D6561" s="1" t="s">
        <v>2506</v>
      </c>
      <c r="E6561" s="1" t="s">
        <v>2019</v>
      </c>
      <c r="F6561" s="1" t="s">
        <v>653</v>
      </c>
      <c r="G6561" s="6">
        <v>20291</v>
      </c>
      <c r="H6561" t="str">
        <f>IFERROR(VLOOKUP(F6561,'LEAID Match'!$A$2:$B$142,2,FALSE),"")</f>
        <v/>
      </c>
    </row>
    <row r="6562" spans="1:8" x14ac:dyDescent="0.2">
      <c r="A6562" t="str">
        <f t="shared" si="102"/>
        <v/>
      </c>
      <c r="B6562" s="1">
        <v>2015</v>
      </c>
      <c r="C6562" s="1" t="s">
        <v>2505</v>
      </c>
      <c r="D6562" s="1" t="s">
        <v>2506</v>
      </c>
      <c r="E6562" s="1" t="s">
        <v>2019</v>
      </c>
      <c r="F6562" s="1" t="s">
        <v>654</v>
      </c>
      <c r="G6562" s="6">
        <v>187975</v>
      </c>
      <c r="H6562" t="str">
        <f>IFERROR(VLOOKUP(F6562,'LEAID Match'!$A$2:$B$142,2,FALSE),"")</f>
        <v/>
      </c>
    </row>
    <row r="6563" spans="1:8" x14ac:dyDescent="0.2">
      <c r="A6563" t="str">
        <f t="shared" si="102"/>
        <v/>
      </c>
      <c r="B6563">
        <v>2016</v>
      </c>
      <c r="C6563" s="1" t="s">
        <v>2505</v>
      </c>
      <c r="D6563" s="1" t="s">
        <v>2506</v>
      </c>
      <c r="E6563" s="1" t="s">
        <v>2019</v>
      </c>
      <c r="F6563" s="1" t="s">
        <v>654</v>
      </c>
      <c r="G6563" s="12">
        <v>200196</v>
      </c>
      <c r="H6563" t="str">
        <f>IFERROR(VLOOKUP(F6563,'LEAID Match'!$A$2:$B$142,2,FALSE),"")</f>
        <v/>
      </c>
    </row>
    <row r="6564" spans="1:8" x14ac:dyDescent="0.2">
      <c r="A6564" t="str">
        <f t="shared" si="102"/>
        <v/>
      </c>
      <c r="B6564" s="1">
        <v>2017</v>
      </c>
      <c r="C6564" s="1" t="s">
        <v>2505</v>
      </c>
      <c r="D6564" s="1" t="s">
        <v>2506</v>
      </c>
      <c r="E6564" s="1" t="s">
        <v>2019</v>
      </c>
      <c r="F6564" s="1" t="s">
        <v>654</v>
      </c>
      <c r="G6564" s="51">
        <v>218806</v>
      </c>
      <c r="H6564" t="str">
        <f>IFERROR(VLOOKUP(F6564,'LEAID Match'!$A$2:$B$142,2,FALSE),"")</f>
        <v/>
      </c>
    </row>
    <row r="6565" spans="1:8" x14ac:dyDescent="0.2">
      <c r="A6565" t="str">
        <f t="shared" si="102"/>
        <v/>
      </c>
      <c r="B6565" s="1">
        <v>2018</v>
      </c>
      <c r="C6565" s="1" t="s">
        <v>2505</v>
      </c>
      <c r="D6565" s="1" t="s">
        <v>2506</v>
      </c>
      <c r="E6565" s="1" t="s">
        <v>2019</v>
      </c>
      <c r="F6565" s="1" t="s">
        <v>654</v>
      </c>
      <c r="G6565" s="6">
        <v>211523</v>
      </c>
      <c r="H6565" t="str">
        <f>IFERROR(VLOOKUP(F6565,'LEAID Match'!$A$2:$B$142,2,FALSE),"")</f>
        <v/>
      </c>
    </row>
    <row r="6566" spans="1:8" x14ac:dyDescent="0.2">
      <c r="A6566" t="str">
        <f t="shared" si="102"/>
        <v/>
      </c>
      <c r="B6566" s="1">
        <v>2019</v>
      </c>
      <c r="C6566" s="1" t="s">
        <v>2505</v>
      </c>
      <c r="D6566" s="1" t="s">
        <v>2506</v>
      </c>
      <c r="E6566" s="1" t="s">
        <v>2019</v>
      </c>
      <c r="F6566" s="1" t="s">
        <v>654</v>
      </c>
      <c r="G6566" s="6">
        <v>212472</v>
      </c>
      <c r="H6566" t="str">
        <f>IFERROR(VLOOKUP(F6566,'LEAID Match'!$A$2:$B$142,2,FALSE),"")</f>
        <v/>
      </c>
    </row>
    <row r="6567" spans="1:8" x14ac:dyDescent="0.2">
      <c r="A6567" t="str">
        <f t="shared" si="102"/>
        <v/>
      </c>
      <c r="B6567" s="1">
        <v>2020</v>
      </c>
      <c r="C6567" s="1" t="s">
        <v>2505</v>
      </c>
      <c r="D6567" s="1" t="s">
        <v>2506</v>
      </c>
      <c r="E6567" s="1" t="s">
        <v>2019</v>
      </c>
      <c r="F6567" s="1" t="s">
        <v>654</v>
      </c>
      <c r="G6567" s="6">
        <v>234898</v>
      </c>
      <c r="H6567" t="str">
        <f>IFERROR(VLOOKUP(F6567,'LEAID Match'!$A$2:$B$142,2,FALSE),"")</f>
        <v/>
      </c>
    </row>
    <row r="6568" spans="1:8" x14ac:dyDescent="0.2">
      <c r="A6568" t="str">
        <f t="shared" si="102"/>
        <v/>
      </c>
      <c r="B6568" s="1">
        <v>2021</v>
      </c>
      <c r="C6568" s="1" t="s">
        <v>2505</v>
      </c>
      <c r="D6568" s="1" t="s">
        <v>2506</v>
      </c>
      <c r="E6568" s="1" t="s">
        <v>2019</v>
      </c>
      <c r="F6568" s="1" t="s">
        <v>654</v>
      </c>
      <c r="G6568" s="6">
        <v>235954</v>
      </c>
      <c r="H6568" t="str">
        <f>IFERROR(VLOOKUP(F6568,'LEAID Match'!$A$2:$B$142,2,FALSE),"")</f>
        <v/>
      </c>
    </row>
    <row r="6569" spans="1:8" x14ac:dyDescent="0.2">
      <c r="A6569" t="str">
        <f t="shared" si="102"/>
        <v/>
      </c>
      <c r="B6569" s="1">
        <v>2022</v>
      </c>
      <c r="C6569" s="1" t="s">
        <v>2505</v>
      </c>
      <c r="D6569" s="1" t="s">
        <v>2506</v>
      </c>
      <c r="E6569" s="1" t="s">
        <v>2019</v>
      </c>
      <c r="F6569" s="1" t="s">
        <v>654</v>
      </c>
      <c r="G6569" s="6">
        <v>262638</v>
      </c>
      <c r="H6569" t="str">
        <f>IFERROR(VLOOKUP(F6569,'LEAID Match'!$A$2:$B$142,2,FALSE),"")</f>
        <v/>
      </c>
    </row>
    <row r="6570" spans="1:8" x14ac:dyDescent="0.2">
      <c r="A6570" t="str">
        <f t="shared" si="102"/>
        <v/>
      </c>
      <c r="B6570" s="1">
        <v>2023</v>
      </c>
      <c r="C6570" s="1" t="s">
        <v>2505</v>
      </c>
      <c r="D6570" s="1" t="s">
        <v>2506</v>
      </c>
      <c r="E6570" s="1" t="s">
        <v>2019</v>
      </c>
      <c r="F6570" s="1" t="s">
        <v>654</v>
      </c>
      <c r="G6570" s="6">
        <v>295268</v>
      </c>
      <c r="H6570" t="str">
        <f>IFERROR(VLOOKUP(F6570,'LEAID Match'!$A$2:$B$142,2,FALSE),"")</f>
        <v/>
      </c>
    </row>
    <row r="6571" spans="1:8" x14ac:dyDescent="0.2">
      <c r="A6571" t="str">
        <f t="shared" si="102"/>
        <v/>
      </c>
      <c r="B6571" s="1">
        <v>2024</v>
      </c>
      <c r="C6571" s="1" t="s">
        <v>2505</v>
      </c>
      <c r="D6571" s="1" t="s">
        <v>2506</v>
      </c>
      <c r="E6571" s="1" t="s">
        <v>2019</v>
      </c>
      <c r="F6571" s="1" t="s">
        <v>654</v>
      </c>
      <c r="G6571" s="6">
        <v>308750</v>
      </c>
      <c r="H6571" t="str">
        <f>IFERROR(VLOOKUP(F6571,'LEAID Match'!$A$2:$B$142,2,FALSE),"")</f>
        <v/>
      </c>
    </row>
    <row r="6572" spans="1:8" x14ac:dyDescent="0.2">
      <c r="A6572" t="str">
        <f t="shared" si="102"/>
        <v/>
      </c>
      <c r="B6572" s="1">
        <v>2015</v>
      </c>
      <c r="C6572" s="1" t="s">
        <v>2505</v>
      </c>
      <c r="D6572" s="1" t="s">
        <v>2506</v>
      </c>
      <c r="E6572" s="1" t="s">
        <v>2019</v>
      </c>
      <c r="F6572" s="1" t="s">
        <v>655</v>
      </c>
      <c r="G6572" s="6">
        <v>88516</v>
      </c>
      <c r="H6572" t="str">
        <f>IFERROR(VLOOKUP(F6572,'LEAID Match'!$A$2:$B$142,2,FALSE),"")</f>
        <v/>
      </c>
    </row>
    <row r="6573" spans="1:8" x14ac:dyDescent="0.2">
      <c r="A6573" t="str">
        <f t="shared" si="102"/>
        <v/>
      </c>
      <c r="B6573">
        <v>2016</v>
      </c>
      <c r="C6573" s="1" t="s">
        <v>2505</v>
      </c>
      <c r="D6573" s="1" t="s">
        <v>2506</v>
      </c>
      <c r="E6573" s="1" t="s">
        <v>2019</v>
      </c>
      <c r="F6573" s="1" t="s">
        <v>655</v>
      </c>
      <c r="G6573" s="12">
        <v>92450</v>
      </c>
      <c r="H6573" t="str">
        <f>IFERROR(VLOOKUP(F6573,'LEAID Match'!$A$2:$B$142,2,FALSE),"")</f>
        <v/>
      </c>
    </row>
    <row r="6574" spans="1:8" x14ac:dyDescent="0.2">
      <c r="A6574" t="str">
        <f t="shared" si="102"/>
        <v/>
      </c>
      <c r="B6574" s="1">
        <v>2017</v>
      </c>
      <c r="C6574" s="1" t="s">
        <v>2505</v>
      </c>
      <c r="D6574" s="1" t="s">
        <v>2506</v>
      </c>
      <c r="E6574" s="1" t="s">
        <v>2019</v>
      </c>
      <c r="F6574" s="1" t="s">
        <v>655</v>
      </c>
      <c r="G6574" s="51">
        <v>94509</v>
      </c>
      <c r="H6574" t="str">
        <f>IFERROR(VLOOKUP(F6574,'LEAID Match'!$A$2:$B$142,2,FALSE),"")</f>
        <v/>
      </c>
    </row>
    <row r="6575" spans="1:8" x14ac:dyDescent="0.2">
      <c r="A6575" t="str">
        <f t="shared" si="102"/>
        <v/>
      </c>
      <c r="B6575" s="1">
        <v>2018</v>
      </c>
      <c r="C6575" s="1" t="s">
        <v>2505</v>
      </c>
      <c r="D6575" s="1" t="s">
        <v>2506</v>
      </c>
      <c r="E6575" s="1" t="s">
        <v>2019</v>
      </c>
      <c r="F6575" s="1" t="s">
        <v>655</v>
      </c>
      <c r="G6575" s="6">
        <v>84369</v>
      </c>
      <c r="H6575" t="str">
        <f>IFERROR(VLOOKUP(F6575,'LEAID Match'!$A$2:$B$142,2,FALSE),"")</f>
        <v/>
      </c>
    </row>
    <row r="6576" spans="1:8" x14ac:dyDescent="0.2">
      <c r="A6576" t="str">
        <f t="shared" si="102"/>
        <v/>
      </c>
      <c r="B6576" s="1">
        <v>2019</v>
      </c>
      <c r="C6576" s="1" t="s">
        <v>2505</v>
      </c>
      <c r="D6576" s="1" t="s">
        <v>2506</v>
      </c>
      <c r="E6576" s="1" t="s">
        <v>2019</v>
      </c>
      <c r="F6576" s="1" t="s">
        <v>655</v>
      </c>
      <c r="G6576" s="6">
        <v>94214</v>
      </c>
      <c r="H6576" t="str">
        <f>IFERROR(VLOOKUP(F6576,'LEAID Match'!$A$2:$B$142,2,FALSE),"")</f>
        <v/>
      </c>
    </row>
    <row r="6577" spans="1:8" x14ac:dyDescent="0.2">
      <c r="A6577" t="str">
        <f t="shared" si="102"/>
        <v/>
      </c>
      <c r="B6577" s="1">
        <v>2020</v>
      </c>
      <c r="C6577" s="1" t="s">
        <v>2505</v>
      </c>
      <c r="D6577" s="1" t="s">
        <v>2506</v>
      </c>
      <c r="E6577" s="1" t="s">
        <v>2019</v>
      </c>
      <c r="F6577" s="1" t="s">
        <v>655</v>
      </c>
      <c r="G6577" s="6">
        <v>105504</v>
      </c>
      <c r="H6577" t="str">
        <f>IFERROR(VLOOKUP(F6577,'LEAID Match'!$A$2:$B$142,2,FALSE),"")</f>
        <v/>
      </c>
    </row>
    <row r="6578" spans="1:8" x14ac:dyDescent="0.2">
      <c r="A6578" t="str">
        <f t="shared" si="102"/>
        <v/>
      </c>
      <c r="B6578" s="1">
        <v>2021</v>
      </c>
      <c r="C6578" s="1" t="s">
        <v>2505</v>
      </c>
      <c r="D6578" s="1" t="s">
        <v>2506</v>
      </c>
      <c r="E6578" s="1" t="s">
        <v>2019</v>
      </c>
      <c r="F6578" s="1" t="s">
        <v>655</v>
      </c>
      <c r="G6578" s="6">
        <v>113294</v>
      </c>
      <c r="H6578" t="str">
        <f>IFERROR(VLOOKUP(F6578,'LEAID Match'!$A$2:$B$142,2,FALSE),"")</f>
        <v/>
      </c>
    </row>
    <row r="6579" spans="1:8" x14ac:dyDescent="0.2">
      <c r="A6579" t="str">
        <f t="shared" si="102"/>
        <v/>
      </c>
      <c r="B6579" s="1">
        <v>2022</v>
      </c>
      <c r="C6579" s="1" t="s">
        <v>2505</v>
      </c>
      <c r="D6579" s="1" t="s">
        <v>2506</v>
      </c>
      <c r="E6579" s="1" t="s">
        <v>2019</v>
      </c>
      <c r="F6579" s="1" t="s">
        <v>655</v>
      </c>
      <c r="G6579" s="6">
        <v>123249</v>
      </c>
      <c r="H6579" t="str">
        <f>IFERROR(VLOOKUP(F6579,'LEAID Match'!$A$2:$B$142,2,FALSE),"")</f>
        <v/>
      </c>
    </row>
    <row r="6580" spans="1:8" x14ac:dyDescent="0.2">
      <c r="A6580" t="str">
        <f t="shared" si="102"/>
        <v/>
      </c>
      <c r="B6580" s="1">
        <v>2023</v>
      </c>
      <c r="C6580" s="1" t="s">
        <v>2505</v>
      </c>
      <c r="D6580" s="1" t="s">
        <v>2506</v>
      </c>
      <c r="E6580" s="1" t="s">
        <v>2019</v>
      </c>
      <c r="F6580" s="1" t="s">
        <v>655</v>
      </c>
      <c r="G6580" s="6">
        <v>127055</v>
      </c>
      <c r="H6580" t="str">
        <f>IFERROR(VLOOKUP(F6580,'LEAID Match'!$A$2:$B$142,2,FALSE),"")</f>
        <v/>
      </c>
    </row>
    <row r="6581" spans="1:8" x14ac:dyDescent="0.2">
      <c r="A6581" t="str">
        <f t="shared" si="102"/>
        <v/>
      </c>
      <c r="B6581" s="1">
        <v>2024</v>
      </c>
      <c r="C6581" s="1" t="s">
        <v>2505</v>
      </c>
      <c r="D6581" s="1" t="s">
        <v>2506</v>
      </c>
      <c r="E6581" s="1" t="s">
        <v>2019</v>
      </c>
      <c r="F6581" s="1" t="s">
        <v>655</v>
      </c>
      <c r="G6581" s="6">
        <v>139530</v>
      </c>
      <c r="H6581" t="str">
        <f>IFERROR(VLOOKUP(F6581,'LEAID Match'!$A$2:$B$142,2,FALSE),"")</f>
        <v/>
      </c>
    </row>
    <row r="6582" spans="1:8" x14ac:dyDescent="0.2">
      <c r="A6582" t="str">
        <f t="shared" si="102"/>
        <v/>
      </c>
      <c r="B6582" s="1">
        <v>2015</v>
      </c>
      <c r="C6582" s="1" t="s">
        <v>2505</v>
      </c>
      <c r="D6582" s="1" t="s">
        <v>2506</v>
      </c>
      <c r="E6582" s="1" t="s">
        <v>2019</v>
      </c>
      <c r="F6582" s="1" t="s">
        <v>656</v>
      </c>
      <c r="G6582" s="6">
        <v>20033</v>
      </c>
      <c r="H6582" t="str">
        <f>IFERROR(VLOOKUP(F6582,'LEAID Match'!$A$2:$B$142,2,FALSE),"")</f>
        <v/>
      </c>
    </row>
    <row r="6583" spans="1:8" x14ac:dyDescent="0.2">
      <c r="A6583" t="str">
        <f t="shared" si="102"/>
        <v/>
      </c>
      <c r="B6583">
        <v>2016</v>
      </c>
      <c r="C6583" s="1" t="s">
        <v>2505</v>
      </c>
      <c r="D6583" s="1" t="s">
        <v>2506</v>
      </c>
      <c r="E6583" s="1" t="s">
        <v>2019</v>
      </c>
      <c r="F6583" s="1" t="s">
        <v>656</v>
      </c>
      <c r="G6583" s="12">
        <v>19623</v>
      </c>
      <c r="H6583" t="str">
        <f>IFERROR(VLOOKUP(F6583,'LEAID Match'!$A$2:$B$142,2,FALSE),"")</f>
        <v/>
      </c>
    </row>
    <row r="6584" spans="1:8" x14ac:dyDescent="0.2">
      <c r="A6584" t="str">
        <f t="shared" si="102"/>
        <v/>
      </c>
      <c r="B6584" s="1">
        <v>2017</v>
      </c>
      <c r="C6584" s="1" t="s">
        <v>2505</v>
      </c>
      <c r="D6584" s="1" t="s">
        <v>2506</v>
      </c>
      <c r="E6584" s="1" t="s">
        <v>2019</v>
      </c>
      <c r="F6584" s="1" t="s">
        <v>656</v>
      </c>
      <c r="G6584" s="51">
        <v>19760</v>
      </c>
      <c r="H6584" t="str">
        <f>IFERROR(VLOOKUP(F6584,'LEAID Match'!$A$2:$B$142,2,FALSE),"")</f>
        <v/>
      </c>
    </row>
    <row r="6585" spans="1:8" x14ac:dyDescent="0.2">
      <c r="A6585" t="str">
        <f t="shared" si="102"/>
        <v/>
      </c>
      <c r="B6585" s="1">
        <v>2018</v>
      </c>
      <c r="C6585" s="1" t="s">
        <v>2505</v>
      </c>
      <c r="D6585" s="1" t="s">
        <v>2506</v>
      </c>
      <c r="E6585" s="1" t="s">
        <v>2019</v>
      </c>
      <c r="F6585" s="1" t="s">
        <v>656</v>
      </c>
      <c r="G6585" s="6">
        <v>17412</v>
      </c>
      <c r="H6585" t="str">
        <f>IFERROR(VLOOKUP(F6585,'LEAID Match'!$A$2:$B$142,2,FALSE),"")</f>
        <v/>
      </c>
    </row>
    <row r="6586" spans="1:8" x14ac:dyDescent="0.2">
      <c r="A6586" t="str">
        <f t="shared" si="102"/>
        <v/>
      </c>
      <c r="B6586" s="1">
        <v>2019</v>
      </c>
      <c r="C6586" s="1" t="s">
        <v>2505</v>
      </c>
      <c r="D6586" s="1" t="s">
        <v>2506</v>
      </c>
      <c r="E6586" s="1" t="s">
        <v>2019</v>
      </c>
      <c r="F6586" s="1" t="s">
        <v>656</v>
      </c>
      <c r="G6586" s="6">
        <v>18337</v>
      </c>
      <c r="H6586" t="str">
        <f>IFERROR(VLOOKUP(F6586,'LEAID Match'!$A$2:$B$142,2,FALSE),"")</f>
        <v/>
      </c>
    </row>
    <row r="6587" spans="1:8" x14ac:dyDescent="0.2">
      <c r="A6587" t="str">
        <f t="shared" si="102"/>
        <v/>
      </c>
      <c r="B6587" s="1">
        <v>2020</v>
      </c>
      <c r="C6587" s="1" t="s">
        <v>2505</v>
      </c>
      <c r="D6587" s="1" t="s">
        <v>2506</v>
      </c>
      <c r="E6587" s="1" t="s">
        <v>2019</v>
      </c>
      <c r="F6587" s="1" t="s">
        <v>656</v>
      </c>
      <c r="G6587" s="6">
        <v>22996</v>
      </c>
      <c r="H6587" t="str">
        <f>IFERROR(VLOOKUP(F6587,'LEAID Match'!$A$2:$B$142,2,FALSE),"")</f>
        <v/>
      </c>
    </row>
    <row r="6588" spans="1:8" x14ac:dyDescent="0.2">
      <c r="A6588" t="str">
        <f t="shared" si="102"/>
        <v/>
      </c>
      <c r="B6588" s="1">
        <v>2021</v>
      </c>
      <c r="C6588" s="1" t="s">
        <v>2505</v>
      </c>
      <c r="D6588" s="1" t="s">
        <v>2506</v>
      </c>
      <c r="E6588" s="1" t="s">
        <v>2019</v>
      </c>
      <c r="F6588" s="1" t="s">
        <v>656</v>
      </c>
      <c r="G6588" s="6">
        <v>19513</v>
      </c>
      <c r="H6588" t="str">
        <f>IFERROR(VLOOKUP(F6588,'LEAID Match'!$A$2:$B$142,2,FALSE),"")</f>
        <v/>
      </c>
    </row>
    <row r="6589" spans="1:8" x14ac:dyDescent="0.2">
      <c r="A6589" t="str">
        <f t="shared" si="102"/>
        <v/>
      </c>
      <c r="B6589" s="1">
        <v>2022</v>
      </c>
      <c r="C6589" s="1" t="s">
        <v>2505</v>
      </c>
      <c r="D6589" s="1" t="s">
        <v>2506</v>
      </c>
      <c r="E6589" s="1" t="s">
        <v>2019</v>
      </c>
      <c r="F6589" s="1" t="s">
        <v>656</v>
      </c>
      <c r="G6589" s="6">
        <v>22671</v>
      </c>
      <c r="H6589" t="str">
        <f>IFERROR(VLOOKUP(F6589,'LEAID Match'!$A$2:$B$142,2,FALSE),"")</f>
        <v/>
      </c>
    </row>
    <row r="6590" spans="1:8" x14ac:dyDescent="0.2">
      <c r="A6590" t="str">
        <f t="shared" si="102"/>
        <v/>
      </c>
      <c r="B6590" s="1">
        <v>2023</v>
      </c>
      <c r="C6590" s="1" t="s">
        <v>2505</v>
      </c>
      <c r="D6590" s="1" t="s">
        <v>2506</v>
      </c>
      <c r="E6590" s="1" t="s">
        <v>2019</v>
      </c>
      <c r="F6590" s="1" t="s">
        <v>656</v>
      </c>
      <c r="G6590" s="6">
        <v>26756</v>
      </c>
      <c r="H6590" t="str">
        <f>IFERROR(VLOOKUP(F6590,'LEAID Match'!$A$2:$B$142,2,FALSE),"")</f>
        <v/>
      </c>
    </row>
    <row r="6591" spans="1:8" x14ac:dyDescent="0.2">
      <c r="A6591" t="str">
        <f t="shared" si="102"/>
        <v/>
      </c>
      <c r="B6591" s="1">
        <v>2024</v>
      </c>
      <c r="C6591" s="1" t="s">
        <v>2505</v>
      </c>
      <c r="D6591" s="1" t="s">
        <v>2506</v>
      </c>
      <c r="E6591" s="1" t="s">
        <v>2019</v>
      </c>
      <c r="F6591" s="1" t="s">
        <v>656</v>
      </c>
      <c r="G6591" s="6">
        <v>25663</v>
      </c>
      <c r="H6591" t="str">
        <f>IFERROR(VLOOKUP(F6591,'LEAID Match'!$A$2:$B$142,2,FALSE),"")</f>
        <v/>
      </c>
    </row>
    <row r="6592" spans="1:8" x14ac:dyDescent="0.2">
      <c r="A6592" t="str">
        <f t="shared" si="102"/>
        <v/>
      </c>
      <c r="B6592" s="1">
        <v>2019</v>
      </c>
      <c r="C6592" s="1" t="s">
        <v>2505</v>
      </c>
      <c r="D6592" s="1" t="s">
        <v>2506</v>
      </c>
      <c r="E6592" s="1" t="s">
        <v>2019</v>
      </c>
      <c r="F6592" s="1" t="s">
        <v>657</v>
      </c>
      <c r="G6592" s="6">
        <v>33456</v>
      </c>
      <c r="H6592" t="str">
        <f>IFERROR(VLOOKUP(F6592,'LEAID Match'!$A$2:$B$142,2,FALSE),"")</f>
        <v/>
      </c>
    </row>
    <row r="6593" spans="1:8" x14ac:dyDescent="0.2">
      <c r="A6593" t="str">
        <f t="shared" si="102"/>
        <v/>
      </c>
      <c r="B6593" s="1">
        <v>2020</v>
      </c>
      <c r="C6593" s="1" t="s">
        <v>2505</v>
      </c>
      <c r="D6593" s="1" t="s">
        <v>2506</v>
      </c>
      <c r="E6593" s="1" t="s">
        <v>2019</v>
      </c>
      <c r="F6593" s="1" t="s">
        <v>657</v>
      </c>
      <c r="G6593" s="6">
        <v>50494</v>
      </c>
      <c r="H6593" t="str">
        <f>IFERROR(VLOOKUP(F6593,'LEAID Match'!$A$2:$B$142,2,FALSE),"")</f>
        <v/>
      </c>
    </row>
    <row r="6594" spans="1:8" x14ac:dyDescent="0.2">
      <c r="A6594" t="str">
        <f t="shared" si="102"/>
        <v/>
      </c>
      <c r="B6594" s="1">
        <v>2021</v>
      </c>
      <c r="C6594" s="1" t="s">
        <v>2505</v>
      </c>
      <c r="D6594" s="1" t="s">
        <v>2506</v>
      </c>
      <c r="E6594" s="1" t="s">
        <v>2019</v>
      </c>
      <c r="F6594" s="1" t="s">
        <v>657</v>
      </c>
      <c r="G6594" s="6">
        <v>53938</v>
      </c>
      <c r="H6594" t="str">
        <f>IFERROR(VLOOKUP(F6594,'LEAID Match'!$A$2:$B$142,2,FALSE),"")</f>
        <v/>
      </c>
    </row>
    <row r="6595" spans="1:8" x14ac:dyDescent="0.2">
      <c r="A6595" t="str">
        <f t="shared" ref="A6595:A6658" si="103">H6595</f>
        <v/>
      </c>
      <c r="B6595" s="1">
        <v>2022</v>
      </c>
      <c r="C6595" s="1" t="s">
        <v>2505</v>
      </c>
      <c r="D6595" s="1" t="s">
        <v>2506</v>
      </c>
      <c r="E6595" s="1" t="s">
        <v>2019</v>
      </c>
      <c r="F6595" s="1" t="s">
        <v>657</v>
      </c>
      <c r="G6595" s="6">
        <v>60692</v>
      </c>
      <c r="H6595" t="str">
        <f>IFERROR(VLOOKUP(F6595,'LEAID Match'!$A$2:$B$142,2,FALSE),"")</f>
        <v/>
      </c>
    </row>
    <row r="6596" spans="1:8" x14ac:dyDescent="0.2">
      <c r="A6596" t="str">
        <f t="shared" si="103"/>
        <v/>
      </c>
      <c r="B6596" s="1">
        <v>2023</v>
      </c>
      <c r="C6596" s="1" t="s">
        <v>2505</v>
      </c>
      <c r="D6596" s="1" t="s">
        <v>2506</v>
      </c>
      <c r="E6596" s="1" t="s">
        <v>2019</v>
      </c>
      <c r="F6596" s="1" t="s">
        <v>657</v>
      </c>
      <c r="G6596" s="6">
        <v>55366</v>
      </c>
      <c r="H6596" t="str">
        <f>IFERROR(VLOOKUP(F6596,'LEAID Match'!$A$2:$B$142,2,FALSE),"")</f>
        <v/>
      </c>
    </row>
    <row r="6597" spans="1:8" x14ac:dyDescent="0.2">
      <c r="A6597" t="str">
        <f t="shared" si="103"/>
        <v/>
      </c>
      <c r="B6597" s="1">
        <v>2024</v>
      </c>
      <c r="C6597" s="1" t="s">
        <v>2505</v>
      </c>
      <c r="D6597" s="1" t="s">
        <v>2506</v>
      </c>
      <c r="E6597" s="1" t="s">
        <v>2019</v>
      </c>
      <c r="F6597" s="1" t="s">
        <v>657</v>
      </c>
      <c r="G6597" s="6">
        <v>58606</v>
      </c>
      <c r="H6597" t="str">
        <f>IFERROR(VLOOKUP(F6597,'LEAID Match'!$A$2:$B$142,2,FALSE),"")</f>
        <v/>
      </c>
    </row>
    <row r="6598" spans="1:8" x14ac:dyDescent="0.2">
      <c r="A6598">
        <f t="shared" si="103"/>
        <v>2803900</v>
      </c>
      <c r="B6598" s="1">
        <v>2015</v>
      </c>
      <c r="C6598" s="1" t="s">
        <v>2505</v>
      </c>
      <c r="D6598" s="1" t="s">
        <v>2506</v>
      </c>
      <c r="E6598" s="1" t="s">
        <v>2019</v>
      </c>
      <c r="F6598" s="1" t="s">
        <v>658</v>
      </c>
      <c r="G6598" s="6">
        <v>2632839</v>
      </c>
      <c r="H6598">
        <f>IFERROR(VLOOKUP(F6598,'LEAID Match'!$A$2:$B$142,2,FALSE),"")</f>
        <v>2803900</v>
      </c>
    </row>
    <row r="6599" spans="1:8" x14ac:dyDescent="0.2">
      <c r="A6599">
        <f t="shared" si="103"/>
        <v>2803900</v>
      </c>
      <c r="B6599">
        <v>2016</v>
      </c>
      <c r="C6599" s="1" t="s">
        <v>2505</v>
      </c>
      <c r="D6599" s="1" t="s">
        <v>2506</v>
      </c>
      <c r="E6599" s="1" t="s">
        <v>2019</v>
      </c>
      <c r="F6599" s="1" t="s">
        <v>658</v>
      </c>
      <c r="G6599" s="12">
        <v>2809770</v>
      </c>
      <c r="H6599">
        <f>IFERROR(VLOOKUP(F6599,'LEAID Match'!$A$2:$B$142,2,FALSE),"")</f>
        <v>2803900</v>
      </c>
    </row>
    <row r="6600" spans="1:8" x14ac:dyDescent="0.2">
      <c r="A6600">
        <f t="shared" si="103"/>
        <v>2803900</v>
      </c>
      <c r="B6600" s="1">
        <v>2017</v>
      </c>
      <c r="C6600" s="1" t="s">
        <v>2505</v>
      </c>
      <c r="D6600" s="1" t="s">
        <v>2506</v>
      </c>
      <c r="E6600" s="1" t="s">
        <v>2019</v>
      </c>
      <c r="F6600" s="1" t="s">
        <v>658</v>
      </c>
      <c r="G6600" s="51">
        <v>2958433</v>
      </c>
      <c r="H6600">
        <f>IFERROR(VLOOKUP(F6600,'LEAID Match'!$A$2:$B$142,2,FALSE),"")</f>
        <v>2803900</v>
      </c>
    </row>
    <row r="6601" spans="1:8" x14ac:dyDescent="0.2">
      <c r="A6601">
        <f t="shared" si="103"/>
        <v>2803900</v>
      </c>
      <c r="B6601" s="1">
        <v>2018</v>
      </c>
      <c r="C6601" s="1" t="s">
        <v>2505</v>
      </c>
      <c r="D6601" s="1" t="s">
        <v>2506</v>
      </c>
      <c r="E6601" s="1" t="s">
        <v>2019</v>
      </c>
      <c r="F6601" s="1" t="s">
        <v>658</v>
      </c>
      <c r="G6601" s="6">
        <v>2941248</v>
      </c>
      <c r="H6601">
        <f>IFERROR(VLOOKUP(F6601,'LEAID Match'!$A$2:$B$142,2,FALSE),"")</f>
        <v>2803900</v>
      </c>
    </row>
    <row r="6602" spans="1:8" x14ac:dyDescent="0.2">
      <c r="A6602">
        <f t="shared" si="103"/>
        <v>2803900</v>
      </c>
      <c r="B6602" s="1">
        <v>2019</v>
      </c>
      <c r="C6602" s="1" t="s">
        <v>2505</v>
      </c>
      <c r="D6602" s="1" t="s">
        <v>2506</v>
      </c>
      <c r="E6602" s="1" t="s">
        <v>2019</v>
      </c>
      <c r="F6602" s="1" t="s">
        <v>658</v>
      </c>
      <c r="G6602" s="6">
        <v>3009651</v>
      </c>
      <c r="H6602">
        <f>IFERROR(VLOOKUP(F6602,'LEAID Match'!$A$2:$B$142,2,FALSE),"")</f>
        <v>2803900</v>
      </c>
    </row>
    <row r="6603" spans="1:8" x14ac:dyDescent="0.2">
      <c r="A6603">
        <f t="shared" si="103"/>
        <v>2803900</v>
      </c>
      <c r="B6603" s="1">
        <v>2020</v>
      </c>
      <c r="C6603" s="1" t="s">
        <v>2505</v>
      </c>
      <c r="D6603" s="1" t="s">
        <v>2506</v>
      </c>
      <c r="E6603" s="1" t="s">
        <v>2019</v>
      </c>
      <c r="F6603" s="1" t="s">
        <v>658</v>
      </c>
      <c r="G6603" s="6">
        <v>3544024</v>
      </c>
      <c r="H6603">
        <f>IFERROR(VLOOKUP(F6603,'LEAID Match'!$A$2:$B$142,2,FALSE),"")</f>
        <v>2803900</v>
      </c>
    </row>
    <row r="6604" spans="1:8" x14ac:dyDescent="0.2">
      <c r="A6604">
        <f t="shared" si="103"/>
        <v>2803900</v>
      </c>
      <c r="B6604" s="1">
        <v>2021</v>
      </c>
      <c r="C6604" s="1" t="s">
        <v>2505</v>
      </c>
      <c r="D6604" s="1" t="s">
        <v>2506</v>
      </c>
      <c r="E6604" s="1" t="s">
        <v>2019</v>
      </c>
      <c r="F6604" s="1" t="s">
        <v>658</v>
      </c>
      <c r="G6604" s="6">
        <v>3465806</v>
      </c>
      <c r="H6604">
        <f>IFERROR(VLOOKUP(F6604,'LEAID Match'!$A$2:$B$142,2,FALSE),"")</f>
        <v>2803900</v>
      </c>
    </row>
    <row r="6605" spans="1:8" x14ac:dyDescent="0.2">
      <c r="A6605">
        <f t="shared" si="103"/>
        <v>2803900</v>
      </c>
      <c r="B6605" s="1">
        <v>2022</v>
      </c>
      <c r="C6605" s="1" t="s">
        <v>2505</v>
      </c>
      <c r="D6605" s="1" t="s">
        <v>2506</v>
      </c>
      <c r="E6605" s="1" t="s">
        <v>2019</v>
      </c>
      <c r="F6605" s="1" t="s">
        <v>658</v>
      </c>
      <c r="G6605" s="6">
        <v>3627453</v>
      </c>
      <c r="H6605">
        <f>IFERROR(VLOOKUP(F6605,'LEAID Match'!$A$2:$B$142,2,FALSE),"")</f>
        <v>2803900</v>
      </c>
    </row>
    <row r="6606" spans="1:8" x14ac:dyDescent="0.2">
      <c r="A6606">
        <f t="shared" si="103"/>
        <v>2803900</v>
      </c>
      <c r="B6606" s="1">
        <v>2023</v>
      </c>
      <c r="C6606" s="1" t="s">
        <v>2505</v>
      </c>
      <c r="D6606" s="1" t="s">
        <v>2506</v>
      </c>
      <c r="E6606" s="1" t="s">
        <v>2019</v>
      </c>
      <c r="F6606" s="1" t="s">
        <v>658</v>
      </c>
      <c r="G6606" s="6">
        <v>3926856</v>
      </c>
      <c r="H6606">
        <f>IFERROR(VLOOKUP(F6606,'LEAID Match'!$A$2:$B$142,2,FALSE),"")</f>
        <v>2803900</v>
      </c>
    </row>
    <row r="6607" spans="1:8" x14ac:dyDescent="0.2">
      <c r="A6607">
        <f t="shared" si="103"/>
        <v>2803900</v>
      </c>
      <c r="B6607" s="1">
        <v>2024</v>
      </c>
      <c r="C6607" s="1" t="s">
        <v>2505</v>
      </c>
      <c r="D6607" s="1" t="s">
        <v>2506</v>
      </c>
      <c r="E6607" s="1" t="s">
        <v>2019</v>
      </c>
      <c r="F6607" s="1" t="s">
        <v>658</v>
      </c>
      <c r="G6607" s="6">
        <v>3961349</v>
      </c>
      <c r="H6607">
        <f>IFERROR(VLOOKUP(F6607,'LEAID Match'!$A$2:$B$142,2,FALSE),"")</f>
        <v>2803900</v>
      </c>
    </row>
    <row r="6608" spans="1:8" x14ac:dyDescent="0.2">
      <c r="A6608" t="str">
        <f t="shared" si="103"/>
        <v/>
      </c>
      <c r="B6608" s="1">
        <v>2015</v>
      </c>
      <c r="C6608" s="1" t="s">
        <v>2505</v>
      </c>
      <c r="D6608" s="1" t="s">
        <v>2506</v>
      </c>
      <c r="E6608" s="1" t="s">
        <v>2019</v>
      </c>
      <c r="F6608" s="1" t="s">
        <v>659</v>
      </c>
      <c r="G6608" s="6">
        <v>671902</v>
      </c>
      <c r="H6608" t="str">
        <f>IFERROR(VLOOKUP(F6608,'LEAID Match'!$A$2:$B$142,2,FALSE),"")</f>
        <v/>
      </c>
    </row>
    <row r="6609" spans="1:8" x14ac:dyDescent="0.2">
      <c r="A6609" t="str">
        <f t="shared" si="103"/>
        <v/>
      </c>
      <c r="B6609">
        <v>2016</v>
      </c>
      <c r="C6609" s="1" t="s">
        <v>2505</v>
      </c>
      <c r="D6609" s="1" t="s">
        <v>2506</v>
      </c>
      <c r="E6609" s="1" t="s">
        <v>2019</v>
      </c>
      <c r="F6609" s="1" t="s">
        <v>659</v>
      </c>
      <c r="G6609" s="12">
        <v>712407</v>
      </c>
      <c r="H6609" t="str">
        <f>IFERROR(VLOOKUP(F6609,'LEAID Match'!$A$2:$B$142,2,FALSE),"")</f>
        <v/>
      </c>
    </row>
    <row r="6610" spans="1:8" x14ac:dyDescent="0.2">
      <c r="A6610" t="str">
        <f t="shared" si="103"/>
        <v/>
      </c>
      <c r="B6610" s="1">
        <v>2017</v>
      </c>
      <c r="C6610" s="1" t="s">
        <v>2505</v>
      </c>
      <c r="D6610" s="1" t="s">
        <v>2506</v>
      </c>
      <c r="E6610" s="1" t="s">
        <v>2019</v>
      </c>
      <c r="F6610" s="1" t="s">
        <v>659</v>
      </c>
      <c r="G6610" s="51">
        <v>713838</v>
      </c>
      <c r="H6610" t="str">
        <f>IFERROR(VLOOKUP(F6610,'LEAID Match'!$A$2:$B$142,2,FALSE),"")</f>
        <v/>
      </c>
    </row>
    <row r="6611" spans="1:8" x14ac:dyDescent="0.2">
      <c r="A6611" t="str">
        <f t="shared" si="103"/>
        <v/>
      </c>
      <c r="B6611" s="1">
        <v>2018</v>
      </c>
      <c r="C6611" s="1" t="s">
        <v>2505</v>
      </c>
      <c r="D6611" s="1" t="s">
        <v>2506</v>
      </c>
      <c r="E6611" s="1" t="s">
        <v>2019</v>
      </c>
      <c r="F6611" s="1" t="s">
        <v>659</v>
      </c>
      <c r="G6611" s="6">
        <v>705538</v>
      </c>
      <c r="H6611" t="str">
        <f>IFERROR(VLOOKUP(F6611,'LEAID Match'!$A$2:$B$142,2,FALSE),"")</f>
        <v/>
      </c>
    </row>
    <row r="6612" spans="1:8" x14ac:dyDescent="0.2">
      <c r="A6612" t="str">
        <f t="shared" si="103"/>
        <v/>
      </c>
      <c r="B6612" s="1">
        <v>2019</v>
      </c>
      <c r="C6612" s="1" t="s">
        <v>2505</v>
      </c>
      <c r="D6612" s="1" t="s">
        <v>2506</v>
      </c>
      <c r="E6612" s="1" t="s">
        <v>2019</v>
      </c>
      <c r="F6612" s="1" t="s">
        <v>659</v>
      </c>
      <c r="G6612" s="6">
        <v>700867</v>
      </c>
      <c r="H6612" t="str">
        <f>IFERROR(VLOOKUP(F6612,'LEAID Match'!$A$2:$B$142,2,FALSE),"")</f>
        <v/>
      </c>
    </row>
    <row r="6613" spans="1:8" x14ac:dyDescent="0.2">
      <c r="A6613" t="str">
        <f t="shared" si="103"/>
        <v/>
      </c>
      <c r="B6613" s="1">
        <v>2020</v>
      </c>
      <c r="C6613" s="1" t="s">
        <v>2505</v>
      </c>
      <c r="D6613" s="1" t="s">
        <v>2506</v>
      </c>
      <c r="E6613" s="1" t="s">
        <v>2019</v>
      </c>
      <c r="F6613" s="1" t="s">
        <v>659</v>
      </c>
      <c r="G6613" s="6">
        <v>777972</v>
      </c>
      <c r="H6613" t="str">
        <f>IFERROR(VLOOKUP(F6613,'LEAID Match'!$A$2:$B$142,2,FALSE),"")</f>
        <v/>
      </c>
    </row>
    <row r="6614" spans="1:8" x14ac:dyDescent="0.2">
      <c r="A6614" t="str">
        <f t="shared" si="103"/>
        <v/>
      </c>
      <c r="B6614" s="1">
        <v>2021</v>
      </c>
      <c r="C6614" s="1" t="s">
        <v>2505</v>
      </c>
      <c r="D6614" s="1" t="s">
        <v>2506</v>
      </c>
      <c r="E6614" s="1" t="s">
        <v>2019</v>
      </c>
      <c r="F6614" s="1" t="s">
        <v>659</v>
      </c>
      <c r="G6614" s="6">
        <v>793113</v>
      </c>
      <c r="H6614" t="str">
        <f>IFERROR(VLOOKUP(F6614,'LEAID Match'!$A$2:$B$142,2,FALSE),"")</f>
        <v/>
      </c>
    </row>
    <row r="6615" spans="1:8" x14ac:dyDescent="0.2">
      <c r="A6615" t="str">
        <f t="shared" si="103"/>
        <v/>
      </c>
      <c r="B6615" s="1">
        <v>2022</v>
      </c>
      <c r="C6615" s="1" t="s">
        <v>2505</v>
      </c>
      <c r="D6615" s="1" t="s">
        <v>2506</v>
      </c>
      <c r="E6615" s="1" t="s">
        <v>2019</v>
      </c>
      <c r="F6615" s="1" t="s">
        <v>659</v>
      </c>
      <c r="G6615" s="6">
        <v>820809</v>
      </c>
      <c r="H6615" t="str">
        <f>IFERROR(VLOOKUP(F6615,'LEAID Match'!$A$2:$B$142,2,FALSE),"")</f>
        <v/>
      </c>
    </row>
    <row r="6616" spans="1:8" x14ac:dyDescent="0.2">
      <c r="A6616" t="str">
        <f t="shared" si="103"/>
        <v/>
      </c>
      <c r="B6616" s="1">
        <v>2023</v>
      </c>
      <c r="C6616" s="1" t="s">
        <v>2505</v>
      </c>
      <c r="D6616" s="1" t="s">
        <v>2506</v>
      </c>
      <c r="E6616" s="1" t="s">
        <v>2019</v>
      </c>
      <c r="F6616" s="1" t="s">
        <v>659</v>
      </c>
      <c r="G6616" s="6">
        <v>907840</v>
      </c>
      <c r="H6616" t="str">
        <f>IFERROR(VLOOKUP(F6616,'LEAID Match'!$A$2:$B$142,2,FALSE),"")</f>
        <v/>
      </c>
    </row>
    <row r="6617" spans="1:8" x14ac:dyDescent="0.2">
      <c r="A6617" t="str">
        <f t="shared" si="103"/>
        <v/>
      </c>
      <c r="B6617" s="1">
        <v>2024</v>
      </c>
      <c r="C6617" s="1" t="s">
        <v>2505</v>
      </c>
      <c r="D6617" s="1" t="s">
        <v>2506</v>
      </c>
      <c r="E6617" s="1" t="s">
        <v>2019</v>
      </c>
      <c r="F6617" s="1" t="s">
        <v>659</v>
      </c>
      <c r="G6617" s="6">
        <v>948504</v>
      </c>
      <c r="H6617" t="str">
        <f>IFERROR(VLOOKUP(F6617,'LEAID Match'!$A$2:$B$142,2,FALSE),"")</f>
        <v/>
      </c>
    </row>
    <row r="6618" spans="1:8" x14ac:dyDescent="0.2">
      <c r="A6618" t="str">
        <f t="shared" si="103"/>
        <v/>
      </c>
      <c r="B6618" s="1">
        <v>2015</v>
      </c>
      <c r="C6618" s="1" t="s">
        <v>2505</v>
      </c>
      <c r="D6618" s="1" t="s">
        <v>2506</v>
      </c>
      <c r="E6618" s="1" t="s">
        <v>2019</v>
      </c>
      <c r="F6618" s="1" t="s">
        <v>660</v>
      </c>
      <c r="G6618" s="6">
        <v>29302</v>
      </c>
      <c r="H6618" t="str">
        <f>IFERROR(VLOOKUP(F6618,'LEAID Match'!$A$2:$B$142,2,FALSE),"")</f>
        <v/>
      </c>
    </row>
    <row r="6619" spans="1:8" x14ac:dyDescent="0.2">
      <c r="A6619" t="str">
        <f t="shared" si="103"/>
        <v/>
      </c>
      <c r="B6619">
        <v>2016</v>
      </c>
      <c r="C6619" s="1" t="s">
        <v>2505</v>
      </c>
      <c r="D6619" s="1" t="s">
        <v>2506</v>
      </c>
      <c r="E6619" s="1" t="s">
        <v>2019</v>
      </c>
      <c r="F6619" s="1" t="s">
        <v>660</v>
      </c>
      <c r="G6619" s="12">
        <v>26087</v>
      </c>
      <c r="H6619" t="str">
        <f>IFERROR(VLOOKUP(F6619,'LEAID Match'!$A$2:$B$142,2,FALSE),"")</f>
        <v/>
      </c>
    </row>
    <row r="6620" spans="1:8" x14ac:dyDescent="0.2">
      <c r="A6620" t="str">
        <f t="shared" si="103"/>
        <v/>
      </c>
      <c r="B6620" s="1">
        <v>2017</v>
      </c>
      <c r="C6620" s="1" t="s">
        <v>2505</v>
      </c>
      <c r="D6620" s="1" t="s">
        <v>2506</v>
      </c>
      <c r="E6620" s="1" t="s">
        <v>2019</v>
      </c>
      <c r="F6620" s="1" t="s">
        <v>660</v>
      </c>
      <c r="G6620" s="51">
        <v>30962</v>
      </c>
      <c r="H6620" t="str">
        <f>IFERROR(VLOOKUP(F6620,'LEAID Match'!$A$2:$B$142,2,FALSE),"")</f>
        <v/>
      </c>
    </row>
    <row r="6621" spans="1:8" x14ac:dyDescent="0.2">
      <c r="A6621" t="str">
        <f t="shared" si="103"/>
        <v/>
      </c>
      <c r="B6621" s="1">
        <v>2018</v>
      </c>
      <c r="C6621" s="1" t="s">
        <v>2505</v>
      </c>
      <c r="D6621" s="1" t="s">
        <v>2506</v>
      </c>
      <c r="E6621" s="1" t="s">
        <v>2019</v>
      </c>
      <c r="F6621" s="1" t="s">
        <v>660</v>
      </c>
      <c r="G6621" s="6">
        <v>25185</v>
      </c>
      <c r="H6621" t="str">
        <f>IFERROR(VLOOKUP(F6621,'LEAID Match'!$A$2:$B$142,2,FALSE),"")</f>
        <v/>
      </c>
    </row>
    <row r="6622" spans="1:8" x14ac:dyDescent="0.2">
      <c r="A6622" t="str">
        <f t="shared" si="103"/>
        <v/>
      </c>
      <c r="B6622" s="1">
        <v>2019</v>
      </c>
      <c r="C6622" s="1" t="s">
        <v>2505</v>
      </c>
      <c r="D6622" s="1" t="s">
        <v>2506</v>
      </c>
      <c r="E6622" s="1" t="s">
        <v>2019</v>
      </c>
      <c r="F6622" s="1" t="s">
        <v>660</v>
      </c>
      <c r="G6622" s="6">
        <v>18834</v>
      </c>
      <c r="H6622" t="str">
        <f>IFERROR(VLOOKUP(F6622,'LEAID Match'!$A$2:$B$142,2,FALSE),"")</f>
        <v/>
      </c>
    </row>
    <row r="6623" spans="1:8" x14ac:dyDescent="0.2">
      <c r="A6623" t="str">
        <f t="shared" si="103"/>
        <v/>
      </c>
      <c r="B6623" s="1">
        <v>2020</v>
      </c>
      <c r="C6623" s="1" t="s">
        <v>2505</v>
      </c>
      <c r="D6623" s="1" t="s">
        <v>2506</v>
      </c>
      <c r="E6623" s="1" t="s">
        <v>2019</v>
      </c>
      <c r="F6623" s="1" t="s">
        <v>660</v>
      </c>
      <c r="G6623" s="6">
        <v>15811</v>
      </c>
      <c r="H6623" t="str">
        <f>IFERROR(VLOOKUP(F6623,'LEAID Match'!$A$2:$B$142,2,FALSE),"")</f>
        <v/>
      </c>
    </row>
    <row r="6624" spans="1:8" x14ac:dyDescent="0.2">
      <c r="A6624" t="str">
        <f t="shared" si="103"/>
        <v/>
      </c>
      <c r="B6624" s="1">
        <v>2021</v>
      </c>
      <c r="C6624" s="1" t="s">
        <v>2505</v>
      </c>
      <c r="D6624" s="1" t="s">
        <v>2506</v>
      </c>
      <c r="E6624" s="1" t="s">
        <v>2019</v>
      </c>
      <c r="F6624" s="1" t="s">
        <v>660</v>
      </c>
      <c r="G6624" s="6">
        <v>8538</v>
      </c>
      <c r="H6624" t="str">
        <f>IFERROR(VLOOKUP(F6624,'LEAID Match'!$A$2:$B$142,2,FALSE),"")</f>
        <v/>
      </c>
    </row>
    <row r="6625" spans="1:8" x14ac:dyDescent="0.2">
      <c r="A6625" t="str">
        <f t="shared" si="103"/>
        <v/>
      </c>
      <c r="B6625" s="1">
        <v>2022</v>
      </c>
      <c r="C6625" s="1" t="s">
        <v>2505</v>
      </c>
      <c r="D6625" s="1" t="s">
        <v>2506</v>
      </c>
      <c r="E6625" s="1" t="s">
        <v>2019</v>
      </c>
      <c r="F6625" s="1" t="s">
        <v>660</v>
      </c>
      <c r="G6625" s="6">
        <v>17666</v>
      </c>
      <c r="H6625" t="str">
        <f>IFERROR(VLOOKUP(F6625,'LEAID Match'!$A$2:$B$142,2,FALSE),"")</f>
        <v/>
      </c>
    </row>
    <row r="6626" spans="1:8" x14ac:dyDescent="0.2">
      <c r="A6626" t="str">
        <f t="shared" si="103"/>
        <v/>
      </c>
      <c r="B6626" s="1">
        <v>2023</v>
      </c>
      <c r="C6626" s="1" t="s">
        <v>2505</v>
      </c>
      <c r="D6626" s="1" t="s">
        <v>2506</v>
      </c>
      <c r="E6626" s="1" t="s">
        <v>2019</v>
      </c>
      <c r="F6626" s="1" t="s">
        <v>660</v>
      </c>
      <c r="G6626" s="6">
        <v>11012</v>
      </c>
      <c r="H6626" t="str">
        <f>IFERROR(VLOOKUP(F6626,'LEAID Match'!$A$2:$B$142,2,FALSE),"")</f>
        <v/>
      </c>
    </row>
    <row r="6627" spans="1:8" x14ac:dyDescent="0.2">
      <c r="A6627" t="str">
        <f t="shared" si="103"/>
        <v/>
      </c>
      <c r="B6627" s="1">
        <v>2024</v>
      </c>
      <c r="C6627" s="1" t="s">
        <v>2505</v>
      </c>
      <c r="D6627" s="1" t="s">
        <v>2506</v>
      </c>
      <c r="E6627" s="1" t="s">
        <v>2019</v>
      </c>
      <c r="F6627" s="1" t="s">
        <v>660</v>
      </c>
      <c r="G6627" s="6">
        <v>7964</v>
      </c>
      <c r="H6627" t="str">
        <f>IFERROR(VLOOKUP(F6627,'LEAID Match'!$A$2:$B$142,2,FALSE),"")</f>
        <v/>
      </c>
    </row>
    <row r="6628" spans="1:8" x14ac:dyDescent="0.2">
      <c r="A6628" t="str">
        <f t="shared" si="103"/>
        <v/>
      </c>
      <c r="B6628" s="1">
        <v>2015</v>
      </c>
      <c r="C6628" s="1" t="s">
        <v>2505</v>
      </c>
      <c r="D6628" s="1" t="s">
        <v>2506</v>
      </c>
      <c r="E6628" s="1" t="s">
        <v>2019</v>
      </c>
      <c r="F6628" s="1" t="s">
        <v>661</v>
      </c>
      <c r="G6628" s="6">
        <v>20324</v>
      </c>
      <c r="H6628" t="str">
        <f>IFERROR(VLOOKUP(F6628,'LEAID Match'!$A$2:$B$142,2,FALSE),"")</f>
        <v/>
      </c>
    </row>
    <row r="6629" spans="1:8" x14ac:dyDescent="0.2">
      <c r="A6629" t="str">
        <f t="shared" si="103"/>
        <v/>
      </c>
      <c r="B6629">
        <v>2016</v>
      </c>
      <c r="C6629" s="1" t="s">
        <v>2505</v>
      </c>
      <c r="D6629" s="1" t="s">
        <v>2506</v>
      </c>
      <c r="E6629" s="1" t="s">
        <v>2019</v>
      </c>
      <c r="F6629" s="1" t="s">
        <v>661</v>
      </c>
      <c r="G6629" s="12">
        <v>21702</v>
      </c>
      <c r="H6629" t="str">
        <f>IFERROR(VLOOKUP(F6629,'LEAID Match'!$A$2:$B$142,2,FALSE),"")</f>
        <v/>
      </c>
    </row>
    <row r="6630" spans="1:8" x14ac:dyDescent="0.2">
      <c r="A6630" t="str">
        <f t="shared" si="103"/>
        <v/>
      </c>
      <c r="B6630" s="1">
        <v>2017</v>
      </c>
      <c r="C6630" s="1" t="s">
        <v>2505</v>
      </c>
      <c r="D6630" s="1" t="s">
        <v>2506</v>
      </c>
      <c r="E6630" s="1" t="s">
        <v>2019</v>
      </c>
      <c r="F6630" s="1" t="s">
        <v>661</v>
      </c>
      <c r="G6630" s="51">
        <v>22884</v>
      </c>
      <c r="H6630" t="str">
        <f>IFERROR(VLOOKUP(F6630,'LEAID Match'!$A$2:$B$142,2,FALSE),"")</f>
        <v/>
      </c>
    </row>
    <row r="6631" spans="1:8" x14ac:dyDescent="0.2">
      <c r="A6631" t="str">
        <f t="shared" si="103"/>
        <v/>
      </c>
      <c r="B6631" s="1">
        <v>2018</v>
      </c>
      <c r="C6631" s="1" t="s">
        <v>2505</v>
      </c>
      <c r="D6631" s="1" t="s">
        <v>2506</v>
      </c>
      <c r="E6631" s="1" t="s">
        <v>2019</v>
      </c>
      <c r="F6631" s="1" t="s">
        <v>661</v>
      </c>
      <c r="G6631" s="6">
        <v>21164</v>
      </c>
      <c r="H6631" t="str">
        <f>IFERROR(VLOOKUP(F6631,'LEAID Match'!$A$2:$B$142,2,FALSE),"")</f>
        <v/>
      </c>
    </row>
    <row r="6632" spans="1:8" x14ac:dyDescent="0.2">
      <c r="A6632" t="str">
        <f t="shared" si="103"/>
        <v/>
      </c>
      <c r="B6632" s="1">
        <v>2019</v>
      </c>
      <c r="C6632" s="1" t="s">
        <v>2505</v>
      </c>
      <c r="D6632" s="1" t="s">
        <v>2506</v>
      </c>
      <c r="E6632" s="1" t="s">
        <v>2019</v>
      </c>
      <c r="F6632" s="1" t="s">
        <v>661</v>
      </c>
      <c r="G6632" s="6">
        <v>19492</v>
      </c>
      <c r="H6632" t="str">
        <f>IFERROR(VLOOKUP(F6632,'LEAID Match'!$A$2:$B$142,2,FALSE),"")</f>
        <v/>
      </c>
    </row>
    <row r="6633" spans="1:8" x14ac:dyDescent="0.2">
      <c r="A6633" t="str">
        <f t="shared" si="103"/>
        <v/>
      </c>
      <c r="B6633" s="1">
        <v>2020</v>
      </c>
      <c r="C6633" s="1" t="s">
        <v>2505</v>
      </c>
      <c r="D6633" s="1" t="s">
        <v>2506</v>
      </c>
      <c r="E6633" s="1" t="s">
        <v>2019</v>
      </c>
      <c r="F6633" s="1" t="s">
        <v>661</v>
      </c>
      <c r="G6633" s="6">
        <v>18549</v>
      </c>
      <c r="H6633" t="str">
        <f>IFERROR(VLOOKUP(F6633,'LEAID Match'!$A$2:$B$142,2,FALSE),"")</f>
        <v/>
      </c>
    </row>
    <row r="6634" spans="1:8" x14ac:dyDescent="0.2">
      <c r="A6634" t="str">
        <f t="shared" si="103"/>
        <v/>
      </c>
      <c r="B6634" s="1">
        <v>2021</v>
      </c>
      <c r="C6634" s="1" t="s">
        <v>2505</v>
      </c>
      <c r="D6634" s="1" t="s">
        <v>2506</v>
      </c>
      <c r="E6634" s="1" t="s">
        <v>2019</v>
      </c>
      <c r="F6634" s="1" t="s">
        <v>661</v>
      </c>
      <c r="G6634" s="6">
        <v>16566</v>
      </c>
      <c r="H6634" t="str">
        <f>IFERROR(VLOOKUP(F6634,'LEAID Match'!$A$2:$B$142,2,FALSE),"")</f>
        <v/>
      </c>
    </row>
    <row r="6635" spans="1:8" x14ac:dyDescent="0.2">
      <c r="A6635" t="str">
        <f t="shared" si="103"/>
        <v/>
      </c>
      <c r="B6635" s="1">
        <v>2022</v>
      </c>
      <c r="C6635" s="1" t="s">
        <v>2505</v>
      </c>
      <c r="D6635" s="1" t="s">
        <v>2506</v>
      </c>
      <c r="E6635" s="1" t="s">
        <v>2019</v>
      </c>
      <c r="F6635" s="1" t="s">
        <v>661</v>
      </c>
      <c r="G6635" s="6">
        <v>21453</v>
      </c>
      <c r="H6635" t="str">
        <f>IFERROR(VLOOKUP(F6635,'LEAID Match'!$A$2:$B$142,2,FALSE),"")</f>
        <v/>
      </c>
    </row>
    <row r="6636" spans="1:8" x14ac:dyDescent="0.2">
      <c r="A6636" t="str">
        <f t="shared" si="103"/>
        <v/>
      </c>
      <c r="B6636" s="1">
        <v>2023</v>
      </c>
      <c r="C6636" s="1" t="s">
        <v>2505</v>
      </c>
      <c r="D6636" s="1" t="s">
        <v>2506</v>
      </c>
      <c r="E6636" s="1" t="s">
        <v>2019</v>
      </c>
      <c r="F6636" s="1" t="s">
        <v>661</v>
      </c>
      <c r="G6636" s="6">
        <v>26429</v>
      </c>
      <c r="H6636" t="str">
        <f>IFERROR(VLOOKUP(F6636,'LEAID Match'!$A$2:$B$142,2,FALSE),"")</f>
        <v/>
      </c>
    </row>
    <row r="6637" spans="1:8" x14ac:dyDescent="0.2">
      <c r="A6637" t="str">
        <f t="shared" si="103"/>
        <v/>
      </c>
      <c r="B6637" s="1">
        <v>2024</v>
      </c>
      <c r="C6637" s="1" t="s">
        <v>2505</v>
      </c>
      <c r="D6637" s="1" t="s">
        <v>2506</v>
      </c>
      <c r="E6637" s="1" t="s">
        <v>2019</v>
      </c>
      <c r="F6637" s="1" t="s">
        <v>661</v>
      </c>
      <c r="G6637" s="6">
        <v>24425</v>
      </c>
      <c r="H6637" t="str">
        <f>IFERROR(VLOOKUP(F6637,'LEAID Match'!$A$2:$B$142,2,FALSE),"")</f>
        <v/>
      </c>
    </row>
    <row r="6638" spans="1:8" x14ac:dyDescent="0.2">
      <c r="A6638" t="str">
        <f t="shared" si="103"/>
        <v/>
      </c>
      <c r="B6638" s="1">
        <v>2015</v>
      </c>
      <c r="C6638" s="1" t="s">
        <v>2505</v>
      </c>
      <c r="D6638" s="1" t="s">
        <v>2506</v>
      </c>
      <c r="E6638" s="1" t="s">
        <v>2019</v>
      </c>
      <c r="F6638" s="1" t="s">
        <v>662</v>
      </c>
      <c r="G6638" s="6">
        <v>804778</v>
      </c>
      <c r="H6638" t="str">
        <f>IFERROR(VLOOKUP(F6638,'LEAID Match'!$A$2:$B$142,2,FALSE),"")</f>
        <v/>
      </c>
    </row>
    <row r="6639" spans="1:8" x14ac:dyDescent="0.2">
      <c r="A6639" t="str">
        <f t="shared" si="103"/>
        <v/>
      </c>
      <c r="B6639">
        <v>2016</v>
      </c>
      <c r="C6639" s="1" t="s">
        <v>2505</v>
      </c>
      <c r="D6639" s="1" t="s">
        <v>2506</v>
      </c>
      <c r="E6639" s="1" t="s">
        <v>2019</v>
      </c>
      <c r="F6639" s="1" t="s">
        <v>662</v>
      </c>
      <c r="G6639" s="12">
        <v>803035</v>
      </c>
      <c r="H6639" t="str">
        <f>IFERROR(VLOOKUP(F6639,'LEAID Match'!$A$2:$B$142,2,FALSE),"")</f>
        <v/>
      </c>
    </row>
    <row r="6640" spans="1:8" x14ac:dyDescent="0.2">
      <c r="A6640" t="str">
        <f t="shared" si="103"/>
        <v/>
      </c>
      <c r="B6640" s="1">
        <v>2017</v>
      </c>
      <c r="C6640" s="1" t="s">
        <v>2505</v>
      </c>
      <c r="D6640" s="1" t="s">
        <v>2506</v>
      </c>
      <c r="E6640" s="1" t="s">
        <v>2019</v>
      </c>
      <c r="F6640" s="1" t="s">
        <v>662</v>
      </c>
      <c r="G6640" s="51">
        <v>800007</v>
      </c>
      <c r="H6640" t="str">
        <f>IFERROR(VLOOKUP(F6640,'LEAID Match'!$A$2:$B$142,2,FALSE),"")</f>
        <v/>
      </c>
    </row>
    <row r="6641" spans="1:8" x14ac:dyDescent="0.2">
      <c r="A6641" t="str">
        <f t="shared" si="103"/>
        <v/>
      </c>
      <c r="B6641" s="1">
        <v>2018</v>
      </c>
      <c r="C6641" s="1" t="s">
        <v>2505</v>
      </c>
      <c r="D6641" s="1" t="s">
        <v>2506</v>
      </c>
      <c r="E6641" s="1" t="s">
        <v>2019</v>
      </c>
      <c r="F6641" s="1" t="s">
        <v>662</v>
      </c>
      <c r="G6641" s="6">
        <v>795594</v>
      </c>
      <c r="H6641" t="str">
        <f>IFERROR(VLOOKUP(F6641,'LEAID Match'!$A$2:$B$142,2,FALSE),"")</f>
        <v/>
      </c>
    </row>
    <row r="6642" spans="1:8" x14ac:dyDescent="0.2">
      <c r="A6642" t="str">
        <f t="shared" si="103"/>
        <v/>
      </c>
      <c r="B6642" s="1">
        <v>2019</v>
      </c>
      <c r="C6642" s="1" t="s">
        <v>2505</v>
      </c>
      <c r="D6642" s="1" t="s">
        <v>2506</v>
      </c>
      <c r="E6642" s="1" t="s">
        <v>2019</v>
      </c>
      <c r="F6642" s="1" t="s">
        <v>662</v>
      </c>
      <c r="G6642" s="6">
        <v>765096</v>
      </c>
      <c r="H6642" t="str">
        <f>IFERROR(VLOOKUP(F6642,'LEAID Match'!$A$2:$B$142,2,FALSE),"")</f>
        <v/>
      </c>
    </row>
    <row r="6643" spans="1:8" x14ac:dyDescent="0.2">
      <c r="A6643" t="str">
        <f t="shared" si="103"/>
        <v/>
      </c>
      <c r="B6643" s="1">
        <v>2020</v>
      </c>
      <c r="C6643" s="1" t="s">
        <v>2505</v>
      </c>
      <c r="D6643" s="1" t="s">
        <v>2506</v>
      </c>
      <c r="E6643" s="1" t="s">
        <v>2019</v>
      </c>
      <c r="F6643" s="1" t="s">
        <v>662</v>
      </c>
      <c r="G6643" s="6">
        <v>847635</v>
      </c>
      <c r="H6643" t="str">
        <f>IFERROR(VLOOKUP(F6643,'LEAID Match'!$A$2:$B$142,2,FALSE),"")</f>
        <v/>
      </c>
    </row>
    <row r="6644" spans="1:8" x14ac:dyDescent="0.2">
      <c r="A6644" t="str">
        <f t="shared" si="103"/>
        <v/>
      </c>
      <c r="B6644" s="1">
        <v>2021</v>
      </c>
      <c r="C6644" s="1" t="s">
        <v>2505</v>
      </c>
      <c r="D6644" s="1" t="s">
        <v>2506</v>
      </c>
      <c r="E6644" s="1" t="s">
        <v>2019</v>
      </c>
      <c r="F6644" s="1" t="s">
        <v>662</v>
      </c>
      <c r="G6644" s="6">
        <v>838155</v>
      </c>
      <c r="H6644" t="str">
        <f>IFERROR(VLOOKUP(F6644,'LEAID Match'!$A$2:$B$142,2,FALSE),"")</f>
        <v/>
      </c>
    </row>
    <row r="6645" spans="1:8" x14ac:dyDescent="0.2">
      <c r="A6645" t="str">
        <f t="shared" si="103"/>
        <v/>
      </c>
      <c r="B6645" s="1">
        <v>2022</v>
      </c>
      <c r="C6645" s="1" t="s">
        <v>2505</v>
      </c>
      <c r="D6645" s="1" t="s">
        <v>2506</v>
      </c>
      <c r="E6645" s="1" t="s">
        <v>2019</v>
      </c>
      <c r="F6645" s="1" t="s">
        <v>662</v>
      </c>
      <c r="G6645" s="6">
        <v>897110</v>
      </c>
      <c r="H6645" t="str">
        <f>IFERROR(VLOOKUP(F6645,'LEAID Match'!$A$2:$B$142,2,FALSE),"")</f>
        <v/>
      </c>
    </row>
    <row r="6646" spans="1:8" x14ac:dyDescent="0.2">
      <c r="A6646" t="str">
        <f t="shared" si="103"/>
        <v/>
      </c>
      <c r="B6646" s="1">
        <v>2023</v>
      </c>
      <c r="C6646" s="1" t="s">
        <v>2505</v>
      </c>
      <c r="D6646" s="1" t="s">
        <v>2506</v>
      </c>
      <c r="E6646" s="1" t="s">
        <v>2019</v>
      </c>
      <c r="F6646" s="1" t="s">
        <v>662</v>
      </c>
      <c r="G6646" s="6">
        <v>917213</v>
      </c>
      <c r="H6646" t="str">
        <f>IFERROR(VLOOKUP(F6646,'LEAID Match'!$A$2:$B$142,2,FALSE),"")</f>
        <v/>
      </c>
    </row>
    <row r="6647" spans="1:8" x14ac:dyDescent="0.2">
      <c r="A6647" t="str">
        <f t="shared" si="103"/>
        <v/>
      </c>
      <c r="B6647" s="1">
        <v>2024</v>
      </c>
      <c r="C6647" s="1" t="s">
        <v>2505</v>
      </c>
      <c r="D6647" s="1" t="s">
        <v>2506</v>
      </c>
      <c r="E6647" s="1" t="s">
        <v>2019</v>
      </c>
      <c r="F6647" s="1" t="s">
        <v>662</v>
      </c>
      <c r="G6647" s="6">
        <v>936302</v>
      </c>
      <c r="H6647" t="str">
        <f>IFERROR(VLOOKUP(F6647,'LEAID Match'!$A$2:$B$142,2,FALSE),"")</f>
        <v/>
      </c>
    </row>
    <row r="6648" spans="1:8" x14ac:dyDescent="0.2">
      <c r="A6648" t="str">
        <f t="shared" si="103"/>
        <v/>
      </c>
      <c r="B6648" s="1">
        <v>2015</v>
      </c>
      <c r="C6648" s="1" t="s">
        <v>2505</v>
      </c>
      <c r="D6648" s="1" t="s">
        <v>2506</v>
      </c>
      <c r="E6648" s="1" t="s">
        <v>2019</v>
      </c>
      <c r="F6648" s="1" t="s">
        <v>663</v>
      </c>
      <c r="G6648" s="6">
        <v>11901</v>
      </c>
      <c r="H6648" t="str">
        <f>IFERROR(VLOOKUP(F6648,'LEAID Match'!$A$2:$B$142,2,FALSE),"")</f>
        <v/>
      </c>
    </row>
    <row r="6649" spans="1:8" x14ac:dyDescent="0.2">
      <c r="A6649" t="str">
        <f t="shared" si="103"/>
        <v/>
      </c>
      <c r="B6649">
        <v>2016</v>
      </c>
      <c r="C6649" s="1" t="s">
        <v>2505</v>
      </c>
      <c r="D6649" s="1" t="s">
        <v>2506</v>
      </c>
      <c r="E6649" s="1" t="s">
        <v>2019</v>
      </c>
      <c r="F6649" s="1" t="s">
        <v>663</v>
      </c>
      <c r="G6649" s="12">
        <v>9856</v>
      </c>
      <c r="H6649" t="str">
        <f>IFERROR(VLOOKUP(F6649,'LEAID Match'!$A$2:$B$142,2,FALSE),"")</f>
        <v/>
      </c>
    </row>
    <row r="6650" spans="1:8" x14ac:dyDescent="0.2">
      <c r="A6650" t="str">
        <f t="shared" si="103"/>
        <v/>
      </c>
      <c r="B6650" s="1">
        <v>2017</v>
      </c>
      <c r="C6650" s="1" t="s">
        <v>2505</v>
      </c>
      <c r="D6650" s="1" t="s">
        <v>2506</v>
      </c>
      <c r="E6650" s="1" t="s">
        <v>2019</v>
      </c>
      <c r="F6650" s="1" t="s">
        <v>663</v>
      </c>
      <c r="G6650" s="51">
        <v>8154</v>
      </c>
      <c r="H6650" t="str">
        <f>IFERROR(VLOOKUP(F6650,'LEAID Match'!$A$2:$B$142,2,FALSE),"")</f>
        <v/>
      </c>
    </row>
    <row r="6651" spans="1:8" x14ac:dyDescent="0.2">
      <c r="A6651" t="str">
        <f t="shared" si="103"/>
        <v/>
      </c>
      <c r="B6651" s="1">
        <v>2018</v>
      </c>
      <c r="C6651" s="1" t="s">
        <v>2505</v>
      </c>
      <c r="D6651" s="1" t="s">
        <v>2506</v>
      </c>
      <c r="E6651" s="1" t="s">
        <v>2019</v>
      </c>
      <c r="F6651" s="1" t="s">
        <v>663</v>
      </c>
      <c r="G6651" s="6">
        <v>8822</v>
      </c>
      <c r="H6651" t="str">
        <f>IFERROR(VLOOKUP(F6651,'LEAID Match'!$A$2:$B$142,2,FALSE),"")</f>
        <v/>
      </c>
    </row>
    <row r="6652" spans="1:8" x14ac:dyDescent="0.2">
      <c r="A6652" t="str">
        <f t="shared" si="103"/>
        <v/>
      </c>
      <c r="B6652" s="1">
        <v>2019</v>
      </c>
      <c r="C6652" s="1" t="s">
        <v>2505</v>
      </c>
      <c r="D6652" s="1" t="s">
        <v>2506</v>
      </c>
      <c r="E6652" s="1" t="s">
        <v>2019</v>
      </c>
      <c r="F6652" s="1" t="s">
        <v>663</v>
      </c>
      <c r="G6652" s="6">
        <v>11578</v>
      </c>
      <c r="H6652" t="str">
        <f>IFERROR(VLOOKUP(F6652,'LEAID Match'!$A$2:$B$142,2,FALSE),"")</f>
        <v/>
      </c>
    </row>
    <row r="6653" spans="1:8" x14ac:dyDescent="0.2">
      <c r="A6653" t="str">
        <f t="shared" si="103"/>
        <v/>
      </c>
      <c r="B6653" s="1">
        <v>2020</v>
      </c>
      <c r="C6653" s="1" t="s">
        <v>2505</v>
      </c>
      <c r="D6653" s="1" t="s">
        <v>2506</v>
      </c>
      <c r="E6653" s="1" t="s">
        <v>2019</v>
      </c>
      <c r="F6653" s="1" t="s">
        <v>663</v>
      </c>
      <c r="G6653" s="6">
        <v>13855</v>
      </c>
      <c r="H6653" t="str">
        <f>IFERROR(VLOOKUP(F6653,'LEAID Match'!$A$2:$B$142,2,FALSE),"")</f>
        <v/>
      </c>
    </row>
    <row r="6654" spans="1:8" x14ac:dyDescent="0.2">
      <c r="A6654" t="str">
        <f t="shared" si="103"/>
        <v/>
      </c>
      <c r="B6654" s="1">
        <v>2021</v>
      </c>
      <c r="C6654" s="1" t="s">
        <v>2505</v>
      </c>
      <c r="D6654" s="1" t="s">
        <v>2506</v>
      </c>
      <c r="E6654" s="1" t="s">
        <v>2019</v>
      </c>
      <c r="F6654" s="1" t="s">
        <v>663</v>
      </c>
      <c r="G6654" s="6">
        <v>16944</v>
      </c>
      <c r="H6654" t="str">
        <f>IFERROR(VLOOKUP(F6654,'LEAID Match'!$A$2:$B$142,2,FALSE),"")</f>
        <v/>
      </c>
    </row>
    <row r="6655" spans="1:8" x14ac:dyDescent="0.2">
      <c r="A6655" t="str">
        <f t="shared" si="103"/>
        <v/>
      </c>
      <c r="B6655" s="1">
        <v>2022</v>
      </c>
      <c r="C6655" s="1" t="s">
        <v>2505</v>
      </c>
      <c r="D6655" s="1" t="s">
        <v>2506</v>
      </c>
      <c r="E6655" s="1" t="s">
        <v>2019</v>
      </c>
      <c r="F6655" s="1" t="s">
        <v>663</v>
      </c>
      <c r="G6655" s="6">
        <v>19779</v>
      </c>
      <c r="H6655" t="str">
        <f>IFERROR(VLOOKUP(F6655,'LEAID Match'!$A$2:$B$142,2,FALSE),"")</f>
        <v/>
      </c>
    </row>
    <row r="6656" spans="1:8" x14ac:dyDescent="0.2">
      <c r="A6656" t="str">
        <f t="shared" si="103"/>
        <v/>
      </c>
      <c r="B6656" s="1">
        <v>2023</v>
      </c>
      <c r="C6656" s="1" t="s">
        <v>2505</v>
      </c>
      <c r="D6656" s="1" t="s">
        <v>2506</v>
      </c>
      <c r="E6656" s="1" t="s">
        <v>2019</v>
      </c>
      <c r="F6656" s="1" t="s">
        <v>663</v>
      </c>
      <c r="G6656" s="6">
        <v>21339</v>
      </c>
      <c r="H6656" t="str">
        <f>IFERROR(VLOOKUP(F6656,'LEAID Match'!$A$2:$B$142,2,FALSE),"")</f>
        <v/>
      </c>
    </row>
    <row r="6657" spans="1:8" x14ac:dyDescent="0.2">
      <c r="A6657" t="str">
        <f t="shared" si="103"/>
        <v/>
      </c>
      <c r="B6657" s="1">
        <v>2024</v>
      </c>
      <c r="C6657" s="1" t="s">
        <v>2505</v>
      </c>
      <c r="D6657" s="1" t="s">
        <v>2506</v>
      </c>
      <c r="E6657" s="1" t="s">
        <v>2019</v>
      </c>
      <c r="F6657" s="1" t="s">
        <v>663</v>
      </c>
      <c r="G6657" s="6">
        <v>19220</v>
      </c>
      <c r="H6657" t="str">
        <f>IFERROR(VLOOKUP(F6657,'LEAID Match'!$A$2:$B$142,2,FALSE),"")</f>
        <v/>
      </c>
    </row>
    <row r="6658" spans="1:8" x14ac:dyDescent="0.2">
      <c r="A6658" t="str">
        <f t="shared" si="103"/>
        <v/>
      </c>
      <c r="B6658" s="1">
        <v>2015</v>
      </c>
      <c r="C6658" s="1" t="s">
        <v>2505</v>
      </c>
      <c r="D6658" s="1" t="s">
        <v>2506</v>
      </c>
      <c r="E6658" s="1" t="s">
        <v>2019</v>
      </c>
      <c r="F6658" s="1" t="s">
        <v>664</v>
      </c>
      <c r="G6658" s="6">
        <v>444596</v>
      </c>
      <c r="H6658" t="str">
        <f>IFERROR(VLOOKUP(F6658,'LEAID Match'!$A$2:$B$142,2,FALSE),"")</f>
        <v/>
      </c>
    </row>
    <row r="6659" spans="1:8" x14ac:dyDescent="0.2">
      <c r="A6659" t="str">
        <f t="shared" ref="A6659:A6722" si="104">H6659</f>
        <v/>
      </c>
      <c r="B6659">
        <v>2016</v>
      </c>
      <c r="C6659" s="1" t="s">
        <v>2505</v>
      </c>
      <c r="D6659" s="1" t="s">
        <v>2506</v>
      </c>
      <c r="E6659" s="1" t="s">
        <v>2019</v>
      </c>
      <c r="F6659" s="1" t="s">
        <v>664</v>
      </c>
      <c r="G6659" s="12">
        <v>456189</v>
      </c>
      <c r="H6659" t="str">
        <f>IFERROR(VLOOKUP(F6659,'LEAID Match'!$A$2:$B$142,2,FALSE),"")</f>
        <v/>
      </c>
    </row>
    <row r="6660" spans="1:8" x14ac:dyDescent="0.2">
      <c r="A6660" t="str">
        <f t="shared" si="104"/>
        <v/>
      </c>
      <c r="B6660" s="1">
        <v>2017</v>
      </c>
      <c r="C6660" s="1" t="s">
        <v>2505</v>
      </c>
      <c r="D6660" s="1" t="s">
        <v>2506</v>
      </c>
      <c r="E6660" s="1" t="s">
        <v>2019</v>
      </c>
      <c r="F6660" s="1" t="s">
        <v>664</v>
      </c>
      <c r="G6660" s="51">
        <v>471650</v>
      </c>
      <c r="H6660" t="str">
        <f>IFERROR(VLOOKUP(F6660,'LEAID Match'!$A$2:$B$142,2,FALSE),"")</f>
        <v/>
      </c>
    </row>
    <row r="6661" spans="1:8" x14ac:dyDescent="0.2">
      <c r="A6661" t="str">
        <f t="shared" si="104"/>
        <v/>
      </c>
      <c r="B6661" s="1">
        <v>2018</v>
      </c>
      <c r="C6661" s="1" t="s">
        <v>2505</v>
      </c>
      <c r="D6661" s="1" t="s">
        <v>2506</v>
      </c>
      <c r="E6661" s="1" t="s">
        <v>2019</v>
      </c>
      <c r="F6661" s="1" t="s">
        <v>664</v>
      </c>
      <c r="G6661" s="6">
        <v>464799</v>
      </c>
      <c r="H6661" t="str">
        <f>IFERROR(VLOOKUP(F6661,'LEAID Match'!$A$2:$B$142,2,FALSE),"")</f>
        <v/>
      </c>
    </row>
    <row r="6662" spans="1:8" x14ac:dyDescent="0.2">
      <c r="A6662" t="str">
        <f t="shared" si="104"/>
        <v/>
      </c>
      <c r="B6662" s="1">
        <v>2019</v>
      </c>
      <c r="C6662" s="1" t="s">
        <v>2505</v>
      </c>
      <c r="D6662" s="1" t="s">
        <v>2506</v>
      </c>
      <c r="E6662" s="1" t="s">
        <v>2019</v>
      </c>
      <c r="F6662" s="1" t="s">
        <v>664</v>
      </c>
      <c r="G6662" s="6">
        <v>498313</v>
      </c>
      <c r="H6662" t="str">
        <f>IFERROR(VLOOKUP(F6662,'LEAID Match'!$A$2:$B$142,2,FALSE),"")</f>
        <v/>
      </c>
    </row>
    <row r="6663" spans="1:8" x14ac:dyDescent="0.2">
      <c r="A6663" t="str">
        <f t="shared" si="104"/>
        <v/>
      </c>
      <c r="B6663" s="1">
        <v>2020</v>
      </c>
      <c r="C6663" s="1" t="s">
        <v>2505</v>
      </c>
      <c r="D6663" s="1" t="s">
        <v>2506</v>
      </c>
      <c r="E6663" s="1" t="s">
        <v>2019</v>
      </c>
      <c r="F6663" s="1" t="s">
        <v>664</v>
      </c>
      <c r="G6663" s="6">
        <v>579260</v>
      </c>
      <c r="H6663" t="str">
        <f>IFERROR(VLOOKUP(F6663,'LEAID Match'!$A$2:$B$142,2,FALSE),"")</f>
        <v/>
      </c>
    </row>
    <row r="6664" spans="1:8" x14ac:dyDescent="0.2">
      <c r="A6664" t="str">
        <f t="shared" si="104"/>
        <v/>
      </c>
      <c r="B6664" s="1">
        <v>2021</v>
      </c>
      <c r="C6664" s="1" t="s">
        <v>2505</v>
      </c>
      <c r="D6664" s="1" t="s">
        <v>2506</v>
      </c>
      <c r="E6664" s="1" t="s">
        <v>2019</v>
      </c>
      <c r="F6664" s="1" t="s">
        <v>664</v>
      </c>
      <c r="G6664" s="6">
        <v>655719</v>
      </c>
      <c r="H6664" t="str">
        <f>IFERROR(VLOOKUP(F6664,'LEAID Match'!$A$2:$B$142,2,FALSE),"")</f>
        <v/>
      </c>
    </row>
    <row r="6665" spans="1:8" x14ac:dyDescent="0.2">
      <c r="A6665" t="str">
        <f t="shared" si="104"/>
        <v/>
      </c>
      <c r="B6665" s="1">
        <v>2022</v>
      </c>
      <c r="C6665" s="1" t="s">
        <v>2505</v>
      </c>
      <c r="D6665" s="1" t="s">
        <v>2506</v>
      </c>
      <c r="E6665" s="1" t="s">
        <v>2019</v>
      </c>
      <c r="F6665" s="1" t="s">
        <v>664</v>
      </c>
      <c r="G6665" s="6">
        <v>711142</v>
      </c>
      <c r="H6665" t="str">
        <f>IFERROR(VLOOKUP(F6665,'LEAID Match'!$A$2:$B$142,2,FALSE),"")</f>
        <v/>
      </c>
    </row>
    <row r="6666" spans="1:8" x14ac:dyDescent="0.2">
      <c r="A6666" t="str">
        <f t="shared" si="104"/>
        <v/>
      </c>
      <c r="B6666" s="1">
        <v>2023</v>
      </c>
      <c r="C6666" s="1" t="s">
        <v>2505</v>
      </c>
      <c r="D6666" s="1" t="s">
        <v>2506</v>
      </c>
      <c r="E6666" s="1" t="s">
        <v>2019</v>
      </c>
      <c r="F6666" s="1" t="s">
        <v>664</v>
      </c>
      <c r="G6666" s="6">
        <v>784476</v>
      </c>
      <c r="H6666" t="str">
        <f>IFERROR(VLOOKUP(F6666,'LEAID Match'!$A$2:$B$142,2,FALSE),"")</f>
        <v/>
      </c>
    </row>
    <row r="6667" spans="1:8" x14ac:dyDescent="0.2">
      <c r="A6667" t="str">
        <f t="shared" si="104"/>
        <v/>
      </c>
      <c r="B6667" s="1">
        <v>2024</v>
      </c>
      <c r="C6667" s="1" t="s">
        <v>2505</v>
      </c>
      <c r="D6667" s="1" t="s">
        <v>2506</v>
      </c>
      <c r="E6667" s="1" t="s">
        <v>2019</v>
      </c>
      <c r="F6667" s="1" t="s">
        <v>664</v>
      </c>
      <c r="G6667" s="6">
        <v>836549</v>
      </c>
      <c r="H6667" t="str">
        <f>IFERROR(VLOOKUP(F6667,'LEAID Match'!$A$2:$B$142,2,FALSE),"")</f>
        <v/>
      </c>
    </row>
    <row r="6668" spans="1:8" x14ac:dyDescent="0.2">
      <c r="A6668" t="str">
        <f t="shared" si="104"/>
        <v/>
      </c>
      <c r="B6668" s="1">
        <v>2015</v>
      </c>
      <c r="C6668" s="1" t="s">
        <v>2505</v>
      </c>
      <c r="D6668" s="1" t="s">
        <v>2506</v>
      </c>
      <c r="E6668" s="1" t="s">
        <v>2019</v>
      </c>
      <c r="F6668" s="1" t="s">
        <v>665</v>
      </c>
      <c r="G6668" s="6">
        <v>28281</v>
      </c>
      <c r="H6668" t="str">
        <f>IFERROR(VLOOKUP(F6668,'LEAID Match'!$A$2:$B$142,2,FALSE),"")</f>
        <v/>
      </c>
    </row>
    <row r="6669" spans="1:8" x14ac:dyDescent="0.2">
      <c r="A6669" t="str">
        <f t="shared" si="104"/>
        <v/>
      </c>
      <c r="B6669">
        <v>2016</v>
      </c>
      <c r="C6669" s="1" t="s">
        <v>2505</v>
      </c>
      <c r="D6669" s="1" t="s">
        <v>2506</v>
      </c>
      <c r="E6669" s="1" t="s">
        <v>2019</v>
      </c>
      <c r="F6669" s="1" t="s">
        <v>665</v>
      </c>
      <c r="G6669" s="12">
        <v>36076</v>
      </c>
      <c r="H6669" t="str">
        <f>IFERROR(VLOOKUP(F6669,'LEAID Match'!$A$2:$B$142,2,FALSE),"")</f>
        <v/>
      </c>
    </row>
    <row r="6670" spans="1:8" x14ac:dyDescent="0.2">
      <c r="A6670" t="str">
        <f t="shared" si="104"/>
        <v/>
      </c>
      <c r="B6670" s="1">
        <v>2017</v>
      </c>
      <c r="C6670" s="1" t="s">
        <v>2505</v>
      </c>
      <c r="D6670" s="1" t="s">
        <v>2506</v>
      </c>
      <c r="E6670" s="1" t="s">
        <v>2019</v>
      </c>
      <c r="F6670" s="1" t="s">
        <v>665</v>
      </c>
      <c r="G6670" s="51">
        <v>39067</v>
      </c>
      <c r="H6670" t="str">
        <f>IFERROR(VLOOKUP(F6670,'LEAID Match'!$A$2:$B$142,2,FALSE),"")</f>
        <v/>
      </c>
    </row>
    <row r="6671" spans="1:8" x14ac:dyDescent="0.2">
      <c r="A6671" t="str">
        <f t="shared" si="104"/>
        <v/>
      </c>
      <c r="B6671" s="1">
        <v>2018</v>
      </c>
      <c r="C6671" s="1" t="s">
        <v>2505</v>
      </c>
      <c r="D6671" s="1" t="s">
        <v>2506</v>
      </c>
      <c r="E6671" s="1" t="s">
        <v>2019</v>
      </c>
      <c r="F6671" s="1" t="s">
        <v>665</v>
      </c>
      <c r="G6671" s="6">
        <v>35907</v>
      </c>
      <c r="H6671" t="str">
        <f>IFERROR(VLOOKUP(F6671,'LEAID Match'!$A$2:$B$142,2,FALSE),"")</f>
        <v/>
      </c>
    </row>
    <row r="6672" spans="1:8" x14ac:dyDescent="0.2">
      <c r="A6672" t="str">
        <f t="shared" si="104"/>
        <v/>
      </c>
      <c r="B6672" s="1">
        <v>2019</v>
      </c>
      <c r="C6672" s="1" t="s">
        <v>2505</v>
      </c>
      <c r="D6672" s="1" t="s">
        <v>2506</v>
      </c>
      <c r="E6672" s="1" t="s">
        <v>2019</v>
      </c>
      <c r="F6672" s="1" t="s">
        <v>665</v>
      </c>
      <c r="G6672" s="6">
        <v>36018</v>
      </c>
      <c r="H6672" t="str">
        <f>IFERROR(VLOOKUP(F6672,'LEAID Match'!$A$2:$B$142,2,FALSE),"")</f>
        <v/>
      </c>
    </row>
    <row r="6673" spans="1:8" x14ac:dyDescent="0.2">
      <c r="A6673" t="str">
        <f t="shared" si="104"/>
        <v/>
      </c>
      <c r="B6673" s="1">
        <v>2020</v>
      </c>
      <c r="C6673" s="1" t="s">
        <v>2505</v>
      </c>
      <c r="D6673" s="1" t="s">
        <v>2506</v>
      </c>
      <c r="E6673" s="1" t="s">
        <v>2019</v>
      </c>
      <c r="F6673" s="1" t="s">
        <v>665</v>
      </c>
      <c r="G6673" s="6">
        <v>40180</v>
      </c>
      <c r="H6673" t="str">
        <f>IFERROR(VLOOKUP(F6673,'LEAID Match'!$A$2:$B$142,2,FALSE),"")</f>
        <v/>
      </c>
    </row>
    <row r="6674" spans="1:8" x14ac:dyDescent="0.2">
      <c r="A6674" t="str">
        <f t="shared" si="104"/>
        <v/>
      </c>
      <c r="B6674" s="1">
        <v>2021</v>
      </c>
      <c r="C6674" s="1" t="s">
        <v>2505</v>
      </c>
      <c r="D6674" s="1" t="s">
        <v>2506</v>
      </c>
      <c r="E6674" s="1" t="s">
        <v>2019</v>
      </c>
      <c r="F6674" s="1" t="s">
        <v>665</v>
      </c>
      <c r="G6674" s="6">
        <v>39337</v>
      </c>
      <c r="H6674" t="str">
        <f>IFERROR(VLOOKUP(F6674,'LEAID Match'!$A$2:$B$142,2,FALSE),"")</f>
        <v/>
      </c>
    </row>
    <row r="6675" spans="1:8" x14ac:dyDescent="0.2">
      <c r="A6675" t="str">
        <f t="shared" si="104"/>
        <v/>
      </c>
      <c r="B6675" s="1">
        <v>2022</v>
      </c>
      <c r="C6675" s="1" t="s">
        <v>2505</v>
      </c>
      <c r="D6675" s="1" t="s">
        <v>2506</v>
      </c>
      <c r="E6675" s="1" t="s">
        <v>2019</v>
      </c>
      <c r="F6675" s="1" t="s">
        <v>665</v>
      </c>
      <c r="G6675" s="6">
        <v>40960</v>
      </c>
      <c r="H6675" t="str">
        <f>IFERROR(VLOOKUP(F6675,'LEAID Match'!$A$2:$B$142,2,FALSE),"")</f>
        <v/>
      </c>
    </row>
    <row r="6676" spans="1:8" x14ac:dyDescent="0.2">
      <c r="A6676" t="str">
        <f t="shared" si="104"/>
        <v/>
      </c>
      <c r="B6676" s="1">
        <v>2023</v>
      </c>
      <c r="C6676" s="1" t="s">
        <v>2505</v>
      </c>
      <c r="D6676" s="1" t="s">
        <v>2506</v>
      </c>
      <c r="E6676" s="1" t="s">
        <v>2019</v>
      </c>
      <c r="F6676" s="1" t="s">
        <v>665</v>
      </c>
      <c r="G6676" s="6">
        <v>41834</v>
      </c>
      <c r="H6676" t="str">
        <f>IFERROR(VLOOKUP(F6676,'LEAID Match'!$A$2:$B$142,2,FALSE),"")</f>
        <v/>
      </c>
    </row>
    <row r="6677" spans="1:8" x14ac:dyDescent="0.2">
      <c r="A6677" t="str">
        <f t="shared" si="104"/>
        <v/>
      </c>
      <c r="B6677" s="1">
        <v>2024</v>
      </c>
      <c r="C6677" s="1" t="s">
        <v>2505</v>
      </c>
      <c r="D6677" s="1" t="s">
        <v>2506</v>
      </c>
      <c r="E6677" s="1" t="s">
        <v>2019</v>
      </c>
      <c r="F6677" s="1" t="s">
        <v>665</v>
      </c>
      <c r="G6677" s="6">
        <v>42214</v>
      </c>
      <c r="H6677" t="str">
        <f>IFERROR(VLOOKUP(F6677,'LEAID Match'!$A$2:$B$142,2,FALSE),"")</f>
        <v/>
      </c>
    </row>
    <row r="6678" spans="1:8" x14ac:dyDescent="0.2">
      <c r="A6678">
        <f t="shared" si="104"/>
        <v>2803930</v>
      </c>
      <c r="B6678" s="1">
        <v>2015</v>
      </c>
      <c r="C6678" s="1" t="s">
        <v>2505</v>
      </c>
      <c r="D6678" s="1" t="s">
        <v>2506</v>
      </c>
      <c r="E6678" s="1" t="s">
        <v>2019</v>
      </c>
      <c r="F6678" s="1" t="s">
        <v>666</v>
      </c>
      <c r="G6678" s="6">
        <v>1309578</v>
      </c>
      <c r="H6678">
        <f>IFERROR(VLOOKUP(F6678,'LEAID Match'!$A$2:$B$142,2,FALSE),"")</f>
        <v>2803930</v>
      </c>
    </row>
    <row r="6679" spans="1:8" x14ac:dyDescent="0.2">
      <c r="A6679">
        <f t="shared" si="104"/>
        <v>2803930</v>
      </c>
      <c r="B6679">
        <v>2016</v>
      </c>
      <c r="C6679" s="1" t="s">
        <v>2505</v>
      </c>
      <c r="D6679" s="1" t="s">
        <v>2506</v>
      </c>
      <c r="E6679" s="1" t="s">
        <v>2019</v>
      </c>
      <c r="F6679" s="1" t="s">
        <v>666</v>
      </c>
      <c r="G6679" s="12">
        <v>1368032</v>
      </c>
      <c r="H6679">
        <f>IFERROR(VLOOKUP(F6679,'LEAID Match'!$A$2:$B$142,2,FALSE),"")</f>
        <v>2803930</v>
      </c>
    </row>
    <row r="6680" spans="1:8" x14ac:dyDescent="0.2">
      <c r="A6680">
        <f t="shared" si="104"/>
        <v>2803930</v>
      </c>
      <c r="B6680" s="1">
        <v>2017</v>
      </c>
      <c r="C6680" s="1" t="s">
        <v>2505</v>
      </c>
      <c r="D6680" s="1" t="s">
        <v>2506</v>
      </c>
      <c r="E6680" s="1" t="s">
        <v>2019</v>
      </c>
      <c r="F6680" s="1" t="s">
        <v>666</v>
      </c>
      <c r="G6680" s="51">
        <v>1353456</v>
      </c>
      <c r="H6680">
        <f>IFERROR(VLOOKUP(F6680,'LEAID Match'!$A$2:$B$142,2,FALSE),"")</f>
        <v>2803930</v>
      </c>
    </row>
    <row r="6681" spans="1:8" x14ac:dyDescent="0.2">
      <c r="A6681">
        <f t="shared" si="104"/>
        <v>2803930</v>
      </c>
      <c r="B6681" s="1">
        <v>2018</v>
      </c>
      <c r="C6681" s="1" t="s">
        <v>2505</v>
      </c>
      <c r="D6681" s="1" t="s">
        <v>2506</v>
      </c>
      <c r="E6681" s="1" t="s">
        <v>2019</v>
      </c>
      <c r="F6681" s="1" t="s">
        <v>666</v>
      </c>
      <c r="G6681" s="6">
        <v>1367111</v>
      </c>
      <c r="H6681">
        <f>IFERROR(VLOOKUP(F6681,'LEAID Match'!$A$2:$B$142,2,FALSE),"")</f>
        <v>2803930</v>
      </c>
    </row>
    <row r="6682" spans="1:8" x14ac:dyDescent="0.2">
      <c r="A6682">
        <f t="shared" si="104"/>
        <v>2803930</v>
      </c>
      <c r="B6682" s="1">
        <v>2019</v>
      </c>
      <c r="C6682" s="1" t="s">
        <v>2505</v>
      </c>
      <c r="D6682" s="1" t="s">
        <v>2506</v>
      </c>
      <c r="E6682" s="1" t="s">
        <v>2019</v>
      </c>
      <c r="F6682" s="1" t="s">
        <v>666</v>
      </c>
      <c r="G6682" s="6">
        <v>1399103</v>
      </c>
      <c r="H6682">
        <f>IFERROR(VLOOKUP(F6682,'LEAID Match'!$A$2:$B$142,2,FALSE),"")</f>
        <v>2803930</v>
      </c>
    </row>
    <row r="6683" spans="1:8" x14ac:dyDescent="0.2">
      <c r="A6683">
        <f t="shared" si="104"/>
        <v>2803930</v>
      </c>
      <c r="B6683" s="1">
        <v>2020</v>
      </c>
      <c r="C6683" s="1" t="s">
        <v>2505</v>
      </c>
      <c r="D6683" s="1" t="s">
        <v>2506</v>
      </c>
      <c r="E6683" s="1" t="s">
        <v>2019</v>
      </c>
      <c r="F6683" s="1" t="s">
        <v>666</v>
      </c>
      <c r="G6683" s="6">
        <v>1629979</v>
      </c>
      <c r="H6683">
        <f>IFERROR(VLOOKUP(F6683,'LEAID Match'!$A$2:$B$142,2,FALSE),"")</f>
        <v>2803930</v>
      </c>
    </row>
    <row r="6684" spans="1:8" x14ac:dyDescent="0.2">
      <c r="A6684">
        <f t="shared" si="104"/>
        <v>2803930</v>
      </c>
      <c r="B6684" s="1">
        <v>2021</v>
      </c>
      <c r="C6684" s="1" t="s">
        <v>2505</v>
      </c>
      <c r="D6684" s="1" t="s">
        <v>2506</v>
      </c>
      <c r="E6684" s="1" t="s">
        <v>2019</v>
      </c>
      <c r="F6684" s="1" t="s">
        <v>666</v>
      </c>
      <c r="G6684" s="6">
        <v>1663673</v>
      </c>
      <c r="H6684">
        <f>IFERROR(VLOOKUP(F6684,'LEAID Match'!$A$2:$B$142,2,FALSE),"")</f>
        <v>2803930</v>
      </c>
    </row>
    <row r="6685" spans="1:8" x14ac:dyDescent="0.2">
      <c r="A6685">
        <f t="shared" si="104"/>
        <v>2803930</v>
      </c>
      <c r="B6685" s="1">
        <v>2022</v>
      </c>
      <c r="C6685" s="1" t="s">
        <v>2505</v>
      </c>
      <c r="D6685" s="1" t="s">
        <v>2506</v>
      </c>
      <c r="E6685" s="1" t="s">
        <v>2019</v>
      </c>
      <c r="F6685" s="1" t="s">
        <v>666</v>
      </c>
      <c r="G6685" s="6">
        <v>1711242</v>
      </c>
      <c r="H6685">
        <f>IFERROR(VLOOKUP(F6685,'LEAID Match'!$A$2:$B$142,2,FALSE),"")</f>
        <v>2803930</v>
      </c>
    </row>
    <row r="6686" spans="1:8" x14ac:dyDescent="0.2">
      <c r="A6686">
        <f t="shared" si="104"/>
        <v>2803930</v>
      </c>
      <c r="B6686" s="1">
        <v>2023</v>
      </c>
      <c r="C6686" s="1" t="s">
        <v>2505</v>
      </c>
      <c r="D6686" s="1" t="s">
        <v>2506</v>
      </c>
      <c r="E6686" s="1" t="s">
        <v>2019</v>
      </c>
      <c r="F6686" s="1" t="s">
        <v>666</v>
      </c>
      <c r="G6686" s="6">
        <v>2104405</v>
      </c>
      <c r="H6686">
        <f>IFERROR(VLOOKUP(F6686,'LEAID Match'!$A$2:$B$142,2,FALSE),"")</f>
        <v>2803930</v>
      </c>
    </row>
    <row r="6687" spans="1:8" x14ac:dyDescent="0.2">
      <c r="A6687">
        <f t="shared" si="104"/>
        <v>2803930</v>
      </c>
      <c r="B6687" s="1">
        <v>2024</v>
      </c>
      <c r="C6687" s="1" t="s">
        <v>2505</v>
      </c>
      <c r="D6687" s="1" t="s">
        <v>2506</v>
      </c>
      <c r="E6687" s="1" t="s">
        <v>2019</v>
      </c>
      <c r="F6687" s="1" t="s">
        <v>666</v>
      </c>
      <c r="G6687" s="6">
        <v>2120507</v>
      </c>
      <c r="H6687">
        <f>IFERROR(VLOOKUP(F6687,'LEAID Match'!$A$2:$B$142,2,FALSE),"")</f>
        <v>2803930</v>
      </c>
    </row>
    <row r="6688" spans="1:8" x14ac:dyDescent="0.2">
      <c r="A6688" t="str">
        <f t="shared" si="104"/>
        <v/>
      </c>
      <c r="B6688" s="1">
        <v>2015</v>
      </c>
      <c r="C6688" s="1" t="s">
        <v>2505</v>
      </c>
      <c r="D6688" s="1" t="s">
        <v>2506</v>
      </c>
      <c r="E6688" s="1" t="s">
        <v>2019</v>
      </c>
      <c r="F6688" s="1" t="s">
        <v>667</v>
      </c>
      <c r="G6688" s="6">
        <v>54142</v>
      </c>
      <c r="H6688" t="str">
        <f>IFERROR(VLOOKUP(F6688,'LEAID Match'!$A$2:$B$142,2,FALSE),"")</f>
        <v/>
      </c>
    </row>
    <row r="6689" spans="1:8" x14ac:dyDescent="0.2">
      <c r="A6689" t="str">
        <f t="shared" si="104"/>
        <v/>
      </c>
      <c r="B6689">
        <v>2016</v>
      </c>
      <c r="C6689" s="1" t="s">
        <v>2505</v>
      </c>
      <c r="D6689" s="1" t="s">
        <v>2506</v>
      </c>
      <c r="E6689" s="1" t="s">
        <v>2019</v>
      </c>
      <c r="F6689" s="1" t="s">
        <v>667</v>
      </c>
      <c r="G6689" s="12">
        <v>60025</v>
      </c>
      <c r="H6689" t="str">
        <f>IFERROR(VLOOKUP(F6689,'LEAID Match'!$A$2:$B$142,2,FALSE),"")</f>
        <v/>
      </c>
    </row>
    <row r="6690" spans="1:8" x14ac:dyDescent="0.2">
      <c r="A6690" t="str">
        <f t="shared" si="104"/>
        <v/>
      </c>
      <c r="B6690" s="1">
        <v>2017</v>
      </c>
      <c r="C6690" s="1" t="s">
        <v>2505</v>
      </c>
      <c r="D6690" s="1" t="s">
        <v>2506</v>
      </c>
      <c r="E6690" s="1" t="s">
        <v>2019</v>
      </c>
      <c r="F6690" s="1" t="s">
        <v>667</v>
      </c>
      <c r="G6690" s="51">
        <v>58288</v>
      </c>
      <c r="H6690" t="str">
        <f>IFERROR(VLOOKUP(F6690,'LEAID Match'!$A$2:$B$142,2,FALSE),"")</f>
        <v/>
      </c>
    </row>
    <row r="6691" spans="1:8" x14ac:dyDescent="0.2">
      <c r="A6691" t="str">
        <f t="shared" si="104"/>
        <v/>
      </c>
      <c r="B6691" s="1">
        <v>2018</v>
      </c>
      <c r="C6691" s="1" t="s">
        <v>2505</v>
      </c>
      <c r="D6691" s="1" t="s">
        <v>2506</v>
      </c>
      <c r="E6691" s="1" t="s">
        <v>2019</v>
      </c>
      <c r="F6691" s="1" t="s">
        <v>667</v>
      </c>
      <c r="G6691" s="6">
        <v>57499</v>
      </c>
      <c r="H6691" t="str">
        <f>IFERROR(VLOOKUP(F6691,'LEAID Match'!$A$2:$B$142,2,FALSE),"")</f>
        <v/>
      </c>
    </row>
    <row r="6692" spans="1:8" x14ac:dyDescent="0.2">
      <c r="A6692" t="str">
        <f t="shared" si="104"/>
        <v/>
      </c>
      <c r="B6692" s="1">
        <v>2019</v>
      </c>
      <c r="C6692" s="1" t="s">
        <v>2505</v>
      </c>
      <c r="D6692" s="1" t="s">
        <v>2506</v>
      </c>
      <c r="E6692" s="1" t="s">
        <v>2019</v>
      </c>
      <c r="F6692" s="1" t="s">
        <v>667</v>
      </c>
      <c r="G6692" s="6">
        <v>60206</v>
      </c>
      <c r="H6692" t="str">
        <f>IFERROR(VLOOKUP(F6692,'LEAID Match'!$A$2:$B$142,2,FALSE),"")</f>
        <v/>
      </c>
    </row>
    <row r="6693" spans="1:8" x14ac:dyDescent="0.2">
      <c r="A6693" t="str">
        <f t="shared" si="104"/>
        <v/>
      </c>
      <c r="B6693" s="1">
        <v>2020</v>
      </c>
      <c r="C6693" s="1" t="s">
        <v>2505</v>
      </c>
      <c r="D6693" s="1" t="s">
        <v>2506</v>
      </c>
      <c r="E6693" s="1" t="s">
        <v>2019</v>
      </c>
      <c r="F6693" s="1" t="s">
        <v>667</v>
      </c>
      <c r="G6693" s="6">
        <v>69782</v>
      </c>
      <c r="H6693" t="str">
        <f>IFERROR(VLOOKUP(F6693,'LEAID Match'!$A$2:$B$142,2,FALSE),"")</f>
        <v/>
      </c>
    </row>
    <row r="6694" spans="1:8" x14ac:dyDescent="0.2">
      <c r="A6694" t="str">
        <f t="shared" si="104"/>
        <v/>
      </c>
      <c r="B6694" s="1">
        <v>2021</v>
      </c>
      <c r="C6694" s="1" t="s">
        <v>2505</v>
      </c>
      <c r="D6694" s="1" t="s">
        <v>2506</v>
      </c>
      <c r="E6694" s="1" t="s">
        <v>2019</v>
      </c>
      <c r="F6694" s="1" t="s">
        <v>667</v>
      </c>
      <c r="G6694" s="6">
        <v>62574</v>
      </c>
      <c r="H6694" t="str">
        <f>IFERROR(VLOOKUP(F6694,'LEAID Match'!$A$2:$B$142,2,FALSE),"")</f>
        <v/>
      </c>
    </row>
    <row r="6695" spans="1:8" x14ac:dyDescent="0.2">
      <c r="A6695" t="str">
        <f t="shared" si="104"/>
        <v/>
      </c>
      <c r="B6695" s="1">
        <v>2022</v>
      </c>
      <c r="C6695" s="1" t="s">
        <v>2505</v>
      </c>
      <c r="D6695" s="1" t="s">
        <v>2506</v>
      </c>
      <c r="E6695" s="1" t="s">
        <v>2019</v>
      </c>
      <c r="F6695" s="1" t="s">
        <v>667</v>
      </c>
      <c r="G6695" s="6">
        <v>65563</v>
      </c>
      <c r="H6695" t="str">
        <f>IFERROR(VLOOKUP(F6695,'LEAID Match'!$A$2:$B$142,2,FALSE),"")</f>
        <v/>
      </c>
    </row>
    <row r="6696" spans="1:8" x14ac:dyDescent="0.2">
      <c r="A6696" t="str">
        <f t="shared" si="104"/>
        <v/>
      </c>
      <c r="B6696" s="1">
        <v>2023</v>
      </c>
      <c r="C6696" s="1" t="s">
        <v>2505</v>
      </c>
      <c r="D6696" s="1" t="s">
        <v>2506</v>
      </c>
      <c r="E6696" s="1" t="s">
        <v>2019</v>
      </c>
      <c r="F6696" s="1" t="s">
        <v>667</v>
      </c>
      <c r="G6696" s="6">
        <v>63974</v>
      </c>
      <c r="H6696" t="str">
        <f>IFERROR(VLOOKUP(F6696,'LEAID Match'!$A$2:$B$142,2,FALSE),"")</f>
        <v/>
      </c>
    </row>
    <row r="6697" spans="1:8" x14ac:dyDescent="0.2">
      <c r="A6697" t="str">
        <f t="shared" si="104"/>
        <v/>
      </c>
      <c r="B6697" s="1">
        <v>2024</v>
      </c>
      <c r="C6697" s="1" t="s">
        <v>2505</v>
      </c>
      <c r="D6697" s="1" t="s">
        <v>2506</v>
      </c>
      <c r="E6697" s="1" t="s">
        <v>2019</v>
      </c>
      <c r="F6697" s="1" t="s">
        <v>667</v>
      </c>
      <c r="G6697" s="6">
        <v>72037</v>
      </c>
      <c r="H6697" t="str">
        <f>IFERROR(VLOOKUP(F6697,'LEAID Match'!$A$2:$B$142,2,FALSE),"")</f>
        <v/>
      </c>
    </row>
    <row r="6698" spans="1:8" x14ac:dyDescent="0.2">
      <c r="A6698" t="str">
        <f t="shared" si="104"/>
        <v/>
      </c>
      <c r="B6698" s="1">
        <v>2015</v>
      </c>
      <c r="C6698" s="1" t="s">
        <v>2505</v>
      </c>
      <c r="D6698" s="1" t="s">
        <v>2506</v>
      </c>
      <c r="E6698" s="1" t="s">
        <v>2019</v>
      </c>
      <c r="F6698" s="1" t="s">
        <v>668</v>
      </c>
      <c r="G6698" s="6">
        <v>232304</v>
      </c>
      <c r="H6698" t="str">
        <f>IFERROR(VLOOKUP(F6698,'LEAID Match'!$A$2:$B$142,2,FALSE),"")</f>
        <v/>
      </c>
    </row>
    <row r="6699" spans="1:8" x14ac:dyDescent="0.2">
      <c r="A6699" t="str">
        <f t="shared" si="104"/>
        <v/>
      </c>
      <c r="B6699">
        <v>2016</v>
      </c>
      <c r="C6699" s="1" t="s">
        <v>2505</v>
      </c>
      <c r="D6699" s="1" t="s">
        <v>2506</v>
      </c>
      <c r="E6699" s="1" t="s">
        <v>2019</v>
      </c>
      <c r="F6699" s="1" t="s">
        <v>668</v>
      </c>
      <c r="G6699" s="12">
        <v>235005</v>
      </c>
      <c r="H6699" t="str">
        <f>IFERROR(VLOOKUP(F6699,'LEAID Match'!$A$2:$B$142,2,FALSE),"")</f>
        <v/>
      </c>
    </row>
    <row r="6700" spans="1:8" x14ac:dyDescent="0.2">
      <c r="A6700" t="str">
        <f t="shared" si="104"/>
        <v/>
      </c>
      <c r="B6700" s="1">
        <v>2017</v>
      </c>
      <c r="C6700" s="1" t="s">
        <v>2505</v>
      </c>
      <c r="D6700" s="1" t="s">
        <v>2506</v>
      </c>
      <c r="E6700" s="1" t="s">
        <v>2019</v>
      </c>
      <c r="F6700" s="1" t="s">
        <v>668</v>
      </c>
      <c r="G6700" s="51">
        <v>243867</v>
      </c>
      <c r="H6700" t="str">
        <f>IFERROR(VLOOKUP(F6700,'LEAID Match'!$A$2:$B$142,2,FALSE),"")</f>
        <v/>
      </c>
    </row>
    <row r="6701" spans="1:8" x14ac:dyDescent="0.2">
      <c r="A6701" t="str">
        <f t="shared" si="104"/>
        <v/>
      </c>
      <c r="B6701" s="1">
        <v>2018</v>
      </c>
      <c r="C6701" s="1" t="s">
        <v>2505</v>
      </c>
      <c r="D6701" s="1" t="s">
        <v>2506</v>
      </c>
      <c r="E6701" s="1" t="s">
        <v>2019</v>
      </c>
      <c r="F6701" s="1" t="s">
        <v>668</v>
      </c>
      <c r="G6701" s="6">
        <v>256823</v>
      </c>
      <c r="H6701" t="str">
        <f>IFERROR(VLOOKUP(F6701,'LEAID Match'!$A$2:$B$142,2,FALSE),"")</f>
        <v/>
      </c>
    </row>
    <row r="6702" spans="1:8" x14ac:dyDescent="0.2">
      <c r="A6702" t="str">
        <f t="shared" si="104"/>
        <v/>
      </c>
      <c r="B6702" s="1">
        <v>2019</v>
      </c>
      <c r="C6702" s="1" t="s">
        <v>2505</v>
      </c>
      <c r="D6702" s="1" t="s">
        <v>2506</v>
      </c>
      <c r="E6702" s="1" t="s">
        <v>2019</v>
      </c>
      <c r="F6702" s="1" t="s">
        <v>668</v>
      </c>
      <c r="G6702" s="6">
        <v>265072</v>
      </c>
      <c r="H6702" t="str">
        <f>IFERROR(VLOOKUP(F6702,'LEAID Match'!$A$2:$B$142,2,FALSE),"")</f>
        <v/>
      </c>
    </row>
    <row r="6703" spans="1:8" x14ac:dyDescent="0.2">
      <c r="A6703" t="str">
        <f t="shared" si="104"/>
        <v/>
      </c>
      <c r="B6703" s="1">
        <v>2020</v>
      </c>
      <c r="C6703" s="1" t="s">
        <v>2505</v>
      </c>
      <c r="D6703" s="1" t="s">
        <v>2506</v>
      </c>
      <c r="E6703" s="1" t="s">
        <v>2019</v>
      </c>
      <c r="F6703" s="1" t="s">
        <v>668</v>
      </c>
      <c r="G6703" s="6">
        <v>291125</v>
      </c>
      <c r="H6703" t="str">
        <f>IFERROR(VLOOKUP(F6703,'LEAID Match'!$A$2:$B$142,2,FALSE),"")</f>
        <v/>
      </c>
    </row>
    <row r="6704" spans="1:8" x14ac:dyDescent="0.2">
      <c r="A6704" t="str">
        <f t="shared" si="104"/>
        <v/>
      </c>
      <c r="B6704" s="1">
        <v>2021</v>
      </c>
      <c r="C6704" s="1" t="s">
        <v>2505</v>
      </c>
      <c r="D6704" s="1" t="s">
        <v>2506</v>
      </c>
      <c r="E6704" s="1" t="s">
        <v>2019</v>
      </c>
      <c r="F6704" s="1" t="s">
        <v>668</v>
      </c>
      <c r="G6704" s="6">
        <v>301403</v>
      </c>
      <c r="H6704" t="str">
        <f>IFERROR(VLOOKUP(F6704,'LEAID Match'!$A$2:$B$142,2,FALSE),"")</f>
        <v/>
      </c>
    </row>
    <row r="6705" spans="1:8" x14ac:dyDescent="0.2">
      <c r="A6705" t="str">
        <f t="shared" si="104"/>
        <v/>
      </c>
      <c r="B6705" s="1">
        <v>2022</v>
      </c>
      <c r="C6705" s="1" t="s">
        <v>2505</v>
      </c>
      <c r="D6705" s="1" t="s">
        <v>2506</v>
      </c>
      <c r="E6705" s="1" t="s">
        <v>2019</v>
      </c>
      <c r="F6705" s="1" t="s">
        <v>668</v>
      </c>
      <c r="G6705" s="6">
        <v>316526</v>
      </c>
      <c r="H6705" t="str">
        <f>IFERROR(VLOOKUP(F6705,'LEAID Match'!$A$2:$B$142,2,FALSE),"")</f>
        <v/>
      </c>
    </row>
    <row r="6706" spans="1:8" x14ac:dyDescent="0.2">
      <c r="A6706" t="str">
        <f t="shared" si="104"/>
        <v/>
      </c>
      <c r="B6706" s="1">
        <v>2023</v>
      </c>
      <c r="C6706" s="1" t="s">
        <v>2505</v>
      </c>
      <c r="D6706" s="1" t="s">
        <v>2506</v>
      </c>
      <c r="E6706" s="1" t="s">
        <v>2019</v>
      </c>
      <c r="F6706" s="1" t="s">
        <v>668</v>
      </c>
      <c r="G6706" s="6">
        <v>328786</v>
      </c>
      <c r="H6706" t="str">
        <f>IFERROR(VLOOKUP(F6706,'LEAID Match'!$A$2:$B$142,2,FALSE),"")</f>
        <v/>
      </c>
    </row>
    <row r="6707" spans="1:8" x14ac:dyDescent="0.2">
      <c r="A6707" t="str">
        <f t="shared" si="104"/>
        <v/>
      </c>
      <c r="B6707" s="1">
        <v>2024</v>
      </c>
      <c r="C6707" s="1" t="s">
        <v>2505</v>
      </c>
      <c r="D6707" s="1" t="s">
        <v>2506</v>
      </c>
      <c r="E6707" s="1" t="s">
        <v>2019</v>
      </c>
      <c r="F6707" s="1" t="s">
        <v>668</v>
      </c>
      <c r="G6707" s="6">
        <v>338900</v>
      </c>
      <c r="H6707" t="str">
        <f>IFERROR(VLOOKUP(F6707,'LEAID Match'!$A$2:$B$142,2,FALSE),"")</f>
        <v/>
      </c>
    </row>
    <row r="6708" spans="1:8" x14ac:dyDescent="0.2">
      <c r="A6708" t="str">
        <f t="shared" si="104"/>
        <v/>
      </c>
      <c r="B6708" s="1">
        <v>2015</v>
      </c>
      <c r="C6708" s="1" t="s">
        <v>2505</v>
      </c>
      <c r="D6708" s="1" t="s">
        <v>2506</v>
      </c>
      <c r="E6708" s="1" t="s">
        <v>2019</v>
      </c>
      <c r="F6708" s="1" t="s">
        <v>669</v>
      </c>
      <c r="G6708" s="6">
        <v>12850</v>
      </c>
      <c r="H6708" t="str">
        <f>IFERROR(VLOOKUP(F6708,'LEAID Match'!$A$2:$B$142,2,FALSE),"")</f>
        <v/>
      </c>
    </row>
    <row r="6709" spans="1:8" x14ac:dyDescent="0.2">
      <c r="A6709" t="str">
        <f t="shared" si="104"/>
        <v/>
      </c>
      <c r="B6709">
        <v>2016</v>
      </c>
      <c r="C6709" s="1" t="s">
        <v>2505</v>
      </c>
      <c r="D6709" s="1" t="s">
        <v>2506</v>
      </c>
      <c r="E6709" s="1" t="s">
        <v>2019</v>
      </c>
      <c r="F6709" s="1" t="s">
        <v>669</v>
      </c>
      <c r="G6709" s="12">
        <v>12850</v>
      </c>
      <c r="H6709" t="str">
        <f>IFERROR(VLOOKUP(F6709,'LEAID Match'!$A$2:$B$142,2,FALSE),"")</f>
        <v/>
      </c>
    </row>
    <row r="6710" spans="1:8" x14ac:dyDescent="0.2">
      <c r="A6710" t="str">
        <f t="shared" si="104"/>
        <v/>
      </c>
      <c r="B6710" s="1">
        <v>2017</v>
      </c>
      <c r="C6710" s="1" t="s">
        <v>2505</v>
      </c>
      <c r="D6710" s="1" t="s">
        <v>2506</v>
      </c>
      <c r="E6710" s="1" t="s">
        <v>2019</v>
      </c>
      <c r="F6710" s="1" t="s">
        <v>669</v>
      </c>
      <c r="G6710" s="51">
        <v>12850</v>
      </c>
      <c r="H6710" t="str">
        <f>IFERROR(VLOOKUP(F6710,'LEAID Match'!$A$2:$B$142,2,FALSE),"")</f>
        <v/>
      </c>
    </row>
    <row r="6711" spans="1:8" x14ac:dyDescent="0.2">
      <c r="A6711" t="str">
        <f t="shared" si="104"/>
        <v/>
      </c>
      <c r="B6711" s="1">
        <v>2018</v>
      </c>
      <c r="C6711" s="1" t="s">
        <v>2505</v>
      </c>
      <c r="D6711" s="1" t="s">
        <v>2506</v>
      </c>
      <c r="E6711" s="1" t="s">
        <v>2019</v>
      </c>
      <c r="F6711" s="1" t="s">
        <v>669</v>
      </c>
      <c r="G6711" s="6">
        <v>13318</v>
      </c>
      <c r="H6711" t="str">
        <f>IFERROR(VLOOKUP(F6711,'LEAID Match'!$A$2:$B$142,2,FALSE),"")</f>
        <v/>
      </c>
    </row>
    <row r="6712" spans="1:8" x14ac:dyDescent="0.2">
      <c r="A6712" t="str">
        <f t="shared" si="104"/>
        <v/>
      </c>
      <c r="B6712" s="1">
        <v>2019</v>
      </c>
      <c r="C6712" s="1" t="s">
        <v>2505</v>
      </c>
      <c r="D6712" s="1" t="s">
        <v>2506</v>
      </c>
      <c r="E6712" s="1" t="s">
        <v>2019</v>
      </c>
      <c r="F6712" s="1" t="s">
        <v>669</v>
      </c>
      <c r="G6712" s="6">
        <v>13677</v>
      </c>
      <c r="H6712" t="str">
        <f>IFERROR(VLOOKUP(F6712,'LEAID Match'!$A$2:$B$142,2,FALSE),"")</f>
        <v/>
      </c>
    </row>
    <row r="6713" spans="1:8" x14ac:dyDescent="0.2">
      <c r="A6713" t="str">
        <f t="shared" si="104"/>
        <v/>
      </c>
      <c r="B6713" s="1">
        <v>2020</v>
      </c>
      <c r="C6713" s="1" t="s">
        <v>2505</v>
      </c>
      <c r="D6713" s="1" t="s">
        <v>2506</v>
      </c>
      <c r="E6713" s="1" t="s">
        <v>2019</v>
      </c>
      <c r="F6713" s="1" t="s">
        <v>669</v>
      </c>
      <c r="G6713" s="6">
        <v>15233</v>
      </c>
      <c r="H6713" t="str">
        <f>IFERROR(VLOOKUP(F6713,'LEAID Match'!$A$2:$B$142,2,FALSE),"")</f>
        <v/>
      </c>
    </row>
    <row r="6714" spans="1:8" x14ac:dyDescent="0.2">
      <c r="A6714" t="str">
        <f t="shared" si="104"/>
        <v/>
      </c>
      <c r="B6714" s="1">
        <v>2021</v>
      </c>
      <c r="C6714" s="1" t="s">
        <v>2505</v>
      </c>
      <c r="D6714" s="1" t="s">
        <v>2506</v>
      </c>
      <c r="E6714" s="1" t="s">
        <v>2019</v>
      </c>
      <c r="F6714" s="1" t="s">
        <v>669</v>
      </c>
      <c r="G6714" s="6">
        <v>15233</v>
      </c>
      <c r="H6714" t="str">
        <f>IFERROR(VLOOKUP(F6714,'LEAID Match'!$A$2:$B$142,2,FALSE),"")</f>
        <v/>
      </c>
    </row>
    <row r="6715" spans="1:8" x14ac:dyDescent="0.2">
      <c r="A6715" t="str">
        <f t="shared" si="104"/>
        <v/>
      </c>
      <c r="B6715" s="1">
        <v>2022</v>
      </c>
      <c r="C6715" s="1" t="s">
        <v>2505</v>
      </c>
      <c r="D6715" s="1" t="s">
        <v>2506</v>
      </c>
      <c r="E6715" s="1" t="s">
        <v>2019</v>
      </c>
      <c r="F6715" s="1" t="s">
        <v>669</v>
      </c>
      <c r="G6715" s="6">
        <v>15461</v>
      </c>
      <c r="H6715" t="str">
        <f>IFERROR(VLOOKUP(F6715,'LEAID Match'!$A$2:$B$142,2,FALSE),"")</f>
        <v/>
      </c>
    </row>
    <row r="6716" spans="1:8" x14ac:dyDescent="0.2">
      <c r="A6716" t="str">
        <f t="shared" si="104"/>
        <v/>
      </c>
      <c r="B6716" s="1">
        <v>2023</v>
      </c>
      <c r="C6716" s="1" t="s">
        <v>2505</v>
      </c>
      <c r="D6716" s="1" t="s">
        <v>2506</v>
      </c>
      <c r="E6716" s="1" t="s">
        <v>2019</v>
      </c>
      <c r="F6716" s="1" t="s">
        <v>669</v>
      </c>
      <c r="G6716" s="6">
        <v>15770</v>
      </c>
      <c r="H6716" t="str">
        <f>IFERROR(VLOOKUP(F6716,'LEAID Match'!$A$2:$B$142,2,FALSE),"")</f>
        <v/>
      </c>
    </row>
    <row r="6717" spans="1:8" x14ac:dyDescent="0.2">
      <c r="A6717" t="str">
        <f t="shared" si="104"/>
        <v/>
      </c>
      <c r="B6717" s="1">
        <v>2024</v>
      </c>
      <c r="C6717" s="1" t="s">
        <v>2505</v>
      </c>
      <c r="D6717" s="1" t="s">
        <v>2506</v>
      </c>
      <c r="E6717" s="1" t="s">
        <v>2019</v>
      </c>
      <c r="F6717" s="1" t="s">
        <v>669</v>
      </c>
      <c r="G6717" s="6">
        <v>15848</v>
      </c>
      <c r="H6717" t="str">
        <f>IFERROR(VLOOKUP(F6717,'LEAID Match'!$A$2:$B$142,2,FALSE),"")</f>
        <v/>
      </c>
    </row>
    <row r="6718" spans="1:8" x14ac:dyDescent="0.2">
      <c r="A6718" t="str">
        <f t="shared" si="104"/>
        <v/>
      </c>
      <c r="B6718" s="1">
        <v>2015</v>
      </c>
      <c r="C6718" s="1" t="s">
        <v>2505</v>
      </c>
      <c r="D6718" s="1" t="s">
        <v>2506</v>
      </c>
      <c r="E6718" s="1" t="s">
        <v>2019</v>
      </c>
      <c r="F6718" s="1" t="s">
        <v>670</v>
      </c>
      <c r="G6718" s="6">
        <v>43061</v>
      </c>
      <c r="H6718" t="str">
        <f>IFERROR(VLOOKUP(F6718,'LEAID Match'!$A$2:$B$142,2,FALSE),"")</f>
        <v/>
      </c>
    </row>
    <row r="6719" spans="1:8" x14ac:dyDescent="0.2">
      <c r="A6719" t="str">
        <f t="shared" si="104"/>
        <v/>
      </c>
      <c r="B6719">
        <v>2016</v>
      </c>
      <c r="C6719" s="1" t="s">
        <v>2505</v>
      </c>
      <c r="D6719" s="1" t="s">
        <v>2506</v>
      </c>
      <c r="E6719" s="1" t="s">
        <v>2019</v>
      </c>
      <c r="F6719" s="1" t="s">
        <v>670</v>
      </c>
      <c r="G6719" s="12">
        <v>40823</v>
      </c>
      <c r="H6719" t="str">
        <f>IFERROR(VLOOKUP(F6719,'LEAID Match'!$A$2:$B$142,2,FALSE),"")</f>
        <v/>
      </c>
    </row>
    <row r="6720" spans="1:8" x14ac:dyDescent="0.2">
      <c r="A6720" t="str">
        <f t="shared" si="104"/>
        <v/>
      </c>
      <c r="B6720" s="1">
        <v>2017</v>
      </c>
      <c r="C6720" s="1" t="s">
        <v>2505</v>
      </c>
      <c r="D6720" s="1" t="s">
        <v>2506</v>
      </c>
      <c r="E6720" s="1" t="s">
        <v>2019</v>
      </c>
      <c r="F6720" s="1" t="s">
        <v>670</v>
      </c>
      <c r="G6720" s="51">
        <v>40793</v>
      </c>
      <c r="H6720" t="str">
        <f>IFERROR(VLOOKUP(F6720,'LEAID Match'!$A$2:$B$142,2,FALSE),"")</f>
        <v/>
      </c>
    </row>
    <row r="6721" spans="1:8" x14ac:dyDescent="0.2">
      <c r="A6721" t="str">
        <f t="shared" si="104"/>
        <v/>
      </c>
      <c r="B6721" s="1">
        <v>2018</v>
      </c>
      <c r="C6721" s="1" t="s">
        <v>2505</v>
      </c>
      <c r="D6721" s="1" t="s">
        <v>2506</v>
      </c>
      <c r="E6721" s="1" t="s">
        <v>2019</v>
      </c>
      <c r="F6721" s="1" t="s">
        <v>670</v>
      </c>
      <c r="G6721" s="6">
        <v>45306</v>
      </c>
      <c r="H6721" t="str">
        <f>IFERROR(VLOOKUP(F6721,'LEAID Match'!$A$2:$B$142,2,FALSE),"")</f>
        <v/>
      </c>
    </row>
    <row r="6722" spans="1:8" x14ac:dyDescent="0.2">
      <c r="A6722" t="str">
        <f t="shared" si="104"/>
        <v/>
      </c>
      <c r="B6722" s="1">
        <v>2019</v>
      </c>
      <c r="C6722" s="1" t="s">
        <v>2505</v>
      </c>
      <c r="D6722" s="1" t="s">
        <v>2506</v>
      </c>
      <c r="E6722" s="1" t="s">
        <v>2019</v>
      </c>
      <c r="F6722" s="1" t="s">
        <v>670</v>
      </c>
      <c r="G6722" s="6">
        <v>45823</v>
      </c>
      <c r="H6722" t="str">
        <f>IFERROR(VLOOKUP(F6722,'LEAID Match'!$A$2:$B$142,2,FALSE),"")</f>
        <v/>
      </c>
    </row>
    <row r="6723" spans="1:8" x14ac:dyDescent="0.2">
      <c r="A6723" t="str">
        <f t="shared" ref="A6723:A6786" si="105">H6723</f>
        <v/>
      </c>
      <c r="B6723" s="1">
        <v>2020</v>
      </c>
      <c r="C6723" s="1" t="s">
        <v>2505</v>
      </c>
      <c r="D6723" s="1" t="s">
        <v>2506</v>
      </c>
      <c r="E6723" s="1" t="s">
        <v>2019</v>
      </c>
      <c r="F6723" s="1" t="s">
        <v>670</v>
      </c>
      <c r="G6723" s="6">
        <v>49614</v>
      </c>
      <c r="H6723" t="str">
        <f>IFERROR(VLOOKUP(F6723,'LEAID Match'!$A$2:$B$142,2,FALSE),"")</f>
        <v/>
      </c>
    </row>
    <row r="6724" spans="1:8" x14ac:dyDescent="0.2">
      <c r="A6724" t="str">
        <f t="shared" si="105"/>
        <v/>
      </c>
      <c r="B6724" s="1">
        <v>2021</v>
      </c>
      <c r="C6724" s="1" t="s">
        <v>2505</v>
      </c>
      <c r="D6724" s="1" t="s">
        <v>2506</v>
      </c>
      <c r="E6724" s="1" t="s">
        <v>2019</v>
      </c>
      <c r="F6724" s="1" t="s">
        <v>670</v>
      </c>
      <c r="G6724" s="6">
        <v>46926</v>
      </c>
      <c r="H6724" t="str">
        <f>IFERROR(VLOOKUP(F6724,'LEAID Match'!$A$2:$B$142,2,FALSE),"")</f>
        <v/>
      </c>
    </row>
    <row r="6725" spans="1:8" x14ac:dyDescent="0.2">
      <c r="A6725" t="str">
        <f t="shared" si="105"/>
        <v/>
      </c>
      <c r="B6725" s="1">
        <v>2022</v>
      </c>
      <c r="C6725" s="1" t="s">
        <v>2505</v>
      </c>
      <c r="D6725" s="1" t="s">
        <v>2506</v>
      </c>
      <c r="E6725" s="1" t="s">
        <v>2019</v>
      </c>
      <c r="F6725" s="1" t="s">
        <v>670</v>
      </c>
      <c r="G6725" s="6">
        <v>49729</v>
      </c>
      <c r="H6725" t="str">
        <f>IFERROR(VLOOKUP(F6725,'LEAID Match'!$A$2:$B$142,2,FALSE),"")</f>
        <v/>
      </c>
    </row>
    <row r="6726" spans="1:8" x14ac:dyDescent="0.2">
      <c r="A6726" t="str">
        <f t="shared" si="105"/>
        <v/>
      </c>
      <c r="B6726" s="1">
        <v>2023</v>
      </c>
      <c r="C6726" s="1" t="s">
        <v>2505</v>
      </c>
      <c r="D6726" s="1" t="s">
        <v>2506</v>
      </c>
      <c r="E6726" s="1" t="s">
        <v>2019</v>
      </c>
      <c r="F6726" s="1" t="s">
        <v>670</v>
      </c>
      <c r="G6726" s="6">
        <v>50694</v>
      </c>
      <c r="H6726" t="str">
        <f>IFERROR(VLOOKUP(F6726,'LEAID Match'!$A$2:$B$142,2,FALSE),"")</f>
        <v/>
      </c>
    </row>
    <row r="6727" spans="1:8" x14ac:dyDescent="0.2">
      <c r="A6727" t="str">
        <f t="shared" si="105"/>
        <v/>
      </c>
      <c r="B6727" s="1">
        <v>2024</v>
      </c>
      <c r="C6727" s="1" t="s">
        <v>2505</v>
      </c>
      <c r="D6727" s="1" t="s">
        <v>2506</v>
      </c>
      <c r="E6727" s="1" t="s">
        <v>2019</v>
      </c>
      <c r="F6727" s="1" t="s">
        <v>670</v>
      </c>
      <c r="G6727" s="6">
        <v>47292</v>
      </c>
      <c r="H6727" t="str">
        <f>IFERROR(VLOOKUP(F6727,'LEAID Match'!$A$2:$B$142,2,FALSE),"")</f>
        <v/>
      </c>
    </row>
    <row r="6728" spans="1:8" x14ac:dyDescent="0.2">
      <c r="A6728" t="str">
        <f t="shared" si="105"/>
        <v/>
      </c>
      <c r="B6728" s="1">
        <v>2015</v>
      </c>
      <c r="C6728" s="1" t="s">
        <v>2505</v>
      </c>
      <c r="D6728" s="1" t="s">
        <v>2506</v>
      </c>
      <c r="E6728" s="1" t="s">
        <v>2019</v>
      </c>
      <c r="F6728" s="1" t="s">
        <v>2410</v>
      </c>
      <c r="G6728" s="6">
        <v>135212</v>
      </c>
      <c r="H6728" t="str">
        <f>IFERROR(VLOOKUP(F6728,'LEAID Match'!$A$2:$B$142,2,FALSE),"")</f>
        <v/>
      </c>
    </row>
    <row r="6729" spans="1:8" x14ac:dyDescent="0.2">
      <c r="A6729" t="str">
        <f t="shared" si="105"/>
        <v/>
      </c>
      <c r="B6729" s="1">
        <v>2015</v>
      </c>
      <c r="C6729" s="1" t="s">
        <v>2505</v>
      </c>
      <c r="D6729" s="1" t="s">
        <v>2506</v>
      </c>
      <c r="E6729" s="1" t="s">
        <v>2019</v>
      </c>
      <c r="F6729" s="1" t="s">
        <v>671</v>
      </c>
      <c r="G6729" s="6">
        <v>64947</v>
      </c>
      <c r="H6729" t="str">
        <f>IFERROR(VLOOKUP(F6729,'LEAID Match'!$A$2:$B$142,2,FALSE),"")</f>
        <v/>
      </c>
    </row>
    <row r="6730" spans="1:8" x14ac:dyDescent="0.2">
      <c r="A6730" t="str">
        <f t="shared" si="105"/>
        <v/>
      </c>
      <c r="B6730">
        <v>2016</v>
      </c>
      <c r="C6730" s="1" t="s">
        <v>2505</v>
      </c>
      <c r="D6730" s="1" t="s">
        <v>2506</v>
      </c>
      <c r="E6730" s="1" t="s">
        <v>2019</v>
      </c>
      <c r="F6730" s="1" t="s">
        <v>671</v>
      </c>
      <c r="G6730" s="12">
        <v>64735</v>
      </c>
      <c r="H6730" t="str">
        <f>IFERROR(VLOOKUP(F6730,'LEAID Match'!$A$2:$B$142,2,FALSE),"")</f>
        <v/>
      </c>
    </row>
    <row r="6731" spans="1:8" x14ac:dyDescent="0.2">
      <c r="A6731" t="str">
        <f t="shared" si="105"/>
        <v/>
      </c>
      <c r="B6731" s="1">
        <v>2017</v>
      </c>
      <c r="C6731" s="1" t="s">
        <v>2505</v>
      </c>
      <c r="D6731" s="1" t="s">
        <v>2506</v>
      </c>
      <c r="E6731" s="1" t="s">
        <v>2019</v>
      </c>
      <c r="F6731" s="1" t="s">
        <v>671</v>
      </c>
      <c r="G6731" s="51">
        <v>61963</v>
      </c>
      <c r="H6731" t="str">
        <f>IFERROR(VLOOKUP(F6731,'LEAID Match'!$A$2:$B$142,2,FALSE),"")</f>
        <v/>
      </c>
    </row>
    <row r="6732" spans="1:8" x14ac:dyDescent="0.2">
      <c r="A6732" t="str">
        <f t="shared" si="105"/>
        <v/>
      </c>
      <c r="B6732" s="1">
        <v>2018</v>
      </c>
      <c r="C6732" s="1" t="s">
        <v>2505</v>
      </c>
      <c r="D6732" s="1" t="s">
        <v>2506</v>
      </c>
      <c r="E6732" s="1" t="s">
        <v>2019</v>
      </c>
      <c r="F6732" s="1" t="s">
        <v>671</v>
      </c>
      <c r="G6732" s="6">
        <v>61262</v>
      </c>
      <c r="H6732" t="str">
        <f>IFERROR(VLOOKUP(F6732,'LEAID Match'!$A$2:$B$142,2,FALSE),"")</f>
        <v/>
      </c>
    </row>
    <row r="6733" spans="1:8" x14ac:dyDescent="0.2">
      <c r="A6733" t="str">
        <f t="shared" si="105"/>
        <v/>
      </c>
      <c r="B6733" s="1">
        <v>2019</v>
      </c>
      <c r="C6733" s="1" t="s">
        <v>2505</v>
      </c>
      <c r="D6733" s="1" t="s">
        <v>2506</v>
      </c>
      <c r="E6733" s="1" t="s">
        <v>2019</v>
      </c>
      <c r="F6733" s="1" t="s">
        <v>671</v>
      </c>
      <c r="G6733" s="6">
        <v>55666</v>
      </c>
      <c r="H6733" t="str">
        <f>IFERROR(VLOOKUP(F6733,'LEAID Match'!$A$2:$B$142,2,FALSE),"")</f>
        <v/>
      </c>
    </row>
    <row r="6734" spans="1:8" x14ac:dyDescent="0.2">
      <c r="A6734" t="str">
        <f t="shared" si="105"/>
        <v/>
      </c>
      <c r="B6734" s="1">
        <v>2020</v>
      </c>
      <c r="C6734" s="1" t="s">
        <v>2505</v>
      </c>
      <c r="D6734" s="1" t="s">
        <v>2506</v>
      </c>
      <c r="E6734" s="1" t="s">
        <v>2019</v>
      </c>
      <c r="F6734" s="1" t="s">
        <v>671</v>
      </c>
      <c r="G6734" s="6">
        <v>55673</v>
      </c>
      <c r="H6734" t="str">
        <f>IFERROR(VLOOKUP(F6734,'LEAID Match'!$A$2:$B$142,2,FALSE),"")</f>
        <v/>
      </c>
    </row>
    <row r="6735" spans="1:8" x14ac:dyDescent="0.2">
      <c r="A6735" t="str">
        <f t="shared" si="105"/>
        <v/>
      </c>
      <c r="B6735" s="1">
        <v>2021</v>
      </c>
      <c r="C6735" s="1" t="s">
        <v>2505</v>
      </c>
      <c r="D6735" s="1" t="s">
        <v>2506</v>
      </c>
      <c r="E6735" s="1" t="s">
        <v>2019</v>
      </c>
      <c r="F6735" s="1" t="s">
        <v>671</v>
      </c>
      <c r="G6735" s="6">
        <v>56033</v>
      </c>
      <c r="H6735" t="str">
        <f>IFERROR(VLOOKUP(F6735,'LEAID Match'!$A$2:$B$142,2,FALSE),"")</f>
        <v/>
      </c>
    </row>
    <row r="6736" spans="1:8" x14ac:dyDescent="0.2">
      <c r="A6736" t="str">
        <f t="shared" si="105"/>
        <v/>
      </c>
      <c r="B6736" s="1">
        <v>2022</v>
      </c>
      <c r="C6736" s="1" t="s">
        <v>2505</v>
      </c>
      <c r="D6736" s="1" t="s">
        <v>2506</v>
      </c>
      <c r="E6736" s="1" t="s">
        <v>2019</v>
      </c>
      <c r="F6736" s="1" t="s">
        <v>671</v>
      </c>
      <c r="G6736" s="6">
        <v>71487</v>
      </c>
      <c r="H6736" t="str">
        <f>IFERROR(VLOOKUP(F6736,'LEAID Match'!$A$2:$B$142,2,FALSE),"")</f>
        <v/>
      </c>
    </row>
    <row r="6737" spans="1:8" x14ac:dyDescent="0.2">
      <c r="A6737" t="str">
        <f t="shared" si="105"/>
        <v/>
      </c>
      <c r="B6737" s="1">
        <v>2023</v>
      </c>
      <c r="C6737" s="1" t="s">
        <v>2505</v>
      </c>
      <c r="D6737" s="1" t="s">
        <v>2506</v>
      </c>
      <c r="E6737" s="1" t="s">
        <v>2019</v>
      </c>
      <c r="F6737" s="1" t="s">
        <v>671</v>
      </c>
      <c r="G6737" s="6">
        <v>78780</v>
      </c>
      <c r="H6737" t="str">
        <f>IFERROR(VLOOKUP(F6737,'LEAID Match'!$A$2:$B$142,2,FALSE),"")</f>
        <v/>
      </c>
    </row>
    <row r="6738" spans="1:8" x14ac:dyDescent="0.2">
      <c r="A6738" t="str">
        <f t="shared" si="105"/>
        <v/>
      </c>
      <c r="B6738" s="1">
        <v>2024</v>
      </c>
      <c r="C6738" s="1" t="s">
        <v>2505</v>
      </c>
      <c r="D6738" s="1" t="s">
        <v>2506</v>
      </c>
      <c r="E6738" s="1" t="s">
        <v>2019</v>
      </c>
      <c r="F6738" s="1" t="s">
        <v>671</v>
      </c>
      <c r="G6738" s="6">
        <v>71502</v>
      </c>
      <c r="H6738" t="str">
        <f>IFERROR(VLOOKUP(F6738,'LEAID Match'!$A$2:$B$142,2,FALSE),"")</f>
        <v/>
      </c>
    </row>
    <row r="6739" spans="1:8" x14ac:dyDescent="0.2">
      <c r="A6739" t="str">
        <f t="shared" si="105"/>
        <v/>
      </c>
      <c r="B6739" s="1">
        <v>2015</v>
      </c>
      <c r="C6739" s="1" t="s">
        <v>2505</v>
      </c>
      <c r="D6739" s="1" t="s">
        <v>2506</v>
      </c>
      <c r="E6739" s="1" t="s">
        <v>2019</v>
      </c>
      <c r="F6739" s="1" t="s">
        <v>672</v>
      </c>
      <c r="G6739" s="6">
        <v>6038</v>
      </c>
      <c r="H6739" t="str">
        <f>IFERROR(VLOOKUP(F6739,'LEAID Match'!$A$2:$B$142,2,FALSE),"")</f>
        <v/>
      </c>
    </row>
    <row r="6740" spans="1:8" x14ac:dyDescent="0.2">
      <c r="A6740" t="str">
        <f t="shared" si="105"/>
        <v/>
      </c>
      <c r="B6740">
        <v>2016</v>
      </c>
      <c r="C6740" s="1" t="s">
        <v>2505</v>
      </c>
      <c r="D6740" s="1" t="s">
        <v>2506</v>
      </c>
      <c r="E6740" s="1" t="s">
        <v>2019</v>
      </c>
      <c r="F6740" s="1" t="s">
        <v>672</v>
      </c>
      <c r="G6740" s="12">
        <v>5168</v>
      </c>
      <c r="H6740" t="str">
        <f>IFERROR(VLOOKUP(F6740,'LEAID Match'!$A$2:$B$142,2,FALSE),"")</f>
        <v/>
      </c>
    </row>
    <row r="6741" spans="1:8" x14ac:dyDescent="0.2">
      <c r="A6741" t="str">
        <f t="shared" si="105"/>
        <v/>
      </c>
      <c r="B6741" s="1">
        <v>2017</v>
      </c>
      <c r="C6741" s="1" t="s">
        <v>2505</v>
      </c>
      <c r="D6741" s="1" t="s">
        <v>2506</v>
      </c>
      <c r="E6741" s="1" t="s">
        <v>2019</v>
      </c>
      <c r="F6741" s="1" t="s">
        <v>672</v>
      </c>
      <c r="G6741" s="51">
        <v>5663</v>
      </c>
      <c r="H6741" t="str">
        <f>IFERROR(VLOOKUP(F6741,'LEAID Match'!$A$2:$B$142,2,FALSE),"")</f>
        <v/>
      </c>
    </row>
    <row r="6742" spans="1:8" x14ac:dyDescent="0.2">
      <c r="A6742" t="str">
        <f t="shared" si="105"/>
        <v/>
      </c>
      <c r="B6742" s="1">
        <v>2018</v>
      </c>
      <c r="C6742" s="1" t="s">
        <v>2505</v>
      </c>
      <c r="D6742" s="1" t="s">
        <v>2506</v>
      </c>
      <c r="E6742" s="1" t="s">
        <v>2019</v>
      </c>
      <c r="F6742" s="1" t="s">
        <v>672</v>
      </c>
      <c r="G6742" s="6">
        <v>5698</v>
      </c>
      <c r="H6742" t="str">
        <f>IFERROR(VLOOKUP(F6742,'LEAID Match'!$A$2:$B$142,2,FALSE),"")</f>
        <v/>
      </c>
    </row>
    <row r="6743" spans="1:8" x14ac:dyDescent="0.2">
      <c r="A6743" t="str">
        <f t="shared" si="105"/>
        <v/>
      </c>
      <c r="B6743" s="1">
        <v>2019</v>
      </c>
      <c r="C6743" s="1" t="s">
        <v>2505</v>
      </c>
      <c r="D6743" s="1" t="s">
        <v>2506</v>
      </c>
      <c r="E6743" s="1" t="s">
        <v>2019</v>
      </c>
      <c r="F6743" s="1" t="s">
        <v>672</v>
      </c>
      <c r="G6743" s="6">
        <v>6070</v>
      </c>
      <c r="H6743" t="str">
        <f>IFERROR(VLOOKUP(F6743,'LEAID Match'!$A$2:$B$142,2,FALSE),"")</f>
        <v/>
      </c>
    </row>
    <row r="6744" spans="1:8" x14ac:dyDescent="0.2">
      <c r="A6744" t="str">
        <f t="shared" si="105"/>
        <v/>
      </c>
      <c r="B6744" s="1">
        <v>2020</v>
      </c>
      <c r="C6744" s="1" t="s">
        <v>2505</v>
      </c>
      <c r="D6744" s="1" t="s">
        <v>2506</v>
      </c>
      <c r="E6744" s="1" t="s">
        <v>2019</v>
      </c>
      <c r="F6744" s="1" t="s">
        <v>672</v>
      </c>
      <c r="G6744" s="6">
        <v>7848</v>
      </c>
      <c r="H6744" t="str">
        <f>IFERROR(VLOOKUP(F6744,'LEAID Match'!$A$2:$B$142,2,FALSE),"")</f>
        <v/>
      </c>
    </row>
    <row r="6745" spans="1:8" x14ac:dyDescent="0.2">
      <c r="A6745" t="str">
        <f t="shared" si="105"/>
        <v/>
      </c>
      <c r="B6745" s="1">
        <v>2021</v>
      </c>
      <c r="C6745" s="1" t="s">
        <v>2505</v>
      </c>
      <c r="D6745" s="1" t="s">
        <v>2506</v>
      </c>
      <c r="E6745" s="1" t="s">
        <v>2019</v>
      </c>
      <c r="F6745" s="1" t="s">
        <v>672</v>
      </c>
      <c r="G6745" s="6">
        <v>7647</v>
      </c>
      <c r="H6745" t="str">
        <f>IFERROR(VLOOKUP(F6745,'LEAID Match'!$A$2:$B$142,2,FALSE),"")</f>
        <v/>
      </c>
    </row>
    <row r="6746" spans="1:8" x14ac:dyDescent="0.2">
      <c r="A6746" t="str">
        <f t="shared" si="105"/>
        <v/>
      </c>
      <c r="B6746" s="1">
        <v>2022</v>
      </c>
      <c r="C6746" s="1" t="s">
        <v>2505</v>
      </c>
      <c r="D6746" s="1" t="s">
        <v>2506</v>
      </c>
      <c r="E6746" s="1" t="s">
        <v>2019</v>
      </c>
      <c r="F6746" s="1" t="s">
        <v>672</v>
      </c>
      <c r="G6746" s="6">
        <v>7758</v>
      </c>
      <c r="H6746" t="str">
        <f>IFERROR(VLOOKUP(F6746,'LEAID Match'!$A$2:$B$142,2,FALSE),"")</f>
        <v/>
      </c>
    </row>
    <row r="6747" spans="1:8" x14ac:dyDescent="0.2">
      <c r="A6747" t="str">
        <f t="shared" si="105"/>
        <v/>
      </c>
      <c r="B6747" s="1">
        <v>2023</v>
      </c>
      <c r="C6747" s="1" t="s">
        <v>2505</v>
      </c>
      <c r="D6747" s="1" t="s">
        <v>2506</v>
      </c>
      <c r="E6747" s="1" t="s">
        <v>2019</v>
      </c>
      <c r="F6747" s="1" t="s">
        <v>672</v>
      </c>
      <c r="G6747" s="6">
        <v>9969</v>
      </c>
      <c r="H6747" t="str">
        <f>IFERROR(VLOOKUP(F6747,'LEAID Match'!$A$2:$B$142,2,FALSE),"")</f>
        <v/>
      </c>
    </row>
    <row r="6748" spans="1:8" x14ac:dyDescent="0.2">
      <c r="A6748" t="str">
        <f t="shared" si="105"/>
        <v/>
      </c>
      <c r="B6748" s="1">
        <v>2024</v>
      </c>
      <c r="C6748" s="1" t="s">
        <v>2505</v>
      </c>
      <c r="D6748" s="1" t="s">
        <v>2506</v>
      </c>
      <c r="E6748" s="1" t="s">
        <v>2019</v>
      </c>
      <c r="F6748" s="1" t="s">
        <v>672</v>
      </c>
      <c r="G6748" s="6">
        <v>10875</v>
      </c>
      <c r="H6748" t="str">
        <f>IFERROR(VLOOKUP(F6748,'LEAID Match'!$A$2:$B$142,2,FALSE),"")</f>
        <v/>
      </c>
    </row>
    <row r="6749" spans="1:8" x14ac:dyDescent="0.2">
      <c r="A6749" t="str">
        <f t="shared" si="105"/>
        <v/>
      </c>
      <c r="B6749" s="1">
        <v>2015</v>
      </c>
      <c r="C6749" s="1" t="s">
        <v>2505</v>
      </c>
      <c r="D6749" s="1" t="s">
        <v>2506</v>
      </c>
      <c r="E6749" s="1" t="s">
        <v>2019</v>
      </c>
      <c r="F6749" s="1" t="s">
        <v>673</v>
      </c>
      <c r="G6749" s="6">
        <v>50830</v>
      </c>
      <c r="H6749" t="str">
        <f>IFERROR(VLOOKUP(F6749,'LEAID Match'!$A$2:$B$142,2,FALSE),"")</f>
        <v/>
      </c>
    </row>
    <row r="6750" spans="1:8" x14ac:dyDescent="0.2">
      <c r="A6750" t="str">
        <f t="shared" si="105"/>
        <v/>
      </c>
      <c r="B6750">
        <v>2016</v>
      </c>
      <c r="C6750" s="1" t="s">
        <v>2505</v>
      </c>
      <c r="D6750" s="1" t="s">
        <v>2506</v>
      </c>
      <c r="E6750" s="1" t="s">
        <v>2019</v>
      </c>
      <c r="F6750" s="1" t="s">
        <v>673</v>
      </c>
      <c r="G6750" s="12">
        <v>53450</v>
      </c>
      <c r="H6750" t="str">
        <f>IFERROR(VLOOKUP(F6750,'LEAID Match'!$A$2:$B$142,2,FALSE),"")</f>
        <v/>
      </c>
    </row>
    <row r="6751" spans="1:8" x14ac:dyDescent="0.2">
      <c r="A6751" t="str">
        <f t="shared" si="105"/>
        <v/>
      </c>
      <c r="B6751" s="1">
        <v>2017</v>
      </c>
      <c r="C6751" s="1" t="s">
        <v>2505</v>
      </c>
      <c r="D6751" s="1" t="s">
        <v>2506</v>
      </c>
      <c r="E6751" s="1" t="s">
        <v>2019</v>
      </c>
      <c r="F6751" s="1" t="s">
        <v>673</v>
      </c>
      <c r="G6751" s="51">
        <v>52683</v>
      </c>
      <c r="H6751" t="str">
        <f>IFERROR(VLOOKUP(F6751,'LEAID Match'!$A$2:$B$142,2,FALSE),"")</f>
        <v/>
      </c>
    </row>
    <row r="6752" spans="1:8" x14ac:dyDescent="0.2">
      <c r="A6752" t="str">
        <f t="shared" si="105"/>
        <v/>
      </c>
      <c r="B6752" s="1">
        <v>2018</v>
      </c>
      <c r="C6752" s="1" t="s">
        <v>2505</v>
      </c>
      <c r="D6752" s="1" t="s">
        <v>2506</v>
      </c>
      <c r="E6752" s="1" t="s">
        <v>2019</v>
      </c>
      <c r="F6752" s="1" t="s">
        <v>673</v>
      </c>
      <c r="G6752" s="6">
        <v>55628</v>
      </c>
      <c r="H6752" t="str">
        <f>IFERROR(VLOOKUP(F6752,'LEAID Match'!$A$2:$B$142,2,FALSE),"")</f>
        <v/>
      </c>
    </row>
    <row r="6753" spans="1:8" x14ac:dyDescent="0.2">
      <c r="A6753" t="str">
        <f t="shared" si="105"/>
        <v/>
      </c>
      <c r="B6753" s="1">
        <v>2019</v>
      </c>
      <c r="C6753" s="1" t="s">
        <v>2505</v>
      </c>
      <c r="D6753" s="1" t="s">
        <v>2506</v>
      </c>
      <c r="E6753" s="1" t="s">
        <v>2019</v>
      </c>
      <c r="F6753" s="1" t="s">
        <v>673</v>
      </c>
      <c r="G6753" s="6">
        <v>58099</v>
      </c>
      <c r="H6753" t="str">
        <f>IFERROR(VLOOKUP(F6753,'LEAID Match'!$A$2:$B$142,2,FALSE),"")</f>
        <v/>
      </c>
    </row>
    <row r="6754" spans="1:8" x14ac:dyDescent="0.2">
      <c r="A6754" t="str">
        <f t="shared" si="105"/>
        <v/>
      </c>
      <c r="B6754" s="1">
        <v>2020</v>
      </c>
      <c r="C6754" s="1" t="s">
        <v>2505</v>
      </c>
      <c r="D6754" s="1" t="s">
        <v>2506</v>
      </c>
      <c r="E6754" s="1" t="s">
        <v>2019</v>
      </c>
      <c r="F6754" s="1" t="s">
        <v>673</v>
      </c>
      <c r="G6754" s="6">
        <v>63959</v>
      </c>
      <c r="H6754" t="str">
        <f>IFERROR(VLOOKUP(F6754,'LEAID Match'!$A$2:$B$142,2,FALSE),"")</f>
        <v/>
      </c>
    </row>
    <row r="6755" spans="1:8" x14ac:dyDescent="0.2">
      <c r="A6755" t="str">
        <f t="shared" si="105"/>
        <v/>
      </c>
      <c r="B6755" s="1">
        <v>2021</v>
      </c>
      <c r="C6755" s="1" t="s">
        <v>2505</v>
      </c>
      <c r="D6755" s="1" t="s">
        <v>2506</v>
      </c>
      <c r="E6755" s="1" t="s">
        <v>2019</v>
      </c>
      <c r="F6755" s="1" t="s">
        <v>673</v>
      </c>
      <c r="G6755" s="6">
        <v>66181</v>
      </c>
      <c r="H6755" t="str">
        <f>IFERROR(VLOOKUP(F6755,'LEAID Match'!$A$2:$B$142,2,FALSE),"")</f>
        <v/>
      </c>
    </row>
    <row r="6756" spans="1:8" x14ac:dyDescent="0.2">
      <c r="A6756" t="str">
        <f t="shared" si="105"/>
        <v/>
      </c>
      <c r="B6756" s="1">
        <v>2022</v>
      </c>
      <c r="C6756" s="1" t="s">
        <v>2505</v>
      </c>
      <c r="D6756" s="1" t="s">
        <v>2506</v>
      </c>
      <c r="E6756" s="1" t="s">
        <v>2019</v>
      </c>
      <c r="F6756" s="1" t="s">
        <v>673</v>
      </c>
      <c r="G6756" s="6">
        <v>68347</v>
      </c>
      <c r="H6756" t="str">
        <f>IFERROR(VLOOKUP(F6756,'LEAID Match'!$A$2:$B$142,2,FALSE),"")</f>
        <v/>
      </c>
    </row>
    <row r="6757" spans="1:8" x14ac:dyDescent="0.2">
      <c r="A6757" t="str">
        <f t="shared" si="105"/>
        <v/>
      </c>
      <c r="B6757" s="1">
        <v>2023</v>
      </c>
      <c r="C6757" s="1" t="s">
        <v>2505</v>
      </c>
      <c r="D6757" s="1" t="s">
        <v>2506</v>
      </c>
      <c r="E6757" s="1" t="s">
        <v>2019</v>
      </c>
      <c r="F6757" s="1" t="s">
        <v>673</v>
      </c>
      <c r="G6757" s="6">
        <v>81579</v>
      </c>
      <c r="H6757" t="str">
        <f>IFERROR(VLOOKUP(F6757,'LEAID Match'!$A$2:$B$142,2,FALSE),"")</f>
        <v/>
      </c>
    </row>
    <row r="6758" spans="1:8" x14ac:dyDescent="0.2">
      <c r="A6758" t="str">
        <f t="shared" si="105"/>
        <v/>
      </c>
      <c r="B6758" s="1">
        <v>2024</v>
      </c>
      <c r="C6758" s="1" t="s">
        <v>2505</v>
      </c>
      <c r="D6758" s="1" t="s">
        <v>2506</v>
      </c>
      <c r="E6758" s="1" t="s">
        <v>2019</v>
      </c>
      <c r="F6758" s="1" t="s">
        <v>673</v>
      </c>
      <c r="G6758" s="6">
        <v>85328</v>
      </c>
      <c r="H6758" t="str">
        <f>IFERROR(VLOOKUP(F6758,'LEAID Match'!$A$2:$B$142,2,FALSE),"")</f>
        <v/>
      </c>
    </row>
    <row r="6759" spans="1:8" x14ac:dyDescent="0.2">
      <c r="A6759" t="str">
        <f t="shared" si="105"/>
        <v/>
      </c>
      <c r="B6759" s="1">
        <v>2015</v>
      </c>
      <c r="C6759" s="1" t="s">
        <v>2505</v>
      </c>
      <c r="D6759" s="1" t="s">
        <v>2506</v>
      </c>
      <c r="E6759" s="1" t="s">
        <v>2019</v>
      </c>
      <c r="F6759" s="1" t="s">
        <v>674</v>
      </c>
      <c r="G6759" s="6">
        <v>17873</v>
      </c>
      <c r="H6759" t="str">
        <f>IFERROR(VLOOKUP(F6759,'LEAID Match'!$A$2:$B$142,2,FALSE),"")</f>
        <v/>
      </c>
    </row>
    <row r="6760" spans="1:8" x14ac:dyDescent="0.2">
      <c r="A6760" t="str">
        <f t="shared" si="105"/>
        <v/>
      </c>
      <c r="B6760">
        <v>2016</v>
      </c>
      <c r="C6760" s="1" t="s">
        <v>2505</v>
      </c>
      <c r="D6760" s="1" t="s">
        <v>2506</v>
      </c>
      <c r="E6760" s="1" t="s">
        <v>2019</v>
      </c>
      <c r="F6760" s="1" t="s">
        <v>674</v>
      </c>
      <c r="G6760" s="12">
        <v>17990</v>
      </c>
      <c r="H6760" t="str">
        <f>IFERROR(VLOOKUP(F6760,'LEAID Match'!$A$2:$B$142,2,FALSE),"")</f>
        <v/>
      </c>
    </row>
    <row r="6761" spans="1:8" x14ac:dyDescent="0.2">
      <c r="A6761" t="str">
        <f t="shared" si="105"/>
        <v/>
      </c>
      <c r="B6761" s="1">
        <v>2017</v>
      </c>
      <c r="C6761" s="1" t="s">
        <v>2505</v>
      </c>
      <c r="D6761" s="1" t="s">
        <v>2506</v>
      </c>
      <c r="E6761" s="1" t="s">
        <v>2019</v>
      </c>
      <c r="F6761" s="1" t="s">
        <v>674</v>
      </c>
      <c r="G6761" s="51">
        <v>14788</v>
      </c>
      <c r="H6761" t="str">
        <f>IFERROR(VLOOKUP(F6761,'LEAID Match'!$A$2:$B$142,2,FALSE),"")</f>
        <v/>
      </c>
    </row>
    <row r="6762" spans="1:8" x14ac:dyDescent="0.2">
      <c r="A6762" t="str">
        <f t="shared" si="105"/>
        <v/>
      </c>
      <c r="B6762" s="1">
        <v>2018</v>
      </c>
      <c r="C6762" s="1" t="s">
        <v>2505</v>
      </c>
      <c r="D6762" s="1" t="s">
        <v>2506</v>
      </c>
      <c r="E6762" s="1" t="s">
        <v>2019</v>
      </c>
      <c r="F6762" s="1" t="s">
        <v>674</v>
      </c>
      <c r="G6762" s="6">
        <v>15301</v>
      </c>
      <c r="H6762" t="str">
        <f>IFERROR(VLOOKUP(F6762,'LEAID Match'!$A$2:$B$142,2,FALSE),"")</f>
        <v/>
      </c>
    </row>
    <row r="6763" spans="1:8" x14ac:dyDescent="0.2">
      <c r="A6763" t="str">
        <f t="shared" si="105"/>
        <v/>
      </c>
      <c r="B6763" s="1">
        <v>2019</v>
      </c>
      <c r="C6763" s="1" t="s">
        <v>2505</v>
      </c>
      <c r="D6763" s="1" t="s">
        <v>2506</v>
      </c>
      <c r="E6763" s="1" t="s">
        <v>2019</v>
      </c>
      <c r="F6763" s="1" t="s">
        <v>674</v>
      </c>
      <c r="G6763" s="6">
        <v>13233</v>
      </c>
      <c r="H6763" t="str">
        <f>IFERROR(VLOOKUP(F6763,'LEAID Match'!$A$2:$B$142,2,FALSE),"")</f>
        <v/>
      </c>
    </row>
    <row r="6764" spans="1:8" x14ac:dyDescent="0.2">
      <c r="A6764" t="str">
        <f t="shared" si="105"/>
        <v/>
      </c>
      <c r="B6764" s="1">
        <v>2020</v>
      </c>
      <c r="C6764" s="1" t="s">
        <v>2505</v>
      </c>
      <c r="D6764" s="1" t="s">
        <v>2506</v>
      </c>
      <c r="E6764" s="1" t="s">
        <v>2019</v>
      </c>
      <c r="F6764" s="1" t="s">
        <v>674</v>
      </c>
      <c r="G6764" s="6">
        <v>12968</v>
      </c>
      <c r="H6764" t="str">
        <f>IFERROR(VLOOKUP(F6764,'LEAID Match'!$A$2:$B$142,2,FALSE),"")</f>
        <v/>
      </c>
    </row>
    <row r="6765" spans="1:8" x14ac:dyDescent="0.2">
      <c r="A6765" t="str">
        <f t="shared" si="105"/>
        <v/>
      </c>
      <c r="B6765" s="1">
        <v>2021</v>
      </c>
      <c r="C6765" s="1" t="s">
        <v>2505</v>
      </c>
      <c r="D6765" s="1" t="s">
        <v>2506</v>
      </c>
      <c r="E6765" s="1" t="s">
        <v>2019</v>
      </c>
      <c r="F6765" s="1" t="s">
        <v>674</v>
      </c>
      <c r="G6765" s="6">
        <v>21530</v>
      </c>
      <c r="H6765" t="str">
        <f>IFERROR(VLOOKUP(F6765,'LEAID Match'!$A$2:$B$142,2,FALSE),"")</f>
        <v/>
      </c>
    </row>
    <row r="6766" spans="1:8" x14ac:dyDescent="0.2">
      <c r="A6766" t="str">
        <f t="shared" si="105"/>
        <v/>
      </c>
      <c r="B6766" s="1">
        <v>2022</v>
      </c>
      <c r="C6766" s="1" t="s">
        <v>2505</v>
      </c>
      <c r="D6766" s="1" t="s">
        <v>2506</v>
      </c>
      <c r="E6766" s="1" t="s">
        <v>2019</v>
      </c>
      <c r="F6766" s="1" t="s">
        <v>674</v>
      </c>
      <c r="G6766" s="6">
        <v>19283</v>
      </c>
      <c r="H6766" t="str">
        <f>IFERROR(VLOOKUP(F6766,'LEAID Match'!$A$2:$B$142,2,FALSE),"")</f>
        <v/>
      </c>
    </row>
    <row r="6767" spans="1:8" x14ac:dyDescent="0.2">
      <c r="A6767" t="str">
        <f t="shared" si="105"/>
        <v/>
      </c>
      <c r="B6767" s="1">
        <v>2023</v>
      </c>
      <c r="C6767" s="1" t="s">
        <v>2505</v>
      </c>
      <c r="D6767" s="1" t="s">
        <v>2506</v>
      </c>
      <c r="E6767" s="1" t="s">
        <v>2019</v>
      </c>
      <c r="F6767" s="1" t="s">
        <v>674</v>
      </c>
      <c r="G6767" s="6">
        <v>18334</v>
      </c>
      <c r="H6767" t="str">
        <f>IFERROR(VLOOKUP(F6767,'LEAID Match'!$A$2:$B$142,2,FALSE),"")</f>
        <v/>
      </c>
    </row>
    <row r="6768" spans="1:8" x14ac:dyDescent="0.2">
      <c r="A6768" t="str">
        <f t="shared" si="105"/>
        <v/>
      </c>
      <c r="B6768" s="1">
        <v>2024</v>
      </c>
      <c r="C6768" s="1" t="s">
        <v>2505</v>
      </c>
      <c r="D6768" s="1" t="s">
        <v>2506</v>
      </c>
      <c r="E6768" s="1" t="s">
        <v>2019</v>
      </c>
      <c r="F6768" s="1" t="s">
        <v>674</v>
      </c>
      <c r="G6768" s="6">
        <v>19828</v>
      </c>
      <c r="H6768" t="str">
        <f>IFERROR(VLOOKUP(F6768,'LEAID Match'!$A$2:$B$142,2,FALSE),"")</f>
        <v/>
      </c>
    </row>
    <row r="6769" spans="1:8" x14ac:dyDescent="0.2">
      <c r="A6769" t="str">
        <f t="shared" si="105"/>
        <v/>
      </c>
      <c r="B6769" s="1">
        <v>2015</v>
      </c>
      <c r="C6769" s="1" t="s">
        <v>2505</v>
      </c>
      <c r="D6769" s="1" t="s">
        <v>2506</v>
      </c>
      <c r="E6769" s="1" t="s">
        <v>2019</v>
      </c>
      <c r="F6769" s="1" t="s">
        <v>675</v>
      </c>
      <c r="G6769" s="6">
        <v>24660</v>
      </c>
      <c r="H6769" t="str">
        <f>IFERROR(VLOOKUP(F6769,'LEAID Match'!$A$2:$B$142,2,FALSE),"")</f>
        <v/>
      </c>
    </row>
    <row r="6770" spans="1:8" x14ac:dyDescent="0.2">
      <c r="A6770" t="str">
        <f t="shared" si="105"/>
        <v/>
      </c>
      <c r="B6770">
        <v>2016</v>
      </c>
      <c r="C6770" s="1" t="s">
        <v>2505</v>
      </c>
      <c r="D6770" s="1" t="s">
        <v>2506</v>
      </c>
      <c r="E6770" s="1" t="s">
        <v>2019</v>
      </c>
      <c r="F6770" s="1" t="s">
        <v>675</v>
      </c>
      <c r="G6770" s="12">
        <v>24689</v>
      </c>
      <c r="H6770" t="str">
        <f>IFERROR(VLOOKUP(F6770,'LEAID Match'!$A$2:$B$142,2,FALSE),"")</f>
        <v/>
      </c>
    </row>
    <row r="6771" spans="1:8" x14ac:dyDescent="0.2">
      <c r="A6771" t="str">
        <f t="shared" si="105"/>
        <v/>
      </c>
      <c r="B6771" s="1">
        <v>2017</v>
      </c>
      <c r="C6771" s="1" t="s">
        <v>2505</v>
      </c>
      <c r="D6771" s="1" t="s">
        <v>2506</v>
      </c>
      <c r="E6771" s="1" t="s">
        <v>2019</v>
      </c>
      <c r="F6771" s="1" t="s">
        <v>675</v>
      </c>
      <c r="G6771" s="51">
        <v>24072</v>
      </c>
      <c r="H6771" t="str">
        <f>IFERROR(VLOOKUP(F6771,'LEAID Match'!$A$2:$B$142,2,FALSE),"")</f>
        <v/>
      </c>
    </row>
    <row r="6772" spans="1:8" x14ac:dyDescent="0.2">
      <c r="A6772" t="str">
        <f t="shared" si="105"/>
        <v/>
      </c>
      <c r="B6772" s="1">
        <v>2018</v>
      </c>
      <c r="C6772" s="1" t="s">
        <v>2505</v>
      </c>
      <c r="D6772" s="1" t="s">
        <v>2506</v>
      </c>
      <c r="E6772" s="1" t="s">
        <v>2019</v>
      </c>
      <c r="F6772" s="1" t="s">
        <v>675</v>
      </c>
      <c r="G6772" s="6">
        <v>22878</v>
      </c>
      <c r="H6772" t="str">
        <f>IFERROR(VLOOKUP(F6772,'LEAID Match'!$A$2:$B$142,2,FALSE),"")</f>
        <v/>
      </c>
    </row>
    <row r="6773" spans="1:8" x14ac:dyDescent="0.2">
      <c r="A6773" t="str">
        <f t="shared" si="105"/>
        <v/>
      </c>
      <c r="B6773" s="1">
        <v>2019</v>
      </c>
      <c r="C6773" s="1" t="s">
        <v>2505</v>
      </c>
      <c r="D6773" s="1" t="s">
        <v>2506</v>
      </c>
      <c r="E6773" s="1" t="s">
        <v>2019</v>
      </c>
      <c r="F6773" s="1" t="s">
        <v>675</v>
      </c>
      <c r="G6773" s="6">
        <v>22450</v>
      </c>
      <c r="H6773" t="str">
        <f>IFERROR(VLOOKUP(F6773,'LEAID Match'!$A$2:$B$142,2,FALSE),"")</f>
        <v/>
      </c>
    </row>
    <row r="6774" spans="1:8" x14ac:dyDescent="0.2">
      <c r="A6774" t="str">
        <f t="shared" si="105"/>
        <v/>
      </c>
      <c r="B6774" s="1">
        <v>2020</v>
      </c>
      <c r="C6774" s="1" t="s">
        <v>2505</v>
      </c>
      <c r="D6774" s="1" t="s">
        <v>2506</v>
      </c>
      <c r="E6774" s="1" t="s">
        <v>2019</v>
      </c>
      <c r="F6774" s="1" t="s">
        <v>675</v>
      </c>
      <c r="G6774" s="6">
        <v>24000</v>
      </c>
      <c r="H6774" t="str">
        <f>IFERROR(VLOOKUP(F6774,'LEAID Match'!$A$2:$B$142,2,FALSE),"")</f>
        <v/>
      </c>
    </row>
    <row r="6775" spans="1:8" x14ac:dyDescent="0.2">
      <c r="A6775" t="str">
        <f t="shared" si="105"/>
        <v/>
      </c>
      <c r="B6775" s="1">
        <v>2021</v>
      </c>
      <c r="C6775" s="1" t="s">
        <v>2505</v>
      </c>
      <c r="D6775" s="1" t="s">
        <v>2506</v>
      </c>
      <c r="E6775" s="1" t="s">
        <v>2019</v>
      </c>
      <c r="F6775" s="1" t="s">
        <v>675</v>
      </c>
      <c r="G6775" s="6">
        <v>24784</v>
      </c>
      <c r="H6775" t="str">
        <f>IFERROR(VLOOKUP(F6775,'LEAID Match'!$A$2:$B$142,2,FALSE),"")</f>
        <v/>
      </c>
    </row>
    <row r="6776" spans="1:8" x14ac:dyDescent="0.2">
      <c r="A6776" t="str">
        <f t="shared" si="105"/>
        <v/>
      </c>
      <c r="B6776" s="1">
        <v>2022</v>
      </c>
      <c r="C6776" s="1" t="s">
        <v>2505</v>
      </c>
      <c r="D6776" s="1" t="s">
        <v>2506</v>
      </c>
      <c r="E6776" s="1" t="s">
        <v>2019</v>
      </c>
      <c r="F6776" s="1" t="s">
        <v>675</v>
      </c>
      <c r="G6776" s="6">
        <v>22769</v>
      </c>
      <c r="H6776" t="str">
        <f>IFERROR(VLOOKUP(F6776,'LEAID Match'!$A$2:$B$142,2,FALSE),"")</f>
        <v/>
      </c>
    </row>
    <row r="6777" spans="1:8" x14ac:dyDescent="0.2">
      <c r="A6777" t="str">
        <f t="shared" si="105"/>
        <v/>
      </c>
      <c r="B6777" s="1">
        <v>2023</v>
      </c>
      <c r="C6777" s="1" t="s">
        <v>2505</v>
      </c>
      <c r="D6777" s="1" t="s">
        <v>2506</v>
      </c>
      <c r="E6777" s="1" t="s">
        <v>2019</v>
      </c>
      <c r="F6777" s="1" t="s">
        <v>675</v>
      </c>
      <c r="G6777" s="6">
        <v>23689</v>
      </c>
      <c r="H6777" t="str">
        <f>IFERROR(VLOOKUP(F6777,'LEAID Match'!$A$2:$B$142,2,FALSE),"")</f>
        <v/>
      </c>
    </row>
    <row r="6778" spans="1:8" x14ac:dyDescent="0.2">
      <c r="A6778" t="str">
        <f t="shared" si="105"/>
        <v/>
      </c>
      <c r="B6778" s="1">
        <v>2024</v>
      </c>
      <c r="C6778" s="1" t="s">
        <v>2505</v>
      </c>
      <c r="D6778" s="1" t="s">
        <v>2506</v>
      </c>
      <c r="E6778" s="1" t="s">
        <v>2019</v>
      </c>
      <c r="F6778" s="1" t="s">
        <v>675</v>
      </c>
      <c r="G6778" s="6">
        <v>22768</v>
      </c>
      <c r="H6778" t="str">
        <f>IFERROR(VLOOKUP(F6778,'LEAID Match'!$A$2:$B$142,2,FALSE),"")</f>
        <v/>
      </c>
    </row>
    <row r="6779" spans="1:8" x14ac:dyDescent="0.2">
      <c r="A6779" t="str">
        <f t="shared" si="105"/>
        <v/>
      </c>
      <c r="B6779" s="1">
        <v>2015</v>
      </c>
      <c r="C6779" s="1" t="s">
        <v>2505</v>
      </c>
      <c r="D6779" s="1" t="s">
        <v>2506</v>
      </c>
      <c r="E6779" s="1" t="s">
        <v>2019</v>
      </c>
      <c r="F6779" s="1" t="s">
        <v>676</v>
      </c>
      <c r="G6779" s="6">
        <v>945</v>
      </c>
      <c r="H6779" t="str">
        <f>IFERROR(VLOOKUP(F6779,'LEAID Match'!$A$2:$B$142,2,FALSE),"")</f>
        <v/>
      </c>
    </row>
    <row r="6780" spans="1:8" x14ac:dyDescent="0.2">
      <c r="A6780" t="str">
        <f t="shared" si="105"/>
        <v/>
      </c>
      <c r="B6780">
        <v>2016</v>
      </c>
      <c r="C6780" s="1" t="s">
        <v>2505</v>
      </c>
      <c r="D6780" s="1" t="s">
        <v>2506</v>
      </c>
      <c r="E6780" s="1" t="s">
        <v>2019</v>
      </c>
      <c r="F6780" s="1" t="s">
        <v>676</v>
      </c>
      <c r="G6780" s="12">
        <v>910</v>
      </c>
      <c r="H6780" t="str">
        <f>IFERROR(VLOOKUP(F6780,'LEAID Match'!$A$2:$B$142,2,FALSE),"")</f>
        <v/>
      </c>
    </row>
    <row r="6781" spans="1:8" x14ac:dyDescent="0.2">
      <c r="A6781" t="str">
        <f t="shared" si="105"/>
        <v/>
      </c>
      <c r="B6781" s="1">
        <v>2017</v>
      </c>
      <c r="C6781" s="1" t="s">
        <v>2505</v>
      </c>
      <c r="D6781" s="1" t="s">
        <v>2506</v>
      </c>
      <c r="E6781" s="1" t="s">
        <v>2019</v>
      </c>
      <c r="F6781" s="1" t="s">
        <v>676</v>
      </c>
      <c r="G6781" s="51">
        <v>1063</v>
      </c>
      <c r="H6781" t="str">
        <f>IFERROR(VLOOKUP(F6781,'LEAID Match'!$A$2:$B$142,2,FALSE),"")</f>
        <v/>
      </c>
    </row>
    <row r="6782" spans="1:8" x14ac:dyDescent="0.2">
      <c r="A6782" t="str">
        <f t="shared" si="105"/>
        <v/>
      </c>
      <c r="B6782" s="1">
        <v>2018</v>
      </c>
      <c r="C6782" s="1" t="s">
        <v>2505</v>
      </c>
      <c r="D6782" s="1" t="s">
        <v>2506</v>
      </c>
      <c r="E6782" s="1" t="s">
        <v>2019</v>
      </c>
      <c r="F6782" s="1" t="s">
        <v>676</v>
      </c>
      <c r="G6782" s="6">
        <v>1087</v>
      </c>
      <c r="H6782" t="str">
        <f>IFERROR(VLOOKUP(F6782,'LEAID Match'!$A$2:$B$142,2,FALSE),"")</f>
        <v/>
      </c>
    </row>
    <row r="6783" spans="1:8" x14ac:dyDescent="0.2">
      <c r="A6783" t="str">
        <f t="shared" si="105"/>
        <v/>
      </c>
      <c r="B6783" s="1">
        <v>2019</v>
      </c>
      <c r="C6783" s="1" t="s">
        <v>2505</v>
      </c>
      <c r="D6783" s="1" t="s">
        <v>2506</v>
      </c>
      <c r="E6783" s="1" t="s">
        <v>2019</v>
      </c>
      <c r="F6783" s="1" t="s">
        <v>676</v>
      </c>
      <c r="G6783" s="6">
        <v>1087</v>
      </c>
      <c r="H6783" t="str">
        <f>IFERROR(VLOOKUP(F6783,'LEAID Match'!$A$2:$B$142,2,FALSE),"")</f>
        <v/>
      </c>
    </row>
    <row r="6784" spans="1:8" x14ac:dyDescent="0.2">
      <c r="A6784" t="str">
        <f t="shared" si="105"/>
        <v/>
      </c>
      <c r="B6784" s="1">
        <v>2020</v>
      </c>
      <c r="C6784" s="1" t="s">
        <v>2505</v>
      </c>
      <c r="D6784" s="1" t="s">
        <v>2506</v>
      </c>
      <c r="E6784" s="1" t="s">
        <v>2019</v>
      </c>
      <c r="F6784" s="1" t="s">
        <v>676</v>
      </c>
      <c r="G6784" s="6">
        <v>1201</v>
      </c>
      <c r="H6784" t="str">
        <f>IFERROR(VLOOKUP(F6784,'LEAID Match'!$A$2:$B$142,2,FALSE),"")</f>
        <v/>
      </c>
    </row>
    <row r="6785" spans="1:8" x14ac:dyDescent="0.2">
      <c r="A6785" t="str">
        <f t="shared" si="105"/>
        <v/>
      </c>
      <c r="B6785" s="1">
        <v>2021</v>
      </c>
      <c r="C6785" s="1" t="s">
        <v>2505</v>
      </c>
      <c r="D6785" s="1" t="s">
        <v>2506</v>
      </c>
      <c r="E6785" s="1" t="s">
        <v>2019</v>
      </c>
      <c r="F6785" s="1" t="s">
        <v>676</v>
      </c>
      <c r="G6785" s="6">
        <v>835</v>
      </c>
      <c r="H6785" t="str">
        <f>IFERROR(VLOOKUP(F6785,'LEAID Match'!$A$2:$B$142,2,FALSE),"")</f>
        <v/>
      </c>
    </row>
    <row r="6786" spans="1:8" x14ac:dyDescent="0.2">
      <c r="A6786" t="str">
        <f t="shared" si="105"/>
        <v/>
      </c>
      <c r="B6786" s="1">
        <v>2022</v>
      </c>
      <c r="C6786" s="1" t="s">
        <v>2505</v>
      </c>
      <c r="D6786" s="1" t="s">
        <v>2506</v>
      </c>
      <c r="E6786" s="1" t="s">
        <v>2019</v>
      </c>
      <c r="F6786" s="1" t="s">
        <v>676</v>
      </c>
      <c r="G6786" s="6">
        <v>392</v>
      </c>
      <c r="H6786" t="str">
        <f>IFERROR(VLOOKUP(F6786,'LEAID Match'!$A$2:$B$142,2,FALSE),"")</f>
        <v/>
      </c>
    </row>
    <row r="6787" spans="1:8" x14ac:dyDescent="0.2">
      <c r="A6787" t="str">
        <f t="shared" ref="A6787:A6850" si="106">H6787</f>
        <v/>
      </c>
      <c r="B6787" s="1">
        <v>2023</v>
      </c>
      <c r="C6787" s="1" t="s">
        <v>2505</v>
      </c>
      <c r="D6787" s="1" t="s">
        <v>2506</v>
      </c>
      <c r="E6787" s="1" t="s">
        <v>2019</v>
      </c>
      <c r="F6787" s="1" t="s">
        <v>676</v>
      </c>
      <c r="G6787" s="6">
        <v>383</v>
      </c>
      <c r="H6787" t="str">
        <f>IFERROR(VLOOKUP(F6787,'LEAID Match'!$A$2:$B$142,2,FALSE),"")</f>
        <v/>
      </c>
    </row>
    <row r="6788" spans="1:8" x14ac:dyDescent="0.2">
      <c r="A6788" t="str">
        <f t="shared" si="106"/>
        <v/>
      </c>
      <c r="B6788" s="1">
        <v>2024</v>
      </c>
      <c r="C6788" s="1" t="s">
        <v>2505</v>
      </c>
      <c r="D6788" s="1" t="s">
        <v>2506</v>
      </c>
      <c r="E6788" s="1" t="s">
        <v>2019</v>
      </c>
      <c r="F6788" s="1" t="s">
        <v>676</v>
      </c>
      <c r="G6788" s="6">
        <v>365</v>
      </c>
      <c r="H6788" t="str">
        <f>IFERROR(VLOOKUP(F6788,'LEAID Match'!$A$2:$B$142,2,FALSE),"")</f>
        <v/>
      </c>
    </row>
    <row r="6789" spans="1:8" x14ac:dyDescent="0.2">
      <c r="A6789">
        <f t="shared" si="106"/>
        <v>2803990</v>
      </c>
      <c r="B6789" s="1">
        <v>2015</v>
      </c>
      <c r="C6789" s="1" t="s">
        <v>2505</v>
      </c>
      <c r="D6789" s="1" t="s">
        <v>2506</v>
      </c>
      <c r="E6789" s="1" t="s">
        <v>2019</v>
      </c>
      <c r="F6789" s="1" t="s">
        <v>677</v>
      </c>
      <c r="G6789" s="6">
        <v>2950075</v>
      </c>
      <c r="H6789">
        <f>IFERROR(VLOOKUP(F6789,'LEAID Match'!$A$2:$B$142,2,FALSE),"")</f>
        <v>2803990</v>
      </c>
    </row>
    <row r="6790" spans="1:8" x14ac:dyDescent="0.2">
      <c r="A6790">
        <f t="shared" si="106"/>
        <v>2803990</v>
      </c>
      <c r="B6790">
        <v>2016</v>
      </c>
      <c r="C6790" s="1" t="s">
        <v>2505</v>
      </c>
      <c r="D6790" s="1" t="s">
        <v>2506</v>
      </c>
      <c r="E6790" s="1" t="s">
        <v>2019</v>
      </c>
      <c r="F6790" s="1" t="s">
        <v>677</v>
      </c>
      <c r="G6790" s="12">
        <v>2903223</v>
      </c>
      <c r="H6790">
        <f>IFERROR(VLOOKUP(F6790,'LEAID Match'!$A$2:$B$142,2,FALSE),"")</f>
        <v>2803990</v>
      </c>
    </row>
    <row r="6791" spans="1:8" x14ac:dyDescent="0.2">
      <c r="A6791">
        <f t="shared" si="106"/>
        <v>2803990</v>
      </c>
      <c r="B6791" s="1">
        <v>2017</v>
      </c>
      <c r="C6791" s="1" t="s">
        <v>2505</v>
      </c>
      <c r="D6791" s="1" t="s">
        <v>2506</v>
      </c>
      <c r="E6791" s="1" t="s">
        <v>2019</v>
      </c>
      <c r="F6791" s="1" t="s">
        <v>677</v>
      </c>
      <c r="G6791" s="51">
        <v>2942072</v>
      </c>
      <c r="H6791">
        <f>IFERROR(VLOOKUP(F6791,'LEAID Match'!$A$2:$B$142,2,FALSE),"")</f>
        <v>2803990</v>
      </c>
    </row>
    <row r="6792" spans="1:8" x14ac:dyDescent="0.2">
      <c r="A6792">
        <f t="shared" si="106"/>
        <v>2803990</v>
      </c>
      <c r="B6792" s="1">
        <v>2018</v>
      </c>
      <c r="C6792" s="1" t="s">
        <v>2505</v>
      </c>
      <c r="D6792" s="1" t="s">
        <v>2506</v>
      </c>
      <c r="E6792" s="1" t="s">
        <v>2019</v>
      </c>
      <c r="F6792" s="1" t="s">
        <v>677</v>
      </c>
      <c r="G6792" s="6">
        <v>2812280</v>
      </c>
      <c r="H6792">
        <f>IFERROR(VLOOKUP(F6792,'LEAID Match'!$A$2:$B$142,2,FALSE),"")</f>
        <v>2803990</v>
      </c>
    </row>
    <row r="6793" spans="1:8" x14ac:dyDescent="0.2">
      <c r="A6793">
        <f t="shared" si="106"/>
        <v>2803990</v>
      </c>
      <c r="B6793" s="1">
        <v>2019</v>
      </c>
      <c r="C6793" s="1" t="s">
        <v>2505</v>
      </c>
      <c r="D6793" s="1" t="s">
        <v>2506</v>
      </c>
      <c r="E6793" s="1" t="s">
        <v>2019</v>
      </c>
      <c r="F6793" s="1" t="s">
        <v>677</v>
      </c>
      <c r="G6793" s="6">
        <v>2814013</v>
      </c>
      <c r="H6793">
        <f>IFERROR(VLOOKUP(F6793,'LEAID Match'!$A$2:$B$142,2,FALSE),"")</f>
        <v>2803990</v>
      </c>
    </row>
    <row r="6794" spans="1:8" x14ac:dyDescent="0.2">
      <c r="A6794">
        <f t="shared" si="106"/>
        <v>2803990</v>
      </c>
      <c r="B6794" s="1">
        <v>2020</v>
      </c>
      <c r="C6794" s="1" t="s">
        <v>2505</v>
      </c>
      <c r="D6794" s="1" t="s">
        <v>2506</v>
      </c>
      <c r="E6794" s="1" t="s">
        <v>2019</v>
      </c>
      <c r="F6794" s="1" t="s">
        <v>677</v>
      </c>
      <c r="G6794" s="6">
        <v>3259686</v>
      </c>
      <c r="H6794">
        <f>IFERROR(VLOOKUP(F6794,'LEAID Match'!$A$2:$B$142,2,FALSE),"")</f>
        <v>2803990</v>
      </c>
    </row>
    <row r="6795" spans="1:8" x14ac:dyDescent="0.2">
      <c r="A6795">
        <f t="shared" si="106"/>
        <v>2803990</v>
      </c>
      <c r="B6795" s="1">
        <v>2021</v>
      </c>
      <c r="C6795" s="1" t="s">
        <v>2505</v>
      </c>
      <c r="D6795" s="1" t="s">
        <v>2506</v>
      </c>
      <c r="E6795" s="1" t="s">
        <v>2019</v>
      </c>
      <c r="F6795" s="1" t="s">
        <v>677</v>
      </c>
      <c r="G6795" s="6">
        <v>3318481</v>
      </c>
      <c r="H6795">
        <f>IFERROR(VLOOKUP(F6795,'LEAID Match'!$A$2:$B$142,2,FALSE),"")</f>
        <v>2803990</v>
      </c>
    </row>
    <row r="6796" spans="1:8" x14ac:dyDescent="0.2">
      <c r="A6796">
        <f t="shared" si="106"/>
        <v>2803990</v>
      </c>
      <c r="B6796" s="1">
        <v>2022</v>
      </c>
      <c r="C6796" s="1" t="s">
        <v>2505</v>
      </c>
      <c r="D6796" s="1" t="s">
        <v>2506</v>
      </c>
      <c r="E6796" s="1" t="s">
        <v>2019</v>
      </c>
      <c r="F6796" s="1" t="s">
        <v>677</v>
      </c>
      <c r="G6796" s="6">
        <v>3483538</v>
      </c>
      <c r="H6796">
        <f>IFERROR(VLOOKUP(F6796,'LEAID Match'!$A$2:$B$142,2,FALSE),"")</f>
        <v>2803990</v>
      </c>
    </row>
    <row r="6797" spans="1:8" x14ac:dyDescent="0.2">
      <c r="A6797">
        <f t="shared" si="106"/>
        <v>2803990</v>
      </c>
      <c r="B6797" s="1">
        <v>2023</v>
      </c>
      <c r="C6797" s="1" t="s">
        <v>2505</v>
      </c>
      <c r="D6797" s="1" t="s">
        <v>2506</v>
      </c>
      <c r="E6797" s="1" t="s">
        <v>2019</v>
      </c>
      <c r="F6797" s="1" t="s">
        <v>677</v>
      </c>
      <c r="G6797" s="6">
        <v>3685359</v>
      </c>
      <c r="H6797">
        <f>IFERROR(VLOOKUP(F6797,'LEAID Match'!$A$2:$B$142,2,FALSE),"")</f>
        <v>2803990</v>
      </c>
    </row>
    <row r="6798" spans="1:8" x14ac:dyDescent="0.2">
      <c r="A6798">
        <f t="shared" si="106"/>
        <v>2803990</v>
      </c>
      <c r="B6798" s="1">
        <v>2024</v>
      </c>
      <c r="C6798" s="1" t="s">
        <v>2505</v>
      </c>
      <c r="D6798" s="1" t="s">
        <v>2506</v>
      </c>
      <c r="E6798" s="1" t="s">
        <v>2019</v>
      </c>
      <c r="F6798" s="1" t="s">
        <v>677</v>
      </c>
      <c r="G6798" s="6">
        <v>3406966</v>
      </c>
      <c r="H6798">
        <f>IFERROR(VLOOKUP(F6798,'LEAID Match'!$A$2:$B$142,2,FALSE),"")</f>
        <v>2803990</v>
      </c>
    </row>
    <row r="6799" spans="1:8" x14ac:dyDescent="0.2">
      <c r="A6799" t="str">
        <f t="shared" si="106"/>
        <v/>
      </c>
      <c r="B6799" s="1">
        <v>2015</v>
      </c>
      <c r="C6799" s="1" t="s">
        <v>2505</v>
      </c>
      <c r="D6799" s="1" t="s">
        <v>2506</v>
      </c>
      <c r="E6799" s="1" t="s">
        <v>2019</v>
      </c>
      <c r="F6799" s="1" t="s">
        <v>678</v>
      </c>
      <c r="G6799" s="6">
        <v>730693</v>
      </c>
      <c r="H6799" t="str">
        <f>IFERROR(VLOOKUP(F6799,'LEAID Match'!$A$2:$B$142,2,FALSE),"")</f>
        <v/>
      </c>
    </row>
    <row r="6800" spans="1:8" x14ac:dyDescent="0.2">
      <c r="A6800" t="str">
        <f t="shared" si="106"/>
        <v/>
      </c>
      <c r="B6800">
        <v>2016</v>
      </c>
      <c r="C6800" s="1" t="s">
        <v>2505</v>
      </c>
      <c r="D6800" s="1" t="s">
        <v>2506</v>
      </c>
      <c r="E6800" s="1" t="s">
        <v>2019</v>
      </c>
      <c r="F6800" s="1" t="s">
        <v>678</v>
      </c>
      <c r="G6800" s="12">
        <v>748245</v>
      </c>
      <c r="H6800" t="str">
        <f>IFERROR(VLOOKUP(F6800,'LEAID Match'!$A$2:$B$142,2,FALSE),"")</f>
        <v/>
      </c>
    </row>
    <row r="6801" spans="1:8" x14ac:dyDescent="0.2">
      <c r="A6801" t="str">
        <f t="shared" si="106"/>
        <v/>
      </c>
      <c r="B6801" s="1">
        <v>2018</v>
      </c>
      <c r="C6801" s="1" t="s">
        <v>2505</v>
      </c>
      <c r="D6801" s="1" t="s">
        <v>2506</v>
      </c>
      <c r="E6801" s="1" t="s">
        <v>2019</v>
      </c>
      <c r="F6801" s="1" t="s">
        <v>678</v>
      </c>
      <c r="G6801" s="6">
        <v>789384</v>
      </c>
      <c r="H6801" t="str">
        <f>IFERROR(VLOOKUP(F6801,'LEAID Match'!$A$2:$B$142,2,FALSE),"")</f>
        <v/>
      </c>
    </row>
    <row r="6802" spans="1:8" x14ac:dyDescent="0.2">
      <c r="A6802" t="str">
        <f t="shared" si="106"/>
        <v/>
      </c>
      <c r="B6802" s="1">
        <v>2019</v>
      </c>
      <c r="C6802" s="1" t="s">
        <v>2505</v>
      </c>
      <c r="D6802" s="1" t="s">
        <v>2506</v>
      </c>
      <c r="E6802" s="1" t="s">
        <v>2019</v>
      </c>
      <c r="F6802" s="1" t="s">
        <v>678</v>
      </c>
      <c r="G6802" s="6">
        <v>849895</v>
      </c>
      <c r="H6802" t="str">
        <f>IFERROR(VLOOKUP(F6802,'LEAID Match'!$A$2:$B$142,2,FALSE),"")</f>
        <v/>
      </c>
    </row>
    <row r="6803" spans="1:8" x14ac:dyDescent="0.2">
      <c r="A6803" t="str">
        <f t="shared" si="106"/>
        <v/>
      </c>
      <c r="B6803" s="1">
        <v>2020</v>
      </c>
      <c r="C6803" s="1" t="s">
        <v>2505</v>
      </c>
      <c r="D6803" s="1" t="s">
        <v>2506</v>
      </c>
      <c r="E6803" s="1" t="s">
        <v>2019</v>
      </c>
      <c r="F6803" s="1" t="s">
        <v>678</v>
      </c>
      <c r="G6803" s="6">
        <v>998494</v>
      </c>
      <c r="H6803" t="str">
        <f>IFERROR(VLOOKUP(F6803,'LEAID Match'!$A$2:$B$142,2,FALSE),"")</f>
        <v/>
      </c>
    </row>
    <row r="6804" spans="1:8" x14ac:dyDescent="0.2">
      <c r="A6804" t="str">
        <f t="shared" si="106"/>
        <v/>
      </c>
      <c r="B6804" s="1">
        <v>2021</v>
      </c>
      <c r="C6804" s="1" t="s">
        <v>2505</v>
      </c>
      <c r="D6804" s="1" t="s">
        <v>2506</v>
      </c>
      <c r="E6804" s="1" t="s">
        <v>2019</v>
      </c>
      <c r="F6804" s="1" t="s">
        <v>678</v>
      </c>
      <c r="G6804" s="6">
        <v>1041425</v>
      </c>
      <c r="H6804" t="str">
        <f>IFERROR(VLOOKUP(F6804,'LEAID Match'!$A$2:$B$142,2,FALSE),"")</f>
        <v/>
      </c>
    </row>
    <row r="6805" spans="1:8" x14ac:dyDescent="0.2">
      <c r="A6805" t="str">
        <f t="shared" si="106"/>
        <v/>
      </c>
      <c r="B6805" s="1">
        <v>2022</v>
      </c>
      <c r="C6805" s="1" t="s">
        <v>2505</v>
      </c>
      <c r="D6805" s="1" t="s">
        <v>2506</v>
      </c>
      <c r="E6805" s="1" t="s">
        <v>2019</v>
      </c>
      <c r="F6805" s="1" t="s">
        <v>678</v>
      </c>
      <c r="G6805" s="6">
        <v>1061974</v>
      </c>
      <c r="H6805" t="str">
        <f>IFERROR(VLOOKUP(F6805,'LEAID Match'!$A$2:$B$142,2,FALSE),"")</f>
        <v/>
      </c>
    </row>
    <row r="6806" spans="1:8" x14ac:dyDescent="0.2">
      <c r="A6806" t="str">
        <f t="shared" si="106"/>
        <v/>
      </c>
      <c r="B6806" s="1">
        <v>2023</v>
      </c>
      <c r="C6806" s="1" t="s">
        <v>2505</v>
      </c>
      <c r="D6806" s="1" t="s">
        <v>2506</v>
      </c>
      <c r="E6806" s="1" t="s">
        <v>2019</v>
      </c>
      <c r="F6806" s="1" t="s">
        <v>678</v>
      </c>
      <c r="G6806" s="6">
        <v>1097254</v>
      </c>
      <c r="H6806" t="str">
        <f>IFERROR(VLOOKUP(F6806,'LEAID Match'!$A$2:$B$142,2,FALSE),"")</f>
        <v/>
      </c>
    </row>
    <row r="6807" spans="1:8" x14ac:dyDescent="0.2">
      <c r="A6807" t="str">
        <f t="shared" si="106"/>
        <v/>
      </c>
      <c r="B6807" s="1">
        <v>2024</v>
      </c>
      <c r="C6807" s="1" t="s">
        <v>2505</v>
      </c>
      <c r="D6807" s="1" t="s">
        <v>2506</v>
      </c>
      <c r="E6807" s="1" t="s">
        <v>2019</v>
      </c>
      <c r="F6807" s="1" t="s">
        <v>678</v>
      </c>
      <c r="G6807" s="6">
        <v>1145044</v>
      </c>
      <c r="H6807" t="str">
        <f>IFERROR(VLOOKUP(F6807,'LEAID Match'!$A$2:$B$142,2,FALSE),"")</f>
        <v/>
      </c>
    </row>
    <row r="6808" spans="1:8" x14ac:dyDescent="0.2">
      <c r="A6808" t="str">
        <f t="shared" si="106"/>
        <v/>
      </c>
      <c r="B6808" s="1">
        <v>2015</v>
      </c>
      <c r="C6808" s="1" t="s">
        <v>2505</v>
      </c>
      <c r="D6808" s="1" t="s">
        <v>2506</v>
      </c>
      <c r="E6808" s="1" t="s">
        <v>2019</v>
      </c>
      <c r="F6808" s="1" t="s">
        <v>679</v>
      </c>
      <c r="G6808" s="6">
        <v>3875</v>
      </c>
      <c r="H6808" t="str">
        <f>IFERROR(VLOOKUP(F6808,'LEAID Match'!$A$2:$B$142,2,FALSE),"")</f>
        <v/>
      </c>
    </row>
    <row r="6809" spans="1:8" x14ac:dyDescent="0.2">
      <c r="A6809" t="str">
        <f t="shared" si="106"/>
        <v/>
      </c>
      <c r="B6809">
        <v>2016</v>
      </c>
      <c r="C6809" s="1" t="s">
        <v>2505</v>
      </c>
      <c r="D6809" s="1" t="s">
        <v>2506</v>
      </c>
      <c r="E6809" s="1" t="s">
        <v>2019</v>
      </c>
      <c r="F6809" s="1" t="s">
        <v>679</v>
      </c>
      <c r="G6809" s="12">
        <v>4032</v>
      </c>
      <c r="H6809" t="str">
        <f>IFERROR(VLOOKUP(F6809,'LEAID Match'!$A$2:$B$142,2,FALSE),"")</f>
        <v/>
      </c>
    </row>
    <row r="6810" spans="1:8" x14ac:dyDescent="0.2">
      <c r="A6810" t="str">
        <f t="shared" si="106"/>
        <v/>
      </c>
      <c r="B6810" s="1">
        <v>2018</v>
      </c>
      <c r="C6810" s="1" t="s">
        <v>2505</v>
      </c>
      <c r="D6810" s="1" t="s">
        <v>2506</v>
      </c>
      <c r="E6810" s="1" t="s">
        <v>2019</v>
      </c>
      <c r="F6810" s="1" t="s">
        <v>679</v>
      </c>
      <c r="G6810" s="6">
        <v>4032</v>
      </c>
      <c r="H6810" t="str">
        <f>IFERROR(VLOOKUP(F6810,'LEAID Match'!$A$2:$B$142,2,FALSE),"")</f>
        <v/>
      </c>
    </row>
    <row r="6811" spans="1:8" x14ac:dyDescent="0.2">
      <c r="A6811" t="str">
        <f t="shared" si="106"/>
        <v/>
      </c>
      <c r="B6811" s="1">
        <v>2019</v>
      </c>
      <c r="C6811" s="1" t="s">
        <v>2505</v>
      </c>
      <c r="D6811" s="1" t="s">
        <v>2506</v>
      </c>
      <c r="E6811" s="1" t="s">
        <v>2019</v>
      </c>
      <c r="F6811" s="1" t="s">
        <v>679</v>
      </c>
      <c r="G6811" s="6">
        <v>4386</v>
      </c>
      <c r="H6811" t="str">
        <f>IFERROR(VLOOKUP(F6811,'LEAID Match'!$A$2:$B$142,2,FALSE),"")</f>
        <v/>
      </c>
    </row>
    <row r="6812" spans="1:8" x14ac:dyDescent="0.2">
      <c r="A6812" t="str">
        <f t="shared" si="106"/>
        <v/>
      </c>
      <c r="B6812" s="1">
        <v>2020</v>
      </c>
      <c r="C6812" s="1" t="s">
        <v>2505</v>
      </c>
      <c r="D6812" s="1" t="s">
        <v>2506</v>
      </c>
      <c r="E6812" s="1" t="s">
        <v>2019</v>
      </c>
      <c r="F6812" s="1" t="s">
        <v>679</v>
      </c>
      <c r="G6812" s="6">
        <v>5987</v>
      </c>
      <c r="H6812" t="str">
        <f>IFERROR(VLOOKUP(F6812,'LEAID Match'!$A$2:$B$142,2,FALSE),"")</f>
        <v/>
      </c>
    </row>
    <row r="6813" spans="1:8" x14ac:dyDescent="0.2">
      <c r="A6813" t="str">
        <f t="shared" si="106"/>
        <v/>
      </c>
      <c r="B6813" s="1">
        <v>2021</v>
      </c>
      <c r="C6813" s="1" t="s">
        <v>2505</v>
      </c>
      <c r="D6813" s="1" t="s">
        <v>2506</v>
      </c>
      <c r="E6813" s="1" t="s">
        <v>2019</v>
      </c>
      <c r="F6813" s="1" t="s">
        <v>679</v>
      </c>
      <c r="G6813" s="6">
        <v>6997</v>
      </c>
      <c r="H6813" t="str">
        <f>IFERROR(VLOOKUP(F6813,'LEAID Match'!$A$2:$B$142,2,FALSE),"")</f>
        <v/>
      </c>
    </row>
    <row r="6814" spans="1:8" x14ac:dyDescent="0.2">
      <c r="A6814" t="str">
        <f t="shared" si="106"/>
        <v/>
      </c>
      <c r="B6814" s="1">
        <v>2022</v>
      </c>
      <c r="C6814" s="1" t="s">
        <v>2505</v>
      </c>
      <c r="D6814" s="1" t="s">
        <v>2506</v>
      </c>
      <c r="E6814" s="1" t="s">
        <v>2019</v>
      </c>
      <c r="F6814" s="1" t="s">
        <v>679</v>
      </c>
      <c r="G6814" s="6">
        <v>6997</v>
      </c>
      <c r="H6814" t="str">
        <f>IFERROR(VLOOKUP(F6814,'LEAID Match'!$A$2:$B$142,2,FALSE),"")</f>
        <v/>
      </c>
    </row>
    <row r="6815" spans="1:8" x14ac:dyDescent="0.2">
      <c r="A6815" t="str">
        <f t="shared" si="106"/>
        <v/>
      </c>
      <c r="B6815" s="1">
        <v>2023</v>
      </c>
      <c r="C6815" s="1" t="s">
        <v>2505</v>
      </c>
      <c r="D6815" s="1" t="s">
        <v>2506</v>
      </c>
      <c r="E6815" s="1" t="s">
        <v>2019</v>
      </c>
      <c r="F6815" s="1" t="s">
        <v>679</v>
      </c>
      <c r="G6815" s="6">
        <v>7014</v>
      </c>
      <c r="H6815" t="str">
        <f>IFERROR(VLOOKUP(F6815,'LEAID Match'!$A$2:$B$142,2,FALSE),"")</f>
        <v/>
      </c>
    </row>
    <row r="6816" spans="1:8" x14ac:dyDescent="0.2">
      <c r="A6816" t="str">
        <f t="shared" si="106"/>
        <v/>
      </c>
      <c r="B6816" s="1">
        <v>2024</v>
      </c>
      <c r="C6816" s="1" t="s">
        <v>2505</v>
      </c>
      <c r="D6816" s="1" t="s">
        <v>2506</v>
      </c>
      <c r="E6816" s="1" t="s">
        <v>2019</v>
      </c>
      <c r="F6816" s="1" t="s">
        <v>679</v>
      </c>
      <c r="G6816" s="6">
        <v>7208</v>
      </c>
      <c r="H6816" t="str">
        <f>IFERROR(VLOOKUP(F6816,'LEAID Match'!$A$2:$B$142,2,FALSE),"")</f>
        <v/>
      </c>
    </row>
    <row r="6817" spans="1:8" x14ac:dyDescent="0.2">
      <c r="A6817" t="str">
        <f t="shared" si="106"/>
        <v/>
      </c>
      <c r="B6817" s="1">
        <v>2015</v>
      </c>
      <c r="C6817" s="1" t="s">
        <v>2505</v>
      </c>
      <c r="D6817" s="1" t="s">
        <v>2506</v>
      </c>
      <c r="E6817" s="1" t="s">
        <v>2019</v>
      </c>
      <c r="F6817" s="1" t="s">
        <v>680</v>
      </c>
      <c r="G6817" s="6">
        <v>568239</v>
      </c>
      <c r="H6817" t="str">
        <f>IFERROR(VLOOKUP(F6817,'LEAID Match'!$A$2:$B$142,2,FALSE),"")</f>
        <v/>
      </c>
    </row>
    <row r="6818" spans="1:8" x14ac:dyDescent="0.2">
      <c r="A6818" t="str">
        <f t="shared" si="106"/>
        <v/>
      </c>
      <c r="B6818">
        <v>2016</v>
      </c>
      <c r="C6818" s="1" t="s">
        <v>2505</v>
      </c>
      <c r="D6818" s="1" t="s">
        <v>2506</v>
      </c>
      <c r="E6818" s="1" t="s">
        <v>2019</v>
      </c>
      <c r="F6818" s="1" t="s">
        <v>680</v>
      </c>
      <c r="G6818" s="12">
        <v>596256</v>
      </c>
      <c r="H6818" t="str">
        <f>IFERROR(VLOOKUP(F6818,'LEAID Match'!$A$2:$B$142,2,FALSE),"")</f>
        <v/>
      </c>
    </row>
    <row r="6819" spans="1:8" x14ac:dyDescent="0.2">
      <c r="A6819" t="str">
        <f t="shared" si="106"/>
        <v/>
      </c>
      <c r="B6819" s="1">
        <v>2017</v>
      </c>
      <c r="C6819" s="1" t="s">
        <v>2505</v>
      </c>
      <c r="D6819" s="1" t="s">
        <v>2506</v>
      </c>
      <c r="E6819" s="1" t="s">
        <v>2019</v>
      </c>
      <c r="F6819" s="1" t="s">
        <v>680</v>
      </c>
      <c r="G6819" s="51">
        <v>644025</v>
      </c>
      <c r="H6819" t="str">
        <f>IFERROR(VLOOKUP(F6819,'LEAID Match'!$A$2:$B$142,2,FALSE),"")</f>
        <v/>
      </c>
    </row>
    <row r="6820" spans="1:8" x14ac:dyDescent="0.2">
      <c r="A6820" t="str">
        <f t="shared" si="106"/>
        <v/>
      </c>
      <c r="B6820" s="1">
        <v>2018</v>
      </c>
      <c r="C6820" s="1" t="s">
        <v>2505</v>
      </c>
      <c r="D6820" s="1" t="s">
        <v>2506</v>
      </c>
      <c r="E6820" s="1" t="s">
        <v>2019</v>
      </c>
      <c r="F6820" s="1" t="s">
        <v>680</v>
      </c>
      <c r="G6820" s="6">
        <v>640690</v>
      </c>
      <c r="H6820" t="str">
        <f>IFERROR(VLOOKUP(F6820,'LEAID Match'!$A$2:$B$142,2,FALSE),"")</f>
        <v/>
      </c>
    </row>
    <row r="6821" spans="1:8" x14ac:dyDescent="0.2">
      <c r="A6821" t="str">
        <f t="shared" si="106"/>
        <v/>
      </c>
      <c r="B6821" s="1">
        <v>2019</v>
      </c>
      <c r="C6821" s="1" t="s">
        <v>2505</v>
      </c>
      <c r="D6821" s="1" t="s">
        <v>2506</v>
      </c>
      <c r="E6821" s="1" t="s">
        <v>2019</v>
      </c>
      <c r="F6821" s="1" t="s">
        <v>680</v>
      </c>
      <c r="G6821" s="6">
        <v>661526</v>
      </c>
      <c r="H6821" t="str">
        <f>IFERROR(VLOOKUP(F6821,'LEAID Match'!$A$2:$B$142,2,FALSE),"")</f>
        <v/>
      </c>
    </row>
    <row r="6822" spans="1:8" x14ac:dyDescent="0.2">
      <c r="A6822" t="str">
        <f t="shared" si="106"/>
        <v/>
      </c>
      <c r="B6822" s="1">
        <v>2020</v>
      </c>
      <c r="C6822" s="1" t="s">
        <v>2505</v>
      </c>
      <c r="D6822" s="1" t="s">
        <v>2506</v>
      </c>
      <c r="E6822" s="1" t="s">
        <v>2019</v>
      </c>
      <c r="F6822" s="1" t="s">
        <v>680</v>
      </c>
      <c r="G6822" s="6">
        <v>769433</v>
      </c>
      <c r="H6822" t="str">
        <f>IFERROR(VLOOKUP(F6822,'LEAID Match'!$A$2:$B$142,2,FALSE),"")</f>
        <v/>
      </c>
    </row>
    <row r="6823" spans="1:8" x14ac:dyDescent="0.2">
      <c r="A6823" t="str">
        <f t="shared" si="106"/>
        <v/>
      </c>
      <c r="B6823" s="1">
        <v>2021</v>
      </c>
      <c r="C6823" s="1" t="s">
        <v>2505</v>
      </c>
      <c r="D6823" s="1" t="s">
        <v>2506</v>
      </c>
      <c r="E6823" s="1" t="s">
        <v>2019</v>
      </c>
      <c r="F6823" s="1" t="s">
        <v>680</v>
      </c>
      <c r="G6823" s="6">
        <v>774293</v>
      </c>
      <c r="H6823" t="str">
        <f>IFERROR(VLOOKUP(F6823,'LEAID Match'!$A$2:$B$142,2,FALSE),"")</f>
        <v/>
      </c>
    </row>
    <row r="6824" spans="1:8" x14ac:dyDescent="0.2">
      <c r="A6824" t="str">
        <f t="shared" si="106"/>
        <v/>
      </c>
      <c r="B6824" s="1">
        <v>2022</v>
      </c>
      <c r="C6824" s="1" t="s">
        <v>2505</v>
      </c>
      <c r="D6824" s="1" t="s">
        <v>2506</v>
      </c>
      <c r="E6824" s="1" t="s">
        <v>2019</v>
      </c>
      <c r="F6824" s="1" t="s">
        <v>680</v>
      </c>
      <c r="G6824" s="6">
        <v>803530</v>
      </c>
      <c r="H6824" t="str">
        <f>IFERROR(VLOOKUP(F6824,'LEAID Match'!$A$2:$B$142,2,FALSE),"")</f>
        <v/>
      </c>
    </row>
    <row r="6825" spans="1:8" x14ac:dyDescent="0.2">
      <c r="A6825" t="str">
        <f t="shared" si="106"/>
        <v/>
      </c>
      <c r="B6825" s="1">
        <v>2023</v>
      </c>
      <c r="C6825" s="1" t="s">
        <v>2505</v>
      </c>
      <c r="D6825" s="1" t="s">
        <v>2506</v>
      </c>
      <c r="E6825" s="1" t="s">
        <v>2019</v>
      </c>
      <c r="F6825" s="1" t="s">
        <v>680</v>
      </c>
      <c r="G6825" s="6">
        <v>912263</v>
      </c>
      <c r="H6825" t="str">
        <f>IFERROR(VLOOKUP(F6825,'LEAID Match'!$A$2:$B$142,2,FALSE),"")</f>
        <v/>
      </c>
    </row>
    <row r="6826" spans="1:8" x14ac:dyDescent="0.2">
      <c r="A6826" t="str">
        <f t="shared" si="106"/>
        <v/>
      </c>
      <c r="B6826" s="1">
        <v>2024</v>
      </c>
      <c r="C6826" s="1" t="s">
        <v>2505</v>
      </c>
      <c r="D6826" s="1" t="s">
        <v>2506</v>
      </c>
      <c r="E6826" s="1" t="s">
        <v>2019</v>
      </c>
      <c r="F6826" s="1" t="s">
        <v>680</v>
      </c>
      <c r="G6826" s="6">
        <v>882087</v>
      </c>
      <c r="H6826" t="str">
        <f>IFERROR(VLOOKUP(F6826,'LEAID Match'!$A$2:$B$142,2,FALSE),"")</f>
        <v/>
      </c>
    </row>
    <row r="6827" spans="1:8" x14ac:dyDescent="0.2">
      <c r="A6827" t="str">
        <f t="shared" si="106"/>
        <v/>
      </c>
      <c r="B6827" s="1">
        <v>2015</v>
      </c>
      <c r="C6827" s="1" t="s">
        <v>2505</v>
      </c>
      <c r="D6827" s="1" t="s">
        <v>2506</v>
      </c>
      <c r="E6827" s="1" t="s">
        <v>2019</v>
      </c>
      <c r="F6827" s="1" t="s">
        <v>681</v>
      </c>
      <c r="G6827" s="6">
        <v>3268</v>
      </c>
      <c r="H6827" t="str">
        <f>IFERROR(VLOOKUP(F6827,'LEAID Match'!$A$2:$B$142,2,FALSE),"")</f>
        <v/>
      </c>
    </row>
    <row r="6828" spans="1:8" x14ac:dyDescent="0.2">
      <c r="A6828" t="str">
        <f t="shared" si="106"/>
        <v/>
      </c>
      <c r="B6828">
        <v>2016</v>
      </c>
      <c r="C6828" s="1" t="s">
        <v>2505</v>
      </c>
      <c r="D6828" s="1" t="s">
        <v>2506</v>
      </c>
      <c r="E6828" s="1" t="s">
        <v>2019</v>
      </c>
      <c r="F6828" s="1" t="s">
        <v>681</v>
      </c>
      <c r="G6828" s="12">
        <v>3969</v>
      </c>
      <c r="H6828" t="str">
        <f>IFERROR(VLOOKUP(F6828,'LEAID Match'!$A$2:$B$142,2,FALSE),"")</f>
        <v/>
      </c>
    </row>
    <row r="6829" spans="1:8" x14ac:dyDescent="0.2">
      <c r="A6829" t="str">
        <f t="shared" si="106"/>
        <v/>
      </c>
      <c r="B6829" s="1">
        <v>2017</v>
      </c>
      <c r="C6829" s="1" t="s">
        <v>2505</v>
      </c>
      <c r="D6829" s="1" t="s">
        <v>2506</v>
      </c>
      <c r="E6829" s="1" t="s">
        <v>2019</v>
      </c>
      <c r="F6829" s="1" t="s">
        <v>681</v>
      </c>
      <c r="G6829" s="51">
        <v>3969</v>
      </c>
      <c r="H6829" t="str">
        <f>IFERROR(VLOOKUP(F6829,'LEAID Match'!$A$2:$B$142,2,FALSE),"")</f>
        <v/>
      </c>
    </row>
    <row r="6830" spans="1:8" x14ac:dyDescent="0.2">
      <c r="A6830" t="str">
        <f t="shared" si="106"/>
        <v/>
      </c>
      <c r="B6830" s="1">
        <v>2018</v>
      </c>
      <c r="C6830" s="1" t="s">
        <v>2505</v>
      </c>
      <c r="D6830" s="1" t="s">
        <v>2506</v>
      </c>
      <c r="E6830" s="1" t="s">
        <v>2019</v>
      </c>
      <c r="F6830" s="1" t="s">
        <v>681</v>
      </c>
      <c r="G6830" s="6">
        <v>3969</v>
      </c>
      <c r="H6830" t="str">
        <f>IFERROR(VLOOKUP(F6830,'LEAID Match'!$A$2:$B$142,2,FALSE),"")</f>
        <v/>
      </c>
    </row>
    <row r="6831" spans="1:8" x14ac:dyDescent="0.2">
      <c r="A6831" t="str">
        <f t="shared" si="106"/>
        <v/>
      </c>
      <c r="B6831" s="1">
        <v>2019</v>
      </c>
      <c r="C6831" s="1" t="s">
        <v>2505</v>
      </c>
      <c r="D6831" s="1" t="s">
        <v>2506</v>
      </c>
      <c r="E6831" s="1" t="s">
        <v>2019</v>
      </c>
      <c r="F6831" s="1" t="s">
        <v>681</v>
      </c>
      <c r="G6831" s="6">
        <v>3969</v>
      </c>
      <c r="H6831" t="str">
        <f>IFERROR(VLOOKUP(F6831,'LEAID Match'!$A$2:$B$142,2,FALSE),"")</f>
        <v/>
      </c>
    </row>
    <row r="6832" spans="1:8" x14ac:dyDescent="0.2">
      <c r="A6832" t="str">
        <f t="shared" si="106"/>
        <v/>
      </c>
      <c r="B6832" s="1">
        <v>2020</v>
      </c>
      <c r="C6832" s="1" t="s">
        <v>2505</v>
      </c>
      <c r="D6832" s="1" t="s">
        <v>2506</v>
      </c>
      <c r="E6832" s="1" t="s">
        <v>2019</v>
      </c>
      <c r="F6832" s="1" t="s">
        <v>681</v>
      </c>
      <c r="G6832" s="6">
        <v>4385</v>
      </c>
      <c r="H6832" t="str">
        <f>IFERROR(VLOOKUP(F6832,'LEAID Match'!$A$2:$B$142,2,FALSE),"")</f>
        <v/>
      </c>
    </row>
    <row r="6833" spans="1:8" x14ac:dyDescent="0.2">
      <c r="A6833" t="str">
        <f t="shared" si="106"/>
        <v/>
      </c>
      <c r="B6833" s="1">
        <v>2021</v>
      </c>
      <c r="C6833" s="1" t="s">
        <v>2505</v>
      </c>
      <c r="D6833" s="1" t="s">
        <v>2506</v>
      </c>
      <c r="E6833" s="1" t="s">
        <v>2019</v>
      </c>
      <c r="F6833" s="1" t="s">
        <v>681</v>
      </c>
      <c r="G6833" s="6">
        <v>4385</v>
      </c>
      <c r="H6833" t="str">
        <f>IFERROR(VLOOKUP(F6833,'LEAID Match'!$A$2:$B$142,2,FALSE),"")</f>
        <v/>
      </c>
    </row>
    <row r="6834" spans="1:8" x14ac:dyDescent="0.2">
      <c r="A6834" t="str">
        <f t="shared" si="106"/>
        <v/>
      </c>
      <c r="B6834" s="1">
        <v>2022</v>
      </c>
      <c r="C6834" s="1" t="s">
        <v>2505</v>
      </c>
      <c r="D6834" s="1" t="s">
        <v>2506</v>
      </c>
      <c r="E6834" s="1" t="s">
        <v>2019</v>
      </c>
      <c r="F6834" s="1" t="s">
        <v>681</v>
      </c>
      <c r="G6834" s="6">
        <v>16830</v>
      </c>
      <c r="H6834" t="str">
        <f>IFERROR(VLOOKUP(F6834,'LEAID Match'!$A$2:$B$142,2,FALSE),"")</f>
        <v/>
      </c>
    </row>
    <row r="6835" spans="1:8" x14ac:dyDescent="0.2">
      <c r="A6835" t="str">
        <f t="shared" si="106"/>
        <v/>
      </c>
      <c r="B6835" s="1">
        <v>2023</v>
      </c>
      <c r="C6835" s="1" t="s">
        <v>2505</v>
      </c>
      <c r="D6835" s="1" t="s">
        <v>2506</v>
      </c>
      <c r="E6835" s="1" t="s">
        <v>2019</v>
      </c>
      <c r="F6835" s="1" t="s">
        <v>681</v>
      </c>
      <c r="G6835" s="6">
        <v>13274</v>
      </c>
      <c r="H6835" t="str">
        <f>IFERROR(VLOOKUP(F6835,'LEAID Match'!$A$2:$B$142,2,FALSE),"")</f>
        <v/>
      </c>
    </row>
    <row r="6836" spans="1:8" x14ac:dyDescent="0.2">
      <c r="A6836" t="str">
        <f t="shared" si="106"/>
        <v/>
      </c>
      <c r="B6836" s="1">
        <v>2024</v>
      </c>
      <c r="C6836" s="1" t="s">
        <v>2505</v>
      </c>
      <c r="D6836" s="1" t="s">
        <v>2506</v>
      </c>
      <c r="E6836" s="1" t="s">
        <v>2019</v>
      </c>
      <c r="F6836" s="1" t="s">
        <v>681</v>
      </c>
      <c r="G6836" s="6">
        <v>20324</v>
      </c>
      <c r="H6836" t="str">
        <f>IFERROR(VLOOKUP(F6836,'LEAID Match'!$A$2:$B$142,2,FALSE),"")</f>
        <v/>
      </c>
    </row>
    <row r="6837" spans="1:8" x14ac:dyDescent="0.2">
      <c r="A6837">
        <f t="shared" si="106"/>
        <v>2804020</v>
      </c>
      <c r="B6837" s="1">
        <v>2015</v>
      </c>
      <c r="C6837" s="1" t="s">
        <v>2505</v>
      </c>
      <c r="D6837" s="1" t="s">
        <v>2506</v>
      </c>
      <c r="E6837" s="1" t="s">
        <v>2019</v>
      </c>
      <c r="F6837" s="1" t="s">
        <v>682</v>
      </c>
      <c r="G6837" s="6">
        <v>2067871</v>
      </c>
      <c r="H6837">
        <f>IFERROR(VLOOKUP(F6837,'LEAID Match'!$A$2:$B$142,2,FALSE),"")</f>
        <v>2804020</v>
      </c>
    </row>
    <row r="6838" spans="1:8" x14ac:dyDescent="0.2">
      <c r="A6838">
        <f t="shared" si="106"/>
        <v>2804020</v>
      </c>
      <c r="B6838">
        <v>2016</v>
      </c>
      <c r="C6838" s="1" t="s">
        <v>2505</v>
      </c>
      <c r="D6838" s="1" t="s">
        <v>2506</v>
      </c>
      <c r="E6838" s="1" t="s">
        <v>2019</v>
      </c>
      <c r="F6838" s="1" t="s">
        <v>682</v>
      </c>
      <c r="G6838" s="12">
        <v>2090251</v>
      </c>
      <c r="H6838">
        <f>IFERROR(VLOOKUP(F6838,'LEAID Match'!$A$2:$B$142,2,FALSE),"")</f>
        <v>2804020</v>
      </c>
    </row>
    <row r="6839" spans="1:8" x14ac:dyDescent="0.2">
      <c r="A6839">
        <f t="shared" si="106"/>
        <v>2804020</v>
      </c>
      <c r="B6839" s="1">
        <v>2017</v>
      </c>
      <c r="C6839" s="1" t="s">
        <v>2505</v>
      </c>
      <c r="D6839" s="1" t="s">
        <v>2506</v>
      </c>
      <c r="E6839" s="1" t="s">
        <v>2019</v>
      </c>
      <c r="F6839" s="1" t="s">
        <v>682</v>
      </c>
      <c r="G6839" s="47">
        <v>2073512</v>
      </c>
      <c r="H6839">
        <f>IFERROR(VLOOKUP(F6839,'LEAID Match'!$A$2:$B$142,2,FALSE),"")</f>
        <v>2804020</v>
      </c>
    </row>
    <row r="6840" spans="1:8" x14ac:dyDescent="0.2">
      <c r="A6840">
        <f t="shared" si="106"/>
        <v>2804020</v>
      </c>
      <c r="B6840" s="1">
        <v>2018</v>
      </c>
      <c r="C6840" s="1" t="s">
        <v>2505</v>
      </c>
      <c r="D6840" s="1" t="s">
        <v>2506</v>
      </c>
      <c r="E6840" s="1" t="s">
        <v>2019</v>
      </c>
      <c r="F6840" s="1" t="s">
        <v>682</v>
      </c>
      <c r="G6840" s="6">
        <v>2048900</v>
      </c>
      <c r="H6840">
        <f>IFERROR(VLOOKUP(F6840,'LEAID Match'!$A$2:$B$142,2,FALSE),"")</f>
        <v>2804020</v>
      </c>
    </row>
    <row r="6841" spans="1:8" x14ac:dyDescent="0.2">
      <c r="A6841">
        <f t="shared" si="106"/>
        <v>2804020</v>
      </c>
      <c r="B6841" s="1">
        <v>2019</v>
      </c>
      <c r="C6841" s="1" t="s">
        <v>2505</v>
      </c>
      <c r="D6841" s="1" t="s">
        <v>2506</v>
      </c>
      <c r="E6841" s="1" t="s">
        <v>2019</v>
      </c>
      <c r="F6841" s="1" t="s">
        <v>682</v>
      </c>
      <c r="G6841" s="6">
        <v>1984605</v>
      </c>
      <c r="H6841">
        <f>IFERROR(VLOOKUP(F6841,'LEAID Match'!$A$2:$B$142,2,FALSE),"")</f>
        <v>2804020</v>
      </c>
    </row>
    <row r="6842" spans="1:8" x14ac:dyDescent="0.2">
      <c r="A6842">
        <f t="shared" si="106"/>
        <v>2804020</v>
      </c>
      <c r="B6842" s="1">
        <v>2020</v>
      </c>
      <c r="C6842" s="1" t="s">
        <v>2505</v>
      </c>
      <c r="D6842" s="1" t="s">
        <v>2506</v>
      </c>
      <c r="E6842" s="1" t="s">
        <v>2019</v>
      </c>
      <c r="F6842" s="1" t="s">
        <v>682</v>
      </c>
      <c r="G6842" s="6">
        <v>2257761</v>
      </c>
      <c r="H6842">
        <f>IFERROR(VLOOKUP(F6842,'LEAID Match'!$A$2:$B$142,2,FALSE),"")</f>
        <v>2804020</v>
      </c>
    </row>
    <row r="6843" spans="1:8" x14ac:dyDescent="0.2">
      <c r="A6843">
        <f t="shared" si="106"/>
        <v>2804020</v>
      </c>
      <c r="B6843" s="1">
        <v>2021</v>
      </c>
      <c r="C6843" s="1" t="s">
        <v>2505</v>
      </c>
      <c r="D6843" s="1" t="s">
        <v>2506</v>
      </c>
      <c r="E6843" s="1" t="s">
        <v>2019</v>
      </c>
      <c r="F6843" s="1" t="s">
        <v>682</v>
      </c>
      <c r="G6843" s="6">
        <v>2241251</v>
      </c>
      <c r="H6843">
        <f>IFERROR(VLOOKUP(F6843,'LEAID Match'!$A$2:$B$142,2,FALSE),"")</f>
        <v>2804020</v>
      </c>
    </row>
    <row r="6844" spans="1:8" x14ac:dyDescent="0.2">
      <c r="A6844">
        <f t="shared" si="106"/>
        <v>2804020</v>
      </c>
      <c r="B6844" s="1">
        <v>2022</v>
      </c>
      <c r="C6844" s="1" t="s">
        <v>2505</v>
      </c>
      <c r="D6844" s="1" t="s">
        <v>2506</v>
      </c>
      <c r="E6844" s="1" t="s">
        <v>2019</v>
      </c>
      <c r="F6844" s="1" t="s">
        <v>682</v>
      </c>
      <c r="G6844" s="6">
        <v>2394796</v>
      </c>
      <c r="H6844">
        <f>IFERROR(VLOOKUP(F6844,'LEAID Match'!$A$2:$B$142,2,FALSE),"")</f>
        <v>2804020</v>
      </c>
    </row>
    <row r="6845" spans="1:8" x14ac:dyDescent="0.2">
      <c r="A6845">
        <f t="shared" si="106"/>
        <v>2804020</v>
      </c>
      <c r="B6845" s="1">
        <v>2023</v>
      </c>
      <c r="C6845" s="1" t="s">
        <v>2505</v>
      </c>
      <c r="D6845" s="1" t="s">
        <v>2506</v>
      </c>
      <c r="E6845" s="1" t="s">
        <v>2019</v>
      </c>
      <c r="F6845" s="1" t="s">
        <v>682</v>
      </c>
      <c r="G6845" s="6">
        <v>2570715</v>
      </c>
      <c r="H6845">
        <f>IFERROR(VLOOKUP(F6845,'LEAID Match'!$A$2:$B$142,2,FALSE),"")</f>
        <v>2804020</v>
      </c>
    </row>
    <row r="6846" spans="1:8" x14ac:dyDescent="0.2">
      <c r="A6846">
        <f t="shared" si="106"/>
        <v>2804020</v>
      </c>
      <c r="B6846" s="1">
        <v>2024</v>
      </c>
      <c r="C6846" s="1" t="s">
        <v>2505</v>
      </c>
      <c r="D6846" s="1" t="s">
        <v>2506</v>
      </c>
      <c r="E6846" s="1" t="s">
        <v>2019</v>
      </c>
      <c r="F6846" s="1" t="s">
        <v>682</v>
      </c>
      <c r="G6846" s="6">
        <v>2562605</v>
      </c>
      <c r="H6846">
        <f>IFERROR(VLOOKUP(F6846,'LEAID Match'!$A$2:$B$142,2,FALSE),"")</f>
        <v>2804020</v>
      </c>
    </row>
    <row r="6847" spans="1:8" x14ac:dyDescent="0.2">
      <c r="A6847" t="str">
        <f t="shared" si="106"/>
        <v/>
      </c>
      <c r="B6847" s="1">
        <v>2015</v>
      </c>
      <c r="C6847" s="1" t="s">
        <v>2505</v>
      </c>
      <c r="D6847" s="1" t="s">
        <v>2506</v>
      </c>
      <c r="E6847" s="1" t="s">
        <v>2019</v>
      </c>
      <c r="F6847" s="1" t="s">
        <v>683</v>
      </c>
      <c r="G6847" s="6">
        <v>419050</v>
      </c>
      <c r="H6847" t="str">
        <f>IFERROR(VLOOKUP(F6847,'LEAID Match'!$A$2:$B$142,2,FALSE),"")</f>
        <v/>
      </c>
    </row>
    <row r="6848" spans="1:8" x14ac:dyDescent="0.2">
      <c r="A6848" t="str">
        <f t="shared" si="106"/>
        <v/>
      </c>
      <c r="B6848">
        <v>2016</v>
      </c>
      <c r="C6848" s="1" t="s">
        <v>2505</v>
      </c>
      <c r="D6848" s="1" t="s">
        <v>2506</v>
      </c>
      <c r="E6848" s="1" t="s">
        <v>2019</v>
      </c>
      <c r="F6848" s="1" t="s">
        <v>683</v>
      </c>
      <c r="G6848" s="12">
        <v>484772</v>
      </c>
      <c r="H6848" t="str">
        <f>IFERROR(VLOOKUP(F6848,'LEAID Match'!$A$2:$B$142,2,FALSE),"")</f>
        <v/>
      </c>
    </row>
    <row r="6849" spans="1:8" x14ac:dyDescent="0.2">
      <c r="A6849" t="str">
        <f t="shared" si="106"/>
        <v/>
      </c>
      <c r="B6849" s="1">
        <v>2017</v>
      </c>
      <c r="C6849" s="1" t="s">
        <v>2505</v>
      </c>
      <c r="D6849" s="1" t="s">
        <v>2506</v>
      </c>
      <c r="E6849" s="1" t="s">
        <v>2019</v>
      </c>
      <c r="F6849" s="1" t="s">
        <v>683</v>
      </c>
      <c r="G6849" s="47">
        <v>471782</v>
      </c>
      <c r="H6849" t="str">
        <f>IFERROR(VLOOKUP(F6849,'LEAID Match'!$A$2:$B$142,2,FALSE),"")</f>
        <v/>
      </c>
    </row>
    <row r="6850" spans="1:8" x14ac:dyDescent="0.2">
      <c r="A6850" t="str">
        <f t="shared" si="106"/>
        <v/>
      </c>
      <c r="B6850" s="1">
        <v>2018</v>
      </c>
      <c r="C6850" s="1" t="s">
        <v>2505</v>
      </c>
      <c r="D6850" s="1" t="s">
        <v>2506</v>
      </c>
      <c r="E6850" s="1" t="s">
        <v>2019</v>
      </c>
      <c r="F6850" s="1" t="s">
        <v>683</v>
      </c>
      <c r="G6850" s="6">
        <v>454810</v>
      </c>
      <c r="H6850" t="str">
        <f>IFERROR(VLOOKUP(F6850,'LEAID Match'!$A$2:$B$142,2,FALSE),"")</f>
        <v/>
      </c>
    </row>
    <row r="6851" spans="1:8" x14ac:dyDescent="0.2">
      <c r="A6851" t="str">
        <f t="shared" ref="A6851:A6914" si="107">H6851</f>
        <v/>
      </c>
      <c r="B6851" s="1">
        <v>2019</v>
      </c>
      <c r="C6851" s="1" t="s">
        <v>2505</v>
      </c>
      <c r="D6851" s="1" t="s">
        <v>2506</v>
      </c>
      <c r="E6851" s="1" t="s">
        <v>2019</v>
      </c>
      <c r="F6851" s="1" t="s">
        <v>683</v>
      </c>
      <c r="G6851" s="6">
        <v>454556</v>
      </c>
      <c r="H6851" t="str">
        <f>IFERROR(VLOOKUP(F6851,'LEAID Match'!$A$2:$B$142,2,FALSE),"")</f>
        <v/>
      </c>
    </row>
    <row r="6852" spans="1:8" x14ac:dyDescent="0.2">
      <c r="A6852" t="str">
        <f t="shared" si="107"/>
        <v/>
      </c>
      <c r="B6852" s="1">
        <v>2020</v>
      </c>
      <c r="C6852" s="1" t="s">
        <v>2505</v>
      </c>
      <c r="D6852" s="1" t="s">
        <v>2506</v>
      </c>
      <c r="E6852" s="1" t="s">
        <v>2019</v>
      </c>
      <c r="F6852" s="1" t="s">
        <v>683</v>
      </c>
      <c r="G6852" s="6">
        <v>518561</v>
      </c>
      <c r="H6852" t="str">
        <f>IFERROR(VLOOKUP(F6852,'LEAID Match'!$A$2:$B$142,2,FALSE),"")</f>
        <v/>
      </c>
    </row>
    <row r="6853" spans="1:8" x14ac:dyDescent="0.2">
      <c r="A6853" t="str">
        <f t="shared" si="107"/>
        <v/>
      </c>
      <c r="B6853" s="1">
        <v>2021</v>
      </c>
      <c r="C6853" s="1" t="s">
        <v>2505</v>
      </c>
      <c r="D6853" s="1" t="s">
        <v>2506</v>
      </c>
      <c r="E6853" s="1" t="s">
        <v>2019</v>
      </c>
      <c r="F6853" s="1" t="s">
        <v>683</v>
      </c>
      <c r="G6853" s="6">
        <v>561255</v>
      </c>
      <c r="H6853" t="str">
        <f>IFERROR(VLOOKUP(F6853,'LEAID Match'!$A$2:$B$142,2,FALSE),"")</f>
        <v/>
      </c>
    </row>
    <row r="6854" spans="1:8" x14ac:dyDescent="0.2">
      <c r="A6854" t="str">
        <f t="shared" si="107"/>
        <v/>
      </c>
      <c r="B6854" s="1">
        <v>2022</v>
      </c>
      <c r="C6854" s="1" t="s">
        <v>2505</v>
      </c>
      <c r="D6854" s="1" t="s">
        <v>2506</v>
      </c>
      <c r="E6854" s="1" t="s">
        <v>2019</v>
      </c>
      <c r="F6854" s="1" t="s">
        <v>683</v>
      </c>
      <c r="G6854" s="6">
        <v>584960</v>
      </c>
      <c r="H6854" t="str">
        <f>IFERROR(VLOOKUP(F6854,'LEAID Match'!$A$2:$B$142,2,FALSE),"")</f>
        <v/>
      </c>
    </row>
    <row r="6855" spans="1:8" x14ac:dyDescent="0.2">
      <c r="A6855" t="str">
        <f t="shared" si="107"/>
        <v/>
      </c>
      <c r="B6855" s="1">
        <v>2023</v>
      </c>
      <c r="C6855" s="1" t="s">
        <v>2505</v>
      </c>
      <c r="D6855" s="1" t="s">
        <v>2506</v>
      </c>
      <c r="E6855" s="1" t="s">
        <v>2019</v>
      </c>
      <c r="F6855" s="1" t="s">
        <v>683</v>
      </c>
      <c r="G6855" s="6">
        <v>630824</v>
      </c>
      <c r="H6855" t="str">
        <f>IFERROR(VLOOKUP(F6855,'LEAID Match'!$A$2:$B$142,2,FALSE),"")</f>
        <v/>
      </c>
    </row>
    <row r="6856" spans="1:8" x14ac:dyDescent="0.2">
      <c r="A6856" t="str">
        <f t="shared" si="107"/>
        <v/>
      </c>
      <c r="B6856" s="1">
        <v>2024</v>
      </c>
      <c r="C6856" s="1" t="s">
        <v>2505</v>
      </c>
      <c r="D6856" s="1" t="s">
        <v>2506</v>
      </c>
      <c r="E6856" s="1" t="s">
        <v>2019</v>
      </c>
      <c r="F6856" s="1" t="s">
        <v>683</v>
      </c>
      <c r="G6856" s="6">
        <v>677091</v>
      </c>
      <c r="H6856" t="str">
        <f>IFERROR(VLOOKUP(F6856,'LEAID Match'!$A$2:$B$142,2,FALSE),"")</f>
        <v/>
      </c>
    </row>
    <row r="6857" spans="1:8" x14ac:dyDescent="0.2">
      <c r="A6857" t="str">
        <f t="shared" si="107"/>
        <v/>
      </c>
      <c r="B6857" s="1">
        <v>2015</v>
      </c>
      <c r="C6857" s="1" t="s">
        <v>2505</v>
      </c>
      <c r="D6857" s="1" t="s">
        <v>2506</v>
      </c>
      <c r="E6857" s="1" t="s">
        <v>2019</v>
      </c>
      <c r="F6857" s="1" t="s">
        <v>684</v>
      </c>
      <c r="G6857" s="6">
        <v>37598</v>
      </c>
      <c r="H6857" t="str">
        <f>IFERROR(VLOOKUP(F6857,'LEAID Match'!$A$2:$B$142,2,FALSE),"")</f>
        <v/>
      </c>
    </row>
    <row r="6858" spans="1:8" x14ac:dyDescent="0.2">
      <c r="A6858" t="str">
        <f t="shared" si="107"/>
        <v/>
      </c>
      <c r="B6858">
        <v>2016</v>
      </c>
      <c r="C6858" s="1" t="s">
        <v>2505</v>
      </c>
      <c r="D6858" s="1" t="s">
        <v>2506</v>
      </c>
      <c r="E6858" s="1" t="s">
        <v>2019</v>
      </c>
      <c r="F6858" s="1" t="s">
        <v>684</v>
      </c>
      <c r="G6858" s="12">
        <v>36166</v>
      </c>
      <c r="H6858" t="str">
        <f>IFERROR(VLOOKUP(F6858,'LEAID Match'!$A$2:$B$142,2,FALSE),"")</f>
        <v/>
      </c>
    </row>
    <row r="6859" spans="1:8" x14ac:dyDescent="0.2">
      <c r="A6859" t="str">
        <f t="shared" si="107"/>
        <v/>
      </c>
      <c r="B6859" s="1">
        <v>2017</v>
      </c>
      <c r="C6859" s="1" t="s">
        <v>2505</v>
      </c>
      <c r="D6859" s="1" t="s">
        <v>2506</v>
      </c>
      <c r="E6859" s="1" t="s">
        <v>2019</v>
      </c>
      <c r="F6859" s="1" t="s">
        <v>684</v>
      </c>
      <c r="G6859" s="47">
        <v>33666</v>
      </c>
      <c r="H6859" t="str">
        <f>IFERROR(VLOOKUP(F6859,'LEAID Match'!$A$2:$B$142,2,FALSE),"")</f>
        <v/>
      </c>
    </row>
    <row r="6860" spans="1:8" x14ac:dyDescent="0.2">
      <c r="A6860" t="str">
        <f t="shared" si="107"/>
        <v/>
      </c>
      <c r="B6860" s="1">
        <v>2018</v>
      </c>
      <c r="C6860" s="1" t="s">
        <v>2505</v>
      </c>
      <c r="D6860" s="1" t="s">
        <v>2506</v>
      </c>
      <c r="E6860" s="1" t="s">
        <v>2019</v>
      </c>
      <c r="F6860" s="1" t="s">
        <v>684</v>
      </c>
      <c r="G6860" s="6">
        <v>34812</v>
      </c>
      <c r="H6860" t="str">
        <f>IFERROR(VLOOKUP(F6860,'LEAID Match'!$A$2:$B$142,2,FALSE),"")</f>
        <v/>
      </c>
    </row>
    <row r="6861" spans="1:8" x14ac:dyDescent="0.2">
      <c r="A6861" t="str">
        <f t="shared" si="107"/>
        <v/>
      </c>
      <c r="B6861" s="1">
        <v>2019</v>
      </c>
      <c r="C6861" s="1" t="s">
        <v>2505</v>
      </c>
      <c r="D6861" s="1" t="s">
        <v>2506</v>
      </c>
      <c r="E6861" s="1" t="s">
        <v>2019</v>
      </c>
      <c r="F6861" s="1" t="s">
        <v>684</v>
      </c>
      <c r="G6861" s="6">
        <v>34156</v>
      </c>
      <c r="H6861" t="str">
        <f>IFERROR(VLOOKUP(F6861,'LEAID Match'!$A$2:$B$142,2,FALSE),"")</f>
        <v/>
      </c>
    </row>
    <row r="6862" spans="1:8" x14ac:dyDescent="0.2">
      <c r="A6862" t="str">
        <f t="shared" si="107"/>
        <v/>
      </c>
      <c r="B6862" s="1">
        <v>2020</v>
      </c>
      <c r="C6862" s="1" t="s">
        <v>2505</v>
      </c>
      <c r="D6862" s="1" t="s">
        <v>2506</v>
      </c>
      <c r="E6862" s="1" t="s">
        <v>2019</v>
      </c>
      <c r="F6862" s="1" t="s">
        <v>684</v>
      </c>
      <c r="G6862" s="6">
        <v>38770</v>
      </c>
      <c r="H6862" t="str">
        <f>IFERROR(VLOOKUP(F6862,'LEAID Match'!$A$2:$B$142,2,FALSE),"")</f>
        <v/>
      </c>
    </row>
    <row r="6863" spans="1:8" x14ac:dyDescent="0.2">
      <c r="A6863" t="str">
        <f t="shared" si="107"/>
        <v/>
      </c>
      <c r="B6863" s="1">
        <v>2021</v>
      </c>
      <c r="C6863" s="1" t="s">
        <v>2505</v>
      </c>
      <c r="D6863" s="1" t="s">
        <v>2506</v>
      </c>
      <c r="E6863" s="1" t="s">
        <v>2019</v>
      </c>
      <c r="F6863" s="1" t="s">
        <v>684</v>
      </c>
      <c r="G6863" s="6">
        <v>39206</v>
      </c>
      <c r="H6863" t="str">
        <f>IFERROR(VLOOKUP(F6863,'LEAID Match'!$A$2:$B$142,2,FALSE),"")</f>
        <v/>
      </c>
    </row>
    <row r="6864" spans="1:8" x14ac:dyDescent="0.2">
      <c r="A6864" t="str">
        <f t="shared" si="107"/>
        <v/>
      </c>
      <c r="B6864" s="1">
        <v>2022</v>
      </c>
      <c r="C6864" s="1" t="s">
        <v>2505</v>
      </c>
      <c r="D6864" s="1" t="s">
        <v>2506</v>
      </c>
      <c r="E6864" s="1" t="s">
        <v>2019</v>
      </c>
      <c r="F6864" s="1" t="s">
        <v>684</v>
      </c>
      <c r="G6864" s="6">
        <v>39677</v>
      </c>
      <c r="H6864" t="str">
        <f>IFERROR(VLOOKUP(F6864,'LEAID Match'!$A$2:$B$142,2,FALSE),"")</f>
        <v/>
      </c>
    </row>
    <row r="6865" spans="1:8" x14ac:dyDescent="0.2">
      <c r="A6865" t="str">
        <f t="shared" si="107"/>
        <v/>
      </c>
      <c r="B6865" s="1">
        <v>2023</v>
      </c>
      <c r="C6865" s="1" t="s">
        <v>2505</v>
      </c>
      <c r="D6865" s="1" t="s">
        <v>2506</v>
      </c>
      <c r="E6865" s="1" t="s">
        <v>2019</v>
      </c>
      <c r="F6865" s="1" t="s">
        <v>684</v>
      </c>
      <c r="G6865" s="6">
        <v>39523</v>
      </c>
      <c r="H6865" t="str">
        <f>IFERROR(VLOOKUP(F6865,'LEAID Match'!$A$2:$B$142,2,FALSE),"")</f>
        <v/>
      </c>
    </row>
    <row r="6866" spans="1:8" x14ac:dyDescent="0.2">
      <c r="A6866" t="str">
        <f t="shared" si="107"/>
        <v/>
      </c>
      <c r="B6866" s="1">
        <v>2024</v>
      </c>
      <c r="C6866" s="1" t="s">
        <v>2505</v>
      </c>
      <c r="D6866" s="1" t="s">
        <v>2506</v>
      </c>
      <c r="E6866" s="1" t="s">
        <v>2019</v>
      </c>
      <c r="F6866" s="1" t="s">
        <v>684</v>
      </c>
      <c r="G6866" s="6">
        <v>36569</v>
      </c>
      <c r="H6866" t="str">
        <f>IFERROR(VLOOKUP(F6866,'LEAID Match'!$A$2:$B$142,2,FALSE),"")</f>
        <v/>
      </c>
    </row>
    <row r="6867" spans="1:8" x14ac:dyDescent="0.2">
      <c r="A6867" t="str">
        <f t="shared" si="107"/>
        <v/>
      </c>
      <c r="B6867">
        <v>2016</v>
      </c>
      <c r="C6867" s="1" t="s">
        <v>2505</v>
      </c>
      <c r="D6867" s="1" t="s">
        <v>2506</v>
      </c>
      <c r="E6867" s="1" t="s">
        <v>2019</v>
      </c>
      <c r="F6867" s="1" t="s">
        <v>685</v>
      </c>
      <c r="G6867" s="12">
        <v>1192819</v>
      </c>
      <c r="H6867" t="str">
        <f>IFERROR(VLOOKUP(F6867,'LEAID Match'!$A$2:$B$142,2,FALSE),"")</f>
        <v/>
      </c>
    </row>
    <row r="6868" spans="1:8" x14ac:dyDescent="0.2">
      <c r="A6868" t="str">
        <f t="shared" si="107"/>
        <v/>
      </c>
      <c r="B6868" s="1">
        <v>2017</v>
      </c>
      <c r="C6868" s="1" t="s">
        <v>2505</v>
      </c>
      <c r="D6868" s="1" t="s">
        <v>2506</v>
      </c>
      <c r="E6868" s="1" t="s">
        <v>2019</v>
      </c>
      <c r="F6868" s="1" t="s">
        <v>685</v>
      </c>
      <c r="G6868" s="47">
        <v>1199475</v>
      </c>
      <c r="H6868" t="str">
        <f>IFERROR(VLOOKUP(F6868,'LEAID Match'!$A$2:$B$142,2,FALSE),"")</f>
        <v/>
      </c>
    </row>
    <row r="6869" spans="1:8" x14ac:dyDescent="0.2">
      <c r="A6869" t="str">
        <f t="shared" si="107"/>
        <v/>
      </c>
      <c r="B6869" s="1">
        <v>2018</v>
      </c>
      <c r="C6869" s="1" t="s">
        <v>2505</v>
      </c>
      <c r="D6869" s="1" t="s">
        <v>2506</v>
      </c>
      <c r="E6869" s="1" t="s">
        <v>2019</v>
      </c>
      <c r="F6869" s="1" t="s">
        <v>685</v>
      </c>
      <c r="G6869" s="6">
        <v>1259445</v>
      </c>
      <c r="H6869" t="str">
        <f>IFERROR(VLOOKUP(F6869,'LEAID Match'!$A$2:$B$142,2,FALSE),"")</f>
        <v/>
      </c>
    </row>
    <row r="6870" spans="1:8" x14ac:dyDescent="0.2">
      <c r="A6870" t="str">
        <f t="shared" si="107"/>
        <v/>
      </c>
      <c r="B6870" s="1">
        <v>2019</v>
      </c>
      <c r="C6870" s="1" t="s">
        <v>2505</v>
      </c>
      <c r="D6870" s="1" t="s">
        <v>2506</v>
      </c>
      <c r="E6870" s="1" t="s">
        <v>2019</v>
      </c>
      <c r="F6870" s="1" t="s">
        <v>685</v>
      </c>
      <c r="G6870" s="6">
        <v>1299960</v>
      </c>
      <c r="H6870" t="str">
        <f>IFERROR(VLOOKUP(F6870,'LEAID Match'!$A$2:$B$142,2,FALSE),"")</f>
        <v/>
      </c>
    </row>
    <row r="6871" spans="1:8" x14ac:dyDescent="0.2">
      <c r="A6871" t="str">
        <f t="shared" si="107"/>
        <v/>
      </c>
      <c r="B6871" s="1">
        <v>2020</v>
      </c>
      <c r="C6871" s="1" t="s">
        <v>2505</v>
      </c>
      <c r="D6871" s="1" t="s">
        <v>2506</v>
      </c>
      <c r="E6871" s="1" t="s">
        <v>2019</v>
      </c>
      <c r="F6871" s="1" t="s">
        <v>685</v>
      </c>
      <c r="G6871" s="6">
        <v>1481997</v>
      </c>
      <c r="H6871" t="str">
        <f>IFERROR(VLOOKUP(F6871,'LEAID Match'!$A$2:$B$142,2,FALSE),"")</f>
        <v/>
      </c>
    </row>
    <row r="6872" spans="1:8" x14ac:dyDescent="0.2">
      <c r="A6872" t="str">
        <f t="shared" si="107"/>
        <v/>
      </c>
      <c r="B6872" s="1">
        <v>2021</v>
      </c>
      <c r="C6872" s="1" t="s">
        <v>2505</v>
      </c>
      <c r="D6872" s="1" t="s">
        <v>2506</v>
      </c>
      <c r="E6872" s="1" t="s">
        <v>2019</v>
      </c>
      <c r="F6872" s="1" t="s">
        <v>685</v>
      </c>
      <c r="G6872" s="6">
        <v>1500679</v>
      </c>
      <c r="H6872" t="str">
        <f>IFERROR(VLOOKUP(F6872,'LEAID Match'!$A$2:$B$142,2,FALSE),"")</f>
        <v/>
      </c>
    </row>
    <row r="6873" spans="1:8" x14ac:dyDescent="0.2">
      <c r="A6873" t="str">
        <f t="shared" si="107"/>
        <v/>
      </c>
      <c r="B6873" s="1">
        <v>2022</v>
      </c>
      <c r="C6873" s="1" t="s">
        <v>2505</v>
      </c>
      <c r="D6873" s="1" t="s">
        <v>2506</v>
      </c>
      <c r="E6873" s="1" t="s">
        <v>2019</v>
      </c>
      <c r="F6873" s="1" t="s">
        <v>685</v>
      </c>
      <c r="G6873" s="6">
        <v>1413655</v>
      </c>
      <c r="H6873" t="str">
        <f>IFERROR(VLOOKUP(F6873,'LEAID Match'!$A$2:$B$142,2,FALSE),"")</f>
        <v/>
      </c>
    </row>
    <row r="6874" spans="1:8" x14ac:dyDescent="0.2">
      <c r="A6874" t="str">
        <f t="shared" si="107"/>
        <v/>
      </c>
      <c r="B6874" s="1">
        <v>2023</v>
      </c>
      <c r="C6874" s="1" t="s">
        <v>2505</v>
      </c>
      <c r="D6874" s="1" t="s">
        <v>2506</v>
      </c>
      <c r="E6874" s="1" t="s">
        <v>2019</v>
      </c>
      <c r="F6874" s="1" t="s">
        <v>685</v>
      </c>
      <c r="G6874" s="6">
        <v>1414396</v>
      </c>
      <c r="H6874" t="str">
        <f>IFERROR(VLOOKUP(F6874,'LEAID Match'!$A$2:$B$142,2,FALSE),"")</f>
        <v/>
      </c>
    </row>
    <row r="6875" spans="1:8" x14ac:dyDescent="0.2">
      <c r="A6875" t="str">
        <f t="shared" si="107"/>
        <v/>
      </c>
      <c r="B6875" s="1">
        <v>2024</v>
      </c>
      <c r="C6875" s="1" t="s">
        <v>2505</v>
      </c>
      <c r="D6875" s="1" t="s">
        <v>2506</v>
      </c>
      <c r="E6875" s="1" t="s">
        <v>2019</v>
      </c>
      <c r="F6875" s="1" t="s">
        <v>685</v>
      </c>
      <c r="G6875" s="6">
        <v>1339063</v>
      </c>
      <c r="H6875" t="str">
        <f>IFERROR(VLOOKUP(F6875,'LEAID Match'!$A$2:$B$142,2,FALSE),"")</f>
        <v/>
      </c>
    </row>
    <row r="6876" spans="1:8" x14ac:dyDescent="0.2">
      <c r="A6876" t="str">
        <f t="shared" si="107"/>
        <v/>
      </c>
      <c r="B6876" s="1">
        <v>2015</v>
      </c>
      <c r="C6876" s="1" t="s">
        <v>2505</v>
      </c>
      <c r="D6876" s="1" t="s">
        <v>2506</v>
      </c>
      <c r="E6876" s="1" t="s">
        <v>2019</v>
      </c>
      <c r="F6876" s="1" t="s">
        <v>686</v>
      </c>
      <c r="G6876" s="6">
        <v>12424</v>
      </c>
      <c r="H6876" t="str">
        <f>IFERROR(VLOOKUP(F6876,'LEAID Match'!$A$2:$B$142,2,FALSE),"")</f>
        <v/>
      </c>
    </row>
    <row r="6877" spans="1:8" x14ac:dyDescent="0.2">
      <c r="A6877" t="str">
        <f t="shared" si="107"/>
        <v/>
      </c>
      <c r="B6877">
        <v>2016</v>
      </c>
      <c r="C6877" s="1" t="s">
        <v>2505</v>
      </c>
      <c r="D6877" s="1" t="s">
        <v>2506</v>
      </c>
      <c r="E6877" s="1" t="s">
        <v>2019</v>
      </c>
      <c r="F6877" s="1" t="s">
        <v>686</v>
      </c>
      <c r="G6877" s="12">
        <v>12873</v>
      </c>
      <c r="H6877" t="str">
        <f>IFERROR(VLOOKUP(F6877,'LEAID Match'!$A$2:$B$142,2,FALSE),"")</f>
        <v/>
      </c>
    </row>
    <row r="6878" spans="1:8" x14ac:dyDescent="0.2">
      <c r="A6878" t="str">
        <f t="shared" si="107"/>
        <v/>
      </c>
      <c r="B6878" s="1">
        <v>2017</v>
      </c>
      <c r="C6878" s="1" t="s">
        <v>2505</v>
      </c>
      <c r="D6878" s="1" t="s">
        <v>2506</v>
      </c>
      <c r="E6878" s="1" t="s">
        <v>2019</v>
      </c>
      <c r="F6878" s="1" t="s">
        <v>686</v>
      </c>
      <c r="G6878" s="47">
        <v>8703</v>
      </c>
      <c r="H6878" t="str">
        <f>IFERROR(VLOOKUP(F6878,'LEAID Match'!$A$2:$B$142,2,FALSE),"")</f>
        <v/>
      </c>
    </row>
    <row r="6879" spans="1:8" x14ac:dyDescent="0.2">
      <c r="A6879" t="str">
        <f t="shared" si="107"/>
        <v/>
      </c>
      <c r="B6879" s="1">
        <v>2018</v>
      </c>
      <c r="C6879" s="1" t="s">
        <v>2505</v>
      </c>
      <c r="D6879" s="1" t="s">
        <v>2506</v>
      </c>
      <c r="E6879" s="1" t="s">
        <v>2019</v>
      </c>
      <c r="F6879" s="1" t="s">
        <v>686</v>
      </c>
      <c r="G6879" s="6">
        <v>8244</v>
      </c>
      <c r="H6879" t="str">
        <f>IFERROR(VLOOKUP(F6879,'LEAID Match'!$A$2:$B$142,2,FALSE),"")</f>
        <v/>
      </c>
    </row>
    <row r="6880" spans="1:8" x14ac:dyDescent="0.2">
      <c r="A6880" t="str">
        <f t="shared" si="107"/>
        <v/>
      </c>
      <c r="B6880" s="1">
        <v>2019</v>
      </c>
      <c r="C6880" s="1" t="s">
        <v>2505</v>
      </c>
      <c r="D6880" s="1" t="s">
        <v>2506</v>
      </c>
      <c r="E6880" s="1" t="s">
        <v>2019</v>
      </c>
      <c r="F6880" s="1" t="s">
        <v>686</v>
      </c>
      <c r="G6880" s="6">
        <v>8184</v>
      </c>
      <c r="H6880" t="str">
        <f>IFERROR(VLOOKUP(F6880,'LEAID Match'!$A$2:$B$142,2,FALSE),"")</f>
        <v/>
      </c>
    </row>
    <row r="6881" spans="1:8" x14ac:dyDescent="0.2">
      <c r="A6881" t="str">
        <f t="shared" si="107"/>
        <v/>
      </c>
      <c r="B6881" s="1">
        <v>2020</v>
      </c>
      <c r="C6881" s="1" t="s">
        <v>2505</v>
      </c>
      <c r="D6881" s="1" t="s">
        <v>2506</v>
      </c>
      <c r="E6881" s="1" t="s">
        <v>2019</v>
      </c>
      <c r="F6881" s="1" t="s">
        <v>686</v>
      </c>
      <c r="G6881" s="6">
        <v>8289</v>
      </c>
      <c r="H6881" t="str">
        <f>IFERROR(VLOOKUP(F6881,'LEAID Match'!$A$2:$B$142,2,FALSE),"")</f>
        <v/>
      </c>
    </row>
    <row r="6882" spans="1:8" x14ac:dyDescent="0.2">
      <c r="A6882" t="str">
        <f t="shared" si="107"/>
        <v/>
      </c>
      <c r="B6882" s="1">
        <v>2021</v>
      </c>
      <c r="C6882" s="1" t="s">
        <v>2505</v>
      </c>
      <c r="D6882" s="1" t="s">
        <v>2506</v>
      </c>
      <c r="E6882" s="1" t="s">
        <v>2019</v>
      </c>
      <c r="F6882" s="1" t="s">
        <v>686</v>
      </c>
      <c r="G6882" s="6">
        <v>7299</v>
      </c>
      <c r="H6882" t="str">
        <f>IFERROR(VLOOKUP(F6882,'LEAID Match'!$A$2:$B$142,2,FALSE),"")</f>
        <v/>
      </c>
    </row>
    <row r="6883" spans="1:8" x14ac:dyDescent="0.2">
      <c r="A6883" t="str">
        <f t="shared" si="107"/>
        <v/>
      </c>
      <c r="B6883" s="1">
        <v>2022</v>
      </c>
      <c r="C6883" s="1" t="s">
        <v>2505</v>
      </c>
      <c r="D6883" s="1" t="s">
        <v>2506</v>
      </c>
      <c r="E6883" s="1" t="s">
        <v>2019</v>
      </c>
      <c r="F6883" s="1" t="s">
        <v>686</v>
      </c>
      <c r="G6883" s="6">
        <v>7062</v>
      </c>
      <c r="H6883" t="str">
        <f>IFERROR(VLOOKUP(F6883,'LEAID Match'!$A$2:$B$142,2,FALSE),"")</f>
        <v/>
      </c>
    </row>
    <row r="6884" spans="1:8" x14ac:dyDescent="0.2">
      <c r="A6884" t="str">
        <f t="shared" si="107"/>
        <v/>
      </c>
      <c r="B6884" s="1">
        <v>2023</v>
      </c>
      <c r="C6884" s="1" t="s">
        <v>2505</v>
      </c>
      <c r="D6884" s="1" t="s">
        <v>2506</v>
      </c>
      <c r="E6884" s="1" t="s">
        <v>2019</v>
      </c>
      <c r="F6884" s="1" t="s">
        <v>686</v>
      </c>
      <c r="G6884" s="6">
        <v>7730</v>
      </c>
      <c r="H6884" t="str">
        <f>IFERROR(VLOOKUP(F6884,'LEAID Match'!$A$2:$B$142,2,FALSE),"")</f>
        <v/>
      </c>
    </row>
    <row r="6885" spans="1:8" x14ac:dyDescent="0.2">
      <c r="A6885" t="str">
        <f t="shared" si="107"/>
        <v/>
      </c>
      <c r="B6885" s="1">
        <v>2024</v>
      </c>
      <c r="C6885" s="1" t="s">
        <v>2505</v>
      </c>
      <c r="D6885" s="1" t="s">
        <v>2506</v>
      </c>
      <c r="E6885" s="1" t="s">
        <v>2019</v>
      </c>
      <c r="F6885" s="1" t="s">
        <v>686</v>
      </c>
      <c r="G6885" s="6">
        <v>10272</v>
      </c>
      <c r="H6885" t="str">
        <f>IFERROR(VLOOKUP(F6885,'LEAID Match'!$A$2:$B$142,2,FALSE),"")</f>
        <v/>
      </c>
    </row>
    <row r="6886" spans="1:8" x14ac:dyDescent="0.2">
      <c r="A6886" t="str">
        <f t="shared" si="107"/>
        <v/>
      </c>
      <c r="B6886" s="1">
        <v>2015</v>
      </c>
      <c r="C6886" s="1" t="s">
        <v>2505</v>
      </c>
      <c r="D6886" s="1" t="s">
        <v>2506</v>
      </c>
      <c r="E6886" s="1" t="s">
        <v>2019</v>
      </c>
      <c r="F6886" s="1" t="s">
        <v>687</v>
      </c>
      <c r="G6886" s="6">
        <v>165664</v>
      </c>
      <c r="H6886" t="str">
        <f>IFERROR(VLOOKUP(F6886,'LEAID Match'!$A$2:$B$142,2,FALSE),"")</f>
        <v/>
      </c>
    </row>
    <row r="6887" spans="1:8" x14ac:dyDescent="0.2">
      <c r="A6887" t="str">
        <f t="shared" si="107"/>
        <v/>
      </c>
      <c r="B6887">
        <v>2016</v>
      </c>
      <c r="C6887" s="1" t="s">
        <v>2505</v>
      </c>
      <c r="D6887" s="1" t="s">
        <v>2506</v>
      </c>
      <c r="E6887" s="1" t="s">
        <v>2019</v>
      </c>
      <c r="F6887" s="1" t="s">
        <v>687</v>
      </c>
      <c r="G6887" s="12">
        <v>168906</v>
      </c>
      <c r="H6887" t="str">
        <f>IFERROR(VLOOKUP(F6887,'LEAID Match'!$A$2:$B$142,2,FALSE),"")</f>
        <v/>
      </c>
    </row>
    <row r="6888" spans="1:8" x14ac:dyDescent="0.2">
      <c r="A6888" t="str">
        <f t="shared" si="107"/>
        <v/>
      </c>
      <c r="B6888" s="1">
        <v>2017</v>
      </c>
      <c r="C6888" s="1" t="s">
        <v>2505</v>
      </c>
      <c r="D6888" s="1" t="s">
        <v>2506</v>
      </c>
      <c r="E6888" s="1" t="s">
        <v>2019</v>
      </c>
      <c r="F6888" s="1" t="s">
        <v>687</v>
      </c>
      <c r="G6888" s="47">
        <v>169841</v>
      </c>
      <c r="H6888" t="str">
        <f>IFERROR(VLOOKUP(F6888,'LEAID Match'!$A$2:$B$142,2,FALSE),"")</f>
        <v/>
      </c>
    </row>
    <row r="6889" spans="1:8" x14ac:dyDescent="0.2">
      <c r="A6889" t="str">
        <f t="shared" si="107"/>
        <v/>
      </c>
      <c r="B6889" s="1">
        <v>2018</v>
      </c>
      <c r="C6889" s="1" t="s">
        <v>2505</v>
      </c>
      <c r="D6889" s="1" t="s">
        <v>2506</v>
      </c>
      <c r="E6889" s="1" t="s">
        <v>2019</v>
      </c>
      <c r="F6889" s="1" t="s">
        <v>687</v>
      </c>
      <c r="G6889" s="6">
        <v>169172</v>
      </c>
      <c r="H6889" t="str">
        <f>IFERROR(VLOOKUP(F6889,'LEAID Match'!$A$2:$B$142,2,FALSE),"")</f>
        <v/>
      </c>
    </row>
    <row r="6890" spans="1:8" x14ac:dyDescent="0.2">
      <c r="A6890" t="str">
        <f t="shared" si="107"/>
        <v/>
      </c>
      <c r="B6890" s="1">
        <v>2019</v>
      </c>
      <c r="C6890" s="1" t="s">
        <v>2505</v>
      </c>
      <c r="D6890" s="1" t="s">
        <v>2506</v>
      </c>
      <c r="E6890" s="1" t="s">
        <v>2019</v>
      </c>
      <c r="F6890" s="1" t="s">
        <v>687</v>
      </c>
      <c r="G6890" s="6">
        <v>151909</v>
      </c>
      <c r="H6890" t="str">
        <f>IFERROR(VLOOKUP(F6890,'LEAID Match'!$A$2:$B$142,2,FALSE),"")</f>
        <v/>
      </c>
    </row>
    <row r="6891" spans="1:8" x14ac:dyDescent="0.2">
      <c r="A6891" t="str">
        <f t="shared" si="107"/>
        <v/>
      </c>
      <c r="B6891" s="1">
        <v>2020</v>
      </c>
      <c r="C6891" s="1" t="s">
        <v>2505</v>
      </c>
      <c r="D6891" s="1" t="s">
        <v>2506</v>
      </c>
      <c r="E6891" s="1" t="s">
        <v>2019</v>
      </c>
      <c r="F6891" s="1" t="s">
        <v>687</v>
      </c>
      <c r="G6891" s="6">
        <v>183968</v>
      </c>
      <c r="H6891" t="str">
        <f>IFERROR(VLOOKUP(F6891,'LEAID Match'!$A$2:$B$142,2,FALSE),"")</f>
        <v/>
      </c>
    </row>
    <row r="6892" spans="1:8" x14ac:dyDescent="0.2">
      <c r="A6892" t="str">
        <f t="shared" si="107"/>
        <v/>
      </c>
      <c r="B6892" s="1">
        <v>2021</v>
      </c>
      <c r="C6892" s="1" t="s">
        <v>2505</v>
      </c>
      <c r="D6892" s="1" t="s">
        <v>2506</v>
      </c>
      <c r="E6892" s="1" t="s">
        <v>2019</v>
      </c>
      <c r="F6892" s="1" t="s">
        <v>687</v>
      </c>
      <c r="G6892" s="6">
        <v>187579</v>
      </c>
      <c r="H6892" t="str">
        <f>IFERROR(VLOOKUP(F6892,'LEAID Match'!$A$2:$B$142,2,FALSE),"")</f>
        <v/>
      </c>
    </row>
    <row r="6893" spans="1:8" x14ac:dyDescent="0.2">
      <c r="A6893" t="str">
        <f t="shared" si="107"/>
        <v/>
      </c>
      <c r="B6893" s="1">
        <v>2022</v>
      </c>
      <c r="C6893" s="1" t="s">
        <v>2505</v>
      </c>
      <c r="D6893" s="1" t="s">
        <v>2506</v>
      </c>
      <c r="E6893" s="1" t="s">
        <v>2019</v>
      </c>
      <c r="F6893" s="1" t="s">
        <v>687</v>
      </c>
      <c r="G6893" s="6">
        <v>183948</v>
      </c>
      <c r="H6893" t="str">
        <f>IFERROR(VLOOKUP(F6893,'LEAID Match'!$A$2:$B$142,2,FALSE),"")</f>
        <v/>
      </c>
    </row>
    <row r="6894" spans="1:8" x14ac:dyDescent="0.2">
      <c r="A6894" t="str">
        <f t="shared" si="107"/>
        <v/>
      </c>
      <c r="B6894" s="1">
        <v>2023</v>
      </c>
      <c r="C6894" s="1" t="s">
        <v>2505</v>
      </c>
      <c r="D6894" s="1" t="s">
        <v>2506</v>
      </c>
      <c r="E6894" s="1" t="s">
        <v>2019</v>
      </c>
      <c r="F6894" s="1" t="s">
        <v>687</v>
      </c>
      <c r="G6894" s="6">
        <v>178934</v>
      </c>
      <c r="H6894" t="str">
        <f>IFERROR(VLOOKUP(F6894,'LEAID Match'!$A$2:$B$142,2,FALSE),"")</f>
        <v/>
      </c>
    </row>
    <row r="6895" spans="1:8" x14ac:dyDescent="0.2">
      <c r="A6895" t="str">
        <f t="shared" si="107"/>
        <v/>
      </c>
      <c r="B6895" s="1">
        <v>2024</v>
      </c>
      <c r="C6895" s="1" t="s">
        <v>2505</v>
      </c>
      <c r="D6895" s="1" t="s">
        <v>2506</v>
      </c>
      <c r="E6895" s="1" t="s">
        <v>2019</v>
      </c>
      <c r="F6895" s="1" t="s">
        <v>687</v>
      </c>
      <c r="G6895" s="6">
        <v>181934</v>
      </c>
      <c r="H6895" t="str">
        <f>IFERROR(VLOOKUP(F6895,'LEAID Match'!$A$2:$B$142,2,FALSE),"")</f>
        <v/>
      </c>
    </row>
    <row r="6896" spans="1:8" x14ac:dyDescent="0.2">
      <c r="A6896">
        <f t="shared" si="107"/>
        <v>2803960</v>
      </c>
      <c r="B6896" s="1">
        <v>2015</v>
      </c>
      <c r="C6896" s="1" t="s">
        <v>2505</v>
      </c>
      <c r="D6896" s="1" t="s">
        <v>2506</v>
      </c>
      <c r="E6896" s="1" t="s">
        <v>2019</v>
      </c>
      <c r="F6896" s="1" t="s">
        <v>688</v>
      </c>
      <c r="G6896" s="6">
        <v>811443</v>
      </c>
      <c r="H6896">
        <f>IFERROR(VLOOKUP(F6896,'LEAID Match'!$A$2:$B$142,2,FALSE),"")</f>
        <v>2803960</v>
      </c>
    </row>
    <row r="6897" spans="1:8" x14ac:dyDescent="0.2">
      <c r="A6897">
        <f t="shared" si="107"/>
        <v>2803960</v>
      </c>
      <c r="B6897">
        <v>2016</v>
      </c>
      <c r="C6897" s="1" t="s">
        <v>2505</v>
      </c>
      <c r="D6897" s="1" t="s">
        <v>2506</v>
      </c>
      <c r="E6897" s="1" t="s">
        <v>2019</v>
      </c>
      <c r="F6897" s="1" t="s">
        <v>688</v>
      </c>
      <c r="G6897" s="12">
        <v>842334</v>
      </c>
      <c r="H6897">
        <f>IFERROR(VLOOKUP(F6897,'LEAID Match'!$A$2:$B$142,2,FALSE),"")</f>
        <v>2803960</v>
      </c>
    </row>
    <row r="6898" spans="1:8" x14ac:dyDescent="0.2">
      <c r="A6898">
        <f t="shared" si="107"/>
        <v>2803960</v>
      </c>
      <c r="B6898" s="1">
        <v>2017</v>
      </c>
      <c r="C6898" s="1" t="s">
        <v>2505</v>
      </c>
      <c r="D6898" s="1" t="s">
        <v>2506</v>
      </c>
      <c r="E6898" s="1" t="s">
        <v>2019</v>
      </c>
      <c r="F6898" s="1" t="s">
        <v>688</v>
      </c>
      <c r="G6898" s="47">
        <v>765074</v>
      </c>
      <c r="H6898">
        <f>IFERROR(VLOOKUP(F6898,'LEAID Match'!$A$2:$B$142,2,FALSE),"")</f>
        <v>2803960</v>
      </c>
    </row>
    <row r="6899" spans="1:8" x14ac:dyDescent="0.2">
      <c r="A6899">
        <f t="shared" si="107"/>
        <v>2803960</v>
      </c>
      <c r="B6899" s="1">
        <v>2018</v>
      </c>
      <c r="C6899" s="1" t="s">
        <v>2505</v>
      </c>
      <c r="D6899" s="1" t="s">
        <v>2506</v>
      </c>
      <c r="E6899" s="1" t="s">
        <v>2019</v>
      </c>
      <c r="F6899" s="1" t="s">
        <v>688</v>
      </c>
      <c r="G6899" s="6">
        <v>810997</v>
      </c>
      <c r="H6899">
        <f>IFERROR(VLOOKUP(F6899,'LEAID Match'!$A$2:$B$142,2,FALSE),"")</f>
        <v>2803960</v>
      </c>
    </row>
    <row r="6900" spans="1:8" x14ac:dyDescent="0.2">
      <c r="A6900">
        <f t="shared" si="107"/>
        <v>2803960</v>
      </c>
      <c r="B6900" s="1">
        <v>2019</v>
      </c>
      <c r="C6900" s="1" t="s">
        <v>2505</v>
      </c>
      <c r="D6900" s="1" t="s">
        <v>2506</v>
      </c>
      <c r="E6900" s="1" t="s">
        <v>2019</v>
      </c>
      <c r="F6900" s="1" t="s">
        <v>688</v>
      </c>
      <c r="G6900" s="6">
        <v>820384</v>
      </c>
      <c r="H6900">
        <f>IFERROR(VLOOKUP(F6900,'LEAID Match'!$A$2:$B$142,2,FALSE),"")</f>
        <v>2803960</v>
      </c>
    </row>
    <row r="6901" spans="1:8" x14ac:dyDescent="0.2">
      <c r="A6901">
        <f t="shared" si="107"/>
        <v>2803960</v>
      </c>
      <c r="B6901" s="1">
        <v>2020</v>
      </c>
      <c r="C6901" s="1" t="s">
        <v>2505</v>
      </c>
      <c r="D6901" s="1" t="s">
        <v>2506</v>
      </c>
      <c r="E6901" s="1" t="s">
        <v>2019</v>
      </c>
      <c r="F6901" s="1" t="s">
        <v>688</v>
      </c>
      <c r="G6901" s="6">
        <v>930268</v>
      </c>
      <c r="H6901">
        <f>IFERROR(VLOOKUP(F6901,'LEAID Match'!$A$2:$B$142,2,FALSE),"")</f>
        <v>2803960</v>
      </c>
    </row>
    <row r="6902" spans="1:8" x14ac:dyDescent="0.2">
      <c r="A6902">
        <f t="shared" si="107"/>
        <v>2803960</v>
      </c>
      <c r="B6902" s="1">
        <v>2021</v>
      </c>
      <c r="C6902" s="1" t="s">
        <v>2505</v>
      </c>
      <c r="D6902" s="1" t="s">
        <v>2506</v>
      </c>
      <c r="E6902" s="1" t="s">
        <v>2019</v>
      </c>
      <c r="F6902" s="1" t="s">
        <v>688</v>
      </c>
      <c r="G6902" s="6">
        <v>915942</v>
      </c>
      <c r="H6902">
        <f>IFERROR(VLOOKUP(F6902,'LEAID Match'!$A$2:$B$142,2,FALSE),"")</f>
        <v>2803960</v>
      </c>
    </row>
    <row r="6903" spans="1:8" x14ac:dyDescent="0.2">
      <c r="A6903">
        <f t="shared" si="107"/>
        <v>2803960</v>
      </c>
      <c r="B6903" s="1">
        <v>2022</v>
      </c>
      <c r="C6903" s="1" t="s">
        <v>2505</v>
      </c>
      <c r="D6903" s="1" t="s">
        <v>2506</v>
      </c>
      <c r="E6903" s="1" t="s">
        <v>2019</v>
      </c>
      <c r="F6903" s="1" t="s">
        <v>688</v>
      </c>
      <c r="G6903" s="6">
        <v>957204</v>
      </c>
      <c r="H6903">
        <f>IFERROR(VLOOKUP(F6903,'LEAID Match'!$A$2:$B$142,2,FALSE),"")</f>
        <v>2803960</v>
      </c>
    </row>
    <row r="6904" spans="1:8" x14ac:dyDescent="0.2">
      <c r="A6904">
        <f t="shared" si="107"/>
        <v>2803960</v>
      </c>
      <c r="B6904" s="1">
        <v>2023</v>
      </c>
      <c r="C6904" s="1" t="s">
        <v>2505</v>
      </c>
      <c r="D6904" s="1" t="s">
        <v>2506</v>
      </c>
      <c r="E6904" s="1" t="s">
        <v>2019</v>
      </c>
      <c r="F6904" s="1" t="s">
        <v>688</v>
      </c>
      <c r="G6904" s="6">
        <v>894700</v>
      </c>
      <c r="H6904">
        <f>IFERROR(VLOOKUP(F6904,'LEAID Match'!$A$2:$B$142,2,FALSE),"")</f>
        <v>2803960</v>
      </c>
    </row>
    <row r="6905" spans="1:8" x14ac:dyDescent="0.2">
      <c r="A6905">
        <f t="shared" si="107"/>
        <v>2803960</v>
      </c>
      <c r="B6905" s="1">
        <v>2024</v>
      </c>
      <c r="C6905" s="1" t="s">
        <v>2505</v>
      </c>
      <c r="D6905" s="1" t="s">
        <v>2506</v>
      </c>
      <c r="E6905" s="1" t="s">
        <v>2019</v>
      </c>
      <c r="F6905" s="1" t="s">
        <v>688</v>
      </c>
      <c r="G6905" s="6">
        <v>825285</v>
      </c>
      <c r="H6905">
        <f>IFERROR(VLOOKUP(F6905,'LEAID Match'!$A$2:$B$142,2,FALSE),"")</f>
        <v>2803960</v>
      </c>
    </row>
    <row r="6906" spans="1:8" x14ac:dyDescent="0.2">
      <c r="A6906" t="str">
        <f t="shared" si="107"/>
        <v/>
      </c>
      <c r="B6906" s="1">
        <v>2018</v>
      </c>
      <c r="C6906" s="1" t="s">
        <v>2505</v>
      </c>
      <c r="D6906" s="1" t="s">
        <v>2506</v>
      </c>
      <c r="E6906" s="1" t="s">
        <v>2019</v>
      </c>
      <c r="F6906" s="1" t="s">
        <v>689</v>
      </c>
      <c r="G6906" s="6">
        <v>29301</v>
      </c>
      <c r="H6906" t="str">
        <f>IFERROR(VLOOKUP(F6906,'LEAID Match'!$A$2:$B$142,2,FALSE),"")</f>
        <v/>
      </c>
    </row>
    <row r="6907" spans="1:8" x14ac:dyDescent="0.2">
      <c r="A6907" t="str">
        <f t="shared" si="107"/>
        <v/>
      </c>
      <c r="B6907" s="1">
        <v>2019</v>
      </c>
      <c r="C6907" s="1" t="s">
        <v>2505</v>
      </c>
      <c r="D6907" s="1" t="s">
        <v>2506</v>
      </c>
      <c r="E6907" s="1" t="s">
        <v>2019</v>
      </c>
      <c r="F6907" s="1" t="s">
        <v>689</v>
      </c>
      <c r="G6907" s="6">
        <v>139717</v>
      </c>
      <c r="H6907" t="str">
        <f>IFERROR(VLOOKUP(F6907,'LEAID Match'!$A$2:$B$142,2,FALSE),"")</f>
        <v/>
      </c>
    </row>
    <row r="6908" spans="1:8" x14ac:dyDescent="0.2">
      <c r="A6908" t="str">
        <f t="shared" si="107"/>
        <v/>
      </c>
      <c r="B6908" s="1">
        <v>2020</v>
      </c>
      <c r="C6908" s="1" t="s">
        <v>2505</v>
      </c>
      <c r="D6908" s="1" t="s">
        <v>2506</v>
      </c>
      <c r="E6908" s="1" t="s">
        <v>2019</v>
      </c>
      <c r="F6908" s="1" t="s">
        <v>689</v>
      </c>
      <c r="G6908" s="6">
        <v>187506</v>
      </c>
      <c r="H6908" t="str">
        <f>IFERROR(VLOOKUP(F6908,'LEAID Match'!$A$2:$B$142,2,FALSE),"")</f>
        <v/>
      </c>
    </row>
    <row r="6909" spans="1:8" x14ac:dyDescent="0.2">
      <c r="A6909" t="str">
        <f t="shared" si="107"/>
        <v/>
      </c>
      <c r="B6909" s="1">
        <v>2021</v>
      </c>
      <c r="C6909" s="1" t="s">
        <v>2505</v>
      </c>
      <c r="D6909" s="1" t="s">
        <v>2506</v>
      </c>
      <c r="E6909" s="1" t="s">
        <v>2019</v>
      </c>
      <c r="F6909" s="1" t="s">
        <v>689</v>
      </c>
      <c r="G6909" s="6">
        <v>190472</v>
      </c>
      <c r="H6909" t="str">
        <f>IFERROR(VLOOKUP(F6909,'LEAID Match'!$A$2:$B$142,2,FALSE),"")</f>
        <v/>
      </c>
    </row>
    <row r="6910" spans="1:8" x14ac:dyDescent="0.2">
      <c r="A6910" t="str">
        <f t="shared" si="107"/>
        <v/>
      </c>
      <c r="B6910" s="1">
        <v>2022</v>
      </c>
      <c r="C6910" s="1" t="s">
        <v>2505</v>
      </c>
      <c r="D6910" s="1" t="s">
        <v>2506</v>
      </c>
      <c r="E6910" s="1" t="s">
        <v>2019</v>
      </c>
      <c r="F6910" s="1" t="s">
        <v>689</v>
      </c>
      <c r="G6910" s="6">
        <v>197832</v>
      </c>
      <c r="H6910" t="str">
        <f>IFERROR(VLOOKUP(F6910,'LEAID Match'!$A$2:$B$142,2,FALSE),"")</f>
        <v/>
      </c>
    </row>
    <row r="6911" spans="1:8" x14ac:dyDescent="0.2">
      <c r="A6911" t="str">
        <f t="shared" si="107"/>
        <v/>
      </c>
      <c r="B6911" s="1">
        <v>2023</v>
      </c>
      <c r="C6911" s="1" t="s">
        <v>2505</v>
      </c>
      <c r="D6911" s="1" t="s">
        <v>2506</v>
      </c>
      <c r="E6911" s="1" t="s">
        <v>2019</v>
      </c>
      <c r="F6911" s="1" t="s">
        <v>689</v>
      </c>
      <c r="G6911" s="6">
        <v>243087</v>
      </c>
      <c r="H6911" t="str">
        <f>IFERROR(VLOOKUP(F6911,'LEAID Match'!$A$2:$B$142,2,FALSE),"")</f>
        <v/>
      </c>
    </row>
    <row r="6912" spans="1:8" x14ac:dyDescent="0.2">
      <c r="A6912" t="str">
        <f t="shared" si="107"/>
        <v/>
      </c>
      <c r="B6912" s="1">
        <v>2024</v>
      </c>
      <c r="C6912" s="1" t="s">
        <v>2505</v>
      </c>
      <c r="D6912" s="1" t="s">
        <v>2506</v>
      </c>
      <c r="E6912" s="1" t="s">
        <v>2019</v>
      </c>
      <c r="F6912" s="1" t="s">
        <v>689</v>
      </c>
      <c r="G6912" s="6">
        <v>261042</v>
      </c>
      <c r="H6912" t="str">
        <f>IFERROR(VLOOKUP(F6912,'LEAID Match'!$A$2:$B$142,2,FALSE),"")</f>
        <v/>
      </c>
    </row>
    <row r="6913" spans="1:8" x14ac:dyDescent="0.2">
      <c r="A6913" t="str">
        <f t="shared" si="107"/>
        <v/>
      </c>
      <c r="B6913" s="1">
        <v>2015</v>
      </c>
      <c r="C6913" s="1" t="s">
        <v>2505</v>
      </c>
      <c r="D6913" s="1" t="s">
        <v>2506</v>
      </c>
      <c r="E6913" s="1" t="s">
        <v>2019</v>
      </c>
      <c r="F6913" s="1" t="s">
        <v>690</v>
      </c>
      <c r="G6913" s="6">
        <v>26153</v>
      </c>
      <c r="H6913" t="str">
        <f>IFERROR(VLOOKUP(F6913,'LEAID Match'!$A$2:$B$142,2,FALSE),"")</f>
        <v/>
      </c>
    </row>
    <row r="6914" spans="1:8" x14ac:dyDescent="0.2">
      <c r="A6914" t="str">
        <f t="shared" si="107"/>
        <v/>
      </c>
      <c r="B6914">
        <v>2016</v>
      </c>
      <c r="C6914" s="1" t="s">
        <v>2505</v>
      </c>
      <c r="D6914" s="1" t="s">
        <v>2506</v>
      </c>
      <c r="E6914" s="1" t="s">
        <v>2019</v>
      </c>
      <c r="F6914" s="1" t="s">
        <v>690</v>
      </c>
      <c r="G6914" s="12">
        <v>27092</v>
      </c>
      <c r="H6914" t="str">
        <f>IFERROR(VLOOKUP(F6914,'LEAID Match'!$A$2:$B$142,2,FALSE),"")</f>
        <v/>
      </c>
    </row>
    <row r="6915" spans="1:8" x14ac:dyDescent="0.2">
      <c r="A6915" t="str">
        <f t="shared" ref="A6915:A6978" si="108">H6915</f>
        <v/>
      </c>
      <c r="B6915" s="1">
        <v>2017</v>
      </c>
      <c r="C6915" s="1" t="s">
        <v>2505</v>
      </c>
      <c r="D6915" s="1" t="s">
        <v>2506</v>
      </c>
      <c r="E6915" s="1" t="s">
        <v>2019</v>
      </c>
      <c r="F6915" s="1" t="s">
        <v>690</v>
      </c>
      <c r="G6915" s="47">
        <v>28801</v>
      </c>
      <c r="H6915" t="str">
        <f>IFERROR(VLOOKUP(F6915,'LEAID Match'!$A$2:$B$142,2,FALSE),"")</f>
        <v/>
      </c>
    </row>
    <row r="6916" spans="1:8" x14ac:dyDescent="0.2">
      <c r="A6916" t="str">
        <f t="shared" si="108"/>
        <v/>
      </c>
      <c r="B6916" s="1">
        <v>2018</v>
      </c>
      <c r="C6916" s="1" t="s">
        <v>2505</v>
      </c>
      <c r="D6916" s="1" t="s">
        <v>2506</v>
      </c>
      <c r="E6916" s="1" t="s">
        <v>2019</v>
      </c>
      <c r="F6916" s="1" t="s">
        <v>690</v>
      </c>
      <c r="G6916" s="6">
        <v>29686</v>
      </c>
      <c r="H6916" t="str">
        <f>IFERROR(VLOOKUP(F6916,'LEAID Match'!$A$2:$B$142,2,FALSE),"")</f>
        <v/>
      </c>
    </row>
    <row r="6917" spans="1:8" x14ac:dyDescent="0.2">
      <c r="A6917" t="str">
        <f t="shared" si="108"/>
        <v/>
      </c>
      <c r="B6917" s="1">
        <v>2019</v>
      </c>
      <c r="C6917" s="1" t="s">
        <v>2505</v>
      </c>
      <c r="D6917" s="1" t="s">
        <v>2506</v>
      </c>
      <c r="E6917" s="1" t="s">
        <v>2019</v>
      </c>
      <c r="F6917" s="1" t="s">
        <v>690</v>
      </c>
      <c r="G6917" s="6">
        <v>32208</v>
      </c>
      <c r="H6917" t="str">
        <f>IFERROR(VLOOKUP(F6917,'LEAID Match'!$A$2:$B$142,2,FALSE),"")</f>
        <v/>
      </c>
    </row>
    <row r="6918" spans="1:8" x14ac:dyDescent="0.2">
      <c r="A6918" t="str">
        <f t="shared" si="108"/>
        <v/>
      </c>
      <c r="B6918" s="1">
        <v>2020</v>
      </c>
      <c r="C6918" s="1" t="s">
        <v>2505</v>
      </c>
      <c r="D6918" s="1" t="s">
        <v>2506</v>
      </c>
      <c r="E6918" s="1" t="s">
        <v>2019</v>
      </c>
      <c r="F6918" s="1" t="s">
        <v>690</v>
      </c>
      <c r="G6918" s="6">
        <v>40023</v>
      </c>
      <c r="H6918" t="str">
        <f>IFERROR(VLOOKUP(F6918,'LEAID Match'!$A$2:$B$142,2,FALSE),"")</f>
        <v/>
      </c>
    </row>
    <row r="6919" spans="1:8" x14ac:dyDescent="0.2">
      <c r="A6919" t="str">
        <f t="shared" si="108"/>
        <v/>
      </c>
      <c r="B6919" s="1">
        <v>2021</v>
      </c>
      <c r="C6919" s="1" t="s">
        <v>2505</v>
      </c>
      <c r="D6919" s="1" t="s">
        <v>2506</v>
      </c>
      <c r="E6919" s="1" t="s">
        <v>2019</v>
      </c>
      <c r="F6919" s="1" t="s">
        <v>690</v>
      </c>
      <c r="G6919" s="6">
        <v>37158</v>
      </c>
      <c r="H6919" t="str">
        <f>IFERROR(VLOOKUP(F6919,'LEAID Match'!$A$2:$B$142,2,FALSE),"")</f>
        <v/>
      </c>
    </row>
    <row r="6920" spans="1:8" x14ac:dyDescent="0.2">
      <c r="A6920" t="str">
        <f t="shared" si="108"/>
        <v/>
      </c>
      <c r="B6920" s="1">
        <v>2022</v>
      </c>
      <c r="C6920" s="1" t="s">
        <v>2505</v>
      </c>
      <c r="D6920" s="1" t="s">
        <v>2506</v>
      </c>
      <c r="E6920" s="1" t="s">
        <v>2019</v>
      </c>
      <c r="F6920" s="1" t="s">
        <v>690</v>
      </c>
      <c r="G6920" s="6">
        <v>30505</v>
      </c>
      <c r="H6920" t="str">
        <f>IFERROR(VLOOKUP(F6920,'LEAID Match'!$A$2:$B$142,2,FALSE),"")</f>
        <v/>
      </c>
    </row>
    <row r="6921" spans="1:8" x14ac:dyDescent="0.2">
      <c r="A6921" t="str">
        <f t="shared" si="108"/>
        <v/>
      </c>
      <c r="B6921" s="1">
        <v>2023</v>
      </c>
      <c r="C6921" s="1" t="s">
        <v>2505</v>
      </c>
      <c r="D6921" s="1" t="s">
        <v>2506</v>
      </c>
      <c r="E6921" s="1" t="s">
        <v>2019</v>
      </c>
      <c r="F6921" s="1" t="s">
        <v>690</v>
      </c>
      <c r="G6921" s="6">
        <v>36065</v>
      </c>
      <c r="H6921" t="str">
        <f>IFERROR(VLOOKUP(F6921,'LEAID Match'!$A$2:$B$142,2,FALSE),"")</f>
        <v/>
      </c>
    </row>
    <row r="6922" spans="1:8" x14ac:dyDescent="0.2">
      <c r="A6922" t="str">
        <f t="shared" si="108"/>
        <v/>
      </c>
      <c r="B6922" s="1">
        <v>2024</v>
      </c>
      <c r="C6922" s="1" t="s">
        <v>2505</v>
      </c>
      <c r="D6922" s="1" t="s">
        <v>2506</v>
      </c>
      <c r="E6922" s="1" t="s">
        <v>2019</v>
      </c>
      <c r="F6922" s="1" t="s">
        <v>690</v>
      </c>
      <c r="G6922" s="6">
        <v>34776</v>
      </c>
      <c r="H6922" t="str">
        <f>IFERROR(VLOOKUP(F6922,'LEAID Match'!$A$2:$B$142,2,FALSE),"")</f>
        <v/>
      </c>
    </row>
    <row r="6923" spans="1:8" x14ac:dyDescent="0.2">
      <c r="A6923" t="str">
        <f t="shared" si="108"/>
        <v/>
      </c>
      <c r="B6923" s="1">
        <v>2015</v>
      </c>
      <c r="C6923" s="1" t="s">
        <v>2505</v>
      </c>
      <c r="D6923" s="1" t="s">
        <v>2506</v>
      </c>
      <c r="E6923" s="1" t="s">
        <v>2019</v>
      </c>
      <c r="F6923" s="1" t="s">
        <v>2418</v>
      </c>
      <c r="G6923" s="6">
        <v>2318379</v>
      </c>
      <c r="H6923" t="str">
        <f>IFERROR(VLOOKUP(F6923,'LEAID Match'!$A$2:$B$142,2,FALSE),"")</f>
        <v/>
      </c>
    </row>
    <row r="6924" spans="1:8" x14ac:dyDescent="0.2">
      <c r="A6924" t="str">
        <f t="shared" si="108"/>
        <v/>
      </c>
      <c r="B6924" s="1">
        <v>2019</v>
      </c>
      <c r="C6924" s="1" t="s">
        <v>2505</v>
      </c>
      <c r="D6924" s="1" t="s">
        <v>2506</v>
      </c>
      <c r="E6924" s="1" t="s">
        <v>2019</v>
      </c>
      <c r="F6924" s="1" t="s">
        <v>1108</v>
      </c>
      <c r="G6924" s="6">
        <v>63456</v>
      </c>
      <c r="H6924" t="str">
        <f>IFERROR(VLOOKUP(F6924,'LEAID Match'!$A$2:$B$142,2,FALSE),"")</f>
        <v/>
      </c>
    </row>
    <row r="6925" spans="1:8" x14ac:dyDescent="0.2">
      <c r="A6925" t="str">
        <f t="shared" si="108"/>
        <v/>
      </c>
      <c r="B6925" s="1">
        <v>2015</v>
      </c>
      <c r="C6925" s="1" t="s">
        <v>2505</v>
      </c>
      <c r="D6925" s="1" t="s">
        <v>2506</v>
      </c>
      <c r="E6925" s="1" t="s">
        <v>2019</v>
      </c>
      <c r="F6925" s="1" t="s">
        <v>691</v>
      </c>
      <c r="G6925" s="6">
        <v>37983</v>
      </c>
      <c r="H6925" t="str">
        <f>IFERROR(VLOOKUP(F6925,'LEAID Match'!$A$2:$B$142,2,FALSE),"")</f>
        <v/>
      </c>
    </row>
    <row r="6926" spans="1:8" x14ac:dyDescent="0.2">
      <c r="A6926" t="str">
        <f t="shared" si="108"/>
        <v/>
      </c>
      <c r="B6926">
        <v>2016</v>
      </c>
      <c r="C6926" s="1" t="s">
        <v>2505</v>
      </c>
      <c r="D6926" s="1" t="s">
        <v>2506</v>
      </c>
      <c r="E6926" s="1" t="s">
        <v>2019</v>
      </c>
      <c r="F6926" s="1" t="s">
        <v>691</v>
      </c>
      <c r="G6926" s="12">
        <v>40144</v>
      </c>
      <c r="H6926" t="str">
        <f>IFERROR(VLOOKUP(F6926,'LEAID Match'!$A$2:$B$142,2,FALSE),"")</f>
        <v/>
      </c>
    </row>
    <row r="6927" spans="1:8" x14ac:dyDescent="0.2">
      <c r="A6927" t="str">
        <f t="shared" si="108"/>
        <v/>
      </c>
      <c r="B6927" s="1">
        <v>2017</v>
      </c>
      <c r="C6927" s="1" t="s">
        <v>2505</v>
      </c>
      <c r="D6927" s="1" t="s">
        <v>2506</v>
      </c>
      <c r="E6927" s="1" t="s">
        <v>2019</v>
      </c>
      <c r="F6927" s="1" t="s">
        <v>691</v>
      </c>
      <c r="G6927" s="47">
        <v>38968</v>
      </c>
      <c r="H6927" t="str">
        <f>IFERROR(VLOOKUP(F6927,'LEAID Match'!$A$2:$B$142,2,FALSE),"")</f>
        <v/>
      </c>
    </row>
    <row r="6928" spans="1:8" x14ac:dyDescent="0.2">
      <c r="A6928" t="str">
        <f t="shared" si="108"/>
        <v/>
      </c>
      <c r="B6928" s="1">
        <v>2018</v>
      </c>
      <c r="C6928" s="1" t="s">
        <v>2505</v>
      </c>
      <c r="D6928" s="1" t="s">
        <v>2506</v>
      </c>
      <c r="E6928" s="1" t="s">
        <v>2019</v>
      </c>
      <c r="F6928" s="1" t="s">
        <v>691</v>
      </c>
      <c r="G6928" s="6">
        <v>2086569</v>
      </c>
      <c r="H6928" t="str">
        <f>IFERROR(VLOOKUP(F6928,'LEAID Match'!$A$2:$B$142,2,FALSE),"")</f>
        <v/>
      </c>
    </row>
    <row r="6929" spans="1:8" x14ac:dyDescent="0.2">
      <c r="A6929" t="str">
        <f t="shared" si="108"/>
        <v/>
      </c>
      <c r="B6929" s="1">
        <v>2019</v>
      </c>
      <c r="C6929" s="1" t="s">
        <v>2505</v>
      </c>
      <c r="D6929" s="1" t="s">
        <v>2506</v>
      </c>
      <c r="E6929" s="1" t="s">
        <v>2019</v>
      </c>
      <c r="F6929" s="1" t="s">
        <v>691</v>
      </c>
      <c r="G6929" s="6">
        <v>35452</v>
      </c>
      <c r="H6929" t="str">
        <f>IFERROR(VLOOKUP(F6929,'LEAID Match'!$A$2:$B$142,2,FALSE),"")</f>
        <v/>
      </c>
    </row>
    <row r="6930" spans="1:8" x14ac:dyDescent="0.2">
      <c r="A6930" t="str">
        <f t="shared" si="108"/>
        <v/>
      </c>
      <c r="B6930" s="1">
        <v>2020</v>
      </c>
      <c r="C6930" s="1" t="s">
        <v>2505</v>
      </c>
      <c r="D6930" s="1" t="s">
        <v>2506</v>
      </c>
      <c r="E6930" s="1" t="s">
        <v>2019</v>
      </c>
      <c r="F6930" s="1" t="s">
        <v>691</v>
      </c>
      <c r="G6930" s="6">
        <v>37164</v>
      </c>
      <c r="H6930" t="str">
        <f>IFERROR(VLOOKUP(F6930,'LEAID Match'!$A$2:$B$142,2,FALSE),"")</f>
        <v/>
      </c>
    </row>
    <row r="6931" spans="1:8" x14ac:dyDescent="0.2">
      <c r="A6931" t="str">
        <f t="shared" si="108"/>
        <v/>
      </c>
      <c r="B6931" s="1">
        <v>2021</v>
      </c>
      <c r="C6931" s="1" t="s">
        <v>2505</v>
      </c>
      <c r="D6931" s="1" t="s">
        <v>2506</v>
      </c>
      <c r="E6931" s="1" t="s">
        <v>2019</v>
      </c>
      <c r="F6931" s="1" t="s">
        <v>691</v>
      </c>
      <c r="G6931" s="6">
        <v>38355</v>
      </c>
      <c r="H6931" t="str">
        <f>IFERROR(VLOOKUP(F6931,'LEAID Match'!$A$2:$B$142,2,FALSE),"")</f>
        <v/>
      </c>
    </row>
    <row r="6932" spans="1:8" x14ac:dyDescent="0.2">
      <c r="A6932" t="str">
        <f t="shared" si="108"/>
        <v/>
      </c>
      <c r="B6932" s="1">
        <v>2022</v>
      </c>
      <c r="C6932" s="1" t="s">
        <v>2505</v>
      </c>
      <c r="D6932" s="1" t="s">
        <v>2506</v>
      </c>
      <c r="E6932" s="1" t="s">
        <v>2019</v>
      </c>
      <c r="F6932" s="1" t="s">
        <v>691</v>
      </c>
      <c r="G6932" s="6">
        <v>43519</v>
      </c>
      <c r="H6932" t="str">
        <f>IFERROR(VLOOKUP(F6932,'LEAID Match'!$A$2:$B$142,2,FALSE),"")</f>
        <v/>
      </c>
    </row>
    <row r="6933" spans="1:8" x14ac:dyDescent="0.2">
      <c r="A6933" t="str">
        <f t="shared" si="108"/>
        <v/>
      </c>
      <c r="B6933" s="1">
        <v>2023</v>
      </c>
      <c r="C6933" s="1" t="s">
        <v>2505</v>
      </c>
      <c r="D6933" s="1" t="s">
        <v>2506</v>
      </c>
      <c r="E6933" s="1" t="s">
        <v>2019</v>
      </c>
      <c r="F6933" s="1" t="s">
        <v>691</v>
      </c>
      <c r="G6933" s="6">
        <v>41379</v>
      </c>
      <c r="H6933" t="str">
        <f>IFERROR(VLOOKUP(F6933,'LEAID Match'!$A$2:$B$142,2,FALSE),"")</f>
        <v/>
      </c>
    </row>
    <row r="6934" spans="1:8" x14ac:dyDescent="0.2">
      <c r="A6934" t="str">
        <f t="shared" si="108"/>
        <v/>
      </c>
      <c r="B6934" s="1">
        <v>2024</v>
      </c>
      <c r="C6934" s="1" t="s">
        <v>2505</v>
      </c>
      <c r="D6934" s="1" t="s">
        <v>2506</v>
      </c>
      <c r="E6934" s="1" t="s">
        <v>2019</v>
      </c>
      <c r="F6934" s="1" t="s">
        <v>691</v>
      </c>
      <c r="G6934" s="6">
        <v>39910</v>
      </c>
      <c r="H6934" t="str">
        <f>IFERROR(VLOOKUP(F6934,'LEAID Match'!$A$2:$B$142,2,FALSE),"")</f>
        <v/>
      </c>
    </row>
    <row r="6935" spans="1:8" x14ac:dyDescent="0.2">
      <c r="A6935" t="str">
        <f t="shared" si="108"/>
        <v/>
      </c>
      <c r="B6935">
        <v>2016</v>
      </c>
      <c r="C6935" s="1" t="s">
        <v>2505</v>
      </c>
      <c r="D6935" s="1" t="s">
        <v>2506</v>
      </c>
      <c r="E6935" s="1" t="s">
        <v>2019</v>
      </c>
      <c r="F6935" t="s">
        <v>1848</v>
      </c>
      <c r="G6935" s="12">
        <v>2273408</v>
      </c>
      <c r="H6935" t="str">
        <f>IFERROR(VLOOKUP(F6935,'LEAID Match'!$A$2:$B$142,2,FALSE),"")</f>
        <v/>
      </c>
    </row>
    <row r="6936" spans="1:8" x14ac:dyDescent="0.2">
      <c r="A6936" t="str">
        <f t="shared" si="108"/>
        <v/>
      </c>
      <c r="B6936" s="1">
        <v>2017</v>
      </c>
      <c r="C6936" s="1" t="s">
        <v>2505</v>
      </c>
      <c r="D6936" s="1" t="s">
        <v>2506</v>
      </c>
      <c r="E6936" s="1" t="s">
        <v>2019</v>
      </c>
      <c r="F6936" s="37" t="s">
        <v>1848</v>
      </c>
      <c r="G6936" s="47">
        <v>2188833</v>
      </c>
      <c r="H6936" t="str">
        <f>IFERROR(VLOOKUP(F6936,'LEAID Match'!$A$2:$B$142,2,FALSE),"")</f>
        <v/>
      </c>
    </row>
    <row r="6937" spans="1:8" x14ac:dyDescent="0.2">
      <c r="A6937" t="str">
        <f t="shared" si="108"/>
        <v/>
      </c>
      <c r="B6937" s="1">
        <v>2018</v>
      </c>
      <c r="C6937" s="1" t="s">
        <v>2505</v>
      </c>
      <c r="D6937" s="1" t="s">
        <v>2506</v>
      </c>
      <c r="E6937" s="1" t="s">
        <v>2019</v>
      </c>
      <c r="F6937" s="1" t="s">
        <v>1848</v>
      </c>
      <c r="G6937" s="6">
        <v>33442</v>
      </c>
      <c r="H6937" t="str">
        <f>IFERROR(VLOOKUP(F6937,'LEAID Match'!$A$2:$B$142,2,FALSE),"")</f>
        <v/>
      </c>
    </row>
    <row r="6938" spans="1:8" x14ac:dyDescent="0.2">
      <c r="A6938" t="str">
        <f t="shared" si="108"/>
        <v/>
      </c>
      <c r="B6938" s="1">
        <v>2015</v>
      </c>
      <c r="C6938" s="1" t="s">
        <v>2505</v>
      </c>
      <c r="D6938" s="1" t="s">
        <v>2506</v>
      </c>
      <c r="E6938" s="1" t="s">
        <v>2019</v>
      </c>
      <c r="F6938" s="37" t="s">
        <v>1849</v>
      </c>
      <c r="G6938" s="6">
        <v>628524</v>
      </c>
      <c r="H6938" t="str">
        <f>IFERROR(VLOOKUP(F6938,'LEAID Match'!$A$2:$B$142,2,FALSE),"")</f>
        <v/>
      </c>
    </row>
    <row r="6939" spans="1:8" x14ac:dyDescent="0.2">
      <c r="A6939" t="str">
        <f t="shared" si="108"/>
        <v/>
      </c>
      <c r="B6939">
        <v>2016</v>
      </c>
      <c r="C6939" s="1" t="s">
        <v>2505</v>
      </c>
      <c r="D6939" s="1" t="s">
        <v>2506</v>
      </c>
      <c r="E6939" s="1" t="s">
        <v>2019</v>
      </c>
      <c r="F6939" t="s">
        <v>1849</v>
      </c>
      <c r="G6939" s="12">
        <v>627119</v>
      </c>
      <c r="H6939" t="str">
        <f>IFERROR(VLOOKUP(F6939,'LEAID Match'!$A$2:$B$142,2,FALSE),"")</f>
        <v/>
      </c>
    </row>
    <row r="6940" spans="1:8" x14ac:dyDescent="0.2">
      <c r="A6940" t="str">
        <f t="shared" si="108"/>
        <v/>
      </c>
      <c r="B6940" s="1">
        <v>2017</v>
      </c>
      <c r="C6940" s="1" t="s">
        <v>2505</v>
      </c>
      <c r="D6940" s="1" t="s">
        <v>2506</v>
      </c>
      <c r="E6940" s="1" t="s">
        <v>2019</v>
      </c>
      <c r="F6940" s="37" t="s">
        <v>1849</v>
      </c>
      <c r="G6940" s="47">
        <v>577786</v>
      </c>
      <c r="H6940" t="str">
        <f>IFERROR(VLOOKUP(F6940,'LEAID Match'!$A$2:$B$142,2,FALSE),"")</f>
        <v/>
      </c>
    </row>
    <row r="6941" spans="1:8" x14ac:dyDescent="0.2">
      <c r="A6941" t="str">
        <f t="shared" si="108"/>
        <v/>
      </c>
      <c r="B6941" s="1">
        <v>2018</v>
      </c>
      <c r="C6941" s="1" t="s">
        <v>2505</v>
      </c>
      <c r="D6941" s="1" t="s">
        <v>2506</v>
      </c>
      <c r="E6941" s="1" t="s">
        <v>2019</v>
      </c>
      <c r="F6941" s="1" t="s">
        <v>1849</v>
      </c>
      <c r="G6941" s="6">
        <v>25247</v>
      </c>
      <c r="H6941" t="str">
        <f>IFERROR(VLOOKUP(F6941,'LEAID Match'!$A$2:$B$142,2,FALSE),"")</f>
        <v/>
      </c>
    </row>
    <row r="6942" spans="1:8" x14ac:dyDescent="0.2">
      <c r="A6942">
        <f t="shared" si="108"/>
        <v>2804050</v>
      </c>
      <c r="B6942" s="1">
        <v>2015</v>
      </c>
      <c r="C6942" s="1" t="s">
        <v>2505</v>
      </c>
      <c r="D6942" s="1" t="s">
        <v>2506</v>
      </c>
      <c r="E6942" s="1" t="s">
        <v>2019</v>
      </c>
      <c r="F6942" s="1" t="s">
        <v>692</v>
      </c>
      <c r="G6942" s="6">
        <v>3131184</v>
      </c>
      <c r="H6942">
        <f>IFERROR(VLOOKUP(F6942,'LEAID Match'!$A$2:$B$142,2,FALSE),"")</f>
        <v>2804050</v>
      </c>
    </row>
    <row r="6943" spans="1:8" x14ac:dyDescent="0.2">
      <c r="A6943">
        <f t="shared" si="108"/>
        <v>2804050</v>
      </c>
      <c r="B6943">
        <v>2016</v>
      </c>
      <c r="C6943" s="1" t="s">
        <v>2505</v>
      </c>
      <c r="D6943" s="1" t="s">
        <v>2506</v>
      </c>
      <c r="E6943" s="1" t="s">
        <v>2019</v>
      </c>
      <c r="F6943" s="1" t="s">
        <v>692</v>
      </c>
      <c r="G6943" s="12">
        <v>3465967</v>
      </c>
      <c r="H6943">
        <f>IFERROR(VLOOKUP(F6943,'LEAID Match'!$A$2:$B$142,2,FALSE),"")</f>
        <v>2804050</v>
      </c>
    </row>
    <row r="6944" spans="1:8" x14ac:dyDescent="0.2">
      <c r="A6944">
        <f t="shared" si="108"/>
        <v>2804050</v>
      </c>
      <c r="B6944" s="1">
        <v>2017</v>
      </c>
      <c r="C6944" s="1" t="s">
        <v>2505</v>
      </c>
      <c r="D6944" s="1" t="s">
        <v>2506</v>
      </c>
      <c r="E6944" s="1" t="s">
        <v>2019</v>
      </c>
      <c r="F6944" s="1" t="s">
        <v>692</v>
      </c>
      <c r="G6944" s="47">
        <v>3505760</v>
      </c>
      <c r="H6944">
        <f>IFERROR(VLOOKUP(F6944,'LEAID Match'!$A$2:$B$142,2,FALSE),"")</f>
        <v>2804050</v>
      </c>
    </row>
    <row r="6945" spans="1:8" x14ac:dyDescent="0.2">
      <c r="A6945">
        <f t="shared" si="108"/>
        <v>2804050</v>
      </c>
      <c r="B6945" s="1">
        <v>2018</v>
      </c>
      <c r="C6945" s="1" t="s">
        <v>2505</v>
      </c>
      <c r="D6945" s="1" t="s">
        <v>2506</v>
      </c>
      <c r="E6945" s="1" t="s">
        <v>2019</v>
      </c>
      <c r="F6945" s="1" t="s">
        <v>692</v>
      </c>
      <c r="G6945" s="6">
        <v>3494889</v>
      </c>
      <c r="H6945">
        <f>IFERROR(VLOOKUP(F6945,'LEAID Match'!$A$2:$B$142,2,FALSE),"")</f>
        <v>2804050</v>
      </c>
    </row>
    <row r="6946" spans="1:8" x14ac:dyDescent="0.2">
      <c r="A6946">
        <f t="shared" si="108"/>
        <v>2804050</v>
      </c>
      <c r="B6946" s="1">
        <v>2019</v>
      </c>
      <c r="C6946" s="1" t="s">
        <v>2505</v>
      </c>
      <c r="D6946" s="1" t="s">
        <v>2506</v>
      </c>
      <c r="E6946" s="1" t="s">
        <v>2019</v>
      </c>
      <c r="F6946" s="1" t="s">
        <v>692</v>
      </c>
      <c r="G6946" s="6">
        <v>3515531</v>
      </c>
      <c r="H6946">
        <f>IFERROR(VLOOKUP(F6946,'LEAID Match'!$A$2:$B$142,2,FALSE),"")</f>
        <v>2804050</v>
      </c>
    </row>
    <row r="6947" spans="1:8" x14ac:dyDescent="0.2">
      <c r="A6947">
        <f t="shared" si="108"/>
        <v>2804050</v>
      </c>
      <c r="B6947" s="1">
        <v>2020</v>
      </c>
      <c r="C6947" s="1" t="s">
        <v>2505</v>
      </c>
      <c r="D6947" s="1" t="s">
        <v>2506</v>
      </c>
      <c r="E6947" s="1" t="s">
        <v>2019</v>
      </c>
      <c r="F6947" s="1" t="s">
        <v>692</v>
      </c>
      <c r="G6947" s="6">
        <v>3941296</v>
      </c>
      <c r="H6947">
        <f>IFERROR(VLOOKUP(F6947,'LEAID Match'!$A$2:$B$142,2,FALSE),"")</f>
        <v>2804050</v>
      </c>
    </row>
    <row r="6948" spans="1:8" x14ac:dyDescent="0.2">
      <c r="A6948">
        <f t="shared" si="108"/>
        <v>2804050</v>
      </c>
      <c r="B6948" s="1">
        <v>2021</v>
      </c>
      <c r="C6948" s="1" t="s">
        <v>2505</v>
      </c>
      <c r="D6948" s="1" t="s">
        <v>2506</v>
      </c>
      <c r="E6948" s="1" t="s">
        <v>2019</v>
      </c>
      <c r="F6948" s="1" t="s">
        <v>692</v>
      </c>
      <c r="G6948" s="6">
        <v>4028785</v>
      </c>
      <c r="H6948">
        <f>IFERROR(VLOOKUP(F6948,'LEAID Match'!$A$2:$B$142,2,FALSE),"")</f>
        <v>2804050</v>
      </c>
    </row>
    <row r="6949" spans="1:8" x14ac:dyDescent="0.2">
      <c r="A6949">
        <f t="shared" si="108"/>
        <v>2804050</v>
      </c>
      <c r="B6949" s="1">
        <v>2022</v>
      </c>
      <c r="C6949" s="1" t="s">
        <v>2505</v>
      </c>
      <c r="D6949" s="1" t="s">
        <v>2506</v>
      </c>
      <c r="E6949" s="1" t="s">
        <v>2019</v>
      </c>
      <c r="F6949" s="1" t="s">
        <v>692</v>
      </c>
      <c r="G6949" s="6">
        <v>4299202</v>
      </c>
      <c r="H6949">
        <f>IFERROR(VLOOKUP(F6949,'LEAID Match'!$A$2:$B$142,2,FALSE),"")</f>
        <v>2804050</v>
      </c>
    </row>
    <row r="6950" spans="1:8" x14ac:dyDescent="0.2">
      <c r="A6950">
        <f t="shared" si="108"/>
        <v>2804050</v>
      </c>
      <c r="B6950" s="1">
        <v>2023</v>
      </c>
      <c r="C6950" s="1" t="s">
        <v>2505</v>
      </c>
      <c r="D6950" s="1" t="s">
        <v>2506</v>
      </c>
      <c r="E6950" s="1" t="s">
        <v>2019</v>
      </c>
      <c r="F6950" s="1" t="s">
        <v>692</v>
      </c>
      <c r="G6950" s="6">
        <v>4877442</v>
      </c>
      <c r="H6950">
        <f>IFERROR(VLOOKUP(F6950,'LEAID Match'!$A$2:$B$142,2,FALSE),"")</f>
        <v>2804050</v>
      </c>
    </row>
    <row r="6951" spans="1:8" x14ac:dyDescent="0.2">
      <c r="A6951">
        <f t="shared" si="108"/>
        <v>2804050</v>
      </c>
      <c r="B6951" s="1">
        <v>2024</v>
      </c>
      <c r="C6951" s="1" t="s">
        <v>2505</v>
      </c>
      <c r="D6951" s="1" t="s">
        <v>2506</v>
      </c>
      <c r="E6951" s="1" t="s">
        <v>2019</v>
      </c>
      <c r="F6951" s="1" t="s">
        <v>692</v>
      </c>
      <c r="G6951" s="6">
        <v>5273631</v>
      </c>
      <c r="H6951">
        <f>IFERROR(VLOOKUP(F6951,'LEAID Match'!$A$2:$B$142,2,FALSE),"")</f>
        <v>2804050</v>
      </c>
    </row>
    <row r="6952" spans="1:8" x14ac:dyDescent="0.2">
      <c r="A6952">
        <f t="shared" si="108"/>
        <v>2804080</v>
      </c>
      <c r="B6952" s="1">
        <v>2015</v>
      </c>
      <c r="C6952" s="1" t="s">
        <v>2505</v>
      </c>
      <c r="D6952" s="1" t="s">
        <v>2506</v>
      </c>
      <c r="E6952" s="1" t="s">
        <v>2019</v>
      </c>
      <c r="F6952" s="1" t="s">
        <v>693</v>
      </c>
      <c r="G6952" s="6">
        <v>1388985</v>
      </c>
      <c r="H6952">
        <f>IFERROR(VLOOKUP(F6952,'LEAID Match'!$A$2:$B$142,2,FALSE),"")</f>
        <v>2804080</v>
      </c>
    </row>
    <row r="6953" spans="1:8" x14ac:dyDescent="0.2">
      <c r="A6953">
        <f t="shared" si="108"/>
        <v>2804080</v>
      </c>
      <c r="B6953">
        <v>2016</v>
      </c>
      <c r="C6953" s="1" t="s">
        <v>2505</v>
      </c>
      <c r="D6953" s="1" t="s">
        <v>2506</v>
      </c>
      <c r="E6953" s="1" t="s">
        <v>2019</v>
      </c>
      <c r="F6953" s="1" t="s">
        <v>693</v>
      </c>
      <c r="G6953" s="12">
        <v>1364359</v>
      </c>
      <c r="H6953">
        <f>IFERROR(VLOOKUP(F6953,'LEAID Match'!$A$2:$B$142,2,FALSE),"")</f>
        <v>2804080</v>
      </c>
    </row>
    <row r="6954" spans="1:8" x14ac:dyDescent="0.2">
      <c r="A6954">
        <f t="shared" si="108"/>
        <v>2804080</v>
      </c>
      <c r="B6954" s="1">
        <v>2017</v>
      </c>
      <c r="C6954" s="1" t="s">
        <v>2505</v>
      </c>
      <c r="D6954" s="1" t="s">
        <v>2506</v>
      </c>
      <c r="E6954" s="1" t="s">
        <v>2019</v>
      </c>
      <c r="F6954" s="1" t="s">
        <v>693</v>
      </c>
      <c r="G6954" s="47">
        <v>1384735</v>
      </c>
      <c r="H6954">
        <f>IFERROR(VLOOKUP(F6954,'LEAID Match'!$A$2:$B$142,2,FALSE),"")</f>
        <v>2804080</v>
      </c>
    </row>
    <row r="6955" spans="1:8" x14ac:dyDescent="0.2">
      <c r="A6955">
        <f t="shared" si="108"/>
        <v>2804080</v>
      </c>
      <c r="B6955" s="1">
        <v>2018</v>
      </c>
      <c r="C6955" s="1" t="s">
        <v>2505</v>
      </c>
      <c r="D6955" s="1" t="s">
        <v>2506</v>
      </c>
      <c r="E6955" s="1" t="s">
        <v>2019</v>
      </c>
      <c r="F6955" s="1" t="s">
        <v>693</v>
      </c>
      <c r="G6955" s="6">
        <v>1467503</v>
      </c>
      <c r="H6955">
        <f>IFERROR(VLOOKUP(F6955,'LEAID Match'!$A$2:$B$142,2,FALSE),"")</f>
        <v>2804080</v>
      </c>
    </row>
    <row r="6956" spans="1:8" x14ac:dyDescent="0.2">
      <c r="A6956">
        <f t="shared" si="108"/>
        <v>2804080</v>
      </c>
      <c r="B6956" s="1">
        <v>2019</v>
      </c>
      <c r="C6956" s="1" t="s">
        <v>2505</v>
      </c>
      <c r="D6956" s="1" t="s">
        <v>2506</v>
      </c>
      <c r="E6956" s="1" t="s">
        <v>2019</v>
      </c>
      <c r="F6956" s="1" t="s">
        <v>693</v>
      </c>
      <c r="G6956" s="6">
        <v>1517251</v>
      </c>
      <c r="H6956">
        <f>IFERROR(VLOOKUP(F6956,'LEAID Match'!$A$2:$B$142,2,FALSE),"")</f>
        <v>2804080</v>
      </c>
    </row>
    <row r="6957" spans="1:8" x14ac:dyDescent="0.2">
      <c r="A6957">
        <f t="shared" si="108"/>
        <v>2804080</v>
      </c>
      <c r="B6957" s="1">
        <v>2020</v>
      </c>
      <c r="C6957" s="1" t="s">
        <v>2505</v>
      </c>
      <c r="D6957" s="1" t="s">
        <v>2506</v>
      </c>
      <c r="E6957" s="1" t="s">
        <v>2019</v>
      </c>
      <c r="F6957" s="1" t="s">
        <v>693</v>
      </c>
      <c r="G6957" s="6">
        <v>1730517</v>
      </c>
      <c r="H6957">
        <f>IFERROR(VLOOKUP(F6957,'LEAID Match'!$A$2:$B$142,2,FALSE),"")</f>
        <v>2804080</v>
      </c>
    </row>
    <row r="6958" spans="1:8" x14ac:dyDescent="0.2">
      <c r="A6958">
        <f t="shared" si="108"/>
        <v>2804080</v>
      </c>
      <c r="B6958" s="1">
        <v>2021</v>
      </c>
      <c r="C6958" s="1" t="s">
        <v>2505</v>
      </c>
      <c r="D6958" s="1" t="s">
        <v>2506</v>
      </c>
      <c r="E6958" s="1" t="s">
        <v>2019</v>
      </c>
      <c r="F6958" s="1" t="s">
        <v>693</v>
      </c>
      <c r="G6958" s="6">
        <v>1676044</v>
      </c>
      <c r="H6958">
        <f>IFERROR(VLOOKUP(F6958,'LEAID Match'!$A$2:$B$142,2,FALSE),"")</f>
        <v>2804080</v>
      </c>
    </row>
    <row r="6959" spans="1:8" x14ac:dyDescent="0.2">
      <c r="A6959">
        <f t="shared" si="108"/>
        <v>2804080</v>
      </c>
      <c r="B6959" s="1">
        <v>2022</v>
      </c>
      <c r="C6959" s="1" t="s">
        <v>2505</v>
      </c>
      <c r="D6959" s="1" t="s">
        <v>2506</v>
      </c>
      <c r="E6959" s="1" t="s">
        <v>2019</v>
      </c>
      <c r="F6959" s="1" t="s">
        <v>693</v>
      </c>
      <c r="G6959" s="6">
        <v>1763261</v>
      </c>
      <c r="H6959">
        <f>IFERROR(VLOOKUP(F6959,'LEAID Match'!$A$2:$B$142,2,FALSE),"")</f>
        <v>2804080</v>
      </c>
    </row>
    <row r="6960" spans="1:8" x14ac:dyDescent="0.2">
      <c r="A6960">
        <f t="shared" si="108"/>
        <v>2804080</v>
      </c>
      <c r="B6960" s="1">
        <v>2023</v>
      </c>
      <c r="C6960" s="1" t="s">
        <v>2505</v>
      </c>
      <c r="D6960" s="1" t="s">
        <v>2506</v>
      </c>
      <c r="E6960" s="1" t="s">
        <v>2019</v>
      </c>
      <c r="F6960" s="1" t="s">
        <v>693</v>
      </c>
      <c r="G6960" s="6">
        <v>1839881</v>
      </c>
      <c r="H6960">
        <f>IFERROR(VLOOKUP(F6960,'LEAID Match'!$A$2:$B$142,2,FALSE),"")</f>
        <v>2804080</v>
      </c>
    </row>
    <row r="6961" spans="1:8" x14ac:dyDescent="0.2">
      <c r="A6961">
        <f t="shared" si="108"/>
        <v>2804080</v>
      </c>
      <c r="B6961" s="1">
        <v>2024</v>
      </c>
      <c r="C6961" s="1" t="s">
        <v>2505</v>
      </c>
      <c r="D6961" s="1" t="s">
        <v>2506</v>
      </c>
      <c r="E6961" s="1" t="s">
        <v>2019</v>
      </c>
      <c r="F6961" s="1" t="s">
        <v>693</v>
      </c>
      <c r="G6961" s="6">
        <v>1810109</v>
      </c>
      <c r="H6961">
        <f>IFERROR(VLOOKUP(F6961,'LEAID Match'!$A$2:$B$142,2,FALSE),"")</f>
        <v>2804080</v>
      </c>
    </row>
    <row r="6962" spans="1:8" x14ac:dyDescent="0.2">
      <c r="A6962" t="str">
        <f t="shared" si="108"/>
        <v/>
      </c>
      <c r="B6962" s="1">
        <v>2015</v>
      </c>
      <c r="C6962" s="1" t="s">
        <v>2505</v>
      </c>
      <c r="D6962" s="1" t="s">
        <v>2506</v>
      </c>
      <c r="E6962" s="1" t="s">
        <v>2019</v>
      </c>
      <c r="F6962" s="1" t="s">
        <v>2416</v>
      </c>
      <c r="G6962" s="6">
        <v>1233814</v>
      </c>
      <c r="H6962" t="str">
        <f>IFERROR(VLOOKUP(F6962,'LEAID Match'!$A$2:$B$142,2,FALSE),"")</f>
        <v/>
      </c>
    </row>
    <row r="6963" spans="1:8" x14ac:dyDescent="0.2">
      <c r="A6963">
        <f t="shared" si="108"/>
        <v>2804110</v>
      </c>
      <c r="B6963" s="1">
        <v>2015</v>
      </c>
      <c r="C6963" s="1" t="s">
        <v>2505</v>
      </c>
      <c r="D6963" s="1" t="s">
        <v>2506</v>
      </c>
      <c r="E6963" s="1" t="s">
        <v>2019</v>
      </c>
      <c r="F6963" s="1" t="s">
        <v>694</v>
      </c>
      <c r="G6963" s="6">
        <v>2046924</v>
      </c>
      <c r="H6963">
        <f>IFERROR(VLOOKUP(F6963,'LEAID Match'!$A$2:$B$142,2,FALSE),"")</f>
        <v>2804110</v>
      </c>
    </row>
    <row r="6964" spans="1:8" x14ac:dyDescent="0.2">
      <c r="A6964">
        <f t="shared" si="108"/>
        <v>2804110</v>
      </c>
      <c r="B6964">
        <v>2016</v>
      </c>
      <c r="C6964" s="1" t="s">
        <v>2505</v>
      </c>
      <c r="D6964" s="1" t="s">
        <v>2506</v>
      </c>
      <c r="E6964" s="1" t="s">
        <v>2019</v>
      </c>
      <c r="F6964" s="1" t="s">
        <v>694</v>
      </c>
      <c r="G6964" s="12">
        <v>2179536</v>
      </c>
      <c r="H6964">
        <f>IFERROR(VLOOKUP(F6964,'LEAID Match'!$A$2:$B$142,2,FALSE),"")</f>
        <v>2804110</v>
      </c>
    </row>
    <row r="6965" spans="1:8" x14ac:dyDescent="0.2">
      <c r="A6965">
        <f t="shared" si="108"/>
        <v>2804110</v>
      </c>
      <c r="B6965" s="1">
        <v>2017</v>
      </c>
      <c r="C6965" s="1" t="s">
        <v>2505</v>
      </c>
      <c r="D6965" s="1" t="s">
        <v>2506</v>
      </c>
      <c r="E6965" s="1" t="s">
        <v>2019</v>
      </c>
      <c r="F6965" s="1" t="s">
        <v>694</v>
      </c>
      <c r="G6965" s="47">
        <v>2188450</v>
      </c>
      <c r="H6965">
        <f>IFERROR(VLOOKUP(F6965,'LEAID Match'!$A$2:$B$142,2,FALSE),"")</f>
        <v>2804110</v>
      </c>
    </row>
    <row r="6966" spans="1:8" x14ac:dyDescent="0.2">
      <c r="A6966">
        <f t="shared" si="108"/>
        <v>2804110</v>
      </c>
      <c r="B6966" s="1">
        <v>2018</v>
      </c>
      <c r="C6966" s="1" t="s">
        <v>2505</v>
      </c>
      <c r="D6966" s="1" t="s">
        <v>2506</v>
      </c>
      <c r="E6966" s="1" t="s">
        <v>2019</v>
      </c>
      <c r="F6966" s="1" t="s">
        <v>694</v>
      </c>
      <c r="G6966" s="6">
        <v>2199740</v>
      </c>
      <c r="H6966">
        <f>IFERROR(VLOOKUP(F6966,'LEAID Match'!$A$2:$B$142,2,FALSE),"")</f>
        <v>2804110</v>
      </c>
    </row>
    <row r="6967" spans="1:8" x14ac:dyDescent="0.2">
      <c r="A6967">
        <f t="shared" si="108"/>
        <v>2804110</v>
      </c>
      <c r="B6967" s="1">
        <v>2019</v>
      </c>
      <c r="C6967" s="1" t="s">
        <v>2505</v>
      </c>
      <c r="D6967" s="1" t="s">
        <v>2506</v>
      </c>
      <c r="E6967" s="1" t="s">
        <v>2019</v>
      </c>
      <c r="F6967" s="1" t="s">
        <v>694</v>
      </c>
      <c r="G6967" s="6">
        <v>2281785</v>
      </c>
      <c r="H6967">
        <f>IFERROR(VLOOKUP(F6967,'LEAID Match'!$A$2:$B$142,2,FALSE),"")</f>
        <v>2804110</v>
      </c>
    </row>
    <row r="6968" spans="1:8" x14ac:dyDescent="0.2">
      <c r="A6968">
        <f t="shared" si="108"/>
        <v>2804110</v>
      </c>
      <c r="B6968" s="1">
        <v>2020</v>
      </c>
      <c r="C6968" s="1" t="s">
        <v>2505</v>
      </c>
      <c r="D6968" s="1" t="s">
        <v>2506</v>
      </c>
      <c r="E6968" s="1" t="s">
        <v>2019</v>
      </c>
      <c r="F6968" s="1" t="s">
        <v>694</v>
      </c>
      <c r="G6968" s="6">
        <v>2643063</v>
      </c>
      <c r="H6968">
        <f>IFERROR(VLOOKUP(F6968,'LEAID Match'!$A$2:$B$142,2,FALSE),"")</f>
        <v>2804110</v>
      </c>
    </row>
    <row r="6969" spans="1:8" x14ac:dyDescent="0.2">
      <c r="A6969">
        <f t="shared" si="108"/>
        <v>2804110</v>
      </c>
      <c r="B6969" s="1">
        <v>2021</v>
      </c>
      <c r="C6969" s="1" t="s">
        <v>2505</v>
      </c>
      <c r="D6969" s="1" t="s">
        <v>2506</v>
      </c>
      <c r="E6969" s="1" t="s">
        <v>2019</v>
      </c>
      <c r="F6969" s="1" t="s">
        <v>694</v>
      </c>
      <c r="G6969" s="6">
        <v>2610524</v>
      </c>
      <c r="H6969">
        <f>IFERROR(VLOOKUP(F6969,'LEAID Match'!$A$2:$B$142,2,FALSE),"")</f>
        <v>2804110</v>
      </c>
    </row>
    <row r="6970" spans="1:8" x14ac:dyDescent="0.2">
      <c r="A6970">
        <f t="shared" si="108"/>
        <v>2804110</v>
      </c>
      <c r="B6970" s="1">
        <v>2022</v>
      </c>
      <c r="C6970" s="1" t="s">
        <v>2505</v>
      </c>
      <c r="D6970" s="1" t="s">
        <v>2506</v>
      </c>
      <c r="E6970" s="1" t="s">
        <v>2019</v>
      </c>
      <c r="F6970" s="1" t="s">
        <v>694</v>
      </c>
      <c r="G6970" s="6">
        <v>2666485</v>
      </c>
      <c r="H6970">
        <f>IFERROR(VLOOKUP(F6970,'LEAID Match'!$A$2:$B$142,2,FALSE),"")</f>
        <v>2804110</v>
      </c>
    </row>
    <row r="6971" spans="1:8" x14ac:dyDescent="0.2">
      <c r="A6971">
        <f t="shared" si="108"/>
        <v>2804110</v>
      </c>
      <c r="B6971" s="1">
        <v>2023</v>
      </c>
      <c r="C6971" s="1" t="s">
        <v>2505</v>
      </c>
      <c r="D6971" s="1" t="s">
        <v>2506</v>
      </c>
      <c r="E6971" s="1" t="s">
        <v>2019</v>
      </c>
      <c r="F6971" s="1" t="s">
        <v>694</v>
      </c>
      <c r="G6971" s="6">
        <v>2880490</v>
      </c>
      <c r="H6971">
        <f>IFERROR(VLOOKUP(F6971,'LEAID Match'!$A$2:$B$142,2,FALSE),"")</f>
        <v>2804110</v>
      </c>
    </row>
    <row r="6972" spans="1:8" x14ac:dyDescent="0.2">
      <c r="A6972">
        <f t="shared" si="108"/>
        <v>2804110</v>
      </c>
      <c r="B6972" s="1">
        <v>2024</v>
      </c>
      <c r="C6972" s="1" t="s">
        <v>2505</v>
      </c>
      <c r="D6972" s="1" t="s">
        <v>2506</v>
      </c>
      <c r="E6972" s="1" t="s">
        <v>2019</v>
      </c>
      <c r="F6972" s="1" t="s">
        <v>694</v>
      </c>
      <c r="G6972" s="6">
        <v>2879546</v>
      </c>
      <c r="H6972">
        <f>IFERROR(VLOOKUP(F6972,'LEAID Match'!$A$2:$B$142,2,FALSE),"")</f>
        <v>2804110</v>
      </c>
    </row>
    <row r="6973" spans="1:8" x14ac:dyDescent="0.2">
      <c r="A6973" t="str">
        <f t="shared" si="108"/>
        <v/>
      </c>
      <c r="B6973" s="1">
        <v>2015</v>
      </c>
      <c r="C6973" s="1" t="s">
        <v>2505</v>
      </c>
      <c r="D6973" s="1" t="s">
        <v>2506</v>
      </c>
      <c r="E6973" s="1" t="s">
        <v>2019</v>
      </c>
      <c r="F6973" s="1" t="s">
        <v>695</v>
      </c>
      <c r="G6973" s="6">
        <v>2996686</v>
      </c>
      <c r="H6973" t="str">
        <f>IFERROR(VLOOKUP(F6973,'LEAID Match'!$A$2:$B$142,2,FALSE),"")</f>
        <v/>
      </c>
    </row>
    <row r="6974" spans="1:8" x14ac:dyDescent="0.2">
      <c r="A6974" t="str">
        <f t="shared" si="108"/>
        <v/>
      </c>
      <c r="B6974">
        <v>2016</v>
      </c>
      <c r="C6974" s="1" t="s">
        <v>2505</v>
      </c>
      <c r="D6974" s="1" t="s">
        <v>2506</v>
      </c>
      <c r="E6974" s="1" t="s">
        <v>2019</v>
      </c>
      <c r="F6974" s="1" t="s">
        <v>695</v>
      </c>
      <c r="G6974" s="12">
        <v>3119041</v>
      </c>
      <c r="H6974" t="str">
        <f>IFERROR(VLOOKUP(F6974,'LEAID Match'!$A$2:$B$142,2,FALSE),"")</f>
        <v/>
      </c>
    </row>
    <row r="6975" spans="1:8" x14ac:dyDescent="0.2">
      <c r="A6975" t="str">
        <f t="shared" si="108"/>
        <v/>
      </c>
      <c r="B6975" s="1">
        <v>2017</v>
      </c>
      <c r="C6975" s="1" t="s">
        <v>2505</v>
      </c>
      <c r="D6975" s="1" t="s">
        <v>2506</v>
      </c>
      <c r="E6975" s="1" t="s">
        <v>2019</v>
      </c>
      <c r="F6975" s="1" t="s">
        <v>695</v>
      </c>
      <c r="G6975" s="47">
        <v>3372158</v>
      </c>
      <c r="H6975" t="str">
        <f>IFERROR(VLOOKUP(F6975,'LEAID Match'!$A$2:$B$142,2,FALSE),"")</f>
        <v/>
      </c>
    </row>
    <row r="6976" spans="1:8" x14ac:dyDescent="0.2">
      <c r="A6976" t="str">
        <f t="shared" si="108"/>
        <v/>
      </c>
      <c r="B6976" s="1">
        <v>2018</v>
      </c>
      <c r="C6976" s="1" t="s">
        <v>2505</v>
      </c>
      <c r="D6976" s="1" t="s">
        <v>2506</v>
      </c>
      <c r="E6976" s="1" t="s">
        <v>2019</v>
      </c>
      <c r="F6976" s="1" t="s">
        <v>695</v>
      </c>
      <c r="G6976" s="6">
        <v>3380885</v>
      </c>
      <c r="H6976" t="str">
        <f>IFERROR(VLOOKUP(F6976,'LEAID Match'!$A$2:$B$142,2,FALSE),"")</f>
        <v/>
      </c>
    </row>
    <row r="6977" spans="1:8" x14ac:dyDescent="0.2">
      <c r="A6977" t="str">
        <f t="shared" si="108"/>
        <v/>
      </c>
      <c r="B6977" s="1">
        <v>2019</v>
      </c>
      <c r="C6977" s="1" t="s">
        <v>2505</v>
      </c>
      <c r="D6977" s="1" t="s">
        <v>2506</v>
      </c>
      <c r="E6977" s="1" t="s">
        <v>2019</v>
      </c>
      <c r="F6977" s="1" t="s">
        <v>695</v>
      </c>
      <c r="G6977" s="6">
        <v>3538592</v>
      </c>
      <c r="H6977" t="str">
        <f>IFERROR(VLOOKUP(F6977,'LEAID Match'!$A$2:$B$142,2,FALSE),"")</f>
        <v/>
      </c>
    </row>
    <row r="6978" spans="1:8" x14ac:dyDescent="0.2">
      <c r="A6978" t="str">
        <f t="shared" si="108"/>
        <v/>
      </c>
      <c r="B6978" s="1">
        <v>2020</v>
      </c>
      <c r="C6978" s="1" t="s">
        <v>2505</v>
      </c>
      <c r="D6978" s="1" t="s">
        <v>2506</v>
      </c>
      <c r="E6978" s="1" t="s">
        <v>2019</v>
      </c>
      <c r="F6978" s="1" t="s">
        <v>695</v>
      </c>
      <c r="G6978" s="6">
        <v>4105736</v>
      </c>
      <c r="H6978" t="str">
        <f>IFERROR(VLOOKUP(F6978,'LEAID Match'!$A$2:$B$142,2,FALSE),"")</f>
        <v/>
      </c>
    </row>
    <row r="6979" spans="1:8" x14ac:dyDescent="0.2">
      <c r="A6979" t="str">
        <f t="shared" ref="A6979:A7042" si="109">H6979</f>
        <v/>
      </c>
      <c r="B6979" s="1">
        <v>2021</v>
      </c>
      <c r="C6979" s="1" t="s">
        <v>2505</v>
      </c>
      <c r="D6979" s="1" t="s">
        <v>2506</v>
      </c>
      <c r="E6979" s="1" t="s">
        <v>2019</v>
      </c>
      <c r="F6979" s="1" t="s">
        <v>695</v>
      </c>
      <c r="G6979" s="6">
        <v>4298088</v>
      </c>
      <c r="H6979" t="str">
        <f>IFERROR(VLOOKUP(F6979,'LEAID Match'!$A$2:$B$142,2,FALSE),"")</f>
        <v/>
      </c>
    </row>
    <row r="6980" spans="1:8" x14ac:dyDescent="0.2">
      <c r="A6980" t="str">
        <f t="shared" si="109"/>
        <v/>
      </c>
      <c r="B6980" s="1">
        <v>2022</v>
      </c>
      <c r="C6980" s="1" t="s">
        <v>2505</v>
      </c>
      <c r="D6980" s="1" t="s">
        <v>2506</v>
      </c>
      <c r="E6980" s="1" t="s">
        <v>2019</v>
      </c>
      <c r="F6980" s="1" t="s">
        <v>695</v>
      </c>
      <c r="G6980" s="6">
        <v>4519589</v>
      </c>
      <c r="H6980" t="str">
        <f>IFERROR(VLOOKUP(F6980,'LEAID Match'!$A$2:$B$142,2,FALSE),"")</f>
        <v/>
      </c>
    </row>
    <row r="6981" spans="1:8" x14ac:dyDescent="0.2">
      <c r="A6981" t="str">
        <f t="shared" si="109"/>
        <v/>
      </c>
      <c r="B6981" s="1">
        <v>2023</v>
      </c>
      <c r="C6981" s="1" t="s">
        <v>2505</v>
      </c>
      <c r="D6981" s="1" t="s">
        <v>2506</v>
      </c>
      <c r="E6981" s="1" t="s">
        <v>2019</v>
      </c>
      <c r="F6981" s="1" t="s">
        <v>695</v>
      </c>
      <c r="G6981" s="6">
        <v>5190172</v>
      </c>
      <c r="H6981" t="str">
        <f>IFERROR(VLOOKUP(F6981,'LEAID Match'!$A$2:$B$142,2,FALSE),"")</f>
        <v/>
      </c>
    </row>
    <row r="6982" spans="1:8" x14ac:dyDescent="0.2">
      <c r="A6982" t="str">
        <f t="shared" si="109"/>
        <v/>
      </c>
      <c r="B6982" s="1">
        <v>2024</v>
      </c>
      <c r="C6982" s="1" t="s">
        <v>2505</v>
      </c>
      <c r="D6982" s="1" t="s">
        <v>2506</v>
      </c>
      <c r="E6982" s="1" t="s">
        <v>2019</v>
      </c>
      <c r="F6982" s="1" t="s">
        <v>695</v>
      </c>
      <c r="G6982" s="6">
        <v>5449114</v>
      </c>
      <c r="H6982" t="str">
        <f>IFERROR(VLOOKUP(F6982,'LEAID Match'!$A$2:$B$142,2,FALSE),"")</f>
        <v/>
      </c>
    </row>
    <row r="6983" spans="1:8" x14ac:dyDescent="0.2">
      <c r="A6983" t="str">
        <f t="shared" si="109"/>
        <v/>
      </c>
      <c r="B6983" s="1">
        <v>2015</v>
      </c>
      <c r="C6983" s="1" t="s">
        <v>2505</v>
      </c>
      <c r="D6983" s="1" t="s">
        <v>2506</v>
      </c>
      <c r="E6983" s="1" t="s">
        <v>2019</v>
      </c>
      <c r="F6983" s="1" t="s">
        <v>2423</v>
      </c>
      <c r="G6983" s="6">
        <v>1546450</v>
      </c>
      <c r="H6983" t="str">
        <f>IFERROR(VLOOKUP(F6983,'LEAID Match'!$A$2:$B$142,2,FALSE),"")</f>
        <v/>
      </c>
    </row>
    <row r="6984" spans="1:8" x14ac:dyDescent="0.2">
      <c r="A6984" t="str">
        <f t="shared" si="109"/>
        <v/>
      </c>
      <c r="B6984" s="1">
        <v>2015</v>
      </c>
      <c r="C6984" s="1" t="s">
        <v>2505</v>
      </c>
      <c r="D6984" s="1" t="s">
        <v>2506</v>
      </c>
      <c r="E6984" s="1" t="s">
        <v>2019</v>
      </c>
      <c r="F6984" s="1" t="s">
        <v>2438</v>
      </c>
      <c r="G6984" s="6">
        <v>435407</v>
      </c>
      <c r="H6984" t="str">
        <f>IFERROR(VLOOKUP(F6984,'LEAID Match'!$A$2:$B$142,2,FALSE),"")</f>
        <v/>
      </c>
    </row>
    <row r="6985" spans="1:8" x14ac:dyDescent="0.2">
      <c r="A6985" t="str">
        <f t="shared" si="109"/>
        <v/>
      </c>
      <c r="B6985" s="1">
        <v>2015</v>
      </c>
      <c r="C6985" s="1" t="s">
        <v>2505</v>
      </c>
      <c r="D6985" s="1" t="s">
        <v>2506</v>
      </c>
      <c r="E6985" s="1" t="s">
        <v>2019</v>
      </c>
      <c r="F6985" s="1" t="s">
        <v>1854</v>
      </c>
      <c r="G6985" s="6">
        <v>689991</v>
      </c>
      <c r="H6985" t="str">
        <f>IFERROR(VLOOKUP(F6985,'LEAID Match'!$A$2:$B$142,2,FALSE),"")</f>
        <v/>
      </c>
    </row>
    <row r="6986" spans="1:8" x14ac:dyDescent="0.2">
      <c r="A6986" t="str">
        <f t="shared" si="109"/>
        <v/>
      </c>
      <c r="B6986">
        <v>2016</v>
      </c>
      <c r="C6986" s="1" t="s">
        <v>2505</v>
      </c>
      <c r="D6986" s="1" t="s">
        <v>2506</v>
      </c>
      <c r="E6986" s="1" t="s">
        <v>2019</v>
      </c>
      <c r="F6986" t="s">
        <v>1854</v>
      </c>
      <c r="G6986" s="12">
        <v>688677</v>
      </c>
      <c r="H6986" t="str">
        <f>IFERROR(VLOOKUP(F6986,'LEAID Match'!$A$2:$B$142,2,FALSE),"")</f>
        <v/>
      </c>
    </row>
    <row r="6987" spans="1:8" x14ac:dyDescent="0.2">
      <c r="A6987" t="str">
        <f t="shared" si="109"/>
        <v/>
      </c>
      <c r="B6987" s="1">
        <v>2017</v>
      </c>
      <c r="C6987" s="1" t="s">
        <v>2505</v>
      </c>
      <c r="D6987" s="1" t="s">
        <v>2506</v>
      </c>
      <c r="E6987" s="1" t="s">
        <v>2019</v>
      </c>
      <c r="F6987" s="37" t="s">
        <v>1854</v>
      </c>
      <c r="G6987" s="47">
        <v>650345</v>
      </c>
      <c r="H6987" t="str">
        <f>IFERROR(VLOOKUP(F6987,'LEAID Match'!$A$2:$B$142,2,FALSE),"")</f>
        <v/>
      </c>
    </row>
    <row r="6988" spans="1:8" x14ac:dyDescent="0.2">
      <c r="A6988" t="str">
        <f t="shared" si="109"/>
        <v/>
      </c>
      <c r="B6988" s="1">
        <v>2018</v>
      </c>
      <c r="C6988" s="1" t="s">
        <v>2505</v>
      </c>
      <c r="D6988" s="1" t="s">
        <v>2506</v>
      </c>
      <c r="E6988" s="1" t="s">
        <v>2019</v>
      </c>
      <c r="F6988" s="1" t="s">
        <v>1854</v>
      </c>
      <c r="G6988" s="6">
        <v>23846</v>
      </c>
      <c r="H6988" t="str">
        <f>IFERROR(VLOOKUP(F6988,'LEAID Match'!$A$2:$B$142,2,FALSE),"")</f>
        <v/>
      </c>
    </row>
    <row r="6989" spans="1:8" x14ac:dyDescent="0.2">
      <c r="A6989" t="str">
        <f t="shared" si="109"/>
        <v/>
      </c>
      <c r="B6989" s="1">
        <v>2015</v>
      </c>
      <c r="C6989" s="1" t="s">
        <v>2505</v>
      </c>
      <c r="D6989" s="1" t="s">
        <v>2506</v>
      </c>
      <c r="E6989" s="1" t="s">
        <v>2019</v>
      </c>
      <c r="F6989" s="1" t="s">
        <v>696</v>
      </c>
      <c r="G6989" s="6">
        <v>1425350</v>
      </c>
      <c r="H6989" t="str">
        <f>IFERROR(VLOOKUP(F6989,'LEAID Match'!$A$2:$B$142,2,FALSE),"")</f>
        <v/>
      </c>
    </row>
    <row r="6990" spans="1:8" x14ac:dyDescent="0.2">
      <c r="A6990" t="str">
        <f t="shared" si="109"/>
        <v/>
      </c>
      <c r="B6990">
        <v>2016</v>
      </c>
      <c r="C6990" s="1" t="s">
        <v>2505</v>
      </c>
      <c r="D6990" s="1" t="s">
        <v>2506</v>
      </c>
      <c r="E6990" s="1" t="s">
        <v>2019</v>
      </c>
      <c r="F6990" s="1" t="s">
        <v>696</v>
      </c>
      <c r="G6990" s="12">
        <v>1442653</v>
      </c>
      <c r="H6990" t="str">
        <f>IFERROR(VLOOKUP(F6990,'LEAID Match'!$A$2:$B$142,2,FALSE),"")</f>
        <v/>
      </c>
    </row>
    <row r="6991" spans="1:8" x14ac:dyDescent="0.2">
      <c r="A6991" t="str">
        <f t="shared" si="109"/>
        <v/>
      </c>
      <c r="B6991" s="1">
        <v>2017</v>
      </c>
      <c r="C6991" s="1" t="s">
        <v>2505</v>
      </c>
      <c r="D6991" s="1" t="s">
        <v>2506</v>
      </c>
      <c r="E6991" s="1" t="s">
        <v>2019</v>
      </c>
      <c r="F6991" s="1" t="s">
        <v>696</v>
      </c>
      <c r="G6991" s="47">
        <v>1396564</v>
      </c>
      <c r="H6991" t="str">
        <f>IFERROR(VLOOKUP(F6991,'LEAID Match'!$A$2:$B$142,2,FALSE),"")</f>
        <v/>
      </c>
    </row>
    <row r="6992" spans="1:8" x14ac:dyDescent="0.2">
      <c r="A6992" t="str">
        <f t="shared" si="109"/>
        <v/>
      </c>
      <c r="B6992" s="1">
        <v>2018</v>
      </c>
      <c r="C6992" s="1" t="s">
        <v>2505</v>
      </c>
      <c r="D6992" s="1" t="s">
        <v>2506</v>
      </c>
      <c r="E6992" s="1" t="s">
        <v>2019</v>
      </c>
      <c r="F6992" s="1" t="s">
        <v>696</v>
      </c>
      <c r="G6992" s="6">
        <v>1469109</v>
      </c>
      <c r="H6992" t="str">
        <f>IFERROR(VLOOKUP(F6992,'LEAID Match'!$A$2:$B$142,2,FALSE),"")</f>
        <v/>
      </c>
    </row>
    <row r="6993" spans="1:8" x14ac:dyDescent="0.2">
      <c r="A6993" t="str">
        <f t="shared" si="109"/>
        <v/>
      </c>
      <c r="B6993" s="1">
        <v>2019</v>
      </c>
      <c r="C6993" s="1" t="s">
        <v>2505</v>
      </c>
      <c r="D6993" s="1" t="s">
        <v>2506</v>
      </c>
      <c r="E6993" s="1" t="s">
        <v>2019</v>
      </c>
      <c r="F6993" s="1" t="s">
        <v>696</v>
      </c>
      <c r="G6993" s="6">
        <v>1499728</v>
      </c>
      <c r="H6993" t="str">
        <f>IFERROR(VLOOKUP(F6993,'LEAID Match'!$A$2:$B$142,2,FALSE),"")</f>
        <v/>
      </c>
    </row>
    <row r="6994" spans="1:8" x14ac:dyDescent="0.2">
      <c r="A6994" t="str">
        <f t="shared" si="109"/>
        <v/>
      </c>
      <c r="B6994" s="1">
        <v>2020</v>
      </c>
      <c r="C6994" s="1" t="s">
        <v>2505</v>
      </c>
      <c r="D6994" s="1" t="s">
        <v>2506</v>
      </c>
      <c r="E6994" s="1" t="s">
        <v>2019</v>
      </c>
      <c r="F6994" s="1" t="s">
        <v>696</v>
      </c>
      <c r="G6994" s="6">
        <v>1685754</v>
      </c>
      <c r="H6994" t="str">
        <f>IFERROR(VLOOKUP(F6994,'LEAID Match'!$A$2:$B$142,2,FALSE),"")</f>
        <v/>
      </c>
    </row>
    <row r="6995" spans="1:8" x14ac:dyDescent="0.2">
      <c r="A6995" t="str">
        <f t="shared" si="109"/>
        <v/>
      </c>
      <c r="B6995" s="1">
        <v>2021</v>
      </c>
      <c r="C6995" s="1" t="s">
        <v>2505</v>
      </c>
      <c r="D6995" s="1" t="s">
        <v>2506</v>
      </c>
      <c r="E6995" s="1" t="s">
        <v>2019</v>
      </c>
      <c r="F6995" s="1" t="s">
        <v>696</v>
      </c>
      <c r="G6995" s="6">
        <v>1762603</v>
      </c>
      <c r="H6995" t="str">
        <f>IFERROR(VLOOKUP(F6995,'LEAID Match'!$A$2:$B$142,2,FALSE),"")</f>
        <v/>
      </c>
    </row>
    <row r="6996" spans="1:8" x14ac:dyDescent="0.2">
      <c r="A6996" t="str">
        <f t="shared" si="109"/>
        <v/>
      </c>
      <c r="B6996" s="1">
        <v>2022</v>
      </c>
      <c r="C6996" s="1" t="s">
        <v>2505</v>
      </c>
      <c r="D6996" s="1" t="s">
        <v>2506</v>
      </c>
      <c r="E6996" s="1" t="s">
        <v>2019</v>
      </c>
      <c r="F6996" s="1" t="s">
        <v>696</v>
      </c>
      <c r="G6996" s="6">
        <v>1806274</v>
      </c>
      <c r="H6996" t="str">
        <f>IFERROR(VLOOKUP(F6996,'LEAID Match'!$A$2:$B$142,2,FALSE),"")</f>
        <v/>
      </c>
    </row>
    <row r="6997" spans="1:8" x14ac:dyDescent="0.2">
      <c r="A6997" t="str">
        <f t="shared" si="109"/>
        <v/>
      </c>
      <c r="B6997" s="1">
        <v>2023</v>
      </c>
      <c r="C6997" s="1" t="s">
        <v>2505</v>
      </c>
      <c r="D6997" s="1" t="s">
        <v>2506</v>
      </c>
      <c r="E6997" s="1" t="s">
        <v>2019</v>
      </c>
      <c r="F6997" s="1" t="s">
        <v>696</v>
      </c>
      <c r="G6997" s="6">
        <v>1970396</v>
      </c>
      <c r="H6997" t="str">
        <f>IFERROR(VLOOKUP(F6997,'LEAID Match'!$A$2:$B$142,2,FALSE),"")</f>
        <v/>
      </c>
    </row>
    <row r="6998" spans="1:8" x14ac:dyDescent="0.2">
      <c r="A6998" t="str">
        <f t="shared" si="109"/>
        <v/>
      </c>
      <c r="B6998" s="1">
        <v>2024</v>
      </c>
      <c r="C6998" s="1" t="s">
        <v>2505</v>
      </c>
      <c r="D6998" s="1" t="s">
        <v>2506</v>
      </c>
      <c r="E6998" s="1" t="s">
        <v>2019</v>
      </c>
      <c r="F6998" s="1" t="s">
        <v>696</v>
      </c>
      <c r="G6998" s="6">
        <v>2080758</v>
      </c>
      <c r="H6998" t="str">
        <f>IFERROR(VLOOKUP(F6998,'LEAID Match'!$A$2:$B$142,2,FALSE),"")</f>
        <v/>
      </c>
    </row>
    <row r="6999" spans="1:8" x14ac:dyDescent="0.2">
      <c r="A6999" t="str">
        <f t="shared" si="109"/>
        <v/>
      </c>
      <c r="B6999" s="1">
        <v>2015</v>
      </c>
      <c r="C6999" s="1" t="s">
        <v>2505</v>
      </c>
      <c r="D6999" s="1" t="s">
        <v>2506</v>
      </c>
      <c r="E6999" s="1" t="s">
        <v>2019</v>
      </c>
      <c r="F6999" s="1" t="s">
        <v>697</v>
      </c>
      <c r="G6999" s="6">
        <v>223192</v>
      </c>
      <c r="H6999" t="str">
        <f>IFERROR(VLOOKUP(F6999,'LEAID Match'!$A$2:$B$142,2,FALSE),"")</f>
        <v/>
      </c>
    </row>
    <row r="7000" spans="1:8" x14ac:dyDescent="0.2">
      <c r="A7000" t="str">
        <f t="shared" si="109"/>
        <v/>
      </c>
      <c r="B7000">
        <v>2016</v>
      </c>
      <c r="C7000" s="1" t="s">
        <v>2505</v>
      </c>
      <c r="D7000" s="1" t="s">
        <v>2506</v>
      </c>
      <c r="E7000" s="1" t="s">
        <v>2019</v>
      </c>
      <c r="F7000" s="1" t="s">
        <v>697</v>
      </c>
      <c r="G7000" s="12">
        <v>239969</v>
      </c>
      <c r="H7000" t="str">
        <f>IFERROR(VLOOKUP(F7000,'LEAID Match'!$A$2:$B$142,2,FALSE),"")</f>
        <v/>
      </c>
    </row>
    <row r="7001" spans="1:8" x14ac:dyDescent="0.2">
      <c r="A7001" t="str">
        <f t="shared" si="109"/>
        <v/>
      </c>
      <c r="B7001" s="1">
        <v>2017</v>
      </c>
      <c r="C7001" s="1" t="s">
        <v>2505</v>
      </c>
      <c r="D7001" s="1" t="s">
        <v>2506</v>
      </c>
      <c r="E7001" s="1" t="s">
        <v>2019</v>
      </c>
      <c r="F7001" s="1" t="s">
        <v>697</v>
      </c>
      <c r="G7001" s="47">
        <v>340097</v>
      </c>
      <c r="H7001" t="str">
        <f>IFERROR(VLOOKUP(F7001,'LEAID Match'!$A$2:$B$142,2,FALSE),"")</f>
        <v/>
      </c>
    </row>
    <row r="7002" spans="1:8" x14ac:dyDescent="0.2">
      <c r="A7002" t="str">
        <f t="shared" si="109"/>
        <v/>
      </c>
      <c r="B7002" s="1">
        <v>2018</v>
      </c>
      <c r="C7002" s="1" t="s">
        <v>2505</v>
      </c>
      <c r="D7002" s="1" t="s">
        <v>2506</v>
      </c>
      <c r="E7002" s="1" t="s">
        <v>2019</v>
      </c>
      <c r="F7002" s="1" t="s">
        <v>697</v>
      </c>
      <c r="G7002" s="6">
        <v>394094</v>
      </c>
      <c r="H7002" t="str">
        <f>IFERROR(VLOOKUP(F7002,'LEAID Match'!$A$2:$B$142,2,FALSE),"")</f>
        <v/>
      </c>
    </row>
    <row r="7003" spans="1:8" x14ac:dyDescent="0.2">
      <c r="A7003" t="str">
        <f t="shared" si="109"/>
        <v/>
      </c>
      <c r="B7003" s="1">
        <v>2019</v>
      </c>
      <c r="C7003" s="1" t="s">
        <v>2505</v>
      </c>
      <c r="D7003" s="1" t="s">
        <v>2506</v>
      </c>
      <c r="E7003" s="1" t="s">
        <v>2019</v>
      </c>
      <c r="F7003" s="1" t="s">
        <v>697</v>
      </c>
      <c r="G7003" s="6">
        <v>423546</v>
      </c>
      <c r="H7003" t="str">
        <f>IFERROR(VLOOKUP(F7003,'LEAID Match'!$A$2:$B$142,2,FALSE),"")</f>
        <v/>
      </c>
    </row>
    <row r="7004" spans="1:8" x14ac:dyDescent="0.2">
      <c r="A7004" t="str">
        <f t="shared" si="109"/>
        <v/>
      </c>
      <c r="B7004" s="1">
        <v>2020</v>
      </c>
      <c r="C7004" s="1" t="s">
        <v>2505</v>
      </c>
      <c r="D7004" s="1" t="s">
        <v>2506</v>
      </c>
      <c r="E7004" s="1" t="s">
        <v>2019</v>
      </c>
      <c r="F7004" s="1" t="s">
        <v>697</v>
      </c>
      <c r="G7004" s="6">
        <v>465230</v>
      </c>
      <c r="H7004" t="str">
        <f>IFERROR(VLOOKUP(F7004,'LEAID Match'!$A$2:$B$142,2,FALSE),"")</f>
        <v/>
      </c>
    </row>
    <row r="7005" spans="1:8" x14ac:dyDescent="0.2">
      <c r="A7005" t="str">
        <f t="shared" si="109"/>
        <v/>
      </c>
      <c r="B7005" s="1">
        <v>2021</v>
      </c>
      <c r="C7005" s="1" t="s">
        <v>2505</v>
      </c>
      <c r="D7005" s="1" t="s">
        <v>2506</v>
      </c>
      <c r="E7005" s="1" t="s">
        <v>2019</v>
      </c>
      <c r="F7005" s="1" t="s">
        <v>697</v>
      </c>
      <c r="G7005" s="6">
        <v>507970</v>
      </c>
      <c r="H7005" t="str">
        <f>IFERROR(VLOOKUP(F7005,'LEAID Match'!$A$2:$B$142,2,FALSE),"")</f>
        <v/>
      </c>
    </row>
    <row r="7006" spans="1:8" x14ac:dyDescent="0.2">
      <c r="A7006" t="str">
        <f t="shared" si="109"/>
        <v/>
      </c>
      <c r="B7006" s="1">
        <v>2022</v>
      </c>
      <c r="C7006" s="1" t="s">
        <v>2505</v>
      </c>
      <c r="D7006" s="1" t="s">
        <v>2506</v>
      </c>
      <c r="E7006" s="1" t="s">
        <v>2019</v>
      </c>
      <c r="F7006" s="1" t="s">
        <v>697</v>
      </c>
      <c r="G7006" s="6">
        <v>537653</v>
      </c>
      <c r="H7006" t="str">
        <f>IFERROR(VLOOKUP(F7006,'LEAID Match'!$A$2:$B$142,2,FALSE),"")</f>
        <v/>
      </c>
    </row>
    <row r="7007" spans="1:8" x14ac:dyDescent="0.2">
      <c r="A7007" t="str">
        <f t="shared" si="109"/>
        <v/>
      </c>
      <c r="B7007" s="1">
        <v>2023</v>
      </c>
      <c r="C7007" s="1" t="s">
        <v>2505</v>
      </c>
      <c r="D7007" s="1" t="s">
        <v>2506</v>
      </c>
      <c r="E7007" s="1" t="s">
        <v>2019</v>
      </c>
      <c r="F7007" s="1" t="s">
        <v>697</v>
      </c>
      <c r="G7007" s="6">
        <v>565763</v>
      </c>
      <c r="H7007" t="str">
        <f>IFERROR(VLOOKUP(F7007,'LEAID Match'!$A$2:$B$142,2,FALSE),"")</f>
        <v/>
      </c>
    </row>
    <row r="7008" spans="1:8" x14ac:dyDescent="0.2">
      <c r="A7008" t="str">
        <f t="shared" si="109"/>
        <v/>
      </c>
      <c r="B7008" s="1">
        <v>2024</v>
      </c>
      <c r="C7008" s="1" t="s">
        <v>2505</v>
      </c>
      <c r="D7008" s="1" t="s">
        <v>2506</v>
      </c>
      <c r="E7008" s="1" t="s">
        <v>2019</v>
      </c>
      <c r="F7008" s="1" t="s">
        <v>697</v>
      </c>
      <c r="G7008" s="6">
        <v>653127</v>
      </c>
      <c r="H7008" t="str">
        <f>IFERROR(VLOOKUP(F7008,'LEAID Match'!$A$2:$B$142,2,FALSE),"")</f>
        <v/>
      </c>
    </row>
    <row r="7009" spans="1:8" x14ac:dyDescent="0.2">
      <c r="A7009" t="str">
        <f t="shared" si="109"/>
        <v/>
      </c>
      <c r="B7009" s="1">
        <v>2015</v>
      </c>
      <c r="C7009" s="1" t="s">
        <v>2505</v>
      </c>
      <c r="D7009" s="1" t="s">
        <v>2506</v>
      </c>
      <c r="E7009" s="1" t="s">
        <v>2019</v>
      </c>
      <c r="F7009" s="1" t="s">
        <v>698</v>
      </c>
      <c r="G7009" s="6">
        <v>68125</v>
      </c>
      <c r="H7009" t="str">
        <f>IFERROR(VLOOKUP(F7009,'LEAID Match'!$A$2:$B$142,2,FALSE),"")</f>
        <v/>
      </c>
    </row>
    <row r="7010" spans="1:8" x14ac:dyDescent="0.2">
      <c r="A7010" t="str">
        <f t="shared" si="109"/>
        <v/>
      </c>
      <c r="B7010">
        <v>2016</v>
      </c>
      <c r="C7010" s="1" t="s">
        <v>2505</v>
      </c>
      <c r="D7010" s="1" t="s">
        <v>2506</v>
      </c>
      <c r="E7010" s="1" t="s">
        <v>2019</v>
      </c>
      <c r="F7010" s="1" t="s">
        <v>698</v>
      </c>
      <c r="G7010" s="12">
        <v>57215</v>
      </c>
      <c r="H7010" t="str">
        <f>IFERROR(VLOOKUP(F7010,'LEAID Match'!$A$2:$B$142,2,FALSE),"")</f>
        <v/>
      </c>
    </row>
    <row r="7011" spans="1:8" x14ac:dyDescent="0.2">
      <c r="A7011" t="str">
        <f t="shared" si="109"/>
        <v/>
      </c>
      <c r="B7011" s="1">
        <v>2017</v>
      </c>
      <c r="C7011" s="1" t="s">
        <v>2505</v>
      </c>
      <c r="D7011" s="1" t="s">
        <v>2506</v>
      </c>
      <c r="E7011" s="1" t="s">
        <v>2019</v>
      </c>
      <c r="F7011" s="1" t="s">
        <v>698</v>
      </c>
      <c r="G7011" s="47">
        <v>44134</v>
      </c>
      <c r="H7011" t="str">
        <f>IFERROR(VLOOKUP(F7011,'LEAID Match'!$A$2:$B$142,2,FALSE),"")</f>
        <v/>
      </c>
    </row>
    <row r="7012" spans="1:8" x14ac:dyDescent="0.2">
      <c r="A7012" t="str">
        <f t="shared" si="109"/>
        <v/>
      </c>
      <c r="B7012" s="1">
        <v>2018</v>
      </c>
      <c r="C7012" s="1" t="s">
        <v>2505</v>
      </c>
      <c r="D7012" s="1" t="s">
        <v>2506</v>
      </c>
      <c r="E7012" s="1" t="s">
        <v>2019</v>
      </c>
      <c r="F7012" s="1" t="s">
        <v>698</v>
      </c>
      <c r="G7012" s="6">
        <v>50104</v>
      </c>
      <c r="H7012" t="str">
        <f>IFERROR(VLOOKUP(F7012,'LEAID Match'!$A$2:$B$142,2,FALSE),"")</f>
        <v/>
      </c>
    </row>
    <row r="7013" spans="1:8" x14ac:dyDescent="0.2">
      <c r="A7013" t="str">
        <f t="shared" si="109"/>
        <v/>
      </c>
      <c r="B7013" s="1">
        <v>2019</v>
      </c>
      <c r="C7013" s="1" t="s">
        <v>2505</v>
      </c>
      <c r="D7013" s="1" t="s">
        <v>2506</v>
      </c>
      <c r="E7013" s="1" t="s">
        <v>2019</v>
      </c>
      <c r="F7013" s="1" t="s">
        <v>698</v>
      </c>
      <c r="G7013" s="6">
        <v>51804</v>
      </c>
      <c r="H7013" t="str">
        <f>IFERROR(VLOOKUP(F7013,'LEAID Match'!$A$2:$B$142,2,FALSE),"")</f>
        <v/>
      </c>
    </row>
    <row r="7014" spans="1:8" x14ac:dyDescent="0.2">
      <c r="A7014" t="str">
        <f t="shared" si="109"/>
        <v/>
      </c>
      <c r="B7014" s="1">
        <v>2020</v>
      </c>
      <c r="C7014" s="1" t="s">
        <v>2505</v>
      </c>
      <c r="D7014" s="1" t="s">
        <v>2506</v>
      </c>
      <c r="E7014" s="1" t="s">
        <v>2019</v>
      </c>
      <c r="F7014" s="1" t="s">
        <v>698</v>
      </c>
      <c r="G7014" s="6">
        <v>54258</v>
      </c>
      <c r="H7014" t="str">
        <f>IFERROR(VLOOKUP(F7014,'LEAID Match'!$A$2:$B$142,2,FALSE),"")</f>
        <v/>
      </c>
    </row>
    <row r="7015" spans="1:8" x14ac:dyDescent="0.2">
      <c r="A7015" t="str">
        <f t="shared" si="109"/>
        <v/>
      </c>
      <c r="B7015" s="1">
        <v>2021</v>
      </c>
      <c r="C7015" s="1" t="s">
        <v>2505</v>
      </c>
      <c r="D7015" s="1" t="s">
        <v>2506</v>
      </c>
      <c r="E7015" s="1" t="s">
        <v>2019</v>
      </c>
      <c r="F7015" s="1" t="s">
        <v>698</v>
      </c>
      <c r="G7015" s="6">
        <v>53206</v>
      </c>
      <c r="H7015" t="str">
        <f>IFERROR(VLOOKUP(F7015,'LEAID Match'!$A$2:$B$142,2,FALSE),"")</f>
        <v/>
      </c>
    </row>
    <row r="7016" spans="1:8" x14ac:dyDescent="0.2">
      <c r="A7016" t="str">
        <f t="shared" si="109"/>
        <v/>
      </c>
      <c r="B7016" s="1">
        <v>2022</v>
      </c>
      <c r="C7016" s="1" t="s">
        <v>2505</v>
      </c>
      <c r="D7016" s="1" t="s">
        <v>2506</v>
      </c>
      <c r="E7016" s="1" t="s">
        <v>2019</v>
      </c>
      <c r="F7016" s="1" t="s">
        <v>698</v>
      </c>
      <c r="G7016" s="6">
        <v>58045</v>
      </c>
      <c r="H7016" t="str">
        <f>IFERROR(VLOOKUP(F7016,'LEAID Match'!$A$2:$B$142,2,FALSE),"")</f>
        <v/>
      </c>
    </row>
    <row r="7017" spans="1:8" x14ac:dyDescent="0.2">
      <c r="A7017" t="str">
        <f t="shared" si="109"/>
        <v/>
      </c>
      <c r="B7017" s="1">
        <v>2023</v>
      </c>
      <c r="C7017" s="1" t="s">
        <v>2505</v>
      </c>
      <c r="D7017" s="1" t="s">
        <v>2506</v>
      </c>
      <c r="E7017" s="1" t="s">
        <v>2019</v>
      </c>
      <c r="F7017" s="1" t="s">
        <v>698</v>
      </c>
      <c r="G7017" s="6">
        <v>59577</v>
      </c>
      <c r="H7017" t="str">
        <f>IFERROR(VLOOKUP(F7017,'LEAID Match'!$A$2:$B$142,2,FALSE),"")</f>
        <v/>
      </c>
    </row>
    <row r="7018" spans="1:8" x14ac:dyDescent="0.2">
      <c r="A7018" t="str">
        <f t="shared" si="109"/>
        <v/>
      </c>
      <c r="B7018" s="1">
        <v>2024</v>
      </c>
      <c r="C7018" s="1" t="s">
        <v>2505</v>
      </c>
      <c r="D7018" s="1" t="s">
        <v>2506</v>
      </c>
      <c r="E7018" s="1" t="s">
        <v>2019</v>
      </c>
      <c r="F7018" s="1" t="s">
        <v>698</v>
      </c>
      <c r="G7018" s="6">
        <v>63140</v>
      </c>
      <c r="H7018" t="str">
        <f>IFERROR(VLOOKUP(F7018,'LEAID Match'!$A$2:$B$142,2,FALSE),"")</f>
        <v/>
      </c>
    </row>
    <row r="7019" spans="1:8" x14ac:dyDescent="0.2">
      <c r="A7019">
        <f t="shared" si="109"/>
        <v>2800189</v>
      </c>
      <c r="B7019" s="1">
        <v>2015</v>
      </c>
      <c r="C7019" s="1" t="s">
        <v>2505</v>
      </c>
      <c r="D7019" s="1" t="s">
        <v>2506</v>
      </c>
      <c r="E7019" s="1" t="s">
        <v>2019</v>
      </c>
      <c r="F7019" s="1" t="s">
        <v>699</v>
      </c>
      <c r="G7019" s="6">
        <v>3837152</v>
      </c>
      <c r="H7019">
        <f>IFERROR(VLOOKUP(F7019,'LEAID Match'!$A$2:$B$142,2,FALSE),"")</f>
        <v>2800189</v>
      </c>
    </row>
    <row r="7020" spans="1:8" x14ac:dyDescent="0.2">
      <c r="A7020">
        <f t="shared" si="109"/>
        <v>2800189</v>
      </c>
      <c r="B7020">
        <v>2016</v>
      </c>
      <c r="C7020" s="1" t="s">
        <v>2505</v>
      </c>
      <c r="D7020" s="1" t="s">
        <v>2506</v>
      </c>
      <c r="E7020" s="1" t="s">
        <v>2019</v>
      </c>
      <c r="F7020" s="1" t="s">
        <v>699</v>
      </c>
      <c r="G7020" s="12">
        <v>4441235</v>
      </c>
      <c r="H7020">
        <f>IFERROR(VLOOKUP(F7020,'LEAID Match'!$A$2:$B$142,2,FALSE),"")</f>
        <v>2800189</v>
      </c>
    </row>
    <row r="7021" spans="1:8" x14ac:dyDescent="0.2">
      <c r="A7021">
        <f t="shared" si="109"/>
        <v>2800189</v>
      </c>
      <c r="B7021" s="1">
        <v>2017</v>
      </c>
      <c r="C7021" s="1" t="s">
        <v>2505</v>
      </c>
      <c r="D7021" s="1" t="s">
        <v>2506</v>
      </c>
      <c r="E7021" s="1" t="s">
        <v>2019</v>
      </c>
      <c r="F7021" s="1" t="s">
        <v>699</v>
      </c>
      <c r="G7021" s="47">
        <v>4246433</v>
      </c>
      <c r="H7021">
        <f>IFERROR(VLOOKUP(F7021,'LEAID Match'!$A$2:$B$142,2,FALSE),"")</f>
        <v>2800189</v>
      </c>
    </row>
    <row r="7022" spans="1:8" x14ac:dyDescent="0.2">
      <c r="A7022">
        <f t="shared" si="109"/>
        <v>2800189</v>
      </c>
      <c r="B7022" s="1">
        <v>2018</v>
      </c>
      <c r="C7022" s="1" t="s">
        <v>2505</v>
      </c>
      <c r="D7022" s="1" t="s">
        <v>2506</v>
      </c>
      <c r="E7022" s="1" t="s">
        <v>2019</v>
      </c>
      <c r="F7022" s="1" t="s">
        <v>699</v>
      </c>
      <c r="G7022" s="6">
        <v>4663688</v>
      </c>
      <c r="H7022">
        <f>IFERROR(VLOOKUP(F7022,'LEAID Match'!$A$2:$B$142,2,FALSE),"")</f>
        <v>2800189</v>
      </c>
    </row>
    <row r="7023" spans="1:8" x14ac:dyDescent="0.2">
      <c r="A7023">
        <f t="shared" si="109"/>
        <v>2800189</v>
      </c>
      <c r="B7023" s="1">
        <v>2019</v>
      </c>
      <c r="C7023" s="1" t="s">
        <v>2505</v>
      </c>
      <c r="D7023" s="1" t="s">
        <v>2506</v>
      </c>
      <c r="E7023" s="1" t="s">
        <v>2019</v>
      </c>
      <c r="F7023" s="1" t="s">
        <v>699</v>
      </c>
      <c r="G7023" s="6">
        <v>4745738</v>
      </c>
      <c r="H7023">
        <f>IFERROR(VLOOKUP(F7023,'LEAID Match'!$A$2:$B$142,2,FALSE),"")</f>
        <v>2800189</v>
      </c>
    </row>
    <row r="7024" spans="1:8" x14ac:dyDescent="0.2">
      <c r="A7024">
        <f t="shared" si="109"/>
        <v>2800189</v>
      </c>
      <c r="B7024" s="1">
        <v>2020</v>
      </c>
      <c r="C7024" s="1" t="s">
        <v>2505</v>
      </c>
      <c r="D7024" s="1" t="s">
        <v>2506</v>
      </c>
      <c r="E7024" s="1" t="s">
        <v>2019</v>
      </c>
      <c r="F7024" s="1" t="s">
        <v>699</v>
      </c>
      <c r="G7024" s="6">
        <v>5484822</v>
      </c>
      <c r="H7024">
        <f>IFERROR(VLOOKUP(F7024,'LEAID Match'!$A$2:$B$142,2,FALSE),"")</f>
        <v>2800189</v>
      </c>
    </row>
    <row r="7025" spans="1:8" x14ac:dyDescent="0.2">
      <c r="A7025">
        <f t="shared" si="109"/>
        <v>2800189</v>
      </c>
      <c r="B7025" s="1">
        <v>2021</v>
      </c>
      <c r="C7025" s="1" t="s">
        <v>2505</v>
      </c>
      <c r="D7025" s="1" t="s">
        <v>2506</v>
      </c>
      <c r="E7025" s="1" t="s">
        <v>2019</v>
      </c>
      <c r="F7025" s="1" t="s">
        <v>699</v>
      </c>
      <c r="G7025" s="6">
        <v>5548897</v>
      </c>
      <c r="H7025">
        <f>IFERROR(VLOOKUP(F7025,'LEAID Match'!$A$2:$B$142,2,FALSE),"")</f>
        <v>2800189</v>
      </c>
    </row>
    <row r="7026" spans="1:8" x14ac:dyDescent="0.2">
      <c r="A7026">
        <f t="shared" si="109"/>
        <v>2800189</v>
      </c>
      <c r="B7026" s="1">
        <v>2022</v>
      </c>
      <c r="C7026" s="1" t="s">
        <v>2505</v>
      </c>
      <c r="D7026" s="1" t="s">
        <v>2506</v>
      </c>
      <c r="E7026" s="1" t="s">
        <v>2019</v>
      </c>
      <c r="F7026" s="1" t="s">
        <v>699</v>
      </c>
      <c r="G7026" s="6">
        <v>6070737</v>
      </c>
      <c r="H7026">
        <f>IFERROR(VLOOKUP(F7026,'LEAID Match'!$A$2:$B$142,2,FALSE),"")</f>
        <v>2800189</v>
      </c>
    </row>
    <row r="7027" spans="1:8" x14ac:dyDescent="0.2">
      <c r="A7027">
        <f t="shared" si="109"/>
        <v>2800189</v>
      </c>
      <c r="B7027" s="1">
        <v>2023</v>
      </c>
      <c r="C7027" s="1" t="s">
        <v>2505</v>
      </c>
      <c r="D7027" s="1" t="s">
        <v>2506</v>
      </c>
      <c r="E7027" s="1" t="s">
        <v>2019</v>
      </c>
      <c r="F7027" s="1" t="s">
        <v>699</v>
      </c>
      <c r="G7027" s="6">
        <v>6975649</v>
      </c>
      <c r="H7027">
        <f>IFERROR(VLOOKUP(F7027,'LEAID Match'!$A$2:$B$142,2,FALSE),"")</f>
        <v>2800189</v>
      </c>
    </row>
    <row r="7028" spans="1:8" x14ac:dyDescent="0.2">
      <c r="A7028">
        <f t="shared" si="109"/>
        <v>2800189</v>
      </c>
      <c r="B7028" s="1">
        <v>2024</v>
      </c>
      <c r="C7028" s="1" t="s">
        <v>2505</v>
      </c>
      <c r="D7028" s="1" t="s">
        <v>2506</v>
      </c>
      <c r="E7028" s="1" t="s">
        <v>2019</v>
      </c>
      <c r="F7028" s="1" t="s">
        <v>699</v>
      </c>
      <c r="G7028" s="6">
        <v>6733721</v>
      </c>
      <c r="H7028">
        <f>IFERROR(VLOOKUP(F7028,'LEAID Match'!$A$2:$B$142,2,FALSE),"")</f>
        <v>2800189</v>
      </c>
    </row>
    <row r="7029" spans="1:8" x14ac:dyDescent="0.2">
      <c r="A7029" t="str">
        <f t="shared" si="109"/>
        <v/>
      </c>
      <c r="B7029" s="1">
        <v>2015</v>
      </c>
      <c r="C7029" s="1" t="s">
        <v>2505</v>
      </c>
      <c r="D7029" s="1" t="s">
        <v>2506</v>
      </c>
      <c r="E7029" s="1" t="s">
        <v>2019</v>
      </c>
      <c r="F7029" s="1" t="s">
        <v>2426</v>
      </c>
      <c r="G7029" s="6">
        <v>49197</v>
      </c>
      <c r="H7029" t="str">
        <f>IFERROR(VLOOKUP(F7029,'LEAID Match'!$A$2:$B$142,2,FALSE),"")</f>
        <v/>
      </c>
    </row>
    <row r="7030" spans="1:8" x14ac:dyDescent="0.2">
      <c r="A7030" t="str">
        <f t="shared" si="109"/>
        <v/>
      </c>
      <c r="B7030">
        <v>2016</v>
      </c>
      <c r="C7030" s="1" t="s">
        <v>2505</v>
      </c>
      <c r="D7030" s="1" t="s">
        <v>2506</v>
      </c>
      <c r="E7030" s="1" t="s">
        <v>2019</v>
      </c>
      <c r="F7030" s="1" t="s">
        <v>2426</v>
      </c>
      <c r="G7030" s="12">
        <v>23044</v>
      </c>
      <c r="H7030" t="str">
        <f>IFERROR(VLOOKUP(F7030,'LEAID Match'!$A$2:$B$142,2,FALSE),"")</f>
        <v/>
      </c>
    </row>
    <row r="7031" spans="1:8" x14ac:dyDescent="0.2">
      <c r="A7031" t="str">
        <f t="shared" si="109"/>
        <v/>
      </c>
      <c r="B7031" s="1">
        <v>2015</v>
      </c>
      <c r="C7031" s="1" t="s">
        <v>2505</v>
      </c>
      <c r="D7031" s="1" t="s">
        <v>2506</v>
      </c>
      <c r="E7031" s="1" t="s">
        <v>2019</v>
      </c>
      <c r="F7031" s="1" t="s">
        <v>700</v>
      </c>
      <c r="G7031" s="6">
        <v>407041</v>
      </c>
      <c r="H7031" t="str">
        <f>IFERROR(VLOOKUP(F7031,'LEAID Match'!$A$2:$B$142,2,FALSE),"")</f>
        <v/>
      </c>
    </row>
    <row r="7032" spans="1:8" x14ac:dyDescent="0.2">
      <c r="A7032" t="str">
        <f t="shared" si="109"/>
        <v/>
      </c>
      <c r="B7032">
        <v>2016</v>
      </c>
      <c r="C7032" s="1" t="s">
        <v>2505</v>
      </c>
      <c r="D7032" s="1" t="s">
        <v>2506</v>
      </c>
      <c r="E7032" s="1" t="s">
        <v>2019</v>
      </c>
      <c r="F7032" s="1" t="s">
        <v>700</v>
      </c>
      <c r="G7032" s="12">
        <v>413076</v>
      </c>
      <c r="H7032" t="str">
        <f>IFERROR(VLOOKUP(F7032,'LEAID Match'!$A$2:$B$142,2,FALSE),"")</f>
        <v/>
      </c>
    </row>
    <row r="7033" spans="1:8" x14ac:dyDescent="0.2">
      <c r="A7033" t="str">
        <f t="shared" si="109"/>
        <v/>
      </c>
      <c r="B7033" s="1">
        <v>2017</v>
      </c>
      <c r="C7033" s="1" t="s">
        <v>2505</v>
      </c>
      <c r="D7033" s="1" t="s">
        <v>2506</v>
      </c>
      <c r="E7033" s="1" t="s">
        <v>2019</v>
      </c>
      <c r="F7033" s="1" t="s">
        <v>700</v>
      </c>
      <c r="G7033" s="47">
        <v>433447</v>
      </c>
      <c r="H7033" t="str">
        <f>IFERROR(VLOOKUP(F7033,'LEAID Match'!$A$2:$B$142,2,FALSE),"")</f>
        <v/>
      </c>
    </row>
    <row r="7034" spans="1:8" x14ac:dyDescent="0.2">
      <c r="A7034" t="str">
        <f t="shared" si="109"/>
        <v/>
      </c>
      <c r="B7034" s="1">
        <v>2018</v>
      </c>
      <c r="C7034" s="1" t="s">
        <v>2505</v>
      </c>
      <c r="D7034" s="1" t="s">
        <v>2506</v>
      </c>
      <c r="E7034" s="1" t="s">
        <v>2019</v>
      </c>
      <c r="F7034" s="1" t="s">
        <v>700</v>
      </c>
      <c r="G7034" s="6">
        <v>417367</v>
      </c>
      <c r="H7034" t="str">
        <f>IFERROR(VLOOKUP(F7034,'LEAID Match'!$A$2:$B$142,2,FALSE),"")</f>
        <v/>
      </c>
    </row>
    <row r="7035" spans="1:8" x14ac:dyDescent="0.2">
      <c r="A7035" t="str">
        <f t="shared" si="109"/>
        <v/>
      </c>
      <c r="B7035" s="1">
        <v>2019</v>
      </c>
      <c r="C7035" s="1" t="s">
        <v>2505</v>
      </c>
      <c r="D7035" s="1" t="s">
        <v>2506</v>
      </c>
      <c r="E7035" s="1" t="s">
        <v>2019</v>
      </c>
      <c r="F7035" s="1" t="s">
        <v>700</v>
      </c>
      <c r="G7035" s="6">
        <v>423763</v>
      </c>
      <c r="H7035" t="str">
        <f>IFERROR(VLOOKUP(F7035,'LEAID Match'!$A$2:$B$142,2,FALSE),"")</f>
        <v/>
      </c>
    </row>
    <row r="7036" spans="1:8" x14ac:dyDescent="0.2">
      <c r="A7036" t="str">
        <f t="shared" si="109"/>
        <v/>
      </c>
      <c r="B7036" s="1">
        <v>2020</v>
      </c>
      <c r="C7036" s="1" t="s">
        <v>2505</v>
      </c>
      <c r="D7036" s="1" t="s">
        <v>2506</v>
      </c>
      <c r="E7036" s="1" t="s">
        <v>2019</v>
      </c>
      <c r="F7036" s="1" t="s">
        <v>700</v>
      </c>
      <c r="G7036" s="6">
        <v>513922</v>
      </c>
      <c r="H7036" t="str">
        <f>IFERROR(VLOOKUP(F7036,'LEAID Match'!$A$2:$B$142,2,FALSE),"")</f>
        <v/>
      </c>
    </row>
    <row r="7037" spans="1:8" x14ac:dyDescent="0.2">
      <c r="A7037" t="str">
        <f t="shared" si="109"/>
        <v/>
      </c>
      <c r="B7037" s="1">
        <v>2021</v>
      </c>
      <c r="C7037" s="1" t="s">
        <v>2505</v>
      </c>
      <c r="D7037" s="1" t="s">
        <v>2506</v>
      </c>
      <c r="E7037" s="1" t="s">
        <v>2019</v>
      </c>
      <c r="F7037" s="1" t="s">
        <v>700</v>
      </c>
      <c r="G7037" s="6">
        <v>527581</v>
      </c>
      <c r="H7037" t="str">
        <f>IFERROR(VLOOKUP(F7037,'LEAID Match'!$A$2:$B$142,2,FALSE),"")</f>
        <v/>
      </c>
    </row>
    <row r="7038" spans="1:8" x14ac:dyDescent="0.2">
      <c r="A7038" t="str">
        <f t="shared" si="109"/>
        <v/>
      </c>
      <c r="B7038" s="1">
        <v>2022</v>
      </c>
      <c r="C7038" s="1" t="s">
        <v>2505</v>
      </c>
      <c r="D7038" s="1" t="s">
        <v>2506</v>
      </c>
      <c r="E7038" s="1" t="s">
        <v>2019</v>
      </c>
      <c r="F7038" s="1" t="s">
        <v>700</v>
      </c>
      <c r="G7038" s="6">
        <v>502359</v>
      </c>
      <c r="H7038" t="str">
        <f>IFERROR(VLOOKUP(F7038,'LEAID Match'!$A$2:$B$142,2,FALSE),"")</f>
        <v/>
      </c>
    </row>
    <row r="7039" spans="1:8" x14ac:dyDescent="0.2">
      <c r="A7039" t="str">
        <f t="shared" si="109"/>
        <v/>
      </c>
      <c r="B7039" s="1">
        <v>2023</v>
      </c>
      <c r="C7039" s="1" t="s">
        <v>2505</v>
      </c>
      <c r="D7039" s="1" t="s">
        <v>2506</v>
      </c>
      <c r="E7039" s="1" t="s">
        <v>2019</v>
      </c>
      <c r="F7039" s="1" t="s">
        <v>700</v>
      </c>
      <c r="G7039" s="6">
        <v>544359</v>
      </c>
      <c r="H7039" t="str">
        <f>IFERROR(VLOOKUP(F7039,'LEAID Match'!$A$2:$B$142,2,FALSE),"")</f>
        <v/>
      </c>
    </row>
    <row r="7040" spans="1:8" x14ac:dyDescent="0.2">
      <c r="A7040" t="str">
        <f t="shared" si="109"/>
        <v/>
      </c>
      <c r="B7040" s="1">
        <v>2024</v>
      </c>
      <c r="C7040" s="1" t="s">
        <v>2505</v>
      </c>
      <c r="D7040" s="1" t="s">
        <v>2506</v>
      </c>
      <c r="E7040" s="1" t="s">
        <v>2019</v>
      </c>
      <c r="F7040" s="1" t="s">
        <v>700</v>
      </c>
      <c r="G7040" s="6">
        <v>573297</v>
      </c>
      <c r="H7040" t="str">
        <f>IFERROR(VLOOKUP(F7040,'LEAID Match'!$A$2:$B$142,2,FALSE),"")</f>
        <v/>
      </c>
    </row>
    <row r="7041" spans="1:8" x14ac:dyDescent="0.2">
      <c r="A7041" t="str">
        <f t="shared" si="109"/>
        <v/>
      </c>
      <c r="B7041" s="1">
        <v>2015</v>
      </c>
      <c r="C7041" s="1" t="s">
        <v>2505</v>
      </c>
      <c r="D7041" s="1" t="s">
        <v>2506</v>
      </c>
      <c r="E7041" s="1" t="s">
        <v>2019</v>
      </c>
      <c r="F7041" s="1" t="s">
        <v>701</v>
      </c>
      <c r="G7041" s="6">
        <v>18182</v>
      </c>
      <c r="H7041" t="str">
        <f>IFERROR(VLOOKUP(F7041,'LEAID Match'!$A$2:$B$142,2,FALSE),"")</f>
        <v/>
      </c>
    </row>
    <row r="7042" spans="1:8" x14ac:dyDescent="0.2">
      <c r="A7042" t="str">
        <f t="shared" si="109"/>
        <v/>
      </c>
      <c r="B7042">
        <v>2016</v>
      </c>
      <c r="C7042" s="1" t="s">
        <v>2505</v>
      </c>
      <c r="D7042" s="1" t="s">
        <v>2506</v>
      </c>
      <c r="E7042" s="1" t="s">
        <v>2019</v>
      </c>
      <c r="F7042" s="1" t="s">
        <v>701</v>
      </c>
      <c r="G7042" s="12">
        <v>18182</v>
      </c>
      <c r="H7042" t="str">
        <f>IFERROR(VLOOKUP(F7042,'LEAID Match'!$A$2:$B$142,2,FALSE),"")</f>
        <v/>
      </c>
    </row>
    <row r="7043" spans="1:8" x14ac:dyDescent="0.2">
      <c r="A7043" t="str">
        <f t="shared" ref="A7043:A7106" si="110">H7043</f>
        <v/>
      </c>
      <c r="B7043" s="1">
        <v>2017</v>
      </c>
      <c r="C7043" s="1" t="s">
        <v>2505</v>
      </c>
      <c r="D7043" s="1" t="s">
        <v>2506</v>
      </c>
      <c r="E7043" s="1" t="s">
        <v>2019</v>
      </c>
      <c r="F7043" s="1" t="s">
        <v>701</v>
      </c>
      <c r="G7043" s="47">
        <v>18182</v>
      </c>
      <c r="H7043" t="str">
        <f>IFERROR(VLOOKUP(F7043,'LEAID Match'!$A$2:$B$142,2,FALSE),"")</f>
        <v/>
      </c>
    </row>
    <row r="7044" spans="1:8" x14ac:dyDescent="0.2">
      <c r="A7044" t="str">
        <f t="shared" si="110"/>
        <v/>
      </c>
      <c r="B7044" s="1">
        <v>2018</v>
      </c>
      <c r="C7044" s="1" t="s">
        <v>2505</v>
      </c>
      <c r="D7044" s="1" t="s">
        <v>2506</v>
      </c>
      <c r="E7044" s="1" t="s">
        <v>2019</v>
      </c>
      <c r="F7044" s="1" t="s">
        <v>701</v>
      </c>
      <c r="G7044" s="6">
        <v>20476</v>
      </c>
      <c r="H7044" t="str">
        <f>IFERROR(VLOOKUP(F7044,'LEAID Match'!$A$2:$B$142,2,FALSE),"")</f>
        <v/>
      </c>
    </row>
    <row r="7045" spans="1:8" x14ac:dyDescent="0.2">
      <c r="A7045" t="str">
        <f t="shared" si="110"/>
        <v/>
      </c>
      <c r="B7045" s="1">
        <v>2019</v>
      </c>
      <c r="C7045" s="1" t="s">
        <v>2505</v>
      </c>
      <c r="D7045" s="1" t="s">
        <v>2506</v>
      </c>
      <c r="E7045" s="1" t="s">
        <v>2019</v>
      </c>
      <c r="F7045" s="1" t="s">
        <v>701</v>
      </c>
      <c r="G7045" s="6">
        <v>18445</v>
      </c>
      <c r="H7045" t="str">
        <f>IFERROR(VLOOKUP(F7045,'LEAID Match'!$A$2:$B$142,2,FALSE),"")</f>
        <v/>
      </c>
    </row>
    <row r="7046" spans="1:8" x14ac:dyDescent="0.2">
      <c r="A7046" t="str">
        <f t="shared" si="110"/>
        <v/>
      </c>
      <c r="B7046" s="1">
        <v>2020</v>
      </c>
      <c r="C7046" s="1" t="s">
        <v>2505</v>
      </c>
      <c r="D7046" s="1" t="s">
        <v>2506</v>
      </c>
      <c r="E7046" s="1" t="s">
        <v>2019</v>
      </c>
      <c r="F7046" s="1" t="s">
        <v>701</v>
      </c>
      <c r="G7046" s="6">
        <v>20912</v>
      </c>
      <c r="H7046" t="str">
        <f>IFERROR(VLOOKUP(F7046,'LEAID Match'!$A$2:$B$142,2,FALSE),"")</f>
        <v/>
      </c>
    </row>
    <row r="7047" spans="1:8" x14ac:dyDescent="0.2">
      <c r="A7047" t="str">
        <f t="shared" si="110"/>
        <v/>
      </c>
      <c r="B7047" s="1">
        <v>2021</v>
      </c>
      <c r="C7047" s="1" t="s">
        <v>2505</v>
      </c>
      <c r="D7047" s="1" t="s">
        <v>2506</v>
      </c>
      <c r="E7047" s="1" t="s">
        <v>2019</v>
      </c>
      <c r="F7047" s="1" t="s">
        <v>701</v>
      </c>
      <c r="G7047" s="6">
        <v>18286</v>
      </c>
      <c r="H7047" t="str">
        <f>IFERROR(VLOOKUP(F7047,'LEAID Match'!$A$2:$B$142,2,FALSE),"")</f>
        <v/>
      </c>
    </row>
    <row r="7048" spans="1:8" x14ac:dyDescent="0.2">
      <c r="A7048" t="str">
        <f t="shared" si="110"/>
        <v/>
      </c>
      <c r="B7048" s="1">
        <v>2022</v>
      </c>
      <c r="C7048" s="1" t="s">
        <v>2505</v>
      </c>
      <c r="D7048" s="1" t="s">
        <v>2506</v>
      </c>
      <c r="E7048" s="1" t="s">
        <v>2019</v>
      </c>
      <c r="F7048" s="1" t="s">
        <v>701</v>
      </c>
      <c r="G7048" s="6">
        <v>18389</v>
      </c>
      <c r="H7048" t="str">
        <f>IFERROR(VLOOKUP(F7048,'LEAID Match'!$A$2:$B$142,2,FALSE),"")</f>
        <v/>
      </c>
    </row>
    <row r="7049" spans="1:8" x14ac:dyDescent="0.2">
      <c r="A7049" t="str">
        <f t="shared" si="110"/>
        <v/>
      </c>
      <c r="B7049" s="1">
        <v>2023</v>
      </c>
      <c r="C7049" s="1" t="s">
        <v>2505</v>
      </c>
      <c r="D7049" s="1" t="s">
        <v>2506</v>
      </c>
      <c r="E7049" s="1" t="s">
        <v>2019</v>
      </c>
      <c r="F7049" s="1" t="s">
        <v>701</v>
      </c>
      <c r="G7049" s="6">
        <v>19893</v>
      </c>
      <c r="H7049" t="str">
        <f>IFERROR(VLOOKUP(F7049,'LEAID Match'!$A$2:$B$142,2,FALSE),"")</f>
        <v/>
      </c>
    </row>
    <row r="7050" spans="1:8" x14ac:dyDescent="0.2">
      <c r="A7050" t="str">
        <f t="shared" si="110"/>
        <v/>
      </c>
      <c r="B7050" s="1">
        <v>2024</v>
      </c>
      <c r="C7050" s="1" t="s">
        <v>2505</v>
      </c>
      <c r="D7050" s="1" t="s">
        <v>2506</v>
      </c>
      <c r="E7050" s="1" t="s">
        <v>2019</v>
      </c>
      <c r="F7050" s="1" t="s">
        <v>701</v>
      </c>
      <c r="G7050" s="6">
        <v>20500</v>
      </c>
      <c r="H7050" t="str">
        <f>IFERROR(VLOOKUP(F7050,'LEAID Match'!$A$2:$B$142,2,FALSE),"")</f>
        <v/>
      </c>
    </row>
    <row r="7051" spans="1:8" x14ac:dyDescent="0.2">
      <c r="A7051" t="str">
        <f t="shared" si="110"/>
        <v/>
      </c>
      <c r="B7051" s="1">
        <v>2015</v>
      </c>
      <c r="C7051" s="1" t="s">
        <v>2505</v>
      </c>
      <c r="D7051" s="1" t="s">
        <v>2506</v>
      </c>
      <c r="E7051" s="1" t="s">
        <v>2019</v>
      </c>
      <c r="F7051" s="1" t="s">
        <v>702</v>
      </c>
      <c r="G7051" s="6">
        <v>41871</v>
      </c>
      <c r="H7051" t="str">
        <f>IFERROR(VLOOKUP(F7051,'LEAID Match'!$A$2:$B$142,2,FALSE),"")</f>
        <v/>
      </c>
    </row>
    <row r="7052" spans="1:8" x14ac:dyDescent="0.2">
      <c r="A7052" t="str">
        <f t="shared" si="110"/>
        <v/>
      </c>
      <c r="B7052">
        <v>2016</v>
      </c>
      <c r="C7052" s="1" t="s">
        <v>2505</v>
      </c>
      <c r="D7052" s="1" t="s">
        <v>2506</v>
      </c>
      <c r="E7052" s="1" t="s">
        <v>2019</v>
      </c>
      <c r="F7052" s="1" t="s">
        <v>702</v>
      </c>
      <c r="G7052" s="12">
        <v>46328</v>
      </c>
      <c r="H7052" t="str">
        <f>IFERROR(VLOOKUP(F7052,'LEAID Match'!$A$2:$B$142,2,FALSE),"")</f>
        <v/>
      </c>
    </row>
    <row r="7053" spans="1:8" x14ac:dyDescent="0.2">
      <c r="A7053" t="str">
        <f t="shared" si="110"/>
        <v/>
      </c>
      <c r="B7053" s="1">
        <v>2017</v>
      </c>
      <c r="C7053" s="1" t="s">
        <v>2505</v>
      </c>
      <c r="D7053" s="1" t="s">
        <v>2506</v>
      </c>
      <c r="E7053" s="1" t="s">
        <v>2019</v>
      </c>
      <c r="F7053" s="1" t="s">
        <v>702</v>
      </c>
      <c r="G7053" s="47">
        <v>45927</v>
      </c>
      <c r="H7053" t="str">
        <f>IFERROR(VLOOKUP(F7053,'LEAID Match'!$A$2:$B$142,2,FALSE),"")</f>
        <v/>
      </c>
    </row>
    <row r="7054" spans="1:8" x14ac:dyDescent="0.2">
      <c r="A7054" t="str">
        <f t="shared" si="110"/>
        <v/>
      </c>
      <c r="B7054" s="1">
        <v>2018</v>
      </c>
      <c r="C7054" s="1" t="s">
        <v>2505</v>
      </c>
      <c r="D7054" s="1" t="s">
        <v>2506</v>
      </c>
      <c r="E7054" s="1" t="s">
        <v>2019</v>
      </c>
      <c r="F7054" s="1" t="s">
        <v>702</v>
      </c>
      <c r="G7054" s="6">
        <v>55737</v>
      </c>
      <c r="H7054" t="str">
        <f>IFERROR(VLOOKUP(F7054,'LEAID Match'!$A$2:$B$142,2,FALSE),"")</f>
        <v/>
      </c>
    </row>
    <row r="7055" spans="1:8" x14ac:dyDescent="0.2">
      <c r="A7055" t="str">
        <f t="shared" si="110"/>
        <v/>
      </c>
      <c r="B7055" s="1">
        <v>2019</v>
      </c>
      <c r="C7055" s="1" t="s">
        <v>2505</v>
      </c>
      <c r="D7055" s="1" t="s">
        <v>2506</v>
      </c>
      <c r="E7055" s="1" t="s">
        <v>2019</v>
      </c>
      <c r="F7055" s="1" t="s">
        <v>702</v>
      </c>
      <c r="G7055" s="6">
        <v>41200</v>
      </c>
      <c r="H7055" t="str">
        <f>IFERROR(VLOOKUP(F7055,'LEAID Match'!$A$2:$B$142,2,FALSE),"")</f>
        <v/>
      </c>
    </row>
    <row r="7056" spans="1:8" x14ac:dyDescent="0.2">
      <c r="A7056" t="str">
        <f t="shared" si="110"/>
        <v/>
      </c>
      <c r="B7056" s="1">
        <v>2020</v>
      </c>
      <c r="C7056" s="1" t="s">
        <v>2505</v>
      </c>
      <c r="D7056" s="1" t="s">
        <v>2506</v>
      </c>
      <c r="E7056" s="1" t="s">
        <v>2019</v>
      </c>
      <c r="F7056" s="1" t="s">
        <v>702</v>
      </c>
      <c r="G7056" s="6">
        <v>50166</v>
      </c>
      <c r="H7056" t="str">
        <f>IFERROR(VLOOKUP(F7056,'LEAID Match'!$A$2:$B$142,2,FALSE),"")</f>
        <v/>
      </c>
    </row>
    <row r="7057" spans="1:8" x14ac:dyDescent="0.2">
      <c r="A7057" t="str">
        <f t="shared" si="110"/>
        <v/>
      </c>
      <c r="B7057" s="1">
        <v>2021</v>
      </c>
      <c r="C7057" s="1" t="s">
        <v>2505</v>
      </c>
      <c r="D7057" s="1" t="s">
        <v>2506</v>
      </c>
      <c r="E7057" s="1" t="s">
        <v>2019</v>
      </c>
      <c r="F7057" s="1" t="s">
        <v>702</v>
      </c>
      <c r="G7057" s="6">
        <v>54413</v>
      </c>
      <c r="H7057" t="str">
        <f>IFERROR(VLOOKUP(F7057,'LEAID Match'!$A$2:$B$142,2,FALSE),"")</f>
        <v/>
      </c>
    </row>
    <row r="7058" spans="1:8" x14ac:dyDescent="0.2">
      <c r="A7058" t="str">
        <f t="shared" si="110"/>
        <v/>
      </c>
      <c r="B7058" s="1">
        <v>2022</v>
      </c>
      <c r="C7058" s="1" t="s">
        <v>2505</v>
      </c>
      <c r="D7058" s="1" t="s">
        <v>2506</v>
      </c>
      <c r="E7058" s="1" t="s">
        <v>2019</v>
      </c>
      <c r="F7058" s="1" t="s">
        <v>702</v>
      </c>
      <c r="G7058" s="6">
        <v>65090</v>
      </c>
      <c r="H7058" t="str">
        <f>IFERROR(VLOOKUP(F7058,'LEAID Match'!$A$2:$B$142,2,FALSE),"")</f>
        <v/>
      </c>
    </row>
    <row r="7059" spans="1:8" x14ac:dyDescent="0.2">
      <c r="A7059" t="str">
        <f t="shared" si="110"/>
        <v/>
      </c>
      <c r="B7059" s="1">
        <v>2023</v>
      </c>
      <c r="C7059" s="1" t="s">
        <v>2505</v>
      </c>
      <c r="D7059" s="1" t="s">
        <v>2506</v>
      </c>
      <c r="E7059" s="1" t="s">
        <v>2019</v>
      </c>
      <c r="F7059" s="1" t="s">
        <v>702</v>
      </c>
      <c r="G7059" s="6">
        <v>67774</v>
      </c>
      <c r="H7059" t="str">
        <f>IFERROR(VLOOKUP(F7059,'LEAID Match'!$A$2:$B$142,2,FALSE),"")</f>
        <v/>
      </c>
    </row>
    <row r="7060" spans="1:8" x14ac:dyDescent="0.2">
      <c r="A7060" t="str">
        <f t="shared" si="110"/>
        <v/>
      </c>
      <c r="B7060" s="1">
        <v>2024</v>
      </c>
      <c r="C7060" s="1" t="s">
        <v>2505</v>
      </c>
      <c r="D7060" s="1" t="s">
        <v>2506</v>
      </c>
      <c r="E7060" s="1" t="s">
        <v>2019</v>
      </c>
      <c r="F7060" s="1" t="s">
        <v>702</v>
      </c>
      <c r="G7060" s="6">
        <v>80424</v>
      </c>
      <c r="H7060" t="str">
        <f>IFERROR(VLOOKUP(F7060,'LEAID Match'!$A$2:$B$142,2,FALSE),"")</f>
        <v/>
      </c>
    </row>
    <row r="7061" spans="1:8" x14ac:dyDescent="0.2">
      <c r="A7061" t="str">
        <f t="shared" si="110"/>
        <v/>
      </c>
      <c r="B7061" s="1">
        <v>2015</v>
      </c>
      <c r="C7061" s="1" t="s">
        <v>2505</v>
      </c>
      <c r="D7061" s="1" t="s">
        <v>2506</v>
      </c>
      <c r="E7061" s="1" t="s">
        <v>2019</v>
      </c>
      <c r="F7061" s="1" t="s">
        <v>703</v>
      </c>
      <c r="G7061" s="6">
        <v>13336077</v>
      </c>
      <c r="H7061" t="str">
        <f>IFERROR(VLOOKUP(F7061,'LEAID Match'!$A$2:$B$142,2,FALSE),"")</f>
        <v/>
      </c>
    </row>
    <row r="7062" spans="1:8" x14ac:dyDescent="0.2">
      <c r="A7062" t="str">
        <f t="shared" si="110"/>
        <v/>
      </c>
      <c r="B7062">
        <v>2016</v>
      </c>
      <c r="C7062" s="1" t="s">
        <v>2505</v>
      </c>
      <c r="D7062" s="1" t="s">
        <v>2506</v>
      </c>
      <c r="E7062" s="1" t="s">
        <v>2019</v>
      </c>
      <c r="F7062" s="1" t="s">
        <v>703</v>
      </c>
      <c r="G7062" s="12">
        <v>12720245</v>
      </c>
      <c r="H7062" t="str">
        <f>IFERROR(VLOOKUP(F7062,'LEAID Match'!$A$2:$B$142,2,FALSE),"")</f>
        <v/>
      </c>
    </row>
    <row r="7063" spans="1:8" x14ac:dyDescent="0.2">
      <c r="A7063" t="str">
        <f t="shared" si="110"/>
        <v/>
      </c>
      <c r="B7063" s="1">
        <v>2017</v>
      </c>
      <c r="C7063" s="1" t="s">
        <v>2505</v>
      </c>
      <c r="D7063" s="1" t="s">
        <v>2506</v>
      </c>
      <c r="E7063" s="1" t="s">
        <v>2019</v>
      </c>
      <c r="F7063" s="1" t="s">
        <v>703</v>
      </c>
      <c r="G7063" s="47">
        <v>11703769</v>
      </c>
      <c r="H7063" t="str">
        <f>IFERROR(VLOOKUP(F7063,'LEAID Match'!$A$2:$B$142,2,FALSE),"")</f>
        <v/>
      </c>
    </row>
    <row r="7064" spans="1:8" x14ac:dyDescent="0.2">
      <c r="A7064" t="str">
        <f t="shared" si="110"/>
        <v/>
      </c>
      <c r="B7064" s="1">
        <v>2018</v>
      </c>
      <c r="C7064" s="1" t="s">
        <v>2505</v>
      </c>
      <c r="D7064" s="1" t="s">
        <v>2506</v>
      </c>
      <c r="E7064" s="1" t="s">
        <v>2019</v>
      </c>
      <c r="F7064" s="1" t="s">
        <v>703</v>
      </c>
      <c r="G7064" s="6">
        <v>10928433</v>
      </c>
      <c r="H7064" t="str">
        <f>IFERROR(VLOOKUP(F7064,'LEAID Match'!$A$2:$B$142,2,FALSE),"")</f>
        <v/>
      </c>
    </row>
    <row r="7065" spans="1:8" x14ac:dyDescent="0.2">
      <c r="A7065" t="str">
        <f t="shared" si="110"/>
        <v/>
      </c>
      <c r="B7065" s="1">
        <v>2019</v>
      </c>
      <c r="C7065" s="1" t="s">
        <v>2505</v>
      </c>
      <c r="D7065" s="1" t="s">
        <v>2506</v>
      </c>
      <c r="E7065" s="1" t="s">
        <v>2019</v>
      </c>
      <c r="F7065" s="1" t="s">
        <v>703</v>
      </c>
      <c r="G7065" s="6">
        <v>11112563</v>
      </c>
      <c r="H7065" t="str">
        <f>IFERROR(VLOOKUP(F7065,'LEAID Match'!$A$2:$B$142,2,FALSE),"")</f>
        <v/>
      </c>
    </row>
    <row r="7066" spans="1:8" x14ac:dyDescent="0.2">
      <c r="A7066" t="str">
        <f t="shared" si="110"/>
        <v/>
      </c>
      <c r="B7066" s="1">
        <v>2020</v>
      </c>
      <c r="C7066" s="1" t="s">
        <v>2505</v>
      </c>
      <c r="D7066" s="1" t="s">
        <v>2506</v>
      </c>
      <c r="E7066" s="1" t="s">
        <v>2019</v>
      </c>
      <c r="F7066" s="1" t="s">
        <v>703</v>
      </c>
      <c r="G7066" s="6">
        <v>13442202</v>
      </c>
      <c r="H7066" t="str">
        <f>IFERROR(VLOOKUP(F7066,'LEAID Match'!$A$2:$B$142,2,FALSE),"")</f>
        <v/>
      </c>
    </row>
    <row r="7067" spans="1:8" x14ac:dyDescent="0.2">
      <c r="A7067" t="str">
        <f t="shared" si="110"/>
        <v/>
      </c>
      <c r="B7067" s="1">
        <v>2021</v>
      </c>
      <c r="C7067" s="1" t="s">
        <v>2505</v>
      </c>
      <c r="D7067" s="1" t="s">
        <v>2506</v>
      </c>
      <c r="E7067" s="1" t="s">
        <v>2019</v>
      </c>
      <c r="F7067" s="1" t="s">
        <v>703</v>
      </c>
      <c r="G7067" s="6">
        <v>14373648</v>
      </c>
      <c r="H7067" t="str">
        <f>IFERROR(VLOOKUP(F7067,'LEAID Match'!$A$2:$B$142,2,FALSE),"")</f>
        <v/>
      </c>
    </row>
    <row r="7068" spans="1:8" x14ac:dyDescent="0.2">
      <c r="A7068" t="str">
        <f t="shared" si="110"/>
        <v/>
      </c>
      <c r="B7068" s="1">
        <v>2022</v>
      </c>
      <c r="C7068" s="1" t="s">
        <v>2505</v>
      </c>
      <c r="D7068" s="1" t="s">
        <v>2506</v>
      </c>
      <c r="E7068" s="1" t="s">
        <v>2019</v>
      </c>
      <c r="F7068" s="1" t="s">
        <v>703</v>
      </c>
      <c r="G7068" s="6">
        <v>13432752</v>
      </c>
      <c r="H7068" t="str">
        <f>IFERROR(VLOOKUP(F7068,'LEAID Match'!$A$2:$B$142,2,FALSE),"")</f>
        <v/>
      </c>
    </row>
    <row r="7069" spans="1:8" x14ac:dyDescent="0.2">
      <c r="A7069" t="str">
        <f t="shared" si="110"/>
        <v/>
      </c>
      <c r="B7069" s="1">
        <v>2023</v>
      </c>
      <c r="C7069" s="1" t="s">
        <v>2505</v>
      </c>
      <c r="D7069" s="1" t="s">
        <v>2506</v>
      </c>
      <c r="E7069" s="1" t="s">
        <v>2019</v>
      </c>
      <c r="F7069" s="1" t="s">
        <v>703</v>
      </c>
      <c r="G7069" s="6">
        <v>14764681</v>
      </c>
      <c r="H7069" t="str">
        <f>IFERROR(VLOOKUP(F7069,'LEAID Match'!$A$2:$B$142,2,FALSE),"")</f>
        <v/>
      </c>
    </row>
    <row r="7070" spans="1:8" x14ac:dyDescent="0.2">
      <c r="A7070" t="str">
        <f t="shared" si="110"/>
        <v/>
      </c>
      <c r="B7070" s="1">
        <v>2024</v>
      </c>
      <c r="C7070" s="1" t="s">
        <v>2505</v>
      </c>
      <c r="D7070" s="1" t="s">
        <v>2506</v>
      </c>
      <c r="E7070" s="1" t="s">
        <v>2019</v>
      </c>
      <c r="F7070" s="1" t="s">
        <v>703</v>
      </c>
      <c r="G7070" s="6">
        <v>15621819</v>
      </c>
      <c r="H7070" t="str">
        <f>IFERROR(VLOOKUP(F7070,'LEAID Match'!$A$2:$B$142,2,FALSE),"")</f>
        <v/>
      </c>
    </row>
    <row r="7071" spans="1:8" x14ac:dyDescent="0.2">
      <c r="A7071" t="str">
        <f t="shared" si="110"/>
        <v/>
      </c>
      <c r="B7071" s="1">
        <v>2015</v>
      </c>
      <c r="C7071" s="1" t="s">
        <v>2505</v>
      </c>
      <c r="D7071" s="1" t="s">
        <v>2506</v>
      </c>
      <c r="E7071" s="1" t="s">
        <v>2019</v>
      </c>
      <c r="F7071" s="1" t="s">
        <v>704</v>
      </c>
      <c r="G7071" s="6">
        <v>466253</v>
      </c>
      <c r="H7071" t="str">
        <f>IFERROR(VLOOKUP(F7071,'LEAID Match'!$A$2:$B$142,2,FALSE),"")</f>
        <v/>
      </c>
    </row>
    <row r="7072" spans="1:8" x14ac:dyDescent="0.2">
      <c r="A7072" t="str">
        <f t="shared" si="110"/>
        <v/>
      </c>
      <c r="B7072">
        <v>2016</v>
      </c>
      <c r="C7072" s="1" t="s">
        <v>2505</v>
      </c>
      <c r="D7072" s="1" t="s">
        <v>2506</v>
      </c>
      <c r="E7072" s="1" t="s">
        <v>2019</v>
      </c>
      <c r="F7072" s="1" t="s">
        <v>704</v>
      </c>
      <c r="G7072" s="12">
        <v>465398</v>
      </c>
      <c r="H7072" t="str">
        <f>IFERROR(VLOOKUP(F7072,'LEAID Match'!$A$2:$B$142,2,FALSE),"")</f>
        <v/>
      </c>
    </row>
    <row r="7073" spans="1:8" x14ac:dyDescent="0.2">
      <c r="A7073" t="str">
        <f t="shared" si="110"/>
        <v/>
      </c>
      <c r="B7073" s="1">
        <v>2017</v>
      </c>
      <c r="C7073" s="1" t="s">
        <v>2505</v>
      </c>
      <c r="D7073" s="1" t="s">
        <v>2506</v>
      </c>
      <c r="E7073" s="1" t="s">
        <v>2019</v>
      </c>
      <c r="F7073" s="1" t="s">
        <v>704</v>
      </c>
      <c r="G7073" s="47">
        <v>452406</v>
      </c>
      <c r="H7073" t="str">
        <f>IFERROR(VLOOKUP(F7073,'LEAID Match'!$A$2:$B$142,2,FALSE),"")</f>
        <v/>
      </c>
    </row>
    <row r="7074" spans="1:8" x14ac:dyDescent="0.2">
      <c r="A7074" t="str">
        <f t="shared" si="110"/>
        <v/>
      </c>
      <c r="B7074" s="1">
        <v>2018</v>
      </c>
      <c r="C7074" s="1" t="s">
        <v>2505</v>
      </c>
      <c r="D7074" s="1" t="s">
        <v>2506</v>
      </c>
      <c r="E7074" s="1" t="s">
        <v>2019</v>
      </c>
      <c r="F7074" s="1" t="s">
        <v>704</v>
      </c>
      <c r="G7074" s="6">
        <v>428296</v>
      </c>
      <c r="H7074" t="str">
        <f>IFERROR(VLOOKUP(F7074,'LEAID Match'!$A$2:$B$142,2,FALSE),"")</f>
        <v/>
      </c>
    </row>
    <row r="7075" spans="1:8" x14ac:dyDescent="0.2">
      <c r="A7075" t="str">
        <f t="shared" si="110"/>
        <v/>
      </c>
      <c r="B7075" s="1">
        <v>2019</v>
      </c>
      <c r="C7075" s="1" t="s">
        <v>2505</v>
      </c>
      <c r="D7075" s="1" t="s">
        <v>2506</v>
      </c>
      <c r="E7075" s="1" t="s">
        <v>2019</v>
      </c>
      <c r="F7075" s="1" t="s">
        <v>704</v>
      </c>
      <c r="G7075" s="6">
        <v>435977</v>
      </c>
      <c r="H7075" t="str">
        <f>IFERROR(VLOOKUP(F7075,'LEAID Match'!$A$2:$B$142,2,FALSE),"")</f>
        <v/>
      </c>
    </row>
    <row r="7076" spans="1:8" x14ac:dyDescent="0.2">
      <c r="A7076" t="str">
        <f t="shared" si="110"/>
        <v/>
      </c>
      <c r="B7076" s="1">
        <v>2020</v>
      </c>
      <c r="C7076" s="1" t="s">
        <v>2505</v>
      </c>
      <c r="D7076" s="1" t="s">
        <v>2506</v>
      </c>
      <c r="E7076" s="1" t="s">
        <v>2019</v>
      </c>
      <c r="F7076" s="1" t="s">
        <v>704</v>
      </c>
      <c r="G7076" s="6">
        <v>502214</v>
      </c>
      <c r="H7076" t="str">
        <f>IFERROR(VLOOKUP(F7076,'LEAID Match'!$A$2:$B$142,2,FALSE),"")</f>
        <v/>
      </c>
    </row>
    <row r="7077" spans="1:8" x14ac:dyDescent="0.2">
      <c r="A7077" t="str">
        <f t="shared" si="110"/>
        <v/>
      </c>
      <c r="B7077" s="1">
        <v>2021</v>
      </c>
      <c r="C7077" s="1" t="s">
        <v>2505</v>
      </c>
      <c r="D7077" s="1" t="s">
        <v>2506</v>
      </c>
      <c r="E7077" s="1" t="s">
        <v>2019</v>
      </c>
      <c r="F7077" s="1" t="s">
        <v>704</v>
      </c>
      <c r="G7077" s="6">
        <v>488849</v>
      </c>
      <c r="H7077" t="str">
        <f>IFERROR(VLOOKUP(F7077,'LEAID Match'!$A$2:$B$142,2,FALSE),"")</f>
        <v/>
      </c>
    </row>
    <row r="7078" spans="1:8" x14ac:dyDescent="0.2">
      <c r="A7078" t="str">
        <f t="shared" si="110"/>
        <v/>
      </c>
      <c r="B7078" s="1">
        <v>2022</v>
      </c>
      <c r="C7078" s="1" t="s">
        <v>2505</v>
      </c>
      <c r="D7078" s="1" t="s">
        <v>2506</v>
      </c>
      <c r="E7078" s="1" t="s">
        <v>2019</v>
      </c>
      <c r="F7078" s="1" t="s">
        <v>704</v>
      </c>
      <c r="G7078" s="6">
        <v>509599</v>
      </c>
      <c r="H7078" t="str">
        <f>IFERROR(VLOOKUP(F7078,'LEAID Match'!$A$2:$B$142,2,FALSE),"")</f>
        <v/>
      </c>
    </row>
    <row r="7079" spans="1:8" x14ac:dyDescent="0.2">
      <c r="A7079" t="str">
        <f t="shared" si="110"/>
        <v/>
      </c>
      <c r="B7079" s="1">
        <v>2023</v>
      </c>
      <c r="C7079" s="1" t="s">
        <v>2505</v>
      </c>
      <c r="D7079" s="1" t="s">
        <v>2506</v>
      </c>
      <c r="E7079" s="1" t="s">
        <v>2019</v>
      </c>
      <c r="F7079" s="1" t="s">
        <v>704</v>
      </c>
      <c r="G7079" s="6">
        <v>541755</v>
      </c>
      <c r="H7079" t="str">
        <f>IFERROR(VLOOKUP(F7079,'LEAID Match'!$A$2:$B$142,2,FALSE),"")</f>
        <v/>
      </c>
    </row>
    <row r="7080" spans="1:8" x14ac:dyDescent="0.2">
      <c r="A7080" t="str">
        <f t="shared" si="110"/>
        <v/>
      </c>
      <c r="B7080" s="1">
        <v>2024</v>
      </c>
      <c r="C7080" s="1" t="s">
        <v>2505</v>
      </c>
      <c r="D7080" s="1" t="s">
        <v>2506</v>
      </c>
      <c r="E7080" s="1" t="s">
        <v>2019</v>
      </c>
      <c r="F7080" s="1" t="s">
        <v>704</v>
      </c>
      <c r="G7080" s="6">
        <v>580674</v>
      </c>
      <c r="H7080" t="str">
        <f>IFERROR(VLOOKUP(F7080,'LEAID Match'!$A$2:$B$142,2,FALSE),"")</f>
        <v/>
      </c>
    </row>
    <row r="7081" spans="1:8" x14ac:dyDescent="0.2">
      <c r="A7081" t="str">
        <f t="shared" si="110"/>
        <v/>
      </c>
      <c r="B7081" s="1">
        <v>2015</v>
      </c>
      <c r="C7081" s="1" t="s">
        <v>2505</v>
      </c>
      <c r="D7081" s="1" t="s">
        <v>2506</v>
      </c>
      <c r="E7081" s="1" t="s">
        <v>2019</v>
      </c>
      <c r="F7081" s="1" t="s">
        <v>705</v>
      </c>
      <c r="G7081" s="6">
        <v>1015299</v>
      </c>
      <c r="H7081" t="str">
        <f>IFERROR(VLOOKUP(F7081,'LEAID Match'!$A$2:$B$142,2,FALSE),"")</f>
        <v/>
      </c>
    </row>
    <row r="7082" spans="1:8" x14ac:dyDescent="0.2">
      <c r="A7082" t="str">
        <f t="shared" si="110"/>
        <v/>
      </c>
      <c r="B7082">
        <v>2016</v>
      </c>
      <c r="C7082" s="1" t="s">
        <v>2505</v>
      </c>
      <c r="D7082" s="1" t="s">
        <v>2506</v>
      </c>
      <c r="E7082" s="1" t="s">
        <v>2019</v>
      </c>
      <c r="F7082" s="1" t="s">
        <v>705</v>
      </c>
      <c r="G7082" s="12">
        <v>1063224</v>
      </c>
      <c r="H7082" t="str">
        <f>IFERROR(VLOOKUP(F7082,'LEAID Match'!$A$2:$B$142,2,FALSE),"")</f>
        <v/>
      </c>
    </row>
    <row r="7083" spans="1:8" x14ac:dyDescent="0.2">
      <c r="A7083" t="str">
        <f t="shared" si="110"/>
        <v/>
      </c>
      <c r="B7083" s="1">
        <v>2017</v>
      </c>
      <c r="C7083" s="1" t="s">
        <v>2505</v>
      </c>
      <c r="D7083" s="1" t="s">
        <v>2506</v>
      </c>
      <c r="E7083" s="1" t="s">
        <v>2019</v>
      </c>
      <c r="F7083" s="1" t="s">
        <v>705</v>
      </c>
      <c r="G7083" s="47">
        <v>1073439</v>
      </c>
      <c r="H7083" t="str">
        <f>IFERROR(VLOOKUP(F7083,'LEAID Match'!$A$2:$B$142,2,FALSE),"")</f>
        <v/>
      </c>
    </row>
    <row r="7084" spans="1:8" x14ac:dyDescent="0.2">
      <c r="A7084" t="str">
        <f t="shared" si="110"/>
        <v/>
      </c>
      <c r="B7084" s="1">
        <v>2018</v>
      </c>
      <c r="C7084" s="1" t="s">
        <v>2505</v>
      </c>
      <c r="D7084" s="1" t="s">
        <v>2506</v>
      </c>
      <c r="E7084" s="1" t="s">
        <v>2019</v>
      </c>
      <c r="F7084" s="1" t="s">
        <v>705</v>
      </c>
      <c r="G7084" s="6">
        <v>1098848</v>
      </c>
      <c r="H7084" t="str">
        <f>IFERROR(VLOOKUP(F7084,'LEAID Match'!$A$2:$B$142,2,FALSE),"")</f>
        <v/>
      </c>
    </row>
    <row r="7085" spans="1:8" x14ac:dyDescent="0.2">
      <c r="A7085" t="str">
        <f t="shared" si="110"/>
        <v/>
      </c>
      <c r="B7085" s="1">
        <v>2019</v>
      </c>
      <c r="C7085" s="1" t="s">
        <v>2505</v>
      </c>
      <c r="D7085" s="1" t="s">
        <v>2506</v>
      </c>
      <c r="E7085" s="1" t="s">
        <v>2019</v>
      </c>
      <c r="F7085" s="1" t="s">
        <v>705</v>
      </c>
      <c r="G7085" s="6">
        <v>1054717</v>
      </c>
      <c r="H7085" t="str">
        <f>IFERROR(VLOOKUP(F7085,'LEAID Match'!$A$2:$B$142,2,FALSE),"")</f>
        <v/>
      </c>
    </row>
    <row r="7086" spans="1:8" x14ac:dyDescent="0.2">
      <c r="A7086" t="str">
        <f t="shared" si="110"/>
        <v/>
      </c>
      <c r="B7086" s="1">
        <v>2020</v>
      </c>
      <c r="C7086" s="1" t="s">
        <v>2505</v>
      </c>
      <c r="D7086" s="1" t="s">
        <v>2506</v>
      </c>
      <c r="E7086" s="1" t="s">
        <v>2019</v>
      </c>
      <c r="F7086" s="1" t="s">
        <v>705</v>
      </c>
      <c r="G7086" s="6">
        <v>1198059</v>
      </c>
      <c r="H7086" t="str">
        <f>IFERROR(VLOOKUP(F7086,'LEAID Match'!$A$2:$B$142,2,FALSE),"")</f>
        <v/>
      </c>
    </row>
    <row r="7087" spans="1:8" x14ac:dyDescent="0.2">
      <c r="A7087" t="str">
        <f t="shared" si="110"/>
        <v/>
      </c>
      <c r="B7087" s="1">
        <v>2021</v>
      </c>
      <c r="C7087" s="1" t="s">
        <v>2505</v>
      </c>
      <c r="D7087" s="1" t="s">
        <v>2506</v>
      </c>
      <c r="E7087" s="1" t="s">
        <v>2019</v>
      </c>
      <c r="F7087" s="1" t="s">
        <v>705</v>
      </c>
      <c r="G7087" s="6">
        <v>1207451</v>
      </c>
      <c r="H7087" t="str">
        <f>IFERROR(VLOOKUP(F7087,'LEAID Match'!$A$2:$B$142,2,FALSE),"")</f>
        <v/>
      </c>
    </row>
    <row r="7088" spans="1:8" x14ac:dyDescent="0.2">
      <c r="A7088" t="str">
        <f t="shared" si="110"/>
        <v/>
      </c>
      <c r="B7088" s="1">
        <v>2022</v>
      </c>
      <c r="C7088" s="1" t="s">
        <v>2505</v>
      </c>
      <c r="D7088" s="1" t="s">
        <v>2506</v>
      </c>
      <c r="E7088" s="1" t="s">
        <v>2019</v>
      </c>
      <c r="F7088" s="1" t="s">
        <v>705</v>
      </c>
      <c r="G7088" s="6">
        <v>1214894</v>
      </c>
      <c r="H7088" t="str">
        <f>IFERROR(VLOOKUP(F7088,'LEAID Match'!$A$2:$B$142,2,FALSE),"")</f>
        <v/>
      </c>
    </row>
    <row r="7089" spans="1:8" x14ac:dyDescent="0.2">
      <c r="A7089" t="str">
        <f t="shared" si="110"/>
        <v/>
      </c>
      <c r="B7089" s="1">
        <v>2023</v>
      </c>
      <c r="C7089" s="1" t="s">
        <v>2505</v>
      </c>
      <c r="D7089" s="1" t="s">
        <v>2506</v>
      </c>
      <c r="E7089" s="1" t="s">
        <v>2019</v>
      </c>
      <c r="F7089" s="1" t="s">
        <v>705</v>
      </c>
      <c r="G7089" s="6">
        <v>1251606</v>
      </c>
      <c r="H7089" t="str">
        <f>IFERROR(VLOOKUP(F7089,'LEAID Match'!$A$2:$B$142,2,FALSE),"")</f>
        <v/>
      </c>
    </row>
    <row r="7090" spans="1:8" x14ac:dyDescent="0.2">
      <c r="A7090" t="str">
        <f t="shared" si="110"/>
        <v/>
      </c>
      <c r="B7090" s="1">
        <v>2024</v>
      </c>
      <c r="C7090" s="1" t="s">
        <v>2505</v>
      </c>
      <c r="D7090" s="1" t="s">
        <v>2506</v>
      </c>
      <c r="E7090" s="1" t="s">
        <v>2019</v>
      </c>
      <c r="F7090" s="1" t="s">
        <v>705</v>
      </c>
      <c r="G7090" s="6">
        <v>1308259</v>
      </c>
      <c r="H7090" t="str">
        <f>IFERROR(VLOOKUP(F7090,'LEAID Match'!$A$2:$B$142,2,FALSE),"")</f>
        <v/>
      </c>
    </row>
    <row r="7091" spans="1:8" x14ac:dyDescent="0.2">
      <c r="A7091" t="str">
        <f t="shared" si="110"/>
        <v/>
      </c>
      <c r="B7091" s="1">
        <v>2015</v>
      </c>
      <c r="C7091" s="1" t="s">
        <v>2505</v>
      </c>
      <c r="D7091" s="1" t="s">
        <v>2506</v>
      </c>
      <c r="E7091" s="1" t="s">
        <v>2019</v>
      </c>
      <c r="F7091" s="1" t="s">
        <v>706</v>
      </c>
      <c r="G7091" s="6">
        <v>30826</v>
      </c>
      <c r="H7091" t="str">
        <f>IFERROR(VLOOKUP(F7091,'LEAID Match'!$A$2:$B$142,2,FALSE),"")</f>
        <v/>
      </c>
    </row>
    <row r="7092" spans="1:8" x14ac:dyDescent="0.2">
      <c r="A7092" t="str">
        <f t="shared" si="110"/>
        <v/>
      </c>
      <c r="B7092">
        <v>2016</v>
      </c>
      <c r="C7092" s="1" t="s">
        <v>2505</v>
      </c>
      <c r="D7092" s="1" t="s">
        <v>2506</v>
      </c>
      <c r="E7092" s="1" t="s">
        <v>2019</v>
      </c>
      <c r="F7092" s="1" t="s">
        <v>706</v>
      </c>
      <c r="G7092" s="12">
        <v>34542</v>
      </c>
      <c r="H7092" t="str">
        <f>IFERROR(VLOOKUP(F7092,'LEAID Match'!$A$2:$B$142,2,FALSE),"")</f>
        <v/>
      </c>
    </row>
    <row r="7093" spans="1:8" x14ac:dyDescent="0.2">
      <c r="A7093" t="str">
        <f t="shared" si="110"/>
        <v/>
      </c>
      <c r="B7093" s="1">
        <v>2017</v>
      </c>
      <c r="C7093" s="1" t="s">
        <v>2505</v>
      </c>
      <c r="D7093" s="1" t="s">
        <v>2506</v>
      </c>
      <c r="E7093" s="1" t="s">
        <v>2019</v>
      </c>
      <c r="F7093" s="1" t="s">
        <v>706</v>
      </c>
      <c r="G7093" s="47">
        <v>32802</v>
      </c>
      <c r="H7093" t="str">
        <f>IFERROR(VLOOKUP(F7093,'LEAID Match'!$A$2:$B$142,2,FALSE),"")</f>
        <v/>
      </c>
    </row>
    <row r="7094" spans="1:8" x14ac:dyDescent="0.2">
      <c r="A7094" t="str">
        <f t="shared" si="110"/>
        <v/>
      </c>
      <c r="B7094" s="1">
        <v>2018</v>
      </c>
      <c r="C7094" s="1" t="s">
        <v>2505</v>
      </c>
      <c r="D7094" s="1" t="s">
        <v>2506</v>
      </c>
      <c r="E7094" s="1" t="s">
        <v>2019</v>
      </c>
      <c r="F7094" s="1" t="s">
        <v>706</v>
      </c>
      <c r="G7094" s="6">
        <v>37386</v>
      </c>
      <c r="H7094" t="str">
        <f>IFERROR(VLOOKUP(F7094,'LEAID Match'!$A$2:$B$142,2,FALSE),"")</f>
        <v/>
      </c>
    </row>
    <row r="7095" spans="1:8" x14ac:dyDescent="0.2">
      <c r="A7095" t="str">
        <f t="shared" si="110"/>
        <v/>
      </c>
      <c r="B7095" s="1">
        <v>2019</v>
      </c>
      <c r="C7095" s="1" t="s">
        <v>2505</v>
      </c>
      <c r="D7095" s="1" t="s">
        <v>2506</v>
      </c>
      <c r="E7095" s="1" t="s">
        <v>2019</v>
      </c>
      <c r="F7095" s="1" t="s">
        <v>706</v>
      </c>
      <c r="G7095" s="6">
        <v>36709</v>
      </c>
      <c r="H7095" t="str">
        <f>IFERROR(VLOOKUP(F7095,'LEAID Match'!$A$2:$B$142,2,FALSE),"")</f>
        <v/>
      </c>
    </row>
    <row r="7096" spans="1:8" x14ac:dyDescent="0.2">
      <c r="A7096" t="str">
        <f t="shared" si="110"/>
        <v/>
      </c>
      <c r="B7096" s="1">
        <v>2020</v>
      </c>
      <c r="C7096" s="1" t="s">
        <v>2505</v>
      </c>
      <c r="D7096" s="1" t="s">
        <v>2506</v>
      </c>
      <c r="E7096" s="1" t="s">
        <v>2019</v>
      </c>
      <c r="F7096" s="1" t="s">
        <v>706</v>
      </c>
      <c r="G7096" s="6">
        <v>33277</v>
      </c>
      <c r="H7096" t="str">
        <f>IFERROR(VLOOKUP(F7096,'LEAID Match'!$A$2:$B$142,2,FALSE),"")</f>
        <v/>
      </c>
    </row>
    <row r="7097" spans="1:8" x14ac:dyDescent="0.2">
      <c r="A7097" t="str">
        <f t="shared" si="110"/>
        <v/>
      </c>
      <c r="B7097" s="1">
        <v>2021</v>
      </c>
      <c r="C7097" s="1" t="s">
        <v>2505</v>
      </c>
      <c r="D7097" s="1" t="s">
        <v>2506</v>
      </c>
      <c r="E7097" s="1" t="s">
        <v>2019</v>
      </c>
      <c r="F7097" s="1" t="s">
        <v>706</v>
      </c>
      <c r="G7097" s="6">
        <v>21724</v>
      </c>
      <c r="H7097" t="str">
        <f>IFERROR(VLOOKUP(F7097,'LEAID Match'!$A$2:$B$142,2,FALSE),"")</f>
        <v/>
      </c>
    </row>
    <row r="7098" spans="1:8" x14ac:dyDescent="0.2">
      <c r="A7098" t="str">
        <f t="shared" si="110"/>
        <v/>
      </c>
      <c r="B7098" s="1">
        <v>2022</v>
      </c>
      <c r="C7098" s="1" t="s">
        <v>2505</v>
      </c>
      <c r="D7098" s="1" t="s">
        <v>2506</v>
      </c>
      <c r="E7098" s="1" t="s">
        <v>2019</v>
      </c>
      <c r="F7098" s="1" t="s">
        <v>706</v>
      </c>
      <c r="G7098" s="6">
        <v>20794</v>
      </c>
      <c r="H7098" t="str">
        <f>IFERROR(VLOOKUP(F7098,'LEAID Match'!$A$2:$B$142,2,FALSE),"")</f>
        <v/>
      </c>
    </row>
    <row r="7099" spans="1:8" x14ac:dyDescent="0.2">
      <c r="A7099" t="str">
        <f t="shared" si="110"/>
        <v/>
      </c>
      <c r="B7099" s="1">
        <v>2023</v>
      </c>
      <c r="C7099" s="1" t="s">
        <v>2505</v>
      </c>
      <c r="D7099" s="1" t="s">
        <v>2506</v>
      </c>
      <c r="E7099" s="1" t="s">
        <v>2019</v>
      </c>
      <c r="F7099" s="1" t="s">
        <v>706</v>
      </c>
      <c r="G7099" s="6">
        <v>32331</v>
      </c>
      <c r="H7099" t="str">
        <f>IFERROR(VLOOKUP(F7099,'LEAID Match'!$A$2:$B$142,2,FALSE),"")</f>
        <v/>
      </c>
    </row>
    <row r="7100" spans="1:8" x14ac:dyDescent="0.2">
      <c r="A7100" t="str">
        <f t="shared" si="110"/>
        <v/>
      </c>
      <c r="B7100" s="1">
        <v>2024</v>
      </c>
      <c r="C7100" s="1" t="s">
        <v>2505</v>
      </c>
      <c r="D7100" s="1" t="s">
        <v>2506</v>
      </c>
      <c r="E7100" s="1" t="s">
        <v>2019</v>
      </c>
      <c r="F7100" s="1" t="s">
        <v>706</v>
      </c>
      <c r="G7100" s="6">
        <v>33834</v>
      </c>
      <c r="H7100" t="str">
        <f>IFERROR(VLOOKUP(F7100,'LEAID Match'!$A$2:$B$142,2,FALSE),"")</f>
        <v/>
      </c>
    </row>
    <row r="7101" spans="1:8" x14ac:dyDescent="0.2">
      <c r="A7101" t="str">
        <f t="shared" si="110"/>
        <v/>
      </c>
      <c r="B7101" s="1">
        <v>2015</v>
      </c>
      <c r="C7101" s="1" t="s">
        <v>2505</v>
      </c>
      <c r="D7101" s="1" t="s">
        <v>2506</v>
      </c>
      <c r="E7101" s="1" t="s">
        <v>2019</v>
      </c>
      <c r="F7101" s="1" t="s">
        <v>707</v>
      </c>
      <c r="G7101" s="6">
        <v>102627</v>
      </c>
      <c r="H7101" t="str">
        <f>IFERROR(VLOOKUP(F7101,'LEAID Match'!$A$2:$B$142,2,FALSE),"")</f>
        <v/>
      </c>
    </row>
    <row r="7102" spans="1:8" x14ac:dyDescent="0.2">
      <c r="A7102" t="str">
        <f t="shared" si="110"/>
        <v/>
      </c>
      <c r="B7102">
        <v>2016</v>
      </c>
      <c r="C7102" s="1" t="s">
        <v>2505</v>
      </c>
      <c r="D7102" s="1" t="s">
        <v>2506</v>
      </c>
      <c r="E7102" s="1" t="s">
        <v>2019</v>
      </c>
      <c r="F7102" s="1" t="s">
        <v>707</v>
      </c>
      <c r="G7102" s="12">
        <v>93011</v>
      </c>
      <c r="H7102" t="str">
        <f>IFERROR(VLOOKUP(F7102,'LEAID Match'!$A$2:$B$142,2,FALSE),"")</f>
        <v/>
      </c>
    </row>
    <row r="7103" spans="1:8" x14ac:dyDescent="0.2">
      <c r="A7103" t="str">
        <f t="shared" si="110"/>
        <v/>
      </c>
      <c r="B7103" s="1">
        <v>2017</v>
      </c>
      <c r="C7103" s="1" t="s">
        <v>2505</v>
      </c>
      <c r="D7103" s="1" t="s">
        <v>2506</v>
      </c>
      <c r="E7103" s="1" t="s">
        <v>2019</v>
      </c>
      <c r="F7103" s="1" t="s">
        <v>707</v>
      </c>
      <c r="G7103" s="47">
        <v>92308</v>
      </c>
      <c r="H7103" t="str">
        <f>IFERROR(VLOOKUP(F7103,'LEAID Match'!$A$2:$B$142,2,FALSE),"")</f>
        <v/>
      </c>
    </row>
    <row r="7104" spans="1:8" x14ac:dyDescent="0.2">
      <c r="A7104" t="str">
        <f t="shared" si="110"/>
        <v/>
      </c>
      <c r="B7104" s="1">
        <v>2018</v>
      </c>
      <c r="C7104" s="1" t="s">
        <v>2505</v>
      </c>
      <c r="D7104" s="1" t="s">
        <v>2506</v>
      </c>
      <c r="E7104" s="1" t="s">
        <v>2019</v>
      </c>
      <c r="F7104" s="1" t="s">
        <v>707</v>
      </c>
      <c r="G7104" s="6">
        <v>89040</v>
      </c>
      <c r="H7104" t="str">
        <f>IFERROR(VLOOKUP(F7104,'LEAID Match'!$A$2:$B$142,2,FALSE),"")</f>
        <v/>
      </c>
    </row>
    <row r="7105" spans="1:8" x14ac:dyDescent="0.2">
      <c r="A7105" t="str">
        <f t="shared" si="110"/>
        <v/>
      </c>
      <c r="B7105" s="1">
        <v>2019</v>
      </c>
      <c r="C7105" s="1" t="s">
        <v>2505</v>
      </c>
      <c r="D7105" s="1" t="s">
        <v>2506</v>
      </c>
      <c r="E7105" s="1" t="s">
        <v>2019</v>
      </c>
      <c r="F7105" s="1" t="s">
        <v>707</v>
      </c>
      <c r="G7105" s="6">
        <v>96922</v>
      </c>
      <c r="H7105" t="str">
        <f>IFERROR(VLOOKUP(F7105,'LEAID Match'!$A$2:$B$142,2,FALSE),"")</f>
        <v/>
      </c>
    </row>
    <row r="7106" spans="1:8" x14ac:dyDescent="0.2">
      <c r="A7106" t="str">
        <f t="shared" si="110"/>
        <v/>
      </c>
      <c r="B7106" s="1">
        <v>2020</v>
      </c>
      <c r="C7106" s="1" t="s">
        <v>2505</v>
      </c>
      <c r="D7106" s="1" t="s">
        <v>2506</v>
      </c>
      <c r="E7106" s="1" t="s">
        <v>2019</v>
      </c>
      <c r="F7106" s="1" t="s">
        <v>707</v>
      </c>
      <c r="G7106" s="6">
        <v>107227</v>
      </c>
      <c r="H7106" t="str">
        <f>IFERROR(VLOOKUP(F7106,'LEAID Match'!$A$2:$B$142,2,FALSE),"")</f>
        <v/>
      </c>
    </row>
    <row r="7107" spans="1:8" x14ac:dyDescent="0.2">
      <c r="A7107" t="str">
        <f t="shared" ref="A7107:A7170" si="111">H7107</f>
        <v/>
      </c>
      <c r="B7107" s="1">
        <v>2021</v>
      </c>
      <c r="C7107" s="1" t="s">
        <v>2505</v>
      </c>
      <c r="D7107" s="1" t="s">
        <v>2506</v>
      </c>
      <c r="E7107" s="1" t="s">
        <v>2019</v>
      </c>
      <c r="F7107" s="1" t="s">
        <v>707</v>
      </c>
      <c r="G7107" s="6">
        <v>106285</v>
      </c>
      <c r="H7107" t="str">
        <f>IFERROR(VLOOKUP(F7107,'LEAID Match'!$A$2:$B$142,2,FALSE),"")</f>
        <v/>
      </c>
    </row>
    <row r="7108" spans="1:8" x14ac:dyDescent="0.2">
      <c r="A7108" t="str">
        <f t="shared" si="111"/>
        <v/>
      </c>
      <c r="B7108" s="1">
        <v>2022</v>
      </c>
      <c r="C7108" s="1" t="s">
        <v>2505</v>
      </c>
      <c r="D7108" s="1" t="s">
        <v>2506</v>
      </c>
      <c r="E7108" s="1" t="s">
        <v>2019</v>
      </c>
      <c r="F7108" s="1" t="s">
        <v>707</v>
      </c>
      <c r="G7108" s="6">
        <v>109595</v>
      </c>
      <c r="H7108" t="str">
        <f>IFERROR(VLOOKUP(F7108,'LEAID Match'!$A$2:$B$142,2,FALSE),"")</f>
        <v/>
      </c>
    </row>
    <row r="7109" spans="1:8" x14ac:dyDescent="0.2">
      <c r="A7109" t="str">
        <f t="shared" si="111"/>
        <v/>
      </c>
      <c r="B7109" s="1">
        <v>2023</v>
      </c>
      <c r="C7109" s="1" t="s">
        <v>2505</v>
      </c>
      <c r="D7109" s="1" t="s">
        <v>2506</v>
      </c>
      <c r="E7109" s="1" t="s">
        <v>2019</v>
      </c>
      <c r="F7109" s="1" t="s">
        <v>707</v>
      </c>
      <c r="G7109" s="6">
        <v>112826</v>
      </c>
      <c r="H7109" t="str">
        <f>IFERROR(VLOOKUP(F7109,'LEAID Match'!$A$2:$B$142,2,FALSE),"")</f>
        <v/>
      </c>
    </row>
    <row r="7110" spans="1:8" x14ac:dyDescent="0.2">
      <c r="A7110" t="str">
        <f t="shared" si="111"/>
        <v/>
      </c>
      <c r="B7110" s="1">
        <v>2024</v>
      </c>
      <c r="C7110" s="1" t="s">
        <v>2505</v>
      </c>
      <c r="D7110" s="1" t="s">
        <v>2506</v>
      </c>
      <c r="E7110" s="1" t="s">
        <v>2019</v>
      </c>
      <c r="F7110" s="1" t="s">
        <v>707</v>
      </c>
      <c r="G7110" s="6">
        <v>119923</v>
      </c>
      <c r="H7110" t="str">
        <f>IFERROR(VLOOKUP(F7110,'LEAID Match'!$A$2:$B$142,2,FALSE),"")</f>
        <v/>
      </c>
    </row>
    <row r="7111" spans="1:8" x14ac:dyDescent="0.2">
      <c r="A7111" t="str">
        <f t="shared" si="111"/>
        <v/>
      </c>
      <c r="B7111" s="1">
        <v>2015</v>
      </c>
      <c r="C7111" s="1" t="s">
        <v>2505</v>
      </c>
      <c r="D7111" s="1" t="s">
        <v>2506</v>
      </c>
      <c r="E7111" s="1" t="s">
        <v>2019</v>
      </c>
      <c r="F7111" s="1" t="s">
        <v>708</v>
      </c>
      <c r="G7111" s="6">
        <v>2567526</v>
      </c>
      <c r="H7111" t="str">
        <f>IFERROR(VLOOKUP(F7111,'LEAID Match'!$A$2:$B$142,2,FALSE),"")</f>
        <v/>
      </c>
    </row>
    <row r="7112" spans="1:8" x14ac:dyDescent="0.2">
      <c r="A7112" t="str">
        <f t="shared" si="111"/>
        <v/>
      </c>
      <c r="B7112">
        <v>2016</v>
      </c>
      <c r="C7112" s="1" t="s">
        <v>2505</v>
      </c>
      <c r="D7112" s="1" t="s">
        <v>2506</v>
      </c>
      <c r="E7112" s="1" t="s">
        <v>2019</v>
      </c>
      <c r="F7112" s="1" t="s">
        <v>708</v>
      </c>
      <c r="G7112" s="12">
        <v>2551914</v>
      </c>
      <c r="H7112" t="str">
        <f>IFERROR(VLOOKUP(F7112,'LEAID Match'!$A$2:$B$142,2,FALSE),"")</f>
        <v/>
      </c>
    </row>
    <row r="7113" spans="1:8" x14ac:dyDescent="0.2">
      <c r="A7113" t="str">
        <f t="shared" si="111"/>
        <v/>
      </c>
      <c r="B7113" s="1">
        <v>2017</v>
      </c>
      <c r="C7113" s="1" t="s">
        <v>2505</v>
      </c>
      <c r="D7113" s="1" t="s">
        <v>2506</v>
      </c>
      <c r="E7113" s="1" t="s">
        <v>2019</v>
      </c>
      <c r="F7113" s="1" t="s">
        <v>708</v>
      </c>
      <c r="G7113" s="47">
        <v>2604187</v>
      </c>
      <c r="H7113" t="str">
        <f>IFERROR(VLOOKUP(F7113,'LEAID Match'!$A$2:$B$142,2,FALSE),"")</f>
        <v/>
      </c>
    </row>
    <row r="7114" spans="1:8" x14ac:dyDescent="0.2">
      <c r="A7114" t="str">
        <f t="shared" si="111"/>
        <v/>
      </c>
      <c r="B7114" s="1">
        <v>2018</v>
      </c>
      <c r="C7114" s="1" t="s">
        <v>2505</v>
      </c>
      <c r="D7114" s="1" t="s">
        <v>2506</v>
      </c>
      <c r="E7114" s="1" t="s">
        <v>2019</v>
      </c>
      <c r="F7114" s="1" t="s">
        <v>708</v>
      </c>
      <c r="G7114" s="6">
        <v>2548206</v>
      </c>
      <c r="H7114" t="str">
        <f>IFERROR(VLOOKUP(F7114,'LEAID Match'!$A$2:$B$142,2,FALSE),"")</f>
        <v/>
      </c>
    </row>
    <row r="7115" spans="1:8" x14ac:dyDescent="0.2">
      <c r="A7115" t="str">
        <f t="shared" si="111"/>
        <v/>
      </c>
      <c r="B7115" s="1">
        <v>2019</v>
      </c>
      <c r="C7115" s="1" t="s">
        <v>2505</v>
      </c>
      <c r="D7115" s="1" t="s">
        <v>2506</v>
      </c>
      <c r="E7115" s="1" t="s">
        <v>2019</v>
      </c>
      <c r="F7115" s="1" t="s">
        <v>708</v>
      </c>
      <c r="G7115" s="6">
        <v>2673863</v>
      </c>
      <c r="H7115" t="str">
        <f>IFERROR(VLOOKUP(F7115,'LEAID Match'!$A$2:$B$142,2,FALSE),"")</f>
        <v/>
      </c>
    </row>
    <row r="7116" spans="1:8" x14ac:dyDescent="0.2">
      <c r="A7116" t="str">
        <f t="shared" si="111"/>
        <v/>
      </c>
      <c r="B7116" s="1">
        <v>2020</v>
      </c>
      <c r="C7116" s="1" t="s">
        <v>2505</v>
      </c>
      <c r="D7116" s="1" t="s">
        <v>2506</v>
      </c>
      <c r="E7116" s="1" t="s">
        <v>2019</v>
      </c>
      <c r="F7116" s="1" t="s">
        <v>708</v>
      </c>
      <c r="G7116" s="6">
        <v>3030780</v>
      </c>
      <c r="H7116" t="str">
        <f>IFERROR(VLOOKUP(F7116,'LEAID Match'!$A$2:$B$142,2,FALSE),"")</f>
        <v/>
      </c>
    </row>
    <row r="7117" spans="1:8" x14ac:dyDescent="0.2">
      <c r="A7117" t="str">
        <f t="shared" si="111"/>
        <v/>
      </c>
      <c r="B7117" s="1">
        <v>2021</v>
      </c>
      <c r="C7117" s="1" t="s">
        <v>2505</v>
      </c>
      <c r="D7117" s="1" t="s">
        <v>2506</v>
      </c>
      <c r="E7117" s="1" t="s">
        <v>2019</v>
      </c>
      <c r="F7117" s="1" t="s">
        <v>708</v>
      </c>
      <c r="G7117" s="6">
        <v>2768291</v>
      </c>
      <c r="H7117" t="str">
        <f>IFERROR(VLOOKUP(F7117,'LEAID Match'!$A$2:$B$142,2,FALSE),"")</f>
        <v/>
      </c>
    </row>
    <row r="7118" spans="1:8" x14ac:dyDescent="0.2">
      <c r="A7118" t="str">
        <f t="shared" si="111"/>
        <v/>
      </c>
      <c r="B7118" s="1">
        <v>2022</v>
      </c>
      <c r="C7118" s="1" t="s">
        <v>2505</v>
      </c>
      <c r="D7118" s="1" t="s">
        <v>2506</v>
      </c>
      <c r="E7118" s="1" t="s">
        <v>2019</v>
      </c>
      <c r="F7118" s="1" t="s">
        <v>708</v>
      </c>
      <c r="G7118" s="6">
        <v>2933167</v>
      </c>
      <c r="H7118" t="str">
        <f>IFERROR(VLOOKUP(F7118,'LEAID Match'!$A$2:$B$142,2,FALSE),"")</f>
        <v/>
      </c>
    </row>
    <row r="7119" spans="1:8" x14ac:dyDescent="0.2">
      <c r="A7119" t="str">
        <f t="shared" si="111"/>
        <v/>
      </c>
      <c r="B7119" s="1">
        <v>2023</v>
      </c>
      <c r="C7119" s="1" t="s">
        <v>2505</v>
      </c>
      <c r="D7119" s="1" t="s">
        <v>2506</v>
      </c>
      <c r="E7119" s="1" t="s">
        <v>2019</v>
      </c>
      <c r="F7119" s="1" t="s">
        <v>708</v>
      </c>
      <c r="G7119" s="6">
        <v>3123507</v>
      </c>
      <c r="H7119" t="str">
        <f>IFERROR(VLOOKUP(F7119,'LEAID Match'!$A$2:$B$142,2,FALSE),"")</f>
        <v/>
      </c>
    </row>
    <row r="7120" spans="1:8" x14ac:dyDescent="0.2">
      <c r="A7120" t="str">
        <f t="shared" si="111"/>
        <v/>
      </c>
      <c r="B7120" s="1">
        <v>2024</v>
      </c>
      <c r="C7120" s="1" t="s">
        <v>2505</v>
      </c>
      <c r="D7120" s="1" t="s">
        <v>2506</v>
      </c>
      <c r="E7120" s="1" t="s">
        <v>2019</v>
      </c>
      <c r="F7120" s="1" t="s">
        <v>708</v>
      </c>
      <c r="G7120" s="6">
        <v>3049451</v>
      </c>
      <c r="H7120" t="str">
        <f>IFERROR(VLOOKUP(F7120,'LEAID Match'!$A$2:$B$142,2,FALSE),"")</f>
        <v/>
      </c>
    </row>
    <row r="7121" spans="1:8" x14ac:dyDescent="0.2">
      <c r="A7121" t="str">
        <f t="shared" si="111"/>
        <v/>
      </c>
      <c r="B7121" s="1">
        <v>2017</v>
      </c>
      <c r="C7121" s="1" t="s">
        <v>2505</v>
      </c>
      <c r="D7121" s="1" t="s">
        <v>2506</v>
      </c>
      <c r="E7121" s="1" t="s">
        <v>2019</v>
      </c>
      <c r="F7121" s="40" t="s">
        <v>2065</v>
      </c>
      <c r="G7121" s="51">
        <v>755753</v>
      </c>
      <c r="H7121" t="str">
        <f>IFERROR(VLOOKUP(F7121,'LEAID Match'!$A$2:$B$142,2,FALSE),"")</f>
        <v/>
      </c>
    </row>
    <row r="7122" spans="1:8" x14ac:dyDescent="0.2">
      <c r="A7122" t="str">
        <f t="shared" si="111"/>
        <v/>
      </c>
      <c r="B7122" s="1">
        <v>2017</v>
      </c>
      <c r="C7122" s="1" t="s">
        <v>2505</v>
      </c>
      <c r="D7122" s="1" t="s">
        <v>2506</v>
      </c>
      <c r="E7122" s="1" t="s">
        <v>2019</v>
      </c>
      <c r="F7122" s="40" t="s">
        <v>2066</v>
      </c>
      <c r="G7122" s="51">
        <v>4032</v>
      </c>
      <c r="H7122" t="str">
        <f>IFERROR(VLOOKUP(F7122,'LEAID Match'!$A$2:$B$142,2,FALSE),"")</f>
        <v/>
      </c>
    </row>
    <row r="7123" spans="1:8" x14ac:dyDescent="0.2">
      <c r="A7123">
        <f t="shared" si="111"/>
        <v>2804170</v>
      </c>
      <c r="B7123" s="1">
        <v>2015</v>
      </c>
      <c r="C7123" s="1" t="s">
        <v>2505</v>
      </c>
      <c r="D7123" s="1" t="s">
        <v>2506</v>
      </c>
      <c r="E7123" s="1" t="s">
        <v>2019</v>
      </c>
      <c r="F7123" s="1" t="s">
        <v>709</v>
      </c>
      <c r="G7123" s="6">
        <v>2082999</v>
      </c>
      <c r="H7123">
        <f>IFERROR(VLOOKUP(F7123,'LEAID Match'!$A$2:$B$142,2,FALSE),"")</f>
        <v>2804170</v>
      </c>
    </row>
    <row r="7124" spans="1:8" x14ac:dyDescent="0.2">
      <c r="A7124">
        <f t="shared" si="111"/>
        <v>2804170</v>
      </c>
      <c r="B7124">
        <v>2016</v>
      </c>
      <c r="C7124" s="1" t="s">
        <v>2505</v>
      </c>
      <c r="D7124" s="1" t="s">
        <v>2506</v>
      </c>
      <c r="E7124" s="1" t="s">
        <v>2019</v>
      </c>
      <c r="F7124" s="1" t="s">
        <v>709</v>
      </c>
      <c r="G7124" s="12">
        <v>2156012</v>
      </c>
      <c r="H7124">
        <f>IFERROR(VLOOKUP(F7124,'LEAID Match'!$A$2:$B$142,2,FALSE),"")</f>
        <v>2804170</v>
      </c>
    </row>
    <row r="7125" spans="1:8" x14ac:dyDescent="0.2">
      <c r="A7125">
        <f t="shared" si="111"/>
        <v>2804170</v>
      </c>
      <c r="B7125" s="1">
        <v>2017</v>
      </c>
      <c r="C7125" s="1" t="s">
        <v>2505</v>
      </c>
      <c r="D7125" s="1" t="s">
        <v>2506</v>
      </c>
      <c r="E7125" s="1" t="s">
        <v>2019</v>
      </c>
      <c r="F7125" s="1" t="s">
        <v>709</v>
      </c>
      <c r="G7125" s="47">
        <v>2082525</v>
      </c>
      <c r="H7125">
        <f>IFERROR(VLOOKUP(F7125,'LEAID Match'!$A$2:$B$142,2,FALSE),"")</f>
        <v>2804170</v>
      </c>
    </row>
    <row r="7126" spans="1:8" x14ac:dyDescent="0.2">
      <c r="A7126">
        <f t="shared" si="111"/>
        <v>2804170</v>
      </c>
      <c r="B7126" s="1">
        <v>2018</v>
      </c>
      <c r="C7126" s="1" t="s">
        <v>2505</v>
      </c>
      <c r="D7126" s="1" t="s">
        <v>2506</v>
      </c>
      <c r="E7126" s="1" t="s">
        <v>2019</v>
      </c>
      <c r="F7126" s="1" t="s">
        <v>709</v>
      </c>
      <c r="G7126" s="6">
        <v>2046592</v>
      </c>
      <c r="H7126">
        <f>IFERROR(VLOOKUP(F7126,'LEAID Match'!$A$2:$B$142,2,FALSE),"")</f>
        <v>2804170</v>
      </c>
    </row>
    <row r="7127" spans="1:8" x14ac:dyDescent="0.2">
      <c r="A7127">
        <f t="shared" si="111"/>
        <v>2804170</v>
      </c>
      <c r="B7127" s="1">
        <v>2019</v>
      </c>
      <c r="C7127" s="1" t="s">
        <v>2505</v>
      </c>
      <c r="D7127" s="1" t="s">
        <v>2506</v>
      </c>
      <c r="E7127" s="1" t="s">
        <v>2019</v>
      </c>
      <c r="F7127" s="1" t="s">
        <v>709</v>
      </c>
      <c r="G7127" s="6">
        <v>2029797</v>
      </c>
      <c r="H7127">
        <f>IFERROR(VLOOKUP(F7127,'LEAID Match'!$A$2:$B$142,2,FALSE),"")</f>
        <v>2804170</v>
      </c>
    </row>
    <row r="7128" spans="1:8" x14ac:dyDescent="0.2">
      <c r="A7128">
        <f t="shared" si="111"/>
        <v>2804170</v>
      </c>
      <c r="B7128" s="1">
        <v>2020</v>
      </c>
      <c r="C7128" s="1" t="s">
        <v>2505</v>
      </c>
      <c r="D7128" s="1" t="s">
        <v>2506</v>
      </c>
      <c r="E7128" s="1" t="s">
        <v>2019</v>
      </c>
      <c r="F7128" s="1" t="s">
        <v>709</v>
      </c>
      <c r="G7128" s="6">
        <v>2268481</v>
      </c>
      <c r="H7128">
        <f>IFERROR(VLOOKUP(F7128,'LEAID Match'!$A$2:$B$142,2,FALSE),"")</f>
        <v>2804170</v>
      </c>
    </row>
    <row r="7129" spans="1:8" x14ac:dyDescent="0.2">
      <c r="A7129">
        <f t="shared" si="111"/>
        <v>2804170</v>
      </c>
      <c r="B7129" s="1">
        <v>2021</v>
      </c>
      <c r="C7129" s="1" t="s">
        <v>2505</v>
      </c>
      <c r="D7129" s="1" t="s">
        <v>2506</v>
      </c>
      <c r="E7129" s="1" t="s">
        <v>2019</v>
      </c>
      <c r="F7129" s="1" t="s">
        <v>709</v>
      </c>
      <c r="G7129" s="6">
        <v>2265929</v>
      </c>
      <c r="H7129">
        <f>IFERROR(VLOOKUP(F7129,'LEAID Match'!$A$2:$B$142,2,FALSE),"")</f>
        <v>2804170</v>
      </c>
    </row>
    <row r="7130" spans="1:8" x14ac:dyDescent="0.2">
      <c r="A7130">
        <f t="shared" si="111"/>
        <v>2804170</v>
      </c>
      <c r="B7130" s="1">
        <v>2022</v>
      </c>
      <c r="C7130" s="1" t="s">
        <v>2505</v>
      </c>
      <c r="D7130" s="1" t="s">
        <v>2506</v>
      </c>
      <c r="E7130" s="1" t="s">
        <v>2019</v>
      </c>
      <c r="F7130" s="1" t="s">
        <v>709</v>
      </c>
      <c r="G7130" s="6">
        <v>2368416</v>
      </c>
      <c r="H7130">
        <f>IFERROR(VLOOKUP(F7130,'LEAID Match'!$A$2:$B$142,2,FALSE),"")</f>
        <v>2804170</v>
      </c>
    </row>
    <row r="7131" spans="1:8" x14ac:dyDescent="0.2">
      <c r="A7131">
        <f t="shared" si="111"/>
        <v>2804170</v>
      </c>
      <c r="B7131" s="1">
        <v>2023</v>
      </c>
      <c r="C7131" s="1" t="s">
        <v>2505</v>
      </c>
      <c r="D7131" s="1" t="s">
        <v>2506</v>
      </c>
      <c r="E7131" s="1" t="s">
        <v>2019</v>
      </c>
      <c r="F7131" s="1" t="s">
        <v>709</v>
      </c>
      <c r="G7131" s="6">
        <v>2520755</v>
      </c>
      <c r="H7131">
        <f>IFERROR(VLOOKUP(F7131,'LEAID Match'!$A$2:$B$142,2,FALSE),"")</f>
        <v>2804170</v>
      </c>
    </row>
    <row r="7132" spans="1:8" x14ac:dyDescent="0.2">
      <c r="A7132">
        <f t="shared" si="111"/>
        <v>2804170</v>
      </c>
      <c r="B7132" s="1">
        <v>2024</v>
      </c>
      <c r="C7132" s="1" t="s">
        <v>2505</v>
      </c>
      <c r="D7132" s="1" t="s">
        <v>2506</v>
      </c>
      <c r="E7132" s="1" t="s">
        <v>2019</v>
      </c>
      <c r="F7132" s="1" t="s">
        <v>709</v>
      </c>
      <c r="G7132" s="6">
        <v>2617242</v>
      </c>
      <c r="H7132">
        <f>IFERROR(VLOOKUP(F7132,'LEAID Match'!$A$2:$B$142,2,FALSE),"")</f>
        <v>2804170</v>
      </c>
    </row>
    <row r="7133" spans="1:8" x14ac:dyDescent="0.2">
      <c r="A7133" t="str">
        <f t="shared" si="111"/>
        <v/>
      </c>
      <c r="B7133" s="1">
        <v>2015</v>
      </c>
      <c r="C7133" s="1" t="s">
        <v>2505</v>
      </c>
      <c r="D7133" s="1" t="s">
        <v>2506</v>
      </c>
      <c r="E7133" s="1" t="s">
        <v>2019</v>
      </c>
      <c r="F7133" s="1" t="s">
        <v>711</v>
      </c>
      <c r="G7133" s="6">
        <v>724184</v>
      </c>
      <c r="H7133" t="str">
        <f>IFERROR(VLOOKUP(F7133,'LEAID Match'!$A$2:$B$142,2,FALSE),"")</f>
        <v/>
      </c>
    </row>
    <row r="7134" spans="1:8" x14ac:dyDescent="0.2">
      <c r="A7134" t="str">
        <f t="shared" si="111"/>
        <v/>
      </c>
      <c r="B7134">
        <v>2016</v>
      </c>
      <c r="C7134" s="1" t="s">
        <v>2505</v>
      </c>
      <c r="D7134" s="1" t="s">
        <v>2506</v>
      </c>
      <c r="E7134" s="1" t="s">
        <v>2019</v>
      </c>
      <c r="F7134" s="1" t="s">
        <v>711</v>
      </c>
      <c r="G7134" s="12">
        <v>724859</v>
      </c>
      <c r="H7134" t="str">
        <f>IFERROR(VLOOKUP(F7134,'LEAID Match'!$A$2:$B$142,2,FALSE),"")</f>
        <v/>
      </c>
    </row>
    <row r="7135" spans="1:8" x14ac:dyDescent="0.2">
      <c r="A7135" t="str">
        <f t="shared" si="111"/>
        <v/>
      </c>
      <c r="B7135" s="1">
        <v>2017</v>
      </c>
      <c r="C7135" s="1" t="s">
        <v>2505</v>
      </c>
      <c r="D7135" s="1" t="s">
        <v>2506</v>
      </c>
      <c r="E7135" s="1" t="s">
        <v>2019</v>
      </c>
      <c r="F7135" s="1" t="s">
        <v>711</v>
      </c>
      <c r="G7135" s="47">
        <v>714640</v>
      </c>
      <c r="H7135" t="str">
        <f>IFERROR(VLOOKUP(F7135,'LEAID Match'!$A$2:$B$142,2,FALSE),"")</f>
        <v/>
      </c>
    </row>
    <row r="7136" spans="1:8" x14ac:dyDescent="0.2">
      <c r="A7136" t="str">
        <f t="shared" si="111"/>
        <v/>
      </c>
      <c r="B7136" s="1">
        <v>2018</v>
      </c>
      <c r="C7136" s="1" t="s">
        <v>2505</v>
      </c>
      <c r="D7136" s="1" t="s">
        <v>2506</v>
      </c>
      <c r="E7136" s="1" t="s">
        <v>2019</v>
      </c>
      <c r="F7136" s="1" t="s">
        <v>711</v>
      </c>
      <c r="G7136" s="6">
        <v>744947</v>
      </c>
      <c r="H7136" t="str">
        <f>IFERROR(VLOOKUP(F7136,'LEAID Match'!$A$2:$B$142,2,FALSE),"")</f>
        <v/>
      </c>
    </row>
    <row r="7137" spans="1:8" x14ac:dyDescent="0.2">
      <c r="A7137" t="str">
        <f t="shared" si="111"/>
        <v/>
      </c>
      <c r="B7137" s="1">
        <v>2019</v>
      </c>
      <c r="C7137" s="1" t="s">
        <v>2505</v>
      </c>
      <c r="D7137" s="1" t="s">
        <v>2506</v>
      </c>
      <c r="E7137" s="1" t="s">
        <v>2019</v>
      </c>
      <c r="F7137" s="1" t="s">
        <v>711</v>
      </c>
      <c r="G7137" s="6">
        <v>739967</v>
      </c>
      <c r="H7137" t="str">
        <f>IFERROR(VLOOKUP(F7137,'LEAID Match'!$A$2:$B$142,2,FALSE),"")</f>
        <v/>
      </c>
    </row>
    <row r="7138" spans="1:8" x14ac:dyDescent="0.2">
      <c r="A7138" t="str">
        <f t="shared" si="111"/>
        <v/>
      </c>
      <c r="B7138" s="1">
        <v>2020</v>
      </c>
      <c r="C7138" s="1" t="s">
        <v>2505</v>
      </c>
      <c r="D7138" s="1" t="s">
        <v>2506</v>
      </c>
      <c r="E7138" s="1" t="s">
        <v>2019</v>
      </c>
      <c r="F7138" s="1" t="s">
        <v>711</v>
      </c>
      <c r="G7138" s="6">
        <v>860756</v>
      </c>
      <c r="H7138" t="str">
        <f>IFERROR(VLOOKUP(F7138,'LEAID Match'!$A$2:$B$142,2,FALSE),"")</f>
        <v/>
      </c>
    </row>
    <row r="7139" spans="1:8" x14ac:dyDescent="0.2">
      <c r="A7139" t="str">
        <f t="shared" si="111"/>
        <v/>
      </c>
      <c r="B7139" s="1">
        <v>2021</v>
      </c>
      <c r="C7139" s="1" t="s">
        <v>2505</v>
      </c>
      <c r="D7139" s="1" t="s">
        <v>2506</v>
      </c>
      <c r="E7139" s="1" t="s">
        <v>2019</v>
      </c>
      <c r="F7139" s="1" t="s">
        <v>711</v>
      </c>
      <c r="G7139" s="6">
        <v>916934</v>
      </c>
      <c r="H7139" t="str">
        <f>IFERROR(VLOOKUP(F7139,'LEAID Match'!$A$2:$B$142,2,FALSE),"")</f>
        <v/>
      </c>
    </row>
    <row r="7140" spans="1:8" x14ac:dyDescent="0.2">
      <c r="A7140" t="str">
        <f t="shared" si="111"/>
        <v/>
      </c>
      <c r="B7140" s="1">
        <v>2022</v>
      </c>
      <c r="C7140" s="1" t="s">
        <v>2505</v>
      </c>
      <c r="D7140" s="1" t="s">
        <v>2506</v>
      </c>
      <c r="E7140" s="1" t="s">
        <v>2019</v>
      </c>
      <c r="F7140" s="1" t="s">
        <v>711</v>
      </c>
      <c r="G7140" s="6">
        <v>968931</v>
      </c>
      <c r="H7140" t="str">
        <f>IFERROR(VLOOKUP(F7140,'LEAID Match'!$A$2:$B$142,2,FALSE),"")</f>
        <v/>
      </c>
    </row>
    <row r="7141" spans="1:8" x14ac:dyDescent="0.2">
      <c r="A7141" t="str">
        <f t="shared" si="111"/>
        <v/>
      </c>
      <c r="B7141" s="1">
        <v>2023</v>
      </c>
      <c r="C7141" s="1" t="s">
        <v>2505</v>
      </c>
      <c r="D7141" s="1" t="s">
        <v>2506</v>
      </c>
      <c r="E7141" s="1" t="s">
        <v>2019</v>
      </c>
      <c r="F7141" s="1" t="s">
        <v>711</v>
      </c>
      <c r="G7141" s="6">
        <v>1045014</v>
      </c>
      <c r="H7141" t="str">
        <f>IFERROR(VLOOKUP(F7141,'LEAID Match'!$A$2:$B$142,2,FALSE),"")</f>
        <v/>
      </c>
    </row>
    <row r="7142" spans="1:8" x14ac:dyDescent="0.2">
      <c r="A7142" t="str">
        <f t="shared" si="111"/>
        <v/>
      </c>
      <c r="B7142" s="1">
        <v>2024</v>
      </c>
      <c r="C7142" s="1" t="s">
        <v>2505</v>
      </c>
      <c r="D7142" s="1" t="s">
        <v>2506</v>
      </c>
      <c r="E7142" s="1" t="s">
        <v>2019</v>
      </c>
      <c r="F7142" s="1" t="s">
        <v>711</v>
      </c>
      <c r="G7142" s="6">
        <v>1153294</v>
      </c>
      <c r="H7142" t="str">
        <f>IFERROR(VLOOKUP(F7142,'LEAID Match'!$A$2:$B$142,2,FALSE),"")</f>
        <v/>
      </c>
    </row>
    <row r="7143" spans="1:8" x14ac:dyDescent="0.2">
      <c r="A7143" t="str">
        <f t="shared" si="111"/>
        <v/>
      </c>
      <c r="B7143" s="1">
        <v>2015</v>
      </c>
      <c r="C7143" s="1" t="s">
        <v>2505</v>
      </c>
      <c r="D7143" s="1" t="s">
        <v>2506</v>
      </c>
      <c r="E7143" s="1" t="s">
        <v>2019</v>
      </c>
      <c r="F7143" s="1" t="s">
        <v>712</v>
      </c>
      <c r="G7143" s="6">
        <v>3827</v>
      </c>
      <c r="H7143" t="str">
        <f>IFERROR(VLOOKUP(F7143,'LEAID Match'!$A$2:$B$142,2,FALSE),"")</f>
        <v/>
      </c>
    </row>
    <row r="7144" spans="1:8" x14ac:dyDescent="0.2">
      <c r="A7144" t="str">
        <f t="shared" si="111"/>
        <v/>
      </c>
      <c r="B7144">
        <v>2016</v>
      </c>
      <c r="C7144" s="1" t="s">
        <v>2505</v>
      </c>
      <c r="D7144" s="1" t="s">
        <v>2506</v>
      </c>
      <c r="E7144" s="1" t="s">
        <v>2019</v>
      </c>
      <c r="F7144" s="1" t="s">
        <v>712</v>
      </c>
      <c r="G7144" s="12">
        <v>3402</v>
      </c>
      <c r="H7144" t="str">
        <f>IFERROR(VLOOKUP(F7144,'LEAID Match'!$A$2:$B$142,2,FALSE),"")</f>
        <v/>
      </c>
    </row>
    <row r="7145" spans="1:8" x14ac:dyDescent="0.2">
      <c r="A7145" t="str">
        <f t="shared" si="111"/>
        <v/>
      </c>
      <c r="B7145" s="1">
        <v>2017</v>
      </c>
      <c r="C7145" s="1" t="s">
        <v>2505</v>
      </c>
      <c r="D7145" s="1" t="s">
        <v>2506</v>
      </c>
      <c r="E7145" s="1" t="s">
        <v>2019</v>
      </c>
      <c r="F7145" s="1" t="s">
        <v>712</v>
      </c>
      <c r="G7145" s="47">
        <v>2722</v>
      </c>
      <c r="H7145" t="str">
        <f>IFERROR(VLOOKUP(F7145,'LEAID Match'!$A$2:$B$142,2,FALSE),"")</f>
        <v/>
      </c>
    </row>
    <row r="7146" spans="1:8" x14ac:dyDescent="0.2">
      <c r="A7146" t="str">
        <f t="shared" si="111"/>
        <v/>
      </c>
      <c r="B7146" s="1">
        <v>2018</v>
      </c>
      <c r="C7146" s="1" t="s">
        <v>2505</v>
      </c>
      <c r="D7146" s="1" t="s">
        <v>2506</v>
      </c>
      <c r="E7146" s="1" t="s">
        <v>2019</v>
      </c>
      <c r="F7146" s="1" t="s">
        <v>712</v>
      </c>
      <c r="G7146" s="6">
        <v>2835</v>
      </c>
      <c r="H7146" t="str">
        <f>IFERROR(VLOOKUP(F7146,'LEAID Match'!$A$2:$B$142,2,FALSE),"")</f>
        <v/>
      </c>
    </row>
    <row r="7147" spans="1:8" x14ac:dyDescent="0.2">
      <c r="A7147" t="str">
        <f t="shared" si="111"/>
        <v/>
      </c>
      <c r="B7147" s="1">
        <v>2019</v>
      </c>
      <c r="C7147" s="1" t="s">
        <v>2505</v>
      </c>
      <c r="D7147" s="1" t="s">
        <v>2506</v>
      </c>
      <c r="E7147" s="1" t="s">
        <v>2019</v>
      </c>
      <c r="F7147" s="1" t="s">
        <v>712</v>
      </c>
      <c r="G7147" s="6">
        <v>2722</v>
      </c>
      <c r="H7147" t="str">
        <f>IFERROR(VLOOKUP(F7147,'LEAID Match'!$A$2:$B$142,2,FALSE),"")</f>
        <v/>
      </c>
    </row>
    <row r="7148" spans="1:8" x14ac:dyDescent="0.2">
      <c r="A7148" t="str">
        <f t="shared" si="111"/>
        <v/>
      </c>
      <c r="B7148" s="1">
        <v>2020</v>
      </c>
      <c r="C7148" s="1" t="s">
        <v>2505</v>
      </c>
      <c r="D7148" s="1" t="s">
        <v>2506</v>
      </c>
      <c r="E7148" s="1" t="s">
        <v>2019</v>
      </c>
      <c r="F7148" s="1" t="s">
        <v>712</v>
      </c>
      <c r="G7148" s="6">
        <v>2506</v>
      </c>
      <c r="H7148" t="str">
        <f>IFERROR(VLOOKUP(F7148,'LEAID Match'!$A$2:$B$142,2,FALSE),"")</f>
        <v/>
      </c>
    </row>
    <row r="7149" spans="1:8" x14ac:dyDescent="0.2">
      <c r="A7149" t="str">
        <f t="shared" si="111"/>
        <v/>
      </c>
      <c r="B7149" s="1">
        <v>2021</v>
      </c>
      <c r="C7149" s="1" t="s">
        <v>2505</v>
      </c>
      <c r="D7149" s="1" t="s">
        <v>2506</v>
      </c>
      <c r="E7149" s="1" t="s">
        <v>2019</v>
      </c>
      <c r="F7149" s="1" t="s">
        <v>712</v>
      </c>
      <c r="G7149" s="6">
        <v>1069</v>
      </c>
      <c r="H7149" t="str">
        <f>IFERROR(VLOOKUP(F7149,'LEAID Match'!$A$2:$B$142,2,FALSE),"")</f>
        <v/>
      </c>
    </row>
    <row r="7150" spans="1:8" x14ac:dyDescent="0.2">
      <c r="A7150" t="str">
        <f t="shared" si="111"/>
        <v/>
      </c>
      <c r="B7150" s="1">
        <v>2022</v>
      </c>
      <c r="C7150" s="1" t="s">
        <v>2505</v>
      </c>
      <c r="D7150" s="1" t="s">
        <v>2506</v>
      </c>
      <c r="E7150" s="1" t="s">
        <v>2019</v>
      </c>
      <c r="F7150" s="1" t="s">
        <v>712</v>
      </c>
      <c r="G7150" s="6">
        <v>1737</v>
      </c>
      <c r="H7150" t="str">
        <f>IFERROR(VLOOKUP(F7150,'LEAID Match'!$A$2:$B$142,2,FALSE),"")</f>
        <v/>
      </c>
    </row>
    <row r="7151" spans="1:8" x14ac:dyDescent="0.2">
      <c r="A7151" t="str">
        <f t="shared" si="111"/>
        <v/>
      </c>
      <c r="B7151" s="1">
        <v>2023</v>
      </c>
      <c r="C7151" s="1" t="s">
        <v>2505</v>
      </c>
      <c r="D7151" s="1" t="s">
        <v>2506</v>
      </c>
      <c r="E7151" s="1" t="s">
        <v>2019</v>
      </c>
      <c r="F7151" s="1" t="s">
        <v>712</v>
      </c>
      <c r="G7151" s="6">
        <v>2004</v>
      </c>
      <c r="H7151" t="str">
        <f>IFERROR(VLOOKUP(F7151,'LEAID Match'!$A$2:$B$142,2,FALSE),"")</f>
        <v/>
      </c>
    </row>
    <row r="7152" spans="1:8" x14ac:dyDescent="0.2">
      <c r="A7152" t="str">
        <f t="shared" si="111"/>
        <v/>
      </c>
      <c r="B7152" s="1">
        <v>2024</v>
      </c>
      <c r="C7152" s="1" t="s">
        <v>2505</v>
      </c>
      <c r="D7152" s="1" t="s">
        <v>2506</v>
      </c>
      <c r="E7152" s="1" t="s">
        <v>2019</v>
      </c>
      <c r="F7152" s="1" t="s">
        <v>712</v>
      </c>
      <c r="G7152" s="6">
        <v>2004</v>
      </c>
      <c r="H7152" t="str">
        <f>IFERROR(VLOOKUP(F7152,'LEAID Match'!$A$2:$B$142,2,FALSE),"")</f>
        <v/>
      </c>
    </row>
    <row r="7153" spans="1:8" x14ac:dyDescent="0.2">
      <c r="A7153" t="str">
        <f t="shared" si="111"/>
        <v/>
      </c>
      <c r="B7153" s="1">
        <v>2015</v>
      </c>
      <c r="C7153" s="1" t="s">
        <v>2505</v>
      </c>
      <c r="D7153" s="1" t="s">
        <v>2506</v>
      </c>
      <c r="E7153" s="1" t="s">
        <v>2019</v>
      </c>
      <c r="F7153" s="1" t="s">
        <v>710</v>
      </c>
      <c r="G7153" s="6">
        <v>5906</v>
      </c>
      <c r="H7153" t="str">
        <f>IFERROR(VLOOKUP(F7153,'LEAID Match'!$A$2:$B$142,2,FALSE),"")</f>
        <v/>
      </c>
    </row>
    <row r="7154" spans="1:8" x14ac:dyDescent="0.2">
      <c r="A7154" t="str">
        <f t="shared" si="111"/>
        <v/>
      </c>
      <c r="B7154">
        <v>2016</v>
      </c>
      <c r="C7154" s="1" t="s">
        <v>2505</v>
      </c>
      <c r="D7154" s="1" t="s">
        <v>2506</v>
      </c>
      <c r="E7154" s="1" t="s">
        <v>2019</v>
      </c>
      <c r="F7154" s="1" t="s">
        <v>710</v>
      </c>
      <c r="G7154" s="12">
        <v>7723</v>
      </c>
      <c r="H7154" t="str">
        <f>IFERROR(VLOOKUP(F7154,'LEAID Match'!$A$2:$B$142,2,FALSE),"")</f>
        <v/>
      </c>
    </row>
    <row r="7155" spans="1:8" x14ac:dyDescent="0.2">
      <c r="A7155" t="str">
        <f t="shared" si="111"/>
        <v/>
      </c>
      <c r="B7155" s="1">
        <v>2017</v>
      </c>
      <c r="C7155" s="1" t="s">
        <v>2505</v>
      </c>
      <c r="D7155" s="1" t="s">
        <v>2506</v>
      </c>
      <c r="E7155" s="1" t="s">
        <v>2019</v>
      </c>
      <c r="F7155" s="1" t="s">
        <v>710</v>
      </c>
      <c r="G7155" s="47">
        <v>10801</v>
      </c>
      <c r="H7155" t="str">
        <f>IFERROR(VLOOKUP(F7155,'LEAID Match'!$A$2:$B$142,2,FALSE),"")</f>
        <v/>
      </c>
    </row>
    <row r="7156" spans="1:8" x14ac:dyDescent="0.2">
      <c r="A7156" t="str">
        <f t="shared" si="111"/>
        <v/>
      </c>
      <c r="B7156" s="1">
        <v>2018</v>
      </c>
      <c r="C7156" s="1" t="s">
        <v>2505</v>
      </c>
      <c r="D7156" s="1" t="s">
        <v>2506</v>
      </c>
      <c r="E7156" s="1" t="s">
        <v>2019</v>
      </c>
      <c r="F7156" s="1" t="s">
        <v>710</v>
      </c>
      <c r="G7156" s="6">
        <v>12321</v>
      </c>
      <c r="H7156" t="str">
        <f>IFERROR(VLOOKUP(F7156,'LEAID Match'!$A$2:$B$142,2,FALSE),"")</f>
        <v/>
      </c>
    </row>
    <row r="7157" spans="1:8" x14ac:dyDescent="0.2">
      <c r="A7157" t="str">
        <f t="shared" si="111"/>
        <v/>
      </c>
      <c r="B7157" s="1">
        <v>2019</v>
      </c>
      <c r="C7157" s="1" t="s">
        <v>2505</v>
      </c>
      <c r="D7157" s="1" t="s">
        <v>2506</v>
      </c>
      <c r="E7157" s="1" t="s">
        <v>2019</v>
      </c>
      <c r="F7157" s="1" t="s">
        <v>710</v>
      </c>
      <c r="G7157" s="6">
        <v>14541</v>
      </c>
      <c r="H7157" t="str">
        <f>IFERROR(VLOOKUP(F7157,'LEAID Match'!$A$2:$B$142,2,FALSE),"")</f>
        <v/>
      </c>
    </row>
    <row r="7158" spans="1:8" x14ac:dyDescent="0.2">
      <c r="A7158" t="str">
        <f t="shared" si="111"/>
        <v/>
      </c>
      <c r="B7158" s="1">
        <v>2020</v>
      </c>
      <c r="C7158" s="1" t="s">
        <v>2505</v>
      </c>
      <c r="D7158" s="1" t="s">
        <v>2506</v>
      </c>
      <c r="E7158" s="1" t="s">
        <v>2019</v>
      </c>
      <c r="F7158" s="1" t="s">
        <v>710</v>
      </c>
      <c r="G7158" s="6">
        <v>17310</v>
      </c>
      <c r="H7158" t="str">
        <f>IFERROR(VLOOKUP(F7158,'LEAID Match'!$A$2:$B$142,2,FALSE),"")</f>
        <v/>
      </c>
    </row>
    <row r="7159" spans="1:8" x14ac:dyDescent="0.2">
      <c r="A7159" t="str">
        <f t="shared" si="111"/>
        <v/>
      </c>
      <c r="B7159" s="1">
        <v>2021</v>
      </c>
      <c r="C7159" s="1" t="s">
        <v>2505</v>
      </c>
      <c r="D7159" s="1" t="s">
        <v>2506</v>
      </c>
      <c r="E7159" s="1" t="s">
        <v>2019</v>
      </c>
      <c r="F7159" s="1" t="s">
        <v>710</v>
      </c>
      <c r="G7159" s="6">
        <v>18149</v>
      </c>
      <c r="H7159" t="str">
        <f>IFERROR(VLOOKUP(F7159,'LEAID Match'!$A$2:$B$142,2,FALSE),"")</f>
        <v/>
      </c>
    </row>
    <row r="7160" spans="1:8" x14ac:dyDescent="0.2">
      <c r="A7160" t="str">
        <f t="shared" si="111"/>
        <v/>
      </c>
      <c r="B7160" s="1">
        <v>2022</v>
      </c>
      <c r="C7160" s="1" t="s">
        <v>2505</v>
      </c>
      <c r="D7160" s="1" t="s">
        <v>2506</v>
      </c>
      <c r="E7160" s="1" t="s">
        <v>2019</v>
      </c>
      <c r="F7160" s="1" t="s">
        <v>710</v>
      </c>
      <c r="G7160" s="6">
        <v>19016</v>
      </c>
      <c r="H7160" t="str">
        <f>IFERROR(VLOOKUP(F7160,'LEAID Match'!$A$2:$B$142,2,FALSE),"")</f>
        <v/>
      </c>
    </row>
    <row r="7161" spans="1:8" x14ac:dyDescent="0.2">
      <c r="A7161" t="str">
        <f t="shared" si="111"/>
        <v/>
      </c>
      <c r="B7161" s="1">
        <v>2023</v>
      </c>
      <c r="C7161" s="1" t="s">
        <v>2505</v>
      </c>
      <c r="D7161" s="1" t="s">
        <v>2506</v>
      </c>
      <c r="E7161" s="1" t="s">
        <v>2019</v>
      </c>
      <c r="F7161" s="1" t="s">
        <v>710</v>
      </c>
      <c r="G7161" s="6">
        <v>20109</v>
      </c>
      <c r="H7161" t="str">
        <f>IFERROR(VLOOKUP(F7161,'LEAID Match'!$A$2:$B$142,2,FALSE),"")</f>
        <v/>
      </c>
    </row>
    <row r="7162" spans="1:8" x14ac:dyDescent="0.2">
      <c r="A7162" t="str">
        <f t="shared" si="111"/>
        <v/>
      </c>
      <c r="B7162" s="1">
        <v>2024</v>
      </c>
      <c r="C7162" s="1" t="s">
        <v>2505</v>
      </c>
      <c r="D7162" s="1" t="s">
        <v>2506</v>
      </c>
      <c r="E7162" s="1" t="s">
        <v>2019</v>
      </c>
      <c r="F7162" s="1" t="s">
        <v>710</v>
      </c>
      <c r="G7162" s="6">
        <v>21112</v>
      </c>
      <c r="H7162" t="str">
        <f>IFERROR(VLOOKUP(F7162,'LEAID Match'!$A$2:$B$142,2,FALSE),"")</f>
        <v/>
      </c>
    </row>
    <row r="7163" spans="1:8" x14ac:dyDescent="0.2">
      <c r="A7163" t="str">
        <f t="shared" si="111"/>
        <v/>
      </c>
      <c r="B7163" s="1">
        <v>2015</v>
      </c>
      <c r="C7163" s="1" t="s">
        <v>2505</v>
      </c>
      <c r="D7163" s="1" t="s">
        <v>2506</v>
      </c>
      <c r="E7163" s="1" t="s">
        <v>2019</v>
      </c>
      <c r="F7163" s="1" t="s">
        <v>713</v>
      </c>
      <c r="G7163" s="6">
        <v>34227</v>
      </c>
      <c r="H7163" t="str">
        <f>IFERROR(VLOOKUP(F7163,'LEAID Match'!$A$2:$B$142,2,FALSE),"")</f>
        <v/>
      </c>
    </row>
    <row r="7164" spans="1:8" x14ac:dyDescent="0.2">
      <c r="A7164" t="str">
        <f t="shared" si="111"/>
        <v/>
      </c>
      <c r="B7164">
        <v>2016</v>
      </c>
      <c r="C7164" s="1" t="s">
        <v>2505</v>
      </c>
      <c r="D7164" s="1" t="s">
        <v>2506</v>
      </c>
      <c r="E7164" s="1" t="s">
        <v>2019</v>
      </c>
      <c r="F7164" s="1" t="s">
        <v>713</v>
      </c>
      <c r="G7164" s="12">
        <v>39823</v>
      </c>
      <c r="H7164" t="str">
        <f>IFERROR(VLOOKUP(F7164,'LEAID Match'!$A$2:$B$142,2,FALSE),"")</f>
        <v/>
      </c>
    </row>
    <row r="7165" spans="1:8" x14ac:dyDescent="0.2">
      <c r="A7165" t="str">
        <f t="shared" si="111"/>
        <v/>
      </c>
      <c r="B7165" s="1">
        <v>2017</v>
      </c>
      <c r="C7165" s="1" t="s">
        <v>2505</v>
      </c>
      <c r="D7165" s="1" t="s">
        <v>2506</v>
      </c>
      <c r="E7165" s="1" t="s">
        <v>2019</v>
      </c>
      <c r="F7165" s="1" t="s">
        <v>713</v>
      </c>
      <c r="G7165" s="47">
        <v>45353</v>
      </c>
      <c r="H7165" t="str">
        <f>IFERROR(VLOOKUP(F7165,'LEAID Match'!$A$2:$B$142,2,FALSE),"")</f>
        <v/>
      </c>
    </row>
    <row r="7166" spans="1:8" x14ac:dyDescent="0.2">
      <c r="A7166" t="str">
        <f t="shared" si="111"/>
        <v/>
      </c>
      <c r="B7166" s="1">
        <v>2018</v>
      </c>
      <c r="C7166" s="1" t="s">
        <v>2505</v>
      </c>
      <c r="D7166" s="1" t="s">
        <v>2506</v>
      </c>
      <c r="E7166" s="1" t="s">
        <v>2019</v>
      </c>
      <c r="F7166" s="1" t="s">
        <v>713</v>
      </c>
      <c r="G7166" s="6">
        <v>42594</v>
      </c>
      <c r="H7166" t="str">
        <f>IFERROR(VLOOKUP(F7166,'LEAID Match'!$A$2:$B$142,2,FALSE),"")</f>
        <v/>
      </c>
    </row>
    <row r="7167" spans="1:8" x14ac:dyDescent="0.2">
      <c r="A7167" t="str">
        <f t="shared" si="111"/>
        <v/>
      </c>
      <c r="B7167" s="1">
        <v>2019</v>
      </c>
      <c r="C7167" s="1" t="s">
        <v>2505</v>
      </c>
      <c r="D7167" s="1" t="s">
        <v>2506</v>
      </c>
      <c r="E7167" s="1" t="s">
        <v>2019</v>
      </c>
      <c r="F7167" s="1" t="s">
        <v>713</v>
      </c>
      <c r="G7167" s="6">
        <v>42112</v>
      </c>
      <c r="H7167" t="str">
        <f>IFERROR(VLOOKUP(F7167,'LEAID Match'!$A$2:$B$142,2,FALSE),"")</f>
        <v/>
      </c>
    </row>
    <row r="7168" spans="1:8" x14ac:dyDescent="0.2">
      <c r="A7168" t="str">
        <f t="shared" si="111"/>
        <v/>
      </c>
      <c r="B7168" s="1">
        <v>2020</v>
      </c>
      <c r="C7168" s="1" t="s">
        <v>2505</v>
      </c>
      <c r="D7168" s="1" t="s">
        <v>2506</v>
      </c>
      <c r="E7168" s="1" t="s">
        <v>2019</v>
      </c>
      <c r="F7168" s="1" t="s">
        <v>713</v>
      </c>
      <c r="G7168" s="6">
        <v>47070</v>
      </c>
      <c r="H7168" t="str">
        <f>IFERROR(VLOOKUP(F7168,'LEAID Match'!$A$2:$B$142,2,FALSE),"")</f>
        <v/>
      </c>
    </row>
    <row r="7169" spans="1:8" x14ac:dyDescent="0.2">
      <c r="A7169" t="str">
        <f t="shared" si="111"/>
        <v/>
      </c>
      <c r="B7169" s="1">
        <v>2021</v>
      </c>
      <c r="C7169" s="1" t="s">
        <v>2505</v>
      </c>
      <c r="D7169" s="1" t="s">
        <v>2506</v>
      </c>
      <c r="E7169" s="1" t="s">
        <v>2019</v>
      </c>
      <c r="F7169" s="1" t="s">
        <v>713</v>
      </c>
      <c r="G7169" s="6">
        <v>48133</v>
      </c>
      <c r="H7169" t="str">
        <f>IFERROR(VLOOKUP(F7169,'LEAID Match'!$A$2:$B$142,2,FALSE),"")</f>
        <v/>
      </c>
    </row>
    <row r="7170" spans="1:8" x14ac:dyDescent="0.2">
      <c r="A7170" t="str">
        <f t="shared" si="111"/>
        <v/>
      </c>
      <c r="B7170" s="1">
        <v>2022</v>
      </c>
      <c r="C7170" s="1" t="s">
        <v>2505</v>
      </c>
      <c r="D7170" s="1" t="s">
        <v>2506</v>
      </c>
      <c r="E7170" s="1" t="s">
        <v>2019</v>
      </c>
      <c r="F7170" s="1" t="s">
        <v>713</v>
      </c>
      <c r="G7170" s="6">
        <v>45787</v>
      </c>
      <c r="H7170" t="str">
        <f>IFERROR(VLOOKUP(F7170,'LEAID Match'!$A$2:$B$142,2,FALSE),"")</f>
        <v/>
      </c>
    </row>
    <row r="7171" spans="1:8" x14ac:dyDescent="0.2">
      <c r="A7171" t="str">
        <f t="shared" ref="A7171:A7234" si="112">H7171</f>
        <v/>
      </c>
      <c r="B7171" s="1">
        <v>2023</v>
      </c>
      <c r="C7171" s="1" t="s">
        <v>2505</v>
      </c>
      <c r="D7171" s="1" t="s">
        <v>2506</v>
      </c>
      <c r="E7171" s="1" t="s">
        <v>2019</v>
      </c>
      <c r="F7171" s="1" t="s">
        <v>713</v>
      </c>
      <c r="G7171" s="6">
        <v>48706</v>
      </c>
      <c r="H7171" t="str">
        <f>IFERROR(VLOOKUP(F7171,'LEAID Match'!$A$2:$B$142,2,FALSE),"")</f>
        <v/>
      </c>
    </row>
    <row r="7172" spans="1:8" x14ac:dyDescent="0.2">
      <c r="A7172" t="str">
        <f t="shared" si="112"/>
        <v/>
      </c>
      <c r="B7172" s="1">
        <v>2024</v>
      </c>
      <c r="C7172" s="1" t="s">
        <v>2505</v>
      </c>
      <c r="D7172" s="1" t="s">
        <v>2506</v>
      </c>
      <c r="E7172" s="1" t="s">
        <v>2019</v>
      </c>
      <c r="F7172" s="1" t="s">
        <v>713</v>
      </c>
      <c r="G7172" s="6">
        <v>46834</v>
      </c>
      <c r="H7172" t="str">
        <f>IFERROR(VLOOKUP(F7172,'LEAID Match'!$A$2:$B$142,2,FALSE),"")</f>
        <v/>
      </c>
    </row>
    <row r="7173" spans="1:8" x14ac:dyDescent="0.2">
      <c r="A7173" t="str">
        <f t="shared" si="112"/>
        <v/>
      </c>
      <c r="B7173" s="1">
        <v>2015</v>
      </c>
      <c r="C7173" s="1" t="s">
        <v>2505</v>
      </c>
      <c r="D7173" s="1" t="s">
        <v>2506</v>
      </c>
      <c r="E7173" s="1" t="s">
        <v>2019</v>
      </c>
      <c r="F7173" s="1" t="s">
        <v>714</v>
      </c>
      <c r="G7173" s="6">
        <v>13836</v>
      </c>
      <c r="H7173" t="str">
        <f>IFERROR(VLOOKUP(F7173,'LEAID Match'!$A$2:$B$142,2,FALSE),"")</f>
        <v/>
      </c>
    </row>
    <row r="7174" spans="1:8" x14ac:dyDescent="0.2">
      <c r="A7174" t="str">
        <f t="shared" si="112"/>
        <v/>
      </c>
      <c r="B7174">
        <v>2016</v>
      </c>
      <c r="C7174" s="1" t="s">
        <v>2505</v>
      </c>
      <c r="D7174" s="1" t="s">
        <v>2506</v>
      </c>
      <c r="E7174" s="1" t="s">
        <v>2019</v>
      </c>
      <c r="F7174" s="1" t="s">
        <v>714</v>
      </c>
      <c r="G7174" s="12">
        <v>13382</v>
      </c>
      <c r="H7174" t="str">
        <f>IFERROR(VLOOKUP(F7174,'LEAID Match'!$A$2:$B$142,2,FALSE),"")</f>
        <v/>
      </c>
    </row>
    <row r="7175" spans="1:8" x14ac:dyDescent="0.2">
      <c r="A7175" t="str">
        <f t="shared" si="112"/>
        <v/>
      </c>
      <c r="B7175" s="1">
        <v>2017</v>
      </c>
      <c r="C7175" s="1" t="s">
        <v>2505</v>
      </c>
      <c r="D7175" s="1" t="s">
        <v>2506</v>
      </c>
      <c r="E7175" s="1" t="s">
        <v>2019</v>
      </c>
      <c r="F7175" s="1" t="s">
        <v>714</v>
      </c>
      <c r="G7175" s="47">
        <v>14560</v>
      </c>
      <c r="H7175" t="str">
        <f>IFERROR(VLOOKUP(F7175,'LEAID Match'!$A$2:$B$142,2,FALSE),"")</f>
        <v/>
      </c>
    </row>
    <row r="7176" spans="1:8" x14ac:dyDescent="0.2">
      <c r="A7176" t="str">
        <f t="shared" si="112"/>
        <v/>
      </c>
      <c r="B7176" s="1">
        <v>2018</v>
      </c>
      <c r="C7176" s="1" t="s">
        <v>2505</v>
      </c>
      <c r="D7176" s="1" t="s">
        <v>2506</v>
      </c>
      <c r="E7176" s="1" t="s">
        <v>2019</v>
      </c>
      <c r="F7176" s="1" t="s">
        <v>714</v>
      </c>
      <c r="G7176" s="6">
        <v>13777</v>
      </c>
      <c r="H7176" t="str">
        <f>IFERROR(VLOOKUP(F7176,'LEAID Match'!$A$2:$B$142,2,FALSE),"")</f>
        <v/>
      </c>
    </row>
    <row r="7177" spans="1:8" x14ac:dyDescent="0.2">
      <c r="A7177" t="str">
        <f t="shared" si="112"/>
        <v/>
      </c>
      <c r="B7177" s="1">
        <v>2019</v>
      </c>
      <c r="C7177" s="1" t="s">
        <v>2505</v>
      </c>
      <c r="D7177" s="1" t="s">
        <v>2506</v>
      </c>
      <c r="E7177" s="1" t="s">
        <v>2019</v>
      </c>
      <c r="F7177" s="1" t="s">
        <v>714</v>
      </c>
      <c r="G7177" s="6">
        <v>12360</v>
      </c>
      <c r="H7177" t="str">
        <f>IFERROR(VLOOKUP(F7177,'LEAID Match'!$A$2:$B$142,2,FALSE),"")</f>
        <v/>
      </c>
    </row>
    <row r="7178" spans="1:8" x14ac:dyDescent="0.2">
      <c r="A7178" t="str">
        <f t="shared" si="112"/>
        <v/>
      </c>
      <c r="B7178" s="1">
        <v>2020</v>
      </c>
      <c r="C7178" s="1" t="s">
        <v>2505</v>
      </c>
      <c r="D7178" s="1" t="s">
        <v>2506</v>
      </c>
      <c r="E7178" s="1" t="s">
        <v>2019</v>
      </c>
      <c r="F7178" s="1" t="s">
        <v>714</v>
      </c>
      <c r="G7178" s="6">
        <v>14350</v>
      </c>
      <c r="H7178" t="str">
        <f>IFERROR(VLOOKUP(F7178,'LEAID Match'!$A$2:$B$142,2,FALSE),"")</f>
        <v/>
      </c>
    </row>
    <row r="7179" spans="1:8" x14ac:dyDescent="0.2">
      <c r="A7179" t="str">
        <f t="shared" si="112"/>
        <v/>
      </c>
      <c r="B7179" s="1">
        <v>2021</v>
      </c>
      <c r="C7179" s="1" t="s">
        <v>2505</v>
      </c>
      <c r="D7179" s="1" t="s">
        <v>2506</v>
      </c>
      <c r="E7179" s="1" t="s">
        <v>2019</v>
      </c>
      <c r="F7179" s="1" t="s">
        <v>714</v>
      </c>
      <c r="G7179" s="6">
        <v>13615</v>
      </c>
      <c r="H7179" t="str">
        <f>IFERROR(VLOOKUP(F7179,'LEAID Match'!$A$2:$B$142,2,FALSE),"")</f>
        <v/>
      </c>
    </row>
    <row r="7180" spans="1:8" x14ac:dyDescent="0.2">
      <c r="A7180" t="str">
        <f t="shared" si="112"/>
        <v/>
      </c>
      <c r="B7180" s="1">
        <v>2022</v>
      </c>
      <c r="C7180" s="1" t="s">
        <v>2505</v>
      </c>
      <c r="D7180" s="1" t="s">
        <v>2506</v>
      </c>
      <c r="E7180" s="1" t="s">
        <v>2019</v>
      </c>
      <c r="F7180" s="1" t="s">
        <v>714</v>
      </c>
      <c r="G7180" s="6">
        <v>13543</v>
      </c>
      <c r="H7180" t="str">
        <f>IFERROR(VLOOKUP(F7180,'LEAID Match'!$A$2:$B$142,2,FALSE),"")</f>
        <v/>
      </c>
    </row>
    <row r="7181" spans="1:8" x14ac:dyDescent="0.2">
      <c r="A7181" t="str">
        <f t="shared" si="112"/>
        <v/>
      </c>
      <c r="B7181" s="1">
        <v>2023</v>
      </c>
      <c r="C7181" s="1" t="s">
        <v>2505</v>
      </c>
      <c r="D7181" s="1" t="s">
        <v>2506</v>
      </c>
      <c r="E7181" s="1" t="s">
        <v>2019</v>
      </c>
      <c r="F7181" s="1" t="s">
        <v>714</v>
      </c>
      <c r="G7181" s="6">
        <v>13307</v>
      </c>
      <c r="H7181" t="str">
        <f>IFERROR(VLOOKUP(F7181,'LEAID Match'!$A$2:$B$142,2,FALSE),"")</f>
        <v/>
      </c>
    </row>
    <row r="7182" spans="1:8" x14ac:dyDescent="0.2">
      <c r="A7182" t="str">
        <f t="shared" si="112"/>
        <v/>
      </c>
      <c r="B7182" s="1">
        <v>2024</v>
      </c>
      <c r="C7182" s="1" t="s">
        <v>2505</v>
      </c>
      <c r="D7182" s="1" t="s">
        <v>2506</v>
      </c>
      <c r="E7182" s="1" t="s">
        <v>2019</v>
      </c>
      <c r="F7182" s="1" t="s">
        <v>714</v>
      </c>
      <c r="G7182" s="6">
        <v>12310</v>
      </c>
      <c r="H7182" t="str">
        <f>IFERROR(VLOOKUP(F7182,'LEAID Match'!$A$2:$B$142,2,FALSE),"")</f>
        <v/>
      </c>
    </row>
    <row r="7183" spans="1:8" x14ac:dyDescent="0.2">
      <c r="A7183" t="str">
        <f t="shared" si="112"/>
        <v/>
      </c>
      <c r="B7183" s="1">
        <v>2015</v>
      </c>
      <c r="C7183" s="1" t="s">
        <v>2505</v>
      </c>
      <c r="D7183" s="1" t="s">
        <v>2506</v>
      </c>
      <c r="E7183" s="1" t="s">
        <v>2019</v>
      </c>
      <c r="F7183" s="1" t="s">
        <v>715</v>
      </c>
      <c r="G7183" s="6">
        <v>1985</v>
      </c>
      <c r="H7183" t="str">
        <f>IFERROR(VLOOKUP(F7183,'LEAID Match'!$A$2:$B$142,2,FALSE),"")</f>
        <v/>
      </c>
    </row>
    <row r="7184" spans="1:8" x14ac:dyDescent="0.2">
      <c r="A7184" t="str">
        <f t="shared" si="112"/>
        <v/>
      </c>
      <c r="B7184">
        <v>2016</v>
      </c>
      <c r="C7184" s="1" t="s">
        <v>2505</v>
      </c>
      <c r="D7184" s="1" t="s">
        <v>2506</v>
      </c>
      <c r="E7184" s="1" t="s">
        <v>2019</v>
      </c>
      <c r="F7184" s="1" t="s">
        <v>715</v>
      </c>
      <c r="G7184" s="12">
        <v>1985</v>
      </c>
      <c r="H7184" t="str">
        <f>IFERROR(VLOOKUP(F7184,'LEAID Match'!$A$2:$B$142,2,FALSE),"")</f>
        <v/>
      </c>
    </row>
    <row r="7185" spans="1:8" x14ac:dyDescent="0.2">
      <c r="A7185" t="str">
        <f t="shared" si="112"/>
        <v/>
      </c>
      <c r="B7185" s="1">
        <v>2017</v>
      </c>
      <c r="C7185" s="1" t="s">
        <v>2505</v>
      </c>
      <c r="D7185" s="1" t="s">
        <v>2506</v>
      </c>
      <c r="E7185" s="1" t="s">
        <v>2019</v>
      </c>
      <c r="F7185" s="1" t="s">
        <v>715</v>
      </c>
      <c r="G7185" s="47">
        <v>1985</v>
      </c>
      <c r="H7185" t="str">
        <f>IFERROR(VLOOKUP(F7185,'LEAID Match'!$A$2:$B$142,2,FALSE),"")</f>
        <v/>
      </c>
    </row>
    <row r="7186" spans="1:8" x14ac:dyDescent="0.2">
      <c r="A7186" t="str">
        <f t="shared" si="112"/>
        <v/>
      </c>
      <c r="B7186" s="1">
        <v>2018</v>
      </c>
      <c r="C7186" s="1" t="s">
        <v>2505</v>
      </c>
      <c r="D7186" s="1" t="s">
        <v>2506</v>
      </c>
      <c r="E7186" s="1" t="s">
        <v>2019</v>
      </c>
      <c r="F7186" s="1" t="s">
        <v>715</v>
      </c>
      <c r="G7186" s="6">
        <v>1985</v>
      </c>
      <c r="H7186" t="str">
        <f>IFERROR(VLOOKUP(F7186,'LEAID Match'!$A$2:$B$142,2,FALSE),"")</f>
        <v/>
      </c>
    </row>
    <row r="7187" spans="1:8" x14ac:dyDescent="0.2">
      <c r="A7187" t="str">
        <f t="shared" si="112"/>
        <v/>
      </c>
      <c r="B7187" s="1">
        <v>2019</v>
      </c>
      <c r="C7187" s="1" t="s">
        <v>2505</v>
      </c>
      <c r="D7187" s="1" t="s">
        <v>2506</v>
      </c>
      <c r="E7187" s="1" t="s">
        <v>2019</v>
      </c>
      <c r="F7187" s="1" t="s">
        <v>715</v>
      </c>
      <c r="G7187" s="6">
        <v>1985</v>
      </c>
      <c r="H7187" t="str">
        <f>IFERROR(VLOOKUP(F7187,'LEAID Match'!$A$2:$B$142,2,FALSE),"")</f>
        <v/>
      </c>
    </row>
    <row r="7188" spans="1:8" x14ac:dyDescent="0.2">
      <c r="A7188" t="str">
        <f t="shared" si="112"/>
        <v/>
      </c>
      <c r="B7188" s="1">
        <v>2020</v>
      </c>
      <c r="C7188" s="1" t="s">
        <v>2505</v>
      </c>
      <c r="D7188" s="1" t="s">
        <v>2506</v>
      </c>
      <c r="E7188" s="1" t="s">
        <v>2019</v>
      </c>
      <c r="F7188" s="1" t="s">
        <v>715</v>
      </c>
      <c r="G7188" s="6">
        <v>2192</v>
      </c>
      <c r="H7188" t="str">
        <f>IFERROR(VLOOKUP(F7188,'LEAID Match'!$A$2:$B$142,2,FALSE),"")</f>
        <v/>
      </c>
    </row>
    <row r="7189" spans="1:8" x14ac:dyDescent="0.2">
      <c r="A7189" t="str">
        <f t="shared" si="112"/>
        <v/>
      </c>
      <c r="B7189" s="1">
        <v>2021</v>
      </c>
      <c r="C7189" s="1" t="s">
        <v>2505</v>
      </c>
      <c r="D7189" s="1" t="s">
        <v>2506</v>
      </c>
      <c r="E7189" s="1" t="s">
        <v>2019</v>
      </c>
      <c r="F7189" s="1" t="s">
        <v>715</v>
      </c>
      <c r="G7189" s="6">
        <v>2192</v>
      </c>
      <c r="H7189" t="str">
        <f>IFERROR(VLOOKUP(F7189,'LEAID Match'!$A$2:$B$142,2,FALSE),"")</f>
        <v/>
      </c>
    </row>
    <row r="7190" spans="1:8" x14ac:dyDescent="0.2">
      <c r="A7190" t="str">
        <f t="shared" si="112"/>
        <v/>
      </c>
      <c r="B7190" s="1">
        <v>2022</v>
      </c>
      <c r="C7190" s="1" t="s">
        <v>2505</v>
      </c>
      <c r="D7190" s="1" t="s">
        <v>2506</v>
      </c>
      <c r="E7190" s="1" t="s">
        <v>2019</v>
      </c>
      <c r="F7190" s="1" t="s">
        <v>715</v>
      </c>
      <c r="G7190" s="6">
        <v>2324</v>
      </c>
      <c r="H7190" t="str">
        <f>IFERROR(VLOOKUP(F7190,'LEAID Match'!$A$2:$B$142,2,FALSE),"")</f>
        <v/>
      </c>
    </row>
    <row r="7191" spans="1:8" x14ac:dyDescent="0.2">
      <c r="A7191" t="str">
        <f t="shared" si="112"/>
        <v/>
      </c>
      <c r="B7191" s="1">
        <v>2023</v>
      </c>
      <c r="C7191" s="1" t="s">
        <v>2505</v>
      </c>
      <c r="D7191" s="1" t="s">
        <v>2506</v>
      </c>
      <c r="E7191" s="1" t="s">
        <v>2019</v>
      </c>
      <c r="F7191" s="1" t="s">
        <v>715</v>
      </c>
      <c r="G7191" s="6">
        <v>2977</v>
      </c>
      <c r="H7191" t="str">
        <f>IFERROR(VLOOKUP(F7191,'LEAID Match'!$A$2:$B$142,2,FALSE),"")</f>
        <v/>
      </c>
    </row>
    <row r="7192" spans="1:8" x14ac:dyDescent="0.2">
      <c r="A7192" t="str">
        <f t="shared" si="112"/>
        <v/>
      </c>
      <c r="B7192" s="1">
        <v>2024</v>
      </c>
      <c r="C7192" s="1" t="s">
        <v>2505</v>
      </c>
      <c r="D7192" s="1" t="s">
        <v>2506</v>
      </c>
      <c r="E7192" s="1" t="s">
        <v>2019</v>
      </c>
      <c r="F7192" s="1" t="s">
        <v>715</v>
      </c>
      <c r="G7192" s="6">
        <v>3838</v>
      </c>
      <c r="H7192" t="str">
        <f>IFERROR(VLOOKUP(F7192,'LEAID Match'!$A$2:$B$142,2,FALSE),"")</f>
        <v/>
      </c>
    </row>
    <row r="7193" spans="1:8" x14ac:dyDescent="0.2">
      <c r="A7193" t="str">
        <f t="shared" si="112"/>
        <v/>
      </c>
      <c r="B7193" s="1">
        <v>2015</v>
      </c>
      <c r="C7193" s="1" t="s">
        <v>2505</v>
      </c>
      <c r="D7193" s="1" t="s">
        <v>2506</v>
      </c>
      <c r="E7193" s="1" t="s">
        <v>2019</v>
      </c>
      <c r="F7193" s="1" t="s">
        <v>716</v>
      </c>
      <c r="G7193" s="6">
        <v>71090</v>
      </c>
      <c r="H7193" t="str">
        <f>IFERROR(VLOOKUP(F7193,'LEAID Match'!$A$2:$B$142,2,FALSE),"")</f>
        <v/>
      </c>
    </row>
    <row r="7194" spans="1:8" x14ac:dyDescent="0.2">
      <c r="A7194" t="str">
        <f t="shared" si="112"/>
        <v/>
      </c>
      <c r="B7194">
        <v>2016</v>
      </c>
      <c r="C7194" s="1" t="s">
        <v>2505</v>
      </c>
      <c r="D7194" s="1" t="s">
        <v>2506</v>
      </c>
      <c r="E7194" s="1" t="s">
        <v>2019</v>
      </c>
      <c r="F7194" s="1" t="s">
        <v>716</v>
      </c>
      <c r="G7194" s="12">
        <v>73913</v>
      </c>
      <c r="H7194" t="str">
        <f>IFERROR(VLOOKUP(F7194,'LEAID Match'!$A$2:$B$142,2,FALSE),"")</f>
        <v/>
      </c>
    </row>
    <row r="7195" spans="1:8" x14ac:dyDescent="0.2">
      <c r="A7195" t="str">
        <f t="shared" si="112"/>
        <v/>
      </c>
      <c r="B7195" s="1">
        <v>2017</v>
      </c>
      <c r="C7195" s="1" t="s">
        <v>2505</v>
      </c>
      <c r="D7195" s="1" t="s">
        <v>2506</v>
      </c>
      <c r="E7195" s="1" t="s">
        <v>2019</v>
      </c>
      <c r="F7195" s="1" t="s">
        <v>716</v>
      </c>
      <c r="G7195" s="47">
        <v>71422</v>
      </c>
      <c r="H7195" t="str">
        <f>IFERROR(VLOOKUP(F7195,'LEAID Match'!$A$2:$B$142,2,FALSE),"")</f>
        <v/>
      </c>
    </row>
    <row r="7196" spans="1:8" x14ac:dyDescent="0.2">
      <c r="A7196" t="str">
        <f t="shared" si="112"/>
        <v/>
      </c>
      <c r="B7196" s="1">
        <v>2018</v>
      </c>
      <c r="C7196" s="1" t="s">
        <v>2505</v>
      </c>
      <c r="D7196" s="1" t="s">
        <v>2506</v>
      </c>
      <c r="E7196" s="1" t="s">
        <v>2019</v>
      </c>
      <c r="F7196" s="1" t="s">
        <v>716</v>
      </c>
      <c r="G7196" s="6">
        <v>66351</v>
      </c>
      <c r="H7196" t="str">
        <f>IFERROR(VLOOKUP(F7196,'LEAID Match'!$A$2:$B$142,2,FALSE),"")</f>
        <v/>
      </c>
    </row>
    <row r="7197" spans="1:8" x14ac:dyDescent="0.2">
      <c r="A7197" t="str">
        <f t="shared" si="112"/>
        <v/>
      </c>
      <c r="B7197" s="1">
        <v>2019</v>
      </c>
      <c r="C7197" s="1" t="s">
        <v>2505</v>
      </c>
      <c r="D7197" s="1" t="s">
        <v>2506</v>
      </c>
      <c r="E7197" s="1" t="s">
        <v>2019</v>
      </c>
      <c r="F7197" s="1" t="s">
        <v>716</v>
      </c>
      <c r="G7197" s="6">
        <v>73415</v>
      </c>
      <c r="H7197" t="str">
        <f>IFERROR(VLOOKUP(F7197,'LEAID Match'!$A$2:$B$142,2,FALSE),"")</f>
        <v/>
      </c>
    </row>
    <row r="7198" spans="1:8" x14ac:dyDescent="0.2">
      <c r="A7198" t="str">
        <f t="shared" si="112"/>
        <v/>
      </c>
      <c r="B7198" s="1">
        <v>2020</v>
      </c>
      <c r="C7198" s="1" t="s">
        <v>2505</v>
      </c>
      <c r="D7198" s="1" t="s">
        <v>2506</v>
      </c>
      <c r="E7198" s="1" t="s">
        <v>2019</v>
      </c>
      <c r="F7198" s="1" t="s">
        <v>716</v>
      </c>
      <c r="G7198" s="6">
        <v>83148</v>
      </c>
      <c r="H7198" t="str">
        <f>IFERROR(VLOOKUP(F7198,'LEAID Match'!$A$2:$B$142,2,FALSE),"")</f>
        <v/>
      </c>
    </row>
    <row r="7199" spans="1:8" x14ac:dyDescent="0.2">
      <c r="A7199" t="str">
        <f t="shared" si="112"/>
        <v/>
      </c>
      <c r="B7199" s="1">
        <v>2021</v>
      </c>
      <c r="C7199" s="1" t="s">
        <v>2505</v>
      </c>
      <c r="D7199" s="1" t="s">
        <v>2506</v>
      </c>
      <c r="E7199" s="1" t="s">
        <v>2019</v>
      </c>
      <c r="F7199" s="1" t="s">
        <v>716</v>
      </c>
      <c r="G7199" s="6">
        <v>99610</v>
      </c>
      <c r="H7199" t="str">
        <f>IFERROR(VLOOKUP(F7199,'LEAID Match'!$A$2:$B$142,2,FALSE),"")</f>
        <v/>
      </c>
    </row>
    <row r="7200" spans="1:8" x14ac:dyDescent="0.2">
      <c r="A7200" t="str">
        <f t="shared" si="112"/>
        <v/>
      </c>
      <c r="B7200" s="1">
        <v>2022</v>
      </c>
      <c r="C7200" s="1" t="s">
        <v>2505</v>
      </c>
      <c r="D7200" s="1" t="s">
        <v>2506</v>
      </c>
      <c r="E7200" s="1" t="s">
        <v>2019</v>
      </c>
      <c r="F7200" s="1" t="s">
        <v>716</v>
      </c>
      <c r="G7200" s="6">
        <v>114056</v>
      </c>
      <c r="H7200" t="str">
        <f>IFERROR(VLOOKUP(F7200,'LEAID Match'!$A$2:$B$142,2,FALSE),"")</f>
        <v/>
      </c>
    </row>
    <row r="7201" spans="1:8" x14ac:dyDescent="0.2">
      <c r="A7201" t="str">
        <f t="shared" si="112"/>
        <v/>
      </c>
      <c r="B7201" s="1">
        <v>2023</v>
      </c>
      <c r="C7201" s="1" t="s">
        <v>2505</v>
      </c>
      <c r="D7201" s="1" t="s">
        <v>2506</v>
      </c>
      <c r="E7201" s="1" t="s">
        <v>2019</v>
      </c>
      <c r="F7201" s="1" t="s">
        <v>716</v>
      </c>
      <c r="G7201" s="6">
        <v>108318</v>
      </c>
      <c r="H7201" t="str">
        <f>IFERROR(VLOOKUP(F7201,'LEAID Match'!$A$2:$B$142,2,FALSE),"")</f>
        <v/>
      </c>
    </row>
    <row r="7202" spans="1:8" x14ac:dyDescent="0.2">
      <c r="A7202" t="str">
        <f t="shared" si="112"/>
        <v/>
      </c>
      <c r="B7202" s="1">
        <v>2024</v>
      </c>
      <c r="C7202" s="1" t="s">
        <v>2505</v>
      </c>
      <c r="D7202" s="1" t="s">
        <v>2506</v>
      </c>
      <c r="E7202" s="1" t="s">
        <v>2019</v>
      </c>
      <c r="F7202" s="1" t="s">
        <v>716</v>
      </c>
      <c r="G7202" s="6">
        <v>104080</v>
      </c>
      <c r="H7202" t="str">
        <f>IFERROR(VLOOKUP(F7202,'LEAID Match'!$A$2:$B$142,2,FALSE),"")</f>
        <v/>
      </c>
    </row>
    <row r="7203" spans="1:8" x14ac:dyDescent="0.2">
      <c r="A7203" t="str">
        <f t="shared" si="112"/>
        <v/>
      </c>
      <c r="B7203" s="1">
        <v>2015</v>
      </c>
      <c r="C7203" s="1" t="s">
        <v>2505</v>
      </c>
      <c r="D7203" s="1" t="s">
        <v>2506</v>
      </c>
      <c r="E7203" s="1" t="s">
        <v>2019</v>
      </c>
      <c r="F7203" s="1" t="s">
        <v>717</v>
      </c>
      <c r="G7203" s="6">
        <v>26037</v>
      </c>
      <c r="H7203" t="str">
        <f>IFERROR(VLOOKUP(F7203,'LEAID Match'!$A$2:$B$142,2,FALSE),"")</f>
        <v/>
      </c>
    </row>
    <row r="7204" spans="1:8" x14ac:dyDescent="0.2">
      <c r="A7204" t="str">
        <f t="shared" si="112"/>
        <v/>
      </c>
      <c r="B7204">
        <v>2016</v>
      </c>
      <c r="C7204" s="1" t="s">
        <v>2505</v>
      </c>
      <c r="D7204" s="1" t="s">
        <v>2506</v>
      </c>
      <c r="E7204" s="1" t="s">
        <v>2019</v>
      </c>
      <c r="F7204" s="1" t="s">
        <v>717</v>
      </c>
      <c r="G7204" s="12">
        <v>28613</v>
      </c>
      <c r="H7204" t="str">
        <f>IFERROR(VLOOKUP(F7204,'LEAID Match'!$A$2:$B$142,2,FALSE),"")</f>
        <v/>
      </c>
    </row>
    <row r="7205" spans="1:8" x14ac:dyDescent="0.2">
      <c r="A7205" t="str">
        <f t="shared" si="112"/>
        <v/>
      </c>
      <c r="B7205" s="1">
        <v>2017</v>
      </c>
      <c r="C7205" s="1" t="s">
        <v>2505</v>
      </c>
      <c r="D7205" s="1" t="s">
        <v>2506</v>
      </c>
      <c r="E7205" s="1" t="s">
        <v>2019</v>
      </c>
      <c r="F7205" s="1" t="s">
        <v>717</v>
      </c>
      <c r="G7205" s="47">
        <v>29204</v>
      </c>
      <c r="H7205" t="str">
        <f>IFERROR(VLOOKUP(F7205,'LEAID Match'!$A$2:$B$142,2,FALSE),"")</f>
        <v/>
      </c>
    </row>
    <row r="7206" spans="1:8" x14ac:dyDescent="0.2">
      <c r="A7206" t="str">
        <f t="shared" si="112"/>
        <v/>
      </c>
      <c r="B7206" s="1">
        <v>2018</v>
      </c>
      <c r="C7206" s="1" t="s">
        <v>2505</v>
      </c>
      <c r="D7206" s="1" t="s">
        <v>2506</v>
      </c>
      <c r="E7206" s="1" t="s">
        <v>2019</v>
      </c>
      <c r="F7206" s="1" t="s">
        <v>717</v>
      </c>
      <c r="G7206" s="6">
        <v>28715</v>
      </c>
      <c r="H7206" t="str">
        <f>IFERROR(VLOOKUP(F7206,'LEAID Match'!$A$2:$B$142,2,FALSE),"")</f>
        <v/>
      </c>
    </row>
    <row r="7207" spans="1:8" x14ac:dyDescent="0.2">
      <c r="A7207" t="str">
        <f t="shared" si="112"/>
        <v/>
      </c>
      <c r="B7207" s="1">
        <v>2019</v>
      </c>
      <c r="C7207" s="1" t="s">
        <v>2505</v>
      </c>
      <c r="D7207" s="1" t="s">
        <v>2506</v>
      </c>
      <c r="E7207" s="1" t="s">
        <v>2019</v>
      </c>
      <c r="F7207" s="1" t="s">
        <v>717</v>
      </c>
      <c r="G7207" s="6">
        <v>30674</v>
      </c>
      <c r="H7207" t="str">
        <f>IFERROR(VLOOKUP(F7207,'LEAID Match'!$A$2:$B$142,2,FALSE),"")</f>
        <v/>
      </c>
    </row>
    <row r="7208" spans="1:8" x14ac:dyDescent="0.2">
      <c r="A7208" t="str">
        <f t="shared" si="112"/>
        <v/>
      </c>
      <c r="B7208" s="1">
        <v>2020</v>
      </c>
      <c r="C7208" s="1" t="s">
        <v>2505</v>
      </c>
      <c r="D7208" s="1" t="s">
        <v>2506</v>
      </c>
      <c r="E7208" s="1" t="s">
        <v>2019</v>
      </c>
      <c r="F7208" s="1" t="s">
        <v>717</v>
      </c>
      <c r="G7208" s="6">
        <v>33786</v>
      </c>
      <c r="H7208" t="str">
        <f>IFERROR(VLOOKUP(F7208,'LEAID Match'!$A$2:$B$142,2,FALSE),"")</f>
        <v/>
      </c>
    </row>
    <row r="7209" spans="1:8" x14ac:dyDescent="0.2">
      <c r="A7209" t="str">
        <f t="shared" si="112"/>
        <v/>
      </c>
      <c r="B7209" s="1">
        <v>2021</v>
      </c>
      <c r="C7209" s="1" t="s">
        <v>2505</v>
      </c>
      <c r="D7209" s="1" t="s">
        <v>2506</v>
      </c>
      <c r="E7209" s="1" t="s">
        <v>2019</v>
      </c>
      <c r="F7209" s="1" t="s">
        <v>717</v>
      </c>
      <c r="G7209" s="6">
        <v>36489</v>
      </c>
      <c r="H7209" t="str">
        <f>IFERROR(VLOOKUP(F7209,'LEAID Match'!$A$2:$B$142,2,FALSE),"")</f>
        <v/>
      </c>
    </row>
    <row r="7210" spans="1:8" x14ac:dyDescent="0.2">
      <c r="A7210" t="str">
        <f t="shared" si="112"/>
        <v/>
      </c>
      <c r="B7210" s="1">
        <v>2022</v>
      </c>
      <c r="C7210" s="1" t="s">
        <v>2505</v>
      </c>
      <c r="D7210" s="1" t="s">
        <v>2506</v>
      </c>
      <c r="E7210" s="1" t="s">
        <v>2019</v>
      </c>
      <c r="F7210" s="1" t="s">
        <v>717</v>
      </c>
      <c r="G7210" s="6">
        <v>37688</v>
      </c>
      <c r="H7210" t="str">
        <f>IFERROR(VLOOKUP(F7210,'LEAID Match'!$A$2:$B$142,2,FALSE),"")</f>
        <v/>
      </c>
    </row>
    <row r="7211" spans="1:8" x14ac:dyDescent="0.2">
      <c r="A7211" t="str">
        <f t="shared" si="112"/>
        <v/>
      </c>
      <c r="B7211" s="1">
        <v>2023</v>
      </c>
      <c r="C7211" s="1" t="s">
        <v>2505</v>
      </c>
      <c r="D7211" s="1" t="s">
        <v>2506</v>
      </c>
      <c r="E7211" s="1" t="s">
        <v>2019</v>
      </c>
      <c r="F7211" s="1" t="s">
        <v>717</v>
      </c>
      <c r="G7211" s="6">
        <v>40891</v>
      </c>
      <c r="H7211" t="str">
        <f>IFERROR(VLOOKUP(F7211,'LEAID Match'!$A$2:$B$142,2,FALSE),"")</f>
        <v/>
      </c>
    </row>
    <row r="7212" spans="1:8" x14ac:dyDescent="0.2">
      <c r="A7212" t="str">
        <f t="shared" si="112"/>
        <v/>
      </c>
      <c r="B7212" s="1">
        <v>2024</v>
      </c>
      <c r="C7212" s="1" t="s">
        <v>2505</v>
      </c>
      <c r="D7212" s="1" t="s">
        <v>2506</v>
      </c>
      <c r="E7212" s="1" t="s">
        <v>2019</v>
      </c>
      <c r="F7212" s="1" t="s">
        <v>717</v>
      </c>
      <c r="G7212" s="6">
        <v>39303</v>
      </c>
      <c r="H7212" t="str">
        <f>IFERROR(VLOOKUP(F7212,'LEAID Match'!$A$2:$B$142,2,FALSE),"")</f>
        <v/>
      </c>
    </row>
    <row r="7213" spans="1:8" x14ac:dyDescent="0.2">
      <c r="A7213" t="str">
        <f t="shared" si="112"/>
        <v/>
      </c>
      <c r="B7213" s="1">
        <v>2015</v>
      </c>
      <c r="C7213" s="1" t="s">
        <v>2505</v>
      </c>
      <c r="D7213" s="1" t="s">
        <v>2506</v>
      </c>
      <c r="E7213" s="1" t="s">
        <v>2019</v>
      </c>
      <c r="F7213" s="1" t="s">
        <v>718</v>
      </c>
      <c r="G7213" s="6">
        <v>74026</v>
      </c>
      <c r="H7213" t="str">
        <f>IFERROR(VLOOKUP(F7213,'LEAID Match'!$A$2:$B$142,2,FALSE),"")</f>
        <v/>
      </c>
    </row>
    <row r="7214" spans="1:8" x14ac:dyDescent="0.2">
      <c r="A7214" t="str">
        <f t="shared" si="112"/>
        <v/>
      </c>
      <c r="B7214">
        <v>2016</v>
      </c>
      <c r="C7214" s="1" t="s">
        <v>2505</v>
      </c>
      <c r="D7214" s="1" t="s">
        <v>2506</v>
      </c>
      <c r="E7214" s="1" t="s">
        <v>2019</v>
      </c>
      <c r="F7214" s="1" t="s">
        <v>718</v>
      </c>
      <c r="G7214" s="12">
        <v>76091</v>
      </c>
      <c r="H7214" t="str">
        <f>IFERROR(VLOOKUP(F7214,'LEAID Match'!$A$2:$B$142,2,FALSE),"")</f>
        <v/>
      </c>
    </row>
    <row r="7215" spans="1:8" x14ac:dyDescent="0.2">
      <c r="A7215" t="str">
        <f t="shared" si="112"/>
        <v/>
      </c>
      <c r="B7215" s="1">
        <v>2017</v>
      </c>
      <c r="C7215" s="1" t="s">
        <v>2505</v>
      </c>
      <c r="D7215" s="1" t="s">
        <v>2506</v>
      </c>
      <c r="E7215" s="1" t="s">
        <v>2019</v>
      </c>
      <c r="F7215" s="1" t="s">
        <v>718</v>
      </c>
      <c r="G7215" s="49">
        <v>69374</v>
      </c>
      <c r="H7215" t="str">
        <f>IFERROR(VLOOKUP(F7215,'LEAID Match'!$A$2:$B$142,2,FALSE),"")</f>
        <v/>
      </c>
    </row>
    <row r="7216" spans="1:8" x14ac:dyDescent="0.2">
      <c r="A7216" t="str">
        <f t="shared" si="112"/>
        <v/>
      </c>
      <c r="B7216" s="1">
        <v>2018</v>
      </c>
      <c r="C7216" s="1" t="s">
        <v>2505</v>
      </c>
      <c r="D7216" s="1" t="s">
        <v>2506</v>
      </c>
      <c r="E7216" s="1" t="s">
        <v>2019</v>
      </c>
      <c r="F7216" s="1" t="s">
        <v>718</v>
      </c>
      <c r="G7216" s="6">
        <v>70000</v>
      </c>
      <c r="H7216" t="str">
        <f>IFERROR(VLOOKUP(F7216,'LEAID Match'!$A$2:$B$142,2,FALSE),"")</f>
        <v/>
      </c>
    </row>
    <row r="7217" spans="1:8" x14ac:dyDescent="0.2">
      <c r="A7217" t="str">
        <f t="shared" si="112"/>
        <v/>
      </c>
      <c r="B7217" s="1">
        <v>2019</v>
      </c>
      <c r="C7217" s="1" t="s">
        <v>2505</v>
      </c>
      <c r="D7217" s="1" t="s">
        <v>2506</v>
      </c>
      <c r="E7217" s="1" t="s">
        <v>2019</v>
      </c>
      <c r="F7217" s="1" t="s">
        <v>718</v>
      </c>
      <c r="G7217" s="6">
        <v>82819</v>
      </c>
      <c r="H7217" t="str">
        <f>IFERROR(VLOOKUP(F7217,'LEAID Match'!$A$2:$B$142,2,FALSE),"")</f>
        <v/>
      </c>
    </row>
    <row r="7218" spans="1:8" x14ac:dyDescent="0.2">
      <c r="A7218" t="str">
        <f t="shared" si="112"/>
        <v/>
      </c>
      <c r="B7218" s="1">
        <v>2020</v>
      </c>
      <c r="C7218" s="1" t="s">
        <v>2505</v>
      </c>
      <c r="D7218" s="1" t="s">
        <v>2506</v>
      </c>
      <c r="E7218" s="1" t="s">
        <v>2019</v>
      </c>
      <c r="F7218" s="1" t="s">
        <v>718</v>
      </c>
      <c r="G7218" s="6">
        <v>103567</v>
      </c>
      <c r="H7218" t="str">
        <f>IFERROR(VLOOKUP(F7218,'LEAID Match'!$A$2:$B$142,2,FALSE),"")</f>
        <v/>
      </c>
    </row>
    <row r="7219" spans="1:8" x14ac:dyDescent="0.2">
      <c r="A7219" t="str">
        <f t="shared" si="112"/>
        <v/>
      </c>
      <c r="B7219" s="1">
        <v>2021</v>
      </c>
      <c r="C7219" s="1" t="s">
        <v>2505</v>
      </c>
      <c r="D7219" s="1" t="s">
        <v>2506</v>
      </c>
      <c r="E7219" s="1" t="s">
        <v>2019</v>
      </c>
      <c r="F7219" s="1" t="s">
        <v>718</v>
      </c>
      <c r="G7219" s="6">
        <v>102619</v>
      </c>
      <c r="H7219" t="str">
        <f>IFERROR(VLOOKUP(F7219,'LEAID Match'!$A$2:$B$142,2,FALSE),"")</f>
        <v/>
      </c>
    </row>
    <row r="7220" spans="1:8" x14ac:dyDescent="0.2">
      <c r="A7220" t="str">
        <f t="shared" si="112"/>
        <v/>
      </c>
      <c r="B7220" s="1">
        <v>2022</v>
      </c>
      <c r="C7220" s="1" t="s">
        <v>2505</v>
      </c>
      <c r="D7220" s="1" t="s">
        <v>2506</v>
      </c>
      <c r="E7220" s="1" t="s">
        <v>2019</v>
      </c>
      <c r="F7220" s="1" t="s">
        <v>718</v>
      </c>
      <c r="G7220" s="6">
        <v>111857</v>
      </c>
      <c r="H7220" t="str">
        <f>IFERROR(VLOOKUP(F7220,'LEAID Match'!$A$2:$B$142,2,FALSE),"")</f>
        <v/>
      </c>
    </row>
    <row r="7221" spans="1:8" x14ac:dyDescent="0.2">
      <c r="A7221" t="str">
        <f t="shared" si="112"/>
        <v/>
      </c>
      <c r="B7221" s="1">
        <v>2023</v>
      </c>
      <c r="C7221" s="1" t="s">
        <v>2505</v>
      </c>
      <c r="D7221" s="1" t="s">
        <v>2506</v>
      </c>
      <c r="E7221" s="1" t="s">
        <v>2019</v>
      </c>
      <c r="F7221" s="1" t="s">
        <v>718</v>
      </c>
      <c r="G7221" s="6">
        <v>114860</v>
      </c>
      <c r="H7221" t="str">
        <f>IFERROR(VLOOKUP(F7221,'LEAID Match'!$A$2:$B$142,2,FALSE),"")</f>
        <v/>
      </c>
    </row>
    <row r="7222" spans="1:8" x14ac:dyDescent="0.2">
      <c r="A7222" t="str">
        <f t="shared" si="112"/>
        <v/>
      </c>
      <c r="B7222" s="1">
        <v>2024</v>
      </c>
      <c r="C7222" s="1" t="s">
        <v>2505</v>
      </c>
      <c r="D7222" s="1" t="s">
        <v>2506</v>
      </c>
      <c r="E7222" s="1" t="s">
        <v>2019</v>
      </c>
      <c r="F7222" s="1" t="s">
        <v>718</v>
      </c>
      <c r="G7222" s="6">
        <v>120006</v>
      </c>
      <c r="H7222" t="str">
        <f>IFERROR(VLOOKUP(F7222,'LEAID Match'!$A$2:$B$142,2,FALSE),"")</f>
        <v/>
      </c>
    </row>
    <row r="7223" spans="1:8" x14ac:dyDescent="0.2">
      <c r="A7223" t="str">
        <f t="shared" si="112"/>
        <v/>
      </c>
      <c r="B7223" s="1">
        <v>2015</v>
      </c>
      <c r="C7223" s="1" t="s">
        <v>2505</v>
      </c>
      <c r="D7223" s="1" t="s">
        <v>2506</v>
      </c>
      <c r="E7223" s="1" t="s">
        <v>2019</v>
      </c>
      <c r="F7223" s="1" t="s">
        <v>719</v>
      </c>
      <c r="G7223" s="6">
        <v>22493</v>
      </c>
      <c r="H7223" t="str">
        <f>IFERROR(VLOOKUP(F7223,'LEAID Match'!$A$2:$B$142,2,FALSE),"")</f>
        <v/>
      </c>
    </row>
    <row r="7224" spans="1:8" x14ac:dyDescent="0.2">
      <c r="A7224" t="str">
        <f t="shared" si="112"/>
        <v/>
      </c>
      <c r="B7224">
        <v>2016</v>
      </c>
      <c r="C7224" s="1" t="s">
        <v>2505</v>
      </c>
      <c r="D7224" s="1" t="s">
        <v>2506</v>
      </c>
      <c r="E7224" s="1" t="s">
        <v>2019</v>
      </c>
      <c r="F7224" s="1" t="s">
        <v>719</v>
      </c>
      <c r="G7224" s="12">
        <v>21650</v>
      </c>
      <c r="H7224" t="str">
        <f>IFERROR(VLOOKUP(F7224,'LEAID Match'!$A$2:$B$142,2,FALSE),"")</f>
        <v/>
      </c>
    </row>
    <row r="7225" spans="1:8" x14ac:dyDescent="0.2">
      <c r="A7225" t="str">
        <f t="shared" si="112"/>
        <v/>
      </c>
      <c r="B7225" s="1">
        <v>2017</v>
      </c>
      <c r="C7225" s="1" t="s">
        <v>2505</v>
      </c>
      <c r="D7225" s="1" t="s">
        <v>2506</v>
      </c>
      <c r="E7225" s="1" t="s">
        <v>2019</v>
      </c>
      <c r="F7225" s="1" t="s">
        <v>719</v>
      </c>
      <c r="G7225" s="49">
        <v>21711</v>
      </c>
      <c r="H7225" t="str">
        <f>IFERROR(VLOOKUP(F7225,'LEAID Match'!$A$2:$B$142,2,FALSE),"")</f>
        <v/>
      </c>
    </row>
    <row r="7226" spans="1:8" x14ac:dyDescent="0.2">
      <c r="A7226" t="str">
        <f t="shared" si="112"/>
        <v/>
      </c>
      <c r="B7226" s="1">
        <v>2018</v>
      </c>
      <c r="C7226" s="1" t="s">
        <v>2505</v>
      </c>
      <c r="D7226" s="1" t="s">
        <v>2506</v>
      </c>
      <c r="E7226" s="1" t="s">
        <v>2019</v>
      </c>
      <c r="F7226" s="1" t="s">
        <v>719</v>
      </c>
      <c r="G7226" s="6">
        <v>26051</v>
      </c>
      <c r="H7226" t="str">
        <f>IFERROR(VLOOKUP(F7226,'LEAID Match'!$A$2:$B$142,2,FALSE),"")</f>
        <v/>
      </c>
    </row>
    <row r="7227" spans="1:8" x14ac:dyDescent="0.2">
      <c r="A7227" t="str">
        <f t="shared" si="112"/>
        <v/>
      </c>
      <c r="B7227" s="1">
        <v>2019</v>
      </c>
      <c r="C7227" s="1" t="s">
        <v>2505</v>
      </c>
      <c r="D7227" s="1" t="s">
        <v>2506</v>
      </c>
      <c r="E7227" s="1" t="s">
        <v>2019</v>
      </c>
      <c r="F7227" s="1" t="s">
        <v>719</v>
      </c>
      <c r="G7227" s="6">
        <v>25663</v>
      </c>
      <c r="H7227" t="str">
        <f>IFERROR(VLOOKUP(F7227,'LEAID Match'!$A$2:$B$142,2,FALSE),"")</f>
        <v/>
      </c>
    </row>
    <row r="7228" spans="1:8" x14ac:dyDescent="0.2">
      <c r="A7228" t="str">
        <f t="shared" si="112"/>
        <v/>
      </c>
      <c r="B7228" s="1">
        <v>2020</v>
      </c>
      <c r="C7228" s="1" t="s">
        <v>2505</v>
      </c>
      <c r="D7228" s="1" t="s">
        <v>2506</v>
      </c>
      <c r="E7228" s="1" t="s">
        <v>2019</v>
      </c>
      <c r="F7228" s="1" t="s">
        <v>719</v>
      </c>
      <c r="G7228" s="6">
        <v>30639</v>
      </c>
      <c r="H7228" t="str">
        <f>IFERROR(VLOOKUP(F7228,'LEAID Match'!$A$2:$B$142,2,FALSE),"")</f>
        <v/>
      </c>
    </row>
    <row r="7229" spans="1:8" x14ac:dyDescent="0.2">
      <c r="A7229" t="str">
        <f t="shared" si="112"/>
        <v/>
      </c>
      <c r="B7229" s="1">
        <v>2021</v>
      </c>
      <c r="C7229" s="1" t="s">
        <v>2505</v>
      </c>
      <c r="D7229" s="1" t="s">
        <v>2506</v>
      </c>
      <c r="E7229" s="1" t="s">
        <v>2019</v>
      </c>
      <c r="F7229" s="1" t="s">
        <v>719</v>
      </c>
      <c r="G7229" s="6">
        <v>36707</v>
      </c>
      <c r="H7229" t="str">
        <f>IFERROR(VLOOKUP(F7229,'LEAID Match'!$A$2:$B$142,2,FALSE),"")</f>
        <v/>
      </c>
    </row>
    <row r="7230" spans="1:8" x14ac:dyDescent="0.2">
      <c r="A7230" t="str">
        <f t="shared" si="112"/>
        <v/>
      </c>
      <c r="B7230" s="1">
        <v>2022</v>
      </c>
      <c r="C7230" s="1" t="s">
        <v>2505</v>
      </c>
      <c r="D7230" s="1" t="s">
        <v>2506</v>
      </c>
      <c r="E7230" s="1" t="s">
        <v>2019</v>
      </c>
      <c r="F7230" s="1" t="s">
        <v>719</v>
      </c>
      <c r="G7230" s="6">
        <v>35795</v>
      </c>
      <c r="H7230" t="str">
        <f>IFERROR(VLOOKUP(F7230,'LEAID Match'!$A$2:$B$142,2,FALSE),"")</f>
        <v/>
      </c>
    </row>
    <row r="7231" spans="1:8" x14ac:dyDescent="0.2">
      <c r="A7231" t="str">
        <f t="shared" si="112"/>
        <v/>
      </c>
      <c r="B7231" s="1">
        <v>2023</v>
      </c>
      <c r="C7231" s="1" t="s">
        <v>2505</v>
      </c>
      <c r="D7231" s="1" t="s">
        <v>2506</v>
      </c>
      <c r="E7231" s="1" t="s">
        <v>2019</v>
      </c>
      <c r="F7231" s="1" t="s">
        <v>719</v>
      </c>
      <c r="G7231" s="6">
        <v>36459</v>
      </c>
      <c r="H7231" t="str">
        <f>IFERROR(VLOOKUP(F7231,'LEAID Match'!$A$2:$B$142,2,FALSE),"")</f>
        <v/>
      </c>
    </row>
    <row r="7232" spans="1:8" x14ac:dyDescent="0.2">
      <c r="A7232" t="str">
        <f t="shared" si="112"/>
        <v/>
      </c>
      <c r="B7232" s="1">
        <v>2024</v>
      </c>
      <c r="C7232" s="1" t="s">
        <v>2505</v>
      </c>
      <c r="D7232" s="1" t="s">
        <v>2506</v>
      </c>
      <c r="E7232" s="1" t="s">
        <v>2019</v>
      </c>
      <c r="F7232" s="1" t="s">
        <v>719</v>
      </c>
      <c r="G7232" s="6">
        <v>44620</v>
      </c>
      <c r="H7232" t="str">
        <f>IFERROR(VLOOKUP(F7232,'LEAID Match'!$A$2:$B$142,2,FALSE),"")</f>
        <v/>
      </c>
    </row>
    <row r="7233" spans="1:8" x14ac:dyDescent="0.2">
      <c r="A7233" t="str">
        <f t="shared" si="112"/>
        <v/>
      </c>
      <c r="B7233" s="1">
        <v>2015</v>
      </c>
      <c r="C7233" s="1" t="s">
        <v>2505</v>
      </c>
      <c r="D7233" s="1" t="s">
        <v>2506</v>
      </c>
      <c r="E7233" s="1" t="s">
        <v>2019</v>
      </c>
      <c r="F7233" s="1" t="s">
        <v>720</v>
      </c>
      <c r="G7233" s="6">
        <v>630240</v>
      </c>
      <c r="H7233" t="str">
        <f>IFERROR(VLOOKUP(F7233,'LEAID Match'!$A$2:$B$142,2,FALSE),"")</f>
        <v/>
      </c>
    </row>
    <row r="7234" spans="1:8" x14ac:dyDescent="0.2">
      <c r="A7234" t="str">
        <f t="shared" si="112"/>
        <v/>
      </c>
      <c r="B7234">
        <v>2016</v>
      </c>
      <c r="C7234" s="1" t="s">
        <v>2505</v>
      </c>
      <c r="D7234" s="1" t="s">
        <v>2506</v>
      </c>
      <c r="E7234" s="1" t="s">
        <v>2019</v>
      </c>
      <c r="F7234" s="1" t="s">
        <v>720</v>
      </c>
      <c r="G7234" s="12">
        <v>659411</v>
      </c>
      <c r="H7234" t="str">
        <f>IFERROR(VLOOKUP(F7234,'LEAID Match'!$A$2:$B$142,2,FALSE),"")</f>
        <v/>
      </c>
    </row>
    <row r="7235" spans="1:8" x14ac:dyDescent="0.2">
      <c r="A7235" t="str">
        <f t="shared" ref="A7235:A7298" si="113">H7235</f>
        <v/>
      </c>
      <c r="B7235" s="1">
        <v>2017</v>
      </c>
      <c r="C7235" s="1" t="s">
        <v>2505</v>
      </c>
      <c r="D7235" s="1" t="s">
        <v>2506</v>
      </c>
      <c r="E7235" s="1" t="s">
        <v>2019</v>
      </c>
      <c r="F7235" s="1" t="s">
        <v>720</v>
      </c>
      <c r="G7235" s="49">
        <v>708626</v>
      </c>
      <c r="H7235" t="str">
        <f>IFERROR(VLOOKUP(F7235,'LEAID Match'!$A$2:$B$142,2,FALSE),"")</f>
        <v/>
      </c>
    </row>
    <row r="7236" spans="1:8" x14ac:dyDescent="0.2">
      <c r="A7236" t="str">
        <f t="shared" si="113"/>
        <v/>
      </c>
      <c r="B7236" s="1">
        <v>2018</v>
      </c>
      <c r="C7236" s="1" t="s">
        <v>2505</v>
      </c>
      <c r="D7236" s="1" t="s">
        <v>2506</v>
      </c>
      <c r="E7236" s="1" t="s">
        <v>2019</v>
      </c>
      <c r="F7236" s="1" t="s">
        <v>720</v>
      </c>
      <c r="G7236" s="6">
        <v>728603</v>
      </c>
      <c r="H7236" t="str">
        <f>IFERROR(VLOOKUP(F7236,'LEAID Match'!$A$2:$B$142,2,FALSE),"")</f>
        <v/>
      </c>
    </row>
    <row r="7237" spans="1:8" x14ac:dyDescent="0.2">
      <c r="A7237" t="str">
        <f t="shared" si="113"/>
        <v/>
      </c>
      <c r="B7237" s="1">
        <v>2019</v>
      </c>
      <c r="C7237" s="1" t="s">
        <v>2505</v>
      </c>
      <c r="D7237" s="1" t="s">
        <v>2506</v>
      </c>
      <c r="E7237" s="1" t="s">
        <v>2019</v>
      </c>
      <c r="F7237" s="1" t="s">
        <v>720</v>
      </c>
      <c r="G7237" s="6">
        <v>768211</v>
      </c>
      <c r="H7237" t="str">
        <f>IFERROR(VLOOKUP(F7237,'LEAID Match'!$A$2:$B$142,2,FALSE),"")</f>
        <v/>
      </c>
    </row>
    <row r="7238" spans="1:8" x14ac:dyDescent="0.2">
      <c r="A7238" t="str">
        <f t="shared" si="113"/>
        <v/>
      </c>
      <c r="B7238" s="1">
        <v>2020</v>
      </c>
      <c r="C7238" s="1" t="s">
        <v>2505</v>
      </c>
      <c r="D7238" s="1" t="s">
        <v>2506</v>
      </c>
      <c r="E7238" s="1" t="s">
        <v>2019</v>
      </c>
      <c r="F7238" s="1" t="s">
        <v>720</v>
      </c>
      <c r="G7238" s="6">
        <v>880256</v>
      </c>
      <c r="H7238" t="str">
        <f>IFERROR(VLOOKUP(F7238,'LEAID Match'!$A$2:$B$142,2,FALSE),"")</f>
        <v/>
      </c>
    </row>
    <row r="7239" spans="1:8" x14ac:dyDescent="0.2">
      <c r="A7239" t="str">
        <f t="shared" si="113"/>
        <v/>
      </c>
      <c r="B7239" s="1">
        <v>2021</v>
      </c>
      <c r="C7239" s="1" t="s">
        <v>2505</v>
      </c>
      <c r="D7239" s="1" t="s">
        <v>2506</v>
      </c>
      <c r="E7239" s="1" t="s">
        <v>2019</v>
      </c>
      <c r="F7239" s="1" t="s">
        <v>720</v>
      </c>
      <c r="G7239" s="6">
        <v>926759</v>
      </c>
      <c r="H7239" t="str">
        <f>IFERROR(VLOOKUP(F7239,'LEAID Match'!$A$2:$B$142,2,FALSE),"")</f>
        <v/>
      </c>
    </row>
    <row r="7240" spans="1:8" x14ac:dyDescent="0.2">
      <c r="A7240" t="str">
        <f t="shared" si="113"/>
        <v/>
      </c>
      <c r="B7240" s="1">
        <v>2022</v>
      </c>
      <c r="C7240" s="1" t="s">
        <v>2505</v>
      </c>
      <c r="D7240" s="1" t="s">
        <v>2506</v>
      </c>
      <c r="E7240" s="1" t="s">
        <v>2019</v>
      </c>
      <c r="F7240" s="1" t="s">
        <v>720</v>
      </c>
      <c r="G7240" s="6">
        <v>1052243</v>
      </c>
      <c r="H7240" t="str">
        <f>IFERROR(VLOOKUP(F7240,'LEAID Match'!$A$2:$B$142,2,FALSE),"")</f>
        <v/>
      </c>
    </row>
    <row r="7241" spans="1:8" x14ac:dyDescent="0.2">
      <c r="A7241" t="str">
        <f t="shared" si="113"/>
        <v/>
      </c>
      <c r="B7241" s="1">
        <v>2023</v>
      </c>
      <c r="C7241" s="1" t="s">
        <v>2505</v>
      </c>
      <c r="D7241" s="1" t="s">
        <v>2506</v>
      </c>
      <c r="E7241" s="1" t="s">
        <v>2019</v>
      </c>
      <c r="F7241" s="1" t="s">
        <v>720</v>
      </c>
      <c r="G7241" s="6">
        <v>1100980</v>
      </c>
      <c r="H7241" t="str">
        <f>IFERROR(VLOOKUP(F7241,'LEAID Match'!$A$2:$B$142,2,FALSE),"")</f>
        <v/>
      </c>
    </row>
    <row r="7242" spans="1:8" x14ac:dyDescent="0.2">
      <c r="A7242" t="str">
        <f t="shared" si="113"/>
        <v/>
      </c>
      <c r="B7242" s="1">
        <v>2024</v>
      </c>
      <c r="C7242" s="1" t="s">
        <v>2505</v>
      </c>
      <c r="D7242" s="1" t="s">
        <v>2506</v>
      </c>
      <c r="E7242" s="1" t="s">
        <v>2019</v>
      </c>
      <c r="F7242" s="1" t="s">
        <v>720</v>
      </c>
      <c r="G7242" s="6">
        <v>1172542</v>
      </c>
      <c r="H7242" t="str">
        <f>IFERROR(VLOOKUP(F7242,'LEAID Match'!$A$2:$B$142,2,FALSE),"")</f>
        <v/>
      </c>
    </row>
    <row r="7243" spans="1:8" x14ac:dyDescent="0.2">
      <c r="A7243" t="str">
        <f t="shared" si="113"/>
        <v/>
      </c>
      <c r="B7243" s="1">
        <v>2015</v>
      </c>
      <c r="C7243" s="1" t="s">
        <v>2505</v>
      </c>
      <c r="D7243" s="1" t="s">
        <v>2506</v>
      </c>
      <c r="E7243" s="1" t="s">
        <v>2019</v>
      </c>
      <c r="F7243" s="1" t="s">
        <v>721</v>
      </c>
      <c r="G7243" s="6">
        <v>44598</v>
      </c>
      <c r="H7243" t="str">
        <f>IFERROR(VLOOKUP(F7243,'LEAID Match'!$A$2:$B$142,2,FALSE),"")</f>
        <v/>
      </c>
    </row>
    <row r="7244" spans="1:8" x14ac:dyDescent="0.2">
      <c r="A7244" t="str">
        <f t="shared" si="113"/>
        <v/>
      </c>
      <c r="B7244">
        <v>2016</v>
      </c>
      <c r="C7244" s="1" t="s">
        <v>2505</v>
      </c>
      <c r="D7244" s="1" t="s">
        <v>2506</v>
      </c>
      <c r="E7244" s="1" t="s">
        <v>2019</v>
      </c>
      <c r="F7244" s="1" t="s">
        <v>721</v>
      </c>
      <c r="G7244" s="12">
        <v>46114</v>
      </c>
      <c r="H7244" t="str">
        <f>IFERROR(VLOOKUP(F7244,'LEAID Match'!$A$2:$B$142,2,FALSE),"")</f>
        <v/>
      </c>
    </row>
    <row r="7245" spans="1:8" x14ac:dyDescent="0.2">
      <c r="A7245" t="str">
        <f t="shared" si="113"/>
        <v/>
      </c>
      <c r="B7245" s="1">
        <v>2017</v>
      </c>
      <c r="C7245" s="1" t="s">
        <v>2505</v>
      </c>
      <c r="D7245" s="1" t="s">
        <v>2506</v>
      </c>
      <c r="E7245" s="1" t="s">
        <v>2019</v>
      </c>
      <c r="F7245" s="1" t="s">
        <v>721</v>
      </c>
      <c r="G7245" s="49">
        <v>47920</v>
      </c>
      <c r="H7245" t="str">
        <f>IFERROR(VLOOKUP(F7245,'LEAID Match'!$A$2:$B$142,2,FALSE),"")</f>
        <v/>
      </c>
    </row>
    <row r="7246" spans="1:8" x14ac:dyDescent="0.2">
      <c r="A7246" t="str">
        <f t="shared" si="113"/>
        <v/>
      </c>
      <c r="B7246" s="1">
        <v>2018</v>
      </c>
      <c r="C7246" s="1" t="s">
        <v>2505</v>
      </c>
      <c r="D7246" s="1" t="s">
        <v>2506</v>
      </c>
      <c r="E7246" s="1" t="s">
        <v>2019</v>
      </c>
      <c r="F7246" s="1" t="s">
        <v>721</v>
      </c>
      <c r="G7246" s="6">
        <v>46733</v>
      </c>
      <c r="H7246" t="str">
        <f>IFERROR(VLOOKUP(F7246,'LEAID Match'!$A$2:$B$142,2,FALSE),"")</f>
        <v/>
      </c>
    </row>
    <row r="7247" spans="1:8" x14ac:dyDescent="0.2">
      <c r="A7247" t="str">
        <f t="shared" si="113"/>
        <v/>
      </c>
      <c r="B7247" s="1">
        <v>2019</v>
      </c>
      <c r="C7247" s="1" t="s">
        <v>2505</v>
      </c>
      <c r="D7247" s="1" t="s">
        <v>2506</v>
      </c>
      <c r="E7247" s="1" t="s">
        <v>2019</v>
      </c>
      <c r="F7247" s="1" t="s">
        <v>721</v>
      </c>
      <c r="G7247" s="6">
        <v>42594</v>
      </c>
      <c r="H7247" t="str">
        <f>IFERROR(VLOOKUP(F7247,'LEAID Match'!$A$2:$B$142,2,FALSE),"")</f>
        <v/>
      </c>
    </row>
    <row r="7248" spans="1:8" x14ac:dyDescent="0.2">
      <c r="A7248" t="str">
        <f t="shared" si="113"/>
        <v/>
      </c>
      <c r="B7248" s="1">
        <v>2020</v>
      </c>
      <c r="C7248" s="1" t="s">
        <v>2505</v>
      </c>
      <c r="D7248" s="1" t="s">
        <v>2506</v>
      </c>
      <c r="E7248" s="1" t="s">
        <v>2019</v>
      </c>
      <c r="F7248" s="1" t="s">
        <v>721</v>
      </c>
      <c r="G7248" s="6">
        <v>50275</v>
      </c>
      <c r="H7248" t="str">
        <f>IFERROR(VLOOKUP(F7248,'LEAID Match'!$A$2:$B$142,2,FALSE),"")</f>
        <v/>
      </c>
    </row>
    <row r="7249" spans="1:8" x14ac:dyDescent="0.2">
      <c r="A7249" t="str">
        <f t="shared" si="113"/>
        <v/>
      </c>
      <c r="B7249" s="1">
        <v>2021</v>
      </c>
      <c r="C7249" s="1" t="s">
        <v>2505</v>
      </c>
      <c r="D7249" s="1" t="s">
        <v>2506</v>
      </c>
      <c r="E7249" s="1" t="s">
        <v>2019</v>
      </c>
      <c r="F7249" s="1" t="s">
        <v>721</v>
      </c>
      <c r="G7249" s="6">
        <v>43920</v>
      </c>
      <c r="H7249" t="str">
        <f>IFERROR(VLOOKUP(F7249,'LEAID Match'!$A$2:$B$142,2,FALSE),"")</f>
        <v/>
      </c>
    </row>
    <row r="7250" spans="1:8" x14ac:dyDescent="0.2">
      <c r="A7250" t="str">
        <f t="shared" si="113"/>
        <v/>
      </c>
      <c r="B7250" s="1">
        <v>2022</v>
      </c>
      <c r="C7250" s="1" t="s">
        <v>2505</v>
      </c>
      <c r="D7250" s="1" t="s">
        <v>2506</v>
      </c>
      <c r="E7250" s="1" t="s">
        <v>2019</v>
      </c>
      <c r="F7250" s="1" t="s">
        <v>721</v>
      </c>
      <c r="G7250" s="6">
        <v>46492</v>
      </c>
      <c r="H7250" t="str">
        <f>IFERROR(VLOOKUP(F7250,'LEAID Match'!$A$2:$B$142,2,FALSE),"")</f>
        <v/>
      </c>
    </row>
    <row r="7251" spans="1:8" x14ac:dyDescent="0.2">
      <c r="A7251" t="str">
        <f t="shared" si="113"/>
        <v/>
      </c>
      <c r="B7251" s="1">
        <v>2023</v>
      </c>
      <c r="C7251" s="1" t="s">
        <v>2505</v>
      </c>
      <c r="D7251" s="1" t="s">
        <v>2506</v>
      </c>
      <c r="E7251" s="1" t="s">
        <v>2019</v>
      </c>
      <c r="F7251" s="1" t="s">
        <v>721</v>
      </c>
      <c r="G7251" s="6">
        <v>49576</v>
      </c>
      <c r="H7251" t="str">
        <f>IFERROR(VLOOKUP(F7251,'LEAID Match'!$A$2:$B$142,2,FALSE),"")</f>
        <v/>
      </c>
    </row>
    <row r="7252" spans="1:8" x14ac:dyDescent="0.2">
      <c r="A7252" t="str">
        <f t="shared" si="113"/>
        <v/>
      </c>
      <c r="B7252" s="1">
        <v>2024</v>
      </c>
      <c r="C7252" s="1" t="s">
        <v>2505</v>
      </c>
      <c r="D7252" s="1" t="s">
        <v>2506</v>
      </c>
      <c r="E7252" s="1" t="s">
        <v>2019</v>
      </c>
      <c r="F7252" s="1" t="s">
        <v>721</v>
      </c>
      <c r="G7252" s="6">
        <v>50180</v>
      </c>
      <c r="H7252" t="str">
        <f>IFERROR(VLOOKUP(F7252,'LEAID Match'!$A$2:$B$142,2,FALSE),"")</f>
        <v/>
      </c>
    </row>
    <row r="7253" spans="1:8" x14ac:dyDescent="0.2">
      <c r="A7253" t="str">
        <f t="shared" si="113"/>
        <v/>
      </c>
      <c r="B7253" s="1">
        <v>2015</v>
      </c>
      <c r="C7253" s="1" t="s">
        <v>2505</v>
      </c>
      <c r="D7253" s="1" t="s">
        <v>2506</v>
      </c>
      <c r="E7253" s="1" t="s">
        <v>2019</v>
      </c>
      <c r="F7253" s="1" t="s">
        <v>722</v>
      </c>
      <c r="G7253" s="6">
        <v>597561</v>
      </c>
      <c r="H7253" t="str">
        <f>IFERROR(VLOOKUP(F7253,'LEAID Match'!$A$2:$B$142,2,FALSE),"")</f>
        <v/>
      </c>
    </row>
    <row r="7254" spans="1:8" x14ac:dyDescent="0.2">
      <c r="A7254" t="str">
        <f t="shared" si="113"/>
        <v/>
      </c>
      <c r="B7254" s="1">
        <v>2015</v>
      </c>
      <c r="C7254" s="1" t="s">
        <v>2505</v>
      </c>
      <c r="D7254" s="1" t="s">
        <v>2506</v>
      </c>
      <c r="E7254" s="1" t="s">
        <v>2019</v>
      </c>
      <c r="F7254" s="1" t="s">
        <v>722</v>
      </c>
      <c r="G7254" s="6">
        <v>3629</v>
      </c>
      <c r="H7254" t="str">
        <f>IFERROR(VLOOKUP(F7254,'LEAID Match'!$A$2:$B$142,2,FALSE),"")</f>
        <v/>
      </c>
    </row>
    <row r="7255" spans="1:8" x14ac:dyDescent="0.2">
      <c r="A7255" t="str">
        <f t="shared" si="113"/>
        <v/>
      </c>
      <c r="B7255">
        <v>2016</v>
      </c>
      <c r="C7255" s="1" t="s">
        <v>2505</v>
      </c>
      <c r="D7255" s="1" t="s">
        <v>2506</v>
      </c>
      <c r="E7255" s="1" t="s">
        <v>2019</v>
      </c>
      <c r="F7255" s="1" t="s">
        <v>722</v>
      </c>
      <c r="G7255" s="12">
        <v>3629</v>
      </c>
      <c r="H7255" t="str">
        <f>IFERROR(VLOOKUP(F7255,'LEAID Match'!$A$2:$B$142,2,FALSE),"")</f>
        <v/>
      </c>
    </row>
    <row r="7256" spans="1:8" x14ac:dyDescent="0.2">
      <c r="A7256" t="str">
        <f t="shared" si="113"/>
        <v/>
      </c>
      <c r="B7256" s="1">
        <v>2017</v>
      </c>
      <c r="C7256" s="1" t="s">
        <v>2505</v>
      </c>
      <c r="D7256" s="1" t="s">
        <v>2506</v>
      </c>
      <c r="E7256" s="1" t="s">
        <v>2019</v>
      </c>
      <c r="F7256" s="1" t="s">
        <v>722</v>
      </c>
      <c r="G7256" s="49">
        <v>3629</v>
      </c>
      <c r="H7256" t="str">
        <f>IFERROR(VLOOKUP(F7256,'LEAID Match'!$A$2:$B$142,2,FALSE),"")</f>
        <v/>
      </c>
    </row>
    <row r="7257" spans="1:8" x14ac:dyDescent="0.2">
      <c r="A7257" t="str">
        <f t="shared" si="113"/>
        <v/>
      </c>
      <c r="B7257" s="1">
        <v>2018</v>
      </c>
      <c r="C7257" s="1" t="s">
        <v>2505</v>
      </c>
      <c r="D7257" s="1" t="s">
        <v>2506</v>
      </c>
      <c r="E7257" s="1" t="s">
        <v>2019</v>
      </c>
      <c r="F7257" s="1" t="s">
        <v>722</v>
      </c>
      <c r="G7257" s="6">
        <v>3629</v>
      </c>
      <c r="H7257" t="str">
        <f>IFERROR(VLOOKUP(F7257,'LEAID Match'!$A$2:$B$142,2,FALSE),"")</f>
        <v/>
      </c>
    </row>
    <row r="7258" spans="1:8" x14ac:dyDescent="0.2">
      <c r="A7258" t="str">
        <f t="shared" si="113"/>
        <v/>
      </c>
      <c r="B7258" s="1">
        <v>2019</v>
      </c>
      <c r="C7258" s="1" t="s">
        <v>2505</v>
      </c>
      <c r="D7258" s="1" t="s">
        <v>2506</v>
      </c>
      <c r="E7258" s="1" t="s">
        <v>2019</v>
      </c>
      <c r="F7258" s="1" t="s">
        <v>722</v>
      </c>
      <c r="G7258" s="6">
        <v>3629</v>
      </c>
      <c r="H7258" t="str">
        <f>IFERROR(VLOOKUP(F7258,'LEAID Match'!$A$2:$B$142,2,FALSE),"")</f>
        <v/>
      </c>
    </row>
    <row r="7259" spans="1:8" x14ac:dyDescent="0.2">
      <c r="A7259" t="str">
        <f t="shared" si="113"/>
        <v/>
      </c>
      <c r="B7259" s="1">
        <v>2020</v>
      </c>
      <c r="C7259" s="1" t="s">
        <v>2505</v>
      </c>
      <c r="D7259" s="1" t="s">
        <v>2506</v>
      </c>
      <c r="E7259" s="1" t="s">
        <v>2019</v>
      </c>
      <c r="F7259" s="1" t="s">
        <v>722</v>
      </c>
      <c r="G7259" s="6">
        <v>4009</v>
      </c>
      <c r="H7259" t="str">
        <f>IFERROR(VLOOKUP(F7259,'LEAID Match'!$A$2:$B$142,2,FALSE),"")</f>
        <v/>
      </c>
    </row>
    <row r="7260" spans="1:8" x14ac:dyDescent="0.2">
      <c r="A7260" t="str">
        <f t="shared" si="113"/>
        <v/>
      </c>
      <c r="B7260" s="1">
        <v>2021</v>
      </c>
      <c r="C7260" s="1" t="s">
        <v>2505</v>
      </c>
      <c r="D7260" s="1" t="s">
        <v>2506</v>
      </c>
      <c r="E7260" s="1" t="s">
        <v>2019</v>
      </c>
      <c r="F7260" s="1" t="s">
        <v>722</v>
      </c>
      <c r="G7260" s="6">
        <v>4009</v>
      </c>
      <c r="H7260" t="str">
        <f>IFERROR(VLOOKUP(F7260,'LEAID Match'!$A$2:$B$142,2,FALSE),"")</f>
        <v/>
      </c>
    </row>
    <row r="7261" spans="1:8" x14ac:dyDescent="0.2">
      <c r="A7261" t="str">
        <f t="shared" si="113"/>
        <v/>
      </c>
      <c r="B7261" s="1">
        <v>2022</v>
      </c>
      <c r="C7261" s="1" t="s">
        <v>2505</v>
      </c>
      <c r="D7261" s="1" t="s">
        <v>2506</v>
      </c>
      <c r="E7261" s="1" t="s">
        <v>2019</v>
      </c>
      <c r="F7261" s="1" t="s">
        <v>722</v>
      </c>
      <c r="G7261" s="6">
        <v>4009</v>
      </c>
      <c r="H7261" t="str">
        <f>IFERROR(VLOOKUP(F7261,'LEAID Match'!$A$2:$B$142,2,FALSE),"")</f>
        <v/>
      </c>
    </row>
    <row r="7262" spans="1:8" x14ac:dyDescent="0.2">
      <c r="A7262" t="str">
        <f t="shared" si="113"/>
        <v/>
      </c>
      <c r="B7262" s="1">
        <v>2023</v>
      </c>
      <c r="C7262" s="1" t="s">
        <v>2505</v>
      </c>
      <c r="D7262" s="1" t="s">
        <v>2506</v>
      </c>
      <c r="E7262" s="1" t="s">
        <v>2019</v>
      </c>
      <c r="F7262" s="1" t="s">
        <v>722</v>
      </c>
      <c r="G7262" s="6">
        <v>4163</v>
      </c>
      <c r="H7262" t="str">
        <f>IFERROR(VLOOKUP(F7262,'LEAID Match'!$A$2:$B$142,2,FALSE),"")</f>
        <v/>
      </c>
    </row>
    <row r="7263" spans="1:8" x14ac:dyDescent="0.2">
      <c r="A7263" t="str">
        <f t="shared" si="113"/>
        <v/>
      </c>
      <c r="B7263" s="1">
        <v>2024</v>
      </c>
      <c r="C7263" s="1" t="s">
        <v>2505</v>
      </c>
      <c r="D7263" s="1" t="s">
        <v>2506</v>
      </c>
      <c r="E7263" s="1" t="s">
        <v>2019</v>
      </c>
      <c r="F7263" s="1" t="s">
        <v>722</v>
      </c>
      <c r="G7263" s="6">
        <v>4009</v>
      </c>
      <c r="H7263" t="str">
        <f>IFERROR(VLOOKUP(F7263,'LEAID Match'!$A$2:$B$142,2,FALSE),"")</f>
        <v/>
      </c>
    </row>
    <row r="7264" spans="1:8" x14ac:dyDescent="0.2">
      <c r="A7264">
        <f t="shared" si="113"/>
        <v>2800187</v>
      </c>
      <c r="B7264" s="1">
        <v>2015</v>
      </c>
      <c r="C7264" s="1" t="s">
        <v>2505</v>
      </c>
      <c r="D7264" s="1" t="s">
        <v>2506</v>
      </c>
      <c r="E7264" s="1" t="s">
        <v>2019</v>
      </c>
      <c r="F7264" s="1" t="s">
        <v>723</v>
      </c>
      <c r="G7264" s="6">
        <v>1710143</v>
      </c>
      <c r="H7264">
        <f>IFERROR(VLOOKUP(F7264,'LEAID Match'!$A$2:$B$142,2,FALSE),"")</f>
        <v>2800187</v>
      </c>
    </row>
    <row r="7265" spans="1:8" x14ac:dyDescent="0.2">
      <c r="A7265">
        <f t="shared" si="113"/>
        <v>2800187</v>
      </c>
      <c r="B7265">
        <v>2016</v>
      </c>
      <c r="C7265" s="1" t="s">
        <v>2505</v>
      </c>
      <c r="D7265" s="1" t="s">
        <v>2506</v>
      </c>
      <c r="E7265" s="1" t="s">
        <v>2019</v>
      </c>
      <c r="F7265" s="1" t="s">
        <v>723</v>
      </c>
      <c r="G7265" s="12">
        <v>3291619</v>
      </c>
      <c r="H7265">
        <f>IFERROR(VLOOKUP(F7265,'LEAID Match'!$A$2:$B$142,2,FALSE),"")</f>
        <v>2800187</v>
      </c>
    </row>
    <row r="7266" spans="1:8" x14ac:dyDescent="0.2">
      <c r="A7266">
        <f t="shared" si="113"/>
        <v>2800187</v>
      </c>
      <c r="B7266" s="1">
        <v>2017</v>
      </c>
      <c r="C7266" s="1" t="s">
        <v>2505</v>
      </c>
      <c r="D7266" s="1" t="s">
        <v>2506</v>
      </c>
      <c r="E7266" s="1" t="s">
        <v>2019</v>
      </c>
      <c r="F7266" s="1" t="s">
        <v>723</v>
      </c>
      <c r="G7266" s="49">
        <v>3211268</v>
      </c>
      <c r="H7266">
        <f>IFERROR(VLOOKUP(F7266,'LEAID Match'!$A$2:$B$142,2,FALSE),"")</f>
        <v>2800187</v>
      </c>
    </row>
    <row r="7267" spans="1:8" x14ac:dyDescent="0.2">
      <c r="A7267">
        <f t="shared" si="113"/>
        <v>2800187</v>
      </c>
      <c r="B7267" s="1">
        <v>2018</v>
      </c>
      <c r="C7267" s="1" t="s">
        <v>2505</v>
      </c>
      <c r="D7267" s="1" t="s">
        <v>2506</v>
      </c>
      <c r="E7267" s="1" t="s">
        <v>2019</v>
      </c>
      <c r="F7267" s="1" t="s">
        <v>723</v>
      </c>
      <c r="G7267" s="6">
        <v>3288324</v>
      </c>
      <c r="H7267">
        <f>IFERROR(VLOOKUP(F7267,'LEAID Match'!$A$2:$B$142,2,FALSE),"")</f>
        <v>2800187</v>
      </c>
    </row>
    <row r="7268" spans="1:8" x14ac:dyDescent="0.2">
      <c r="A7268">
        <f t="shared" si="113"/>
        <v>2800187</v>
      </c>
      <c r="B7268" s="1">
        <v>2019</v>
      </c>
      <c r="C7268" s="1" t="s">
        <v>2505</v>
      </c>
      <c r="D7268" s="1" t="s">
        <v>2506</v>
      </c>
      <c r="E7268" s="1" t="s">
        <v>2019</v>
      </c>
      <c r="F7268" s="1" t="s">
        <v>723</v>
      </c>
      <c r="G7268" s="6">
        <v>3184813</v>
      </c>
      <c r="H7268">
        <f>IFERROR(VLOOKUP(F7268,'LEAID Match'!$A$2:$B$142,2,FALSE),"")</f>
        <v>2800187</v>
      </c>
    </row>
    <row r="7269" spans="1:8" x14ac:dyDescent="0.2">
      <c r="A7269">
        <f t="shared" si="113"/>
        <v>2800187</v>
      </c>
      <c r="B7269" s="1">
        <v>2020</v>
      </c>
      <c r="C7269" s="1" t="s">
        <v>2505</v>
      </c>
      <c r="D7269" s="1" t="s">
        <v>2506</v>
      </c>
      <c r="E7269" s="1" t="s">
        <v>2019</v>
      </c>
      <c r="F7269" s="1" t="s">
        <v>723</v>
      </c>
      <c r="G7269" s="6">
        <v>3607387</v>
      </c>
      <c r="H7269">
        <f>IFERROR(VLOOKUP(F7269,'LEAID Match'!$A$2:$B$142,2,FALSE),"")</f>
        <v>2800187</v>
      </c>
    </row>
    <row r="7270" spans="1:8" x14ac:dyDescent="0.2">
      <c r="A7270">
        <f t="shared" si="113"/>
        <v>2800187</v>
      </c>
      <c r="B7270" s="1">
        <v>2021</v>
      </c>
      <c r="C7270" s="1" t="s">
        <v>2505</v>
      </c>
      <c r="D7270" s="1" t="s">
        <v>2506</v>
      </c>
      <c r="E7270" s="1" t="s">
        <v>2019</v>
      </c>
      <c r="F7270" s="1" t="s">
        <v>723</v>
      </c>
      <c r="G7270" s="6">
        <v>3439117</v>
      </c>
      <c r="H7270">
        <f>IFERROR(VLOOKUP(F7270,'LEAID Match'!$A$2:$B$142,2,FALSE),"")</f>
        <v>2800187</v>
      </c>
    </row>
    <row r="7271" spans="1:8" x14ac:dyDescent="0.2">
      <c r="A7271">
        <f t="shared" si="113"/>
        <v>2800187</v>
      </c>
      <c r="B7271" s="1">
        <v>2022</v>
      </c>
      <c r="C7271" s="1" t="s">
        <v>2505</v>
      </c>
      <c r="D7271" s="1" t="s">
        <v>2506</v>
      </c>
      <c r="E7271" s="1" t="s">
        <v>2019</v>
      </c>
      <c r="F7271" s="1" t="s">
        <v>723</v>
      </c>
      <c r="G7271" s="6">
        <v>3660003</v>
      </c>
      <c r="H7271">
        <f>IFERROR(VLOOKUP(F7271,'LEAID Match'!$A$2:$B$142,2,FALSE),"")</f>
        <v>2800187</v>
      </c>
    </row>
    <row r="7272" spans="1:8" x14ac:dyDescent="0.2">
      <c r="A7272">
        <f t="shared" si="113"/>
        <v>2800187</v>
      </c>
      <c r="B7272" s="1">
        <v>2023</v>
      </c>
      <c r="C7272" s="1" t="s">
        <v>2505</v>
      </c>
      <c r="D7272" s="1" t="s">
        <v>2506</v>
      </c>
      <c r="E7272" s="1" t="s">
        <v>2019</v>
      </c>
      <c r="F7272" s="1" t="s">
        <v>723</v>
      </c>
      <c r="G7272" s="6">
        <v>3746460</v>
      </c>
      <c r="H7272">
        <f>IFERROR(VLOOKUP(F7272,'LEAID Match'!$A$2:$B$142,2,FALSE),"")</f>
        <v>2800187</v>
      </c>
    </row>
    <row r="7273" spans="1:8" x14ac:dyDescent="0.2">
      <c r="A7273">
        <f t="shared" si="113"/>
        <v>2800187</v>
      </c>
      <c r="B7273" s="1">
        <v>2024</v>
      </c>
      <c r="C7273" s="1" t="s">
        <v>2505</v>
      </c>
      <c r="D7273" s="1" t="s">
        <v>2506</v>
      </c>
      <c r="E7273" s="1" t="s">
        <v>2019</v>
      </c>
      <c r="F7273" s="1" t="s">
        <v>723</v>
      </c>
      <c r="G7273" s="6">
        <v>3923101</v>
      </c>
      <c r="H7273">
        <f>IFERROR(VLOOKUP(F7273,'LEAID Match'!$A$2:$B$142,2,FALSE),"")</f>
        <v>2800187</v>
      </c>
    </row>
    <row r="7274" spans="1:8" x14ac:dyDescent="0.2">
      <c r="A7274" t="str">
        <f t="shared" si="113"/>
        <v/>
      </c>
      <c r="B7274" s="1">
        <v>2015</v>
      </c>
      <c r="C7274" s="1" t="s">
        <v>2505</v>
      </c>
      <c r="D7274" s="1" t="s">
        <v>2506</v>
      </c>
      <c r="E7274" s="1" t="s">
        <v>2019</v>
      </c>
      <c r="F7274" s="1" t="s">
        <v>724</v>
      </c>
      <c r="G7274" s="6">
        <v>1540404</v>
      </c>
      <c r="H7274" t="str">
        <f>IFERROR(VLOOKUP(F7274,'LEAID Match'!$A$2:$B$142,2,FALSE),"")</f>
        <v/>
      </c>
    </row>
    <row r="7275" spans="1:8" x14ac:dyDescent="0.2">
      <c r="A7275" t="str">
        <f t="shared" si="113"/>
        <v/>
      </c>
      <c r="B7275">
        <v>2016</v>
      </c>
      <c r="C7275" s="1" t="s">
        <v>2505</v>
      </c>
      <c r="D7275" s="1" t="s">
        <v>2506</v>
      </c>
      <c r="E7275" s="1" t="s">
        <v>2019</v>
      </c>
      <c r="F7275" s="1" t="s">
        <v>724</v>
      </c>
      <c r="G7275" s="12">
        <v>1698245</v>
      </c>
      <c r="H7275" t="str">
        <f>IFERROR(VLOOKUP(F7275,'LEAID Match'!$A$2:$B$142,2,FALSE),"")</f>
        <v/>
      </c>
    </row>
    <row r="7276" spans="1:8" x14ac:dyDescent="0.2">
      <c r="A7276" t="str">
        <f t="shared" si="113"/>
        <v/>
      </c>
      <c r="B7276" s="1">
        <v>2017</v>
      </c>
      <c r="C7276" s="1" t="s">
        <v>2505</v>
      </c>
      <c r="D7276" s="1" t="s">
        <v>2506</v>
      </c>
      <c r="E7276" s="1" t="s">
        <v>2019</v>
      </c>
      <c r="F7276" s="1" t="s">
        <v>724</v>
      </c>
      <c r="G7276" s="49">
        <v>1786162</v>
      </c>
      <c r="H7276" t="str">
        <f>IFERROR(VLOOKUP(F7276,'LEAID Match'!$A$2:$B$142,2,FALSE),"")</f>
        <v/>
      </c>
    </row>
    <row r="7277" spans="1:8" x14ac:dyDescent="0.2">
      <c r="A7277" t="str">
        <f t="shared" si="113"/>
        <v/>
      </c>
      <c r="B7277" s="1">
        <v>2018</v>
      </c>
      <c r="C7277" s="1" t="s">
        <v>2505</v>
      </c>
      <c r="D7277" s="1" t="s">
        <v>2506</v>
      </c>
      <c r="E7277" s="1" t="s">
        <v>2019</v>
      </c>
      <c r="F7277" s="1" t="s">
        <v>724</v>
      </c>
      <c r="G7277" s="6">
        <v>1761984</v>
      </c>
      <c r="H7277" t="str">
        <f>IFERROR(VLOOKUP(F7277,'LEAID Match'!$A$2:$B$142,2,FALSE),"")</f>
        <v/>
      </c>
    </row>
    <row r="7278" spans="1:8" x14ac:dyDescent="0.2">
      <c r="A7278" t="str">
        <f t="shared" si="113"/>
        <v/>
      </c>
      <c r="B7278" s="1">
        <v>2019</v>
      </c>
      <c r="C7278" s="1" t="s">
        <v>2505</v>
      </c>
      <c r="D7278" s="1" t="s">
        <v>2506</v>
      </c>
      <c r="E7278" s="1" t="s">
        <v>2019</v>
      </c>
      <c r="F7278" s="1" t="s">
        <v>724</v>
      </c>
      <c r="G7278" s="6">
        <v>1785538</v>
      </c>
      <c r="H7278" t="str">
        <f>IFERROR(VLOOKUP(F7278,'LEAID Match'!$A$2:$B$142,2,FALSE),"")</f>
        <v/>
      </c>
    </row>
    <row r="7279" spans="1:8" x14ac:dyDescent="0.2">
      <c r="A7279" t="str">
        <f t="shared" si="113"/>
        <v/>
      </c>
      <c r="B7279" s="1">
        <v>2020</v>
      </c>
      <c r="C7279" s="1" t="s">
        <v>2505</v>
      </c>
      <c r="D7279" s="1" t="s">
        <v>2506</v>
      </c>
      <c r="E7279" s="1" t="s">
        <v>2019</v>
      </c>
      <c r="F7279" s="1" t="s">
        <v>724</v>
      </c>
      <c r="G7279" s="6">
        <v>2024119</v>
      </c>
      <c r="H7279" t="str">
        <f>IFERROR(VLOOKUP(F7279,'LEAID Match'!$A$2:$B$142,2,FALSE),"")</f>
        <v/>
      </c>
    </row>
    <row r="7280" spans="1:8" x14ac:dyDescent="0.2">
      <c r="A7280" t="str">
        <f t="shared" si="113"/>
        <v/>
      </c>
      <c r="B7280" s="1">
        <v>2021</v>
      </c>
      <c r="C7280" s="1" t="s">
        <v>2505</v>
      </c>
      <c r="D7280" s="1" t="s">
        <v>2506</v>
      </c>
      <c r="E7280" s="1" t="s">
        <v>2019</v>
      </c>
      <c r="F7280" s="1" t="s">
        <v>724</v>
      </c>
      <c r="G7280" s="6">
        <v>1960871</v>
      </c>
      <c r="H7280" t="str">
        <f>IFERROR(VLOOKUP(F7280,'LEAID Match'!$A$2:$B$142,2,FALSE),"")</f>
        <v/>
      </c>
    </row>
    <row r="7281" spans="1:8" x14ac:dyDescent="0.2">
      <c r="A7281" t="str">
        <f t="shared" si="113"/>
        <v/>
      </c>
      <c r="B7281" s="1">
        <v>2022</v>
      </c>
      <c r="C7281" s="1" t="s">
        <v>2505</v>
      </c>
      <c r="D7281" s="1" t="s">
        <v>2506</v>
      </c>
      <c r="E7281" s="1" t="s">
        <v>2019</v>
      </c>
      <c r="F7281" s="1" t="s">
        <v>724</v>
      </c>
      <c r="G7281" s="6">
        <v>2117905</v>
      </c>
      <c r="H7281" t="str">
        <f>IFERROR(VLOOKUP(F7281,'LEAID Match'!$A$2:$B$142,2,FALSE),"")</f>
        <v/>
      </c>
    </row>
    <row r="7282" spans="1:8" x14ac:dyDescent="0.2">
      <c r="A7282" t="str">
        <f t="shared" si="113"/>
        <v/>
      </c>
      <c r="B7282" s="1">
        <v>2023</v>
      </c>
      <c r="C7282" s="1" t="s">
        <v>2505</v>
      </c>
      <c r="D7282" s="1" t="s">
        <v>2506</v>
      </c>
      <c r="E7282" s="1" t="s">
        <v>2019</v>
      </c>
      <c r="F7282" s="1" t="s">
        <v>724</v>
      </c>
      <c r="G7282" s="6">
        <v>2277289</v>
      </c>
      <c r="H7282" t="str">
        <f>IFERROR(VLOOKUP(F7282,'LEAID Match'!$A$2:$B$142,2,FALSE),"")</f>
        <v/>
      </c>
    </row>
    <row r="7283" spans="1:8" x14ac:dyDescent="0.2">
      <c r="A7283" t="str">
        <f t="shared" si="113"/>
        <v/>
      </c>
      <c r="B7283" s="1">
        <v>2024</v>
      </c>
      <c r="C7283" s="1" t="s">
        <v>2505</v>
      </c>
      <c r="D7283" s="1" t="s">
        <v>2506</v>
      </c>
      <c r="E7283" s="1" t="s">
        <v>2019</v>
      </c>
      <c r="F7283" s="1" t="s">
        <v>724</v>
      </c>
      <c r="G7283" s="6">
        <v>2319309</v>
      </c>
      <c r="H7283" t="str">
        <f>IFERROR(VLOOKUP(F7283,'LEAID Match'!$A$2:$B$142,2,FALSE),"")</f>
        <v/>
      </c>
    </row>
    <row r="7284" spans="1:8" x14ac:dyDescent="0.2">
      <c r="A7284" t="str">
        <f t="shared" si="113"/>
        <v/>
      </c>
      <c r="B7284">
        <v>2016</v>
      </c>
      <c r="C7284" s="1" t="s">
        <v>2505</v>
      </c>
      <c r="D7284" s="1" t="s">
        <v>2506</v>
      </c>
      <c r="E7284" s="1" t="s">
        <v>2019</v>
      </c>
      <c r="F7284" s="1" t="s">
        <v>1115</v>
      </c>
      <c r="G7284" s="12">
        <v>1535088</v>
      </c>
      <c r="H7284" t="str">
        <f>IFERROR(VLOOKUP(F7284,'LEAID Match'!$A$2:$B$142,2,FALSE),"")</f>
        <v/>
      </c>
    </row>
    <row r="7285" spans="1:8" x14ac:dyDescent="0.2">
      <c r="A7285" t="str">
        <f t="shared" si="113"/>
        <v/>
      </c>
      <c r="B7285" s="1">
        <v>2017</v>
      </c>
      <c r="C7285" s="1" t="s">
        <v>2505</v>
      </c>
      <c r="D7285" s="1" t="s">
        <v>2506</v>
      </c>
      <c r="E7285" s="1" t="s">
        <v>2019</v>
      </c>
      <c r="F7285" s="1" t="s">
        <v>1115</v>
      </c>
      <c r="G7285" s="49">
        <v>1540432</v>
      </c>
      <c r="H7285" t="str">
        <f>IFERROR(VLOOKUP(F7285,'LEAID Match'!$A$2:$B$142,2,FALSE),"")</f>
        <v/>
      </c>
    </row>
    <row r="7286" spans="1:8" x14ac:dyDescent="0.2">
      <c r="A7286" t="str">
        <f t="shared" si="113"/>
        <v/>
      </c>
      <c r="B7286" s="1">
        <v>2018</v>
      </c>
      <c r="C7286" s="1" t="s">
        <v>2505</v>
      </c>
      <c r="D7286" s="1" t="s">
        <v>2506</v>
      </c>
      <c r="E7286" s="1" t="s">
        <v>2019</v>
      </c>
      <c r="F7286" s="1" t="s">
        <v>1115</v>
      </c>
      <c r="G7286" s="6">
        <v>1499956</v>
      </c>
      <c r="H7286" t="str">
        <f>IFERROR(VLOOKUP(F7286,'LEAID Match'!$A$2:$B$142,2,FALSE),"")</f>
        <v/>
      </c>
    </row>
    <row r="7287" spans="1:8" x14ac:dyDescent="0.2">
      <c r="A7287" t="str">
        <f t="shared" si="113"/>
        <v/>
      </c>
      <c r="B7287" s="1">
        <v>2019</v>
      </c>
      <c r="C7287" s="1" t="s">
        <v>2505</v>
      </c>
      <c r="D7287" s="1" t="s">
        <v>2506</v>
      </c>
      <c r="E7287" s="1" t="s">
        <v>2019</v>
      </c>
      <c r="F7287" s="1" t="s">
        <v>1115</v>
      </c>
      <c r="G7287" s="6">
        <v>1568448</v>
      </c>
      <c r="H7287" t="str">
        <f>IFERROR(VLOOKUP(F7287,'LEAID Match'!$A$2:$B$142,2,FALSE),"")</f>
        <v/>
      </c>
    </row>
    <row r="7288" spans="1:8" x14ac:dyDescent="0.2">
      <c r="A7288" t="str">
        <f t="shared" si="113"/>
        <v/>
      </c>
      <c r="B7288" s="1">
        <v>2020</v>
      </c>
      <c r="C7288" s="1" t="s">
        <v>2505</v>
      </c>
      <c r="D7288" s="1" t="s">
        <v>2506</v>
      </c>
      <c r="E7288" s="1" t="s">
        <v>2019</v>
      </c>
      <c r="F7288" s="1" t="s">
        <v>725</v>
      </c>
      <c r="G7288" s="6">
        <v>1758006</v>
      </c>
      <c r="H7288" t="str">
        <f>IFERROR(VLOOKUP(F7288,'LEAID Match'!$A$2:$B$142,2,FALSE),"")</f>
        <v/>
      </c>
    </row>
    <row r="7289" spans="1:8" x14ac:dyDescent="0.2">
      <c r="A7289" t="str">
        <f t="shared" si="113"/>
        <v/>
      </c>
      <c r="B7289" s="1">
        <v>2021</v>
      </c>
      <c r="C7289" s="1" t="s">
        <v>2505</v>
      </c>
      <c r="D7289" s="1" t="s">
        <v>2506</v>
      </c>
      <c r="E7289" s="1" t="s">
        <v>2019</v>
      </c>
      <c r="F7289" s="1" t="s">
        <v>725</v>
      </c>
      <c r="G7289" s="6">
        <v>1766339</v>
      </c>
      <c r="H7289" t="str">
        <f>IFERROR(VLOOKUP(F7289,'LEAID Match'!$A$2:$B$142,2,FALSE),"")</f>
        <v/>
      </c>
    </row>
    <row r="7290" spans="1:8" x14ac:dyDescent="0.2">
      <c r="A7290" t="str">
        <f t="shared" si="113"/>
        <v/>
      </c>
      <c r="B7290" s="1">
        <v>2022</v>
      </c>
      <c r="C7290" s="1" t="s">
        <v>2505</v>
      </c>
      <c r="D7290" s="1" t="s">
        <v>2506</v>
      </c>
      <c r="E7290" s="1" t="s">
        <v>2019</v>
      </c>
      <c r="F7290" s="1" t="s">
        <v>725</v>
      </c>
      <c r="G7290" s="6">
        <v>1780855</v>
      </c>
      <c r="H7290" t="str">
        <f>IFERROR(VLOOKUP(F7290,'LEAID Match'!$A$2:$B$142,2,FALSE),"")</f>
        <v/>
      </c>
    </row>
    <row r="7291" spans="1:8" x14ac:dyDescent="0.2">
      <c r="A7291" t="str">
        <f t="shared" si="113"/>
        <v/>
      </c>
      <c r="B7291" s="1">
        <v>2023</v>
      </c>
      <c r="C7291" s="1" t="s">
        <v>2505</v>
      </c>
      <c r="D7291" s="1" t="s">
        <v>2506</v>
      </c>
      <c r="E7291" s="1" t="s">
        <v>2019</v>
      </c>
      <c r="F7291" s="1" t="s">
        <v>725</v>
      </c>
      <c r="G7291" s="6">
        <v>1846740</v>
      </c>
      <c r="H7291" t="str">
        <f>IFERROR(VLOOKUP(F7291,'LEAID Match'!$A$2:$B$142,2,FALSE),"")</f>
        <v/>
      </c>
    </row>
    <row r="7292" spans="1:8" x14ac:dyDescent="0.2">
      <c r="A7292" t="str">
        <f t="shared" si="113"/>
        <v/>
      </c>
      <c r="B7292" s="1">
        <v>2024</v>
      </c>
      <c r="C7292" s="1" t="s">
        <v>2505</v>
      </c>
      <c r="D7292" s="1" t="s">
        <v>2506</v>
      </c>
      <c r="E7292" s="1" t="s">
        <v>2019</v>
      </c>
      <c r="F7292" s="1" t="s">
        <v>725</v>
      </c>
      <c r="G7292" s="6">
        <v>1944678</v>
      </c>
      <c r="H7292" t="str">
        <f>IFERROR(VLOOKUP(F7292,'LEAID Match'!$A$2:$B$142,2,FALSE),"")</f>
        <v/>
      </c>
    </row>
    <row r="7293" spans="1:8" x14ac:dyDescent="0.2">
      <c r="A7293" t="str">
        <f t="shared" si="113"/>
        <v/>
      </c>
      <c r="B7293">
        <v>2016</v>
      </c>
      <c r="C7293" s="1" t="s">
        <v>2505</v>
      </c>
      <c r="D7293" s="1" t="s">
        <v>2506</v>
      </c>
      <c r="E7293" s="1" t="s">
        <v>2019</v>
      </c>
      <c r="F7293" s="1" t="s">
        <v>1116</v>
      </c>
      <c r="G7293" s="12">
        <v>428418</v>
      </c>
      <c r="H7293" t="str">
        <f>IFERROR(VLOOKUP(F7293,'LEAID Match'!$A$2:$B$142,2,FALSE),"")</f>
        <v/>
      </c>
    </row>
    <row r="7294" spans="1:8" x14ac:dyDescent="0.2">
      <c r="A7294" t="str">
        <f t="shared" si="113"/>
        <v/>
      </c>
      <c r="B7294" s="1">
        <v>2017</v>
      </c>
      <c r="C7294" s="1" t="s">
        <v>2505</v>
      </c>
      <c r="D7294" s="1" t="s">
        <v>2506</v>
      </c>
      <c r="E7294" s="1" t="s">
        <v>2019</v>
      </c>
      <c r="F7294" s="1" t="s">
        <v>1116</v>
      </c>
      <c r="G7294" s="49">
        <v>404438</v>
      </c>
      <c r="H7294" t="str">
        <f>IFERROR(VLOOKUP(F7294,'LEAID Match'!$A$2:$B$142,2,FALSE),"")</f>
        <v/>
      </c>
    </row>
    <row r="7295" spans="1:8" x14ac:dyDescent="0.2">
      <c r="A7295" t="str">
        <f t="shared" si="113"/>
        <v/>
      </c>
      <c r="B7295" s="1">
        <v>2018</v>
      </c>
      <c r="C7295" s="1" t="s">
        <v>2505</v>
      </c>
      <c r="D7295" s="1" t="s">
        <v>2506</v>
      </c>
      <c r="E7295" s="1" t="s">
        <v>2019</v>
      </c>
      <c r="F7295" s="1" t="s">
        <v>1116</v>
      </c>
      <c r="G7295" s="6">
        <v>375565</v>
      </c>
      <c r="H7295" t="str">
        <f>IFERROR(VLOOKUP(F7295,'LEAID Match'!$A$2:$B$142,2,FALSE),"")</f>
        <v/>
      </c>
    </row>
    <row r="7296" spans="1:8" x14ac:dyDescent="0.2">
      <c r="A7296" t="str">
        <f t="shared" si="113"/>
        <v/>
      </c>
      <c r="B7296" s="1">
        <v>2019</v>
      </c>
      <c r="C7296" s="1" t="s">
        <v>2505</v>
      </c>
      <c r="D7296" s="1" t="s">
        <v>2506</v>
      </c>
      <c r="E7296" s="1" t="s">
        <v>2019</v>
      </c>
      <c r="F7296" s="1" t="s">
        <v>1116</v>
      </c>
      <c r="G7296" s="6">
        <v>323880</v>
      </c>
      <c r="H7296" t="str">
        <f>IFERROR(VLOOKUP(F7296,'LEAID Match'!$A$2:$B$142,2,FALSE),"")</f>
        <v/>
      </c>
    </row>
    <row r="7297" spans="1:8" x14ac:dyDescent="0.2">
      <c r="A7297" t="str">
        <f t="shared" si="113"/>
        <v/>
      </c>
      <c r="B7297" s="1">
        <v>2020</v>
      </c>
      <c r="C7297" s="1" t="s">
        <v>2505</v>
      </c>
      <c r="D7297" s="1" t="s">
        <v>2506</v>
      </c>
      <c r="E7297" s="1" t="s">
        <v>2019</v>
      </c>
      <c r="F7297" s="1" t="s">
        <v>726</v>
      </c>
      <c r="G7297" s="6">
        <v>325316</v>
      </c>
      <c r="H7297" t="str">
        <f>IFERROR(VLOOKUP(F7297,'LEAID Match'!$A$2:$B$142,2,FALSE),"")</f>
        <v/>
      </c>
    </row>
    <row r="7298" spans="1:8" x14ac:dyDescent="0.2">
      <c r="A7298" t="str">
        <f t="shared" si="113"/>
        <v/>
      </c>
      <c r="B7298" s="1">
        <v>2021</v>
      </c>
      <c r="C7298" s="1" t="s">
        <v>2505</v>
      </c>
      <c r="D7298" s="1" t="s">
        <v>2506</v>
      </c>
      <c r="E7298" s="1" t="s">
        <v>2019</v>
      </c>
      <c r="F7298" s="1" t="s">
        <v>726</v>
      </c>
      <c r="G7298" s="6">
        <v>398960</v>
      </c>
      <c r="H7298" t="str">
        <f>IFERROR(VLOOKUP(F7298,'LEAID Match'!$A$2:$B$142,2,FALSE),"")</f>
        <v/>
      </c>
    </row>
    <row r="7299" spans="1:8" x14ac:dyDescent="0.2">
      <c r="A7299" t="str">
        <f t="shared" ref="A7299:A7362" si="114">H7299</f>
        <v/>
      </c>
      <c r="B7299" s="1">
        <v>2022</v>
      </c>
      <c r="C7299" s="1" t="s">
        <v>2505</v>
      </c>
      <c r="D7299" s="1" t="s">
        <v>2506</v>
      </c>
      <c r="E7299" s="1" t="s">
        <v>2019</v>
      </c>
      <c r="F7299" s="1" t="s">
        <v>726</v>
      </c>
      <c r="G7299" s="6">
        <v>640341</v>
      </c>
      <c r="H7299" t="str">
        <f>IFERROR(VLOOKUP(F7299,'LEAID Match'!$A$2:$B$142,2,FALSE),"")</f>
        <v/>
      </c>
    </row>
    <row r="7300" spans="1:8" x14ac:dyDescent="0.2">
      <c r="A7300" t="str">
        <f t="shared" si="114"/>
        <v/>
      </c>
      <c r="B7300" s="1">
        <v>2023</v>
      </c>
      <c r="C7300" s="1" t="s">
        <v>2505</v>
      </c>
      <c r="D7300" s="1" t="s">
        <v>2506</v>
      </c>
      <c r="E7300" s="1" t="s">
        <v>2019</v>
      </c>
      <c r="F7300" s="1" t="s">
        <v>726</v>
      </c>
      <c r="G7300" s="6">
        <v>787635</v>
      </c>
      <c r="H7300" t="str">
        <f>IFERROR(VLOOKUP(F7300,'LEAID Match'!$A$2:$B$142,2,FALSE),"")</f>
        <v/>
      </c>
    </row>
    <row r="7301" spans="1:8" x14ac:dyDescent="0.2">
      <c r="A7301" t="str">
        <f t="shared" si="114"/>
        <v/>
      </c>
      <c r="B7301" s="1">
        <v>2024</v>
      </c>
      <c r="C7301" s="1" t="s">
        <v>2505</v>
      </c>
      <c r="D7301" s="1" t="s">
        <v>2506</v>
      </c>
      <c r="E7301" s="1" t="s">
        <v>2019</v>
      </c>
      <c r="F7301" s="1" t="s">
        <v>726</v>
      </c>
      <c r="G7301" s="6">
        <v>47925</v>
      </c>
      <c r="H7301" t="str">
        <f>IFERROR(VLOOKUP(F7301,'LEAID Match'!$A$2:$B$142,2,FALSE),"")</f>
        <v/>
      </c>
    </row>
    <row r="7302" spans="1:8" x14ac:dyDescent="0.2">
      <c r="A7302" t="str">
        <f t="shared" si="114"/>
        <v/>
      </c>
      <c r="B7302" s="1">
        <v>2015</v>
      </c>
      <c r="C7302" s="1" t="s">
        <v>2505</v>
      </c>
      <c r="D7302" s="1" t="s">
        <v>2506</v>
      </c>
      <c r="E7302" s="1" t="s">
        <v>2019</v>
      </c>
      <c r="F7302" s="1" t="s">
        <v>727</v>
      </c>
      <c r="G7302" s="6">
        <v>447681</v>
      </c>
      <c r="H7302" t="str">
        <f>IFERROR(VLOOKUP(F7302,'LEAID Match'!$A$2:$B$142,2,FALSE),"")</f>
        <v/>
      </c>
    </row>
    <row r="7303" spans="1:8" x14ac:dyDescent="0.2">
      <c r="A7303" t="str">
        <f t="shared" si="114"/>
        <v/>
      </c>
      <c r="B7303">
        <v>2016</v>
      </c>
      <c r="C7303" s="1" t="s">
        <v>2505</v>
      </c>
      <c r="D7303" s="1" t="s">
        <v>2506</v>
      </c>
      <c r="E7303" s="1" t="s">
        <v>2019</v>
      </c>
      <c r="F7303" s="1" t="s">
        <v>727</v>
      </c>
      <c r="G7303" s="12">
        <v>446673</v>
      </c>
      <c r="H7303" t="str">
        <f>IFERROR(VLOOKUP(F7303,'LEAID Match'!$A$2:$B$142,2,FALSE),"")</f>
        <v/>
      </c>
    </row>
    <row r="7304" spans="1:8" x14ac:dyDescent="0.2">
      <c r="A7304" t="str">
        <f t="shared" si="114"/>
        <v/>
      </c>
      <c r="B7304" s="1">
        <v>2018</v>
      </c>
      <c r="C7304" s="1" t="s">
        <v>2505</v>
      </c>
      <c r="D7304" s="1" t="s">
        <v>2506</v>
      </c>
      <c r="E7304" s="1" t="s">
        <v>2019</v>
      </c>
      <c r="F7304" s="1" t="s">
        <v>727</v>
      </c>
      <c r="G7304" s="6">
        <v>455113</v>
      </c>
      <c r="H7304" t="str">
        <f>IFERROR(VLOOKUP(F7304,'LEAID Match'!$A$2:$B$142,2,FALSE),"")</f>
        <v/>
      </c>
    </row>
    <row r="7305" spans="1:8" x14ac:dyDescent="0.2">
      <c r="A7305" t="str">
        <f t="shared" si="114"/>
        <v/>
      </c>
      <c r="B7305" s="1">
        <v>2019</v>
      </c>
      <c r="C7305" s="1" t="s">
        <v>2505</v>
      </c>
      <c r="D7305" s="1" t="s">
        <v>2506</v>
      </c>
      <c r="E7305" s="1" t="s">
        <v>2019</v>
      </c>
      <c r="F7305" s="1" t="s">
        <v>727</v>
      </c>
      <c r="G7305" s="6">
        <v>454317</v>
      </c>
      <c r="H7305" t="str">
        <f>IFERROR(VLOOKUP(F7305,'LEAID Match'!$A$2:$B$142,2,FALSE),"")</f>
        <v/>
      </c>
    </row>
    <row r="7306" spans="1:8" x14ac:dyDescent="0.2">
      <c r="A7306" t="str">
        <f t="shared" si="114"/>
        <v/>
      </c>
      <c r="B7306" s="1">
        <v>2020</v>
      </c>
      <c r="C7306" s="1" t="s">
        <v>2505</v>
      </c>
      <c r="D7306" s="1" t="s">
        <v>2506</v>
      </c>
      <c r="E7306" s="1" t="s">
        <v>2019</v>
      </c>
      <c r="F7306" s="1" t="s">
        <v>727</v>
      </c>
      <c r="G7306" s="6">
        <v>507457</v>
      </c>
      <c r="H7306" t="str">
        <f>IFERROR(VLOOKUP(F7306,'LEAID Match'!$A$2:$B$142,2,FALSE),"")</f>
        <v/>
      </c>
    </row>
    <row r="7307" spans="1:8" x14ac:dyDescent="0.2">
      <c r="A7307" t="str">
        <f t="shared" si="114"/>
        <v/>
      </c>
      <c r="B7307" s="1">
        <v>2021</v>
      </c>
      <c r="C7307" s="1" t="s">
        <v>2505</v>
      </c>
      <c r="D7307" s="1" t="s">
        <v>2506</v>
      </c>
      <c r="E7307" s="1" t="s">
        <v>2019</v>
      </c>
      <c r="F7307" s="1" t="s">
        <v>727</v>
      </c>
      <c r="G7307" s="6">
        <v>545006</v>
      </c>
      <c r="H7307" t="str">
        <f>IFERROR(VLOOKUP(F7307,'LEAID Match'!$A$2:$B$142,2,FALSE),"")</f>
        <v/>
      </c>
    </row>
    <row r="7308" spans="1:8" x14ac:dyDescent="0.2">
      <c r="A7308" t="str">
        <f t="shared" si="114"/>
        <v/>
      </c>
      <c r="B7308" s="1">
        <v>2022</v>
      </c>
      <c r="C7308" s="1" t="s">
        <v>2505</v>
      </c>
      <c r="D7308" s="1" t="s">
        <v>2506</v>
      </c>
      <c r="E7308" s="1" t="s">
        <v>2019</v>
      </c>
      <c r="F7308" s="1" t="s">
        <v>727</v>
      </c>
      <c r="G7308" s="6">
        <v>518442</v>
      </c>
      <c r="H7308" t="str">
        <f>IFERROR(VLOOKUP(F7308,'LEAID Match'!$A$2:$B$142,2,FALSE),"")</f>
        <v/>
      </c>
    </row>
    <row r="7309" spans="1:8" x14ac:dyDescent="0.2">
      <c r="A7309" t="str">
        <f t="shared" si="114"/>
        <v/>
      </c>
      <c r="B7309" s="1">
        <v>2023</v>
      </c>
      <c r="C7309" s="1" t="s">
        <v>2505</v>
      </c>
      <c r="D7309" s="1" t="s">
        <v>2506</v>
      </c>
      <c r="E7309" s="1" t="s">
        <v>2019</v>
      </c>
      <c r="F7309" s="1" t="s">
        <v>727</v>
      </c>
      <c r="G7309" s="6">
        <v>547320</v>
      </c>
      <c r="H7309" t="str">
        <f>IFERROR(VLOOKUP(F7309,'LEAID Match'!$A$2:$B$142,2,FALSE),"")</f>
        <v/>
      </c>
    </row>
    <row r="7310" spans="1:8" x14ac:dyDescent="0.2">
      <c r="A7310" t="str">
        <f t="shared" si="114"/>
        <v/>
      </c>
      <c r="B7310" s="1">
        <v>2024</v>
      </c>
      <c r="C7310" s="1" t="s">
        <v>2505</v>
      </c>
      <c r="D7310" s="1" t="s">
        <v>2506</v>
      </c>
      <c r="E7310" s="1" t="s">
        <v>2019</v>
      </c>
      <c r="F7310" s="1" t="s">
        <v>727</v>
      </c>
      <c r="G7310" s="6">
        <v>577114</v>
      </c>
      <c r="H7310" t="str">
        <f>IFERROR(VLOOKUP(F7310,'LEAID Match'!$A$2:$B$142,2,FALSE),"")</f>
        <v/>
      </c>
    </row>
    <row r="7311" spans="1:8" x14ac:dyDescent="0.2">
      <c r="A7311" t="str">
        <f t="shared" si="114"/>
        <v/>
      </c>
      <c r="B7311" s="1">
        <v>2015</v>
      </c>
      <c r="C7311" s="1" t="s">
        <v>2505</v>
      </c>
      <c r="D7311" s="1" t="s">
        <v>2506</v>
      </c>
      <c r="E7311" s="1" t="s">
        <v>2019</v>
      </c>
      <c r="F7311" s="1" t="s">
        <v>728</v>
      </c>
      <c r="G7311" s="53">
        <v>13953</v>
      </c>
      <c r="H7311" t="str">
        <f>IFERROR(VLOOKUP(F7311,'LEAID Match'!$A$2:$B$142,2,FALSE),"")</f>
        <v/>
      </c>
    </row>
    <row r="7312" spans="1:8" x14ac:dyDescent="0.2">
      <c r="A7312" t="str">
        <f t="shared" si="114"/>
        <v/>
      </c>
      <c r="B7312">
        <v>2016</v>
      </c>
      <c r="C7312" s="1" t="s">
        <v>2505</v>
      </c>
      <c r="D7312" s="1" t="s">
        <v>2506</v>
      </c>
      <c r="E7312" s="1" t="s">
        <v>2019</v>
      </c>
      <c r="F7312" s="1" t="s">
        <v>728</v>
      </c>
      <c r="G7312" s="12">
        <v>14884</v>
      </c>
      <c r="H7312" t="str">
        <f>IFERROR(VLOOKUP(F7312,'LEAID Match'!$A$2:$B$142,2,FALSE),"")</f>
        <v/>
      </c>
    </row>
    <row r="7313" spans="1:8" x14ac:dyDescent="0.2">
      <c r="A7313" t="str">
        <f t="shared" si="114"/>
        <v/>
      </c>
      <c r="B7313" s="1">
        <v>2018</v>
      </c>
      <c r="C7313" s="1" t="s">
        <v>2505</v>
      </c>
      <c r="D7313" s="1" t="s">
        <v>2506</v>
      </c>
      <c r="E7313" s="1" t="s">
        <v>2019</v>
      </c>
      <c r="F7313" s="1" t="s">
        <v>728</v>
      </c>
      <c r="G7313" s="6">
        <v>8218</v>
      </c>
      <c r="H7313" t="str">
        <f>IFERROR(VLOOKUP(F7313,'LEAID Match'!$A$2:$B$142,2,FALSE),"")</f>
        <v/>
      </c>
    </row>
    <row r="7314" spans="1:8" x14ac:dyDescent="0.2">
      <c r="A7314" t="str">
        <f t="shared" si="114"/>
        <v/>
      </c>
      <c r="B7314" s="1">
        <v>2019</v>
      </c>
      <c r="C7314" s="1" t="s">
        <v>2505</v>
      </c>
      <c r="D7314" s="1" t="s">
        <v>2506</v>
      </c>
      <c r="E7314" s="1" t="s">
        <v>2019</v>
      </c>
      <c r="F7314" s="1" t="s">
        <v>728</v>
      </c>
      <c r="G7314" s="6">
        <v>9043</v>
      </c>
      <c r="H7314" t="str">
        <f>IFERROR(VLOOKUP(F7314,'LEAID Match'!$A$2:$B$142,2,FALSE),"")</f>
        <v/>
      </c>
    </row>
    <row r="7315" spans="1:8" x14ac:dyDescent="0.2">
      <c r="A7315" t="str">
        <f t="shared" si="114"/>
        <v/>
      </c>
      <c r="B7315" s="1">
        <v>2020</v>
      </c>
      <c r="C7315" s="1" t="s">
        <v>2505</v>
      </c>
      <c r="D7315" s="1" t="s">
        <v>2506</v>
      </c>
      <c r="E7315" s="1" t="s">
        <v>2019</v>
      </c>
      <c r="F7315" s="1" t="s">
        <v>728</v>
      </c>
      <c r="G7315" s="6">
        <v>17124</v>
      </c>
      <c r="H7315" t="str">
        <f>IFERROR(VLOOKUP(F7315,'LEAID Match'!$A$2:$B$142,2,FALSE),"")</f>
        <v/>
      </c>
    </row>
    <row r="7316" spans="1:8" x14ac:dyDescent="0.2">
      <c r="A7316" t="str">
        <f t="shared" si="114"/>
        <v/>
      </c>
      <c r="B7316" s="1">
        <v>2021</v>
      </c>
      <c r="C7316" s="1" t="s">
        <v>2505</v>
      </c>
      <c r="D7316" s="1" t="s">
        <v>2506</v>
      </c>
      <c r="E7316" s="1" t="s">
        <v>2019</v>
      </c>
      <c r="F7316" s="1" t="s">
        <v>728</v>
      </c>
      <c r="G7316" s="6">
        <v>12393</v>
      </c>
      <c r="H7316" t="str">
        <f>IFERROR(VLOOKUP(F7316,'LEAID Match'!$A$2:$B$142,2,FALSE),"")</f>
        <v/>
      </c>
    </row>
    <row r="7317" spans="1:8" x14ac:dyDescent="0.2">
      <c r="A7317" t="str">
        <f t="shared" si="114"/>
        <v/>
      </c>
      <c r="B7317" s="1">
        <v>2022</v>
      </c>
      <c r="C7317" s="1" t="s">
        <v>2505</v>
      </c>
      <c r="D7317" s="1" t="s">
        <v>2506</v>
      </c>
      <c r="E7317" s="1" t="s">
        <v>2019</v>
      </c>
      <c r="F7317" s="1" t="s">
        <v>728</v>
      </c>
      <c r="G7317" s="6">
        <v>9730</v>
      </c>
      <c r="H7317" t="str">
        <f>IFERROR(VLOOKUP(F7317,'LEAID Match'!$A$2:$B$142,2,FALSE),"")</f>
        <v/>
      </c>
    </row>
    <row r="7318" spans="1:8" x14ac:dyDescent="0.2">
      <c r="A7318" t="str">
        <f t="shared" si="114"/>
        <v/>
      </c>
      <c r="B7318" s="1">
        <v>2023</v>
      </c>
      <c r="C7318" s="1" t="s">
        <v>2505</v>
      </c>
      <c r="D7318" s="1" t="s">
        <v>2506</v>
      </c>
      <c r="E7318" s="1" t="s">
        <v>2019</v>
      </c>
      <c r="F7318" s="1" t="s">
        <v>728</v>
      </c>
      <c r="G7318" s="6">
        <v>11682</v>
      </c>
      <c r="H7318" t="str">
        <f>IFERROR(VLOOKUP(F7318,'LEAID Match'!$A$2:$B$142,2,FALSE),"")</f>
        <v/>
      </c>
    </row>
    <row r="7319" spans="1:8" x14ac:dyDescent="0.2">
      <c r="A7319" t="str">
        <f t="shared" si="114"/>
        <v/>
      </c>
      <c r="B7319" s="1">
        <v>2024</v>
      </c>
      <c r="C7319" s="1" t="s">
        <v>2505</v>
      </c>
      <c r="D7319" s="1" t="s">
        <v>2506</v>
      </c>
      <c r="E7319" s="1" t="s">
        <v>2019</v>
      </c>
      <c r="F7319" s="1" t="s">
        <v>728</v>
      </c>
      <c r="G7319" s="6">
        <v>12600</v>
      </c>
      <c r="H7319" t="str">
        <f>IFERROR(VLOOKUP(F7319,'LEAID Match'!$A$2:$B$142,2,FALSE),"")</f>
        <v/>
      </c>
    </row>
    <row r="7320" spans="1:8" x14ac:dyDescent="0.2">
      <c r="A7320" t="str">
        <f t="shared" si="114"/>
        <v/>
      </c>
      <c r="B7320" s="1">
        <v>2015</v>
      </c>
      <c r="C7320" s="1" t="s">
        <v>2505</v>
      </c>
      <c r="D7320" s="1" t="s">
        <v>2506</v>
      </c>
      <c r="E7320" s="1" t="s">
        <v>2019</v>
      </c>
      <c r="F7320" s="1" t="s">
        <v>729</v>
      </c>
      <c r="G7320" s="6">
        <v>2404</v>
      </c>
      <c r="H7320" t="str">
        <f>IFERROR(VLOOKUP(F7320,'LEAID Match'!$A$2:$B$142,2,FALSE),"")</f>
        <v/>
      </c>
    </row>
    <row r="7321" spans="1:8" x14ac:dyDescent="0.2">
      <c r="A7321" t="str">
        <f t="shared" si="114"/>
        <v/>
      </c>
      <c r="B7321">
        <v>2016</v>
      </c>
      <c r="C7321" s="1" t="s">
        <v>2505</v>
      </c>
      <c r="D7321" s="1" t="s">
        <v>2506</v>
      </c>
      <c r="E7321" s="1" t="s">
        <v>2019</v>
      </c>
      <c r="F7321" s="1" t="s">
        <v>729</v>
      </c>
      <c r="G7321" s="12">
        <v>2480</v>
      </c>
      <c r="H7321" t="str">
        <f>IFERROR(VLOOKUP(F7321,'LEAID Match'!$A$2:$B$142,2,FALSE),"")</f>
        <v/>
      </c>
    </row>
    <row r="7322" spans="1:8" x14ac:dyDescent="0.2">
      <c r="A7322" t="str">
        <f t="shared" si="114"/>
        <v/>
      </c>
      <c r="B7322" s="1">
        <v>2017</v>
      </c>
      <c r="C7322" s="1" t="s">
        <v>2505</v>
      </c>
      <c r="D7322" s="1" t="s">
        <v>2506</v>
      </c>
      <c r="E7322" s="1" t="s">
        <v>2019</v>
      </c>
      <c r="F7322" s="1" t="s">
        <v>729</v>
      </c>
      <c r="G7322" s="49">
        <v>2540</v>
      </c>
      <c r="H7322" t="str">
        <f>IFERROR(VLOOKUP(F7322,'LEAID Match'!$A$2:$B$142,2,FALSE),"")</f>
        <v/>
      </c>
    </row>
    <row r="7323" spans="1:8" x14ac:dyDescent="0.2">
      <c r="A7323" t="str">
        <f t="shared" si="114"/>
        <v/>
      </c>
      <c r="B7323" s="1">
        <v>2018</v>
      </c>
      <c r="C7323" s="1" t="s">
        <v>2505</v>
      </c>
      <c r="D7323" s="1" t="s">
        <v>2506</v>
      </c>
      <c r="E7323" s="1" t="s">
        <v>2019</v>
      </c>
      <c r="F7323" s="1" t="s">
        <v>729</v>
      </c>
      <c r="G7323" s="6">
        <v>2557</v>
      </c>
      <c r="H7323" t="str">
        <f>IFERROR(VLOOKUP(F7323,'LEAID Match'!$A$2:$B$142,2,FALSE),"")</f>
        <v/>
      </c>
    </row>
    <row r="7324" spans="1:8" x14ac:dyDescent="0.2">
      <c r="A7324" t="str">
        <f t="shared" si="114"/>
        <v/>
      </c>
      <c r="B7324" s="1">
        <v>2019</v>
      </c>
      <c r="C7324" s="1" t="s">
        <v>2505</v>
      </c>
      <c r="D7324" s="1" t="s">
        <v>2506</v>
      </c>
      <c r="E7324" s="1" t="s">
        <v>2019</v>
      </c>
      <c r="F7324" s="1" t="s">
        <v>729</v>
      </c>
      <c r="G7324" s="6">
        <v>2595</v>
      </c>
      <c r="H7324" t="str">
        <f>IFERROR(VLOOKUP(F7324,'LEAID Match'!$A$2:$B$142,2,FALSE),"")</f>
        <v/>
      </c>
    </row>
    <row r="7325" spans="1:8" x14ac:dyDescent="0.2">
      <c r="A7325" t="str">
        <f t="shared" si="114"/>
        <v/>
      </c>
      <c r="B7325" s="1">
        <v>2020</v>
      </c>
      <c r="C7325" s="1" t="s">
        <v>2505</v>
      </c>
      <c r="D7325" s="1" t="s">
        <v>2506</v>
      </c>
      <c r="E7325" s="1" t="s">
        <v>2019</v>
      </c>
      <c r="F7325" s="1" t="s">
        <v>729</v>
      </c>
      <c r="G7325" s="6">
        <v>2952</v>
      </c>
      <c r="H7325" t="str">
        <f>IFERROR(VLOOKUP(F7325,'LEAID Match'!$A$2:$B$142,2,FALSE),"")</f>
        <v/>
      </c>
    </row>
    <row r="7326" spans="1:8" x14ac:dyDescent="0.2">
      <c r="A7326" t="str">
        <f t="shared" si="114"/>
        <v/>
      </c>
      <c r="B7326" s="1">
        <v>2021</v>
      </c>
      <c r="C7326" s="1" t="s">
        <v>2505</v>
      </c>
      <c r="D7326" s="1" t="s">
        <v>2506</v>
      </c>
      <c r="E7326" s="1" t="s">
        <v>2019</v>
      </c>
      <c r="F7326" s="1" t="s">
        <v>729</v>
      </c>
      <c r="G7326" s="6">
        <v>3067</v>
      </c>
      <c r="H7326" t="str">
        <f>IFERROR(VLOOKUP(F7326,'LEAID Match'!$A$2:$B$142,2,FALSE),"")</f>
        <v/>
      </c>
    </row>
    <row r="7327" spans="1:8" x14ac:dyDescent="0.2">
      <c r="A7327" t="str">
        <f t="shared" si="114"/>
        <v/>
      </c>
      <c r="B7327" s="1">
        <v>2022</v>
      </c>
      <c r="C7327" s="1" t="s">
        <v>2505</v>
      </c>
      <c r="D7327" s="1" t="s">
        <v>2506</v>
      </c>
      <c r="E7327" s="1" t="s">
        <v>2019</v>
      </c>
      <c r="F7327" s="1" t="s">
        <v>729</v>
      </c>
      <c r="G7327" s="6">
        <v>3141</v>
      </c>
      <c r="H7327" t="str">
        <f>IFERROR(VLOOKUP(F7327,'LEAID Match'!$A$2:$B$142,2,FALSE),"")</f>
        <v/>
      </c>
    </row>
    <row r="7328" spans="1:8" x14ac:dyDescent="0.2">
      <c r="A7328" t="str">
        <f t="shared" si="114"/>
        <v/>
      </c>
      <c r="B7328" s="1">
        <v>2023</v>
      </c>
      <c r="C7328" s="1" t="s">
        <v>2505</v>
      </c>
      <c r="D7328" s="1" t="s">
        <v>2506</v>
      </c>
      <c r="E7328" s="1" t="s">
        <v>2019</v>
      </c>
      <c r="F7328" s="1" t="s">
        <v>729</v>
      </c>
      <c r="G7328" s="6">
        <v>3250</v>
      </c>
      <c r="H7328" t="str">
        <f>IFERROR(VLOOKUP(F7328,'LEAID Match'!$A$2:$B$142,2,FALSE),"")</f>
        <v/>
      </c>
    </row>
    <row r="7329" spans="1:8" x14ac:dyDescent="0.2">
      <c r="A7329" t="str">
        <f t="shared" si="114"/>
        <v/>
      </c>
      <c r="B7329" s="1">
        <v>2024</v>
      </c>
      <c r="C7329" s="1" t="s">
        <v>2505</v>
      </c>
      <c r="D7329" s="1" t="s">
        <v>2506</v>
      </c>
      <c r="E7329" s="1" t="s">
        <v>2019</v>
      </c>
      <c r="F7329" s="1" t="s">
        <v>729</v>
      </c>
      <c r="G7329" s="6">
        <v>3317</v>
      </c>
      <c r="H7329" t="str">
        <f>IFERROR(VLOOKUP(F7329,'LEAID Match'!$A$2:$B$142,2,FALSE),"")</f>
        <v/>
      </c>
    </row>
    <row r="7330" spans="1:8" x14ac:dyDescent="0.2">
      <c r="A7330">
        <f t="shared" si="114"/>
        <v>2804230</v>
      </c>
      <c r="B7330" s="1">
        <v>2015</v>
      </c>
      <c r="C7330" s="1" t="s">
        <v>2505</v>
      </c>
      <c r="D7330" s="1" t="s">
        <v>2506</v>
      </c>
      <c r="E7330" s="1" t="s">
        <v>2019</v>
      </c>
      <c r="F7330" s="1" t="s">
        <v>730</v>
      </c>
      <c r="G7330" s="6">
        <v>1598509</v>
      </c>
      <c r="H7330">
        <f>IFERROR(VLOOKUP(F7330,'LEAID Match'!$A$2:$B$142,2,FALSE),"")</f>
        <v>2804230</v>
      </c>
    </row>
    <row r="7331" spans="1:8" x14ac:dyDescent="0.2">
      <c r="A7331">
        <f t="shared" si="114"/>
        <v>2804230</v>
      </c>
      <c r="B7331">
        <v>2016</v>
      </c>
      <c r="C7331" s="1" t="s">
        <v>2505</v>
      </c>
      <c r="D7331" s="1" t="s">
        <v>2506</v>
      </c>
      <c r="E7331" s="1" t="s">
        <v>2019</v>
      </c>
      <c r="F7331" s="1" t="s">
        <v>730</v>
      </c>
      <c r="G7331" s="12">
        <v>1674004</v>
      </c>
      <c r="H7331">
        <f>IFERROR(VLOOKUP(F7331,'LEAID Match'!$A$2:$B$142,2,FALSE),"")</f>
        <v>2804230</v>
      </c>
    </row>
    <row r="7332" spans="1:8" x14ac:dyDescent="0.2">
      <c r="A7332">
        <f t="shared" si="114"/>
        <v>2804230</v>
      </c>
      <c r="B7332" s="1">
        <v>2017</v>
      </c>
      <c r="C7332" s="1" t="s">
        <v>2505</v>
      </c>
      <c r="D7332" s="1" t="s">
        <v>2506</v>
      </c>
      <c r="E7332" s="1" t="s">
        <v>2019</v>
      </c>
      <c r="F7332" s="1" t="s">
        <v>730</v>
      </c>
      <c r="G7332" s="49">
        <v>1717365</v>
      </c>
      <c r="H7332">
        <f>IFERROR(VLOOKUP(F7332,'LEAID Match'!$A$2:$B$142,2,FALSE),"")</f>
        <v>2804230</v>
      </c>
    </row>
    <row r="7333" spans="1:8" x14ac:dyDescent="0.2">
      <c r="A7333">
        <f t="shared" si="114"/>
        <v>2804230</v>
      </c>
      <c r="B7333" s="1">
        <v>2018</v>
      </c>
      <c r="C7333" s="1" t="s">
        <v>2505</v>
      </c>
      <c r="D7333" s="1" t="s">
        <v>2506</v>
      </c>
      <c r="E7333" s="1" t="s">
        <v>2019</v>
      </c>
      <c r="F7333" s="1" t="s">
        <v>730</v>
      </c>
      <c r="G7333" s="6">
        <v>1653738</v>
      </c>
      <c r="H7333">
        <f>IFERROR(VLOOKUP(F7333,'LEAID Match'!$A$2:$B$142,2,FALSE),"")</f>
        <v>2804230</v>
      </c>
    </row>
    <row r="7334" spans="1:8" x14ac:dyDescent="0.2">
      <c r="A7334">
        <f t="shared" si="114"/>
        <v>2804230</v>
      </c>
      <c r="B7334" s="1">
        <v>2019</v>
      </c>
      <c r="C7334" s="1" t="s">
        <v>2505</v>
      </c>
      <c r="D7334" s="1" t="s">
        <v>2506</v>
      </c>
      <c r="E7334" s="1" t="s">
        <v>2019</v>
      </c>
      <c r="F7334" s="1" t="s">
        <v>730</v>
      </c>
      <c r="G7334" s="6">
        <v>1722936</v>
      </c>
      <c r="H7334">
        <f>IFERROR(VLOOKUP(F7334,'LEAID Match'!$A$2:$B$142,2,FALSE),"")</f>
        <v>2804230</v>
      </c>
    </row>
    <row r="7335" spans="1:8" x14ac:dyDescent="0.2">
      <c r="A7335">
        <f t="shared" si="114"/>
        <v>2804230</v>
      </c>
      <c r="B7335" s="1">
        <v>2020</v>
      </c>
      <c r="C7335" s="1" t="s">
        <v>2505</v>
      </c>
      <c r="D7335" s="1" t="s">
        <v>2506</v>
      </c>
      <c r="E7335" s="1" t="s">
        <v>2019</v>
      </c>
      <c r="F7335" s="1" t="s">
        <v>730</v>
      </c>
      <c r="G7335" s="6">
        <v>1978290</v>
      </c>
      <c r="H7335">
        <f>IFERROR(VLOOKUP(F7335,'LEAID Match'!$A$2:$B$142,2,FALSE),"")</f>
        <v>2804230</v>
      </c>
    </row>
    <row r="7336" spans="1:8" x14ac:dyDescent="0.2">
      <c r="A7336">
        <f t="shared" si="114"/>
        <v>2804230</v>
      </c>
      <c r="B7336" s="1">
        <v>2021</v>
      </c>
      <c r="C7336" s="1" t="s">
        <v>2505</v>
      </c>
      <c r="D7336" s="1" t="s">
        <v>2506</v>
      </c>
      <c r="E7336" s="1" t="s">
        <v>2019</v>
      </c>
      <c r="F7336" s="1" t="s">
        <v>730</v>
      </c>
      <c r="G7336" s="6">
        <v>1911806</v>
      </c>
      <c r="H7336">
        <f>IFERROR(VLOOKUP(F7336,'LEAID Match'!$A$2:$B$142,2,FALSE),"")</f>
        <v>2804230</v>
      </c>
    </row>
    <row r="7337" spans="1:8" x14ac:dyDescent="0.2">
      <c r="A7337">
        <f t="shared" si="114"/>
        <v>2804230</v>
      </c>
      <c r="B7337" s="1">
        <v>2022</v>
      </c>
      <c r="C7337" s="1" t="s">
        <v>2505</v>
      </c>
      <c r="D7337" s="1" t="s">
        <v>2506</v>
      </c>
      <c r="E7337" s="1" t="s">
        <v>2019</v>
      </c>
      <c r="F7337" s="1" t="s">
        <v>730</v>
      </c>
      <c r="G7337" s="6">
        <v>1936366</v>
      </c>
      <c r="H7337">
        <f>IFERROR(VLOOKUP(F7337,'LEAID Match'!$A$2:$B$142,2,FALSE),"")</f>
        <v>2804230</v>
      </c>
    </row>
    <row r="7338" spans="1:8" x14ac:dyDescent="0.2">
      <c r="A7338">
        <f t="shared" si="114"/>
        <v>2804230</v>
      </c>
      <c r="B7338" s="1">
        <v>2023</v>
      </c>
      <c r="C7338" s="1" t="s">
        <v>2505</v>
      </c>
      <c r="D7338" s="1" t="s">
        <v>2506</v>
      </c>
      <c r="E7338" s="1" t="s">
        <v>2019</v>
      </c>
      <c r="F7338" s="1" t="s">
        <v>730</v>
      </c>
      <c r="G7338" s="6">
        <v>1917030</v>
      </c>
      <c r="H7338">
        <f>IFERROR(VLOOKUP(F7338,'LEAID Match'!$A$2:$B$142,2,FALSE),"")</f>
        <v>2804230</v>
      </c>
    </row>
    <row r="7339" spans="1:8" x14ac:dyDescent="0.2">
      <c r="A7339">
        <f t="shared" si="114"/>
        <v>2804230</v>
      </c>
      <c r="B7339" s="1">
        <v>2024</v>
      </c>
      <c r="C7339" s="1" t="s">
        <v>2505</v>
      </c>
      <c r="D7339" s="1" t="s">
        <v>2506</v>
      </c>
      <c r="E7339" s="1" t="s">
        <v>2019</v>
      </c>
      <c r="F7339" s="1" t="s">
        <v>730</v>
      </c>
      <c r="G7339" s="6">
        <v>2068545</v>
      </c>
      <c r="H7339">
        <f>IFERROR(VLOOKUP(F7339,'LEAID Match'!$A$2:$B$142,2,FALSE),"")</f>
        <v>2804230</v>
      </c>
    </row>
    <row r="7340" spans="1:8" x14ac:dyDescent="0.2">
      <c r="A7340" t="str">
        <f t="shared" si="114"/>
        <v/>
      </c>
      <c r="B7340" s="1">
        <v>2015</v>
      </c>
      <c r="C7340" s="1" t="s">
        <v>2505</v>
      </c>
      <c r="D7340" s="1" t="s">
        <v>2506</v>
      </c>
      <c r="E7340" s="1" t="s">
        <v>2019</v>
      </c>
      <c r="F7340" s="1" t="s">
        <v>731</v>
      </c>
      <c r="G7340" s="6">
        <v>838223</v>
      </c>
      <c r="H7340" t="str">
        <f>IFERROR(VLOOKUP(F7340,'LEAID Match'!$A$2:$B$142,2,FALSE),"")</f>
        <v/>
      </c>
    </row>
    <row r="7341" spans="1:8" x14ac:dyDescent="0.2">
      <c r="A7341" t="str">
        <f t="shared" si="114"/>
        <v/>
      </c>
      <c r="B7341">
        <v>2016</v>
      </c>
      <c r="C7341" s="1" t="s">
        <v>2505</v>
      </c>
      <c r="D7341" s="1" t="s">
        <v>2506</v>
      </c>
      <c r="E7341" s="1" t="s">
        <v>2019</v>
      </c>
      <c r="F7341" s="1" t="s">
        <v>731</v>
      </c>
      <c r="G7341" s="12">
        <v>835600</v>
      </c>
      <c r="H7341" t="str">
        <f>IFERROR(VLOOKUP(F7341,'LEAID Match'!$A$2:$B$142,2,FALSE),"")</f>
        <v/>
      </c>
    </row>
    <row r="7342" spans="1:8" x14ac:dyDescent="0.2">
      <c r="A7342" t="str">
        <f t="shared" si="114"/>
        <v/>
      </c>
      <c r="B7342" s="1">
        <v>2017</v>
      </c>
      <c r="C7342" s="1" t="s">
        <v>2505</v>
      </c>
      <c r="D7342" s="1" t="s">
        <v>2506</v>
      </c>
      <c r="E7342" s="1" t="s">
        <v>2019</v>
      </c>
      <c r="F7342" s="1" t="s">
        <v>731</v>
      </c>
      <c r="G7342" s="49">
        <v>847385</v>
      </c>
      <c r="H7342" t="str">
        <f>IFERROR(VLOOKUP(F7342,'LEAID Match'!$A$2:$B$142,2,FALSE),"")</f>
        <v/>
      </c>
    </row>
    <row r="7343" spans="1:8" x14ac:dyDescent="0.2">
      <c r="A7343" t="str">
        <f t="shared" si="114"/>
        <v/>
      </c>
      <c r="B7343" s="1">
        <v>2018</v>
      </c>
      <c r="C7343" s="1" t="s">
        <v>2505</v>
      </c>
      <c r="D7343" s="1" t="s">
        <v>2506</v>
      </c>
      <c r="E7343" s="1" t="s">
        <v>2019</v>
      </c>
      <c r="F7343" s="1" t="s">
        <v>731</v>
      </c>
      <c r="G7343" s="6">
        <v>897662</v>
      </c>
      <c r="H7343" t="str">
        <f>IFERROR(VLOOKUP(F7343,'LEAID Match'!$A$2:$B$142,2,FALSE),"")</f>
        <v/>
      </c>
    </row>
    <row r="7344" spans="1:8" x14ac:dyDescent="0.2">
      <c r="A7344" t="str">
        <f t="shared" si="114"/>
        <v/>
      </c>
      <c r="B7344" s="1">
        <v>2019</v>
      </c>
      <c r="C7344" s="1" t="s">
        <v>2505</v>
      </c>
      <c r="D7344" s="1" t="s">
        <v>2506</v>
      </c>
      <c r="E7344" s="1" t="s">
        <v>2019</v>
      </c>
      <c r="F7344" s="1" t="s">
        <v>731</v>
      </c>
      <c r="G7344" s="6">
        <v>876103</v>
      </c>
      <c r="H7344" t="str">
        <f>IFERROR(VLOOKUP(F7344,'LEAID Match'!$A$2:$B$142,2,FALSE),"")</f>
        <v/>
      </c>
    </row>
    <row r="7345" spans="1:8" x14ac:dyDescent="0.2">
      <c r="A7345" t="str">
        <f t="shared" si="114"/>
        <v/>
      </c>
      <c r="B7345" s="1">
        <v>2020</v>
      </c>
      <c r="C7345" s="1" t="s">
        <v>2505</v>
      </c>
      <c r="D7345" s="1" t="s">
        <v>2506</v>
      </c>
      <c r="E7345" s="1" t="s">
        <v>2019</v>
      </c>
      <c r="F7345" s="1" t="s">
        <v>731</v>
      </c>
      <c r="G7345" s="6">
        <v>922964</v>
      </c>
      <c r="H7345" t="str">
        <f>IFERROR(VLOOKUP(F7345,'LEAID Match'!$A$2:$B$142,2,FALSE),"")</f>
        <v/>
      </c>
    </row>
    <row r="7346" spans="1:8" x14ac:dyDescent="0.2">
      <c r="A7346" t="str">
        <f t="shared" si="114"/>
        <v/>
      </c>
      <c r="B7346" s="1">
        <v>2021</v>
      </c>
      <c r="C7346" s="1" t="s">
        <v>2505</v>
      </c>
      <c r="D7346" s="1" t="s">
        <v>2506</v>
      </c>
      <c r="E7346" s="1" t="s">
        <v>2019</v>
      </c>
      <c r="F7346" s="1" t="s">
        <v>731</v>
      </c>
      <c r="G7346" s="6">
        <v>943927</v>
      </c>
      <c r="H7346" t="str">
        <f>IFERROR(VLOOKUP(F7346,'LEAID Match'!$A$2:$B$142,2,FALSE),"")</f>
        <v/>
      </c>
    </row>
    <row r="7347" spans="1:8" x14ac:dyDescent="0.2">
      <c r="A7347" t="str">
        <f t="shared" si="114"/>
        <v/>
      </c>
      <c r="B7347" s="1">
        <v>2022</v>
      </c>
      <c r="C7347" s="1" t="s">
        <v>2505</v>
      </c>
      <c r="D7347" s="1" t="s">
        <v>2506</v>
      </c>
      <c r="E7347" s="1" t="s">
        <v>2019</v>
      </c>
      <c r="F7347" s="1" t="s">
        <v>731</v>
      </c>
      <c r="G7347" s="6">
        <v>1007840</v>
      </c>
      <c r="H7347" t="str">
        <f>IFERROR(VLOOKUP(F7347,'LEAID Match'!$A$2:$B$142,2,FALSE),"")</f>
        <v/>
      </c>
    </row>
    <row r="7348" spans="1:8" x14ac:dyDescent="0.2">
      <c r="A7348" t="str">
        <f t="shared" si="114"/>
        <v/>
      </c>
      <c r="B7348" s="1">
        <v>2023</v>
      </c>
      <c r="C7348" s="1" t="s">
        <v>2505</v>
      </c>
      <c r="D7348" s="1" t="s">
        <v>2506</v>
      </c>
      <c r="E7348" s="1" t="s">
        <v>2019</v>
      </c>
      <c r="F7348" s="1" t="s">
        <v>731</v>
      </c>
      <c r="G7348" s="6">
        <v>1009688</v>
      </c>
      <c r="H7348" t="str">
        <f>IFERROR(VLOOKUP(F7348,'LEAID Match'!$A$2:$B$142,2,FALSE),"")</f>
        <v/>
      </c>
    </row>
    <row r="7349" spans="1:8" x14ac:dyDescent="0.2">
      <c r="A7349" t="str">
        <f t="shared" si="114"/>
        <v/>
      </c>
      <c r="B7349" s="1">
        <v>2024</v>
      </c>
      <c r="C7349" s="1" t="s">
        <v>2505</v>
      </c>
      <c r="D7349" s="1" t="s">
        <v>2506</v>
      </c>
      <c r="E7349" s="1" t="s">
        <v>2019</v>
      </c>
      <c r="F7349" s="1" t="s">
        <v>731</v>
      </c>
      <c r="G7349" s="6">
        <v>1053201</v>
      </c>
      <c r="H7349" t="str">
        <f>IFERROR(VLOOKUP(F7349,'LEAID Match'!$A$2:$B$142,2,FALSE),"")</f>
        <v/>
      </c>
    </row>
    <row r="7350" spans="1:8" x14ac:dyDescent="0.2">
      <c r="A7350" t="str">
        <f t="shared" si="114"/>
        <v/>
      </c>
      <c r="B7350" s="1">
        <v>2015</v>
      </c>
      <c r="C7350" s="1" t="s">
        <v>2505</v>
      </c>
      <c r="D7350" s="1" t="s">
        <v>2506</v>
      </c>
      <c r="E7350" s="1" t="s">
        <v>2019</v>
      </c>
      <c r="F7350" s="1" t="s">
        <v>732</v>
      </c>
      <c r="G7350" s="6">
        <v>84209</v>
      </c>
      <c r="H7350" t="str">
        <f>IFERROR(VLOOKUP(F7350,'LEAID Match'!$A$2:$B$142,2,FALSE),"")</f>
        <v/>
      </c>
    </row>
    <row r="7351" spans="1:8" x14ac:dyDescent="0.2">
      <c r="A7351" t="str">
        <f t="shared" si="114"/>
        <v/>
      </c>
      <c r="B7351">
        <v>2016</v>
      </c>
      <c r="C7351" s="1" t="s">
        <v>2505</v>
      </c>
      <c r="D7351" s="1" t="s">
        <v>2506</v>
      </c>
      <c r="E7351" s="1" t="s">
        <v>2019</v>
      </c>
      <c r="F7351" s="1" t="s">
        <v>732</v>
      </c>
      <c r="G7351" s="12">
        <v>92403</v>
      </c>
      <c r="H7351" t="str">
        <f>IFERROR(VLOOKUP(F7351,'LEAID Match'!$A$2:$B$142,2,FALSE),"")</f>
        <v/>
      </c>
    </row>
    <row r="7352" spans="1:8" x14ac:dyDescent="0.2">
      <c r="A7352" t="str">
        <f t="shared" si="114"/>
        <v/>
      </c>
      <c r="B7352" s="1">
        <v>2017</v>
      </c>
      <c r="C7352" s="1" t="s">
        <v>2505</v>
      </c>
      <c r="D7352" s="1" t="s">
        <v>2506</v>
      </c>
      <c r="E7352" s="1" t="s">
        <v>2019</v>
      </c>
      <c r="F7352" s="1" t="s">
        <v>732</v>
      </c>
      <c r="G7352" s="49">
        <v>96005</v>
      </c>
      <c r="H7352" t="str">
        <f>IFERROR(VLOOKUP(F7352,'LEAID Match'!$A$2:$B$142,2,FALSE),"")</f>
        <v/>
      </c>
    </row>
    <row r="7353" spans="1:8" x14ac:dyDescent="0.2">
      <c r="A7353" t="str">
        <f t="shared" si="114"/>
        <v/>
      </c>
      <c r="B7353" s="1">
        <v>2018</v>
      </c>
      <c r="C7353" s="1" t="s">
        <v>2505</v>
      </c>
      <c r="D7353" s="1" t="s">
        <v>2506</v>
      </c>
      <c r="E7353" s="1" t="s">
        <v>2019</v>
      </c>
      <c r="F7353" s="1" t="s">
        <v>732</v>
      </c>
      <c r="G7353" s="6">
        <v>104196</v>
      </c>
      <c r="H7353" t="str">
        <f>IFERROR(VLOOKUP(F7353,'LEAID Match'!$A$2:$B$142,2,FALSE),"")</f>
        <v/>
      </c>
    </row>
    <row r="7354" spans="1:8" x14ac:dyDescent="0.2">
      <c r="A7354" t="str">
        <f t="shared" si="114"/>
        <v/>
      </c>
      <c r="B7354" s="1">
        <v>2019</v>
      </c>
      <c r="C7354" s="1" t="s">
        <v>2505</v>
      </c>
      <c r="D7354" s="1" t="s">
        <v>2506</v>
      </c>
      <c r="E7354" s="1" t="s">
        <v>2019</v>
      </c>
      <c r="F7354" s="1" t="s">
        <v>732</v>
      </c>
      <c r="G7354" s="6">
        <v>108455</v>
      </c>
      <c r="H7354" t="str">
        <f>IFERROR(VLOOKUP(F7354,'LEAID Match'!$A$2:$B$142,2,FALSE),"")</f>
        <v/>
      </c>
    </row>
    <row r="7355" spans="1:8" x14ac:dyDescent="0.2">
      <c r="A7355" t="str">
        <f t="shared" si="114"/>
        <v/>
      </c>
      <c r="B7355" s="1">
        <v>2020</v>
      </c>
      <c r="C7355" s="1" t="s">
        <v>2505</v>
      </c>
      <c r="D7355" s="1" t="s">
        <v>2506</v>
      </c>
      <c r="E7355" s="1" t="s">
        <v>2019</v>
      </c>
      <c r="F7355" s="1" t="s">
        <v>732</v>
      </c>
      <c r="G7355" s="6">
        <v>112777</v>
      </c>
      <c r="H7355" t="str">
        <f>IFERROR(VLOOKUP(F7355,'LEAID Match'!$A$2:$B$142,2,FALSE),"")</f>
        <v/>
      </c>
    </row>
    <row r="7356" spans="1:8" x14ac:dyDescent="0.2">
      <c r="A7356" t="str">
        <f t="shared" si="114"/>
        <v/>
      </c>
      <c r="B7356" s="1">
        <v>2021</v>
      </c>
      <c r="C7356" s="1" t="s">
        <v>2505</v>
      </c>
      <c r="D7356" s="1" t="s">
        <v>2506</v>
      </c>
      <c r="E7356" s="1" t="s">
        <v>2019</v>
      </c>
      <c r="F7356" s="1" t="s">
        <v>732</v>
      </c>
      <c r="G7356" s="6">
        <v>111217</v>
      </c>
      <c r="H7356" t="str">
        <f>IFERROR(VLOOKUP(F7356,'LEAID Match'!$A$2:$B$142,2,FALSE),"")</f>
        <v/>
      </c>
    </row>
    <row r="7357" spans="1:8" x14ac:dyDescent="0.2">
      <c r="A7357" t="str">
        <f t="shared" si="114"/>
        <v/>
      </c>
      <c r="B7357" s="1">
        <v>2022</v>
      </c>
      <c r="C7357" s="1" t="s">
        <v>2505</v>
      </c>
      <c r="D7357" s="1" t="s">
        <v>2506</v>
      </c>
      <c r="E7357" s="1" t="s">
        <v>2019</v>
      </c>
      <c r="F7357" s="1" t="s">
        <v>732</v>
      </c>
      <c r="G7357" s="6">
        <v>116408</v>
      </c>
      <c r="H7357" t="str">
        <f>IFERROR(VLOOKUP(F7357,'LEAID Match'!$A$2:$B$142,2,FALSE),"")</f>
        <v/>
      </c>
    </row>
    <row r="7358" spans="1:8" x14ac:dyDescent="0.2">
      <c r="A7358" t="str">
        <f t="shared" si="114"/>
        <v/>
      </c>
      <c r="B7358" s="1">
        <v>2023</v>
      </c>
      <c r="C7358" s="1" t="s">
        <v>2505</v>
      </c>
      <c r="D7358" s="1" t="s">
        <v>2506</v>
      </c>
      <c r="E7358" s="1" t="s">
        <v>2019</v>
      </c>
      <c r="F7358" s="1" t="s">
        <v>732</v>
      </c>
      <c r="G7358" s="6">
        <v>113596</v>
      </c>
      <c r="H7358" t="str">
        <f>IFERROR(VLOOKUP(F7358,'LEAID Match'!$A$2:$B$142,2,FALSE),"")</f>
        <v/>
      </c>
    </row>
    <row r="7359" spans="1:8" x14ac:dyDescent="0.2">
      <c r="A7359" t="str">
        <f t="shared" si="114"/>
        <v/>
      </c>
      <c r="B7359" s="1">
        <v>2024</v>
      </c>
      <c r="C7359" s="1" t="s">
        <v>2505</v>
      </c>
      <c r="D7359" s="1" t="s">
        <v>2506</v>
      </c>
      <c r="E7359" s="1" t="s">
        <v>2019</v>
      </c>
      <c r="F7359" s="1" t="s">
        <v>732</v>
      </c>
      <c r="G7359" s="6">
        <v>133561</v>
      </c>
      <c r="H7359" t="str">
        <f>IFERROR(VLOOKUP(F7359,'LEAID Match'!$A$2:$B$142,2,FALSE),"")</f>
        <v/>
      </c>
    </row>
    <row r="7360" spans="1:8" x14ac:dyDescent="0.2">
      <c r="A7360" t="str">
        <f t="shared" si="114"/>
        <v/>
      </c>
      <c r="B7360" s="1">
        <v>2015</v>
      </c>
      <c r="C7360" s="1" t="s">
        <v>2505</v>
      </c>
      <c r="D7360" s="1" t="s">
        <v>2506</v>
      </c>
      <c r="E7360" s="1" t="s">
        <v>2019</v>
      </c>
      <c r="F7360" s="1" t="s">
        <v>733</v>
      </c>
      <c r="G7360" s="6">
        <v>49719</v>
      </c>
      <c r="H7360" t="str">
        <f>IFERROR(VLOOKUP(F7360,'LEAID Match'!$A$2:$B$142,2,FALSE),"")</f>
        <v/>
      </c>
    </row>
    <row r="7361" spans="1:8" x14ac:dyDescent="0.2">
      <c r="A7361" t="str">
        <f t="shared" si="114"/>
        <v/>
      </c>
      <c r="B7361">
        <v>2016</v>
      </c>
      <c r="C7361" s="1" t="s">
        <v>2505</v>
      </c>
      <c r="D7361" s="1" t="s">
        <v>2506</v>
      </c>
      <c r="E7361" s="1" t="s">
        <v>2019</v>
      </c>
      <c r="F7361" s="1" t="s">
        <v>733</v>
      </c>
      <c r="G7361" s="12">
        <v>47445</v>
      </c>
      <c r="H7361" t="str">
        <f>IFERROR(VLOOKUP(F7361,'LEAID Match'!$A$2:$B$142,2,FALSE),"")</f>
        <v/>
      </c>
    </row>
    <row r="7362" spans="1:8" x14ac:dyDescent="0.2">
      <c r="A7362" t="str">
        <f t="shared" si="114"/>
        <v/>
      </c>
      <c r="B7362" s="1">
        <v>2017</v>
      </c>
      <c r="C7362" s="1" t="s">
        <v>2505</v>
      </c>
      <c r="D7362" s="1" t="s">
        <v>2506</v>
      </c>
      <c r="E7362" s="1" t="s">
        <v>2019</v>
      </c>
      <c r="F7362" s="1" t="s">
        <v>733</v>
      </c>
      <c r="G7362" s="49">
        <v>54770</v>
      </c>
      <c r="H7362" t="str">
        <f>IFERROR(VLOOKUP(F7362,'LEAID Match'!$A$2:$B$142,2,FALSE),"")</f>
        <v/>
      </c>
    </row>
    <row r="7363" spans="1:8" x14ac:dyDescent="0.2">
      <c r="A7363" t="str">
        <f t="shared" ref="A7363:A7426" si="115">H7363</f>
        <v/>
      </c>
      <c r="B7363" s="1">
        <v>2018</v>
      </c>
      <c r="C7363" s="1" t="s">
        <v>2505</v>
      </c>
      <c r="D7363" s="1" t="s">
        <v>2506</v>
      </c>
      <c r="E7363" s="1" t="s">
        <v>2019</v>
      </c>
      <c r="F7363" s="1" t="s">
        <v>733</v>
      </c>
      <c r="G7363" s="6">
        <v>56371</v>
      </c>
      <c r="H7363" t="str">
        <f>IFERROR(VLOOKUP(F7363,'LEAID Match'!$A$2:$B$142,2,FALSE),"")</f>
        <v/>
      </c>
    </row>
    <row r="7364" spans="1:8" x14ac:dyDescent="0.2">
      <c r="A7364" t="str">
        <f t="shared" si="115"/>
        <v/>
      </c>
      <c r="B7364" s="1">
        <v>2019</v>
      </c>
      <c r="C7364" s="1" t="s">
        <v>2505</v>
      </c>
      <c r="D7364" s="1" t="s">
        <v>2506</v>
      </c>
      <c r="E7364" s="1" t="s">
        <v>2019</v>
      </c>
      <c r="F7364" s="1" t="s">
        <v>733</v>
      </c>
      <c r="G7364" s="6">
        <v>34105</v>
      </c>
      <c r="H7364" t="str">
        <f>IFERROR(VLOOKUP(F7364,'LEAID Match'!$A$2:$B$142,2,FALSE),"")</f>
        <v/>
      </c>
    </row>
    <row r="7365" spans="1:8" x14ac:dyDescent="0.2">
      <c r="A7365" t="str">
        <f t="shared" si="115"/>
        <v/>
      </c>
      <c r="B7365" s="1">
        <v>2020</v>
      </c>
      <c r="C7365" s="1" t="s">
        <v>2505</v>
      </c>
      <c r="D7365" s="1" t="s">
        <v>2506</v>
      </c>
      <c r="E7365" s="1" t="s">
        <v>2019</v>
      </c>
      <c r="F7365" s="1" t="s">
        <v>733</v>
      </c>
      <c r="G7365" s="6">
        <v>41716</v>
      </c>
      <c r="H7365" t="str">
        <f>IFERROR(VLOOKUP(F7365,'LEAID Match'!$A$2:$B$142,2,FALSE),"")</f>
        <v/>
      </c>
    </row>
    <row r="7366" spans="1:8" x14ac:dyDescent="0.2">
      <c r="A7366" t="str">
        <f t="shared" si="115"/>
        <v/>
      </c>
      <c r="B7366" s="1">
        <v>2021</v>
      </c>
      <c r="C7366" s="1" t="s">
        <v>2505</v>
      </c>
      <c r="D7366" s="1" t="s">
        <v>2506</v>
      </c>
      <c r="E7366" s="1" t="s">
        <v>2019</v>
      </c>
      <c r="F7366" s="1" t="s">
        <v>733</v>
      </c>
      <c r="G7366" s="6">
        <v>39187</v>
      </c>
      <c r="H7366" t="str">
        <f>IFERROR(VLOOKUP(F7366,'LEAID Match'!$A$2:$B$142,2,FALSE),"")</f>
        <v/>
      </c>
    </row>
    <row r="7367" spans="1:8" x14ac:dyDescent="0.2">
      <c r="A7367" t="str">
        <f t="shared" si="115"/>
        <v/>
      </c>
      <c r="B7367" s="1">
        <v>2022</v>
      </c>
      <c r="C7367" s="1" t="s">
        <v>2505</v>
      </c>
      <c r="D7367" s="1" t="s">
        <v>2506</v>
      </c>
      <c r="E7367" s="1" t="s">
        <v>2019</v>
      </c>
      <c r="F7367" s="1" t="s">
        <v>733</v>
      </c>
      <c r="G7367" s="6">
        <v>45623</v>
      </c>
      <c r="H7367" t="str">
        <f>IFERROR(VLOOKUP(F7367,'LEAID Match'!$A$2:$B$142,2,FALSE),"")</f>
        <v/>
      </c>
    </row>
    <row r="7368" spans="1:8" x14ac:dyDescent="0.2">
      <c r="A7368" t="str">
        <f t="shared" si="115"/>
        <v/>
      </c>
      <c r="B7368" s="1">
        <v>2023</v>
      </c>
      <c r="C7368" s="1" t="s">
        <v>2505</v>
      </c>
      <c r="D7368" s="1" t="s">
        <v>2506</v>
      </c>
      <c r="E7368" s="1" t="s">
        <v>2019</v>
      </c>
      <c r="F7368" s="1" t="s">
        <v>733</v>
      </c>
      <c r="G7368" s="6">
        <v>46970</v>
      </c>
      <c r="H7368" t="str">
        <f>IFERROR(VLOOKUP(F7368,'LEAID Match'!$A$2:$B$142,2,FALSE),"")</f>
        <v/>
      </c>
    </row>
    <row r="7369" spans="1:8" x14ac:dyDescent="0.2">
      <c r="A7369" t="str">
        <f t="shared" si="115"/>
        <v/>
      </c>
      <c r="B7369" s="1">
        <v>2024</v>
      </c>
      <c r="C7369" s="1" t="s">
        <v>2505</v>
      </c>
      <c r="D7369" s="1" t="s">
        <v>2506</v>
      </c>
      <c r="E7369" s="1" t="s">
        <v>2019</v>
      </c>
      <c r="F7369" s="1" t="s">
        <v>733</v>
      </c>
      <c r="G7369" s="6">
        <v>42773</v>
      </c>
      <c r="H7369" t="str">
        <f>IFERROR(VLOOKUP(F7369,'LEAID Match'!$A$2:$B$142,2,FALSE),"")</f>
        <v/>
      </c>
    </row>
    <row r="7370" spans="1:8" x14ac:dyDescent="0.2">
      <c r="A7370" t="str">
        <f t="shared" si="115"/>
        <v/>
      </c>
      <c r="B7370" s="1">
        <v>2015</v>
      </c>
      <c r="C7370" s="1" t="s">
        <v>2505</v>
      </c>
      <c r="D7370" s="1" t="s">
        <v>2506</v>
      </c>
      <c r="E7370" s="1" t="s">
        <v>2019</v>
      </c>
      <c r="F7370" s="1" t="s">
        <v>734</v>
      </c>
      <c r="G7370" s="6">
        <v>3780</v>
      </c>
      <c r="H7370" t="str">
        <f>IFERROR(VLOOKUP(F7370,'LEAID Match'!$A$2:$B$142,2,FALSE),"")</f>
        <v/>
      </c>
    </row>
    <row r="7371" spans="1:8" x14ac:dyDescent="0.2">
      <c r="A7371" t="str">
        <f t="shared" si="115"/>
        <v/>
      </c>
      <c r="B7371">
        <v>2016</v>
      </c>
      <c r="C7371" s="1" t="s">
        <v>2505</v>
      </c>
      <c r="D7371" s="1" t="s">
        <v>2506</v>
      </c>
      <c r="E7371" s="1" t="s">
        <v>2019</v>
      </c>
      <c r="F7371" s="1" t="s">
        <v>734</v>
      </c>
      <c r="G7371" s="12">
        <v>5135</v>
      </c>
      <c r="H7371" t="str">
        <f>IFERROR(VLOOKUP(F7371,'LEAID Match'!$A$2:$B$142,2,FALSE),"")</f>
        <v/>
      </c>
    </row>
    <row r="7372" spans="1:8" x14ac:dyDescent="0.2">
      <c r="A7372" t="str">
        <f t="shared" si="115"/>
        <v/>
      </c>
      <c r="B7372" s="1">
        <v>2017</v>
      </c>
      <c r="C7372" s="1" t="s">
        <v>2505</v>
      </c>
      <c r="D7372" s="1" t="s">
        <v>2506</v>
      </c>
      <c r="E7372" s="1" t="s">
        <v>2019</v>
      </c>
      <c r="F7372" s="1" t="s">
        <v>734</v>
      </c>
      <c r="G7372" s="49">
        <v>20034</v>
      </c>
      <c r="H7372" t="str">
        <f>IFERROR(VLOOKUP(F7372,'LEAID Match'!$A$2:$B$142,2,FALSE),"")</f>
        <v/>
      </c>
    </row>
    <row r="7373" spans="1:8" x14ac:dyDescent="0.2">
      <c r="A7373" t="str">
        <f t="shared" si="115"/>
        <v/>
      </c>
      <c r="B7373" s="1">
        <v>2018</v>
      </c>
      <c r="C7373" s="1" t="s">
        <v>2505</v>
      </c>
      <c r="D7373" s="1" t="s">
        <v>2506</v>
      </c>
      <c r="E7373" s="1" t="s">
        <v>2019</v>
      </c>
      <c r="F7373" s="1" t="s">
        <v>734</v>
      </c>
      <c r="G7373" s="6">
        <v>20428</v>
      </c>
      <c r="H7373" t="str">
        <f>IFERROR(VLOOKUP(F7373,'LEAID Match'!$A$2:$B$142,2,FALSE),"")</f>
        <v/>
      </c>
    </row>
    <row r="7374" spans="1:8" x14ac:dyDescent="0.2">
      <c r="A7374" t="str">
        <f t="shared" si="115"/>
        <v/>
      </c>
      <c r="B7374" s="1">
        <v>2019</v>
      </c>
      <c r="C7374" s="1" t="s">
        <v>2505</v>
      </c>
      <c r="D7374" s="1" t="s">
        <v>2506</v>
      </c>
      <c r="E7374" s="1" t="s">
        <v>2019</v>
      </c>
      <c r="F7374" s="1" t="s">
        <v>734</v>
      </c>
      <c r="G7374" s="6">
        <v>21073</v>
      </c>
      <c r="H7374" t="str">
        <f>IFERROR(VLOOKUP(F7374,'LEAID Match'!$A$2:$B$142,2,FALSE),"")</f>
        <v/>
      </c>
    </row>
    <row r="7375" spans="1:8" x14ac:dyDescent="0.2">
      <c r="A7375" t="str">
        <f t="shared" si="115"/>
        <v/>
      </c>
      <c r="B7375" s="1">
        <v>2020</v>
      </c>
      <c r="C7375" s="1" t="s">
        <v>2505</v>
      </c>
      <c r="D7375" s="1" t="s">
        <v>2506</v>
      </c>
      <c r="E7375" s="1" t="s">
        <v>2019</v>
      </c>
      <c r="F7375" s="1" t="s">
        <v>734</v>
      </c>
      <c r="G7375" s="6">
        <v>20810</v>
      </c>
      <c r="H7375" t="str">
        <f>IFERROR(VLOOKUP(F7375,'LEAID Match'!$A$2:$B$142,2,FALSE),"")</f>
        <v/>
      </c>
    </row>
    <row r="7376" spans="1:8" x14ac:dyDescent="0.2">
      <c r="A7376" t="str">
        <f t="shared" si="115"/>
        <v/>
      </c>
      <c r="B7376" s="1">
        <v>2021</v>
      </c>
      <c r="C7376" s="1" t="s">
        <v>2505</v>
      </c>
      <c r="D7376" s="1" t="s">
        <v>2506</v>
      </c>
      <c r="E7376" s="1" t="s">
        <v>2019</v>
      </c>
      <c r="F7376" s="1" t="s">
        <v>734</v>
      </c>
      <c r="G7376" s="6">
        <v>21960</v>
      </c>
      <c r="H7376" t="str">
        <f>IFERROR(VLOOKUP(F7376,'LEAID Match'!$A$2:$B$142,2,FALSE),"")</f>
        <v/>
      </c>
    </row>
    <row r="7377" spans="1:8" x14ac:dyDescent="0.2">
      <c r="A7377" t="str">
        <f t="shared" si="115"/>
        <v/>
      </c>
      <c r="B7377" s="1">
        <v>2024</v>
      </c>
      <c r="C7377" s="1" t="s">
        <v>2505</v>
      </c>
      <c r="D7377" s="1" t="s">
        <v>2506</v>
      </c>
      <c r="E7377" s="1" t="s">
        <v>2019</v>
      </c>
      <c r="F7377" s="1" t="s">
        <v>734</v>
      </c>
      <c r="G7377" s="6">
        <v>30291</v>
      </c>
      <c r="H7377" t="str">
        <f>IFERROR(VLOOKUP(F7377,'LEAID Match'!$A$2:$B$142,2,FALSE),"")</f>
        <v/>
      </c>
    </row>
    <row r="7378" spans="1:8" x14ac:dyDescent="0.2">
      <c r="A7378" t="str">
        <f t="shared" si="115"/>
        <v/>
      </c>
      <c r="B7378" s="1">
        <v>2022</v>
      </c>
      <c r="C7378" s="1" t="s">
        <v>2505</v>
      </c>
      <c r="D7378" s="1" t="s">
        <v>2506</v>
      </c>
      <c r="E7378" s="1" t="s">
        <v>2019</v>
      </c>
      <c r="F7378" s="1" t="s">
        <v>896</v>
      </c>
      <c r="G7378" s="6">
        <v>24873</v>
      </c>
      <c r="H7378" t="str">
        <f>IFERROR(VLOOKUP(F7378,'LEAID Match'!$A$2:$B$142,2,FALSE),"")</f>
        <v/>
      </c>
    </row>
    <row r="7379" spans="1:8" x14ac:dyDescent="0.2">
      <c r="A7379" t="str">
        <f t="shared" si="115"/>
        <v/>
      </c>
      <c r="B7379" s="1">
        <v>2023</v>
      </c>
      <c r="C7379" s="1" t="s">
        <v>2505</v>
      </c>
      <c r="D7379" s="1" t="s">
        <v>2506</v>
      </c>
      <c r="E7379" s="1" t="s">
        <v>2019</v>
      </c>
      <c r="F7379" s="1" t="s">
        <v>896</v>
      </c>
      <c r="G7379" s="6">
        <v>27581</v>
      </c>
      <c r="H7379" t="str">
        <f>IFERROR(VLOOKUP(F7379,'LEAID Match'!$A$2:$B$142,2,FALSE),"")</f>
        <v/>
      </c>
    </row>
    <row r="7380" spans="1:8" x14ac:dyDescent="0.2">
      <c r="A7380" t="str">
        <f t="shared" si="115"/>
        <v/>
      </c>
      <c r="B7380" s="1">
        <v>2018</v>
      </c>
      <c r="C7380" s="1" t="s">
        <v>2505</v>
      </c>
      <c r="D7380" s="1" t="s">
        <v>2506</v>
      </c>
      <c r="E7380" s="1" t="s">
        <v>2019</v>
      </c>
      <c r="F7380" s="1" t="s">
        <v>735</v>
      </c>
      <c r="G7380" s="6">
        <v>37644</v>
      </c>
      <c r="H7380" t="str">
        <f>IFERROR(VLOOKUP(F7380,'LEAID Match'!$A$2:$B$142,2,FALSE),"")</f>
        <v/>
      </c>
    </row>
    <row r="7381" spans="1:8" x14ac:dyDescent="0.2">
      <c r="A7381" t="str">
        <f t="shared" si="115"/>
        <v/>
      </c>
      <c r="B7381" s="1">
        <v>2019</v>
      </c>
      <c r="C7381" s="1" t="s">
        <v>2505</v>
      </c>
      <c r="D7381" s="1" t="s">
        <v>2506</v>
      </c>
      <c r="E7381" s="1" t="s">
        <v>2019</v>
      </c>
      <c r="F7381" s="1" t="s">
        <v>735</v>
      </c>
      <c r="G7381" s="6">
        <v>39374</v>
      </c>
      <c r="H7381" t="str">
        <f>IFERROR(VLOOKUP(F7381,'LEAID Match'!$A$2:$B$142,2,FALSE),"")</f>
        <v/>
      </c>
    </row>
    <row r="7382" spans="1:8" x14ac:dyDescent="0.2">
      <c r="A7382" t="str">
        <f t="shared" si="115"/>
        <v/>
      </c>
      <c r="B7382" s="1">
        <v>2020</v>
      </c>
      <c r="C7382" s="1" t="s">
        <v>2505</v>
      </c>
      <c r="D7382" s="1" t="s">
        <v>2506</v>
      </c>
      <c r="E7382" s="1" t="s">
        <v>2019</v>
      </c>
      <c r="F7382" s="1" t="s">
        <v>735</v>
      </c>
      <c r="G7382" s="6">
        <v>51799</v>
      </c>
      <c r="H7382" t="str">
        <f>IFERROR(VLOOKUP(F7382,'LEAID Match'!$A$2:$B$142,2,FALSE),"")</f>
        <v/>
      </c>
    </row>
    <row r="7383" spans="1:8" x14ac:dyDescent="0.2">
      <c r="A7383" t="str">
        <f t="shared" si="115"/>
        <v/>
      </c>
      <c r="B7383" s="1">
        <v>2021</v>
      </c>
      <c r="C7383" s="1" t="s">
        <v>2505</v>
      </c>
      <c r="D7383" s="1" t="s">
        <v>2506</v>
      </c>
      <c r="E7383" s="1" t="s">
        <v>2019</v>
      </c>
      <c r="F7383" s="1" t="s">
        <v>735</v>
      </c>
      <c r="G7383" s="6">
        <v>57258</v>
      </c>
      <c r="H7383" t="str">
        <f>IFERROR(VLOOKUP(F7383,'LEAID Match'!$A$2:$B$142,2,FALSE),"")</f>
        <v/>
      </c>
    </row>
    <row r="7384" spans="1:8" x14ac:dyDescent="0.2">
      <c r="A7384" t="str">
        <f t="shared" si="115"/>
        <v/>
      </c>
      <c r="B7384" s="1">
        <v>2022</v>
      </c>
      <c r="C7384" s="1" t="s">
        <v>2505</v>
      </c>
      <c r="D7384" s="1" t="s">
        <v>2506</v>
      </c>
      <c r="E7384" s="1" t="s">
        <v>2019</v>
      </c>
      <c r="F7384" s="1" t="s">
        <v>735</v>
      </c>
      <c r="G7384" s="6">
        <v>61653</v>
      </c>
      <c r="H7384" t="str">
        <f>IFERROR(VLOOKUP(F7384,'LEAID Match'!$A$2:$B$142,2,FALSE),"")</f>
        <v/>
      </c>
    </row>
    <row r="7385" spans="1:8" x14ac:dyDescent="0.2">
      <c r="A7385" t="str">
        <f t="shared" si="115"/>
        <v/>
      </c>
      <c r="B7385" s="1">
        <v>2023</v>
      </c>
      <c r="C7385" s="1" t="s">
        <v>2505</v>
      </c>
      <c r="D7385" s="1" t="s">
        <v>2506</v>
      </c>
      <c r="E7385" s="1" t="s">
        <v>2019</v>
      </c>
      <c r="F7385" s="1" t="s">
        <v>735</v>
      </c>
      <c r="G7385" s="6">
        <v>79090</v>
      </c>
      <c r="H7385" t="str">
        <f>IFERROR(VLOOKUP(F7385,'LEAID Match'!$A$2:$B$142,2,FALSE),"")</f>
        <v/>
      </c>
    </row>
    <row r="7386" spans="1:8" x14ac:dyDescent="0.2">
      <c r="A7386" t="str">
        <f t="shared" si="115"/>
        <v/>
      </c>
      <c r="B7386" s="1">
        <v>2024</v>
      </c>
      <c r="C7386" s="1" t="s">
        <v>2505</v>
      </c>
      <c r="D7386" s="1" t="s">
        <v>2506</v>
      </c>
      <c r="E7386" s="1" t="s">
        <v>2019</v>
      </c>
      <c r="F7386" s="1" t="s">
        <v>735</v>
      </c>
      <c r="G7386" s="6">
        <v>87130</v>
      </c>
      <c r="H7386" t="str">
        <f>IFERROR(VLOOKUP(F7386,'LEAID Match'!$A$2:$B$142,2,FALSE),"")</f>
        <v/>
      </c>
    </row>
    <row r="7387" spans="1:8" x14ac:dyDescent="0.2">
      <c r="A7387" t="str">
        <f t="shared" si="115"/>
        <v/>
      </c>
      <c r="B7387" s="1">
        <v>2015</v>
      </c>
      <c r="C7387" s="1" t="s">
        <v>2505</v>
      </c>
      <c r="D7387" s="1" t="s">
        <v>2506</v>
      </c>
      <c r="E7387" s="1" t="s">
        <v>2019</v>
      </c>
      <c r="F7387" s="1" t="s">
        <v>736</v>
      </c>
      <c r="G7387" s="6">
        <v>449427</v>
      </c>
      <c r="H7387" t="str">
        <f>IFERROR(VLOOKUP(F7387,'LEAID Match'!$A$2:$B$142,2,FALSE),"")</f>
        <v/>
      </c>
    </row>
    <row r="7388" spans="1:8" x14ac:dyDescent="0.2">
      <c r="A7388" t="str">
        <f t="shared" si="115"/>
        <v/>
      </c>
      <c r="B7388">
        <v>2016</v>
      </c>
      <c r="C7388" s="1" t="s">
        <v>2505</v>
      </c>
      <c r="D7388" s="1" t="s">
        <v>2506</v>
      </c>
      <c r="E7388" s="1" t="s">
        <v>2019</v>
      </c>
      <c r="F7388" s="1" t="s">
        <v>736</v>
      </c>
      <c r="G7388" s="12">
        <v>471150</v>
      </c>
      <c r="H7388" t="str">
        <f>IFERROR(VLOOKUP(F7388,'LEAID Match'!$A$2:$B$142,2,FALSE),"")</f>
        <v/>
      </c>
    </row>
    <row r="7389" spans="1:8" x14ac:dyDescent="0.2">
      <c r="A7389" t="str">
        <f t="shared" si="115"/>
        <v/>
      </c>
      <c r="B7389" s="1">
        <v>2017</v>
      </c>
      <c r="C7389" s="1" t="s">
        <v>2505</v>
      </c>
      <c r="D7389" s="1" t="s">
        <v>2506</v>
      </c>
      <c r="E7389" s="1" t="s">
        <v>2019</v>
      </c>
      <c r="F7389" s="1" t="s">
        <v>736</v>
      </c>
      <c r="G7389" s="54">
        <v>490318</v>
      </c>
      <c r="H7389" t="str">
        <f>IFERROR(VLOOKUP(F7389,'LEAID Match'!$A$2:$B$142,2,FALSE),"")</f>
        <v/>
      </c>
    </row>
    <row r="7390" spans="1:8" x14ac:dyDescent="0.2">
      <c r="A7390" t="str">
        <f t="shared" si="115"/>
        <v/>
      </c>
      <c r="B7390" s="1">
        <v>2018</v>
      </c>
      <c r="C7390" s="1" t="s">
        <v>2505</v>
      </c>
      <c r="D7390" s="1" t="s">
        <v>2506</v>
      </c>
      <c r="E7390" s="1" t="s">
        <v>2019</v>
      </c>
      <c r="F7390" s="1" t="s">
        <v>736</v>
      </c>
      <c r="G7390" s="6">
        <v>493798</v>
      </c>
      <c r="H7390" t="str">
        <f>IFERROR(VLOOKUP(F7390,'LEAID Match'!$A$2:$B$142,2,FALSE),"")</f>
        <v/>
      </c>
    </row>
    <row r="7391" spans="1:8" x14ac:dyDescent="0.2">
      <c r="A7391" t="str">
        <f t="shared" si="115"/>
        <v/>
      </c>
      <c r="B7391" s="1">
        <v>2019</v>
      </c>
      <c r="C7391" s="1" t="s">
        <v>2505</v>
      </c>
      <c r="D7391" s="1" t="s">
        <v>2506</v>
      </c>
      <c r="E7391" s="1" t="s">
        <v>2019</v>
      </c>
      <c r="F7391" s="1" t="s">
        <v>736</v>
      </c>
      <c r="G7391" s="6">
        <v>508895</v>
      </c>
      <c r="H7391" t="str">
        <f>IFERROR(VLOOKUP(F7391,'LEAID Match'!$A$2:$B$142,2,FALSE),"")</f>
        <v/>
      </c>
    </row>
    <row r="7392" spans="1:8" x14ac:dyDescent="0.2">
      <c r="A7392" t="str">
        <f t="shared" si="115"/>
        <v/>
      </c>
      <c r="B7392" s="1">
        <v>2020</v>
      </c>
      <c r="C7392" s="1" t="s">
        <v>2505</v>
      </c>
      <c r="D7392" s="1" t="s">
        <v>2506</v>
      </c>
      <c r="E7392" s="1" t="s">
        <v>2019</v>
      </c>
      <c r="F7392" s="1" t="s">
        <v>736</v>
      </c>
      <c r="G7392" s="6">
        <v>583371</v>
      </c>
      <c r="H7392" t="str">
        <f>IFERROR(VLOOKUP(F7392,'LEAID Match'!$A$2:$B$142,2,FALSE),"")</f>
        <v/>
      </c>
    </row>
    <row r="7393" spans="1:8" x14ac:dyDescent="0.2">
      <c r="A7393" t="str">
        <f t="shared" si="115"/>
        <v/>
      </c>
      <c r="B7393" s="1">
        <v>2021</v>
      </c>
      <c r="C7393" s="1" t="s">
        <v>2505</v>
      </c>
      <c r="D7393" s="1" t="s">
        <v>2506</v>
      </c>
      <c r="E7393" s="1" t="s">
        <v>2019</v>
      </c>
      <c r="F7393" s="1" t="s">
        <v>736</v>
      </c>
      <c r="G7393" s="6">
        <v>607779</v>
      </c>
      <c r="H7393" t="str">
        <f>IFERROR(VLOOKUP(F7393,'LEAID Match'!$A$2:$B$142,2,FALSE),"")</f>
        <v/>
      </c>
    </row>
    <row r="7394" spans="1:8" x14ac:dyDescent="0.2">
      <c r="A7394" t="str">
        <f t="shared" si="115"/>
        <v/>
      </c>
      <c r="B7394" s="1">
        <v>2022</v>
      </c>
      <c r="C7394" s="1" t="s">
        <v>2505</v>
      </c>
      <c r="D7394" s="1" t="s">
        <v>2506</v>
      </c>
      <c r="E7394" s="1" t="s">
        <v>2019</v>
      </c>
      <c r="F7394" s="1" t="s">
        <v>736</v>
      </c>
      <c r="G7394" s="6">
        <v>623926</v>
      </c>
      <c r="H7394" t="str">
        <f>IFERROR(VLOOKUP(F7394,'LEAID Match'!$A$2:$B$142,2,FALSE),"")</f>
        <v/>
      </c>
    </row>
    <row r="7395" spans="1:8" x14ac:dyDescent="0.2">
      <c r="A7395" t="str">
        <f t="shared" si="115"/>
        <v/>
      </c>
      <c r="B7395" s="1">
        <v>2023</v>
      </c>
      <c r="C7395" s="1" t="s">
        <v>2505</v>
      </c>
      <c r="D7395" s="1" t="s">
        <v>2506</v>
      </c>
      <c r="E7395" s="1" t="s">
        <v>2019</v>
      </c>
      <c r="F7395" s="1" t="s">
        <v>736</v>
      </c>
      <c r="G7395" s="6">
        <v>646662</v>
      </c>
      <c r="H7395" t="str">
        <f>IFERROR(VLOOKUP(F7395,'LEAID Match'!$A$2:$B$142,2,FALSE),"")</f>
        <v/>
      </c>
    </row>
    <row r="7396" spans="1:8" x14ac:dyDescent="0.2">
      <c r="A7396" t="str">
        <f t="shared" si="115"/>
        <v/>
      </c>
      <c r="B7396" s="1">
        <v>2024</v>
      </c>
      <c r="C7396" s="1" t="s">
        <v>2505</v>
      </c>
      <c r="D7396" s="1" t="s">
        <v>2506</v>
      </c>
      <c r="E7396" s="1" t="s">
        <v>2019</v>
      </c>
      <c r="F7396" s="1" t="s">
        <v>736</v>
      </c>
      <c r="G7396" s="6">
        <v>697543</v>
      </c>
      <c r="H7396" t="str">
        <f>IFERROR(VLOOKUP(F7396,'LEAID Match'!$A$2:$B$142,2,FALSE),"")</f>
        <v/>
      </c>
    </row>
    <row r="7397" spans="1:8" x14ac:dyDescent="0.2">
      <c r="A7397" t="str">
        <f t="shared" si="115"/>
        <v/>
      </c>
      <c r="B7397" s="1">
        <v>2015</v>
      </c>
      <c r="C7397" s="1" t="s">
        <v>2505</v>
      </c>
      <c r="D7397" s="1" t="s">
        <v>2506</v>
      </c>
      <c r="E7397" s="1" t="s">
        <v>2019</v>
      </c>
      <c r="F7397" s="1" t="s">
        <v>737</v>
      </c>
      <c r="G7397" s="6">
        <v>697389</v>
      </c>
      <c r="H7397" t="str">
        <f>IFERROR(VLOOKUP(F7397,'LEAID Match'!$A$2:$B$142,2,FALSE),"")</f>
        <v/>
      </c>
    </row>
    <row r="7398" spans="1:8" x14ac:dyDescent="0.2">
      <c r="A7398" t="str">
        <f t="shared" si="115"/>
        <v/>
      </c>
      <c r="B7398">
        <v>2016</v>
      </c>
      <c r="C7398" s="1" t="s">
        <v>2505</v>
      </c>
      <c r="D7398" s="1" t="s">
        <v>2506</v>
      </c>
      <c r="E7398" s="1" t="s">
        <v>2019</v>
      </c>
      <c r="F7398" s="1" t="s">
        <v>737</v>
      </c>
      <c r="G7398" s="12">
        <v>769551</v>
      </c>
      <c r="H7398" t="str">
        <f>IFERROR(VLOOKUP(F7398,'LEAID Match'!$A$2:$B$142,2,FALSE),"")</f>
        <v/>
      </c>
    </row>
    <row r="7399" spans="1:8" x14ac:dyDescent="0.2">
      <c r="A7399" t="str">
        <f t="shared" si="115"/>
        <v/>
      </c>
      <c r="B7399" s="1">
        <v>2017</v>
      </c>
      <c r="C7399" s="1" t="s">
        <v>2505</v>
      </c>
      <c r="D7399" s="1" t="s">
        <v>2506</v>
      </c>
      <c r="E7399" s="1" t="s">
        <v>2019</v>
      </c>
      <c r="F7399" s="1" t="s">
        <v>737</v>
      </c>
      <c r="G7399" s="49">
        <v>850010</v>
      </c>
      <c r="H7399" t="str">
        <f>IFERROR(VLOOKUP(F7399,'LEAID Match'!$A$2:$B$142,2,FALSE),"")</f>
        <v/>
      </c>
    </row>
    <row r="7400" spans="1:8" x14ac:dyDescent="0.2">
      <c r="A7400" t="str">
        <f t="shared" si="115"/>
        <v/>
      </c>
      <c r="B7400" s="1">
        <v>2018</v>
      </c>
      <c r="C7400" s="1" t="s">
        <v>2505</v>
      </c>
      <c r="D7400" s="1" t="s">
        <v>2506</v>
      </c>
      <c r="E7400" s="1" t="s">
        <v>2019</v>
      </c>
      <c r="F7400" s="1" t="s">
        <v>737</v>
      </c>
      <c r="G7400" s="6">
        <v>900456</v>
      </c>
      <c r="H7400" t="str">
        <f>IFERROR(VLOOKUP(F7400,'LEAID Match'!$A$2:$B$142,2,FALSE),"")</f>
        <v/>
      </c>
    </row>
    <row r="7401" spans="1:8" x14ac:dyDescent="0.2">
      <c r="A7401" t="str">
        <f t="shared" si="115"/>
        <v/>
      </c>
      <c r="B7401" s="1">
        <v>2019</v>
      </c>
      <c r="C7401" s="1" t="s">
        <v>2505</v>
      </c>
      <c r="D7401" s="1" t="s">
        <v>2506</v>
      </c>
      <c r="E7401" s="1" t="s">
        <v>2019</v>
      </c>
      <c r="F7401" s="1" t="s">
        <v>737</v>
      </c>
      <c r="G7401" s="6">
        <v>840831</v>
      </c>
      <c r="H7401" t="str">
        <f>IFERROR(VLOOKUP(F7401,'LEAID Match'!$A$2:$B$142,2,FALSE),"")</f>
        <v/>
      </c>
    </row>
    <row r="7402" spans="1:8" x14ac:dyDescent="0.2">
      <c r="A7402" t="str">
        <f t="shared" si="115"/>
        <v/>
      </c>
      <c r="B7402" s="1">
        <v>2020</v>
      </c>
      <c r="C7402" s="1" t="s">
        <v>2505</v>
      </c>
      <c r="D7402" s="1" t="s">
        <v>2506</v>
      </c>
      <c r="E7402" s="1" t="s">
        <v>2019</v>
      </c>
      <c r="F7402" s="1" t="s">
        <v>737</v>
      </c>
      <c r="G7402" s="6">
        <v>1017428</v>
      </c>
      <c r="H7402" t="str">
        <f>IFERROR(VLOOKUP(F7402,'LEAID Match'!$A$2:$B$142,2,FALSE),"")</f>
        <v/>
      </c>
    </row>
    <row r="7403" spans="1:8" x14ac:dyDescent="0.2">
      <c r="A7403" t="str">
        <f t="shared" si="115"/>
        <v/>
      </c>
      <c r="B7403" s="1">
        <v>2021</v>
      </c>
      <c r="C7403" s="1" t="s">
        <v>2505</v>
      </c>
      <c r="D7403" s="1" t="s">
        <v>2506</v>
      </c>
      <c r="E7403" s="1" t="s">
        <v>2019</v>
      </c>
      <c r="F7403" s="1" t="s">
        <v>737</v>
      </c>
      <c r="G7403" s="6">
        <v>1085933</v>
      </c>
      <c r="H7403" t="str">
        <f>IFERROR(VLOOKUP(F7403,'LEAID Match'!$A$2:$B$142,2,FALSE),"")</f>
        <v/>
      </c>
    </row>
    <row r="7404" spans="1:8" x14ac:dyDescent="0.2">
      <c r="A7404" t="str">
        <f t="shared" si="115"/>
        <v/>
      </c>
      <c r="B7404" s="1">
        <v>2022</v>
      </c>
      <c r="C7404" s="1" t="s">
        <v>2505</v>
      </c>
      <c r="D7404" s="1" t="s">
        <v>2506</v>
      </c>
      <c r="E7404" s="1" t="s">
        <v>2019</v>
      </c>
      <c r="F7404" s="1" t="s">
        <v>737</v>
      </c>
      <c r="G7404" s="6">
        <v>1169460</v>
      </c>
      <c r="H7404" t="str">
        <f>IFERROR(VLOOKUP(F7404,'LEAID Match'!$A$2:$B$142,2,FALSE),"")</f>
        <v/>
      </c>
    </row>
    <row r="7405" spans="1:8" x14ac:dyDescent="0.2">
      <c r="A7405" t="str">
        <f t="shared" si="115"/>
        <v/>
      </c>
      <c r="B7405" s="1">
        <v>2023</v>
      </c>
      <c r="C7405" s="1" t="s">
        <v>2505</v>
      </c>
      <c r="D7405" s="1" t="s">
        <v>2506</v>
      </c>
      <c r="E7405" s="1" t="s">
        <v>2019</v>
      </c>
      <c r="F7405" s="1" t="s">
        <v>737</v>
      </c>
      <c r="G7405" s="6">
        <v>1196658</v>
      </c>
      <c r="H7405" t="str">
        <f>IFERROR(VLOOKUP(F7405,'LEAID Match'!$A$2:$B$142,2,FALSE),"")</f>
        <v/>
      </c>
    </row>
    <row r="7406" spans="1:8" x14ac:dyDescent="0.2">
      <c r="A7406" t="str">
        <f t="shared" si="115"/>
        <v/>
      </c>
      <c r="B7406" s="1">
        <v>2024</v>
      </c>
      <c r="C7406" s="1" t="s">
        <v>2505</v>
      </c>
      <c r="D7406" s="1" t="s">
        <v>2506</v>
      </c>
      <c r="E7406" s="1" t="s">
        <v>2019</v>
      </c>
      <c r="F7406" s="1" t="s">
        <v>737</v>
      </c>
      <c r="G7406" s="6">
        <v>1083326</v>
      </c>
      <c r="H7406" t="str">
        <f>IFERROR(VLOOKUP(F7406,'LEAID Match'!$A$2:$B$142,2,FALSE),"")</f>
        <v/>
      </c>
    </row>
    <row r="7407" spans="1:8" x14ac:dyDescent="0.2">
      <c r="A7407" t="str">
        <f t="shared" si="115"/>
        <v/>
      </c>
      <c r="B7407" s="1">
        <v>2015</v>
      </c>
      <c r="C7407" s="1" t="s">
        <v>2505</v>
      </c>
      <c r="D7407" s="1" t="s">
        <v>2506</v>
      </c>
      <c r="E7407" s="1" t="s">
        <v>2019</v>
      </c>
      <c r="F7407" s="1" t="s">
        <v>738</v>
      </c>
      <c r="G7407" s="6">
        <v>493000</v>
      </c>
      <c r="H7407" t="str">
        <f>IFERROR(VLOOKUP(F7407,'LEAID Match'!$A$2:$B$142,2,FALSE),"")</f>
        <v/>
      </c>
    </row>
    <row r="7408" spans="1:8" x14ac:dyDescent="0.2">
      <c r="A7408" t="str">
        <f t="shared" si="115"/>
        <v/>
      </c>
      <c r="B7408">
        <v>2016</v>
      </c>
      <c r="C7408" s="1" t="s">
        <v>2505</v>
      </c>
      <c r="D7408" s="1" t="s">
        <v>2506</v>
      </c>
      <c r="E7408" s="1" t="s">
        <v>2019</v>
      </c>
      <c r="F7408" s="1" t="s">
        <v>738</v>
      </c>
      <c r="G7408" s="12">
        <v>487510</v>
      </c>
      <c r="H7408" t="str">
        <f>IFERROR(VLOOKUP(F7408,'LEAID Match'!$A$2:$B$142,2,FALSE),"")</f>
        <v/>
      </c>
    </row>
    <row r="7409" spans="1:8" x14ac:dyDescent="0.2">
      <c r="A7409" t="str">
        <f t="shared" si="115"/>
        <v/>
      </c>
      <c r="B7409" s="1">
        <v>2017</v>
      </c>
      <c r="C7409" s="1" t="s">
        <v>2505</v>
      </c>
      <c r="D7409" s="1" t="s">
        <v>2506</v>
      </c>
      <c r="E7409" s="1" t="s">
        <v>2019</v>
      </c>
      <c r="F7409" s="1" t="s">
        <v>738</v>
      </c>
      <c r="G7409" s="49">
        <v>499883</v>
      </c>
      <c r="H7409" t="str">
        <f>IFERROR(VLOOKUP(F7409,'LEAID Match'!$A$2:$B$142,2,FALSE),"")</f>
        <v/>
      </c>
    </row>
    <row r="7410" spans="1:8" x14ac:dyDescent="0.2">
      <c r="A7410" t="str">
        <f t="shared" si="115"/>
        <v/>
      </c>
      <c r="B7410" s="1">
        <v>2018</v>
      </c>
      <c r="C7410" s="1" t="s">
        <v>2505</v>
      </c>
      <c r="D7410" s="1" t="s">
        <v>2506</v>
      </c>
      <c r="E7410" s="1" t="s">
        <v>2019</v>
      </c>
      <c r="F7410" s="1" t="s">
        <v>738</v>
      </c>
      <c r="G7410" s="6">
        <v>516379</v>
      </c>
      <c r="H7410" t="str">
        <f>IFERROR(VLOOKUP(F7410,'LEAID Match'!$A$2:$B$142,2,FALSE),"")</f>
        <v/>
      </c>
    </row>
    <row r="7411" spans="1:8" x14ac:dyDescent="0.2">
      <c r="A7411" t="str">
        <f t="shared" si="115"/>
        <v/>
      </c>
      <c r="B7411" s="1">
        <v>2019</v>
      </c>
      <c r="C7411" s="1" t="s">
        <v>2505</v>
      </c>
      <c r="D7411" s="1" t="s">
        <v>2506</v>
      </c>
      <c r="E7411" s="1" t="s">
        <v>2019</v>
      </c>
      <c r="F7411" s="1" t="s">
        <v>738</v>
      </c>
      <c r="G7411" s="6">
        <v>543982</v>
      </c>
      <c r="H7411" t="str">
        <f>IFERROR(VLOOKUP(F7411,'LEAID Match'!$A$2:$B$142,2,FALSE),"")</f>
        <v/>
      </c>
    </row>
    <row r="7412" spans="1:8" x14ac:dyDescent="0.2">
      <c r="A7412" t="str">
        <f t="shared" si="115"/>
        <v/>
      </c>
      <c r="B7412" s="1">
        <v>2020</v>
      </c>
      <c r="C7412" s="1" t="s">
        <v>2505</v>
      </c>
      <c r="D7412" s="1" t="s">
        <v>2506</v>
      </c>
      <c r="E7412" s="1" t="s">
        <v>2019</v>
      </c>
      <c r="F7412" s="1" t="s">
        <v>738</v>
      </c>
      <c r="G7412" s="6">
        <v>616368</v>
      </c>
      <c r="H7412" t="str">
        <f>IFERROR(VLOOKUP(F7412,'LEAID Match'!$A$2:$B$142,2,FALSE),"")</f>
        <v/>
      </c>
    </row>
    <row r="7413" spans="1:8" x14ac:dyDescent="0.2">
      <c r="A7413" t="str">
        <f t="shared" si="115"/>
        <v/>
      </c>
      <c r="B7413" s="1">
        <v>2021</v>
      </c>
      <c r="C7413" s="1" t="s">
        <v>2505</v>
      </c>
      <c r="D7413" s="1" t="s">
        <v>2506</v>
      </c>
      <c r="E7413" s="1" t="s">
        <v>2019</v>
      </c>
      <c r="F7413" s="1" t="s">
        <v>738</v>
      </c>
      <c r="G7413" s="6">
        <v>625110</v>
      </c>
      <c r="H7413" t="str">
        <f>IFERROR(VLOOKUP(F7413,'LEAID Match'!$A$2:$B$142,2,FALSE),"")</f>
        <v/>
      </c>
    </row>
    <row r="7414" spans="1:8" x14ac:dyDescent="0.2">
      <c r="A7414" t="str">
        <f t="shared" si="115"/>
        <v/>
      </c>
      <c r="B7414" s="1">
        <v>2022</v>
      </c>
      <c r="C7414" s="1" t="s">
        <v>2505</v>
      </c>
      <c r="D7414" s="1" t="s">
        <v>2506</v>
      </c>
      <c r="E7414" s="1" t="s">
        <v>2019</v>
      </c>
      <c r="F7414" s="1" t="s">
        <v>738</v>
      </c>
      <c r="G7414" s="6">
        <v>650728</v>
      </c>
      <c r="H7414" t="str">
        <f>IFERROR(VLOOKUP(F7414,'LEAID Match'!$A$2:$B$142,2,FALSE),"")</f>
        <v/>
      </c>
    </row>
    <row r="7415" spans="1:8" x14ac:dyDescent="0.2">
      <c r="A7415" t="str">
        <f t="shared" si="115"/>
        <v/>
      </c>
      <c r="B7415" s="1">
        <v>2023</v>
      </c>
      <c r="C7415" s="1" t="s">
        <v>2505</v>
      </c>
      <c r="D7415" s="1" t="s">
        <v>2506</v>
      </c>
      <c r="E7415" s="1" t="s">
        <v>2019</v>
      </c>
      <c r="F7415" s="1" t="s">
        <v>738</v>
      </c>
      <c r="G7415" s="6">
        <v>667015</v>
      </c>
      <c r="H7415" t="str">
        <f>IFERROR(VLOOKUP(F7415,'LEAID Match'!$A$2:$B$142,2,FALSE),"")</f>
        <v/>
      </c>
    </row>
    <row r="7416" spans="1:8" x14ac:dyDescent="0.2">
      <c r="A7416" t="str">
        <f t="shared" si="115"/>
        <v/>
      </c>
      <c r="B7416" s="1">
        <v>2024</v>
      </c>
      <c r="C7416" s="1" t="s">
        <v>2505</v>
      </c>
      <c r="D7416" s="1" t="s">
        <v>2506</v>
      </c>
      <c r="E7416" s="1" t="s">
        <v>2019</v>
      </c>
      <c r="F7416" s="1" t="s">
        <v>738</v>
      </c>
      <c r="G7416" s="6">
        <v>680035</v>
      </c>
      <c r="H7416" t="str">
        <f>IFERROR(VLOOKUP(F7416,'LEAID Match'!$A$2:$B$142,2,FALSE),"")</f>
        <v/>
      </c>
    </row>
    <row r="7417" spans="1:8" x14ac:dyDescent="0.2">
      <c r="A7417">
        <f t="shared" si="115"/>
        <v>2804260</v>
      </c>
      <c r="B7417" s="1">
        <v>2015</v>
      </c>
      <c r="C7417" s="1" t="s">
        <v>2505</v>
      </c>
      <c r="D7417" s="1" t="s">
        <v>2506</v>
      </c>
      <c r="E7417" s="1" t="s">
        <v>2019</v>
      </c>
      <c r="F7417" s="1" t="s">
        <v>739</v>
      </c>
      <c r="G7417" s="6">
        <v>2636795</v>
      </c>
      <c r="H7417">
        <f>IFERROR(VLOOKUP(F7417,'LEAID Match'!$A$2:$B$142,2,FALSE),"")</f>
        <v>2804260</v>
      </c>
    </row>
    <row r="7418" spans="1:8" x14ac:dyDescent="0.2">
      <c r="A7418">
        <f t="shared" si="115"/>
        <v>2804260</v>
      </c>
      <c r="B7418">
        <v>2016</v>
      </c>
      <c r="C7418" s="1" t="s">
        <v>2505</v>
      </c>
      <c r="D7418" s="1" t="s">
        <v>2506</v>
      </c>
      <c r="E7418" s="1" t="s">
        <v>2019</v>
      </c>
      <c r="F7418" s="1" t="s">
        <v>739</v>
      </c>
      <c r="G7418" s="12">
        <v>2568435</v>
      </c>
      <c r="H7418">
        <f>IFERROR(VLOOKUP(F7418,'LEAID Match'!$A$2:$B$142,2,FALSE),"")</f>
        <v>2804260</v>
      </c>
    </row>
    <row r="7419" spans="1:8" x14ac:dyDescent="0.2">
      <c r="A7419">
        <f t="shared" si="115"/>
        <v>2804260</v>
      </c>
      <c r="B7419" s="1">
        <v>2017</v>
      </c>
      <c r="C7419" s="1" t="s">
        <v>2505</v>
      </c>
      <c r="D7419" s="1" t="s">
        <v>2506</v>
      </c>
      <c r="E7419" s="1" t="s">
        <v>2019</v>
      </c>
      <c r="F7419" s="1" t="s">
        <v>739</v>
      </c>
      <c r="G7419" s="49">
        <v>2594703</v>
      </c>
      <c r="H7419">
        <f>IFERROR(VLOOKUP(F7419,'LEAID Match'!$A$2:$B$142,2,FALSE),"")</f>
        <v>2804260</v>
      </c>
    </row>
    <row r="7420" spans="1:8" x14ac:dyDescent="0.2">
      <c r="A7420">
        <f t="shared" si="115"/>
        <v>2804260</v>
      </c>
      <c r="B7420" s="1">
        <v>2018</v>
      </c>
      <c r="C7420" s="1" t="s">
        <v>2505</v>
      </c>
      <c r="D7420" s="1" t="s">
        <v>2506</v>
      </c>
      <c r="E7420" s="1" t="s">
        <v>2019</v>
      </c>
      <c r="F7420" s="1" t="s">
        <v>739</v>
      </c>
      <c r="G7420" s="6">
        <v>2468961</v>
      </c>
      <c r="H7420">
        <f>IFERROR(VLOOKUP(F7420,'LEAID Match'!$A$2:$B$142,2,FALSE),"")</f>
        <v>2804260</v>
      </c>
    </row>
    <row r="7421" spans="1:8" x14ac:dyDescent="0.2">
      <c r="A7421">
        <f t="shared" si="115"/>
        <v>2804260</v>
      </c>
      <c r="B7421" s="1">
        <v>2019</v>
      </c>
      <c r="C7421" s="1" t="s">
        <v>2505</v>
      </c>
      <c r="D7421" s="1" t="s">
        <v>2506</v>
      </c>
      <c r="E7421" s="1" t="s">
        <v>2019</v>
      </c>
      <c r="F7421" s="1" t="s">
        <v>739</v>
      </c>
      <c r="G7421" s="6">
        <v>2841286</v>
      </c>
      <c r="H7421">
        <f>IFERROR(VLOOKUP(F7421,'LEAID Match'!$A$2:$B$142,2,FALSE),"")</f>
        <v>2804260</v>
      </c>
    </row>
    <row r="7422" spans="1:8" x14ac:dyDescent="0.2">
      <c r="A7422">
        <f t="shared" si="115"/>
        <v>2804260</v>
      </c>
      <c r="B7422" s="1">
        <v>2020</v>
      </c>
      <c r="C7422" s="1" t="s">
        <v>2505</v>
      </c>
      <c r="D7422" s="1" t="s">
        <v>2506</v>
      </c>
      <c r="E7422" s="1" t="s">
        <v>2019</v>
      </c>
      <c r="F7422" s="1" t="s">
        <v>739</v>
      </c>
      <c r="G7422" s="6">
        <v>2862791</v>
      </c>
      <c r="H7422">
        <f>IFERROR(VLOOKUP(F7422,'LEAID Match'!$A$2:$B$142,2,FALSE),"")</f>
        <v>2804260</v>
      </c>
    </row>
    <row r="7423" spans="1:8" x14ac:dyDescent="0.2">
      <c r="A7423">
        <f t="shared" si="115"/>
        <v>2804260</v>
      </c>
      <c r="B7423" s="1">
        <v>2021</v>
      </c>
      <c r="C7423" s="1" t="s">
        <v>2505</v>
      </c>
      <c r="D7423" s="1" t="s">
        <v>2506</v>
      </c>
      <c r="E7423" s="1" t="s">
        <v>2019</v>
      </c>
      <c r="F7423" s="1" t="s">
        <v>739</v>
      </c>
      <c r="G7423" s="6">
        <v>3071606</v>
      </c>
      <c r="H7423">
        <f>IFERROR(VLOOKUP(F7423,'LEAID Match'!$A$2:$B$142,2,FALSE),"")</f>
        <v>2804260</v>
      </c>
    </row>
    <row r="7424" spans="1:8" x14ac:dyDescent="0.2">
      <c r="A7424">
        <f t="shared" si="115"/>
        <v>2804260</v>
      </c>
      <c r="B7424" s="1">
        <v>2022</v>
      </c>
      <c r="C7424" s="1" t="s">
        <v>2505</v>
      </c>
      <c r="D7424" s="1" t="s">
        <v>2506</v>
      </c>
      <c r="E7424" s="1" t="s">
        <v>2019</v>
      </c>
      <c r="F7424" s="1" t="s">
        <v>739</v>
      </c>
      <c r="G7424" s="6">
        <v>3212831</v>
      </c>
      <c r="H7424">
        <f>IFERROR(VLOOKUP(F7424,'LEAID Match'!$A$2:$B$142,2,FALSE),"")</f>
        <v>2804260</v>
      </c>
    </row>
    <row r="7425" spans="1:8" x14ac:dyDescent="0.2">
      <c r="A7425">
        <f t="shared" si="115"/>
        <v>2804260</v>
      </c>
      <c r="B7425" s="1">
        <v>2023</v>
      </c>
      <c r="C7425" s="1" t="s">
        <v>2505</v>
      </c>
      <c r="D7425" s="1" t="s">
        <v>2506</v>
      </c>
      <c r="E7425" s="1" t="s">
        <v>2019</v>
      </c>
      <c r="F7425" s="1" t="s">
        <v>739</v>
      </c>
      <c r="G7425" s="6">
        <v>3538210</v>
      </c>
      <c r="H7425">
        <f>IFERROR(VLOOKUP(F7425,'LEAID Match'!$A$2:$B$142,2,FALSE),"")</f>
        <v>2804260</v>
      </c>
    </row>
    <row r="7426" spans="1:8" x14ac:dyDescent="0.2">
      <c r="A7426">
        <f t="shared" si="115"/>
        <v>2804260</v>
      </c>
      <c r="B7426" s="1">
        <v>2024</v>
      </c>
      <c r="C7426" s="1" t="s">
        <v>2505</v>
      </c>
      <c r="D7426" s="1" t="s">
        <v>2506</v>
      </c>
      <c r="E7426" s="1" t="s">
        <v>2019</v>
      </c>
      <c r="F7426" s="1" t="s">
        <v>739</v>
      </c>
      <c r="G7426" s="6">
        <v>3846096</v>
      </c>
      <c r="H7426">
        <f>IFERROR(VLOOKUP(F7426,'LEAID Match'!$A$2:$B$142,2,FALSE),"")</f>
        <v>2804260</v>
      </c>
    </row>
    <row r="7427" spans="1:8" x14ac:dyDescent="0.2">
      <c r="A7427" t="str">
        <f t="shared" ref="A7427:A7490" si="116">H7427</f>
        <v/>
      </c>
      <c r="B7427" s="1">
        <v>2015</v>
      </c>
      <c r="C7427" s="1" t="s">
        <v>2505</v>
      </c>
      <c r="D7427" s="1" t="s">
        <v>2506</v>
      </c>
      <c r="E7427" s="1" t="s">
        <v>2019</v>
      </c>
      <c r="F7427" s="1" t="s">
        <v>740</v>
      </c>
      <c r="G7427" s="6">
        <v>29655</v>
      </c>
      <c r="H7427" t="str">
        <f>IFERROR(VLOOKUP(F7427,'LEAID Match'!$A$2:$B$142,2,FALSE),"")</f>
        <v/>
      </c>
    </row>
    <row r="7428" spans="1:8" x14ac:dyDescent="0.2">
      <c r="A7428" t="str">
        <f t="shared" si="116"/>
        <v/>
      </c>
      <c r="B7428">
        <v>2016</v>
      </c>
      <c r="C7428" s="1" t="s">
        <v>2505</v>
      </c>
      <c r="D7428" s="1" t="s">
        <v>2506</v>
      </c>
      <c r="E7428" s="1" t="s">
        <v>2019</v>
      </c>
      <c r="F7428" s="1" t="s">
        <v>740</v>
      </c>
      <c r="G7428" s="12">
        <v>34885</v>
      </c>
      <c r="H7428" t="str">
        <f>IFERROR(VLOOKUP(F7428,'LEAID Match'!$A$2:$B$142,2,FALSE),"")</f>
        <v/>
      </c>
    </row>
    <row r="7429" spans="1:8" x14ac:dyDescent="0.2">
      <c r="A7429" t="str">
        <f t="shared" si="116"/>
        <v/>
      </c>
      <c r="B7429" s="1">
        <v>2017</v>
      </c>
      <c r="C7429" s="1" t="s">
        <v>2505</v>
      </c>
      <c r="D7429" s="1" t="s">
        <v>2506</v>
      </c>
      <c r="E7429" s="1" t="s">
        <v>2019</v>
      </c>
      <c r="F7429" s="1" t="s">
        <v>740</v>
      </c>
      <c r="G7429" s="49">
        <v>35400</v>
      </c>
      <c r="H7429" t="str">
        <f>IFERROR(VLOOKUP(F7429,'LEAID Match'!$A$2:$B$142,2,FALSE),"")</f>
        <v/>
      </c>
    </row>
    <row r="7430" spans="1:8" x14ac:dyDescent="0.2">
      <c r="A7430" t="str">
        <f t="shared" si="116"/>
        <v/>
      </c>
      <c r="B7430" s="1">
        <v>2018</v>
      </c>
      <c r="C7430" s="1" t="s">
        <v>2505</v>
      </c>
      <c r="D7430" s="1" t="s">
        <v>2506</v>
      </c>
      <c r="E7430" s="1" t="s">
        <v>2019</v>
      </c>
      <c r="F7430" s="1" t="s">
        <v>740</v>
      </c>
      <c r="G7430" s="6">
        <v>31607</v>
      </c>
      <c r="H7430" t="str">
        <f>IFERROR(VLOOKUP(F7430,'LEAID Match'!$A$2:$B$142,2,FALSE),"")</f>
        <v/>
      </c>
    </row>
    <row r="7431" spans="1:8" x14ac:dyDescent="0.2">
      <c r="A7431" t="str">
        <f t="shared" si="116"/>
        <v/>
      </c>
      <c r="B7431" s="1">
        <v>2019</v>
      </c>
      <c r="C7431" s="1" t="s">
        <v>2505</v>
      </c>
      <c r="D7431" s="1" t="s">
        <v>2506</v>
      </c>
      <c r="E7431" s="1" t="s">
        <v>2019</v>
      </c>
      <c r="F7431" s="1" t="s">
        <v>740</v>
      </c>
      <c r="G7431" s="6">
        <v>31373</v>
      </c>
      <c r="H7431" t="str">
        <f>IFERROR(VLOOKUP(F7431,'LEAID Match'!$A$2:$B$142,2,FALSE),"")</f>
        <v/>
      </c>
    </row>
    <row r="7432" spans="1:8" x14ac:dyDescent="0.2">
      <c r="A7432" t="str">
        <f t="shared" si="116"/>
        <v/>
      </c>
      <c r="B7432" s="1">
        <v>2020</v>
      </c>
      <c r="C7432" s="1" t="s">
        <v>2505</v>
      </c>
      <c r="D7432" s="1" t="s">
        <v>2506</v>
      </c>
      <c r="E7432" s="1" t="s">
        <v>2019</v>
      </c>
      <c r="F7432" s="1" t="s">
        <v>740</v>
      </c>
      <c r="G7432" s="6">
        <v>39419</v>
      </c>
      <c r="H7432" t="str">
        <f>IFERROR(VLOOKUP(F7432,'LEAID Match'!$A$2:$B$142,2,FALSE),"")</f>
        <v/>
      </c>
    </row>
    <row r="7433" spans="1:8" x14ac:dyDescent="0.2">
      <c r="A7433" t="str">
        <f t="shared" si="116"/>
        <v/>
      </c>
      <c r="B7433" s="1">
        <v>2021</v>
      </c>
      <c r="C7433" s="1" t="s">
        <v>2505</v>
      </c>
      <c r="D7433" s="1" t="s">
        <v>2506</v>
      </c>
      <c r="E7433" s="1" t="s">
        <v>2019</v>
      </c>
      <c r="F7433" s="1" t="s">
        <v>740</v>
      </c>
      <c r="G7433" s="6">
        <v>43031</v>
      </c>
      <c r="H7433" t="str">
        <f>IFERROR(VLOOKUP(F7433,'LEAID Match'!$A$2:$B$142,2,FALSE),"")</f>
        <v/>
      </c>
    </row>
    <row r="7434" spans="1:8" x14ac:dyDescent="0.2">
      <c r="A7434" t="str">
        <f t="shared" si="116"/>
        <v/>
      </c>
      <c r="B7434" s="1">
        <v>2022</v>
      </c>
      <c r="C7434" s="1" t="s">
        <v>2505</v>
      </c>
      <c r="D7434" s="1" t="s">
        <v>2506</v>
      </c>
      <c r="E7434" s="1" t="s">
        <v>2019</v>
      </c>
      <c r="F7434" s="1" t="s">
        <v>740</v>
      </c>
      <c r="G7434" s="6">
        <v>45993</v>
      </c>
      <c r="H7434" t="str">
        <f>IFERROR(VLOOKUP(F7434,'LEAID Match'!$A$2:$B$142,2,FALSE),"")</f>
        <v/>
      </c>
    </row>
    <row r="7435" spans="1:8" x14ac:dyDescent="0.2">
      <c r="A7435" t="str">
        <f t="shared" si="116"/>
        <v/>
      </c>
      <c r="B7435" s="1">
        <v>2023</v>
      </c>
      <c r="C7435" s="1" t="s">
        <v>2505</v>
      </c>
      <c r="D7435" s="1" t="s">
        <v>2506</v>
      </c>
      <c r="E7435" s="1" t="s">
        <v>2019</v>
      </c>
      <c r="F7435" s="1" t="s">
        <v>740</v>
      </c>
      <c r="G7435" s="6">
        <v>46486</v>
      </c>
      <c r="H7435" t="str">
        <f>IFERROR(VLOOKUP(F7435,'LEAID Match'!$A$2:$B$142,2,FALSE),"")</f>
        <v/>
      </c>
    </row>
    <row r="7436" spans="1:8" x14ac:dyDescent="0.2">
      <c r="A7436" t="str">
        <f t="shared" si="116"/>
        <v/>
      </c>
      <c r="B7436" s="1">
        <v>2024</v>
      </c>
      <c r="C7436" s="1" t="s">
        <v>2505</v>
      </c>
      <c r="D7436" s="1" t="s">
        <v>2506</v>
      </c>
      <c r="E7436" s="1" t="s">
        <v>2019</v>
      </c>
      <c r="F7436" s="1" t="s">
        <v>740</v>
      </c>
      <c r="G7436" s="6">
        <v>51347</v>
      </c>
      <c r="H7436" t="str">
        <f>IFERROR(VLOOKUP(F7436,'LEAID Match'!$A$2:$B$142,2,FALSE),"")</f>
        <v/>
      </c>
    </row>
    <row r="7437" spans="1:8" x14ac:dyDescent="0.2">
      <c r="A7437" t="str">
        <f t="shared" si="116"/>
        <v/>
      </c>
      <c r="B7437" s="1">
        <v>2015</v>
      </c>
      <c r="C7437" s="1" t="s">
        <v>2505</v>
      </c>
      <c r="D7437" s="1" t="s">
        <v>2506</v>
      </c>
      <c r="E7437" s="1" t="s">
        <v>2019</v>
      </c>
      <c r="F7437" s="1" t="s">
        <v>741</v>
      </c>
      <c r="G7437" s="6">
        <v>38177</v>
      </c>
      <c r="H7437" t="str">
        <f>IFERROR(VLOOKUP(F7437,'LEAID Match'!$A$2:$B$142,2,FALSE),"")</f>
        <v/>
      </c>
    </row>
    <row r="7438" spans="1:8" x14ac:dyDescent="0.2">
      <c r="A7438" t="str">
        <f t="shared" si="116"/>
        <v/>
      </c>
      <c r="B7438">
        <v>2016</v>
      </c>
      <c r="C7438" s="1" t="s">
        <v>2505</v>
      </c>
      <c r="D7438" s="1" t="s">
        <v>2506</v>
      </c>
      <c r="E7438" s="1" t="s">
        <v>2019</v>
      </c>
      <c r="F7438" s="1" t="s">
        <v>741</v>
      </c>
      <c r="G7438" s="12">
        <v>37773</v>
      </c>
      <c r="H7438" t="str">
        <f>IFERROR(VLOOKUP(F7438,'LEAID Match'!$A$2:$B$142,2,FALSE),"")</f>
        <v/>
      </c>
    </row>
    <row r="7439" spans="1:8" x14ac:dyDescent="0.2">
      <c r="A7439" t="str">
        <f t="shared" si="116"/>
        <v/>
      </c>
      <c r="B7439" s="1">
        <v>2017</v>
      </c>
      <c r="C7439" s="1" t="s">
        <v>2505</v>
      </c>
      <c r="D7439" s="1" t="s">
        <v>2506</v>
      </c>
      <c r="E7439" s="1" t="s">
        <v>2019</v>
      </c>
      <c r="F7439" s="1" t="s">
        <v>741</v>
      </c>
      <c r="G7439" s="49">
        <v>36648</v>
      </c>
      <c r="H7439" t="str">
        <f>IFERROR(VLOOKUP(F7439,'LEAID Match'!$A$2:$B$142,2,FALSE),"")</f>
        <v/>
      </c>
    </row>
    <row r="7440" spans="1:8" x14ac:dyDescent="0.2">
      <c r="A7440" t="str">
        <f t="shared" si="116"/>
        <v/>
      </c>
      <c r="B7440" s="1">
        <v>2018</v>
      </c>
      <c r="C7440" s="1" t="s">
        <v>2505</v>
      </c>
      <c r="D7440" s="1" t="s">
        <v>2506</v>
      </c>
      <c r="E7440" s="1" t="s">
        <v>2019</v>
      </c>
      <c r="F7440" s="1" t="s">
        <v>741</v>
      </c>
      <c r="G7440" s="6">
        <v>32853</v>
      </c>
      <c r="H7440" t="str">
        <f>IFERROR(VLOOKUP(F7440,'LEAID Match'!$A$2:$B$142,2,FALSE),"")</f>
        <v/>
      </c>
    </row>
    <row r="7441" spans="1:8" x14ac:dyDescent="0.2">
      <c r="A7441" t="str">
        <f t="shared" si="116"/>
        <v/>
      </c>
      <c r="B7441" s="1">
        <v>2019</v>
      </c>
      <c r="C7441" s="1" t="s">
        <v>2505</v>
      </c>
      <c r="D7441" s="1" t="s">
        <v>2506</v>
      </c>
      <c r="E7441" s="1" t="s">
        <v>2019</v>
      </c>
      <c r="F7441" s="1" t="s">
        <v>741</v>
      </c>
      <c r="G7441" s="6">
        <v>30895</v>
      </c>
      <c r="H7441" t="str">
        <f>IFERROR(VLOOKUP(F7441,'LEAID Match'!$A$2:$B$142,2,FALSE),"")</f>
        <v/>
      </c>
    </row>
    <row r="7442" spans="1:8" x14ac:dyDescent="0.2">
      <c r="A7442" t="str">
        <f t="shared" si="116"/>
        <v/>
      </c>
      <c r="B7442" s="1">
        <v>2020</v>
      </c>
      <c r="C7442" s="1" t="s">
        <v>2505</v>
      </c>
      <c r="D7442" s="1" t="s">
        <v>2506</v>
      </c>
      <c r="E7442" s="1" t="s">
        <v>2019</v>
      </c>
      <c r="F7442" s="1" t="s">
        <v>741</v>
      </c>
      <c r="G7442" s="6">
        <v>37960</v>
      </c>
      <c r="H7442" t="str">
        <f>IFERROR(VLOOKUP(F7442,'LEAID Match'!$A$2:$B$142,2,FALSE),"")</f>
        <v/>
      </c>
    </row>
    <row r="7443" spans="1:8" x14ac:dyDescent="0.2">
      <c r="A7443" t="str">
        <f t="shared" si="116"/>
        <v/>
      </c>
      <c r="B7443" s="1">
        <v>2021</v>
      </c>
      <c r="C7443" s="1" t="s">
        <v>2505</v>
      </c>
      <c r="D7443" s="1" t="s">
        <v>2506</v>
      </c>
      <c r="E7443" s="1" t="s">
        <v>2019</v>
      </c>
      <c r="F7443" s="1" t="s">
        <v>741</v>
      </c>
      <c r="G7443" s="6">
        <v>39434</v>
      </c>
      <c r="H7443" t="str">
        <f>IFERROR(VLOOKUP(F7443,'LEAID Match'!$A$2:$B$142,2,FALSE),"")</f>
        <v/>
      </c>
    </row>
    <row r="7444" spans="1:8" x14ac:dyDescent="0.2">
      <c r="A7444" t="str">
        <f t="shared" si="116"/>
        <v/>
      </c>
      <c r="B7444" s="1">
        <v>2022</v>
      </c>
      <c r="C7444" s="1" t="s">
        <v>2505</v>
      </c>
      <c r="D7444" s="1" t="s">
        <v>2506</v>
      </c>
      <c r="E7444" s="1" t="s">
        <v>2019</v>
      </c>
      <c r="F7444" s="1" t="s">
        <v>741</v>
      </c>
      <c r="G7444" s="6">
        <v>41196</v>
      </c>
      <c r="H7444" t="str">
        <f>IFERROR(VLOOKUP(F7444,'LEAID Match'!$A$2:$B$142,2,FALSE),"")</f>
        <v/>
      </c>
    </row>
    <row r="7445" spans="1:8" x14ac:dyDescent="0.2">
      <c r="A7445" t="str">
        <f t="shared" si="116"/>
        <v/>
      </c>
      <c r="B7445" s="1">
        <v>2023</v>
      </c>
      <c r="C7445" s="1" t="s">
        <v>2505</v>
      </c>
      <c r="D7445" s="1" t="s">
        <v>2506</v>
      </c>
      <c r="E7445" s="1" t="s">
        <v>2019</v>
      </c>
      <c r="F7445" s="1" t="s">
        <v>741</v>
      </c>
      <c r="G7445" s="6">
        <v>45042</v>
      </c>
      <c r="H7445" t="str">
        <f>IFERROR(VLOOKUP(F7445,'LEAID Match'!$A$2:$B$142,2,FALSE),"")</f>
        <v/>
      </c>
    </row>
    <row r="7446" spans="1:8" x14ac:dyDescent="0.2">
      <c r="A7446" t="str">
        <f t="shared" si="116"/>
        <v/>
      </c>
      <c r="B7446" s="1">
        <v>2024</v>
      </c>
      <c r="C7446" s="1" t="s">
        <v>2505</v>
      </c>
      <c r="D7446" s="1" t="s">
        <v>2506</v>
      </c>
      <c r="E7446" s="1" t="s">
        <v>2019</v>
      </c>
      <c r="F7446" s="1" t="s">
        <v>741</v>
      </c>
      <c r="G7446" s="6">
        <v>47208</v>
      </c>
      <c r="H7446" t="str">
        <f>IFERROR(VLOOKUP(F7446,'LEAID Match'!$A$2:$B$142,2,FALSE),"")</f>
        <v/>
      </c>
    </row>
    <row r="7447" spans="1:8" x14ac:dyDescent="0.2">
      <c r="A7447" t="str">
        <f t="shared" si="116"/>
        <v/>
      </c>
      <c r="B7447" s="1">
        <v>2015</v>
      </c>
      <c r="C7447" s="1" t="s">
        <v>2505</v>
      </c>
      <c r="D7447" s="1" t="s">
        <v>2506</v>
      </c>
      <c r="E7447" s="1" t="s">
        <v>2019</v>
      </c>
      <c r="F7447" s="1" t="s">
        <v>742</v>
      </c>
      <c r="G7447" s="6">
        <v>102931</v>
      </c>
      <c r="H7447" t="str">
        <f>IFERROR(VLOOKUP(F7447,'LEAID Match'!$A$2:$B$142,2,FALSE),"")</f>
        <v/>
      </c>
    </row>
    <row r="7448" spans="1:8" x14ac:dyDescent="0.2">
      <c r="A7448" t="str">
        <f t="shared" si="116"/>
        <v/>
      </c>
      <c r="B7448">
        <v>2016</v>
      </c>
      <c r="C7448" s="1" t="s">
        <v>2505</v>
      </c>
      <c r="D7448" s="1" t="s">
        <v>2506</v>
      </c>
      <c r="E7448" s="1" t="s">
        <v>2019</v>
      </c>
      <c r="F7448" s="1" t="s">
        <v>742</v>
      </c>
      <c r="G7448" s="12">
        <v>96242</v>
      </c>
      <c r="H7448" t="str">
        <f>IFERROR(VLOOKUP(F7448,'LEAID Match'!$A$2:$B$142,2,FALSE),"")</f>
        <v/>
      </c>
    </row>
    <row r="7449" spans="1:8" x14ac:dyDescent="0.2">
      <c r="A7449" t="str">
        <f t="shared" si="116"/>
        <v/>
      </c>
      <c r="B7449" s="1">
        <v>2017</v>
      </c>
      <c r="C7449" s="1" t="s">
        <v>2505</v>
      </c>
      <c r="D7449" s="1" t="s">
        <v>2506</v>
      </c>
      <c r="E7449" s="1" t="s">
        <v>2019</v>
      </c>
      <c r="F7449" s="1" t="s">
        <v>742</v>
      </c>
      <c r="G7449" s="49">
        <v>102773</v>
      </c>
      <c r="H7449" t="str">
        <f>IFERROR(VLOOKUP(F7449,'LEAID Match'!$A$2:$B$142,2,FALSE),"")</f>
        <v/>
      </c>
    </row>
    <row r="7450" spans="1:8" x14ac:dyDescent="0.2">
      <c r="A7450" t="str">
        <f t="shared" si="116"/>
        <v/>
      </c>
      <c r="B7450" s="1">
        <v>2018</v>
      </c>
      <c r="C7450" s="1" t="s">
        <v>2505</v>
      </c>
      <c r="D7450" s="1" t="s">
        <v>2506</v>
      </c>
      <c r="E7450" s="1" t="s">
        <v>2019</v>
      </c>
      <c r="F7450" s="1" t="s">
        <v>742</v>
      </c>
      <c r="G7450" s="6">
        <v>96823</v>
      </c>
      <c r="H7450" t="str">
        <f>IFERROR(VLOOKUP(F7450,'LEAID Match'!$A$2:$B$142,2,FALSE),"")</f>
        <v/>
      </c>
    </row>
    <row r="7451" spans="1:8" x14ac:dyDescent="0.2">
      <c r="A7451" t="str">
        <f t="shared" si="116"/>
        <v/>
      </c>
      <c r="B7451" s="1">
        <v>2019</v>
      </c>
      <c r="C7451" s="1" t="s">
        <v>2505</v>
      </c>
      <c r="D7451" s="1" t="s">
        <v>2506</v>
      </c>
      <c r="E7451" s="1" t="s">
        <v>2019</v>
      </c>
      <c r="F7451" s="1" t="s">
        <v>742</v>
      </c>
      <c r="G7451" s="6">
        <v>112883</v>
      </c>
      <c r="H7451" t="str">
        <f>IFERROR(VLOOKUP(F7451,'LEAID Match'!$A$2:$B$142,2,FALSE),"")</f>
        <v/>
      </c>
    </row>
    <row r="7452" spans="1:8" x14ac:dyDescent="0.2">
      <c r="A7452" t="str">
        <f t="shared" si="116"/>
        <v/>
      </c>
      <c r="B7452" s="1">
        <v>2020</v>
      </c>
      <c r="C7452" s="1" t="s">
        <v>2505</v>
      </c>
      <c r="D7452" s="1" t="s">
        <v>2506</v>
      </c>
      <c r="E7452" s="1" t="s">
        <v>2019</v>
      </c>
      <c r="F7452" s="1" t="s">
        <v>742</v>
      </c>
      <c r="G7452" s="6">
        <v>131634</v>
      </c>
      <c r="H7452" t="str">
        <f>IFERROR(VLOOKUP(F7452,'LEAID Match'!$A$2:$B$142,2,FALSE),"")</f>
        <v/>
      </c>
    </row>
    <row r="7453" spans="1:8" x14ac:dyDescent="0.2">
      <c r="A7453" t="str">
        <f t="shared" si="116"/>
        <v/>
      </c>
      <c r="B7453" s="1">
        <v>2021</v>
      </c>
      <c r="C7453" s="1" t="s">
        <v>2505</v>
      </c>
      <c r="D7453" s="1" t="s">
        <v>2506</v>
      </c>
      <c r="E7453" s="1" t="s">
        <v>2019</v>
      </c>
      <c r="F7453" s="1" t="s">
        <v>742</v>
      </c>
      <c r="G7453" s="6">
        <v>124879</v>
      </c>
      <c r="H7453" t="str">
        <f>IFERROR(VLOOKUP(F7453,'LEAID Match'!$A$2:$B$142,2,FALSE),"")</f>
        <v/>
      </c>
    </row>
    <row r="7454" spans="1:8" x14ac:dyDescent="0.2">
      <c r="A7454" t="str">
        <f t="shared" si="116"/>
        <v/>
      </c>
      <c r="B7454" s="1">
        <v>2022</v>
      </c>
      <c r="C7454" s="1" t="s">
        <v>2505</v>
      </c>
      <c r="D7454" s="1" t="s">
        <v>2506</v>
      </c>
      <c r="E7454" s="1" t="s">
        <v>2019</v>
      </c>
      <c r="F7454" s="1" t="s">
        <v>742</v>
      </c>
      <c r="G7454" s="6">
        <v>148036</v>
      </c>
      <c r="H7454" t="str">
        <f>IFERROR(VLOOKUP(F7454,'LEAID Match'!$A$2:$B$142,2,FALSE),"")</f>
        <v/>
      </c>
    </row>
    <row r="7455" spans="1:8" x14ac:dyDescent="0.2">
      <c r="A7455" t="str">
        <f t="shared" si="116"/>
        <v/>
      </c>
      <c r="B7455" s="1">
        <v>2023</v>
      </c>
      <c r="C7455" s="1" t="s">
        <v>2505</v>
      </c>
      <c r="D7455" s="1" t="s">
        <v>2506</v>
      </c>
      <c r="E7455" s="1" t="s">
        <v>2019</v>
      </c>
      <c r="F7455" s="1" t="s">
        <v>742</v>
      </c>
      <c r="G7455" s="6">
        <v>159263</v>
      </c>
      <c r="H7455" t="str">
        <f>IFERROR(VLOOKUP(F7455,'LEAID Match'!$A$2:$B$142,2,FALSE),"")</f>
        <v/>
      </c>
    </row>
    <row r="7456" spans="1:8" x14ac:dyDescent="0.2">
      <c r="A7456" t="str">
        <f t="shared" si="116"/>
        <v/>
      </c>
      <c r="B7456" s="1">
        <v>2024</v>
      </c>
      <c r="C7456" s="1" t="s">
        <v>2505</v>
      </c>
      <c r="D7456" s="1" t="s">
        <v>2506</v>
      </c>
      <c r="E7456" s="1" t="s">
        <v>2019</v>
      </c>
      <c r="F7456" s="1" t="s">
        <v>742</v>
      </c>
      <c r="G7456" s="6">
        <v>161513</v>
      </c>
      <c r="H7456" t="str">
        <f>IFERROR(VLOOKUP(F7456,'LEAID Match'!$A$2:$B$142,2,FALSE),"")</f>
        <v/>
      </c>
    </row>
    <row r="7457" spans="1:8" x14ac:dyDescent="0.2">
      <c r="A7457" t="str">
        <f t="shared" si="116"/>
        <v/>
      </c>
      <c r="B7457" s="1">
        <v>2015</v>
      </c>
      <c r="C7457" s="1" t="s">
        <v>2505</v>
      </c>
      <c r="D7457" s="1" t="s">
        <v>2506</v>
      </c>
      <c r="E7457" s="1" t="s">
        <v>2019</v>
      </c>
      <c r="F7457" s="1" t="s">
        <v>743</v>
      </c>
      <c r="G7457" s="6">
        <v>2647</v>
      </c>
      <c r="H7457" t="str">
        <f>IFERROR(VLOOKUP(F7457,'LEAID Match'!$A$2:$B$142,2,FALSE),"")</f>
        <v/>
      </c>
    </row>
    <row r="7458" spans="1:8" x14ac:dyDescent="0.2">
      <c r="A7458" t="str">
        <f t="shared" si="116"/>
        <v/>
      </c>
      <c r="B7458">
        <v>2016</v>
      </c>
      <c r="C7458" s="1" t="s">
        <v>2505</v>
      </c>
      <c r="D7458" s="1" t="s">
        <v>2506</v>
      </c>
      <c r="E7458" s="1" t="s">
        <v>2019</v>
      </c>
      <c r="F7458" s="1" t="s">
        <v>743</v>
      </c>
      <c r="G7458" s="12">
        <v>2859</v>
      </c>
      <c r="H7458" t="str">
        <f>IFERROR(VLOOKUP(F7458,'LEAID Match'!$A$2:$B$142,2,FALSE),"")</f>
        <v/>
      </c>
    </row>
    <row r="7459" spans="1:8" x14ac:dyDescent="0.2">
      <c r="A7459" t="str">
        <f t="shared" si="116"/>
        <v/>
      </c>
      <c r="B7459" s="1">
        <v>2017</v>
      </c>
      <c r="C7459" s="1" t="s">
        <v>2505</v>
      </c>
      <c r="D7459" s="1" t="s">
        <v>2506</v>
      </c>
      <c r="E7459" s="1" t="s">
        <v>2019</v>
      </c>
      <c r="F7459" s="1" t="s">
        <v>743</v>
      </c>
      <c r="G7459" s="49">
        <v>3126</v>
      </c>
      <c r="H7459" t="str">
        <f>IFERROR(VLOOKUP(F7459,'LEAID Match'!$A$2:$B$142,2,FALSE),"")</f>
        <v/>
      </c>
    </row>
    <row r="7460" spans="1:8" x14ac:dyDescent="0.2">
      <c r="A7460" t="str">
        <f t="shared" si="116"/>
        <v/>
      </c>
      <c r="B7460" s="1">
        <v>2018</v>
      </c>
      <c r="C7460" s="1" t="s">
        <v>2505</v>
      </c>
      <c r="D7460" s="1" t="s">
        <v>2506</v>
      </c>
      <c r="E7460" s="1" t="s">
        <v>2019</v>
      </c>
      <c r="F7460" s="1" t="s">
        <v>743</v>
      </c>
      <c r="G7460" s="6">
        <v>3223</v>
      </c>
      <c r="H7460" t="str">
        <f>IFERROR(VLOOKUP(F7460,'LEAID Match'!$A$2:$B$142,2,FALSE),"")</f>
        <v/>
      </c>
    </row>
    <row r="7461" spans="1:8" x14ac:dyDescent="0.2">
      <c r="A7461" t="str">
        <f t="shared" si="116"/>
        <v/>
      </c>
      <c r="B7461" s="1">
        <v>2019</v>
      </c>
      <c r="C7461" s="1" t="s">
        <v>2505</v>
      </c>
      <c r="D7461" s="1" t="s">
        <v>2506</v>
      </c>
      <c r="E7461" s="1" t="s">
        <v>2019</v>
      </c>
      <c r="F7461" s="1" t="s">
        <v>743</v>
      </c>
      <c r="G7461" s="6">
        <v>3372</v>
      </c>
      <c r="H7461" t="str">
        <f>IFERROR(VLOOKUP(F7461,'LEAID Match'!$A$2:$B$142,2,FALSE),"")</f>
        <v/>
      </c>
    </row>
    <row r="7462" spans="1:8" x14ac:dyDescent="0.2">
      <c r="A7462" t="str">
        <f t="shared" si="116"/>
        <v/>
      </c>
      <c r="B7462" s="1">
        <v>2020</v>
      </c>
      <c r="C7462" s="1" t="s">
        <v>2505</v>
      </c>
      <c r="D7462" s="1" t="s">
        <v>2506</v>
      </c>
      <c r="E7462" s="1" t="s">
        <v>2019</v>
      </c>
      <c r="F7462" s="1" t="s">
        <v>743</v>
      </c>
      <c r="G7462" s="6">
        <v>3777</v>
      </c>
      <c r="H7462" t="str">
        <f>IFERROR(VLOOKUP(F7462,'LEAID Match'!$A$2:$B$142,2,FALSE),"")</f>
        <v/>
      </c>
    </row>
    <row r="7463" spans="1:8" x14ac:dyDescent="0.2">
      <c r="A7463" t="str">
        <f t="shared" si="116"/>
        <v/>
      </c>
      <c r="B7463" s="1">
        <v>2021</v>
      </c>
      <c r="C7463" s="1" t="s">
        <v>2505</v>
      </c>
      <c r="D7463" s="1" t="s">
        <v>2506</v>
      </c>
      <c r="E7463" s="1" t="s">
        <v>2019</v>
      </c>
      <c r="F7463" s="1" t="s">
        <v>743</v>
      </c>
      <c r="G7463" s="6">
        <v>3934</v>
      </c>
      <c r="H7463" t="str">
        <f>IFERROR(VLOOKUP(F7463,'LEAID Match'!$A$2:$B$142,2,FALSE),"")</f>
        <v/>
      </c>
    </row>
    <row r="7464" spans="1:8" x14ac:dyDescent="0.2">
      <c r="A7464" t="str">
        <f t="shared" si="116"/>
        <v/>
      </c>
      <c r="B7464" s="1">
        <v>2022</v>
      </c>
      <c r="C7464" s="1" t="s">
        <v>2505</v>
      </c>
      <c r="D7464" s="1" t="s">
        <v>2506</v>
      </c>
      <c r="E7464" s="1" t="s">
        <v>2019</v>
      </c>
      <c r="F7464" s="1" t="s">
        <v>743</v>
      </c>
      <c r="G7464" s="6">
        <v>4058</v>
      </c>
      <c r="H7464" t="str">
        <f>IFERROR(VLOOKUP(F7464,'LEAID Match'!$A$2:$B$142,2,FALSE),"")</f>
        <v/>
      </c>
    </row>
    <row r="7465" spans="1:8" x14ac:dyDescent="0.2">
      <c r="A7465" t="str">
        <f t="shared" si="116"/>
        <v/>
      </c>
      <c r="B7465" s="1">
        <v>2023</v>
      </c>
      <c r="C7465" s="1" t="s">
        <v>2505</v>
      </c>
      <c r="D7465" s="1" t="s">
        <v>2506</v>
      </c>
      <c r="E7465" s="1" t="s">
        <v>2019</v>
      </c>
      <c r="F7465" s="1" t="s">
        <v>743</v>
      </c>
      <c r="G7465" s="6">
        <v>4174</v>
      </c>
      <c r="H7465" t="str">
        <f>IFERROR(VLOOKUP(F7465,'LEAID Match'!$A$2:$B$142,2,FALSE),"")</f>
        <v/>
      </c>
    </row>
    <row r="7466" spans="1:8" x14ac:dyDescent="0.2">
      <c r="A7466" t="str">
        <f t="shared" si="116"/>
        <v/>
      </c>
      <c r="B7466" s="1">
        <v>2024</v>
      </c>
      <c r="C7466" s="1" t="s">
        <v>2505</v>
      </c>
      <c r="D7466" s="1" t="s">
        <v>2506</v>
      </c>
      <c r="E7466" s="1" t="s">
        <v>2019</v>
      </c>
      <c r="F7466" s="1" t="s">
        <v>743</v>
      </c>
      <c r="G7466" s="6">
        <v>3861</v>
      </c>
      <c r="H7466" t="str">
        <f>IFERROR(VLOOKUP(F7466,'LEAID Match'!$A$2:$B$142,2,FALSE),"")</f>
        <v/>
      </c>
    </row>
    <row r="7467" spans="1:8" x14ac:dyDescent="0.2">
      <c r="A7467" t="str">
        <f t="shared" si="116"/>
        <v/>
      </c>
      <c r="B7467" s="1">
        <v>2015</v>
      </c>
      <c r="C7467" s="1" t="s">
        <v>2505</v>
      </c>
      <c r="D7467" s="1" t="s">
        <v>2506</v>
      </c>
      <c r="E7467" s="1" t="s">
        <v>2019</v>
      </c>
      <c r="F7467" s="1" t="s">
        <v>744</v>
      </c>
      <c r="G7467" s="6">
        <v>24292</v>
      </c>
      <c r="H7467" t="str">
        <f>IFERROR(VLOOKUP(F7467,'LEAID Match'!$A$2:$B$142,2,FALSE),"")</f>
        <v/>
      </c>
    </row>
    <row r="7468" spans="1:8" x14ac:dyDescent="0.2">
      <c r="A7468" t="str">
        <f t="shared" si="116"/>
        <v/>
      </c>
      <c r="B7468">
        <v>2016</v>
      </c>
      <c r="C7468" s="1" t="s">
        <v>2505</v>
      </c>
      <c r="D7468" s="1" t="s">
        <v>2506</v>
      </c>
      <c r="E7468" s="1" t="s">
        <v>2019</v>
      </c>
      <c r="F7468" s="1" t="s">
        <v>744</v>
      </c>
      <c r="G7468" s="12">
        <v>25026</v>
      </c>
      <c r="H7468" t="str">
        <f>IFERROR(VLOOKUP(F7468,'LEAID Match'!$A$2:$B$142,2,FALSE),"")</f>
        <v/>
      </c>
    </row>
    <row r="7469" spans="1:8" x14ac:dyDescent="0.2">
      <c r="A7469" t="str">
        <f t="shared" si="116"/>
        <v/>
      </c>
      <c r="B7469" s="1">
        <v>2017</v>
      </c>
      <c r="C7469" s="1" t="s">
        <v>2505</v>
      </c>
      <c r="D7469" s="1" t="s">
        <v>2506</v>
      </c>
      <c r="E7469" s="1" t="s">
        <v>2019</v>
      </c>
      <c r="F7469" s="1" t="s">
        <v>744</v>
      </c>
      <c r="G7469" s="49">
        <v>26163</v>
      </c>
      <c r="H7469" t="str">
        <f>IFERROR(VLOOKUP(F7469,'LEAID Match'!$A$2:$B$142,2,FALSE),"")</f>
        <v/>
      </c>
    </row>
    <row r="7470" spans="1:8" x14ac:dyDescent="0.2">
      <c r="A7470" t="str">
        <f t="shared" si="116"/>
        <v/>
      </c>
      <c r="B7470" s="1">
        <v>2018</v>
      </c>
      <c r="C7470" s="1" t="s">
        <v>2505</v>
      </c>
      <c r="D7470" s="1" t="s">
        <v>2506</v>
      </c>
      <c r="E7470" s="1" t="s">
        <v>2019</v>
      </c>
      <c r="F7470" s="1" t="s">
        <v>744</v>
      </c>
      <c r="G7470" s="6">
        <v>27322</v>
      </c>
      <c r="H7470" t="str">
        <f>IFERROR(VLOOKUP(F7470,'LEAID Match'!$A$2:$B$142,2,FALSE),"")</f>
        <v/>
      </c>
    </row>
    <row r="7471" spans="1:8" x14ac:dyDescent="0.2">
      <c r="A7471" t="str">
        <f t="shared" si="116"/>
        <v/>
      </c>
      <c r="B7471" s="1">
        <v>2019</v>
      </c>
      <c r="C7471" s="1" t="s">
        <v>2505</v>
      </c>
      <c r="D7471" s="1" t="s">
        <v>2506</v>
      </c>
      <c r="E7471" s="1" t="s">
        <v>2019</v>
      </c>
      <c r="F7471" s="1" t="s">
        <v>744</v>
      </c>
      <c r="G7471" s="6">
        <v>37024</v>
      </c>
      <c r="H7471" t="str">
        <f>IFERROR(VLOOKUP(F7471,'LEAID Match'!$A$2:$B$142,2,FALSE),"")</f>
        <v/>
      </c>
    </row>
    <row r="7472" spans="1:8" x14ac:dyDescent="0.2">
      <c r="A7472" t="str">
        <f t="shared" si="116"/>
        <v/>
      </c>
      <c r="B7472" s="1">
        <v>2020</v>
      </c>
      <c r="C7472" s="1" t="s">
        <v>2505</v>
      </c>
      <c r="D7472" s="1" t="s">
        <v>2506</v>
      </c>
      <c r="E7472" s="1" t="s">
        <v>2019</v>
      </c>
      <c r="F7472" s="1" t="s">
        <v>744</v>
      </c>
      <c r="G7472" s="6">
        <v>39017</v>
      </c>
      <c r="H7472" t="str">
        <f>IFERROR(VLOOKUP(F7472,'LEAID Match'!$A$2:$B$142,2,FALSE),"")</f>
        <v/>
      </c>
    </row>
    <row r="7473" spans="1:8" x14ac:dyDescent="0.2">
      <c r="A7473" t="str">
        <f t="shared" si="116"/>
        <v/>
      </c>
      <c r="B7473" s="1">
        <v>2021</v>
      </c>
      <c r="C7473" s="1" t="s">
        <v>2505</v>
      </c>
      <c r="D7473" s="1" t="s">
        <v>2506</v>
      </c>
      <c r="E7473" s="1" t="s">
        <v>2019</v>
      </c>
      <c r="F7473" s="1" t="s">
        <v>744</v>
      </c>
      <c r="G7473" s="6">
        <v>35054</v>
      </c>
      <c r="H7473" t="str">
        <f>IFERROR(VLOOKUP(F7473,'LEAID Match'!$A$2:$B$142,2,FALSE),"")</f>
        <v/>
      </c>
    </row>
    <row r="7474" spans="1:8" x14ac:dyDescent="0.2">
      <c r="A7474" t="str">
        <f t="shared" si="116"/>
        <v/>
      </c>
      <c r="B7474" s="1">
        <v>2022</v>
      </c>
      <c r="C7474" s="1" t="s">
        <v>2505</v>
      </c>
      <c r="D7474" s="1" t="s">
        <v>2506</v>
      </c>
      <c r="E7474" s="1" t="s">
        <v>2019</v>
      </c>
      <c r="F7474" s="1" t="s">
        <v>744</v>
      </c>
      <c r="G7474" s="6">
        <v>41547</v>
      </c>
      <c r="H7474" t="str">
        <f>IFERROR(VLOOKUP(F7474,'LEAID Match'!$A$2:$B$142,2,FALSE),"")</f>
        <v/>
      </c>
    </row>
    <row r="7475" spans="1:8" x14ac:dyDescent="0.2">
      <c r="A7475" t="str">
        <f t="shared" si="116"/>
        <v/>
      </c>
      <c r="B7475" s="1">
        <v>2023</v>
      </c>
      <c r="C7475" s="1" t="s">
        <v>2505</v>
      </c>
      <c r="D7475" s="1" t="s">
        <v>2506</v>
      </c>
      <c r="E7475" s="1" t="s">
        <v>2019</v>
      </c>
      <c r="F7475" s="1" t="s">
        <v>744</v>
      </c>
      <c r="G7475" s="6">
        <v>41254</v>
      </c>
      <c r="H7475" t="str">
        <f>IFERROR(VLOOKUP(F7475,'LEAID Match'!$A$2:$B$142,2,FALSE),"")</f>
        <v/>
      </c>
    </row>
    <row r="7476" spans="1:8" x14ac:dyDescent="0.2">
      <c r="A7476" t="str">
        <f t="shared" si="116"/>
        <v/>
      </c>
      <c r="B7476" s="1">
        <v>2024</v>
      </c>
      <c r="C7476" s="1" t="s">
        <v>2505</v>
      </c>
      <c r="D7476" s="1" t="s">
        <v>2506</v>
      </c>
      <c r="E7476" s="1" t="s">
        <v>2019</v>
      </c>
      <c r="F7476" s="1" t="s">
        <v>744</v>
      </c>
      <c r="G7476" s="6">
        <v>42105</v>
      </c>
      <c r="H7476" t="str">
        <f>IFERROR(VLOOKUP(F7476,'LEAID Match'!$A$2:$B$142,2,FALSE),"")</f>
        <v/>
      </c>
    </row>
    <row r="7477" spans="1:8" x14ac:dyDescent="0.2">
      <c r="A7477" t="str">
        <f t="shared" si="116"/>
        <v/>
      </c>
      <c r="B7477" s="1">
        <v>2015</v>
      </c>
      <c r="C7477" s="1" t="s">
        <v>2505</v>
      </c>
      <c r="D7477" s="1" t="s">
        <v>2506</v>
      </c>
      <c r="E7477" s="1" t="s">
        <v>2019</v>
      </c>
      <c r="F7477" s="1" t="s">
        <v>745</v>
      </c>
      <c r="G7477" s="6">
        <v>3353</v>
      </c>
      <c r="H7477" t="str">
        <f>IFERROR(VLOOKUP(F7477,'LEAID Match'!$A$2:$B$142,2,FALSE),"")</f>
        <v/>
      </c>
    </row>
    <row r="7478" spans="1:8" x14ac:dyDescent="0.2">
      <c r="A7478" t="str">
        <f t="shared" si="116"/>
        <v/>
      </c>
      <c r="B7478">
        <v>2016</v>
      </c>
      <c r="C7478" s="1" t="s">
        <v>2505</v>
      </c>
      <c r="D7478" s="1" t="s">
        <v>2506</v>
      </c>
      <c r="E7478" s="1" t="s">
        <v>2019</v>
      </c>
      <c r="F7478" s="1" t="s">
        <v>745</v>
      </c>
      <c r="G7478" s="12">
        <v>3589</v>
      </c>
      <c r="H7478" t="str">
        <f>IFERROR(VLOOKUP(F7478,'LEAID Match'!$A$2:$B$142,2,FALSE),"")</f>
        <v/>
      </c>
    </row>
    <row r="7479" spans="1:8" x14ac:dyDescent="0.2">
      <c r="A7479" t="str">
        <f t="shared" si="116"/>
        <v/>
      </c>
      <c r="B7479" s="1">
        <v>2017</v>
      </c>
      <c r="C7479" s="1" t="s">
        <v>2505</v>
      </c>
      <c r="D7479" s="1" t="s">
        <v>2506</v>
      </c>
      <c r="E7479" s="1" t="s">
        <v>2019</v>
      </c>
      <c r="F7479" s="1" t="s">
        <v>745</v>
      </c>
      <c r="G7479" s="49">
        <v>3971</v>
      </c>
      <c r="H7479" t="str">
        <f>IFERROR(VLOOKUP(F7479,'LEAID Match'!$A$2:$B$142,2,FALSE),"")</f>
        <v/>
      </c>
    </row>
    <row r="7480" spans="1:8" x14ac:dyDescent="0.2">
      <c r="A7480" t="str">
        <f t="shared" si="116"/>
        <v/>
      </c>
      <c r="B7480" s="1">
        <v>2018</v>
      </c>
      <c r="C7480" s="1" t="s">
        <v>2505</v>
      </c>
      <c r="D7480" s="1" t="s">
        <v>2506</v>
      </c>
      <c r="E7480" s="1" t="s">
        <v>2019</v>
      </c>
      <c r="F7480" s="1" t="s">
        <v>745</v>
      </c>
      <c r="G7480" s="6">
        <v>4038</v>
      </c>
      <c r="H7480" t="str">
        <f>IFERROR(VLOOKUP(F7480,'LEAID Match'!$A$2:$B$142,2,FALSE),"")</f>
        <v/>
      </c>
    </row>
    <row r="7481" spans="1:8" x14ac:dyDescent="0.2">
      <c r="A7481" t="str">
        <f t="shared" si="116"/>
        <v/>
      </c>
      <c r="B7481" s="1">
        <v>2019</v>
      </c>
      <c r="C7481" s="1" t="s">
        <v>2505</v>
      </c>
      <c r="D7481" s="1" t="s">
        <v>2506</v>
      </c>
      <c r="E7481" s="1" t="s">
        <v>2019</v>
      </c>
      <c r="F7481" s="1" t="s">
        <v>745</v>
      </c>
      <c r="G7481" s="6">
        <v>4026</v>
      </c>
      <c r="H7481" t="str">
        <f>IFERROR(VLOOKUP(F7481,'LEAID Match'!$A$2:$B$142,2,FALSE),"")</f>
        <v/>
      </c>
    </row>
    <row r="7482" spans="1:8" x14ac:dyDescent="0.2">
      <c r="A7482" t="str">
        <f t="shared" si="116"/>
        <v/>
      </c>
      <c r="B7482" s="1">
        <v>2020</v>
      </c>
      <c r="C7482" s="1" t="s">
        <v>2505</v>
      </c>
      <c r="D7482" s="1" t="s">
        <v>2506</v>
      </c>
      <c r="E7482" s="1" t="s">
        <v>2019</v>
      </c>
      <c r="F7482" s="1" t="s">
        <v>745</v>
      </c>
      <c r="G7482" s="6">
        <v>4447</v>
      </c>
      <c r="H7482" t="str">
        <f>IFERROR(VLOOKUP(F7482,'LEAID Match'!$A$2:$B$142,2,FALSE),"")</f>
        <v/>
      </c>
    </row>
    <row r="7483" spans="1:8" x14ac:dyDescent="0.2">
      <c r="A7483" t="str">
        <f t="shared" si="116"/>
        <v/>
      </c>
      <c r="B7483" s="1">
        <v>2021</v>
      </c>
      <c r="C7483" s="1" t="s">
        <v>2505</v>
      </c>
      <c r="D7483" s="1" t="s">
        <v>2506</v>
      </c>
      <c r="E7483" s="1" t="s">
        <v>2019</v>
      </c>
      <c r="F7483" s="1" t="s">
        <v>745</v>
      </c>
      <c r="G7483" s="6">
        <v>5008</v>
      </c>
      <c r="H7483" t="str">
        <f>IFERROR(VLOOKUP(F7483,'LEAID Match'!$A$2:$B$142,2,FALSE),"")</f>
        <v/>
      </c>
    </row>
    <row r="7484" spans="1:8" x14ac:dyDescent="0.2">
      <c r="A7484" t="str">
        <f t="shared" si="116"/>
        <v/>
      </c>
      <c r="B7484" s="1">
        <v>2022</v>
      </c>
      <c r="C7484" s="1" t="s">
        <v>2505</v>
      </c>
      <c r="D7484" s="1" t="s">
        <v>2506</v>
      </c>
      <c r="E7484" s="1" t="s">
        <v>2019</v>
      </c>
      <c r="F7484" s="1" t="s">
        <v>745</v>
      </c>
      <c r="G7484" s="6">
        <v>5561</v>
      </c>
      <c r="H7484" t="str">
        <f>IFERROR(VLOOKUP(F7484,'LEAID Match'!$A$2:$B$142,2,FALSE),"")</f>
        <v/>
      </c>
    </row>
    <row r="7485" spans="1:8" x14ac:dyDescent="0.2">
      <c r="A7485" t="str">
        <f t="shared" si="116"/>
        <v/>
      </c>
      <c r="B7485" s="1">
        <v>2023</v>
      </c>
      <c r="C7485" s="1" t="s">
        <v>2505</v>
      </c>
      <c r="D7485" s="1" t="s">
        <v>2506</v>
      </c>
      <c r="E7485" s="1" t="s">
        <v>2019</v>
      </c>
      <c r="F7485" s="1" t="s">
        <v>745</v>
      </c>
      <c r="G7485" s="6">
        <v>5909</v>
      </c>
      <c r="H7485" t="str">
        <f>IFERROR(VLOOKUP(F7485,'LEAID Match'!$A$2:$B$142,2,FALSE),"")</f>
        <v/>
      </c>
    </row>
    <row r="7486" spans="1:8" x14ac:dyDescent="0.2">
      <c r="A7486" t="str">
        <f t="shared" si="116"/>
        <v/>
      </c>
      <c r="B7486" s="1">
        <v>2024</v>
      </c>
      <c r="C7486" s="1" t="s">
        <v>2505</v>
      </c>
      <c r="D7486" s="1" t="s">
        <v>2506</v>
      </c>
      <c r="E7486" s="1" t="s">
        <v>2019</v>
      </c>
      <c r="F7486" s="1" t="s">
        <v>745</v>
      </c>
      <c r="G7486" s="6">
        <v>5387</v>
      </c>
      <c r="H7486" t="str">
        <f>IFERROR(VLOOKUP(F7486,'LEAID Match'!$A$2:$B$142,2,FALSE),"")</f>
        <v/>
      </c>
    </row>
    <row r="7487" spans="1:8" x14ac:dyDescent="0.2">
      <c r="A7487" t="str">
        <f t="shared" si="116"/>
        <v/>
      </c>
      <c r="B7487" s="1">
        <v>2015</v>
      </c>
      <c r="C7487" s="1" t="s">
        <v>2505</v>
      </c>
      <c r="D7487" s="1" t="s">
        <v>2506</v>
      </c>
      <c r="E7487" s="1" t="s">
        <v>2019</v>
      </c>
      <c r="F7487" s="1" t="s">
        <v>746</v>
      </c>
      <c r="G7487" s="6">
        <v>8319</v>
      </c>
      <c r="H7487" t="str">
        <f>IFERROR(VLOOKUP(F7487,'LEAID Match'!$A$2:$B$142,2,FALSE),"")</f>
        <v/>
      </c>
    </row>
    <row r="7488" spans="1:8" x14ac:dyDescent="0.2">
      <c r="A7488" t="str">
        <f t="shared" si="116"/>
        <v/>
      </c>
      <c r="B7488">
        <v>2016</v>
      </c>
      <c r="C7488" s="1" t="s">
        <v>2505</v>
      </c>
      <c r="D7488" s="1" t="s">
        <v>2506</v>
      </c>
      <c r="E7488" s="1" t="s">
        <v>2019</v>
      </c>
      <c r="F7488" s="1" t="s">
        <v>746</v>
      </c>
      <c r="G7488" s="12">
        <v>6890</v>
      </c>
      <c r="H7488" t="str">
        <f>IFERROR(VLOOKUP(F7488,'LEAID Match'!$A$2:$B$142,2,FALSE),"")</f>
        <v/>
      </c>
    </row>
    <row r="7489" spans="1:8" x14ac:dyDescent="0.2">
      <c r="A7489" t="str">
        <f t="shared" si="116"/>
        <v/>
      </c>
      <c r="B7489" s="1">
        <v>2017</v>
      </c>
      <c r="C7489" s="1" t="s">
        <v>2505</v>
      </c>
      <c r="D7489" s="1" t="s">
        <v>2506</v>
      </c>
      <c r="E7489" s="1" t="s">
        <v>2019</v>
      </c>
      <c r="F7489" s="1" t="s">
        <v>746</v>
      </c>
      <c r="G7489" s="49">
        <v>9750</v>
      </c>
      <c r="H7489" t="str">
        <f>IFERROR(VLOOKUP(F7489,'LEAID Match'!$A$2:$B$142,2,FALSE),"")</f>
        <v/>
      </c>
    </row>
    <row r="7490" spans="1:8" x14ac:dyDescent="0.2">
      <c r="A7490" t="str">
        <f t="shared" si="116"/>
        <v/>
      </c>
      <c r="B7490" s="1">
        <v>2018</v>
      </c>
      <c r="C7490" s="1" t="s">
        <v>2505</v>
      </c>
      <c r="D7490" s="1" t="s">
        <v>2506</v>
      </c>
      <c r="E7490" s="1" t="s">
        <v>2019</v>
      </c>
      <c r="F7490" s="1" t="s">
        <v>746</v>
      </c>
      <c r="G7490" s="6">
        <v>10827</v>
      </c>
      <c r="H7490" t="str">
        <f>IFERROR(VLOOKUP(F7490,'LEAID Match'!$A$2:$B$142,2,FALSE),"")</f>
        <v/>
      </c>
    </row>
    <row r="7491" spans="1:8" x14ac:dyDescent="0.2">
      <c r="A7491" t="str">
        <f t="shared" ref="A7491:A7554" si="117">H7491</f>
        <v/>
      </c>
      <c r="B7491" s="1">
        <v>2019</v>
      </c>
      <c r="C7491" s="1" t="s">
        <v>2505</v>
      </c>
      <c r="D7491" s="1" t="s">
        <v>2506</v>
      </c>
      <c r="E7491" s="1" t="s">
        <v>2019</v>
      </c>
      <c r="F7491" s="1" t="s">
        <v>746</v>
      </c>
      <c r="G7491" s="6">
        <v>8914</v>
      </c>
      <c r="H7491" t="str">
        <f>IFERROR(VLOOKUP(F7491,'LEAID Match'!$A$2:$B$142,2,FALSE),"")</f>
        <v/>
      </c>
    </row>
    <row r="7492" spans="1:8" x14ac:dyDescent="0.2">
      <c r="A7492" t="str">
        <f t="shared" si="117"/>
        <v/>
      </c>
      <c r="B7492" s="1">
        <v>2020</v>
      </c>
      <c r="C7492" s="1" t="s">
        <v>2505</v>
      </c>
      <c r="D7492" s="1" t="s">
        <v>2506</v>
      </c>
      <c r="E7492" s="1" t="s">
        <v>2019</v>
      </c>
      <c r="F7492" s="1" t="s">
        <v>746</v>
      </c>
      <c r="G7492" s="6">
        <v>11783</v>
      </c>
      <c r="H7492" t="str">
        <f>IFERROR(VLOOKUP(F7492,'LEAID Match'!$A$2:$B$142,2,FALSE),"")</f>
        <v/>
      </c>
    </row>
    <row r="7493" spans="1:8" x14ac:dyDescent="0.2">
      <c r="A7493" t="str">
        <f t="shared" si="117"/>
        <v/>
      </c>
      <c r="B7493" s="1">
        <v>2021</v>
      </c>
      <c r="C7493" s="1" t="s">
        <v>2505</v>
      </c>
      <c r="D7493" s="1" t="s">
        <v>2506</v>
      </c>
      <c r="E7493" s="1" t="s">
        <v>2019</v>
      </c>
      <c r="F7493" s="1" t="s">
        <v>746</v>
      </c>
      <c r="G7493" s="6">
        <v>8180</v>
      </c>
      <c r="H7493" t="str">
        <f>IFERROR(VLOOKUP(F7493,'LEAID Match'!$A$2:$B$142,2,FALSE),"")</f>
        <v/>
      </c>
    </row>
    <row r="7494" spans="1:8" x14ac:dyDescent="0.2">
      <c r="A7494" t="str">
        <f t="shared" si="117"/>
        <v/>
      </c>
      <c r="B7494" s="1">
        <v>2022</v>
      </c>
      <c r="C7494" s="1" t="s">
        <v>2505</v>
      </c>
      <c r="D7494" s="1" t="s">
        <v>2506</v>
      </c>
      <c r="E7494" s="1" t="s">
        <v>2019</v>
      </c>
      <c r="F7494" s="1" t="s">
        <v>746</v>
      </c>
      <c r="G7494" s="6">
        <v>8143</v>
      </c>
      <c r="H7494" t="str">
        <f>IFERROR(VLOOKUP(F7494,'LEAID Match'!$A$2:$B$142,2,FALSE),"")</f>
        <v/>
      </c>
    </row>
    <row r="7495" spans="1:8" x14ac:dyDescent="0.2">
      <c r="A7495" t="str">
        <f t="shared" si="117"/>
        <v/>
      </c>
      <c r="B7495" s="1">
        <v>2023</v>
      </c>
      <c r="C7495" s="1" t="s">
        <v>2505</v>
      </c>
      <c r="D7495" s="1" t="s">
        <v>2506</v>
      </c>
      <c r="E7495" s="1" t="s">
        <v>2019</v>
      </c>
      <c r="F7495" s="1" t="s">
        <v>746</v>
      </c>
      <c r="G7495" s="6">
        <v>11967</v>
      </c>
      <c r="H7495" t="str">
        <f>IFERROR(VLOOKUP(F7495,'LEAID Match'!$A$2:$B$142,2,FALSE),"")</f>
        <v/>
      </c>
    </row>
    <row r="7496" spans="1:8" x14ac:dyDescent="0.2">
      <c r="A7496" t="str">
        <f t="shared" si="117"/>
        <v/>
      </c>
      <c r="B7496" s="1">
        <v>2024</v>
      </c>
      <c r="C7496" s="1" t="s">
        <v>2505</v>
      </c>
      <c r="D7496" s="1" t="s">
        <v>2506</v>
      </c>
      <c r="E7496" s="1" t="s">
        <v>2019</v>
      </c>
      <c r="F7496" s="1" t="s">
        <v>746</v>
      </c>
      <c r="G7496" s="6">
        <v>12891</v>
      </c>
      <c r="H7496" t="str">
        <f>IFERROR(VLOOKUP(F7496,'LEAID Match'!$A$2:$B$142,2,FALSE),"")</f>
        <v/>
      </c>
    </row>
    <row r="7497" spans="1:8" x14ac:dyDescent="0.2">
      <c r="A7497" t="str">
        <f t="shared" si="117"/>
        <v/>
      </c>
      <c r="B7497" s="1">
        <v>2015</v>
      </c>
      <c r="C7497" s="1" t="s">
        <v>2505</v>
      </c>
      <c r="D7497" s="1" t="s">
        <v>2506</v>
      </c>
      <c r="E7497" s="1" t="s">
        <v>2019</v>
      </c>
      <c r="F7497" s="1" t="s">
        <v>747</v>
      </c>
      <c r="G7497" s="6">
        <v>21396</v>
      </c>
      <c r="H7497" t="str">
        <f>IFERROR(VLOOKUP(F7497,'LEAID Match'!$A$2:$B$142,2,FALSE),"")</f>
        <v/>
      </c>
    </row>
    <row r="7498" spans="1:8" x14ac:dyDescent="0.2">
      <c r="A7498" t="str">
        <f t="shared" si="117"/>
        <v/>
      </c>
      <c r="B7498" s="1">
        <v>2018</v>
      </c>
      <c r="C7498" s="1" t="s">
        <v>2505</v>
      </c>
      <c r="D7498" s="1" t="s">
        <v>2506</v>
      </c>
      <c r="E7498" s="1" t="s">
        <v>2019</v>
      </c>
      <c r="F7498" s="1" t="s">
        <v>747</v>
      </c>
      <c r="G7498" s="6">
        <v>25271</v>
      </c>
      <c r="H7498" t="str">
        <f>IFERROR(VLOOKUP(F7498,'LEAID Match'!$A$2:$B$142,2,FALSE),"")</f>
        <v/>
      </c>
    </row>
    <row r="7499" spans="1:8" x14ac:dyDescent="0.2">
      <c r="A7499" t="str">
        <f t="shared" si="117"/>
        <v/>
      </c>
      <c r="B7499" s="1">
        <v>2019</v>
      </c>
      <c r="C7499" s="1" t="s">
        <v>2505</v>
      </c>
      <c r="D7499" s="1" t="s">
        <v>2506</v>
      </c>
      <c r="E7499" s="1" t="s">
        <v>2019</v>
      </c>
      <c r="F7499" s="1" t="s">
        <v>747</v>
      </c>
      <c r="G7499" s="6">
        <v>24860</v>
      </c>
      <c r="H7499" t="str">
        <f>IFERROR(VLOOKUP(F7499,'LEAID Match'!$A$2:$B$142,2,FALSE),"")</f>
        <v/>
      </c>
    </row>
    <row r="7500" spans="1:8" x14ac:dyDescent="0.2">
      <c r="A7500" t="str">
        <f t="shared" si="117"/>
        <v/>
      </c>
      <c r="B7500" s="1">
        <v>2020</v>
      </c>
      <c r="C7500" s="1" t="s">
        <v>2505</v>
      </c>
      <c r="D7500" s="1" t="s">
        <v>2506</v>
      </c>
      <c r="E7500" s="1" t="s">
        <v>2019</v>
      </c>
      <c r="F7500" s="1" t="s">
        <v>747</v>
      </c>
      <c r="G7500" s="6">
        <v>34955</v>
      </c>
      <c r="H7500" t="str">
        <f>IFERROR(VLOOKUP(F7500,'LEAID Match'!$A$2:$B$142,2,FALSE),"")</f>
        <v/>
      </c>
    </row>
    <row r="7501" spans="1:8" x14ac:dyDescent="0.2">
      <c r="A7501" t="str">
        <f t="shared" si="117"/>
        <v/>
      </c>
      <c r="B7501" s="1">
        <v>2021</v>
      </c>
      <c r="C7501" s="1" t="s">
        <v>2505</v>
      </c>
      <c r="D7501" s="1" t="s">
        <v>2506</v>
      </c>
      <c r="E7501" s="1" t="s">
        <v>2019</v>
      </c>
      <c r="F7501" s="1" t="s">
        <v>747</v>
      </c>
      <c r="G7501" s="6">
        <v>39760</v>
      </c>
      <c r="H7501" t="str">
        <f>IFERROR(VLOOKUP(F7501,'LEAID Match'!$A$2:$B$142,2,FALSE),"")</f>
        <v/>
      </c>
    </row>
    <row r="7502" spans="1:8" x14ac:dyDescent="0.2">
      <c r="A7502" t="str">
        <f t="shared" si="117"/>
        <v/>
      </c>
      <c r="B7502" s="1">
        <v>2022</v>
      </c>
      <c r="C7502" s="1" t="s">
        <v>2505</v>
      </c>
      <c r="D7502" s="1" t="s">
        <v>2506</v>
      </c>
      <c r="E7502" s="1" t="s">
        <v>2019</v>
      </c>
      <c r="F7502" s="1" t="s">
        <v>747</v>
      </c>
      <c r="G7502" s="6">
        <v>43333</v>
      </c>
      <c r="H7502" t="str">
        <f>IFERROR(VLOOKUP(F7502,'LEAID Match'!$A$2:$B$142,2,FALSE),"")</f>
        <v/>
      </c>
    </row>
    <row r="7503" spans="1:8" x14ac:dyDescent="0.2">
      <c r="A7503" t="str">
        <f t="shared" si="117"/>
        <v/>
      </c>
      <c r="B7503" s="1">
        <v>2023</v>
      </c>
      <c r="C7503" s="1" t="s">
        <v>2505</v>
      </c>
      <c r="D7503" s="1" t="s">
        <v>2506</v>
      </c>
      <c r="E7503" s="1" t="s">
        <v>2019</v>
      </c>
      <c r="F7503" s="1" t="s">
        <v>747</v>
      </c>
      <c r="G7503" s="6">
        <v>40918</v>
      </c>
      <c r="H7503" t="str">
        <f>IFERROR(VLOOKUP(F7503,'LEAID Match'!$A$2:$B$142,2,FALSE),"")</f>
        <v/>
      </c>
    </row>
    <row r="7504" spans="1:8" x14ac:dyDescent="0.2">
      <c r="A7504" t="str">
        <f t="shared" si="117"/>
        <v/>
      </c>
      <c r="B7504" s="1">
        <v>2024</v>
      </c>
      <c r="C7504" s="1" t="s">
        <v>2505</v>
      </c>
      <c r="D7504" s="1" t="s">
        <v>2506</v>
      </c>
      <c r="E7504" s="1" t="s">
        <v>2019</v>
      </c>
      <c r="F7504" s="1" t="s">
        <v>747</v>
      </c>
      <c r="G7504" s="6">
        <v>36521</v>
      </c>
      <c r="H7504" t="str">
        <f>IFERROR(VLOOKUP(F7504,'LEAID Match'!$A$2:$B$142,2,FALSE),"")</f>
        <v/>
      </c>
    </row>
    <row r="7505" spans="1:8" x14ac:dyDescent="0.2">
      <c r="A7505" t="str">
        <f t="shared" si="117"/>
        <v/>
      </c>
      <c r="B7505" s="1">
        <v>2015</v>
      </c>
      <c r="C7505" s="1" t="s">
        <v>2505</v>
      </c>
      <c r="D7505" s="1" t="s">
        <v>2506</v>
      </c>
      <c r="E7505" s="1" t="s">
        <v>2019</v>
      </c>
      <c r="F7505" s="1" t="s">
        <v>748</v>
      </c>
      <c r="G7505" s="6">
        <v>1039</v>
      </c>
      <c r="H7505" t="str">
        <f>IFERROR(VLOOKUP(F7505,'LEAID Match'!$A$2:$B$142,2,FALSE),"")</f>
        <v/>
      </c>
    </row>
    <row r="7506" spans="1:8" x14ac:dyDescent="0.2">
      <c r="A7506" t="str">
        <f t="shared" si="117"/>
        <v/>
      </c>
      <c r="B7506">
        <v>2016</v>
      </c>
      <c r="C7506" s="1" t="s">
        <v>2505</v>
      </c>
      <c r="D7506" s="1" t="s">
        <v>2506</v>
      </c>
      <c r="E7506" s="1" t="s">
        <v>2019</v>
      </c>
      <c r="F7506" s="1" t="s">
        <v>748</v>
      </c>
      <c r="G7506" s="12">
        <v>1018</v>
      </c>
      <c r="H7506" t="str">
        <f>IFERROR(VLOOKUP(F7506,'LEAID Match'!$A$2:$B$142,2,FALSE),"")</f>
        <v/>
      </c>
    </row>
    <row r="7507" spans="1:8" x14ac:dyDescent="0.2">
      <c r="A7507" t="str">
        <f t="shared" si="117"/>
        <v/>
      </c>
      <c r="B7507" s="1">
        <v>2017</v>
      </c>
      <c r="C7507" s="1" t="s">
        <v>2505</v>
      </c>
      <c r="D7507" s="1" t="s">
        <v>2506</v>
      </c>
      <c r="E7507" s="1" t="s">
        <v>2019</v>
      </c>
      <c r="F7507" s="1" t="s">
        <v>748</v>
      </c>
      <c r="G7507" s="49">
        <v>968</v>
      </c>
      <c r="H7507" t="str">
        <f>IFERROR(VLOOKUP(F7507,'LEAID Match'!$A$2:$B$142,2,FALSE),"")</f>
        <v/>
      </c>
    </row>
    <row r="7508" spans="1:8" x14ac:dyDescent="0.2">
      <c r="A7508" t="str">
        <f t="shared" si="117"/>
        <v/>
      </c>
      <c r="B7508" s="1">
        <v>2018</v>
      </c>
      <c r="C7508" s="1" t="s">
        <v>2505</v>
      </c>
      <c r="D7508" s="1" t="s">
        <v>2506</v>
      </c>
      <c r="E7508" s="1" t="s">
        <v>2019</v>
      </c>
      <c r="F7508" s="1" t="s">
        <v>748</v>
      </c>
      <c r="G7508" s="6">
        <v>926</v>
      </c>
      <c r="H7508" t="str">
        <f>IFERROR(VLOOKUP(F7508,'LEAID Match'!$A$2:$B$142,2,FALSE),"")</f>
        <v/>
      </c>
    </row>
    <row r="7509" spans="1:8" x14ac:dyDescent="0.2">
      <c r="A7509" t="str">
        <f t="shared" si="117"/>
        <v/>
      </c>
      <c r="B7509" s="1">
        <v>2019</v>
      </c>
      <c r="C7509" s="1" t="s">
        <v>2505</v>
      </c>
      <c r="D7509" s="1" t="s">
        <v>2506</v>
      </c>
      <c r="E7509" s="1" t="s">
        <v>2019</v>
      </c>
      <c r="F7509" s="1" t="s">
        <v>748</v>
      </c>
      <c r="G7509" s="6">
        <v>869</v>
      </c>
      <c r="H7509" t="str">
        <f>IFERROR(VLOOKUP(F7509,'LEAID Match'!$A$2:$B$142,2,FALSE),"")</f>
        <v/>
      </c>
    </row>
    <row r="7510" spans="1:8" x14ac:dyDescent="0.2">
      <c r="A7510" t="str">
        <f t="shared" si="117"/>
        <v/>
      </c>
      <c r="B7510" s="1">
        <v>2020</v>
      </c>
      <c r="C7510" s="1" t="s">
        <v>2505</v>
      </c>
      <c r="D7510" s="1" t="s">
        <v>2506</v>
      </c>
      <c r="E7510" s="1" t="s">
        <v>2019</v>
      </c>
      <c r="F7510" s="1" t="s">
        <v>748</v>
      </c>
      <c r="G7510" s="6">
        <v>960</v>
      </c>
      <c r="H7510" t="str">
        <f>IFERROR(VLOOKUP(F7510,'LEAID Match'!$A$2:$B$142,2,FALSE),"")</f>
        <v/>
      </c>
    </row>
    <row r="7511" spans="1:8" x14ac:dyDescent="0.2">
      <c r="A7511" t="str">
        <f t="shared" si="117"/>
        <v/>
      </c>
      <c r="B7511" s="1">
        <v>2021</v>
      </c>
      <c r="C7511" s="1" t="s">
        <v>2505</v>
      </c>
      <c r="D7511" s="1" t="s">
        <v>2506</v>
      </c>
      <c r="E7511" s="1" t="s">
        <v>2019</v>
      </c>
      <c r="F7511" s="1" t="s">
        <v>748</v>
      </c>
      <c r="G7511" s="6">
        <v>1599</v>
      </c>
      <c r="H7511" t="str">
        <f>IFERROR(VLOOKUP(F7511,'LEAID Match'!$A$2:$B$142,2,FALSE),"")</f>
        <v/>
      </c>
    </row>
    <row r="7512" spans="1:8" x14ac:dyDescent="0.2">
      <c r="A7512" t="str">
        <f t="shared" si="117"/>
        <v/>
      </c>
      <c r="B7512" s="1">
        <v>2022</v>
      </c>
      <c r="C7512" s="1" t="s">
        <v>2505</v>
      </c>
      <c r="D7512" s="1" t="s">
        <v>2506</v>
      </c>
      <c r="E7512" s="1" t="s">
        <v>2019</v>
      </c>
      <c r="F7512" s="1" t="s">
        <v>748</v>
      </c>
      <c r="G7512" s="6">
        <v>1761</v>
      </c>
      <c r="H7512" t="str">
        <f>IFERROR(VLOOKUP(F7512,'LEAID Match'!$A$2:$B$142,2,FALSE),"")</f>
        <v/>
      </c>
    </row>
    <row r="7513" spans="1:8" x14ac:dyDescent="0.2">
      <c r="A7513" t="str">
        <f t="shared" si="117"/>
        <v/>
      </c>
      <c r="B7513" s="1">
        <v>2023</v>
      </c>
      <c r="C7513" s="1" t="s">
        <v>2505</v>
      </c>
      <c r="D7513" s="1" t="s">
        <v>2506</v>
      </c>
      <c r="E7513" s="1" t="s">
        <v>2019</v>
      </c>
      <c r="F7513" s="1" t="s">
        <v>748</v>
      </c>
      <c r="G7513" s="6">
        <v>1583</v>
      </c>
      <c r="H7513" t="str">
        <f>IFERROR(VLOOKUP(F7513,'LEAID Match'!$A$2:$B$142,2,FALSE),"")</f>
        <v/>
      </c>
    </row>
    <row r="7514" spans="1:8" x14ac:dyDescent="0.2">
      <c r="A7514" t="str">
        <f t="shared" si="117"/>
        <v/>
      </c>
      <c r="B7514" s="1">
        <v>2024</v>
      </c>
      <c r="C7514" s="1" t="s">
        <v>2505</v>
      </c>
      <c r="D7514" s="1" t="s">
        <v>2506</v>
      </c>
      <c r="E7514" s="1" t="s">
        <v>2019</v>
      </c>
      <c r="F7514" s="1" t="s">
        <v>748</v>
      </c>
      <c r="G7514" s="6">
        <v>1520</v>
      </c>
      <c r="H7514" t="str">
        <f>IFERROR(VLOOKUP(F7514,'LEAID Match'!$A$2:$B$142,2,FALSE),"")</f>
        <v/>
      </c>
    </row>
    <row r="7515" spans="1:8" x14ac:dyDescent="0.2">
      <c r="A7515" t="str">
        <f t="shared" si="117"/>
        <v/>
      </c>
      <c r="B7515" s="1">
        <v>2015</v>
      </c>
      <c r="C7515" s="1" t="s">
        <v>2505</v>
      </c>
      <c r="D7515" s="1" t="s">
        <v>2506</v>
      </c>
      <c r="E7515" s="1" t="s">
        <v>2019</v>
      </c>
      <c r="F7515" s="1" t="s">
        <v>749</v>
      </c>
      <c r="G7515" s="6">
        <v>15164</v>
      </c>
      <c r="H7515" t="str">
        <f>IFERROR(VLOOKUP(F7515,'LEAID Match'!$A$2:$B$142,2,FALSE),"")</f>
        <v/>
      </c>
    </row>
    <row r="7516" spans="1:8" x14ac:dyDescent="0.2">
      <c r="A7516" t="str">
        <f t="shared" si="117"/>
        <v/>
      </c>
      <c r="B7516">
        <v>2016</v>
      </c>
      <c r="C7516" s="1" t="s">
        <v>2505</v>
      </c>
      <c r="D7516" s="1" t="s">
        <v>2506</v>
      </c>
      <c r="E7516" s="1" t="s">
        <v>2019</v>
      </c>
      <c r="F7516" s="1" t="s">
        <v>749</v>
      </c>
      <c r="G7516" s="12">
        <v>15439</v>
      </c>
      <c r="H7516" t="str">
        <f>IFERROR(VLOOKUP(F7516,'LEAID Match'!$A$2:$B$142,2,FALSE),"")</f>
        <v/>
      </c>
    </row>
    <row r="7517" spans="1:8" x14ac:dyDescent="0.2">
      <c r="A7517" t="str">
        <f t="shared" si="117"/>
        <v/>
      </c>
      <c r="B7517" s="1">
        <v>2017</v>
      </c>
      <c r="C7517" s="1" t="s">
        <v>2505</v>
      </c>
      <c r="D7517" s="1" t="s">
        <v>2506</v>
      </c>
      <c r="E7517" s="1" t="s">
        <v>2019</v>
      </c>
      <c r="F7517" s="1" t="s">
        <v>749</v>
      </c>
      <c r="G7517" s="54">
        <v>17899</v>
      </c>
      <c r="H7517" t="str">
        <f>IFERROR(VLOOKUP(F7517,'LEAID Match'!$A$2:$B$142,2,FALSE),"")</f>
        <v/>
      </c>
    </row>
    <row r="7518" spans="1:8" x14ac:dyDescent="0.2">
      <c r="A7518" t="str">
        <f t="shared" si="117"/>
        <v/>
      </c>
      <c r="B7518" s="1">
        <v>2018</v>
      </c>
      <c r="C7518" s="1" t="s">
        <v>2505</v>
      </c>
      <c r="D7518" s="1" t="s">
        <v>2506</v>
      </c>
      <c r="E7518" s="1" t="s">
        <v>2019</v>
      </c>
      <c r="F7518" s="1" t="s">
        <v>749</v>
      </c>
      <c r="G7518" s="6">
        <v>19035</v>
      </c>
      <c r="H7518" t="str">
        <f>IFERROR(VLOOKUP(F7518,'LEAID Match'!$A$2:$B$142,2,FALSE),"")</f>
        <v/>
      </c>
    </row>
    <row r="7519" spans="1:8" x14ac:dyDescent="0.2">
      <c r="A7519" t="str">
        <f t="shared" si="117"/>
        <v/>
      </c>
      <c r="B7519" s="1">
        <v>2019</v>
      </c>
      <c r="C7519" s="1" t="s">
        <v>2505</v>
      </c>
      <c r="D7519" s="1" t="s">
        <v>2506</v>
      </c>
      <c r="E7519" s="1" t="s">
        <v>2019</v>
      </c>
      <c r="F7519" s="1" t="s">
        <v>749</v>
      </c>
      <c r="G7519" s="6">
        <v>18754</v>
      </c>
      <c r="H7519" t="str">
        <f>IFERROR(VLOOKUP(F7519,'LEAID Match'!$A$2:$B$142,2,FALSE),"")</f>
        <v/>
      </c>
    </row>
    <row r="7520" spans="1:8" x14ac:dyDescent="0.2">
      <c r="A7520" t="str">
        <f t="shared" si="117"/>
        <v/>
      </c>
      <c r="B7520" s="1">
        <v>2020</v>
      </c>
      <c r="C7520" s="1" t="s">
        <v>2505</v>
      </c>
      <c r="D7520" s="1" t="s">
        <v>2506</v>
      </c>
      <c r="E7520" s="1" t="s">
        <v>2019</v>
      </c>
      <c r="F7520" s="1" t="s">
        <v>749</v>
      </c>
      <c r="G7520" s="6">
        <v>20340</v>
      </c>
      <c r="H7520" t="str">
        <f>IFERROR(VLOOKUP(F7520,'LEAID Match'!$A$2:$B$142,2,FALSE),"")</f>
        <v/>
      </c>
    </row>
    <row r="7521" spans="1:8" x14ac:dyDescent="0.2">
      <c r="A7521" t="str">
        <f t="shared" si="117"/>
        <v/>
      </c>
      <c r="B7521" s="1">
        <v>2021</v>
      </c>
      <c r="C7521" s="1" t="s">
        <v>2505</v>
      </c>
      <c r="D7521" s="1" t="s">
        <v>2506</v>
      </c>
      <c r="E7521" s="1" t="s">
        <v>2019</v>
      </c>
      <c r="F7521" s="1" t="s">
        <v>749</v>
      </c>
      <c r="G7521" s="6">
        <v>18289</v>
      </c>
      <c r="H7521" t="str">
        <f>IFERROR(VLOOKUP(F7521,'LEAID Match'!$A$2:$B$142,2,FALSE),"")</f>
        <v/>
      </c>
    </row>
    <row r="7522" spans="1:8" x14ac:dyDescent="0.2">
      <c r="A7522" t="str">
        <f t="shared" si="117"/>
        <v/>
      </c>
      <c r="B7522" s="1">
        <v>2022</v>
      </c>
      <c r="C7522" s="1" t="s">
        <v>2505</v>
      </c>
      <c r="D7522" s="1" t="s">
        <v>2506</v>
      </c>
      <c r="E7522" s="1" t="s">
        <v>2019</v>
      </c>
      <c r="F7522" s="1" t="s">
        <v>749</v>
      </c>
      <c r="G7522" s="6">
        <v>20250</v>
      </c>
      <c r="H7522" t="str">
        <f>IFERROR(VLOOKUP(F7522,'LEAID Match'!$A$2:$B$142,2,FALSE),"")</f>
        <v/>
      </c>
    </row>
    <row r="7523" spans="1:8" x14ac:dyDescent="0.2">
      <c r="A7523" t="str">
        <f t="shared" si="117"/>
        <v/>
      </c>
      <c r="B7523" s="1">
        <v>2023</v>
      </c>
      <c r="C7523" s="1" t="s">
        <v>2505</v>
      </c>
      <c r="D7523" s="1" t="s">
        <v>2506</v>
      </c>
      <c r="E7523" s="1" t="s">
        <v>2019</v>
      </c>
      <c r="F7523" s="1" t="s">
        <v>749</v>
      </c>
      <c r="G7523" s="6">
        <v>21845</v>
      </c>
      <c r="H7523" t="str">
        <f>IFERROR(VLOOKUP(F7523,'LEAID Match'!$A$2:$B$142,2,FALSE),"")</f>
        <v/>
      </c>
    </row>
    <row r="7524" spans="1:8" x14ac:dyDescent="0.2">
      <c r="A7524" t="str">
        <f t="shared" si="117"/>
        <v/>
      </c>
      <c r="B7524" s="1">
        <v>2024</v>
      </c>
      <c r="C7524" s="1" t="s">
        <v>2505</v>
      </c>
      <c r="D7524" s="1" t="s">
        <v>2506</v>
      </c>
      <c r="E7524" s="1" t="s">
        <v>2019</v>
      </c>
      <c r="F7524" s="1" t="s">
        <v>749</v>
      </c>
      <c r="G7524" s="6">
        <v>23541</v>
      </c>
      <c r="H7524" t="str">
        <f>IFERROR(VLOOKUP(F7524,'LEAID Match'!$A$2:$B$142,2,FALSE),"")</f>
        <v/>
      </c>
    </row>
    <row r="7525" spans="1:8" x14ac:dyDescent="0.2">
      <c r="A7525" t="str">
        <f t="shared" si="117"/>
        <v/>
      </c>
      <c r="B7525" s="1">
        <v>2015</v>
      </c>
      <c r="C7525" s="1" t="s">
        <v>2505</v>
      </c>
      <c r="D7525" s="1" t="s">
        <v>2506</v>
      </c>
      <c r="E7525" s="1" t="s">
        <v>2019</v>
      </c>
      <c r="F7525" s="1" t="s">
        <v>750</v>
      </c>
      <c r="G7525" s="6">
        <v>22681</v>
      </c>
      <c r="H7525" t="str">
        <f>IFERROR(VLOOKUP(F7525,'LEAID Match'!$A$2:$B$142,2,FALSE),"")</f>
        <v/>
      </c>
    </row>
    <row r="7526" spans="1:8" x14ac:dyDescent="0.2">
      <c r="A7526" t="str">
        <f t="shared" si="117"/>
        <v/>
      </c>
      <c r="B7526">
        <v>2016</v>
      </c>
      <c r="C7526" s="1" t="s">
        <v>2505</v>
      </c>
      <c r="D7526" s="1" t="s">
        <v>2506</v>
      </c>
      <c r="E7526" s="1" t="s">
        <v>2019</v>
      </c>
      <c r="F7526" s="1" t="s">
        <v>750</v>
      </c>
      <c r="G7526" s="12">
        <v>26738</v>
      </c>
      <c r="H7526" t="str">
        <f>IFERROR(VLOOKUP(F7526,'LEAID Match'!$A$2:$B$142,2,FALSE),"")</f>
        <v/>
      </c>
    </row>
    <row r="7527" spans="1:8" x14ac:dyDescent="0.2">
      <c r="A7527" t="str">
        <f t="shared" si="117"/>
        <v/>
      </c>
      <c r="B7527" s="1">
        <v>2017</v>
      </c>
      <c r="C7527" s="1" t="s">
        <v>2505</v>
      </c>
      <c r="D7527" s="1" t="s">
        <v>2506</v>
      </c>
      <c r="E7527" s="1" t="s">
        <v>2019</v>
      </c>
      <c r="F7527" s="1" t="s">
        <v>750</v>
      </c>
      <c r="G7527" s="49">
        <v>33346</v>
      </c>
      <c r="H7527" t="str">
        <f>IFERROR(VLOOKUP(F7527,'LEAID Match'!$A$2:$B$142,2,FALSE),"")</f>
        <v/>
      </c>
    </row>
    <row r="7528" spans="1:8" x14ac:dyDescent="0.2">
      <c r="A7528" t="str">
        <f t="shared" si="117"/>
        <v/>
      </c>
      <c r="B7528" s="1">
        <v>2018</v>
      </c>
      <c r="C7528" s="1" t="s">
        <v>2505</v>
      </c>
      <c r="D7528" s="1" t="s">
        <v>2506</v>
      </c>
      <c r="E7528" s="1" t="s">
        <v>2019</v>
      </c>
      <c r="F7528" s="1" t="s">
        <v>750</v>
      </c>
      <c r="G7528" s="6">
        <v>25346</v>
      </c>
      <c r="H7528" t="str">
        <f>IFERROR(VLOOKUP(F7528,'LEAID Match'!$A$2:$B$142,2,FALSE),"")</f>
        <v/>
      </c>
    </row>
    <row r="7529" spans="1:8" x14ac:dyDescent="0.2">
      <c r="A7529" t="str">
        <f t="shared" si="117"/>
        <v/>
      </c>
      <c r="B7529" s="1">
        <v>2019</v>
      </c>
      <c r="C7529" s="1" t="s">
        <v>2505</v>
      </c>
      <c r="D7529" s="1" t="s">
        <v>2506</v>
      </c>
      <c r="E7529" s="1" t="s">
        <v>2019</v>
      </c>
      <c r="F7529" s="1" t="s">
        <v>750</v>
      </c>
      <c r="G7529" s="6">
        <v>21160</v>
      </c>
      <c r="H7529" t="str">
        <f>IFERROR(VLOOKUP(F7529,'LEAID Match'!$A$2:$B$142,2,FALSE),"")</f>
        <v/>
      </c>
    </row>
    <row r="7530" spans="1:8" x14ac:dyDescent="0.2">
      <c r="A7530" t="str">
        <f t="shared" si="117"/>
        <v/>
      </c>
      <c r="B7530" s="1">
        <v>2020</v>
      </c>
      <c r="C7530" s="1" t="s">
        <v>2505</v>
      </c>
      <c r="D7530" s="1" t="s">
        <v>2506</v>
      </c>
      <c r="E7530" s="1" t="s">
        <v>2019</v>
      </c>
      <c r="F7530" s="1" t="s">
        <v>750</v>
      </c>
      <c r="G7530" s="6">
        <v>22309</v>
      </c>
      <c r="H7530" t="str">
        <f>IFERROR(VLOOKUP(F7530,'LEAID Match'!$A$2:$B$142,2,FALSE),"")</f>
        <v/>
      </c>
    </row>
    <row r="7531" spans="1:8" x14ac:dyDescent="0.2">
      <c r="A7531" t="str">
        <f t="shared" si="117"/>
        <v/>
      </c>
      <c r="B7531" s="1">
        <v>2021</v>
      </c>
      <c r="C7531" s="1" t="s">
        <v>2505</v>
      </c>
      <c r="D7531" s="1" t="s">
        <v>2506</v>
      </c>
      <c r="E7531" s="1" t="s">
        <v>2019</v>
      </c>
      <c r="F7531" s="1" t="s">
        <v>750</v>
      </c>
      <c r="G7531" s="6">
        <v>27059</v>
      </c>
      <c r="H7531" t="str">
        <f>IFERROR(VLOOKUP(F7531,'LEAID Match'!$A$2:$B$142,2,FALSE),"")</f>
        <v/>
      </c>
    </row>
    <row r="7532" spans="1:8" x14ac:dyDescent="0.2">
      <c r="A7532" t="str">
        <f t="shared" si="117"/>
        <v/>
      </c>
      <c r="B7532" s="1">
        <v>2022</v>
      </c>
      <c r="C7532" s="1" t="s">
        <v>2505</v>
      </c>
      <c r="D7532" s="1" t="s">
        <v>2506</v>
      </c>
      <c r="E7532" s="1" t="s">
        <v>2019</v>
      </c>
      <c r="F7532" s="1" t="s">
        <v>750</v>
      </c>
      <c r="G7532" s="6">
        <v>39710</v>
      </c>
      <c r="H7532" t="str">
        <f>IFERROR(VLOOKUP(F7532,'LEAID Match'!$A$2:$B$142,2,FALSE),"")</f>
        <v/>
      </c>
    </row>
    <row r="7533" spans="1:8" x14ac:dyDescent="0.2">
      <c r="A7533" t="str">
        <f t="shared" si="117"/>
        <v/>
      </c>
      <c r="B7533" s="1">
        <v>2023</v>
      </c>
      <c r="C7533" s="1" t="s">
        <v>2505</v>
      </c>
      <c r="D7533" s="1" t="s">
        <v>2506</v>
      </c>
      <c r="E7533" s="1" t="s">
        <v>2019</v>
      </c>
      <c r="F7533" s="1" t="s">
        <v>750</v>
      </c>
      <c r="G7533" s="6">
        <v>43504</v>
      </c>
      <c r="H7533" t="str">
        <f>IFERROR(VLOOKUP(F7533,'LEAID Match'!$A$2:$B$142,2,FALSE),"")</f>
        <v/>
      </c>
    </row>
    <row r="7534" spans="1:8" x14ac:dyDescent="0.2">
      <c r="A7534" t="str">
        <f t="shared" si="117"/>
        <v/>
      </c>
      <c r="B7534" s="1">
        <v>2024</v>
      </c>
      <c r="C7534" s="1" t="s">
        <v>2505</v>
      </c>
      <c r="D7534" s="1" t="s">
        <v>2506</v>
      </c>
      <c r="E7534" s="1" t="s">
        <v>2019</v>
      </c>
      <c r="F7534" s="1" t="s">
        <v>750</v>
      </c>
      <c r="G7534" s="6">
        <v>47304</v>
      </c>
      <c r="H7534" t="str">
        <f>IFERROR(VLOOKUP(F7534,'LEAID Match'!$A$2:$B$142,2,FALSE),"")</f>
        <v/>
      </c>
    </row>
    <row r="7535" spans="1:8" x14ac:dyDescent="0.2">
      <c r="A7535" t="str">
        <f t="shared" si="117"/>
        <v/>
      </c>
      <c r="B7535" s="1">
        <v>2015</v>
      </c>
      <c r="C7535" s="1" t="s">
        <v>2505</v>
      </c>
      <c r="D7535" s="1" t="s">
        <v>2506</v>
      </c>
      <c r="E7535" s="1" t="s">
        <v>2019</v>
      </c>
      <c r="F7535" s="1" t="s">
        <v>751</v>
      </c>
      <c r="G7535" s="6">
        <v>4158</v>
      </c>
      <c r="H7535" t="str">
        <f>IFERROR(VLOOKUP(F7535,'LEAID Match'!$A$2:$B$142,2,FALSE),"")</f>
        <v/>
      </c>
    </row>
    <row r="7536" spans="1:8" x14ac:dyDescent="0.2">
      <c r="A7536" t="str">
        <f t="shared" si="117"/>
        <v/>
      </c>
      <c r="B7536">
        <v>2016</v>
      </c>
      <c r="C7536" s="1" t="s">
        <v>2505</v>
      </c>
      <c r="D7536" s="1" t="s">
        <v>2506</v>
      </c>
      <c r="E7536" s="1" t="s">
        <v>2019</v>
      </c>
      <c r="F7536" s="1" t="s">
        <v>751</v>
      </c>
      <c r="G7536" s="12">
        <v>4158</v>
      </c>
      <c r="H7536" t="str">
        <f>IFERROR(VLOOKUP(F7536,'LEAID Match'!$A$2:$B$142,2,FALSE),"")</f>
        <v/>
      </c>
    </row>
    <row r="7537" spans="1:8" x14ac:dyDescent="0.2">
      <c r="A7537" t="str">
        <f t="shared" si="117"/>
        <v/>
      </c>
      <c r="B7537" s="1">
        <v>2017</v>
      </c>
      <c r="C7537" s="1" t="s">
        <v>2505</v>
      </c>
      <c r="D7537" s="1" t="s">
        <v>2506</v>
      </c>
      <c r="E7537" s="1" t="s">
        <v>2019</v>
      </c>
      <c r="F7537" s="1" t="s">
        <v>751</v>
      </c>
      <c r="G7537" s="49">
        <v>4158</v>
      </c>
      <c r="H7537" t="str">
        <f>IFERROR(VLOOKUP(F7537,'LEAID Match'!$A$2:$B$142,2,FALSE),"")</f>
        <v/>
      </c>
    </row>
    <row r="7538" spans="1:8" x14ac:dyDescent="0.2">
      <c r="A7538" t="str">
        <f t="shared" si="117"/>
        <v/>
      </c>
      <c r="B7538" s="1">
        <v>2018</v>
      </c>
      <c r="C7538" s="1" t="s">
        <v>2505</v>
      </c>
      <c r="D7538" s="1" t="s">
        <v>2506</v>
      </c>
      <c r="E7538" s="1" t="s">
        <v>2019</v>
      </c>
      <c r="F7538" s="1" t="s">
        <v>751</v>
      </c>
      <c r="G7538" s="6">
        <v>5150</v>
      </c>
      <c r="H7538" t="str">
        <f>IFERROR(VLOOKUP(F7538,'LEAID Match'!$A$2:$B$142,2,FALSE),"")</f>
        <v/>
      </c>
    </row>
    <row r="7539" spans="1:8" x14ac:dyDescent="0.2">
      <c r="A7539" t="str">
        <f t="shared" si="117"/>
        <v/>
      </c>
      <c r="B7539" s="1">
        <v>2019</v>
      </c>
      <c r="C7539" s="1" t="s">
        <v>2505</v>
      </c>
      <c r="D7539" s="1" t="s">
        <v>2506</v>
      </c>
      <c r="E7539" s="1" t="s">
        <v>2019</v>
      </c>
      <c r="F7539" s="1" t="s">
        <v>751</v>
      </c>
      <c r="G7539" s="6">
        <v>5481</v>
      </c>
      <c r="H7539" t="str">
        <f>IFERROR(VLOOKUP(F7539,'LEAID Match'!$A$2:$B$142,2,FALSE),"")</f>
        <v/>
      </c>
    </row>
    <row r="7540" spans="1:8" x14ac:dyDescent="0.2">
      <c r="A7540" t="str">
        <f t="shared" si="117"/>
        <v/>
      </c>
      <c r="B7540" s="1">
        <v>2020</v>
      </c>
      <c r="C7540" s="1" t="s">
        <v>2505</v>
      </c>
      <c r="D7540" s="1" t="s">
        <v>2506</v>
      </c>
      <c r="E7540" s="1" t="s">
        <v>2019</v>
      </c>
      <c r="F7540" s="1" t="s">
        <v>751</v>
      </c>
      <c r="G7540" s="6">
        <v>6055</v>
      </c>
      <c r="H7540" t="str">
        <f>IFERROR(VLOOKUP(F7540,'LEAID Match'!$A$2:$B$142,2,FALSE),"")</f>
        <v/>
      </c>
    </row>
    <row r="7541" spans="1:8" x14ac:dyDescent="0.2">
      <c r="A7541" t="str">
        <f t="shared" si="117"/>
        <v/>
      </c>
      <c r="B7541" s="1">
        <v>2021</v>
      </c>
      <c r="C7541" s="1" t="s">
        <v>2505</v>
      </c>
      <c r="D7541" s="1" t="s">
        <v>2506</v>
      </c>
      <c r="E7541" s="1" t="s">
        <v>2019</v>
      </c>
      <c r="F7541" s="1" t="s">
        <v>751</v>
      </c>
      <c r="G7541" s="6">
        <v>5533</v>
      </c>
      <c r="H7541" t="str">
        <f>IFERROR(VLOOKUP(F7541,'LEAID Match'!$A$2:$B$142,2,FALSE),"")</f>
        <v/>
      </c>
    </row>
    <row r="7542" spans="1:8" x14ac:dyDescent="0.2">
      <c r="A7542" t="str">
        <f t="shared" si="117"/>
        <v/>
      </c>
      <c r="B7542" s="1">
        <v>2022</v>
      </c>
      <c r="C7542" s="1" t="s">
        <v>2505</v>
      </c>
      <c r="D7542" s="1" t="s">
        <v>2506</v>
      </c>
      <c r="E7542" s="1" t="s">
        <v>2019</v>
      </c>
      <c r="F7542" s="1" t="s">
        <v>751</v>
      </c>
      <c r="G7542" s="6">
        <v>2923</v>
      </c>
      <c r="H7542" t="str">
        <f>IFERROR(VLOOKUP(F7542,'LEAID Match'!$A$2:$B$142,2,FALSE),"")</f>
        <v/>
      </c>
    </row>
    <row r="7543" spans="1:8" x14ac:dyDescent="0.2">
      <c r="A7543" t="str">
        <f t="shared" si="117"/>
        <v/>
      </c>
      <c r="B7543" s="1">
        <v>2023</v>
      </c>
      <c r="C7543" s="1" t="s">
        <v>2505</v>
      </c>
      <c r="D7543" s="1" t="s">
        <v>2506</v>
      </c>
      <c r="E7543" s="1" t="s">
        <v>2019</v>
      </c>
      <c r="F7543" s="1" t="s">
        <v>751</v>
      </c>
      <c r="G7543" s="6">
        <v>2923</v>
      </c>
      <c r="H7543" t="str">
        <f>IFERROR(VLOOKUP(F7543,'LEAID Match'!$A$2:$B$142,2,FALSE),"")</f>
        <v/>
      </c>
    </row>
    <row r="7544" spans="1:8" x14ac:dyDescent="0.2">
      <c r="A7544" t="str">
        <f t="shared" si="117"/>
        <v/>
      </c>
      <c r="B7544" s="1">
        <v>2024</v>
      </c>
      <c r="C7544" s="1" t="s">
        <v>2505</v>
      </c>
      <c r="D7544" s="1" t="s">
        <v>2506</v>
      </c>
      <c r="E7544" s="1" t="s">
        <v>2019</v>
      </c>
      <c r="F7544" s="1" t="s">
        <v>751</v>
      </c>
      <c r="G7544" s="6">
        <v>2923</v>
      </c>
      <c r="H7544" t="str">
        <f>IFERROR(VLOOKUP(F7544,'LEAID Match'!$A$2:$B$142,2,FALSE),"")</f>
        <v/>
      </c>
    </row>
    <row r="7545" spans="1:8" x14ac:dyDescent="0.2">
      <c r="A7545" t="str">
        <f t="shared" si="117"/>
        <v/>
      </c>
      <c r="B7545" s="1">
        <v>2015</v>
      </c>
      <c r="C7545" s="1" t="s">
        <v>2505</v>
      </c>
      <c r="D7545" s="1" t="s">
        <v>2506</v>
      </c>
      <c r="E7545" s="1" t="s">
        <v>2019</v>
      </c>
      <c r="F7545" s="1" t="s">
        <v>752</v>
      </c>
      <c r="G7545" s="6">
        <v>20432</v>
      </c>
      <c r="H7545" t="str">
        <f>IFERROR(VLOOKUP(F7545,'LEAID Match'!$A$2:$B$142,2,FALSE),"")</f>
        <v/>
      </c>
    </row>
    <row r="7546" spans="1:8" x14ac:dyDescent="0.2">
      <c r="A7546" t="str">
        <f t="shared" si="117"/>
        <v/>
      </c>
      <c r="B7546">
        <v>2016</v>
      </c>
      <c r="C7546" s="1" t="s">
        <v>2505</v>
      </c>
      <c r="D7546" s="1" t="s">
        <v>2506</v>
      </c>
      <c r="E7546" s="1" t="s">
        <v>2019</v>
      </c>
      <c r="F7546" s="1" t="s">
        <v>752</v>
      </c>
      <c r="G7546" s="12">
        <v>18889</v>
      </c>
      <c r="H7546" t="str">
        <f>IFERROR(VLOOKUP(F7546,'LEAID Match'!$A$2:$B$142,2,FALSE),"")</f>
        <v/>
      </c>
    </row>
    <row r="7547" spans="1:8" x14ac:dyDescent="0.2">
      <c r="A7547" t="str">
        <f t="shared" si="117"/>
        <v/>
      </c>
      <c r="B7547" s="1">
        <v>2017</v>
      </c>
      <c r="C7547" s="1" t="s">
        <v>2505</v>
      </c>
      <c r="D7547" s="1" t="s">
        <v>2506</v>
      </c>
      <c r="E7547" s="1" t="s">
        <v>2019</v>
      </c>
      <c r="F7547" s="1" t="s">
        <v>752</v>
      </c>
      <c r="G7547" s="49">
        <v>17288</v>
      </c>
      <c r="H7547" t="str">
        <f>IFERROR(VLOOKUP(F7547,'LEAID Match'!$A$2:$B$142,2,FALSE),"")</f>
        <v/>
      </c>
    </row>
    <row r="7548" spans="1:8" x14ac:dyDescent="0.2">
      <c r="A7548" t="str">
        <f t="shared" si="117"/>
        <v/>
      </c>
      <c r="B7548" s="1">
        <v>2018</v>
      </c>
      <c r="C7548" s="1" t="s">
        <v>2505</v>
      </c>
      <c r="D7548" s="1" t="s">
        <v>2506</v>
      </c>
      <c r="E7548" s="1" t="s">
        <v>2019</v>
      </c>
      <c r="F7548" s="1" t="s">
        <v>752</v>
      </c>
      <c r="G7548" s="6">
        <v>20334</v>
      </c>
      <c r="H7548" t="str">
        <f>IFERROR(VLOOKUP(F7548,'LEAID Match'!$A$2:$B$142,2,FALSE),"")</f>
        <v/>
      </c>
    </row>
    <row r="7549" spans="1:8" x14ac:dyDescent="0.2">
      <c r="A7549" t="str">
        <f t="shared" si="117"/>
        <v/>
      </c>
      <c r="B7549" s="1">
        <v>2019</v>
      </c>
      <c r="C7549" s="1" t="s">
        <v>2505</v>
      </c>
      <c r="D7549" s="1" t="s">
        <v>2506</v>
      </c>
      <c r="E7549" s="1" t="s">
        <v>2019</v>
      </c>
      <c r="F7549" s="1" t="s">
        <v>752</v>
      </c>
      <c r="G7549" s="6">
        <v>29463</v>
      </c>
      <c r="H7549" t="str">
        <f>IFERROR(VLOOKUP(F7549,'LEAID Match'!$A$2:$B$142,2,FALSE),"")</f>
        <v/>
      </c>
    </row>
    <row r="7550" spans="1:8" x14ac:dyDescent="0.2">
      <c r="A7550" t="str">
        <f t="shared" si="117"/>
        <v/>
      </c>
      <c r="B7550" s="1">
        <v>2020</v>
      </c>
      <c r="C7550" s="1" t="s">
        <v>2505</v>
      </c>
      <c r="D7550" s="1" t="s">
        <v>2506</v>
      </c>
      <c r="E7550" s="1" t="s">
        <v>2019</v>
      </c>
      <c r="F7550" s="1" t="s">
        <v>752</v>
      </c>
      <c r="G7550" s="6">
        <v>22754</v>
      </c>
      <c r="H7550" t="str">
        <f>IFERROR(VLOOKUP(F7550,'LEAID Match'!$A$2:$B$142,2,FALSE),"")</f>
        <v/>
      </c>
    </row>
    <row r="7551" spans="1:8" x14ac:dyDescent="0.2">
      <c r="A7551" t="str">
        <f t="shared" si="117"/>
        <v/>
      </c>
      <c r="B7551" s="1">
        <v>2021</v>
      </c>
      <c r="C7551" s="1" t="s">
        <v>2505</v>
      </c>
      <c r="D7551" s="1" t="s">
        <v>2506</v>
      </c>
      <c r="E7551" s="1" t="s">
        <v>2019</v>
      </c>
      <c r="F7551" s="1" t="s">
        <v>752</v>
      </c>
      <c r="G7551" s="6">
        <v>28653</v>
      </c>
      <c r="H7551" t="str">
        <f>IFERROR(VLOOKUP(F7551,'LEAID Match'!$A$2:$B$142,2,FALSE),"")</f>
        <v/>
      </c>
    </row>
    <row r="7552" spans="1:8" x14ac:dyDescent="0.2">
      <c r="A7552" t="str">
        <f t="shared" si="117"/>
        <v/>
      </c>
      <c r="B7552" s="1">
        <v>2022</v>
      </c>
      <c r="C7552" s="1" t="s">
        <v>2505</v>
      </c>
      <c r="D7552" s="1" t="s">
        <v>2506</v>
      </c>
      <c r="E7552" s="1" t="s">
        <v>2019</v>
      </c>
      <c r="F7552" s="1" t="s">
        <v>752</v>
      </c>
      <c r="G7552" s="6">
        <v>24729</v>
      </c>
      <c r="H7552" t="str">
        <f>IFERROR(VLOOKUP(F7552,'LEAID Match'!$A$2:$B$142,2,FALSE),"")</f>
        <v/>
      </c>
    </row>
    <row r="7553" spans="1:8" x14ac:dyDescent="0.2">
      <c r="A7553" t="str">
        <f t="shared" si="117"/>
        <v/>
      </c>
      <c r="B7553" s="1">
        <v>2023</v>
      </c>
      <c r="C7553" s="1" t="s">
        <v>2505</v>
      </c>
      <c r="D7553" s="1" t="s">
        <v>2506</v>
      </c>
      <c r="E7553" s="1" t="s">
        <v>2019</v>
      </c>
      <c r="F7553" s="1" t="s">
        <v>752</v>
      </c>
      <c r="G7553" s="6">
        <v>27361</v>
      </c>
      <c r="H7553" t="str">
        <f>IFERROR(VLOOKUP(F7553,'LEAID Match'!$A$2:$B$142,2,FALSE),"")</f>
        <v/>
      </c>
    </row>
    <row r="7554" spans="1:8" x14ac:dyDescent="0.2">
      <c r="A7554" t="str">
        <f t="shared" si="117"/>
        <v/>
      </c>
      <c r="B7554" s="1">
        <v>2024</v>
      </c>
      <c r="C7554" s="1" t="s">
        <v>2505</v>
      </c>
      <c r="D7554" s="1" t="s">
        <v>2506</v>
      </c>
      <c r="E7554" s="1" t="s">
        <v>2019</v>
      </c>
      <c r="F7554" s="1" t="s">
        <v>752</v>
      </c>
      <c r="G7554" s="6">
        <v>28584</v>
      </c>
      <c r="H7554" t="str">
        <f>IFERROR(VLOOKUP(F7554,'LEAID Match'!$A$2:$B$142,2,FALSE),"")</f>
        <v/>
      </c>
    </row>
    <row r="7555" spans="1:8" x14ac:dyDescent="0.2">
      <c r="A7555" t="str">
        <f t="shared" ref="A7555:A7618" si="118">H7555</f>
        <v/>
      </c>
      <c r="B7555" s="1">
        <v>2015</v>
      </c>
      <c r="C7555" s="1" t="s">
        <v>2505</v>
      </c>
      <c r="D7555" s="1" t="s">
        <v>2506</v>
      </c>
      <c r="E7555" s="1" t="s">
        <v>2019</v>
      </c>
      <c r="F7555" s="1" t="s">
        <v>753</v>
      </c>
      <c r="G7555" s="6">
        <v>3293</v>
      </c>
      <c r="H7555" t="str">
        <f>IFERROR(VLOOKUP(F7555,'LEAID Match'!$A$2:$B$142,2,FALSE),"")</f>
        <v/>
      </c>
    </row>
    <row r="7556" spans="1:8" x14ac:dyDescent="0.2">
      <c r="A7556" t="str">
        <f t="shared" si="118"/>
        <v/>
      </c>
      <c r="B7556">
        <v>2016</v>
      </c>
      <c r="C7556" s="1" t="s">
        <v>2505</v>
      </c>
      <c r="D7556" s="1" t="s">
        <v>2506</v>
      </c>
      <c r="E7556" s="1" t="s">
        <v>2019</v>
      </c>
      <c r="F7556" s="1" t="s">
        <v>753</v>
      </c>
      <c r="G7556" s="12">
        <v>3596</v>
      </c>
      <c r="H7556" t="str">
        <f>IFERROR(VLOOKUP(F7556,'LEAID Match'!$A$2:$B$142,2,FALSE),"")</f>
        <v/>
      </c>
    </row>
    <row r="7557" spans="1:8" x14ac:dyDescent="0.2">
      <c r="A7557" t="str">
        <f t="shared" si="118"/>
        <v/>
      </c>
      <c r="B7557" s="1">
        <v>2017</v>
      </c>
      <c r="C7557" s="1" t="s">
        <v>2505</v>
      </c>
      <c r="D7557" s="1" t="s">
        <v>2506</v>
      </c>
      <c r="E7557" s="1" t="s">
        <v>2019</v>
      </c>
      <c r="F7557" s="1" t="s">
        <v>753</v>
      </c>
      <c r="G7557" s="49">
        <v>3596</v>
      </c>
      <c r="H7557" t="str">
        <f>IFERROR(VLOOKUP(F7557,'LEAID Match'!$A$2:$B$142,2,FALSE),"")</f>
        <v/>
      </c>
    </row>
    <row r="7558" spans="1:8" x14ac:dyDescent="0.2">
      <c r="A7558" t="str">
        <f t="shared" si="118"/>
        <v/>
      </c>
      <c r="B7558" s="1">
        <v>2018</v>
      </c>
      <c r="C7558" s="1" t="s">
        <v>2505</v>
      </c>
      <c r="D7558" s="1" t="s">
        <v>2506</v>
      </c>
      <c r="E7558" s="1" t="s">
        <v>2019</v>
      </c>
      <c r="F7558" s="1" t="s">
        <v>753</v>
      </c>
      <c r="G7558" s="6">
        <v>3642</v>
      </c>
      <c r="H7558" t="str">
        <f>IFERROR(VLOOKUP(F7558,'LEAID Match'!$A$2:$B$142,2,FALSE),"")</f>
        <v/>
      </c>
    </row>
    <row r="7559" spans="1:8" x14ac:dyDescent="0.2">
      <c r="A7559" t="str">
        <f t="shared" si="118"/>
        <v/>
      </c>
      <c r="B7559" s="1">
        <v>2019</v>
      </c>
      <c r="C7559" s="1" t="s">
        <v>2505</v>
      </c>
      <c r="D7559" s="1" t="s">
        <v>2506</v>
      </c>
      <c r="E7559" s="1" t="s">
        <v>2019</v>
      </c>
      <c r="F7559" s="1" t="s">
        <v>753</v>
      </c>
      <c r="G7559" s="6">
        <v>3825</v>
      </c>
      <c r="H7559" t="str">
        <f>IFERROR(VLOOKUP(F7559,'LEAID Match'!$A$2:$B$142,2,FALSE),"")</f>
        <v/>
      </c>
    </row>
    <row r="7560" spans="1:8" x14ac:dyDescent="0.2">
      <c r="A7560" t="str">
        <f t="shared" si="118"/>
        <v/>
      </c>
      <c r="B7560" s="1">
        <v>2020</v>
      </c>
      <c r="C7560" s="1" t="s">
        <v>2505</v>
      </c>
      <c r="D7560" s="1" t="s">
        <v>2506</v>
      </c>
      <c r="E7560" s="1" t="s">
        <v>2019</v>
      </c>
      <c r="F7560" s="1" t="s">
        <v>753</v>
      </c>
      <c r="G7560" s="6">
        <v>4454</v>
      </c>
      <c r="H7560" t="str">
        <f>IFERROR(VLOOKUP(F7560,'LEAID Match'!$A$2:$B$142,2,FALSE),"")</f>
        <v/>
      </c>
    </row>
    <row r="7561" spans="1:8" x14ac:dyDescent="0.2">
      <c r="A7561" t="str">
        <f t="shared" si="118"/>
        <v/>
      </c>
      <c r="B7561" s="1">
        <v>2021</v>
      </c>
      <c r="C7561" s="1" t="s">
        <v>2505</v>
      </c>
      <c r="D7561" s="1" t="s">
        <v>2506</v>
      </c>
      <c r="E7561" s="1" t="s">
        <v>2019</v>
      </c>
      <c r="F7561" s="1" t="s">
        <v>753</v>
      </c>
      <c r="G7561" s="6">
        <v>6753</v>
      </c>
      <c r="H7561" t="str">
        <f>IFERROR(VLOOKUP(F7561,'LEAID Match'!$A$2:$B$142,2,FALSE),"")</f>
        <v/>
      </c>
    </row>
    <row r="7562" spans="1:8" x14ac:dyDescent="0.2">
      <c r="A7562" t="str">
        <f t="shared" si="118"/>
        <v/>
      </c>
      <c r="B7562" s="1">
        <v>2022</v>
      </c>
      <c r="C7562" s="1" t="s">
        <v>2505</v>
      </c>
      <c r="D7562" s="1" t="s">
        <v>2506</v>
      </c>
      <c r="E7562" s="1" t="s">
        <v>2019</v>
      </c>
      <c r="F7562" s="1" t="s">
        <v>753</v>
      </c>
      <c r="G7562" s="6">
        <v>10065</v>
      </c>
      <c r="H7562" t="str">
        <f>IFERROR(VLOOKUP(F7562,'LEAID Match'!$A$2:$B$142,2,FALSE),"")</f>
        <v/>
      </c>
    </row>
    <row r="7563" spans="1:8" x14ac:dyDescent="0.2">
      <c r="A7563" t="str">
        <f t="shared" si="118"/>
        <v/>
      </c>
      <c r="B7563" s="1">
        <v>2023</v>
      </c>
      <c r="C7563" s="1" t="s">
        <v>2505</v>
      </c>
      <c r="D7563" s="1" t="s">
        <v>2506</v>
      </c>
      <c r="E7563" s="1" t="s">
        <v>2019</v>
      </c>
      <c r="F7563" s="1" t="s">
        <v>753</v>
      </c>
      <c r="G7563" s="6">
        <v>12030</v>
      </c>
      <c r="H7563" t="str">
        <f>IFERROR(VLOOKUP(F7563,'LEAID Match'!$A$2:$B$142,2,FALSE),"")</f>
        <v/>
      </c>
    </row>
    <row r="7564" spans="1:8" x14ac:dyDescent="0.2">
      <c r="A7564" t="str">
        <f t="shared" si="118"/>
        <v/>
      </c>
      <c r="B7564" s="1">
        <v>2024</v>
      </c>
      <c r="C7564" s="1" t="s">
        <v>2505</v>
      </c>
      <c r="D7564" s="1" t="s">
        <v>2506</v>
      </c>
      <c r="E7564" s="1" t="s">
        <v>2019</v>
      </c>
      <c r="F7564" s="1" t="s">
        <v>753</v>
      </c>
      <c r="G7564" s="6">
        <v>12773</v>
      </c>
      <c r="H7564" t="str">
        <f>IFERROR(VLOOKUP(F7564,'LEAID Match'!$A$2:$B$142,2,FALSE),"")</f>
        <v/>
      </c>
    </row>
    <row r="7565" spans="1:8" x14ac:dyDescent="0.2">
      <c r="A7565" t="str">
        <f t="shared" si="118"/>
        <v/>
      </c>
      <c r="B7565" s="1">
        <v>2015</v>
      </c>
      <c r="C7565" s="1" t="s">
        <v>2505</v>
      </c>
      <c r="D7565" s="1" t="s">
        <v>2506</v>
      </c>
      <c r="E7565" s="1" t="s">
        <v>2019</v>
      </c>
      <c r="F7565" s="1" t="s">
        <v>754</v>
      </c>
      <c r="G7565" s="6">
        <v>16708</v>
      </c>
      <c r="H7565" t="str">
        <f>IFERROR(VLOOKUP(F7565,'LEAID Match'!$A$2:$B$142,2,FALSE),"")</f>
        <v/>
      </c>
    </row>
    <row r="7566" spans="1:8" x14ac:dyDescent="0.2">
      <c r="A7566" t="str">
        <f t="shared" si="118"/>
        <v/>
      </c>
      <c r="B7566">
        <v>2016</v>
      </c>
      <c r="C7566" s="1" t="s">
        <v>2505</v>
      </c>
      <c r="D7566" s="1" t="s">
        <v>2506</v>
      </c>
      <c r="E7566" s="1" t="s">
        <v>2019</v>
      </c>
      <c r="F7566" s="1" t="s">
        <v>754</v>
      </c>
      <c r="G7566" s="12">
        <v>16502</v>
      </c>
      <c r="H7566" t="str">
        <f>IFERROR(VLOOKUP(F7566,'LEAID Match'!$A$2:$B$142,2,FALSE),"")</f>
        <v/>
      </c>
    </row>
    <row r="7567" spans="1:8" x14ac:dyDescent="0.2">
      <c r="A7567" t="str">
        <f t="shared" si="118"/>
        <v/>
      </c>
      <c r="B7567" s="1">
        <v>2017</v>
      </c>
      <c r="C7567" s="1" t="s">
        <v>2505</v>
      </c>
      <c r="D7567" s="1" t="s">
        <v>2506</v>
      </c>
      <c r="E7567" s="1" t="s">
        <v>2019</v>
      </c>
      <c r="F7567" s="1" t="s">
        <v>754</v>
      </c>
      <c r="G7567" s="49">
        <v>15037</v>
      </c>
      <c r="H7567" t="str">
        <f>IFERROR(VLOOKUP(F7567,'LEAID Match'!$A$2:$B$142,2,FALSE),"")</f>
        <v/>
      </c>
    </row>
    <row r="7568" spans="1:8" x14ac:dyDescent="0.2">
      <c r="A7568" t="str">
        <f t="shared" si="118"/>
        <v/>
      </c>
      <c r="B7568" s="1">
        <v>2018</v>
      </c>
      <c r="C7568" s="1" t="s">
        <v>2505</v>
      </c>
      <c r="D7568" s="1" t="s">
        <v>2506</v>
      </c>
      <c r="E7568" s="1" t="s">
        <v>2019</v>
      </c>
      <c r="F7568" s="1" t="s">
        <v>754</v>
      </c>
      <c r="G7568" s="6">
        <v>14714</v>
      </c>
      <c r="H7568" t="str">
        <f>IFERROR(VLOOKUP(F7568,'LEAID Match'!$A$2:$B$142,2,FALSE),"")</f>
        <v/>
      </c>
    </row>
    <row r="7569" spans="1:8" x14ac:dyDescent="0.2">
      <c r="A7569" t="str">
        <f t="shared" si="118"/>
        <v/>
      </c>
      <c r="B7569" s="1">
        <v>2019</v>
      </c>
      <c r="C7569" s="1" t="s">
        <v>2505</v>
      </c>
      <c r="D7569" s="1" t="s">
        <v>2506</v>
      </c>
      <c r="E7569" s="1" t="s">
        <v>2019</v>
      </c>
      <c r="F7569" s="1" t="s">
        <v>754</v>
      </c>
      <c r="G7569" s="6">
        <v>13069</v>
      </c>
      <c r="H7569" t="str">
        <f>IFERROR(VLOOKUP(F7569,'LEAID Match'!$A$2:$B$142,2,FALSE),"")</f>
        <v/>
      </c>
    </row>
    <row r="7570" spans="1:8" x14ac:dyDescent="0.2">
      <c r="A7570" t="str">
        <f t="shared" si="118"/>
        <v/>
      </c>
      <c r="B7570" s="1">
        <v>2020</v>
      </c>
      <c r="C7570" s="1" t="s">
        <v>2505</v>
      </c>
      <c r="D7570" s="1" t="s">
        <v>2506</v>
      </c>
      <c r="E7570" s="1" t="s">
        <v>2019</v>
      </c>
      <c r="F7570" s="1" t="s">
        <v>754</v>
      </c>
      <c r="G7570" s="6">
        <v>13669</v>
      </c>
      <c r="H7570" t="str">
        <f>IFERROR(VLOOKUP(F7570,'LEAID Match'!$A$2:$B$142,2,FALSE),"")</f>
        <v/>
      </c>
    </row>
    <row r="7571" spans="1:8" x14ac:dyDescent="0.2">
      <c r="A7571" t="str">
        <f t="shared" si="118"/>
        <v/>
      </c>
      <c r="B7571" s="1">
        <v>2021</v>
      </c>
      <c r="C7571" s="1" t="s">
        <v>2505</v>
      </c>
      <c r="D7571" s="1" t="s">
        <v>2506</v>
      </c>
      <c r="E7571" s="1" t="s">
        <v>2019</v>
      </c>
      <c r="F7571" s="1" t="s">
        <v>754</v>
      </c>
      <c r="G7571" s="6">
        <v>14767</v>
      </c>
      <c r="H7571" t="str">
        <f>IFERROR(VLOOKUP(F7571,'LEAID Match'!$A$2:$B$142,2,FALSE),"")</f>
        <v/>
      </c>
    </row>
    <row r="7572" spans="1:8" x14ac:dyDescent="0.2">
      <c r="A7572" t="str">
        <f t="shared" si="118"/>
        <v/>
      </c>
      <c r="B7572" s="1">
        <v>2022</v>
      </c>
      <c r="C7572" s="1" t="s">
        <v>2505</v>
      </c>
      <c r="D7572" s="1" t="s">
        <v>2506</v>
      </c>
      <c r="E7572" s="1" t="s">
        <v>2019</v>
      </c>
      <c r="F7572" s="1" t="s">
        <v>754</v>
      </c>
      <c r="G7572" s="6">
        <v>15725</v>
      </c>
      <c r="H7572" t="str">
        <f>IFERROR(VLOOKUP(F7572,'LEAID Match'!$A$2:$B$142,2,FALSE),"")</f>
        <v/>
      </c>
    </row>
    <row r="7573" spans="1:8" x14ac:dyDescent="0.2">
      <c r="A7573" t="str">
        <f t="shared" si="118"/>
        <v/>
      </c>
      <c r="B7573" s="1">
        <v>2023</v>
      </c>
      <c r="C7573" s="1" t="s">
        <v>2505</v>
      </c>
      <c r="D7573" s="1" t="s">
        <v>2506</v>
      </c>
      <c r="E7573" s="1" t="s">
        <v>2019</v>
      </c>
      <c r="F7573" s="1" t="s">
        <v>754</v>
      </c>
      <c r="G7573" s="6">
        <v>16968</v>
      </c>
      <c r="H7573" t="str">
        <f>IFERROR(VLOOKUP(F7573,'LEAID Match'!$A$2:$B$142,2,FALSE),"")</f>
        <v/>
      </c>
    </row>
    <row r="7574" spans="1:8" x14ac:dyDescent="0.2">
      <c r="A7574" t="str">
        <f t="shared" si="118"/>
        <v/>
      </c>
      <c r="B7574" s="1">
        <v>2024</v>
      </c>
      <c r="C7574" s="1" t="s">
        <v>2505</v>
      </c>
      <c r="D7574" s="1" t="s">
        <v>2506</v>
      </c>
      <c r="E7574" s="1" t="s">
        <v>2019</v>
      </c>
      <c r="F7574" s="1" t="s">
        <v>754</v>
      </c>
      <c r="G7574" s="6">
        <v>12824</v>
      </c>
      <c r="H7574" t="str">
        <f>IFERROR(VLOOKUP(F7574,'LEAID Match'!$A$2:$B$142,2,FALSE),"")</f>
        <v/>
      </c>
    </row>
    <row r="7575" spans="1:8" x14ac:dyDescent="0.2">
      <c r="A7575" t="str">
        <f t="shared" si="118"/>
        <v/>
      </c>
      <c r="B7575" s="1">
        <v>2015</v>
      </c>
      <c r="C7575" s="1" t="s">
        <v>2505</v>
      </c>
      <c r="D7575" s="1" t="s">
        <v>2506</v>
      </c>
      <c r="E7575" s="1" t="s">
        <v>2019</v>
      </c>
      <c r="F7575" s="1" t="s">
        <v>755</v>
      </c>
      <c r="G7575" s="6">
        <v>10646</v>
      </c>
      <c r="H7575" t="str">
        <f>IFERROR(VLOOKUP(F7575,'LEAID Match'!$A$2:$B$142,2,FALSE),"")</f>
        <v/>
      </c>
    </row>
    <row r="7576" spans="1:8" x14ac:dyDescent="0.2">
      <c r="A7576" t="str">
        <f t="shared" si="118"/>
        <v/>
      </c>
      <c r="B7576">
        <v>2016</v>
      </c>
      <c r="C7576" s="1" t="s">
        <v>2505</v>
      </c>
      <c r="D7576" s="1" t="s">
        <v>2506</v>
      </c>
      <c r="E7576" s="1" t="s">
        <v>2019</v>
      </c>
      <c r="F7576" s="1" t="s">
        <v>755</v>
      </c>
      <c r="G7576" s="12">
        <v>11034</v>
      </c>
      <c r="H7576" t="str">
        <f>IFERROR(VLOOKUP(F7576,'LEAID Match'!$A$2:$B$142,2,FALSE),"")</f>
        <v/>
      </c>
    </row>
    <row r="7577" spans="1:8" x14ac:dyDescent="0.2">
      <c r="A7577" t="str">
        <f t="shared" si="118"/>
        <v/>
      </c>
      <c r="B7577" s="1">
        <v>2017</v>
      </c>
      <c r="C7577" s="1" t="s">
        <v>2505</v>
      </c>
      <c r="D7577" s="1" t="s">
        <v>2506</v>
      </c>
      <c r="E7577" s="1" t="s">
        <v>2019</v>
      </c>
      <c r="F7577" s="1" t="s">
        <v>755</v>
      </c>
      <c r="G7577" s="49">
        <v>9138</v>
      </c>
      <c r="H7577" t="str">
        <f>IFERROR(VLOOKUP(F7577,'LEAID Match'!$A$2:$B$142,2,FALSE),"")</f>
        <v/>
      </c>
    </row>
    <row r="7578" spans="1:8" x14ac:dyDescent="0.2">
      <c r="A7578" t="str">
        <f t="shared" si="118"/>
        <v/>
      </c>
      <c r="B7578" s="1">
        <v>2018</v>
      </c>
      <c r="C7578" s="1" t="s">
        <v>2505</v>
      </c>
      <c r="D7578" s="1" t="s">
        <v>2506</v>
      </c>
      <c r="E7578" s="1" t="s">
        <v>2019</v>
      </c>
      <c r="F7578" s="1" t="s">
        <v>755</v>
      </c>
      <c r="G7578" s="6">
        <v>10578</v>
      </c>
      <c r="H7578" t="str">
        <f>IFERROR(VLOOKUP(F7578,'LEAID Match'!$A$2:$B$142,2,FALSE),"")</f>
        <v/>
      </c>
    </row>
    <row r="7579" spans="1:8" x14ac:dyDescent="0.2">
      <c r="A7579" t="str">
        <f t="shared" si="118"/>
        <v/>
      </c>
      <c r="B7579" s="1">
        <v>2019</v>
      </c>
      <c r="C7579" s="1" t="s">
        <v>2505</v>
      </c>
      <c r="D7579" s="1" t="s">
        <v>2506</v>
      </c>
      <c r="E7579" s="1" t="s">
        <v>2019</v>
      </c>
      <c r="F7579" s="1" t="s">
        <v>755</v>
      </c>
      <c r="G7579" s="6">
        <v>11359</v>
      </c>
      <c r="H7579" t="str">
        <f>IFERROR(VLOOKUP(F7579,'LEAID Match'!$A$2:$B$142,2,FALSE),"")</f>
        <v/>
      </c>
    </row>
    <row r="7580" spans="1:8" x14ac:dyDescent="0.2">
      <c r="A7580" t="str">
        <f t="shared" si="118"/>
        <v/>
      </c>
      <c r="B7580" s="1">
        <v>2020</v>
      </c>
      <c r="C7580" s="1" t="s">
        <v>2505</v>
      </c>
      <c r="D7580" s="1" t="s">
        <v>2506</v>
      </c>
      <c r="E7580" s="1" t="s">
        <v>2019</v>
      </c>
      <c r="F7580" s="1" t="s">
        <v>755</v>
      </c>
      <c r="G7580" s="6">
        <v>14150</v>
      </c>
      <c r="H7580" t="str">
        <f>IFERROR(VLOOKUP(F7580,'LEAID Match'!$A$2:$B$142,2,FALSE),"")</f>
        <v/>
      </c>
    </row>
    <row r="7581" spans="1:8" x14ac:dyDescent="0.2">
      <c r="A7581" t="str">
        <f t="shared" si="118"/>
        <v/>
      </c>
      <c r="B7581" s="1">
        <v>2021</v>
      </c>
      <c r="C7581" s="1" t="s">
        <v>2505</v>
      </c>
      <c r="D7581" s="1" t="s">
        <v>2506</v>
      </c>
      <c r="E7581" s="1" t="s">
        <v>2019</v>
      </c>
      <c r="F7581" s="1" t="s">
        <v>755</v>
      </c>
      <c r="G7581" s="6">
        <v>15472</v>
      </c>
      <c r="H7581" t="str">
        <f>IFERROR(VLOOKUP(F7581,'LEAID Match'!$A$2:$B$142,2,FALSE),"")</f>
        <v/>
      </c>
    </row>
    <row r="7582" spans="1:8" x14ac:dyDescent="0.2">
      <c r="A7582" t="str">
        <f t="shared" si="118"/>
        <v/>
      </c>
      <c r="B7582" s="1">
        <v>2022</v>
      </c>
      <c r="C7582" s="1" t="s">
        <v>2505</v>
      </c>
      <c r="D7582" s="1" t="s">
        <v>2506</v>
      </c>
      <c r="E7582" s="1" t="s">
        <v>2019</v>
      </c>
      <c r="F7582" s="1" t="s">
        <v>755</v>
      </c>
      <c r="G7582" s="6">
        <v>16579</v>
      </c>
      <c r="H7582" t="str">
        <f>IFERROR(VLOOKUP(F7582,'LEAID Match'!$A$2:$B$142,2,FALSE),"")</f>
        <v/>
      </c>
    </row>
    <row r="7583" spans="1:8" x14ac:dyDescent="0.2">
      <c r="A7583" t="str">
        <f t="shared" si="118"/>
        <v/>
      </c>
      <c r="B7583" s="1">
        <v>2023</v>
      </c>
      <c r="C7583" s="1" t="s">
        <v>2505</v>
      </c>
      <c r="D7583" s="1" t="s">
        <v>2506</v>
      </c>
      <c r="E7583" s="1" t="s">
        <v>2019</v>
      </c>
      <c r="F7583" s="1" t="s">
        <v>755</v>
      </c>
      <c r="G7583" s="6">
        <v>16391</v>
      </c>
      <c r="H7583" t="str">
        <f>IFERROR(VLOOKUP(F7583,'LEAID Match'!$A$2:$B$142,2,FALSE),"")</f>
        <v/>
      </c>
    </row>
    <row r="7584" spans="1:8" x14ac:dyDescent="0.2">
      <c r="A7584" t="str">
        <f t="shared" si="118"/>
        <v/>
      </c>
      <c r="B7584" s="1">
        <v>2024</v>
      </c>
      <c r="C7584" s="1" t="s">
        <v>2505</v>
      </c>
      <c r="D7584" s="1" t="s">
        <v>2506</v>
      </c>
      <c r="E7584" s="1" t="s">
        <v>2019</v>
      </c>
      <c r="F7584" s="1" t="s">
        <v>755</v>
      </c>
      <c r="G7584" s="6">
        <v>17484</v>
      </c>
      <c r="H7584" t="str">
        <f>IFERROR(VLOOKUP(F7584,'LEAID Match'!$A$2:$B$142,2,FALSE),"")</f>
        <v/>
      </c>
    </row>
    <row r="7585" spans="1:8" x14ac:dyDescent="0.2">
      <c r="A7585" t="str">
        <f t="shared" si="118"/>
        <v/>
      </c>
      <c r="B7585" s="1">
        <v>2015</v>
      </c>
      <c r="C7585" s="1" t="s">
        <v>2505</v>
      </c>
      <c r="D7585" s="1" t="s">
        <v>2506</v>
      </c>
      <c r="E7585" s="1" t="s">
        <v>2019</v>
      </c>
      <c r="F7585" s="1" t="s">
        <v>756</v>
      </c>
      <c r="G7585" s="6">
        <v>11699</v>
      </c>
      <c r="H7585" t="str">
        <f>IFERROR(VLOOKUP(F7585,'LEAID Match'!$A$2:$B$142,2,FALSE),"")</f>
        <v/>
      </c>
    </row>
    <row r="7586" spans="1:8" x14ac:dyDescent="0.2">
      <c r="A7586" t="str">
        <f t="shared" si="118"/>
        <v/>
      </c>
      <c r="B7586">
        <v>2016</v>
      </c>
      <c r="C7586" s="1" t="s">
        <v>2505</v>
      </c>
      <c r="D7586" s="1" t="s">
        <v>2506</v>
      </c>
      <c r="E7586" s="1" t="s">
        <v>2019</v>
      </c>
      <c r="F7586" s="1" t="s">
        <v>756</v>
      </c>
      <c r="G7586" s="12">
        <v>12374</v>
      </c>
      <c r="H7586" t="str">
        <f>IFERROR(VLOOKUP(F7586,'LEAID Match'!$A$2:$B$142,2,FALSE),"")</f>
        <v/>
      </c>
    </row>
    <row r="7587" spans="1:8" x14ac:dyDescent="0.2">
      <c r="A7587" t="str">
        <f t="shared" si="118"/>
        <v/>
      </c>
      <c r="B7587" s="1">
        <v>2017</v>
      </c>
      <c r="C7587" s="1" t="s">
        <v>2505</v>
      </c>
      <c r="D7587" s="1" t="s">
        <v>2506</v>
      </c>
      <c r="E7587" s="1" t="s">
        <v>2019</v>
      </c>
      <c r="F7587" s="1" t="s">
        <v>756</v>
      </c>
      <c r="G7587" s="49">
        <v>12861</v>
      </c>
      <c r="H7587" t="str">
        <f>IFERROR(VLOOKUP(F7587,'LEAID Match'!$A$2:$B$142,2,FALSE),"")</f>
        <v/>
      </c>
    </row>
    <row r="7588" spans="1:8" x14ac:dyDescent="0.2">
      <c r="A7588" t="str">
        <f t="shared" si="118"/>
        <v/>
      </c>
      <c r="B7588" s="1">
        <v>2018</v>
      </c>
      <c r="C7588" s="1" t="s">
        <v>2505</v>
      </c>
      <c r="D7588" s="1" t="s">
        <v>2506</v>
      </c>
      <c r="E7588" s="1" t="s">
        <v>2019</v>
      </c>
      <c r="F7588" s="1" t="s">
        <v>756</v>
      </c>
      <c r="G7588" s="6">
        <v>13152</v>
      </c>
      <c r="H7588" t="str">
        <f>IFERROR(VLOOKUP(F7588,'LEAID Match'!$A$2:$B$142,2,FALSE),"")</f>
        <v/>
      </c>
    </row>
    <row r="7589" spans="1:8" x14ac:dyDescent="0.2">
      <c r="A7589" t="str">
        <f t="shared" si="118"/>
        <v/>
      </c>
      <c r="B7589" s="1">
        <v>2019</v>
      </c>
      <c r="C7589" s="1" t="s">
        <v>2505</v>
      </c>
      <c r="D7589" s="1" t="s">
        <v>2506</v>
      </c>
      <c r="E7589" s="1" t="s">
        <v>2019</v>
      </c>
      <c r="F7589" s="1" t="s">
        <v>756</v>
      </c>
      <c r="G7589" s="6">
        <v>13445</v>
      </c>
      <c r="H7589" t="str">
        <f>IFERROR(VLOOKUP(F7589,'LEAID Match'!$A$2:$B$142,2,FALSE),"")</f>
        <v/>
      </c>
    </row>
    <row r="7590" spans="1:8" x14ac:dyDescent="0.2">
      <c r="A7590" t="str">
        <f t="shared" si="118"/>
        <v/>
      </c>
      <c r="B7590" s="1">
        <v>2020</v>
      </c>
      <c r="C7590" s="1" t="s">
        <v>2505</v>
      </c>
      <c r="D7590" s="1" t="s">
        <v>2506</v>
      </c>
      <c r="E7590" s="1" t="s">
        <v>2019</v>
      </c>
      <c r="F7590" s="1" t="s">
        <v>756</v>
      </c>
      <c r="G7590" s="6">
        <v>15442</v>
      </c>
      <c r="H7590" t="str">
        <f>IFERROR(VLOOKUP(F7590,'LEAID Match'!$A$2:$B$142,2,FALSE),"")</f>
        <v/>
      </c>
    </row>
    <row r="7591" spans="1:8" x14ac:dyDescent="0.2">
      <c r="A7591" t="str">
        <f t="shared" si="118"/>
        <v/>
      </c>
      <c r="B7591" s="1">
        <v>2021</v>
      </c>
      <c r="C7591" s="1" t="s">
        <v>2505</v>
      </c>
      <c r="D7591" s="1" t="s">
        <v>2506</v>
      </c>
      <c r="E7591" s="1" t="s">
        <v>2019</v>
      </c>
      <c r="F7591" s="1" t="s">
        <v>756</v>
      </c>
      <c r="G7591" s="6">
        <v>14650</v>
      </c>
      <c r="H7591" t="str">
        <f>IFERROR(VLOOKUP(F7591,'LEAID Match'!$A$2:$B$142,2,FALSE),"")</f>
        <v/>
      </c>
    </row>
    <row r="7592" spans="1:8" x14ac:dyDescent="0.2">
      <c r="A7592" t="str">
        <f t="shared" si="118"/>
        <v/>
      </c>
      <c r="B7592" s="1">
        <v>2022</v>
      </c>
      <c r="C7592" s="1" t="s">
        <v>2505</v>
      </c>
      <c r="D7592" s="1" t="s">
        <v>2506</v>
      </c>
      <c r="E7592" s="1" t="s">
        <v>2019</v>
      </c>
      <c r="F7592" s="1" t="s">
        <v>756</v>
      </c>
      <c r="G7592" s="6">
        <v>13489</v>
      </c>
      <c r="H7592" t="str">
        <f>IFERROR(VLOOKUP(F7592,'LEAID Match'!$A$2:$B$142,2,FALSE),"")</f>
        <v/>
      </c>
    </row>
    <row r="7593" spans="1:8" x14ac:dyDescent="0.2">
      <c r="A7593" t="str">
        <f t="shared" si="118"/>
        <v/>
      </c>
      <c r="B7593" s="1">
        <v>2023</v>
      </c>
      <c r="C7593" s="1" t="s">
        <v>2505</v>
      </c>
      <c r="D7593" s="1" t="s">
        <v>2506</v>
      </c>
      <c r="E7593" s="1" t="s">
        <v>2019</v>
      </c>
      <c r="F7593" s="1" t="s">
        <v>756</v>
      </c>
      <c r="G7593" s="6">
        <v>18273</v>
      </c>
      <c r="H7593" t="str">
        <f>IFERROR(VLOOKUP(F7593,'LEAID Match'!$A$2:$B$142,2,FALSE),"")</f>
        <v/>
      </c>
    </row>
    <row r="7594" spans="1:8" x14ac:dyDescent="0.2">
      <c r="A7594" t="str">
        <f t="shared" si="118"/>
        <v/>
      </c>
      <c r="B7594" s="1">
        <v>2024</v>
      </c>
      <c r="C7594" s="1" t="s">
        <v>2505</v>
      </c>
      <c r="D7594" s="1" t="s">
        <v>2506</v>
      </c>
      <c r="E7594" s="1" t="s">
        <v>2019</v>
      </c>
      <c r="F7594" s="1" t="s">
        <v>756</v>
      </c>
      <c r="G7594" s="6">
        <v>17117</v>
      </c>
      <c r="H7594" t="str">
        <f>IFERROR(VLOOKUP(F7594,'LEAID Match'!$A$2:$B$142,2,FALSE),"")</f>
        <v/>
      </c>
    </row>
    <row r="7595" spans="1:8" x14ac:dyDescent="0.2">
      <c r="A7595" t="str">
        <f t="shared" si="118"/>
        <v/>
      </c>
      <c r="B7595" s="1">
        <v>2015</v>
      </c>
      <c r="C7595" s="1" t="s">
        <v>2505</v>
      </c>
      <c r="D7595" s="1" t="s">
        <v>2506</v>
      </c>
      <c r="E7595" s="1" t="s">
        <v>2019</v>
      </c>
      <c r="F7595" s="1" t="s">
        <v>757</v>
      </c>
      <c r="G7595" s="6">
        <v>56484</v>
      </c>
      <c r="H7595" t="str">
        <f>IFERROR(VLOOKUP(F7595,'LEAID Match'!$A$2:$B$142,2,FALSE),"")</f>
        <v/>
      </c>
    </row>
    <row r="7596" spans="1:8" x14ac:dyDescent="0.2">
      <c r="A7596" t="str">
        <f t="shared" si="118"/>
        <v/>
      </c>
      <c r="B7596">
        <v>2016</v>
      </c>
      <c r="C7596" s="1" t="s">
        <v>2505</v>
      </c>
      <c r="D7596" s="1" t="s">
        <v>2506</v>
      </c>
      <c r="E7596" s="1" t="s">
        <v>2019</v>
      </c>
      <c r="F7596" s="1" t="s">
        <v>757</v>
      </c>
      <c r="G7596" s="12">
        <v>56826</v>
      </c>
      <c r="H7596" t="str">
        <f>IFERROR(VLOOKUP(F7596,'LEAID Match'!$A$2:$B$142,2,FALSE),"")</f>
        <v/>
      </c>
    </row>
    <row r="7597" spans="1:8" x14ac:dyDescent="0.2">
      <c r="A7597" t="str">
        <f t="shared" si="118"/>
        <v/>
      </c>
      <c r="B7597" s="1">
        <v>2017</v>
      </c>
      <c r="C7597" s="1" t="s">
        <v>2505</v>
      </c>
      <c r="D7597" s="1" t="s">
        <v>2506</v>
      </c>
      <c r="E7597" s="1" t="s">
        <v>2019</v>
      </c>
      <c r="F7597" s="1" t="s">
        <v>757</v>
      </c>
      <c r="G7597" s="47">
        <v>54140</v>
      </c>
      <c r="H7597" t="str">
        <f>IFERROR(VLOOKUP(F7597,'LEAID Match'!$A$2:$B$142,2,FALSE),"")</f>
        <v/>
      </c>
    </row>
    <row r="7598" spans="1:8" x14ac:dyDescent="0.2">
      <c r="A7598" t="str">
        <f t="shared" si="118"/>
        <v/>
      </c>
      <c r="B7598" s="1">
        <v>2018</v>
      </c>
      <c r="C7598" s="1" t="s">
        <v>2505</v>
      </c>
      <c r="D7598" s="1" t="s">
        <v>2506</v>
      </c>
      <c r="E7598" s="1" t="s">
        <v>2019</v>
      </c>
      <c r="F7598" s="1" t="s">
        <v>757</v>
      </c>
      <c r="G7598" s="6">
        <v>52546</v>
      </c>
      <c r="H7598" t="str">
        <f>IFERROR(VLOOKUP(F7598,'LEAID Match'!$A$2:$B$142,2,FALSE),"")</f>
        <v/>
      </c>
    </row>
    <row r="7599" spans="1:8" x14ac:dyDescent="0.2">
      <c r="A7599" t="str">
        <f t="shared" si="118"/>
        <v/>
      </c>
      <c r="B7599" s="1">
        <v>2019</v>
      </c>
      <c r="C7599" s="1" t="s">
        <v>2505</v>
      </c>
      <c r="D7599" s="1" t="s">
        <v>2506</v>
      </c>
      <c r="E7599" s="1" t="s">
        <v>2019</v>
      </c>
      <c r="F7599" s="1" t="s">
        <v>757</v>
      </c>
      <c r="G7599" s="6">
        <v>46852</v>
      </c>
      <c r="H7599" t="str">
        <f>IFERROR(VLOOKUP(F7599,'LEAID Match'!$A$2:$B$142,2,FALSE),"")</f>
        <v/>
      </c>
    </row>
    <row r="7600" spans="1:8" x14ac:dyDescent="0.2">
      <c r="A7600" t="str">
        <f t="shared" si="118"/>
        <v/>
      </c>
      <c r="B7600" s="1">
        <v>2020</v>
      </c>
      <c r="C7600" s="1" t="s">
        <v>2505</v>
      </c>
      <c r="D7600" s="1" t="s">
        <v>2506</v>
      </c>
      <c r="E7600" s="1" t="s">
        <v>2019</v>
      </c>
      <c r="F7600" s="1" t="s">
        <v>757</v>
      </c>
      <c r="G7600" s="6">
        <v>55108</v>
      </c>
      <c r="H7600" t="str">
        <f>IFERROR(VLOOKUP(F7600,'LEAID Match'!$A$2:$B$142,2,FALSE),"")</f>
        <v/>
      </c>
    </row>
    <row r="7601" spans="1:8" x14ac:dyDescent="0.2">
      <c r="A7601" t="str">
        <f t="shared" si="118"/>
        <v/>
      </c>
      <c r="B7601" s="1">
        <v>2021</v>
      </c>
      <c r="C7601" s="1" t="s">
        <v>2505</v>
      </c>
      <c r="D7601" s="1" t="s">
        <v>2506</v>
      </c>
      <c r="E7601" s="1" t="s">
        <v>2019</v>
      </c>
      <c r="F7601" s="1" t="s">
        <v>757</v>
      </c>
      <c r="G7601" s="6">
        <v>54213</v>
      </c>
      <c r="H7601" t="str">
        <f>IFERROR(VLOOKUP(F7601,'LEAID Match'!$A$2:$B$142,2,FALSE),"")</f>
        <v/>
      </c>
    </row>
    <row r="7602" spans="1:8" x14ac:dyDescent="0.2">
      <c r="A7602" t="str">
        <f t="shared" si="118"/>
        <v/>
      </c>
      <c r="B7602" s="1">
        <v>2022</v>
      </c>
      <c r="C7602" s="1" t="s">
        <v>2505</v>
      </c>
      <c r="D7602" s="1" t="s">
        <v>2506</v>
      </c>
      <c r="E7602" s="1" t="s">
        <v>2019</v>
      </c>
      <c r="F7602" s="1" t="s">
        <v>757</v>
      </c>
      <c r="G7602" s="6">
        <v>53295</v>
      </c>
      <c r="H7602" t="str">
        <f>IFERROR(VLOOKUP(F7602,'LEAID Match'!$A$2:$B$142,2,FALSE),"")</f>
        <v/>
      </c>
    </row>
    <row r="7603" spans="1:8" x14ac:dyDescent="0.2">
      <c r="A7603" t="str">
        <f t="shared" si="118"/>
        <v/>
      </c>
      <c r="B7603" s="1">
        <v>2023</v>
      </c>
      <c r="C7603" s="1" t="s">
        <v>2505</v>
      </c>
      <c r="D7603" s="1" t="s">
        <v>2506</v>
      </c>
      <c r="E7603" s="1" t="s">
        <v>2019</v>
      </c>
      <c r="F7603" s="1" t="s">
        <v>757</v>
      </c>
      <c r="G7603" s="6">
        <v>53199</v>
      </c>
      <c r="H7603" t="str">
        <f>IFERROR(VLOOKUP(F7603,'LEAID Match'!$A$2:$B$142,2,FALSE),"")</f>
        <v/>
      </c>
    </row>
    <row r="7604" spans="1:8" x14ac:dyDescent="0.2">
      <c r="A7604" t="str">
        <f t="shared" si="118"/>
        <v/>
      </c>
      <c r="B7604" s="1">
        <v>2024</v>
      </c>
      <c r="C7604" s="1" t="s">
        <v>2505</v>
      </c>
      <c r="D7604" s="1" t="s">
        <v>2506</v>
      </c>
      <c r="E7604" s="1" t="s">
        <v>2019</v>
      </c>
      <c r="F7604" s="1" t="s">
        <v>757</v>
      </c>
      <c r="G7604" s="6">
        <v>49981</v>
      </c>
      <c r="H7604" t="str">
        <f>IFERROR(VLOOKUP(F7604,'LEAID Match'!$A$2:$B$142,2,FALSE),"")</f>
        <v/>
      </c>
    </row>
    <row r="7605" spans="1:8" x14ac:dyDescent="0.2">
      <c r="A7605" t="str">
        <f t="shared" si="118"/>
        <v/>
      </c>
      <c r="B7605" s="1">
        <v>2015</v>
      </c>
      <c r="C7605" s="1" t="s">
        <v>2505</v>
      </c>
      <c r="D7605" s="1" t="s">
        <v>2506</v>
      </c>
      <c r="E7605" s="1" t="s">
        <v>2019</v>
      </c>
      <c r="F7605" s="1" t="s">
        <v>758</v>
      </c>
      <c r="G7605" s="6">
        <v>803</v>
      </c>
      <c r="H7605" t="str">
        <f>IFERROR(VLOOKUP(F7605,'LEAID Match'!$A$2:$B$142,2,FALSE),"")</f>
        <v/>
      </c>
    </row>
    <row r="7606" spans="1:8" x14ac:dyDescent="0.2">
      <c r="A7606" t="str">
        <f t="shared" si="118"/>
        <v/>
      </c>
      <c r="B7606">
        <v>2016</v>
      </c>
      <c r="C7606" s="1" t="s">
        <v>2505</v>
      </c>
      <c r="D7606" s="1" t="s">
        <v>2506</v>
      </c>
      <c r="E7606" s="1" t="s">
        <v>2019</v>
      </c>
      <c r="F7606" s="1" t="s">
        <v>758</v>
      </c>
      <c r="G7606" s="12">
        <v>740</v>
      </c>
      <c r="H7606" t="str">
        <f>IFERROR(VLOOKUP(F7606,'LEAID Match'!$A$2:$B$142,2,FALSE),"")</f>
        <v/>
      </c>
    </row>
    <row r="7607" spans="1:8" x14ac:dyDescent="0.2">
      <c r="A7607" t="str">
        <f t="shared" si="118"/>
        <v/>
      </c>
      <c r="B7607" s="1">
        <v>2017</v>
      </c>
      <c r="C7607" s="1" t="s">
        <v>2505</v>
      </c>
      <c r="D7607" s="1" t="s">
        <v>2506</v>
      </c>
      <c r="E7607" s="1" t="s">
        <v>2019</v>
      </c>
      <c r="F7607" s="1" t="s">
        <v>758</v>
      </c>
      <c r="G7607" s="47">
        <v>614</v>
      </c>
      <c r="H7607" t="str">
        <f>IFERROR(VLOOKUP(F7607,'LEAID Match'!$A$2:$B$142,2,FALSE),"")</f>
        <v/>
      </c>
    </row>
    <row r="7608" spans="1:8" x14ac:dyDescent="0.2">
      <c r="A7608" t="str">
        <f t="shared" si="118"/>
        <v/>
      </c>
      <c r="B7608" s="1">
        <v>2018</v>
      </c>
      <c r="C7608" s="1" t="s">
        <v>2505</v>
      </c>
      <c r="D7608" s="1" t="s">
        <v>2506</v>
      </c>
      <c r="E7608" s="1" t="s">
        <v>2019</v>
      </c>
      <c r="F7608" s="1" t="s">
        <v>758</v>
      </c>
      <c r="G7608" s="6">
        <v>386</v>
      </c>
      <c r="H7608" t="str">
        <f>IFERROR(VLOOKUP(F7608,'LEAID Match'!$A$2:$B$142,2,FALSE),"")</f>
        <v/>
      </c>
    </row>
    <row r="7609" spans="1:8" x14ac:dyDescent="0.2">
      <c r="A7609" t="str">
        <f t="shared" si="118"/>
        <v/>
      </c>
      <c r="B7609" s="1">
        <v>2019</v>
      </c>
      <c r="C7609" s="1" t="s">
        <v>2505</v>
      </c>
      <c r="D7609" s="1" t="s">
        <v>2506</v>
      </c>
      <c r="E7609" s="1" t="s">
        <v>2019</v>
      </c>
      <c r="F7609" s="1" t="s">
        <v>758</v>
      </c>
      <c r="G7609" s="6">
        <v>756</v>
      </c>
      <c r="H7609" t="str">
        <f>IFERROR(VLOOKUP(F7609,'LEAID Match'!$A$2:$B$142,2,FALSE),"")</f>
        <v/>
      </c>
    </row>
    <row r="7610" spans="1:8" x14ac:dyDescent="0.2">
      <c r="A7610" t="str">
        <f t="shared" si="118"/>
        <v/>
      </c>
      <c r="B7610" s="1">
        <v>2020</v>
      </c>
      <c r="C7610" s="1" t="s">
        <v>2505</v>
      </c>
      <c r="D7610" s="1" t="s">
        <v>2506</v>
      </c>
      <c r="E7610" s="1" t="s">
        <v>2019</v>
      </c>
      <c r="F7610" s="1" t="s">
        <v>758</v>
      </c>
      <c r="G7610" s="6">
        <v>1079</v>
      </c>
      <c r="H7610" t="str">
        <f>IFERROR(VLOOKUP(F7610,'LEAID Match'!$A$2:$B$142,2,FALSE),"")</f>
        <v/>
      </c>
    </row>
    <row r="7611" spans="1:8" x14ac:dyDescent="0.2">
      <c r="A7611" t="str">
        <f t="shared" si="118"/>
        <v/>
      </c>
      <c r="B7611" s="1">
        <v>2021</v>
      </c>
      <c r="C7611" s="1" t="s">
        <v>2505</v>
      </c>
      <c r="D7611" s="1" t="s">
        <v>2506</v>
      </c>
      <c r="E7611" s="1" t="s">
        <v>2019</v>
      </c>
      <c r="F7611" s="1" t="s">
        <v>758</v>
      </c>
      <c r="G7611" s="6">
        <v>1349</v>
      </c>
      <c r="H7611" t="str">
        <f>IFERROR(VLOOKUP(F7611,'LEAID Match'!$A$2:$B$142,2,FALSE),"")</f>
        <v/>
      </c>
    </row>
    <row r="7612" spans="1:8" x14ac:dyDescent="0.2">
      <c r="A7612" t="str">
        <f t="shared" si="118"/>
        <v/>
      </c>
      <c r="B7612" s="1">
        <v>2022</v>
      </c>
      <c r="C7612" s="1" t="s">
        <v>2505</v>
      </c>
      <c r="D7612" s="1" t="s">
        <v>2506</v>
      </c>
      <c r="E7612" s="1" t="s">
        <v>2019</v>
      </c>
      <c r="F7612" s="1" t="s">
        <v>758</v>
      </c>
      <c r="G7612" s="6">
        <v>3028</v>
      </c>
      <c r="H7612" t="str">
        <f>IFERROR(VLOOKUP(F7612,'LEAID Match'!$A$2:$B$142,2,FALSE),"")</f>
        <v/>
      </c>
    </row>
    <row r="7613" spans="1:8" x14ac:dyDescent="0.2">
      <c r="A7613" t="str">
        <f t="shared" si="118"/>
        <v/>
      </c>
      <c r="B7613" s="1">
        <v>2023</v>
      </c>
      <c r="C7613" s="1" t="s">
        <v>2505</v>
      </c>
      <c r="D7613" s="1" t="s">
        <v>2506</v>
      </c>
      <c r="E7613" s="1" t="s">
        <v>2019</v>
      </c>
      <c r="F7613" s="1" t="s">
        <v>758</v>
      </c>
      <c r="G7613" s="6">
        <v>3263</v>
      </c>
      <c r="H7613" t="str">
        <f>IFERROR(VLOOKUP(F7613,'LEAID Match'!$A$2:$B$142,2,FALSE),"")</f>
        <v/>
      </c>
    </row>
    <row r="7614" spans="1:8" x14ac:dyDescent="0.2">
      <c r="A7614" t="str">
        <f t="shared" si="118"/>
        <v/>
      </c>
      <c r="B7614" s="1">
        <v>2024</v>
      </c>
      <c r="C7614" s="1" t="s">
        <v>2505</v>
      </c>
      <c r="D7614" s="1" t="s">
        <v>2506</v>
      </c>
      <c r="E7614" s="1" t="s">
        <v>2019</v>
      </c>
      <c r="F7614" s="1" t="s">
        <v>758</v>
      </c>
      <c r="G7614" s="6">
        <v>6377</v>
      </c>
      <c r="H7614" t="str">
        <f>IFERROR(VLOOKUP(F7614,'LEAID Match'!$A$2:$B$142,2,FALSE),"")</f>
        <v/>
      </c>
    </row>
    <row r="7615" spans="1:8" x14ac:dyDescent="0.2">
      <c r="A7615" t="str">
        <f t="shared" si="118"/>
        <v/>
      </c>
      <c r="B7615">
        <v>2016</v>
      </c>
      <c r="C7615" s="1" t="s">
        <v>2505</v>
      </c>
      <c r="D7615" s="1" t="s">
        <v>2506</v>
      </c>
      <c r="E7615" s="1" t="s">
        <v>2019</v>
      </c>
      <c r="F7615" t="s">
        <v>2047</v>
      </c>
      <c r="G7615" s="12">
        <v>23319</v>
      </c>
      <c r="H7615" t="str">
        <f>IFERROR(VLOOKUP(F7615,'LEAID Match'!$A$2:$B$142,2,FALSE),"")</f>
        <v/>
      </c>
    </row>
    <row r="7616" spans="1:8" x14ac:dyDescent="0.2">
      <c r="A7616" t="str">
        <f t="shared" si="118"/>
        <v/>
      </c>
      <c r="B7616" s="1">
        <v>2017</v>
      </c>
      <c r="C7616" s="1" t="s">
        <v>2505</v>
      </c>
      <c r="D7616" s="1" t="s">
        <v>2506</v>
      </c>
      <c r="E7616" s="1" t="s">
        <v>2019</v>
      </c>
      <c r="F7616" s="14" t="s">
        <v>2047</v>
      </c>
      <c r="G7616" s="49">
        <v>23953</v>
      </c>
      <c r="H7616" t="str">
        <f>IFERROR(VLOOKUP(F7616,'LEAID Match'!$A$2:$B$142,2,FALSE),"")</f>
        <v/>
      </c>
    </row>
    <row r="7617" spans="1:8" x14ac:dyDescent="0.2">
      <c r="A7617" t="str">
        <f t="shared" si="118"/>
        <v/>
      </c>
      <c r="B7617" s="1">
        <v>2015</v>
      </c>
      <c r="C7617" s="1" t="s">
        <v>2505</v>
      </c>
      <c r="D7617" s="1" t="s">
        <v>2506</v>
      </c>
      <c r="E7617" s="1" t="s">
        <v>2019</v>
      </c>
      <c r="F7617" s="1" t="s">
        <v>759</v>
      </c>
      <c r="G7617" s="6">
        <v>307832</v>
      </c>
      <c r="H7617" t="str">
        <f>IFERROR(VLOOKUP(F7617,'LEAID Match'!$A$2:$B$142,2,FALSE),"")</f>
        <v/>
      </c>
    </row>
    <row r="7618" spans="1:8" x14ac:dyDescent="0.2">
      <c r="A7618" t="str">
        <f t="shared" si="118"/>
        <v/>
      </c>
      <c r="B7618">
        <v>2016</v>
      </c>
      <c r="C7618" s="1" t="s">
        <v>2505</v>
      </c>
      <c r="D7618" s="1" t="s">
        <v>2506</v>
      </c>
      <c r="E7618" s="1" t="s">
        <v>2019</v>
      </c>
      <c r="F7618" s="1" t="s">
        <v>759</v>
      </c>
      <c r="G7618" s="12">
        <v>320915</v>
      </c>
      <c r="H7618" t="str">
        <f>IFERROR(VLOOKUP(F7618,'LEAID Match'!$A$2:$B$142,2,FALSE),"")</f>
        <v/>
      </c>
    </row>
    <row r="7619" spans="1:8" x14ac:dyDescent="0.2">
      <c r="A7619" t="str">
        <f t="shared" ref="A7619:A7682" si="119">H7619</f>
        <v/>
      </c>
      <c r="B7619" s="1">
        <v>2017</v>
      </c>
      <c r="C7619" s="1" t="s">
        <v>2505</v>
      </c>
      <c r="D7619" s="1" t="s">
        <v>2506</v>
      </c>
      <c r="E7619" s="1" t="s">
        <v>2019</v>
      </c>
      <c r="F7619" s="1" t="s">
        <v>759</v>
      </c>
      <c r="G7619" s="47">
        <v>290243</v>
      </c>
      <c r="H7619" t="str">
        <f>IFERROR(VLOOKUP(F7619,'LEAID Match'!$A$2:$B$142,2,FALSE),"")</f>
        <v/>
      </c>
    </row>
    <row r="7620" spans="1:8" x14ac:dyDescent="0.2">
      <c r="A7620" t="str">
        <f t="shared" si="119"/>
        <v/>
      </c>
      <c r="B7620" s="1">
        <v>2018</v>
      </c>
      <c r="C7620" s="1" t="s">
        <v>2505</v>
      </c>
      <c r="D7620" s="1" t="s">
        <v>2506</v>
      </c>
      <c r="E7620" s="1" t="s">
        <v>2019</v>
      </c>
      <c r="F7620" s="1" t="s">
        <v>759</v>
      </c>
      <c r="G7620" s="6">
        <v>294098</v>
      </c>
      <c r="H7620" t="str">
        <f>IFERROR(VLOOKUP(F7620,'LEAID Match'!$A$2:$B$142,2,FALSE),"")</f>
        <v/>
      </c>
    </row>
    <row r="7621" spans="1:8" x14ac:dyDescent="0.2">
      <c r="A7621" t="str">
        <f t="shared" si="119"/>
        <v/>
      </c>
      <c r="B7621" s="1">
        <v>2019</v>
      </c>
      <c r="C7621" s="1" t="s">
        <v>2505</v>
      </c>
      <c r="D7621" s="1" t="s">
        <v>2506</v>
      </c>
      <c r="E7621" s="1" t="s">
        <v>2019</v>
      </c>
      <c r="F7621" s="1" t="s">
        <v>759</v>
      </c>
      <c r="G7621" s="6">
        <v>312047</v>
      </c>
      <c r="H7621" t="str">
        <f>IFERROR(VLOOKUP(F7621,'LEAID Match'!$A$2:$B$142,2,FALSE),"")</f>
        <v/>
      </c>
    </row>
    <row r="7622" spans="1:8" x14ac:dyDescent="0.2">
      <c r="A7622" t="str">
        <f t="shared" si="119"/>
        <v/>
      </c>
      <c r="B7622" s="1">
        <v>2020</v>
      </c>
      <c r="C7622" s="1" t="s">
        <v>2505</v>
      </c>
      <c r="D7622" s="1" t="s">
        <v>2506</v>
      </c>
      <c r="E7622" s="1" t="s">
        <v>2019</v>
      </c>
      <c r="F7622" s="1" t="s">
        <v>759</v>
      </c>
      <c r="G7622" s="6">
        <v>326902</v>
      </c>
      <c r="H7622" t="str">
        <f>IFERROR(VLOOKUP(F7622,'LEAID Match'!$A$2:$B$142,2,FALSE),"")</f>
        <v/>
      </c>
    </row>
    <row r="7623" spans="1:8" x14ac:dyDescent="0.2">
      <c r="A7623" t="str">
        <f t="shared" si="119"/>
        <v/>
      </c>
      <c r="B7623" s="1">
        <v>2021</v>
      </c>
      <c r="C7623" s="1" t="s">
        <v>2505</v>
      </c>
      <c r="D7623" s="1" t="s">
        <v>2506</v>
      </c>
      <c r="E7623" s="1" t="s">
        <v>2019</v>
      </c>
      <c r="F7623" s="1" t="s">
        <v>759</v>
      </c>
      <c r="G7623" s="6">
        <v>319139</v>
      </c>
      <c r="H7623" t="str">
        <f>IFERROR(VLOOKUP(F7623,'LEAID Match'!$A$2:$B$142,2,FALSE),"")</f>
        <v/>
      </c>
    </row>
    <row r="7624" spans="1:8" x14ac:dyDescent="0.2">
      <c r="A7624" t="str">
        <f t="shared" si="119"/>
        <v/>
      </c>
      <c r="B7624" s="1">
        <v>2022</v>
      </c>
      <c r="C7624" s="1" t="s">
        <v>2505</v>
      </c>
      <c r="D7624" s="1" t="s">
        <v>2506</v>
      </c>
      <c r="E7624" s="1" t="s">
        <v>2019</v>
      </c>
      <c r="F7624" s="1" t="s">
        <v>759</v>
      </c>
      <c r="G7624" s="6">
        <v>342820</v>
      </c>
      <c r="H7624" t="str">
        <f>IFERROR(VLOOKUP(F7624,'LEAID Match'!$A$2:$B$142,2,FALSE),"")</f>
        <v/>
      </c>
    </row>
    <row r="7625" spans="1:8" x14ac:dyDescent="0.2">
      <c r="A7625" t="str">
        <f t="shared" si="119"/>
        <v/>
      </c>
      <c r="B7625" s="1">
        <v>2023</v>
      </c>
      <c r="C7625" s="1" t="s">
        <v>2505</v>
      </c>
      <c r="D7625" s="1" t="s">
        <v>2506</v>
      </c>
      <c r="E7625" s="1" t="s">
        <v>2019</v>
      </c>
      <c r="F7625" s="1" t="s">
        <v>759</v>
      </c>
      <c r="G7625" s="6">
        <v>385623</v>
      </c>
      <c r="H7625" t="str">
        <f>IFERROR(VLOOKUP(F7625,'LEAID Match'!$A$2:$B$142,2,FALSE),"")</f>
        <v/>
      </c>
    </row>
    <row r="7626" spans="1:8" x14ac:dyDescent="0.2">
      <c r="A7626" t="str">
        <f t="shared" si="119"/>
        <v/>
      </c>
      <c r="B7626" s="1">
        <v>2024</v>
      </c>
      <c r="C7626" s="1" t="s">
        <v>2505</v>
      </c>
      <c r="D7626" s="1" t="s">
        <v>2506</v>
      </c>
      <c r="E7626" s="1" t="s">
        <v>2019</v>
      </c>
      <c r="F7626" s="1" t="s">
        <v>759</v>
      </c>
      <c r="G7626" s="6">
        <v>414385</v>
      </c>
      <c r="H7626" t="str">
        <f>IFERROR(VLOOKUP(F7626,'LEAID Match'!$A$2:$B$142,2,FALSE),"")</f>
        <v/>
      </c>
    </row>
    <row r="7627" spans="1:8" x14ac:dyDescent="0.2">
      <c r="A7627" t="str">
        <f t="shared" si="119"/>
        <v/>
      </c>
      <c r="B7627" s="1">
        <v>2015</v>
      </c>
      <c r="C7627" s="1" t="s">
        <v>2505</v>
      </c>
      <c r="D7627" s="1" t="s">
        <v>2506</v>
      </c>
      <c r="E7627" s="1" t="s">
        <v>2019</v>
      </c>
      <c r="F7627" s="1" t="s">
        <v>760</v>
      </c>
      <c r="G7627" s="6">
        <v>15103</v>
      </c>
      <c r="H7627" t="str">
        <f>IFERROR(VLOOKUP(F7627,'LEAID Match'!$A$2:$B$142,2,FALSE),"")</f>
        <v/>
      </c>
    </row>
    <row r="7628" spans="1:8" x14ac:dyDescent="0.2">
      <c r="A7628" t="str">
        <f t="shared" si="119"/>
        <v/>
      </c>
      <c r="B7628">
        <v>2016</v>
      </c>
      <c r="C7628" s="1" t="s">
        <v>2505</v>
      </c>
      <c r="D7628" s="1" t="s">
        <v>2506</v>
      </c>
      <c r="E7628" s="1" t="s">
        <v>2019</v>
      </c>
      <c r="F7628" s="1" t="s">
        <v>760</v>
      </c>
      <c r="G7628" s="12">
        <v>16384</v>
      </c>
      <c r="H7628" t="str">
        <f>IFERROR(VLOOKUP(F7628,'LEAID Match'!$A$2:$B$142,2,FALSE),"")</f>
        <v/>
      </c>
    </row>
    <row r="7629" spans="1:8" x14ac:dyDescent="0.2">
      <c r="A7629" t="str">
        <f t="shared" si="119"/>
        <v/>
      </c>
      <c r="B7629" s="1">
        <v>2017</v>
      </c>
      <c r="C7629" s="1" t="s">
        <v>2505</v>
      </c>
      <c r="D7629" s="1" t="s">
        <v>2506</v>
      </c>
      <c r="E7629" s="1" t="s">
        <v>2019</v>
      </c>
      <c r="F7629" s="1" t="s">
        <v>760</v>
      </c>
      <c r="G7629" s="47">
        <v>13155</v>
      </c>
      <c r="H7629" t="str">
        <f>IFERROR(VLOOKUP(F7629,'LEAID Match'!$A$2:$B$142,2,FALSE),"")</f>
        <v/>
      </c>
    </row>
    <row r="7630" spans="1:8" x14ac:dyDescent="0.2">
      <c r="A7630" t="str">
        <f t="shared" si="119"/>
        <v/>
      </c>
      <c r="B7630" s="1">
        <v>2018</v>
      </c>
      <c r="C7630" s="1" t="s">
        <v>2505</v>
      </c>
      <c r="D7630" s="1" t="s">
        <v>2506</v>
      </c>
      <c r="E7630" s="1" t="s">
        <v>2019</v>
      </c>
      <c r="F7630" s="1" t="s">
        <v>760</v>
      </c>
      <c r="G7630" s="6">
        <v>11145</v>
      </c>
      <c r="H7630" t="str">
        <f>IFERROR(VLOOKUP(F7630,'LEAID Match'!$A$2:$B$142,2,FALSE),"")</f>
        <v/>
      </c>
    </row>
    <row r="7631" spans="1:8" x14ac:dyDescent="0.2">
      <c r="A7631" t="str">
        <f t="shared" si="119"/>
        <v/>
      </c>
      <c r="B7631" s="1">
        <v>2019</v>
      </c>
      <c r="C7631" s="1" t="s">
        <v>2505</v>
      </c>
      <c r="D7631" s="1" t="s">
        <v>2506</v>
      </c>
      <c r="E7631" s="1" t="s">
        <v>2019</v>
      </c>
      <c r="F7631" s="1" t="s">
        <v>760</v>
      </c>
      <c r="G7631" s="6">
        <v>11337</v>
      </c>
      <c r="H7631" t="str">
        <f>IFERROR(VLOOKUP(F7631,'LEAID Match'!$A$2:$B$142,2,FALSE),"")</f>
        <v/>
      </c>
    </row>
    <row r="7632" spans="1:8" x14ac:dyDescent="0.2">
      <c r="A7632" t="str">
        <f t="shared" si="119"/>
        <v/>
      </c>
      <c r="B7632" s="1">
        <v>2020</v>
      </c>
      <c r="C7632" s="1" t="s">
        <v>2505</v>
      </c>
      <c r="D7632" s="1" t="s">
        <v>2506</v>
      </c>
      <c r="E7632" s="1" t="s">
        <v>2019</v>
      </c>
      <c r="F7632" s="1" t="s">
        <v>760</v>
      </c>
      <c r="G7632" s="6">
        <v>13371</v>
      </c>
      <c r="H7632" t="str">
        <f>IFERROR(VLOOKUP(F7632,'LEAID Match'!$A$2:$B$142,2,FALSE),"")</f>
        <v/>
      </c>
    </row>
    <row r="7633" spans="1:8" x14ac:dyDescent="0.2">
      <c r="A7633" t="str">
        <f t="shared" si="119"/>
        <v/>
      </c>
      <c r="B7633" s="1">
        <v>2021</v>
      </c>
      <c r="C7633" s="1" t="s">
        <v>2505</v>
      </c>
      <c r="D7633" s="1" t="s">
        <v>2506</v>
      </c>
      <c r="E7633" s="1" t="s">
        <v>2019</v>
      </c>
      <c r="F7633" s="1" t="s">
        <v>760</v>
      </c>
      <c r="G7633" s="6">
        <v>16276</v>
      </c>
      <c r="H7633" t="str">
        <f>IFERROR(VLOOKUP(F7633,'LEAID Match'!$A$2:$B$142,2,FALSE),"")</f>
        <v/>
      </c>
    </row>
    <row r="7634" spans="1:8" x14ac:dyDescent="0.2">
      <c r="A7634" t="str">
        <f t="shared" si="119"/>
        <v/>
      </c>
      <c r="B7634" s="1">
        <v>2022</v>
      </c>
      <c r="C7634" s="1" t="s">
        <v>2505</v>
      </c>
      <c r="D7634" s="1" t="s">
        <v>2506</v>
      </c>
      <c r="E7634" s="1" t="s">
        <v>2019</v>
      </c>
      <c r="F7634" s="1" t="s">
        <v>760</v>
      </c>
      <c r="G7634" s="6">
        <v>22066</v>
      </c>
      <c r="H7634" t="str">
        <f>IFERROR(VLOOKUP(F7634,'LEAID Match'!$A$2:$B$142,2,FALSE),"")</f>
        <v/>
      </c>
    </row>
    <row r="7635" spans="1:8" x14ac:dyDescent="0.2">
      <c r="A7635" t="str">
        <f t="shared" si="119"/>
        <v/>
      </c>
      <c r="B7635" s="1">
        <v>2023</v>
      </c>
      <c r="C7635" s="1" t="s">
        <v>2505</v>
      </c>
      <c r="D7635" s="1" t="s">
        <v>2506</v>
      </c>
      <c r="E7635" s="1" t="s">
        <v>2019</v>
      </c>
      <c r="F7635" s="1" t="s">
        <v>760</v>
      </c>
      <c r="G7635" s="6">
        <v>25201</v>
      </c>
      <c r="H7635" t="str">
        <f>IFERROR(VLOOKUP(F7635,'LEAID Match'!$A$2:$B$142,2,FALSE),"")</f>
        <v/>
      </c>
    </row>
    <row r="7636" spans="1:8" x14ac:dyDescent="0.2">
      <c r="A7636" t="str">
        <f t="shared" si="119"/>
        <v/>
      </c>
      <c r="B7636" s="1">
        <v>2024</v>
      </c>
      <c r="C7636" s="1" t="s">
        <v>2505</v>
      </c>
      <c r="D7636" s="1" t="s">
        <v>2506</v>
      </c>
      <c r="E7636" s="1" t="s">
        <v>2019</v>
      </c>
      <c r="F7636" s="1" t="s">
        <v>760</v>
      </c>
      <c r="G7636" s="6">
        <v>20747</v>
      </c>
      <c r="H7636" t="str">
        <f>IFERROR(VLOOKUP(F7636,'LEAID Match'!$A$2:$B$142,2,FALSE),"")</f>
        <v/>
      </c>
    </row>
    <row r="7637" spans="1:8" x14ac:dyDescent="0.2">
      <c r="A7637" t="str">
        <f t="shared" si="119"/>
        <v/>
      </c>
      <c r="B7637" s="1">
        <v>2015</v>
      </c>
      <c r="C7637" s="1" t="s">
        <v>2505</v>
      </c>
      <c r="D7637" s="1" t="s">
        <v>2506</v>
      </c>
      <c r="E7637" s="1" t="s">
        <v>2019</v>
      </c>
      <c r="F7637" s="1" t="s">
        <v>761</v>
      </c>
      <c r="G7637" s="6">
        <v>2031759</v>
      </c>
      <c r="H7637" t="str">
        <f>IFERROR(VLOOKUP(F7637,'LEAID Match'!$A$2:$B$142,2,FALSE),"")</f>
        <v/>
      </c>
    </row>
    <row r="7638" spans="1:8" x14ac:dyDescent="0.2">
      <c r="A7638" t="str">
        <f t="shared" si="119"/>
        <v/>
      </c>
      <c r="B7638">
        <v>2016</v>
      </c>
      <c r="C7638" s="1" t="s">
        <v>2505</v>
      </c>
      <c r="D7638" s="1" t="s">
        <v>2506</v>
      </c>
      <c r="E7638" s="1" t="s">
        <v>2019</v>
      </c>
      <c r="F7638" s="1" t="s">
        <v>761</v>
      </c>
      <c r="G7638" s="12">
        <v>2254087</v>
      </c>
      <c r="H7638" t="str">
        <f>IFERROR(VLOOKUP(F7638,'LEAID Match'!$A$2:$B$142,2,FALSE),"")</f>
        <v/>
      </c>
    </row>
    <row r="7639" spans="1:8" x14ac:dyDescent="0.2">
      <c r="A7639" t="str">
        <f t="shared" si="119"/>
        <v/>
      </c>
      <c r="B7639" s="1">
        <v>2017</v>
      </c>
      <c r="C7639" s="1" t="s">
        <v>2505</v>
      </c>
      <c r="D7639" s="1" t="s">
        <v>2506</v>
      </c>
      <c r="E7639" s="1" t="s">
        <v>2019</v>
      </c>
      <c r="F7639" s="1" t="s">
        <v>761</v>
      </c>
      <c r="G7639" s="47">
        <v>2408026</v>
      </c>
      <c r="H7639" t="str">
        <f>IFERROR(VLOOKUP(F7639,'LEAID Match'!$A$2:$B$142,2,FALSE),"")</f>
        <v/>
      </c>
    </row>
    <row r="7640" spans="1:8" x14ac:dyDescent="0.2">
      <c r="A7640" t="str">
        <f t="shared" si="119"/>
        <v/>
      </c>
      <c r="B7640" s="1">
        <v>2018</v>
      </c>
      <c r="C7640" s="1" t="s">
        <v>2505</v>
      </c>
      <c r="D7640" s="1" t="s">
        <v>2506</v>
      </c>
      <c r="E7640" s="1" t="s">
        <v>2019</v>
      </c>
      <c r="F7640" s="1" t="s">
        <v>761</v>
      </c>
      <c r="G7640" s="6">
        <v>2399457</v>
      </c>
      <c r="H7640" t="str">
        <f>IFERROR(VLOOKUP(F7640,'LEAID Match'!$A$2:$B$142,2,FALSE),"")</f>
        <v/>
      </c>
    </row>
    <row r="7641" spans="1:8" x14ac:dyDescent="0.2">
      <c r="A7641" t="str">
        <f t="shared" si="119"/>
        <v/>
      </c>
      <c r="B7641" s="1">
        <v>2019</v>
      </c>
      <c r="C7641" s="1" t="s">
        <v>2505</v>
      </c>
      <c r="D7641" s="1" t="s">
        <v>2506</v>
      </c>
      <c r="E7641" s="1" t="s">
        <v>2019</v>
      </c>
      <c r="F7641" s="1" t="s">
        <v>761</v>
      </c>
      <c r="G7641" s="6">
        <v>2398473</v>
      </c>
      <c r="H7641" t="str">
        <f>IFERROR(VLOOKUP(F7641,'LEAID Match'!$A$2:$B$142,2,FALSE),"")</f>
        <v/>
      </c>
    </row>
    <row r="7642" spans="1:8" x14ac:dyDescent="0.2">
      <c r="A7642" t="str">
        <f t="shared" si="119"/>
        <v/>
      </c>
      <c r="B7642" s="1">
        <v>2020</v>
      </c>
      <c r="C7642" s="1" t="s">
        <v>2505</v>
      </c>
      <c r="D7642" s="1" t="s">
        <v>2506</v>
      </c>
      <c r="E7642" s="1" t="s">
        <v>2019</v>
      </c>
      <c r="F7642" s="1" t="s">
        <v>761</v>
      </c>
      <c r="G7642" s="6">
        <v>2666057</v>
      </c>
      <c r="H7642" t="str">
        <f>IFERROR(VLOOKUP(F7642,'LEAID Match'!$A$2:$B$142,2,FALSE),"")</f>
        <v/>
      </c>
    </row>
    <row r="7643" spans="1:8" x14ac:dyDescent="0.2">
      <c r="A7643" t="str">
        <f t="shared" si="119"/>
        <v/>
      </c>
      <c r="B7643" s="1">
        <v>2021</v>
      </c>
      <c r="C7643" s="1" t="s">
        <v>2505</v>
      </c>
      <c r="D7643" s="1" t="s">
        <v>2506</v>
      </c>
      <c r="E7643" s="1" t="s">
        <v>2019</v>
      </c>
      <c r="F7643" s="1" t="s">
        <v>761</v>
      </c>
      <c r="G7643" s="6">
        <v>2801262</v>
      </c>
      <c r="H7643" t="str">
        <f>IFERROR(VLOOKUP(F7643,'LEAID Match'!$A$2:$B$142,2,FALSE),"")</f>
        <v/>
      </c>
    </row>
    <row r="7644" spans="1:8" x14ac:dyDescent="0.2">
      <c r="A7644" t="str">
        <f t="shared" si="119"/>
        <v/>
      </c>
      <c r="B7644" s="1">
        <v>2022</v>
      </c>
      <c r="C7644" s="1" t="s">
        <v>2505</v>
      </c>
      <c r="D7644" s="1" t="s">
        <v>2506</v>
      </c>
      <c r="E7644" s="1" t="s">
        <v>2019</v>
      </c>
      <c r="F7644" s="1" t="s">
        <v>761</v>
      </c>
      <c r="G7644" s="6">
        <v>2914261</v>
      </c>
      <c r="H7644" t="str">
        <f>IFERROR(VLOOKUP(F7644,'LEAID Match'!$A$2:$B$142,2,FALSE),"")</f>
        <v/>
      </c>
    </row>
    <row r="7645" spans="1:8" x14ac:dyDescent="0.2">
      <c r="A7645" t="str">
        <f t="shared" si="119"/>
        <v/>
      </c>
      <c r="B7645" s="1">
        <v>2023</v>
      </c>
      <c r="C7645" s="1" t="s">
        <v>2505</v>
      </c>
      <c r="D7645" s="1" t="s">
        <v>2506</v>
      </c>
      <c r="E7645" s="1" t="s">
        <v>2019</v>
      </c>
      <c r="F7645" s="1" t="s">
        <v>761</v>
      </c>
      <c r="G7645" s="6">
        <v>3009552</v>
      </c>
      <c r="H7645" t="str">
        <f>IFERROR(VLOOKUP(F7645,'LEAID Match'!$A$2:$B$142,2,FALSE),"")</f>
        <v/>
      </c>
    </row>
    <row r="7646" spans="1:8" x14ac:dyDescent="0.2">
      <c r="A7646" t="str">
        <f t="shared" si="119"/>
        <v/>
      </c>
      <c r="B7646" s="1">
        <v>2024</v>
      </c>
      <c r="C7646" s="1" t="s">
        <v>2505</v>
      </c>
      <c r="D7646" s="1" t="s">
        <v>2506</v>
      </c>
      <c r="E7646" s="1" t="s">
        <v>2019</v>
      </c>
      <c r="F7646" s="1" t="s">
        <v>761</v>
      </c>
      <c r="G7646" s="6">
        <v>3076790</v>
      </c>
      <c r="H7646" t="str">
        <f>IFERROR(VLOOKUP(F7646,'LEAID Match'!$A$2:$B$142,2,FALSE),"")</f>
        <v/>
      </c>
    </row>
    <row r="7647" spans="1:8" x14ac:dyDescent="0.2">
      <c r="A7647" t="str">
        <f t="shared" si="119"/>
        <v/>
      </c>
      <c r="B7647" s="1">
        <v>2015</v>
      </c>
      <c r="C7647" s="1" t="s">
        <v>2505</v>
      </c>
      <c r="D7647" s="1" t="s">
        <v>2506</v>
      </c>
      <c r="E7647" s="1" t="s">
        <v>2019</v>
      </c>
      <c r="F7647" s="1" t="s">
        <v>762</v>
      </c>
      <c r="G7647" s="6">
        <v>85379</v>
      </c>
      <c r="H7647" t="str">
        <f>IFERROR(VLOOKUP(F7647,'LEAID Match'!$A$2:$B$142,2,FALSE),"")</f>
        <v/>
      </c>
    </row>
    <row r="7648" spans="1:8" x14ac:dyDescent="0.2">
      <c r="A7648" t="str">
        <f t="shared" si="119"/>
        <v/>
      </c>
      <c r="B7648">
        <v>2016</v>
      </c>
      <c r="C7648" s="1" t="s">
        <v>2505</v>
      </c>
      <c r="D7648" s="1" t="s">
        <v>2506</v>
      </c>
      <c r="E7648" s="1" t="s">
        <v>2019</v>
      </c>
      <c r="F7648" s="1" t="s">
        <v>762</v>
      </c>
      <c r="G7648" s="12">
        <v>60385</v>
      </c>
      <c r="H7648" t="str">
        <f>IFERROR(VLOOKUP(F7648,'LEAID Match'!$A$2:$B$142,2,FALSE),"")</f>
        <v/>
      </c>
    </row>
    <row r="7649" spans="1:8" x14ac:dyDescent="0.2">
      <c r="A7649" t="str">
        <f t="shared" si="119"/>
        <v/>
      </c>
      <c r="B7649" s="1">
        <v>2017</v>
      </c>
      <c r="C7649" s="1" t="s">
        <v>2505</v>
      </c>
      <c r="D7649" s="1" t="s">
        <v>2506</v>
      </c>
      <c r="E7649" s="1" t="s">
        <v>2019</v>
      </c>
      <c r="F7649" s="1" t="s">
        <v>762</v>
      </c>
      <c r="G7649" s="47">
        <v>59181</v>
      </c>
      <c r="H7649" t="str">
        <f>IFERROR(VLOOKUP(F7649,'LEAID Match'!$A$2:$B$142,2,FALSE),"")</f>
        <v/>
      </c>
    </row>
    <row r="7650" spans="1:8" x14ac:dyDescent="0.2">
      <c r="A7650" t="str">
        <f t="shared" si="119"/>
        <v/>
      </c>
      <c r="B7650" s="1">
        <v>2018</v>
      </c>
      <c r="C7650" s="1" t="s">
        <v>2505</v>
      </c>
      <c r="D7650" s="1" t="s">
        <v>2506</v>
      </c>
      <c r="E7650" s="1" t="s">
        <v>2019</v>
      </c>
      <c r="F7650" s="1" t="s">
        <v>762</v>
      </c>
      <c r="G7650" s="6">
        <v>55229</v>
      </c>
      <c r="H7650" t="str">
        <f>IFERROR(VLOOKUP(F7650,'LEAID Match'!$A$2:$B$142,2,FALSE),"")</f>
        <v/>
      </c>
    </row>
    <row r="7651" spans="1:8" x14ac:dyDescent="0.2">
      <c r="A7651" t="str">
        <f t="shared" si="119"/>
        <v/>
      </c>
      <c r="B7651" s="1">
        <v>2019</v>
      </c>
      <c r="C7651" s="1" t="s">
        <v>2505</v>
      </c>
      <c r="D7651" s="1" t="s">
        <v>2506</v>
      </c>
      <c r="E7651" s="1" t="s">
        <v>2019</v>
      </c>
      <c r="F7651" s="1" t="s">
        <v>762</v>
      </c>
      <c r="G7651" s="6">
        <v>52189</v>
      </c>
      <c r="H7651" t="str">
        <f>IFERROR(VLOOKUP(F7651,'LEAID Match'!$A$2:$B$142,2,FALSE),"")</f>
        <v/>
      </c>
    </row>
    <row r="7652" spans="1:8" x14ac:dyDescent="0.2">
      <c r="A7652" t="str">
        <f t="shared" si="119"/>
        <v/>
      </c>
      <c r="B7652" s="1">
        <v>2020</v>
      </c>
      <c r="C7652" s="1" t="s">
        <v>2505</v>
      </c>
      <c r="D7652" s="1" t="s">
        <v>2506</v>
      </c>
      <c r="E7652" s="1" t="s">
        <v>2019</v>
      </c>
      <c r="F7652" s="1" t="s">
        <v>762</v>
      </c>
      <c r="G7652" s="6">
        <v>51771</v>
      </c>
      <c r="H7652" t="str">
        <f>IFERROR(VLOOKUP(F7652,'LEAID Match'!$A$2:$B$142,2,FALSE),"")</f>
        <v/>
      </c>
    </row>
    <row r="7653" spans="1:8" x14ac:dyDescent="0.2">
      <c r="A7653" t="str">
        <f t="shared" si="119"/>
        <v/>
      </c>
      <c r="B7653" s="1">
        <v>2021</v>
      </c>
      <c r="C7653" s="1" t="s">
        <v>2505</v>
      </c>
      <c r="D7653" s="1" t="s">
        <v>2506</v>
      </c>
      <c r="E7653" s="1" t="s">
        <v>2019</v>
      </c>
      <c r="F7653" s="1" t="s">
        <v>762</v>
      </c>
      <c r="G7653" s="6">
        <v>35924</v>
      </c>
      <c r="H7653" t="str">
        <f>IFERROR(VLOOKUP(F7653,'LEAID Match'!$A$2:$B$142,2,FALSE),"")</f>
        <v/>
      </c>
    </row>
    <row r="7654" spans="1:8" x14ac:dyDescent="0.2">
      <c r="A7654" t="str">
        <f t="shared" si="119"/>
        <v/>
      </c>
      <c r="B7654" s="1">
        <v>2022</v>
      </c>
      <c r="C7654" s="1" t="s">
        <v>2505</v>
      </c>
      <c r="D7654" s="1" t="s">
        <v>2506</v>
      </c>
      <c r="E7654" s="1" t="s">
        <v>2019</v>
      </c>
      <c r="F7654" s="1" t="s">
        <v>762</v>
      </c>
      <c r="G7654" s="6">
        <v>45861</v>
      </c>
      <c r="H7654" t="str">
        <f>IFERROR(VLOOKUP(F7654,'LEAID Match'!$A$2:$B$142,2,FALSE),"")</f>
        <v/>
      </c>
    </row>
    <row r="7655" spans="1:8" x14ac:dyDescent="0.2">
      <c r="A7655" t="str">
        <f t="shared" si="119"/>
        <v/>
      </c>
      <c r="B7655" s="1">
        <v>2023</v>
      </c>
      <c r="C7655" s="1" t="s">
        <v>2505</v>
      </c>
      <c r="D7655" s="1" t="s">
        <v>2506</v>
      </c>
      <c r="E7655" s="1" t="s">
        <v>2019</v>
      </c>
      <c r="F7655" s="1" t="s">
        <v>762</v>
      </c>
      <c r="G7655" s="6">
        <v>47846</v>
      </c>
      <c r="H7655" t="str">
        <f>IFERROR(VLOOKUP(F7655,'LEAID Match'!$A$2:$B$142,2,FALSE),"")</f>
        <v/>
      </c>
    </row>
    <row r="7656" spans="1:8" x14ac:dyDescent="0.2">
      <c r="A7656" t="str">
        <f t="shared" si="119"/>
        <v/>
      </c>
      <c r="B7656" s="1">
        <v>2024</v>
      </c>
      <c r="C7656" s="1" t="s">
        <v>2505</v>
      </c>
      <c r="D7656" s="1" t="s">
        <v>2506</v>
      </c>
      <c r="E7656" s="1" t="s">
        <v>2019</v>
      </c>
      <c r="F7656" s="1" t="s">
        <v>762</v>
      </c>
      <c r="G7656" s="6">
        <v>49302</v>
      </c>
      <c r="H7656" t="str">
        <f>IFERROR(VLOOKUP(F7656,'LEAID Match'!$A$2:$B$142,2,FALSE),"")</f>
        <v/>
      </c>
    </row>
    <row r="7657" spans="1:8" x14ac:dyDescent="0.2">
      <c r="A7657">
        <f t="shared" si="119"/>
        <v>2804290</v>
      </c>
      <c r="B7657" s="1">
        <v>2015</v>
      </c>
      <c r="C7657" s="1" t="s">
        <v>2505</v>
      </c>
      <c r="D7657" s="1" t="s">
        <v>2506</v>
      </c>
      <c r="E7657" s="1" t="s">
        <v>2019</v>
      </c>
      <c r="F7657" s="1" t="s">
        <v>763</v>
      </c>
      <c r="G7657" s="6">
        <v>2328156</v>
      </c>
      <c r="H7657">
        <f>IFERROR(VLOOKUP(F7657,'LEAID Match'!$A$2:$B$142,2,FALSE),"")</f>
        <v>2804290</v>
      </c>
    </row>
    <row r="7658" spans="1:8" x14ac:dyDescent="0.2">
      <c r="A7658">
        <f t="shared" si="119"/>
        <v>2804290</v>
      </c>
      <c r="B7658">
        <v>2016</v>
      </c>
      <c r="C7658" s="1" t="s">
        <v>2505</v>
      </c>
      <c r="D7658" s="1" t="s">
        <v>2506</v>
      </c>
      <c r="E7658" s="1" t="s">
        <v>2019</v>
      </c>
      <c r="F7658" s="1" t="s">
        <v>763</v>
      </c>
      <c r="G7658" s="12">
        <v>2187616</v>
      </c>
      <c r="H7658">
        <f>IFERROR(VLOOKUP(F7658,'LEAID Match'!$A$2:$B$142,2,FALSE),"")</f>
        <v>2804290</v>
      </c>
    </row>
    <row r="7659" spans="1:8" x14ac:dyDescent="0.2">
      <c r="A7659">
        <f t="shared" si="119"/>
        <v>2804290</v>
      </c>
      <c r="B7659" s="1">
        <v>2017</v>
      </c>
      <c r="C7659" s="1" t="s">
        <v>2505</v>
      </c>
      <c r="D7659" s="1" t="s">
        <v>2506</v>
      </c>
      <c r="E7659" s="1" t="s">
        <v>2019</v>
      </c>
      <c r="F7659" s="1" t="s">
        <v>763</v>
      </c>
      <c r="G7659" s="47">
        <v>2063253</v>
      </c>
      <c r="H7659">
        <f>IFERROR(VLOOKUP(F7659,'LEAID Match'!$A$2:$B$142,2,FALSE),"")</f>
        <v>2804290</v>
      </c>
    </row>
    <row r="7660" spans="1:8" x14ac:dyDescent="0.2">
      <c r="A7660">
        <f t="shared" si="119"/>
        <v>2804290</v>
      </c>
      <c r="B7660" s="1">
        <v>2018</v>
      </c>
      <c r="C7660" s="1" t="s">
        <v>2505</v>
      </c>
      <c r="D7660" s="1" t="s">
        <v>2506</v>
      </c>
      <c r="E7660" s="1" t="s">
        <v>2019</v>
      </c>
      <c r="F7660" s="1" t="s">
        <v>763</v>
      </c>
      <c r="G7660" s="6">
        <v>2162858</v>
      </c>
      <c r="H7660">
        <f>IFERROR(VLOOKUP(F7660,'LEAID Match'!$A$2:$B$142,2,FALSE),"")</f>
        <v>2804290</v>
      </c>
    </row>
    <row r="7661" spans="1:8" x14ac:dyDescent="0.2">
      <c r="A7661">
        <f t="shared" si="119"/>
        <v>2804290</v>
      </c>
      <c r="B7661" s="1">
        <v>2019</v>
      </c>
      <c r="C7661" s="1" t="s">
        <v>2505</v>
      </c>
      <c r="D7661" s="1" t="s">
        <v>2506</v>
      </c>
      <c r="E7661" s="1" t="s">
        <v>2019</v>
      </c>
      <c r="F7661" s="1" t="s">
        <v>763</v>
      </c>
      <c r="G7661" s="6">
        <v>2104263</v>
      </c>
      <c r="H7661">
        <f>IFERROR(VLOOKUP(F7661,'LEAID Match'!$A$2:$B$142,2,FALSE),"")</f>
        <v>2804290</v>
      </c>
    </row>
    <row r="7662" spans="1:8" x14ac:dyDescent="0.2">
      <c r="A7662">
        <f t="shared" si="119"/>
        <v>2804290</v>
      </c>
      <c r="B7662" s="1">
        <v>2020</v>
      </c>
      <c r="C7662" s="1" t="s">
        <v>2505</v>
      </c>
      <c r="D7662" s="1" t="s">
        <v>2506</v>
      </c>
      <c r="E7662" s="1" t="s">
        <v>2019</v>
      </c>
      <c r="F7662" s="1" t="s">
        <v>763</v>
      </c>
      <c r="G7662" s="6">
        <v>2343767</v>
      </c>
      <c r="H7662">
        <f>IFERROR(VLOOKUP(F7662,'LEAID Match'!$A$2:$B$142,2,FALSE),"")</f>
        <v>2804290</v>
      </c>
    </row>
    <row r="7663" spans="1:8" x14ac:dyDescent="0.2">
      <c r="A7663">
        <f t="shared" si="119"/>
        <v>2804290</v>
      </c>
      <c r="B7663" s="1">
        <v>2021</v>
      </c>
      <c r="C7663" s="1" t="s">
        <v>2505</v>
      </c>
      <c r="D7663" s="1" t="s">
        <v>2506</v>
      </c>
      <c r="E7663" s="1" t="s">
        <v>2019</v>
      </c>
      <c r="F7663" s="1" t="s">
        <v>763</v>
      </c>
      <c r="G7663" s="6">
        <v>2253426</v>
      </c>
      <c r="H7663">
        <f>IFERROR(VLOOKUP(F7663,'LEAID Match'!$A$2:$B$142,2,FALSE),"")</f>
        <v>2804290</v>
      </c>
    </row>
    <row r="7664" spans="1:8" x14ac:dyDescent="0.2">
      <c r="A7664">
        <f t="shared" si="119"/>
        <v>2804290</v>
      </c>
      <c r="B7664" s="1">
        <v>2022</v>
      </c>
      <c r="C7664" s="1" t="s">
        <v>2505</v>
      </c>
      <c r="D7664" s="1" t="s">
        <v>2506</v>
      </c>
      <c r="E7664" s="1" t="s">
        <v>2019</v>
      </c>
      <c r="F7664" s="1" t="s">
        <v>763</v>
      </c>
      <c r="G7664" s="6">
        <v>2375088</v>
      </c>
      <c r="H7664">
        <f>IFERROR(VLOOKUP(F7664,'LEAID Match'!$A$2:$B$142,2,FALSE),"")</f>
        <v>2804290</v>
      </c>
    </row>
    <row r="7665" spans="1:8" x14ac:dyDescent="0.2">
      <c r="A7665">
        <f t="shared" si="119"/>
        <v>2804290</v>
      </c>
      <c r="B7665" s="1">
        <v>2023</v>
      </c>
      <c r="C7665" s="1" t="s">
        <v>2505</v>
      </c>
      <c r="D7665" s="1" t="s">
        <v>2506</v>
      </c>
      <c r="E7665" s="1" t="s">
        <v>2019</v>
      </c>
      <c r="F7665" s="1" t="s">
        <v>763</v>
      </c>
      <c r="G7665" s="6">
        <v>2590693</v>
      </c>
      <c r="H7665">
        <f>IFERROR(VLOOKUP(F7665,'LEAID Match'!$A$2:$B$142,2,FALSE),"")</f>
        <v>2804290</v>
      </c>
    </row>
    <row r="7666" spans="1:8" x14ac:dyDescent="0.2">
      <c r="A7666">
        <f t="shared" si="119"/>
        <v>2804290</v>
      </c>
      <c r="B7666" s="1">
        <v>2024</v>
      </c>
      <c r="C7666" s="1" t="s">
        <v>2505</v>
      </c>
      <c r="D7666" s="1" t="s">
        <v>2506</v>
      </c>
      <c r="E7666" s="1" t="s">
        <v>2019</v>
      </c>
      <c r="F7666" s="1" t="s">
        <v>763</v>
      </c>
      <c r="G7666" s="6">
        <v>2531405</v>
      </c>
      <c r="H7666">
        <f>IFERROR(VLOOKUP(F7666,'LEAID Match'!$A$2:$B$142,2,FALSE),"")</f>
        <v>2804290</v>
      </c>
    </row>
    <row r="7667" spans="1:8" x14ac:dyDescent="0.2">
      <c r="A7667" t="str">
        <f t="shared" si="119"/>
        <v/>
      </c>
      <c r="B7667" s="1">
        <v>2015</v>
      </c>
      <c r="C7667" s="1" t="s">
        <v>2505</v>
      </c>
      <c r="D7667" s="1" t="s">
        <v>2506</v>
      </c>
      <c r="E7667" s="1" t="s">
        <v>2019</v>
      </c>
      <c r="F7667" s="1" t="s">
        <v>764</v>
      </c>
      <c r="G7667" s="6">
        <v>1668504</v>
      </c>
      <c r="H7667" t="str">
        <f>IFERROR(VLOOKUP(F7667,'LEAID Match'!$A$2:$B$142,2,FALSE),"")</f>
        <v/>
      </c>
    </row>
    <row r="7668" spans="1:8" x14ac:dyDescent="0.2">
      <c r="A7668" t="str">
        <f t="shared" si="119"/>
        <v/>
      </c>
      <c r="B7668">
        <v>2016</v>
      </c>
      <c r="C7668" s="1" t="s">
        <v>2505</v>
      </c>
      <c r="D7668" s="1" t="s">
        <v>2506</v>
      </c>
      <c r="E7668" s="1" t="s">
        <v>2019</v>
      </c>
      <c r="F7668" s="1" t="s">
        <v>764</v>
      </c>
      <c r="G7668" s="12">
        <v>1645783</v>
      </c>
      <c r="H7668" t="str">
        <f>IFERROR(VLOOKUP(F7668,'LEAID Match'!$A$2:$B$142,2,FALSE),"")</f>
        <v/>
      </c>
    </row>
    <row r="7669" spans="1:8" x14ac:dyDescent="0.2">
      <c r="A7669" t="str">
        <f t="shared" si="119"/>
        <v/>
      </c>
      <c r="B7669" s="1">
        <v>2017</v>
      </c>
      <c r="C7669" s="1" t="s">
        <v>2505</v>
      </c>
      <c r="D7669" s="1" t="s">
        <v>2506</v>
      </c>
      <c r="E7669" s="1" t="s">
        <v>2019</v>
      </c>
      <c r="F7669" s="1" t="s">
        <v>764</v>
      </c>
      <c r="G7669" s="47">
        <v>1718626</v>
      </c>
      <c r="H7669" t="str">
        <f>IFERROR(VLOOKUP(F7669,'LEAID Match'!$A$2:$B$142,2,FALSE),"")</f>
        <v/>
      </c>
    </row>
    <row r="7670" spans="1:8" x14ac:dyDescent="0.2">
      <c r="A7670" t="str">
        <f t="shared" si="119"/>
        <v/>
      </c>
      <c r="B7670" s="1">
        <v>2018</v>
      </c>
      <c r="C7670" s="1" t="s">
        <v>2505</v>
      </c>
      <c r="D7670" s="1" t="s">
        <v>2506</v>
      </c>
      <c r="E7670" s="1" t="s">
        <v>2019</v>
      </c>
      <c r="F7670" s="1" t="s">
        <v>764</v>
      </c>
      <c r="G7670" s="6">
        <v>1731508</v>
      </c>
      <c r="H7670" t="str">
        <f>IFERROR(VLOOKUP(F7670,'LEAID Match'!$A$2:$B$142,2,FALSE),"")</f>
        <v/>
      </c>
    </row>
    <row r="7671" spans="1:8" x14ac:dyDescent="0.2">
      <c r="A7671" t="str">
        <f t="shared" si="119"/>
        <v/>
      </c>
      <c r="B7671" s="1">
        <v>2019</v>
      </c>
      <c r="C7671" s="1" t="s">
        <v>2505</v>
      </c>
      <c r="D7671" s="1" t="s">
        <v>2506</v>
      </c>
      <c r="E7671" s="1" t="s">
        <v>2019</v>
      </c>
      <c r="F7671" s="1" t="s">
        <v>764</v>
      </c>
      <c r="G7671" s="6">
        <v>1756652</v>
      </c>
      <c r="H7671" t="str">
        <f>IFERROR(VLOOKUP(F7671,'LEAID Match'!$A$2:$B$142,2,FALSE),"")</f>
        <v/>
      </c>
    </row>
    <row r="7672" spans="1:8" x14ac:dyDescent="0.2">
      <c r="A7672" t="str">
        <f t="shared" si="119"/>
        <v/>
      </c>
      <c r="B7672" s="1">
        <v>2020</v>
      </c>
      <c r="C7672" s="1" t="s">
        <v>2505</v>
      </c>
      <c r="D7672" s="1" t="s">
        <v>2506</v>
      </c>
      <c r="E7672" s="1" t="s">
        <v>2019</v>
      </c>
      <c r="F7672" s="1" t="s">
        <v>764</v>
      </c>
      <c r="G7672" s="6">
        <v>1855984</v>
      </c>
      <c r="H7672" t="str">
        <f>IFERROR(VLOOKUP(F7672,'LEAID Match'!$A$2:$B$142,2,FALSE),"")</f>
        <v/>
      </c>
    </row>
    <row r="7673" spans="1:8" x14ac:dyDescent="0.2">
      <c r="A7673" t="str">
        <f t="shared" si="119"/>
        <v/>
      </c>
      <c r="B7673" s="1">
        <v>2021</v>
      </c>
      <c r="C7673" s="1" t="s">
        <v>2505</v>
      </c>
      <c r="D7673" s="1" t="s">
        <v>2506</v>
      </c>
      <c r="E7673" s="1" t="s">
        <v>2019</v>
      </c>
      <c r="F7673" s="1" t="s">
        <v>764</v>
      </c>
      <c r="G7673" s="6">
        <v>1419099</v>
      </c>
      <c r="H7673" t="str">
        <f>IFERROR(VLOOKUP(F7673,'LEAID Match'!$A$2:$B$142,2,FALSE),"")</f>
        <v/>
      </c>
    </row>
    <row r="7674" spans="1:8" x14ac:dyDescent="0.2">
      <c r="A7674" t="str">
        <f t="shared" si="119"/>
        <v/>
      </c>
      <c r="B7674" s="1">
        <v>2022</v>
      </c>
      <c r="C7674" s="1" t="s">
        <v>2505</v>
      </c>
      <c r="D7674" s="1" t="s">
        <v>2506</v>
      </c>
      <c r="E7674" s="1" t="s">
        <v>2019</v>
      </c>
      <c r="F7674" s="1" t="s">
        <v>764</v>
      </c>
      <c r="G7674" s="6">
        <v>1538647</v>
      </c>
      <c r="H7674" t="str">
        <f>IFERROR(VLOOKUP(F7674,'LEAID Match'!$A$2:$B$142,2,FALSE),"")</f>
        <v/>
      </c>
    </row>
    <row r="7675" spans="1:8" x14ac:dyDescent="0.2">
      <c r="A7675" t="str">
        <f t="shared" si="119"/>
        <v/>
      </c>
      <c r="B7675" s="1">
        <v>2023</v>
      </c>
      <c r="C7675" s="1" t="s">
        <v>2505</v>
      </c>
      <c r="D7675" s="1" t="s">
        <v>2506</v>
      </c>
      <c r="E7675" s="1" t="s">
        <v>2019</v>
      </c>
      <c r="F7675" s="1" t="s">
        <v>764</v>
      </c>
      <c r="G7675" s="6">
        <v>1675532</v>
      </c>
      <c r="H7675" t="str">
        <f>IFERROR(VLOOKUP(F7675,'LEAID Match'!$A$2:$B$142,2,FALSE),"")</f>
        <v/>
      </c>
    </row>
    <row r="7676" spans="1:8" x14ac:dyDescent="0.2">
      <c r="A7676" t="str">
        <f t="shared" si="119"/>
        <v/>
      </c>
      <c r="B7676" s="1">
        <v>2024</v>
      </c>
      <c r="C7676" s="1" t="s">
        <v>2505</v>
      </c>
      <c r="D7676" s="1" t="s">
        <v>2506</v>
      </c>
      <c r="E7676" s="1" t="s">
        <v>2019</v>
      </c>
      <c r="F7676" s="1" t="s">
        <v>764</v>
      </c>
      <c r="G7676" s="6">
        <v>1734939</v>
      </c>
      <c r="H7676" t="str">
        <f>IFERROR(VLOOKUP(F7676,'LEAID Match'!$A$2:$B$142,2,FALSE),"")</f>
        <v/>
      </c>
    </row>
    <row r="7677" spans="1:8" x14ac:dyDescent="0.2">
      <c r="A7677" t="str">
        <f t="shared" si="119"/>
        <v/>
      </c>
      <c r="B7677" s="1">
        <v>2021</v>
      </c>
      <c r="C7677" s="1" t="s">
        <v>2505</v>
      </c>
      <c r="D7677" s="1" t="s">
        <v>2506</v>
      </c>
      <c r="E7677" s="1" t="s">
        <v>2019</v>
      </c>
      <c r="F7677" s="1" t="s">
        <v>765</v>
      </c>
      <c r="G7677" s="6">
        <v>125706</v>
      </c>
      <c r="H7677" t="str">
        <f>IFERROR(VLOOKUP(F7677,'LEAID Match'!$A$2:$B$142,2,FALSE),"")</f>
        <v/>
      </c>
    </row>
    <row r="7678" spans="1:8" x14ac:dyDescent="0.2">
      <c r="A7678" t="str">
        <f t="shared" si="119"/>
        <v/>
      </c>
      <c r="B7678" s="1">
        <v>2022</v>
      </c>
      <c r="C7678" s="1" t="s">
        <v>2505</v>
      </c>
      <c r="D7678" s="1" t="s">
        <v>2506</v>
      </c>
      <c r="E7678" s="1" t="s">
        <v>2019</v>
      </c>
      <c r="F7678" s="1" t="s">
        <v>765</v>
      </c>
      <c r="G7678" s="6">
        <v>201026</v>
      </c>
      <c r="H7678" t="str">
        <f>IFERROR(VLOOKUP(F7678,'LEAID Match'!$A$2:$B$142,2,FALSE),"")</f>
        <v/>
      </c>
    </row>
    <row r="7679" spans="1:8" x14ac:dyDescent="0.2">
      <c r="A7679" t="str">
        <f t="shared" si="119"/>
        <v/>
      </c>
      <c r="B7679" s="1">
        <v>2023</v>
      </c>
      <c r="C7679" s="1" t="s">
        <v>2505</v>
      </c>
      <c r="D7679" s="1" t="s">
        <v>2506</v>
      </c>
      <c r="E7679" s="1" t="s">
        <v>2019</v>
      </c>
      <c r="F7679" s="1" t="s">
        <v>765</v>
      </c>
      <c r="G7679" s="6">
        <v>220741</v>
      </c>
      <c r="H7679" t="str">
        <f>IFERROR(VLOOKUP(F7679,'LEAID Match'!$A$2:$B$142,2,FALSE),"")</f>
        <v/>
      </c>
    </row>
    <row r="7680" spans="1:8" x14ac:dyDescent="0.2">
      <c r="A7680" t="str">
        <f t="shared" si="119"/>
        <v/>
      </c>
      <c r="B7680" s="1">
        <v>2024</v>
      </c>
      <c r="C7680" s="1" t="s">
        <v>2505</v>
      </c>
      <c r="D7680" s="1" t="s">
        <v>2506</v>
      </c>
      <c r="E7680" s="1" t="s">
        <v>2019</v>
      </c>
      <c r="F7680" s="1" t="s">
        <v>765</v>
      </c>
      <c r="G7680" s="6">
        <v>164383</v>
      </c>
      <c r="H7680" t="str">
        <f>IFERROR(VLOOKUP(F7680,'LEAID Match'!$A$2:$B$142,2,FALSE),"")</f>
        <v/>
      </c>
    </row>
    <row r="7681" spans="1:8" x14ac:dyDescent="0.2">
      <c r="A7681" t="str">
        <f t="shared" si="119"/>
        <v/>
      </c>
      <c r="B7681" s="1">
        <v>2015</v>
      </c>
      <c r="C7681" s="1" t="s">
        <v>2505</v>
      </c>
      <c r="D7681" s="1" t="s">
        <v>2506</v>
      </c>
      <c r="E7681" s="1" t="s">
        <v>2019</v>
      </c>
      <c r="F7681" s="1" t="s">
        <v>766</v>
      </c>
      <c r="G7681" s="6">
        <v>103261</v>
      </c>
      <c r="H7681" t="str">
        <f>IFERROR(VLOOKUP(F7681,'LEAID Match'!$A$2:$B$142,2,FALSE),"")</f>
        <v/>
      </c>
    </row>
    <row r="7682" spans="1:8" x14ac:dyDescent="0.2">
      <c r="A7682" t="str">
        <f t="shared" si="119"/>
        <v/>
      </c>
      <c r="B7682">
        <v>2016</v>
      </c>
      <c r="C7682" s="1" t="s">
        <v>2505</v>
      </c>
      <c r="D7682" s="1" t="s">
        <v>2506</v>
      </c>
      <c r="E7682" s="1" t="s">
        <v>2019</v>
      </c>
      <c r="F7682" s="1" t="s">
        <v>766</v>
      </c>
      <c r="G7682" s="12">
        <v>99907</v>
      </c>
      <c r="H7682" t="str">
        <f>IFERROR(VLOOKUP(F7682,'LEAID Match'!$A$2:$B$142,2,FALSE),"")</f>
        <v/>
      </c>
    </row>
    <row r="7683" spans="1:8" x14ac:dyDescent="0.2">
      <c r="A7683" t="str">
        <f t="shared" ref="A7683:A7746" si="120">H7683</f>
        <v/>
      </c>
      <c r="B7683" s="1">
        <v>2017</v>
      </c>
      <c r="C7683" s="1" t="s">
        <v>2505</v>
      </c>
      <c r="D7683" s="1" t="s">
        <v>2506</v>
      </c>
      <c r="E7683" s="1" t="s">
        <v>2019</v>
      </c>
      <c r="F7683" s="1" t="s">
        <v>766</v>
      </c>
      <c r="G7683" s="47">
        <v>104288</v>
      </c>
      <c r="H7683" t="str">
        <f>IFERROR(VLOOKUP(F7683,'LEAID Match'!$A$2:$B$142,2,FALSE),"")</f>
        <v/>
      </c>
    </row>
    <row r="7684" spans="1:8" x14ac:dyDescent="0.2">
      <c r="A7684" t="str">
        <f t="shared" si="120"/>
        <v/>
      </c>
      <c r="B7684" s="1">
        <v>2018</v>
      </c>
      <c r="C7684" s="1" t="s">
        <v>2505</v>
      </c>
      <c r="D7684" s="1" t="s">
        <v>2506</v>
      </c>
      <c r="E7684" s="1" t="s">
        <v>2019</v>
      </c>
      <c r="F7684" s="1" t="s">
        <v>766</v>
      </c>
      <c r="G7684" s="6">
        <v>101266</v>
      </c>
      <c r="H7684" t="str">
        <f>IFERROR(VLOOKUP(F7684,'LEAID Match'!$A$2:$B$142,2,FALSE),"")</f>
        <v/>
      </c>
    </row>
    <row r="7685" spans="1:8" x14ac:dyDescent="0.2">
      <c r="A7685" t="str">
        <f t="shared" si="120"/>
        <v/>
      </c>
      <c r="B7685" s="1">
        <v>2019</v>
      </c>
      <c r="C7685" s="1" t="s">
        <v>2505</v>
      </c>
      <c r="D7685" s="1" t="s">
        <v>2506</v>
      </c>
      <c r="E7685" s="1" t="s">
        <v>2019</v>
      </c>
      <c r="F7685" s="1" t="s">
        <v>766</v>
      </c>
      <c r="G7685" s="6">
        <v>89182</v>
      </c>
      <c r="H7685" t="str">
        <f>IFERROR(VLOOKUP(F7685,'LEAID Match'!$A$2:$B$142,2,FALSE),"")</f>
        <v/>
      </c>
    </row>
    <row r="7686" spans="1:8" x14ac:dyDescent="0.2">
      <c r="A7686" t="str">
        <f t="shared" si="120"/>
        <v/>
      </c>
      <c r="B7686" s="1">
        <v>2020</v>
      </c>
      <c r="C7686" s="1" t="s">
        <v>2505</v>
      </c>
      <c r="D7686" s="1" t="s">
        <v>2506</v>
      </c>
      <c r="E7686" s="1" t="s">
        <v>2019</v>
      </c>
      <c r="F7686" s="1" t="s">
        <v>766</v>
      </c>
      <c r="G7686" s="6">
        <v>100128</v>
      </c>
      <c r="H7686" t="str">
        <f>IFERROR(VLOOKUP(F7686,'LEAID Match'!$A$2:$B$142,2,FALSE),"")</f>
        <v/>
      </c>
    </row>
    <row r="7687" spans="1:8" x14ac:dyDescent="0.2">
      <c r="A7687" t="str">
        <f t="shared" si="120"/>
        <v/>
      </c>
      <c r="B7687" s="1">
        <v>2021</v>
      </c>
      <c r="C7687" s="1" t="s">
        <v>2505</v>
      </c>
      <c r="D7687" s="1" t="s">
        <v>2506</v>
      </c>
      <c r="E7687" s="1" t="s">
        <v>2019</v>
      </c>
      <c r="F7687" s="1" t="s">
        <v>766</v>
      </c>
      <c r="G7687" s="6">
        <v>100103</v>
      </c>
      <c r="H7687" t="str">
        <f>IFERROR(VLOOKUP(F7687,'LEAID Match'!$A$2:$B$142,2,FALSE),"")</f>
        <v/>
      </c>
    </row>
    <row r="7688" spans="1:8" x14ac:dyDescent="0.2">
      <c r="A7688" t="str">
        <f t="shared" si="120"/>
        <v/>
      </c>
      <c r="B7688" s="1">
        <v>2022</v>
      </c>
      <c r="C7688" s="1" t="s">
        <v>2505</v>
      </c>
      <c r="D7688" s="1" t="s">
        <v>2506</v>
      </c>
      <c r="E7688" s="1" t="s">
        <v>2019</v>
      </c>
      <c r="F7688" s="1" t="s">
        <v>766</v>
      </c>
      <c r="G7688" s="6">
        <v>92371</v>
      </c>
      <c r="H7688" t="str">
        <f>IFERROR(VLOOKUP(F7688,'LEAID Match'!$A$2:$B$142,2,FALSE),"")</f>
        <v/>
      </c>
    </row>
    <row r="7689" spans="1:8" x14ac:dyDescent="0.2">
      <c r="A7689" t="str">
        <f t="shared" si="120"/>
        <v/>
      </c>
      <c r="B7689" s="1">
        <v>2023</v>
      </c>
      <c r="C7689" s="1" t="s">
        <v>2505</v>
      </c>
      <c r="D7689" s="1" t="s">
        <v>2506</v>
      </c>
      <c r="E7689" s="1" t="s">
        <v>2019</v>
      </c>
      <c r="F7689" s="1" t="s">
        <v>766</v>
      </c>
      <c r="G7689" s="6">
        <v>96963</v>
      </c>
      <c r="H7689" t="str">
        <f>IFERROR(VLOOKUP(F7689,'LEAID Match'!$A$2:$B$142,2,FALSE),"")</f>
        <v/>
      </c>
    </row>
    <row r="7690" spans="1:8" x14ac:dyDescent="0.2">
      <c r="A7690" t="str">
        <f t="shared" si="120"/>
        <v/>
      </c>
      <c r="B7690" s="1">
        <v>2024</v>
      </c>
      <c r="C7690" s="1" t="s">
        <v>2505</v>
      </c>
      <c r="D7690" s="1" t="s">
        <v>2506</v>
      </c>
      <c r="E7690" s="1" t="s">
        <v>2019</v>
      </c>
      <c r="F7690" s="1" t="s">
        <v>766</v>
      </c>
      <c r="G7690" s="6">
        <v>98690</v>
      </c>
      <c r="H7690" t="str">
        <f>IFERROR(VLOOKUP(F7690,'LEAID Match'!$A$2:$B$142,2,FALSE),"")</f>
        <v/>
      </c>
    </row>
    <row r="7691" spans="1:8" x14ac:dyDescent="0.2">
      <c r="A7691" t="str">
        <f t="shared" si="120"/>
        <v/>
      </c>
      <c r="B7691" s="1">
        <v>2015</v>
      </c>
      <c r="C7691" s="1" t="s">
        <v>2505</v>
      </c>
      <c r="D7691" s="1" t="s">
        <v>2506</v>
      </c>
      <c r="E7691" s="1" t="s">
        <v>2019</v>
      </c>
      <c r="F7691" s="1" t="s">
        <v>767</v>
      </c>
      <c r="G7691" s="6">
        <v>195218</v>
      </c>
      <c r="H7691" t="str">
        <f>IFERROR(VLOOKUP(F7691,'LEAID Match'!$A$2:$B$142,2,FALSE),"")</f>
        <v/>
      </c>
    </row>
    <row r="7692" spans="1:8" x14ac:dyDescent="0.2">
      <c r="A7692" t="str">
        <f t="shared" si="120"/>
        <v/>
      </c>
      <c r="B7692">
        <v>2016</v>
      </c>
      <c r="C7692" s="1" t="s">
        <v>2505</v>
      </c>
      <c r="D7692" s="1" t="s">
        <v>2506</v>
      </c>
      <c r="E7692" s="1" t="s">
        <v>2019</v>
      </c>
      <c r="F7692" s="1" t="s">
        <v>767</v>
      </c>
      <c r="G7692" s="12">
        <v>187428</v>
      </c>
      <c r="H7692" t="str">
        <f>IFERROR(VLOOKUP(F7692,'LEAID Match'!$A$2:$B$142,2,FALSE),"")</f>
        <v/>
      </c>
    </row>
    <row r="7693" spans="1:8" x14ac:dyDescent="0.2">
      <c r="A7693" t="str">
        <f t="shared" si="120"/>
        <v/>
      </c>
      <c r="B7693" s="1">
        <v>2017</v>
      </c>
      <c r="C7693" s="1" t="s">
        <v>2505</v>
      </c>
      <c r="D7693" s="1" t="s">
        <v>2506</v>
      </c>
      <c r="E7693" s="1" t="s">
        <v>2019</v>
      </c>
      <c r="F7693" s="1" t="s">
        <v>767</v>
      </c>
      <c r="G7693" s="47">
        <v>179409</v>
      </c>
      <c r="H7693" t="str">
        <f>IFERROR(VLOOKUP(F7693,'LEAID Match'!$A$2:$B$142,2,FALSE),"")</f>
        <v/>
      </c>
    </row>
    <row r="7694" spans="1:8" x14ac:dyDescent="0.2">
      <c r="A7694" t="str">
        <f t="shared" si="120"/>
        <v/>
      </c>
      <c r="B7694" s="1">
        <v>2018</v>
      </c>
      <c r="C7694" s="1" t="s">
        <v>2505</v>
      </c>
      <c r="D7694" s="1" t="s">
        <v>2506</v>
      </c>
      <c r="E7694" s="1" t="s">
        <v>2019</v>
      </c>
      <c r="F7694" s="1" t="s">
        <v>767</v>
      </c>
      <c r="G7694" s="6">
        <v>184325</v>
      </c>
      <c r="H7694" t="str">
        <f>IFERROR(VLOOKUP(F7694,'LEAID Match'!$A$2:$B$142,2,FALSE),"")</f>
        <v/>
      </c>
    </row>
    <row r="7695" spans="1:8" x14ac:dyDescent="0.2">
      <c r="A7695" t="str">
        <f t="shared" si="120"/>
        <v/>
      </c>
      <c r="B7695" s="1">
        <v>2019</v>
      </c>
      <c r="C7695" s="1" t="s">
        <v>2505</v>
      </c>
      <c r="D7695" s="1" t="s">
        <v>2506</v>
      </c>
      <c r="E7695" s="1" t="s">
        <v>2019</v>
      </c>
      <c r="F7695" s="1" t="s">
        <v>767</v>
      </c>
      <c r="G7695" s="6">
        <v>194528</v>
      </c>
      <c r="H7695" t="str">
        <f>IFERROR(VLOOKUP(F7695,'LEAID Match'!$A$2:$B$142,2,FALSE),"")</f>
        <v/>
      </c>
    </row>
    <row r="7696" spans="1:8" x14ac:dyDescent="0.2">
      <c r="A7696" t="str">
        <f t="shared" si="120"/>
        <v/>
      </c>
      <c r="B7696" s="1">
        <v>2020</v>
      </c>
      <c r="C7696" s="1" t="s">
        <v>2505</v>
      </c>
      <c r="D7696" s="1" t="s">
        <v>2506</v>
      </c>
      <c r="E7696" s="1" t="s">
        <v>2019</v>
      </c>
      <c r="F7696" s="1" t="s">
        <v>767</v>
      </c>
      <c r="G7696" s="6">
        <v>209486</v>
      </c>
      <c r="H7696" t="str">
        <f>IFERROR(VLOOKUP(F7696,'LEAID Match'!$A$2:$B$142,2,FALSE),"")</f>
        <v/>
      </c>
    </row>
    <row r="7697" spans="1:8" x14ac:dyDescent="0.2">
      <c r="A7697" t="str">
        <f t="shared" si="120"/>
        <v/>
      </c>
      <c r="B7697" s="1">
        <v>2021</v>
      </c>
      <c r="C7697" s="1" t="s">
        <v>2505</v>
      </c>
      <c r="D7697" s="1" t="s">
        <v>2506</v>
      </c>
      <c r="E7697" s="1" t="s">
        <v>2019</v>
      </c>
      <c r="F7697" s="1" t="s">
        <v>767</v>
      </c>
      <c r="G7697" s="6">
        <v>207587</v>
      </c>
      <c r="H7697" t="str">
        <f>IFERROR(VLOOKUP(F7697,'LEAID Match'!$A$2:$B$142,2,FALSE),"")</f>
        <v/>
      </c>
    </row>
    <row r="7698" spans="1:8" x14ac:dyDescent="0.2">
      <c r="A7698" t="str">
        <f t="shared" si="120"/>
        <v/>
      </c>
      <c r="B7698" s="1">
        <v>2022</v>
      </c>
      <c r="C7698" s="1" t="s">
        <v>2505</v>
      </c>
      <c r="D7698" s="1" t="s">
        <v>2506</v>
      </c>
      <c r="E7698" s="1" t="s">
        <v>2019</v>
      </c>
      <c r="F7698" s="1" t="s">
        <v>767</v>
      </c>
      <c r="G7698" s="6">
        <v>206079</v>
      </c>
      <c r="H7698" t="str">
        <f>IFERROR(VLOOKUP(F7698,'LEAID Match'!$A$2:$B$142,2,FALSE),"")</f>
        <v/>
      </c>
    </row>
    <row r="7699" spans="1:8" x14ac:dyDescent="0.2">
      <c r="A7699" t="str">
        <f t="shared" si="120"/>
        <v/>
      </c>
      <c r="B7699" s="1">
        <v>2023</v>
      </c>
      <c r="C7699" s="1" t="s">
        <v>2505</v>
      </c>
      <c r="D7699" s="1" t="s">
        <v>2506</v>
      </c>
      <c r="E7699" s="1" t="s">
        <v>2019</v>
      </c>
      <c r="F7699" s="1" t="s">
        <v>767</v>
      </c>
      <c r="G7699" s="6">
        <v>219862</v>
      </c>
      <c r="H7699" t="str">
        <f>IFERROR(VLOOKUP(F7699,'LEAID Match'!$A$2:$B$142,2,FALSE),"")</f>
        <v/>
      </c>
    </row>
    <row r="7700" spans="1:8" x14ac:dyDescent="0.2">
      <c r="A7700" t="str">
        <f t="shared" si="120"/>
        <v/>
      </c>
      <c r="B7700" s="1">
        <v>2024</v>
      </c>
      <c r="C7700" s="1" t="s">
        <v>2505</v>
      </c>
      <c r="D7700" s="1" t="s">
        <v>2506</v>
      </c>
      <c r="E7700" s="1" t="s">
        <v>2019</v>
      </c>
      <c r="F7700" s="1" t="s">
        <v>767</v>
      </c>
      <c r="G7700" s="6">
        <v>222168</v>
      </c>
      <c r="H7700" t="str">
        <f>IFERROR(VLOOKUP(F7700,'LEAID Match'!$A$2:$B$142,2,FALSE),"")</f>
        <v/>
      </c>
    </row>
    <row r="7701" spans="1:8" x14ac:dyDescent="0.2">
      <c r="A7701" t="str">
        <f t="shared" si="120"/>
        <v/>
      </c>
      <c r="B7701" s="1">
        <v>2015</v>
      </c>
      <c r="C7701" s="1" t="s">
        <v>2505</v>
      </c>
      <c r="D7701" s="1" t="s">
        <v>2506</v>
      </c>
      <c r="E7701" s="1" t="s">
        <v>2019</v>
      </c>
      <c r="F7701" s="1" t="s">
        <v>768</v>
      </c>
      <c r="G7701" s="6">
        <v>51913</v>
      </c>
      <c r="H7701" t="str">
        <f>IFERROR(VLOOKUP(F7701,'LEAID Match'!$A$2:$B$142,2,FALSE),"")</f>
        <v/>
      </c>
    </row>
    <row r="7702" spans="1:8" x14ac:dyDescent="0.2">
      <c r="A7702" t="str">
        <f t="shared" si="120"/>
        <v/>
      </c>
      <c r="B7702">
        <v>2016</v>
      </c>
      <c r="C7702" s="1" t="s">
        <v>2505</v>
      </c>
      <c r="D7702" s="1" t="s">
        <v>2506</v>
      </c>
      <c r="E7702" s="1" t="s">
        <v>2019</v>
      </c>
      <c r="F7702" s="1" t="s">
        <v>768</v>
      </c>
      <c r="G7702" s="12">
        <v>46169</v>
      </c>
      <c r="H7702" t="str">
        <f>IFERROR(VLOOKUP(F7702,'LEAID Match'!$A$2:$B$142,2,FALSE),"")</f>
        <v/>
      </c>
    </row>
    <row r="7703" spans="1:8" x14ac:dyDescent="0.2">
      <c r="A7703" t="str">
        <f t="shared" si="120"/>
        <v/>
      </c>
      <c r="B7703" s="1">
        <v>2017</v>
      </c>
      <c r="C7703" s="1" t="s">
        <v>2505</v>
      </c>
      <c r="D7703" s="1" t="s">
        <v>2506</v>
      </c>
      <c r="E7703" s="1" t="s">
        <v>2019</v>
      </c>
      <c r="F7703" s="1" t="s">
        <v>768</v>
      </c>
      <c r="G7703" s="47">
        <v>57049</v>
      </c>
      <c r="H7703" t="str">
        <f>IFERROR(VLOOKUP(F7703,'LEAID Match'!$A$2:$B$142,2,FALSE),"")</f>
        <v/>
      </c>
    </row>
    <row r="7704" spans="1:8" x14ac:dyDescent="0.2">
      <c r="A7704" t="str">
        <f t="shared" si="120"/>
        <v/>
      </c>
      <c r="B7704" s="1">
        <v>2018</v>
      </c>
      <c r="C7704" s="1" t="s">
        <v>2505</v>
      </c>
      <c r="D7704" s="1" t="s">
        <v>2506</v>
      </c>
      <c r="E7704" s="1" t="s">
        <v>2019</v>
      </c>
      <c r="F7704" s="1" t="s">
        <v>768</v>
      </c>
      <c r="G7704" s="6">
        <v>54159</v>
      </c>
      <c r="H7704" t="str">
        <f>IFERROR(VLOOKUP(F7704,'LEAID Match'!$A$2:$B$142,2,FALSE),"")</f>
        <v/>
      </c>
    </row>
    <row r="7705" spans="1:8" x14ac:dyDescent="0.2">
      <c r="A7705" t="str">
        <f t="shared" si="120"/>
        <v/>
      </c>
      <c r="B7705" s="1">
        <v>2019</v>
      </c>
      <c r="C7705" s="1" t="s">
        <v>2505</v>
      </c>
      <c r="D7705" s="1" t="s">
        <v>2506</v>
      </c>
      <c r="E7705" s="1" t="s">
        <v>2019</v>
      </c>
      <c r="F7705" s="1" t="s">
        <v>768</v>
      </c>
      <c r="G7705" s="6">
        <v>57100</v>
      </c>
      <c r="H7705" t="str">
        <f>IFERROR(VLOOKUP(F7705,'LEAID Match'!$A$2:$B$142,2,FALSE),"")</f>
        <v/>
      </c>
    </row>
    <row r="7706" spans="1:8" x14ac:dyDescent="0.2">
      <c r="A7706" t="str">
        <f t="shared" si="120"/>
        <v/>
      </c>
      <c r="B7706" s="1">
        <v>2020</v>
      </c>
      <c r="C7706" s="1" t="s">
        <v>2505</v>
      </c>
      <c r="D7706" s="1" t="s">
        <v>2506</v>
      </c>
      <c r="E7706" s="1" t="s">
        <v>2019</v>
      </c>
      <c r="F7706" s="1" t="s">
        <v>768</v>
      </c>
      <c r="G7706" s="6">
        <v>61653</v>
      </c>
      <c r="H7706" t="str">
        <f>IFERROR(VLOOKUP(F7706,'LEAID Match'!$A$2:$B$142,2,FALSE),"")</f>
        <v/>
      </c>
    </row>
    <row r="7707" spans="1:8" x14ac:dyDescent="0.2">
      <c r="A7707" t="str">
        <f t="shared" si="120"/>
        <v/>
      </c>
      <c r="B7707" s="1">
        <v>2021</v>
      </c>
      <c r="C7707" s="1" t="s">
        <v>2505</v>
      </c>
      <c r="D7707" s="1" t="s">
        <v>2506</v>
      </c>
      <c r="E7707" s="1" t="s">
        <v>2019</v>
      </c>
      <c r="F7707" s="1" t="s">
        <v>768</v>
      </c>
      <c r="G7707" s="6">
        <v>59682</v>
      </c>
      <c r="H7707" t="str">
        <f>IFERROR(VLOOKUP(F7707,'LEAID Match'!$A$2:$B$142,2,FALSE),"")</f>
        <v/>
      </c>
    </row>
    <row r="7708" spans="1:8" x14ac:dyDescent="0.2">
      <c r="A7708" t="str">
        <f t="shared" si="120"/>
        <v/>
      </c>
      <c r="B7708" s="1">
        <v>2022</v>
      </c>
      <c r="C7708" s="1" t="s">
        <v>2505</v>
      </c>
      <c r="D7708" s="1" t="s">
        <v>2506</v>
      </c>
      <c r="E7708" s="1" t="s">
        <v>2019</v>
      </c>
      <c r="F7708" s="1" t="s">
        <v>768</v>
      </c>
      <c r="G7708" s="6">
        <v>81866</v>
      </c>
      <c r="H7708" t="str">
        <f>IFERROR(VLOOKUP(F7708,'LEAID Match'!$A$2:$B$142,2,FALSE),"")</f>
        <v/>
      </c>
    </row>
    <row r="7709" spans="1:8" x14ac:dyDescent="0.2">
      <c r="A7709" t="str">
        <f t="shared" si="120"/>
        <v/>
      </c>
      <c r="B7709" s="1">
        <v>2023</v>
      </c>
      <c r="C7709" s="1" t="s">
        <v>2505</v>
      </c>
      <c r="D7709" s="1" t="s">
        <v>2506</v>
      </c>
      <c r="E7709" s="1" t="s">
        <v>2019</v>
      </c>
      <c r="F7709" s="1" t="s">
        <v>768</v>
      </c>
      <c r="G7709" s="6">
        <v>90973</v>
      </c>
      <c r="H7709" t="str">
        <f>IFERROR(VLOOKUP(F7709,'LEAID Match'!$A$2:$B$142,2,FALSE),"")</f>
        <v/>
      </c>
    </row>
    <row r="7710" spans="1:8" x14ac:dyDescent="0.2">
      <c r="A7710" t="str">
        <f t="shared" si="120"/>
        <v/>
      </c>
      <c r="B7710" s="1">
        <v>2024</v>
      </c>
      <c r="C7710" s="1" t="s">
        <v>2505</v>
      </c>
      <c r="D7710" s="1" t="s">
        <v>2506</v>
      </c>
      <c r="E7710" s="1" t="s">
        <v>2019</v>
      </c>
      <c r="F7710" s="1" t="s">
        <v>768</v>
      </c>
      <c r="G7710" s="6">
        <v>105940</v>
      </c>
      <c r="H7710" t="str">
        <f>IFERROR(VLOOKUP(F7710,'LEAID Match'!$A$2:$B$142,2,FALSE),"")</f>
        <v/>
      </c>
    </row>
    <row r="7711" spans="1:8" x14ac:dyDescent="0.2">
      <c r="A7711" t="str">
        <f t="shared" si="120"/>
        <v/>
      </c>
      <c r="B7711" s="1">
        <v>2015</v>
      </c>
      <c r="C7711" s="1" t="s">
        <v>2505</v>
      </c>
      <c r="D7711" s="1" t="s">
        <v>2506</v>
      </c>
      <c r="E7711" s="1" t="s">
        <v>2019</v>
      </c>
      <c r="F7711" s="1" t="s">
        <v>769</v>
      </c>
      <c r="G7711" s="6">
        <v>2414612</v>
      </c>
      <c r="H7711" t="str">
        <f>IFERROR(VLOOKUP(F7711,'LEAID Match'!$A$2:$B$142,2,FALSE),"")</f>
        <v/>
      </c>
    </row>
    <row r="7712" spans="1:8" x14ac:dyDescent="0.2">
      <c r="A7712" t="str">
        <f t="shared" si="120"/>
        <v/>
      </c>
      <c r="B7712">
        <v>2016</v>
      </c>
      <c r="C7712" s="1" t="s">
        <v>2505</v>
      </c>
      <c r="D7712" s="1" t="s">
        <v>2506</v>
      </c>
      <c r="E7712" s="1" t="s">
        <v>2019</v>
      </c>
      <c r="F7712" s="1" t="s">
        <v>769</v>
      </c>
      <c r="G7712" s="12">
        <v>2487498</v>
      </c>
      <c r="H7712" t="str">
        <f>IFERROR(VLOOKUP(F7712,'LEAID Match'!$A$2:$B$142,2,FALSE),"")</f>
        <v/>
      </c>
    </row>
    <row r="7713" spans="1:8" x14ac:dyDescent="0.2">
      <c r="A7713" t="str">
        <f t="shared" si="120"/>
        <v/>
      </c>
      <c r="B7713" s="1">
        <v>2017</v>
      </c>
      <c r="C7713" s="1" t="s">
        <v>2505</v>
      </c>
      <c r="D7713" s="1" t="s">
        <v>2506</v>
      </c>
      <c r="E7713" s="1" t="s">
        <v>2019</v>
      </c>
      <c r="F7713" s="1" t="s">
        <v>769</v>
      </c>
      <c r="G7713" s="47">
        <v>2542399</v>
      </c>
      <c r="H7713" t="str">
        <f>IFERROR(VLOOKUP(F7713,'LEAID Match'!$A$2:$B$142,2,FALSE),"")</f>
        <v/>
      </c>
    </row>
    <row r="7714" spans="1:8" x14ac:dyDescent="0.2">
      <c r="A7714" t="str">
        <f t="shared" si="120"/>
        <v/>
      </c>
      <c r="B7714" s="1">
        <v>2018</v>
      </c>
      <c r="C7714" s="1" t="s">
        <v>2505</v>
      </c>
      <c r="D7714" s="1" t="s">
        <v>2506</v>
      </c>
      <c r="E7714" s="1" t="s">
        <v>2019</v>
      </c>
      <c r="F7714" s="1" t="s">
        <v>769</v>
      </c>
      <c r="G7714" s="6">
        <v>2620532</v>
      </c>
      <c r="H7714" t="str">
        <f>IFERROR(VLOOKUP(F7714,'LEAID Match'!$A$2:$B$142,2,FALSE),"")</f>
        <v/>
      </c>
    </row>
    <row r="7715" spans="1:8" x14ac:dyDescent="0.2">
      <c r="A7715" t="str">
        <f t="shared" si="120"/>
        <v/>
      </c>
      <c r="B7715" s="1">
        <v>2019</v>
      </c>
      <c r="C7715" s="1" t="s">
        <v>2505</v>
      </c>
      <c r="D7715" s="1" t="s">
        <v>2506</v>
      </c>
      <c r="E7715" s="1" t="s">
        <v>2019</v>
      </c>
      <c r="F7715" s="1" t="s">
        <v>769</v>
      </c>
      <c r="G7715" s="6">
        <v>2648091</v>
      </c>
      <c r="H7715" t="str">
        <f>IFERROR(VLOOKUP(F7715,'LEAID Match'!$A$2:$B$142,2,FALSE),"")</f>
        <v/>
      </c>
    </row>
    <row r="7716" spans="1:8" x14ac:dyDescent="0.2">
      <c r="A7716" t="str">
        <f t="shared" si="120"/>
        <v/>
      </c>
      <c r="B7716" s="1">
        <v>2020</v>
      </c>
      <c r="C7716" s="1" t="s">
        <v>2505</v>
      </c>
      <c r="D7716" s="1" t="s">
        <v>2506</v>
      </c>
      <c r="E7716" s="1" t="s">
        <v>2019</v>
      </c>
      <c r="F7716" s="1" t="s">
        <v>769</v>
      </c>
      <c r="G7716" s="6">
        <v>3057812</v>
      </c>
      <c r="H7716" t="str">
        <f>IFERROR(VLOOKUP(F7716,'LEAID Match'!$A$2:$B$142,2,FALSE),"")</f>
        <v/>
      </c>
    </row>
    <row r="7717" spans="1:8" x14ac:dyDescent="0.2">
      <c r="A7717" t="str">
        <f t="shared" si="120"/>
        <v/>
      </c>
      <c r="B7717" s="1">
        <v>2021</v>
      </c>
      <c r="C7717" s="1" t="s">
        <v>2505</v>
      </c>
      <c r="D7717" s="1" t="s">
        <v>2506</v>
      </c>
      <c r="E7717" s="1" t="s">
        <v>2019</v>
      </c>
      <c r="F7717" s="1" t="s">
        <v>769</v>
      </c>
      <c r="G7717" s="6">
        <v>3065487</v>
      </c>
      <c r="H7717" t="str">
        <f>IFERROR(VLOOKUP(F7717,'LEAID Match'!$A$2:$B$142,2,FALSE),"")</f>
        <v/>
      </c>
    </row>
    <row r="7718" spans="1:8" x14ac:dyDescent="0.2">
      <c r="A7718" t="str">
        <f t="shared" si="120"/>
        <v/>
      </c>
      <c r="B7718" s="1">
        <v>2022</v>
      </c>
      <c r="C7718" s="1" t="s">
        <v>2505</v>
      </c>
      <c r="D7718" s="1" t="s">
        <v>2506</v>
      </c>
      <c r="E7718" s="1" t="s">
        <v>2019</v>
      </c>
      <c r="F7718" s="1" t="s">
        <v>769</v>
      </c>
      <c r="G7718" s="6">
        <v>3103504</v>
      </c>
      <c r="H7718" t="str">
        <f>IFERROR(VLOOKUP(F7718,'LEAID Match'!$A$2:$B$142,2,FALSE),"")</f>
        <v/>
      </c>
    </row>
    <row r="7719" spans="1:8" x14ac:dyDescent="0.2">
      <c r="A7719" t="str">
        <f t="shared" si="120"/>
        <v/>
      </c>
      <c r="B7719" s="1">
        <v>2023</v>
      </c>
      <c r="C7719" s="1" t="s">
        <v>2505</v>
      </c>
      <c r="D7719" s="1" t="s">
        <v>2506</v>
      </c>
      <c r="E7719" s="1" t="s">
        <v>2019</v>
      </c>
      <c r="F7719" s="1" t="s">
        <v>769</v>
      </c>
      <c r="G7719" s="6">
        <v>3502855</v>
      </c>
      <c r="H7719" t="str">
        <f>IFERROR(VLOOKUP(F7719,'LEAID Match'!$A$2:$B$142,2,FALSE),"")</f>
        <v/>
      </c>
    </row>
    <row r="7720" spans="1:8" x14ac:dyDescent="0.2">
      <c r="A7720" t="str">
        <f t="shared" si="120"/>
        <v/>
      </c>
      <c r="B7720" s="1">
        <v>2024</v>
      </c>
      <c r="C7720" s="1" t="s">
        <v>2505</v>
      </c>
      <c r="D7720" s="1" t="s">
        <v>2506</v>
      </c>
      <c r="E7720" s="1" t="s">
        <v>2019</v>
      </c>
      <c r="F7720" s="1" t="s">
        <v>769</v>
      </c>
      <c r="G7720" s="6">
        <v>3520466</v>
      </c>
      <c r="H7720" t="str">
        <f>IFERROR(VLOOKUP(F7720,'LEAID Match'!$A$2:$B$142,2,FALSE),"")</f>
        <v/>
      </c>
    </row>
    <row r="7721" spans="1:8" x14ac:dyDescent="0.2">
      <c r="A7721" t="str">
        <f t="shared" si="120"/>
        <v/>
      </c>
      <c r="B7721" s="1">
        <v>2015</v>
      </c>
      <c r="C7721" s="1" t="s">
        <v>2505</v>
      </c>
      <c r="D7721" s="1" t="s">
        <v>2506</v>
      </c>
      <c r="E7721" s="1" t="s">
        <v>2019</v>
      </c>
      <c r="F7721" s="1" t="s">
        <v>770</v>
      </c>
      <c r="G7721" s="6">
        <v>119982</v>
      </c>
      <c r="H7721" t="str">
        <f>IFERROR(VLOOKUP(F7721,'LEAID Match'!$A$2:$B$142,2,FALSE),"")</f>
        <v/>
      </c>
    </row>
    <row r="7722" spans="1:8" x14ac:dyDescent="0.2">
      <c r="A7722" t="str">
        <f t="shared" si="120"/>
        <v/>
      </c>
      <c r="B7722">
        <v>2016</v>
      </c>
      <c r="C7722" s="1" t="s">
        <v>2505</v>
      </c>
      <c r="D7722" s="1" t="s">
        <v>2506</v>
      </c>
      <c r="E7722" s="1" t="s">
        <v>2019</v>
      </c>
      <c r="F7722" s="1" t="s">
        <v>770</v>
      </c>
      <c r="G7722" s="12">
        <v>119276</v>
      </c>
      <c r="H7722" t="str">
        <f>IFERROR(VLOOKUP(F7722,'LEAID Match'!$A$2:$B$142,2,FALSE),"")</f>
        <v/>
      </c>
    </row>
    <row r="7723" spans="1:8" x14ac:dyDescent="0.2">
      <c r="A7723" t="str">
        <f t="shared" si="120"/>
        <v/>
      </c>
      <c r="B7723" s="1">
        <v>2017</v>
      </c>
      <c r="C7723" s="1" t="s">
        <v>2505</v>
      </c>
      <c r="D7723" s="1" t="s">
        <v>2506</v>
      </c>
      <c r="E7723" s="1" t="s">
        <v>2019</v>
      </c>
      <c r="F7723" s="1" t="s">
        <v>770</v>
      </c>
      <c r="G7723" s="47">
        <v>121363</v>
      </c>
      <c r="H7723" t="str">
        <f>IFERROR(VLOOKUP(F7723,'LEAID Match'!$A$2:$B$142,2,FALSE),"")</f>
        <v/>
      </c>
    </row>
    <row r="7724" spans="1:8" x14ac:dyDescent="0.2">
      <c r="A7724" t="str">
        <f t="shared" si="120"/>
        <v/>
      </c>
      <c r="B7724" s="1">
        <v>2018</v>
      </c>
      <c r="C7724" s="1" t="s">
        <v>2505</v>
      </c>
      <c r="D7724" s="1" t="s">
        <v>2506</v>
      </c>
      <c r="E7724" s="1" t="s">
        <v>2019</v>
      </c>
      <c r="F7724" s="1" t="s">
        <v>770</v>
      </c>
      <c r="G7724" s="6">
        <v>134657</v>
      </c>
      <c r="H7724" t="str">
        <f>IFERROR(VLOOKUP(F7724,'LEAID Match'!$A$2:$B$142,2,FALSE),"")</f>
        <v/>
      </c>
    </row>
    <row r="7725" spans="1:8" x14ac:dyDescent="0.2">
      <c r="A7725" t="str">
        <f t="shared" si="120"/>
        <v/>
      </c>
      <c r="B7725" s="1">
        <v>2019</v>
      </c>
      <c r="C7725" s="1" t="s">
        <v>2505</v>
      </c>
      <c r="D7725" s="1" t="s">
        <v>2506</v>
      </c>
      <c r="E7725" s="1" t="s">
        <v>2019</v>
      </c>
      <c r="F7725" s="1" t="s">
        <v>770</v>
      </c>
      <c r="G7725" s="6">
        <v>144614</v>
      </c>
      <c r="H7725" t="str">
        <f>IFERROR(VLOOKUP(F7725,'LEAID Match'!$A$2:$B$142,2,FALSE),"")</f>
        <v/>
      </c>
    </row>
    <row r="7726" spans="1:8" x14ac:dyDescent="0.2">
      <c r="A7726" t="str">
        <f t="shared" si="120"/>
        <v/>
      </c>
      <c r="B7726" s="1">
        <v>2020</v>
      </c>
      <c r="C7726" s="1" t="s">
        <v>2505</v>
      </c>
      <c r="D7726" s="1" t="s">
        <v>2506</v>
      </c>
      <c r="E7726" s="1" t="s">
        <v>2019</v>
      </c>
      <c r="F7726" s="1" t="s">
        <v>770</v>
      </c>
      <c r="G7726" s="6">
        <v>148674</v>
      </c>
      <c r="H7726" t="str">
        <f>IFERROR(VLOOKUP(F7726,'LEAID Match'!$A$2:$B$142,2,FALSE),"")</f>
        <v/>
      </c>
    </row>
    <row r="7727" spans="1:8" x14ac:dyDescent="0.2">
      <c r="A7727" t="str">
        <f t="shared" si="120"/>
        <v/>
      </c>
      <c r="B7727" s="1">
        <v>2021</v>
      </c>
      <c r="C7727" s="1" t="s">
        <v>2505</v>
      </c>
      <c r="D7727" s="1" t="s">
        <v>2506</v>
      </c>
      <c r="E7727" s="1" t="s">
        <v>2019</v>
      </c>
      <c r="F7727" s="1" t="s">
        <v>770</v>
      </c>
      <c r="G7727" s="6">
        <v>110125</v>
      </c>
      <c r="H7727" t="str">
        <f>IFERROR(VLOOKUP(F7727,'LEAID Match'!$A$2:$B$142,2,FALSE),"")</f>
        <v/>
      </c>
    </row>
    <row r="7728" spans="1:8" x14ac:dyDescent="0.2">
      <c r="A7728" t="str">
        <f t="shared" si="120"/>
        <v/>
      </c>
      <c r="B7728" s="1">
        <v>2022</v>
      </c>
      <c r="C7728" s="1" t="s">
        <v>2505</v>
      </c>
      <c r="D7728" s="1" t="s">
        <v>2506</v>
      </c>
      <c r="E7728" s="1" t="s">
        <v>2019</v>
      </c>
      <c r="F7728" s="1" t="s">
        <v>770</v>
      </c>
      <c r="G7728" s="6">
        <v>130234</v>
      </c>
      <c r="H7728" t="str">
        <f>IFERROR(VLOOKUP(F7728,'LEAID Match'!$A$2:$B$142,2,FALSE),"")</f>
        <v/>
      </c>
    </row>
    <row r="7729" spans="1:8" x14ac:dyDescent="0.2">
      <c r="A7729" t="str">
        <f t="shared" si="120"/>
        <v/>
      </c>
      <c r="B7729" s="1">
        <v>2023</v>
      </c>
      <c r="C7729" s="1" t="s">
        <v>2505</v>
      </c>
      <c r="D7729" s="1" t="s">
        <v>2506</v>
      </c>
      <c r="E7729" s="1" t="s">
        <v>2019</v>
      </c>
      <c r="F7729" s="1" t="s">
        <v>770</v>
      </c>
      <c r="G7729" s="6">
        <v>151762</v>
      </c>
      <c r="H7729" t="str">
        <f>IFERROR(VLOOKUP(F7729,'LEAID Match'!$A$2:$B$142,2,FALSE),"")</f>
        <v/>
      </c>
    </row>
    <row r="7730" spans="1:8" x14ac:dyDescent="0.2">
      <c r="A7730" t="str">
        <f t="shared" si="120"/>
        <v/>
      </c>
      <c r="B7730" s="1">
        <v>2024</v>
      </c>
      <c r="C7730" s="1" t="s">
        <v>2505</v>
      </c>
      <c r="D7730" s="1" t="s">
        <v>2506</v>
      </c>
      <c r="E7730" s="1" t="s">
        <v>2019</v>
      </c>
      <c r="F7730" s="1" t="s">
        <v>770</v>
      </c>
      <c r="G7730" s="6">
        <v>157913</v>
      </c>
      <c r="H7730" t="str">
        <f>IFERROR(VLOOKUP(F7730,'LEAID Match'!$A$2:$B$142,2,FALSE),"")</f>
        <v/>
      </c>
    </row>
    <row r="7731" spans="1:8" x14ac:dyDescent="0.2">
      <c r="A7731" t="str">
        <f t="shared" si="120"/>
        <v/>
      </c>
      <c r="B7731" s="1">
        <v>2015</v>
      </c>
      <c r="C7731" s="1" t="s">
        <v>2505</v>
      </c>
      <c r="D7731" s="1" t="s">
        <v>2506</v>
      </c>
      <c r="E7731" s="1" t="s">
        <v>2019</v>
      </c>
      <c r="F7731" s="1" t="s">
        <v>771</v>
      </c>
      <c r="G7731" s="6">
        <v>82510</v>
      </c>
      <c r="H7731" t="str">
        <f>IFERROR(VLOOKUP(F7731,'LEAID Match'!$A$2:$B$142,2,FALSE),"")</f>
        <v/>
      </c>
    </row>
    <row r="7732" spans="1:8" x14ac:dyDescent="0.2">
      <c r="A7732" t="str">
        <f t="shared" si="120"/>
        <v/>
      </c>
      <c r="B7732">
        <v>2016</v>
      </c>
      <c r="C7732" s="1" t="s">
        <v>2505</v>
      </c>
      <c r="D7732" s="1" t="s">
        <v>2506</v>
      </c>
      <c r="E7732" s="1" t="s">
        <v>2019</v>
      </c>
      <c r="F7732" s="1" t="s">
        <v>771</v>
      </c>
      <c r="G7732" s="12">
        <v>85273</v>
      </c>
      <c r="H7732" t="str">
        <f>IFERROR(VLOOKUP(F7732,'LEAID Match'!$A$2:$B$142,2,FALSE),"")</f>
        <v/>
      </c>
    </row>
    <row r="7733" spans="1:8" x14ac:dyDescent="0.2">
      <c r="A7733" t="str">
        <f t="shared" si="120"/>
        <v/>
      </c>
      <c r="B7733" s="1">
        <v>2017</v>
      </c>
      <c r="C7733" s="1" t="s">
        <v>2505</v>
      </c>
      <c r="D7733" s="1" t="s">
        <v>2506</v>
      </c>
      <c r="E7733" s="1" t="s">
        <v>2019</v>
      </c>
      <c r="F7733" s="1" t="s">
        <v>771</v>
      </c>
      <c r="G7733" s="47">
        <v>89033</v>
      </c>
      <c r="H7733" t="str">
        <f>IFERROR(VLOOKUP(F7733,'LEAID Match'!$A$2:$B$142,2,FALSE),"")</f>
        <v/>
      </c>
    </row>
    <row r="7734" spans="1:8" x14ac:dyDescent="0.2">
      <c r="A7734" t="str">
        <f t="shared" si="120"/>
        <v/>
      </c>
      <c r="B7734" s="1">
        <v>2018</v>
      </c>
      <c r="C7734" s="1" t="s">
        <v>2505</v>
      </c>
      <c r="D7734" s="1" t="s">
        <v>2506</v>
      </c>
      <c r="E7734" s="1" t="s">
        <v>2019</v>
      </c>
      <c r="F7734" s="1" t="s">
        <v>771</v>
      </c>
      <c r="G7734" s="6">
        <v>83396</v>
      </c>
      <c r="H7734" t="str">
        <f>IFERROR(VLOOKUP(F7734,'LEAID Match'!$A$2:$B$142,2,FALSE),"")</f>
        <v/>
      </c>
    </row>
    <row r="7735" spans="1:8" x14ac:dyDescent="0.2">
      <c r="A7735" t="str">
        <f t="shared" si="120"/>
        <v/>
      </c>
      <c r="B7735" s="1">
        <v>2019</v>
      </c>
      <c r="C7735" s="1" t="s">
        <v>2505</v>
      </c>
      <c r="D7735" s="1" t="s">
        <v>2506</v>
      </c>
      <c r="E7735" s="1" t="s">
        <v>2019</v>
      </c>
      <c r="F7735" s="1" t="s">
        <v>771</v>
      </c>
      <c r="G7735" s="6">
        <v>77947</v>
      </c>
      <c r="H7735" t="str">
        <f>IFERROR(VLOOKUP(F7735,'LEAID Match'!$A$2:$B$142,2,FALSE),"")</f>
        <v/>
      </c>
    </row>
    <row r="7736" spans="1:8" x14ac:dyDescent="0.2">
      <c r="A7736" t="str">
        <f t="shared" si="120"/>
        <v/>
      </c>
      <c r="B7736" s="1">
        <v>2020</v>
      </c>
      <c r="C7736" s="1" t="s">
        <v>2505</v>
      </c>
      <c r="D7736" s="1" t="s">
        <v>2506</v>
      </c>
      <c r="E7736" s="1" t="s">
        <v>2019</v>
      </c>
      <c r="F7736" s="1" t="s">
        <v>771</v>
      </c>
      <c r="G7736" s="6">
        <v>82014</v>
      </c>
      <c r="H7736" t="str">
        <f>IFERROR(VLOOKUP(F7736,'LEAID Match'!$A$2:$B$142,2,FALSE),"")</f>
        <v/>
      </c>
    </row>
    <row r="7737" spans="1:8" x14ac:dyDescent="0.2">
      <c r="A7737" t="str">
        <f t="shared" si="120"/>
        <v/>
      </c>
      <c r="B7737" s="1">
        <v>2021</v>
      </c>
      <c r="C7737" s="1" t="s">
        <v>2505</v>
      </c>
      <c r="D7737" s="1" t="s">
        <v>2506</v>
      </c>
      <c r="E7737" s="1" t="s">
        <v>2019</v>
      </c>
      <c r="F7737" s="1" t="s">
        <v>771</v>
      </c>
      <c r="G7737" s="6">
        <v>90140</v>
      </c>
      <c r="H7737" t="str">
        <f>IFERROR(VLOOKUP(F7737,'LEAID Match'!$A$2:$B$142,2,FALSE),"")</f>
        <v/>
      </c>
    </row>
    <row r="7738" spans="1:8" x14ac:dyDescent="0.2">
      <c r="A7738" t="str">
        <f t="shared" si="120"/>
        <v/>
      </c>
      <c r="B7738" s="1">
        <v>2022</v>
      </c>
      <c r="C7738" s="1" t="s">
        <v>2505</v>
      </c>
      <c r="D7738" s="1" t="s">
        <v>2506</v>
      </c>
      <c r="E7738" s="1" t="s">
        <v>2019</v>
      </c>
      <c r="F7738" s="1" t="s">
        <v>771</v>
      </c>
      <c r="G7738" s="6">
        <v>95412</v>
      </c>
      <c r="H7738" t="str">
        <f>IFERROR(VLOOKUP(F7738,'LEAID Match'!$A$2:$B$142,2,FALSE),"")</f>
        <v/>
      </c>
    </row>
    <row r="7739" spans="1:8" x14ac:dyDescent="0.2">
      <c r="A7739" t="str">
        <f t="shared" si="120"/>
        <v/>
      </c>
      <c r="B7739" s="1">
        <v>2023</v>
      </c>
      <c r="C7739" s="1" t="s">
        <v>2505</v>
      </c>
      <c r="D7739" s="1" t="s">
        <v>2506</v>
      </c>
      <c r="E7739" s="1" t="s">
        <v>2019</v>
      </c>
      <c r="F7739" s="1" t="s">
        <v>771</v>
      </c>
      <c r="G7739" s="6">
        <v>102266</v>
      </c>
      <c r="H7739" t="str">
        <f>IFERROR(VLOOKUP(F7739,'LEAID Match'!$A$2:$B$142,2,FALSE),"")</f>
        <v/>
      </c>
    </row>
    <row r="7740" spans="1:8" x14ac:dyDescent="0.2">
      <c r="A7740" t="str">
        <f t="shared" si="120"/>
        <v/>
      </c>
      <c r="B7740" s="1">
        <v>2024</v>
      </c>
      <c r="C7740" s="1" t="s">
        <v>2505</v>
      </c>
      <c r="D7740" s="1" t="s">
        <v>2506</v>
      </c>
      <c r="E7740" s="1" t="s">
        <v>2019</v>
      </c>
      <c r="F7740" s="1" t="s">
        <v>771</v>
      </c>
      <c r="G7740" s="6">
        <v>105627</v>
      </c>
      <c r="H7740" t="str">
        <f>IFERROR(VLOOKUP(F7740,'LEAID Match'!$A$2:$B$142,2,FALSE),"")</f>
        <v/>
      </c>
    </row>
    <row r="7741" spans="1:8" x14ac:dyDescent="0.2">
      <c r="A7741">
        <f t="shared" si="120"/>
        <v>2804320</v>
      </c>
      <c r="B7741" s="1">
        <v>2015</v>
      </c>
      <c r="C7741" s="1" t="s">
        <v>2505</v>
      </c>
      <c r="D7741" s="1" t="s">
        <v>2506</v>
      </c>
      <c r="E7741" s="1" t="s">
        <v>2019</v>
      </c>
      <c r="F7741" s="1" t="s">
        <v>772</v>
      </c>
      <c r="G7741" s="6">
        <v>6045883</v>
      </c>
      <c r="H7741">
        <f>IFERROR(VLOOKUP(F7741,'LEAID Match'!$A$2:$B$142,2,FALSE),"")</f>
        <v>2804320</v>
      </c>
    </row>
    <row r="7742" spans="1:8" x14ac:dyDescent="0.2">
      <c r="A7742">
        <f t="shared" si="120"/>
        <v>2804320</v>
      </c>
      <c r="B7742">
        <v>2016</v>
      </c>
      <c r="C7742" s="1" t="s">
        <v>2505</v>
      </c>
      <c r="D7742" s="1" t="s">
        <v>2506</v>
      </c>
      <c r="E7742" s="1" t="s">
        <v>2019</v>
      </c>
      <c r="F7742" s="1" t="s">
        <v>772</v>
      </c>
      <c r="G7742" s="12">
        <v>6132438</v>
      </c>
      <c r="H7742">
        <f>IFERROR(VLOOKUP(F7742,'LEAID Match'!$A$2:$B$142,2,FALSE),"")</f>
        <v>2804320</v>
      </c>
    </row>
    <row r="7743" spans="1:8" x14ac:dyDescent="0.2">
      <c r="A7743">
        <f t="shared" si="120"/>
        <v>2804320</v>
      </c>
      <c r="B7743" s="1">
        <v>2017</v>
      </c>
      <c r="C7743" s="1" t="s">
        <v>2505</v>
      </c>
      <c r="D7743" s="1" t="s">
        <v>2506</v>
      </c>
      <c r="E7743" s="1" t="s">
        <v>2019</v>
      </c>
      <c r="F7743" s="1" t="s">
        <v>772</v>
      </c>
      <c r="G7743" s="47">
        <v>6042050</v>
      </c>
      <c r="H7743">
        <f>IFERROR(VLOOKUP(F7743,'LEAID Match'!$A$2:$B$142,2,FALSE),"")</f>
        <v>2804320</v>
      </c>
    </row>
    <row r="7744" spans="1:8" x14ac:dyDescent="0.2">
      <c r="A7744">
        <f t="shared" si="120"/>
        <v>2804320</v>
      </c>
      <c r="B7744" s="1">
        <v>2018</v>
      </c>
      <c r="C7744" s="1" t="s">
        <v>2505</v>
      </c>
      <c r="D7744" s="1" t="s">
        <v>2506</v>
      </c>
      <c r="E7744" s="1" t="s">
        <v>2019</v>
      </c>
      <c r="F7744" s="1" t="s">
        <v>772</v>
      </c>
      <c r="G7744" s="6">
        <v>6104085</v>
      </c>
      <c r="H7744">
        <f>IFERROR(VLOOKUP(F7744,'LEAID Match'!$A$2:$B$142,2,FALSE),"")</f>
        <v>2804320</v>
      </c>
    </row>
    <row r="7745" spans="1:8" x14ac:dyDescent="0.2">
      <c r="A7745">
        <f t="shared" si="120"/>
        <v>2804320</v>
      </c>
      <c r="B7745" s="1">
        <v>2019</v>
      </c>
      <c r="C7745" s="1" t="s">
        <v>2505</v>
      </c>
      <c r="D7745" s="1" t="s">
        <v>2506</v>
      </c>
      <c r="E7745" s="1" t="s">
        <v>2019</v>
      </c>
      <c r="F7745" s="1" t="s">
        <v>772</v>
      </c>
      <c r="G7745" s="6">
        <v>6138793</v>
      </c>
      <c r="H7745">
        <f>IFERROR(VLOOKUP(F7745,'LEAID Match'!$A$2:$B$142,2,FALSE),"")</f>
        <v>2804320</v>
      </c>
    </row>
    <row r="7746" spans="1:8" x14ac:dyDescent="0.2">
      <c r="A7746">
        <f t="shared" si="120"/>
        <v>2804320</v>
      </c>
      <c r="B7746" s="1">
        <v>2020</v>
      </c>
      <c r="C7746" s="1" t="s">
        <v>2505</v>
      </c>
      <c r="D7746" s="1" t="s">
        <v>2506</v>
      </c>
      <c r="E7746" s="1" t="s">
        <v>2019</v>
      </c>
      <c r="F7746" s="1" t="s">
        <v>772</v>
      </c>
      <c r="G7746" s="6">
        <v>7111192</v>
      </c>
      <c r="H7746">
        <f>IFERROR(VLOOKUP(F7746,'LEAID Match'!$A$2:$B$142,2,FALSE),"")</f>
        <v>2804320</v>
      </c>
    </row>
    <row r="7747" spans="1:8" x14ac:dyDescent="0.2">
      <c r="A7747">
        <f t="shared" ref="A7747:A7810" si="121">H7747</f>
        <v>2804320</v>
      </c>
      <c r="B7747" s="1">
        <v>2021</v>
      </c>
      <c r="C7747" s="1" t="s">
        <v>2505</v>
      </c>
      <c r="D7747" s="1" t="s">
        <v>2506</v>
      </c>
      <c r="E7747" s="1" t="s">
        <v>2019</v>
      </c>
      <c r="F7747" s="1" t="s">
        <v>772</v>
      </c>
      <c r="G7747" s="6">
        <v>7198677</v>
      </c>
      <c r="H7747">
        <f>IFERROR(VLOOKUP(F7747,'LEAID Match'!$A$2:$B$142,2,FALSE),"")</f>
        <v>2804320</v>
      </c>
    </row>
    <row r="7748" spans="1:8" x14ac:dyDescent="0.2">
      <c r="A7748">
        <f t="shared" si="121"/>
        <v>2804320</v>
      </c>
      <c r="B7748" s="1">
        <v>2022</v>
      </c>
      <c r="C7748" s="1" t="s">
        <v>2505</v>
      </c>
      <c r="D7748" s="1" t="s">
        <v>2506</v>
      </c>
      <c r="E7748" s="1" t="s">
        <v>2019</v>
      </c>
      <c r="F7748" s="1" t="s">
        <v>772</v>
      </c>
      <c r="G7748" s="6">
        <v>7976959</v>
      </c>
      <c r="H7748">
        <f>IFERROR(VLOOKUP(F7748,'LEAID Match'!$A$2:$B$142,2,FALSE),"")</f>
        <v>2804320</v>
      </c>
    </row>
    <row r="7749" spans="1:8" x14ac:dyDescent="0.2">
      <c r="A7749">
        <f t="shared" si="121"/>
        <v>2804320</v>
      </c>
      <c r="B7749" s="1">
        <v>2023</v>
      </c>
      <c r="C7749" s="1" t="s">
        <v>2505</v>
      </c>
      <c r="D7749" s="1" t="s">
        <v>2506</v>
      </c>
      <c r="E7749" s="1" t="s">
        <v>2019</v>
      </c>
      <c r="F7749" s="1" t="s">
        <v>772</v>
      </c>
      <c r="G7749" s="6">
        <v>8869095</v>
      </c>
      <c r="H7749">
        <f>IFERROR(VLOOKUP(F7749,'LEAID Match'!$A$2:$B$142,2,FALSE),"")</f>
        <v>2804320</v>
      </c>
    </row>
    <row r="7750" spans="1:8" x14ac:dyDescent="0.2">
      <c r="A7750">
        <f t="shared" si="121"/>
        <v>2804320</v>
      </c>
      <c r="B7750" s="1">
        <v>2024</v>
      </c>
      <c r="C7750" s="1" t="s">
        <v>2505</v>
      </c>
      <c r="D7750" s="1" t="s">
        <v>2506</v>
      </c>
      <c r="E7750" s="1" t="s">
        <v>2019</v>
      </c>
      <c r="F7750" s="1" t="s">
        <v>772</v>
      </c>
      <c r="G7750" s="6">
        <v>8924247</v>
      </c>
      <c r="H7750">
        <f>IFERROR(VLOOKUP(F7750,'LEAID Match'!$A$2:$B$142,2,FALSE),"")</f>
        <v>2804320</v>
      </c>
    </row>
    <row r="7751" spans="1:8" x14ac:dyDescent="0.2">
      <c r="A7751" t="str">
        <f t="shared" si="121"/>
        <v/>
      </c>
      <c r="B7751" s="1">
        <v>2015</v>
      </c>
      <c r="C7751" s="1" t="s">
        <v>2505</v>
      </c>
      <c r="D7751" s="1" t="s">
        <v>2506</v>
      </c>
      <c r="E7751" s="1" t="s">
        <v>2019</v>
      </c>
      <c r="F7751" s="1" t="s">
        <v>773</v>
      </c>
      <c r="G7751" s="6">
        <v>508214</v>
      </c>
      <c r="H7751" t="str">
        <f>IFERROR(VLOOKUP(F7751,'LEAID Match'!$A$2:$B$142,2,FALSE),"")</f>
        <v/>
      </c>
    </row>
    <row r="7752" spans="1:8" x14ac:dyDescent="0.2">
      <c r="A7752" t="str">
        <f t="shared" si="121"/>
        <v/>
      </c>
      <c r="B7752">
        <v>2016</v>
      </c>
      <c r="C7752" s="1" t="s">
        <v>2505</v>
      </c>
      <c r="D7752" s="1" t="s">
        <v>2506</v>
      </c>
      <c r="E7752" s="1" t="s">
        <v>2019</v>
      </c>
      <c r="F7752" s="1" t="s">
        <v>773</v>
      </c>
      <c r="G7752" s="12">
        <v>520710</v>
      </c>
      <c r="H7752" t="str">
        <f>IFERROR(VLOOKUP(F7752,'LEAID Match'!$A$2:$B$142,2,FALSE),"")</f>
        <v/>
      </c>
    </row>
    <row r="7753" spans="1:8" x14ac:dyDescent="0.2">
      <c r="A7753" t="str">
        <f t="shared" si="121"/>
        <v/>
      </c>
      <c r="B7753" s="1">
        <v>2017</v>
      </c>
      <c r="C7753" s="1" t="s">
        <v>2505</v>
      </c>
      <c r="D7753" s="1" t="s">
        <v>2506</v>
      </c>
      <c r="E7753" s="1" t="s">
        <v>2019</v>
      </c>
      <c r="F7753" s="1" t="s">
        <v>773</v>
      </c>
      <c r="G7753" s="47">
        <v>542979</v>
      </c>
      <c r="H7753" t="str">
        <f>IFERROR(VLOOKUP(F7753,'LEAID Match'!$A$2:$B$142,2,FALSE),"")</f>
        <v/>
      </c>
    </row>
    <row r="7754" spans="1:8" x14ac:dyDescent="0.2">
      <c r="A7754" t="str">
        <f t="shared" si="121"/>
        <v/>
      </c>
      <c r="B7754" s="1">
        <v>2018</v>
      </c>
      <c r="C7754" s="1" t="s">
        <v>2505</v>
      </c>
      <c r="D7754" s="1" t="s">
        <v>2506</v>
      </c>
      <c r="E7754" s="1" t="s">
        <v>2019</v>
      </c>
      <c r="F7754" s="1" t="s">
        <v>773</v>
      </c>
      <c r="G7754" s="6">
        <v>556463</v>
      </c>
      <c r="H7754" t="str">
        <f>IFERROR(VLOOKUP(F7754,'LEAID Match'!$A$2:$B$142,2,FALSE),"")</f>
        <v/>
      </c>
    </row>
    <row r="7755" spans="1:8" x14ac:dyDescent="0.2">
      <c r="A7755" t="str">
        <f t="shared" si="121"/>
        <v/>
      </c>
      <c r="B7755" s="1">
        <v>2019</v>
      </c>
      <c r="C7755" s="1" t="s">
        <v>2505</v>
      </c>
      <c r="D7755" s="1" t="s">
        <v>2506</v>
      </c>
      <c r="E7755" s="1" t="s">
        <v>2019</v>
      </c>
      <c r="F7755" s="1" t="s">
        <v>773</v>
      </c>
      <c r="G7755" s="6">
        <v>569922</v>
      </c>
      <c r="H7755" t="str">
        <f>IFERROR(VLOOKUP(F7755,'LEAID Match'!$A$2:$B$142,2,FALSE),"")</f>
        <v/>
      </c>
    </row>
    <row r="7756" spans="1:8" x14ac:dyDescent="0.2">
      <c r="A7756" t="str">
        <f t="shared" si="121"/>
        <v/>
      </c>
      <c r="B7756" s="1">
        <v>2020</v>
      </c>
      <c r="C7756" s="1" t="s">
        <v>2505</v>
      </c>
      <c r="D7756" s="1" t="s">
        <v>2506</v>
      </c>
      <c r="E7756" s="1" t="s">
        <v>2019</v>
      </c>
      <c r="F7756" s="1" t="s">
        <v>773</v>
      </c>
      <c r="G7756" s="6">
        <v>624680</v>
      </c>
      <c r="H7756" t="str">
        <f>IFERROR(VLOOKUP(F7756,'LEAID Match'!$A$2:$B$142,2,FALSE),"")</f>
        <v/>
      </c>
    </row>
    <row r="7757" spans="1:8" x14ac:dyDescent="0.2">
      <c r="A7757" t="str">
        <f t="shared" si="121"/>
        <v/>
      </c>
      <c r="B7757" s="1">
        <v>2021</v>
      </c>
      <c r="C7757" s="1" t="s">
        <v>2505</v>
      </c>
      <c r="D7757" s="1" t="s">
        <v>2506</v>
      </c>
      <c r="E7757" s="1" t="s">
        <v>2019</v>
      </c>
      <c r="F7757" s="1" t="s">
        <v>773</v>
      </c>
      <c r="G7757" s="6">
        <v>620245</v>
      </c>
      <c r="H7757" t="str">
        <f>IFERROR(VLOOKUP(F7757,'LEAID Match'!$A$2:$B$142,2,FALSE),"")</f>
        <v/>
      </c>
    </row>
    <row r="7758" spans="1:8" x14ac:dyDescent="0.2">
      <c r="A7758" t="str">
        <f t="shared" si="121"/>
        <v/>
      </c>
      <c r="B7758" s="1">
        <v>2022</v>
      </c>
      <c r="C7758" s="1" t="s">
        <v>2505</v>
      </c>
      <c r="D7758" s="1" t="s">
        <v>2506</v>
      </c>
      <c r="E7758" s="1" t="s">
        <v>2019</v>
      </c>
      <c r="F7758" s="1" t="s">
        <v>773</v>
      </c>
      <c r="G7758" s="6">
        <v>624543</v>
      </c>
      <c r="H7758" t="str">
        <f>IFERROR(VLOOKUP(F7758,'LEAID Match'!$A$2:$B$142,2,FALSE),"")</f>
        <v/>
      </c>
    </row>
    <row r="7759" spans="1:8" x14ac:dyDescent="0.2">
      <c r="A7759" t="str">
        <f t="shared" si="121"/>
        <v/>
      </c>
      <c r="B7759" s="1">
        <v>2023</v>
      </c>
      <c r="C7759" s="1" t="s">
        <v>2505</v>
      </c>
      <c r="D7759" s="1" t="s">
        <v>2506</v>
      </c>
      <c r="E7759" s="1" t="s">
        <v>2019</v>
      </c>
      <c r="F7759" s="1" t="s">
        <v>773</v>
      </c>
      <c r="G7759" s="6">
        <v>680704</v>
      </c>
      <c r="H7759" t="str">
        <f>IFERROR(VLOOKUP(F7759,'LEAID Match'!$A$2:$B$142,2,FALSE),"")</f>
        <v/>
      </c>
    </row>
    <row r="7760" spans="1:8" x14ac:dyDescent="0.2">
      <c r="A7760" t="str">
        <f t="shared" si="121"/>
        <v/>
      </c>
      <c r="B7760" s="1">
        <v>2024</v>
      </c>
      <c r="C7760" s="1" t="s">
        <v>2505</v>
      </c>
      <c r="D7760" s="1" t="s">
        <v>2506</v>
      </c>
      <c r="E7760" s="1" t="s">
        <v>2019</v>
      </c>
      <c r="F7760" s="1" t="s">
        <v>773</v>
      </c>
      <c r="G7760" s="6">
        <v>690163</v>
      </c>
      <c r="H7760" t="str">
        <f>IFERROR(VLOOKUP(F7760,'LEAID Match'!$A$2:$B$142,2,FALSE),"")</f>
        <v/>
      </c>
    </row>
    <row r="7761" spans="1:8" x14ac:dyDescent="0.2">
      <c r="A7761" t="str">
        <f t="shared" si="121"/>
        <v/>
      </c>
      <c r="B7761" s="1">
        <v>2015</v>
      </c>
      <c r="C7761" s="1" t="s">
        <v>2505</v>
      </c>
      <c r="D7761" s="1" t="s">
        <v>2506</v>
      </c>
      <c r="E7761" s="1" t="s">
        <v>2019</v>
      </c>
      <c r="F7761" s="1" t="s">
        <v>774</v>
      </c>
      <c r="G7761" s="6">
        <v>76644</v>
      </c>
      <c r="H7761" t="str">
        <f>IFERROR(VLOOKUP(F7761,'LEAID Match'!$A$2:$B$142,2,FALSE),"")</f>
        <v/>
      </c>
    </row>
    <row r="7762" spans="1:8" x14ac:dyDescent="0.2">
      <c r="A7762" t="str">
        <f t="shared" si="121"/>
        <v/>
      </c>
      <c r="B7762">
        <v>2016</v>
      </c>
      <c r="C7762" s="1" t="s">
        <v>2505</v>
      </c>
      <c r="D7762" s="1" t="s">
        <v>2506</v>
      </c>
      <c r="E7762" s="1" t="s">
        <v>2019</v>
      </c>
      <c r="F7762" s="1" t="s">
        <v>774</v>
      </c>
      <c r="G7762" s="12">
        <v>72801</v>
      </c>
      <c r="H7762" t="str">
        <f>IFERROR(VLOOKUP(F7762,'LEAID Match'!$A$2:$B$142,2,FALSE),"")</f>
        <v/>
      </c>
    </row>
    <row r="7763" spans="1:8" x14ac:dyDescent="0.2">
      <c r="A7763" t="str">
        <f t="shared" si="121"/>
        <v/>
      </c>
      <c r="B7763" s="1">
        <v>2017</v>
      </c>
      <c r="C7763" s="1" t="s">
        <v>2505</v>
      </c>
      <c r="D7763" s="1" t="s">
        <v>2506</v>
      </c>
      <c r="E7763" s="1" t="s">
        <v>2019</v>
      </c>
      <c r="F7763" s="1" t="s">
        <v>774</v>
      </c>
      <c r="G7763" s="47">
        <v>80052</v>
      </c>
      <c r="H7763" t="str">
        <f>IFERROR(VLOOKUP(F7763,'LEAID Match'!$A$2:$B$142,2,FALSE),"")</f>
        <v/>
      </c>
    </row>
    <row r="7764" spans="1:8" x14ac:dyDescent="0.2">
      <c r="A7764" t="str">
        <f t="shared" si="121"/>
        <v/>
      </c>
      <c r="B7764" s="1">
        <v>2018</v>
      </c>
      <c r="C7764" s="1" t="s">
        <v>2505</v>
      </c>
      <c r="D7764" s="1" t="s">
        <v>2506</v>
      </c>
      <c r="E7764" s="1" t="s">
        <v>2019</v>
      </c>
      <c r="F7764" s="1" t="s">
        <v>774</v>
      </c>
      <c r="G7764" s="6">
        <v>77292</v>
      </c>
      <c r="H7764" t="str">
        <f>IFERROR(VLOOKUP(F7764,'LEAID Match'!$A$2:$B$142,2,FALSE),"")</f>
        <v/>
      </c>
    </row>
    <row r="7765" spans="1:8" x14ac:dyDescent="0.2">
      <c r="A7765" t="str">
        <f t="shared" si="121"/>
        <v/>
      </c>
      <c r="B7765" s="1">
        <v>2019</v>
      </c>
      <c r="C7765" s="1" t="s">
        <v>2505</v>
      </c>
      <c r="D7765" s="1" t="s">
        <v>2506</v>
      </c>
      <c r="E7765" s="1" t="s">
        <v>2019</v>
      </c>
      <c r="F7765" s="1" t="s">
        <v>774</v>
      </c>
      <c r="G7765" s="6">
        <v>98944</v>
      </c>
      <c r="H7765" t="str">
        <f>IFERROR(VLOOKUP(F7765,'LEAID Match'!$A$2:$B$142,2,FALSE),"")</f>
        <v/>
      </c>
    </row>
    <row r="7766" spans="1:8" x14ac:dyDescent="0.2">
      <c r="A7766" t="str">
        <f t="shared" si="121"/>
        <v/>
      </c>
      <c r="B7766" s="1">
        <v>2020</v>
      </c>
      <c r="C7766" s="1" t="s">
        <v>2505</v>
      </c>
      <c r="D7766" s="1" t="s">
        <v>2506</v>
      </c>
      <c r="E7766" s="1" t="s">
        <v>2019</v>
      </c>
      <c r="F7766" s="1" t="s">
        <v>774</v>
      </c>
      <c r="G7766" s="6">
        <v>100773</v>
      </c>
      <c r="H7766" t="str">
        <f>IFERROR(VLOOKUP(F7766,'LEAID Match'!$A$2:$B$142,2,FALSE),"")</f>
        <v/>
      </c>
    </row>
    <row r="7767" spans="1:8" x14ac:dyDescent="0.2">
      <c r="A7767" t="str">
        <f t="shared" si="121"/>
        <v/>
      </c>
      <c r="B7767" s="1">
        <v>2021</v>
      </c>
      <c r="C7767" s="1" t="s">
        <v>2505</v>
      </c>
      <c r="D7767" s="1" t="s">
        <v>2506</v>
      </c>
      <c r="E7767" s="1" t="s">
        <v>2019</v>
      </c>
      <c r="F7767" s="1" t="s">
        <v>774</v>
      </c>
      <c r="G7767" s="6">
        <v>104999</v>
      </c>
      <c r="H7767" t="str">
        <f>IFERROR(VLOOKUP(F7767,'LEAID Match'!$A$2:$B$142,2,FALSE),"")</f>
        <v/>
      </c>
    </row>
    <row r="7768" spans="1:8" x14ac:dyDescent="0.2">
      <c r="A7768" t="str">
        <f t="shared" si="121"/>
        <v/>
      </c>
      <c r="B7768" s="1">
        <v>2022</v>
      </c>
      <c r="C7768" s="1" t="s">
        <v>2505</v>
      </c>
      <c r="D7768" s="1" t="s">
        <v>2506</v>
      </c>
      <c r="E7768" s="1" t="s">
        <v>2019</v>
      </c>
      <c r="F7768" s="1" t="s">
        <v>774</v>
      </c>
      <c r="G7768" s="6">
        <v>111838</v>
      </c>
      <c r="H7768" t="str">
        <f>IFERROR(VLOOKUP(F7768,'LEAID Match'!$A$2:$B$142,2,FALSE),"")</f>
        <v/>
      </c>
    </row>
    <row r="7769" spans="1:8" x14ac:dyDescent="0.2">
      <c r="A7769" t="str">
        <f t="shared" si="121"/>
        <v/>
      </c>
      <c r="B7769" s="1">
        <v>2023</v>
      </c>
      <c r="C7769" s="1" t="s">
        <v>2505</v>
      </c>
      <c r="D7769" s="1" t="s">
        <v>2506</v>
      </c>
      <c r="E7769" s="1" t="s">
        <v>2019</v>
      </c>
      <c r="F7769" s="1" t="s">
        <v>774</v>
      </c>
      <c r="G7769" s="6">
        <v>104919</v>
      </c>
      <c r="H7769" t="str">
        <f>IFERROR(VLOOKUP(F7769,'LEAID Match'!$A$2:$B$142,2,FALSE),"")</f>
        <v/>
      </c>
    </row>
    <row r="7770" spans="1:8" x14ac:dyDescent="0.2">
      <c r="A7770" t="str">
        <f t="shared" si="121"/>
        <v/>
      </c>
      <c r="B7770" s="1">
        <v>2024</v>
      </c>
      <c r="C7770" s="1" t="s">
        <v>2505</v>
      </c>
      <c r="D7770" s="1" t="s">
        <v>2506</v>
      </c>
      <c r="E7770" s="1" t="s">
        <v>2019</v>
      </c>
      <c r="F7770" s="1" t="s">
        <v>774</v>
      </c>
      <c r="G7770" s="6">
        <v>117764</v>
      </c>
      <c r="H7770" t="str">
        <f>IFERROR(VLOOKUP(F7770,'LEAID Match'!$A$2:$B$142,2,FALSE),"")</f>
        <v/>
      </c>
    </row>
    <row r="7771" spans="1:8" x14ac:dyDescent="0.2">
      <c r="A7771" t="str">
        <f t="shared" si="121"/>
        <v/>
      </c>
      <c r="B7771" s="1">
        <v>2015</v>
      </c>
      <c r="C7771" s="1" t="s">
        <v>2505</v>
      </c>
      <c r="D7771" s="1" t="s">
        <v>2506</v>
      </c>
      <c r="E7771" s="1" t="s">
        <v>2019</v>
      </c>
      <c r="F7771" s="1" t="s">
        <v>775</v>
      </c>
      <c r="G7771" s="6">
        <v>84573</v>
      </c>
      <c r="H7771" t="str">
        <f>IFERROR(VLOOKUP(F7771,'LEAID Match'!$A$2:$B$142,2,FALSE),"")</f>
        <v/>
      </c>
    </row>
    <row r="7772" spans="1:8" x14ac:dyDescent="0.2">
      <c r="A7772" t="str">
        <f t="shared" si="121"/>
        <v/>
      </c>
      <c r="B7772">
        <v>2016</v>
      </c>
      <c r="C7772" s="1" t="s">
        <v>2505</v>
      </c>
      <c r="D7772" s="1" t="s">
        <v>2506</v>
      </c>
      <c r="E7772" s="1" t="s">
        <v>2019</v>
      </c>
      <c r="F7772" s="1" t="s">
        <v>775</v>
      </c>
      <c r="G7772" s="12">
        <v>86921</v>
      </c>
      <c r="H7772" t="str">
        <f>IFERROR(VLOOKUP(F7772,'LEAID Match'!$A$2:$B$142,2,FALSE),"")</f>
        <v/>
      </c>
    </row>
    <row r="7773" spans="1:8" x14ac:dyDescent="0.2">
      <c r="A7773" t="str">
        <f t="shared" si="121"/>
        <v/>
      </c>
      <c r="B7773" s="1">
        <v>2017</v>
      </c>
      <c r="C7773" s="1" t="s">
        <v>2505</v>
      </c>
      <c r="D7773" s="1" t="s">
        <v>2506</v>
      </c>
      <c r="E7773" s="1" t="s">
        <v>2019</v>
      </c>
      <c r="F7773" s="1" t="s">
        <v>775</v>
      </c>
      <c r="G7773" s="47">
        <v>95437</v>
      </c>
      <c r="H7773" t="str">
        <f>IFERROR(VLOOKUP(F7773,'LEAID Match'!$A$2:$B$142,2,FALSE),"")</f>
        <v/>
      </c>
    </row>
    <row r="7774" spans="1:8" x14ac:dyDescent="0.2">
      <c r="A7774" t="str">
        <f t="shared" si="121"/>
        <v/>
      </c>
      <c r="B7774" s="1">
        <v>2018</v>
      </c>
      <c r="C7774" s="1" t="s">
        <v>2505</v>
      </c>
      <c r="D7774" s="1" t="s">
        <v>2506</v>
      </c>
      <c r="E7774" s="1" t="s">
        <v>2019</v>
      </c>
      <c r="F7774" s="1" t="s">
        <v>775</v>
      </c>
      <c r="G7774" s="6">
        <v>97230</v>
      </c>
      <c r="H7774" t="str">
        <f>IFERROR(VLOOKUP(F7774,'LEAID Match'!$A$2:$B$142,2,FALSE),"")</f>
        <v/>
      </c>
    </row>
    <row r="7775" spans="1:8" x14ac:dyDescent="0.2">
      <c r="A7775" t="str">
        <f t="shared" si="121"/>
        <v/>
      </c>
      <c r="B7775" s="1">
        <v>2019</v>
      </c>
      <c r="C7775" s="1" t="s">
        <v>2505</v>
      </c>
      <c r="D7775" s="1" t="s">
        <v>2506</v>
      </c>
      <c r="E7775" s="1" t="s">
        <v>2019</v>
      </c>
      <c r="F7775" s="1" t="s">
        <v>775</v>
      </c>
      <c r="G7775" s="6">
        <v>118391</v>
      </c>
      <c r="H7775" t="str">
        <f>IFERROR(VLOOKUP(F7775,'LEAID Match'!$A$2:$B$142,2,FALSE),"")</f>
        <v/>
      </c>
    </row>
    <row r="7776" spans="1:8" x14ac:dyDescent="0.2">
      <c r="A7776" t="str">
        <f t="shared" si="121"/>
        <v/>
      </c>
      <c r="B7776" s="1">
        <v>2020</v>
      </c>
      <c r="C7776" s="1" t="s">
        <v>2505</v>
      </c>
      <c r="D7776" s="1" t="s">
        <v>2506</v>
      </c>
      <c r="E7776" s="1" t="s">
        <v>2019</v>
      </c>
      <c r="F7776" s="1" t="s">
        <v>775</v>
      </c>
      <c r="G7776" s="6">
        <v>128726</v>
      </c>
      <c r="H7776" t="str">
        <f>IFERROR(VLOOKUP(F7776,'LEAID Match'!$A$2:$B$142,2,FALSE),"")</f>
        <v/>
      </c>
    </row>
    <row r="7777" spans="1:8" x14ac:dyDescent="0.2">
      <c r="A7777" t="str">
        <f t="shared" si="121"/>
        <v/>
      </c>
      <c r="B7777" s="1">
        <v>2021</v>
      </c>
      <c r="C7777" s="1" t="s">
        <v>2505</v>
      </c>
      <c r="D7777" s="1" t="s">
        <v>2506</v>
      </c>
      <c r="E7777" s="1" t="s">
        <v>2019</v>
      </c>
      <c r="F7777" s="1" t="s">
        <v>775</v>
      </c>
      <c r="G7777" s="6">
        <v>131892</v>
      </c>
      <c r="H7777" t="str">
        <f>IFERROR(VLOOKUP(F7777,'LEAID Match'!$A$2:$B$142,2,FALSE),"")</f>
        <v/>
      </c>
    </row>
    <row r="7778" spans="1:8" x14ac:dyDescent="0.2">
      <c r="A7778" t="str">
        <f t="shared" si="121"/>
        <v/>
      </c>
      <c r="B7778" s="1">
        <v>2022</v>
      </c>
      <c r="C7778" s="1" t="s">
        <v>2505</v>
      </c>
      <c r="D7778" s="1" t="s">
        <v>2506</v>
      </c>
      <c r="E7778" s="1" t="s">
        <v>2019</v>
      </c>
      <c r="F7778" s="1" t="s">
        <v>775</v>
      </c>
      <c r="G7778" s="6">
        <v>130637</v>
      </c>
      <c r="H7778" t="str">
        <f>IFERROR(VLOOKUP(F7778,'LEAID Match'!$A$2:$B$142,2,FALSE),"")</f>
        <v/>
      </c>
    </row>
    <row r="7779" spans="1:8" x14ac:dyDescent="0.2">
      <c r="A7779" t="str">
        <f t="shared" si="121"/>
        <v/>
      </c>
      <c r="B7779" s="1">
        <v>2023</v>
      </c>
      <c r="C7779" s="1" t="s">
        <v>2505</v>
      </c>
      <c r="D7779" s="1" t="s">
        <v>2506</v>
      </c>
      <c r="E7779" s="1" t="s">
        <v>2019</v>
      </c>
      <c r="F7779" s="1" t="s">
        <v>775</v>
      </c>
      <c r="G7779" s="6">
        <v>139119</v>
      </c>
      <c r="H7779" t="str">
        <f>IFERROR(VLOOKUP(F7779,'LEAID Match'!$A$2:$B$142,2,FALSE),"")</f>
        <v/>
      </c>
    </row>
    <row r="7780" spans="1:8" x14ac:dyDescent="0.2">
      <c r="A7780" t="str">
        <f t="shared" si="121"/>
        <v/>
      </c>
      <c r="B7780" s="1">
        <v>2024</v>
      </c>
      <c r="C7780" s="1" t="s">
        <v>2505</v>
      </c>
      <c r="D7780" s="1" t="s">
        <v>2506</v>
      </c>
      <c r="E7780" s="1" t="s">
        <v>2019</v>
      </c>
      <c r="F7780" s="1" t="s">
        <v>775</v>
      </c>
      <c r="G7780" s="6">
        <v>141815</v>
      </c>
      <c r="H7780" t="str">
        <f>IFERROR(VLOOKUP(F7780,'LEAID Match'!$A$2:$B$142,2,FALSE),"")</f>
        <v/>
      </c>
    </row>
    <row r="7781" spans="1:8" x14ac:dyDescent="0.2">
      <c r="A7781" t="str">
        <f t="shared" si="121"/>
        <v/>
      </c>
      <c r="B7781" s="1">
        <v>2015</v>
      </c>
      <c r="C7781" s="1" t="s">
        <v>2505</v>
      </c>
      <c r="D7781" s="1" t="s">
        <v>2506</v>
      </c>
      <c r="E7781" s="1" t="s">
        <v>2019</v>
      </c>
      <c r="F7781" s="1" t="s">
        <v>776</v>
      </c>
      <c r="G7781" s="6">
        <v>86199</v>
      </c>
      <c r="H7781" t="str">
        <f>IFERROR(VLOOKUP(F7781,'LEAID Match'!$A$2:$B$142,2,FALSE),"")</f>
        <v/>
      </c>
    </row>
    <row r="7782" spans="1:8" x14ac:dyDescent="0.2">
      <c r="A7782" t="str">
        <f t="shared" si="121"/>
        <v/>
      </c>
      <c r="B7782">
        <v>2016</v>
      </c>
      <c r="C7782" s="1" t="s">
        <v>2505</v>
      </c>
      <c r="D7782" s="1" t="s">
        <v>2506</v>
      </c>
      <c r="E7782" s="1" t="s">
        <v>2019</v>
      </c>
      <c r="F7782" s="1" t="s">
        <v>776</v>
      </c>
      <c r="G7782" s="12">
        <v>83312</v>
      </c>
      <c r="H7782" t="str">
        <f>IFERROR(VLOOKUP(F7782,'LEAID Match'!$A$2:$B$142,2,FALSE),"")</f>
        <v/>
      </c>
    </row>
    <row r="7783" spans="1:8" x14ac:dyDescent="0.2">
      <c r="A7783" t="str">
        <f t="shared" si="121"/>
        <v/>
      </c>
      <c r="B7783" s="1">
        <v>2017</v>
      </c>
      <c r="C7783" s="1" t="s">
        <v>2505</v>
      </c>
      <c r="D7783" s="1" t="s">
        <v>2506</v>
      </c>
      <c r="E7783" s="1" t="s">
        <v>2019</v>
      </c>
      <c r="F7783" s="1" t="s">
        <v>776</v>
      </c>
      <c r="G7783" s="47">
        <v>85747</v>
      </c>
      <c r="H7783" t="str">
        <f>IFERROR(VLOOKUP(F7783,'LEAID Match'!$A$2:$B$142,2,FALSE),"")</f>
        <v/>
      </c>
    </row>
    <row r="7784" spans="1:8" x14ac:dyDescent="0.2">
      <c r="A7784" t="str">
        <f t="shared" si="121"/>
        <v/>
      </c>
      <c r="B7784" s="1">
        <v>2018</v>
      </c>
      <c r="C7784" s="1" t="s">
        <v>2505</v>
      </c>
      <c r="D7784" s="1" t="s">
        <v>2506</v>
      </c>
      <c r="E7784" s="1" t="s">
        <v>2019</v>
      </c>
      <c r="F7784" s="1" t="s">
        <v>776</v>
      </c>
      <c r="G7784" s="6">
        <v>85662</v>
      </c>
      <c r="H7784" t="str">
        <f>IFERROR(VLOOKUP(F7784,'LEAID Match'!$A$2:$B$142,2,FALSE),"")</f>
        <v/>
      </c>
    </row>
    <row r="7785" spans="1:8" x14ac:dyDescent="0.2">
      <c r="A7785" t="str">
        <f t="shared" si="121"/>
        <v/>
      </c>
      <c r="B7785" s="1">
        <v>2019</v>
      </c>
      <c r="C7785" s="1" t="s">
        <v>2505</v>
      </c>
      <c r="D7785" s="1" t="s">
        <v>2506</v>
      </c>
      <c r="E7785" s="1" t="s">
        <v>2019</v>
      </c>
      <c r="F7785" s="1" t="s">
        <v>776</v>
      </c>
      <c r="G7785" s="6">
        <v>79553</v>
      </c>
      <c r="H7785" t="str">
        <f>IFERROR(VLOOKUP(F7785,'LEAID Match'!$A$2:$B$142,2,FALSE),"")</f>
        <v/>
      </c>
    </row>
    <row r="7786" spans="1:8" x14ac:dyDescent="0.2">
      <c r="A7786" t="str">
        <f t="shared" si="121"/>
        <v/>
      </c>
      <c r="B7786" s="1">
        <v>2020</v>
      </c>
      <c r="C7786" s="1" t="s">
        <v>2505</v>
      </c>
      <c r="D7786" s="1" t="s">
        <v>2506</v>
      </c>
      <c r="E7786" s="1" t="s">
        <v>2019</v>
      </c>
      <c r="F7786" s="1" t="s">
        <v>776</v>
      </c>
      <c r="G7786" s="6">
        <v>94659</v>
      </c>
      <c r="H7786" t="str">
        <f>IFERROR(VLOOKUP(F7786,'LEAID Match'!$A$2:$B$142,2,FALSE),"")</f>
        <v/>
      </c>
    </row>
    <row r="7787" spans="1:8" x14ac:dyDescent="0.2">
      <c r="A7787" t="str">
        <f t="shared" si="121"/>
        <v/>
      </c>
      <c r="B7787" s="1">
        <v>2021</v>
      </c>
      <c r="C7787" s="1" t="s">
        <v>2505</v>
      </c>
      <c r="D7787" s="1" t="s">
        <v>2506</v>
      </c>
      <c r="E7787" s="1" t="s">
        <v>2019</v>
      </c>
      <c r="F7787" s="1" t="s">
        <v>776</v>
      </c>
      <c r="G7787" s="6">
        <v>103602</v>
      </c>
      <c r="H7787" t="str">
        <f>IFERROR(VLOOKUP(F7787,'LEAID Match'!$A$2:$B$142,2,FALSE),"")</f>
        <v/>
      </c>
    </row>
    <row r="7788" spans="1:8" x14ac:dyDescent="0.2">
      <c r="A7788" t="str">
        <f t="shared" si="121"/>
        <v/>
      </c>
      <c r="B7788" s="1">
        <v>2022</v>
      </c>
      <c r="C7788" s="1" t="s">
        <v>2505</v>
      </c>
      <c r="D7788" s="1" t="s">
        <v>2506</v>
      </c>
      <c r="E7788" s="1" t="s">
        <v>2019</v>
      </c>
      <c r="F7788" s="1" t="s">
        <v>776</v>
      </c>
      <c r="G7788" s="6">
        <v>114888</v>
      </c>
      <c r="H7788" t="str">
        <f>IFERROR(VLOOKUP(F7788,'LEAID Match'!$A$2:$B$142,2,FALSE),"")</f>
        <v/>
      </c>
    </row>
    <row r="7789" spans="1:8" x14ac:dyDescent="0.2">
      <c r="A7789" t="str">
        <f t="shared" si="121"/>
        <v/>
      </c>
      <c r="B7789" s="1">
        <v>2023</v>
      </c>
      <c r="C7789" s="1" t="s">
        <v>2505</v>
      </c>
      <c r="D7789" s="1" t="s">
        <v>2506</v>
      </c>
      <c r="E7789" s="1" t="s">
        <v>2019</v>
      </c>
      <c r="F7789" s="1" t="s">
        <v>776</v>
      </c>
      <c r="G7789" s="6">
        <v>111715</v>
      </c>
      <c r="H7789" t="str">
        <f>IFERROR(VLOOKUP(F7789,'LEAID Match'!$A$2:$B$142,2,FALSE),"")</f>
        <v/>
      </c>
    </row>
    <row r="7790" spans="1:8" x14ac:dyDescent="0.2">
      <c r="A7790" t="str">
        <f t="shared" si="121"/>
        <v/>
      </c>
      <c r="B7790" s="1">
        <v>2024</v>
      </c>
      <c r="C7790" s="1" t="s">
        <v>2505</v>
      </c>
      <c r="D7790" s="1" t="s">
        <v>2506</v>
      </c>
      <c r="E7790" s="1" t="s">
        <v>2019</v>
      </c>
      <c r="F7790" s="1" t="s">
        <v>776</v>
      </c>
      <c r="G7790" s="6">
        <v>118056</v>
      </c>
      <c r="H7790" t="str">
        <f>IFERROR(VLOOKUP(F7790,'LEAID Match'!$A$2:$B$142,2,FALSE),"")</f>
        <v/>
      </c>
    </row>
    <row r="7791" spans="1:8" x14ac:dyDescent="0.2">
      <c r="A7791">
        <f t="shared" si="121"/>
        <v>2804350</v>
      </c>
      <c r="B7791" s="1">
        <v>2015</v>
      </c>
      <c r="C7791" s="1" t="s">
        <v>2505</v>
      </c>
      <c r="D7791" s="1" t="s">
        <v>2506</v>
      </c>
      <c r="E7791" s="1" t="s">
        <v>2019</v>
      </c>
      <c r="F7791" s="1" t="s">
        <v>777</v>
      </c>
      <c r="G7791" s="6">
        <v>1997233</v>
      </c>
      <c r="H7791">
        <f>IFERROR(VLOOKUP(F7791,'LEAID Match'!$A$2:$B$142,2,FALSE),"")</f>
        <v>2804350</v>
      </c>
    </row>
    <row r="7792" spans="1:8" x14ac:dyDescent="0.2">
      <c r="A7792">
        <f t="shared" si="121"/>
        <v>2804350</v>
      </c>
      <c r="B7792">
        <v>2016</v>
      </c>
      <c r="C7792" s="1" t="s">
        <v>2505</v>
      </c>
      <c r="D7792" s="1" t="s">
        <v>2506</v>
      </c>
      <c r="E7792" s="1" t="s">
        <v>2019</v>
      </c>
      <c r="F7792" s="1" t="s">
        <v>777</v>
      </c>
      <c r="G7792" s="12">
        <v>2073393</v>
      </c>
      <c r="H7792">
        <f>IFERROR(VLOOKUP(F7792,'LEAID Match'!$A$2:$B$142,2,FALSE),"")</f>
        <v>2804350</v>
      </c>
    </row>
    <row r="7793" spans="1:8" x14ac:dyDescent="0.2">
      <c r="A7793">
        <f t="shared" si="121"/>
        <v>2804350</v>
      </c>
      <c r="B7793" s="1">
        <v>2017</v>
      </c>
      <c r="C7793" s="1" t="s">
        <v>2505</v>
      </c>
      <c r="D7793" s="1" t="s">
        <v>2506</v>
      </c>
      <c r="E7793" s="1" t="s">
        <v>2019</v>
      </c>
      <c r="F7793" s="1" t="s">
        <v>777</v>
      </c>
      <c r="G7793" s="47">
        <v>2124791</v>
      </c>
      <c r="H7793">
        <f>IFERROR(VLOOKUP(F7793,'LEAID Match'!$A$2:$B$142,2,FALSE),"")</f>
        <v>2804350</v>
      </c>
    </row>
    <row r="7794" spans="1:8" x14ac:dyDescent="0.2">
      <c r="A7794">
        <f t="shared" si="121"/>
        <v>2804350</v>
      </c>
      <c r="B7794" s="1">
        <v>2018</v>
      </c>
      <c r="C7794" s="1" t="s">
        <v>2505</v>
      </c>
      <c r="D7794" s="1" t="s">
        <v>2506</v>
      </c>
      <c r="E7794" s="1" t="s">
        <v>2019</v>
      </c>
      <c r="F7794" s="1" t="s">
        <v>777</v>
      </c>
      <c r="G7794" s="6">
        <v>2150815</v>
      </c>
      <c r="H7794">
        <f>IFERROR(VLOOKUP(F7794,'LEAID Match'!$A$2:$B$142,2,FALSE),"")</f>
        <v>2804350</v>
      </c>
    </row>
    <row r="7795" spans="1:8" x14ac:dyDescent="0.2">
      <c r="A7795">
        <f t="shared" si="121"/>
        <v>2804350</v>
      </c>
      <c r="B7795" s="1">
        <v>2019</v>
      </c>
      <c r="C7795" s="1" t="s">
        <v>2505</v>
      </c>
      <c r="D7795" s="1" t="s">
        <v>2506</v>
      </c>
      <c r="E7795" s="1" t="s">
        <v>2019</v>
      </c>
      <c r="F7795" s="1" t="s">
        <v>777</v>
      </c>
      <c r="G7795" s="6">
        <v>2222298</v>
      </c>
      <c r="H7795">
        <f>IFERROR(VLOOKUP(F7795,'LEAID Match'!$A$2:$B$142,2,FALSE),"")</f>
        <v>2804350</v>
      </c>
    </row>
    <row r="7796" spans="1:8" x14ac:dyDescent="0.2">
      <c r="A7796">
        <f t="shared" si="121"/>
        <v>2804350</v>
      </c>
      <c r="B7796" s="1">
        <v>2020</v>
      </c>
      <c r="C7796" s="1" t="s">
        <v>2505</v>
      </c>
      <c r="D7796" s="1" t="s">
        <v>2506</v>
      </c>
      <c r="E7796" s="1" t="s">
        <v>2019</v>
      </c>
      <c r="F7796" s="1" t="s">
        <v>777</v>
      </c>
      <c r="G7796" s="6">
        <v>2558019</v>
      </c>
      <c r="H7796">
        <f>IFERROR(VLOOKUP(F7796,'LEAID Match'!$A$2:$B$142,2,FALSE),"")</f>
        <v>2804350</v>
      </c>
    </row>
    <row r="7797" spans="1:8" x14ac:dyDescent="0.2">
      <c r="A7797">
        <f t="shared" si="121"/>
        <v>2804350</v>
      </c>
      <c r="B7797" s="1">
        <v>2021</v>
      </c>
      <c r="C7797" s="1" t="s">
        <v>2505</v>
      </c>
      <c r="D7797" s="1" t="s">
        <v>2506</v>
      </c>
      <c r="E7797" s="1" t="s">
        <v>2019</v>
      </c>
      <c r="F7797" s="1" t="s">
        <v>777</v>
      </c>
      <c r="G7797" s="6">
        <v>2598384</v>
      </c>
      <c r="H7797">
        <f>IFERROR(VLOOKUP(F7797,'LEAID Match'!$A$2:$B$142,2,FALSE),"")</f>
        <v>2804350</v>
      </c>
    </row>
    <row r="7798" spans="1:8" x14ac:dyDescent="0.2">
      <c r="A7798">
        <f t="shared" si="121"/>
        <v>2804350</v>
      </c>
      <c r="B7798" s="1">
        <v>2022</v>
      </c>
      <c r="C7798" s="1" t="s">
        <v>2505</v>
      </c>
      <c r="D7798" s="1" t="s">
        <v>2506</v>
      </c>
      <c r="E7798" s="1" t="s">
        <v>2019</v>
      </c>
      <c r="F7798" s="1" t="s">
        <v>777</v>
      </c>
      <c r="G7798" s="6">
        <v>2804217</v>
      </c>
      <c r="H7798">
        <f>IFERROR(VLOOKUP(F7798,'LEAID Match'!$A$2:$B$142,2,FALSE),"")</f>
        <v>2804350</v>
      </c>
    </row>
    <row r="7799" spans="1:8" x14ac:dyDescent="0.2">
      <c r="A7799">
        <f t="shared" si="121"/>
        <v>2804350</v>
      </c>
      <c r="B7799" s="1">
        <v>2023</v>
      </c>
      <c r="C7799" s="1" t="s">
        <v>2505</v>
      </c>
      <c r="D7799" s="1" t="s">
        <v>2506</v>
      </c>
      <c r="E7799" s="1" t="s">
        <v>2019</v>
      </c>
      <c r="F7799" s="1" t="s">
        <v>777</v>
      </c>
      <c r="G7799" s="6">
        <v>3119097</v>
      </c>
      <c r="H7799">
        <f>IFERROR(VLOOKUP(F7799,'LEAID Match'!$A$2:$B$142,2,FALSE),"")</f>
        <v>2804350</v>
      </c>
    </row>
    <row r="7800" spans="1:8" x14ac:dyDescent="0.2">
      <c r="A7800">
        <f t="shared" si="121"/>
        <v>2804350</v>
      </c>
      <c r="B7800" s="1">
        <v>2024</v>
      </c>
      <c r="C7800" s="1" t="s">
        <v>2505</v>
      </c>
      <c r="D7800" s="1" t="s">
        <v>2506</v>
      </c>
      <c r="E7800" s="1" t="s">
        <v>2019</v>
      </c>
      <c r="F7800" s="1" t="s">
        <v>777</v>
      </c>
      <c r="G7800" s="6">
        <v>3123084</v>
      </c>
      <c r="H7800">
        <f>IFERROR(VLOOKUP(F7800,'LEAID Match'!$A$2:$B$142,2,FALSE),"")</f>
        <v>2804350</v>
      </c>
    </row>
    <row r="7801" spans="1:8" x14ac:dyDescent="0.2">
      <c r="A7801" t="str">
        <f t="shared" si="121"/>
        <v/>
      </c>
      <c r="B7801" s="1">
        <v>2015</v>
      </c>
      <c r="C7801" s="1" t="s">
        <v>2505</v>
      </c>
      <c r="D7801" s="1" t="s">
        <v>2506</v>
      </c>
      <c r="E7801" s="1" t="s">
        <v>2019</v>
      </c>
      <c r="F7801" s="1" t="s">
        <v>778</v>
      </c>
      <c r="G7801" s="6">
        <v>624881</v>
      </c>
      <c r="H7801" t="str">
        <f>IFERROR(VLOOKUP(F7801,'LEAID Match'!$A$2:$B$142,2,FALSE),"")</f>
        <v/>
      </c>
    </row>
    <row r="7802" spans="1:8" x14ac:dyDescent="0.2">
      <c r="A7802" t="str">
        <f t="shared" si="121"/>
        <v/>
      </c>
      <c r="B7802">
        <v>2016</v>
      </c>
      <c r="C7802" s="1" t="s">
        <v>2505</v>
      </c>
      <c r="D7802" s="1" t="s">
        <v>2506</v>
      </c>
      <c r="E7802" s="1" t="s">
        <v>2019</v>
      </c>
      <c r="F7802" s="1" t="s">
        <v>778</v>
      </c>
      <c r="G7802" s="12">
        <v>641208</v>
      </c>
      <c r="H7802" t="str">
        <f>IFERROR(VLOOKUP(F7802,'LEAID Match'!$A$2:$B$142,2,FALSE),"")</f>
        <v/>
      </c>
    </row>
    <row r="7803" spans="1:8" x14ac:dyDescent="0.2">
      <c r="A7803" t="str">
        <f t="shared" si="121"/>
        <v/>
      </c>
      <c r="B7803" s="1">
        <v>2017</v>
      </c>
      <c r="C7803" s="1" t="s">
        <v>2505</v>
      </c>
      <c r="D7803" s="1" t="s">
        <v>2506</v>
      </c>
      <c r="E7803" s="1" t="s">
        <v>2019</v>
      </c>
      <c r="F7803" s="1" t="s">
        <v>778</v>
      </c>
      <c r="G7803" s="47">
        <v>635890</v>
      </c>
      <c r="H7803" t="str">
        <f>IFERROR(VLOOKUP(F7803,'LEAID Match'!$A$2:$B$142,2,FALSE),"")</f>
        <v/>
      </c>
    </row>
    <row r="7804" spans="1:8" x14ac:dyDescent="0.2">
      <c r="A7804" t="str">
        <f t="shared" si="121"/>
        <v/>
      </c>
      <c r="B7804" s="1">
        <v>2018</v>
      </c>
      <c r="C7804" s="1" t="s">
        <v>2505</v>
      </c>
      <c r="D7804" s="1" t="s">
        <v>2506</v>
      </c>
      <c r="E7804" s="1" t="s">
        <v>2019</v>
      </c>
      <c r="F7804" s="1" t="s">
        <v>778</v>
      </c>
      <c r="G7804" s="6">
        <v>649998</v>
      </c>
      <c r="H7804" t="str">
        <f>IFERROR(VLOOKUP(F7804,'LEAID Match'!$A$2:$B$142,2,FALSE),"")</f>
        <v/>
      </c>
    </row>
    <row r="7805" spans="1:8" x14ac:dyDescent="0.2">
      <c r="A7805" t="str">
        <f t="shared" si="121"/>
        <v/>
      </c>
      <c r="B7805" s="1">
        <v>2019</v>
      </c>
      <c r="C7805" s="1" t="s">
        <v>2505</v>
      </c>
      <c r="D7805" s="1" t="s">
        <v>2506</v>
      </c>
      <c r="E7805" s="1" t="s">
        <v>2019</v>
      </c>
      <c r="F7805" s="1" t="s">
        <v>778</v>
      </c>
      <c r="G7805" s="6">
        <v>685680</v>
      </c>
      <c r="H7805" t="str">
        <f>IFERROR(VLOOKUP(F7805,'LEAID Match'!$A$2:$B$142,2,FALSE),"")</f>
        <v/>
      </c>
    </row>
    <row r="7806" spans="1:8" x14ac:dyDescent="0.2">
      <c r="A7806" t="str">
        <f t="shared" si="121"/>
        <v/>
      </c>
      <c r="B7806" s="1">
        <v>2020</v>
      </c>
      <c r="C7806" s="1" t="s">
        <v>2505</v>
      </c>
      <c r="D7806" s="1" t="s">
        <v>2506</v>
      </c>
      <c r="E7806" s="1" t="s">
        <v>2019</v>
      </c>
      <c r="F7806" s="1" t="s">
        <v>778</v>
      </c>
      <c r="G7806" s="6">
        <v>773162</v>
      </c>
      <c r="H7806" t="str">
        <f>IFERROR(VLOOKUP(F7806,'LEAID Match'!$A$2:$B$142,2,FALSE),"")</f>
        <v/>
      </c>
    </row>
    <row r="7807" spans="1:8" x14ac:dyDescent="0.2">
      <c r="A7807" t="str">
        <f t="shared" si="121"/>
        <v/>
      </c>
      <c r="B7807" s="1">
        <v>2021</v>
      </c>
      <c r="C7807" s="1" t="s">
        <v>2505</v>
      </c>
      <c r="D7807" s="1" t="s">
        <v>2506</v>
      </c>
      <c r="E7807" s="1" t="s">
        <v>2019</v>
      </c>
      <c r="F7807" s="1" t="s">
        <v>778</v>
      </c>
      <c r="G7807" s="6">
        <v>801207</v>
      </c>
      <c r="H7807" t="str">
        <f>IFERROR(VLOOKUP(F7807,'LEAID Match'!$A$2:$B$142,2,FALSE),"")</f>
        <v/>
      </c>
    </row>
    <row r="7808" spans="1:8" x14ac:dyDescent="0.2">
      <c r="A7808" t="str">
        <f t="shared" si="121"/>
        <v/>
      </c>
      <c r="B7808" s="1">
        <v>2022</v>
      </c>
      <c r="C7808" s="1" t="s">
        <v>2505</v>
      </c>
      <c r="D7808" s="1" t="s">
        <v>2506</v>
      </c>
      <c r="E7808" s="1" t="s">
        <v>2019</v>
      </c>
      <c r="F7808" s="1" t="s">
        <v>778</v>
      </c>
      <c r="G7808" s="6">
        <v>838230</v>
      </c>
      <c r="H7808" t="str">
        <f>IFERROR(VLOOKUP(F7808,'LEAID Match'!$A$2:$B$142,2,FALSE),"")</f>
        <v/>
      </c>
    </row>
    <row r="7809" spans="1:8" x14ac:dyDescent="0.2">
      <c r="A7809" t="str">
        <f t="shared" si="121"/>
        <v/>
      </c>
      <c r="B7809" s="1">
        <v>2023</v>
      </c>
      <c r="C7809" s="1" t="s">
        <v>2505</v>
      </c>
      <c r="D7809" s="1" t="s">
        <v>2506</v>
      </c>
      <c r="E7809" s="1" t="s">
        <v>2019</v>
      </c>
      <c r="F7809" s="1" t="s">
        <v>778</v>
      </c>
      <c r="G7809" s="6">
        <v>860300</v>
      </c>
      <c r="H7809" t="str">
        <f>IFERROR(VLOOKUP(F7809,'LEAID Match'!$A$2:$B$142,2,FALSE),"")</f>
        <v/>
      </c>
    </row>
    <row r="7810" spans="1:8" x14ac:dyDescent="0.2">
      <c r="A7810" t="str">
        <f t="shared" si="121"/>
        <v/>
      </c>
      <c r="B7810" s="1">
        <v>2024</v>
      </c>
      <c r="C7810" s="1" t="s">
        <v>2505</v>
      </c>
      <c r="D7810" s="1" t="s">
        <v>2506</v>
      </c>
      <c r="E7810" s="1" t="s">
        <v>2019</v>
      </c>
      <c r="F7810" s="1" t="s">
        <v>778</v>
      </c>
      <c r="G7810" s="6">
        <v>894677</v>
      </c>
      <c r="H7810" t="str">
        <f>IFERROR(VLOOKUP(F7810,'LEAID Match'!$A$2:$B$142,2,FALSE),"")</f>
        <v/>
      </c>
    </row>
    <row r="7811" spans="1:8" x14ac:dyDescent="0.2">
      <c r="A7811" t="str">
        <f t="shared" ref="A7811:A7874" si="122">H7811</f>
        <v/>
      </c>
      <c r="B7811" s="1">
        <v>2015</v>
      </c>
      <c r="C7811" s="1" t="s">
        <v>2505</v>
      </c>
      <c r="D7811" s="1" t="s">
        <v>2506</v>
      </c>
      <c r="E7811" s="1" t="s">
        <v>2019</v>
      </c>
      <c r="F7811" s="1" t="s">
        <v>779</v>
      </c>
      <c r="G7811" s="6">
        <v>1712</v>
      </c>
      <c r="H7811" t="str">
        <f>IFERROR(VLOOKUP(F7811,'LEAID Match'!$A$2:$B$142,2,FALSE),"")</f>
        <v/>
      </c>
    </row>
    <row r="7812" spans="1:8" x14ac:dyDescent="0.2">
      <c r="A7812" t="str">
        <f t="shared" si="122"/>
        <v/>
      </c>
      <c r="B7812">
        <v>2016</v>
      </c>
      <c r="C7812" s="1" t="s">
        <v>2505</v>
      </c>
      <c r="D7812" s="1" t="s">
        <v>2506</v>
      </c>
      <c r="E7812" s="1" t="s">
        <v>2019</v>
      </c>
      <c r="F7812" s="1" t="s">
        <v>779</v>
      </c>
      <c r="G7812" s="12">
        <v>1733</v>
      </c>
      <c r="H7812" t="str">
        <f>IFERROR(VLOOKUP(F7812,'LEAID Match'!$A$2:$B$142,2,FALSE),"")</f>
        <v/>
      </c>
    </row>
    <row r="7813" spans="1:8" x14ac:dyDescent="0.2">
      <c r="A7813" t="str">
        <f t="shared" si="122"/>
        <v/>
      </c>
      <c r="B7813" s="1">
        <v>2017</v>
      </c>
      <c r="C7813" s="1" t="s">
        <v>2505</v>
      </c>
      <c r="D7813" s="1" t="s">
        <v>2506</v>
      </c>
      <c r="E7813" s="1" t="s">
        <v>2019</v>
      </c>
      <c r="F7813" s="1" t="s">
        <v>779</v>
      </c>
      <c r="G7813" s="47">
        <v>1781</v>
      </c>
      <c r="H7813" t="str">
        <f>IFERROR(VLOOKUP(F7813,'LEAID Match'!$A$2:$B$142,2,FALSE),"")</f>
        <v/>
      </c>
    </row>
    <row r="7814" spans="1:8" x14ac:dyDescent="0.2">
      <c r="A7814" t="str">
        <f t="shared" si="122"/>
        <v/>
      </c>
      <c r="B7814" s="1">
        <v>2018</v>
      </c>
      <c r="C7814" s="1" t="s">
        <v>2505</v>
      </c>
      <c r="D7814" s="1" t="s">
        <v>2506</v>
      </c>
      <c r="E7814" s="1" t="s">
        <v>2019</v>
      </c>
      <c r="F7814" s="1" t="s">
        <v>779</v>
      </c>
      <c r="G7814" s="6">
        <v>1831</v>
      </c>
      <c r="H7814" t="str">
        <f>IFERROR(VLOOKUP(F7814,'LEAID Match'!$A$2:$B$142,2,FALSE),"")</f>
        <v/>
      </c>
    </row>
    <row r="7815" spans="1:8" x14ac:dyDescent="0.2">
      <c r="A7815" t="str">
        <f t="shared" si="122"/>
        <v/>
      </c>
      <c r="B7815" s="1">
        <v>2019</v>
      </c>
      <c r="C7815" s="1" t="s">
        <v>2505</v>
      </c>
      <c r="D7815" s="1" t="s">
        <v>2506</v>
      </c>
      <c r="E7815" s="1" t="s">
        <v>2019</v>
      </c>
      <c r="F7815" s="1" t="s">
        <v>779</v>
      </c>
      <c r="G7815" s="6">
        <v>1848</v>
      </c>
      <c r="H7815" t="str">
        <f>IFERROR(VLOOKUP(F7815,'LEAID Match'!$A$2:$B$142,2,FALSE),"")</f>
        <v/>
      </c>
    </row>
    <row r="7816" spans="1:8" x14ac:dyDescent="0.2">
      <c r="A7816" t="str">
        <f t="shared" si="122"/>
        <v/>
      </c>
      <c r="B7816" s="1">
        <v>2020</v>
      </c>
      <c r="C7816" s="1" t="s">
        <v>2505</v>
      </c>
      <c r="D7816" s="1" t="s">
        <v>2506</v>
      </c>
      <c r="E7816" s="1" t="s">
        <v>2019</v>
      </c>
      <c r="F7816" s="1" t="s">
        <v>779</v>
      </c>
      <c r="G7816" s="6">
        <v>2068</v>
      </c>
      <c r="H7816" t="str">
        <f>IFERROR(VLOOKUP(F7816,'LEAID Match'!$A$2:$B$142,2,FALSE),"")</f>
        <v/>
      </c>
    </row>
    <row r="7817" spans="1:8" x14ac:dyDescent="0.2">
      <c r="A7817" t="str">
        <f t="shared" si="122"/>
        <v/>
      </c>
      <c r="B7817" s="1">
        <v>2021</v>
      </c>
      <c r="C7817" s="1" t="s">
        <v>2505</v>
      </c>
      <c r="D7817" s="1" t="s">
        <v>2506</v>
      </c>
      <c r="E7817" s="1" t="s">
        <v>2019</v>
      </c>
      <c r="F7817" s="1" t="s">
        <v>779</v>
      </c>
      <c r="G7817" s="6">
        <v>2111</v>
      </c>
      <c r="H7817" t="str">
        <f>IFERROR(VLOOKUP(F7817,'LEAID Match'!$A$2:$B$142,2,FALSE),"")</f>
        <v/>
      </c>
    </row>
    <row r="7818" spans="1:8" x14ac:dyDescent="0.2">
      <c r="A7818" t="str">
        <f t="shared" si="122"/>
        <v/>
      </c>
      <c r="B7818" s="1">
        <v>2022</v>
      </c>
      <c r="C7818" s="1" t="s">
        <v>2505</v>
      </c>
      <c r="D7818" s="1" t="s">
        <v>2506</v>
      </c>
      <c r="E7818" s="1" t="s">
        <v>2019</v>
      </c>
      <c r="F7818" s="1" t="s">
        <v>779</v>
      </c>
      <c r="G7818" s="6">
        <v>2045</v>
      </c>
      <c r="H7818" t="str">
        <f>IFERROR(VLOOKUP(F7818,'LEAID Match'!$A$2:$B$142,2,FALSE),"")</f>
        <v/>
      </c>
    </row>
    <row r="7819" spans="1:8" x14ac:dyDescent="0.2">
      <c r="A7819" t="str">
        <f t="shared" si="122"/>
        <v/>
      </c>
      <c r="B7819" s="1">
        <v>2023</v>
      </c>
      <c r="C7819" s="1" t="s">
        <v>2505</v>
      </c>
      <c r="D7819" s="1" t="s">
        <v>2506</v>
      </c>
      <c r="E7819" s="1" t="s">
        <v>2019</v>
      </c>
      <c r="F7819" s="1" t="s">
        <v>779</v>
      </c>
      <c r="G7819" s="6">
        <v>3882</v>
      </c>
      <c r="H7819" t="str">
        <f>IFERROR(VLOOKUP(F7819,'LEAID Match'!$A$2:$B$142,2,FALSE),"")</f>
        <v/>
      </c>
    </row>
    <row r="7820" spans="1:8" x14ac:dyDescent="0.2">
      <c r="A7820" t="str">
        <f t="shared" si="122"/>
        <v/>
      </c>
      <c r="B7820" s="1">
        <v>2024</v>
      </c>
      <c r="C7820" s="1" t="s">
        <v>2505</v>
      </c>
      <c r="D7820" s="1" t="s">
        <v>2506</v>
      </c>
      <c r="E7820" s="1" t="s">
        <v>2019</v>
      </c>
      <c r="F7820" s="1" t="s">
        <v>779</v>
      </c>
      <c r="G7820" s="6">
        <v>6153</v>
      </c>
      <c r="H7820" t="str">
        <f>IFERROR(VLOOKUP(F7820,'LEAID Match'!$A$2:$B$142,2,FALSE),"")</f>
        <v/>
      </c>
    </row>
    <row r="7821" spans="1:8" x14ac:dyDescent="0.2">
      <c r="A7821">
        <f t="shared" si="122"/>
        <v>2804380</v>
      </c>
      <c r="B7821" s="1">
        <v>2015</v>
      </c>
      <c r="C7821" s="1" t="s">
        <v>2505</v>
      </c>
      <c r="D7821" s="1" t="s">
        <v>2506</v>
      </c>
      <c r="E7821" s="1" t="s">
        <v>2019</v>
      </c>
      <c r="F7821" s="1" t="s">
        <v>780</v>
      </c>
      <c r="G7821" s="6">
        <v>678678</v>
      </c>
      <c r="H7821">
        <f>IFERROR(VLOOKUP(F7821,'LEAID Match'!$A$2:$B$142,2,FALSE),"")</f>
        <v>2804380</v>
      </c>
    </row>
    <row r="7822" spans="1:8" x14ac:dyDescent="0.2">
      <c r="A7822">
        <f t="shared" si="122"/>
        <v>2804380</v>
      </c>
      <c r="B7822">
        <v>2016</v>
      </c>
      <c r="C7822" s="1" t="s">
        <v>2505</v>
      </c>
      <c r="D7822" s="1" t="s">
        <v>2506</v>
      </c>
      <c r="E7822" s="1" t="s">
        <v>2019</v>
      </c>
      <c r="F7822" s="1" t="s">
        <v>780</v>
      </c>
      <c r="G7822" s="12">
        <v>716206</v>
      </c>
      <c r="H7822">
        <f>IFERROR(VLOOKUP(F7822,'LEAID Match'!$A$2:$B$142,2,FALSE),"")</f>
        <v>2804380</v>
      </c>
    </row>
    <row r="7823" spans="1:8" x14ac:dyDescent="0.2">
      <c r="A7823">
        <f t="shared" si="122"/>
        <v>2804380</v>
      </c>
      <c r="B7823" s="1">
        <v>2017</v>
      </c>
      <c r="C7823" s="1" t="s">
        <v>2505</v>
      </c>
      <c r="D7823" s="1" t="s">
        <v>2506</v>
      </c>
      <c r="E7823" s="1" t="s">
        <v>2019</v>
      </c>
      <c r="F7823" s="1" t="s">
        <v>780</v>
      </c>
      <c r="G7823" s="47">
        <v>716363</v>
      </c>
      <c r="H7823">
        <f>IFERROR(VLOOKUP(F7823,'LEAID Match'!$A$2:$B$142,2,FALSE),"")</f>
        <v>2804380</v>
      </c>
    </row>
    <row r="7824" spans="1:8" x14ac:dyDescent="0.2">
      <c r="A7824">
        <f t="shared" si="122"/>
        <v>2804380</v>
      </c>
      <c r="B7824" s="1">
        <v>2018</v>
      </c>
      <c r="C7824" s="1" t="s">
        <v>2505</v>
      </c>
      <c r="D7824" s="1" t="s">
        <v>2506</v>
      </c>
      <c r="E7824" s="1" t="s">
        <v>2019</v>
      </c>
      <c r="F7824" s="1" t="s">
        <v>780</v>
      </c>
      <c r="G7824" s="6">
        <v>711285</v>
      </c>
      <c r="H7824">
        <f>IFERROR(VLOOKUP(F7824,'LEAID Match'!$A$2:$B$142,2,FALSE),"")</f>
        <v>2804380</v>
      </c>
    </row>
    <row r="7825" spans="1:8" x14ac:dyDescent="0.2">
      <c r="A7825">
        <f t="shared" si="122"/>
        <v>2804380</v>
      </c>
      <c r="B7825" s="1">
        <v>2019</v>
      </c>
      <c r="C7825" s="1" t="s">
        <v>2505</v>
      </c>
      <c r="D7825" s="1" t="s">
        <v>2506</v>
      </c>
      <c r="E7825" s="1" t="s">
        <v>2019</v>
      </c>
      <c r="F7825" s="1" t="s">
        <v>780</v>
      </c>
      <c r="G7825" s="6">
        <v>728462</v>
      </c>
      <c r="H7825">
        <f>IFERROR(VLOOKUP(F7825,'LEAID Match'!$A$2:$B$142,2,FALSE),"")</f>
        <v>2804380</v>
      </c>
    </row>
    <row r="7826" spans="1:8" x14ac:dyDescent="0.2">
      <c r="A7826">
        <f t="shared" si="122"/>
        <v>2804380</v>
      </c>
      <c r="B7826" s="1">
        <v>2020</v>
      </c>
      <c r="C7826" s="1" t="s">
        <v>2505</v>
      </c>
      <c r="D7826" s="1" t="s">
        <v>2506</v>
      </c>
      <c r="E7826" s="1" t="s">
        <v>2019</v>
      </c>
      <c r="F7826" s="1" t="s">
        <v>780</v>
      </c>
      <c r="G7826" s="6">
        <v>889078</v>
      </c>
      <c r="H7826">
        <f>IFERROR(VLOOKUP(F7826,'LEAID Match'!$A$2:$B$142,2,FALSE),"")</f>
        <v>2804380</v>
      </c>
    </row>
    <row r="7827" spans="1:8" x14ac:dyDescent="0.2">
      <c r="A7827">
        <f t="shared" si="122"/>
        <v>2804380</v>
      </c>
      <c r="B7827" s="1">
        <v>2021</v>
      </c>
      <c r="C7827" s="1" t="s">
        <v>2505</v>
      </c>
      <c r="D7827" s="1" t="s">
        <v>2506</v>
      </c>
      <c r="E7827" s="1" t="s">
        <v>2019</v>
      </c>
      <c r="F7827" s="1" t="s">
        <v>780</v>
      </c>
      <c r="G7827" s="6">
        <v>918193</v>
      </c>
      <c r="H7827">
        <f>IFERROR(VLOOKUP(F7827,'LEAID Match'!$A$2:$B$142,2,FALSE),"")</f>
        <v>2804380</v>
      </c>
    </row>
    <row r="7828" spans="1:8" x14ac:dyDescent="0.2">
      <c r="A7828">
        <f t="shared" si="122"/>
        <v>2804380</v>
      </c>
      <c r="B7828" s="1">
        <v>2022</v>
      </c>
      <c r="C7828" s="1" t="s">
        <v>2505</v>
      </c>
      <c r="D7828" s="1" t="s">
        <v>2506</v>
      </c>
      <c r="E7828" s="1" t="s">
        <v>2019</v>
      </c>
      <c r="F7828" s="1" t="s">
        <v>780</v>
      </c>
      <c r="G7828" s="6">
        <v>991108</v>
      </c>
      <c r="H7828">
        <f>IFERROR(VLOOKUP(F7828,'LEAID Match'!$A$2:$B$142,2,FALSE),"")</f>
        <v>2804380</v>
      </c>
    </row>
    <row r="7829" spans="1:8" x14ac:dyDescent="0.2">
      <c r="A7829">
        <f t="shared" si="122"/>
        <v>2804380</v>
      </c>
      <c r="B7829" s="1">
        <v>2023</v>
      </c>
      <c r="C7829" s="1" t="s">
        <v>2505</v>
      </c>
      <c r="D7829" s="1" t="s">
        <v>2506</v>
      </c>
      <c r="E7829" s="1" t="s">
        <v>2019</v>
      </c>
      <c r="F7829" s="1" t="s">
        <v>780</v>
      </c>
      <c r="G7829" s="6">
        <v>1071997</v>
      </c>
      <c r="H7829">
        <f>IFERROR(VLOOKUP(F7829,'LEAID Match'!$A$2:$B$142,2,FALSE),"")</f>
        <v>2804380</v>
      </c>
    </row>
    <row r="7830" spans="1:8" x14ac:dyDescent="0.2">
      <c r="A7830">
        <f t="shared" si="122"/>
        <v>2804380</v>
      </c>
      <c r="B7830" s="1">
        <v>2024</v>
      </c>
      <c r="C7830" s="1" t="s">
        <v>2505</v>
      </c>
      <c r="D7830" s="1" t="s">
        <v>2506</v>
      </c>
      <c r="E7830" s="1" t="s">
        <v>2019</v>
      </c>
      <c r="F7830" s="1" t="s">
        <v>780</v>
      </c>
      <c r="G7830" s="6">
        <v>1052824</v>
      </c>
      <c r="H7830">
        <f>IFERROR(VLOOKUP(F7830,'LEAID Match'!$A$2:$B$142,2,FALSE),"")</f>
        <v>2804380</v>
      </c>
    </row>
    <row r="7831" spans="1:8" x14ac:dyDescent="0.2">
      <c r="A7831" t="str">
        <f t="shared" si="122"/>
        <v/>
      </c>
      <c r="B7831" s="1">
        <v>2015</v>
      </c>
      <c r="C7831" s="1" t="s">
        <v>2505</v>
      </c>
      <c r="D7831" s="1" t="s">
        <v>2506</v>
      </c>
      <c r="E7831" s="1" t="s">
        <v>2019</v>
      </c>
      <c r="F7831" s="1" t="s">
        <v>781</v>
      </c>
      <c r="G7831" s="6">
        <v>69227945</v>
      </c>
      <c r="H7831" t="str">
        <f>IFERROR(VLOOKUP(F7831,'LEAID Match'!$A$2:$B$142,2,FALSE),"")</f>
        <v/>
      </c>
    </row>
    <row r="7832" spans="1:8" x14ac:dyDescent="0.2">
      <c r="A7832" t="str">
        <f t="shared" si="122"/>
        <v/>
      </c>
      <c r="B7832">
        <v>2016</v>
      </c>
      <c r="C7832" s="1" t="s">
        <v>2505</v>
      </c>
      <c r="D7832" s="1" t="s">
        <v>2506</v>
      </c>
      <c r="E7832" s="1" t="s">
        <v>2019</v>
      </c>
      <c r="F7832" s="1" t="s">
        <v>781</v>
      </c>
      <c r="G7832" s="12">
        <v>72698781</v>
      </c>
      <c r="H7832" t="str">
        <f>IFERROR(VLOOKUP(F7832,'LEAID Match'!$A$2:$B$142,2,FALSE),"")</f>
        <v/>
      </c>
    </row>
    <row r="7833" spans="1:8" x14ac:dyDescent="0.2">
      <c r="A7833" t="str">
        <f t="shared" si="122"/>
        <v/>
      </c>
      <c r="B7833" s="1">
        <v>2017</v>
      </c>
      <c r="C7833" s="1" t="s">
        <v>2505</v>
      </c>
      <c r="D7833" s="1" t="s">
        <v>2506</v>
      </c>
      <c r="E7833" s="1" t="s">
        <v>2019</v>
      </c>
      <c r="F7833" s="1" t="s">
        <v>781</v>
      </c>
      <c r="G7833" s="47">
        <v>73724479</v>
      </c>
      <c r="H7833" t="str">
        <f>IFERROR(VLOOKUP(F7833,'LEAID Match'!$A$2:$B$142,2,FALSE),"")</f>
        <v/>
      </c>
    </row>
    <row r="7834" spans="1:8" x14ac:dyDescent="0.2">
      <c r="A7834" t="str">
        <f t="shared" si="122"/>
        <v/>
      </c>
      <c r="B7834" s="1">
        <v>2018</v>
      </c>
      <c r="C7834" s="1" t="s">
        <v>2505</v>
      </c>
      <c r="D7834" s="1" t="s">
        <v>2506</v>
      </c>
      <c r="E7834" s="1" t="s">
        <v>2019</v>
      </c>
      <c r="F7834" s="1" t="s">
        <v>781</v>
      </c>
      <c r="G7834" s="6">
        <v>74520454</v>
      </c>
      <c r="H7834" t="str">
        <f>IFERROR(VLOOKUP(F7834,'LEAID Match'!$A$2:$B$142,2,FALSE),"")</f>
        <v/>
      </c>
    </row>
    <row r="7835" spans="1:8" x14ac:dyDescent="0.2">
      <c r="A7835" t="str">
        <f t="shared" si="122"/>
        <v/>
      </c>
      <c r="B7835" s="1">
        <v>2019</v>
      </c>
      <c r="C7835" s="1" t="s">
        <v>2505</v>
      </c>
      <c r="D7835" s="1" t="s">
        <v>2506</v>
      </c>
      <c r="E7835" s="1" t="s">
        <v>2019</v>
      </c>
      <c r="F7835" s="1" t="s">
        <v>781</v>
      </c>
      <c r="G7835" s="6">
        <v>79308734</v>
      </c>
      <c r="H7835" t="str">
        <f>IFERROR(VLOOKUP(F7835,'LEAID Match'!$A$2:$B$142,2,FALSE),"")</f>
        <v/>
      </c>
    </row>
    <row r="7836" spans="1:8" x14ac:dyDescent="0.2">
      <c r="A7836" t="str">
        <f t="shared" si="122"/>
        <v/>
      </c>
      <c r="B7836" s="1">
        <v>2020</v>
      </c>
      <c r="C7836" s="1" t="s">
        <v>2505</v>
      </c>
      <c r="D7836" s="1" t="s">
        <v>2506</v>
      </c>
      <c r="E7836" s="1" t="s">
        <v>2019</v>
      </c>
      <c r="F7836" s="1" t="s">
        <v>781</v>
      </c>
      <c r="G7836" s="6">
        <v>89661218</v>
      </c>
      <c r="H7836" t="str">
        <f>IFERROR(VLOOKUP(F7836,'LEAID Match'!$A$2:$B$142,2,FALSE),"")</f>
        <v/>
      </c>
    </row>
    <row r="7837" spans="1:8" x14ac:dyDescent="0.2">
      <c r="A7837" t="str">
        <f t="shared" si="122"/>
        <v/>
      </c>
      <c r="B7837" s="1">
        <v>2021</v>
      </c>
      <c r="C7837" s="1" t="s">
        <v>2505</v>
      </c>
      <c r="D7837" s="1" t="s">
        <v>2506</v>
      </c>
      <c r="E7837" s="1" t="s">
        <v>2019</v>
      </c>
      <c r="F7837" s="1" t="s">
        <v>781</v>
      </c>
      <c r="G7837" s="6">
        <v>86803221</v>
      </c>
      <c r="H7837" t="str">
        <f>IFERROR(VLOOKUP(F7837,'LEAID Match'!$A$2:$B$142,2,FALSE),"")</f>
        <v/>
      </c>
    </row>
    <row r="7838" spans="1:8" x14ac:dyDescent="0.2">
      <c r="A7838" t="str">
        <f t="shared" si="122"/>
        <v/>
      </c>
      <c r="B7838" s="1">
        <v>2022</v>
      </c>
      <c r="C7838" s="1" t="s">
        <v>2505</v>
      </c>
      <c r="D7838" s="1" t="s">
        <v>2506</v>
      </c>
      <c r="E7838" s="1" t="s">
        <v>2019</v>
      </c>
      <c r="F7838" s="1" t="s">
        <v>781</v>
      </c>
      <c r="G7838" s="6">
        <v>88006462</v>
      </c>
      <c r="H7838" t="str">
        <f>IFERROR(VLOOKUP(F7838,'LEAID Match'!$A$2:$B$142,2,FALSE),"")</f>
        <v/>
      </c>
    </row>
    <row r="7839" spans="1:8" x14ac:dyDescent="0.2">
      <c r="A7839" t="str">
        <f t="shared" si="122"/>
        <v/>
      </c>
      <c r="B7839" s="1">
        <v>2023</v>
      </c>
      <c r="C7839" s="1" t="s">
        <v>2505</v>
      </c>
      <c r="D7839" s="1" t="s">
        <v>2506</v>
      </c>
      <c r="E7839" s="1" t="s">
        <v>2019</v>
      </c>
      <c r="F7839" s="1" t="s">
        <v>781</v>
      </c>
      <c r="G7839" s="6">
        <v>93670120</v>
      </c>
      <c r="H7839" t="str">
        <f>IFERROR(VLOOKUP(F7839,'LEAID Match'!$A$2:$B$142,2,FALSE),"")</f>
        <v/>
      </c>
    </row>
    <row r="7840" spans="1:8" x14ac:dyDescent="0.2">
      <c r="A7840" t="str">
        <f t="shared" si="122"/>
        <v/>
      </c>
      <c r="B7840" s="1">
        <v>2024</v>
      </c>
      <c r="C7840" s="1" t="s">
        <v>2505</v>
      </c>
      <c r="D7840" s="1" t="s">
        <v>2506</v>
      </c>
      <c r="E7840" s="1" t="s">
        <v>2019</v>
      </c>
      <c r="F7840" s="1" t="s">
        <v>781</v>
      </c>
      <c r="G7840" s="6">
        <v>92098820</v>
      </c>
      <c r="H7840" t="str">
        <f>IFERROR(VLOOKUP(F7840,'LEAID Match'!$A$2:$B$142,2,FALSE),"")</f>
        <v/>
      </c>
    </row>
    <row r="7841" spans="1:8" x14ac:dyDescent="0.2">
      <c r="A7841" t="str">
        <f t="shared" si="122"/>
        <v/>
      </c>
      <c r="B7841" s="1">
        <v>2015</v>
      </c>
      <c r="C7841" s="1" t="s">
        <v>2505</v>
      </c>
      <c r="D7841" s="1" t="s">
        <v>2506</v>
      </c>
      <c r="E7841" s="1" t="s">
        <v>2019</v>
      </c>
      <c r="F7841" s="1" t="s">
        <v>782</v>
      </c>
      <c r="G7841" s="6">
        <v>18324329</v>
      </c>
      <c r="H7841" t="str">
        <f>IFERROR(VLOOKUP(F7841,'LEAID Match'!$A$2:$B$142,2,FALSE),"")</f>
        <v/>
      </c>
    </row>
    <row r="7842" spans="1:8" x14ac:dyDescent="0.2">
      <c r="A7842" t="str">
        <f t="shared" si="122"/>
        <v/>
      </c>
      <c r="B7842">
        <v>2016</v>
      </c>
      <c r="C7842" s="1" t="s">
        <v>2505</v>
      </c>
      <c r="D7842" s="1" t="s">
        <v>2506</v>
      </c>
      <c r="E7842" s="1" t="s">
        <v>2019</v>
      </c>
      <c r="F7842" s="1" t="s">
        <v>782</v>
      </c>
      <c r="G7842" s="12">
        <v>18815408</v>
      </c>
      <c r="H7842" t="str">
        <f>IFERROR(VLOOKUP(F7842,'LEAID Match'!$A$2:$B$142,2,FALSE),"")</f>
        <v/>
      </c>
    </row>
    <row r="7843" spans="1:8" x14ac:dyDescent="0.2">
      <c r="A7843" t="str">
        <f t="shared" si="122"/>
        <v/>
      </c>
      <c r="B7843" s="1">
        <v>2017</v>
      </c>
      <c r="C7843" s="1" t="s">
        <v>2505</v>
      </c>
      <c r="D7843" s="1" t="s">
        <v>2506</v>
      </c>
      <c r="E7843" s="1" t="s">
        <v>2019</v>
      </c>
      <c r="F7843" s="1" t="s">
        <v>782</v>
      </c>
      <c r="G7843" s="47">
        <v>19396594</v>
      </c>
      <c r="H7843" t="str">
        <f>IFERROR(VLOOKUP(F7843,'LEAID Match'!$A$2:$B$142,2,FALSE),"")</f>
        <v/>
      </c>
    </row>
    <row r="7844" spans="1:8" x14ac:dyDescent="0.2">
      <c r="A7844" t="str">
        <f t="shared" si="122"/>
        <v/>
      </c>
      <c r="B7844" s="1">
        <v>2018</v>
      </c>
      <c r="C7844" s="1" t="s">
        <v>2505</v>
      </c>
      <c r="D7844" s="1" t="s">
        <v>2506</v>
      </c>
      <c r="E7844" s="1" t="s">
        <v>2019</v>
      </c>
      <c r="F7844" s="1" t="s">
        <v>782</v>
      </c>
      <c r="G7844" s="6">
        <v>19671339</v>
      </c>
      <c r="H7844" t="str">
        <f>IFERROR(VLOOKUP(F7844,'LEAID Match'!$A$2:$B$142,2,FALSE),"")</f>
        <v/>
      </c>
    </row>
    <row r="7845" spans="1:8" x14ac:dyDescent="0.2">
      <c r="A7845" t="str">
        <f t="shared" si="122"/>
        <v/>
      </c>
      <c r="B7845" s="1">
        <v>2019</v>
      </c>
      <c r="C7845" s="1" t="s">
        <v>2505</v>
      </c>
      <c r="D7845" s="1" t="s">
        <v>2506</v>
      </c>
      <c r="E7845" s="1" t="s">
        <v>2019</v>
      </c>
      <c r="F7845" s="1" t="s">
        <v>782</v>
      </c>
      <c r="G7845" s="6">
        <v>19780775</v>
      </c>
      <c r="H7845" t="str">
        <f>IFERROR(VLOOKUP(F7845,'LEAID Match'!$A$2:$B$142,2,FALSE),"")</f>
        <v/>
      </c>
    </row>
    <row r="7846" spans="1:8" x14ac:dyDescent="0.2">
      <c r="A7846" t="str">
        <f t="shared" si="122"/>
        <v/>
      </c>
      <c r="B7846" s="1">
        <v>2020</v>
      </c>
      <c r="C7846" s="1" t="s">
        <v>2505</v>
      </c>
      <c r="D7846" s="1" t="s">
        <v>2506</v>
      </c>
      <c r="E7846" s="1" t="s">
        <v>2019</v>
      </c>
      <c r="F7846" s="1" t="s">
        <v>782</v>
      </c>
      <c r="G7846" s="6">
        <v>22167806</v>
      </c>
      <c r="H7846" t="str">
        <f>IFERROR(VLOOKUP(F7846,'LEAID Match'!$A$2:$B$142,2,FALSE),"")</f>
        <v/>
      </c>
    </row>
    <row r="7847" spans="1:8" x14ac:dyDescent="0.2">
      <c r="A7847" t="str">
        <f t="shared" si="122"/>
        <v/>
      </c>
      <c r="B7847" s="1">
        <v>2021</v>
      </c>
      <c r="C7847" s="1" t="s">
        <v>2505</v>
      </c>
      <c r="D7847" s="1" t="s">
        <v>2506</v>
      </c>
      <c r="E7847" s="1" t="s">
        <v>2019</v>
      </c>
      <c r="F7847" s="1" t="s">
        <v>782</v>
      </c>
      <c r="G7847" s="6">
        <v>21893281</v>
      </c>
      <c r="H7847" t="str">
        <f>IFERROR(VLOOKUP(F7847,'LEAID Match'!$A$2:$B$142,2,FALSE),"")</f>
        <v/>
      </c>
    </row>
    <row r="7848" spans="1:8" x14ac:dyDescent="0.2">
      <c r="A7848" t="str">
        <f t="shared" si="122"/>
        <v/>
      </c>
      <c r="B7848" s="1">
        <v>2022</v>
      </c>
      <c r="C7848" s="1" t="s">
        <v>2505</v>
      </c>
      <c r="D7848" s="1" t="s">
        <v>2506</v>
      </c>
      <c r="E7848" s="1" t="s">
        <v>2019</v>
      </c>
      <c r="F7848" s="1" t="s">
        <v>782</v>
      </c>
      <c r="G7848" s="6">
        <v>23035202</v>
      </c>
      <c r="H7848" t="str">
        <f>IFERROR(VLOOKUP(F7848,'LEAID Match'!$A$2:$B$142,2,FALSE),"")</f>
        <v/>
      </c>
    </row>
    <row r="7849" spans="1:8" x14ac:dyDescent="0.2">
      <c r="A7849" t="str">
        <f t="shared" si="122"/>
        <v/>
      </c>
      <c r="B7849" s="1">
        <v>2023</v>
      </c>
      <c r="C7849" s="1" t="s">
        <v>2505</v>
      </c>
      <c r="D7849" s="1" t="s">
        <v>2506</v>
      </c>
      <c r="E7849" s="1" t="s">
        <v>2019</v>
      </c>
      <c r="F7849" s="1" t="s">
        <v>782</v>
      </c>
      <c r="G7849" s="6">
        <v>25833733</v>
      </c>
      <c r="H7849" t="str">
        <f>IFERROR(VLOOKUP(F7849,'LEAID Match'!$A$2:$B$142,2,FALSE),"")</f>
        <v/>
      </c>
    </row>
    <row r="7850" spans="1:8" x14ac:dyDescent="0.2">
      <c r="A7850" t="str">
        <f t="shared" si="122"/>
        <v/>
      </c>
      <c r="B7850" s="1">
        <v>2024</v>
      </c>
      <c r="C7850" s="1" t="s">
        <v>2505</v>
      </c>
      <c r="D7850" s="1" t="s">
        <v>2506</v>
      </c>
      <c r="E7850" s="1" t="s">
        <v>2019</v>
      </c>
      <c r="F7850" s="1" t="s">
        <v>782</v>
      </c>
      <c r="G7850" s="6">
        <v>28784386</v>
      </c>
      <c r="H7850" t="str">
        <f>IFERROR(VLOOKUP(F7850,'LEAID Match'!$A$2:$B$142,2,FALSE),"")</f>
        <v/>
      </c>
    </row>
    <row r="7851" spans="1:8" x14ac:dyDescent="0.2">
      <c r="A7851" t="str">
        <f t="shared" si="122"/>
        <v/>
      </c>
      <c r="B7851" s="1">
        <v>2015</v>
      </c>
      <c r="C7851" s="1" t="s">
        <v>2505</v>
      </c>
      <c r="D7851" s="1" t="s">
        <v>2506</v>
      </c>
      <c r="E7851" s="1" t="s">
        <v>2019</v>
      </c>
      <c r="F7851" s="1" t="s">
        <v>783</v>
      </c>
      <c r="G7851" s="6">
        <v>13032470</v>
      </c>
      <c r="H7851" t="str">
        <f>IFERROR(VLOOKUP(F7851,'LEAID Match'!$A$2:$B$142,2,FALSE),"")</f>
        <v/>
      </c>
    </row>
    <row r="7852" spans="1:8" x14ac:dyDescent="0.2">
      <c r="A7852" t="str">
        <f t="shared" si="122"/>
        <v/>
      </c>
      <c r="B7852">
        <v>2016</v>
      </c>
      <c r="C7852" s="1" t="s">
        <v>2505</v>
      </c>
      <c r="D7852" s="1" t="s">
        <v>2506</v>
      </c>
      <c r="E7852" s="1" t="s">
        <v>2019</v>
      </c>
      <c r="F7852" s="1" t="s">
        <v>783</v>
      </c>
      <c r="G7852" s="12">
        <v>13185913</v>
      </c>
      <c r="H7852" t="str">
        <f>IFERROR(VLOOKUP(F7852,'LEAID Match'!$A$2:$B$142,2,FALSE),"")</f>
        <v/>
      </c>
    </row>
    <row r="7853" spans="1:8" x14ac:dyDescent="0.2">
      <c r="A7853" t="str">
        <f t="shared" si="122"/>
        <v/>
      </c>
      <c r="B7853" s="1">
        <v>2017</v>
      </c>
      <c r="C7853" s="1" t="s">
        <v>2505</v>
      </c>
      <c r="D7853" s="1" t="s">
        <v>2506</v>
      </c>
      <c r="E7853" s="1" t="s">
        <v>2019</v>
      </c>
      <c r="F7853" s="1" t="s">
        <v>783</v>
      </c>
      <c r="G7853" s="47">
        <v>13496839</v>
      </c>
      <c r="H7853" t="str">
        <f>IFERROR(VLOOKUP(F7853,'LEAID Match'!$A$2:$B$142,2,FALSE),"")</f>
        <v/>
      </c>
    </row>
    <row r="7854" spans="1:8" x14ac:dyDescent="0.2">
      <c r="A7854" t="str">
        <f t="shared" si="122"/>
        <v/>
      </c>
      <c r="B7854" s="1">
        <v>2018</v>
      </c>
      <c r="C7854" s="1" t="s">
        <v>2505</v>
      </c>
      <c r="D7854" s="1" t="s">
        <v>2506</v>
      </c>
      <c r="E7854" s="1" t="s">
        <v>2019</v>
      </c>
      <c r="F7854" s="1" t="s">
        <v>783</v>
      </c>
      <c r="G7854" s="6">
        <v>13572610</v>
      </c>
      <c r="H7854" t="str">
        <f>IFERROR(VLOOKUP(F7854,'LEAID Match'!$A$2:$B$142,2,FALSE),"")</f>
        <v/>
      </c>
    </row>
    <row r="7855" spans="1:8" x14ac:dyDescent="0.2">
      <c r="A7855" t="str">
        <f t="shared" si="122"/>
        <v/>
      </c>
      <c r="B7855" s="1">
        <v>2019</v>
      </c>
      <c r="C7855" s="1" t="s">
        <v>2505</v>
      </c>
      <c r="D7855" s="1" t="s">
        <v>2506</v>
      </c>
      <c r="E7855" s="1" t="s">
        <v>2019</v>
      </c>
      <c r="F7855" s="1" t="s">
        <v>783</v>
      </c>
      <c r="G7855" s="6">
        <v>13488454</v>
      </c>
      <c r="H7855" t="str">
        <f>IFERROR(VLOOKUP(F7855,'LEAID Match'!$A$2:$B$142,2,FALSE),"")</f>
        <v/>
      </c>
    </row>
    <row r="7856" spans="1:8" x14ac:dyDescent="0.2">
      <c r="A7856" t="str">
        <f t="shared" si="122"/>
        <v/>
      </c>
      <c r="B7856" s="1">
        <v>2020</v>
      </c>
      <c r="C7856" s="1" t="s">
        <v>2505</v>
      </c>
      <c r="D7856" s="1" t="s">
        <v>2506</v>
      </c>
      <c r="E7856" s="1" t="s">
        <v>2019</v>
      </c>
      <c r="F7856" s="1" t="s">
        <v>783</v>
      </c>
      <c r="G7856" s="6">
        <v>15147280</v>
      </c>
      <c r="H7856" t="str">
        <f>IFERROR(VLOOKUP(F7856,'LEAID Match'!$A$2:$B$142,2,FALSE),"")</f>
        <v/>
      </c>
    </row>
    <row r="7857" spans="1:8" x14ac:dyDescent="0.2">
      <c r="A7857" t="str">
        <f t="shared" si="122"/>
        <v/>
      </c>
      <c r="B7857" s="1">
        <v>2021</v>
      </c>
      <c r="C7857" s="1" t="s">
        <v>2505</v>
      </c>
      <c r="D7857" s="1" t="s">
        <v>2506</v>
      </c>
      <c r="E7857" s="1" t="s">
        <v>2019</v>
      </c>
      <c r="F7857" s="1" t="s">
        <v>783</v>
      </c>
      <c r="G7857" s="6">
        <v>15008331</v>
      </c>
      <c r="H7857" t="str">
        <f>IFERROR(VLOOKUP(F7857,'LEAID Match'!$A$2:$B$142,2,FALSE),"")</f>
        <v/>
      </c>
    </row>
    <row r="7858" spans="1:8" x14ac:dyDescent="0.2">
      <c r="A7858" t="str">
        <f t="shared" si="122"/>
        <v/>
      </c>
      <c r="B7858" s="1">
        <v>2022</v>
      </c>
      <c r="C7858" s="1" t="s">
        <v>2505</v>
      </c>
      <c r="D7858" s="1" t="s">
        <v>2506</v>
      </c>
      <c r="E7858" s="1" t="s">
        <v>2019</v>
      </c>
      <c r="F7858" s="1" t="s">
        <v>783</v>
      </c>
      <c r="G7858" s="6">
        <v>15420139</v>
      </c>
      <c r="H7858" t="str">
        <f>IFERROR(VLOOKUP(F7858,'LEAID Match'!$A$2:$B$142,2,FALSE),"")</f>
        <v/>
      </c>
    </row>
    <row r="7859" spans="1:8" x14ac:dyDescent="0.2">
      <c r="A7859" t="str">
        <f t="shared" si="122"/>
        <v/>
      </c>
      <c r="B7859" s="1">
        <v>2023</v>
      </c>
      <c r="C7859" s="1" t="s">
        <v>2505</v>
      </c>
      <c r="D7859" s="1" t="s">
        <v>2506</v>
      </c>
      <c r="E7859" s="1" t="s">
        <v>2019</v>
      </c>
      <c r="F7859" s="1" t="s">
        <v>783</v>
      </c>
      <c r="G7859" s="6">
        <v>16203011</v>
      </c>
      <c r="H7859" t="str">
        <f>IFERROR(VLOOKUP(F7859,'LEAID Match'!$A$2:$B$142,2,FALSE),"")</f>
        <v/>
      </c>
    </row>
    <row r="7860" spans="1:8" x14ac:dyDescent="0.2">
      <c r="A7860" t="str">
        <f t="shared" si="122"/>
        <v/>
      </c>
      <c r="B7860" s="1">
        <v>2024</v>
      </c>
      <c r="C7860" s="1" t="s">
        <v>2505</v>
      </c>
      <c r="D7860" s="1" t="s">
        <v>2506</v>
      </c>
      <c r="E7860" s="1" t="s">
        <v>2019</v>
      </c>
      <c r="F7860" s="1" t="s">
        <v>783</v>
      </c>
      <c r="G7860" s="6">
        <v>16487067</v>
      </c>
      <c r="H7860" t="str">
        <f>IFERROR(VLOOKUP(F7860,'LEAID Match'!$A$2:$B$142,2,FALSE),"")</f>
        <v/>
      </c>
    </row>
    <row r="7861" spans="1:8" x14ac:dyDescent="0.2">
      <c r="A7861" t="str">
        <f t="shared" si="122"/>
        <v/>
      </c>
      <c r="B7861" s="1">
        <v>2015</v>
      </c>
      <c r="C7861" s="1" t="s">
        <v>2505</v>
      </c>
      <c r="D7861" s="1" t="s">
        <v>2506</v>
      </c>
      <c r="E7861" s="1" t="s">
        <v>2019</v>
      </c>
      <c r="F7861" s="1" t="s">
        <v>784</v>
      </c>
      <c r="G7861" s="6">
        <v>152372</v>
      </c>
      <c r="H7861" t="str">
        <f>IFERROR(VLOOKUP(F7861,'LEAID Match'!$A$2:$B$142,2,FALSE),"")</f>
        <v/>
      </c>
    </row>
    <row r="7862" spans="1:8" x14ac:dyDescent="0.2">
      <c r="A7862" t="str">
        <f t="shared" si="122"/>
        <v/>
      </c>
      <c r="B7862">
        <v>2016</v>
      </c>
      <c r="C7862" s="1" t="s">
        <v>2505</v>
      </c>
      <c r="D7862" s="1" t="s">
        <v>2506</v>
      </c>
      <c r="E7862" s="1" t="s">
        <v>2019</v>
      </c>
      <c r="F7862" s="1" t="s">
        <v>784</v>
      </c>
      <c r="G7862" s="12">
        <v>155957</v>
      </c>
      <c r="H7862" t="str">
        <f>IFERROR(VLOOKUP(F7862,'LEAID Match'!$A$2:$B$142,2,FALSE),"")</f>
        <v/>
      </c>
    </row>
    <row r="7863" spans="1:8" x14ac:dyDescent="0.2">
      <c r="A7863" t="str">
        <f t="shared" si="122"/>
        <v/>
      </c>
      <c r="B7863" s="1">
        <v>2017</v>
      </c>
      <c r="C7863" s="1" t="s">
        <v>2505</v>
      </c>
      <c r="D7863" s="1" t="s">
        <v>2506</v>
      </c>
      <c r="E7863" s="1" t="s">
        <v>2019</v>
      </c>
      <c r="F7863" s="1" t="s">
        <v>784</v>
      </c>
      <c r="G7863" s="47">
        <v>140993</v>
      </c>
      <c r="H7863" t="str">
        <f>IFERROR(VLOOKUP(F7863,'LEAID Match'!$A$2:$B$142,2,FALSE),"")</f>
        <v/>
      </c>
    </row>
    <row r="7864" spans="1:8" x14ac:dyDescent="0.2">
      <c r="A7864" t="str">
        <f t="shared" si="122"/>
        <v/>
      </c>
      <c r="B7864" s="1">
        <v>2018</v>
      </c>
      <c r="C7864" s="1" t="s">
        <v>2505</v>
      </c>
      <c r="D7864" s="1" t="s">
        <v>2506</v>
      </c>
      <c r="E7864" s="1" t="s">
        <v>2019</v>
      </c>
      <c r="F7864" s="1" t="s">
        <v>784</v>
      </c>
      <c r="G7864" s="6">
        <v>142774</v>
      </c>
      <c r="H7864" t="str">
        <f>IFERROR(VLOOKUP(F7864,'LEAID Match'!$A$2:$B$142,2,FALSE),"")</f>
        <v/>
      </c>
    </row>
    <row r="7865" spans="1:8" x14ac:dyDescent="0.2">
      <c r="A7865" t="str">
        <f t="shared" si="122"/>
        <v/>
      </c>
      <c r="B7865" s="1">
        <v>2019</v>
      </c>
      <c r="C7865" s="1" t="s">
        <v>2505</v>
      </c>
      <c r="D7865" s="1" t="s">
        <v>2506</v>
      </c>
      <c r="E7865" s="1" t="s">
        <v>2019</v>
      </c>
      <c r="F7865" s="1" t="s">
        <v>784</v>
      </c>
      <c r="G7865" s="6">
        <v>146224</v>
      </c>
      <c r="H7865" t="str">
        <f>IFERROR(VLOOKUP(F7865,'LEAID Match'!$A$2:$B$142,2,FALSE),"")</f>
        <v/>
      </c>
    </row>
    <row r="7866" spans="1:8" x14ac:dyDescent="0.2">
      <c r="A7866" t="str">
        <f t="shared" si="122"/>
        <v/>
      </c>
      <c r="B7866" s="1">
        <v>2020</v>
      </c>
      <c r="C7866" s="1" t="s">
        <v>2505</v>
      </c>
      <c r="D7866" s="1" t="s">
        <v>2506</v>
      </c>
      <c r="E7866" s="1" t="s">
        <v>2019</v>
      </c>
      <c r="F7866" s="1" t="s">
        <v>784</v>
      </c>
      <c r="G7866" s="6">
        <v>162992</v>
      </c>
      <c r="H7866" t="str">
        <f>IFERROR(VLOOKUP(F7866,'LEAID Match'!$A$2:$B$142,2,FALSE),"")</f>
        <v/>
      </c>
    </row>
    <row r="7867" spans="1:8" x14ac:dyDescent="0.2">
      <c r="A7867" t="str">
        <f t="shared" si="122"/>
        <v/>
      </c>
      <c r="B7867" s="1">
        <v>2021</v>
      </c>
      <c r="C7867" s="1" t="s">
        <v>2505</v>
      </c>
      <c r="D7867" s="1" t="s">
        <v>2506</v>
      </c>
      <c r="E7867" s="1" t="s">
        <v>2019</v>
      </c>
      <c r="F7867" s="1" t="s">
        <v>784</v>
      </c>
      <c r="G7867" s="6">
        <v>163650</v>
      </c>
      <c r="H7867" t="str">
        <f>IFERROR(VLOOKUP(F7867,'LEAID Match'!$A$2:$B$142,2,FALSE),"")</f>
        <v/>
      </c>
    </row>
    <row r="7868" spans="1:8" x14ac:dyDescent="0.2">
      <c r="A7868" t="str">
        <f t="shared" si="122"/>
        <v/>
      </c>
      <c r="B7868" s="1">
        <v>2022</v>
      </c>
      <c r="C7868" s="1" t="s">
        <v>2505</v>
      </c>
      <c r="D7868" s="1" t="s">
        <v>2506</v>
      </c>
      <c r="E7868" s="1" t="s">
        <v>2019</v>
      </c>
      <c r="F7868" s="1" t="s">
        <v>784</v>
      </c>
      <c r="G7868" s="6">
        <v>186599</v>
      </c>
      <c r="H7868" t="str">
        <f>IFERROR(VLOOKUP(F7868,'LEAID Match'!$A$2:$B$142,2,FALSE),"")</f>
        <v/>
      </c>
    </row>
    <row r="7869" spans="1:8" x14ac:dyDescent="0.2">
      <c r="A7869" t="str">
        <f t="shared" si="122"/>
        <v/>
      </c>
      <c r="B7869" s="1">
        <v>2023</v>
      </c>
      <c r="C7869" s="1" t="s">
        <v>2505</v>
      </c>
      <c r="D7869" s="1" t="s">
        <v>2506</v>
      </c>
      <c r="E7869" s="1" t="s">
        <v>2019</v>
      </c>
      <c r="F7869" s="1" t="s">
        <v>784</v>
      </c>
      <c r="G7869" s="6">
        <v>219085</v>
      </c>
      <c r="H7869" t="str">
        <f>IFERROR(VLOOKUP(F7869,'LEAID Match'!$A$2:$B$142,2,FALSE),"")</f>
        <v/>
      </c>
    </row>
    <row r="7870" spans="1:8" x14ac:dyDescent="0.2">
      <c r="A7870" t="str">
        <f t="shared" si="122"/>
        <v/>
      </c>
      <c r="B7870" s="1">
        <v>2024</v>
      </c>
      <c r="C7870" s="1" t="s">
        <v>2505</v>
      </c>
      <c r="D7870" s="1" t="s">
        <v>2506</v>
      </c>
      <c r="E7870" s="1" t="s">
        <v>2019</v>
      </c>
      <c r="F7870" s="1" t="s">
        <v>784</v>
      </c>
      <c r="G7870" s="6">
        <v>199607</v>
      </c>
      <c r="H7870" t="str">
        <f>IFERROR(VLOOKUP(F7870,'LEAID Match'!$A$2:$B$142,2,FALSE),"")</f>
        <v/>
      </c>
    </row>
    <row r="7871" spans="1:8" x14ac:dyDescent="0.2">
      <c r="A7871" t="str">
        <f t="shared" si="122"/>
        <v/>
      </c>
      <c r="B7871" s="1">
        <v>2015</v>
      </c>
      <c r="C7871" s="1" t="s">
        <v>2505</v>
      </c>
      <c r="D7871" s="1" t="s">
        <v>2506</v>
      </c>
      <c r="E7871" s="1" t="s">
        <v>2019</v>
      </c>
      <c r="F7871" s="1" t="s">
        <v>785</v>
      </c>
      <c r="G7871" s="6">
        <v>25817</v>
      </c>
      <c r="H7871" t="str">
        <f>IFERROR(VLOOKUP(F7871,'LEAID Match'!$A$2:$B$142,2,FALSE),"")</f>
        <v/>
      </c>
    </row>
    <row r="7872" spans="1:8" x14ac:dyDescent="0.2">
      <c r="A7872" t="str">
        <f t="shared" si="122"/>
        <v/>
      </c>
      <c r="B7872">
        <v>2016</v>
      </c>
      <c r="C7872" s="1" t="s">
        <v>2505</v>
      </c>
      <c r="D7872" s="1" t="s">
        <v>2506</v>
      </c>
      <c r="E7872" s="1" t="s">
        <v>2019</v>
      </c>
      <c r="F7872" s="1" t="s">
        <v>785</v>
      </c>
      <c r="G7872" s="12">
        <v>25395</v>
      </c>
      <c r="H7872" t="str">
        <f>IFERROR(VLOOKUP(F7872,'LEAID Match'!$A$2:$B$142,2,FALSE),"")</f>
        <v/>
      </c>
    </row>
    <row r="7873" spans="1:8" x14ac:dyDescent="0.2">
      <c r="A7873" t="str">
        <f t="shared" si="122"/>
        <v/>
      </c>
      <c r="B7873" s="1">
        <v>2017</v>
      </c>
      <c r="C7873" s="1" t="s">
        <v>2505</v>
      </c>
      <c r="D7873" s="1" t="s">
        <v>2506</v>
      </c>
      <c r="E7873" s="1" t="s">
        <v>2019</v>
      </c>
      <c r="F7873" s="1" t="s">
        <v>785</v>
      </c>
      <c r="G7873" s="47">
        <v>33839</v>
      </c>
      <c r="H7873" t="str">
        <f>IFERROR(VLOOKUP(F7873,'LEAID Match'!$A$2:$B$142,2,FALSE),"")</f>
        <v/>
      </c>
    </row>
    <row r="7874" spans="1:8" x14ac:dyDescent="0.2">
      <c r="A7874" t="str">
        <f t="shared" si="122"/>
        <v/>
      </c>
      <c r="B7874" s="1">
        <v>2018</v>
      </c>
      <c r="C7874" s="1" t="s">
        <v>2505</v>
      </c>
      <c r="D7874" s="1" t="s">
        <v>2506</v>
      </c>
      <c r="E7874" s="1" t="s">
        <v>2019</v>
      </c>
      <c r="F7874" s="1" t="s">
        <v>785</v>
      </c>
      <c r="G7874" s="6">
        <v>33695</v>
      </c>
      <c r="H7874" t="str">
        <f>IFERROR(VLOOKUP(F7874,'LEAID Match'!$A$2:$B$142,2,FALSE),"")</f>
        <v/>
      </c>
    </row>
    <row r="7875" spans="1:8" x14ac:dyDescent="0.2">
      <c r="A7875" t="str">
        <f t="shared" ref="A7875:A7938" si="123">H7875</f>
        <v/>
      </c>
      <c r="B7875" s="1">
        <v>2019</v>
      </c>
      <c r="C7875" s="1" t="s">
        <v>2505</v>
      </c>
      <c r="D7875" s="1" t="s">
        <v>2506</v>
      </c>
      <c r="E7875" s="1" t="s">
        <v>2019</v>
      </c>
      <c r="F7875" s="1" t="s">
        <v>785</v>
      </c>
      <c r="G7875" s="6">
        <v>22461</v>
      </c>
      <c r="H7875" t="str">
        <f>IFERROR(VLOOKUP(F7875,'LEAID Match'!$A$2:$B$142,2,FALSE),"")</f>
        <v/>
      </c>
    </row>
    <row r="7876" spans="1:8" x14ac:dyDescent="0.2">
      <c r="A7876" t="str">
        <f t="shared" si="123"/>
        <v/>
      </c>
      <c r="B7876" s="1">
        <v>2020</v>
      </c>
      <c r="C7876" s="1" t="s">
        <v>2505</v>
      </c>
      <c r="D7876" s="1" t="s">
        <v>2506</v>
      </c>
      <c r="E7876" s="1" t="s">
        <v>2019</v>
      </c>
      <c r="F7876" s="1" t="s">
        <v>785</v>
      </c>
      <c r="G7876" s="6">
        <v>29642</v>
      </c>
      <c r="H7876" t="str">
        <f>IFERROR(VLOOKUP(F7876,'LEAID Match'!$A$2:$B$142,2,FALSE),"")</f>
        <v/>
      </c>
    </row>
    <row r="7877" spans="1:8" x14ac:dyDescent="0.2">
      <c r="A7877" t="str">
        <f t="shared" si="123"/>
        <v/>
      </c>
      <c r="B7877" s="1">
        <v>2021</v>
      </c>
      <c r="C7877" s="1" t="s">
        <v>2505</v>
      </c>
      <c r="D7877" s="1" t="s">
        <v>2506</v>
      </c>
      <c r="E7877" s="1" t="s">
        <v>2019</v>
      </c>
      <c r="F7877" s="1" t="s">
        <v>785</v>
      </c>
      <c r="G7877" s="6">
        <v>19795</v>
      </c>
      <c r="H7877" t="str">
        <f>IFERROR(VLOOKUP(F7877,'LEAID Match'!$A$2:$B$142,2,FALSE),"")</f>
        <v/>
      </c>
    </row>
    <row r="7878" spans="1:8" x14ac:dyDescent="0.2">
      <c r="A7878" t="str">
        <f t="shared" si="123"/>
        <v/>
      </c>
      <c r="B7878" s="1">
        <v>2022</v>
      </c>
      <c r="C7878" s="1" t="s">
        <v>2505</v>
      </c>
      <c r="D7878" s="1" t="s">
        <v>2506</v>
      </c>
      <c r="E7878" s="1" t="s">
        <v>2019</v>
      </c>
      <c r="F7878" s="1" t="s">
        <v>785</v>
      </c>
      <c r="G7878" s="6">
        <v>28583</v>
      </c>
      <c r="H7878" t="str">
        <f>IFERROR(VLOOKUP(F7878,'LEAID Match'!$A$2:$B$142,2,FALSE),"")</f>
        <v/>
      </c>
    </row>
    <row r="7879" spans="1:8" x14ac:dyDescent="0.2">
      <c r="A7879" t="str">
        <f t="shared" si="123"/>
        <v/>
      </c>
      <c r="B7879" s="1">
        <v>2023</v>
      </c>
      <c r="C7879" s="1" t="s">
        <v>2505</v>
      </c>
      <c r="D7879" s="1" t="s">
        <v>2506</v>
      </c>
      <c r="E7879" s="1" t="s">
        <v>2019</v>
      </c>
      <c r="F7879" s="1" t="s">
        <v>785</v>
      </c>
      <c r="G7879" s="6">
        <v>38287</v>
      </c>
      <c r="H7879" t="str">
        <f>IFERROR(VLOOKUP(F7879,'LEAID Match'!$A$2:$B$142,2,FALSE),"")</f>
        <v/>
      </c>
    </row>
    <row r="7880" spans="1:8" x14ac:dyDescent="0.2">
      <c r="A7880" t="str">
        <f t="shared" si="123"/>
        <v/>
      </c>
      <c r="B7880" s="1">
        <v>2024</v>
      </c>
      <c r="C7880" s="1" t="s">
        <v>2505</v>
      </c>
      <c r="D7880" s="1" t="s">
        <v>2506</v>
      </c>
      <c r="E7880" s="1" t="s">
        <v>2019</v>
      </c>
      <c r="F7880" s="1" t="s">
        <v>785</v>
      </c>
      <c r="G7880" s="6">
        <v>39070</v>
      </c>
      <c r="H7880" t="str">
        <f>IFERROR(VLOOKUP(F7880,'LEAID Match'!$A$2:$B$142,2,FALSE),"")</f>
        <v/>
      </c>
    </row>
    <row r="7881" spans="1:8" x14ac:dyDescent="0.2">
      <c r="A7881" t="str">
        <f t="shared" si="123"/>
        <v/>
      </c>
      <c r="B7881" s="1">
        <v>2015</v>
      </c>
      <c r="C7881" s="1" t="s">
        <v>2505</v>
      </c>
      <c r="D7881" s="1" t="s">
        <v>2506</v>
      </c>
      <c r="E7881" s="1" t="s">
        <v>2019</v>
      </c>
      <c r="F7881" s="1" t="s">
        <v>786</v>
      </c>
      <c r="G7881" s="6">
        <v>43200</v>
      </c>
      <c r="H7881" t="str">
        <f>IFERROR(VLOOKUP(F7881,'LEAID Match'!$A$2:$B$142,2,FALSE),"")</f>
        <v/>
      </c>
    </row>
    <row r="7882" spans="1:8" x14ac:dyDescent="0.2">
      <c r="A7882" t="str">
        <f t="shared" si="123"/>
        <v/>
      </c>
      <c r="B7882">
        <v>2016</v>
      </c>
      <c r="C7882" s="1" t="s">
        <v>2505</v>
      </c>
      <c r="D7882" s="1" t="s">
        <v>2506</v>
      </c>
      <c r="E7882" s="1" t="s">
        <v>2019</v>
      </c>
      <c r="F7882" s="1" t="s">
        <v>786</v>
      </c>
      <c r="G7882" s="12">
        <v>43163</v>
      </c>
      <c r="H7882" t="str">
        <f>IFERROR(VLOOKUP(F7882,'LEAID Match'!$A$2:$B$142,2,FALSE),"")</f>
        <v/>
      </c>
    </row>
    <row r="7883" spans="1:8" x14ac:dyDescent="0.2">
      <c r="A7883" t="str">
        <f t="shared" si="123"/>
        <v/>
      </c>
      <c r="B7883" s="1">
        <v>2017</v>
      </c>
      <c r="C7883" s="1" t="s">
        <v>2505</v>
      </c>
      <c r="D7883" s="1" t="s">
        <v>2506</v>
      </c>
      <c r="E7883" s="1" t="s">
        <v>2019</v>
      </c>
      <c r="F7883" s="1" t="s">
        <v>786</v>
      </c>
      <c r="G7883" s="47">
        <v>46082</v>
      </c>
      <c r="H7883" t="str">
        <f>IFERROR(VLOOKUP(F7883,'LEAID Match'!$A$2:$B$142,2,FALSE),"")</f>
        <v/>
      </c>
    </row>
    <row r="7884" spans="1:8" x14ac:dyDescent="0.2">
      <c r="A7884" t="str">
        <f t="shared" si="123"/>
        <v/>
      </c>
      <c r="B7884" s="1">
        <v>2018</v>
      </c>
      <c r="C7884" s="1" t="s">
        <v>2505</v>
      </c>
      <c r="D7884" s="1" t="s">
        <v>2506</v>
      </c>
      <c r="E7884" s="1" t="s">
        <v>2019</v>
      </c>
      <c r="F7884" s="1" t="s">
        <v>786</v>
      </c>
      <c r="G7884" s="6">
        <v>43487</v>
      </c>
      <c r="H7884" t="str">
        <f>IFERROR(VLOOKUP(F7884,'LEAID Match'!$A$2:$B$142,2,FALSE),"")</f>
        <v/>
      </c>
    </row>
    <row r="7885" spans="1:8" x14ac:dyDescent="0.2">
      <c r="A7885" t="str">
        <f t="shared" si="123"/>
        <v/>
      </c>
      <c r="B7885" s="1">
        <v>2019</v>
      </c>
      <c r="C7885" s="1" t="s">
        <v>2505</v>
      </c>
      <c r="D7885" s="1" t="s">
        <v>2506</v>
      </c>
      <c r="E7885" s="1" t="s">
        <v>2019</v>
      </c>
      <c r="F7885" s="1" t="s">
        <v>786</v>
      </c>
      <c r="G7885" s="6">
        <v>43131</v>
      </c>
      <c r="H7885" t="str">
        <f>IFERROR(VLOOKUP(F7885,'LEAID Match'!$A$2:$B$142,2,FALSE),"")</f>
        <v/>
      </c>
    </row>
    <row r="7886" spans="1:8" x14ac:dyDescent="0.2">
      <c r="A7886" t="str">
        <f t="shared" si="123"/>
        <v/>
      </c>
      <c r="B7886" s="1">
        <v>2020</v>
      </c>
      <c r="C7886" s="1" t="s">
        <v>2505</v>
      </c>
      <c r="D7886" s="1" t="s">
        <v>2506</v>
      </c>
      <c r="E7886" s="1" t="s">
        <v>2019</v>
      </c>
      <c r="F7886" s="1" t="s">
        <v>786</v>
      </c>
      <c r="G7886" s="6">
        <v>44953</v>
      </c>
      <c r="H7886" t="str">
        <f>IFERROR(VLOOKUP(F7886,'LEAID Match'!$A$2:$B$142,2,FALSE),"")</f>
        <v/>
      </c>
    </row>
    <row r="7887" spans="1:8" x14ac:dyDescent="0.2">
      <c r="A7887" t="str">
        <f t="shared" si="123"/>
        <v/>
      </c>
      <c r="B7887" s="1">
        <v>2021</v>
      </c>
      <c r="C7887" s="1" t="s">
        <v>2505</v>
      </c>
      <c r="D7887" s="1" t="s">
        <v>2506</v>
      </c>
      <c r="E7887" s="1" t="s">
        <v>2019</v>
      </c>
      <c r="F7887" s="1" t="s">
        <v>786</v>
      </c>
      <c r="G7887" s="6">
        <v>45893</v>
      </c>
      <c r="H7887" t="str">
        <f>IFERROR(VLOOKUP(F7887,'LEAID Match'!$A$2:$B$142,2,FALSE),"")</f>
        <v/>
      </c>
    </row>
    <row r="7888" spans="1:8" x14ac:dyDescent="0.2">
      <c r="A7888" t="str">
        <f t="shared" si="123"/>
        <v/>
      </c>
      <c r="B7888" s="1">
        <v>2022</v>
      </c>
      <c r="C7888" s="1" t="s">
        <v>2505</v>
      </c>
      <c r="D7888" s="1" t="s">
        <v>2506</v>
      </c>
      <c r="E7888" s="1" t="s">
        <v>2019</v>
      </c>
      <c r="F7888" s="1" t="s">
        <v>786</v>
      </c>
      <c r="G7888" s="6">
        <v>47420</v>
      </c>
      <c r="H7888" t="str">
        <f>IFERROR(VLOOKUP(F7888,'LEAID Match'!$A$2:$B$142,2,FALSE),"")</f>
        <v/>
      </c>
    </row>
    <row r="7889" spans="1:8" x14ac:dyDescent="0.2">
      <c r="A7889" t="str">
        <f t="shared" si="123"/>
        <v/>
      </c>
      <c r="B7889" s="1">
        <v>2023</v>
      </c>
      <c r="C7889" s="1" t="s">
        <v>2505</v>
      </c>
      <c r="D7889" s="1" t="s">
        <v>2506</v>
      </c>
      <c r="E7889" s="1" t="s">
        <v>2019</v>
      </c>
      <c r="F7889" s="1" t="s">
        <v>786</v>
      </c>
      <c r="G7889" s="6">
        <v>48331</v>
      </c>
      <c r="H7889" t="str">
        <f>IFERROR(VLOOKUP(F7889,'LEAID Match'!$A$2:$B$142,2,FALSE),"")</f>
        <v/>
      </c>
    </row>
    <row r="7890" spans="1:8" x14ac:dyDescent="0.2">
      <c r="A7890" t="str">
        <f t="shared" si="123"/>
        <v/>
      </c>
      <c r="B7890" s="1">
        <v>2024</v>
      </c>
      <c r="C7890" s="1" t="s">
        <v>2505</v>
      </c>
      <c r="D7890" s="1" t="s">
        <v>2506</v>
      </c>
      <c r="E7890" s="1" t="s">
        <v>2019</v>
      </c>
      <c r="F7890" s="1" t="s">
        <v>786</v>
      </c>
      <c r="G7890" s="6">
        <v>50700</v>
      </c>
      <c r="H7890" t="str">
        <f>IFERROR(VLOOKUP(F7890,'LEAID Match'!$A$2:$B$142,2,FALSE),"")</f>
        <v/>
      </c>
    </row>
    <row r="7891" spans="1:8" x14ac:dyDescent="0.2">
      <c r="A7891" t="str">
        <f t="shared" si="123"/>
        <v/>
      </c>
      <c r="B7891" s="1">
        <v>2015</v>
      </c>
      <c r="C7891" s="1" t="s">
        <v>2505</v>
      </c>
      <c r="D7891" s="1" t="s">
        <v>2506</v>
      </c>
      <c r="E7891" s="1" t="s">
        <v>2019</v>
      </c>
      <c r="F7891" s="1" t="s">
        <v>787</v>
      </c>
      <c r="G7891" s="6">
        <v>100445</v>
      </c>
      <c r="H7891" t="str">
        <f>IFERROR(VLOOKUP(F7891,'LEAID Match'!$A$2:$B$142,2,FALSE),"")</f>
        <v/>
      </c>
    </row>
    <row r="7892" spans="1:8" x14ac:dyDescent="0.2">
      <c r="A7892" t="str">
        <f t="shared" si="123"/>
        <v/>
      </c>
      <c r="B7892">
        <v>2016</v>
      </c>
      <c r="C7892" s="1" t="s">
        <v>2505</v>
      </c>
      <c r="D7892" s="1" t="s">
        <v>2506</v>
      </c>
      <c r="E7892" s="1" t="s">
        <v>2019</v>
      </c>
      <c r="F7892" s="1" t="s">
        <v>787</v>
      </c>
      <c r="G7892" s="12">
        <v>93105</v>
      </c>
      <c r="H7892" t="str">
        <f>IFERROR(VLOOKUP(F7892,'LEAID Match'!$A$2:$B$142,2,FALSE),"")</f>
        <v/>
      </c>
    </row>
    <row r="7893" spans="1:8" x14ac:dyDescent="0.2">
      <c r="A7893" t="str">
        <f t="shared" si="123"/>
        <v/>
      </c>
      <c r="B7893" s="1">
        <v>2017</v>
      </c>
      <c r="C7893" s="1" t="s">
        <v>2505</v>
      </c>
      <c r="D7893" s="1" t="s">
        <v>2506</v>
      </c>
      <c r="E7893" s="1" t="s">
        <v>2019</v>
      </c>
      <c r="F7893" s="1" t="s">
        <v>787</v>
      </c>
      <c r="G7893" s="47">
        <v>94754</v>
      </c>
      <c r="H7893" t="str">
        <f>IFERROR(VLOOKUP(F7893,'LEAID Match'!$A$2:$B$142,2,FALSE),"")</f>
        <v/>
      </c>
    </row>
    <row r="7894" spans="1:8" x14ac:dyDescent="0.2">
      <c r="A7894" t="str">
        <f t="shared" si="123"/>
        <v/>
      </c>
      <c r="B7894" s="1">
        <v>2018</v>
      </c>
      <c r="C7894" s="1" t="s">
        <v>2505</v>
      </c>
      <c r="D7894" s="1" t="s">
        <v>2506</v>
      </c>
      <c r="E7894" s="1" t="s">
        <v>2019</v>
      </c>
      <c r="F7894" s="1" t="s">
        <v>787</v>
      </c>
      <c r="G7894" s="6">
        <v>102265</v>
      </c>
      <c r="H7894" t="str">
        <f>IFERROR(VLOOKUP(F7894,'LEAID Match'!$A$2:$B$142,2,FALSE),"")</f>
        <v/>
      </c>
    </row>
    <row r="7895" spans="1:8" x14ac:dyDescent="0.2">
      <c r="A7895" t="str">
        <f t="shared" si="123"/>
        <v/>
      </c>
      <c r="B7895" s="1">
        <v>2019</v>
      </c>
      <c r="C7895" s="1" t="s">
        <v>2505</v>
      </c>
      <c r="D7895" s="1" t="s">
        <v>2506</v>
      </c>
      <c r="E7895" s="1" t="s">
        <v>2019</v>
      </c>
      <c r="F7895" s="1" t="s">
        <v>787</v>
      </c>
      <c r="G7895" s="6">
        <v>103702</v>
      </c>
      <c r="H7895" t="str">
        <f>IFERROR(VLOOKUP(F7895,'LEAID Match'!$A$2:$B$142,2,FALSE),"")</f>
        <v/>
      </c>
    </row>
    <row r="7896" spans="1:8" x14ac:dyDescent="0.2">
      <c r="A7896" t="str">
        <f t="shared" si="123"/>
        <v/>
      </c>
      <c r="B7896" s="1">
        <v>2020</v>
      </c>
      <c r="C7896" s="1" t="s">
        <v>2505</v>
      </c>
      <c r="D7896" s="1" t="s">
        <v>2506</v>
      </c>
      <c r="E7896" s="1" t="s">
        <v>2019</v>
      </c>
      <c r="F7896" s="1" t="s">
        <v>787</v>
      </c>
      <c r="G7896" s="6">
        <v>113476</v>
      </c>
      <c r="H7896" t="str">
        <f>IFERROR(VLOOKUP(F7896,'LEAID Match'!$A$2:$B$142,2,FALSE),"")</f>
        <v/>
      </c>
    </row>
    <row r="7897" spans="1:8" x14ac:dyDescent="0.2">
      <c r="A7897" t="str">
        <f t="shared" si="123"/>
        <v/>
      </c>
      <c r="B7897" s="1">
        <v>2021</v>
      </c>
      <c r="C7897" s="1" t="s">
        <v>2505</v>
      </c>
      <c r="D7897" s="1" t="s">
        <v>2506</v>
      </c>
      <c r="E7897" s="1" t="s">
        <v>2019</v>
      </c>
      <c r="F7897" s="1" t="s">
        <v>787</v>
      </c>
      <c r="G7897" s="6">
        <v>116272</v>
      </c>
      <c r="H7897" t="str">
        <f>IFERROR(VLOOKUP(F7897,'LEAID Match'!$A$2:$B$142,2,FALSE),"")</f>
        <v/>
      </c>
    </row>
    <row r="7898" spans="1:8" x14ac:dyDescent="0.2">
      <c r="A7898" t="str">
        <f t="shared" si="123"/>
        <v/>
      </c>
      <c r="B7898" s="1">
        <v>2022</v>
      </c>
      <c r="C7898" s="1" t="s">
        <v>2505</v>
      </c>
      <c r="D7898" s="1" t="s">
        <v>2506</v>
      </c>
      <c r="E7898" s="1" t="s">
        <v>2019</v>
      </c>
      <c r="F7898" s="1" t="s">
        <v>787</v>
      </c>
      <c r="G7898" s="6">
        <v>131189</v>
      </c>
      <c r="H7898" t="str">
        <f>IFERROR(VLOOKUP(F7898,'LEAID Match'!$A$2:$B$142,2,FALSE),"")</f>
        <v/>
      </c>
    </row>
    <row r="7899" spans="1:8" x14ac:dyDescent="0.2">
      <c r="A7899" t="str">
        <f t="shared" si="123"/>
        <v/>
      </c>
      <c r="B7899" s="1">
        <v>2023</v>
      </c>
      <c r="C7899" s="1" t="s">
        <v>2505</v>
      </c>
      <c r="D7899" s="1" t="s">
        <v>2506</v>
      </c>
      <c r="E7899" s="1" t="s">
        <v>2019</v>
      </c>
      <c r="F7899" s="1" t="s">
        <v>787</v>
      </c>
      <c r="G7899" s="6">
        <v>145185</v>
      </c>
      <c r="H7899" t="str">
        <f>IFERROR(VLOOKUP(F7899,'LEAID Match'!$A$2:$B$142,2,FALSE),"")</f>
        <v/>
      </c>
    </row>
    <row r="7900" spans="1:8" x14ac:dyDescent="0.2">
      <c r="A7900" t="str">
        <f t="shared" si="123"/>
        <v/>
      </c>
      <c r="B7900" s="1">
        <v>2024</v>
      </c>
      <c r="C7900" s="1" t="s">
        <v>2505</v>
      </c>
      <c r="D7900" s="1" t="s">
        <v>2506</v>
      </c>
      <c r="E7900" s="1" t="s">
        <v>2019</v>
      </c>
      <c r="F7900" s="1" t="s">
        <v>787</v>
      </c>
      <c r="G7900" s="6">
        <v>172450</v>
      </c>
      <c r="H7900" t="str">
        <f>IFERROR(VLOOKUP(F7900,'LEAID Match'!$A$2:$B$142,2,FALSE),"")</f>
        <v/>
      </c>
    </row>
    <row r="7901" spans="1:8" x14ac:dyDescent="0.2">
      <c r="A7901" t="str">
        <f t="shared" si="123"/>
        <v/>
      </c>
      <c r="B7901" s="1">
        <v>2015</v>
      </c>
      <c r="C7901" s="1" t="s">
        <v>2505</v>
      </c>
      <c r="D7901" s="1" t="s">
        <v>2506</v>
      </c>
      <c r="E7901" s="1" t="s">
        <v>2019</v>
      </c>
      <c r="F7901" s="1" t="s">
        <v>788</v>
      </c>
      <c r="G7901" s="6">
        <v>114724</v>
      </c>
      <c r="H7901" t="str">
        <f>IFERROR(VLOOKUP(F7901,'LEAID Match'!$A$2:$B$142,2,FALSE),"")</f>
        <v/>
      </c>
    </row>
    <row r="7902" spans="1:8" x14ac:dyDescent="0.2">
      <c r="A7902" t="str">
        <f t="shared" si="123"/>
        <v/>
      </c>
      <c r="B7902">
        <v>2016</v>
      </c>
      <c r="C7902" s="1" t="s">
        <v>2505</v>
      </c>
      <c r="D7902" s="1" t="s">
        <v>2506</v>
      </c>
      <c r="E7902" s="1" t="s">
        <v>2019</v>
      </c>
      <c r="F7902" s="1" t="s">
        <v>788</v>
      </c>
      <c r="G7902" s="12">
        <v>121280</v>
      </c>
      <c r="H7902" t="str">
        <f>IFERROR(VLOOKUP(F7902,'LEAID Match'!$A$2:$B$142,2,FALSE),"")</f>
        <v/>
      </c>
    </row>
    <row r="7903" spans="1:8" x14ac:dyDescent="0.2">
      <c r="A7903" t="str">
        <f t="shared" si="123"/>
        <v/>
      </c>
      <c r="B7903" s="1">
        <v>2017</v>
      </c>
      <c r="C7903" s="1" t="s">
        <v>2505</v>
      </c>
      <c r="D7903" s="1" t="s">
        <v>2506</v>
      </c>
      <c r="E7903" s="1" t="s">
        <v>2019</v>
      </c>
      <c r="F7903" s="1" t="s">
        <v>788</v>
      </c>
      <c r="G7903" s="47">
        <v>126726</v>
      </c>
      <c r="H7903" t="str">
        <f>IFERROR(VLOOKUP(F7903,'LEAID Match'!$A$2:$B$142,2,FALSE),"")</f>
        <v/>
      </c>
    </row>
    <row r="7904" spans="1:8" x14ac:dyDescent="0.2">
      <c r="A7904" t="str">
        <f t="shared" si="123"/>
        <v/>
      </c>
      <c r="B7904" s="1">
        <v>2018</v>
      </c>
      <c r="C7904" s="1" t="s">
        <v>2505</v>
      </c>
      <c r="D7904" s="1" t="s">
        <v>2506</v>
      </c>
      <c r="E7904" s="1" t="s">
        <v>2019</v>
      </c>
      <c r="F7904" s="1" t="s">
        <v>788</v>
      </c>
      <c r="G7904" s="6">
        <v>137883</v>
      </c>
      <c r="H7904" t="str">
        <f>IFERROR(VLOOKUP(F7904,'LEAID Match'!$A$2:$B$142,2,FALSE),"")</f>
        <v/>
      </c>
    </row>
    <row r="7905" spans="1:8" x14ac:dyDescent="0.2">
      <c r="A7905" t="str">
        <f t="shared" si="123"/>
        <v/>
      </c>
      <c r="B7905" s="1">
        <v>2019</v>
      </c>
      <c r="C7905" s="1" t="s">
        <v>2505</v>
      </c>
      <c r="D7905" s="1" t="s">
        <v>2506</v>
      </c>
      <c r="E7905" s="1" t="s">
        <v>2019</v>
      </c>
      <c r="F7905" s="1" t="s">
        <v>788</v>
      </c>
      <c r="G7905" s="6">
        <v>133485</v>
      </c>
      <c r="H7905" t="str">
        <f>IFERROR(VLOOKUP(F7905,'LEAID Match'!$A$2:$B$142,2,FALSE),"")</f>
        <v/>
      </c>
    </row>
    <row r="7906" spans="1:8" x14ac:dyDescent="0.2">
      <c r="A7906" t="str">
        <f t="shared" si="123"/>
        <v/>
      </c>
      <c r="B7906" s="1">
        <v>2020</v>
      </c>
      <c r="C7906" s="1" t="s">
        <v>2505</v>
      </c>
      <c r="D7906" s="1" t="s">
        <v>2506</v>
      </c>
      <c r="E7906" s="1" t="s">
        <v>2019</v>
      </c>
      <c r="F7906" s="1" t="s">
        <v>788</v>
      </c>
      <c r="G7906" s="6">
        <v>161404</v>
      </c>
      <c r="H7906" t="str">
        <f>IFERROR(VLOOKUP(F7906,'LEAID Match'!$A$2:$B$142,2,FALSE),"")</f>
        <v/>
      </c>
    </row>
    <row r="7907" spans="1:8" x14ac:dyDescent="0.2">
      <c r="A7907" t="str">
        <f t="shared" si="123"/>
        <v/>
      </c>
      <c r="B7907" s="1">
        <v>2021</v>
      </c>
      <c r="C7907" s="1" t="s">
        <v>2505</v>
      </c>
      <c r="D7907" s="1" t="s">
        <v>2506</v>
      </c>
      <c r="E7907" s="1" t="s">
        <v>2019</v>
      </c>
      <c r="F7907" s="1" t="s">
        <v>788</v>
      </c>
      <c r="G7907" s="6">
        <v>161148</v>
      </c>
      <c r="H7907" t="str">
        <f>IFERROR(VLOOKUP(F7907,'LEAID Match'!$A$2:$B$142,2,FALSE),"")</f>
        <v/>
      </c>
    </row>
    <row r="7908" spans="1:8" x14ac:dyDescent="0.2">
      <c r="A7908" t="str">
        <f t="shared" si="123"/>
        <v/>
      </c>
      <c r="B7908" s="1">
        <v>2022</v>
      </c>
      <c r="C7908" s="1" t="s">
        <v>2505</v>
      </c>
      <c r="D7908" s="1" t="s">
        <v>2506</v>
      </c>
      <c r="E7908" s="1" t="s">
        <v>2019</v>
      </c>
      <c r="F7908" s="1" t="s">
        <v>788</v>
      </c>
      <c r="G7908" s="6">
        <v>159582</v>
      </c>
      <c r="H7908" t="str">
        <f>IFERROR(VLOOKUP(F7908,'LEAID Match'!$A$2:$B$142,2,FALSE),"")</f>
        <v/>
      </c>
    </row>
    <row r="7909" spans="1:8" x14ac:dyDescent="0.2">
      <c r="A7909" t="str">
        <f t="shared" si="123"/>
        <v/>
      </c>
      <c r="B7909" s="1">
        <v>2023</v>
      </c>
      <c r="C7909" s="1" t="s">
        <v>2505</v>
      </c>
      <c r="D7909" s="1" t="s">
        <v>2506</v>
      </c>
      <c r="E7909" s="1" t="s">
        <v>2019</v>
      </c>
      <c r="F7909" s="1" t="s">
        <v>788</v>
      </c>
      <c r="G7909" s="6">
        <v>165694</v>
      </c>
      <c r="H7909" t="str">
        <f>IFERROR(VLOOKUP(F7909,'LEAID Match'!$A$2:$B$142,2,FALSE),"")</f>
        <v/>
      </c>
    </row>
    <row r="7910" spans="1:8" x14ac:dyDescent="0.2">
      <c r="A7910" t="str">
        <f t="shared" si="123"/>
        <v/>
      </c>
      <c r="B7910" s="1">
        <v>2024</v>
      </c>
      <c r="C7910" s="1" t="s">
        <v>2505</v>
      </c>
      <c r="D7910" s="1" t="s">
        <v>2506</v>
      </c>
      <c r="E7910" s="1" t="s">
        <v>2019</v>
      </c>
      <c r="F7910" s="1" t="s">
        <v>788</v>
      </c>
      <c r="G7910" s="6">
        <v>165606</v>
      </c>
      <c r="H7910" t="str">
        <f>IFERROR(VLOOKUP(F7910,'LEAID Match'!$A$2:$B$142,2,FALSE),"")</f>
        <v/>
      </c>
    </row>
    <row r="7911" spans="1:8" x14ac:dyDescent="0.2">
      <c r="A7911" t="str">
        <f t="shared" si="123"/>
        <v/>
      </c>
      <c r="B7911" s="1">
        <v>2015</v>
      </c>
      <c r="C7911" s="1" t="s">
        <v>2505</v>
      </c>
      <c r="D7911" s="1" t="s">
        <v>2506</v>
      </c>
      <c r="E7911" s="1" t="s">
        <v>2019</v>
      </c>
      <c r="F7911" s="1" t="s">
        <v>789</v>
      </c>
      <c r="G7911" s="6">
        <v>52275</v>
      </c>
      <c r="H7911" t="str">
        <f>IFERROR(VLOOKUP(F7911,'LEAID Match'!$A$2:$B$142,2,FALSE),"")</f>
        <v/>
      </c>
    </row>
    <row r="7912" spans="1:8" x14ac:dyDescent="0.2">
      <c r="A7912" t="str">
        <f t="shared" si="123"/>
        <v/>
      </c>
      <c r="B7912">
        <v>2016</v>
      </c>
      <c r="C7912" s="1" t="s">
        <v>2505</v>
      </c>
      <c r="D7912" s="1" t="s">
        <v>2506</v>
      </c>
      <c r="E7912" s="1" t="s">
        <v>2019</v>
      </c>
      <c r="F7912" s="1" t="s">
        <v>789</v>
      </c>
      <c r="G7912" s="12">
        <v>56832</v>
      </c>
      <c r="H7912" t="str">
        <f>IFERROR(VLOOKUP(F7912,'LEAID Match'!$A$2:$B$142,2,FALSE),"")</f>
        <v/>
      </c>
    </row>
    <row r="7913" spans="1:8" x14ac:dyDescent="0.2">
      <c r="A7913" t="str">
        <f t="shared" si="123"/>
        <v/>
      </c>
      <c r="B7913" s="1">
        <v>2017</v>
      </c>
      <c r="C7913" s="1" t="s">
        <v>2505</v>
      </c>
      <c r="D7913" s="1" t="s">
        <v>2506</v>
      </c>
      <c r="E7913" s="1" t="s">
        <v>2019</v>
      </c>
      <c r="F7913" s="1" t="s">
        <v>789</v>
      </c>
      <c r="G7913" s="47">
        <v>57318</v>
      </c>
      <c r="H7913" t="str">
        <f>IFERROR(VLOOKUP(F7913,'LEAID Match'!$A$2:$B$142,2,FALSE),"")</f>
        <v/>
      </c>
    </row>
    <row r="7914" spans="1:8" x14ac:dyDescent="0.2">
      <c r="A7914" t="str">
        <f t="shared" si="123"/>
        <v/>
      </c>
      <c r="B7914" s="1">
        <v>2018</v>
      </c>
      <c r="C7914" s="1" t="s">
        <v>2505</v>
      </c>
      <c r="D7914" s="1" t="s">
        <v>2506</v>
      </c>
      <c r="E7914" s="1" t="s">
        <v>2019</v>
      </c>
      <c r="F7914" s="1" t="s">
        <v>789</v>
      </c>
      <c r="G7914" s="6">
        <v>60746</v>
      </c>
      <c r="H7914" t="str">
        <f>IFERROR(VLOOKUP(F7914,'LEAID Match'!$A$2:$B$142,2,FALSE),"")</f>
        <v/>
      </c>
    </row>
    <row r="7915" spans="1:8" x14ac:dyDescent="0.2">
      <c r="A7915" t="str">
        <f t="shared" si="123"/>
        <v/>
      </c>
      <c r="B7915" s="1">
        <v>2019</v>
      </c>
      <c r="C7915" s="1" t="s">
        <v>2505</v>
      </c>
      <c r="D7915" s="1" t="s">
        <v>2506</v>
      </c>
      <c r="E7915" s="1" t="s">
        <v>2019</v>
      </c>
      <c r="F7915" s="1" t="s">
        <v>789</v>
      </c>
      <c r="G7915" s="6">
        <v>65649</v>
      </c>
      <c r="H7915" t="str">
        <f>IFERROR(VLOOKUP(F7915,'LEAID Match'!$A$2:$B$142,2,FALSE),"")</f>
        <v/>
      </c>
    </row>
    <row r="7916" spans="1:8" x14ac:dyDescent="0.2">
      <c r="A7916" t="str">
        <f t="shared" si="123"/>
        <v/>
      </c>
      <c r="B7916" s="1">
        <v>2020</v>
      </c>
      <c r="C7916" s="1" t="s">
        <v>2505</v>
      </c>
      <c r="D7916" s="1" t="s">
        <v>2506</v>
      </c>
      <c r="E7916" s="1" t="s">
        <v>2019</v>
      </c>
      <c r="F7916" s="1" t="s">
        <v>789</v>
      </c>
      <c r="G7916" s="6">
        <v>72382</v>
      </c>
      <c r="H7916" t="str">
        <f>IFERROR(VLOOKUP(F7916,'LEAID Match'!$A$2:$B$142,2,FALSE),"")</f>
        <v/>
      </c>
    </row>
    <row r="7917" spans="1:8" x14ac:dyDescent="0.2">
      <c r="A7917" t="str">
        <f t="shared" si="123"/>
        <v/>
      </c>
      <c r="B7917" s="1">
        <v>2021</v>
      </c>
      <c r="C7917" s="1" t="s">
        <v>2505</v>
      </c>
      <c r="D7917" s="1" t="s">
        <v>2506</v>
      </c>
      <c r="E7917" s="1" t="s">
        <v>2019</v>
      </c>
      <c r="F7917" s="1" t="s">
        <v>789</v>
      </c>
      <c r="G7917" s="6">
        <v>62464</v>
      </c>
      <c r="H7917" t="str">
        <f>IFERROR(VLOOKUP(F7917,'LEAID Match'!$A$2:$B$142,2,FALSE),"")</f>
        <v/>
      </c>
    </row>
    <row r="7918" spans="1:8" x14ac:dyDescent="0.2">
      <c r="A7918" t="str">
        <f t="shared" si="123"/>
        <v/>
      </c>
      <c r="B7918" s="1">
        <v>2022</v>
      </c>
      <c r="C7918" s="1" t="s">
        <v>2505</v>
      </c>
      <c r="D7918" s="1" t="s">
        <v>2506</v>
      </c>
      <c r="E7918" s="1" t="s">
        <v>2019</v>
      </c>
      <c r="F7918" s="1" t="s">
        <v>789</v>
      </c>
      <c r="G7918" s="6">
        <v>59652</v>
      </c>
      <c r="H7918" t="str">
        <f>IFERROR(VLOOKUP(F7918,'LEAID Match'!$A$2:$B$142,2,FALSE),"")</f>
        <v/>
      </c>
    </row>
    <row r="7919" spans="1:8" x14ac:dyDescent="0.2">
      <c r="A7919" t="str">
        <f t="shared" si="123"/>
        <v/>
      </c>
      <c r="B7919" s="1">
        <v>2023</v>
      </c>
      <c r="C7919" s="1" t="s">
        <v>2505</v>
      </c>
      <c r="D7919" s="1" t="s">
        <v>2506</v>
      </c>
      <c r="E7919" s="1" t="s">
        <v>2019</v>
      </c>
      <c r="F7919" s="1" t="s">
        <v>789</v>
      </c>
      <c r="G7919" s="6">
        <v>68686</v>
      </c>
      <c r="H7919" t="str">
        <f>IFERROR(VLOOKUP(F7919,'LEAID Match'!$A$2:$B$142,2,FALSE),"")</f>
        <v/>
      </c>
    </row>
    <row r="7920" spans="1:8" x14ac:dyDescent="0.2">
      <c r="A7920" t="str">
        <f t="shared" si="123"/>
        <v/>
      </c>
      <c r="B7920" s="1">
        <v>2024</v>
      </c>
      <c r="C7920" s="1" t="s">
        <v>2505</v>
      </c>
      <c r="D7920" s="1" t="s">
        <v>2506</v>
      </c>
      <c r="E7920" s="1" t="s">
        <v>2019</v>
      </c>
      <c r="F7920" s="1" t="s">
        <v>789</v>
      </c>
      <c r="G7920" s="6">
        <v>74581</v>
      </c>
      <c r="H7920" t="str">
        <f>IFERROR(VLOOKUP(F7920,'LEAID Match'!$A$2:$B$142,2,FALSE),"")</f>
        <v/>
      </c>
    </row>
    <row r="7921" spans="1:8" x14ac:dyDescent="0.2">
      <c r="A7921" t="str">
        <f t="shared" si="123"/>
        <v/>
      </c>
      <c r="B7921" s="1">
        <v>2015</v>
      </c>
      <c r="C7921" s="1" t="s">
        <v>2505</v>
      </c>
      <c r="D7921" s="1" t="s">
        <v>2506</v>
      </c>
      <c r="E7921" s="1" t="s">
        <v>2019</v>
      </c>
      <c r="F7921" s="1" t="s">
        <v>790</v>
      </c>
      <c r="G7921" s="6">
        <v>2629750</v>
      </c>
      <c r="H7921" t="str">
        <f>IFERROR(VLOOKUP(F7921,'LEAID Match'!$A$2:$B$142,2,FALSE),"")</f>
        <v/>
      </c>
    </row>
    <row r="7922" spans="1:8" x14ac:dyDescent="0.2">
      <c r="A7922" t="str">
        <f t="shared" si="123"/>
        <v/>
      </c>
      <c r="B7922">
        <v>2016</v>
      </c>
      <c r="C7922" s="1" t="s">
        <v>2505</v>
      </c>
      <c r="D7922" s="1" t="s">
        <v>2506</v>
      </c>
      <c r="E7922" s="1" t="s">
        <v>2019</v>
      </c>
      <c r="F7922" s="1" t="s">
        <v>790</v>
      </c>
      <c r="G7922" s="12">
        <v>2562542</v>
      </c>
      <c r="H7922" t="str">
        <f>IFERROR(VLOOKUP(F7922,'LEAID Match'!$A$2:$B$142,2,FALSE),"")</f>
        <v/>
      </c>
    </row>
    <row r="7923" spans="1:8" x14ac:dyDescent="0.2">
      <c r="A7923" t="str">
        <f t="shared" si="123"/>
        <v/>
      </c>
      <c r="B7923" s="1">
        <v>2017</v>
      </c>
      <c r="C7923" s="1" t="s">
        <v>2505</v>
      </c>
      <c r="D7923" s="1" t="s">
        <v>2506</v>
      </c>
      <c r="E7923" s="1" t="s">
        <v>2019</v>
      </c>
      <c r="F7923" s="1" t="s">
        <v>790</v>
      </c>
      <c r="G7923" s="47">
        <v>2629671</v>
      </c>
      <c r="H7923" t="str">
        <f>IFERROR(VLOOKUP(F7923,'LEAID Match'!$A$2:$B$142,2,FALSE),"")</f>
        <v/>
      </c>
    </row>
    <row r="7924" spans="1:8" x14ac:dyDescent="0.2">
      <c r="A7924" t="str">
        <f t="shared" si="123"/>
        <v/>
      </c>
      <c r="B7924" s="1">
        <v>2018</v>
      </c>
      <c r="C7924" s="1" t="s">
        <v>2505</v>
      </c>
      <c r="D7924" s="1" t="s">
        <v>2506</v>
      </c>
      <c r="E7924" s="1" t="s">
        <v>2019</v>
      </c>
      <c r="F7924" s="1" t="s">
        <v>790</v>
      </c>
      <c r="G7924" s="6">
        <v>2550296</v>
      </c>
      <c r="H7924" t="str">
        <f>IFERROR(VLOOKUP(F7924,'LEAID Match'!$A$2:$B$142,2,FALSE),"")</f>
        <v/>
      </c>
    </row>
    <row r="7925" spans="1:8" x14ac:dyDescent="0.2">
      <c r="A7925" t="str">
        <f t="shared" si="123"/>
        <v/>
      </c>
      <c r="B7925" s="1">
        <v>2019</v>
      </c>
      <c r="C7925" s="1" t="s">
        <v>2505</v>
      </c>
      <c r="D7925" s="1" t="s">
        <v>2506</v>
      </c>
      <c r="E7925" s="1" t="s">
        <v>2019</v>
      </c>
      <c r="F7925" s="1" t="s">
        <v>790</v>
      </c>
      <c r="G7925" s="6">
        <v>2592368</v>
      </c>
      <c r="H7925" t="str">
        <f>IFERROR(VLOOKUP(F7925,'LEAID Match'!$A$2:$B$142,2,FALSE),"")</f>
        <v/>
      </c>
    </row>
    <row r="7926" spans="1:8" x14ac:dyDescent="0.2">
      <c r="A7926" t="str">
        <f t="shared" si="123"/>
        <v/>
      </c>
      <c r="B7926" s="1">
        <v>2020</v>
      </c>
      <c r="C7926" s="1" t="s">
        <v>2505</v>
      </c>
      <c r="D7926" s="1" t="s">
        <v>2506</v>
      </c>
      <c r="E7926" s="1" t="s">
        <v>2019</v>
      </c>
      <c r="F7926" s="1" t="s">
        <v>790</v>
      </c>
      <c r="G7926" s="6">
        <v>2836357</v>
      </c>
      <c r="H7926" t="str">
        <f>IFERROR(VLOOKUP(F7926,'LEAID Match'!$A$2:$B$142,2,FALSE),"")</f>
        <v/>
      </c>
    </row>
    <row r="7927" spans="1:8" x14ac:dyDescent="0.2">
      <c r="A7927" t="str">
        <f t="shared" si="123"/>
        <v/>
      </c>
      <c r="B7927" s="1">
        <v>2021</v>
      </c>
      <c r="C7927" s="1" t="s">
        <v>2505</v>
      </c>
      <c r="D7927" s="1" t="s">
        <v>2506</v>
      </c>
      <c r="E7927" s="1" t="s">
        <v>2019</v>
      </c>
      <c r="F7927" s="1" t="s">
        <v>790</v>
      </c>
      <c r="G7927" s="6">
        <v>2740274</v>
      </c>
      <c r="H7927" t="str">
        <f>IFERROR(VLOOKUP(F7927,'LEAID Match'!$A$2:$B$142,2,FALSE),"")</f>
        <v/>
      </c>
    </row>
    <row r="7928" spans="1:8" x14ac:dyDescent="0.2">
      <c r="A7928" t="str">
        <f t="shared" si="123"/>
        <v/>
      </c>
      <c r="B7928" s="1">
        <v>2022</v>
      </c>
      <c r="C7928" s="1" t="s">
        <v>2505</v>
      </c>
      <c r="D7928" s="1" t="s">
        <v>2506</v>
      </c>
      <c r="E7928" s="1" t="s">
        <v>2019</v>
      </c>
      <c r="F7928" s="1" t="s">
        <v>790</v>
      </c>
      <c r="G7928" s="6">
        <v>2892860</v>
      </c>
      <c r="H7928" t="str">
        <f>IFERROR(VLOOKUP(F7928,'LEAID Match'!$A$2:$B$142,2,FALSE),"")</f>
        <v/>
      </c>
    </row>
    <row r="7929" spans="1:8" x14ac:dyDescent="0.2">
      <c r="A7929" t="str">
        <f t="shared" si="123"/>
        <v/>
      </c>
      <c r="B7929" s="1">
        <v>2023</v>
      </c>
      <c r="C7929" s="1" t="s">
        <v>2505</v>
      </c>
      <c r="D7929" s="1" t="s">
        <v>2506</v>
      </c>
      <c r="E7929" s="1" t="s">
        <v>2019</v>
      </c>
      <c r="F7929" s="1" t="s">
        <v>790</v>
      </c>
      <c r="G7929" s="6">
        <v>2841241</v>
      </c>
      <c r="H7929" t="str">
        <f>IFERROR(VLOOKUP(F7929,'LEAID Match'!$A$2:$B$142,2,FALSE),"")</f>
        <v/>
      </c>
    </row>
    <row r="7930" spans="1:8" x14ac:dyDescent="0.2">
      <c r="A7930" t="str">
        <f t="shared" si="123"/>
        <v/>
      </c>
      <c r="B7930" s="1">
        <v>2024</v>
      </c>
      <c r="C7930" s="1" t="s">
        <v>2505</v>
      </c>
      <c r="D7930" s="1" t="s">
        <v>2506</v>
      </c>
      <c r="E7930" s="1" t="s">
        <v>2019</v>
      </c>
      <c r="F7930" s="1" t="s">
        <v>790</v>
      </c>
      <c r="G7930" s="6">
        <v>2891978</v>
      </c>
      <c r="H7930" t="str">
        <f>IFERROR(VLOOKUP(F7930,'LEAID Match'!$A$2:$B$142,2,FALSE),"")</f>
        <v/>
      </c>
    </row>
    <row r="7931" spans="1:8" x14ac:dyDescent="0.2">
      <c r="A7931" t="str">
        <f t="shared" si="123"/>
        <v/>
      </c>
      <c r="B7931" s="1">
        <v>2015</v>
      </c>
      <c r="C7931" s="1" t="s">
        <v>2505</v>
      </c>
      <c r="D7931" s="1" t="s">
        <v>2506</v>
      </c>
      <c r="E7931" s="1" t="s">
        <v>2019</v>
      </c>
      <c r="F7931" s="1" t="s">
        <v>791</v>
      </c>
      <c r="G7931" s="6">
        <v>49930</v>
      </c>
      <c r="H7931" t="str">
        <f>IFERROR(VLOOKUP(F7931,'LEAID Match'!$A$2:$B$142,2,FALSE),"")</f>
        <v/>
      </c>
    </row>
    <row r="7932" spans="1:8" x14ac:dyDescent="0.2">
      <c r="A7932" t="str">
        <f t="shared" si="123"/>
        <v/>
      </c>
      <c r="B7932">
        <v>2016</v>
      </c>
      <c r="C7932" s="1" t="s">
        <v>2505</v>
      </c>
      <c r="D7932" s="1" t="s">
        <v>2506</v>
      </c>
      <c r="E7932" s="1" t="s">
        <v>2019</v>
      </c>
      <c r="F7932" s="1" t="s">
        <v>791</v>
      </c>
      <c r="G7932" s="12">
        <v>51303</v>
      </c>
      <c r="H7932" t="str">
        <f>IFERROR(VLOOKUP(F7932,'LEAID Match'!$A$2:$B$142,2,FALSE),"")</f>
        <v/>
      </c>
    </row>
    <row r="7933" spans="1:8" x14ac:dyDescent="0.2">
      <c r="A7933" t="str">
        <f t="shared" si="123"/>
        <v/>
      </c>
      <c r="B7933" s="1">
        <v>2017</v>
      </c>
      <c r="C7933" s="1" t="s">
        <v>2505</v>
      </c>
      <c r="D7933" s="1" t="s">
        <v>2506</v>
      </c>
      <c r="E7933" s="1" t="s">
        <v>2019</v>
      </c>
      <c r="F7933" s="1" t="s">
        <v>791</v>
      </c>
      <c r="G7933" s="47">
        <v>52372</v>
      </c>
      <c r="H7933" t="str">
        <f>IFERROR(VLOOKUP(F7933,'LEAID Match'!$A$2:$B$142,2,FALSE),"")</f>
        <v/>
      </c>
    </row>
    <row r="7934" spans="1:8" x14ac:dyDescent="0.2">
      <c r="A7934" t="str">
        <f t="shared" si="123"/>
        <v/>
      </c>
      <c r="B7934" s="1">
        <v>2018</v>
      </c>
      <c r="C7934" s="1" t="s">
        <v>2505</v>
      </c>
      <c r="D7934" s="1" t="s">
        <v>2506</v>
      </c>
      <c r="E7934" s="1" t="s">
        <v>2019</v>
      </c>
      <c r="F7934" s="1" t="s">
        <v>791</v>
      </c>
      <c r="G7934" s="6">
        <v>53935</v>
      </c>
      <c r="H7934" t="str">
        <f>IFERROR(VLOOKUP(F7934,'LEAID Match'!$A$2:$B$142,2,FALSE),"")</f>
        <v/>
      </c>
    </row>
    <row r="7935" spans="1:8" x14ac:dyDescent="0.2">
      <c r="A7935" t="str">
        <f t="shared" si="123"/>
        <v/>
      </c>
      <c r="B7935" s="1">
        <v>2019</v>
      </c>
      <c r="C7935" s="1" t="s">
        <v>2505</v>
      </c>
      <c r="D7935" s="1" t="s">
        <v>2506</v>
      </c>
      <c r="E7935" s="1" t="s">
        <v>2019</v>
      </c>
      <c r="F7935" s="1" t="s">
        <v>791</v>
      </c>
      <c r="G7935" s="6">
        <v>56600</v>
      </c>
      <c r="H7935" t="str">
        <f>IFERROR(VLOOKUP(F7935,'LEAID Match'!$A$2:$B$142,2,FALSE),"")</f>
        <v/>
      </c>
    </row>
    <row r="7936" spans="1:8" x14ac:dyDescent="0.2">
      <c r="A7936" t="str">
        <f t="shared" si="123"/>
        <v/>
      </c>
      <c r="B7936" s="1">
        <v>2020</v>
      </c>
      <c r="C7936" s="1" t="s">
        <v>2505</v>
      </c>
      <c r="D7936" s="1" t="s">
        <v>2506</v>
      </c>
      <c r="E7936" s="1" t="s">
        <v>2019</v>
      </c>
      <c r="F7936" s="1" t="s">
        <v>791</v>
      </c>
      <c r="G7936" s="6">
        <v>44289</v>
      </c>
      <c r="H7936" t="str">
        <f>IFERROR(VLOOKUP(F7936,'LEAID Match'!$A$2:$B$142,2,FALSE),"")</f>
        <v/>
      </c>
    </row>
    <row r="7937" spans="1:8" x14ac:dyDescent="0.2">
      <c r="A7937" t="str">
        <f t="shared" si="123"/>
        <v/>
      </c>
      <c r="B7937" s="1">
        <v>2021</v>
      </c>
      <c r="C7937" s="1" t="s">
        <v>2505</v>
      </c>
      <c r="D7937" s="1" t="s">
        <v>2506</v>
      </c>
      <c r="E7937" s="1" t="s">
        <v>2019</v>
      </c>
      <c r="F7937" s="1" t="s">
        <v>791</v>
      </c>
      <c r="G7937" s="6">
        <v>41735</v>
      </c>
      <c r="H7937" t="str">
        <f>IFERROR(VLOOKUP(F7937,'LEAID Match'!$A$2:$B$142,2,FALSE),"")</f>
        <v/>
      </c>
    </row>
    <row r="7938" spans="1:8" x14ac:dyDescent="0.2">
      <c r="A7938" t="str">
        <f t="shared" si="123"/>
        <v/>
      </c>
      <c r="B7938" s="1">
        <v>2022</v>
      </c>
      <c r="C7938" s="1" t="s">
        <v>2505</v>
      </c>
      <c r="D7938" s="1" t="s">
        <v>2506</v>
      </c>
      <c r="E7938" s="1" t="s">
        <v>2019</v>
      </c>
      <c r="F7938" s="1" t="s">
        <v>791</v>
      </c>
      <c r="G7938" s="6">
        <v>50666</v>
      </c>
      <c r="H7938" t="str">
        <f>IFERROR(VLOOKUP(F7938,'LEAID Match'!$A$2:$B$142,2,FALSE),"")</f>
        <v/>
      </c>
    </row>
    <row r="7939" spans="1:8" x14ac:dyDescent="0.2">
      <c r="A7939" t="str">
        <f t="shared" ref="A7939:A8002" si="124">H7939</f>
        <v/>
      </c>
      <c r="B7939" s="1">
        <v>2023</v>
      </c>
      <c r="C7939" s="1" t="s">
        <v>2505</v>
      </c>
      <c r="D7939" s="1" t="s">
        <v>2506</v>
      </c>
      <c r="E7939" s="1" t="s">
        <v>2019</v>
      </c>
      <c r="F7939" s="1" t="s">
        <v>791</v>
      </c>
      <c r="G7939" s="6">
        <v>58234</v>
      </c>
      <c r="H7939" t="str">
        <f>IFERROR(VLOOKUP(F7939,'LEAID Match'!$A$2:$B$142,2,FALSE),"")</f>
        <v/>
      </c>
    </row>
    <row r="7940" spans="1:8" x14ac:dyDescent="0.2">
      <c r="A7940" t="str">
        <f t="shared" si="124"/>
        <v/>
      </c>
      <c r="B7940" s="1">
        <v>2024</v>
      </c>
      <c r="C7940" s="1" t="s">
        <v>2505</v>
      </c>
      <c r="D7940" s="1" t="s">
        <v>2506</v>
      </c>
      <c r="E7940" s="1" t="s">
        <v>2019</v>
      </c>
      <c r="F7940" s="1" t="s">
        <v>791</v>
      </c>
      <c r="G7940" s="6">
        <v>59719</v>
      </c>
      <c r="H7940" t="str">
        <f>IFERROR(VLOOKUP(F7940,'LEAID Match'!$A$2:$B$142,2,FALSE),"")</f>
        <v/>
      </c>
    </row>
    <row r="7941" spans="1:8" x14ac:dyDescent="0.2">
      <c r="A7941" t="str">
        <f t="shared" si="124"/>
        <v/>
      </c>
      <c r="B7941" s="1">
        <v>2015</v>
      </c>
      <c r="C7941" s="1" t="s">
        <v>2505</v>
      </c>
      <c r="D7941" s="1" t="s">
        <v>2506</v>
      </c>
      <c r="E7941" s="1" t="s">
        <v>2019</v>
      </c>
      <c r="F7941" s="1" t="s">
        <v>792</v>
      </c>
      <c r="G7941" s="6">
        <v>67972</v>
      </c>
      <c r="H7941" t="str">
        <f>IFERROR(VLOOKUP(F7941,'LEAID Match'!$A$2:$B$142,2,FALSE),"")</f>
        <v/>
      </c>
    </row>
    <row r="7942" spans="1:8" x14ac:dyDescent="0.2">
      <c r="A7942" t="str">
        <f t="shared" si="124"/>
        <v/>
      </c>
      <c r="B7942">
        <v>2016</v>
      </c>
      <c r="C7942" s="1" t="s">
        <v>2505</v>
      </c>
      <c r="D7942" s="1" t="s">
        <v>2506</v>
      </c>
      <c r="E7942" s="1" t="s">
        <v>2019</v>
      </c>
      <c r="F7942" s="1" t="s">
        <v>792</v>
      </c>
      <c r="G7942" s="12">
        <v>72268</v>
      </c>
      <c r="H7942" t="str">
        <f>IFERROR(VLOOKUP(F7942,'LEAID Match'!$A$2:$B$142,2,FALSE),"")</f>
        <v/>
      </c>
    </row>
    <row r="7943" spans="1:8" x14ac:dyDescent="0.2">
      <c r="A7943" t="str">
        <f t="shared" si="124"/>
        <v/>
      </c>
      <c r="B7943" s="1">
        <v>2017</v>
      </c>
      <c r="C7943" s="1" t="s">
        <v>2505</v>
      </c>
      <c r="D7943" s="1" t="s">
        <v>2506</v>
      </c>
      <c r="E7943" s="1" t="s">
        <v>2019</v>
      </c>
      <c r="F7943" s="1" t="s">
        <v>792</v>
      </c>
      <c r="G7943" s="47">
        <v>77997</v>
      </c>
      <c r="H7943" t="str">
        <f>IFERROR(VLOOKUP(F7943,'LEAID Match'!$A$2:$B$142,2,FALSE),"")</f>
        <v/>
      </c>
    </row>
    <row r="7944" spans="1:8" x14ac:dyDescent="0.2">
      <c r="A7944" t="str">
        <f t="shared" si="124"/>
        <v/>
      </c>
      <c r="B7944" s="1">
        <v>2018</v>
      </c>
      <c r="C7944" s="1" t="s">
        <v>2505</v>
      </c>
      <c r="D7944" s="1" t="s">
        <v>2506</v>
      </c>
      <c r="E7944" s="1" t="s">
        <v>2019</v>
      </c>
      <c r="F7944" s="1" t="s">
        <v>792</v>
      </c>
      <c r="G7944" s="6">
        <v>84327</v>
      </c>
      <c r="H7944" t="str">
        <f>IFERROR(VLOOKUP(F7944,'LEAID Match'!$A$2:$B$142,2,FALSE),"")</f>
        <v/>
      </c>
    </row>
    <row r="7945" spans="1:8" x14ac:dyDescent="0.2">
      <c r="A7945" t="str">
        <f t="shared" si="124"/>
        <v/>
      </c>
      <c r="B7945" s="1">
        <v>2019</v>
      </c>
      <c r="C7945" s="1" t="s">
        <v>2505</v>
      </c>
      <c r="D7945" s="1" t="s">
        <v>2506</v>
      </c>
      <c r="E7945" s="1" t="s">
        <v>2019</v>
      </c>
      <c r="F7945" s="1" t="s">
        <v>792</v>
      </c>
      <c r="G7945" s="6">
        <v>83968</v>
      </c>
      <c r="H7945" t="str">
        <f>IFERROR(VLOOKUP(F7945,'LEAID Match'!$A$2:$B$142,2,FALSE),"")</f>
        <v/>
      </c>
    </row>
    <row r="7946" spans="1:8" x14ac:dyDescent="0.2">
      <c r="A7946" t="str">
        <f t="shared" si="124"/>
        <v/>
      </c>
      <c r="B7946" s="1">
        <v>2020</v>
      </c>
      <c r="C7946" s="1" t="s">
        <v>2505</v>
      </c>
      <c r="D7946" s="1" t="s">
        <v>2506</v>
      </c>
      <c r="E7946" s="1" t="s">
        <v>2019</v>
      </c>
      <c r="F7946" s="1" t="s">
        <v>792</v>
      </c>
      <c r="G7946" s="6">
        <v>94296</v>
      </c>
      <c r="H7946" t="str">
        <f>IFERROR(VLOOKUP(F7946,'LEAID Match'!$A$2:$B$142,2,FALSE),"")</f>
        <v/>
      </c>
    </row>
    <row r="7947" spans="1:8" x14ac:dyDescent="0.2">
      <c r="A7947" t="str">
        <f t="shared" si="124"/>
        <v/>
      </c>
      <c r="B7947" s="1">
        <v>2021</v>
      </c>
      <c r="C7947" s="1" t="s">
        <v>2505</v>
      </c>
      <c r="D7947" s="1" t="s">
        <v>2506</v>
      </c>
      <c r="E7947" s="1" t="s">
        <v>2019</v>
      </c>
      <c r="F7947" s="1" t="s">
        <v>792</v>
      </c>
      <c r="G7947" s="6">
        <v>94086</v>
      </c>
      <c r="H7947" t="str">
        <f>IFERROR(VLOOKUP(F7947,'LEAID Match'!$A$2:$B$142,2,FALSE),"")</f>
        <v/>
      </c>
    </row>
    <row r="7948" spans="1:8" x14ac:dyDescent="0.2">
      <c r="A7948" t="str">
        <f t="shared" si="124"/>
        <v/>
      </c>
      <c r="B7948" s="1">
        <v>2022</v>
      </c>
      <c r="C7948" s="1" t="s">
        <v>2505</v>
      </c>
      <c r="D7948" s="1" t="s">
        <v>2506</v>
      </c>
      <c r="E7948" s="1" t="s">
        <v>2019</v>
      </c>
      <c r="F7948" s="1" t="s">
        <v>792</v>
      </c>
      <c r="G7948" s="6">
        <v>87112</v>
      </c>
      <c r="H7948" t="str">
        <f>IFERROR(VLOOKUP(F7948,'LEAID Match'!$A$2:$B$142,2,FALSE),"")</f>
        <v/>
      </c>
    </row>
    <row r="7949" spans="1:8" x14ac:dyDescent="0.2">
      <c r="A7949" t="str">
        <f t="shared" si="124"/>
        <v/>
      </c>
      <c r="B7949" s="1">
        <v>2023</v>
      </c>
      <c r="C7949" s="1" t="s">
        <v>2505</v>
      </c>
      <c r="D7949" s="1" t="s">
        <v>2506</v>
      </c>
      <c r="E7949" s="1" t="s">
        <v>2019</v>
      </c>
      <c r="F7949" s="1" t="s">
        <v>792</v>
      </c>
      <c r="G7949" s="6">
        <v>94279</v>
      </c>
      <c r="H7949" t="str">
        <f>IFERROR(VLOOKUP(F7949,'LEAID Match'!$A$2:$B$142,2,FALSE),"")</f>
        <v/>
      </c>
    </row>
    <row r="7950" spans="1:8" x14ac:dyDescent="0.2">
      <c r="A7950" t="str">
        <f t="shared" si="124"/>
        <v/>
      </c>
      <c r="B7950" s="1">
        <v>2024</v>
      </c>
      <c r="C7950" s="1" t="s">
        <v>2505</v>
      </c>
      <c r="D7950" s="1" t="s">
        <v>2506</v>
      </c>
      <c r="E7950" s="1" t="s">
        <v>2019</v>
      </c>
      <c r="F7950" s="1" t="s">
        <v>792</v>
      </c>
      <c r="G7950" s="6">
        <v>95646</v>
      </c>
      <c r="H7950" t="str">
        <f>IFERROR(VLOOKUP(F7950,'LEAID Match'!$A$2:$B$142,2,FALSE),"")</f>
        <v/>
      </c>
    </row>
    <row r="7951" spans="1:8" x14ac:dyDescent="0.2">
      <c r="A7951">
        <f t="shared" si="124"/>
        <v>2804470</v>
      </c>
      <c r="B7951" s="1">
        <v>2015</v>
      </c>
      <c r="C7951" s="1" t="s">
        <v>2505</v>
      </c>
      <c r="D7951" s="1" t="s">
        <v>2506</v>
      </c>
      <c r="E7951" s="1" t="s">
        <v>2019</v>
      </c>
      <c r="F7951" s="1" t="s">
        <v>793</v>
      </c>
      <c r="G7951" s="6">
        <v>6660069</v>
      </c>
      <c r="H7951">
        <f>IFERROR(VLOOKUP(F7951,'LEAID Match'!$A$2:$B$142,2,FALSE),"")</f>
        <v>2804470</v>
      </c>
    </row>
    <row r="7952" spans="1:8" x14ac:dyDescent="0.2">
      <c r="A7952">
        <f t="shared" si="124"/>
        <v>2804470</v>
      </c>
      <c r="B7952">
        <v>2016</v>
      </c>
      <c r="C7952" s="1" t="s">
        <v>2505</v>
      </c>
      <c r="D7952" s="1" t="s">
        <v>2506</v>
      </c>
      <c r="E7952" s="1" t="s">
        <v>2019</v>
      </c>
      <c r="F7952" s="1" t="s">
        <v>793</v>
      </c>
      <c r="G7952" s="12">
        <v>6603658</v>
      </c>
      <c r="H7952">
        <f>IFERROR(VLOOKUP(F7952,'LEAID Match'!$A$2:$B$142,2,FALSE),"")</f>
        <v>2804470</v>
      </c>
    </row>
    <row r="7953" spans="1:8" x14ac:dyDescent="0.2">
      <c r="A7953">
        <f t="shared" si="124"/>
        <v>2804470</v>
      </c>
      <c r="B7953" s="1">
        <v>2017</v>
      </c>
      <c r="C7953" s="1" t="s">
        <v>2505</v>
      </c>
      <c r="D7953" s="1" t="s">
        <v>2506</v>
      </c>
      <c r="E7953" s="1" t="s">
        <v>2019</v>
      </c>
      <c r="F7953" s="1" t="s">
        <v>793</v>
      </c>
      <c r="G7953" s="47">
        <v>6584681</v>
      </c>
      <c r="H7953">
        <f>IFERROR(VLOOKUP(F7953,'LEAID Match'!$A$2:$B$142,2,FALSE),"")</f>
        <v>2804470</v>
      </c>
    </row>
    <row r="7954" spans="1:8" x14ac:dyDescent="0.2">
      <c r="A7954">
        <f t="shared" si="124"/>
        <v>2804470</v>
      </c>
      <c r="B7954" s="1">
        <v>2018</v>
      </c>
      <c r="C7954" s="1" t="s">
        <v>2505</v>
      </c>
      <c r="D7954" s="1" t="s">
        <v>2506</v>
      </c>
      <c r="E7954" s="1" t="s">
        <v>2019</v>
      </c>
      <c r="F7954" s="1" t="s">
        <v>793</v>
      </c>
      <c r="G7954" s="6">
        <v>6591304</v>
      </c>
      <c r="H7954">
        <f>IFERROR(VLOOKUP(F7954,'LEAID Match'!$A$2:$B$142,2,FALSE),"")</f>
        <v>2804470</v>
      </c>
    </row>
    <row r="7955" spans="1:8" x14ac:dyDescent="0.2">
      <c r="A7955">
        <f t="shared" si="124"/>
        <v>2804470</v>
      </c>
      <c r="B7955" s="1">
        <v>2019</v>
      </c>
      <c r="C7955" s="1" t="s">
        <v>2505</v>
      </c>
      <c r="D7955" s="1" t="s">
        <v>2506</v>
      </c>
      <c r="E7955" s="1" t="s">
        <v>2019</v>
      </c>
      <c r="F7955" s="1" t="s">
        <v>793</v>
      </c>
      <c r="G7955" s="6">
        <v>6576542</v>
      </c>
      <c r="H7955">
        <f>IFERROR(VLOOKUP(F7955,'LEAID Match'!$A$2:$B$142,2,FALSE),"")</f>
        <v>2804470</v>
      </c>
    </row>
    <row r="7956" spans="1:8" x14ac:dyDescent="0.2">
      <c r="A7956">
        <f t="shared" si="124"/>
        <v>2804470</v>
      </c>
      <c r="B7956" s="1">
        <v>2020</v>
      </c>
      <c r="C7956" s="1" t="s">
        <v>2505</v>
      </c>
      <c r="D7956" s="1" t="s">
        <v>2506</v>
      </c>
      <c r="E7956" s="1" t="s">
        <v>2019</v>
      </c>
      <c r="F7956" s="1" t="s">
        <v>793</v>
      </c>
      <c r="G7956" s="6">
        <v>7665669</v>
      </c>
      <c r="H7956">
        <f>IFERROR(VLOOKUP(F7956,'LEAID Match'!$A$2:$B$142,2,FALSE),"")</f>
        <v>2804470</v>
      </c>
    </row>
    <row r="7957" spans="1:8" x14ac:dyDescent="0.2">
      <c r="A7957">
        <f t="shared" si="124"/>
        <v>2804470</v>
      </c>
      <c r="B7957" s="1">
        <v>2021</v>
      </c>
      <c r="C7957" s="1" t="s">
        <v>2505</v>
      </c>
      <c r="D7957" s="1" t="s">
        <v>2506</v>
      </c>
      <c r="E7957" s="1" t="s">
        <v>2019</v>
      </c>
      <c r="F7957" s="1" t="s">
        <v>793</v>
      </c>
      <c r="G7957" s="6">
        <v>7624819</v>
      </c>
      <c r="H7957">
        <f>IFERROR(VLOOKUP(F7957,'LEAID Match'!$A$2:$B$142,2,FALSE),"")</f>
        <v>2804470</v>
      </c>
    </row>
    <row r="7958" spans="1:8" x14ac:dyDescent="0.2">
      <c r="A7958">
        <f t="shared" si="124"/>
        <v>2804470</v>
      </c>
      <c r="B7958" s="1">
        <v>2022</v>
      </c>
      <c r="C7958" s="1" t="s">
        <v>2505</v>
      </c>
      <c r="D7958" s="1" t="s">
        <v>2506</v>
      </c>
      <c r="E7958" s="1" t="s">
        <v>2019</v>
      </c>
      <c r="F7958" s="1" t="s">
        <v>793</v>
      </c>
      <c r="G7958" s="6">
        <v>8107873</v>
      </c>
      <c r="H7958">
        <f>IFERROR(VLOOKUP(F7958,'LEAID Match'!$A$2:$B$142,2,FALSE),"")</f>
        <v>2804470</v>
      </c>
    </row>
    <row r="7959" spans="1:8" x14ac:dyDescent="0.2">
      <c r="A7959">
        <f t="shared" si="124"/>
        <v>2804470</v>
      </c>
      <c r="B7959" s="1">
        <v>2023</v>
      </c>
      <c r="C7959" s="1" t="s">
        <v>2505</v>
      </c>
      <c r="D7959" s="1" t="s">
        <v>2506</v>
      </c>
      <c r="E7959" s="1" t="s">
        <v>2019</v>
      </c>
      <c r="F7959" s="1" t="s">
        <v>793</v>
      </c>
      <c r="G7959" s="6">
        <v>9017342</v>
      </c>
      <c r="H7959">
        <f>IFERROR(VLOOKUP(F7959,'LEAID Match'!$A$2:$B$142,2,FALSE),"")</f>
        <v>2804470</v>
      </c>
    </row>
    <row r="7960" spans="1:8" x14ac:dyDescent="0.2">
      <c r="A7960">
        <f t="shared" si="124"/>
        <v>2804470</v>
      </c>
      <c r="B7960" s="1">
        <v>2024</v>
      </c>
      <c r="C7960" s="1" t="s">
        <v>2505</v>
      </c>
      <c r="D7960" s="1" t="s">
        <v>2506</v>
      </c>
      <c r="E7960" s="1" t="s">
        <v>2019</v>
      </c>
      <c r="F7960" s="1" t="s">
        <v>793</v>
      </c>
      <c r="G7960" s="6">
        <v>8768783</v>
      </c>
      <c r="H7960">
        <f>IFERROR(VLOOKUP(F7960,'LEAID Match'!$A$2:$B$142,2,FALSE),"")</f>
        <v>2804470</v>
      </c>
    </row>
    <row r="7961" spans="1:8" x14ac:dyDescent="0.2">
      <c r="A7961" t="str">
        <f t="shared" si="124"/>
        <v/>
      </c>
      <c r="B7961" s="1">
        <v>2015</v>
      </c>
      <c r="C7961" s="1" t="s">
        <v>2505</v>
      </c>
      <c r="D7961" s="1" t="s">
        <v>2506</v>
      </c>
      <c r="E7961" s="1" t="s">
        <v>2019</v>
      </c>
      <c r="F7961" s="1" t="s">
        <v>794</v>
      </c>
      <c r="G7961" s="6">
        <v>79895</v>
      </c>
      <c r="H7961" t="str">
        <f>IFERROR(VLOOKUP(F7961,'LEAID Match'!$A$2:$B$142,2,FALSE),"")</f>
        <v/>
      </c>
    </row>
    <row r="7962" spans="1:8" x14ac:dyDescent="0.2">
      <c r="A7962" t="str">
        <f t="shared" si="124"/>
        <v/>
      </c>
      <c r="B7962">
        <v>2016</v>
      </c>
      <c r="C7962" s="1" t="s">
        <v>2505</v>
      </c>
      <c r="D7962" s="1" t="s">
        <v>2506</v>
      </c>
      <c r="E7962" s="1" t="s">
        <v>2019</v>
      </c>
      <c r="F7962" s="1" t="s">
        <v>794</v>
      </c>
      <c r="G7962" s="12">
        <v>77916</v>
      </c>
      <c r="H7962" t="str">
        <f>IFERROR(VLOOKUP(F7962,'LEAID Match'!$A$2:$B$142,2,FALSE),"")</f>
        <v/>
      </c>
    </row>
    <row r="7963" spans="1:8" x14ac:dyDescent="0.2">
      <c r="A7963" t="str">
        <f t="shared" si="124"/>
        <v/>
      </c>
      <c r="B7963" s="1">
        <v>2017</v>
      </c>
      <c r="C7963" s="1" t="s">
        <v>2505</v>
      </c>
      <c r="D7963" s="1" t="s">
        <v>2506</v>
      </c>
      <c r="E7963" s="1" t="s">
        <v>2019</v>
      </c>
      <c r="F7963" s="1" t="s">
        <v>794</v>
      </c>
      <c r="G7963" s="47">
        <v>60951</v>
      </c>
      <c r="H7963" t="str">
        <f>IFERROR(VLOOKUP(F7963,'LEAID Match'!$A$2:$B$142,2,FALSE),"")</f>
        <v/>
      </c>
    </row>
    <row r="7964" spans="1:8" x14ac:dyDescent="0.2">
      <c r="A7964" t="str">
        <f t="shared" si="124"/>
        <v/>
      </c>
      <c r="B7964" s="1">
        <v>2018</v>
      </c>
      <c r="C7964" s="1" t="s">
        <v>2505</v>
      </c>
      <c r="D7964" s="1" t="s">
        <v>2506</v>
      </c>
      <c r="E7964" s="1" t="s">
        <v>2019</v>
      </c>
      <c r="F7964" s="1" t="s">
        <v>794</v>
      </c>
      <c r="G7964" s="6">
        <v>51044</v>
      </c>
      <c r="H7964" t="str">
        <f>IFERROR(VLOOKUP(F7964,'LEAID Match'!$A$2:$B$142,2,FALSE),"")</f>
        <v/>
      </c>
    </row>
    <row r="7965" spans="1:8" x14ac:dyDescent="0.2">
      <c r="A7965" t="str">
        <f t="shared" si="124"/>
        <v/>
      </c>
      <c r="B7965" s="1">
        <v>2019</v>
      </c>
      <c r="C7965" s="1" t="s">
        <v>2505</v>
      </c>
      <c r="D7965" s="1" t="s">
        <v>2506</v>
      </c>
      <c r="E7965" s="1" t="s">
        <v>2019</v>
      </c>
      <c r="F7965" s="1" t="s">
        <v>794</v>
      </c>
      <c r="G7965" s="6">
        <v>51716</v>
      </c>
      <c r="H7965" t="str">
        <f>IFERROR(VLOOKUP(F7965,'LEAID Match'!$A$2:$B$142,2,FALSE),"")</f>
        <v/>
      </c>
    </row>
    <row r="7966" spans="1:8" x14ac:dyDescent="0.2">
      <c r="A7966" t="str">
        <f t="shared" si="124"/>
        <v/>
      </c>
      <c r="B7966" s="1">
        <v>2020</v>
      </c>
      <c r="C7966" s="1" t="s">
        <v>2505</v>
      </c>
      <c r="D7966" s="1" t="s">
        <v>2506</v>
      </c>
      <c r="E7966" s="1" t="s">
        <v>2019</v>
      </c>
      <c r="F7966" s="1" t="s">
        <v>794</v>
      </c>
      <c r="G7966" s="6">
        <v>57011</v>
      </c>
      <c r="H7966" t="str">
        <f>IFERROR(VLOOKUP(F7966,'LEAID Match'!$A$2:$B$142,2,FALSE),"")</f>
        <v/>
      </c>
    </row>
    <row r="7967" spans="1:8" x14ac:dyDescent="0.2">
      <c r="A7967" t="str">
        <f t="shared" si="124"/>
        <v/>
      </c>
      <c r="B7967" s="1">
        <v>2021</v>
      </c>
      <c r="C7967" s="1" t="s">
        <v>2505</v>
      </c>
      <c r="D7967" s="1" t="s">
        <v>2506</v>
      </c>
      <c r="E7967" s="1" t="s">
        <v>2019</v>
      </c>
      <c r="F7967" s="1" t="s">
        <v>794</v>
      </c>
      <c r="G7967" s="6">
        <v>51598</v>
      </c>
      <c r="H7967" t="str">
        <f>IFERROR(VLOOKUP(F7967,'LEAID Match'!$A$2:$B$142,2,FALSE),"")</f>
        <v/>
      </c>
    </row>
    <row r="7968" spans="1:8" x14ac:dyDescent="0.2">
      <c r="A7968" t="str">
        <f t="shared" si="124"/>
        <v/>
      </c>
      <c r="B7968" s="1">
        <v>2022</v>
      </c>
      <c r="C7968" s="1" t="s">
        <v>2505</v>
      </c>
      <c r="D7968" s="1" t="s">
        <v>2506</v>
      </c>
      <c r="E7968" s="1" t="s">
        <v>2019</v>
      </c>
      <c r="F7968" s="1" t="s">
        <v>794</v>
      </c>
      <c r="G7968" s="6">
        <v>58716</v>
      </c>
      <c r="H7968" t="str">
        <f>IFERROR(VLOOKUP(F7968,'LEAID Match'!$A$2:$B$142,2,FALSE),"")</f>
        <v/>
      </c>
    </row>
    <row r="7969" spans="1:8" x14ac:dyDescent="0.2">
      <c r="A7969" t="str">
        <f t="shared" si="124"/>
        <v/>
      </c>
      <c r="B7969" s="1">
        <v>2023</v>
      </c>
      <c r="C7969" s="1" t="s">
        <v>2505</v>
      </c>
      <c r="D7969" s="1" t="s">
        <v>2506</v>
      </c>
      <c r="E7969" s="1" t="s">
        <v>2019</v>
      </c>
      <c r="F7969" s="1" t="s">
        <v>794</v>
      </c>
      <c r="G7969" s="6">
        <v>58031</v>
      </c>
      <c r="H7969" t="str">
        <f>IFERROR(VLOOKUP(F7969,'LEAID Match'!$A$2:$B$142,2,FALSE),"")</f>
        <v/>
      </c>
    </row>
    <row r="7970" spans="1:8" x14ac:dyDescent="0.2">
      <c r="A7970" t="str">
        <f t="shared" si="124"/>
        <v/>
      </c>
      <c r="B7970" s="1">
        <v>2024</v>
      </c>
      <c r="C7970" s="1" t="s">
        <v>2505</v>
      </c>
      <c r="D7970" s="1" t="s">
        <v>2506</v>
      </c>
      <c r="E7970" s="1" t="s">
        <v>2019</v>
      </c>
      <c r="F7970" s="1" t="s">
        <v>794</v>
      </c>
      <c r="G7970" s="6">
        <v>60104</v>
      </c>
      <c r="H7970" t="str">
        <f>IFERROR(VLOOKUP(F7970,'LEAID Match'!$A$2:$B$142,2,FALSE),"")</f>
        <v/>
      </c>
    </row>
    <row r="7971" spans="1:8" x14ac:dyDescent="0.2">
      <c r="A7971" t="str">
        <f t="shared" si="124"/>
        <v/>
      </c>
      <c r="B7971" s="1">
        <v>2015</v>
      </c>
      <c r="C7971" s="1" t="s">
        <v>2505</v>
      </c>
      <c r="D7971" s="1" t="s">
        <v>2506</v>
      </c>
      <c r="E7971" s="1" t="s">
        <v>2019</v>
      </c>
      <c r="F7971" s="1" t="s">
        <v>795</v>
      </c>
      <c r="G7971" s="6">
        <v>46845</v>
      </c>
      <c r="H7971" t="str">
        <f>IFERROR(VLOOKUP(F7971,'LEAID Match'!$A$2:$B$142,2,FALSE),"")</f>
        <v/>
      </c>
    </row>
    <row r="7972" spans="1:8" x14ac:dyDescent="0.2">
      <c r="A7972" t="str">
        <f t="shared" si="124"/>
        <v/>
      </c>
      <c r="B7972">
        <v>2016</v>
      </c>
      <c r="C7972" s="1" t="s">
        <v>2505</v>
      </c>
      <c r="D7972" s="1" t="s">
        <v>2506</v>
      </c>
      <c r="E7972" s="1" t="s">
        <v>2019</v>
      </c>
      <c r="F7972" s="1" t="s">
        <v>795</v>
      </c>
      <c r="G7972" s="12">
        <v>47451</v>
      </c>
      <c r="H7972" t="str">
        <f>IFERROR(VLOOKUP(F7972,'LEAID Match'!$A$2:$B$142,2,FALSE),"")</f>
        <v/>
      </c>
    </row>
    <row r="7973" spans="1:8" x14ac:dyDescent="0.2">
      <c r="A7973" t="str">
        <f t="shared" si="124"/>
        <v/>
      </c>
      <c r="B7973" s="1">
        <v>2017</v>
      </c>
      <c r="C7973" s="1" t="s">
        <v>2505</v>
      </c>
      <c r="D7973" s="1" t="s">
        <v>2506</v>
      </c>
      <c r="E7973" s="1" t="s">
        <v>2019</v>
      </c>
      <c r="F7973" s="1" t="s">
        <v>795</v>
      </c>
      <c r="G7973" s="47">
        <v>44584</v>
      </c>
      <c r="H7973" t="str">
        <f>IFERROR(VLOOKUP(F7973,'LEAID Match'!$A$2:$B$142,2,FALSE),"")</f>
        <v/>
      </c>
    </row>
    <row r="7974" spans="1:8" x14ac:dyDescent="0.2">
      <c r="A7974" t="str">
        <f t="shared" si="124"/>
        <v/>
      </c>
      <c r="B7974" s="1">
        <v>2018</v>
      </c>
      <c r="C7974" s="1" t="s">
        <v>2505</v>
      </c>
      <c r="D7974" s="1" t="s">
        <v>2506</v>
      </c>
      <c r="E7974" s="1" t="s">
        <v>2019</v>
      </c>
      <c r="F7974" s="1" t="s">
        <v>795</v>
      </c>
      <c r="G7974" s="6">
        <v>46400</v>
      </c>
      <c r="H7974" t="str">
        <f>IFERROR(VLOOKUP(F7974,'LEAID Match'!$A$2:$B$142,2,FALSE),"")</f>
        <v/>
      </c>
    </row>
    <row r="7975" spans="1:8" x14ac:dyDescent="0.2">
      <c r="A7975" t="str">
        <f t="shared" si="124"/>
        <v/>
      </c>
      <c r="B7975" s="1">
        <v>2019</v>
      </c>
      <c r="C7975" s="1" t="s">
        <v>2505</v>
      </c>
      <c r="D7975" s="1" t="s">
        <v>2506</v>
      </c>
      <c r="E7975" s="1" t="s">
        <v>2019</v>
      </c>
      <c r="F7975" s="1" t="s">
        <v>795</v>
      </c>
      <c r="G7975" s="6">
        <v>48705</v>
      </c>
      <c r="H7975" t="str">
        <f>IFERROR(VLOOKUP(F7975,'LEAID Match'!$A$2:$B$142,2,FALSE),"")</f>
        <v/>
      </c>
    </row>
    <row r="7976" spans="1:8" x14ac:dyDescent="0.2">
      <c r="A7976" t="str">
        <f t="shared" si="124"/>
        <v/>
      </c>
      <c r="B7976" s="1">
        <v>2020</v>
      </c>
      <c r="C7976" s="1" t="s">
        <v>2505</v>
      </c>
      <c r="D7976" s="1" t="s">
        <v>2506</v>
      </c>
      <c r="E7976" s="1" t="s">
        <v>2019</v>
      </c>
      <c r="F7976" s="1" t="s">
        <v>795</v>
      </c>
      <c r="G7976" s="6">
        <v>79691</v>
      </c>
      <c r="H7976" t="str">
        <f>IFERROR(VLOOKUP(F7976,'LEAID Match'!$A$2:$B$142,2,FALSE),"")</f>
        <v/>
      </c>
    </row>
    <row r="7977" spans="1:8" x14ac:dyDescent="0.2">
      <c r="A7977" t="str">
        <f t="shared" si="124"/>
        <v/>
      </c>
      <c r="B7977" s="1">
        <v>2021</v>
      </c>
      <c r="C7977" s="1" t="s">
        <v>2505</v>
      </c>
      <c r="D7977" s="1" t="s">
        <v>2506</v>
      </c>
      <c r="E7977" s="1" t="s">
        <v>2019</v>
      </c>
      <c r="F7977" s="1" t="s">
        <v>795</v>
      </c>
      <c r="G7977" s="6">
        <v>88672</v>
      </c>
      <c r="H7977" t="str">
        <f>IFERROR(VLOOKUP(F7977,'LEAID Match'!$A$2:$B$142,2,FALSE),"")</f>
        <v/>
      </c>
    </row>
    <row r="7978" spans="1:8" x14ac:dyDescent="0.2">
      <c r="A7978" t="str">
        <f t="shared" si="124"/>
        <v/>
      </c>
      <c r="B7978" s="1">
        <v>2022</v>
      </c>
      <c r="C7978" s="1" t="s">
        <v>2505</v>
      </c>
      <c r="D7978" s="1" t="s">
        <v>2506</v>
      </c>
      <c r="E7978" s="1" t="s">
        <v>2019</v>
      </c>
      <c r="F7978" s="1" t="s">
        <v>795</v>
      </c>
      <c r="G7978" s="6">
        <v>96605</v>
      </c>
      <c r="H7978" t="str">
        <f>IFERROR(VLOOKUP(F7978,'LEAID Match'!$A$2:$B$142,2,FALSE),"")</f>
        <v/>
      </c>
    </row>
    <row r="7979" spans="1:8" x14ac:dyDescent="0.2">
      <c r="A7979" t="str">
        <f t="shared" si="124"/>
        <v/>
      </c>
      <c r="B7979" s="1">
        <v>2023</v>
      </c>
      <c r="C7979" s="1" t="s">
        <v>2505</v>
      </c>
      <c r="D7979" s="1" t="s">
        <v>2506</v>
      </c>
      <c r="E7979" s="1" t="s">
        <v>2019</v>
      </c>
      <c r="F7979" s="1" t="s">
        <v>795</v>
      </c>
      <c r="G7979" s="6">
        <v>102688</v>
      </c>
      <c r="H7979" t="str">
        <f>IFERROR(VLOOKUP(F7979,'LEAID Match'!$A$2:$B$142,2,FALSE),"")</f>
        <v/>
      </c>
    </row>
    <row r="7980" spans="1:8" x14ac:dyDescent="0.2">
      <c r="A7980" t="str">
        <f t="shared" si="124"/>
        <v/>
      </c>
      <c r="B7980" s="1">
        <v>2024</v>
      </c>
      <c r="C7980" s="1" t="s">
        <v>2505</v>
      </c>
      <c r="D7980" s="1" t="s">
        <v>2506</v>
      </c>
      <c r="E7980" s="1" t="s">
        <v>2019</v>
      </c>
      <c r="F7980" s="1" t="s">
        <v>795</v>
      </c>
      <c r="G7980" s="6">
        <v>104504</v>
      </c>
      <c r="H7980" t="str">
        <f>IFERROR(VLOOKUP(F7980,'LEAID Match'!$A$2:$B$142,2,FALSE),"")</f>
        <v/>
      </c>
    </row>
    <row r="7981" spans="1:8" x14ac:dyDescent="0.2">
      <c r="A7981" t="str">
        <f t="shared" si="124"/>
        <v/>
      </c>
      <c r="B7981" s="1">
        <v>2015</v>
      </c>
      <c r="C7981" s="1" t="s">
        <v>2505</v>
      </c>
      <c r="D7981" s="1" t="s">
        <v>2506</v>
      </c>
      <c r="E7981" s="1" t="s">
        <v>2019</v>
      </c>
      <c r="F7981" s="1" t="s">
        <v>796</v>
      </c>
      <c r="G7981" s="6">
        <v>358941</v>
      </c>
      <c r="H7981" t="str">
        <f>IFERROR(VLOOKUP(F7981,'LEAID Match'!$A$2:$B$142,2,FALSE),"")</f>
        <v/>
      </c>
    </row>
    <row r="7982" spans="1:8" x14ac:dyDescent="0.2">
      <c r="A7982" t="str">
        <f t="shared" si="124"/>
        <v/>
      </c>
      <c r="B7982">
        <v>2016</v>
      </c>
      <c r="C7982" s="1" t="s">
        <v>2505</v>
      </c>
      <c r="D7982" s="1" t="s">
        <v>2506</v>
      </c>
      <c r="E7982" s="1" t="s">
        <v>2019</v>
      </c>
      <c r="F7982" s="1" t="s">
        <v>796</v>
      </c>
      <c r="G7982" s="12">
        <v>347392</v>
      </c>
      <c r="H7982" t="str">
        <f>IFERROR(VLOOKUP(F7982,'LEAID Match'!$A$2:$B$142,2,FALSE),"")</f>
        <v/>
      </c>
    </row>
    <row r="7983" spans="1:8" x14ac:dyDescent="0.2">
      <c r="A7983" t="str">
        <f t="shared" si="124"/>
        <v/>
      </c>
      <c r="B7983" s="1">
        <v>2017</v>
      </c>
      <c r="C7983" s="1" t="s">
        <v>2505</v>
      </c>
      <c r="D7983" s="1" t="s">
        <v>2506</v>
      </c>
      <c r="E7983" s="1" t="s">
        <v>2019</v>
      </c>
      <c r="F7983" s="1" t="s">
        <v>796</v>
      </c>
      <c r="G7983" s="47">
        <v>389132</v>
      </c>
      <c r="H7983" t="str">
        <f>IFERROR(VLOOKUP(F7983,'LEAID Match'!$A$2:$B$142,2,FALSE),"")</f>
        <v/>
      </c>
    </row>
    <row r="7984" spans="1:8" x14ac:dyDescent="0.2">
      <c r="A7984" t="str">
        <f t="shared" si="124"/>
        <v/>
      </c>
      <c r="B7984" s="1">
        <v>2018</v>
      </c>
      <c r="C7984" s="1" t="s">
        <v>2505</v>
      </c>
      <c r="D7984" s="1" t="s">
        <v>2506</v>
      </c>
      <c r="E7984" s="1" t="s">
        <v>2019</v>
      </c>
      <c r="F7984" s="1" t="s">
        <v>796</v>
      </c>
      <c r="G7984" s="6">
        <v>393182</v>
      </c>
      <c r="H7984" t="str">
        <f>IFERROR(VLOOKUP(F7984,'LEAID Match'!$A$2:$B$142,2,FALSE),"")</f>
        <v/>
      </c>
    </row>
    <row r="7985" spans="1:8" x14ac:dyDescent="0.2">
      <c r="A7985" t="str">
        <f t="shared" si="124"/>
        <v/>
      </c>
      <c r="B7985" s="1">
        <v>2019</v>
      </c>
      <c r="C7985" s="1" t="s">
        <v>2505</v>
      </c>
      <c r="D7985" s="1" t="s">
        <v>2506</v>
      </c>
      <c r="E7985" s="1" t="s">
        <v>2019</v>
      </c>
      <c r="F7985" s="1" t="s">
        <v>796</v>
      </c>
      <c r="G7985" s="6">
        <v>399444</v>
      </c>
      <c r="H7985" t="str">
        <f>IFERROR(VLOOKUP(F7985,'LEAID Match'!$A$2:$B$142,2,FALSE),"")</f>
        <v/>
      </c>
    </row>
    <row r="7986" spans="1:8" x14ac:dyDescent="0.2">
      <c r="A7986" t="str">
        <f t="shared" si="124"/>
        <v/>
      </c>
      <c r="B7986" s="1">
        <v>2020</v>
      </c>
      <c r="C7986" s="1" t="s">
        <v>2505</v>
      </c>
      <c r="D7986" s="1" t="s">
        <v>2506</v>
      </c>
      <c r="E7986" s="1" t="s">
        <v>2019</v>
      </c>
      <c r="F7986" s="1" t="s">
        <v>796</v>
      </c>
      <c r="G7986" s="6">
        <v>460195</v>
      </c>
      <c r="H7986" t="str">
        <f>IFERROR(VLOOKUP(F7986,'LEAID Match'!$A$2:$B$142,2,FALSE),"")</f>
        <v/>
      </c>
    </row>
    <row r="7987" spans="1:8" x14ac:dyDescent="0.2">
      <c r="A7987" t="str">
        <f t="shared" si="124"/>
        <v/>
      </c>
      <c r="B7987" s="1">
        <v>2021</v>
      </c>
      <c r="C7987" s="1" t="s">
        <v>2505</v>
      </c>
      <c r="D7987" s="1" t="s">
        <v>2506</v>
      </c>
      <c r="E7987" s="1" t="s">
        <v>2019</v>
      </c>
      <c r="F7987" s="1" t="s">
        <v>796</v>
      </c>
      <c r="G7987" s="6">
        <v>464768</v>
      </c>
      <c r="H7987" t="str">
        <f>IFERROR(VLOOKUP(F7987,'LEAID Match'!$A$2:$B$142,2,FALSE),"")</f>
        <v/>
      </c>
    </row>
    <row r="7988" spans="1:8" x14ac:dyDescent="0.2">
      <c r="A7988" t="str">
        <f t="shared" si="124"/>
        <v/>
      </c>
      <c r="B7988" s="1">
        <v>2022</v>
      </c>
      <c r="C7988" s="1" t="s">
        <v>2505</v>
      </c>
      <c r="D7988" s="1" t="s">
        <v>2506</v>
      </c>
      <c r="E7988" s="1" t="s">
        <v>2019</v>
      </c>
      <c r="F7988" s="1" t="s">
        <v>796</v>
      </c>
      <c r="G7988" s="6">
        <v>491890</v>
      </c>
      <c r="H7988" t="str">
        <f>IFERROR(VLOOKUP(F7988,'LEAID Match'!$A$2:$B$142,2,FALSE),"")</f>
        <v/>
      </c>
    </row>
    <row r="7989" spans="1:8" x14ac:dyDescent="0.2">
      <c r="A7989" t="str">
        <f t="shared" si="124"/>
        <v/>
      </c>
      <c r="B7989" s="1">
        <v>2023</v>
      </c>
      <c r="C7989" s="1" t="s">
        <v>2505</v>
      </c>
      <c r="D7989" s="1" t="s">
        <v>2506</v>
      </c>
      <c r="E7989" s="1" t="s">
        <v>2019</v>
      </c>
      <c r="F7989" s="1" t="s">
        <v>796</v>
      </c>
      <c r="G7989" s="6">
        <v>540204</v>
      </c>
      <c r="H7989" t="str">
        <f>IFERROR(VLOOKUP(F7989,'LEAID Match'!$A$2:$B$142,2,FALSE),"")</f>
        <v/>
      </c>
    </row>
    <row r="7990" spans="1:8" x14ac:dyDescent="0.2">
      <c r="A7990" t="str">
        <f t="shared" si="124"/>
        <v/>
      </c>
      <c r="B7990" s="1">
        <v>2024</v>
      </c>
      <c r="C7990" s="1" t="s">
        <v>2505</v>
      </c>
      <c r="D7990" s="1" t="s">
        <v>2506</v>
      </c>
      <c r="E7990" s="1" t="s">
        <v>2019</v>
      </c>
      <c r="F7990" s="1" t="s">
        <v>796</v>
      </c>
      <c r="G7990" s="6">
        <v>575064</v>
      </c>
      <c r="H7990" t="str">
        <f>IFERROR(VLOOKUP(F7990,'LEAID Match'!$A$2:$B$142,2,FALSE),"")</f>
        <v/>
      </c>
    </row>
    <row r="7991" spans="1:8" x14ac:dyDescent="0.2">
      <c r="A7991" t="str">
        <f t="shared" si="124"/>
        <v/>
      </c>
      <c r="B7991" s="1">
        <v>2015</v>
      </c>
      <c r="C7991" s="1" t="s">
        <v>2505</v>
      </c>
      <c r="D7991" s="1" t="s">
        <v>2506</v>
      </c>
      <c r="E7991" s="1" t="s">
        <v>2019</v>
      </c>
      <c r="F7991" s="1" t="s">
        <v>797</v>
      </c>
      <c r="G7991" s="6">
        <v>2860</v>
      </c>
      <c r="H7991" t="str">
        <f>IFERROR(VLOOKUP(F7991,'LEAID Match'!$A$2:$B$142,2,FALSE),"")</f>
        <v/>
      </c>
    </row>
    <row r="7992" spans="1:8" x14ac:dyDescent="0.2">
      <c r="A7992" t="str">
        <f t="shared" si="124"/>
        <v/>
      </c>
      <c r="B7992">
        <v>2016</v>
      </c>
      <c r="C7992" s="1" t="s">
        <v>2505</v>
      </c>
      <c r="D7992" s="1" t="s">
        <v>2506</v>
      </c>
      <c r="E7992" s="1" t="s">
        <v>2019</v>
      </c>
      <c r="F7992" s="1" t="s">
        <v>797</v>
      </c>
      <c r="G7992" s="12">
        <v>3648</v>
      </c>
      <c r="H7992" t="str">
        <f>IFERROR(VLOOKUP(F7992,'LEAID Match'!$A$2:$B$142,2,FALSE),"")</f>
        <v/>
      </c>
    </row>
    <row r="7993" spans="1:8" x14ac:dyDescent="0.2">
      <c r="A7993" t="str">
        <f t="shared" si="124"/>
        <v/>
      </c>
      <c r="B7993" s="1">
        <v>2017</v>
      </c>
      <c r="C7993" s="1" t="s">
        <v>2505</v>
      </c>
      <c r="D7993" s="1" t="s">
        <v>2506</v>
      </c>
      <c r="E7993" s="1" t="s">
        <v>2019</v>
      </c>
      <c r="F7993" s="1" t="s">
        <v>797</v>
      </c>
      <c r="G7993" s="47">
        <v>3676</v>
      </c>
      <c r="H7993" t="str">
        <f>IFERROR(VLOOKUP(F7993,'LEAID Match'!$A$2:$B$142,2,FALSE),"")</f>
        <v/>
      </c>
    </row>
    <row r="7994" spans="1:8" x14ac:dyDescent="0.2">
      <c r="A7994" t="str">
        <f t="shared" si="124"/>
        <v/>
      </c>
      <c r="B7994" s="1">
        <v>2018</v>
      </c>
      <c r="C7994" s="1" t="s">
        <v>2505</v>
      </c>
      <c r="D7994" s="1" t="s">
        <v>2506</v>
      </c>
      <c r="E7994" s="1" t="s">
        <v>2019</v>
      </c>
      <c r="F7994" s="1" t="s">
        <v>797</v>
      </c>
      <c r="G7994" s="6">
        <v>3676</v>
      </c>
      <c r="H7994" t="str">
        <f>IFERROR(VLOOKUP(F7994,'LEAID Match'!$A$2:$B$142,2,FALSE),"")</f>
        <v/>
      </c>
    </row>
    <row r="7995" spans="1:8" x14ac:dyDescent="0.2">
      <c r="A7995" t="str">
        <f t="shared" si="124"/>
        <v/>
      </c>
      <c r="B7995" s="1">
        <v>2019</v>
      </c>
      <c r="C7995" s="1" t="s">
        <v>2505</v>
      </c>
      <c r="D7995" s="1" t="s">
        <v>2506</v>
      </c>
      <c r="E7995" s="1" t="s">
        <v>2019</v>
      </c>
      <c r="F7995" s="1" t="s">
        <v>797</v>
      </c>
      <c r="G7995" s="6">
        <v>3676</v>
      </c>
      <c r="H7995" t="str">
        <f>IFERROR(VLOOKUP(F7995,'LEAID Match'!$A$2:$B$142,2,FALSE),"")</f>
        <v/>
      </c>
    </row>
    <row r="7996" spans="1:8" x14ac:dyDescent="0.2">
      <c r="A7996" t="str">
        <f t="shared" si="124"/>
        <v/>
      </c>
      <c r="B7996" s="1">
        <v>2020</v>
      </c>
      <c r="C7996" s="1" t="s">
        <v>2505</v>
      </c>
      <c r="D7996" s="1" t="s">
        <v>2506</v>
      </c>
      <c r="E7996" s="1" t="s">
        <v>2019</v>
      </c>
      <c r="F7996" s="1" t="s">
        <v>797</v>
      </c>
      <c r="G7996" s="6">
        <v>4061</v>
      </c>
      <c r="H7996" t="str">
        <f>IFERROR(VLOOKUP(F7996,'LEAID Match'!$A$2:$B$142,2,FALSE),"")</f>
        <v/>
      </c>
    </row>
    <row r="7997" spans="1:8" x14ac:dyDescent="0.2">
      <c r="A7997" t="str">
        <f t="shared" si="124"/>
        <v/>
      </c>
      <c r="B7997" s="1">
        <v>2021</v>
      </c>
      <c r="C7997" s="1" t="s">
        <v>2505</v>
      </c>
      <c r="D7997" s="1" t="s">
        <v>2506</v>
      </c>
      <c r="E7997" s="1" t="s">
        <v>2019</v>
      </c>
      <c r="F7997" s="1" t="s">
        <v>797</v>
      </c>
      <c r="G7997" s="6">
        <v>4061</v>
      </c>
      <c r="H7997" t="str">
        <f>IFERROR(VLOOKUP(F7997,'LEAID Match'!$A$2:$B$142,2,FALSE),"")</f>
        <v/>
      </c>
    </row>
    <row r="7998" spans="1:8" x14ac:dyDescent="0.2">
      <c r="A7998" t="str">
        <f t="shared" si="124"/>
        <v/>
      </c>
      <c r="B7998" s="1">
        <v>2022</v>
      </c>
      <c r="C7998" s="1" t="s">
        <v>2505</v>
      </c>
      <c r="D7998" s="1" t="s">
        <v>2506</v>
      </c>
      <c r="E7998" s="1" t="s">
        <v>2019</v>
      </c>
      <c r="F7998" s="1" t="s">
        <v>797</v>
      </c>
      <c r="G7998" s="6">
        <v>4061</v>
      </c>
      <c r="H7998" t="str">
        <f>IFERROR(VLOOKUP(F7998,'LEAID Match'!$A$2:$B$142,2,FALSE),"")</f>
        <v/>
      </c>
    </row>
    <row r="7999" spans="1:8" x14ac:dyDescent="0.2">
      <c r="A7999" t="str">
        <f t="shared" si="124"/>
        <v/>
      </c>
      <c r="B7999" s="1">
        <v>2023</v>
      </c>
      <c r="C7999" s="1" t="s">
        <v>2505</v>
      </c>
      <c r="D7999" s="1" t="s">
        <v>2506</v>
      </c>
      <c r="E7999" s="1" t="s">
        <v>2019</v>
      </c>
      <c r="F7999" s="1" t="s">
        <v>797</v>
      </c>
      <c r="G7999" s="6">
        <v>4061</v>
      </c>
      <c r="H7999" t="str">
        <f>IFERROR(VLOOKUP(F7999,'LEAID Match'!$A$2:$B$142,2,FALSE),"")</f>
        <v/>
      </c>
    </row>
    <row r="8000" spans="1:8" x14ac:dyDescent="0.2">
      <c r="A8000" t="str">
        <f t="shared" si="124"/>
        <v/>
      </c>
      <c r="B8000" s="1">
        <v>2024</v>
      </c>
      <c r="C8000" s="1" t="s">
        <v>2505</v>
      </c>
      <c r="D8000" s="1" t="s">
        <v>2506</v>
      </c>
      <c r="E8000" s="1" t="s">
        <v>2019</v>
      </c>
      <c r="F8000" s="1" t="s">
        <v>797</v>
      </c>
      <c r="G8000" s="6">
        <v>4437</v>
      </c>
      <c r="H8000" t="str">
        <f>IFERROR(VLOOKUP(F8000,'LEAID Match'!$A$2:$B$142,2,FALSE),"")</f>
        <v/>
      </c>
    </row>
    <row r="8001" spans="1:8" x14ac:dyDescent="0.2">
      <c r="A8001">
        <f t="shared" si="124"/>
        <v>2804440</v>
      </c>
      <c r="B8001" s="1">
        <v>2015</v>
      </c>
      <c r="C8001" s="1" t="s">
        <v>2505</v>
      </c>
      <c r="D8001" s="1" t="s">
        <v>2506</v>
      </c>
      <c r="E8001" s="1" t="s">
        <v>2019</v>
      </c>
      <c r="F8001" s="1" t="s">
        <v>798</v>
      </c>
      <c r="G8001" s="6">
        <v>1631378</v>
      </c>
      <c r="H8001">
        <f>IFERROR(VLOOKUP(F8001,'LEAID Match'!$A$2:$B$142,2,FALSE),"")</f>
        <v>2804440</v>
      </c>
    </row>
    <row r="8002" spans="1:8" x14ac:dyDescent="0.2">
      <c r="A8002">
        <f t="shared" si="124"/>
        <v>2804440</v>
      </c>
      <c r="B8002">
        <v>2016</v>
      </c>
      <c r="C8002" s="1" t="s">
        <v>2505</v>
      </c>
      <c r="D8002" s="1" t="s">
        <v>2506</v>
      </c>
      <c r="E8002" s="1" t="s">
        <v>2019</v>
      </c>
      <c r="F8002" s="1" t="s">
        <v>798</v>
      </c>
      <c r="G8002" s="12">
        <v>1589055</v>
      </c>
      <c r="H8002">
        <f>IFERROR(VLOOKUP(F8002,'LEAID Match'!$A$2:$B$142,2,FALSE),"")</f>
        <v>2804440</v>
      </c>
    </row>
    <row r="8003" spans="1:8" x14ac:dyDescent="0.2">
      <c r="A8003">
        <f t="shared" ref="A8003:A8066" si="125">H8003</f>
        <v>2804440</v>
      </c>
      <c r="B8003" s="1">
        <v>2017</v>
      </c>
      <c r="C8003" s="1" t="s">
        <v>2505</v>
      </c>
      <c r="D8003" s="1" t="s">
        <v>2506</v>
      </c>
      <c r="E8003" s="1" t="s">
        <v>2019</v>
      </c>
      <c r="F8003" s="1" t="s">
        <v>798</v>
      </c>
      <c r="G8003" s="47">
        <v>1537187</v>
      </c>
      <c r="H8003">
        <f>IFERROR(VLOOKUP(F8003,'LEAID Match'!$A$2:$B$142,2,FALSE),"")</f>
        <v>2804440</v>
      </c>
    </row>
    <row r="8004" spans="1:8" x14ac:dyDescent="0.2">
      <c r="A8004">
        <f t="shared" si="125"/>
        <v>2804440</v>
      </c>
      <c r="B8004" s="1">
        <v>2018</v>
      </c>
      <c r="C8004" s="1" t="s">
        <v>2505</v>
      </c>
      <c r="D8004" s="1" t="s">
        <v>2506</v>
      </c>
      <c r="E8004" s="1" t="s">
        <v>2019</v>
      </c>
      <c r="F8004" s="1" t="s">
        <v>798</v>
      </c>
      <c r="G8004" s="6">
        <v>1509484</v>
      </c>
      <c r="H8004">
        <f>IFERROR(VLOOKUP(F8004,'LEAID Match'!$A$2:$B$142,2,FALSE),"")</f>
        <v>2804440</v>
      </c>
    </row>
    <row r="8005" spans="1:8" x14ac:dyDescent="0.2">
      <c r="A8005">
        <f t="shared" si="125"/>
        <v>2804440</v>
      </c>
      <c r="B8005" s="1">
        <v>2019</v>
      </c>
      <c r="C8005" s="1" t="s">
        <v>2505</v>
      </c>
      <c r="D8005" s="1" t="s">
        <v>2506</v>
      </c>
      <c r="E8005" s="1" t="s">
        <v>2019</v>
      </c>
      <c r="F8005" s="1" t="s">
        <v>798</v>
      </c>
      <c r="G8005" s="6">
        <v>1489911</v>
      </c>
      <c r="H8005">
        <f>IFERROR(VLOOKUP(F8005,'LEAID Match'!$A$2:$B$142,2,FALSE),"")</f>
        <v>2804440</v>
      </c>
    </row>
    <row r="8006" spans="1:8" x14ac:dyDescent="0.2">
      <c r="A8006">
        <f t="shared" si="125"/>
        <v>2804440</v>
      </c>
      <c r="B8006" s="1">
        <v>2020</v>
      </c>
      <c r="C8006" s="1" t="s">
        <v>2505</v>
      </c>
      <c r="D8006" s="1" t="s">
        <v>2506</v>
      </c>
      <c r="E8006" s="1" t="s">
        <v>2019</v>
      </c>
      <c r="F8006" s="1" t="s">
        <v>798</v>
      </c>
      <c r="G8006" s="6">
        <v>1753580</v>
      </c>
      <c r="H8006">
        <f>IFERROR(VLOOKUP(F8006,'LEAID Match'!$A$2:$B$142,2,FALSE),"")</f>
        <v>2804440</v>
      </c>
    </row>
    <row r="8007" spans="1:8" x14ac:dyDescent="0.2">
      <c r="A8007">
        <f t="shared" si="125"/>
        <v>2804440</v>
      </c>
      <c r="B8007" s="1">
        <v>2021</v>
      </c>
      <c r="C8007" s="1" t="s">
        <v>2505</v>
      </c>
      <c r="D8007" s="1" t="s">
        <v>2506</v>
      </c>
      <c r="E8007" s="1" t="s">
        <v>2019</v>
      </c>
      <c r="F8007" s="1" t="s">
        <v>798</v>
      </c>
      <c r="G8007" s="6">
        <v>1775508</v>
      </c>
      <c r="H8007">
        <f>IFERROR(VLOOKUP(F8007,'LEAID Match'!$A$2:$B$142,2,FALSE),"")</f>
        <v>2804440</v>
      </c>
    </row>
    <row r="8008" spans="1:8" x14ac:dyDescent="0.2">
      <c r="A8008">
        <f t="shared" si="125"/>
        <v>2804440</v>
      </c>
      <c r="B8008" s="1">
        <v>2022</v>
      </c>
      <c r="C8008" s="1" t="s">
        <v>2505</v>
      </c>
      <c r="D8008" s="1" t="s">
        <v>2506</v>
      </c>
      <c r="E8008" s="1" t="s">
        <v>2019</v>
      </c>
      <c r="F8008" s="1" t="s">
        <v>798</v>
      </c>
      <c r="G8008" s="6">
        <v>1951291</v>
      </c>
      <c r="H8008">
        <f>IFERROR(VLOOKUP(F8008,'LEAID Match'!$A$2:$B$142,2,FALSE),"")</f>
        <v>2804440</v>
      </c>
    </row>
    <row r="8009" spans="1:8" x14ac:dyDescent="0.2">
      <c r="A8009">
        <f t="shared" si="125"/>
        <v>2804440</v>
      </c>
      <c r="B8009" s="1">
        <v>2023</v>
      </c>
      <c r="C8009" s="1" t="s">
        <v>2505</v>
      </c>
      <c r="D8009" s="1" t="s">
        <v>2506</v>
      </c>
      <c r="E8009" s="1" t="s">
        <v>2019</v>
      </c>
      <c r="F8009" s="1" t="s">
        <v>798</v>
      </c>
      <c r="G8009" s="6">
        <v>2095563</v>
      </c>
      <c r="H8009">
        <f>IFERROR(VLOOKUP(F8009,'LEAID Match'!$A$2:$B$142,2,FALSE),"")</f>
        <v>2804440</v>
      </c>
    </row>
    <row r="8010" spans="1:8" x14ac:dyDescent="0.2">
      <c r="A8010">
        <f t="shared" si="125"/>
        <v>2804440</v>
      </c>
      <c r="B8010" s="1">
        <v>2024</v>
      </c>
      <c r="C8010" s="1" t="s">
        <v>2505</v>
      </c>
      <c r="D8010" s="1" t="s">
        <v>2506</v>
      </c>
      <c r="E8010" s="1" t="s">
        <v>2019</v>
      </c>
      <c r="F8010" s="1" t="s">
        <v>798</v>
      </c>
      <c r="G8010" s="6">
        <v>2070351</v>
      </c>
      <c r="H8010">
        <f>IFERROR(VLOOKUP(F8010,'LEAID Match'!$A$2:$B$142,2,FALSE),"")</f>
        <v>2804440</v>
      </c>
    </row>
    <row r="8011" spans="1:8" x14ac:dyDescent="0.2">
      <c r="A8011" t="str">
        <f t="shared" si="125"/>
        <v/>
      </c>
      <c r="B8011" s="1">
        <v>2015</v>
      </c>
      <c r="C8011" s="1" t="s">
        <v>2505</v>
      </c>
      <c r="D8011" s="1" t="s">
        <v>2506</v>
      </c>
      <c r="E8011" s="1" t="s">
        <v>2019</v>
      </c>
      <c r="F8011" s="1" t="s">
        <v>799</v>
      </c>
      <c r="G8011" s="6">
        <v>1039</v>
      </c>
      <c r="H8011" t="str">
        <f>IFERROR(VLOOKUP(F8011,'LEAID Match'!$A$2:$B$142,2,FALSE),"")</f>
        <v/>
      </c>
    </row>
    <row r="8012" spans="1:8" x14ac:dyDescent="0.2">
      <c r="A8012" t="str">
        <f t="shared" si="125"/>
        <v/>
      </c>
      <c r="B8012">
        <v>2016</v>
      </c>
      <c r="C8012" s="1" t="s">
        <v>2505</v>
      </c>
      <c r="D8012" s="1" t="s">
        <v>2506</v>
      </c>
      <c r="E8012" s="1" t="s">
        <v>2019</v>
      </c>
      <c r="F8012" s="1" t="s">
        <v>799</v>
      </c>
      <c r="G8012" s="12">
        <v>1027</v>
      </c>
      <c r="H8012" t="str">
        <f>IFERROR(VLOOKUP(F8012,'LEAID Match'!$A$2:$B$142,2,FALSE),"")</f>
        <v/>
      </c>
    </row>
    <row r="8013" spans="1:8" x14ac:dyDescent="0.2">
      <c r="A8013" t="str">
        <f t="shared" si="125"/>
        <v/>
      </c>
      <c r="B8013" s="1">
        <v>2017</v>
      </c>
      <c r="C8013" s="1" t="s">
        <v>2505</v>
      </c>
      <c r="D8013" s="1" t="s">
        <v>2506</v>
      </c>
      <c r="E8013" s="1" t="s">
        <v>2019</v>
      </c>
      <c r="F8013" s="1" t="s">
        <v>799</v>
      </c>
      <c r="G8013" s="47">
        <v>1039</v>
      </c>
      <c r="H8013" t="str">
        <f>IFERROR(VLOOKUP(F8013,'LEAID Match'!$A$2:$B$142,2,FALSE),"")</f>
        <v/>
      </c>
    </row>
    <row r="8014" spans="1:8" x14ac:dyDescent="0.2">
      <c r="A8014" t="str">
        <f t="shared" si="125"/>
        <v/>
      </c>
      <c r="B8014" s="1">
        <v>2018</v>
      </c>
      <c r="C8014" s="1" t="s">
        <v>2505</v>
      </c>
      <c r="D8014" s="1" t="s">
        <v>2506</v>
      </c>
      <c r="E8014" s="1" t="s">
        <v>2019</v>
      </c>
      <c r="F8014" s="1" t="s">
        <v>799</v>
      </c>
      <c r="G8014" s="6">
        <v>1118</v>
      </c>
      <c r="H8014" t="str">
        <f>IFERROR(VLOOKUP(F8014,'LEAID Match'!$A$2:$B$142,2,FALSE),"")</f>
        <v/>
      </c>
    </row>
    <row r="8015" spans="1:8" x14ac:dyDescent="0.2">
      <c r="A8015" t="str">
        <f t="shared" si="125"/>
        <v/>
      </c>
      <c r="B8015" s="1">
        <v>2019</v>
      </c>
      <c r="C8015" s="1" t="s">
        <v>2505</v>
      </c>
      <c r="D8015" s="1" t="s">
        <v>2506</v>
      </c>
      <c r="E8015" s="1" t="s">
        <v>2019</v>
      </c>
      <c r="F8015" s="1" t="s">
        <v>799</v>
      </c>
      <c r="G8015" s="6">
        <v>1228</v>
      </c>
      <c r="H8015" t="str">
        <f>IFERROR(VLOOKUP(F8015,'LEAID Match'!$A$2:$B$142,2,FALSE),"")</f>
        <v/>
      </c>
    </row>
    <row r="8016" spans="1:8" x14ac:dyDescent="0.2">
      <c r="A8016" t="str">
        <f t="shared" si="125"/>
        <v/>
      </c>
      <c r="B8016" s="1">
        <v>2020</v>
      </c>
      <c r="C8016" s="1" t="s">
        <v>2505</v>
      </c>
      <c r="D8016" s="1" t="s">
        <v>2506</v>
      </c>
      <c r="E8016" s="1" t="s">
        <v>2019</v>
      </c>
      <c r="F8016" s="1" t="s">
        <v>799</v>
      </c>
      <c r="G8016" s="6">
        <v>1566</v>
      </c>
      <c r="H8016" t="str">
        <f>IFERROR(VLOOKUP(F8016,'LEAID Match'!$A$2:$B$142,2,FALSE),"")</f>
        <v/>
      </c>
    </row>
    <row r="8017" spans="1:8" x14ac:dyDescent="0.2">
      <c r="A8017" t="str">
        <f t="shared" si="125"/>
        <v/>
      </c>
      <c r="B8017" s="1">
        <v>2021</v>
      </c>
      <c r="C8017" s="1" t="s">
        <v>2505</v>
      </c>
      <c r="D8017" s="1" t="s">
        <v>2506</v>
      </c>
      <c r="E8017" s="1" t="s">
        <v>2019</v>
      </c>
      <c r="F8017" s="1" t="s">
        <v>799</v>
      </c>
      <c r="G8017" s="6">
        <v>1582</v>
      </c>
      <c r="H8017" t="str">
        <f>IFERROR(VLOOKUP(F8017,'LEAID Match'!$A$2:$B$142,2,FALSE),"")</f>
        <v/>
      </c>
    </row>
    <row r="8018" spans="1:8" x14ac:dyDescent="0.2">
      <c r="A8018" t="str">
        <f t="shared" si="125"/>
        <v/>
      </c>
      <c r="B8018" s="1">
        <v>2022</v>
      </c>
      <c r="C8018" s="1" t="s">
        <v>2505</v>
      </c>
      <c r="D8018" s="1" t="s">
        <v>2506</v>
      </c>
      <c r="E8018" s="1" t="s">
        <v>2019</v>
      </c>
      <c r="F8018" s="1" t="s">
        <v>799</v>
      </c>
      <c r="G8018" s="6">
        <v>1757</v>
      </c>
      <c r="H8018" t="str">
        <f>IFERROR(VLOOKUP(F8018,'LEAID Match'!$A$2:$B$142,2,FALSE),"")</f>
        <v/>
      </c>
    </row>
    <row r="8019" spans="1:8" x14ac:dyDescent="0.2">
      <c r="A8019" t="str">
        <f t="shared" si="125"/>
        <v/>
      </c>
      <c r="B8019" s="1">
        <v>2023</v>
      </c>
      <c r="C8019" s="1" t="s">
        <v>2505</v>
      </c>
      <c r="D8019" s="1" t="s">
        <v>2506</v>
      </c>
      <c r="E8019" s="1" t="s">
        <v>2019</v>
      </c>
      <c r="F8019" s="1" t="s">
        <v>799</v>
      </c>
      <c r="G8019" s="6">
        <v>2151</v>
      </c>
      <c r="H8019" t="str">
        <f>IFERROR(VLOOKUP(F8019,'LEAID Match'!$A$2:$B$142,2,FALSE),"")</f>
        <v/>
      </c>
    </row>
    <row r="8020" spans="1:8" x14ac:dyDescent="0.2">
      <c r="A8020" t="str">
        <f t="shared" si="125"/>
        <v/>
      </c>
      <c r="B8020" s="1">
        <v>2024</v>
      </c>
      <c r="C8020" s="1" t="s">
        <v>2505</v>
      </c>
      <c r="D8020" s="1" t="s">
        <v>2506</v>
      </c>
      <c r="E8020" s="1" t="s">
        <v>2019</v>
      </c>
      <c r="F8020" s="1" t="s">
        <v>799</v>
      </c>
      <c r="G8020" s="6">
        <v>1608</v>
      </c>
      <c r="H8020" t="str">
        <f>IFERROR(VLOOKUP(F8020,'LEAID Match'!$A$2:$B$142,2,FALSE),"")</f>
        <v/>
      </c>
    </row>
    <row r="8021" spans="1:8" x14ac:dyDescent="0.2">
      <c r="A8021" t="str">
        <f t="shared" si="125"/>
        <v/>
      </c>
      <c r="B8021" s="1">
        <v>2015</v>
      </c>
      <c r="C8021" s="1" t="s">
        <v>2505</v>
      </c>
      <c r="D8021" s="1" t="s">
        <v>2506</v>
      </c>
      <c r="E8021" s="1" t="s">
        <v>2019</v>
      </c>
      <c r="F8021" s="1" t="s">
        <v>800</v>
      </c>
      <c r="G8021" s="6">
        <v>1452723</v>
      </c>
      <c r="H8021" t="str">
        <f>IFERROR(VLOOKUP(F8021,'LEAID Match'!$A$2:$B$142,2,FALSE),"")</f>
        <v/>
      </c>
    </row>
    <row r="8022" spans="1:8" x14ac:dyDescent="0.2">
      <c r="A8022" t="str">
        <f t="shared" si="125"/>
        <v/>
      </c>
      <c r="B8022">
        <v>2016</v>
      </c>
      <c r="C8022" s="1" t="s">
        <v>2505</v>
      </c>
      <c r="D8022" s="1" t="s">
        <v>2506</v>
      </c>
      <c r="E8022" s="1" t="s">
        <v>2019</v>
      </c>
      <c r="F8022" s="1" t="s">
        <v>800</v>
      </c>
      <c r="G8022" s="12">
        <v>1509255</v>
      </c>
      <c r="H8022" t="str">
        <f>IFERROR(VLOOKUP(F8022,'LEAID Match'!$A$2:$B$142,2,FALSE),"")</f>
        <v/>
      </c>
    </row>
    <row r="8023" spans="1:8" x14ac:dyDescent="0.2">
      <c r="A8023" t="str">
        <f t="shared" si="125"/>
        <v/>
      </c>
      <c r="B8023" s="1">
        <v>2017</v>
      </c>
      <c r="C8023" s="1" t="s">
        <v>2505</v>
      </c>
      <c r="D8023" s="1" t="s">
        <v>2506</v>
      </c>
      <c r="E8023" s="1" t="s">
        <v>2019</v>
      </c>
      <c r="F8023" s="1" t="s">
        <v>800</v>
      </c>
      <c r="G8023" s="47">
        <v>1545814</v>
      </c>
      <c r="H8023" t="str">
        <f>IFERROR(VLOOKUP(F8023,'LEAID Match'!$A$2:$B$142,2,FALSE),"")</f>
        <v/>
      </c>
    </row>
    <row r="8024" spans="1:8" x14ac:dyDescent="0.2">
      <c r="A8024" t="str">
        <f t="shared" si="125"/>
        <v/>
      </c>
      <c r="B8024" s="1">
        <v>2018</v>
      </c>
      <c r="C8024" s="1" t="s">
        <v>2505</v>
      </c>
      <c r="D8024" s="1" t="s">
        <v>2506</v>
      </c>
      <c r="E8024" s="1" t="s">
        <v>2019</v>
      </c>
      <c r="F8024" s="1" t="s">
        <v>800</v>
      </c>
      <c r="G8024" s="6">
        <v>1585352</v>
      </c>
      <c r="H8024" t="str">
        <f>IFERROR(VLOOKUP(F8024,'LEAID Match'!$A$2:$B$142,2,FALSE),"")</f>
        <v/>
      </c>
    </row>
    <row r="8025" spans="1:8" x14ac:dyDescent="0.2">
      <c r="A8025" t="str">
        <f t="shared" si="125"/>
        <v/>
      </c>
      <c r="B8025" s="1">
        <v>2019</v>
      </c>
      <c r="C8025" s="1" t="s">
        <v>2505</v>
      </c>
      <c r="D8025" s="1" t="s">
        <v>2506</v>
      </c>
      <c r="E8025" s="1" t="s">
        <v>2019</v>
      </c>
      <c r="F8025" s="1" t="s">
        <v>800</v>
      </c>
      <c r="G8025" s="6">
        <v>1660558</v>
      </c>
      <c r="H8025" t="str">
        <f>IFERROR(VLOOKUP(F8025,'LEAID Match'!$A$2:$B$142,2,FALSE),"")</f>
        <v/>
      </c>
    </row>
    <row r="8026" spans="1:8" x14ac:dyDescent="0.2">
      <c r="A8026" t="str">
        <f t="shared" si="125"/>
        <v/>
      </c>
      <c r="B8026" s="1">
        <v>2020</v>
      </c>
      <c r="C8026" s="1" t="s">
        <v>2505</v>
      </c>
      <c r="D8026" s="1" t="s">
        <v>2506</v>
      </c>
      <c r="E8026" s="1" t="s">
        <v>2019</v>
      </c>
      <c r="F8026" s="1" t="s">
        <v>800</v>
      </c>
      <c r="G8026" s="6">
        <v>1927095</v>
      </c>
      <c r="H8026" t="str">
        <f>IFERROR(VLOOKUP(F8026,'LEAID Match'!$A$2:$B$142,2,FALSE),"")</f>
        <v/>
      </c>
    </row>
    <row r="8027" spans="1:8" x14ac:dyDescent="0.2">
      <c r="A8027" t="str">
        <f t="shared" si="125"/>
        <v/>
      </c>
      <c r="B8027" s="1">
        <v>2021</v>
      </c>
      <c r="C8027" s="1" t="s">
        <v>2505</v>
      </c>
      <c r="D8027" s="1" t="s">
        <v>2506</v>
      </c>
      <c r="E8027" s="1" t="s">
        <v>2019</v>
      </c>
      <c r="F8027" s="1" t="s">
        <v>800</v>
      </c>
      <c r="G8027" s="6">
        <v>1905866</v>
      </c>
      <c r="H8027" t="str">
        <f>IFERROR(VLOOKUP(F8027,'LEAID Match'!$A$2:$B$142,2,FALSE),"")</f>
        <v/>
      </c>
    </row>
    <row r="8028" spans="1:8" x14ac:dyDescent="0.2">
      <c r="A8028" t="str">
        <f t="shared" si="125"/>
        <v/>
      </c>
      <c r="B8028" s="1">
        <v>2022</v>
      </c>
      <c r="C8028" s="1" t="s">
        <v>2505</v>
      </c>
      <c r="D8028" s="1" t="s">
        <v>2506</v>
      </c>
      <c r="E8028" s="1" t="s">
        <v>2019</v>
      </c>
      <c r="F8028" s="1" t="s">
        <v>800</v>
      </c>
      <c r="G8028" s="6">
        <v>1970426</v>
      </c>
      <c r="H8028" t="str">
        <f>IFERROR(VLOOKUP(F8028,'LEAID Match'!$A$2:$B$142,2,FALSE),"")</f>
        <v/>
      </c>
    </row>
    <row r="8029" spans="1:8" x14ac:dyDescent="0.2">
      <c r="A8029" t="str">
        <f t="shared" si="125"/>
        <v/>
      </c>
      <c r="B8029" s="1">
        <v>2023</v>
      </c>
      <c r="C8029" s="1" t="s">
        <v>2505</v>
      </c>
      <c r="D8029" s="1" t="s">
        <v>2506</v>
      </c>
      <c r="E8029" s="1" t="s">
        <v>2019</v>
      </c>
      <c r="F8029" s="1" t="s">
        <v>800</v>
      </c>
      <c r="G8029" s="6">
        <v>2031349</v>
      </c>
      <c r="H8029" t="str">
        <f>IFERROR(VLOOKUP(F8029,'LEAID Match'!$A$2:$B$142,2,FALSE),"")</f>
        <v/>
      </c>
    </row>
    <row r="8030" spans="1:8" x14ac:dyDescent="0.2">
      <c r="A8030" t="str">
        <f t="shared" si="125"/>
        <v/>
      </c>
      <c r="B8030" s="1">
        <v>2024</v>
      </c>
      <c r="C8030" s="1" t="s">
        <v>2505</v>
      </c>
      <c r="D8030" s="1" t="s">
        <v>2506</v>
      </c>
      <c r="E8030" s="1" t="s">
        <v>2019</v>
      </c>
      <c r="F8030" s="1" t="s">
        <v>800</v>
      </c>
      <c r="G8030" s="6">
        <v>2132587</v>
      </c>
      <c r="H8030" t="str">
        <f>IFERROR(VLOOKUP(F8030,'LEAID Match'!$A$2:$B$142,2,FALSE),"")</f>
        <v/>
      </c>
    </row>
    <row r="8031" spans="1:8" x14ac:dyDescent="0.2">
      <c r="A8031" t="str">
        <f t="shared" si="125"/>
        <v/>
      </c>
      <c r="B8031" s="1">
        <v>2015</v>
      </c>
      <c r="C8031" s="1" t="s">
        <v>2505</v>
      </c>
      <c r="D8031" s="1" t="s">
        <v>2506</v>
      </c>
      <c r="E8031" s="1" t="s">
        <v>2019</v>
      </c>
      <c r="F8031" s="1" t="s">
        <v>801</v>
      </c>
      <c r="G8031" s="6">
        <v>12229</v>
      </c>
      <c r="H8031" t="str">
        <f>IFERROR(VLOOKUP(F8031,'LEAID Match'!$A$2:$B$142,2,FALSE),"")</f>
        <v/>
      </c>
    </row>
    <row r="8032" spans="1:8" x14ac:dyDescent="0.2">
      <c r="A8032" t="str">
        <f t="shared" si="125"/>
        <v/>
      </c>
      <c r="B8032">
        <v>2016</v>
      </c>
      <c r="C8032" s="1" t="s">
        <v>2505</v>
      </c>
      <c r="D8032" s="1" t="s">
        <v>2506</v>
      </c>
      <c r="E8032" s="1" t="s">
        <v>2019</v>
      </c>
      <c r="F8032" s="1" t="s">
        <v>801</v>
      </c>
      <c r="G8032" s="12">
        <v>12229</v>
      </c>
      <c r="H8032" t="str">
        <f>IFERROR(VLOOKUP(F8032,'LEAID Match'!$A$2:$B$142,2,FALSE),"")</f>
        <v/>
      </c>
    </row>
    <row r="8033" spans="1:8" x14ac:dyDescent="0.2">
      <c r="A8033" t="str">
        <f t="shared" si="125"/>
        <v/>
      </c>
      <c r="B8033" s="1">
        <v>2017</v>
      </c>
      <c r="C8033" s="1" t="s">
        <v>2505</v>
      </c>
      <c r="D8033" s="1" t="s">
        <v>2506</v>
      </c>
      <c r="E8033" s="1" t="s">
        <v>2019</v>
      </c>
      <c r="F8033" s="1" t="s">
        <v>801</v>
      </c>
      <c r="G8033" s="47">
        <v>11650</v>
      </c>
      <c r="H8033" t="str">
        <f>IFERROR(VLOOKUP(F8033,'LEAID Match'!$A$2:$B$142,2,FALSE),"")</f>
        <v/>
      </c>
    </row>
    <row r="8034" spans="1:8" x14ac:dyDescent="0.2">
      <c r="A8034" t="str">
        <f t="shared" si="125"/>
        <v/>
      </c>
      <c r="B8034" s="1">
        <v>2018</v>
      </c>
      <c r="C8034" s="1" t="s">
        <v>2505</v>
      </c>
      <c r="D8034" s="1" t="s">
        <v>2506</v>
      </c>
      <c r="E8034" s="1" t="s">
        <v>2019</v>
      </c>
      <c r="F8034" s="1" t="s">
        <v>801</v>
      </c>
      <c r="G8034" s="6">
        <v>12423</v>
      </c>
      <c r="H8034" t="str">
        <f>IFERROR(VLOOKUP(F8034,'LEAID Match'!$A$2:$B$142,2,FALSE),"")</f>
        <v/>
      </c>
    </row>
    <row r="8035" spans="1:8" x14ac:dyDescent="0.2">
      <c r="A8035" t="str">
        <f t="shared" si="125"/>
        <v/>
      </c>
      <c r="B8035" s="1">
        <v>2019</v>
      </c>
      <c r="C8035" s="1" t="s">
        <v>2505</v>
      </c>
      <c r="D8035" s="1" t="s">
        <v>2506</v>
      </c>
      <c r="E8035" s="1" t="s">
        <v>2019</v>
      </c>
      <c r="F8035" s="1" t="s">
        <v>801</v>
      </c>
      <c r="G8035" s="6">
        <v>12671</v>
      </c>
      <c r="H8035" t="str">
        <f>IFERROR(VLOOKUP(F8035,'LEAID Match'!$A$2:$B$142,2,FALSE),"")</f>
        <v/>
      </c>
    </row>
    <row r="8036" spans="1:8" x14ac:dyDescent="0.2">
      <c r="A8036" t="str">
        <f t="shared" si="125"/>
        <v/>
      </c>
      <c r="B8036" s="1">
        <v>2020</v>
      </c>
      <c r="C8036" s="1" t="s">
        <v>2505</v>
      </c>
      <c r="D8036" s="1" t="s">
        <v>2506</v>
      </c>
      <c r="E8036" s="1" t="s">
        <v>2019</v>
      </c>
      <c r="F8036" s="1" t="s">
        <v>801</v>
      </c>
      <c r="G8036" s="6">
        <v>9367</v>
      </c>
      <c r="H8036" t="str">
        <f>IFERROR(VLOOKUP(F8036,'LEAID Match'!$A$2:$B$142,2,FALSE),"")</f>
        <v/>
      </c>
    </row>
    <row r="8037" spans="1:8" x14ac:dyDescent="0.2">
      <c r="A8037" t="str">
        <f t="shared" si="125"/>
        <v/>
      </c>
      <c r="B8037" s="1">
        <v>2021</v>
      </c>
      <c r="C8037" s="1" t="s">
        <v>2505</v>
      </c>
      <c r="D8037" s="1" t="s">
        <v>2506</v>
      </c>
      <c r="E8037" s="1" t="s">
        <v>2019</v>
      </c>
      <c r="F8037" s="1" t="s">
        <v>801</v>
      </c>
      <c r="G8037" s="6">
        <v>9719</v>
      </c>
      <c r="H8037" t="str">
        <f>IFERROR(VLOOKUP(F8037,'LEAID Match'!$A$2:$B$142,2,FALSE),"")</f>
        <v/>
      </c>
    </row>
    <row r="8038" spans="1:8" x14ac:dyDescent="0.2">
      <c r="A8038" t="str">
        <f t="shared" si="125"/>
        <v/>
      </c>
      <c r="B8038" s="1">
        <v>2022</v>
      </c>
      <c r="C8038" s="1" t="s">
        <v>2505</v>
      </c>
      <c r="D8038" s="1" t="s">
        <v>2506</v>
      </c>
      <c r="E8038" s="1" t="s">
        <v>2019</v>
      </c>
      <c r="F8038" s="1" t="s">
        <v>801</v>
      </c>
      <c r="G8038" s="6">
        <v>15051</v>
      </c>
      <c r="H8038" t="str">
        <f>IFERROR(VLOOKUP(F8038,'LEAID Match'!$A$2:$B$142,2,FALSE),"")</f>
        <v/>
      </c>
    </row>
    <row r="8039" spans="1:8" x14ac:dyDescent="0.2">
      <c r="A8039" t="str">
        <f t="shared" si="125"/>
        <v/>
      </c>
      <c r="B8039" s="1">
        <v>2023</v>
      </c>
      <c r="C8039" s="1" t="s">
        <v>2505</v>
      </c>
      <c r="D8039" s="1" t="s">
        <v>2506</v>
      </c>
      <c r="E8039" s="1" t="s">
        <v>2019</v>
      </c>
      <c r="F8039" s="1" t="s">
        <v>801</v>
      </c>
      <c r="G8039" s="6">
        <v>16334</v>
      </c>
      <c r="H8039" t="str">
        <f>IFERROR(VLOOKUP(F8039,'LEAID Match'!$A$2:$B$142,2,FALSE),"")</f>
        <v/>
      </c>
    </row>
    <row r="8040" spans="1:8" x14ac:dyDescent="0.2">
      <c r="A8040" t="str">
        <f t="shared" si="125"/>
        <v/>
      </c>
      <c r="B8040" s="1">
        <v>2024</v>
      </c>
      <c r="C8040" s="1" t="s">
        <v>2505</v>
      </c>
      <c r="D8040" s="1" t="s">
        <v>2506</v>
      </c>
      <c r="E8040" s="1" t="s">
        <v>2019</v>
      </c>
      <c r="F8040" s="1" t="s">
        <v>801</v>
      </c>
      <c r="G8040" s="6">
        <v>17318</v>
      </c>
      <c r="H8040" t="str">
        <f>IFERROR(VLOOKUP(F8040,'LEAID Match'!$A$2:$B$142,2,FALSE),"")</f>
        <v/>
      </c>
    </row>
    <row r="8041" spans="1:8" x14ac:dyDescent="0.2">
      <c r="A8041" t="str">
        <f t="shared" si="125"/>
        <v/>
      </c>
      <c r="B8041" s="1">
        <v>2015</v>
      </c>
      <c r="C8041" s="1" t="s">
        <v>2505</v>
      </c>
      <c r="D8041" s="1" t="s">
        <v>2506</v>
      </c>
      <c r="E8041" s="1" t="s">
        <v>2019</v>
      </c>
      <c r="F8041" s="1" t="s">
        <v>1131</v>
      </c>
      <c r="G8041" s="6">
        <v>40718</v>
      </c>
      <c r="H8041" t="str">
        <f>IFERROR(VLOOKUP(F8041,'LEAID Match'!$A$2:$B$142,2,FALSE),"")</f>
        <v/>
      </c>
    </row>
    <row r="8042" spans="1:8" x14ac:dyDescent="0.2">
      <c r="A8042" t="str">
        <f t="shared" si="125"/>
        <v/>
      </c>
      <c r="B8042">
        <v>2016</v>
      </c>
      <c r="C8042" s="1" t="s">
        <v>2505</v>
      </c>
      <c r="D8042" s="1" t="s">
        <v>2506</v>
      </c>
      <c r="E8042" s="1" t="s">
        <v>2019</v>
      </c>
      <c r="F8042" s="1" t="s">
        <v>1131</v>
      </c>
      <c r="G8042" s="12">
        <v>41250</v>
      </c>
      <c r="H8042" t="str">
        <f>IFERROR(VLOOKUP(F8042,'LEAID Match'!$A$2:$B$142,2,FALSE),"")</f>
        <v/>
      </c>
    </row>
    <row r="8043" spans="1:8" x14ac:dyDescent="0.2">
      <c r="A8043" t="str">
        <f t="shared" si="125"/>
        <v/>
      </c>
      <c r="B8043" s="1">
        <v>2017</v>
      </c>
      <c r="C8043" s="1" t="s">
        <v>2505</v>
      </c>
      <c r="D8043" s="1" t="s">
        <v>2506</v>
      </c>
      <c r="E8043" s="1" t="s">
        <v>2019</v>
      </c>
      <c r="F8043" s="1" t="s">
        <v>1131</v>
      </c>
      <c r="G8043" s="47">
        <v>42198</v>
      </c>
      <c r="H8043" t="str">
        <f>IFERROR(VLOOKUP(F8043,'LEAID Match'!$A$2:$B$142,2,FALSE),"")</f>
        <v/>
      </c>
    </row>
    <row r="8044" spans="1:8" x14ac:dyDescent="0.2">
      <c r="A8044" t="str">
        <f t="shared" si="125"/>
        <v/>
      </c>
      <c r="B8044" s="1">
        <v>2018</v>
      </c>
      <c r="C8044" s="1" t="s">
        <v>2505</v>
      </c>
      <c r="D8044" s="1" t="s">
        <v>2506</v>
      </c>
      <c r="E8044" s="1" t="s">
        <v>2019</v>
      </c>
      <c r="F8044" s="1" t="s">
        <v>1131</v>
      </c>
      <c r="G8044" s="6">
        <v>37468</v>
      </c>
      <c r="H8044" t="str">
        <f>IFERROR(VLOOKUP(F8044,'LEAID Match'!$A$2:$B$142,2,FALSE),"")</f>
        <v/>
      </c>
    </row>
    <row r="8045" spans="1:8" x14ac:dyDescent="0.2">
      <c r="A8045" t="str">
        <f t="shared" si="125"/>
        <v/>
      </c>
      <c r="B8045" s="1">
        <v>2019</v>
      </c>
      <c r="C8045" s="1" t="s">
        <v>2505</v>
      </c>
      <c r="D8045" s="1" t="s">
        <v>2506</v>
      </c>
      <c r="E8045" s="1" t="s">
        <v>2019</v>
      </c>
      <c r="F8045" s="1" t="s">
        <v>1131</v>
      </c>
      <c r="G8045" s="6">
        <v>20083</v>
      </c>
      <c r="H8045" t="str">
        <f>IFERROR(VLOOKUP(F8045,'LEAID Match'!$A$2:$B$142,2,FALSE),"")</f>
        <v/>
      </c>
    </row>
    <row r="8046" spans="1:8" x14ac:dyDescent="0.2">
      <c r="A8046" t="str">
        <f t="shared" si="125"/>
        <v/>
      </c>
      <c r="B8046" s="1">
        <v>2015</v>
      </c>
      <c r="C8046" s="1" t="s">
        <v>2505</v>
      </c>
      <c r="D8046" s="1" t="s">
        <v>2506</v>
      </c>
      <c r="E8046" s="1" t="s">
        <v>2019</v>
      </c>
      <c r="F8046" s="1" t="s">
        <v>802</v>
      </c>
      <c r="G8046" s="6">
        <v>1687789</v>
      </c>
      <c r="H8046" t="str">
        <f>IFERROR(VLOOKUP(F8046,'LEAID Match'!$A$2:$B$142,2,FALSE),"")</f>
        <v/>
      </c>
    </row>
    <row r="8047" spans="1:8" x14ac:dyDescent="0.2">
      <c r="A8047" t="str">
        <f t="shared" si="125"/>
        <v/>
      </c>
      <c r="B8047">
        <v>2016</v>
      </c>
      <c r="C8047" s="1" t="s">
        <v>2505</v>
      </c>
      <c r="D8047" s="1" t="s">
        <v>2506</v>
      </c>
      <c r="E8047" s="1" t="s">
        <v>2019</v>
      </c>
      <c r="F8047" s="1" t="s">
        <v>802</v>
      </c>
      <c r="G8047" s="12">
        <v>1681363</v>
      </c>
      <c r="H8047" t="str">
        <f>IFERROR(VLOOKUP(F8047,'LEAID Match'!$A$2:$B$142,2,FALSE),"")</f>
        <v/>
      </c>
    </row>
    <row r="8048" spans="1:8" x14ac:dyDescent="0.2">
      <c r="A8048" t="str">
        <f t="shared" si="125"/>
        <v/>
      </c>
      <c r="B8048" s="1">
        <v>2017</v>
      </c>
      <c r="C8048" s="1" t="s">
        <v>2505</v>
      </c>
      <c r="D8048" s="1" t="s">
        <v>2506</v>
      </c>
      <c r="E8048" s="1" t="s">
        <v>2019</v>
      </c>
      <c r="F8048" s="1" t="s">
        <v>802</v>
      </c>
      <c r="G8048" s="47">
        <v>1670078</v>
      </c>
      <c r="H8048" t="str">
        <f>IFERROR(VLOOKUP(F8048,'LEAID Match'!$A$2:$B$142,2,FALSE),"")</f>
        <v/>
      </c>
    </row>
    <row r="8049" spans="1:8" x14ac:dyDescent="0.2">
      <c r="A8049" t="str">
        <f t="shared" si="125"/>
        <v/>
      </c>
      <c r="B8049" s="1">
        <v>2018</v>
      </c>
      <c r="C8049" s="1" t="s">
        <v>2505</v>
      </c>
      <c r="D8049" s="1" t="s">
        <v>2506</v>
      </c>
      <c r="E8049" s="1" t="s">
        <v>2019</v>
      </c>
      <c r="F8049" s="1" t="s">
        <v>802</v>
      </c>
      <c r="G8049" s="6">
        <v>1726991</v>
      </c>
      <c r="H8049" t="str">
        <f>IFERROR(VLOOKUP(F8049,'LEAID Match'!$A$2:$B$142,2,FALSE),"")</f>
        <v/>
      </c>
    </row>
    <row r="8050" spans="1:8" x14ac:dyDescent="0.2">
      <c r="A8050" t="str">
        <f t="shared" si="125"/>
        <v/>
      </c>
      <c r="B8050" s="1">
        <v>2019</v>
      </c>
      <c r="C8050" s="1" t="s">
        <v>2505</v>
      </c>
      <c r="D8050" s="1" t="s">
        <v>2506</v>
      </c>
      <c r="E8050" s="1" t="s">
        <v>2019</v>
      </c>
      <c r="F8050" s="1" t="s">
        <v>802</v>
      </c>
      <c r="G8050" s="6">
        <v>1835995</v>
      </c>
      <c r="H8050" t="str">
        <f>IFERROR(VLOOKUP(F8050,'LEAID Match'!$A$2:$B$142,2,FALSE),"")</f>
        <v/>
      </c>
    </row>
    <row r="8051" spans="1:8" x14ac:dyDescent="0.2">
      <c r="A8051" t="str">
        <f t="shared" si="125"/>
        <v/>
      </c>
      <c r="B8051" s="1">
        <v>2020</v>
      </c>
      <c r="C8051" s="1" t="s">
        <v>2505</v>
      </c>
      <c r="D8051" s="1" t="s">
        <v>2506</v>
      </c>
      <c r="E8051" s="1" t="s">
        <v>2019</v>
      </c>
      <c r="F8051" s="1" t="s">
        <v>802</v>
      </c>
      <c r="G8051" s="6">
        <v>2073775</v>
      </c>
      <c r="H8051" t="str">
        <f>IFERROR(VLOOKUP(F8051,'LEAID Match'!$A$2:$B$142,2,FALSE),"")</f>
        <v/>
      </c>
    </row>
    <row r="8052" spans="1:8" x14ac:dyDescent="0.2">
      <c r="A8052" t="str">
        <f t="shared" si="125"/>
        <v/>
      </c>
      <c r="B8052" s="1">
        <v>2021</v>
      </c>
      <c r="C8052" s="1" t="s">
        <v>2505</v>
      </c>
      <c r="D8052" s="1" t="s">
        <v>2506</v>
      </c>
      <c r="E8052" s="1" t="s">
        <v>2019</v>
      </c>
      <c r="F8052" s="1" t="s">
        <v>802</v>
      </c>
      <c r="G8052" s="6">
        <v>2072964</v>
      </c>
      <c r="H8052" t="str">
        <f>IFERROR(VLOOKUP(F8052,'LEAID Match'!$A$2:$B$142,2,FALSE),"")</f>
        <v/>
      </c>
    </row>
    <row r="8053" spans="1:8" x14ac:dyDescent="0.2">
      <c r="A8053" t="str">
        <f t="shared" si="125"/>
        <v/>
      </c>
      <c r="B8053" s="1">
        <v>2022</v>
      </c>
      <c r="C8053" s="1" t="s">
        <v>2505</v>
      </c>
      <c r="D8053" s="1" t="s">
        <v>2506</v>
      </c>
      <c r="E8053" s="1" t="s">
        <v>2019</v>
      </c>
      <c r="F8053" s="1" t="s">
        <v>802</v>
      </c>
      <c r="G8053" s="6">
        <v>2086839</v>
      </c>
      <c r="H8053" t="str">
        <f>IFERROR(VLOOKUP(F8053,'LEAID Match'!$A$2:$B$142,2,FALSE),"")</f>
        <v/>
      </c>
    </row>
    <row r="8054" spans="1:8" x14ac:dyDescent="0.2">
      <c r="A8054" t="str">
        <f t="shared" si="125"/>
        <v/>
      </c>
      <c r="B8054" s="1">
        <v>2023</v>
      </c>
      <c r="C8054" s="1" t="s">
        <v>2505</v>
      </c>
      <c r="D8054" s="1" t="s">
        <v>2506</v>
      </c>
      <c r="E8054" s="1" t="s">
        <v>2019</v>
      </c>
      <c r="F8054" s="1" t="s">
        <v>802</v>
      </c>
      <c r="G8054" s="6">
        <v>2291716</v>
      </c>
      <c r="H8054" t="str">
        <f>IFERROR(VLOOKUP(F8054,'LEAID Match'!$A$2:$B$142,2,FALSE),"")</f>
        <v/>
      </c>
    </row>
    <row r="8055" spans="1:8" x14ac:dyDescent="0.2">
      <c r="A8055" t="str">
        <f t="shared" si="125"/>
        <v/>
      </c>
      <c r="B8055" s="1">
        <v>2024</v>
      </c>
      <c r="C8055" s="1" t="s">
        <v>2505</v>
      </c>
      <c r="D8055" s="1" t="s">
        <v>2506</v>
      </c>
      <c r="E8055" s="1" t="s">
        <v>2019</v>
      </c>
      <c r="F8055" s="1" t="s">
        <v>802</v>
      </c>
      <c r="G8055" s="6">
        <v>2283181</v>
      </c>
      <c r="H8055" t="str">
        <f>IFERROR(VLOOKUP(F8055,'LEAID Match'!$A$2:$B$142,2,FALSE),"")</f>
        <v/>
      </c>
    </row>
    <row r="8056" spans="1:8" x14ac:dyDescent="0.2">
      <c r="A8056" t="str">
        <f t="shared" si="125"/>
        <v/>
      </c>
      <c r="B8056" s="1">
        <v>2015</v>
      </c>
      <c r="C8056" s="1" t="s">
        <v>2505</v>
      </c>
      <c r="D8056" s="1" t="s">
        <v>2506</v>
      </c>
      <c r="E8056" s="1" t="s">
        <v>2019</v>
      </c>
      <c r="F8056" s="1" t="s">
        <v>803</v>
      </c>
      <c r="G8056" s="6">
        <v>69642</v>
      </c>
      <c r="H8056" t="str">
        <f>IFERROR(VLOOKUP(F8056,'LEAID Match'!$A$2:$B$142,2,FALSE),"")</f>
        <v/>
      </c>
    </row>
    <row r="8057" spans="1:8" x14ac:dyDescent="0.2">
      <c r="A8057" t="str">
        <f t="shared" si="125"/>
        <v/>
      </c>
      <c r="B8057">
        <v>2016</v>
      </c>
      <c r="C8057" s="1" t="s">
        <v>2505</v>
      </c>
      <c r="D8057" s="1" t="s">
        <v>2506</v>
      </c>
      <c r="E8057" s="1" t="s">
        <v>2019</v>
      </c>
      <c r="F8057" s="1" t="s">
        <v>803</v>
      </c>
      <c r="G8057" s="12">
        <v>66821</v>
      </c>
      <c r="H8057" t="str">
        <f>IFERROR(VLOOKUP(F8057,'LEAID Match'!$A$2:$B$142,2,FALSE),"")</f>
        <v/>
      </c>
    </row>
    <row r="8058" spans="1:8" x14ac:dyDescent="0.2">
      <c r="A8058" t="str">
        <f t="shared" si="125"/>
        <v/>
      </c>
      <c r="B8058" s="1">
        <v>2017</v>
      </c>
      <c r="C8058" s="1" t="s">
        <v>2505</v>
      </c>
      <c r="D8058" s="1" t="s">
        <v>2506</v>
      </c>
      <c r="E8058" s="1" t="s">
        <v>2019</v>
      </c>
      <c r="F8058" s="1" t="s">
        <v>803</v>
      </c>
      <c r="G8058" s="47">
        <v>66569</v>
      </c>
      <c r="H8058" t="str">
        <f>IFERROR(VLOOKUP(F8058,'LEAID Match'!$A$2:$B$142,2,FALSE),"")</f>
        <v/>
      </c>
    </row>
    <row r="8059" spans="1:8" x14ac:dyDescent="0.2">
      <c r="A8059" t="str">
        <f t="shared" si="125"/>
        <v/>
      </c>
      <c r="B8059" s="1">
        <v>2018</v>
      </c>
      <c r="C8059" s="1" t="s">
        <v>2505</v>
      </c>
      <c r="D8059" s="1" t="s">
        <v>2506</v>
      </c>
      <c r="E8059" s="1" t="s">
        <v>2019</v>
      </c>
      <c r="F8059" s="1" t="s">
        <v>803</v>
      </c>
      <c r="G8059" s="6">
        <v>63629</v>
      </c>
      <c r="H8059" t="str">
        <f>IFERROR(VLOOKUP(F8059,'LEAID Match'!$A$2:$B$142,2,FALSE),"")</f>
        <v/>
      </c>
    </row>
    <row r="8060" spans="1:8" x14ac:dyDescent="0.2">
      <c r="A8060" t="str">
        <f t="shared" si="125"/>
        <v/>
      </c>
      <c r="B8060" s="1">
        <v>2019</v>
      </c>
      <c r="C8060" s="1" t="s">
        <v>2505</v>
      </c>
      <c r="D8060" s="1" t="s">
        <v>2506</v>
      </c>
      <c r="E8060" s="1" t="s">
        <v>2019</v>
      </c>
      <c r="F8060" s="1" t="s">
        <v>803</v>
      </c>
      <c r="G8060" s="6">
        <v>64404</v>
      </c>
      <c r="H8060" t="str">
        <f>IFERROR(VLOOKUP(F8060,'LEAID Match'!$A$2:$B$142,2,FALSE),"")</f>
        <v/>
      </c>
    </row>
    <row r="8061" spans="1:8" x14ac:dyDescent="0.2">
      <c r="A8061" t="str">
        <f t="shared" si="125"/>
        <v/>
      </c>
      <c r="B8061" s="1">
        <v>2020</v>
      </c>
      <c r="C8061" s="1" t="s">
        <v>2505</v>
      </c>
      <c r="D8061" s="1" t="s">
        <v>2506</v>
      </c>
      <c r="E8061" s="1" t="s">
        <v>2019</v>
      </c>
      <c r="F8061" s="1" t="s">
        <v>803</v>
      </c>
      <c r="G8061" s="6">
        <v>61806</v>
      </c>
      <c r="H8061" t="str">
        <f>IFERROR(VLOOKUP(F8061,'LEAID Match'!$A$2:$B$142,2,FALSE),"")</f>
        <v/>
      </c>
    </row>
    <row r="8062" spans="1:8" x14ac:dyDescent="0.2">
      <c r="A8062" t="str">
        <f t="shared" si="125"/>
        <v/>
      </c>
      <c r="B8062" s="1">
        <v>2021</v>
      </c>
      <c r="C8062" s="1" t="s">
        <v>2505</v>
      </c>
      <c r="D8062" s="1" t="s">
        <v>2506</v>
      </c>
      <c r="E8062" s="1" t="s">
        <v>2019</v>
      </c>
      <c r="F8062" s="1" t="s">
        <v>803</v>
      </c>
      <c r="G8062" s="6">
        <v>68202</v>
      </c>
      <c r="H8062" t="str">
        <f>IFERROR(VLOOKUP(F8062,'LEAID Match'!$A$2:$B$142,2,FALSE),"")</f>
        <v/>
      </c>
    </row>
    <row r="8063" spans="1:8" x14ac:dyDescent="0.2">
      <c r="A8063" t="str">
        <f t="shared" si="125"/>
        <v/>
      </c>
      <c r="B8063" s="1">
        <v>2022</v>
      </c>
      <c r="C8063" s="1" t="s">
        <v>2505</v>
      </c>
      <c r="D8063" s="1" t="s">
        <v>2506</v>
      </c>
      <c r="E8063" s="1" t="s">
        <v>2019</v>
      </c>
      <c r="F8063" s="1" t="s">
        <v>803</v>
      </c>
      <c r="G8063" s="6">
        <v>69999</v>
      </c>
      <c r="H8063" t="str">
        <f>IFERROR(VLOOKUP(F8063,'LEAID Match'!$A$2:$B$142,2,FALSE),"")</f>
        <v/>
      </c>
    </row>
    <row r="8064" spans="1:8" x14ac:dyDescent="0.2">
      <c r="A8064" t="str">
        <f t="shared" si="125"/>
        <v/>
      </c>
      <c r="B8064" s="1">
        <v>2023</v>
      </c>
      <c r="C8064" s="1" t="s">
        <v>2505</v>
      </c>
      <c r="D8064" s="1" t="s">
        <v>2506</v>
      </c>
      <c r="E8064" s="1" t="s">
        <v>2019</v>
      </c>
      <c r="F8064" s="1" t="s">
        <v>803</v>
      </c>
      <c r="G8064" s="6">
        <v>73077</v>
      </c>
      <c r="H8064" t="str">
        <f>IFERROR(VLOOKUP(F8064,'LEAID Match'!$A$2:$B$142,2,FALSE),"")</f>
        <v/>
      </c>
    </row>
    <row r="8065" spans="1:8" x14ac:dyDescent="0.2">
      <c r="A8065" t="str">
        <f t="shared" si="125"/>
        <v/>
      </c>
      <c r="B8065" s="1">
        <v>2024</v>
      </c>
      <c r="C8065" s="1" t="s">
        <v>2505</v>
      </c>
      <c r="D8065" s="1" t="s">
        <v>2506</v>
      </c>
      <c r="E8065" s="1" t="s">
        <v>2019</v>
      </c>
      <c r="F8065" s="1" t="s">
        <v>803</v>
      </c>
      <c r="G8065" s="6">
        <v>72196</v>
      </c>
      <c r="H8065" t="str">
        <f>IFERROR(VLOOKUP(F8065,'LEAID Match'!$A$2:$B$142,2,FALSE),"")</f>
        <v/>
      </c>
    </row>
    <row r="8066" spans="1:8" x14ac:dyDescent="0.2">
      <c r="A8066" t="str">
        <f t="shared" si="125"/>
        <v/>
      </c>
      <c r="B8066" s="1">
        <v>2015</v>
      </c>
      <c r="C8066" s="1" t="s">
        <v>2505</v>
      </c>
      <c r="D8066" s="1" t="s">
        <v>2506</v>
      </c>
      <c r="E8066" s="1" t="s">
        <v>2019</v>
      </c>
      <c r="F8066" s="1" t="s">
        <v>804</v>
      </c>
      <c r="G8066" s="6">
        <v>242962</v>
      </c>
      <c r="H8066" t="str">
        <f>IFERROR(VLOOKUP(F8066,'LEAID Match'!$A$2:$B$142,2,FALSE),"")</f>
        <v/>
      </c>
    </row>
    <row r="8067" spans="1:8" x14ac:dyDescent="0.2">
      <c r="A8067" t="str">
        <f t="shared" ref="A8067:A8130" si="126">H8067</f>
        <v/>
      </c>
      <c r="B8067">
        <v>2016</v>
      </c>
      <c r="C8067" s="1" t="s">
        <v>2505</v>
      </c>
      <c r="D8067" s="1" t="s">
        <v>2506</v>
      </c>
      <c r="E8067" s="1" t="s">
        <v>2019</v>
      </c>
      <c r="F8067" s="1" t="s">
        <v>804</v>
      </c>
      <c r="G8067" s="12">
        <v>242035</v>
      </c>
      <c r="H8067" t="str">
        <f>IFERROR(VLOOKUP(F8067,'LEAID Match'!$A$2:$B$142,2,FALSE),"")</f>
        <v/>
      </c>
    </row>
    <row r="8068" spans="1:8" x14ac:dyDescent="0.2">
      <c r="A8068" t="str">
        <f t="shared" si="126"/>
        <v/>
      </c>
      <c r="B8068" s="1">
        <v>2017</v>
      </c>
      <c r="C8068" s="1" t="s">
        <v>2505</v>
      </c>
      <c r="D8068" s="1" t="s">
        <v>2506</v>
      </c>
      <c r="E8068" s="1" t="s">
        <v>2019</v>
      </c>
      <c r="F8068" s="1" t="s">
        <v>804</v>
      </c>
      <c r="G8068" s="47">
        <v>241756</v>
      </c>
      <c r="H8068" t="str">
        <f>IFERROR(VLOOKUP(F8068,'LEAID Match'!$A$2:$B$142,2,FALSE),"")</f>
        <v/>
      </c>
    </row>
    <row r="8069" spans="1:8" x14ac:dyDescent="0.2">
      <c r="A8069" t="str">
        <f t="shared" si="126"/>
        <v/>
      </c>
      <c r="B8069" s="1">
        <v>2018</v>
      </c>
      <c r="C8069" s="1" t="s">
        <v>2505</v>
      </c>
      <c r="D8069" s="1" t="s">
        <v>2506</v>
      </c>
      <c r="E8069" s="1" t="s">
        <v>2019</v>
      </c>
      <c r="F8069" s="1" t="s">
        <v>804</v>
      </c>
      <c r="G8069" s="6">
        <v>258943</v>
      </c>
      <c r="H8069" t="str">
        <f>IFERROR(VLOOKUP(F8069,'LEAID Match'!$A$2:$B$142,2,FALSE),"")</f>
        <v/>
      </c>
    </row>
    <row r="8070" spans="1:8" x14ac:dyDescent="0.2">
      <c r="A8070" t="str">
        <f t="shared" si="126"/>
        <v/>
      </c>
      <c r="B8070" s="1">
        <v>2019</v>
      </c>
      <c r="C8070" s="1" t="s">
        <v>2505</v>
      </c>
      <c r="D8070" s="1" t="s">
        <v>2506</v>
      </c>
      <c r="E8070" s="1" t="s">
        <v>2019</v>
      </c>
      <c r="F8070" s="1" t="s">
        <v>804</v>
      </c>
      <c r="G8070" s="6">
        <v>261840</v>
      </c>
      <c r="H8070" t="str">
        <f>IFERROR(VLOOKUP(F8070,'LEAID Match'!$A$2:$B$142,2,FALSE),"")</f>
        <v/>
      </c>
    </row>
    <row r="8071" spans="1:8" x14ac:dyDescent="0.2">
      <c r="A8071" t="str">
        <f t="shared" si="126"/>
        <v/>
      </c>
      <c r="B8071" s="1">
        <v>2020</v>
      </c>
      <c r="C8071" s="1" t="s">
        <v>2505</v>
      </c>
      <c r="D8071" s="1" t="s">
        <v>2506</v>
      </c>
      <c r="E8071" s="1" t="s">
        <v>2019</v>
      </c>
      <c r="F8071" s="1" t="s">
        <v>804</v>
      </c>
      <c r="G8071" s="6">
        <v>306906</v>
      </c>
      <c r="H8071" t="str">
        <f>IFERROR(VLOOKUP(F8071,'LEAID Match'!$A$2:$B$142,2,FALSE),"")</f>
        <v/>
      </c>
    </row>
    <row r="8072" spans="1:8" x14ac:dyDescent="0.2">
      <c r="A8072" t="str">
        <f t="shared" si="126"/>
        <v/>
      </c>
      <c r="B8072" s="1">
        <v>2021</v>
      </c>
      <c r="C8072" s="1" t="s">
        <v>2505</v>
      </c>
      <c r="D8072" s="1" t="s">
        <v>2506</v>
      </c>
      <c r="E8072" s="1" t="s">
        <v>2019</v>
      </c>
      <c r="F8072" s="1" t="s">
        <v>804</v>
      </c>
      <c r="G8072" s="6">
        <v>345318</v>
      </c>
      <c r="H8072" t="str">
        <f>IFERROR(VLOOKUP(F8072,'LEAID Match'!$A$2:$B$142,2,FALSE),"")</f>
        <v/>
      </c>
    </row>
    <row r="8073" spans="1:8" x14ac:dyDescent="0.2">
      <c r="A8073" t="str">
        <f t="shared" si="126"/>
        <v/>
      </c>
      <c r="B8073" s="1">
        <v>2022</v>
      </c>
      <c r="C8073" s="1" t="s">
        <v>2505</v>
      </c>
      <c r="D8073" s="1" t="s">
        <v>2506</v>
      </c>
      <c r="E8073" s="1" t="s">
        <v>2019</v>
      </c>
      <c r="F8073" s="1" t="s">
        <v>804</v>
      </c>
      <c r="G8073" s="6">
        <v>363180</v>
      </c>
      <c r="H8073" t="str">
        <f>IFERROR(VLOOKUP(F8073,'LEAID Match'!$A$2:$B$142,2,FALSE),"")</f>
        <v/>
      </c>
    </row>
    <row r="8074" spans="1:8" x14ac:dyDescent="0.2">
      <c r="A8074" t="str">
        <f t="shared" si="126"/>
        <v/>
      </c>
      <c r="B8074" s="1">
        <v>2023</v>
      </c>
      <c r="C8074" s="1" t="s">
        <v>2505</v>
      </c>
      <c r="D8074" s="1" t="s">
        <v>2506</v>
      </c>
      <c r="E8074" s="1" t="s">
        <v>2019</v>
      </c>
      <c r="F8074" s="1" t="s">
        <v>804</v>
      </c>
      <c r="G8074" s="6">
        <v>400958</v>
      </c>
      <c r="H8074" t="str">
        <f>IFERROR(VLOOKUP(F8074,'LEAID Match'!$A$2:$B$142,2,FALSE),"")</f>
        <v/>
      </c>
    </row>
    <row r="8075" spans="1:8" x14ac:dyDescent="0.2">
      <c r="A8075" t="str">
        <f t="shared" si="126"/>
        <v/>
      </c>
      <c r="B8075" s="1">
        <v>2024</v>
      </c>
      <c r="C8075" s="1" t="s">
        <v>2505</v>
      </c>
      <c r="D8075" s="1" t="s">
        <v>2506</v>
      </c>
      <c r="E8075" s="1" t="s">
        <v>2019</v>
      </c>
      <c r="F8075" s="1" t="s">
        <v>804</v>
      </c>
      <c r="G8075" s="6">
        <v>400997</v>
      </c>
      <c r="H8075" t="str">
        <f>IFERROR(VLOOKUP(F8075,'LEAID Match'!$A$2:$B$142,2,FALSE),"")</f>
        <v/>
      </c>
    </row>
    <row r="8076" spans="1:8" x14ac:dyDescent="0.2">
      <c r="A8076" t="str">
        <f t="shared" si="126"/>
        <v/>
      </c>
      <c r="B8076" s="1">
        <v>2015</v>
      </c>
      <c r="C8076" s="1" t="s">
        <v>2505</v>
      </c>
      <c r="D8076" s="1" t="s">
        <v>2506</v>
      </c>
      <c r="E8076" s="1" t="s">
        <v>2019</v>
      </c>
      <c r="F8076" s="1" t="s">
        <v>805</v>
      </c>
      <c r="G8076" s="6">
        <v>41939</v>
      </c>
      <c r="H8076" t="str">
        <f>IFERROR(VLOOKUP(F8076,'LEAID Match'!$A$2:$B$142,2,FALSE),"")</f>
        <v/>
      </c>
    </row>
    <row r="8077" spans="1:8" x14ac:dyDescent="0.2">
      <c r="A8077" t="str">
        <f t="shared" si="126"/>
        <v/>
      </c>
      <c r="B8077">
        <v>2016</v>
      </c>
      <c r="C8077" s="1" t="s">
        <v>2505</v>
      </c>
      <c r="D8077" s="1" t="s">
        <v>2506</v>
      </c>
      <c r="E8077" s="1" t="s">
        <v>2019</v>
      </c>
      <c r="F8077" s="1" t="s">
        <v>805</v>
      </c>
      <c r="G8077" s="12">
        <v>37049</v>
      </c>
      <c r="H8077" t="str">
        <f>IFERROR(VLOOKUP(F8077,'LEAID Match'!$A$2:$B$142,2,FALSE),"")</f>
        <v/>
      </c>
    </row>
    <row r="8078" spans="1:8" x14ac:dyDescent="0.2">
      <c r="A8078" t="str">
        <f t="shared" si="126"/>
        <v/>
      </c>
      <c r="B8078" s="1">
        <v>2017</v>
      </c>
      <c r="C8078" s="1" t="s">
        <v>2505</v>
      </c>
      <c r="D8078" s="1" t="s">
        <v>2506</v>
      </c>
      <c r="E8078" s="1" t="s">
        <v>2019</v>
      </c>
      <c r="F8078" s="1" t="s">
        <v>805</v>
      </c>
      <c r="G8078" s="47">
        <v>34818</v>
      </c>
      <c r="H8078" t="str">
        <f>IFERROR(VLOOKUP(F8078,'LEAID Match'!$A$2:$B$142,2,FALSE),"")</f>
        <v/>
      </c>
    </row>
    <row r="8079" spans="1:8" x14ac:dyDescent="0.2">
      <c r="A8079" t="str">
        <f t="shared" si="126"/>
        <v/>
      </c>
      <c r="B8079" s="1">
        <v>2018</v>
      </c>
      <c r="C8079" s="1" t="s">
        <v>2505</v>
      </c>
      <c r="D8079" s="1" t="s">
        <v>2506</v>
      </c>
      <c r="E8079" s="1" t="s">
        <v>2019</v>
      </c>
      <c r="F8079" s="1" t="s">
        <v>805</v>
      </c>
      <c r="G8079" s="6">
        <v>46448</v>
      </c>
      <c r="H8079" t="str">
        <f>IFERROR(VLOOKUP(F8079,'LEAID Match'!$A$2:$B$142,2,FALSE),"")</f>
        <v/>
      </c>
    </row>
    <row r="8080" spans="1:8" x14ac:dyDescent="0.2">
      <c r="A8080" t="str">
        <f t="shared" si="126"/>
        <v/>
      </c>
      <c r="B8080" s="1">
        <v>2019</v>
      </c>
      <c r="C8080" s="1" t="s">
        <v>2505</v>
      </c>
      <c r="D8080" s="1" t="s">
        <v>2506</v>
      </c>
      <c r="E8080" s="1" t="s">
        <v>2019</v>
      </c>
      <c r="F8080" s="1" t="s">
        <v>805</v>
      </c>
      <c r="G8080" s="6">
        <v>45792</v>
      </c>
      <c r="H8080" t="str">
        <f>IFERROR(VLOOKUP(F8080,'LEAID Match'!$A$2:$B$142,2,FALSE),"")</f>
        <v/>
      </c>
    </row>
    <row r="8081" spans="1:8" x14ac:dyDescent="0.2">
      <c r="A8081" t="str">
        <f t="shared" si="126"/>
        <v/>
      </c>
      <c r="B8081" s="1">
        <v>2020</v>
      </c>
      <c r="C8081" s="1" t="s">
        <v>2505</v>
      </c>
      <c r="D8081" s="1" t="s">
        <v>2506</v>
      </c>
      <c r="E8081" s="1" t="s">
        <v>2019</v>
      </c>
      <c r="F8081" s="1" t="s">
        <v>805</v>
      </c>
      <c r="G8081" s="6">
        <v>43728</v>
      </c>
      <c r="H8081" t="str">
        <f>IFERROR(VLOOKUP(F8081,'LEAID Match'!$A$2:$B$142,2,FALSE),"")</f>
        <v/>
      </c>
    </row>
    <row r="8082" spans="1:8" x14ac:dyDescent="0.2">
      <c r="A8082" t="str">
        <f t="shared" si="126"/>
        <v/>
      </c>
      <c r="B8082" s="1">
        <v>2021</v>
      </c>
      <c r="C8082" s="1" t="s">
        <v>2505</v>
      </c>
      <c r="D8082" s="1" t="s">
        <v>2506</v>
      </c>
      <c r="E8082" s="1" t="s">
        <v>2019</v>
      </c>
      <c r="F8082" s="1" t="s">
        <v>805</v>
      </c>
      <c r="G8082" s="6">
        <v>42255</v>
      </c>
      <c r="H8082" t="str">
        <f>IFERROR(VLOOKUP(F8082,'LEAID Match'!$A$2:$B$142,2,FALSE),"")</f>
        <v/>
      </c>
    </row>
    <row r="8083" spans="1:8" x14ac:dyDescent="0.2">
      <c r="A8083" t="str">
        <f t="shared" si="126"/>
        <v/>
      </c>
      <c r="B8083" s="1">
        <v>2022</v>
      </c>
      <c r="C8083" s="1" t="s">
        <v>2505</v>
      </c>
      <c r="D8083" s="1" t="s">
        <v>2506</v>
      </c>
      <c r="E8083" s="1" t="s">
        <v>2019</v>
      </c>
      <c r="F8083" s="1" t="s">
        <v>805</v>
      </c>
      <c r="G8083" s="6">
        <v>49224</v>
      </c>
      <c r="H8083" t="str">
        <f>IFERROR(VLOOKUP(F8083,'LEAID Match'!$A$2:$B$142,2,FALSE),"")</f>
        <v/>
      </c>
    </row>
    <row r="8084" spans="1:8" x14ac:dyDescent="0.2">
      <c r="A8084" t="str">
        <f t="shared" si="126"/>
        <v/>
      </c>
      <c r="B8084" s="1">
        <v>2023</v>
      </c>
      <c r="C8084" s="1" t="s">
        <v>2505</v>
      </c>
      <c r="D8084" s="1" t="s">
        <v>2506</v>
      </c>
      <c r="E8084" s="1" t="s">
        <v>2019</v>
      </c>
      <c r="F8084" s="1" t="s">
        <v>805</v>
      </c>
      <c r="G8084" s="6">
        <v>50422</v>
      </c>
      <c r="H8084" t="str">
        <f>IFERROR(VLOOKUP(F8084,'LEAID Match'!$A$2:$B$142,2,FALSE),"")</f>
        <v/>
      </c>
    </row>
    <row r="8085" spans="1:8" x14ac:dyDescent="0.2">
      <c r="A8085" t="str">
        <f t="shared" si="126"/>
        <v/>
      </c>
      <c r="B8085" s="1">
        <v>2024</v>
      </c>
      <c r="C8085" s="1" t="s">
        <v>2505</v>
      </c>
      <c r="D8085" s="1" t="s">
        <v>2506</v>
      </c>
      <c r="E8085" s="1" t="s">
        <v>2019</v>
      </c>
      <c r="F8085" s="1" t="s">
        <v>805</v>
      </c>
      <c r="G8085" s="6">
        <v>51125</v>
      </c>
      <c r="H8085" t="str">
        <f>IFERROR(VLOOKUP(F8085,'LEAID Match'!$A$2:$B$142,2,FALSE),"")</f>
        <v/>
      </c>
    </row>
    <row r="8086" spans="1:8" x14ac:dyDescent="0.2">
      <c r="A8086">
        <f t="shared" si="126"/>
        <v>2804500</v>
      </c>
      <c r="B8086" s="1">
        <v>2015</v>
      </c>
      <c r="C8086" s="1" t="s">
        <v>2505</v>
      </c>
      <c r="D8086" s="1" t="s">
        <v>2506</v>
      </c>
      <c r="E8086" s="1" t="s">
        <v>2019</v>
      </c>
      <c r="F8086" s="1" t="s">
        <v>806</v>
      </c>
      <c r="G8086" s="6">
        <v>910522</v>
      </c>
      <c r="H8086">
        <f>IFERROR(VLOOKUP(F8086,'LEAID Match'!$A$2:$B$142,2,FALSE),"")</f>
        <v>2804500</v>
      </c>
    </row>
    <row r="8087" spans="1:8" x14ac:dyDescent="0.2">
      <c r="A8087">
        <f t="shared" si="126"/>
        <v>2804500</v>
      </c>
      <c r="B8087">
        <v>2016</v>
      </c>
      <c r="C8087" s="1" t="s">
        <v>2505</v>
      </c>
      <c r="D8087" s="1" t="s">
        <v>2506</v>
      </c>
      <c r="E8087" s="1" t="s">
        <v>2019</v>
      </c>
      <c r="F8087" s="1" t="s">
        <v>806</v>
      </c>
      <c r="G8087" s="12">
        <v>922636</v>
      </c>
      <c r="H8087">
        <f>IFERROR(VLOOKUP(F8087,'LEAID Match'!$A$2:$B$142,2,FALSE),"")</f>
        <v>2804500</v>
      </c>
    </row>
    <row r="8088" spans="1:8" x14ac:dyDescent="0.2">
      <c r="A8088">
        <f t="shared" si="126"/>
        <v>2804500</v>
      </c>
      <c r="B8088" s="1">
        <v>2017</v>
      </c>
      <c r="C8088" s="1" t="s">
        <v>2505</v>
      </c>
      <c r="D8088" s="1" t="s">
        <v>2506</v>
      </c>
      <c r="E8088" s="1" t="s">
        <v>2019</v>
      </c>
      <c r="F8088" s="1" t="s">
        <v>806</v>
      </c>
      <c r="G8088" s="47">
        <v>922626</v>
      </c>
      <c r="H8088">
        <f>IFERROR(VLOOKUP(F8088,'LEAID Match'!$A$2:$B$142,2,FALSE),"")</f>
        <v>2804500</v>
      </c>
    </row>
    <row r="8089" spans="1:8" x14ac:dyDescent="0.2">
      <c r="A8089">
        <f t="shared" si="126"/>
        <v>2804500</v>
      </c>
      <c r="B8089" s="1">
        <v>2018</v>
      </c>
      <c r="C8089" s="1" t="s">
        <v>2505</v>
      </c>
      <c r="D8089" s="1" t="s">
        <v>2506</v>
      </c>
      <c r="E8089" s="1" t="s">
        <v>2019</v>
      </c>
      <c r="F8089" s="1" t="s">
        <v>806</v>
      </c>
      <c r="G8089" s="6">
        <v>877346</v>
      </c>
      <c r="H8089">
        <f>IFERROR(VLOOKUP(F8089,'LEAID Match'!$A$2:$B$142,2,FALSE),"")</f>
        <v>2804500</v>
      </c>
    </row>
    <row r="8090" spans="1:8" x14ac:dyDescent="0.2">
      <c r="A8090">
        <f t="shared" si="126"/>
        <v>2804500</v>
      </c>
      <c r="B8090" s="1">
        <v>2019</v>
      </c>
      <c r="C8090" s="1" t="s">
        <v>2505</v>
      </c>
      <c r="D8090" s="1" t="s">
        <v>2506</v>
      </c>
      <c r="E8090" s="1" t="s">
        <v>2019</v>
      </c>
      <c r="F8090" s="1" t="s">
        <v>806</v>
      </c>
      <c r="G8090" s="6">
        <v>883768</v>
      </c>
      <c r="H8090">
        <f>IFERROR(VLOOKUP(F8090,'LEAID Match'!$A$2:$B$142,2,FALSE),"")</f>
        <v>2804500</v>
      </c>
    </row>
    <row r="8091" spans="1:8" x14ac:dyDescent="0.2">
      <c r="A8091">
        <f t="shared" si="126"/>
        <v>2804500</v>
      </c>
      <c r="B8091" s="1">
        <v>2020</v>
      </c>
      <c r="C8091" s="1" t="s">
        <v>2505</v>
      </c>
      <c r="D8091" s="1" t="s">
        <v>2506</v>
      </c>
      <c r="E8091" s="1" t="s">
        <v>2019</v>
      </c>
      <c r="F8091" s="1" t="s">
        <v>806</v>
      </c>
      <c r="G8091" s="6">
        <v>1018280</v>
      </c>
      <c r="H8091">
        <f>IFERROR(VLOOKUP(F8091,'LEAID Match'!$A$2:$B$142,2,FALSE),"")</f>
        <v>2804500</v>
      </c>
    </row>
    <row r="8092" spans="1:8" x14ac:dyDescent="0.2">
      <c r="A8092">
        <f t="shared" si="126"/>
        <v>2804500</v>
      </c>
      <c r="B8092" s="1">
        <v>2021</v>
      </c>
      <c r="C8092" s="1" t="s">
        <v>2505</v>
      </c>
      <c r="D8092" s="1" t="s">
        <v>2506</v>
      </c>
      <c r="E8092" s="1" t="s">
        <v>2019</v>
      </c>
      <c r="F8092" s="1" t="s">
        <v>806</v>
      </c>
      <c r="G8092" s="6">
        <v>1011855</v>
      </c>
      <c r="H8092">
        <f>IFERROR(VLOOKUP(F8092,'LEAID Match'!$A$2:$B$142,2,FALSE),"")</f>
        <v>2804500</v>
      </c>
    </row>
    <row r="8093" spans="1:8" x14ac:dyDescent="0.2">
      <c r="A8093">
        <f t="shared" si="126"/>
        <v>2804500</v>
      </c>
      <c r="B8093" s="1">
        <v>2022</v>
      </c>
      <c r="C8093" s="1" t="s">
        <v>2505</v>
      </c>
      <c r="D8093" s="1" t="s">
        <v>2506</v>
      </c>
      <c r="E8093" s="1" t="s">
        <v>2019</v>
      </c>
      <c r="F8093" s="1" t="s">
        <v>806</v>
      </c>
      <c r="G8093" s="6">
        <v>1037976</v>
      </c>
      <c r="H8093">
        <f>IFERROR(VLOOKUP(F8093,'LEAID Match'!$A$2:$B$142,2,FALSE),"")</f>
        <v>2804500</v>
      </c>
    </row>
    <row r="8094" spans="1:8" x14ac:dyDescent="0.2">
      <c r="A8094">
        <f t="shared" si="126"/>
        <v>2804500</v>
      </c>
      <c r="B8094" s="1">
        <v>2023</v>
      </c>
      <c r="C8094" s="1" t="s">
        <v>2505</v>
      </c>
      <c r="D8094" s="1" t="s">
        <v>2506</v>
      </c>
      <c r="E8094" s="1" t="s">
        <v>2019</v>
      </c>
      <c r="F8094" s="1" t="s">
        <v>806</v>
      </c>
      <c r="G8094" s="6">
        <v>1158183</v>
      </c>
      <c r="H8094">
        <f>IFERROR(VLOOKUP(F8094,'LEAID Match'!$A$2:$B$142,2,FALSE),"")</f>
        <v>2804500</v>
      </c>
    </row>
    <row r="8095" spans="1:8" x14ac:dyDescent="0.2">
      <c r="A8095">
        <f t="shared" si="126"/>
        <v>2804500</v>
      </c>
      <c r="B8095" s="1">
        <v>2024</v>
      </c>
      <c r="C8095" s="1" t="s">
        <v>2505</v>
      </c>
      <c r="D8095" s="1" t="s">
        <v>2506</v>
      </c>
      <c r="E8095" s="1" t="s">
        <v>2019</v>
      </c>
      <c r="F8095" s="1" t="s">
        <v>806</v>
      </c>
      <c r="G8095" s="6">
        <v>1135307</v>
      </c>
      <c r="H8095">
        <f>IFERROR(VLOOKUP(F8095,'LEAID Match'!$A$2:$B$142,2,FALSE),"")</f>
        <v>2804500</v>
      </c>
    </row>
    <row r="8096" spans="1:8" x14ac:dyDescent="0.2">
      <c r="A8096" t="str">
        <f t="shared" si="126"/>
        <v/>
      </c>
      <c r="B8096" s="1">
        <v>2015</v>
      </c>
      <c r="C8096" s="1" t="s">
        <v>2505</v>
      </c>
      <c r="D8096" s="1" t="s">
        <v>2506</v>
      </c>
      <c r="E8096" s="1" t="s">
        <v>2019</v>
      </c>
      <c r="F8096" s="1" t="s">
        <v>807</v>
      </c>
      <c r="G8096" s="6">
        <v>367968</v>
      </c>
      <c r="H8096" t="str">
        <f>IFERROR(VLOOKUP(F8096,'LEAID Match'!$A$2:$B$142,2,FALSE),"")</f>
        <v/>
      </c>
    </row>
    <row r="8097" spans="1:8" x14ac:dyDescent="0.2">
      <c r="A8097" t="str">
        <f t="shared" si="126"/>
        <v/>
      </c>
      <c r="B8097">
        <v>2016</v>
      </c>
      <c r="C8097" s="1" t="s">
        <v>2505</v>
      </c>
      <c r="D8097" s="1" t="s">
        <v>2506</v>
      </c>
      <c r="E8097" s="1" t="s">
        <v>2019</v>
      </c>
      <c r="F8097" s="1" t="s">
        <v>807</v>
      </c>
      <c r="G8097" s="12">
        <v>404258</v>
      </c>
      <c r="H8097" t="str">
        <f>IFERROR(VLOOKUP(F8097,'LEAID Match'!$A$2:$B$142,2,FALSE),"")</f>
        <v/>
      </c>
    </row>
    <row r="8098" spans="1:8" x14ac:dyDescent="0.2">
      <c r="A8098" t="str">
        <f t="shared" si="126"/>
        <v/>
      </c>
      <c r="B8098" s="1">
        <v>2017</v>
      </c>
      <c r="C8098" s="1" t="s">
        <v>2505</v>
      </c>
      <c r="D8098" s="1" t="s">
        <v>2506</v>
      </c>
      <c r="E8098" s="1" t="s">
        <v>2019</v>
      </c>
      <c r="F8098" s="1" t="s">
        <v>807</v>
      </c>
      <c r="G8098" s="47">
        <v>407661</v>
      </c>
      <c r="H8098" t="str">
        <f>IFERROR(VLOOKUP(F8098,'LEAID Match'!$A$2:$B$142,2,FALSE),"")</f>
        <v/>
      </c>
    </row>
    <row r="8099" spans="1:8" x14ac:dyDescent="0.2">
      <c r="A8099" t="str">
        <f t="shared" si="126"/>
        <v/>
      </c>
      <c r="B8099" s="1">
        <v>2018</v>
      </c>
      <c r="C8099" s="1" t="s">
        <v>2505</v>
      </c>
      <c r="D8099" s="1" t="s">
        <v>2506</v>
      </c>
      <c r="E8099" s="1" t="s">
        <v>2019</v>
      </c>
      <c r="F8099" s="1" t="s">
        <v>807</v>
      </c>
      <c r="G8099" s="6">
        <v>430404</v>
      </c>
      <c r="H8099" t="str">
        <f>IFERROR(VLOOKUP(F8099,'LEAID Match'!$A$2:$B$142,2,FALSE),"")</f>
        <v/>
      </c>
    </row>
    <row r="8100" spans="1:8" x14ac:dyDescent="0.2">
      <c r="A8100" t="str">
        <f t="shared" si="126"/>
        <v/>
      </c>
      <c r="B8100" s="1">
        <v>2019</v>
      </c>
      <c r="C8100" s="1" t="s">
        <v>2505</v>
      </c>
      <c r="D8100" s="1" t="s">
        <v>2506</v>
      </c>
      <c r="E8100" s="1" t="s">
        <v>2019</v>
      </c>
      <c r="F8100" s="1" t="s">
        <v>807</v>
      </c>
      <c r="G8100" s="6">
        <v>449302</v>
      </c>
      <c r="H8100" t="str">
        <f>IFERROR(VLOOKUP(F8100,'LEAID Match'!$A$2:$B$142,2,FALSE),"")</f>
        <v/>
      </c>
    </row>
    <row r="8101" spans="1:8" x14ac:dyDescent="0.2">
      <c r="A8101" t="str">
        <f t="shared" si="126"/>
        <v/>
      </c>
      <c r="B8101" s="1">
        <v>2020</v>
      </c>
      <c r="C8101" s="1" t="s">
        <v>2505</v>
      </c>
      <c r="D8101" s="1" t="s">
        <v>2506</v>
      </c>
      <c r="E8101" s="1" t="s">
        <v>2019</v>
      </c>
      <c r="F8101" s="1" t="s">
        <v>807</v>
      </c>
      <c r="G8101" s="6">
        <v>516961</v>
      </c>
      <c r="H8101" t="str">
        <f>IFERROR(VLOOKUP(F8101,'LEAID Match'!$A$2:$B$142,2,FALSE),"")</f>
        <v/>
      </c>
    </row>
    <row r="8102" spans="1:8" x14ac:dyDescent="0.2">
      <c r="A8102" t="str">
        <f t="shared" si="126"/>
        <v/>
      </c>
      <c r="B8102" s="1">
        <v>2021</v>
      </c>
      <c r="C8102" s="1" t="s">
        <v>2505</v>
      </c>
      <c r="D8102" s="1" t="s">
        <v>2506</v>
      </c>
      <c r="E8102" s="1" t="s">
        <v>2019</v>
      </c>
      <c r="F8102" s="1" t="s">
        <v>807</v>
      </c>
      <c r="G8102" s="6">
        <v>538938</v>
      </c>
      <c r="H8102" t="str">
        <f>IFERROR(VLOOKUP(F8102,'LEAID Match'!$A$2:$B$142,2,FALSE),"")</f>
        <v/>
      </c>
    </row>
    <row r="8103" spans="1:8" x14ac:dyDescent="0.2">
      <c r="A8103" t="str">
        <f t="shared" si="126"/>
        <v/>
      </c>
      <c r="B8103" s="1">
        <v>2022</v>
      </c>
      <c r="C8103" s="1" t="s">
        <v>2505</v>
      </c>
      <c r="D8103" s="1" t="s">
        <v>2506</v>
      </c>
      <c r="E8103" s="1" t="s">
        <v>2019</v>
      </c>
      <c r="F8103" s="1" t="s">
        <v>807</v>
      </c>
      <c r="G8103" s="6">
        <v>618262</v>
      </c>
      <c r="H8103" t="str">
        <f>IFERROR(VLOOKUP(F8103,'LEAID Match'!$A$2:$B$142,2,FALSE),"")</f>
        <v/>
      </c>
    </row>
    <row r="8104" spans="1:8" x14ac:dyDescent="0.2">
      <c r="A8104" t="str">
        <f t="shared" si="126"/>
        <v/>
      </c>
      <c r="B8104" s="1">
        <v>2023</v>
      </c>
      <c r="C8104" s="1" t="s">
        <v>2505</v>
      </c>
      <c r="D8104" s="1" t="s">
        <v>2506</v>
      </c>
      <c r="E8104" s="1" t="s">
        <v>2019</v>
      </c>
      <c r="F8104" s="1" t="s">
        <v>807</v>
      </c>
      <c r="G8104" s="6">
        <v>609245</v>
      </c>
      <c r="H8104" t="str">
        <f>IFERROR(VLOOKUP(F8104,'LEAID Match'!$A$2:$B$142,2,FALSE),"")</f>
        <v/>
      </c>
    </row>
    <row r="8105" spans="1:8" x14ac:dyDescent="0.2">
      <c r="A8105" t="str">
        <f t="shared" si="126"/>
        <v/>
      </c>
      <c r="B8105" s="1">
        <v>2024</v>
      </c>
      <c r="C8105" s="1" t="s">
        <v>2505</v>
      </c>
      <c r="D8105" s="1" t="s">
        <v>2506</v>
      </c>
      <c r="E8105" s="1" t="s">
        <v>2019</v>
      </c>
      <c r="F8105" s="1" t="s">
        <v>807</v>
      </c>
      <c r="G8105" s="6">
        <v>597989</v>
      </c>
      <c r="H8105" t="str">
        <f>IFERROR(VLOOKUP(F8105,'LEAID Match'!$A$2:$B$142,2,FALSE),"")</f>
        <v/>
      </c>
    </row>
    <row r="8106" spans="1:8" x14ac:dyDescent="0.2">
      <c r="A8106">
        <f t="shared" si="126"/>
        <v>2804530</v>
      </c>
      <c r="B8106" s="1">
        <v>2015</v>
      </c>
      <c r="C8106" s="1" t="s">
        <v>2505</v>
      </c>
      <c r="D8106" s="1" t="s">
        <v>2506</v>
      </c>
      <c r="E8106" s="1" t="s">
        <v>2019</v>
      </c>
      <c r="F8106" s="1" t="s">
        <v>808</v>
      </c>
      <c r="G8106" s="6">
        <v>2752925</v>
      </c>
      <c r="H8106">
        <f>IFERROR(VLOOKUP(F8106,'LEAID Match'!$A$2:$B$142,2,FALSE),"")</f>
        <v>2804530</v>
      </c>
    </row>
    <row r="8107" spans="1:8" x14ac:dyDescent="0.2">
      <c r="A8107">
        <f t="shared" si="126"/>
        <v>2804530</v>
      </c>
      <c r="B8107">
        <v>2016</v>
      </c>
      <c r="C8107" s="1" t="s">
        <v>2505</v>
      </c>
      <c r="D8107" s="1" t="s">
        <v>2506</v>
      </c>
      <c r="E8107" s="1" t="s">
        <v>2019</v>
      </c>
      <c r="F8107" s="1" t="s">
        <v>808</v>
      </c>
      <c r="G8107" s="12">
        <v>2840764</v>
      </c>
      <c r="H8107">
        <f>IFERROR(VLOOKUP(F8107,'LEAID Match'!$A$2:$B$142,2,FALSE),"")</f>
        <v>2804530</v>
      </c>
    </row>
    <row r="8108" spans="1:8" x14ac:dyDescent="0.2">
      <c r="A8108">
        <f t="shared" si="126"/>
        <v>2804530</v>
      </c>
      <c r="B8108" s="1">
        <v>2017</v>
      </c>
      <c r="C8108" s="1" t="s">
        <v>2505</v>
      </c>
      <c r="D8108" s="1" t="s">
        <v>2506</v>
      </c>
      <c r="E8108" s="1" t="s">
        <v>2019</v>
      </c>
      <c r="F8108" s="1" t="s">
        <v>808</v>
      </c>
      <c r="G8108" s="47">
        <v>3003253</v>
      </c>
      <c r="H8108">
        <f>IFERROR(VLOOKUP(F8108,'LEAID Match'!$A$2:$B$142,2,FALSE),"")</f>
        <v>2804530</v>
      </c>
    </row>
    <row r="8109" spans="1:8" x14ac:dyDescent="0.2">
      <c r="A8109">
        <f t="shared" si="126"/>
        <v>2804530</v>
      </c>
      <c r="B8109" s="1">
        <v>2018</v>
      </c>
      <c r="C8109" s="1" t="s">
        <v>2505</v>
      </c>
      <c r="D8109" s="1" t="s">
        <v>2506</v>
      </c>
      <c r="E8109" s="1" t="s">
        <v>2019</v>
      </c>
      <c r="F8109" s="1" t="s">
        <v>808</v>
      </c>
      <c r="G8109" s="6">
        <v>2955135</v>
      </c>
      <c r="H8109">
        <f>IFERROR(VLOOKUP(F8109,'LEAID Match'!$A$2:$B$142,2,FALSE),"")</f>
        <v>2804530</v>
      </c>
    </row>
    <row r="8110" spans="1:8" x14ac:dyDescent="0.2">
      <c r="A8110">
        <f t="shared" si="126"/>
        <v>2804530</v>
      </c>
      <c r="B8110" s="1">
        <v>2019</v>
      </c>
      <c r="C8110" s="1" t="s">
        <v>2505</v>
      </c>
      <c r="D8110" s="1" t="s">
        <v>2506</v>
      </c>
      <c r="E8110" s="1" t="s">
        <v>2019</v>
      </c>
      <c r="F8110" s="1" t="s">
        <v>808</v>
      </c>
      <c r="G8110" s="6">
        <v>3177734</v>
      </c>
      <c r="H8110">
        <f>IFERROR(VLOOKUP(F8110,'LEAID Match'!$A$2:$B$142,2,FALSE),"")</f>
        <v>2804530</v>
      </c>
    </row>
    <row r="8111" spans="1:8" x14ac:dyDescent="0.2">
      <c r="A8111">
        <f t="shared" si="126"/>
        <v>2804530</v>
      </c>
      <c r="B8111" s="1">
        <v>2020</v>
      </c>
      <c r="C8111" s="1" t="s">
        <v>2505</v>
      </c>
      <c r="D8111" s="1" t="s">
        <v>2506</v>
      </c>
      <c r="E8111" s="1" t="s">
        <v>2019</v>
      </c>
      <c r="F8111" s="1" t="s">
        <v>808</v>
      </c>
      <c r="G8111" s="6">
        <v>3483252</v>
      </c>
      <c r="H8111">
        <f>IFERROR(VLOOKUP(F8111,'LEAID Match'!$A$2:$B$142,2,FALSE),"")</f>
        <v>2804530</v>
      </c>
    </row>
    <row r="8112" spans="1:8" x14ac:dyDescent="0.2">
      <c r="A8112">
        <f t="shared" si="126"/>
        <v>2804530</v>
      </c>
      <c r="B8112" s="1">
        <v>2021</v>
      </c>
      <c r="C8112" s="1" t="s">
        <v>2505</v>
      </c>
      <c r="D8112" s="1" t="s">
        <v>2506</v>
      </c>
      <c r="E8112" s="1" t="s">
        <v>2019</v>
      </c>
      <c r="F8112" s="1" t="s">
        <v>808</v>
      </c>
      <c r="G8112" s="6">
        <v>3086220</v>
      </c>
      <c r="H8112">
        <f>IFERROR(VLOOKUP(F8112,'LEAID Match'!$A$2:$B$142,2,FALSE),"")</f>
        <v>2804530</v>
      </c>
    </row>
    <row r="8113" spans="1:8" x14ac:dyDescent="0.2">
      <c r="A8113">
        <f t="shared" si="126"/>
        <v>2804530</v>
      </c>
      <c r="B8113" s="1">
        <v>2022</v>
      </c>
      <c r="C8113" s="1" t="s">
        <v>2505</v>
      </c>
      <c r="D8113" s="1" t="s">
        <v>2506</v>
      </c>
      <c r="E8113" s="1" t="s">
        <v>2019</v>
      </c>
      <c r="F8113" s="1" t="s">
        <v>808</v>
      </c>
      <c r="G8113" s="6">
        <v>3183432</v>
      </c>
      <c r="H8113">
        <f>IFERROR(VLOOKUP(F8113,'LEAID Match'!$A$2:$B$142,2,FALSE),"")</f>
        <v>2804530</v>
      </c>
    </row>
    <row r="8114" spans="1:8" x14ac:dyDescent="0.2">
      <c r="A8114">
        <f t="shared" si="126"/>
        <v>2804530</v>
      </c>
      <c r="B8114" s="1">
        <v>2023</v>
      </c>
      <c r="C8114" s="1" t="s">
        <v>2505</v>
      </c>
      <c r="D8114" s="1" t="s">
        <v>2506</v>
      </c>
      <c r="E8114" s="1" t="s">
        <v>2019</v>
      </c>
      <c r="F8114" s="1" t="s">
        <v>808</v>
      </c>
      <c r="G8114" s="6">
        <v>3460944</v>
      </c>
      <c r="H8114">
        <f>IFERROR(VLOOKUP(F8114,'LEAID Match'!$A$2:$B$142,2,FALSE),"")</f>
        <v>2804530</v>
      </c>
    </row>
    <row r="8115" spans="1:8" x14ac:dyDescent="0.2">
      <c r="A8115">
        <f t="shared" si="126"/>
        <v>2804530</v>
      </c>
      <c r="B8115" s="1">
        <v>2024</v>
      </c>
      <c r="C8115" s="1" t="s">
        <v>2505</v>
      </c>
      <c r="D8115" s="1" t="s">
        <v>2506</v>
      </c>
      <c r="E8115" s="1" t="s">
        <v>2019</v>
      </c>
      <c r="F8115" s="1" t="s">
        <v>808</v>
      </c>
      <c r="G8115" s="6">
        <v>3628429</v>
      </c>
      <c r="H8115">
        <f>IFERROR(VLOOKUP(F8115,'LEAID Match'!$A$2:$B$142,2,FALSE),"")</f>
        <v>2804530</v>
      </c>
    </row>
    <row r="8116" spans="1:8" x14ac:dyDescent="0.2">
      <c r="A8116" t="str">
        <f t="shared" si="126"/>
        <v/>
      </c>
      <c r="B8116" s="1">
        <v>2015</v>
      </c>
      <c r="C8116" s="1" t="s">
        <v>2505</v>
      </c>
      <c r="D8116" s="1" t="s">
        <v>2506</v>
      </c>
      <c r="E8116" s="1" t="s">
        <v>2019</v>
      </c>
      <c r="F8116" s="1" t="s">
        <v>809</v>
      </c>
      <c r="G8116" s="6">
        <v>608813</v>
      </c>
      <c r="H8116" t="str">
        <f>IFERROR(VLOOKUP(F8116,'LEAID Match'!$A$2:$B$142,2,FALSE),"")</f>
        <v/>
      </c>
    </row>
    <row r="8117" spans="1:8" x14ac:dyDescent="0.2">
      <c r="A8117" t="str">
        <f t="shared" si="126"/>
        <v/>
      </c>
      <c r="B8117">
        <v>2016</v>
      </c>
      <c r="C8117" s="1" t="s">
        <v>2505</v>
      </c>
      <c r="D8117" s="1" t="s">
        <v>2506</v>
      </c>
      <c r="E8117" s="1" t="s">
        <v>2019</v>
      </c>
      <c r="F8117" s="1" t="s">
        <v>809</v>
      </c>
      <c r="G8117" s="12">
        <v>624963</v>
      </c>
      <c r="H8117" t="str">
        <f>IFERROR(VLOOKUP(F8117,'LEAID Match'!$A$2:$B$142,2,FALSE),"")</f>
        <v/>
      </c>
    </row>
    <row r="8118" spans="1:8" x14ac:dyDescent="0.2">
      <c r="A8118" t="str">
        <f t="shared" si="126"/>
        <v/>
      </c>
      <c r="B8118" s="1">
        <v>2017</v>
      </c>
      <c r="C8118" s="1" t="s">
        <v>2505</v>
      </c>
      <c r="D8118" s="1" t="s">
        <v>2506</v>
      </c>
      <c r="E8118" s="1" t="s">
        <v>2019</v>
      </c>
      <c r="F8118" s="1" t="s">
        <v>809</v>
      </c>
      <c r="G8118" s="47">
        <v>622497</v>
      </c>
      <c r="H8118" t="str">
        <f>IFERROR(VLOOKUP(F8118,'LEAID Match'!$A$2:$B$142,2,FALSE),"")</f>
        <v/>
      </c>
    </row>
    <row r="8119" spans="1:8" x14ac:dyDescent="0.2">
      <c r="A8119" t="str">
        <f t="shared" si="126"/>
        <v/>
      </c>
      <c r="B8119" s="1">
        <v>2018</v>
      </c>
      <c r="C8119" s="1" t="s">
        <v>2505</v>
      </c>
      <c r="D8119" s="1" t="s">
        <v>2506</v>
      </c>
      <c r="E8119" s="1" t="s">
        <v>2019</v>
      </c>
      <c r="F8119" s="1" t="s">
        <v>809</v>
      </c>
      <c r="G8119" s="6">
        <v>672551</v>
      </c>
      <c r="H8119" t="str">
        <f>IFERROR(VLOOKUP(F8119,'LEAID Match'!$A$2:$B$142,2,FALSE),"")</f>
        <v/>
      </c>
    </row>
    <row r="8120" spans="1:8" x14ac:dyDescent="0.2">
      <c r="A8120" t="str">
        <f t="shared" si="126"/>
        <v/>
      </c>
      <c r="B8120" s="1">
        <v>2019</v>
      </c>
      <c r="C8120" s="1" t="s">
        <v>2505</v>
      </c>
      <c r="D8120" s="1" t="s">
        <v>2506</v>
      </c>
      <c r="E8120" s="1" t="s">
        <v>2019</v>
      </c>
      <c r="F8120" s="1" t="s">
        <v>809</v>
      </c>
      <c r="G8120" s="6">
        <v>650162</v>
      </c>
      <c r="H8120" t="str">
        <f>IFERROR(VLOOKUP(F8120,'LEAID Match'!$A$2:$B$142,2,FALSE),"")</f>
        <v/>
      </c>
    </row>
    <row r="8121" spans="1:8" x14ac:dyDescent="0.2">
      <c r="A8121" t="str">
        <f t="shared" si="126"/>
        <v/>
      </c>
      <c r="B8121" s="1">
        <v>2020</v>
      </c>
      <c r="C8121" s="1" t="s">
        <v>2505</v>
      </c>
      <c r="D8121" s="1" t="s">
        <v>2506</v>
      </c>
      <c r="E8121" s="1" t="s">
        <v>2019</v>
      </c>
      <c r="F8121" s="1" t="s">
        <v>809</v>
      </c>
      <c r="G8121" s="6">
        <v>746004</v>
      </c>
      <c r="H8121" t="str">
        <f>IFERROR(VLOOKUP(F8121,'LEAID Match'!$A$2:$B$142,2,FALSE),"")</f>
        <v/>
      </c>
    </row>
    <row r="8122" spans="1:8" x14ac:dyDescent="0.2">
      <c r="A8122" t="str">
        <f t="shared" si="126"/>
        <v/>
      </c>
      <c r="B8122" s="1">
        <v>2021</v>
      </c>
      <c r="C8122" s="1" t="s">
        <v>2505</v>
      </c>
      <c r="D8122" s="1" t="s">
        <v>2506</v>
      </c>
      <c r="E8122" s="1" t="s">
        <v>2019</v>
      </c>
      <c r="F8122" s="1" t="s">
        <v>809</v>
      </c>
      <c r="G8122" s="6">
        <v>764808</v>
      </c>
      <c r="H8122" t="str">
        <f>IFERROR(VLOOKUP(F8122,'LEAID Match'!$A$2:$B$142,2,FALSE),"")</f>
        <v/>
      </c>
    </row>
    <row r="8123" spans="1:8" x14ac:dyDescent="0.2">
      <c r="A8123" t="str">
        <f t="shared" si="126"/>
        <v/>
      </c>
      <c r="B8123" s="1">
        <v>2022</v>
      </c>
      <c r="C8123" s="1" t="s">
        <v>2505</v>
      </c>
      <c r="D8123" s="1" t="s">
        <v>2506</v>
      </c>
      <c r="E8123" s="1" t="s">
        <v>2019</v>
      </c>
      <c r="F8123" s="1" t="s">
        <v>809</v>
      </c>
      <c r="G8123" s="6">
        <v>809354</v>
      </c>
      <c r="H8123" t="str">
        <f>IFERROR(VLOOKUP(F8123,'LEAID Match'!$A$2:$B$142,2,FALSE),"")</f>
        <v/>
      </c>
    </row>
    <row r="8124" spans="1:8" x14ac:dyDescent="0.2">
      <c r="A8124" t="str">
        <f t="shared" si="126"/>
        <v/>
      </c>
      <c r="B8124" s="1">
        <v>2023</v>
      </c>
      <c r="C8124" s="1" t="s">
        <v>2505</v>
      </c>
      <c r="D8124" s="1" t="s">
        <v>2506</v>
      </c>
      <c r="E8124" s="1" t="s">
        <v>2019</v>
      </c>
      <c r="F8124" s="1" t="s">
        <v>809</v>
      </c>
      <c r="G8124" s="6">
        <v>875865</v>
      </c>
      <c r="H8124" t="str">
        <f>IFERROR(VLOOKUP(F8124,'LEAID Match'!$A$2:$B$142,2,FALSE),"")</f>
        <v/>
      </c>
    </row>
    <row r="8125" spans="1:8" x14ac:dyDescent="0.2">
      <c r="A8125" t="str">
        <f t="shared" si="126"/>
        <v/>
      </c>
      <c r="B8125" s="1">
        <v>2024</v>
      </c>
      <c r="C8125" s="1" t="s">
        <v>2505</v>
      </c>
      <c r="D8125" s="1" t="s">
        <v>2506</v>
      </c>
      <c r="E8125" s="1" t="s">
        <v>2019</v>
      </c>
      <c r="F8125" s="1" t="s">
        <v>809</v>
      </c>
      <c r="G8125" s="6">
        <v>949517</v>
      </c>
      <c r="H8125" t="str">
        <f>IFERROR(VLOOKUP(F8125,'LEAID Match'!$A$2:$B$142,2,FALSE),"")</f>
        <v/>
      </c>
    </row>
    <row r="8126" spans="1:8" x14ac:dyDescent="0.2">
      <c r="A8126" t="str">
        <f t="shared" si="126"/>
        <v/>
      </c>
      <c r="B8126" s="1">
        <v>2015</v>
      </c>
      <c r="C8126" s="1" t="s">
        <v>2505</v>
      </c>
      <c r="D8126" s="1" t="s">
        <v>2506</v>
      </c>
      <c r="E8126" s="1" t="s">
        <v>2019</v>
      </c>
      <c r="F8126" s="1" t="s">
        <v>810</v>
      </c>
      <c r="G8126" s="6">
        <v>12146</v>
      </c>
      <c r="H8126" t="str">
        <f>IFERROR(VLOOKUP(F8126,'LEAID Match'!$A$2:$B$142,2,FALSE),"")</f>
        <v/>
      </c>
    </row>
    <row r="8127" spans="1:8" x14ac:dyDescent="0.2">
      <c r="A8127" t="str">
        <f t="shared" si="126"/>
        <v/>
      </c>
      <c r="B8127">
        <v>2016</v>
      </c>
      <c r="C8127" s="1" t="s">
        <v>2505</v>
      </c>
      <c r="D8127" s="1" t="s">
        <v>2506</v>
      </c>
      <c r="E8127" s="1" t="s">
        <v>2019</v>
      </c>
      <c r="F8127" s="1" t="s">
        <v>810</v>
      </c>
      <c r="G8127" s="12">
        <v>12146</v>
      </c>
      <c r="H8127" t="str">
        <f>IFERROR(VLOOKUP(F8127,'LEAID Match'!$A$2:$B$142,2,FALSE),"")</f>
        <v/>
      </c>
    </row>
    <row r="8128" spans="1:8" x14ac:dyDescent="0.2">
      <c r="A8128" t="str">
        <f t="shared" si="126"/>
        <v/>
      </c>
      <c r="B8128" s="1">
        <v>2017</v>
      </c>
      <c r="C8128" s="1" t="s">
        <v>2505</v>
      </c>
      <c r="D8128" s="1" t="s">
        <v>2506</v>
      </c>
      <c r="E8128" s="1" t="s">
        <v>2019</v>
      </c>
      <c r="F8128" s="1" t="s">
        <v>810</v>
      </c>
      <c r="G8128" s="47">
        <v>13219</v>
      </c>
      <c r="H8128" t="str">
        <f>IFERROR(VLOOKUP(F8128,'LEAID Match'!$A$2:$B$142,2,FALSE),"")</f>
        <v/>
      </c>
    </row>
    <row r="8129" spans="1:8" x14ac:dyDescent="0.2">
      <c r="A8129" t="str">
        <f t="shared" si="126"/>
        <v/>
      </c>
      <c r="B8129" s="1">
        <v>2018</v>
      </c>
      <c r="C8129" s="1" t="s">
        <v>2505</v>
      </c>
      <c r="D8129" s="1" t="s">
        <v>2506</v>
      </c>
      <c r="E8129" s="1" t="s">
        <v>2019</v>
      </c>
      <c r="F8129" s="1" t="s">
        <v>810</v>
      </c>
      <c r="G8129" s="6">
        <v>13577</v>
      </c>
      <c r="H8129" t="str">
        <f>IFERROR(VLOOKUP(F8129,'LEAID Match'!$A$2:$B$142,2,FALSE),"")</f>
        <v/>
      </c>
    </row>
    <row r="8130" spans="1:8" x14ac:dyDescent="0.2">
      <c r="A8130" t="str">
        <f t="shared" si="126"/>
        <v/>
      </c>
      <c r="B8130" s="1">
        <v>2019</v>
      </c>
      <c r="C8130" s="1" t="s">
        <v>2505</v>
      </c>
      <c r="D8130" s="1" t="s">
        <v>2506</v>
      </c>
      <c r="E8130" s="1" t="s">
        <v>2019</v>
      </c>
      <c r="F8130" s="1" t="s">
        <v>810</v>
      </c>
      <c r="G8130" s="6">
        <v>13577</v>
      </c>
      <c r="H8130" t="str">
        <f>IFERROR(VLOOKUP(F8130,'LEAID Match'!$A$2:$B$142,2,FALSE),"")</f>
        <v/>
      </c>
    </row>
    <row r="8131" spans="1:8" x14ac:dyDescent="0.2">
      <c r="A8131" t="str">
        <f t="shared" ref="A8131:A8194" si="127">H8131</f>
        <v/>
      </c>
      <c r="B8131" s="1">
        <v>2020</v>
      </c>
      <c r="C8131" s="1" t="s">
        <v>2505</v>
      </c>
      <c r="D8131" s="1" t="s">
        <v>2506</v>
      </c>
      <c r="E8131" s="1" t="s">
        <v>2019</v>
      </c>
      <c r="F8131" s="1" t="s">
        <v>810</v>
      </c>
      <c r="G8131" s="6">
        <v>10214</v>
      </c>
      <c r="H8131" t="str">
        <f>IFERROR(VLOOKUP(F8131,'LEAID Match'!$A$2:$B$142,2,FALSE),"")</f>
        <v/>
      </c>
    </row>
    <row r="8132" spans="1:8" x14ac:dyDescent="0.2">
      <c r="A8132" t="str">
        <f t="shared" si="127"/>
        <v/>
      </c>
      <c r="B8132" s="1">
        <v>2021</v>
      </c>
      <c r="C8132" s="1" t="s">
        <v>2505</v>
      </c>
      <c r="D8132" s="1" t="s">
        <v>2506</v>
      </c>
      <c r="E8132" s="1" t="s">
        <v>2019</v>
      </c>
      <c r="F8132" s="1" t="s">
        <v>810</v>
      </c>
      <c r="G8132" s="6">
        <v>5429</v>
      </c>
      <c r="H8132" t="str">
        <f>IFERROR(VLOOKUP(F8132,'LEAID Match'!$A$2:$B$142,2,FALSE),"")</f>
        <v/>
      </c>
    </row>
    <row r="8133" spans="1:8" x14ac:dyDescent="0.2">
      <c r="A8133" t="str">
        <f t="shared" si="127"/>
        <v/>
      </c>
      <c r="B8133" s="1">
        <v>2022</v>
      </c>
      <c r="C8133" s="1" t="s">
        <v>2505</v>
      </c>
      <c r="D8133" s="1" t="s">
        <v>2506</v>
      </c>
      <c r="E8133" s="1" t="s">
        <v>2019</v>
      </c>
      <c r="F8133" s="1" t="s">
        <v>810</v>
      </c>
      <c r="G8133" s="6">
        <v>5536</v>
      </c>
      <c r="H8133" t="str">
        <f>IFERROR(VLOOKUP(F8133,'LEAID Match'!$A$2:$B$142,2,FALSE),"")</f>
        <v/>
      </c>
    </row>
    <row r="8134" spans="1:8" x14ac:dyDescent="0.2">
      <c r="A8134" t="str">
        <f t="shared" si="127"/>
        <v/>
      </c>
      <c r="B8134" s="1">
        <v>2023</v>
      </c>
      <c r="C8134" s="1" t="s">
        <v>2505</v>
      </c>
      <c r="D8134" s="1" t="s">
        <v>2506</v>
      </c>
      <c r="E8134" s="1" t="s">
        <v>2019</v>
      </c>
      <c r="F8134" s="1" t="s">
        <v>810</v>
      </c>
      <c r="G8134" s="6">
        <v>5429</v>
      </c>
      <c r="H8134" t="str">
        <f>IFERROR(VLOOKUP(F8134,'LEAID Match'!$A$2:$B$142,2,FALSE),"")</f>
        <v/>
      </c>
    </row>
    <row r="8135" spans="1:8" x14ac:dyDescent="0.2">
      <c r="A8135" t="str">
        <f t="shared" si="127"/>
        <v/>
      </c>
      <c r="B8135" s="1">
        <v>2024</v>
      </c>
      <c r="C8135" s="1" t="s">
        <v>2505</v>
      </c>
      <c r="D8135" s="1" t="s">
        <v>2506</v>
      </c>
      <c r="E8135" s="1" t="s">
        <v>2019</v>
      </c>
      <c r="F8135" s="1" t="s">
        <v>810</v>
      </c>
      <c r="G8135" s="6">
        <v>5429</v>
      </c>
      <c r="H8135" t="str">
        <f>IFERROR(VLOOKUP(F8135,'LEAID Match'!$A$2:$B$142,2,FALSE),"")</f>
        <v/>
      </c>
    </row>
    <row r="8136" spans="1:8" x14ac:dyDescent="0.2">
      <c r="A8136" t="str">
        <f t="shared" si="127"/>
        <v/>
      </c>
      <c r="B8136" s="1">
        <v>2015</v>
      </c>
      <c r="C8136" s="1" t="s">
        <v>2505</v>
      </c>
      <c r="D8136" s="1" t="s">
        <v>2506</v>
      </c>
      <c r="E8136" s="1" t="s">
        <v>2019</v>
      </c>
      <c r="F8136" s="1" t="s">
        <v>811</v>
      </c>
      <c r="G8136" s="6">
        <v>3593</v>
      </c>
      <c r="H8136" t="str">
        <f>IFERROR(VLOOKUP(F8136,'LEAID Match'!$A$2:$B$142,2,FALSE),"")</f>
        <v/>
      </c>
    </row>
    <row r="8137" spans="1:8" x14ac:dyDescent="0.2">
      <c r="A8137" t="str">
        <f t="shared" si="127"/>
        <v/>
      </c>
      <c r="B8137">
        <v>2016</v>
      </c>
      <c r="C8137" s="1" t="s">
        <v>2505</v>
      </c>
      <c r="D8137" s="1" t="s">
        <v>2506</v>
      </c>
      <c r="E8137" s="1" t="s">
        <v>2019</v>
      </c>
      <c r="F8137" t="s">
        <v>1970</v>
      </c>
      <c r="G8137" s="12">
        <v>3593</v>
      </c>
      <c r="H8137" t="str">
        <f>IFERROR(VLOOKUP(F8137,'LEAID Match'!$A$2:$B$142,2,FALSE),"")</f>
        <v/>
      </c>
    </row>
    <row r="8138" spans="1:8" x14ac:dyDescent="0.2">
      <c r="A8138" t="str">
        <f t="shared" si="127"/>
        <v/>
      </c>
      <c r="B8138" s="1">
        <v>2017</v>
      </c>
      <c r="C8138" s="1" t="s">
        <v>2505</v>
      </c>
      <c r="D8138" s="1" t="s">
        <v>2506</v>
      </c>
      <c r="E8138" s="1" t="s">
        <v>2019</v>
      </c>
      <c r="F8138" s="37" t="s">
        <v>1970</v>
      </c>
      <c r="G8138" s="47">
        <v>3593</v>
      </c>
      <c r="H8138" t="str">
        <f>IFERROR(VLOOKUP(F8138,'LEAID Match'!$A$2:$B$142,2,FALSE),"")</f>
        <v/>
      </c>
    </row>
    <row r="8139" spans="1:8" x14ac:dyDescent="0.2">
      <c r="A8139" t="str">
        <f t="shared" si="127"/>
        <v/>
      </c>
      <c r="B8139" s="1">
        <v>2018</v>
      </c>
      <c r="C8139" s="1" t="s">
        <v>2505</v>
      </c>
      <c r="D8139" s="1" t="s">
        <v>2506</v>
      </c>
      <c r="E8139" s="1" t="s">
        <v>2019</v>
      </c>
      <c r="F8139" s="1" t="s">
        <v>1970</v>
      </c>
      <c r="G8139" s="6">
        <v>3171</v>
      </c>
      <c r="H8139" t="str">
        <f>IFERROR(VLOOKUP(F8139,'LEAID Match'!$A$2:$B$142,2,FALSE),"")</f>
        <v/>
      </c>
    </row>
    <row r="8140" spans="1:8" x14ac:dyDescent="0.2">
      <c r="A8140" t="str">
        <f t="shared" si="127"/>
        <v/>
      </c>
      <c r="B8140" s="1">
        <v>2019</v>
      </c>
      <c r="C8140" s="1" t="s">
        <v>2505</v>
      </c>
      <c r="D8140" s="1" t="s">
        <v>2506</v>
      </c>
      <c r="E8140" s="1" t="s">
        <v>2019</v>
      </c>
      <c r="F8140" s="1" t="s">
        <v>811</v>
      </c>
      <c r="G8140" s="6">
        <v>3416</v>
      </c>
      <c r="H8140" t="str">
        <f>IFERROR(VLOOKUP(F8140,'LEAID Match'!$A$2:$B$142,2,FALSE),"")</f>
        <v/>
      </c>
    </row>
    <row r="8141" spans="1:8" x14ac:dyDescent="0.2">
      <c r="A8141" t="str">
        <f t="shared" si="127"/>
        <v/>
      </c>
      <c r="B8141" s="1">
        <v>2020</v>
      </c>
      <c r="C8141" s="1" t="s">
        <v>2505</v>
      </c>
      <c r="D8141" s="1" t="s">
        <v>2506</v>
      </c>
      <c r="E8141" s="1" t="s">
        <v>2019</v>
      </c>
      <c r="F8141" s="1" t="s">
        <v>811</v>
      </c>
      <c r="G8141" s="6">
        <v>4143</v>
      </c>
      <c r="H8141" t="str">
        <f>IFERROR(VLOOKUP(F8141,'LEAID Match'!$A$2:$B$142,2,FALSE),"")</f>
        <v/>
      </c>
    </row>
    <row r="8142" spans="1:8" x14ac:dyDescent="0.2">
      <c r="A8142" t="str">
        <f t="shared" si="127"/>
        <v/>
      </c>
      <c r="B8142" s="1">
        <v>2021</v>
      </c>
      <c r="C8142" s="1" t="s">
        <v>2505</v>
      </c>
      <c r="D8142" s="1" t="s">
        <v>2506</v>
      </c>
      <c r="E8142" s="1" t="s">
        <v>2019</v>
      </c>
      <c r="F8142" s="1" t="s">
        <v>811</v>
      </c>
      <c r="G8142" s="6">
        <v>4072</v>
      </c>
      <c r="H8142" t="str">
        <f>IFERROR(VLOOKUP(F8142,'LEAID Match'!$A$2:$B$142,2,FALSE),"")</f>
        <v/>
      </c>
    </row>
    <row r="8143" spans="1:8" x14ac:dyDescent="0.2">
      <c r="A8143" t="str">
        <f t="shared" si="127"/>
        <v/>
      </c>
      <c r="B8143" s="1">
        <v>2022</v>
      </c>
      <c r="C8143" s="1" t="s">
        <v>2505</v>
      </c>
      <c r="D8143" s="1" t="s">
        <v>2506</v>
      </c>
      <c r="E8143" s="1" t="s">
        <v>2019</v>
      </c>
      <c r="F8143" s="1" t="s">
        <v>811</v>
      </c>
      <c r="G8143" s="6">
        <v>4072</v>
      </c>
      <c r="H8143" t="str">
        <f>IFERROR(VLOOKUP(F8143,'LEAID Match'!$A$2:$B$142,2,FALSE),"")</f>
        <v/>
      </c>
    </row>
    <row r="8144" spans="1:8" x14ac:dyDescent="0.2">
      <c r="A8144" t="str">
        <f t="shared" si="127"/>
        <v/>
      </c>
      <c r="B8144" s="1">
        <v>2023</v>
      </c>
      <c r="C8144" s="1" t="s">
        <v>2505</v>
      </c>
      <c r="D8144" s="1" t="s">
        <v>2506</v>
      </c>
      <c r="E8144" s="1" t="s">
        <v>2019</v>
      </c>
      <c r="F8144" s="1" t="s">
        <v>811</v>
      </c>
      <c r="G8144" s="6">
        <v>4228</v>
      </c>
      <c r="H8144" t="str">
        <f>IFERROR(VLOOKUP(F8144,'LEAID Match'!$A$2:$B$142,2,FALSE),"")</f>
        <v/>
      </c>
    </row>
    <row r="8145" spans="1:8" x14ac:dyDescent="0.2">
      <c r="A8145" t="str">
        <f t="shared" si="127"/>
        <v/>
      </c>
      <c r="B8145" s="1">
        <v>2024</v>
      </c>
      <c r="C8145" s="1" t="s">
        <v>2505</v>
      </c>
      <c r="D8145" s="1" t="s">
        <v>2506</v>
      </c>
      <c r="E8145" s="1" t="s">
        <v>2019</v>
      </c>
      <c r="F8145" s="1" t="s">
        <v>811</v>
      </c>
      <c r="G8145" s="6">
        <v>4077</v>
      </c>
      <c r="H8145" t="str">
        <f>IFERROR(VLOOKUP(F8145,'LEAID Match'!$A$2:$B$142,2,FALSE),"")</f>
        <v/>
      </c>
    </row>
    <row r="8146" spans="1:8" x14ac:dyDescent="0.2">
      <c r="A8146" t="str">
        <f t="shared" si="127"/>
        <v/>
      </c>
      <c r="B8146" s="1">
        <v>2015</v>
      </c>
      <c r="C8146" s="1" t="s">
        <v>2505</v>
      </c>
      <c r="D8146" s="1" t="s">
        <v>2506</v>
      </c>
      <c r="E8146" s="1" t="s">
        <v>2019</v>
      </c>
      <c r="F8146" s="1" t="s">
        <v>812</v>
      </c>
      <c r="G8146" s="6">
        <v>308847</v>
      </c>
      <c r="H8146" t="str">
        <f>IFERROR(VLOOKUP(F8146,'LEAID Match'!$A$2:$B$142,2,FALSE),"")</f>
        <v/>
      </c>
    </row>
    <row r="8147" spans="1:8" x14ac:dyDescent="0.2">
      <c r="A8147" t="str">
        <f t="shared" si="127"/>
        <v/>
      </c>
      <c r="B8147">
        <v>2016</v>
      </c>
      <c r="C8147" s="1" t="s">
        <v>2505</v>
      </c>
      <c r="D8147" s="1" t="s">
        <v>2506</v>
      </c>
      <c r="E8147" s="1" t="s">
        <v>2019</v>
      </c>
      <c r="F8147" s="1" t="s">
        <v>812</v>
      </c>
      <c r="G8147" s="12">
        <v>327826</v>
      </c>
      <c r="H8147" t="str">
        <f>IFERROR(VLOOKUP(F8147,'LEAID Match'!$A$2:$B$142,2,FALSE),"")</f>
        <v/>
      </c>
    </row>
    <row r="8148" spans="1:8" x14ac:dyDescent="0.2">
      <c r="A8148" t="str">
        <f t="shared" si="127"/>
        <v/>
      </c>
      <c r="B8148" s="1">
        <v>2017</v>
      </c>
      <c r="C8148" s="1" t="s">
        <v>2505</v>
      </c>
      <c r="D8148" s="1" t="s">
        <v>2506</v>
      </c>
      <c r="E8148" s="1" t="s">
        <v>2019</v>
      </c>
      <c r="F8148" s="1" t="s">
        <v>812</v>
      </c>
      <c r="G8148" s="47">
        <v>310391</v>
      </c>
      <c r="H8148" t="str">
        <f>IFERROR(VLOOKUP(F8148,'LEAID Match'!$A$2:$B$142,2,FALSE),"")</f>
        <v/>
      </c>
    </row>
    <row r="8149" spans="1:8" x14ac:dyDescent="0.2">
      <c r="A8149" t="str">
        <f t="shared" si="127"/>
        <v/>
      </c>
      <c r="B8149" s="1">
        <v>2018</v>
      </c>
      <c r="C8149" s="1" t="s">
        <v>2505</v>
      </c>
      <c r="D8149" s="1" t="s">
        <v>2506</v>
      </c>
      <c r="E8149" s="1" t="s">
        <v>2019</v>
      </c>
      <c r="F8149" s="1" t="s">
        <v>812</v>
      </c>
      <c r="G8149" s="6">
        <v>277287</v>
      </c>
      <c r="H8149" t="str">
        <f>IFERROR(VLOOKUP(F8149,'LEAID Match'!$A$2:$B$142,2,FALSE),"")</f>
        <v/>
      </c>
    </row>
    <row r="8150" spans="1:8" x14ac:dyDescent="0.2">
      <c r="A8150" t="str">
        <f t="shared" si="127"/>
        <v/>
      </c>
      <c r="B8150" s="1">
        <v>2019</v>
      </c>
      <c r="C8150" s="1" t="s">
        <v>2505</v>
      </c>
      <c r="D8150" s="1" t="s">
        <v>2506</v>
      </c>
      <c r="E8150" s="1" t="s">
        <v>2019</v>
      </c>
      <c r="F8150" s="1" t="s">
        <v>812</v>
      </c>
      <c r="G8150" s="6">
        <v>267437</v>
      </c>
      <c r="H8150" t="str">
        <f>IFERROR(VLOOKUP(F8150,'LEAID Match'!$A$2:$B$142,2,FALSE),"")</f>
        <v/>
      </c>
    </row>
    <row r="8151" spans="1:8" x14ac:dyDescent="0.2">
      <c r="A8151" t="str">
        <f t="shared" si="127"/>
        <v/>
      </c>
      <c r="B8151" s="1">
        <v>2020</v>
      </c>
      <c r="C8151" s="1" t="s">
        <v>2505</v>
      </c>
      <c r="D8151" s="1" t="s">
        <v>2506</v>
      </c>
      <c r="E8151" s="1" t="s">
        <v>2019</v>
      </c>
      <c r="F8151" s="1" t="s">
        <v>812</v>
      </c>
      <c r="G8151" s="6">
        <v>292350</v>
      </c>
      <c r="H8151" t="str">
        <f>IFERROR(VLOOKUP(F8151,'LEAID Match'!$A$2:$B$142,2,FALSE),"")</f>
        <v/>
      </c>
    </row>
    <row r="8152" spans="1:8" x14ac:dyDescent="0.2">
      <c r="A8152" t="str">
        <f t="shared" si="127"/>
        <v/>
      </c>
      <c r="B8152" s="1">
        <v>2021</v>
      </c>
      <c r="C8152" s="1" t="s">
        <v>2505</v>
      </c>
      <c r="D8152" s="1" t="s">
        <v>2506</v>
      </c>
      <c r="E8152" s="1" t="s">
        <v>2019</v>
      </c>
      <c r="F8152" s="1" t="s">
        <v>812</v>
      </c>
      <c r="G8152" s="6">
        <v>297819</v>
      </c>
      <c r="H8152" t="str">
        <f>IFERROR(VLOOKUP(F8152,'LEAID Match'!$A$2:$B$142,2,FALSE),"")</f>
        <v/>
      </c>
    </row>
    <row r="8153" spans="1:8" x14ac:dyDescent="0.2">
      <c r="A8153" t="str">
        <f t="shared" si="127"/>
        <v/>
      </c>
      <c r="B8153" s="1">
        <v>2022</v>
      </c>
      <c r="C8153" s="1" t="s">
        <v>2505</v>
      </c>
      <c r="D8153" s="1" t="s">
        <v>2506</v>
      </c>
      <c r="E8153" s="1" t="s">
        <v>2019</v>
      </c>
      <c r="F8153" s="1" t="s">
        <v>812</v>
      </c>
      <c r="G8153" s="6">
        <v>304511</v>
      </c>
      <c r="H8153" t="str">
        <f>IFERROR(VLOOKUP(F8153,'LEAID Match'!$A$2:$B$142,2,FALSE),"")</f>
        <v/>
      </c>
    </row>
    <row r="8154" spans="1:8" x14ac:dyDescent="0.2">
      <c r="A8154" t="str">
        <f t="shared" si="127"/>
        <v/>
      </c>
      <c r="B8154" s="1">
        <v>2023</v>
      </c>
      <c r="C8154" s="1" t="s">
        <v>2505</v>
      </c>
      <c r="D8154" s="1" t="s">
        <v>2506</v>
      </c>
      <c r="E8154" s="1" t="s">
        <v>2019</v>
      </c>
      <c r="F8154" s="1" t="s">
        <v>812</v>
      </c>
      <c r="G8154" s="6">
        <v>332530</v>
      </c>
      <c r="H8154" t="str">
        <f>IFERROR(VLOOKUP(F8154,'LEAID Match'!$A$2:$B$142,2,FALSE),"")</f>
        <v/>
      </c>
    </row>
    <row r="8155" spans="1:8" x14ac:dyDescent="0.2">
      <c r="A8155" t="str">
        <f t="shared" si="127"/>
        <v/>
      </c>
      <c r="B8155" s="1">
        <v>2024</v>
      </c>
      <c r="C8155" s="1" t="s">
        <v>2505</v>
      </c>
      <c r="D8155" s="1" t="s">
        <v>2506</v>
      </c>
      <c r="E8155" s="1" t="s">
        <v>2019</v>
      </c>
      <c r="F8155" s="1" t="s">
        <v>812</v>
      </c>
      <c r="G8155" s="6">
        <v>333862</v>
      </c>
      <c r="H8155" t="str">
        <f>IFERROR(VLOOKUP(F8155,'LEAID Match'!$A$2:$B$142,2,FALSE),"")</f>
        <v/>
      </c>
    </row>
    <row r="8156" spans="1:8" x14ac:dyDescent="0.2">
      <c r="A8156" t="str">
        <f t="shared" si="127"/>
        <v/>
      </c>
      <c r="B8156" s="1">
        <v>2015</v>
      </c>
      <c r="C8156" s="1" t="s">
        <v>2505</v>
      </c>
      <c r="D8156" s="1" t="s">
        <v>2506</v>
      </c>
      <c r="E8156" s="1" t="s">
        <v>2019</v>
      </c>
      <c r="F8156" s="1" t="s">
        <v>813</v>
      </c>
      <c r="G8156" s="6">
        <v>12832</v>
      </c>
      <c r="H8156" t="str">
        <f>IFERROR(VLOOKUP(F8156,'LEAID Match'!$A$2:$B$142,2,FALSE),"")</f>
        <v/>
      </c>
    </row>
    <row r="8157" spans="1:8" x14ac:dyDescent="0.2">
      <c r="A8157" t="str">
        <f t="shared" si="127"/>
        <v/>
      </c>
      <c r="B8157">
        <v>2016</v>
      </c>
      <c r="C8157" s="1" t="s">
        <v>2505</v>
      </c>
      <c r="D8157" s="1" t="s">
        <v>2506</v>
      </c>
      <c r="E8157" s="1" t="s">
        <v>2019</v>
      </c>
      <c r="F8157" s="1" t="s">
        <v>813</v>
      </c>
      <c r="G8157" s="12">
        <v>12657</v>
      </c>
      <c r="H8157" t="str">
        <f>IFERROR(VLOOKUP(F8157,'LEAID Match'!$A$2:$B$142,2,FALSE),"")</f>
        <v/>
      </c>
    </row>
    <row r="8158" spans="1:8" x14ac:dyDescent="0.2">
      <c r="A8158" t="str">
        <f t="shared" si="127"/>
        <v/>
      </c>
      <c r="B8158" s="1">
        <v>2017</v>
      </c>
      <c r="C8158" s="1" t="s">
        <v>2505</v>
      </c>
      <c r="D8158" s="1" t="s">
        <v>2506</v>
      </c>
      <c r="E8158" s="1" t="s">
        <v>2019</v>
      </c>
      <c r="F8158" s="1" t="s">
        <v>813</v>
      </c>
      <c r="G8158" s="47">
        <v>13387</v>
      </c>
      <c r="H8158" t="str">
        <f>IFERROR(VLOOKUP(F8158,'LEAID Match'!$A$2:$B$142,2,FALSE),"")</f>
        <v/>
      </c>
    </row>
    <row r="8159" spans="1:8" x14ac:dyDescent="0.2">
      <c r="A8159" t="str">
        <f t="shared" si="127"/>
        <v/>
      </c>
      <c r="B8159" s="1">
        <v>2018</v>
      </c>
      <c r="C8159" s="1" t="s">
        <v>2505</v>
      </c>
      <c r="D8159" s="1" t="s">
        <v>2506</v>
      </c>
      <c r="E8159" s="1" t="s">
        <v>2019</v>
      </c>
      <c r="F8159" s="1" t="s">
        <v>813</v>
      </c>
      <c r="G8159" s="6">
        <v>14264</v>
      </c>
      <c r="H8159" t="str">
        <f>IFERROR(VLOOKUP(F8159,'LEAID Match'!$A$2:$B$142,2,FALSE),"")</f>
        <v/>
      </c>
    </row>
    <row r="8160" spans="1:8" x14ac:dyDescent="0.2">
      <c r="A8160" t="str">
        <f t="shared" si="127"/>
        <v/>
      </c>
      <c r="B8160" s="1">
        <v>2019</v>
      </c>
      <c r="C8160" s="1" t="s">
        <v>2505</v>
      </c>
      <c r="D8160" s="1" t="s">
        <v>2506</v>
      </c>
      <c r="E8160" s="1" t="s">
        <v>2019</v>
      </c>
      <c r="F8160" s="1" t="s">
        <v>813</v>
      </c>
      <c r="G8160" s="6">
        <v>8727</v>
      </c>
      <c r="H8160" t="str">
        <f>IFERROR(VLOOKUP(F8160,'LEAID Match'!$A$2:$B$142,2,FALSE),"")</f>
        <v/>
      </c>
    </row>
    <row r="8161" spans="1:8" x14ac:dyDescent="0.2">
      <c r="A8161" t="str">
        <f t="shared" si="127"/>
        <v/>
      </c>
      <c r="B8161" s="1">
        <v>2020</v>
      </c>
      <c r="C8161" s="1" t="s">
        <v>2505</v>
      </c>
      <c r="D8161" s="1" t="s">
        <v>2506</v>
      </c>
      <c r="E8161" s="1" t="s">
        <v>2019</v>
      </c>
      <c r="F8161" s="1" t="s">
        <v>813</v>
      </c>
      <c r="G8161" s="6">
        <v>9447</v>
      </c>
      <c r="H8161" t="str">
        <f>IFERROR(VLOOKUP(F8161,'LEAID Match'!$A$2:$B$142,2,FALSE),"")</f>
        <v/>
      </c>
    </row>
    <row r="8162" spans="1:8" x14ac:dyDescent="0.2">
      <c r="A8162" t="str">
        <f t="shared" si="127"/>
        <v/>
      </c>
      <c r="B8162" s="1">
        <v>2021</v>
      </c>
      <c r="C8162" s="1" t="s">
        <v>2505</v>
      </c>
      <c r="D8162" s="1" t="s">
        <v>2506</v>
      </c>
      <c r="E8162" s="1" t="s">
        <v>2019</v>
      </c>
      <c r="F8162" s="1" t="s">
        <v>813</v>
      </c>
      <c r="G8162" s="6">
        <v>10419</v>
      </c>
      <c r="H8162" t="str">
        <f>IFERROR(VLOOKUP(F8162,'LEAID Match'!$A$2:$B$142,2,FALSE),"")</f>
        <v/>
      </c>
    </row>
    <row r="8163" spans="1:8" x14ac:dyDescent="0.2">
      <c r="A8163" t="str">
        <f t="shared" si="127"/>
        <v/>
      </c>
      <c r="B8163" s="1">
        <v>2022</v>
      </c>
      <c r="C8163" s="1" t="s">
        <v>2505</v>
      </c>
      <c r="D8163" s="1" t="s">
        <v>2506</v>
      </c>
      <c r="E8163" s="1" t="s">
        <v>2019</v>
      </c>
      <c r="F8163" s="1" t="s">
        <v>813</v>
      </c>
      <c r="G8163" s="6">
        <v>10419</v>
      </c>
      <c r="H8163" t="str">
        <f>IFERROR(VLOOKUP(F8163,'LEAID Match'!$A$2:$B$142,2,FALSE),"")</f>
        <v/>
      </c>
    </row>
    <row r="8164" spans="1:8" x14ac:dyDescent="0.2">
      <c r="A8164" t="str">
        <f t="shared" si="127"/>
        <v/>
      </c>
      <c r="B8164" s="1">
        <v>2023</v>
      </c>
      <c r="C8164" s="1" t="s">
        <v>2505</v>
      </c>
      <c r="D8164" s="1" t="s">
        <v>2506</v>
      </c>
      <c r="E8164" s="1" t="s">
        <v>2019</v>
      </c>
      <c r="F8164" s="1" t="s">
        <v>813</v>
      </c>
      <c r="G8164" s="6">
        <v>10419</v>
      </c>
      <c r="H8164" t="str">
        <f>IFERROR(VLOOKUP(F8164,'LEAID Match'!$A$2:$B$142,2,FALSE),"")</f>
        <v/>
      </c>
    </row>
    <row r="8165" spans="1:8" x14ac:dyDescent="0.2">
      <c r="A8165" t="str">
        <f t="shared" si="127"/>
        <v/>
      </c>
      <c r="B8165" s="1">
        <v>2024</v>
      </c>
      <c r="C8165" s="1" t="s">
        <v>2505</v>
      </c>
      <c r="D8165" s="1" t="s">
        <v>2506</v>
      </c>
      <c r="E8165" s="1" t="s">
        <v>2019</v>
      </c>
      <c r="F8165" s="1" t="s">
        <v>813</v>
      </c>
      <c r="G8165" s="6">
        <v>10419</v>
      </c>
      <c r="H8165" t="str">
        <f>IFERROR(VLOOKUP(F8165,'LEAID Match'!$A$2:$B$142,2,FALSE),"")</f>
        <v/>
      </c>
    </row>
    <row r="8166" spans="1:8" x14ac:dyDescent="0.2">
      <c r="A8166" t="str">
        <f t="shared" si="127"/>
        <v/>
      </c>
      <c r="B8166" s="1">
        <v>2015</v>
      </c>
      <c r="C8166" s="1" t="s">
        <v>2505</v>
      </c>
      <c r="D8166" s="1" t="s">
        <v>2506</v>
      </c>
      <c r="E8166" s="1" t="s">
        <v>2019</v>
      </c>
      <c r="F8166" s="1" t="s">
        <v>814</v>
      </c>
      <c r="G8166" s="6">
        <v>29368</v>
      </c>
      <c r="H8166" t="str">
        <f>IFERROR(VLOOKUP(F8166,'LEAID Match'!$A$2:$B$142,2,FALSE),"")</f>
        <v/>
      </c>
    </row>
    <row r="8167" spans="1:8" x14ac:dyDescent="0.2">
      <c r="A8167" t="str">
        <f t="shared" si="127"/>
        <v/>
      </c>
      <c r="B8167">
        <v>2016</v>
      </c>
      <c r="C8167" s="1" t="s">
        <v>2505</v>
      </c>
      <c r="D8167" s="1" t="s">
        <v>2506</v>
      </c>
      <c r="E8167" s="1" t="s">
        <v>2019</v>
      </c>
      <c r="F8167" s="1" t="s">
        <v>814</v>
      </c>
      <c r="G8167" s="12">
        <v>30819</v>
      </c>
      <c r="H8167" t="str">
        <f>IFERROR(VLOOKUP(F8167,'LEAID Match'!$A$2:$B$142,2,FALSE),"")</f>
        <v/>
      </c>
    </row>
    <row r="8168" spans="1:8" x14ac:dyDescent="0.2">
      <c r="A8168" t="str">
        <f t="shared" si="127"/>
        <v/>
      </c>
      <c r="B8168" s="1">
        <v>2017</v>
      </c>
      <c r="C8168" s="1" t="s">
        <v>2505</v>
      </c>
      <c r="D8168" s="1" t="s">
        <v>2506</v>
      </c>
      <c r="E8168" s="1" t="s">
        <v>2019</v>
      </c>
      <c r="F8168" s="1" t="s">
        <v>814</v>
      </c>
      <c r="G8168" s="47">
        <v>29480</v>
      </c>
      <c r="H8168" t="str">
        <f>IFERROR(VLOOKUP(F8168,'LEAID Match'!$A$2:$B$142,2,FALSE),"")</f>
        <v/>
      </c>
    </row>
    <row r="8169" spans="1:8" x14ac:dyDescent="0.2">
      <c r="A8169" t="str">
        <f t="shared" si="127"/>
        <v/>
      </c>
      <c r="B8169" s="1">
        <v>2018</v>
      </c>
      <c r="C8169" s="1" t="s">
        <v>2505</v>
      </c>
      <c r="D8169" s="1" t="s">
        <v>2506</v>
      </c>
      <c r="E8169" s="1" t="s">
        <v>2019</v>
      </c>
      <c r="F8169" s="1" t="s">
        <v>814</v>
      </c>
      <c r="G8169" s="6">
        <v>29536</v>
      </c>
      <c r="H8169" t="str">
        <f>IFERROR(VLOOKUP(F8169,'LEAID Match'!$A$2:$B$142,2,FALSE),"")</f>
        <v/>
      </c>
    </row>
    <row r="8170" spans="1:8" x14ac:dyDescent="0.2">
      <c r="A8170" t="str">
        <f t="shared" si="127"/>
        <v/>
      </c>
      <c r="B8170" s="1">
        <v>2019</v>
      </c>
      <c r="C8170" s="1" t="s">
        <v>2505</v>
      </c>
      <c r="D8170" s="1" t="s">
        <v>2506</v>
      </c>
      <c r="E8170" s="1" t="s">
        <v>2019</v>
      </c>
      <c r="F8170" s="1" t="s">
        <v>814</v>
      </c>
      <c r="G8170" s="6">
        <v>30266</v>
      </c>
      <c r="H8170" t="str">
        <f>IFERROR(VLOOKUP(F8170,'LEAID Match'!$A$2:$B$142,2,FALSE),"")</f>
        <v/>
      </c>
    </row>
    <row r="8171" spans="1:8" x14ac:dyDescent="0.2">
      <c r="A8171" t="str">
        <f t="shared" si="127"/>
        <v/>
      </c>
      <c r="B8171" s="1">
        <v>2020</v>
      </c>
      <c r="C8171" s="1" t="s">
        <v>2505</v>
      </c>
      <c r="D8171" s="1" t="s">
        <v>2506</v>
      </c>
      <c r="E8171" s="1" t="s">
        <v>2019</v>
      </c>
      <c r="F8171" s="1" t="s">
        <v>814</v>
      </c>
      <c r="G8171" s="6">
        <v>34134</v>
      </c>
      <c r="H8171" t="str">
        <f>IFERROR(VLOOKUP(F8171,'LEAID Match'!$A$2:$B$142,2,FALSE),"")</f>
        <v/>
      </c>
    </row>
    <row r="8172" spans="1:8" x14ac:dyDescent="0.2">
      <c r="A8172" t="str">
        <f t="shared" si="127"/>
        <v/>
      </c>
      <c r="B8172" s="1">
        <v>2021</v>
      </c>
      <c r="C8172" s="1" t="s">
        <v>2505</v>
      </c>
      <c r="D8172" s="1" t="s">
        <v>2506</v>
      </c>
      <c r="E8172" s="1" t="s">
        <v>2019</v>
      </c>
      <c r="F8172" s="1" t="s">
        <v>814</v>
      </c>
      <c r="G8172" s="6">
        <v>34337</v>
      </c>
      <c r="H8172" t="str">
        <f>IFERROR(VLOOKUP(F8172,'LEAID Match'!$A$2:$B$142,2,FALSE),"")</f>
        <v/>
      </c>
    </row>
    <row r="8173" spans="1:8" x14ac:dyDescent="0.2">
      <c r="A8173" t="str">
        <f t="shared" si="127"/>
        <v/>
      </c>
      <c r="B8173" s="1">
        <v>2022</v>
      </c>
      <c r="C8173" s="1" t="s">
        <v>2505</v>
      </c>
      <c r="D8173" s="1" t="s">
        <v>2506</v>
      </c>
      <c r="E8173" s="1" t="s">
        <v>2019</v>
      </c>
      <c r="F8173" s="1" t="s">
        <v>814</v>
      </c>
      <c r="G8173" s="6">
        <v>31542</v>
      </c>
      <c r="H8173" t="str">
        <f>IFERROR(VLOOKUP(F8173,'LEAID Match'!$A$2:$B$142,2,FALSE),"")</f>
        <v/>
      </c>
    </row>
    <row r="8174" spans="1:8" x14ac:dyDescent="0.2">
      <c r="A8174" t="str">
        <f t="shared" si="127"/>
        <v/>
      </c>
      <c r="B8174" s="1">
        <v>2023</v>
      </c>
      <c r="C8174" s="1" t="s">
        <v>2505</v>
      </c>
      <c r="D8174" s="1" t="s">
        <v>2506</v>
      </c>
      <c r="E8174" s="1" t="s">
        <v>2019</v>
      </c>
      <c r="F8174" s="1" t="s">
        <v>814</v>
      </c>
      <c r="G8174" s="6">
        <v>31745</v>
      </c>
      <c r="H8174" t="str">
        <f>IFERROR(VLOOKUP(F8174,'LEAID Match'!$A$2:$B$142,2,FALSE),"")</f>
        <v/>
      </c>
    </row>
    <row r="8175" spans="1:8" x14ac:dyDescent="0.2">
      <c r="A8175" t="str">
        <f t="shared" si="127"/>
        <v/>
      </c>
      <c r="B8175" s="1">
        <v>2024</v>
      </c>
      <c r="C8175" s="1" t="s">
        <v>2505</v>
      </c>
      <c r="D8175" s="1" t="s">
        <v>2506</v>
      </c>
      <c r="E8175" s="1" t="s">
        <v>2019</v>
      </c>
      <c r="F8175" s="1" t="s">
        <v>814</v>
      </c>
      <c r="G8175" s="6">
        <v>32443</v>
      </c>
      <c r="H8175" t="str">
        <f>IFERROR(VLOOKUP(F8175,'LEAID Match'!$A$2:$B$142,2,FALSE),"")</f>
        <v/>
      </c>
    </row>
    <row r="8176" spans="1:8" x14ac:dyDescent="0.2">
      <c r="A8176" t="str">
        <f t="shared" si="127"/>
        <v/>
      </c>
      <c r="B8176" s="1">
        <v>2015</v>
      </c>
      <c r="C8176" s="1" t="s">
        <v>2505</v>
      </c>
      <c r="D8176" s="1" t="s">
        <v>2506</v>
      </c>
      <c r="E8176" s="1" t="s">
        <v>2019</v>
      </c>
      <c r="F8176" s="1" t="s">
        <v>815</v>
      </c>
      <c r="G8176" s="6">
        <v>265792</v>
      </c>
      <c r="H8176" t="str">
        <f>IFERROR(VLOOKUP(F8176,'LEAID Match'!$A$2:$B$142,2,FALSE),"")</f>
        <v/>
      </c>
    </row>
    <row r="8177" spans="1:8" x14ac:dyDescent="0.2">
      <c r="A8177" t="str">
        <f t="shared" si="127"/>
        <v/>
      </c>
      <c r="B8177">
        <v>2016</v>
      </c>
      <c r="C8177" s="1" t="s">
        <v>2505</v>
      </c>
      <c r="D8177" s="1" t="s">
        <v>2506</v>
      </c>
      <c r="E8177" s="1" t="s">
        <v>2019</v>
      </c>
      <c r="F8177" s="1" t="s">
        <v>815</v>
      </c>
      <c r="G8177" s="12">
        <v>260841</v>
      </c>
      <c r="H8177" t="str">
        <f>IFERROR(VLOOKUP(F8177,'LEAID Match'!$A$2:$B$142,2,FALSE),"")</f>
        <v/>
      </c>
    </row>
    <row r="8178" spans="1:8" x14ac:dyDescent="0.2">
      <c r="A8178" t="str">
        <f t="shared" si="127"/>
        <v/>
      </c>
      <c r="B8178" s="1">
        <v>2017</v>
      </c>
      <c r="C8178" s="1" t="s">
        <v>2505</v>
      </c>
      <c r="D8178" s="1" t="s">
        <v>2506</v>
      </c>
      <c r="E8178" s="1" t="s">
        <v>2019</v>
      </c>
      <c r="F8178" s="1" t="s">
        <v>815</v>
      </c>
      <c r="G8178" s="47">
        <v>264805</v>
      </c>
      <c r="H8178" t="str">
        <f>IFERROR(VLOOKUP(F8178,'LEAID Match'!$A$2:$B$142,2,FALSE),"")</f>
        <v/>
      </c>
    </row>
    <row r="8179" spans="1:8" x14ac:dyDescent="0.2">
      <c r="A8179" t="str">
        <f t="shared" si="127"/>
        <v/>
      </c>
      <c r="B8179" s="1">
        <v>2018</v>
      </c>
      <c r="C8179" s="1" t="s">
        <v>2505</v>
      </c>
      <c r="D8179" s="1" t="s">
        <v>2506</v>
      </c>
      <c r="E8179" s="1" t="s">
        <v>2019</v>
      </c>
      <c r="F8179" s="1" t="s">
        <v>815</v>
      </c>
      <c r="G8179" s="6">
        <v>256628</v>
      </c>
      <c r="H8179" t="str">
        <f>IFERROR(VLOOKUP(F8179,'LEAID Match'!$A$2:$B$142,2,FALSE),"")</f>
        <v/>
      </c>
    </row>
    <row r="8180" spans="1:8" x14ac:dyDescent="0.2">
      <c r="A8180" t="str">
        <f t="shared" si="127"/>
        <v/>
      </c>
      <c r="B8180" s="1">
        <v>2019</v>
      </c>
      <c r="C8180" s="1" t="s">
        <v>2505</v>
      </c>
      <c r="D8180" s="1" t="s">
        <v>2506</v>
      </c>
      <c r="E8180" s="1" t="s">
        <v>2019</v>
      </c>
      <c r="F8180" s="1" t="s">
        <v>815</v>
      </c>
      <c r="G8180" s="6">
        <v>267604</v>
      </c>
      <c r="H8180" t="str">
        <f>IFERROR(VLOOKUP(F8180,'LEAID Match'!$A$2:$B$142,2,FALSE),"")</f>
        <v/>
      </c>
    </row>
    <row r="8181" spans="1:8" x14ac:dyDescent="0.2">
      <c r="A8181" t="str">
        <f t="shared" si="127"/>
        <v/>
      </c>
      <c r="B8181" s="1">
        <v>2020</v>
      </c>
      <c r="C8181" s="1" t="s">
        <v>2505</v>
      </c>
      <c r="D8181" s="1" t="s">
        <v>2506</v>
      </c>
      <c r="E8181" s="1" t="s">
        <v>2019</v>
      </c>
      <c r="F8181" s="1" t="s">
        <v>815</v>
      </c>
      <c r="G8181" s="6">
        <v>298340</v>
      </c>
      <c r="H8181" t="str">
        <f>IFERROR(VLOOKUP(F8181,'LEAID Match'!$A$2:$B$142,2,FALSE),"")</f>
        <v/>
      </c>
    </row>
    <row r="8182" spans="1:8" x14ac:dyDescent="0.2">
      <c r="A8182" t="str">
        <f t="shared" si="127"/>
        <v/>
      </c>
      <c r="B8182" s="1">
        <v>2021</v>
      </c>
      <c r="C8182" s="1" t="s">
        <v>2505</v>
      </c>
      <c r="D8182" s="1" t="s">
        <v>2506</v>
      </c>
      <c r="E8182" s="1" t="s">
        <v>2019</v>
      </c>
      <c r="F8182" s="1" t="s">
        <v>815</v>
      </c>
      <c r="G8182" s="6">
        <v>306559</v>
      </c>
      <c r="H8182" t="str">
        <f>IFERROR(VLOOKUP(F8182,'LEAID Match'!$A$2:$B$142,2,FALSE),"")</f>
        <v/>
      </c>
    </row>
    <row r="8183" spans="1:8" x14ac:dyDescent="0.2">
      <c r="A8183" t="str">
        <f t="shared" si="127"/>
        <v/>
      </c>
      <c r="B8183" s="1">
        <v>2022</v>
      </c>
      <c r="C8183" s="1" t="s">
        <v>2505</v>
      </c>
      <c r="D8183" s="1" t="s">
        <v>2506</v>
      </c>
      <c r="E8183" s="1" t="s">
        <v>2019</v>
      </c>
      <c r="F8183" s="1" t="s">
        <v>815</v>
      </c>
      <c r="G8183" s="6">
        <v>317192</v>
      </c>
      <c r="H8183" t="str">
        <f>IFERROR(VLOOKUP(F8183,'LEAID Match'!$A$2:$B$142,2,FALSE),"")</f>
        <v/>
      </c>
    </row>
    <row r="8184" spans="1:8" x14ac:dyDescent="0.2">
      <c r="A8184" t="str">
        <f t="shared" si="127"/>
        <v/>
      </c>
      <c r="B8184" s="1">
        <v>2023</v>
      </c>
      <c r="C8184" s="1" t="s">
        <v>2505</v>
      </c>
      <c r="D8184" s="1" t="s">
        <v>2506</v>
      </c>
      <c r="E8184" s="1" t="s">
        <v>2019</v>
      </c>
      <c r="F8184" s="1" t="s">
        <v>815</v>
      </c>
      <c r="G8184" s="6">
        <v>339625</v>
      </c>
      <c r="H8184" t="str">
        <f>IFERROR(VLOOKUP(F8184,'LEAID Match'!$A$2:$B$142,2,FALSE),"")</f>
        <v/>
      </c>
    </row>
    <row r="8185" spans="1:8" x14ac:dyDescent="0.2">
      <c r="A8185" t="str">
        <f t="shared" si="127"/>
        <v/>
      </c>
      <c r="B8185" s="1">
        <v>2024</v>
      </c>
      <c r="C8185" s="1" t="s">
        <v>2505</v>
      </c>
      <c r="D8185" s="1" t="s">
        <v>2506</v>
      </c>
      <c r="E8185" s="1" t="s">
        <v>2019</v>
      </c>
      <c r="F8185" s="1" t="s">
        <v>815</v>
      </c>
      <c r="G8185" s="6">
        <v>350045</v>
      </c>
      <c r="H8185" t="str">
        <f>IFERROR(VLOOKUP(F8185,'LEAID Match'!$A$2:$B$142,2,FALSE),"")</f>
        <v/>
      </c>
    </row>
    <row r="8186" spans="1:8" x14ac:dyDescent="0.2">
      <c r="A8186">
        <f t="shared" si="127"/>
        <v>2804560</v>
      </c>
      <c r="B8186" s="1">
        <v>2015</v>
      </c>
      <c r="C8186" s="1" t="s">
        <v>2505</v>
      </c>
      <c r="D8186" s="1" t="s">
        <v>2506</v>
      </c>
      <c r="E8186" s="1" t="s">
        <v>2019</v>
      </c>
      <c r="F8186" s="1" t="s">
        <v>816</v>
      </c>
      <c r="G8186" s="6">
        <v>1317264</v>
      </c>
      <c r="H8186">
        <f>IFERROR(VLOOKUP(F8186,'LEAID Match'!$A$2:$B$142,2,FALSE),"")</f>
        <v>2804560</v>
      </c>
    </row>
    <row r="8187" spans="1:8" x14ac:dyDescent="0.2">
      <c r="A8187">
        <f t="shared" si="127"/>
        <v>2804560</v>
      </c>
      <c r="B8187">
        <v>2016</v>
      </c>
      <c r="C8187" s="1" t="s">
        <v>2505</v>
      </c>
      <c r="D8187" s="1" t="s">
        <v>2506</v>
      </c>
      <c r="E8187" s="1" t="s">
        <v>2019</v>
      </c>
      <c r="F8187" s="1" t="s">
        <v>816</v>
      </c>
      <c r="G8187" s="12">
        <v>1383657</v>
      </c>
      <c r="H8187">
        <f>IFERROR(VLOOKUP(F8187,'LEAID Match'!$A$2:$B$142,2,FALSE),"")</f>
        <v>2804560</v>
      </c>
    </row>
    <row r="8188" spans="1:8" x14ac:dyDescent="0.2">
      <c r="A8188">
        <f t="shared" si="127"/>
        <v>2804560</v>
      </c>
      <c r="B8188" s="1">
        <v>2017</v>
      </c>
      <c r="C8188" s="1" t="s">
        <v>2505</v>
      </c>
      <c r="D8188" s="1" t="s">
        <v>2506</v>
      </c>
      <c r="E8188" s="1" t="s">
        <v>2019</v>
      </c>
      <c r="F8188" s="1" t="s">
        <v>816</v>
      </c>
      <c r="G8188" s="47">
        <v>1358747</v>
      </c>
      <c r="H8188">
        <f>IFERROR(VLOOKUP(F8188,'LEAID Match'!$A$2:$B$142,2,FALSE),"")</f>
        <v>2804560</v>
      </c>
    </row>
    <row r="8189" spans="1:8" x14ac:dyDescent="0.2">
      <c r="A8189">
        <f t="shared" si="127"/>
        <v>2804560</v>
      </c>
      <c r="B8189" s="1">
        <v>2018</v>
      </c>
      <c r="C8189" s="1" t="s">
        <v>2505</v>
      </c>
      <c r="D8189" s="1" t="s">
        <v>2506</v>
      </c>
      <c r="E8189" s="1" t="s">
        <v>2019</v>
      </c>
      <c r="F8189" s="1" t="s">
        <v>816</v>
      </c>
      <c r="G8189" s="6">
        <v>1241367</v>
      </c>
      <c r="H8189">
        <f>IFERROR(VLOOKUP(F8189,'LEAID Match'!$A$2:$B$142,2,FALSE),"")</f>
        <v>2804560</v>
      </c>
    </row>
    <row r="8190" spans="1:8" x14ac:dyDescent="0.2">
      <c r="A8190">
        <f t="shared" si="127"/>
        <v>2804560</v>
      </c>
      <c r="B8190" s="1">
        <v>2019</v>
      </c>
      <c r="C8190" s="1" t="s">
        <v>2505</v>
      </c>
      <c r="D8190" s="1" t="s">
        <v>2506</v>
      </c>
      <c r="E8190" s="1" t="s">
        <v>2019</v>
      </c>
      <c r="F8190" s="1" t="s">
        <v>816</v>
      </c>
      <c r="G8190" s="6">
        <v>1396650</v>
      </c>
      <c r="H8190">
        <f>IFERROR(VLOOKUP(F8190,'LEAID Match'!$A$2:$B$142,2,FALSE),"")</f>
        <v>2804560</v>
      </c>
    </row>
    <row r="8191" spans="1:8" x14ac:dyDescent="0.2">
      <c r="A8191">
        <f t="shared" si="127"/>
        <v>2804560</v>
      </c>
      <c r="B8191" s="1">
        <v>2020</v>
      </c>
      <c r="C8191" s="1" t="s">
        <v>2505</v>
      </c>
      <c r="D8191" s="1" t="s">
        <v>2506</v>
      </c>
      <c r="E8191" s="1" t="s">
        <v>2019</v>
      </c>
      <c r="F8191" s="1" t="s">
        <v>816</v>
      </c>
      <c r="G8191" s="6">
        <v>1611494</v>
      </c>
      <c r="H8191">
        <f>IFERROR(VLOOKUP(F8191,'LEAID Match'!$A$2:$B$142,2,FALSE),"")</f>
        <v>2804560</v>
      </c>
    </row>
    <row r="8192" spans="1:8" x14ac:dyDescent="0.2">
      <c r="A8192">
        <f t="shared" si="127"/>
        <v>2804560</v>
      </c>
      <c r="B8192" s="1">
        <v>2021</v>
      </c>
      <c r="C8192" s="1" t="s">
        <v>2505</v>
      </c>
      <c r="D8192" s="1" t="s">
        <v>2506</v>
      </c>
      <c r="E8192" s="1" t="s">
        <v>2019</v>
      </c>
      <c r="F8192" s="1" t="s">
        <v>816</v>
      </c>
      <c r="G8192" s="6">
        <v>1669268</v>
      </c>
      <c r="H8192">
        <f>IFERROR(VLOOKUP(F8192,'LEAID Match'!$A$2:$B$142,2,FALSE),"")</f>
        <v>2804560</v>
      </c>
    </row>
    <row r="8193" spans="1:8" x14ac:dyDescent="0.2">
      <c r="A8193">
        <f t="shared" si="127"/>
        <v>2804560</v>
      </c>
      <c r="B8193" s="1">
        <v>2022</v>
      </c>
      <c r="C8193" s="1" t="s">
        <v>2505</v>
      </c>
      <c r="D8193" s="1" t="s">
        <v>2506</v>
      </c>
      <c r="E8193" s="1" t="s">
        <v>2019</v>
      </c>
      <c r="F8193" s="1" t="s">
        <v>816</v>
      </c>
      <c r="G8193" s="6">
        <v>1717806</v>
      </c>
      <c r="H8193">
        <f>IFERROR(VLOOKUP(F8193,'LEAID Match'!$A$2:$B$142,2,FALSE),"")</f>
        <v>2804560</v>
      </c>
    </row>
    <row r="8194" spans="1:8" x14ac:dyDescent="0.2">
      <c r="A8194">
        <f t="shared" si="127"/>
        <v>2804560</v>
      </c>
      <c r="B8194" s="1">
        <v>2023</v>
      </c>
      <c r="C8194" s="1" t="s">
        <v>2505</v>
      </c>
      <c r="D8194" s="1" t="s">
        <v>2506</v>
      </c>
      <c r="E8194" s="1" t="s">
        <v>2019</v>
      </c>
      <c r="F8194" s="1" t="s">
        <v>816</v>
      </c>
      <c r="G8194" s="6">
        <v>1905063</v>
      </c>
      <c r="H8194">
        <f>IFERROR(VLOOKUP(F8194,'LEAID Match'!$A$2:$B$142,2,FALSE),"")</f>
        <v>2804560</v>
      </c>
    </row>
    <row r="8195" spans="1:8" x14ac:dyDescent="0.2">
      <c r="A8195">
        <f t="shared" ref="A8195:A8258" si="128">H8195</f>
        <v>2804560</v>
      </c>
      <c r="B8195" s="1">
        <v>2024</v>
      </c>
      <c r="C8195" s="1" t="s">
        <v>2505</v>
      </c>
      <c r="D8195" s="1" t="s">
        <v>2506</v>
      </c>
      <c r="E8195" s="1" t="s">
        <v>2019</v>
      </c>
      <c r="F8195" s="1" t="s">
        <v>816</v>
      </c>
      <c r="G8195" s="6">
        <v>1930242</v>
      </c>
      <c r="H8195">
        <f>IFERROR(VLOOKUP(F8195,'LEAID Match'!$A$2:$B$142,2,FALSE),"")</f>
        <v>2804560</v>
      </c>
    </row>
    <row r="8196" spans="1:8" x14ac:dyDescent="0.2">
      <c r="A8196" t="str">
        <f t="shared" si="128"/>
        <v/>
      </c>
      <c r="B8196" s="1">
        <v>2015</v>
      </c>
      <c r="C8196" s="1" t="s">
        <v>2505</v>
      </c>
      <c r="D8196" s="1" t="s">
        <v>2506</v>
      </c>
      <c r="E8196" s="1" t="s">
        <v>2019</v>
      </c>
      <c r="F8196" s="1" t="s">
        <v>817</v>
      </c>
      <c r="G8196" s="6">
        <v>1477607</v>
      </c>
      <c r="H8196" t="str">
        <f>IFERROR(VLOOKUP(F8196,'LEAID Match'!$A$2:$B$142,2,FALSE),"")</f>
        <v/>
      </c>
    </row>
    <row r="8197" spans="1:8" x14ac:dyDescent="0.2">
      <c r="A8197" t="str">
        <f t="shared" si="128"/>
        <v/>
      </c>
      <c r="B8197">
        <v>2016</v>
      </c>
      <c r="C8197" s="1" t="s">
        <v>2505</v>
      </c>
      <c r="D8197" s="1" t="s">
        <v>2506</v>
      </c>
      <c r="E8197" s="1" t="s">
        <v>2019</v>
      </c>
      <c r="F8197" s="1" t="s">
        <v>817</v>
      </c>
      <c r="G8197" s="12">
        <v>1598058</v>
      </c>
      <c r="H8197" t="str">
        <f>IFERROR(VLOOKUP(F8197,'LEAID Match'!$A$2:$B$142,2,FALSE),"")</f>
        <v/>
      </c>
    </row>
    <row r="8198" spans="1:8" x14ac:dyDescent="0.2">
      <c r="A8198" t="str">
        <f t="shared" si="128"/>
        <v/>
      </c>
      <c r="B8198" s="1">
        <v>2017</v>
      </c>
      <c r="C8198" s="1" t="s">
        <v>2505</v>
      </c>
      <c r="D8198" s="1" t="s">
        <v>2506</v>
      </c>
      <c r="E8198" s="1" t="s">
        <v>2019</v>
      </c>
      <c r="F8198" s="1" t="s">
        <v>817</v>
      </c>
      <c r="G8198" s="47">
        <v>1651627</v>
      </c>
      <c r="H8198" t="str">
        <f>IFERROR(VLOOKUP(F8198,'LEAID Match'!$A$2:$B$142,2,FALSE),"")</f>
        <v/>
      </c>
    </row>
    <row r="8199" spans="1:8" x14ac:dyDescent="0.2">
      <c r="A8199" t="str">
        <f t="shared" si="128"/>
        <v/>
      </c>
      <c r="B8199" s="1">
        <v>2018</v>
      </c>
      <c r="C8199" s="1" t="s">
        <v>2505</v>
      </c>
      <c r="D8199" s="1" t="s">
        <v>2506</v>
      </c>
      <c r="E8199" s="1" t="s">
        <v>2019</v>
      </c>
      <c r="F8199" s="1" t="s">
        <v>817</v>
      </c>
      <c r="G8199" s="6">
        <v>1938346</v>
      </c>
      <c r="H8199" t="str">
        <f>IFERROR(VLOOKUP(F8199,'LEAID Match'!$A$2:$B$142,2,FALSE),"")</f>
        <v/>
      </c>
    </row>
    <row r="8200" spans="1:8" x14ac:dyDescent="0.2">
      <c r="A8200" t="str">
        <f t="shared" si="128"/>
        <v/>
      </c>
      <c r="B8200" s="1">
        <v>2019</v>
      </c>
      <c r="C8200" s="1" t="s">
        <v>2505</v>
      </c>
      <c r="D8200" s="1" t="s">
        <v>2506</v>
      </c>
      <c r="E8200" s="1" t="s">
        <v>2019</v>
      </c>
      <c r="F8200" s="1" t="s">
        <v>817</v>
      </c>
      <c r="G8200" s="6">
        <v>2073528</v>
      </c>
      <c r="H8200" t="str">
        <f>IFERROR(VLOOKUP(F8200,'LEAID Match'!$A$2:$B$142,2,FALSE),"")</f>
        <v/>
      </c>
    </row>
    <row r="8201" spans="1:8" x14ac:dyDescent="0.2">
      <c r="A8201" t="str">
        <f t="shared" si="128"/>
        <v/>
      </c>
      <c r="B8201" s="1">
        <v>2020</v>
      </c>
      <c r="C8201" s="1" t="s">
        <v>2505</v>
      </c>
      <c r="D8201" s="1" t="s">
        <v>2506</v>
      </c>
      <c r="E8201" s="1" t="s">
        <v>2019</v>
      </c>
      <c r="F8201" s="1" t="s">
        <v>817</v>
      </c>
      <c r="G8201" s="6">
        <v>2232635</v>
      </c>
      <c r="H8201" t="str">
        <f>IFERROR(VLOOKUP(F8201,'LEAID Match'!$A$2:$B$142,2,FALSE),"")</f>
        <v/>
      </c>
    </row>
    <row r="8202" spans="1:8" x14ac:dyDescent="0.2">
      <c r="A8202" t="str">
        <f t="shared" si="128"/>
        <v/>
      </c>
      <c r="B8202" s="1">
        <v>2021</v>
      </c>
      <c r="C8202" s="1" t="s">
        <v>2505</v>
      </c>
      <c r="D8202" s="1" t="s">
        <v>2506</v>
      </c>
      <c r="E8202" s="1" t="s">
        <v>2019</v>
      </c>
      <c r="F8202" s="1" t="s">
        <v>817</v>
      </c>
      <c r="G8202" s="6">
        <v>1856577</v>
      </c>
      <c r="H8202" t="str">
        <f>IFERROR(VLOOKUP(F8202,'LEAID Match'!$A$2:$B$142,2,FALSE),"")</f>
        <v/>
      </c>
    </row>
    <row r="8203" spans="1:8" x14ac:dyDescent="0.2">
      <c r="A8203" t="str">
        <f t="shared" si="128"/>
        <v/>
      </c>
      <c r="B8203" s="1">
        <v>2022</v>
      </c>
      <c r="C8203" s="1" t="s">
        <v>2505</v>
      </c>
      <c r="D8203" s="1" t="s">
        <v>2506</v>
      </c>
      <c r="E8203" s="1" t="s">
        <v>2019</v>
      </c>
      <c r="F8203" s="1" t="s">
        <v>817</v>
      </c>
      <c r="G8203" s="6">
        <v>1717139</v>
      </c>
      <c r="H8203" t="str">
        <f>IFERROR(VLOOKUP(F8203,'LEAID Match'!$A$2:$B$142,2,FALSE),"")</f>
        <v/>
      </c>
    </row>
    <row r="8204" spans="1:8" x14ac:dyDescent="0.2">
      <c r="A8204" t="str">
        <f t="shared" si="128"/>
        <v/>
      </c>
      <c r="B8204" s="1">
        <v>2023</v>
      </c>
      <c r="C8204" s="1" t="s">
        <v>2505</v>
      </c>
      <c r="D8204" s="1" t="s">
        <v>2506</v>
      </c>
      <c r="E8204" s="1" t="s">
        <v>2019</v>
      </c>
      <c r="F8204" s="1" t="s">
        <v>817</v>
      </c>
      <c r="G8204" s="6">
        <v>1762899</v>
      </c>
      <c r="H8204" t="str">
        <f>IFERROR(VLOOKUP(F8204,'LEAID Match'!$A$2:$B$142,2,FALSE),"")</f>
        <v/>
      </c>
    </row>
    <row r="8205" spans="1:8" x14ac:dyDescent="0.2">
      <c r="A8205" t="str">
        <f t="shared" si="128"/>
        <v/>
      </c>
      <c r="B8205" s="1">
        <v>2024</v>
      </c>
      <c r="C8205" s="1" t="s">
        <v>2505</v>
      </c>
      <c r="D8205" s="1" t="s">
        <v>2506</v>
      </c>
      <c r="E8205" s="1" t="s">
        <v>2019</v>
      </c>
      <c r="F8205" s="1" t="s">
        <v>817</v>
      </c>
      <c r="G8205" s="6">
        <v>1729821</v>
      </c>
      <c r="H8205" t="str">
        <f>IFERROR(VLOOKUP(F8205,'LEAID Match'!$A$2:$B$142,2,FALSE),"")</f>
        <v/>
      </c>
    </row>
    <row r="8206" spans="1:8" x14ac:dyDescent="0.2">
      <c r="A8206" t="str">
        <f t="shared" si="128"/>
        <v/>
      </c>
      <c r="B8206" s="1">
        <v>2015</v>
      </c>
      <c r="C8206" s="1" t="s">
        <v>2505</v>
      </c>
      <c r="D8206" s="1" t="s">
        <v>2506</v>
      </c>
      <c r="E8206" s="1" t="s">
        <v>2019</v>
      </c>
      <c r="F8206" s="1" t="s">
        <v>818</v>
      </c>
      <c r="G8206" s="6">
        <v>8885</v>
      </c>
      <c r="H8206" t="str">
        <f>IFERROR(VLOOKUP(F8206,'LEAID Match'!$A$2:$B$142,2,FALSE),"")</f>
        <v/>
      </c>
    </row>
    <row r="8207" spans="1:8" x14ac:dyDescent="0.2">
      <c r="A8207" t="str">
        <f t="shared" si="128"/>
        <v/>
      </c>
      <c r="B8207">
        <v>2016</v>
      </c>
      <c r="C8207" s="1" t="s">
        <v>2505</v>
      </c>
      <c r="D8207" s="1" t="s">
        <v>2506</v>
      </c>
      <c r="E8207" s="1" t="s">
        <v>2019</v>
      </c>
      <c r="F8207" s="1" t="s">
        <v>818</v>
      </c>
      <c r="G8207" s="12">
        <v>11692</v>
      </c>
      <c r="H8207" t="str">
        <f>IFERROR(VLOOKUP(F8207,'LEAID Match'!$A$2:$B$142,2,FALSE),"")</f>
        <v/>
      </c>
    </row>
    <row r="8208" spans="1:8" x14ac:dyDescent="0.2">
      <c r="A8208" t="str">
        <f t="shared" si="128"/>
        <v/>
      </c>
      <c r="B8208" s="1">
        <v>2017</v>
      </c>
      <c r="C8208" s="1" t="s">
        <v>2505</v>
      </c>
      <c r="D8208" s="1" t="s">
        <v>2506</v>
      </c>
      <c r="E8208" s="1" t="s">
        <v>2019</v>
      </c>
      <c r="F8208" s="1" t="s">
        <v>818</v>
      </c>
      <c r="G8208" s="47">
        <v>14545</v>
      </c>
      <c r="H8208" t="str">
        <f>IFERROR(VLOOKUP(F8208,'LEAID Match'!$A$2:$B$142,2,FALSE),"")</f>
        <v/>
      </c>
    </row>
    <row r="8209" spans="1:8" x14ac:dyDescent="0.2">
      <c r="A8209" t="str">
        <f t="shared" si="128"/>
        <v/>
      </c>
      <c r="B8209" s="1">
        <v>2018</v>
      </c>
      <c r="C8209" s="1" t="s">
        <v>2505</v>
      </c>
      <c r="D8209" s="1" t="s">
        <v>2506</v>
      </c>
      <c r="E8209" s="1" t="s">
        <v>2019</v>
      </c>
      <c r="F8209" s="1" t="s">
        <v>818</v>
      </c>
      <c r="G8209" s="6">
        <v>12764</v>
      </c>
      <c r="H8209" t="str">
        <f>IFERROR(VLOOKUP(F8209,'LEAID Match'!$A$2:$B$142,2,FALSE),"")</f>
        <v/>
      </c>
    </row>
    <row r="8210" spans="1:8" x14ac:dyDescent="0.2">
      <c r="A8210" t="str">
        <f t="shared" si="128"/>
        <v/>
      </c>
      <c r="B8210" s="1">
        <v>2019</v>
      </c>
      <c r="C8210" s="1" t="s">
        <v>2505</v>
      </c>
      <c r="D8210" s="1" t="s">
        <v>2506</v>
      </c>
      <c r="E8210" s="1" t="s">
        <v>2019</v>
      </c>
      <c r="F8210" s="1" t="s">
        <v>818</v>
      </c>
      <c r="G8210" s="6">
        <v>11363</v>
      </c>
      <c r="H8210" t="str">
        <f>IFERROR(VLOOKUP(F8210,'LEAID Match'!$A$2:$B$142,2,FALSE),"")</f>
        <v/>
      </c>
    </row>
    <row r="8211" spans="1:8" x14ac:dyDescent="0.2">
      <c r="A8211" t="str">
        <f t="shared" si="128"/>
        <v/>
      </c>
      <c r="B8211" s="1">
        <v>2020</v>
      </c>
      <c r="C8211" s="1" t="s">
        <v>2505</v>
      </c>
      <c r="D8211" s="1" t="s">
        <v>2506</v>
      </c>
      <c r="E8211" s="1" t="s">
        <v>2019</v>
      </c>
      <c r="F8211" s="1" t="s">
        <v>818</v>
      </c>
      <c r="G8211" s="6">
        <v>11703</v>
      </c>
      <c r="H8211" t="str">
        <f>IFERROR(VLOOKUP(F8211,'LEAID Match'!$A$2:$B$142,2,FALSE),"")</f>
        <v/>
      </c>
    </row>
    <row r="8212" spans="1:8" x14ac:dyDescent="0.2">
      <c r="A8212" t="str">
        <f t="shared" si="128"/>
        <v/>
      </c>
      <c r="B8212" s="1">
        <v>2021</v>
      </c>
      <c r="C8212" s="1" t="s">
        <v>2505</v>
      </c>
      <c r="D8212" s="1" t="s">
        <v>2506</v>
      </c>
      <c r="E8212" s="1" t="s">
        <v>2019</v>
      </c>
      <c r="F8212" s="1" t="s">
        <v>818</v>
      </c>
      <c r="G8212" s="6">
        <v>13883</v>
      </c>
      <c r="H8212" t="str">
        <f>IFERROR(VLOOKUP(F8212,'LEAID Match'!$A$2:$B$142,2,FALSE),"")</f>
        <v/>
      </c>
    </row>
    <row r="8213" spans="1:8" x14ac:dyDescent="0.2">
      <c r="A8213" t="str">
        <f t="shared" si="128"/>
        <v/>
      </c>
      <c r="B8213" s="1">
        <v>2022</v>
      </c>
      <c r="C8213" s="1" t="s">
        <v>2505</v>
      </c>
      <c r="D8213" s="1" t="s">
        <v>2506</v>
      </c>
      <c r="E8213" s="1" t="s">
        <v>2019</v>
      </c>
      <c r="F8213" s="1" t="s">
        <v>818</v>
      </c>
      <c r="G8213" s="6">
        <v>19275</v>
      </c>
      <c r="H8213" t="str">
        <f>IFERROR(VLOOKUP(F8213,'LEAID Match'!$A$2:$B$142,2,FALSE),"")</f>
        <v/>
      </c>
    </row>
    <row r="8214" spans="1:8" x14ac:dyDescent="0.2">
      <c r="A8214" t="str">
        <f t="shared" si="128"/>
        <v/>
      </c>
      <c r="B8214" s="1">
        <v>2023</v>
      </c>
      <c r="C8214" s="1" t="s">
        <v>2505</v>
      </c>
      <c r="D8214" s="1" t="s">
        <v>2506</v>
      </c>
      <c r="E8214" s="1" t="s">
        <v>2019</v>
      </c>
      <c r="F8214" s="1" t="s">
        <v>818</v>
      </c>
      <c r="G8214" s="6">
        <v>19888</v>
      </c>
      <c r="H8214" t="str">
        <f>IFERROR(VLOOKUP(F8214,'LEAID Match'!$A$2:$B$142,2,FALSE),"")</f>
        <v/>
      </c>
    </row>
    <row r="8215" spans="1:8" x14ac:dyDescent="0.2">
      <c r="A8215" t="str">
        <f t="shared" si="128"/>
        <v/>
      </c>
      <c r="B8215" s="1">
        <v>2024</v>
      </c>
      <c r="C8215" s="1" t="s">
        <v>2505</v>
      </c>
      <c r="D8215" s="1" t="s">
        <v>2506</v>
      </c>
      <c r="E8215" s="1" t="s">
        <v>2019</v>
      </c>
      <c r="F8215" s="1" t="s">
        <v>818</v>
      </c>
      <c r="G8215" s="6">
        <v>15462</v>
      </c>
      <c r="H8215" t="str">
        <f>IFERROR(VLOOKUP(F8215,'LEAID Match'!$A$2:$B$142,2,FALSE),"")</f>
        <v/>
      </c>
    </row>
    <row r="8216" spans="1:8" x14ac:dyDescent="0.2">
      <c r="A8216" t="str">
        <f t="shared" si="128"/>
        <v/>
      </c>
      <c r="B8216" s="1">
        <v>2015</v>
      </c>
      <c r="C8216" s="1" t="s">
        <v>2505</v>
      </c>
      <c r="D8216" s="1" t="s">
        <v>2506</v>
      </c>
      <c r="E8216" s="1" t="s">
        <v>2019</v>
      </c>
      <c r="F8216" s="1" t="s">
        <v>819</v>
      </c>
      <c r="G8216" s="6">
        <v>54548</v>
      </c>
      <c r="H8216" t="str">
        <f>IFERROR(VLOOKUP(F8216,'LEAID Match'!$A$2:$B$142,2,FALSE),"")</f>
        <v/>
      </c>
    </row>
    <row r="8217" spans="1:8" x14ac:dyDescent="0.2">
      <c r="A8217" t="str">
        <f t="shared" si="128"/>
        <v/>
      </c>
      <c r="B8217">
        <v>2016</v>
      </c>
      <c r="C8217" s="1" t="s">
        <v>2505</v>
      </c>
      <c r="D8217" s="1" t="s">
        <v>2506</v>
      </c>
      <c r="E8217" s="1" t="s">
        <v>2019</v>
      </c>
      <c r="F8217" s="1" t="s">
        <v>819</v>
      </c>
      <c r="G8217" s="12">
        <v>60275</v>
      </c>
      <c r="H8217" t="str">
        <f>IFERROR(VLOOKUP(F8217,'LEAID Match'!$A$2:$B$142,2,FALSE),"")</f>
        <v/>
      </c>
    </row>
    <row r="8218" spans="1:8" x14ac:dyDescent="0.2">
      <c r="A8218" t="str">
        <f t="shared" si="128"/>
        <v/>
      </c>
      <c r="B8218" s="1">
        <v>2017</v>
      </c>
      <c r="C8218" s="1" t="s">
        <v>2505</v>
      </c>
      <c r="D8218" s="1" t="s">
        <v>2506</v>
      </c>
      <c r="E8218" s="1" t="s">
        <v>2019</v>
      </c>
      <c r="F8218" s="1" t="s">
        <v>819</v>
      </c>
      <c r="G8218" s="47">
        <v>59408</v>
      </c>
      <c r="H8218" t="str">
        <f>IFERROR(VLOOKUP(F8218,'LEAID Match'!$A$2:$B$142,2,FALSE),"")</f>
        <v/>
      </c>
    </row>
    <row r="8219" spans="1:8" x14ac:dyDescent="0.2">
      <c r="A8219" t="str">
        <f t="shared" si="128"/>
        <v/>
      </c>
      <c r="B8219" s="1">
        <v>2018</v>
      </c>
      <c r="C8219" s="1" t="s">
        <v>2505</v>
      </c>
      <c r="D8219" s="1" t="s">
        <v>2506</v>
      </c>
      <c r="E8219" s="1" t="s">
        <v>2019</v>
      </c>
      <c r="F8219" s="1" t="s">
        <v>819</v>
      </c>
      <c r="G8219" s="6">
        <v>63110</v>
      </c>
      <c r="H8219" t="str">
        <f>IFERROR(VLOOKUP(F8219,'LEAID Match'!$A$2:$B$142,2,FALSE),"")</f>
        <v/>
      </c>
    </row>
    <row r="8220" spans="1:8" x14ac:dyDescent="0.2">
      <c r="A8220" t="str">
        <f t="shared" si="128"/>
        <v/>
      </c>
      <c r="B8220" s="1">
        <v>2019</v>
      </c>
      <c r="C8220" s="1" t="s">
        <v>2505</v>
      </c>
      <c r="D8220" s="1" t="s">
        <v>2506</v>
      </c>
      <c r="E8220" s="1" t="s">
        <v>2019</v>
      </c>
      <c r="F8220" s="1" t="s">
        <v>819</v>
      </c>
      <c r="G8220" s="6">
        <v>59770</v>
      </c>
      <c r="H8220" t="str">
        <f>IFERROR(VLOOKUP(F8220,'LEAID Match'!$A$2:$B$142,2,FALSE),"")</f>
        <v/>
      </c>
    </row>
    <row r="8221" spans="1:8" x14ac:dyDescent="0.2">
      <c r="A8221" t="str">
        <f t="shared" si="128"/>
        <v/>
      </c>
      <c r="B8221" s="1">
        <v>2020</v>
      </c>
      <c r="C8221" s="1" t="s">
        <v>2505</v>
      </c>
      <c r="D8221" s="1" t="s">
        <v>2506</v>
      </c>
      <c r="E8221" s="1" t="s">
        <v>2019</v>
      </c>
      <c r="F8221" s="1" t="s">
        <v>819</v>
      </c>
      <c r="G8221" s="6">
        <v>63471</v>
      </c>
      <c r="H8221" t="str">
        <f>IFERROR(VLOOKUP(F8221,'LEAID Match'!$A$2:$B$142,2,FALSE),"")</f>
        <v/>
      </c>
    </row>
    <row r="8222" spans="1:8" x14ac:dyDescent="0.2">
      <c r="A8222" t="str">
        <f t="shared" si="128"/>
        <v/>
      </c>
      <c r="B8222" s="1">
        <v>2021</v>
      </c>
      <c r="C8222" s="1" t="s">
        <v>2505</v>
      </c>
      <c r="D8222" s="1" t="s">
        <v>2506</v>
      </c>
      <c r="E8222" s="1" t="s">
        <v>2019</v>
      </c>
      <c r="F8222" s="1" t="s">
        <v>819</v>
      </c>
      <c r="G8222" s="6">
        <v>69171</v>
      </c>
      <c r="H8222" t="str">
        <f>IFERROR(VLOOKUP(F8222,'LEAID Match'!$A$2:$B$142,2,FALSE),"")</f>
        <v/>
      </c>
    </row>
    <row r="8223" spans="1:8" x14ac:dyDescent="0.2">
      <c r="A8223" t="str">
        <f t="shared" si="128"/>
        <v/>
      </c>
      <c r="B8223" s="1">
        <v>2022</v>
      </c>
      <c r="C8223" s="1" t="s">
        <v>2505</v>
      </c>
      <c r="D8223" s="1" t="s">
        <v>2506</v>
      </c>
      <c r="E8223" s="1" t="s">
        <v>2019</v>
      </c>
      <c r="F8223" s="1" t="s">
        <v>819</v>
      </c>
      <c r="G8223" s="6">
        <v>66421</v>
      </c>
      <c r="H8223" t="str">
        <f>IFERROR(VLOOKUP(F8223,'LEAID Match'!$A$2:$B$142,2,FALSE),"")</f>
        <v/>
      </c>
    </row>
    <row r="8224" spans="1:8" x14ac:dyDescent="0.2">
      <c r="A8224" t="str">
        <f t="shared" si="128"/>
        <v/>
      </c>
      <c r="B8224" s="1">
        <v>2023</v>
      </c>
      <c r="C8224" s="1" t="s">
        <v>2505</v>
      </c>
      <c r="D8224" s="1" t="s">
        <v>2506</v>
      </c>
      <c r="E8224" s="1" t="s">
        <v>2019</v>
      </c>
      <c r="F8224" s="1" t="s">
        <v>819</v>
      </c>
      <c r="G8224" s="6">
        <v>80204</v>
      </c>
      <c r="H8224" t="str">
        <f>IFERROR(VLOOKUP(F8224,'LEAID Match'!$A$2:$B$142,2,FALSE),"")</f>
        <v/>
      </c>
    </row>
    <row r="8225" spans="1:11" x14ac:dyDescent="0.2">
      <c r="A8225" t="str">
        <f t="shared" si="128"/>
        <v/>
      </c>
      <c r="B8225" s="1">
        <v>2024</v>
      </c>
      <c r="C8225" s="1" t="s">
        <v>2505</v>
      </c>
      <c r="D8225" s="1" t="s">
        <v>2506</v>
      </c>
      <c r="E8225" s="1" t="s">
        <v>2019</v>
      </c>
      <c r="F8225" s="1" t="s">
        <v>819</v>
      </c>
      <c r="G8225" s="6">
        <v>83996</v>
      </c>
      <c r="H8225" t="str">
        <f>IFERROR(VLOOKUP(F8225,'LEAID Match'!$A$2:$B$142,2,FALSE),"")</f>
        <v/>
      </c>
    </row>
    <row r="8226" spans="1:11" x14ac:dyDescent="0.2">
      <c r="A8226">
        <f t="shared" si="128"/>
        <v>2800185</v>
      </c>
      <c r="B8226" s="1">
        <v>2015</v>
      </c>
      <c r="C8226" s="1" t="s">
        <v>2505</v>
      </c>
      <c r="D8226" s="1" t="s">
        <v>2506</v>
      </c>
      <c r="E8226" s="1" t="s">
        <v>2019</v>
      </c>
      <c r="F8226" s="1" t="s">
        <v>820</v>
      </c>
      <c r="G8226" s="6">
        <v>1091911</v>
      </c>
      <c r="H8226">
        <f>IFERROR(VLOOKUP(F8226,'LEAID Match'!$A$2:$B$142,2,FALSE),"")</f>
        <v>2800185</v>
      </c>
      <c r="K8226" s="11"/>
    </row>
    <row r="8227" spans="1:11" x14ac:dyDescent="0.2">
      <c r="A8227">
        <f t="shared" si="128"/>
        <v>2800185</v>
      </c>
      <c r="B8227">
        <v>2016</v>
      </c>
      <c r="C8227" s="1" t="s">
        <v>2505</v>
      </c>
      <c r="D8227" s="1" t="s">
        <v>2506</v>
      </c>
      <c r="E8227" s="1" t="s">
        <v>2019</v>
      </c>
      <c r="F8227" s="1" t="s">
        <v>820</v>
      </c>
      <c r="G8227" s="12">
        <v>1268892</v>
      </c>
      <c r="H8227">
        <f>IFERROR(VLOOKUP(F8227,'LEAID Match'!$A$2:$B$142,2,FALSE),"")</f>
        <v>2800185</v>
      </c>
    </row>
    <row r="8228" spans="1:11" x14ac:dyDescent="0.2">
      <c r="A8228">
        <f t="shared" si="128"/>
        <v>2800185</v>
      </c>
      <c r="B8228" s="1">
        <v>2017</v>
      </c>
      <c r="C8228" s="1" t="s">
        <v>2505</v>
      </c>
      <c r="D8228" s="1" t="s">
        <v>2506</v>
      </c>
      <c r="E8228" s="1" t="s">
        <v>2019</v>
      </c>
      <c r="F8228" s="1" t="s">
        <v>820</v>
      </c>
      <c r="G8228" s="47">
        <v>1197809</v>
      </c>
      <c r="H8228">
        <f>IFERROR(VLOOKUP(F8228,'LEAID Match'!$A$2:$B$142,2,FALSE),"")</f>
        <v>2800185</v>
      </c>
    </row>
    <row r="8229" spans="1:11" x14ac:dyDescent="0.2">
      <c r="A8229">
        <f t="shared" si="128"/>
        <v>2800185</v>
      </c>
      <c r="B8229" s="1">
        <v>2018</v>
      </c>
      <c r="C8229" s="1" t="s">
        <v>2505</v>
      </c>
      <c r="D8229" s="1" t="s">
        <v>2506</v>
      </c>
      <c r="E8229" s="1" t="s">
        <v>2019</v>
      </c>
      <c r="F8229" s="1" t="s">
        <v>820</v>
      </c>
      <c r="G8229" s="6">
        <v>1249479</v>
      </c>
      <c r="H8229">
        <f>IFERROR(VLOOKUP(F8229,'LEAID Match'!$A$2:$B$142,2,FALSE),"")</f>
        <v>2800185</v>
      </c>
    </row>
    <row r="8230" spans="1:11" x14ac:dyDescent="0.2">
      <c r="A8230">
        <f t="shared" si="128"/>
        <v>2800185</v>
      </c>
      <c r="B8230" s="1">
        <v>2019</v>
      </c>
      <c r="C8230" s="1" t="s">
        <v>2505</v>
      </c>
      <c r="D8230" s="1" t="s">
        <v>2506</v>
      </c>
      <c r="E8230" s="1" t="s">
        <v>2019</v>
      </c>
      <c r="F8230" s="1" t="s">
        <v>820</v>
      </c>
      <c r="G8230" s="6">
        <v>1222439</v>
      </c>
      <c r="H8230">
        <f>IFERROR(VLOOKUP(F8230,'LEAID Match'!$A$2:$B$142,2,FALSE),"")</f>
        <v>2800185</v>
      </c>
    </row>
    <row r="8231" spans="1:11" x14ac:dyDescent="0.2">
      <c r="A8231">
        <f t="shared" si="128"/>
        <v>2800185</v>
      </c>
      <c r="B8231" s="1">
        <v>2020</v>
      </c>
      <c r="C8231" s="1" t="s">
        <v>2505</v>
      </c>
      <c r="D8231" s="1" t="s">
        <v>2506</v>
      </c>
      <c r="E8231" s="1" t="s">
        <v>2019</v>
      </c>
      <c r="F8231" s="1" t="s">
        <v>820</v>
      </c>
      <c r="G8231" s="6">
        <v>1385876</v>
      </c>
      <c r="H8231">
        <f>IFERROR(VLOOKUP(F8231,'LEAID Match'!$A$2:$B$142,2,FALSE),"")</f>
        <v>2800185</v>
      </c>
    </row>
    <row r="8232" spans="1:11" x14ac:dyDescent="0.2">
      <c r="A8232">
        <f t="shared" si="128"/>
        <v>2800185</v>
      </c>
      <c r="B8232" s="1">
        <v>2021</v>
      </c>
      <c r="C8232" s="1" t="s">
        <v>2505</v>
      </c>
      <c r="D8232" s="1" t="s">
        <v>2506</v>
      </c>
      <c r="E8232" s="1" t="s">
        <v>2019</v>
      </c>
      <c r="F8232" s="1" t="s">
        <v>820</v>
      </c>
      <c r="G8232" s="6">
        <v>1196159</v>
      </c>
      <c r="H8232">
        <f>IFERROR(VLOOKUP(F8232,'LEAID Match'!$A$2:$B$142,2,FALSE),"")</f>
        <v>2800185</v>
      </c>
    </row>
    <row r="8233" spans="1:11" x14ac:dyDescent="0.2">
      <c r="A8233">
        <f t="shared" si="128"/>
        <v>2800185</v>
      </c>
      <c r="B8233" s="1">
        <v>2022</v>
      </c>
      <c r="C8233" s="1" t="s">
        <v>2505</v>
      </c>
      <c r="D8233" s="1" t="s">
        <v>2506</v>
      </c>
      <c r="E8233" s="1" t="s">
        <v>2019</v>
      </c>
      <c r="F8233" s="1" t="s">
        <v>820</v>
      </c>
      <c r="G8233" s="6">
        <v>1232679</v>
      </c>
      <c r="H8233">
        <f>IFERROR(VLOOKUP(F8233,'LEAID Match'!$A$2:$B$142,2,FALSE),"")</f>
        <v>2800185</v>
      </c>
    </row>
    <row r="8234" spans="1:11" x14ac:dyDescent="0.2">
      <c r="A8234">
        <f t="shared" si="128"/>
        <v>2800185</v>
      </c>
      <c r="B8234" s="1">
        <v>2023</v>
      </c>
      <c r="C8234" s="1" t="s">
        <v>2505</v>
      </c>
      <c r="D8234" s="1" t="s">
        <v>2506</v>
      </c>
      <c r="E8234" s="1" t="s">
        <v>2019</v>
      </c>
      <c r="F8234" s="1" t="s">
        <v>820</v>
      </c>
      <c r="G8234" s="6">
        <v>1334338</v>
      </c>
      <c r="H8234">
        <f>IFERROR(VLOOKUP(F8234,'LEAID Match'!$A$2:$B$142,2,FALSE),"")</f>
        <v>2800185</v>
      </c>
    </row>
    <row r="8235" spans="1:11" x14ac:dyDescent="0.2">
      <c r="A8235">
        <f t="shared" si="128"/>
        <v>2800185</v>
      </c>
      <c r="B8235" s="1">
        <v>2024</v>
      </c>
      <c r="C8235" s="1" t="s">
        <v>2505</v>
      </c>
      <c r="D8235" s="1" t="s">
        <v>2506</v>
      </c>
      <c r="E8235" s="1" t="s">
        <v>2019</v>
      </c>
      <c r="F8235" s="1" t="s">
        <v>820</v>
      </c>
      <c r="G8235" s="6">
        <v>1399958</v>
      </c>
      <c r="H8235">
        <f>IFERROR(VLOOKUP(F8235,'LEAID Match'!$A$2:$B$142,2,FALSE),"")</f>
        <v>2800185</v>
      </c>
    </row>
    <row r="8236" spans="1:11" x14ac:dyDescent="0.2">
      <c r="A8236" t="str">
        <f t="shared" si="128"/>
        <v/>
      </c>
      <c r="B8236" s="1">
        <v>2015</v>
      </c>
      <c r="C8236" s="1" t="s">
        <v>2505</v>
      </c>
      <c r="D8236" s="1" t="s">
        <v>2506</v>
      </c>
      <c r="E8236" s="1" t="s">
        <v>2019</v>
      </c>
      <c r="F8236" s="1" t="s">
        <v>821</v>
      </c>
      <c r="G8236" s="6">
        <v>175031</v>
      </c>
      <c r="H8236" t="str">
        <f>IFERROR(VLOOKUP(F8236,'LEAID Match'!$A$2:$B$142,2,FALSE),"")</f>
        <v/>
      </c>
    </row>
    <row r="8237" spans="1:11" x14ac:dyDescent="0.2">
      <c r="A8237" t="str">
        <f t="shared" si="128"/>
        <v/>
      </c>
      <c r="B8237">
        <v>2016</v>
      </c>
      <c r="C8237" s="1" t="s">
        <v>2505</v>
      </c>
      <c r="D8237" s="1" t="s">
        <v>2506</v>
      </c>
      <c r="E8237" s="1" t="s">
        <v>2019</v>
      </c>
      <c r="F8237" s="1" t="s">
        <v>821</v>
      </c>
      <c r="G8237" s="12">
        <v>175599</v>
      </c>
      <c r="H8237" t="str">
        <f>IFERROR(VLOOKUP(F8237,'LEAID Match'!$A$2:$B$142,2,FALSE),"")</f>
        <v/>
      </c>
    </row>
    <row r="8238" spans="1:11" x14ac:dyDescent="0.2">
      <c r="A8238" t="str">
        <f t="shared" si="128"/>
        <v/>
      </c>
      <c r="B8238" s="1">
        <v>2017</v>
      </c>
      <c r="C8238" s="1" t="s">
        <v>2505</v>
      </c>
      <c r="D8238" s="1" t="s">
        <v>2506</v>
      </c>
      <c r="E8238" s="1" t="s">
        <v>2019</v>
      </c>
      <c r="F8238" s="1" t="s">
        <v>821</v>
      </c>
      <c r="G8238" s="47">
        <v>188956</v>
      </c>
      <c r="H8238" t="str">
        <f>IFERROR(VLOOKUP(F8238,'LEAID Match'!$A$2:$B$142,2,FALSE),"")</f>
        <v/>
      </c>
    </row>
    <row r="8239" spans="1:11" x14ac:dyDescent="0.2">
      <c r="A8239" t="str">
        <f t="shared" si="128"/>
        <v/>
      </c>
      <c r="B8239" s="1">
        <v>2018</v>
      </c>
      <c r="C8239" s="1" t="s">
        <v>2505</v>
      </c>
      <c r="D8239" s="1" t="s">
        <v>2506</v>
      </c>
      <c r="E8239" s="1" t="s">
        <v>2019</v>
      </c>
      <c r="F8239" s="1" t="s">
        <v>821</v>
      </c>
      <c r="G8239" s="6">
        <v>194367</v>
      </c>
      <c r="H8239" t="str">
        <f>IFERROR(VLOOKUP(F8239,'LEAID Match'!$A$2:$B$142,2,FALSE),"")</f>
        <v/>
      </c>
    </row>
    <row r="8240" spans="1:11" x14ac:dyDescent="0.2">
      <c r="A8240" t="str">
        <f t="shared" si="128"/>
        <v/>
      </c>
      <c r="B8240" s="1">
        <v>2019</v>
      </c>
      <c r="C8240" s="1" t="s">
        <v>2505</v>
      </c>
      <c r="D8240" s="1" t="s">
        <v>2506</v>
      </c>
      <c r="E8240" s="1" t="s">
        <v>2019</v>
      </c>
      <c r="F8240" s="1" t="s">
        <v>821</v>
      </c>
      <c r="G8240" s="6">
        <v>199588</v>
      </c>
      <c r="H8240" t="str">
        <f>IFERROR(VLOOKUP(F8240,'LEAID Match'!$A$2:$B$142,2,FALSE),"")</f>
        <v/>
      </c>
    </row>
    <row r="8241" spans="1:8" x14ac:dyDescent="0.2">
      <c r="A8241" t="str">
        <f t="shared" si="128"/>
        <v/>
      </c>
      <c r="B8241" s="1">
        <v>2020</v>
      </c>
      <c r="C8241" s="1" t="s">
        <v>2505</v>
      </c>
      <c r="D8241" s="1" t="s">
        <v>2506</v>
      </c>
      <c r="E8241" s="1" t="s">
        <v>2019</v>
      </c>
      <c r="F8241" s="1" t="s">
        <v>821</v>
      </c>
      <c r="G8241" s="6">
        <v>229229</v>
      </c>
      <c r="H8241" t="str">
        <f>IFERROR(VLOOKUP(F8241,'LEAID Match'!$A$2:$B$142,2,FALSE),"")</f>
        <v/>
      </c>
    </row>
    <row r="8242" spans="1:8" x14ac:dyDescent="0.2">
      <c r="A8242" t="str">
        <f t="shared" si="128"/>
        <v/>
      </c>
      <c r="B8242" s="1">
        <v>2021</v>
      </c>
      <c r="C8242" s="1" t="s">
        <v>2505</v>
      </c>
      <c r="D8242" s="1" t="s">
        <v>2506</v>
      </c>
      <c r="E8242" s="1" t="s">
        <v>2019</v>
      </c>
      <c r="F8242" s="1" t="s">
        <v>821</v>
      </c>
      <c r="G8242" s="6">
        <v>225420</v>
      </c>
      <c r="H8242" t="str">
        <f>IFERROR(VLOOKUP(F8242,'LEAID Match'!$A$2:$B$142,2,FALSE),"")</f>
        <v/>
      </c>
    </row>
    <row r="8243" spans="1:8" x14ac:dyDescent="0.2">
      <c r="A8243" t="str">
        <f t="shared" si="128"/>
        <v/>
      </c>
      <c r="B8243" s="1">
        <v>2022</v>
      </c>
      <c r="C8243" s="1" t="s">
        <v>2505</v>
      </c>
      <c r="D8243" s="1" t="s">
        <v>2506</v>
      </c>
      <c r="E8243" s="1" t="s">
        <v>2019</v>
      </c>
      <c r="F8243" s="1" t="s">
        <v>821</v>
      </c>
      <c r="G8243" s="6">
        <v>233025</v>
      </c>
      <c r="H8243" t="str">
        <f>IFERROR(VLOOKUP(F8243,'LEAID Match'!$A$2:$B$142,2,FALSE),"")</f>
        <v/>
      </c>
    </row>
    <row r="8244" spans="1:8" x14ac:dyDescent="0.2">
      <c r="A8244" t="str">
        <f t="shared" si="128"/>
        <v/>
      </c>
      <c r="B8244" s="1">
        <v>2023</v>
      </c>
      <c r="C8244" s="1" t="s">
        <v>2505</v>
      </c>
      <c r="D8244" s="1" t="s">
        <v>2506</v>
      </c>
      <c r="E8244" s="1" t="s">
        <v>2019</v>
      </c>
      <c r="F8244" s="1" t="s">
        <v>821</v>
      </c>
      <c r="G8244" s="6">
        <v>262400</v>
      </c>
      <c r="H8244" t="str">
        <f>IFERROR(VLOOKUP(F8244,'LEAID Match'!$A$2:$B$142,2,FALSE),"")</f>
        <v/>
      </c>
    </row>
    <row r="8245" spans="1:8" x14ac:dyDescent="0.2">
      <c r="A8245" t="str">
        <f t="shared" si="128"/>
        <v/>
      </c>
      <c r="B8245" s="1">
        <v>2024</v>
      </c>
      <c r="C8245" s="1" t="s">
        <v>2505</v>
      </c>
      <c r="D8245" s="1" t="s">
        <v>2506</v>
      </c>
      <c r="E8245" s="1" t="s">
        <v>2019</v>
      </c>
      <c r="F8245" s="1" t="s">
        <v>821</v>
      </c>
      <c r="G8245" s="6">
        <v>256889</v>
      </c>
      <c r="H8245" t="str">
        <f>IFERROR(VLOOKUP(F8245,'LEAID Match'!$A$2:$B$142,2,FALSE),"")</f>
        <v/>
      </c>
    </row>
    <row r="8246" spans="1:8" x14ac:dyDescent="0.2">
      <c r="A8246">
        <f t="shared" si="128"/>
        <v>2804590</v>
      </c>
      <c r="B8246" s="1">
        <v>2015</v>
      </c>
      <c r="C8246" s="1" t="s">
        <v>2505</v>
      </c>
      <c r="D8246" s="1" t="s">
        <v>2506</v>
      </c>
      <c r="E8246" s="1" t="s">
        <v>2019</v>
      </c>
      <c r="F8246" s="1" t="s">
        <v>822</v>
      </c>
      <c r="G8246" s="6">
        <v>1208169</v>
      </c>
      <c r="H8246">
        <f>IFERROR(VLOOKUP(F8246,'LEAID Match'!$A$2:$B$142,2,FALSE),"")</f>
        <v>2804590</v>
      </c>
    </row>
    <row r="8247" spans="1:8" x14ac:dyDescent="0.2">
      <c r="A8247">
        <f t="shared" si="128"/>
        <v>2804590</v>
      </c>
      <c r="B8247">
        <v>2016</v>
      </c>
      <c r="C8247" s="1" t="s">
        <v>2505</v>
      </c>
      <c r="D8247" s="1" t="s">
        <v>2506</v>
      </c>
      <c r="E8247" s="1" t="s">
        <v>2019</v>
      </c>
      <c r="F8247" s="1" t="s">
        <v>822</v>
      </c>
      <c r="G8247" s="12">
        <v>1230905</v>
      </c>
      <c r="H8247">
        <f>IFERROR(VLOOKUP(F8247,'LEAID Match'!$A$2:$B$142,2,FALSE),"")</f>
        <v>2804590</v>
      </c>
    </row>
    <row r="8248" spans="1:8" x14ac:dyDescent="0.2">
      <c r="A8248">
        <f t="shared" si="128"/>
        <v>2804590</v>
      </c>
      <c r="B8248" s="1">
        <v>2017</v>
      </c>
      <c r="C8248" s="1" t="s">
        <v>2505</v>
      </c>
      <c r="D8248" s="1" t="s">
        <v>2506</v>
      </c>
      <c r="E8248" s="1" t="s">
        <v>2019</v>
      </c>
      <c r="F8248" s="1" t="s">
        <v>822</v>
      </c>
      <c r="G8248" s="47">
        <v>1261774</v>
      </c>
      <c r="H8248">
        <f>IFERROR(VLOOKUP(F8248,'LEAID Match'!$A$2:$B$142,2,FALSE),"")</f>
        <v>2804590</v>
      </c>
    </row>
    <row r="8249" spans="1:8" x14ac:dyDescent="0.2">
      <c r="A8249">
        <f t="shared" si="128"/>
        <v>2804590</v>
      </c>
      <c r="B8249" s="1">
        <v>2018</v>
      </c>
      <c r="C8249" s="1" t="s">
        <v>2505</v>
      </c>
      <c r="D8249" s="1" t="s">
        <v>2506</v>
      </c>
      <c r="E8249" s="1" t="s">
        <v>2019</v>
      </c>
      <c r="F8249" s="1" t="s">
        <v>822</v>
      </c>
      <c r="G8249" s="6">
        <v>1265782</v>
      </c>
      <c r="H8249">
        <f>IFERROR(VLOOKUP(F8249,'LEAID Match'!$A$2:$B$142,2,FALSE),"")</f>
        <v>2804590</v>
      </c>
    </row>
    <row r="8250" spans="1:8" x14ac:dyDescent="0.2">
      <c r="A8250">
        <f t="shared" si="128"/>
        <v>2804590</v>
      </c>
      <c r="B8250" s="1">
        <v>2019</v>
      </c>
      <c r="C8250" s="1" t="s">
        <v>2505</v>
      </c>
      <c r="D8250" s="1" t="s">
        <v>2506</v>
      </c>
      <c r="E8250" s="1" t="s">
        <v>2019</v>
      </c>
      <c r="F8250" s="1" t="s">
        <v>822</v>
      </c>
      <c r="G8250" s="6">
        <v>1288838</v>
      </c>
      <c r="H8250">
        <f>IFERROR(VLOOKUP(F8250,'LEAID Match'!$A$2:$B$142,2,FALSE),"")</f>
        <v>2804590</v>
      </c>
    </row>
    <row r="8251" spans="1:8" x14ac:dyDescent="0.2">
      <c r="A8251">
        <f t="shared" si="128"/>
        <v>2804590</v>
      </c>
      <c r="B8251" s="1">
        <v>2020</v>
      </c>
      <c r="C8251" s="1" t="s">
        <v>2505</v>
      </c>
      <c r="D8251" s="1" t="s">
        <v>2506</v>
      </c>
      <c r="E8251" s="1" t="s">
        <v>2019</v>
      </c>
      <c r="F8251" s="1" t="s">
        <v>822</v>
      </c>
      <c r="G8251" s="6">
        <v>1440021</v>
      </c>
      <c r="H8251">
        <f>IFERROR(VLOOKUP(F8251,'LEAID Match'!$A$2:$B$142,2,FALSE),"")</f>
        <v>2804590</v>
      </c>
    </row>
    <row r="8252" spans="1:8" x14ac:dyDescent="0.2">
      <c r="A8252">
        <f t="shared" si="128"/>
        <v>2804590</v>
      </c>
      <c r="B8252" s="1">
        <v>2021</v>
      </c>
      <c r="C8252" s="1" t="s">
        <v>2505</v>
      </c>
      <c r="D8252" s="1" t="s">
        <v>2506</v>
      </c>
      <c r="E8252" s="1" t="s">
        <v>2019</v>
      </c>
      <c r="F8252" s="1" t="s">
        <v>822</v>
      </c>
      <c r="G8252" s="6">
        <v>1475175</v>
      </c>
      <c r="H8252">
        <f>IFERROR(VLOOKUP(F8252,'LEAID Match'!$A$2:$B$142,2,FALSE),"")</f>
        <v>2804590</v>
      </c>
    </row>
    <row r="8253" spans="1:8" x14ac:dyDescent="0.2">
      <c r="A8253">
        <f t="shared" si="128"/>
        <v>2804590</v>
      </c>
      <c r="B8253" s="1">
        <v>2022</v>
      </c>
      <c r="C8253" s="1" t="s">
        <v>2505</v>
      </c>
      <c r="D8253" s="1" t="s">
        <v>2506</v>
      </c>
      <c r="E8253" s="1" t="s">
        <v>2019</v>
      </c>
      <c r="F8253" s="1" t="s">
        <v>822</v>
      </c>
      <c r="G8253" s="6">
        <v>1536829</v>
      </c>
      <c r="H8253">
        <f>IFERROR(VLOOKUP(F8253,'LEAID Match'!$A$2:$B$142,2,FALSE),"")</f>
        <v>2804590</v>
      </c>
    </row>
    <row r="8254" spans="1:8" x14ac:dyDescent="0.2">
      <c r="A8254">
        <f t="shared" si="128"/>
        <v>2804590</v>
      </c>
      <c r="B8254" s="1">
        <v>2023</v>
      </c>
      <c r="C8254" s="1" t="s">
        <v>2505</v>
      </c>
      <c r="D8254" s="1" t="s">
        <v>2506</v>
      </c>
      <c r="E8254" s="1" t="s">
        <v>2019</v>
      </c>
      <c r="F8254" s="1" t="s">
        <v>822</v>
      </c>
      <c r="G8254" s="6">
        <v>1730787</v>
      </c>
      <c r="H8254">
        <f>IFERROR(VLOOKUP(F8254,'LEAID Match'!$A$2:$B$142,2,FALSE),"")</f>
        <v>2804590</v>
      </c>
    </row>
    <row r="8255" spans="1:8" x14ac:dyDescent="0.2">
      <c r="A8255">
        <f t="shared" si="128"/>
        <v>2804590</v>
      </c>
      <c r="B8255" s="1">
        <v>2024</v>
      </c>
      <c r="C8255" s="1" t="s">
        <v>2505</v>
      </c>
      <c r="D8255" s="1" t="s">
        <v>2506</v>
      </c>
      <c r="E8255" s="1" t="s">
        <v>2019</v>
      </c>
      <c r="F8255" s="1" t="s">
        <v>822</v>
      </c>
      <c r="G8255" s="6">
        <v>1695105</v>
      </c>
      <c r="H8255">
        <f>IFERROR(VLOOKUP(F8255,'LEAID Match'!$A$2:$B$142,2,FALSE),"")</f>
        <v>2804590</v>
      </c>
    </row>
    <row r="8256" spans="1:8" x14ac:dyDescent="0.2">
      <c r="A8256" t="str">
        <f t="shared" si="128"/>
        <v/>
      </c>
      <c r="B8256" s="1">
        <v>2015</v>
      </c>
      <c r="C8256" s="1" t="s">
        <v>2505</v>
      </c>
      <c r="D8256" s="1" t="s">
        <v>2506</v>
      </c>
      <c r="E8256" s="1" t="s">
        <v>2019</v>
      </c>
      <c r="F8256" s="1" t="s">
        <v>823</v>
      </c>
      <c r="G8256" s="6">
        <v>564770</v>
      </c>
      <c r="H8256" t="str">
        <f>IFERROR(VLOOKUP(F8256,'LEAID Match'!$A$2:$B$142,2,FALSE),"")</f>
        <v/>
      </c>
    </row>
    <row r="8257" spans="1:8" x14ac:dyDescent="0.2">
      <c r="A8257" t="str">
        <f t="shared" si="128"/>
        <v/>
      </c>
      <c r="B8257">
        <v>2016</v>
      </c>
      <c r="C8257" s="1" t="s">
        <v>2505</v>
      </c>
      <c r="D8257" s="1" t="s">
        <v>2506</v>
      </c>
      <c r="E8257" s="1" t="s">
        <v>2019</v>
      </c>
      <c r="F8257" s="1" t="s">
        <v>823</v>
      </c>
      <c r="G8257" s="12">
        <v>566250</v>
      </c>
      <c r="H8257" t="str">
        <f>IFERROR(VLOOKUP(F8257,'LEAID Match'!$A$2:$B$142,2,FALSE),"")</f>
        <v/>
      </c>
    </row>
    <row r="8258" spans="1:8" x14ac:dyDescent="0.2">
      <c r="A8258" t="str">
        <f t="shared" si="128"/>
        <v/>
      </c>
      <c r="B8258" s="1">
        <v>2017</v>
      </c>
      <c r="C8258" s="1" t="s">
        <v>2505</v>
      </c>
      <c r="D8258" s="1" t="s">
        <v>2506</v>
      </c>
      <c r="E8258" s="1" t="s">
        <v>2019</v>
      </c>
      <c r="F8258" s="1" t="s">
        <v>823</v>
      </c>
      <c r="G8258" s="47">
        <v>585273</v>
      </c>
      <c r="H8258" t="str">
        <f>IFERROR(VLOOKUP(F8258,'LEAID Match'!$A$2:$B$142,2,FALSE),"")</f>
        <v/>
      </c>
    </row>
    <row r="8259" spans="1:8" x14ac:dyDescent="0.2">
      <c r="A8259" t="str">
        <f t="shared" ref="A8259:A8322" si="129">H8259</f>
        <v/>
      </c>
      <c r="B8259" s="1">
        <v>2018</v>
      </c>
      <c r="C8259" s="1" t="s">
        <v>2505</v>
      </c>
      <c r="D8259" s="1" t="s">
        <v>2506</v>
      </c>
      <c r="E8259" s="1" t="s">
        <v>2019</v>
      </c>
      <c r="F8259" s="1" t="s">
        <v>823</v>
      </c>
      <c r="G8259" s="6">
        <v>577537</v>
      </c>
      <c r="H8259" t="str">
        <f>IFERROR(VLOOKUP(F8259,'LEAID Match'!$A$2:$B$142,2,FALSE),"")</f>
        <v/>
      </c>
    </row>
    <row r="8260" spans="1:8" x14ac:dyDescent="0.2">
      <c r="A8260" t="str">
        <f t="shared" si="129"/>
        <v/>
      </c>
      <c r="B8260" s="1">
        <v>2019</v>
      </c>
      <c r="C8260" s="1" t="s">
        <v>2505</v>
      </c>
      <c r="D8260" s="1" t="s">
        <v>2506</v>
      </c>
      <c r="E8260" s="1" t="s">
        <v>2019</v>
      </c>
      <c r="F8260" s="1" t="s">
        <v>823</v>
      </c>
      <c r="G8260" s="6">
        <v>616550</v>
      </c>
      <c r="H8260" t="str">
        <f>IFERROR(VLOOKUP(F8260,'LEAID Match'!$A$2:$B$142,2,FALSE),"")</f>
        <v/>
      </c>
    </row>
    <row r="8261" spans="1:8" x14ac:dyDescent="0.2">
      <c r="A8261" t="str">
        <f t="shared" si="129"/>
        <v/>
      </c>
      <c r="B8261" s="1">
        <v>2020</v>
      </c>
      <c r="C8261" s="1" t="s">
        <v>2505</v>
      </c>
      <c r="D8261" s="1" t="s">
        <v>2506</v>
      </c>
      <c r="E8261" s="1" t="s">
        <v>2019</v>
      </c>
      <c r="F8261" s="1" t="s">
        <v>823</v>
      </c>
      <c r="G8261" s="6">
        <v>694106</v>
      </c>
      <c r="H8261" t="str">
        <f>IFERROR(VLOOKUP(F8261,'LEAID Match'!$A$2:$B$142,2,FALSE),"")</f>
        <v/>
      </c>
    </row>
    <row r="8262" spans="1:8" x14ac:dyDescent="0.2">
      <c r="A8262" t="str">
        <f t="shared" si="129"/>
        <v/>
      </c>
      <c r="B8262" s="1">
        <v>2021</v>
      </c>
      <c r="C8262" s="1" t="s">
        <v>2505</v>
      </c>
      <c r="D8262" s="1" t="s">
        <v>2506</v>
      </c>
      <c r="E8262" s="1" t="s">
        <v>2019</v>
      </c>
      <c r="F8262" s="1" t="s">
        <v>823</v>
      </c>
      <c r="G8262" s="6">
        <v>670572</v>
      </c>
      <c r="H8262" t="str">
        <f>IFERROR(VLOOKUP(F8262,'LEAID Match'!$A$2:$B$142,2,FALSE),"")</f>
        <v/>
      </c>
    </row>
    <row r="8263" spans="1:8" x14ac:dyDescent="0.2">
      <c r="A8263" t="str">
        <f t="shared" si="129"/>
        <v/>
      </c>
      <c r="B8263" s="1">
        <v>2022</v>
      </c>
      <c r="C8263" s="1" t="s">
        <v>2505</v>
      </c>
      <c r="D8263" s="1" t="s">
        <v>2506</v>
      </c>
      <c r="E8263" s="1" t="s">
        <v>2019</v>
      </c>
      <c r="F8263" s="1" t="s">
        <v>823</v>
      </c>
      <c r="G8263" s="6">
        <v>718770</v>
      </c>
      <c r="H8263" t="str">
        <f>IFERROR(VLOOKUP(F8263,'LEAID Match'!$A$2:$B$142,2,FALSE),"")</f>
        <v/>
      </c>
    </row>
    <row r="8264" spans="1:8" x14ac:dyDescent="0.2">
      <c r="A8264" t="str">
        <f t="shared" si="129"/>
        <v/>
      </c>
      <c r="B8264" s="1">
        <v>2023</v>
      </c>
      <c r="C8264" s="1" t="s">
        <v>2505</v>
      </c>
      <c r="D8264" s="1" t="s">
        <v>2506</v>
      </c>
      <c r="E8264" s="1" t="s">
        <v>2019</v>
      </c>
      <c r="F8264" s="1" t="s">
        <v>823</v>
      </c>
      <c r="G8264" s="6">
        <v>695739</v>
      </c>
      <c r="H8264" t="str">
        <f>IFERROR(VLOOKUP(F8264,'LEAID Match'!$A$2:$B$142,2,FALSE),"")</f>
        <v/>
      </c>
    </row>
    <row r="8265" spans="1:8" x14ac:dyDescent="0.2">
      <c r="A8265" t="str">
        <f t="shared" si="129"/>
        <v/>
      </c>
      <c r="B8265" s="1">
        <v>2024</v>
      </c>
      <c r="C8265" s="1" t="s">
        <v>2505</v>
      </c>
      <c r="D8265" s="1" t="s">
        <v>2506</v>
      </c>
      <c r="E8265" s="1" t="s">
        <v>2019</v>
      </c>
      <c r="F8265" s="1" t="s">
        <v>823</v>
      </c>
      <c r="G8265" s="6">
        <v>700446</v>
      </c>
      <c r="H8265" t="str">
        <f>IFERROR(VLOOKUP(F8265,'LEAID Match'!$A$2:$B$142,2,FALSE),"")</f>
        <v/>
      </c>
    </row>
    <row r="8266" spans="1:8" x14ac:dyDescent="0.2">
      <c r="A8266">
        <f t="shared" si="129"/>
        <v>2800191</v>
      </c>
      <c r="B8266">
        <v>2016</v>
      </c>
      <c r="C8266" s="1" t="s">
        <v>2505</v>
      </c>
      <c r="D8266" s="1" t="s">
        <v>2506</v>
      </c>
      <c r="E8266" s="1" t="s">
        <v>2019</v>
      </c>
      <c r="F8266" s="1" t="s">
        <v>824</v>
      </c>
      <c r="G8266" s="12">
        <v>2528902</v>
      </c>
      <c r="H8266">
        <f>IFERROR(VLOOKUP(F8266,'LEAID Match'!$A$2:$B$142,2,FALSE),"")</f>
        <v>2800191</v>
      </c>
    </row>
    <row r="8267" spans="1:8" x14ac:dyDescent="0.2">
      <c r="A8267">
        <f t="shared" si="129"/>
        <v>2800191</v>
      </c>
      <c r="B8267" s="1">
        <v>2017</v>
      </c>
      <c r="C8267" s="1" t="s">
        <v>2505</v>
      </c>
      <c r="D8267" s="1" t="s">
        <v>2506</v>
      </c>
      <c r="E8267" s="1" t="s">
        <v>2019</v>
      </c>
      <c r="F8267" s="1" t="s">
        <v>824</v>
      </c>
      <c r="G8267" s="47">
        <v>2550066</v>
      </c>
      <c r="H8267">
        <f>IFERROR(VLOOKUP(F8267,'LEAID Match'!$A$2:$B$142,2,FALSE),"")</f>
        <v>2800191</v>
      </c>
    </row>
    <row r="8268" spans="1:8" x14ac:dyDescent="0.2">
      <c r="A8268">
        <f t="shared" si="129"/>
        <v>2800191</v>
      </c>
      <c r="B8268" s="1">
        <v>2018</v>
      </c>
      <c r="C8268" s="1" t="s">
        <v>2505</v>
      </c>
      <c r="D8268" s="1" t="s">
        <v>2506</v>
      </c>
      <c r="E8268" s="1" t="s">
        <v>2019</v>
      </c>
      <c r="F8268" s="1" t="s">
        <v>824</v>
      </c>
      <c r="G8268" s="6">
        <v>2548442</v>
      </c>
      <c r="H8268">
        <f>IFERROR(VLOOKUP(F8268,'LEAID Match'!$A$2:$B$142,2,FALSE),"")</f>
        <v>2800191</v>
      </c>
    </row>
    <row r="8269" spans="1:8" x14ac:dyDescent="0.2">
      <c r="A8269">
        <f t="shared" si="129"/>
        <v>2800191</v>
      </c>
      <c r="B8269" s="1">
        <v>2019</v>
      </c>
      <c r="C8269" s="1" t="s">
        <v>2505</v>
      </c>
      <c r="D8269" s="1" t="s">
        <v>2506</v>
      </c>
      <c r="E8269" s="1" t="s">
        <v>2019</v>
      </c>
      <c r="F8269" s="1" t="s">
        <v>824</v>
      </c>
      <c r="G8269" s="6">
        <v>2309448</v>
      </c>
      <c r="H8269">
        <f>IFERROR(VLOOKUP(F8269,'LEAID Match'!$A$2:$B$142,2,FALSE),"")</f>
        <v>2800191</v>
      </c>
    </row>
    <row r="8270" spans="1:8" x14ac:dyDescent="0.2">
      <c r="A8270">
        <f t="shared" si="129"/>
        <v>2800191</v>
      </c>
      <c r="B8270" s="1">
        <v>2020</v>
      </c>
      <c r="C8270" s="1" t="s">
        <v>2505</v>
      </c>
      <c r="D8270" s="1" t="s">
        <v>2506</v>
      </c>
      <c r="E8270" s="1" t="s">
        <v>2019</v>
      </c>
      <c r="F8270" s="1" t="s">
        <v>824</v>
      </c>
      <c r="G8270" s="6">
        <v>2767394</v>
      </c>
      <c r="H8270">
        <f>IFERROR(VLOOKUP(F8270,'LEAID Match'!$A$2:$B$142,2,FALSE),"")</f>
        <v>2800191</v>
      </c>
    </row>
    <row r="8271" spans="1:8" x14ac:dyDescent="0.2">
      <c r="A8271">
        <f t="shared" si="129"/>
        <v>2800191</v>
      </c>
      <c r="B8271" s="1">
        <v>2021</v>
      </c>
      <c r="C8271" s="1" t="s">
        <v>2505</v>
      </c>
      <c r="D8271" s="1" t="s">
        <v>2506</v>
      </c>
      <c r="E8271" s="1" t="s">
        <v>2019</v>
      </c>
      <c r="F8271" s="1" t="s">
        <v>824</v>
      </c>
      <c r="G8271" s="6">
        <v>2805740</v>
      </c>
      <c r="H8271">
        <f>IFERROR(VLOOKUP(F8271,'LEAID Match'!$A$2:$B$142,2,FALSE),"")</f>
        <v>2800191</v>
      </c>
    </row>
    <row r="8272" spans="1:8" x14ac:dyDescent="0.2">
      <c r="A8272">
        <f t="shared" si="129"/>
        <v>2800191</v>
      </c>
      <c r="B8272" s="1">
        <v>2022</v>
      </c>
      <c r="C8272" s="1" t="s">
        <v>2505</v>
      </c>
      <c r="D8272" s="1" t="s">
        <v>2506</v>
      </c>
      <c r="E8272" s="1" t="s">
        <v>2019</v>
      </c>
      <c r="F8272" s="1" t="s">
        <v>824</v>
      </c>
      <c r="G8272" s="6">
        <v>2985196</v>
      </c>
      <c r="H8272">
        <f>IFERROR(VLOOKUP(F8272,'LEAID Match'!$A$2:$B$142,2,FALSE),"")</f>
        <v>2800191</v>
      </c>
    </row>
    <row r="8273" spans="1:8" x14ac:dyDescent="0.2">
      <c r="A8273">
        <f t="shared" si="129"/>
        <v>2800191</v>
      </c>
      <c r="B8273" s="1">
        <v>2023</v>
      </c>
      <c r="C8273" s="1" t="s">
        <v>2505</v>
      </c>
      <c r="D8273" s="1" t="s">
        <v>2506</v>
      </c>
      <c r="E8273" s="1" t="s">
        <v>2019</v>
      </c>
      <c r="F8273" s="1" t="s">
        <v>824</v>
      </c>
      <c r="G8273" s="6">
        <v>3268419</v>
      </c>
      <c r="H8273">
        <f>IFERROR(VLOOKUP(F8273,'LEAID Match'!$A$2:$B$142,2,FALSE),"")</f>
        <v>2800191</v>
      </c>
    </row>
    <row r="8274" spans="1:8" x14ac:dyDescent="0.2">
      <c r="A8274">
        <f t="shared" si="129"/>
        <v>2800191</v>
      </c>
      <c r="B8274" s="1">
        <v>2024</v>
      </c>
      <c r="C8274" s="1" t="s">
        <v>2505</v>
      </c>
      <c r="D8274" s="1" t="s">
        <v>2506</v>
      </c>
      <c r="E8274" s="1" t="s">
        <v>2019</v>
      </c>
      <c r="F8274" s="1" t="s">
        <v>824</v>
      </c>
      <c r="G8274" s="6">
        <v>3267484</v>
      </c>
      <c r="H8274">
        <f>IFERROR(VLOOKUP(F8274,'LEAID Match'!$A$2:$B$142,2,FALSE),"")</f>
        <v>2800191</v>
      </c>
    </row>
    <row r="8275" spans="1:8" x14ac:dyDescent="0.2">
      <c r="A8275">
        <f t="shared" si="129"/>
        <v>2800191</v>
      </c>
      <c r="B8275" s="1">
        <v>2015</v>
      </c>
      <c r="C8275" s="1" t="s">
        <v>2505</v>
      </c>
      <c r="D8275" s="1" t="s">
        <v>2506</v>
      </c>
      <c r="E8275" s="1" t="s">
        <v>2019</v>
      </c>
      <c r="F8275" s="1" t="s">
        <v>824</v>
      </c>
      <c r="G8275" s="6">
        <v>2416635</v>
      </c>
      <c r="H8275">
        <f>IFERROR(VLOOKUP(F8275,'LEAID Match'!$A$2:$B$142,2,FALSE),"")</f>
        <v>2800191</v>
      </c>
    </row>
    <row r="8276" spans="1:8" x14ac:dyDescent="0.2">
      <c r="A8276" t="str">
        <f t="shared" si="129"/>
        <v/>
      </c>
      <c r="B8276" s="1">
        <v>2015</v>
      </c>
      <c r="C8276" s="1" t="s">
        <v>2505</v>
      </c>
      <c r="D8276" s="1" t="s">
        <v>2506</v>
      </c>
      <c r="E8276" s="1" t="s">
        <v>2019</v>
      </c>
      <c r="F8276" s="1" t="s">
        <v>825</v>
      </c>
      <c r="G8276" s="6">
        <v>148636</v>
      </c>
      <c r="H8276" t="str">
        <f>IFERROR(VLOOKUP(F8276,'LEAID Match'!$A$2:$B$142,2,FALSE),"")</f>
        <v/>
      </c>
    </row>
    <row r="8277" spans="1:8" x14ac:dyDescent="0.2">
      <c r="A8277" t="str">
        <f t="shared" si="129"/>
        <v/>
      </c>
      <c r="B8277">
        <v>2016</v>
      </c>
      <c r="C8277" s="1" t="s">
        <v>2505</v>
      </c>
      <c r="D8277" s="1" t="s">
        <v>2506</v>
      </c>
      <c r="E8277" s="1" t="s">
        <v>2019</v>
      </c>
      <c r="F8277" s="1" t="s">
        <v>825</v>
      </c>
      <c r="G8277" s="12">
        <v>143138</v>
      </c>
      <c r="H8277" t="str">
        <f>IFERROR(VLOOKUP(F8277,'LEAID Match'!$A$2:$B$142,2,FALSE),"")</f>
        <v/>
      </c>
    </row>
    <row r="8278" spans="1:8" x14ac:dyDescent="0.2">
      <c r="A8278" t="str">
        <f t="shared" si="129"/>
        <v/>
      </c>
      <c r="B8278" s="1">
        <v>2017</v>
      </c>
      <c r="C8278" s="1" t="s">
        <v>2505</v>
      </c>
      <c r="D8278" s="1" t="s">
        <v>2506</v>
      </c>
      <c r="E8278" s="1" t="s">
        <v>2019</v>
      </c>
      <c r="F8278" s="1" t="s">
        <v>825</v>
      </c>
      <c r="G8278" s="47">
        <v>157552</v>
      </c>
      <c r="H8278" t="str">
        <f>IFERROR(VLOOKUP(F8278,'LEAID Match'!$A$2:$B$142,2,FALSE),"")</f>
        <v/>
      </c>
    </row>
    <row r="8279" spans="1:8" x14ac:dyDescent="0.2">
      <c r="A8279" t="str">
        <f t="shared" si="129"/>
        <v/>
      </c>
      <c r="B8279" s="1">
        <v>2018</v>
      </c>
      <c r="C8279" s="1" t="s">
        <v>2505</v>
      </c>
      <c r="D8279" s="1" t="s">
        <v>2506</v>
      </c>
      <c r="E8279" s="1" t="s">
        <v>2019</v>
      </c>
      <c r="F8279" s="1" t="s">
        <v>825</v>
      </c>
      <c r="G8279" s="6">
        <v>156835</v>
      </c>
      <c r="H8279" t="str">
        <f>IFERROR(VLOOKUP(F8279,'LEAID Match'!$A$2:$B$142,2,FALSE),"")</f>
        <v/>
      </c>
    </row>
    <row r="8280" spans="1:8" x14ac:dyDescent="0.2">
      <c r="A8280" t="str">
        <f t="shared" si="129"/>
        <v/>
      </c>
      <c r="B8280" s="1">
        <v>2019</v>
      </c>
      <c r="C8280" s="1" t="s">
        <v>2505</v>
      </c>
      <c r="D8280" s="1" t="s">
        <v>2506</v>
      </c>
      <c r="E8280" s="1" t="s">
        <v>2019</v>
      </c>
      <c r="F8280" s="1" t="s">
        <v>825</v>
      </c>
      <c r="G8280" s="6">
        <v>164496</v>
      </c>
      <c r="H8280" t="str">
        <f>IFERROR(VLOOKUP(F8280,'LEAID Match'!$A$2:$B$142,2,FALSE),"")</f>
        <v/>
      </c>
    </row>
    <row r="8281" spans="1:8" x14ac:dyDescent="0.2">
      <c r="A8281" t="str">
        <f t="shared" si="129"/>
        <v/>
      </c>
      <c r="B8281" s="1">
        <v>2020</v>
      </c>
      <c r="C8281" s="1" t="s">
        <v>2505</v>
      </c>
      <c r="D8281" s="1" t="s">
        <v>2506</v>
      </c>
      <c r="E8281" s="1" t="s">
        <v>2019</v>
      </c>
      <c r="F8281" s="1" t="s">
        <v>825</v>
      </c>
      <c r="G8281" s="6">
        <v>187959</v>
      </c>
      <c r="H8281" t="str">
        <f>IFERROR(VLOOKUP(F8281,'LEAID Match'!$A$2:$B$142,2,FALSE),"")</f>
        <v/>
      </c>
    </row>
    <row r="8282" spans="1:8" x14ac:dyDescent="0.2">
      <c r="A8282" t="str">
        <f t="shared" si="129"/>
        <v/>
      </c>
      <c r="B8282" s="1">
        <v>2021</v>
      </c>
      <c r="C8282" s="1" t="s">
        <v>2505</v>
      </c>
      <c r="D8282" s="1" t="s">
        <v>2506</v>
      </c>
      <c r="E8282" s="1" t="s">
        <v>2019</v>
      </c>
      <c r="F8282" s="1" t="s">
        <v>825</v>
      </c>
      <c r="G8282" s="6">
        <v>159623</v>
      </c>
      <c r="H8282" t="str">
        <f>IFERROR(VLOOKUP(F8282,'LEAID Match'!$A$2:$B$142,2,FALSE),"")</f>
        <v/>
      </c>
    </row>
    <row r="8283" spans="1:8" x14ac:dyDescent="0.2">
      <c r="A8283" t="str">
        <f t="shared" si="129"/>
        <v/>
      </c>
      <c r="B8283" s="1">
        <v>2022</v>
      </c>
      <c r="C8283" s="1" t="s">
        <v>2505</v>
      </c>
      <c r="D8283" s="1" t="s">
        <v>2506</v>
      </c>
      <c r="E8283" s="1" t="s">
        <v>2019</v>
      </c>
      <c r="F8283" s="1" t="s">
        <v>825</v>
      </c>
      <c r="G8283" s="6">
        <v>171692</v>
      </c>
      <c r="H8283" t="str">
        <f>IFERROR(VLOOKUP(F8283,'LEAID Match'!$A$2:$B$142,2,FALSE),"")</f>
        <v/>
      </c>
    </row>
    <row r="8284" spans="1:8" x14ac:dyDescent="0.2">
      <c r="A8284" t="str">
        <f t="shared" si="129"/>
        <v/>
      </c>
      <c r="B8284" s="1">
        <v>2023</v>
      </c>
      <c r="C8284" s="1" t="s">
        <v>2505</v>
      </c>
      <c r="D8284" s="1" t="s">
        <v>2506</v>
      </c>
      <c r="E8284" s="1" t="s">
        <v>2019</v>
      </c>
      <c r="F8284" s="1" t="s">
        <v>825</v>
      </c>
      <c r="G8284" s="6">
        <v>193132</v>
      </c>
      <c r="H8284" t="str">
        <f>IFERROR(VLOOKUP(F8284,'LEAID Match'!$A$2:$B$142,2,FALSE),"")</f>
        <v/>
      </c>
    </row>
    <row r="8285" spans="1:8" x14ac:dyDescent="0.2">
      <c r="A8285" t="str">
        <f t="shared" si="129"/>
        <v/>
      </c>
      <c r="B8285" s="1">
        <v>2024</v>
      </c>
      <c r="C8285" s="1" t="s">
        <v>2505</v>
      </c>
      <c r="D8285" s="1" t="s">
        <v>2506</v>
      </c>
      <c r="E8285" s="1" t="s">
        <v>2019</v>
      </c>
      <c r="F8285" s="1" t="s">
        <v>825</v>
      </c>
      <c r="G8285" s="6">
        <v>174328</v>
      </c>
      <c r="H8285" t="str">
        <f>IFERROR(VLOOKUP(F8285,'LEAID Match'!$A$2:$B$142,2,FALSE),"")</f>
        <v/>
      </c>
    </row>
    <row r="8286" spans="1:8" x14ac:dyDescent="0.2">
      <c r="A8286" t="str">
        <f t="shared" si="129"/>
        <v/>
      </c>
      <c r="B8286" s="1">
        <v>2015</v>
      </c>
      <c r="C8286" s="1" t="s">
        <v>2505</v>
      </c>
      <c r="D8286" s="1" t="s">
        <v>2506</v>
      </c>
      <c r="E8286" s="1" t="s">
        <v>2019</v>
      </c>
      <c r="F8286" s="1" t="s">
        <v>826</v>
      </c>
      <c r="G8286" s="6">
        <v>50649</v>
      </c>
      <c r="H8286" t="str">
        <f>IFERROR(VLOOKUP(F8286,'LEAID Match'!$A$2:$B$142,2,FALSE),"")</f>
        <v/>
      </c>
    </row>
    <row r="8287" spans="1:8" x14ac:dyDescent="0.2">
      <c r="A8287" t="str">
        <f t="shared" si="129"/>
        <v/>
      </c>
      <c r="B8287">
        <v>2016</v>
      </c>
      <c r="C8287" s="1" t="s">
        <v>2505</v>
      </c>
      <c r="D8287" s="1" t="s">
        <v>2506</v>
      </c>
      <c r="E8287" s="1" t="s">
        <v>2019</v>
      </c>
      <c r="F8287" s="1" t="s">
        <v>826</v>
      </c>
      <c r="G8287" s="12">
        <v>51510</v>
      </c>
      <c r="H8287" t="str">
        <f>IFERROR(VLOOKUP(F8287,'LEAID Match'!$A$2:$B$142,2,FALSE),"")</f>
        <v/>
      </c>
    </row>
    <row r="8288" spans="1:8" x14ac:dyDescent="0.2">
      <c r="A8288" t="str">
        <f t="shared" si="129"/>
        <v/>
      </c>
      <c r="B8288" s="1">
        <v>2017</v>
      </c>
      <c r="C8288" s="1" t="s">
        <v>2505</v>
      </c>
      <c r="D8288" s="1" t="s">
        <v>2506</v>
      </c>
      <c r="E8288" s="1" t="s">
        <v>2019</v>
      </c>
      <c r="F8288" s="1" t="s">
        <v>826</v>
      </c>
      <c r="G8288" s="47">
        <v>51894</v>
      </c>
      <c r="H8288" t="str">
        <f>IFERROR(VLOOKUP(F8288,'LEAID Match'!$A$2:$B$142,2,FALSE),"")</f>
        <v/>
      </c>
    </row>
    <row r="8289" spans="1:8" x14ac:dyDescent="0.2">
      <c r="A8289" t="str">
        <f t="shared" si="129"/>
        <v/>
      </c>
      <c r="B8289" s="1">
        <v>2018</v>
      </c>
      <c r="C8289" s="1" t="s">
        <v>2505</v>
      </c>
      <c r="D8289" s="1" t="s">
        <v>2506</v>
      </c>
      <c r="E8289" s="1" t="s">
        <v>2019</v>
      </c>
      <c r="F8289" s="1" t="s">
        <v>826</v>
      </c>
      <c r="G8289" s="6">
        <v>48610</v>
      </c>
      <c r="H8289" t="str">
        <f>IFERROR(VLOOKUP(F8289,'LEAID Match'!$A$2:$B$142,2,FALSE),"")</f>
        <v/>
      </c>
    </row>
    <row r="8290" spans="1:8" x14ac:dyDescent="0.2">
      <c r="A8290" t="str">
        <f t="shared" si="129"/>
        <v/>
      </c>
      <c r="B8290" s="1">
        <v>2019</v>
      </c>
      <c r="C8290" s="1" t="s">
        <v>2505</v>
      </c>
      <c r="D8290" s="1" t="s">
        <v>2506</v>
      </c>
      <c r="E8290" s="1" t="s">
        <v>2019</v>
      </c>
      <c r="F8290" s="1" t="s">
        <v>826</v>
      </c>
      <c r="G8290" s="6">
        <v>33284</v>
      </c>
      <c r="H8290" t="str">
        <f>IFERROR(VLOOKUP(F8290,'LEAID Match'!$A$2:$B$142,2,FALSE),"")</f>
        <v/>
      </c>
    </row>
    <row r="8291" spans="1:8" x14ac:dyDescent="0.2">
      <c r="A8291" t="str">
        <f t="shared" si="129"/>
        <v/>
      </c>
      <c r="B8291" s="1">
        <v>2020</v>
      </c>
      <c r="C8291" s="1" t="s">
        <v>2505</v>
      </c>
      <c r="D8291" s="1" t="s">
        <v>2506</v>
      </c>
      <c r="E8291" s="1" t="s">
        <v>2019</v>
      </c>
      <c r="F8291" s="1" t="s">
        <v>826</v>
      </c>
      <c r="G8291" s="6">
        <v>37798</v>
      </c>
      <c r="H8291" t="str">
        <f>IFERROR(VLOOKUP(F8291,'LEAID Match'!$A$2:$B$142,2,FALSE),"")</f>
        <v/>
      </c>
    </row>
    <row r="8292" spans="1:8" x14ac:dyDescent="0.2">
      <c r="A8292" t="str">
        <f t="shared" si="129"/>
        <v/>
      </c>
      <c r="B8292" s="1">
        <v>2021</v>
      </c>
      <c r="C8292" s="1" t="s">
        <v>2505</v>
      </c>
      <c r="D8292" s="1" t="s">
        <v>2506</v>
      </c>
      <c r="E8292" s="1" t="s">
        <v>2019</v>
      </c>
      <c r="F8292" s="1" t="s">
        <v>826</v>
      </c>
      <c r="G8292" s="6">
        <v>39311</v>
      </c>
      <c r="H8292" t="str">
        <f>IFERROR(VLOOKUP(F8292,'LEAID Match'!$A$2:$B$142,2,FALSE),"")</f>
        <v/>
      </c>
    </row>
    <row r="8293" spans="1:8" x14ac:dyDescent="0.2">
      <c r="A8293" t="str">
        <f t="shared" si="129"/>
        <v/>
      </c>
      <c r="B8293" s="1">
        <v>2022</v>
      </c>
      <c r="C8293" s="1" t="s">
        <v>2505</v>
      </c>
      <c r="D8293" s="1" t="s">
        <v>2506</v>
      </c>
      <c r="E8293" s="1" t="s">
        <v>2019</v>
      </c>
      <c r="F8293" s="1" t="s">
        <v>826</v>
      </c>
      <c r="G8293" s="6">
        <v>35415</v>
      </c>
      <c r="H8293" t="str">
        <f>IFERROR(VLOOKUP(F8293,'LEAID Match'!$A$2:$B$142,2,FALSE),"")</f>
        <v/>
      </c>
    </row>
    <row r="8294" spans="1:8" x14ac:dyDescent="0.2">
      <c r="A8294" t="str">
        <f t="shared" si="129"/>
        <v/>
      </c>
      <c r="B8294" s="1">
        <v>2023</v>
      </c>
      <c r="C8294" s="1" t="s">
        <v>2505</v>
      </c>
      <c r="D8294" s="1" t="s">
        <v>2506</v>
      </c>
      <c r="E8294" s="1" t="s">
        <v>2019</v>
      </c>
      <c r="F8294" s="1" t="s">
        <v>826</v>
      </c>
      <c r="G8294" s="6">
        <v>35512</v>
      </c>
      <c r="H8294" t="str">
        <f>IFERROR(VLOOKUP(F8294,'LEAID Match'!$A$2:$B$142,2,FALSE),"")</f>
        <v/>
      </c>
    </row>
    <row r="8295" spans="1:8" x14ac:dyDescent="0.2">
      <c r="A8295" t="str">
        <f t="shared" si="129"/>
        <v/>
      </c>
      <c r="B8295" s="1">
        <v>2024</v>
      </c>
      <c r="C8295" s="1" t="s">
        <v>2505</v>
      </c>
      <c r="D8295" s="1" t="s">
        <v>2506</v>
      </c>
      <c r="E8295" s="1" t="s">
        <v>2019</v>
      </c>
      <c r="F8295" s="1" t="s">
        <v>826</v>
      </c>
      <c r="G8295" s="6">
        <v>37518</v>
      </c>
      <c r="H8295" t="str">
        <f>IFERROR(VLOOKUP(F8295,'LEAID Match'!$A$2:$B$142,2,FALSE),"")</f>
        <v/>
      </c>
    </row>
    <row r="8296" spans="1:8" x14ac:dyDescent="0.2">
      <c r="A8296" t="str">
        <f t="shared" si="129"/>
        <v/>
      </c>
      <c r="B8296" s="1">
        <v>2015</v>
      </c>
      <c r="C8296" s="1" t="s">
        <v>2505</v>
      </c>
      <c r="D8296" s="1" t="s">
        <v>2506</v>
      </c>
      <c r="E8296" s="1" t="s">
        <v>2019</v>
      </c>
      <c r="F8296" s="1" t="s">
        <v>827</v>
      </c>
      <c r="G8296" s="6">
        <v>123390</v>
      </c>
      <c r="H8296" t="str">
        <f>IFERROR(VLOOKUP(F8296,'LEAID Match'!$A$2:$B$142,2,FALSE),"")</f>
        <v/>
      </c>
    </row>
    <row r="8297" spans="1:8" x14ac:dyDescent="0.2">
      <c r="A8297" t="str">
        <f t="shared" si="129"/>
        <v/>
      </c>
      <c r="B8297">
        <v>2016</v>
      </c>
      <c r="C8297" s="1" t="s">
        <v>2505</v>
      </c>
      <c r="D8297" s="1" t="s">
        <v>2506</v>
      </c>
      <c r="E8297" s="1" t="s">
        <v>2019</v>
      </c>
      <c r="F8297" s="1" t="s">
        <v>827</v>
      </c>
      <c r="G8297" s="12">
        <v>108785</v>
      </c>
      <c r="H8297" t="str">
        <f>IFERROR(VLOOKUP(F8297,'LEAID Match'!$A$2:$B$142,2,FALSE),"")</f>
        <v/>
      </c>
    </row>
    <row r="8298" spans="1:8" x14ac:dyDescent="0.2">
      <c r="A8298" t="str">
        <f t="shared" si="129"/>
        <v/>
      </c>
      <c r="B8298" s="1">
        <v>2017</v>
      </c>
      <c r="C8298" s="1" t="s">
        <v>2505</v>
      </c>
      <c r="D8298" s="1" t="s">
        <v>2506</v>
      </c>
      <c r="E8298" s="1" t="s">
        <v>2019</v>
      </c>
      <c r="F8298" s="1" t="s">
        <v>827</v>
      </c>
      <c r="G8298" s="47">
        <v>93086</v>
      </c>
      <c r="H8298" t="str">
        <f>IFERROR(VLOOKUP(F8298,'LEAID Match'!$A$2:$B$142,2,FALSE),"")</f>
        <v/>
      </c>
    </row>
    <row r="8299" spans="1:8" x14ac:dyDescent="0.2">
      <c r="A8299" t="str">
        <f t="shared" si="129"/>
        <v/>
      </c>
      <c r="B8299" s="1">
        <v>2018</v>
      </c>
      <c r="C8299" s="1" t="s">
        <v>2505</v>
      </c>
      <c r="D8299" s="1" t="s">
        <v>2506</v>
      </c>
      <c r="E8299" s="1" t="s">
        <v>2019</v>
      </c>
      <c r="F8299" s="1" t="s">
        <v>827</v>
      </c>
      <c r="G8299" s="6">
        <v>96326</v>
      </c>
      <c r="H8299" t="str">
        <f>IFERROR(VLOOKUP(F8299,'LEAID Match'!$A$2:$B$142,2,FALSE),"")</f>
        <v/>
      </c>
    </row>
    <row r="8300" spans="1:8" x14ac:dyDescent="0.2">
      <c r="A8300" t="str">
        <f t="shared" si="129"/>
        <v/>
      </c>
      <c r="B8300" s="1">
        <v>2019</v>
      </c>
      <c r="C8300" s="1" t="s">
        <v>2505</v>
      </c>
      <c r="D8300" s="1" t="s">
        <v>2506</v>
      </c>
      <c r="E8300" s="1" t="s">
        <v>2019</v>
      </c>
      <c r="F8300" s="1" t="s">
        <v>827</v>
      </c>
      <c r="G8300" s="6">
        <v>104881</v>
      </c>
      <c r="H8300" t="str">
        <f>IFERROR(VLOOKUP(F8300,'LEAID Match'!$A$2:$B$142,2,FALSE),"")</f>
        <v/>
      </c>
    </row>
    <row r="8301" spans="1:8" x14ac:dyDescent="0.2">
      <c r="A8301" t="str">
        <f t="shared" si="129"/>
        <v/>
      </c>
      <c r="B8301" s="1">
        <v>2020</v>
      </c>
      <c r="C8301" s="1" t="s">
        <v>2505</v>
      </c>
      <c r="D8301" s="1" t="s">
        <v>2506</v>
      </c>
      <c r="E8301" s="1" t="s">
        <v>2019</v>
      </c>
      <c r="F8301" s="1" t="s">
        <v>827</v>
      </c>
      <c r="G8301" s="6">
        <v>128428</v>
      </c>
      <c r="H8301" t="str">
        <f>IFERROR(VLOOKUP(F8301,'LEAID Match'!$A$2:$B$142,2,FALSE),"")</f>
        <v/>
      </c>
    </row>
    <row r="8302" spans="1:8" x14ac:dyDescent="0.2">
      <c r="A8302" t="str">
        <f t="shared" si="129"/>
        <v/>
      </c>
      <c r="B8302" s="1">
        <v>2021</v>
      </c>
      <c r="C8302" s="1" t="s">
        <v>2505</v>
      </c>
      <c r="D8302" s="1" t="s">
        <v>2506</v>
      </c>
      <c r="E8302" s="1" t="s">
        <v>2019</v>
      </c>
      <c r="F8302" s="1" t="s">
        <v>827</v>
      </c>
      <c r="G8302" s="6">
        <v>135175</v>
      </c>
      <c r="H8302" t="str">
        <f>IFERROR(VLOOKUP(F8302,'LEAID Match'!$A$2:$B$142,2,FALSE),"")</f>
        <v/>
      </c>
    </row>
    <row r="8303" spans="1:8" x14ac:dyDescent="0.2">
      <c r="A8303" t="str">
        <f t="shared" si="129"/>
        <v/>
      </c>
      <c r="B8303" s="1">
        <v>2022</v>
      </c>
      <c r="C8303" s="1" t="s">
        <v>2505</v>
      </c>
      <c r="D8303" s="1" t="s">
        <v>2506</v>
      </c>
      <c r="E8303" s="1" t="s">
        <v>2019</v>
      </c>
      <c r="F8303" s="1" t="s">
        <v>827</v>
      </c>
      <c r="G8303" s="6">
        <v>133969</v>
      </c>
      <c r="H8303" t="str">
        <f>IFERROR(VLOOKUP(F8303,'LEAID Match'!$A$2:$B$142,2,FALSE),"")</f>
        <v/>
      </c>
    </row>
    <row r="8304" spans="1:8" x14ac:dyDescent="0.2">
      <c r="A8304" t="str">
        <f t="shared" si="129"/>
        <v/>
      </c>
      <c r="B8304" s="1">
        <v>2023</v>
      </c>
      <c r="C8304" s="1" t="s">
        <v>2505</v>
      </c>
      <c r="D8304" s="1" t="s">
        <v>2506</v>
      </c>
      <c r="E8304" s="1" t="s">
        <v>2019</v>
      </c>
      <c r="F8304" s="1" t="s">
        <v>827</v>
      </c>
      <c r="G8304" s="6">
        <v>133043</v>
      </c>
      <c r="H8304" t="str">
        <f>IFERROR(VLOOKUP(F8304,'LEAID Match'!$A$2:$B$142,2,FALSE),"")</f>
        <v/>
      </c>
    </row>
    <row r="8305" spans="1:8" x14ac:dyDescent="0.2">
      <c r="A8305" t="str">
        <f t="shared" si="129"/>
        <v/>
      </c>
      <c r="B8305" s="1">
        <v>2024</v>
      </c>
      <c r="C8305" s="1" t="s">
        <v>2505</v>
      </c>
      <c r="D8305" s="1" t="s">
        <v>2506</v>
      </c>
      <c r="E8305" s="1" t="s">
        <v>2019</v>
      </c>
      <c r="F8305" s="1" t="s">
        <v>827</v>
      </c>
      <c r="G8305" s="6">
        <v>173198</v>
      </c>
      <c r="H8305" t="str">
        <f>IFERROR(VLOOKUP(F8305,'LEAID Match'!$A$2:$B$142,2,FALSE),"")</f>
        <v/>
      </c>
    </row>
    <row r="8306" spans="1:8" x14ac:dyDescent="0.2">
      <c r="A8306" t="str">
        <f t="shared" si="129"/>
        <v/>
      </c>
      <c r="B8306" s="1">
        <v>2015</v>
      </c>
      <c r="C8306" s="1" t="s">
        <v>2505</v>
      </c>
      <c r="D8306" s="1" t="s">
        <v>2506</v>
      </c>
      <c r="E8306" s="1" t="s">
        <v>2019</v>
      </c>
      <c r="F8306" s="1" t="s">
        <v>828</v>
      </c>
      <c r="G8306" s="6">
        <v>13696</v>
      </c>
      <c r="H8306" t="str">
        <f>IFERROR(VLOOKUP(F8306,'LEAID Match'!$A$2:$B$142,2,FALSE),"")</f>
        <v/>
      </c>
    </row>
    <row r="8307" spans="1:8" x14ac:dyDescent="0.2">
      <c r="A8307" t="str">
        <f t="shared" si="129"/>
        <v/>
      </c>
      <c r="B8307">
        <v>2016</v>
      </c>
      <c r="C8307" s="1" t="s">
        <v>2505</v>
      </c>
      <c r="D8307" s="1" t="s">
        <v>2506</v>
      </c>
      <c r="E8307" s="1" t="s">
        <v>2019</v>
      </c>
      <c r="F8307" s="1" t="s">
        <v>828</v>
      </c>
      <c r="G8307" s="12">
        <v>14569</v>
      </c>
      <c r="H8307" t="str">
        <f>IFERROR(VLOOKUP(F8307,'LEAID Match'!$A$2:$B$142,2,FALSE),"")</f>
        <v/>
      </c>
    </row>
    <row r="8308" spans="1:8" x14ac:dyDescent="0.2">
      <c r="A8308" t="str">
        <f t="shared" si="129"/>
        <v/>
      </c>
      <c r="B8308" s="1">
        <v>2017</v>
      </c>
      <c r="C8308" s="1" t="s">
        <v>2505</v>
      </c>
      <c r="D8308" s="1" t="s">
        <v>2506</v>
      </c>
      <c r="E8308" s="1" t="s">
        <v>2019</v>
      </c>
      <c r="F8308" s="1" t="s">
        <v>828</v>
      </c>
      <c r="G8308" s="47">
        <v>15279</v>
      </c>
      <c r="H8308" t="str">
        <f>IFERROR(VLOOKUP(F8308,'LEAID Match'!$A$2:$B$142,2,FALSE),"")</f>
        <v/>
      </c>
    </row>
    <row r="8309" spans="1:8" x14ac:dyDescent="0.2">
      <c r="A8309" t="str">
        <f t="shared" si="129"/>
        <v/>
      </c>
      <c r="B8309" s="1">
        <v>2018</v>
      </c>
      <c r="C8309" s="1" t="s">
        <v>2505</v>
      </c>
      <c r="D8309" s="1" t="s">
        <v>2506</v>
      </c>
      <c r="E8309" s="1" t="s">
        <v>2019</v>
      </c>
      <c r="F8309" s="1" t="s">
        <v>828</v>
      </c>
      <c r="G8309" s="6">
        <v>15807</v>
      </c>
      <c r="H8309" t="str">
        <f>IFERROR(VLOOKUP(F8309,'LEAID Match'!$A$2:$B$142,2,FALSE),"")</f>
        <v/>
      </c>
    </row>
    <row r="8310" spans="1:8" x14ac:dyDescent="0.2">
      <c r="A8310" t="str">
        <f t="shared" si="129"/>
        <v/>
      </c>
      <c r="B8310" s="1">
        <v>2019</v>
      </c>
      <c r="C8310" s="1" t="s">
        <v>2505</v>
      </c>
      <c r="D8310" s="1" t="s">
        <v>2506</v>
      </c>
      <c r="E8310" s="1" t="s">
        <v>2019</v>
      </c>
      <c r="F8310" s="1" t="s">
        <v>828</v>
      </c>
      <c r="G8310" s="6">
        <v>16566</v>
      </c>
      <c r="H8310" t="str">
        <f>IFERROR(VLOOKUP(F8310,'LEAID Match'!$A$2:$B$142,2,FALSE),"")</f>
        <v/>
      </c>
    </row>
    <row r="8311" spans="1:8" x14ac:dyDescent="0.2">
      <c r="A8311" t="str">
        <f t="shared" si="129"/>
        <v/>
      </c>
      <c r="B8311" s="1">
        <v>2020</v>
      </c>
      <c r="C8311" s="1" t="s">
        <v>2505</v>
      </c>
      <c r="D8311" s="1" t="s">
        <v>2506</v>
      </c>
      <c r="E8311" s="1" t="s">
        <v>2019</v>
      </c>
      <c r="F8311" s="1" t="s">
        <v>828</v>
      </c>
      <c r="G8311" s="6">
        <v>21577</v>
      </c>
      <c r="H8311" t="str">
        <f>IFERROR(VLOOKUP(F8311,'LEAID Match'!$A$2:$B$142,2,FALSE),"")</f>
        <v/>
      </c>
    </row>
    <row r="8312" spans="1:8" x14ac:dyDescent="0.2">
      <c r="A8312" t="str">
        <f t="shared" si="129"/>
        <v/>
      </c>
      <c r="B8312" s="1">
        <v>2021</v>
      </c>
      <c r="C8312" s="1" t="s">
        <v>2505</v>
      </c>
      <c r="D8312" s="1" t="s">
        <v>2506</v>
      </c>
      <c r="E8312" s="1" t="s">
        <v>2019</v>
      </c>
      <c r="F8312" s="1" t="s">
        <v>828</v>
      </c>
      <c r="G8312" s="6">
        <v>24578</v>
      </c>
      <c r="H8312" t="str">
        <f>IFERROR(VLOOKUP(F8312,'LEAID Match'!$A$2:$B$142,2,FALSE),"")</f>
        <v/>
      </c>
    </row>
    <row r="8313" spans="1:8" x14ac:dyDescent="0.2">
      <c r="A8313" t="str">
        <f t="shared" si="129"/>
        <v/>
      </c>
      <c r="B8313" s="1">
        <v>2022</v>
      </c>
      <c r="C8313" s="1" t="s">
        <v>2505</v>
      </c>
      <c r="D8313" s="1" t="s">
        <v>2506</v>
      </c>
      <c r="E8313" s="1" t="s">
        <v>2019</v>
      </c>
      <c r="F8313" s="1" t="s">
        <v>828</v>
      </c>
      <c r="G8313" s="6">
        <v>25798</v>
      </c>
      <c r="H8313" t="str">
        <f>IFERROR(VLOOKUP(F8313,'LEAID Match'!$A$2:$B$142,2,FALSE),"")</f>
        <v/>
      </c>
    </row>
    <row r="8314" spans="1:8" x14ac:dyDescent="0.2">
      <c r="A8314" t="str">
        <f t="shared" si="129"/>
        <v/>
      </c>
      <c r="B8314" s="1">
        <v>2023</v>
      </c>
      <c r="C8314" s="1" t="s">
        <v>2505</v>
      </c>
      <c r="D8314" s="1" t="s">
        <v>2506</v>
      </c>
      <c r="E8314" s="1" t="s">
        <v>2019</v>
      </c>
      <c r="F8314" s="1" t="s">
        <v>828</v>
      </c>
      <c r="G8314" s="6">
        <v>27936</v>
      </c>
      <c r="H8314" t="str">
        <f>IFERROR(VLOOKUP(F8314,'LEAID Match'!$A$2:$B$142,2,FALSE),"")</f>
        <v/>
      </c>
    </row>
    <row r="8315" spans="1:8" x14ac:dyDescent="0.2">
      <c r="A8315" t="str">
        <f t="shared" si="129"/>
        <v/>
      </c>
      <c r="B8315" s="1">
        <v>2024</v>
      </c>
      <c r="C8315" s="1" t="s">
        <v>2505</v>
      </c>
      <c r="D8315" s="1" t="s">
        <v>2506</v>
      </c>
      <c r="E8315" s="1" t="s">
        <v>2019</v>
      </c>
      <c r="F8315" s="1" t="s">
        <v>828</v>
      </c>
      <c r="G8315" s="6">
        <v>29228</v>
      </c>
      <c r="H8315" t="str">
        <f>IFERROR(VLOOKUP(F8315,'LEAID Match'!$A$2:$B$142,2,FALSE),"")</f>
        <v/>
      </c>
    </row>
    <row r="8316" spans="1:8" x14ac:dyDescent="0.2">
      <c r="A8316">
        <f t="shared" si="129"/>
        <v>2804650</v>
      </c>
      <c r="B8316" s="1">
        <v>2015</v>
      </c>
      <c r="C8316" s="1" t="s">
        <v>2505</v>
      </c>
      <c r="D8316" s="1" t="s">
        <v>2506</v>
      </c>
      <c r="E8316" s="1" t="s">
        <v>2019</v>
      </c>
      <c r="F8316" s="1" t="s">
        <v>829</v>
      </c>
      <c r="G8316" s="6">
        <v>708255</v>
      </c>
      <c r="H8316">
        <f>IFERROR(VLOOKUP(F8316,'LEAID Match'!$A$2:$B$142,2,FALSE),"")</f>
        <v>2804650</v>
      </c>
    </row>
    <row r="8317" spans="1:8" x14ac:dyDescent="0.2">
      <c r="A8317">
        <f t="shared" si="129"/>
        <v>2804650</v>
      </c>
      <c r="B8317">
        <v>2016</v>
      </c>
      <c r="C8317" s="1" t="s">
        <v>2505</v>
      </c>
      <c r="D8317" s="1" t="s">
        <v>2506</v>
      </c>
      <c r="E8317" s="1" t="s">
        <v>2019</v>
      </c>
      <c r="F8317" s="1" t="s">
        <v>829</v>
      </c>
      <c r="G8317" s="12">
        <v>724714</v>
      </c>
      <c r="H8317">
        <f>IFERROR(VLOOKUP(F8317,'LEAID Match'!$A$2:$B$142,2,FALSE),"")</f>
        <v>2804650</v>
      </c>
    </row>
    <row r="8318" spans="1:8" x14ac:dyDescent="0.2">
      <c r="A8318">
        <f t="shared" si="129"/>
        <v>2804650</v>
      </c>
      <c r="B8318" s="1">
        <v>2017</v>
      </c>
      <c r="C8318" s="1" t="s">
        <v>2505</v>
      </c>
      <c r="D8318" s="1" t="s">
        <v>2506</v>
      </c>
      <c r="E8318" s="1" t="s">
        <v>2019</v>
      </c>
      <c r="F8318" s="1" t="s">
        <v>829</v>
      </c>
      <c r="G8318" s="47">
        <v>702979</v>
      </c>
      <c r="H8318">
        <f>IFERROR(VLOOKUP(F8318,'LEAID Match'!$A$2:$B$142,2,FALSE),"")</f>
        <v>2804650</v>
      </c>
    </row>
    <row r="8319" spans="1:8" x14ac:dyDescent="0.2">
      <c r="A8319">
        <f t="shared" si="129"/>
        <v>2804650</v>
      </c>
      <c r="B8319" s="1">
        <v>2018</v>
      </c>
      <c r="C8319" s="1" t="s">
        <v>2505</v>
      </c>
      <c r="D8319" s="1" t="s">
        <v>2506</v>
      </c>
      <c r="E8319" s="1" t="s">
        <v>2019</v>
      </c>
      <c r="F8319" s="1" t="s">
        <v>829</v>
      </c>
      <c r="G8319" s="6">
        <v>767241</v>
      </c>
      <c r="H8319">
        <f>IFERROR(VLOOKUP(F8319,'LEAID Match'!$A$2:$B$142,2,FALSE),"")</f>
        <v>2804650</v>
      </c>
    </row>
    <row r="8320" spans="1:8" x14ac:dyDescent="0.2">
      <c r="A8320">
        <f t="shared" si="129"/>
        <v>2804650</v>
      </c>
      <c r="B8320" s="1">
        <v>2019</v>
      </c>
      <c r="C8320" s="1" t="s">
        <v>2505</v>
      </c>
      <c r="D8320" s="1" t="s">
        <v>2506</v>
      </c>
      <c r="E8320" s="1" t="s">
        <v>2019</v>
      </c>
      <c r="F8320" s="1" t="s">
        <v>829</v>
      </c>
      <c r="G8320" s="6">
        <v>773890</v>
      </c>
      <c r="H8320">
        <f>IFERROR(VLOOKUP(F8320,'LEAID Match'!$A$2:$B$142,2,FALSE),"")</f>
        <v>2804650</v>
      </c>
    </row>
    <row r="8321" spans="1:8" x14ac:dyDescent="0.2">
      <c r="A8321">
        <f t="shared" si="129"/>
        <v>2804650</v>
      </c>
      <c r="B8321" s="1">
        <v>2020</v>
      </c>
      <c r="C8321" s="1" t="s">
        <v>2505</v>
      </c>
      <c r="D8321" s="1" t="s">
        <v>2506</v>
      </c>
      <c r="E8321" s="1" t="s">
        <v>2019</v>
      </c>
      <c r="F8321" s="1" t="s">
        <v>829</v>
      </c>
      <c r="G8321" s="6">
        <v>851078</v>
      </c>
      <c r="H8321">
        <f>IFERROR(VLOOKUP(F8321,'LEAID Match'!$A$2:$B$142,2,FALSE),"")</f>
        <v>2804650</v>
      </c>
    </row>
    <row r="8322" spans="1:8" x14ac:dyDescent="0.2">
      <c r="A8322">
        <f t="shared" si="129"/>
        <v>2804650</v>
      </c>
      <c r="B8322" s="1">
        <v>2021</v>
      </c>
      <c r="C8322" s="1" t="s">
        <v>2505</v>
      </c>
      <c r="D8322" s="1" t="s">
        <v>2506</v>
      </c>
      <c r="E8322" s="1" t="s">
        <v>2019</v>
      </c>
      <c r="F8322" s="1" t="s">
        <v>829</v>
      </c>
      <c r="G8322" s="6">
        <v>729669</v>
      </c>
      <c r="H8322">
        <f>IFERROR(VLOOKUP(F8322,'LEAID Match'!$A$2:$B$142,2,FALSE),"")</f>
        <v>2804650</v>
      </c>
    </row>
    <row r="8323" spans="1:8" x14ac:dyDescent="0.2">
      <c r="A8323">
        <f t="shared" ref="A8323:A8386" si="130">H8323</f>
        <v>2804650</v>
      </c>
      <c r="B8323" s="1">
        <v>2022</v>
      </c>
      <c r="C8323" s="1" t="s">
        <v>2505</v>
      </c>
      <c r="D8323" s="1" t="s">
        <v>2506</v>
      </c>
      <c r="E8323" s="1" t="s">
        <v>2019</v>
      </c>
      <c r="F8323" s="1" t="s">
        <v>829</v>
      </c>
      <c r="G8323" s="6">
        <v>831974</v>
      </c>
      <c r="H8323">
        <f>IFERROR(VLOOKUP(F8323,'LEAID Match'!$A$2:$B$142,2,FALSE),"")</f>
        <v>2804650</v>
      </c>
    </row>
    <row r="8324" spans="1:8" x14ac:dyDescent="0.2">
      <c r="A8324">
        <f t="shared" si="130"/>
        <v>2804650</v>
      </c>
      <c r="B8324" s="1">
        <v>2023</v>
      </c>
      <c r="C8324" s="1" t="s">
        <v>2505</v>
      </c>
      <c r="D8324" s="1" t="s">
        <v>2506</v>
      </c>
      <c r="E8324" s="1" t="s">
        <v>2019</v>
      </c>
      <c r="F8324" s="1" t="s">
        <v>829</v>
      </c>
      <c r="G8324" s="6">
        <v>843966</v>
      </c>
      <c r="H8324">
        <f>IFERROR(VLOOKUP(F8324,'LEAID Match'!$A$2:$B$142,2,FALSE),"")</f>
        <v>2804650</v>
      </c>
    </row>
    <row r="8325" spans="1:8" x14ac:dyDescent="0.2">
      <c r="A8325">
        <f t="shared" si="130"/>
        <v>2804650</v>
      </c>
      <c r="B8325" s="1">
        <v>2024</v>
      </c>
      <c r="C8325" s="1" t="s">
        <v>2505</v>
      </c>
      <c r="D8325" s="1" t="s">
        <v>2506</v>
      </c>
      <c r="E8325" s="1" t="s">
        <v>2019</v>
      </c>
      <c r="F8325" s="1" t="s">
        <v>829</v>
      </c>
      <c r="G8325" s="6">
        <v>922249</v>
      </c>
      <c r="H8325">
        <f>IFERROR(VLOOKUP(F8325,'LEAID Match'!$A$2:$B$142,2,FALSE),"")</f>
        <v>2804650</v>
      </c>
    </row>
    <row r="8326" spans="1:8" x14ac:dyDescent="0.2">
      <c r="A8326" t="str">
        <f t="shared" si="130"/>
        <v/>
      </c>
      <c r="B8326" s="1">
        <v>2015</v>
      </c>
      <c r="C8326" s="1" t="s">
        <v>2505</v>
      </c>
      <c r="D8326" s="1" t="s">
        <v>2506</v>
      </c>
      <c r="E8326" s="1" t="s">
        <v>2019</v>
      </c>
      <c r="F8326" s="1" t="s">
        <v>830</v>
      </c>
      <c r="G8326" s="6">
        <v>4496</v>
      </c>
      <c r="H8326" t="str">
        <f>IFERROR(VLOOKUP(F8326,'LEAID Match'!$A$2:$B$142,2,FALSE),"")</f>
        <v/>
      </c>
    </row>
    <row r="8327" spans="1:8" x14ac:dyDescent="0.2">
      <c r="A8327" t="str">
        <f t="shared" si="130"/>
        <v/>
      </c>
      <c r="B8327">
        <v>2016</v>
      </c>
      <c r="C8327" s="1" t="s">
        <v>2505</v>
      </c>
      <c r="D8327" s="1" t="s">
        <v>2506</v>
      </c>
      <c r="E8327" s="1" t="s">
        <v>2019</v>
      </c>
      <c r="F8327" s="1" t="s">
        <v>830</v>
      </c>
      <c r="G8327" s="12">
        <v>3964</v>
      </c>
      <c r="H8327" t="str">
        <f>IFERROR(VLOOKUP(F8327,'LEAID Match'!$A$2:$B$142,2,FALSE),"")</f>
        <v/>
      </c>
    </row>
    <row r="8328" spans="1:8" x14ac:dyDescent="0.2">
      <c r="A8328" t="str">
        <f t="shared" si="130"/>
        <v/>
      </c>
      <c r="B8328" s="1">
        <v>2017</v>
      </c>
      <c r="C8328" s="1" t="s">
        <v>2505</v>
      </c>
      <c r="D8328" s="1" t="s">
        <v>2506</v>
      </c>
      <c r="E8328" s="1" t="s">
        <v>2019</v>
      </c>
      <c r="F8328" s="1" t="s">
        <v>830</v>
      </c>
      <c r="G8328" s="47">
        <v>3964</v>
      </c>
      <c r="H8328" t="str">
        <f>IFERROR(VLOOKUP(F8328,'LEAID Match'!$A$2:$B$142,2,FALSE),"")</f>
        <v/>
      </c>
    </row>
    <row r="8329" spans="1:8" x14ac:dyDescent="0.2">
      <c r="A8329" t="str">
        <f t="shared" si="130"/>
        <v/>
      </c>
      <c r="B8329" s="1">
        <v>2018</v>
      </c>
      <c r="C8329" s="1" t="s">
        <v>2505</v>
      </c>
      <c r="D8329" s="1" t="s">
        <v>2506</v>
      </c>
      <c r="E8329" s="1" t="s">
        <v>2019</v>
      </c>
      <c r="F8329" s="1" t="s">
        <v>830</v>
      </c>
      <c r="G8329" s="6">
        <v>3964</v>
      </c>
      <c r="H8329" t="str">
        <f>IFERROR(VLOOKUP(F8329,'LEAID Match'!$A$2:$B$142,2,FALSE),"")</f>
        <v/>
      </c>
    </row>
    <row r="8330" spans="1:8" x14ac:dyDescent="0.2">
      <c r="A8330" t="str">
        <f t="shared" si="130"/>
        <v/>
      </c>
      <c r="B8330" s="1">
        <v>2019</v>
      </c>
      <c r="C8330" s="1" t="s">
        <v>2505</v>
      </c>
      <c r="D8330" s="1" t="s">
        <v>2506</v>
      </c>
      <c r="E8330" s="1" t="s">
        <v>2019</v>
      </c>
      <c r="F8330" s="1" t="s">
        <v>830</v>
      </c>
      <c r="G8330" s="6">
        <v>3792</v>
      </c>
      <c r="H8330" t="str">
        <f>IFERROR(VLOOKUP(F8330,'LEAID Match'!$A$2:$B$142,2,FALSE),"")</f>
        <v/>
      </c>
    </row>
    <row r="8331" spans="1:8" x14ac:dyDescent="0.2">
      <c r="A8331" t="str">
        <f t="shared" si="130"/>
        <v/>
      </c>
      <c r="B8331" s="1">
        <v>2020</v>
      </c>
      <c r="C8331" s="1" t="s">
        <v>2505</v>
      </c>
      <c r="D8331" s="1" t="s">
        <v>2506</v>
      </c>
      <c r="E8331" s="1" t="s">
        <v>2019</v>
      </c>
      <c r="F8331" s="1" t="s">
        <v>830</v>
      </c>
      <c r="G8331" s="6">
        <v>3309</v>
      </c>
      <c r="H8331" t="str">
        <f>IFERROR(VLOOKUP(F8331,'LEAID Match'!$A$2:$B$142,2,FALSE),"")</f>
        <v/>
      </c>
    </row>
    <row r="8332" spans="1:8" x14ac:dyDescent="0.2">
      <c r="A8332" t="str">
        <f t="shared" si="130"/>
        <v/>
      </c>
      <c r="B8332" s="1">
        <v>2021</v>
      </c>
      <c r="C8332" s="1" t="s">
        <v>2505</v>
      </c>
      <c r="D8332" s="1" t="s">
        <v>2506</v>
      </c>
      <c r="E8332" s="1" t="s">
        <v>2019</v>
      </c>
      <c r="F8332" s="1" t="s">
        <v>830</v>
      </c>
      <c r="G8332" s="6">
        <v>3378</v>
      </c>
      <c r="H8332" t="str">
        <f>IFERROR(VLOOKUP(F8332,'LEAID Match'!$A$2:$B$142,2,FALSE),"")</f>
        <v/>
      </c>
    </row>
    <row r="8333" spans="1:8" x14ac:dyDescent="0.2">
      <c r="A8333" t="str">
        <f t="shared" si="130"/>
        <v/>
      </c>
      <c r="B8333" s="1">
        <v>2022</v>
      </c>
      <c r="C8333" s="1" t="s">
        <v>2505</v>
      </c>
      <c r="D8333" s="1" t="s">
        <v>2506</v>
      </c>
      <c r="E8333" s="1" t="s">
        <v>2019</v>
      </c>
      <c r="F8333" s="1" t="s">
        <v>830</v>
      </c>
      <c r="G8333" s="6">
        <v>3419</v>
      </c>
      <c r="H8333" t="str">
        <f>IFERROR(VLOOKUP(F8333,'LEAID Match'!$A$2:$B$142,2,FALSE),"")</f>
        <v/>
      </c>
    </row>
    <row r="8334" spans="1:8" x14ac:dyDescent="0.2">
      <c r="A8334" t="str">
        <f t="shared" si="130"/>
        <v/>
      </c>
      <c r="B8334" s="1">
        <v>2023</v>
      </c>
      <c r="C8334" s="1" t="s">
        <v>2505</v>
      </c>
      <c r="D8334" s="1" t="s">
        <v>2506</v>
      </c>
      <c r="E8334" s="1" t="s">
        <v>2019</v>
      </c>
      <c r="F8334" s="1" t="s">
        <v>830</v>
      </c>
      <c r="G8334" s="6">
        <v>2972</v>
      </c>
      <c r="H8334" t="str">
        <f>IFERROR(VLOOKUP(F8334,'LEAID Match'!$A$2:$B$142,2,FALSE),"")</f>
        <v/>
      </c>
    </row>
    <row r="8335" spans="1:8" x14ac:dyDescent="0.2">
      <c r="A8335" t="str">
        <f t="shared" si="130"/>
        <v/>
      </c>
      <c r="B8335" s="1">
        <v>2024</v>
      </c>
      <c r="C8335" s="1" t="s">
        <v>2505</v>
      </c>
      <c r="D8335" s="1" t="s">
        <v>2506</v>
      </c>
      <c r="E8335" s="1" t="s">
        <v>2019</v>
      </c>
      <c r="F8335" s="1" t="s">
        <v>830</v>
      </c>
      <c r="G8335" s="6">
        <v>3274</v>
      </c>
      <c r="H8335" t="str">
        <f>IFERROR(VLOOKUP(F8335,'LEAID Match'!$A$2:$B$142,2,FALSE),"")</f>
        <v/>
      </c>
    </row>
    <row r="8336" spans="1:8" x14ac:dyDescent="0.2">
      <c r="A8336">
        <f t="shared" si="130"/>
        <v>2804680</v>
      </c>
      <c r="B8336" s="1">
        <v>2015</v>
      </c>
      <c r="C8336" s="1" t="s">
        <v>2505</v>
      </c>
      <c r="D8336" s="1" t="s">
        <v>2506</v>
      </c>
      <c r="E8336" s="1" t="s">
        <v>2019</v>
      </c>
      <c r="F8336" s="1" t="s">
        <v>831</v>
      </c>
      <c r="G8336" s="6">
        <v>1484922</v>
      </c>
      <c r="H8336">
        <f>IFERROR(VLOOKUP(F8336,'LEAID Match'!$A$2:$B$142,2,FALSE),"")</f>
        <v>2804680</v>
      </c>
    </row>
    <row r="8337" spans="1:8" x14ac:dyDescent="0.2">
      <c r="A8337">
        <f t="shared" si="130"/>
        <v>2804680</v>
      </c>
      <c r="B8337">
        <v>2016</v>
      </c>
      <c r="C8337" s="1" t="s">
        <v>2505</v>
      </c>
      <c r="D8337" s="1" t="s">
        <v>2506</v>
      </c>
      <c r="E8337" s="1" t="s">
        <v>2019</v>
      </c>
      <c r="F8337" s="1" t="s">
        <v>831</v>
      </c>
      <c r="G8337" s="12">
        <v>1529168</v>
      </c>
      <c r="H8337">
        <f>IFERROR(VLOOKUP(F8337,'LEAID Match'!$A$2:$B$142,2,FALSE),"")</f>
        <v>2804680</v>
      </c>
    </row>
    <row r="8338" spans="1:8" x14ac:dyDescent="0.2">
      <c r="A8338">
        <f t="shared" si="130"/>
        <v>2804680</v>
      </c>
      <c r="B8338" s="1">
        <v>2017</v>
      </c>
      <c r="C8338" s="1" t="s">
        <v>2505</v>
      </c>
      <c r="D8338" s="1" t="s">
        <v>2506</v>
      </c>
      <c r="E8338" s="1" t="s">
        <v>2019</v>
      </c>
      <c r="F8338" s="1" t="s">
        <v>831</v>
      </c>
      <c r="G8338" s="47">
        <v>1550140</v>
      </c>
      <c r="H8338">
        <f>IFERROR(VLOOKUP(F8338,'LEAID Match'!$A$2:$B$142,2,FALSE),"")</f>
        <v>2804680</v>
      </c>
    </row>
    <row r="8339" spans="1:8" x14ac:dyDescent="0.2">
      <c r="A8339">
        <f t="shared" si="130"/>
        <v>2804680</v>
      </c>
      <c r="B8339" s="1">
        <v>2018</v>
      </c>
      <c r="C8339" s="1" t="s">
        <v>2505</v>
      </c>
      <c r="D8339" s="1" t="s">
        <v>2506</v>
      </c>
      <c r="E8339" s="1" t="s">
        <v>2019</v>
      </c>
      <c r="F8339" s="1" t="s">
        <v>831</v>
      </c>
      <c r="G8339" s="6">
        <v>1605121</v>
      </c>
      <c r="H8339">
        <f>IFERROR(VLOOKUP(F8339,'LEAID Match'!$A$2:$B$142,2,FALSE),"")</f>
        <v>2804680</v>
      </c>
    </row>
    <row r="8340" spans="1:8" x14ac:dyDescent="0.2">
      <c r="A8340">
        <f t="shared" si="130"/>
        <v>2804680</v>
      </c>
      <c r="B8340" s="1">
        <v>2019</v>
      </c>
      <c r="C8340" s="1" t="s">
        <v>2505</v>
      </c>
      <c r="D8340" s="1" t="s">
        <v>2506</v>
      </c>
      <c r="E8340" s="1" t="s">
        <v>2019</v>
      </c>
      <c r="F8340" s="1" t="s">
        <v>831</v>
      </c>
      <c r="G8340" s="6">
        <v>1721142</v>
      </c>
      <c r="H8340">
        <f>IFERROR(VLOOKUP(F8340,'LEAID Match'!$A$2:$B$142,2,FALSE),"")</f>
        <v>2804680</v>
      </c>
    </row>
    <row r="8341" spans="1:8" x14ac:dyDescent="0.2">
      <c r="A8341">
        <f t="shared" si="130"/>
        <v>2804680</v>
      </c>
      <c r="B8341" s="1">
        <v>2020</v>
      </c>
      <c r="C8341" s="1" t="s">
        <v>2505</v>
      </c>
      <c r="D8341" s="1" t="s">
        <v>2506</v>
      </c>
      <c r="E8341" s="1" t="s">
        <v>2019</v>
      </c>
      <c r="F8341" s="1" t="s">
        <v>831</v>
      </c>
      <c r="G8341" s="6">
        <v>2089286</v>
      </c>
      <c r="H8341">
        <f>IFERROR(VLOOKUP(F8341,'LEAID Match'!$A$2:$B$142,2,FALSE),"")</f>
        <v>2804680</v>
      </c>
    </row>
    <row r="8342" spans="1:8" x14ac:dyDescent="0.2">
      <c r="A8342">
        <f t="shared" si="130"/>
        <v>2804680</v>
      </c>
      <c r="B8342" s="1">
        <v>2021</v>
      </c>
      <c r="C8342" s="1" t="s">
        <v>2505</v>
      </c>
      <c r="D8342" s="1" t="s">
        <v>2506</v>
      </c>
      <c r="E8342" s="1" t="s">
        <v>2019</v>
      </c>
      <c r="F8342" s="1" t="s">
        <v>831</v>
      </c>
      <c r="G8342" s="6">
        <v>2085845</v>
      </c>
      <c r="H8342">
        <f>IFERROR(VLOOKUP(F8342,'LEAID Match'!$A$2:$B$142,2,FALSE),"")</f>
        <v>2804680</v>
      </c>
    </row>
    <row r="8343" spans="1:8" x14ac:dyDescent="0.2">
      <c r="A8343">
        <f t="shared" si="130"/>
        <v>2804680</v>
      </c>
      <c r="B8343" s="1">
        <v>2022</v>
      </c>
      <c r="C8343" s="1" t="s">
        <v>2505</v>
      </c>
      <c r="D8343" s="1" t="s">
        <v>2506</v>
      </c>
      <c r="E8343" s="1" t="s">
        <v>2019</v>
      </c>
      <c r="F8343" s="1" t="s">
        <v>831</v>
      </c>
      <c r="G8343" s="6">
        <v>2261497</v>
      </c>
      <c r="H8343">
        <f>IFERROR(VLOOKUP(F8343,'LEAID Match'!$A$2:$B$142,2,FALSE),"")</f>
        <v>2804680</v>
      </c>
    </row>
    <row r="8344" spans="1:8" x14ac:dyDescent="0.2">
      <c r="A8344">
        <f t="shared" si="130"/>
        <v>2804680</v>
      </c>
      <c r="B8344" s="1">
        <v>2023</v>
      </c>
      <c r="C8344" s="1" t="s">
        <v>2505</v>
      </c>
      <c r="D8344" s="1" t="s">
        <v>2506</v>
      </c>
      <c r="E8344" s="1" t="s">
        <v>2019</v>
      </c>
      <c r="F8344" s="1" t="s">
        <v>831</v>
      </c>
      <c r="G8344" s="6">
        <v>2244350</v>
      </c>
      <c r="H8344">
        <f>IFERROR(VLOOKUP(F8344,'LEAID Match'!$A$2:$B$142,2,FALSE),"")</f>
        <v>2804680</v>
      </c>
    </row>
    <row r="8345" spans="1:8" x14ac:dyDescent="0.2">
      <c r="A8345">
        <f t="shared" si="130"/>
        <v>2804680</v>
      </c>
      <c r="B8345" s="1">
        <v>2024</v>
      </c>
      <c r="C8345" s="1" t="s">
        <v>2505</v>
      </c>
      <c r="D8345" s="1" t="s">
        <v>2506</v>
      </c>
      <c r="E8345" s="1" t="s">
        <v>2019</v>
      </c>
      <c r="F8345" s="1" t="s">
        <v>831</v>
      </c>
      <c r="G8345" s="6">
        <v>2307823</v>
      </c>
      <c r="H8345">
        <f>IFERROR(VLOOKUP(F8345,'LEAID Match'!$A$2:$B$142,2,FALSE),"")</f>
        <v>2804680</v>
      </c>
    </row>
    <row r="8346" spans="1:8" x14ac:dyDescent="0.2">
      <c r="A8346" t="str">
        <f t="shared" si="130"/>
        <v/>
      </c>
      <c r="B8346" s="1">
        <v>2015</v>
      </c>
      <c r="C8346" s="1" t="s">
        <v>2505</v>
      </c>
      <c r="D8346" s="1" t="s">
        <v>2506</v>
      </c>
      <c r="E8346" s="1" t="s">
        <v>2019</v>
      </c>
      <c r="F8346" s="1" t="s">
        <v>832</v>
      </c>
      <c r="G8346" s="6">
        <v>272141</v>
      </c>
      <c r="H8346" t="str">
        <f>IFERROR(VLOOKUP(F8346,'LEAID Match'!$A$2:$B$142,2,FALSE),"")</f>
        <v/>
      </c>
    </row>
    <row r="8347" spans="1:8" x14ac:dyDescent="0.2">
      <c r="A8347" t="str">
        <f t="shared" si="130"/>
        <v/>
      </c>
      <c r="B8347">
        <v>2016</v>
      </c>
      <c r="C8347" s="1" t="s">
        <v>2505</v>
      </c>
      <c r="D8347" s="1" t="s">
        <v>2506</v>
      </c>
      <c r="E8347" s="1" t="s">
        <v>2019</v>
      </c>
      <c r="F8347" s="1" t="s">
        <v>832</v>
      </c>
      <c r="G8347" s="12">
        <v>271265</v>
      </c>
      <c r="H8347" t="str">
        <f>IFERROR(VLOOKUP(F8347,'LEAID Match'!$A$2:$B$142,2,FALSE),"")</f>
        <v/>
      </c>
    </row>
    <row r="8348" spans="1:8" x14ac:dyDescent="0.2">
      <c r="A8348" t="str">
        <f t="shared" si="130"/>
        <v/>
      </c>
      <c r="B8348" s="1">
        <v>2017</v>
      </c>
      <c r="C8348" s="1" t="s">
        <v>2505</v>
      </c>
      <c r="D8348" s="1" t="s">
        <v>2506</v>
      </c>
      <c r="E8348" s="1" t="s">
        <v>2019</v>
      </c>
      <c r="F8348" s="1" t="s">
        <v>832</v>
      </c>
      <c r="G8348" s="47">
        <v>295279</v>
      </c>
      <c r="H8348" t="str">
        <f>IFERROR(VLOOKUP(F8348,'LEAID Match'!$A$2:$B$142,2,FALSE),"")</f>
        <v/>
      </c>
    </row>
    <row r="8349" spans="1:8" x14ac:dyDescent="0.2">
      <c r="A8349" t="str">
        <f t="shared" si="130"/>
        <v/>
      </c>
      <c r="B8349" s="1">
        <v>2018</v>
      </c>
      <c r="C8349" s="1" t="s">
        <v>2505</v>
      </c>
      <c r="D8349" s="1" t="s">
        <v>2506</v>
      </c>
      <c r="E8349" s="1" t="s">
        <v>2019</v>
      </c>
      <c r="F8349" s="1" t="s">
        <v>832</v>
      </c>
      <c r="G8349" s="6">
        <v>277027</v>
      </c>
      <c r="H8349" t="str">
        <f>IFERROR(VLOOKUP(F8349,'LEAID Match'!$A$2:$B$142,2,FALSE),"")</f>
        <v/>
      </c>
    </row>
    <row r="8350" spans="1:8" x14ac:dyDescent="0.2">
      <c r="A8350" t="str">
        <f t="shared" si="130"/>
        <v/>
      </c>
      <c r="B8350" s="1">
        <v>2019</v>
      </c>
      <c r="C8350" s="1" t="s">
        <v>2505</v>
      </c>
      <c r="D8350" s="1" t="s">
        <v>2506</v>
      </c>
      <c r="E8350" s="1" t="s">
        <v>2019</v>
      </c>
      <c r="F8350" s="1" t="s">
        <v>832</v>
      </c>
      <c r="G8350" s="6">
        <v>285106</v>
      </c>
      <c r="H8350" t="str">
        <f>IFERROR(VLOOKUP(F8350,'LEAID Match'!$A$2:$B$142,2,FALSE),"")</f>
        <v/>
      </c>
    </row>
    <row r="8351" spans="1:8" x14ac:dyDescent="0.2">
      <c r="A8351" t="str">
        <f t="shared" si="130"/>
        <v/>
      </c>
      <c r="B8351" s="1">
        <v>2020</v>
      </c>
      <c r="C8351" s="1" t="s">
        <v>2505</v>
      </c>
      <c r="D8351" s="1" t="s">
        <v>2506</v>
      </c>
      <c r="E8351" s="1" t="s">
        <v>2019</v>
      </c>
      <c r="F8351" s="1" t="s">
        <v>832</v>
      </c>
      <c r="G8351" s="6">
        <v>321362</v>
      </c>
      <c r="H8351" t="str">
        <f>IFERROR(VLOOKUP(F8351,'LEAID Match'!$A$2:$B$142,2,FALSE),"")</f>
        <v/>
      </c>
    </row>
    <row r="8352" spans="1:8" x14ac:dyDescent="0.2">
      <c r="A8352" t="str">
        <f t="shared" si="130"/>
        <v/>
      </c>
      <c r="B8352" s="1">
        <v>2021</v>
      </c>
      <c r="C8352" s="1" t="s">
        <v>2505</v>
      </c>
      <c r="D8352" s="1" t="s">
        <v>2506</v>
      </c>
      <c r="E8352" s="1" t="s">
        <v>2019</v>
      </c>
      <c r="F8352" s="1" t="s">
        <v>832</v>
      </c>
      <c r="G8352" s="6">
        <v>341175</v>
      </c>
      <c r="H8352" t="str">
        <f>IFERROR(VLOOKUP(F8352,'LEAID Match'!$A$2:$B$142,2,FALSE),"")</f>
        <v/>
      </c>
    </row>
    <row r="8353" spans="1:8" x14ac:dyDescent="0.2">
      <c r="A8353" t="str">
        <f t="shared" si="130"/>
        <v/>
      </c>
      <c r="B8353" s="1">
        <v>2022</v>
      </c>
      <c r="C8353" s="1" t="s">
        <v>2505</v>
      </c>
      <c r="D8353" s="1" t="s">
        <v>2506</v>
      </c>
      <c r="E8353" s="1" t="s">
        <v>2019</v>
      </c>
      <c r="F8353" s="1" t="s">
        <v>832</v>
      </c>
      <c r="G8353" s="6">
        <v>342480</v>
      </c>
      <c r="H8353" t="str">
        <f>IFERROR(VLOOKUP(F8353,'LEAID Match'!$A$2:$B$142,2,FALSE),"")</f>
        <v/>
      </c>
    </row>
    <row r="8354" spans="1:8" x14ac:dyDescent="0.2">
      <c r="A8354" t="str">
        <f t="shared" si="130"/>
        <v/>
      </c>
      <c r="B8354" s="1">
        <v>2023</v>
      </c>
      <c r="C8354" s="1" t="s">
        <v>2505</v>
      </c>
      <c r="D8354" s="1" t="s">
        <v>2506</v>
      </c>
      <c r="E8354" s="1" t="s">
        <v>2019</v>
      </c>
      <c r="F8354" s="1" t="s">
        <v>832</v>
      </c>
      <c r="G8354" s="6">
        <v>375707</v>
      </c>
      <c r="H8354" t="str">
        <f>IFERROR(VLOOKUP(F8354,'LEAID Match'!$A$2:$B$142,2,FALSE),"")</f>
        <v/>
      </c>
    </row>
    <row r="8355" spans="1:8" x14ac:dyDescent="0.2">
      <c r="A8355" t="str">
        <f t="shared" si="130"/>
        <v/>
      </c>
      <c r="B8355" s="1">
        <v>2024</v>
      </c>
      <c r="C8355" s="1" t="s">
        <v>2505</v>
      </c>
      <c r="D8355" s="1" t="s">
        <v>2506</v>
      </c>
      <c r="E8355" s="1" t="s">
        <v>2019</v>
      </c>
      <c r="F8355" s="1" t="s">
        <v>832</v>
      </c>
      <c r="G8355" s="6">
        <v>343404</v>
      </c>
      <c r="H8355" t="str">
        <f>IFERROR(VLOOKUP(F8355,'LEAID Match'!$A$2:$B$142,2,FALSE),"")</f>
        <v/>
      </c>
    </row>
    <row r="8356" spans="1:8" x14ac:dyDescent="0.2">
      <c r="A8356" t="str">
        <f t="shared" si="130"/>
        <v/>
      </c>
      <c r="B8356" s="1">
        <v>2015</v>
      </c>
      <c r="C8356" s="1" t="s">
        <v>2505</v>
      </c>
      <c r="D8356" s="1" t="s">
        <v>2506</v>
      </c>
      <c r="E8356" s="1" t="s">
        <v>2019</v>
      </c>
      <c r="F8356" s="1" t="s">
        <v>833</v>
      </c>
      <c r="G8356" s="6">
        <v>3190340</v>
      </c>
      <c r="H8356" t="str">
        <f>IFERROR(VLOOKUP(F8356,'LEAID Match'!$A$2:$B$142,2,FALSE),"")</f>
        <v/>
      </c>
    </row>
    <row r="8357" spans="1:8" x14ac:dyDescent="0.2">
      <c r="A8357" t="str">
        <f t="shared" si="130"/>
        <v/>
      </c>
      <c r="B8357">
        <v>2016</v>
      </c>
      <c r="C8357" s="1" t="s">
        <v>2505</v>
      </c>
      <c r="D8357" s="1" t="s">
        <v>2506</v>
      </c>
      <c r="E8357" s="1" t="s">
        <v>2019</v>
      </c>
      <c r="F8357" s="1" t="s">
        <v>833</v>
      </c>
      <c r="G8357" s="12">
        <v>3082140</v>
      </c>
      <c r="H8357" t="str">
        <f>IFERROR(VLOOKUP(F8357,'LEAID Match'!$A$2:$B$142,2,FALSE),"")</f>
        <v/>
      </c>
    </row>
    <row r="8358" spans="1:8" x14ac:dyDescent="0.2">
      <c r="A8358" t="str">
        <f t="shared" si="130"/>
        <v/>
      </c>
      <c r="B8358" s="1">
        <v>2017</v>
      </c>
      <c r="C8358" s="1" t="s">
        <v>2505</v>
      </c>
      <c r="D8358" s="1" t="s">
        <v>2506</v>
      </c>
      <c r="E8358" s="1" t="s">
        <v>2019</v>
      </c>
      <c r="F8358" s="1" t="s">
        <v>833</v>
      </c>
      <c r="G8358" s="47">
        <v>3298217</v>
      </c>
      <c r="H8358" t="str">
        <f>IFERROR(VLOOKUP(F8358,'LEAID Match'!$A$2:$B$142,2,FALSE),"")</f>
        <v/>
      </c>
    </row>
    <row r="8359" spans="1:8" x14ac:dyDescent="0.2">
      <c r="A8359" t="str">
        <f t="shared" si="130"/>
        <v/>
      </c>
      <c r="B8359" s="1">
        <v>2018</v>
      </c>
      <c r="C8359" s="1" t="s">
        <v>2505</v>
      </c>
      <c r="D8359" s="1" t="s">
        <v>2506</v>
      </c>
      <c r="E8359" s="1" t="s">
        <v>2019</v>
      </c>
      <c r="F8359" s="1" t="s">
        <v>833</v>
      </c>
      <c r="G8359" s="6">
        <v>3464237</v>
      </c>
      <c r="H8359" t="str">
        <f>IFERROR(VLOOKUP(F8359,'LEAID Match'!$A$2:$B$142,2,FALSE),"")</f>
        <v/>
      </c>
    </row>
    <row r="8360" spans="1:8" x14ac:dyDescent="0.2">
      <c r="A8360" t="str">
        <f t="shared" si="130"/>
        <v/>
      </c>
      <c r="B8360" s="1">
        <v>2019</v>
      </c>
      <c r="C8360" s="1" t="s">
        <v>2505</v>
      </c>
      <c r="D8360" s="1" t="s">
        <v>2506</v>
      </c>
      <c r="E8360" s="1" t="s">
        <v>2019</v>
      </c>
      <c r="F8360" s="1" t="s">
        <v>833</v>
      </c>
      <c r="G8360" s="6">
        <v>3389495</v>
      </c>
      <c r="H8360" t="str">
        <f>IFERROR(VLOOKUP(F8360,'LEAID Match'!$A$2:$B$142,2,FALSE),"")</f>
        <v/>
      </c>
    </row>
    <row r="8361" spans="1:8" x14ac:dyDescent="0.2">
      <c r="A8361" t="str">
        <f t="shared" si="130"/>
        <v/>
      </c>
      <c r="B8361" s="1">
        <v>2020</v>
      </c>
      <c r="C8361" s="1" t="s">
        <v>2505</v>
      </c>
      <c r="D8361" s="1" t="s">
        <v>2506</v>
      </c>
      <c r="E8361" s="1" t="s">
        <v>2019</v>
      </c>
      <c r="F8361" s="1" t="s">
        <v>833</v>
      </c>
      <c r="G8361" s="6">
        <v>3553024</v>
      </c>
      <c r="H8361" t="str">
        <f>IFERROR(VLOOKUP(F8361,'LEAID Match'!$A$2:$B$142,2,FALSE),"")</f>
        <v/>
      </c>
    </row>
    <row r="8362" spans="1:8" x14ac:dyDescent="0.2">
      <c r="A8362" t="str">
        <f t="shared" si="130"/>
        <v/>
      </c>
      <c r="B8362" s="1">
        <v>2021</v>
      </c>
      <c r="C8362" s="1" t="s">
        <v>2505</v>
      </c>
      <c r="D8362" s="1" t="s">
        <v>2506</v>
      </c>
      <c r="E8362" s="1" t="s">
        <v>2019</v>
      </c>
      <c r="F8362" s="1" t="s">
        <v>833</v>
      </c>
      <c r="G8362" s="6">
        <v>3474866</v>
      </c>
      <c r="H8362" t="str">
        <f>IFERROR(VLOOKUP(F8362,'LEAID Match'!$A$2:$B$142,2,FALSE),"")</f>
        <v/>
      </c>
    </row>
    <row r="8363" spans="1:8" x14ac:dyDescent="0.2">
      <c r="A8363" t="str">
        <f t="shared" si="130"/>
        <v/>
      </c>
      <c r="B8363" s="1">
        <v>2022</v>
      </c>
      <c r="C8363" s="1" t="s">
        <v>2505</v>
      </c>
      <c r="D8363" s="1" t="s">
        <v>2506</v>
      </c>
      <c r="E8363" s="1" t="s">
        <v>2019</v>
      </c>
      <c r="F8363" s="1" t="s">
        <v>833</v>
      </c>
      <c r="G8363" s="6">
        <v>3676498</v>
      </c>
      <c r="H8363" t="str">
        <f>IFERROR(VLOOKUP(F8363,'LEAID Match'!$A$2:$B$142,2,FALSE),"")</f>
        <v/>
      </c>
    </row>
    <row r="8364" spans="1:8" x14ac:dyDescent="0.2">
      <c r="A8364" t="str">
        <f t="shared" si="130"/>
        <v/>
      </c>
      <c r="B8364" s="1">
        <v>2023</v>
      </c>
      <c r="C8364" s="1" t="s">
        <v>2505</v>
      </c>
      <c r="D8364" s="1" t="s">
        <v>2506</v>
      </c>
      <c r="E8364" s="1" t="s">
        <v>2019</v>
      </c>
      <c r="F8364" s="1" t="s">
        <v>833</v>
      </c>
      <c r="G8364" s="6">
        <v>4381075</v>
      </c>
      <c r="H8364" t="str">
        <f>IFERROR(VLOOKUP(F8364,'LEAID Match'!$A$2:$B$142,2,FALSE),"")</f>
        <v/>
      </c>
    </row>
    <row r="8365" spans="1:8" x14ac:dyDescent="0.2">
      <c r="A8365" t="str">
        <f t="shared" si="130"/>
        <v/>
      </c>
      <c r="B8365" s="1">
        <v>2024</v>
      </c>
      <c r="C8365" s="1" t="s">
        <v>2505</v>
      </c>
      <c r="D8365" s="1" t="s">
        <v>2506</v>
      </c>
      <c r="E8365" s="1" t="s">
        <v>2019</v>
      </c>
      <c r="F8365" s="1" t="s">
        <v>833</v>
      </c>
      <c r="G8365" s="6">
        <v>4649125</v>
      </c>
      <c r="H8365" t="str">
        <f>IFERROR(VLOOKUP(F8365,'LEAID Match'!$A$2:$B$142,2,FALSE),"")</f>
        <v/>
      </c>
    </row>
    <row r="8366" spans="1:8" x14ac:dyDescent="0.2">
      <c r="A8366">
        <f t="shared" si="130"/>
        <v>2804710</v>
      </c>
      <c r="B8366" s="1">
        <v>2015</v>
      </c>
      <c r="C8366" s="1" t="s">
        <v>2505</v>
      </c>
      <c r="D8366" s="1" t="s">
        <v>2506</v>
      </c>
      <c r="E8366" s="1" t="s">
        <v>2019</v>
      </c>
      <c r="F8366" s="1" t="s">
        <v>834</v>
      </c>
      <c r="G8366" s="6">
        <v>1034131</v>
      </c>
      <c r="H8366">
        <f>IFERROR(VLOOKUP(F8366,'LEAID Match'!$A$2:$B$142,2,FALSE),"")</f>
        <v>2804710</v>
      </c>
    </row>
    <row r="8367" spans="1:8" x14ac:dyDescent="0.2">
      <c r="A8367">
        <f t="shared" si="130"/>
        <v>2804710</v>
      </c>
      <c r="B8367">
        <v>2016</v>
      </c>
      <c r="C8367" s="1" t="s">
        <v>2505</v>
      </c>
      <c r="D8367" s="1" t="s">
        <v>2506</v>
      </c>
      <c r="E8367" s="1" t="s">
        <v>2019</v>
      </c>
      <c r="F8367" s="1" t="s">
        <v>834</v>
      </c>
      <c r="G8367" s="12">
        <v>1055472</v>
      </c>
      <c r="H8367">
        <f>IFERROR(VLOOKUP(F8367,'LEAID Match'!$A$2:$B$142,2,FALSE),"")</f>
        <v>2804710</v>
      </c>
    </row>
    <row r="8368" spans="1:8" x14ac:dyDescent="0.2">
      <c r="A8368">
        <f t="shared" si="130"/>
        <v>2804710</v>
      </c>
      <c r="B8368" s="1">
        <v>2017</v>
      </c>
      <c r="C8368" s="1" t="s">
        <v>2505</v>
      </c>
      <c r="D8368" s="1" t="s">
        <v>2506</v>
      </c>
      <c r="E8368" s="1" t="s">
        <v>2019</v>
      </c>
      <c r="F8368" s="1" t="s">
        <v>834</v>
      </c>
      <c r="G8368" s="47">
        <v>1025404</v>
      </c>
      <c r="H8368">
        <f>IFERROR(VLOOKUP(F8368,'LEAID Match'!$A$2:$B$142,2,FALSE),"")</f>
        <v>2804710</v>
      </c>
    </row>
    <row r="8369" spans="1:8" x14ac:dyDescent="0.2">
      <c r="A8369">
        <f t="shared" si="130"/>
        <v>2804710</v>
      </c>
      <c r="B8369" s="1">
        <v>2018</v>
      </c>
      <c r="C8369" s="1" t="s">
        <v>2505</v>
      </c>
      <c r="D8369" s="1" t="s">
        <v>2506</v>
      </c>
      <c r="E8369" s="1" t="s">
        <v>2019</v>
      </c>
      <c r="F8369" s="1" t="s">
        <v>834</v>
      </c>
      <c r="G8369" s="6">
        <v>989991</v>
      </c>
      <c r="H8369">
        <f>IFERROR(VLOOKUP(F8369,'LEAID Match'!$A$2:$B$142,2,FALSE),"")</f>
        <v>2804710</v>
      </c>
    </row>
    <row r="8370" spans="1:8" x14ac:dyDescent="0.2">
      <c r="A8370">
        <f t="shared" si="130"/>
        <v>2804710</v>
      </c>
      <c r="B8370" s="1">
        <v>2019</v>
      </c>
      <c r="C8370" s="1" t="s">
        <v>2505</v>
      </c>
      <c r="D8370" s="1" t="s">
        <v>2506</v>
      </c>
      <c r="E8370" s="1" t="s">
        <v>2019</v>
      </c>
      <c r="F8370" s="1" t="s">
        <v>834</v>
      </c>
      <c r="G8370" s="6">
        <v>934598</v>
      </c>
      <c r="H8370">
        <f>IFERROR(VLOOKUP(F8370,'LEAID Match'!$A$2:$B$142,2,FALSE),"")</f>
        <v>2804710</v>
      </c>
    </row>
    <row r="8371" spans="1:8" x14ac:dyDescent="0.2">
      <c r="A8371">
        <f t="shared" si="130"/>
        <v>2804710</v>
      </c>
      <c r="B8371" s="1">
        <v>2020</v>
      </c>
      <c r="C8371" s="1" t="s">
        <v>2505</v>
      </c>
      <c r="D8371" s="1" t="s">
        <v>2506</v>
      </c>
      <c r="E8371" s="1" t="s">
        <v>2019</v>
      </c>
      <c r="F8371" s="1" t="s">
        <v>834</v>
      </c>
      <c r="G8371" s="6">
        <v>1274101</v>
      </c>
      <c r="H8371">
        <f>IFERROR(VLOOKUP(F8371,'LEAID Match'!$A$2:$B$142,2,FALSE),"")</f>
        <v>2804710</v>
      </c>
    </row>
    <row r="8372" spans="1:8" x14ac:dyDescent="0.2">
      <c r="A8372">
        <f t="shared" si="130"/>
        <v>2804710</v>
      </c>
      <c r="B8372" s="1">
        <v>2021</v>
      </c>
      <c r="C8372" s="1" t="s">
        <v>2505</v>
      </c>
      <c r="D8372" s="1" t="s">
        <v>2506</v>
      </c>
      <c r="E8372" s="1" t="s">
        <v>2019</v>
      </c>
      <c r="F8372" s="1" t="s">
        <v>834</v>
      </c>
      <c r="G8372" s="6">
        <v>1222656</v>
      </c>
      <c r="H8372">
        <f>IFERROR(VLOOKUP(F8372,'LEAID Match'!$A$2:$B$142,2,FALSE),"")</f>
        <v>2804710</v>
      </c>
    </row>
    <row r="8373" spans="1:8" x14ac:dyDescent="0.2">
      <c r="A8373">
        <f t="shared" si="130"/>
        <v>2804710</v>
      </c>
      <c r="B8373" s="1">
        <v>2022</v>
      </c>
      <c r="C8373" s="1" t="s">
        <v>2505</v>
      </c>
      <c r="D8373" s="1" t="s">
        <v>2506</v>
      </c>
      <c r="E8373" s="1" t="s">
        <v>2019</v>
      </c>
      <c r="F8373" s="1" t="s">
        <v>834</v>
      </c>
      <c r="G8373" s="6">
        <v>1222999</v>
      </c>
      <c r="H8373">
        <f>IFERROR(VLOOKUP(F8373,'LEAID Match'!$A$2:$B$142,2,FALSE),"")</f>
        <v>2804710</v>
      </c>
    </row>
    <row r="8374" spans="1:8" x14ac:dyDescent="0.2">
      <c r="A8374">
        <f t="shared" si="130"/>
        <v>2804710</v>
      </c>
      <c r="B8374" s="1">
        <v>2023</v>
      </c>
      <c r="C8374" s="1" t="s">
        <v>2505</v>
      </c>
      <c r="D8374" s="1" t="s">
        <v>2506</v>
      </c>
      <c r="E8374" s="1" t="s">
        <v>2019</v>
      </c>
      <c r="F8374" s="1" t="s">
        <v>834</v>
      </c>
      <c r="G8374" s="6">
        <v>1144167</v>
      </c>
      <c r="H8374">
        <f>IFERROR(VLOOKUP(F8374,'LEAID Match'!$A$2:$B$142,2,FALSE),"")</f>
        <v>2804710</v>
      </c>
    </row>
    <row r="8375" spans="1:8" x14ac:dyDescent="0.2">
      <c r="A8375">
        <f t="shared" si="130"/>
        <v>2804710</v>
      </c>
      <c r="B8375" s="1">
        <v>2024</v>
      </c>
      <c r="C8375" s="1" t="s">
        <v>2505</v>
      </c>
      <c r="D8375" s="1" t="s">
        <v>2506</v>
      </c>
      <c r="E8375" s="1" t="s">
        <v>2019</v>
      </c>
      <c r="F8375" s="1" t="s">
        <v>834</v>
      </c>
      <c r="G8375" s="6">
        <v>1002823</v>
      </c>
      <c r="H8375">
        <f>IFERROR(VLOOKUP(F8375,'LEAID Match'!$A$2:$B$142,2,FALSE),"")</f>
        <v>2804710</v>
      </c>
    </row>
    <row r="8376" spans="1:8" x14ac:dyDescent="0.2">
      <c r="A8376" t="str">
        <f t="shared" si="130"/>
        <v/>
      </c>
      <c r="B8376" s="1">
        <v>2015</v>
      </c>
      <c r="C8376" s="1" t="s">
        <v>2505</v>
      </c>
      <c r="D8376" s="1" t="s">
        <v>2506</v>
      </c>
      <c r="E8376" s="1" t="s">
        <v>2019</v>
      </c>
      <c r="F8376" s="1" t="s">
        <v>835</v>
      </c>
      <c r="G8376" s="6">
        <v>341409</v>
      </c>
      <c r="H8376" t="str">
        <f>IFERROR(VLOOKUP(F8376,'LEAID Match'!$A$2:$B$142,2,FALSE),"")</f>
        <v/>
      </c>
    </row>
    <row r="8377" spans="1:8" x14ac:dyDescent="0.2">
      <c r="A8377" t="str">
        <f t="shared" si="130"/>
        <v/>
      </c>
      <c r="B8377">
        <v>2016</v>
      </c>
      <c r="C8377" s="1" t="s">
        <v>2505</v>
      </c>
      <c r="D8377" s="1" t="s">
        <v>2506</v>
      </c>
      <c r="E8377" s="1" t="s">
        <v>2019</v>
      </c>
      <c r="F8377" s="1" t="s">
        <v>835</v>
      </c>
      <c r="G8377" s="12">
        <v>363982</v>
      </c>
      <c r="H8377" t="str">
        <f>IFERROR(VLOOKUP(F8377,'LEAID Match'!$A$2:$B$142,2,FALSE),"")</f>
        <v/>
      </c>
    </row>
    <row r="8378" spans="1:8" x14ac:dyDescent="0.2">
      <c r="A8378" t="str">
        <f t="shared" si="130"/>
        <v/>
      </c>
      <c r="B8378" s="1">
        <v>2017</v>
      </c>
      <c r="C8378" s="1" t="s">
        <v>2505</v>
      </c>
      <c r="D8378" s="1" t="s">
        <v>2506</v>
      </c>
      <c r="E8378" s="1" t="s">
        <v>2019</v>
      </c>
      <c r="F8378" s="1" t="s">
        <v>835</v>
      </c>
      <c r="G8378" s="47">
        <v>366320</v>
      </c>
      <c r="H8378" t="str">
        <f>IFERROR(VLOOKUP(F8378,'LEAID Match'!$A$2:$B$142,2,FALSE),"")</f>
        <v/>
      </c>
    </row>
    <row r="8379" spans="1:8" x14ac:dyDescent="0.2">
      <c r="A8379" t="str">
        <f t="shared" si="130"/>
        <v/>
      </c>
      <c r="B8379" s="1">
        <v>2018</v>
      </c>
      <c r="C8379" s="1" t="s">
        <v>2505</v>
      </c>
      <c r="D8379" s="1" t="s">
        <v>2506</v>
      </c>
      <c r="E8379" s="1" t="s">
        <v>2019</v>
      </c>
      <c r="F8379" s="1" t="s">
        <v>835</v>
      </c>
      <c r="G8379" s="6">
        <v>321522</v>
      </c>
      <c r="H8379" t="str">
        <f>IFERROR(VLOOKUP(F8379,'LEAID Match'!$A$2:$B$142,2,FALSE),"")</f>
        <v/>
      </c>
    </row>
    <row r="8380" spans="1:8" x14ac:dyDescent="0.2">
      <c r="A8380" t="str">
        <f t="shared" si="130"/>
        <v/>
      </c>
      <c r="B8380" s="1">
        <v>2019</v>
      </c>
      <c r="C8380" s="1" t="s">
        <v>2505</v>
      </c>
      <c r="D8380" s="1" t="s">
        <v>2506</v>
      </c>
      <c r="E8380" s="1" t="s">
        <v>2019</v>
      </c>
      <c r="F8380" s="1" t="s">
        <v>835</v>
      </c>
      <c r="G8380" s="6">
        <v>322607</v>
      </c>
      <c r="H8380" t="str">
        <f>IFERROR(VLOOKUP(F8380,'LEAID Match'!$A$2:$B$142,2,FALSE),"")</f>
        <v/>
      </c>
    </row>
    <row r="8381" spans="1:8" x14ac:dyDescent="0.2">
      <c r="A8381" t="str">
        <f t="shared" si="130"/>
        <v/>
      </c>
      <c r="B8381" s="1">
        <v>2020</v>
      </c>
      <c r="C8381" s="1" t="s">
        <v>2505</v>
      </c>
      <c r="D8381" s="1" t="s">
        <v>2506</v>
      </c>
      <c r="E8381" s="1" t="s">
        <v>2019</v>
      </c>
      <c r="F8381" s="1" t="s">
        <v>835</v>
      </c>
      <c r="G8381" s="6">
        <v>373738</v>
      </c>
      <c r="H8381" t="str">
        <f>IFERROR(VLOOKUP(F8381,'LEAID Match'!$A$2:$B$142,2,FALSE),"")</f>
        <v/>
      </c>
    </row>
    <row r="8382" spans="1:8" x14ac:dyDescent="0.2">
      <c r="A8382" t="str">
        <f t="shared" si="130"/>
        <v/>
      </c>
      <c r="B8382" s="1">
        <v>2021</v>
      </c>
      <c r="C8382" s="1" t="s">
        <v>2505</v>
      </c>
      <c r="D8382" s="1" t="s">
        <v>2506</v>
      </c>
      <c r="E8382" s="1" t="s">
        <v>2019</v>
      </c>
      <c r="F8382" s="1" t="s">
        <v>835</v>
      </c>
      <c r="G8382" s="6">
        <v>380478</v>
      </c>
      <c r="H8382" t="str">
        <f>IFERROR(VLOOKUP(F8382,'LEAID Match'!$A$2:$B$142,2,FALSE),"")</f>
        <v/>
      </c>
    </row>
    <row r="8383" spans="1:8" x14ac:dyDescent="0.2">
      <c r="A8383" t="str">
        <f t="shared" si="130"/>
        <v/>
      </c>
      <c r="B8383" s="1">
        <v>2022</v>
      </c>
      <c r="C8383" s="1" t="s">
        <v>2505</v>
      </c>
      <c r="D8383" s="1" t="s">
        <v>2506</v>
      </c>
      <c r="E8383" s="1" t="s">
        <v>2019</v>
      </c>
      <c r="F8383" s="1" t="s">
        <v>835</v>
      </c>
      <c r="G8383" s="6">
        <v>390559</v>
      </c>
      <c r="H8383" t="str">
        <f>IFERROR(VLOOKUP(F8383,'LEAID Match'!$A$2:$B$142,2,FALSE),"")</f>
        <v/>
      </c>
    </row>
    <row r="8384" spans="1:8" x14ac:dyDescent="0.2">
      <c r="A8384" t="str">
        <f t="shared" si="130"/>
        <v/>
      </c>
      <c r="B8384" s="1">
        <v>2023</v>
      </c>
      <c r="C8384" s="1" t="s">
        <v>2505</v>
      </c>
      <c r="D8384" s="1" t="s">
        <v>2506</v>
      </c>
      <c r="E8384" s="1" t="s">
        <v>2019</v>
      </c>
      <c r="F8384" s="1" t="s">
        <v>835</v>
      </c>
      <c r="G8384" s="6">
        <v>388332</v>
      </c>
      <c r="H8384" t="str">
        <f>IFERROR(VLOOKUP(F8384,'LEAID Match'!$A$2:$B$142,2,FALSE),"")</f>
        <v/>
      </c>
    </row>
    <row r="8385" spans="1:8" x14ac:dyDescent="0.2">
      <c r="A8385" t="str">
        <f t="shared" si="130"/>
        <v/>
      </c>
      <c r="B8385" s="1">
        <v>2024</v>
      </c>
      <c r="C8385" s="1" t="s">
        <v>2505</v>
      </c>
      <c r="D8385" s="1" t="s">
        <v>2506</v>
      </c>
      <c r="E8385" s="1" t="s">
        <v>2019</v>
      </c>
      <c r="F8385" s="1" t="s">
        <v>835</v>
      </c>
      <c r="G8385" s="6">
        <v>391516</v>
      </c>
      <c r="H8385" t="str">
        <f>IFERROR(VLOOKUP(F8385,'LEAID Match'!$A$2:$B$142,2,FALSE),"")</f>
        <v/>
      </c>
    </row>
    <row r="8386" spans="1:8" x14ac:dyDescent="0.2">
      <c r="A8386" t="str">
        <f t="shared" si="130"/>
        <v/>
      </c>
      <c r="B8386" s="1">
        <v>2015</v>
      </c>
      <c r="C8386" s="1" t="s">
        <v>2505</v>
      </c>
      <c r="D8386" s="1" t="s">
        <v>2506</v>
      </c>
      <c r="E8386" s="1" t="s">
        <v>2019</v>
      </c>
      <c r="F8386" t="s">
        <v>2050</v>
      </c>
      <c r="G8386" s="6">
        <v>1352</v>
      </c>
      <c r="H8386" t="str">
        <f>IFERROR(VLOOKUP(F8386,'LEAID Match'!$A$2:$B$142,2,FALSE),"")</f>
        <v/>
      </c>
    </row>
    <row r="8387" spans="1:8" x14ac:dyDescent="0.2">
      <c r="A8387" t="str">
        <f t="shared" ref="A8387:A8450" si="131">H8387</f>
        <v/>
      </c>
      <c r="B8387">
        <v>2016</v>
      </c>
      <c r="C8387" s="1" t="s">
        <v>2505</v>
      </c>
      <c r="D8387" s="1" t="s">
        <v>2506</v>
      </c>
      <c r="E8387" s="1" t="s">
        <v>2019</v>
      </c>
      <c r="F8387" t="s">
        <v>2050</v>
      </c>
      <c r="G8387" s="12">
        <v>325</v>
      </c>
      <c r="H8387" t="str">
        <f>IFERROR(VLOOKUP(F8387,'LEAID Match'!$A$2:$B$142,2,FALSE),"")</f>
        <v/>
      </c>
    </row>
    <row r="8388" spans="1:8" x14ac:dyDescent="0.2">
      <c r="A8388" t="str">
        <f t="shared" si="131"/>
        <v/>
      </c>
      <c r="B8388" s="1">
        <v>2015</v>
      </c>
      <c r="C8388" s="1" t="s">
        <v>2505</v>
      </c>
      <c r="D8388" s="1" t="s">
        <v>2506</v>
      </c>
      <c r="E8388" s="1" t="s">
        <v>2019</v>
      </c>
      <c r="F8388" s="1" t="s">
        <v>836</v>
      </c>
      <c r="G8388" s="6">
        <v>5246</v>
      </c>
      <c r="H8388" t="str">
        <f>IFERROR(VLOOKUP(F8388,'LEAID Match'!$A$2:$B$142,2,FALSE),"")</f>
        <v/>
      </c>
    </row>
    <row r="8389" spans="1:8" x14ac:dyDescent="0.2">
      <c r="A8389" t="str">
        <f t="shared" si="131"/>
        <v/>
      </c>
      <c r="B8389">
        <v>2016</v>
      </c>
      <c r="C8389" s="1" t="s">
        <v>2505</v>
      </c>
      <c r="D8389" s="1" t="s">
        <v>2506</v>
      </c>
      <c r="E8389" s="1" t="s">
        <v>2019</v>
      </c>
      <c r="F8389" s="1" t="s">
        <v>836</v>
      </c>
      <c r="G8389" s="12">
        <v>6530</v>
      </c>
      <c r="H8389" t="str">
        <f>IFERROR(VLOOKUP(F8389,'LEAID Match'!$A$2:$B$142,2,FALSE),"")</f>
        <v/>
      </c>
    </row>
    <row r="8390" spans="1:8" x14ac:dyDescent="0.2">
      <c r="A8390" t="str">
        <f t="shared" si="131"/>
        <v/>
      </c>
      <c r="B8390" s="1">
        <v>2017</v>
      </c>
      <c r="C8390" s="1" t="s">
        <v>2505</v>
      </c>
      <c r="D8390" s="1" t="s">
        <v>2506</v>
      </c>
      <c r="E8390" s="1" t="s">
        <v>2019</v>
      </c>
      <c r="F8390" s="1" t="s">
        <v>836</v>
      </c>
      <c r="G8390" s="47">
        <v>7750</v>
      </c>
      <c r="H8390" t="str">
        <f>IFERROR(VLOOKUP(F8390,'LEAID Match'!$A$2:$B$142,2,FALSE),"")</f>
        <v/>
      </c>
    </row>
    <row r="8391" spans="1:8" x14ac:dyDescent="0.2">
      <c r="A8391" t="str">
        <f t="shared" si="131"/>
        <v/>
      </c>
      <c r="B8391" s="1">
        <v>2018</v>
      </c>
      <c r="C8391" s="1" t="s">
        <v>2505</v>
      </c>
      <c r="D8391" s="1" t="s">
        <v>2506</v>
      </c>
      <c r="E8391" s="1" t="s">
        <v>2019</v>
      </c>
      <c r="F8391" s="1" t="s">
        <v>836</v>
      </c>
      <c r="G8391" s="6">
        <v>8751</v>
      </c>
      <c r="H8391" t="str">
        <f>IFERROR(VLOOKUP(F8391,'LEAID Match'!$A$2:$B$142,2,FALSE),"")</f>
        <v/>
      </c>
    </row>
    <row r="8392" spans="1:8" x14ac:dyDescent="0.2">
      <c r="A8392" t="str">
        <f t="shared" si="131"/>
        <v/>
      </c>
      <c r="B8392" s="1">
        <v>2019</v>
      </c>
      <c r="C8392" s="1" t="s">
        <v>2505</v>
      </c>
      <c r="D8392" s="1" t="s">
        <v>2506</v>
      </c>
      <c r="E8392" s="1" t="s">
        <v>2019</v>
      </c>
      <c r="F8392" s="1" t="s">
        <v>836</v>
      </c>
      <c r="G8392" s="6">
        <v>5874</v>
      </c>
      <c r="H8392" t="str">
        <f>IFERROR(VLOOKUP(F8392,'LEAID Match'!$A$2:$B$142,2,FALSE),"")</f>
        <v/>
      </c>
    </row>
    <row r="8393" spans="1:8" x14ac:dyDescent="0.2">
      <c r="A8393" t="str">
        <f t="shared" si="131"/>
        <v/>
      </c>
      <c r="B8393" s="1">
        <v>2020</v>
      </c>
      <c r="C8393" s="1" t="s">
        <v>2505</v>
      </c>
      <c r="D8393" s="1" t="s">
        <v>2506</v>
      </c>
      <c r="E8393" s="1" t="s">
        <v>2019</v>
      </c>
      <c r="F8393" s="1" t="s">
        <v>836</v>
      </c>
      <c r="G8393" s="6">
        <v>9172</v>
      </c>
      <c r="H8393" t="str">
        <f>IFERROR(VLOOKUP(F8393,'LEAID Match'!$A$2:$B$142,2,FALSE),"")</f>
        <v/>
      </c>
    </row>
    <row r="8394" spans="1:8" x14ac:dyDescent="0.2">
      <c r="A8394" t="str">
        <f t="shared" si="131"/>
        <v/>
      </c>
      <c r="B8394" s="1">
        <v>2021</v>
      </c>
      <c r="C8394" s="1" t="s">
        <v>2505</v>
      </c>
      <c r="D8394" s="1" t="s">
        <v>2506</v>
      </c>
      <c r="E8394" s="1" t="s">
        <v>2019</v>
      </c>
      <c r="F8394" s="1" t="s">
        <v>836</v>
      </c>
      <c r="G8394" s="6">
        <v>4005</v>
      </c>
      <c r="H8394" t="str">
        <f>IFERROR(VLOOKUP(F8394,'LEAID Match'!$A$2:$B$142,2,FALSE),"")</f>
        <v/>
      </c>
    </row>
    <row r="8395" spans="1:8" x14ac:dyDescent="0.2">
      <c r="A8395" t="str">
        <f t="shared" si="131"/>
        <v/>
      </c>
      <c r="B8395" s="1">
        <v>2022</v>
      </c>
      <c r="C8395" s="1" t="s">
        <v>2505</v>
      </c>
      <c r="D8395" s="1" t="s">
        <v>2506</v>
      </c>
      <c r="E8395" s="1" t="s">
        <v>2019</v>
      </c>
      <c r="F8395" s="1" t="s">
        <v>836</v>
      </c>
      <c r="G8395" s="6">
        <v>6773</v>
      </c>
      <c r="H8395" t="str">
        <f>IFERROR(VLOOKUP(F8395,'LEAID Match'!$A$2:$B$142,2,FALSE),"")</f>
        <v/>
      </c>
    </row>
    <row r="8396" spans="1:8" x14ac:dyDescent="0.2">
      <c r="A8396" t="str">
        <f t="shared" si="131"/>
        <v/>
      </c>
      <c r="B8396" s="1">
        <v>2023</v>
      </c>
      <c r="C8396" s="1" t="s">
        <v>2505</v>
      </c>
      <c r="D8396" s="1" t="s">
        <v>2506</v>
      </c>
      <c r="E8396" s="1" t="s">
        <v>2019</v>
      </c>
      <c r="F8396" s="1" t="s">
        <v>836</v>
      </c>
      <c r="G8396" s="6">
        <v>10178</v>
      </c>
      <c r="H8396" t="str">
        <f>IFERROR(VLOOKUP(F8396,'LEAID Match'!$A$2:$B$142,2,FALSE),"")</f>
        <v/>
      </c>
    </row>
    <row r="8397" spans="1:8" x14ac:dyDescent="0.2">
      <c r="A8397" t="str">
        <f t="shared" si="131"/>
        <v/>
      </c>
      <c r="B8397" s="1">
        <v>2024</v>
      </c>
      <c r="C8397" s="1" t="s">
        <v>2505</v>
      </c>
      <c r="D8397" s="1" t="s">
        <v>2506</v>
      </c>
      <c r="E8397" s="1" t="s">
        <v>2019</v>
      </c>
      <c r="F8397" s="1" t="s">
        <v>836</v>
      </c>
      <c r="G8397" s="6">
        <v>12300</v>
      </c>
      <c r="H8397" t="str">
        <f>IFERROR(VLOOKUP(F8397,'LEAID Match'!$A$2:$B$142,2,FALSE),"")</f>
        <v/>
      </c>
    </row>
    <row r="8398" spans="1:8" x14ac:dyDescent="0.2">
      <c r="A8398" t="str">
        <f t="shared" si="131"/>
        <v/>
      </c>
      <c r="B8398" s="1">
        <v>2015</v>
      </c>
      <c r="C8398" s="1" t="s">
        <v>2505</v>
      </c>
      <c r="D8398" s="1" t="s">
        <v>2506</v>
      </c>
      <c r="E8398" s="1" t="s">
        <v>2019</v>
      </c>
      <c r="F8398" s="1" t="s">
        <v>837</v>
      </c>
      <c r="G8398" s="6">
        <v>226198</v>
      </c>
      <c r="H8398" t="str">
        <f>IFERROR(VLOOKUP(F8398,'LEAID Match'!$A$2:$B$142,2,FALSE),"")</f>
        <v/>
      </c>
    </row>
    <row r="8399" spans="1:8" x14ac:dyDescent="0.2">
      <c r="A8399" t="str">
        <f t="shared" si="131"/>
        <v/>
      </c>
      <c r="B8399">
        <v>2016</v>
      </c>
      <c r="C8399" s="1" t="s">
        <v>2505</v>
      </c>
      <c r="D8399" s="1" t="s">
        <v>2506</v>
      </c>
      <c r="E8399" s="1" t="s">
        <v>2019</v>
      </c>
      <c r="F8399" s="1" t="s">
        <v>837</v>
      </c>
      <c r="G8399" s="12">
        <v>225984</v>
      </c>
      <c r="H8399" t="str">
        <f>IFERROR(VLOOKUP(F8399,'LEAID Match'!$A$2:$B$142,2,FALSE),"")</f>
        <v/>
      </c>
    </row>
    <row r="8400" spans="1:8" x14ac:dyDescent="0.2">
      <c r="A8400" t="str">
        <f t="shared" si="131"/>
        <v/>
      </c>
      <c r="B8400" s="1">
        <v>2017</v>
      </c>
      <c r="C8400" s="1" t="s">
        <v>2505</v>
      </c>
      <c r="D8400" s="1" t="s">
        <v>2506</v>
      </c>
      <c r="E8400" s="1" t="s">
        <v>2019</v>
      </c>
      <c r="F8400" s="1" t="s">
        <v>837</v>
      </c>
      <c r="G8400" s="47">
        <v>242453</v>
      </c>
      <c r="H8400" t="str">
        <f>IFERROR(VLOOKUP(F8400,'LEAID Match'!$A$2:$B$142,2,FALSE),"")</f>
        <v/>
      </c>
    </row>
    <row r="8401" spans="1:8" x14ac:dyDescent="0.2">
      <c r="A8401" t="str">
        <f t="shared" si="131"/>
        <v/>
      </c>
      <c r="B8401" s="1">
        <v>2018</v>
      </c>
      <c r="C8401" s="1" t="s">
        <v>2505</v>
      </c>
      <c r="D8401" s="1" t="s">
        <v>2506</v>
      </c>
      <c r="E8401" s="1" t="s">
        <v>2019</v>
      </c>
      <c r="F8401" s="1" t="s">
        <v>837</v>
      </c>
      <c r="G8401" s="6">
        <v>260061</v>
      </c>
      <c r="H8401" t="str">
        <f>IFERROR(VLOOKUP(F8401,'LEAID Match'!$A$2:$B$142,2,FALSE),"")</f>
        <v/>
      </c>
    </row>
    <row r="8402" spans="1:8" x14ac:dyDescent="0.2">
      <c r="A8402" t="str">
        <f t="shared" si="131"/>
        <v/>
      </c>
      <c r="B8402" s="1">
        <v>2019</v>
      </c>
      <c r="C8402" s="1" t="s">
        <v>2505</v>
      </c>
      <c r="D8402" s="1" t="s">
        <v>2506</v>
      </c>
      <c r="E8402" s="1" t="s">
        <v>2019</v>
      </c>
      <c r="F8402" s="1" t="s">
        <v>837</v>
      </c>
      <c r="G8402" s="6">
        <v>253979</v>
      </c>
      <c r="H8402" t="str">
        <f>IFERROR(VLOOKUP(F8402,'LEAID Match'!$A$2:$B$142,2,FALSE),"")</f>
        <v/>
      </c>
    </row>
    <row r="8403" spans="1:8" x14ac:dyDescent="0.2">
      <c r="A8403" t="str">
        <f t="shared" si="131"/>
        <v/>
      </c>
      <c r="B8403" s="1">
        <v>2020</v>
      </c>
      <c r="C8403" s="1" t="s">
        <v>2505</v>
      </c>
      <c r="D8403" s="1" t="s">
        <v>2506</v>
      </c>
      <c r="E8403" s="1" t="s">
        <v>2019</v>
      </c>
      <c r="F8403" s="1" t="s">
        <v>837</v>
      </c>
      <c r="G8403" s="6">
        <v>280584</v>
      </c>
      <c r="H8403" t="str">
        <f>IFERROR(VLOOKUP(F8403,'LEAID Match'!$A$2:$B$142,2,FALSE),"")</f>
        <v/>
      </c>
    </row>
    <row r="8404" spans="1:8" x14ac:dyDescent="0.2">
      <c r="A8404" t="str">
        <f t="shared" si="131"/>
        <v/>
      </c>
      <c r="B8404" s="1">
        <v>2021</v>
      </c>
      <c r="C8404" s="1" t="s">
        <v>2505</v>
      </c>
      <c r="D8404" s="1" t="s">
        <v>2506</v>
      </c>
      <c r="E8404" s="1" t="s">
        <v>2019</v>
      </c>
      <c r="F8404" s="1" t="s">
        <v>837</v>
      </c>
      <c r="G8404" s="6">
        <v>300030</v>
      </c>
      <c r="H8404" t="str">
        <f>IFERROR(VLOOKUP(F8404,'LEAID Match'!$A$2:$B$142,2,FALSE),"")</f>
        <v/>
      </c>
    </row>
    <row r="8405" spans="1:8" x14ac:dyDescent="0.2">
      <c r="A8405" t="str">
        <f t="shared" si="131"/>
        <v/>
      </c>
      <c r="B8405" s="1">
        <v>2022</v>
      </c>
      <c r="C8405" s="1" t="s">
        <v>2505</v>
      </c>
      <c r="D8405" s="1" t="s">
        <v>2506</v>
      </c>
      <c r="E8405" s="1" t="s">
        <v>2019</v>
      </c>
      <c r="F8405" s="1" t="s">
        <v>837</v>
      </c>
      <c r="G8405" s="6">
        <v>317652</v>
      </c>
      <c r="H8405" t="str">
        <f>IFERROR(VLOOKUP(F8405,'LEAID Match'!$A$2:$B$142,2,FALSE),"")</f>
        <v/>
      </c>
    </row>
    <row r="8406" spans="1:8" x14ac:dyDescent="0.2">
      <c r="A8406" t="str">
        <f t="shared" si="131"/>
        <v/>
      </c>
      <c r="B8406" s="1">
        <v>2023</v>
      </c>
      <c r="C8406" s="1" t="s">
        <v>2505</v>
      </c>
      <c r="D8406" s="1" t="s">
        <v>2506</v>
      </c>
      <c r="E8406" s="1" t="s">
        <v>2019</v>
      </c>
      <c r="F8406" s="1" t="s">
        <v>837</v>
      </c>
      <c r="G8406" s="6">
        <v>342239</v>
      </c>
      <c r="H8406" t="str">
        <f>IFERROR(VLOOKUP(F8406,'LEAID Match'!$A$2:$B$142,2,FALSE),"")</f>
        <v/>
      </c>
    </row>
    <row r="8407" spans="1:8" x14ac:dyDescent="0.2">
      <c r="A8407" t="str">
        <f t="shared" si="131"/>
        <v/>
      </c>
      <c r="B8407" s="1">
        <v>2024</v>
      </c>
      <c r="C8407" s="1" t="s">
        <v>2505</v>
      </c>
      <c r="D8407" s="1" t="s">
        <v>2506</v>
      </c>
      <c r="E8407" s="1" t="s">
        <v>2019</v>
      </c>
      <c r="F8407" s="1" t="s">
        <v>837</v>
      </c>
      <c r="G8407" s="6">
        <v>345445</v>
      </c>
      <c r="H8407" t="str">
        <f>IFERROR(VLOOKUP(F8407,'LEAID Match'!$A$2:$B$142,2,FALSE),"")</f>
        <v/>
      </c>
    </row>
    <row r="8408" spans="1:8" x14ac:dyDescent="0.2">
      <c r="A8408" t="str">
        <f t="shared" si="131"/>
        <v/>
      </c>
      <c r="B8408" s="1">
        <v>2015</v>
      </c>
      <c r="C8408" s="1" t="s">
        <v>2505</v>
      </c>
      <c r="D8408" s="1" t="s">
        <v>2506</v>
      </c>
      <c r="E8408" s="1" t="s">
        <v>2019</v>
      </c>
      <c r="F8408" s="1" t="s">
        <v>838</v>
      </c>
      <c r="G8408" s="6">
        <v>48932</v>
      </c>
      <c r="H8408" t="str">
        <f>IFERROR(VLOOKUP(F8408,'LEAID Match'!$A$2:$B$142,2,FALSE),"")</f>
        <v/>
      </c>
    </row>
    <row r="8409" spans="1:8" x14ac:dyDescent="0.2">
      <c r="A8409" t="str">
        <f t="shared" si="131"/>
        <v/>
      </c>
      <c r="B8409">
        <v>2016</v>
      </c>
      <c r="C8409" s="1" t="s">
        <v>2505</v>
      </c>
      <c r="D8409" s="1" t="s">
        <v>2506</v>
      </c>
      <c r="E8409" s="1" t="s">
        <v>2019</v>
      </c>
      <c r="F8409" s="1" t="s">
        <v>838</v>
      </c>
      <c r="G8409" s="12">
        <v>42409</v>
      </c>
      <c r="H8409" t="str">
        <f>IFERROR(VLOOKUP(F8409,'LEAID Match'!$A$2:$B$142,2,FALSE),"")</f>
        <v/>
      </c>
    </row>
    <row r="8410" spans="1:8" x14ac:dyDescent="0.2">
      <c r="A8410" t="str">
        <f t="shared" si="131"/>
        <v/>
      </c>
      <c r="B8410" s="1">
        <v>2017</v>
      </c>
      <c r="C8410" s="1" t="s">
        <v>2505</v>
      </c>
      <c r="D8410" s="1" t="s">
        <v>2506</v>
      </c>
      <c r="E8410" s="1" t="s">
        <v>2019</v>
      </c>
      <c r="F8410" s="1" t="s">
        <v>838</v>
      </c>
      <c r="G8410" s="47">
        <v>44346</v>
      </c>
      <c r="H8410" t="str">
        <f>IFERROR(VLOOKUP(F8410,'LEAID Match'!$A$2:$B$142,2,FALSE),"")</f>
        <v/>
      </c>
    </row>
    <row r="8411" spans="1:8" x14ac:dyDescent="0.2">
      <c r="A8411" t="str">
        <f t="shared" si="131"/>
        <v/>
      </c>
      <c r="B8411" s="1">
        <v>2018</v>
      </c>
      <c r="C8411" s="1" t="s">
        <v>2505</v>
      </c>
      <c r="D8411" s="1" t="s">
        <v>2506</v>
      </c>
      <c r="E8411" s="1" t="s">
        <v>2019</v>
      </c>
      <c r="F8411" s="1" t="s">
        <v>838</v>
      </c>
      <c r="G8411" s="6">
        <v>45313</v>
      </c>
      <c r="H8411" t="str">
        <f>IFERROR(VLOOKUP(F8411,'LEAID Match'!$A$2:$B$142,2,FALSE),"")</f>
        <v/>
      </c>
    </row>
    <row r="8412" spans="1:8" x14ac:dyDescent="0.2">
      <c r="A8412" t="str">
        <f t="shared" si="131"/>
        <v/>
      </c>
      <c r="B8412" s="1">
        <v>2019</v>
      </c>
      <c r="C8412" s="1" t="s">
        <v>2505</v>
      </c>
      <c r="D8412" s="1" t="s">
        <v>2506</v>
      </c>
      <c r="E8412" s="1" t="s">
        <v>2019</v>
      </c>
      <c r="F8412" s="1" t="s">
        <v>838</v>
      </c>
      <c r="G8412" s="6">
        <v>44263</v>
      </c>
      <c r="H8412" t="str">
        <f>IFERROR(VLOOKUP(F8412,'LEAID Match'!$A$2:$B$142,2,FALSE),"")</f>
        <v/>
      </c>
    </row>
    <row r="8413" spans="1:8" x14ac:dyDescent="0.2">
      <c r="A8413" t="str">
        <f t="shared" si="131"/>
        <v/>
      </c>
      <c r="B8413" s="1">
        <v>2020</v>
      </c>
      <c r="C8413" s="1" t="s">
        <v>2505</v>
      </c>
      <c r="D8413" s="1" t="s">
        <v>2506</v>
      </c>
      <c r="E8413" s="1" t="s">
        <v>2019</v>
      </c>
      <c r="F8413" s="1" t="s">
        <v>838</v>
      </c>
      <c r="G8413" s="6">
        <v>51485</v>
      </c>
      <c r="H8413" t="str">
        <f>IFERROR(VLOOKUP(F8413,'LEAID Match'!$A$2:$B$142,2,FALSE),"")</f>
        <v/>
      </c>
    </row>
    <row r="8414" spans="1:8" x14ac:dyDescent="0.2">
      <c r="A8414" t="str">
        <f t="shared" si="131"/>
        <v/>
      </c>
      <c r="B8414" s="1">
        <v>2021</v>
      </c>
      <c r="C8414" s="1" t="s">
        <v>2505</v>
      </c>
      <c r="D8414" s="1" t="s">
        <v>2506</v>
      </c>
      <c r="E8414" s="1" t="s">
        <v>2019</v>
      </c>
      <c r="F8414" s="1" t="s">
        <v>838</v>
      </c>
      <c r="G8414" s="6">
        <v>53939</v>
      </c>
      <c r="H8414" t="str">
        <f>IFERROR(VLOOKUP(F8414,'LEAID Match'!$A$2:$B$142,2,FALSE),"")</f>
        <v/>
      </c>
    </row>
    <row r="8415" spans="1:8" x14ac:dyDescent="0.2">
      <c r="A8415" t="str">
        <f t="shared" si="131"/>
        <v/>
      </c>
      <c r="B8415" s="1">
        <v>2022</v>
      </c>
      <c r="C8415" s="1" t="s">
        <v>2505</v>
      </c>
      <c r="D8415" s="1" t="s">
        <v>2506</v>
      </c>
      <c r="E8415" s="1" t="s">
        <v>2019</v>
      </c>
      <c r="F8415" s="1" t="s">
        <v>838</v>
      </c>
      <c r="G8415" s="6">
        <v>50034</v>
      </c>
      <c r="H8415" t="str">
        <f>IFERROR(VLOOKUP(F8415,'LEAID Match'!$A$2:$B$142,2,FALSE),"")</f>
        <v/>
      </c>
    </row>
    <row r="8416" spans="1:8" x14ac:dyDescent="0.2">
      <c r="A8416" t="str">
        <f t="shared" si="131"/>
        <v/>
      </c>
      <c r="B8416" s="1">
        <v>2023</v>
      </c>
      <c r="C8416" s="1" t="s">
        <v>2505</v>
      </c>
      <c r="D8416" s="1" t="s">
        <v>2506</v>
      </c>
      <c r="E8416" s="1" t="s">
        <v>2019</v>
      </c>
      <c r="F8416" s="1" t="s">
        <v>838</v>
      </c>
      <c r="G8416" s="6">
        <v>64305</v>
      </c>
      <c r="H8416" t="str">
        <f>IFERROR(VLOOKUP(F8416,'LEAID Match'!$A$2:$B$142,2,FALSE),"")</f>
        <v/>
      </c>
    </row>
    <row r="8417" spans="1:8" x14ac:dyDescent="0.2">
      <c r="A8417" t="str">
        <f t="shared" si="131"/>
        <v/>
      </c>
      <c r="B8417" s="1">
        <v>2024</v>
      </c>
      <c r="C8417" s="1" t="s">
        <v>2505</v>
      </c>
      <c r="D8417" s="1" t="s">
        <v>2506</v>
      </c>
      <c r="E8417" s="1" t="s">
        <v>2019</v>
      </c>
      <c r="F8417" s="1" t="s">
        <v>838</v>
      </c>
      <c r="G8417" s="6">
        <v>55799</v>
      </c>
      <c r="H8417" t="str">
        <f>IFERROR(VLOOKUP(F8417,'LEAID Match'!$A$2:$B$142,2,FALSE),"")</f>
        <v/>
      </c>
    </row>
    <row r="8418" spans="1:8" x14ac:dyDescent="0.2">
      <c r="A8418">
        <f t="shared" si="131"/>
        <v>2800196</v>
      </c>
      <c r="B8418" s="1">
        <v>2015</v>
      </c>
      <c r="C8418" s="1" t="s">
        <v>2505</v>
      </c>
      <c r="D8418" s="1" t="s">
        <v>2506</v>
      </c>
      <c r="E8418" s="1" t="s">
        <v>2019</v>
      </c>
      <c r="F8418" s="1" t="s">
        <v>898</v>
      </c>
      <c r="G8418" s="6">
        <v>881167</v>
      </c>
      <c r="H8418">
        <f>IFERROR(VLOOKUP(F8418,'LEAID Match'!$A$2:$B$142,2,FALSE),"")</f>
        <v>2800196</v>
      </c>
    </row>
    <row r="8419" spans="1:8" x14ac:dyDescent="0.2">
      <c r="A8419">
        <f t="shared" si="131"/>
        <v>2800196</v>
      </c>
      <c r="B8419">
        <v>2016</v>
      </c>
      <c r="C8419" s="1" t="s">
        <v>2505</v>
      </c>
      <c r="D8419" s="1" t="s">
        <v>2506</v>
      </c>
      <c r="E8419" s="1" t="s">
        <v>2019</v>
      </c>
      <c r="F8419" s="1" t="s">
        <v>898</v>
      </c>
      <c r="G8419" s="12">
        <v>965079</v>
      </c>
      <c r="H8419">
        <f>IFERROR(VLOOKUP(F8419,'LEAID Match'!$A$2:$B$142,2,FALSE),"")</f>
        <v>2800196</v>
      </c>
    </row>
    <row r="8420" spans="1:8" x14ac:dyDescent="0.2">
      <c r="A8420">
        <f t="shared" si="131"/>
        <v>2800196</v>
      </c>
      <c r="B8420" s="1">
        <v>2017</v>
      </c>
      <c r="C8420" s="1" t="s">
        <v>2505</v>
      </c>
      <c r="D8420" s="1" t="s">
        <v>2506</v>
      </c>
      <c r="E8420" s="1" t="s">
        <v>2019</v>
      </c>
      <c r="F8420" s="1" t="s">
        <v>898</v>
      </c>
      <c r="G8420" s="47">
        <v>913586</v>
      </c>
      <c r="H8420">
        <f>IFERROR(VLOOKUP(F8420,'LEAID Match'!$A$2:$B$142,2,FALSE),"")</f>
        <v>2800196</v>
      </c>
    </row>
    <row r="8421" spans="1:8" x14ac:dyDescent="0.2">
      <c r="A8421">
        <f t="shared" si="131"/>
        <v>2800196</v>
      </c>
      <c r="B8421" s="1">
        <v>2018</v>
      </c>
      <c r="C8421" s="1" t="s">
        <v>2505</v>
      </c>
      <c r="D8421" s="1" t="s">
        <v>2506</v>
      </c>
      <c r="E8421" s="1" t="s">
        <v>2019</v>
      </c>
      <c r="F8421" s="1" t="s">
        <v>898</v>
      </c>
      <c r="G8421" s="6">
        <v>916857</v>
      </c>
      <c r="H8421">
        <f>IFERROR(VLOOKUP(F8421,'LEAID Match'!$A$2:$B$142,2,FALSE),"")</f>
        <v>2800196</v>
      </c>
    </row>
    <row r="8422" spans="1:8" x14ac:dyDescent="0.2">
      <c r="A8422">
        <f t="shared" si="131"/>
        <v>2800196</v>
      </c>
      <c r="B8422" s="1">
        <v>2019</v>
      </c>
      <c r="C8422" s="1" t="s">
        <v>2505</v>
      </c>
      <c r="D8422" s="1" t="s">
        <v>2506</v>
      </c>
      <c r="E8422" s="1" t="s">
        <v>2019</v>
      </c>
      <c r="F8422" s="1" t="s">
        <v>898</v>
      </c>
      <c r="G8422" s="6">
        <v>1047657</v>
      </c>
      <c r="H8422">
        <f>IFERROR(VLOOKUP(F8422,'LEAID Match'!$A$2:$B$142,2,FALSE),"")</f>
        <v>2800196</v>
      </c>
    </row>
    <row r="8423" spans="1:8" x14ac:dyDescent="0.2">
      <c r="A8423">
        <f t="shared" si="131"/>
        <v>2800196</v>
      </c>
      <c r="B8423" s="1">
        <v>2020</v>
      </c>
      <c r="C8423" s="1" t="s">
        <v>2505</v>
      </c>
      <c r="D8423" s="1" t="s">
        <v>2506</v>
      </c>
      <c r="E8423" s="1" t="s">
        <v>2019</v>
      </c>
      <c r="F8423" s="1" t="s">
        <v>898</v>
      </c>
      <c r="G8423" s="6">
        <v>1262275</v>
      </c>
      <c r="H8423">
        <f>IFERROR(VLOOKUP(F8423,'LEAID Match'!$A$2:$B$142,2,FALSE),"")</f>
        <v>2800196</v>
      </c>
    </row>
    <row r="8424" spans="1:8" x14ac:dyDescent="0.2">
      <c r="A8424">
        <f t="shared" si="131"/>
        <v>2800196</v>
      </c>
      <c r="B8424" s="1">
        <v>2021</v>
      </c>
      <c r="C8424" s="1" t="s">
        <v>2505</v>
      </c>
      <c r="D8424" s="1" t="s">
        <v>2506</v>
      </c>
      <c r="E8424" s="1" t="s">
        <v>2019</v>
      </c>
      <c r="F8424" s="1" t="s">
        <v>898</v>
      </c>
      <c r="G8424" s="6">
        <v>1194110</v>
      </c>
      <c r="H8424">
        <f>IFERROR(VLOOKUP(F8424,'LEAID Match'!$A$2:$B$142,2,FALSE),"")</f>
        <v>2800196</v>
      </c>
    </row>
    <row r="8425" spans="1:8" x14ac:dyDescent="0.2">
      <c r="A8425">
        <f t="shared" si="131"/>
        <v>2800196</v>
      </c>
      <c r="B8425" s="1">
        <v>2024</v>
      </c>
      <c r="C8425" s="1" t="s">
        <v>2505</v>
      </c>
      <c r="D8425" s="1" t="s">
        <v>2506</v>
      </c>
      <c r="E8425" s="1" t="s">
        <v>2019</v>
      </c>
      <c r="F8425" s="1" t="s">
        <v>898</v>
      </c>
      <c r="G8425" s="6">
        <v>1432170</v>
      </c>
      <c r="H8425">
        <f>IFERROR(VLOOKUP(F8425,'LEAID Match'!$A$2:$B$142,2,FALSE),"")</f>
        <v>2800196</v>
      </c>
    </row>
    <row r="8426" spans="1:8" x14ac:dyDescent="0.2">
      <c r="A8426">
        <f t="shared" si="131"/>
        <v>2800196</v>
      </c>
      <c r="B8426" s="1">
        <v>2022</v>
      </c>
      <c r="C8426" s="1" t="s">
        <v>2505</v>
      </c>
      <c r="D8426" s="1" t="s">
        <v>2506</v>
      </c>
      <c r="E8426" s="1" t="s">
        <v>2019</v>
      </c>
      <c r="F8426" s="1" t="s">
        <v>898</v>
      </c>
      <c r="G8426" s="6">
        <v>1327736</v>
      </c>
      <c r="H8426">
        <f>IFERROR(VLOOKUP(F8426,'LEAID Match'!$A$2:$B$142,2,FALSE),"")</f>
        <v>2800196</v>
      </c>
    </row>
    <row r="8427" spans="1:8" x14ac:dyDescent="0.2">
      <c r="A8427">
        <f t="shared" si="131"/>
        <v>2800196</v>
      </c>
      <c r="B8427" s="1">
        <v>2023</v>
      </c>
      <c r="C8427" s="1" t="s">
        <v>2505</v>
      </c>
      <c r="D8427" s="1" t="s">
        <v>2506</v>
      </c>
      <c r="E8427" s="1" t="s">
        <v>2019</v>
      </c>
      <c r="F8427" s="1" t="s">
        <v>898</v>
      </c>
      <c r="G8427" s="6">
        <v>1384873</v>
      </c>
      <c r="H8427">
        <f>IFERROR(VLOOKUP(F8427,'LEAID Match'!$A$2:$B$142,2,FALSE),"")</f>
        <v>2800196</v>
      </c>
    </row>
    <row r="8428" spans="1:8" x14ac:dyDescent="0.2">
      <c r="A8428" t="str">
        <f t="shared" si="131"/>
        <v/>
      </c>
      <c r="B8428" s="1">
        <v>2015</v>
      </c>
      <c r="C8428" s="1" t="s">
        <v>2505</v>
      </c>
      <c r="D8428" s="1" t="s">
        <v>2506</v>
      </c>
      <c r="E8428" s="1" t="s">
        <v>2019</v>
      </c>
      <c r="F8428" s="1" t="s">
        <v>840</v>
      </c>
      <c r="G8428" s="6">
        <v>489651</v>
      </c>
      <c r="H8428" t="str">
        <f>IFERROR(VLOOKUP(F8428,'LEAID Match'!$A$2:$B$142,2,FALSE),"")</f>
        <v/>
      </c>
    </row>
    <row r="8429" spans="1:8" x14ac:dyDescent="0.2">
      <c r="A8429" t="str">
        <f t="shared" si="131"/>
        <v/>
      </c>
      <c r="B8429">
        <v>2016</v>
      </c>
      <c r="C8429" s="1" t="s">
        <v>2505</v>
      </c>
      <c r="D8429" s="1" t="s">
        <v>2506</v>
      </c>
      <c r="E8429" s="1" t="s">
        <v>2019</v>
      </c>
      <c r="F8429" s="1" t="s">
        <v>840</v>
      </c>
      <c r="G8429" s="12">
        <v>485391</v>
      </c>
      <c r="H8429" t="str">
        <f>IFERROR(VLOOKUP(F8429,'LEAID Match'!$A$2:$B$142,2,FALSE),"")</f>
        <v/>
      </c>
    </row>
    <row r="8430" spans="1:8" x14ac:dyDescent="0.2">
      <c r="A8430" t="str">
        <f t="shared" si="131"/>
        <v/>
      </c>
      <c r="B8430" s="1">
        <v>2017</v>
      </c>
      <c r="C8430" s="1" t="s">
        <v>2505</v>
      </c>
      <c r="D8430" s="1" t="s">
        <v>2506</v>
      </c>
      <c r="E8430" s="1" t="s">
        <v>2019</v>
      </c>
      <c r="F8430" s="1" t="s">
        <v>840</v>
      </c>
      <c r="G8430" s="47">
        <v>513068</v>
      </c>
      <c r="H8430" t="str">
        <f>IFERROR(VLOOKUP(F8430,'LEAID Match'!$A$2:$B$142,2,FALSE),"")</f>
        <v/>
      </c>
    </row>
    <row r="8431" spans="1:8" x14ac:dyDescent="0.2">
      <c r="A8431" t="str">
        <f t="shared" si="131"/>
        <v/>
      </c>
      <c r="B8431" s="1">
        <v>2018</v>
      </c>
      <c r="C8431" s="1" t="s">
        <v>2505</v>
      </c>
      <c r="D8431" s="1" t="s">
        <v>2506</v>
      </c>
      <c r="E8431" s="1" t="s">
        <v>2019</v>
      </c>
      <c r="F8431" s="1" t="s">
        <v>840</v>
      </c>
      <c r="G8431" s="6">
        <v>502904</v>
      </c>
      <c r="H8431" t="str">
        <f>IFERROR(VLOOKUP(F8431,'LEAID Match'!$A$2:$B$142,2,FALSE),"")</f>
        <v/>
      </c>
    </row>
    <row r="8432" spans="1:8" x14ac:dyDescent="0.2">
      <c r="A8432" t="str">
        <f t="shared" si="131"/>
        <v/>
      </c>
      <c r="B8432" s="1">
        <v>2019</v>
      </c>
      <c r="C8432" s="1" t="s">
        <v>2505</v>
      </c>
      <c r="D8432" s="1" t="s">
        <v>2506</v>
      </c>
      <c r="E8432" s="1" t="s">
        <v>2019</v>
      </c>
      <c r="F8432" s="1" t="s">
        <v>840</v>
      </c>
      <c r="G8432" s="6">
        <v>523686</v>
      </c>
      <c r="H8432" t="str">
        <f>IFERROR(VLOOKUP(F8432,'LEAID Match'!$A$2:$B$142,2,FALSE),"")</f>
        <v/>
      </c>
    </row>
    <row r="8433" spans="1:8" x14ac:dyDescent="0.2">
      <c r="A8433" t="str">
        <f t="shared" si="131"/>
        <v/>
      </c>
      <c r="B8433" s="1">
        <v>2020</v>
      </c>
      <c r="C8433" s="1" t="s">
        <v>2505</v>
      </c>
      <c r="D8433" s="1" t="s">
        <v>2506</v>
      </c>
      <c r="E8433" s="1" t="s">
        <v>2019</v>
      </c>
      <c r="F8433" s="1" t="s">
        <v>840</v>
      </c>
      <c r="G8433" s="6">
        <v>584948</v>
      </c>
      <c r="H8433" t="str">
        <f>IFERROR(VLOOKUP(F8433,'LEAID Match'!$A$2:$B$142,2,FALSE),"")</f>
        <v/>
      </c>
    </row>
    <row r="8434" spans="1:8" x14ac:dyDescent="0.2">
      <c r="A8434" t="str">
        <f t="shared" si="131"/>
        <v/>
      </c>
      <c r="B8434" s="1">
        <v>2021</v>
      </c>
      <c r="C8434" s="1" t="s">
        <v>2505</v>
      </c>
      <c r="D8434" s="1" t="s">
        <v>2506</v>
      </c>
      <c r="E8434" s="1" t="s">
        <v>2019</v>
      </c>
      <c r="F8434" s="1" t="s">
        <v>840</v>
      </c>
      <c r="G8434" s="6">
        <v>602573</v>
      </c>
      <c r="H8434" t="str">
        <f>IFERROR(VLOOKUP(F8434,'LEAID Match'!$A$2:$B$142,2,FALSE),"")</f>
        <v/>
      </c>
    </row>
    <row r="8435" spans="1:8" x14ac:dyDescent="0.2">
      <c r="A8435" t="str">
        <f t="shared" si="131"/>
        <v/>
      </c>
      <c r="B8435" s="1">
        <v>2022</v>
      </c>
      <c r="C8435" s="1" t="s">
        <v>2505</v>
      </c>
      <c r="D8435" s="1" t="s">
        <v>2506</v>
      </c>
      <c r="E8435" s="1" t="s">
        <v>2019</v>
      </c>
      <c r="F8435" s="1" t="s">
        <v>840</v>
      </c>
      <c r="G8435" s="6">
        <v>647274</v>
      </c>
      <c r="H8435" t="str">
        <f>IFERROR(VLOOKUP(F8435,'LEAID Match'!$A$2:$B$142,2,FALSE),"")</f>
        <v/>
      </c>
    </row>
    <row r="8436" spans="1:8" x14ac:dyDescent="0.2">
      <c r="A8436" t="str">
        <f t="shared" si="131"/>
        <v/>
      </c>
      <c r="B8436" s="1">
        <v>2023</v>
      </c>
      <c r="C8436" s="1" t="s">
        <v>2505</v>
      </c>
      <c r="D8436" s="1" t="s">
        <v>2506</v>
      </c>
      <c r="E8436" s="1" t="s">
        <v>2019</v>
      </c>
      <c r="F8436" s="1" t="s">
        <v>840</v>
      </c>
      <c r="G8436" s="6">
        <v>629240</v>
      </c>
      <c r="H8436" t="str">
        <f>IFERROR(VLOOKUP(F8436,'LEAID Match'!$A$2:$B$142,2,FALSE),"")</f>
        <v/>
      </c>
    </row>
    <row r="8437" spans="1:8" x14ac:dyDescent="0.2">
      <c r="A8437" t="str">
        <f t="shared" si="131"/>
        <v/>
      </c>
      <c r="B8437" s="1">
        <v>2024</v>
      </c>
      <c r="C8437" s="1" t="s">
        <v>2505</v>
      </c>
      <c r="D8437" s="1" t="s">
        <v>2506</v>
      </c>
      <c r="E8437" s="1" t="s">
        <v>2019</v>
      </c>
      <c r="F8437" s="1" t="s">
        <v>840</v>
      </c>
      <c r="G8437" s="6">
        <v>688332</v>
      </c>
      <c r="H8437" t="str">
        <f>IFERROR(VLOOKUP(F8437,'LEAID Match'!$A$2:$B$142,2,FALSE),"")</f>
        <v/>
      </c>
    </row>
    <row r="8438" spans="1:8" x14ac:dyDescent="0.2">
      <c r="A8438" t="str">
        <f t="shared" si="131"/>
        <v/>
      </c>
      <c r="B8438" s="1">
        <v>2015</v>
      </c>
      <c r="C8438" s="1" t="s">
        <v>2505</v>
      </c>
      <c r="D8438" s="1" t="s">
        <v>2506</v>
      </c>
      <c r="E8438" s="1" t="s">
        <v>2019</v>
      </c>
      <c r="F8438" s="1" t="s">
        <v>841</v>
      </c>
      <c r="G8438" s="6">
        <v>18907</v>
      </c>
      <c r="H8438" t="str">
        <f>IFERROR(VLOOKUP(F8438,'LEAID Match'!$A$2:$B$142,2,FALSE),"")</f>
        <v/>
      </c>
    </row>
    <row r="8439" spans="1:8" x14ac:dyDescent="0.2">
      <c r="A8439" t="str">
        <f t="shared" si="131"/>
        <v/>
      </c>
      <c r="B8439">
        <v>2016</v>
      </c>
      <c r="C8439" s="1" t="s">
        <v>2505</v>
      </c>
      <c r="D8439" s="1" t="s">
        <v>2506</v>
      </c>
      <c r="E8439" s="1" t="s">
        <v>2019</v>
      </c>
      <c r="F8439" s="1" t="s">
        <v>841</v>
      </c>
      <c r="G8439" s="12">
        <v>24682</v>
      </c>
      <c r="H8439" t="str">
        <f>IFERROR(VLOOKUP(F8439,'LEAID Match'!$A$2:$B$142,2,FALSE),"")</f>
        <v/>
      </c>
    </row>
    <row r="8440" spans="1:8" x14ac:dyDescent="0.2">
      <c r="A8440" t="str">
        <f t="shared" si="131"/>
        <v/>
      </c>
      <c r="B8440" s="1">
        <v>2017</v>
      </c>
      <c r="C8440" s="1" t="s">
        <v>2505</v>
      </c>
      <c r="D8440" s="1" t="s">
        <v>2506</v>
      </c>
      <c r="E8440" s="1" t="s">
        <v>2019</v>
      </c>
      <c r="F8440" s="1" t="s">
        <v>841</v>
      </c>
      <c r="G8440" s="47">
        <v>20540</v>
      </c>
      <c r="H8440" t="str">
        <f>IFERROR(VLOOKUP(F8440,'LEAID Match'!$A$2:$B$142,2,FALSE),"")</f>
        <v/>
      </c>
    </row>
    <row r="8441" spans="1:8" x14ac:dyDescent="0.2">
      <c r="A8441" t="str">
        <f t="shared" si="131"/>
        <v/>
      </c>
      <c r="B8441" s="1">
        <v>2018</v>
      </c>
      <c r="C8441" s="1" t="s">
        <v>2505</v>
      </c>
      <c r="D8441" s="1" t="s">
        <v>2506</v>
      </c>
      <c r="E8441" s="1" t="s">
        <v>2019</v>
      </c>
      <c r="F8441" s="1" t="s">
        <v>841</v>
      </c>
      <c r="G8441" s="6">
        <v>23763</v>
      </c>
      <c r="H8441" t="str">
        <f>IFERROR(VLOOKUP(F8441,'LEAID Match'!$A$2:$B$142,2,FALSE),"")</f>
        <v/>
      </c>
    </row>
    <row r="8442" spans="1:8" x14ac:dyDescent="0.2">
      <c r="A8442" t="str">
        <f t="shared" si="131"/>
        <v/>
      </c>
      <c r="B8442" s="1">
        <v>2019</v>
      </c>
      <c r="C8442" s="1" t="s">
        <v>2505</v>
      </c>
      <c r="D8442" s="1" t="s">
        <v>2506</v>
      </c>
      <c r="E8442" s="1" t="s">
        <v>2019</v>
      </c>
      <c r="F8442" s="1" t="s">
        <v>841</v>
      </c>
      <c r="G8442" s="6">
        <v>24294</v>
      </c>
      <c r="H8442" t="str">
        <f>IFERROR(VLOOKUP(F8442,'LEAID Match'!$A$2:$B$142,2,FALSE),"")</f>
        <v/>
      </c>
    </row>
    <row r="8443" spans="1:8" x14ac:dyDescent="0.2">
      <c r="A8443" t="str">
        <f t="shared" si="131"/>
        <v/>
      </c>
      <c r="B8443" s="1">
        <v>2020</v>
      </c>
      <c r="C8443" s="1" t="s">
        <v>2505</v>
      </c>
      <c r="D8443" s="1" t="s">
        <v>2506</v>
      </c>
      <c r="E8443" s="1" t="s">
        <v>2019</v>
      </c>
      <c r="F8443" s="1" t="s">
        <v>841</v>
      </c>
      <c r="G8443" s="6">
        <v>27057</v>
      </c>
      <c r="H8443" t="str">
        <f>IFERROR(VLOOKUP(F8443,'LEAID Match'!$A$2:$B$142,2,FALSE),"")</f>
        <v/>
      </c>
    </row>
    <row r="8444" spans="1:8" x14ac:dyDescent="0.2">
      <c r="A8444" t="str">
        <f t="shared" si="131"/>
        <v/>
      </c>
      <c r="B8444" s="1">
        <v>2021</v>
      </c>
      <c r="C8444" s="1" t="s">
        <v>2505</v>
      </c>
      <c r="D8444" s="1" t="s">
        <v>2506</v>
      </c>
      <c r="E8444" s="1" t="s">
        <v>2019</v>
      </c>
      <c r="F8444" s="1" t="s">
        <v>841</v>
      </c>
      <c r="G8444" s="6">
        <v>27370</v>
      </c>
      <c r="H8444" t="str">
        <f>IFERROR(VLOOKUP(F8444,'LEAID Match'!$A$2:$B$142,2,FALSE),"")</f>
        <v/>
      </c>
    </row>
    <row r="8445" spans="1:8" x14ac:dyDescent="0.2">
      <c r="A8445" t="str">
        <f t="shared" si="131"/>
        <v/>
      </c>
      <c r="B8445" s="1">
        <v>2022</v>
      </c>
      <c r="C8445" s="1" t="s">
        <v>2505</v>
      </c>
      <c r="D8445" s="1" t="s">
        <v>2506</v>
      </c>
      <c r="E8445" s="1" t="s">
        <v>2019</v>
      </c>
      <c r="F8445" s="1" t="s">
        <v>841</v>
      </c>
      <c r="G8445" s="6">
        <v>27475</v>
      </c>
      <c r="H8445" t="str">
        <f>IFERROR(VLOOKUP(F8445,'LEAID Match'!$A$2:$B$142,2,FALSE),"")</f>
        <v/>
      </c>
    </row>
    <row r="8446" spans="1:8" x14ac:dyDescent="0.2">
      <c r="A8446" t="str">
        <f t="shared" si="131"/>
        <v/>
      </c>
      <c r="B8446" s="1">
        <v>2023</v>
      </c>
      <c r="C8446" s="1" t="s">
        <v>2505</v>
      </c>
      <c r="D8446" s="1" t="s">
        <v>2506</v>
      </c>
      <c r="E8446" s="1" t="s">
        <v>2019</v>
      </c>
      <c r="F8446" s="1" t="s">
        <v>841</v>
      </c>
      <c r="G8446" s="6">
        <v>28923</v>
      </c>
      <c r="H8446" t="str">
        <f>IFERROR(VLOOKUP(F8446,'LEAID Match'!$A$2:$B$142,2,FALSE),"")</f>
        <v/>
      </c>
    </row>
    <row r="8447" spans="1:8" x14ac:dyDescent="0.2">
      <c r="A8447" t="str">
        <f t="shared" si="131"/>
        <v/>
      </c>
      <c r="B8447" s="1">
        <v>2024</v>
      </c>
      <c r="C8447" s="1" t="s">
        <v>2505</v>
      </c>
      <c r="D8447" s="1" t="s">
        <v>2506</v>
      </c>
      <c r="E8447" s="1" t="s">
        <v>2019</v>
      </c>
      <c r="F8447" s="1" t="s">
        <v>841</v>
      </c>
      <c r="G8447" s="6">
        <v>29809</v>
      </c>
      <c r="H8447" t="str">
        <f>IFERROR(VLOOKUP(F8447,'LEAID Match'!$A$2:$B$142,2,FALSE),"")</f>
        <v/>
      </c>
    </row>
    <row r="8448" spans="1:8" x14ac:dyDescent="0.2">
      <c r="A8448" t="str">
        <f t="shared" si="131"/>
        <v/>
      </c>
      <c r="B8448" s="1">
        <v>2015</v>
      </c>
      <c r="C8448" s="1" t="s">
        <v>2505</v>
      </c>
      <c r="D8448" s="1" t="s">
        <v>2506</v>
      </c>
      <c r="E8448" s="1" t="s">
        <v>2019</v>
      </c>
      <c r="F8448" s="1" t="s">
        <v>842</v>
      </c>
      <c r="G8448" s="6">
        <v>3559</v>
      </c>
      <c r="H8448" t="str">
        <f>IFERROR(VLOOKUP(F8448,'LEAID Match'!$A$2:$B$142,2,FALSE),"")</f>
        <v/>
      </c>
    </row>
    <row r="8449" spans="1:8" x14ac:dyDescent="0.2">
      <c r="A8449" t="str">
        <f t="shared" si="131"/>
        <v/>
      </c>
      <c r="B8449">
        <v>2016</v>
      </c>
      <c r="C8449" s="1" t="s">
        <v>2505</v>
      </c>
      <c r="D8449" s="1" t="s">
        <v>2506</v>
      </c>
      <c r="E8449" s="1" t="s">
        <v>2019</v>
      </c>
      <c r="F8449" s="1" t="s">
        <v>842</v>
      </c>
      <c r="G8449" s="12">
        <v>3496</v>
      </c>
      <c r="H8449" t="str">
        <f>IFERROR(VLOOKUP(F8449,'LEAID Match'!$A$2:$B$142,2,FALSE),"")</f>
        <v/>
      </c>
    </row>
    <row r="8450" spans="1:8" x14ac:dyDescent="0.2">
      <c r="A8450" t="str">
        <f t="shared" si="131"/>
        <v/>
      </c>
      <c r="B8450" s="1">
        <v>2017</v>
      </c>
      <c r="C8450" s="1" t="s">
        <v>2505</v>
      </c>
      <c r="D8450" s="1" t="s">
        <v>2506</v>
      </c>
      <c r="E8450" s="1" t="s">
        <v>2019</v>
      </c>
      <c r="F8450" s="1" t="s">
        <v>842</v>
      </c>
      <c r="G8450" s="47">
        <v>3623</v>
      </c>
      <c r="H8450" t="str">
        <f>IFERROR(VLOOKUP(F8450,'LEAID Match'!$A$2:$B$142,2,FALSE),"")</f>
        <v/>
      </c>
    </row>
    <row r="8451" spans="1:8" x14ac:dyDescent="0.2">
      <c r="A8451" t="str">
        <f t="shared" ref="A8451:A8514" si="132">H8451</f>
        <v/>
      </c>
      <c r="B8451" s="1">
        <v>2018</v>
      </c>
      <c r="C8451" s="1" t="s">
        <v>2505</v>
      </c>
      <c r="D8451" s="1" t="s">
        <v>2506</v>
      </c>
      <c r="E8451" s="1" t="s">
        <v>2019</v>
      </c>
      <c r="F8451" s="1" t="s">
        <v>842</v>
      </c>
      <c r="G8451" s="6">
        <v>3559</v>
      </c>
      <c r="H8451" t="str">
        <f>IFERROR(VLOOKUP(F8451,'LEAID Match'!$A$2:$B$142,2,FALSE),"")</f>
        <v/>
      </c>
    </row>
    <row r="8452" spans="1:8" x14ac:dyDescent="0.2">
      <c r="A8452" t="str">
        <f t="shared" si="132"/>
        <v/>
      </c>
      <c r="B8452" s="1">
        <v>2019</v>
      </c>
      <c r="C8452" s="1" t="s">
        <v>2505</v>
      </c>
      <c r="D8452" s="1" t="s">
        <v>2506</v>
      </c>
      <c r="E8452" s="1" t="s">
        <v>2019</v>
      </c>
      <c r="F8452" s="1" t="s">
        <v>842</v>
      </c>
      <c r="G8452" s="6">
        <v>3559</v>
      </c>
      <c r="H8452" t="str">
        <f>IFERROR(VLOOKUP(F8452,'LEAID Match'!$A$2:$B$142,2,FALSE),"")</f>
        <v/>
      </c>
    </row>
    <row r="8453" spans="1:8" x14ac:dyDescent="0.2">
      <c r="A8453" t="str">
        <f t="shared" si="132"/>
        <v/>
      </c>
      <c r="B8453" s="1">
        <v>2020</v>
      </c>
      <c r="C8453" s="1" t="s">
        <v>2505</v>
      </c>
      <c r="D8453" s="1" t="s">
        <v>2506</v>
      </c>
      <c r="E8453" s="1" t="s">
        <v>2019</v>
      </c>
      <c r="F8453" s="1" t="s">
        <v>842</v>
      </c>
      <c r="G8453" s="6">
        <v>3932</v>
      </c>
      <c r="H8453" t="str">
        <f>IFERROR(VLOOKUP(F8453,'LEAID Match'!$A$2:$B$142,2,FALSE),"")</f>
        <v/>
      </c>
    </row>
    <row r="8454" spans="1:8" x14ac:dyDescent="0.2">
      <c r="A8454" t="str">
        <f t="shared" si="132"/>
        <v/>
      </c>
      <c r="B8454" s="1">
        <v>2021</v>
      </c>
      <c r="C8454" s="1" t="s">
        <v>2505</v>
      </c>
      <c r="D8454" s="1" t="s">
        <v>2506</v>
      </c>
      <c r="E8454" s="1" t="s">
        <v>2019</v>
      </c>
      <c r="F8454" s="1" t="s">
        <v>842</v>
      </c>
      <c r="G8454" s="6">
        <v>3932</v>
      </c>
      <c r="H8454" t="str">
        <f>IFERROR(VLOOKUP(F8454,'LEAID Match'!$A$2:$B$142,2,FALSE),"")</f>
        <v/>
      </c>
    </row>
    <row r="8455" spans="1:8" x14ac:dyDescent="0.2">
      <c r="A8455" t="str">
        <f t="shared" si="132"/>
        <v/>
      </c>
      <c r="B8455" s="1">
        <v>2022</v>
      </c>
      <c r="C8455" s="1" t="s">
        <v>2505</v>
      </c>
      <c r="D8455" s="1" t="s">
        <v>2506</v>
      </c>
      <c r="E8455" s="1" t="s">
        <v>2019</v>
      </c>
      <c r="F8455" s="1" t="s">
        <v>842</v>
      </c>
      <c r="G8455" s="6">
        <v>3932</v>
      </c>
      <c r="H8455" t="str">
        <f>IFERROR(VLOOKUP(F8455,'LEAID Match'!$A$2:$B$142,2,FALSE),"")</f>
        <v/>
      </c>
    </row>
    <row r="8456" spans="1:8" x14ac:dyDescent="0.2">
      <c r="A8456" t="str">
        <f t="shared" si="132"/>
        <v/>
      </c>
      <c r="B8456" s="1">
        <v>2023</v>
      </c>
      <c r="C8456" s="1" t="s">
        <v>2505</v>
      </c>
      <c r="D8456" s="1" t="s">
        <v>2506</v>
      </c>
      <c r="E8456" s="1" t="s">
        <v>2019</v>
      </c>
      <c r="F8456" s="1" t="s">
        <v>842</v>
      </c>
      <c r="G8456" s="6">
        <v>3932</v>
      </c>
      <c r="H8456" t="str">
        <f>IFERROR(VLOOKUP(F8456,'LEAID Match'!$A$2:$B$142,2,FALSE),"")</f>
        <v/>
      </c>
    </row>
    <row r="8457" spans="1:8" x14ac:dyDescent="0.2">
      <c r="A8457" t="str">
        <f t="shared" si="132"/>
        <v/>
      </c>
      <c r="B8457" s="1">
        <v>2024</v>
      </c>
      <c r="C8457" s="1" t="s">
        <v>2505</v>
      </c>
      <c r="D8457" s="1" t="s">
        <v>2506</v>
      </c>
      <c r="E8457" s="1" t="s">
        <v>2019</v>
      </c>
      <c r="F8457" s="1" t="s">
        <v>842</v>
      </c>
      <c r="G8457" s="6">
        <v>3932</v>
      </c>
      <c r="H8457" t="str">
        <f>IFERROR(VLOOKUP(F8457,'LEAID Match'!$A$2:$B$142,2,FALSE),"")</f>
        <v/>
      </c>
    </row>
    <row r="8458" spans="1:8" x14ac:dyDescent="0.2">
      <c r="A8458" t="str">
        <f t="shared" si="132"/>
        <v/>
      </c>
      <c r="B8458" s="1">
        <v>2015</v>
      </c>
      <c r="C8458" s="1" t="s">
        <v>2505</v>
      </c>
      <c r="D8458" s="1" t="s">
        <v>2506</v>
      </c>
      <c r="E8458" s="1" t="s">
        <v>2019</v>
      </c>
      <c r="F8458" s="1" t="s">
        <v>843</v>
      </c>
      <c r="G8458" s="6">
        <v>125346</v>
      </c>
      <c r="H8458" t="str">
        <f>IFERROR(VLOOKUP(F8458,'LEAID Match'!$A$2:$B$142,2,FALSE),"")</f>
        <v/>
      </c>
    </row>
    <row r="8459" spans="1:8" x14ac:dyDescent="0.2">
      <c r="A8459" t="str">
        <f t="shared" si="132"/>
        <v/>
      </c>
      <c r="B8459">
        <v>2016</v>
      </c>
      <c r="C8459" s="1" t="s">
        <v>2505</v>
      </c>
      <c r="D8459" s="1" t="s">
        <v>2506</v>
      </c>
      <c r="E8459" s="1" t="s">
        <v>2019</v>
      </c>
      <c r="F8459" s="1" t="s">
        <v>843</v>
      </c>
      <c r="G8459" s="12">
        <v>123514</v>
      </c>
      <c r="H8459" t="str">
        <f>IFERROR(VLOOKUP(F8459,'LEAID Match'!$A$2:$B$142,2,FALSE),"")</f>
        <v/>
      </c>
    </row>
    <row r="8460" spans="1:8" x14ac:dyDescent="0.2">
      <c r="A8460" t="str">
        <f t="shared" si="132"/>
        <v/>
      </c>
      <c r="B8460" s="1">
        <v>2017</v>
      </c>
      <c r="C8460" s="1" t="s">
        <v>2505</v>
      </c>
      <c r="D8460" s="1" t="s">
        <v>2506</v>
      </c>
      <c r="E8460" s="1" t="s">
        <v>2019</v>
      </c>
      <c r="F8460" s="1" t="s">
        <v>843</v>
      </c>
      <c r="G8460" s="47">
        <v>125298</v>
      </c>
      <c r="H8460" t="str">
        <f>IFERROR(VLOOKUP(F8460,'LEAID Match'!$A$2:$B$142,2,FALSE),"")</f>
        <v/>
      </c>
    </row>
    <row r="8461" spans="1:8" x14ac:dyDescent="0.2">
      <c r="A8461" t="str">
        <f t="shared" si="132"/>
        <v/>
      </c>
      <c r="B8461" s="1">
        <v>2018</v>
      </c>
      <c r="C8461" s="1" t="s">
        <v>2505</v>
      </c>
      <c r="D8461" s="1" t="s">
        <v>2506</v>
      </c>
      <c r="E8461" s="1" t="s">
        <v>2019</v>
      </c>
      <c r="F8461" s="1" t="s">
        <v>843</v>
      </c>
      <c r="G8461" s="6">
        <v>126523</v>
      </c>
      <c r="H8461" t="str">
        <f>IFERROR(VLOOKUP(F8461,'LEAID Match'!$A$2:$B$142,2,FALSE),"")</f>
        <v/>
      </c>
    </row>
    <row r="8462" spans="1:8" x14ac:dyDescent="0.2">
      <c r="A8462" t="str">
        <f t="shared" si="132"/>
        <v/>
      </c>
      <c r="B8462" s="1">
        <v>2019</v>
      </c>
      <c r="C8462" s="1" t="s">
        <v>2505</v>
      </c>
      <c r="D8462" s="1" t="s">
        <v>2506</v>
      </c>
      <c r="E8462" s="1" t="s">
        <v>2019</v>
      </c>
      <c r="F8462" s="1" t="s">
        <v>843</v>
      </c>
      <c r="G8462" s="6">
        <v>127858</v>
      </c>
      <c r="H8462" t="str">
        <f>IFERROR(VLOOKUP(F8462,'LEAID Match'!$A$2:$B$142,2,FALSE),"")</f>
        <v/>
      </c>
    </row>
    <row r="8463" spans="1:8" x14ac:dyDescent="0.2">
      <c r="A8463" t="str">
        <f t="shared" si="132"/>
        <v/>
      </c>
      <c r="B8463" s="1">
        <v>2020</v>
      </c>
      <c r="C8463" s="1" t="s">
        <v>2505</v>
      </c>
      <c r="D8463" s="1" t="s">
        <v>2506</v>
      </c>
      <c r="E8463" s="1" t="s">
        <v>2019</v>
      </c>
      <c r="F8463" s="1" t="s">
        <v>843</v>
      </c>
      <c r="G8463" s="6">
        <v>135746</v>
      </c>
      <c r="H8463" t="str">
        <f>IFERROR(VLOOKUP(F8463,'LEAID Match'!$A$2:$B$142,2,FALSE),"")</f>
        <v/>
      </c>
    </row>
    <row r="8464" spans="1:8" x14ac:dyDescent="0.2">
      <c r="A8464" t="str">
        <f t="shared" si="132"/>
        <v/>
      </c>
      <c r="B8464" s="1">
        <v>2021</v>
      </c>
      <c r="C8464" s="1" t="s">
        <v>2505</v>
      </c>
      <c r="D8464" s="1" t="s">
        <v>2506</v>
      </c>
      <c r="E8464" s="1" t="s">
        <v>2019</v>
      </c>
      <c r="F8464" s="1" t="s">
        <v>843</v>
      </c>
      <c r="G8464" s="6">
        <v>131151</v>
      </c>
      <c r="H8464" t="str">
        <f>IFERROR(VLOOKUP(F8464,'LEAID Match'!$A$2:$B$142,2,FALSE),"")</f>
        <v/>
      </c>
    </row>
    <row r="8465" spans="1:8" x14ac:dyDescent="0.2">
      <c r="A8465" t="str">
        <f t="shared" si="132"/>
        <v/>
      </c>
      <c r="B8465" s="1">
        <v>2022</v>
      </c>
      <c r="C8465" s="1" t="s">
        <v>2505</v>
      </c>
      <c r="D8465" s="1" t="s">
        <v>2506</v>
      </c>
      <c r="E8465" s="1" t="s">
        <v>2019</v>
      </c>
      <c r="F8465" s="1" t="s">
        <v>843</v>
      </c>
      <c r="G8465" s="6">
        <v>122461</v>
      </c>
      <c r="H8465" t="str">
        <f>IFERROR(VLOOKUP(F8465,'LEAID Match'!$A$2:$B$142,2,FALSE),"")</f>
        <v/>
      </c>
    </row>
    <row r="8466" spans="1:8" x14ac:dyDescent="0.2">
      <c r="A8466" t="str">
        <f t="shared" si="132"/>
        <v/>
      </c>
      <c r="B8466" s="1">
        <v>2023</v>
      </c>
      <c r="C8466" s="1" t="s">
        <v>2505</v>
      </c>
      <c r="D8466" s="1" t="s">
        <v>2506</v>
      </c>
      <c r="E8466" s="1" t="s">
        <v>2019</v>
      </c>
      <c r="F8466" s="1" t="s">
        <v>843</v>
      </c>
      <c r="G8466" s="6">
        <v>155929</v>
      </c>
      <c r="H8466" t="str">
        <f>IFERROR(VLOOKUP(F8466,'LEAID Match'!$A$2:$B$142,2,FALSE),"")</f>
        <v/>
      </c>
    </row>
    <row r="8467" spans="1:8" x14ac:dyDescent="0.2">
      <c r="A8467" t="str">
        <f t="shared" si="132"/>
        <v/>
      </c>
      <c r="B8467" s="1">
        <v>2024</v>
      </c>
      <c r="C8467" s="1" t="s">
        <v>2505</v>
      </c>
      <c r="D8467" s="1" t="s">
        <v>2506</v>
      </c>
      <c r="E8467" s="1" t="s">
        <v>2019</v>
      </c>
      <c r="F8467" s="1" t="s">
        <v>843</v>
      </c>
      <c r="G8467" s="6">
        <v>136890</v>
      </c>
      <c r="H8467" t="str">
        <f>IFERROR(VLOOKUP(F8467,'LEAID Match'!$A$2:$B$142,2,FALSE),"")</f>
        <v/>
      </c>
    </row>
    <row r="8468" spans="1:8" x14ac:dyDescent="0.2">
      <c r="A8468" t="str">
        <f t="shared" si="132"/>
        <v/>
      </c>
      <c r="B8468" s="1">
        <v>2015</v>
      </c>
      <c r="C8468" s="1" t="s">
        <v>2505</v>
      </c>
      <c r="D8468" s="1" t="s">
        <v>2506</v>
      </c>
      <c r="E8468" s="1" t="s">
        <v>2019</v>
      </c>
      <c r="F8468" s="1" t="s">
        <v>844</v>
      </c>
      <c r="G8468" s="6">
        <v>520644</v>
      </c>
      <c r="H8468" t="str">
        <f>IFERROR(VLOOKUP(F8468,'LEAID Match'!$A$2:$B$142,2,FALSE),"")</f>
        <v/>
      </c>
    </row>
    <row r="8469" spans="1:8" x14ac:dyDescent="0.2">
      <c r="A8469" t="str">
        <f t="shared" si="132"/>
        <v/>
      </c>
      <c r="B8469">
        <v>2016</v>
      </c>
      <c r="C8469" s="1" t="s">
        <v>2505</v>
      </c>
      <c r="D8469" s="1" t="s">
        <v>2506</v>
      </c>
      <c r="E8469" s="1" t="s">
        <v>2019</v>
      </c>
      <c r="F8469" s="1" t="s">
        <v>844</v>
      </c>
      <c r="G8469" s="12">
        <v>530678</v>
      </c>
      <c r="H8469" t="str">
        <f>IFERROR(VLOOKUP(F8469,'LEAID Match'!$A$2:$B$142,2,FALSE),"")</f>
        <v/>
      </c>
    </row>
    <row r="8470" spans="1:8" x14ac:dyDescent="0.2">
      <c r="A8470" t="str">
        <f t="shared" si="132"/>
        <v/>
      </c>
      <c r="B8470" s="1">
        <v>2017</v>
      </c>
      <c r="C8470" s="1" t="s">
        <v>2505</v>
      </c>
      <c r="D8470" s="1" t="s">
        <v>2506</v>
      </c>
      <c r="E8470" s="1" t="s">
        <v>2019</v>
      </c>
      <c r="F8470" s="1" t="s">
        <v>844</v>
      </c>
      <c r="G8470" s="47">
        <v>520922</v>
      </c>
      <c r="H8470" t="str">
        <f>IFERROR(VLOOKUP(F8470,'LEAID Match'!$A$2:$B$142,2,FALSE),"")</f>
        <v/>
      </c>
    </row>
    <row r="8471" spans="1:8" x14ac:dyDescent="0.2">
      <c r="A8471" t="str">
        <f t="shared" si="132"/>
        <v/>
      </c>
      <c r="B8471" s="1">
        <v>2018</v>
      </c>
      <c r="C8471" s="1" t="s">
        <v>2505</v>
      </c>
      <c r="D8471" s="1" t="s">
        <v>2506</v>
      </c>
      <c r="E8471" s="1" t="s">
        <v>2019</v>
      </c>
      <c r="F8471" s="1" t="s">
        <v>844</v>
      </c>
      <c r="G8471" s="6">
        <v>508118</v>
      </c>
      <c r="H8471" t="str">
        <f>IFERROR(VLOOKUP(F8471,'LEAID Match'!$A$2:$B$142,2,FALSE),"")</f>
        <v/>
      </c>
    </row>
    <row r="8472" spans="1:8" x14ac:dyDescent="0.2">
      <c r="A8472" t="str">
        <f t="shared" si="132"/>
        <v/>
      </c>
      <c r="B8472" s="1">
        <v>2019</v>
      </c>
      <c r="C8472" s="1" t="s">
        <v>2505</v>
      </c>
      <c r="D8472" s="1" t="s">
        <v>2506</v>
      </c>
      <c r="E8472" s="1" t="s">
        <v>2019</v>
      </c>
      <c r="F8472" s="1" t="s">
        <v>844</v>
      </c>
      <c r="G8472" s="6">
        <v>508835</v>
      </c>
      <c r="H8472" t="str">
        <f>IFERROR(VLOOKUP(F8472,'LEAID Match'!$A$2:$B$142,2,FALSE),"")</f>
        <v/>
      </c>
    </row>
    <row r="8473" spans="1:8" x14ac:dyDescent="0.2">
      <c r="A8473" t="str">
        <f t="shared" si="132"/>
        <v/>
      </c>
      <c r="B8473" s="1">
        <v>2020</v>
      </c>
      <c r="C8473" s="1" t="s">
        <v>2505</v>
      </c>
      <c r="D8473" s="1" t="s">
        <v>2506</v>
      </c>
      <c r="E8473" s="1" t="s">
        <v>2019</v>
      </c>
      <c r="F8473" s="1" t="s">
        <v>844</v>
      </c>
      <c r="G8473" s="6">
        <v>564760</v>
      </c>
      <c r="H8473" t="str">
        <f>IFERROR(VLOOKUP(F8473,'LEAID Match'!$A$2:$B$142,2,FALSE),"")</f>
        <v/>
      </c>
    </row>
    <row r="8474" spans="1:8" x14ac:dyDescent="0.2">
      <c r="A8474" t="str">
        <f t="shared" si="132"/>
        <v/>
      </c>
      <c r="B8474" s="1">
        <v>2021</v>
      </c>
      <c r="C8474" s="1" t="s">
        <v>2505</v>
      </c>
      <c r="D8474" s="1" t="s">
        <v>2506</v>
      </c>
      <c r="E8474" s="1" t="s">
        <v>2019</v>
      </c>
      <c r="F8474" s="1" t="s">
        <v>844</v>
      </c>
      <c r="G8474" s="6">
        <v>555578</v>
      </c>
      <c r="H8474" t="str">
        <f>IFERROR(VLOOKUP(F8474,'LEAID Match'!$A$2:$B$142,2,FALSE),"")</f>
        <v/>
      </c>
    </row>
    <row r="8475" spans="1:8" x14ac:dyDescent="0.2">
      <c r="A8475" t="str">
        <f t="shared" si="132"/>
        <v/>
      </c>
      <c r="B8475" s="1">
        <v>2022</v>
      </c>
      <c r="C8475" s="1" t="s">
        <v>2505</v>
      </c>
      <c r="D8475" s="1" t="s">
        <v>2506</v>
      </c>
      <c r="E8475" s="1" t="s">
        <v>2019</v>
      </c>
      <c r="F8475" s="1" t="s">
        <v>844</v>
      </c>
      <c r="G8475" s="6">
        <v>544654</v>
      </c>
      <c r="H8475" t="str">
        <f>IFERROR(VLOOKUP(F8475,'LEAID Match'!$A$2:$B$142,2,FALSE),"")</f>
        <v/>
      </c>
    </row>
    <row r="8476" spans="1:8" x14ac:dyDescent="0.2">
      <c r="A8476" t="str">
        <f t="shared" si="132"/>
        <v/>
      </c>
      <c r="B8476" s="1">
        <v>2023</v>
      </c>
      <c r="C8476" s="1" t="s">
        <v>2505</v>
      </c>
      <c r="D8476" s="1" t="s">
        <v>2506</v>
      </c>
      <c r="E8476" s="1" t="s">
        <v>2019</v>
      </c>
      <c r="F8476" s="1" t="s">
        <v>844</v>
      </c>
      <c r="G8476" s="6">
        <v>586696</v>
      </c>
      <c r="H8476" t="str">
        <f>IFERROR(VLOOKUP(F8476,'LEAID Match'!$A$2:$B$142,2,FALSE),"")</f>
        <v/>
      </c>
    </row>
    <row r="8477" spans="1:8" x14ac:dyDescent="0.2">
      <c r="A8477" t="str">
        <f t="shared" si="132"/>
        <v/>
      </c>
      <c r="B8477" s="1">
        <v>2024</v>
      </c>
      <c r="C8477" s="1" t="s">
        <v>2505</v>
      </c>
      <c r="D8477" s="1" t="s">
        <v>2506</v>
      </c>
      <c r="E8477" s="1" t="s">
        <v>2019</v>
      </c>
      <c r="F8477" s="1" t="s">
        <v>844</v>
      </c>
      <c r="G8477" s="6">
        <v>575134</v>
      </c>
      <c r="H8477" t="str">
        <f>IFERROR(VLOOKUP(F8477,'LEAID Match'!$A$2:$B$142,2,FALSE),"")</f>
        <v/>
      </c>
    </row>
    <row r="8478" spans="1:8" x14ac:dyDescent="0.2">
      <c r="A8478" t="str">
        <f t="shared" si="132"/>
        <v/>
      </c>
      <c r="B8478" s="1">
        <v>2015</v>
      </c>
      <c r="C8478" s="1" t="s">
        <v>2505</v>
      </c>
      <c r="D8478" s="1" t="s">
        <v>2506</v>
      </c>
      <c r="E8478" s="1" t="s">
        <v>2019</v>
      </c>
      <c r="F8478" s="1" t="s">
        <v>845</v>
      </c>
      <c r="G8478" s="6">
        <v>339172</v>
      </c>
      <c r="H8478" t="str">
        <f>IFERROR(VLOOKUP(F8478,'LEAID Match'!$A$2:$B$142,2,FALSE),"")</f>
        <v/>
      </c>
    </row>
    <row r="8479" spans="1:8" x14ac:dyDescent="0.2">
      <c r="A8479" t="str">
        <f t="shared" si="132"/>
        <v/>
      </c>
      <c r="B8479">
        <v>2016</v>
      </c>
      <c r="C8479" s="1" t="s">
        <v>2505</v>
      </c>
      <c r="D8479" s="1" t="s">
        <v>2506</v>
      </c>
      <c r="E8479" s="1" t="s">
        <v>2019</v>
      </c>
      <c r="F8479" s="1" t="s">
        <v>845</v>
      </c>
      <c r="G8479" s="12">
        <v>355240</v>
      </c>
      <c r="H8479" t="str">
        <f>IFERROR(VLOOKUP(F8479,'LEAID Match'!$A$2:$B$142,2,FALSE),"")</f>
        <v/>
      </c>
    </row>
    <row r="8480" spans="1:8" x14ac:dyDescent="0.2">
      <c r="A8480" t="str">
        <f t="shared" si="132"/>
        <v/>
      </c>
      <c r="B8480" s="1">
        <v>2017</v>
      </c>
      <c r="C8480" s="1" t="s">
        <v>2505</v>
      </c>
      <c r="D8480" s="1" t="s">
        <v>2506</v>
      </c>
      <c r="E8480" s="1" t="s">
        <v>2019</v>
      </c>
      <c r="F8480" s="1" t="s">
        <v>845</v>
      </c>
      <c r="G8480" s="47">
        <v>347318</v>
      </c>
      <c r="H8480" t="str">
        <f>IFERROR(VLOOKUP(F8480,'LEAID Match'!$A$2:$B$142,2,FALSE),"")</f>
        <v/>
      </c>
    </row>
    <row r="8481" spans="1:8" x14ac:dyDescent="0.2">
      <c r="A8481" t="str">
        <f t="shared" si="132"/>
        <v/>
      </c>
      <c r="B8481" s="1">
        <v>2018</v>
      </c>
      <c r="C8481" s="1" t="s">
        <v>2505</v>
      </c>
      <c r="D8481" s="1" t="s">
        <v>2506</v>
      </c>
      <c r="E8481" s="1" t="s">
        <v>2019</v>
      </c>
      <c r="F8481" s="1" t="s">
        <v>845</v>
      </c>
      <c r="G8481" s="6">
        <v>358233</v>
      </c>
      <c r="H8481" t="str">
        <f>IFERROR(VLOOKUP(F8481,'LEAID Match'!$A$2:$B$142,2,FALSE),"")</f>
        <v/>
      </c>
    </row>
    <row r="8482" spans="1:8" x14ac:dyDescent="0.2">
      <c r="A8482" t="str">
        <f t="shared" si="132"/>
        <v/>
      </c>
      <c r="B8482" s="1">
        <v>2019</v>
      </c>
      <c r="C8482" s="1" t="s">
        <v>2505</v>
      </c>
      <c r="D8482" s="1" t="s">
        <v>2506</v>
      </c>
      <c r="E8482" s="1" t="s">
        <v>2019</v>
      </c>
      <c r="F8482" s="1" t="s">
        <v>845</v>
      </c>
      <c r="G8482" s="6">
        <v>378386</v>
      </c>
      <c r="H8482" t="str">
        <f>IFERROR(VLOOKUP(F8482,'LEAID Match'!$A$2:$B$142,2,FALSE),"")</f>
        <v/>
      </c>
    </row>
    <row r="8483" spans="1:8" x14ac:dyDescent="0.2">
      <c r="A8483" t="str">
        <f t="shared" si="132"/>
        <v/>
      </c>
      <c r="B8483" s="1">
        <v>2020</v>
      </c>
      <c r="C8483" s="1" t="s">
        <v>2505</v>
      </c>
      <c r="D8483" s="1" t="s">
        <v>2506</v>
      </c>
      <c r="E8483" s="1" t="s">
        <v>2019</v>
      </c>
      <c r="F8483" s="1" t="s">
        <v>845</v>
      </c>
      <c r="G8483" s="6">
        <v>429470</v>
      </c>
      <c r="H8483" t="str">
        <f>IFERROR(VLOOKUP(F8483,'LEAID Match'!$A$2:$B$142,2,FALSE),"")</f>
        <v/>
      </c>
    </row>
    <row r="8484" spans="1:8" x14ac:dyDescent="0.2">
      <c r="A8484" t="str">
        <f t="shared" si="132"/>
        <v/>
      </c>
      <c r="B8484" s="1">
        <v>2021</v>
      </c>
      <c r="C8484" s="1" t="s">
        <v>2505</v>
      </c>
      <c r="D8484" s="1" t="s">
        <v>2506</v>
      </c>
      <c r="E8484" s="1" t="s">
        <v>2019</v>
      </c>
      <c r="F8484" s="1" t="s">
        <v>845</v>
      </c>
      <c r="G8484" s="6">
        <v>423218</v>
      </c>
      <c r="H8484" t="str">
        <f>IFERROR(VLOOKUP(F8484,'LEAID Match'!$A$2:$B$142,2,FALSE),"")</f>
        <v/>
      </c>
    </row>
    <row r="8485" spans="1:8" x14ac:dyDescent="0.2">
      <c r="A8485" t="str">
        <f t="shared" si="132"/>
        <v/>
      </c>
      <c r="B8485" s="1">
        <v>2022</v>
      </c>
      <c r="C8485" s="1" t="s">
        <v>2505</v>
      </c>
      <c r="D8485" s="1" t="s">
        <v>2506</v>
      </c>
      <c r="E8485" s="1" t="s">
        <v>2019</v>
      </c>
      <c r="F8485" s="1" t="s">
        <v>845</v>
      </c>
      <c r="G8485" s="6">
        <v>439568</v>
      </c>
      <c r="H8485" t="str">
        <f>IFERROR(VLOOKUP(F8485,'LEAID Match'!$A$2:$B$142,2,FALSE),"")</f>
        <v/>
      </c>
    </row>
    <row r="8486" spans="1:8" x14ac:dyDescent="0.2">
      <c r="A8486" t="str">
        <f t="shared" si="132"/>
        <v/>
      </c>
      <c r="B8486" s="1">
        <v>2023</v>
      </c>
      <c r="C8486" s="1" t="s">
        <v>2505</v>
      </c>
      <c r="D8486" s="1" t="s">
        <v>2506</v>
      </c>
      <c r="E8486" s="1" t="s">
        <v>2019</v>
      </c>
      <c r="F8486" s="1" t="s">
        <v>845</v>
      </c>
      <c r="G8486" s="6">
        <v>471678</v>
      </c>
      <c r="H8486" t="str">
        <f>IFERROR(VLOOKUP(F8486,'LEAID Match'!$A$2:$B$142,2,FALSE),"")</f>
        <v/>
      </c>
    </row>
    <row r="8487" spans="1:8" x14ac:dyDescent="0.2">
      <c r="A8487" t="str">
        <f t="shared" si="132"/>
        <v/>
      </c>
      <c r="B8487" s="1">
        <v>2024</v>
      </c>
      <c r="C8487" s="1" t="s">
        <v>2505</v>
      </c>
      <c r="D8487" s="1" t="s">
        <v>2506</v>
      </c>
      <c r="E8487" s="1" t="s">
        <v>2019</v>
      </c>
      <c r="F8487" s="1" t="s">
        <v>845</v>
      </c>
      <c r="G8487" s="6">
        <v>494841</v>
      </c>
      <c r="H8487" t="str">
        <f>IFERROR(VLOOKUP(F8487,'LEAID Match'!$A$2:$B$142,2,FALSE),"")</f>
        <v/>
      </c>
    </row>
    <row r="8488" spans="1:8" x14ac:dyDescent="0.2">
      <c r="A8488" t="str">
        <f t="shared" si="132"/>
        <v/>
      </c>
      <c r="B8488" s="1">
        <v>2015</v>
      </c>
      <c r="C8488" s="1" t="s">
        <v>2505</v>
      </c>
      <c r="D8488" s="1" t="s">
        <v>2506</v>
      </c>
      <c r="E8488" s="1" t="s">
        <v>2019</v>
      </c>
      <c r="F8488" s="1" t="s">
        <v>846</v>
      </c>
      <c r="G8488" s="6">
        <v>7682</v>
      </c>
      <c r="H8488" t="str">
        <f>IFERROR(VLOOKUP(F8488,'LEAID Match'!$A$2:$B$142,2,FALSE),"")</f>
        <v/>
      </c>
    </row>
    <row r="8489" spans="1:8" x14ac:dyDescent="0.2">
      <c r="A8489" t="str">
        <f t="shared" si="132"/>
        <v/>
      </c>
      <c r="B8489">
        <v>2016</v>
      </c>
      <c r="C8489" s="1" t="s">
        <v>2505</v>
      </c>
      <c r="D8489" s="1" t="s">
        <v>2506</v>
      </c>
      <c r="E8489" s="1" t="s">
        <v>2019</v>
      </c>
      <c r="F8489" s="1" t="s">
        <v>846</v>
      </c>
      <c r="G8489" s="12">
        <v>7973</v>
      </c>
      <c r="H8489" t="str">
        <f>IFERROR(VLOOKUP(F8489,'LEAID Match'!$A$2:$B$142,2,FALSE),"")</f>
        <v/>
      </c>
    </row>
    <row r="8490" spans="1:8" x14ac:dyDescent="0.2">
      <c r="A8490" t="str">
        <f t="shared" si="132"/>
        <v/>
      </c>
      <c r="B8490" s="1">
        <v>2017</v>
      </c>
      <c r="C8490" s="1" t="s">
        <v>2505</v>
      </c>
      <c r="D8490" s="1" t="s">
        <v>2506</v>
      </c>
      <c r="E8490" s="1" t="s">
        <v>2019</v>
      </c>
      <c r="F8490" s="1" t="s">
        <v>846</v>
      </c>
      <c r="G8490" s="47">
        <v>7965</v>
      </c>
      <c r="H8490" t="str">
        <f>IFERROR(VLOOKUP(F8490,'LEAID Match'!$A$2:$B$142,2,FALSE),"")</f>
        <v/>
      </c>
    </row>
    <row r="8491" spans="1:8" x14ac:dyDescent="0.2">
      <c r="A8491" t="str">
        <f t="shared" si="132"/>
        <v/>
      </c>
      <c r="B8491" s="1">
        <v>2018</v>
      </c>
      <c r="C8491" s="1" t="s">
        <v>2505</v>
      </c>
      <c r="D8491" s="1" t="s">
        <v>2506</v>
      </c>
      <c r="E8491" s="1" t="s">
        <v>2019</v>
      </c>
      <c r="F8491" s="1" t="s">
        <v>846</v>
      </c>
      <c r="G8491" s="6">
        <v>6433</v>
      </c>
      <c r="H8491" t="str">
        <f>IFERROR(VLOOKUP(F8491,'LEAID Match'!$A$2:$B$142,2,FALSE),"")</f>
        <v/>
      </c>
    </row>
    <row r="8492" spans="1:8" x14ac:dyDescent="0.2">
      <c r="A8492" t="str">
        <f t="shared" si="132"/>
        <v/>
      </c>
      <c r="B8492" s="1">
        <v>2019</v>
      </c>
      <c r="C8492" s="1" t="s">
        <v>2505</v>
      </c>
      <c r="D8492" s="1" t="s">
        <v>2506</v>
      </c>
      <c r="E8492" s="1" t="s">
        <v>2019</v>
      </c>
      <c r="F8492" s="1" t="s">
        <v>846</v>
      </c>
      <c r="G8492" s="6">
        <v>6472</v>
      </c>
      <c r="H8492" t="str">
        <f>IFERROR(VLOOKUP(F8492,'LEAID Match'!$A$2:$B$142,2,FALSE),"")</f>
        <v/>
      </c>
    </row>
    <row r="8493" spans="1:8" x14ac:dyDescent="0.2">
      <c r="A8493" t="str">
        <f t="shared" si="132"/>
        <v/>
      </c>
      <c r="B8493" s="1">
        <v>2020</v>
      </c>
      <c r="C8493" s="1" t="s">
        <v>2505</v>
      </c>
      <c r="D8493" s="1" t="s">
        <v>2506</v>
      </c>
      <c r="E8493" s="1" t="s">
        <v>2019</v>
      </c>
      <c r="F8493" s="1" t="s">
        <v>846</v>
      </c>
      <c r="G8493" s="6">
        <v>6790</v>
      </c>
      <c r="H8493" t="str">
        <f>IFERROR(VLOOKUP(F8493,'LEAID Match'!$A$2:$B$142,2,FALSE),"")</f>
        <v/>
      </c>
    </row>
    <row r="8494" spans="1:8" x14ac:dyDescent="0.2">
      <c r="A8494" t="str">
        <f t="shared" si="132"/>
        <v/>
      </c>
      <c r="B8494" s="1">
        <v>2021</v>
      </c>
      <c r="C8494" s="1" t="s">
        <v>2505</v>
      </c>
      <c r="D8494" s="1" t="s">
        <v>2506</v>
      </c>
      <c r="E8494" s="1" t="s">
        <v>2019</v>
      </c>
      <c r="F8494" s="1" t="s">
        <v>846</v>
      </c>
      <c r="G8494" s="6">
        <v>7496</v>
      </c>
      <c r="H8494" t="str">
        <f>IFERROR(VLOOKUP(F8494,'LEAID Match'!$A$2:$B$142,2,FALSE),"")</f>
        <v/>
      </c>
    </row>
    <row r="8495" spans="1:8" x14ac:dyDescent="0.2">
      <c r="A8495" t="str">
        <f t="shared" si="132"/>
        <v/>
      </c>
      <c r="B8495" s="1">
        <v>2022</v>
      </c>
      <c r="C8495" s="1" t="s">
        <v>2505</v>
      </c>
      <c r="D8495" s="1" t="s">
        <v>2506</v>
      </c>
      <c r="E8495" s="1" t="s">
        <v>2019</v>
      </c>
      <c r="F8495" s="1" t="s">
        <v>846</v>
      </c>
      <c r="G8495" s="6">
        <v>5582</v>
      </c>
      <c r="H8495" t="str">
        <f>IFERROR(VLOOKUP(F8495,'LEAID Match'!$A$2:$B$142,2,FALSE),"")</f>
        <v/>
      </c>
    </row>
    <row r="8496" spans="1:8" x14ac:dyDescent="0.2">
      <c r="A8496" t="str">
        <f t="shared" si="132"/>
        <v/>
      </c>
      <c r="B8496" s="1">
        <v>2023</v>
      </c>
      <c r="C8496" s="1" t="s">
        <v>2505</v>
      </c>
      <c r="D8496" s="1" t="s">
        <v>2506</v>
      </c>
      <c r="E8496" s="1" t="s">
        <v>2019</v>
      </c>
      <c r="F8496" s="1" t="s">
        <v>846</v>
      </c>
      <c r="G8496" s="6">
        <v>5719</v>
      </c>
      <c r="H8496" t="str">
        <f>IFERROR(VLOOKUP(F8496,'LEAID Match'!$A$2:$B$142,2,FALSE),"")</f>
        <v/>
      </c>
    </row>
    <row r="8497" spans="1:8" x14ac:dyDescent="0.2">
      <c r="A8497" t="str">
        <f t="shared" si="132"/>
        <v/>
      </c>
      <c r="B8497" s="1">
        <v>2024</v>
      </c>
      <c r="C8497" s="1" t="s">
        <v>2505</v>
      </c>
      <c r="D8497" s="1" t="s">
        <v>2506</v>
      </c>
      <c r="E8497" s="1" t="s">
        <v>2019</v>
      </c>
      <c r="F8497" s="1" t="s">
        <v>846</v>
      </c>
      <c r="G8497" s="6">
        <v>5757</v>
      </c>
      <c r="H8497" t="str">
        <f>IFERROR(VLOOKUP(F8497,'LEAID Match'!$A$2:$B$142,2,FALSE),"")</f>
        <v/>
      </c>
    </row>
    <row r="8498" spans="1:8" x14ac:dyDescent="0.2">
      <c r="A8498" t="str">
        <f t="shared" si="132"/>
        <v/>
      </c>
      <c r="B8498" s="1">
        <v>2015</v>
      </c>
      <c r="C8498" s="1" t="s">
        <v>2505</v>
      </c>
      <c r="D8498" s="1" t="s">
        <v>2506</v>
      </c>
      <c r="E8498" s="1" t="s">
        <v>2019</v>
      </c>
      <c r="F8498" s="1" t="s">
        <v>847</v>
      </c>
      <c r="G8498" s="6">
        <v>10784</v>
      </c>
      <c r="H8498" t="str">
        <f>IFERROR(VLOOKUP(F8498,'LEAID Match'!$A$2:$B$142,2,FALSE),"")</f>
        <v/>
      </c>
    </row>
    <row r="8499" spans="1:8" x14ac:dyDescent="0.2">
      <c r="A8499" t="str">
        <f t="shared" si="132"/>
        <v/>
      </c>
      <c r="B8499">
        <v>2016</v>
      </c>
      <c r="C8499" s="1" t="s">
        <v>2505</v>
      </c>
      <c r="D8499" s="1" t="s">
        <v>2506</v>
      </c>
      <c r="E8499" s="1" t="s">
        <v>2019</v>
      </c>
      <c r="F8499" s="1" t="s">
        <v>847</v>
      </c>
      <c r="G8499" s="12">
        <v>11918</v>
      </c>
      <c r="H8499" t="str">
        <f>IFERROR(VLOOKUP(F8499,'LEAID Match'!$A$2:$B$142,2,FALSE),"")</f>
        <v/>
      </c>
    </row>
    <row r="8500" spans="1:8" x14ac:dyDescent="0.2">
      <c r="A8500" t="str">
        <f t="shared" si="132"/>
        <v/>
      </c>
      <c r="B8500" s="1">
        <v>2017</v>
      </c>
      <c r="C8500" s="1" t="s">
        <v>2505</v>
      </c>
      <c r="D8500" s="1" t="s">
        <v>2506</v>
      </c>
      <c r="E8500" s="1" t="s">
        <v>2019</v>
      </c>
      <c r="F8500" s="1" t="s">
        <v>847</v>
      </c>
      <c r="G8500" s="47">
        <v>11253</v>
      </c>
      <c r="H8500" t="str">
        <f>IFERROR(VLOOKUP(F8500,'LEAID Match'!$A$2:$B$142,2,FALSE),"")</f>
        <v/>
      </c>
    </row>
    <row r="8501" spans="1:8" x14ac:dyDescent="0.2">
      <c r="A8501" t="str">
        <f t="shared" si="132"/>
        <v/>
      </c>
      <c r="B8501" s="1">
        <v>2018</v>
      </c>
      <c r="C8501" s="1" t="s">
        <v>2505</v>
      </c>
      <c r="D8501" s="1" t="s">
        <v>2506</v>
      </c>
      <c r="E8501" s="1" t="s">
        <v>2019</v>
      </c>
      <c r="F8501" s="1" t="s">
        <v>847</v>
      </c>
      <c r="G8501" s="6">
        <v>10322</v>
      </c>
      <c r="H8501" t="str">
        <f>IFERROR(VLOOKUP(F8501,'LEAID Match'!$A$2:$B$142,2,FALSE),"")</f>
        <v/>
      </c>
    </row>
    <row r="8502" spans="1:8" x14ac:dyDescent="0.2">
      <c r="A8502" t="str">
        <f t="shared" si="132"/>
        <v/>
      </c>
      <c r="B8502" s="1">
        <v>2019</v>
      </c>
      <c r="C8502" s="1" t="s">
        <v>2505</v>
      </c>
      <c r="D8502" s="1" t="s">
        <v>2506</v>
      </c>
      <c r="E8502" s="1" t="s">
        <v>2019</v>
      </c>
      <c r="F8502" s="1" t="s">
        <v>847</v>
      </c>
      <c r="G8502" s="6">
        <v>14737</v>
      </c>
      <c r="H8502" t="str">
        <f>IFERROR(VLOOKUP(F8502,'LEAID Match'!$A$2:$B$142,2,FALSE),"")</f>
        <v/>
      </c>
    </row>
    <row r="8503" spans="1:8" x14ac:dyDescent="0.2">
      <c r="A8503" t="str">
        <f t="shared" si="132"/>
        <v/>
      </c>
      <c r="B8503" s="1">
        <v>2020</v>
      </c>
      <c r="C8503" s="1" t="s">
        <v>2505</v>
      </c>
      <c r="D8503" s="1" t="s">
        <v>2506</v>
      </c>
      <c r="E8503" s="1" t="s">
        <v>2019</v>
      </c>
      <c r="F8503" s="1" t="s">
        <v>847</v>
      </c>
      <c r="G8503" s="6">
        <v>18393</v>
      </c>
      <c r="H8503" t="str">
        <f>IFERROR(VLOOKUP(F8503,'LEAID Match'!$A$2:$B$142,2,FALSE),"")</f>
        <v/>
      </c>
    </row>
    <row r="8504" spans="1:8" x14ac:dyDescent="0.2">
      <c r="A8504" t="str">
        <f t="shared" si="132"/>
        <v/>
      </c>
      <c r="B8504" s="1">
        <v>2021</v>
      </c>
      <c r="C8504" s="1" t="s">
        <v>2505</v>
      </c>
      <c r="D8504" s="1" t="s">
        <v>2506</v>
      </c>
      <c r="E8504" s="1" t="s">
        <v>2019</v>
      </c>
      <c r="F8504" s="1" t="s">
        <v>847</v>
      </c>
      <c r="G8504" s="6">
        <v>18393</v>
      </c>
      <c r="H8504" t="str">
        <f>IFERROR(VLOOKUP(F8504,'LEAID Match'!$A$2:$B$142,2,FALSE),"")</f>
        <v/>
      </c>
    </row>
    <row r="8505" spans="1:8" x14ac:dyDescent="0.2">
      <c r="A8505" t="str">
        <f t="shared" si="132"/>
        <v/>
      </c>
      <c r="B8505" s="1">
        <v>2022</v>
      </c>
      <c r="C8505" s="1" t="s">
        <v>2505</v>
      </c>
      <c r="D8505" s="1" t="s">
        <v>2506</v>
      </c>
      <c r="E8505" s="1" t="s">
        <v>2019</v>
      </c>
      <c r="F8505" s="1" t="s">
        <v>847</v>
      </c>
      <c r="G8505" s="6">
        <v>17813</v>
      </c>
      <c r="H8505" t="str">
        <f>IFERROR(VLOOKUP(F8505,'LEAID Match'!$A$2:$B$142,2,FALSE),"")</f>
        <v/>
      </c>
    </row>
    <row r="8506" spans="1:8" x14ac:dyDescent="0.2">
      <c r="A8506" t="str">
        <f t="shared" si="132"/>
        <v/>
      </c>
      <c r="B8506" s="1">
        <v>2023</v>
      </c>
      <c r="C8506" s="1" t="s">
        <v>2505</v>
      </c>
      <c r="D8506" s="1" t="s">
        <v>2506</v>
      </c>
      <c r="E8506" s="1" t="s">
        <v>2019</v>
      </c>
      <c r="F8506" s="1" t="s">
        <v>847</v>
      </c>
      <c r="G8506" s="6">
        <v>21697</v>
      </c>
      <c r="H8506" t="str">
        <f>IFERROR(VLOOKUP(F8506,'LEAID Match'!$A$2:$B$142,2,FALSE),"")</f>
        <v/>
      </c>
    </row>
    <row r="8507" spans="1:8" x14ac:dyDescent="0.2">
      <c r="A8507" t="str">
        <f t="shared" si="132"/>
        <v/>
      </c>
      <c r="B8507" s="1">
        <v>2024</v>
      </c>
      <c r="C8507" s="1" t="s">
        <v>2505</v>
      </c>
      <c r="D8507" s="1" t="s">
        <v>2506</v>
      </c>
      <c r="E8507" s="1" t="s">
        <v>2019</v>
      </c>
      <c r="F8507" s="1" t="s">
        <v>847</v>
      </c>
      <c r="G8507" s="6">
        <v>24907</v>
      </c>
      <c r="H8507" t="str">
        <f>IFERROR(VLOOKUP(F8507,'LEAID Match'!$A$2:$B$142,2,FALSE),"")</f>
        <v/>
      </c>
    </row>
    <row r="8508" spans="1:8" x14ac:dyDescent="0.2">
      <c r="A8508" t="str">
        <f t="shared" si="132"/>
        <v/>
      </c>
      <c r="B8508" s="1">
        <v>2015</v>
      </c>
      <c r="C8508" s="1" t="s">
        <v>2505</v>
      </c>
      <c r="D8508" s="1" t="s">
        <v>2506</v>
      </c>
      <c r="E8508" s="1" t="s">
        <v>2019</v>
      </c>
      <c r="F8508" s="1" t="s">
        <v>848</v>
      </c>
      <c r="G8508" s="6">
        <v>508351</v>
      </c>
      <c r="H8508" t="str">
        <f>IFERROR(VLOOKUP(F8508,'LEAID Match'!$A$2:$B$142,2,FALSE),"")</f>
        <v/>
      </c>
    </row>
    <row r="8509" spans="1:8" x14ac:dyDescent="0.2">
      <c r="A8509" t="str">
        <f t="shared" si="132"/>
        <v/>
      </c>
      <c r="B8509">
        <v>2016</v>
      </c>
      <c r="C8509" s="1" t="s">
        <v>2505</v>
      </c>
      <c r="D8509" s="1" t="s">
        <v>2506</v>
      </c>
      <c r="E8509" s="1" t="s">
        <v>2019</v>
      </c>
      <c r="F8509" s="1" t="s">
        <v>848</v>
      </c>
      <c r="G8509" s="12">
        <v>498477</v>
      </c>
      <c r="H8509" t="str">
        <f>IFERROR(VLOOKUP(F8509,'LEAID Match'!$A$2:$B$142,2,FALSE),"")</f>
        <v/>
      </c>
    </row>
    <row r="8510" spans="1:8" x14ac:dyDescent="0.2">
      <c r="A8510" t="str">
        <f t="shared" si="132"/>
        <v/>
      </c>
      <c r="B8510" s="1">
        <v>2017</v>
      </c>
      <c r="C8510" s="1" t="s">
        <v>2505</v>
      </c>
      <c r="D8510" s="1" t="s">
        <v>2506</v>
      </c>
      <c r="E8510" s="1" t="s">
        <v>2019</v>
      </c>
      <c r="F8510" s="1" t="s">
        <v>848</v>
      </c>
      <c r="G8510" s="47">
        <v>502606</v>
      </c>
      <c r="H8510" t="str">
        <f>IFERROR(VLOOKUP(F8510,'LEAID Match'!$A$2:$B$142,2,FALSE),"")</f>
        <v/>
      </c>
    </row>
    <row r="8511" spans="1:8" x14ac:dyDescent="0.2">
      <c r="A8511" t="str">
        <f t="shared" si="132"/>
        <v/>
      </c>
      <c r="B8511" s="1">
        <v>2018</v>
      </c>
      <c r="C8511" s="1" t="s">
        <v>2505</v>
      </c>
      <c r="D8511" s="1" t="s">
        <v>2506</v>
      </c>
      <c r="E8511" s="1" t="s">
        <v>2019</v>
      </c>
      <c r="F8511" s="1" t="s">
        <v>848</v>
      </c>
      <c r="G8511" s="6">
        <v>492454</v>
      </c>
      <c r="H8511" t="str">
        <f>IFERROR(VLOOKUP(F8511,'LEAID Match'!$A$2:$B$142,2,FALSE),"")</f>
        <v/>
      </c>
    </row>
    <row r="8512" spans="1:8" x14ac:dyDescent="0.2">
      <c r="A8512" t="str">
        <f t="shared" si="132"/>
        <v/>
      </c>
      <c r="B8512" s="1">
        <v>2019</v>
      </c>
      <c r="C8512" s="1" t="s">
        <v>2505</v>
      </c>
      <c r="D8512" s="1" t="s">
        <v>2506</v>
      </c>
      <c r="E8512" s="1" t="s">
        <v>2019</v>
      </c>
      <c r="F8512" s="1" t="s">
        <v>848</v>
      </c>
      <c r="G8512" s="6">
        <v>466137</v>
      </c>
      <c r="H8512" t="str">
        <f>IFERROR(VLOOKUP(F8512,'LEAID Match'!$A$2:$B$142,2,FALSE),"")</f>
        <v/>
      </c>
    </row>
    <row r="8513" spans="1:8" x14ac:dyDescent="0.2">
      <c r="A8513" t="str">
        <f t="shared" si="132"/>
        <v/>
      </c>
      <c r="B8513" s="1">
        <v>2020</v>
      </c>
      <c r="C8513" s="1" t="s">
        <v>2505</v>
      </c>
      <c r="D8513" s="1" t="s">
        <v>2506</v>
      </c>
      <c r="E8513" s="1" t="s">
        <v>2019</v>
      </c>
      <c r="F8513" s="1" t="s">
        <v>848</v>
      </c>
      <c r="G8513" s="6">
        <v>518552</v>
      </c>
      <c r="H8513" t="str">
        <f>IFERROR(VLOOKUP(F8513,'LEAID Match'!$A$2:$B$142,2,FALSE),"")</f>
        <v/>
      </c>
    </row>
    <row r="8514" spans="1:8" x14ac:dyDescent="0.2">
      <c r="A8514" t="str">
        <f t="shared" si="132"/>
        <v/>
      </c>
      <c r="B8514" s="1">
        <v>2021</v>
      </c>
      <c r="C8514" s="1" t="s">
        <v>2505</v>
      </c>
      <c r="D8514" s="1" t="s">
        <v>2506</v>
      </c>
      <c r="E8514" s="1" t="s">
        <v>2019</v>
      </c>
      <c r="F8514" s="1" t="s">
        <v>848</v>
      </c>
      <c r="G8514" s="6">
        <v>519936</v>
      </c>
      <c r="H8514" t="str">
        <f>IFERROR(VLOOKUP(F8514,'LEAID Match'!$A$2:$B$142,2,FALSE),"")</f>
        <v/>
      </c>
    </row>
    <row r="8515" spans="1:8" x14ac:dyDescent="0.2">
      <c r="A8515" t="str">
        <f t="shared" ref="A8515:A8578" si="133">H8515</f>
        <v/>
      </c>
      <c r="B8515" s="1">
        <v>2022</v>
      </c>
      <c r="C8515" s="1" t="s">
        <v>2505</v>
      </c>
      <c r="D8515" s="1" t="s">
        <v>2506</v>
      </c>
      <c r="E8515" s="1" t="s">
        <v>2019</v>
      </c>
      <c r="F8515" s="1" t="s">
        <v>848</v>
      </c>
      <c r="G8515" s="6">
        <v>579618</v>
      </c>
      <c r="H8515" t="str">
        <f>IFERROR(VLOOKUP(F8515,'LEAID Match'!$A$2:$B$142,2,FALSE),"")</f>
        <v/>
      </c>
    </row>
    <row r="8516" spans="1:8" x14ac:dyDescent="0.2">
      <c r="A8516" t="str">
        <f t="shared" si="133"/>
        <v/>
      </c>
      <c r="B8516" s="1">
        <v>2023</v>
      </c>
      <c r="C8516" s="1" t="s">
        <v>2505</v>
      </c>
      <c r="D8516" s="1" t="s">
        <v>2506</v>
      </c>
      <c r="E8516" s="1" t="s">
        <v>2019</v>
      </c>
      <c r="F8516" s="1" t="s">
        <v>848</v>
      </c>
      <c r="G8516" s="6">
        <v>571722</v>
      </c>
      <c r="H8516" t="str">
        <f>IFERROR(VLOOKUP(F8516,'LEAID Match'!$A$2:$B$142,2,FALSE),"")</f>
        <v/>
      </c>
    </row>
    <row r="8517" spans="1:8" x14ac:dyDescent="0.2">
      <c r="A8517" t="str">
        <f t="shared" si="133"/>
        <v/>
      </c>
      <c r="B8517" s="1">
        <v>2024</v>
      </c>
      <c r="C8517" s="1" t="s">
        <v>2505</v>
      </c>
      <c r="D8517" s="1" t="s">
        <v>2506</v>
      </c>
      <c r="E8517" s="1" t="s">
        <v>2019</v>
      </c>
      <c r="F8517" s="1" t="s">
        <v>848</v>
      </c>
      <c r="G8517" s="6">
        <v>604466</v>
      </c>
      <c r="H8517" t="str">
        <f>IFERROR(VLOOKUP(F8517,'LEAID Match'!$A$2:$B$142,2,FALSE),"")</f>
        <v/>
      </c>
    </row>
    <row r="8518" spans="1:8" x14ac:dyDescent="0.2">
      <c r="A8518" t="str">
        <f t="shared" si="133"/>
        <v/>
      </c>
      <c r="B8518" s="1">
        <v>2015</v>
      </c>
      <c r="C8518" s="1" t="s">
        <v>2505</v>
      </c>
      <c r="D8518" s="1" t="s">
        <v>2506</v>
      </c>
      <c r="E8518" s="1" t="s">
        <v>2019</v>
      </c>
      <c r="F8518" s="1" t="s">
        <v>849</v>
      </c>
      <c r="G8518" s="6">
        <v>59498</v>
      </c>
      <c r="H8518" t="str">
        <f>IFERROR(VLOOKUP(F8518,'LEAID Match'!$A$2:$B$142,2,FALSE),"")</f>
        <v/>
      </c>
    </row>
    <row r="8519" spans="1:8" x14ac:dyDescent="0.2">
      <c r="A8519" t="str">
        <f t="shared" si="133"/>
        <v/>
      </c>
      <c r="B8519">
        <v>2016</v>
      </c>
      <c r="C8519" s="1" t="s">
        <v>2505</v>
      </c>
      <c r="D8519" s="1" t="s">
        <v>2506</v>
      </c>
      <c r="E8519" s="1" t="s">
        <v>2019</v>
      </c>
      <c r="F8519" s="1" t="s">
        <v>849</v>
      </c>
      <c r="G8519" s="12">
        <v>69737</v>
      </c>
      <c r="H8519" t="str">
        <f>IFERROR(VLOOKUP(F8519,'LEAID Match'!$A$2:$B$142,2,FALSE),"")</f>
        <v/>
      </c>
    </row>
    <row r="8520" spans="1:8" x14ac:dyDescent="0.2">
      <c r="A8520" t="str">
        <f t="shared" si="133"/>
        <v/>
      </c>
      <c r="B8520" s="1">
        <v>2017</v>
      </c>
      <c r="C8520" s="1" t="s">
        <v>2505</v>
      </c>
      <c r="D8520" s="1" t="s">
        <v>2506</v>
      </c>
      <c r="E8520" s="1" t="s">
        <v>2019</v>
      </c>
      <c r="F8520" s="1" t="s">
        <v>849</v>
      </c>
      <c r="G8520" s="47">
        <v>62362</v>
      </c>
      <c r="H8520" t="str">
        <f>IFERROR(VLOOKUP(F8520,'LEAID Match'!$A$2:$B$142,2,FALSE),"")</f>
        <v/>
      </c>
    </row>
    <row r="8521" spans="1:8" x14ac:dyDescent="0.2">
      <c r="A8521" t="str">
        <f t="shared" si="133"/>
        <v/>
      </c>
      <c r="B8521" s="1">
        <v>2018</v>
      </c>
      <c r="C8521" s="1" t="s">
        <v>2505</v>
      </c>
      <c r="D8521" s="1" t="s">
        <v>2506</v>
      </c>
      <c r="E8521" s="1" t="s">
        <v>2019</v>
      </c>
      <c r="F8521" s="1" t="s">
        <v>849</v>
      </c>
      <c r="G8521" s="6">
        <v>63224</v>
      </c>
      <c r="H8521" t="str">
        <f>IFERROR(VLOOKUP(F8521,'LEAID Match'!$A$2:$B$142,2,FALSE),"")</f>
        <v/>
      </c>
    </row>
    <row r="8522" spans="1:8" x14ac:dyDescent="0.2">
      <c r="A8522" t="str">
        <f t="shared" si="133"/>
        <v/>
      </c>
      <c r="B8522" s="1">
        <v>2019</v>
      </c>
      <c r="C8522" s="1" t="s">
        <v>2505</v>
      </c>
      <c r="D8522" s="1" t="s">
        <v>2506</v>
      </c>
      <c r="E8522" s="1" t="s">
        <v>2019</v>
      </c>
      <c r="F8522" s="1" t="s">
        <v>849</v>
      </c>
      <c r="G8522" s="6">
        <v>42702</v>
      </c>
      <c r="H8522" t="str">
        <f>IFERROR(VLOOKUP(F8522,'LEAID Match'!$A$2:$B$142,2,FALSE),"")</f>
        <v/>
      </c>
    </row>
    <row r="8523" spans="1:8" x14ac:dyDescent="0.2">
      <c r="A8523" t="str">
        <f t="shared" si="133"/>
        <v/>
      </c>
      <c r="B8523" s="1">
        <v>2020</v>
      </c>
      <c r="C8523" s="1" t="s">
        <v>2505</v>
      </c>
      <c r="D8523" s="1" t="s">
        <v>2506</v>
      </c>
      <c r="E8523" s="1" t="s">
        <v>2019</v>
      </c>
      <c r="F8523" s="1" t="s">
        <v>849</v>
      </c>
      <c r="G8523" s="6">
        <v>34070</v>
      </c>
      <c r="H8523" t="str">
        <f>IFERROR(VLOOKUP(F8523,'LEAID Match'!$A$2:$B$142,2,FALSE),"")</f>
        <v/>
      </c>
    </row>
    <row r="8524" spans="1:8" x14ac:dyDescent="0.2">
      <c r="A8524" t="str">
        <f t="shared" si="133"/>
        <v/>
      </c>
      <c r="B8524" s="1">
        <v>2021</v>
      </c>
      <c r="C8524" s="1" t="s">
        <v>2505</v>
      </c>
      <c r="D8524" s="1" t="s">
        <v>2506</v>
      </c>
      <c r="E8524" s="1" t="s">
        <v>2019</v>
      </c>
      <c r="F8524" s="1" t="s">
        <v>849</v>
      </c>
      <c r="G8524" s="6">
        <v>40540</v>
      </c>
      <c r="H8524" t="str">
        <f>IFERROR(VLOOKUP(F8524,'LEAID Match'!$A$2:$B$142,2,FALSE),"")</f>
        <v/>
      </c>
    </row>
    <row r="8525" spans="1:8" x14ac:dyDescent="0.2">
      <c r="A8525" t="str">
        <f t="shared" si="133"/>
        <v/>
      </c>
      <c r="B8525" s="1">
        <v>2022</v>
      </c>
      <c r="C8525" s="1" t="s">
        <v>2505</v>
      </c>
      <c r="D8525" s="1" t="s">
        <v>2506</v>
      </c>
      <c r="E8525" s="1" t="s">
        <v>2019</v>
      </c>
      <c r="F8525" s="1" t="s">
        <v>849</v>
      </c>
      <c r="G8525" s="6">
        <v>46423</v>
      </c>
      <c r="H8525" t="str">
        <f>IFERROR(VLOOKUP(F8525,'LEAID Match'!$A$2:$B$142,2,FALSE),"")</f>
        <v/>
      </c>
    </row>
    <row r="8526" spans="1:8" x14ac:dyDescent="0.2">
      <c r="A8526" t="str">
        <f t="shared" si="133"/>
        <v/>
      </c>
      <c r="B8526" s="1">
        <v>2023</v>
      </c>
      <c r="C8526" s="1" t="s">
        <v>2505</v>
      </c>
      <c r="D8526" s="1" t="s">
        <v>2506</v>
      </c>
      <c r="E8526" s="1" t="s">
        <v>2019</v>
      </c>
      <c r="F8526" s="1" t="s">
        <v>849</v>
      </c>
      <c r="G8526" s="6">
        <v>33564</v>
      </c>
      <c r="H8526" t="str">
        <f>IFERROR(VLOOKUP(F8526,'LEAID Match'!$A$2:$B$142,2,FALSE),"")</f>
        <v/>
      </c>
    </row>
    <row r="8527" spans="1:8" x14ac:dyDescent="0.2">
      <c r="A8527" t="str">
        <f t="shared" si="133"/>
        <v/>
      </c>
      <c r="B8527" s="1">
        <v>2024</v>
      </c>
      <c r="C8527" s="1" t="s">
        <v>2505</v>
      </c>
      <c r="D8527" s="1" t="s">
        <v>2506</v>
      </c>
      <c r="E8527" s="1" t="s">
        <v>2019</v>
      </c>
      <c r="F8527" s="1" t="s">
        <v>849</v>
      </c>
      <c r="G8527" s="6">
        <v>28781</v>
      </c>
      <c r="H8527" t="str">
        <f>IFERROR(VLOOKUP(F8527,'LEAID Match'!$A$2:$B$142,2,FALSE),"")</f>
        <v/>
      </c>
    </row>
    <row r="8528" spans="1:8" x14ac:dyDescent="0.2">
      <c r="A8528">
        <f t="shared" si="133"/>
        <v>2804770</v>
      </c>
      <c r="B8528" s="1">
        <v>2015</v>
      </c>
      <c r="C8528" s="1" t="s">
        <v>2505</v>
      </c>
      <c r="D8528" s="1" t="s">
        <v>2506</v>
      </c>
      <c r="E8528" s="1" t="s">
        <v>2019</v>
      </c>
      <c r="F8528" s="1" t="s">
        <v>850</v>
      </c>
      <c r="G8528" s="6">
        <v>1458985</v>
      </c>
      <c r="H8528">
        <f>IFERROR(VLOOKUP(F8528,'LEAID Match'!$A$2:$B$142,2,FALSE),"")</f>
        <v>2804770</v>
      </c>
    </row>
    <row r="8529" spans="1:8" x14ac:dyDescent="0.2">
      <c r="A8529">
        <f t="shared" si="133"/>
        <v>2804770</v>
      </c>
      <c r="B8529">
        <v>2016</v>
      </c>
      <c r="C8529" s="1" t="s">
        <v>2505</v>
      </c>
      <c r="D8529" s="1" t="s">
        <v>2506</v>
      </c>
      <c r="E8529" s="1" t="s">
        <v>2019</v>
      </c>
      <c r="F8529" s="1" t="s">
        <v>850</v>
      </c>
      <c r="G8529" s="12">
        <v>1565619</v>
      </c>
      <c r="H8529">
        <f>IFERROR(VLOOKUP(F8529,'LEAID Match'!$A$2:$B$142,2,FALSE),"")</f>
        <v>2804770</v>
      </c>
    </row>
    <row r="8530" spans="1:8" x14ac:dyDescent="0.2">
      <c r="A8530">
        <f t="shared" si="133"/>
        <v>2804770</v>
      </c>
      <c r="B8530" s="1">
        <v>2017</v>
      </c>
      <c r="C8530" s="1" t="s">
        <v>2505</v>
      </c>
      <c r="D8530" s="1" t="s">
        <v>2506</v>
      </c>
      <c r="E8530" s="1" t="s">
        <v>2019</v>
      </c>
      <c r="F8530" s="1" t="s">
        <v>850</v>
      </c>
      <c r="G8530" s="47">
        <v>1538798</v>
      </c>
      <c r="H8530">
        <f>IFERROR(VLOOKUP(F8530,'LEAID Match'!$A$2:$B$142,2,FALSE),"")</f>
        <v>2804770</v>
      </c>
    </row>
    <row r="8531" spans="1:8" x14ac:dyDescent="0.2">
      <c r="A8531">
        <f t="shared" si="133"/>
        <v>2804770</v>
      </c>
      <c r="B8531" s="1">
        <v>2018</v>
      </c>
      <c r="C8531" s="1" t="s">
        <v>2505</v>
      </c>
      <c r="D8531" s="1" t="s">
        <v>2506</v>
      </c>
      <c r="E8531" s="1" t="s">
        <v>2019</v>
      </c>
      <c r="F8531" s="1" t="s">
        <v>850</v>
      </c>
      <c r="G8531" s="6">
        <v>1512561</v>
      </c>
      <c r="H8531">
        <f>IFERROR(VLOOKUP(F8531,'LEAID Match'!$A$2:$B$142,2,FALSE),"")</f>
        <v>2804770</v>
      </c>
    </row>
    <row r="8532" spans="1:8" x14ac:dyDescent="0.2">
      <c r="A8532">
        <f t="shared" si="133"/>
        <v>2804770</v>
      </c>
      <c r="B8532" s="1">
        <v>2019</v>
      </c>
      <c r="C8532" s="1" t="s">
        <v>2505</v>
      </c>
      <c r="D8532" s="1" t="s">
        <v>2506</v>
      </c>
      <c r="E8532" s="1" t="s">
        <v>2019</v>
      </c>
      <c r="F8532" s="1" t="s">
        <v>850</v>
      </c>
      <c r="G8532" s="6">
        <v>1864748</v>
      </c>
      <c r="H8532">
        <f>IFERROR(VLOOKUP(F8532,'LEAID Match'!$A$2:$B$142,2,FALSE),"")</f>
        <v>2804770</v>
      </c>
    </row>
    <row r="8533" spans="1:8" x14ac:dyDescent="0.2">
      <c r="A8533">
        <f t="shared" si="133"/>
        <v>2804770</v>
      </c>
      <c r="B8533" s="1">
        <v>2020</v>
      </c>
      <c r="C8533" s="1" t="s">
        <v>2505</v>
      </c>
      <c r="D8533" s="1" t="s">
        <v>2506</v>
      </c>
      <c r="E8533" s="1" t="s">
        <v>2019</v>
      </c>
      <c r="F8533" s="1" t="s">
        <v>850</v>
      </c>
      <c r="G8533" s="6">
        <v>2071438</v>
      </c>
      <c r="H8533">
        <f>IFERROR(VLOOKUP(F8533,'LEAID Match'!$A$2:$B$142,2,FALSE),"")</f>
        <v>2804770</v>
      </c>
    </row>
    <row r="8534" spans="1:8" x14ac:dyDescent="0.2">
      <c r="A8534">
        <f t="shared" si="133"/>
        <v>2804770</v>
      </c>
      <c r="B8534" s="1">
        <v>2021</v>
      </c>
      <c r="C8534" s="1" t="s">
        <v>2505</v>
      </c>
      <c r="D8534" s="1" t="s">
        <v>2506</v>
      </c>
      <c r="E8534" s="1" t="s">
        <v>2019</v>
      </c>
      <c r="F8534" s="1" t="s">
        <v>850</v>
      </c>
      <c r="G8534" s="6">
        <v>2111564</v>
      </c>
      <c r="H8534">
        <f>IFERROR(VLOOKUP(F8534,'LEAID Match'!$A$2:$B$142,2,FALSE),"")</f>
        <v>2804770</v>
      </c>
    </row>
    <row r="8535" spans="1:8" x14ac:dyDescent="0.2">
      <c r="A8535">
        <f t="shared" si="133"/>
        <v>2804770</v>
      </c>
      <c r="B8535" s="1">
        <v>2022</v>
      </c>
      <c r="C8535" s="1" t="s">
        <v>2505</v>
      </c>
      <c r="D8535" s="1" t="s">
        <v>2506</v>
      </c>
      <c r="E8535" s="1" t="s">
        <v>2019</v>
      </c>
      <c r="F8535" s="1" t="s">
        <v>850</v>
      </c>
      <c r="G8535" s="6">
        <v>2116002</v>
      </c>
      <c r="H8535">
        <f>IFERROR(VLOOKUP(F8535,'LEAID Match'!$A$2:$B$142,2,FALSE),"")</f>
        <v>2804770</v>
      </c>
    </row>
    <row r="8536" spans="1:8" x14ac:dyDescent="0.2">
      <c r="A8536">
        <f t="shared" si="133"/>
        <v>2804770</v>
      </c>
      <c r="B8536" s="1">
        <v>2023</v>
      </c>
      <c r="C8536" s="1" t="s">
        <v>2505</v>
      </c>
      <c r="D8536" s="1" t="s">
        <v>2506</v>
      </c>
      <c r="E8536" s="1" t="s">
        <v>2019</v>
      </c>
      <c r="F8536" s="1" t="s">
        <v>850</v>
      </c>
      <c r="G8536" s="6">
        <v>2231452</v>
      </c>
      <c r="H8536">
        <f>IFERROR(VLOOKUP(F8536,'LEAID Match'!$A$2:$B$142,2,FALSE),"")</f>
        <v>2804770</v>
      </c>
    </row>
    <row r="8537" spans="1:8" x14ac:dyDescent="0.2">
      <c r="A8537">
        <f t="shared" si="133"/>
        <v>2804770</v>
      </c>
      <c r="B8537" s="1">
        <v>2024</v>
      </c>
      <c r="C8537" s="1" t="s">
        <v>2505</v>
      </c>
      <c r="D8537" s="1" t="s">
        <v>2506</v>
      </c>
      <c r="E8537" s="1" t="s">
        <v>2019</v>
      </c>
      <c r="F8537" s="1" t="s">
        <v>850</v>
      </c>
      <c r="G8537" s="6">
        <v>2080768</v>
      </c>
      <c r="H8537">
        <f>IFERROR(VLOOKUP(F8537,'LEAID Match'!$A$2:$B$142,2,FALSE),"")</f>
        <v>2804770</v>
      </c>
    </row>
    <row r="8538" spans="1:8" x14ac:dyDescent="0.2">
      <c r="A8538" t="str">
        <f t="shared" si="133"/>
        <v/>
      </c>
      <c r="B8538" s="1">
        <v>2015</v>
      </c>
      <c r="C8538" s="1" t="s">
        <v>2505</v>
      </c>
      <c r="D8538" s="1" t="s">
        <v>2506</v>
      </c>
      <c r="E8538" s="1" t="s">
        <v>2019</v>
      </c>
      <c r="F8538" s="1" t="s">
        <v>851</v>
      </c>
      <c r="G8538" s="6">
        <v>446525</v>
      </c>
      <c r="H8538" t="str">
        <f>IFERROR(VLOOKUP(F8538,'LEAID Match'!$A$2:$B$142,2,FALSE),"")</f>
        <v/>
      </c>
    </row>
    <row r="8539" spans="1:8" x14ac:dyDescent="0.2">
      <c r="A8539" t="str">
        <f t="shared" si="133"/>
        <v/>
      </c>
      <c r="B8539">
        <v>2016</v>
      </c>
      <c r="C8539" s="1" t="s">
        <v>2505</v>
      </c>
      <c r="D8539" s="1" t="s">
        <v>2506</v>
      </c>
      <c r="E8539" s="1" t="s">
        <v>2019</v>
      </c>
      <c r="F8539" s="1" t="s">
        <v>851</v>
      </c>
      <c r="G8539" s="12">
        <v>479453</v>
      </c>
      <c r="H8539" t="str">
        <f>IFERROR(VLOOKUP(F8539,'LEAID Match'!$A$2:$B$142,2,FALSE),"")</f>
        <v/>
      </c>
    </row>
    <row r="8540" spans="1:8" x14ac:dyDescent="0.2">
      <c r="A8540" t="str">
        <f t="shared" si="133"/>
        <v/>
      </c>
      <c r="B8540" s="1">
        <v>2017</v>
      </c>
      <c r="C8540" s="1" t="s">
        <v>2505</v>
      </c>
      <c r="D8540" s="1" t="s">
        <v>2506</v>
      </c>
      <c r="E8540" s="1" t="s">
        <v>2019</v>
      </c>
      <c r="F8540" s="1" t="s">
        <v>851</v>
      </c>
      <c r="G8540" s="47">
        <v>480126</v>
      </c>
      <c r="H8540" t="str">
        <f>IFERROR(VLOOKUP(F8540,'LEAID Match'!$A$2:$B$142,2,FALSE),"")</f>
        <v/>
      </c>
    </row>
    <row r="8541" spans="1:8" x14ac:dyDescent="0.2">
      <c r="A8541" t="str">
        <f t="shared" si="133"/>
        <v/>
      </c>
      <c r="B8541" s="1">
        <v>2018</v>
      </c>
      <c r="C8541" s="1" t="s">
        <v>2505</v>
      </c>
      <c r="D8541" s="1" t="s">
        <v>2506</v>
      </c>
      <c r="E8541" s="1" t="s">
        <v>2019</v>
      </c>
      <c r="F8541" s="1" t="s">
        <v>851</v>
      </c>
      <c r="G8541" s="6">
        <v>523027</v>
      </c>
      <c r="H8541" t="str">
        <f>IFERROR(VLOOKUP(F8541,'LEAID Match'!$A$2:$B$142,2,FALSE),"")</f>
        <v/>
      </c>
    </row>
    <row r="8542" spans="1:8" x14ac:dyDescent="0.2">
      <c r="A8542" t="str">
        <f t="shared" si="133"/>
        <v/>
      </c>
      <c r="B8542" s="1">
        <v>2019</v>
      </c>
      <c r="C8542" s="1" t="s">
        <v>2505</v>
      </c>
      <c r="D8542" s="1" t="s">
        <v>2506</v>
      </c>
      <c r="E8542" s="1" t="s">
        <v>2019</v>
      </c>
      <c r="F8542" s="1" t="s">
        <v>851</v>
      </c>
      <c r="G8542" s="6">
        <v>499791</v>
      </c>
      <c r="H8542" t="str">
        <f>IFERROR(VLOOKUP(F8542,'LEAID Match'!$A$2:$B$142,2,FALSE),"")</f>
        <v/>
      </c>
    </row>
    <row r="8543" spans="1:8" x14ac:dyDescent="0.2">
      <c r="A8543" t="str">
        <f t="shared" si="133"/>
        <v/>
      </c>
      <c r="B8543" s="1">
        <v>2020</v>
      </c>
      <c r="C8543" s="1" t="s">
        <v>2505</v>
      </c>
      <c r="D8543" s="1" t="s">
        <v>2506</v>
      </c>
      <c r="E8543" s="1" t="s">
        <v>2019</v>
      </c>
      <c r="F8543" s="1" t="s">
        <v>851</v>
      </c>
      <c r="G8543" s="6">
        <v>526535</v>
      </c>
      <c r="H8543" t="str">
        <f>IFERROR(VLOOKUP(F8543,'LEAID Match'!$A$2:$B$142,2,FALSE),"")</f>
        <v/>
      </c>
    </row>
    <row r="8544" spans="1:8" x14ac:dyDescent="0.2">
      <c r="A8544" t="str">
        <f t="shared" si="133"/>
        <v/>
      </c>
      <c r="B8544" s="1">
        <v>2021</v>
      </c>
      <c r="C8544" s="1" t="s">
        <v>2505</v>
      </c>
      <c r="D8544" s="1" t="s">
        <v>2506</v>
      </c>
      <c r="E8544" s="1" t="s">
        <v>2019</v>
      </c>
      <c r="F8544" s="1" t="s">
        <v>851</v>
      </c>
      <c r="G8544" s="6">
        <v>514177</v>
      </c>
      <c r="H8544" t="str">
        <f>IFERROR(VLOOKUP(F8544,'LEAID Match'!$A$2:$B$142,2,FALSE),"")</f>
        <v/>
      </c>
    </row>
    <row r="8545" spans="1:8" x14ac:dyDescent="0.2">
      <c r="A8545" t="str">
        <f t="shared" si="133"/>
        <v/>
      </c>
      <c r="B8545" s="1">
        <v>2022</v>
      </c>
      <c r="C8545" s="1" t="s">
        <v>2505</v>
      </c>
      <c r="D8545" s="1" t="s">
        <v>2506</v>
      </c>
      <c r="E8545" s="1" t="s">
        <v>2019</v>
      </c>
      <c r="F8545" s="1" t="s">
        <v>851</v>
      </c>
      <c r="G8545" s="6">
        <v>491396</v>
      </c>
      <c r="H8545" t="str">
        <f>IFERROR(VLOOKUP(F8545,'LEAID Match'!$A$2:$B$142,2,FALSE),"")</f>
        <v/>
      </c>
    </row>
    <row r="8546" spans="1:8" x14ac:dyDescent="0.2">
      <c r="A8546" t="str">
        <f t="shared" si="133"/>
        <v/>
      </c>
      <c r="B8546" s="1">
        <v>2023</v>
      </c>
      <c r="C8546" s="1" t="s">
        <v>2505</v>
      </c>
      <c r="D8546" s="1" t="s">
        <v>2506</v>
      </c>
      <c r="E8546" s="1" t="s">
        <v>2019</v>
      </c>
      <c r="F8546" s="1" t="s">
        <v>851</v>
      </c>
      <c r="G8546" s="6">
        <v>519096</v>
      </c>
      <c r="H8546" t="str">
        <f>IFERROR(VLOOKUP(F8546,'LEAID Match'!$A$2:$B$142,2,FALSE),"")</f>
        <v/>
      </c>
    </row>
    <row r="8547" spans="1:8" x14ac:dyDescent="0.2">
      <c r="A8547" t="str">
        <f t="shared" si="133"/>
        <v/>
      </c>
      <c r="B8547" s="1">
        <v>2024</v>
      </c>
      <c r="C8547" s="1" t="s">
        <v>2505</v>
      </c>
      <c r="D8547" s="1" t="s">
        <v>2506</v>
      </c>
      <c r="E8547" s="1" t="s">
        <v>2019</v>
      </c>
      <c r="F8547" s="1" t="s">
        <v>851</v>
      </c>
      <c r="G8547" s="6">
        <v>541923</v>
      </c>
      <c r="H8547" t="str">
        <f>IFERROR(VLOOKUP(F8547,'LEAID Match'!$A$2:$B$142,2,FALSE),"")</f>
        <v/>
      </c>
    </row>
    <row r="8548" spans="1:8" x14ac:dyDescent="0.2">
      <c r="A8548">
        <f t="shared" si="133"/>
        <v>2804800</v>
      </c>
      <c r="B8548" s="1">
        <v>2015</v>
      </c>
      <c r="C8548" s="1" t="s">
        <v>2505</v>
      </c>
      <c r="D8548" s="1" t="s">
        <v>2506</v>
      </c>
      <c r="E8548" s="1" t="s">
        <v>2019</v>
      </c>
      <c r="F8548" s="1" t="s">
        <v>852</v>
      </c>
      <c r="G8548" s="6">
        <v>1409229</v>
      </c>
      <c r="H8548">
        <f>IFERROR(VLOOKUP(F8548,'LEAID Match'!$A$2:$B$142,2,FALSE),"")</f>
        <v>2804800</v>
      </c>
    </row>
    <row r="8549" spans="1:8" x14ac:dyDescent="0.2">
      <c r="A8549">
        <f t="shared" si="133"/>
        <v>2804800</v>
      </c>
      <c r="B8549">
        <v>2016</v>
      </c>
      <c r="C8549" s="1" t="s">
        <v>2505</v>
      </c>
      <c r="D8549" s="1" t="s">
        <v>2506</v>
      </c>
      <c r="E8549" s="1" t="s">
        <v>2019</v>
      </c>
      <c r="F8549" s="1" t="s">
        <v>852</v>
      </c>
      <c r="G8549" s="12">
        <v>1366121</v>
      </c>
      <c r="H8549">
        <f>IFERROR(VLOOKUP(F8549,'LEAID Match'!$A$2:$B$142,2,FALSE),"")</f>
        <v>2804800</v>
      </c>
    </row>
    <row r="8550" spans="1:8" x14ac:dyDescent="0.2">
      <c r="A8550">
        <f t="shared" si="133"/>
        <v>2804800</v>
      </c>
      <c r="B8550" s="1">
        <v>2017</v>
      </c>
      <c r="C8550" s="1" t="s">
        <v>2505</v>
      </c>
      <c r="D8550" s="1" t="s">
        <v>2506</v>
      </c>
      <c r="E8550" s="1" t="s">
        <v>2019</v>
      </c>
      <c r="F8550" s="1" t="s">
        <v>852</v>
      </c>
      <c r="G8550" s="47">
        <v>1287946</v>
      </c>
      <c r="H8550">
        <f>IFERROR(VLOOKUP(F8550,'LEAID Match'!$A$2:$B$142,2,FALSE),"")</f>
        <v>2804800</v>
      </c>
    </row>
    <row r="8551" spans="1:8" x14ac:dyDescent="0.2">
      <c r="A8551">
        <f t="shared" si="133"/>
        <v>2804800</v>
      </c>
      <c r="B8551" s="1">
        <v>2018</v>
      </c>
      <c r="C8551" s="1" t="s">
        <v>2505</v>
      </c>
      <c r="D8551" s="1" t="s">
        <v>2506</v>
      </c>
      <c r="E8551" s="1" t="s">
        <v>2019</v>
      </c>
      <c r="F8551" s="1" t="s">
        <v>852</v>
      </c>
      <c r="G8551" s="6">
        <v>1328704</v>
      </c>
      <c r="H8551">
        <f>IFERROR(VLOOKUP(F8551,'LEAID Match'!$A$2:$B$142,2,FALSE),"")</f>
        <v>2804800</v>
      </c>
    </row>
    <row r="8552" spans="1:8" x14ac:dyDescent="0.2">
      <c r="A8552">
        <f t="shared" si="133"/>
        <v>2804800</v>
      </c>
      <c r="B8552" s="1">
        <v>2019</v>
      </c>
      <c r="C8552" s="1" t="s">
        <v>2505</v>
      </c>
      <c r="D8552" s="1" t="s">
        <v>2506</v>
      </c>
      <c r="E8552" s="1" t="s">
        <v>2019</v>
      </c>
      <c r="F8552" s="1" t="s">
        <v>852</v>
      </c>
      <c r="G8552" s="6">
        <v>1278246</v>
      </c>
      <c r="H8552">
        <f>IFERROR(VLOOKUP(F8552,'LEAID Match'!$A$2:$B$142,2,FALSE),"")</f>
        <v>2804800</v>
      </c>
    </row>
    <row r="8553" spans="1:8" x14ac:dyDescent="0.2">
      <c r="A8553">
        <f t="shared" si="133"/>
        <v>2804800</v>
      </c>
      <c r="B8553" s="1">
        <v>2020</v>
      </c>
      <c r="C8553" s="1" t="s">
        <v>2505</v>
      </c>
      <c r="D8553" s="1" t="s">
        <v>2506</v>
      </c>
      <c r="E8553" s="1" t="s">
        <v>2019</v>
      </c>
      <c r="F8553" s="1" t="s">
        <v>852</v>
      </c>
      <c r="G8553" s="6">
        <v>1433346</v>
      </c>
      <c r="H8553">
        <f>IFERROR(VLOOKUP(F8553,'LEAID Match'!$A$2:$B$142,2,FALSE),"")</f>
        <v>2804800</v>
      </c>
    </row>
    <row r="8554" spans="1:8" x14ac:dyDescent="0.2">
      <c r="A8554">
        <f t="shared" si="133"/>
        <v>2804800</v>
      </c>
      <c r="B8554" s="1">
        <v>2021</v>
      </c>
      <c r="C8554" s="1" t="s">
        <v>2505</v>
      </c>
      <c r="D8554" s="1" t="s">
        <v>2506</v>
      </c>
      <c r="E8554" s="1" t="s">
        <v>2019</v>
      </c>
      <c r="F8554" s="1" t="s">
        <v>852</v>
      </c>
      <c r="G8554" s="6">
        <v>1475859</v>
      </c>
      <c r="H8554">
        <f>IFERROR(VLOOKUP(F8554,'LEAID Match'!$A$2:$B$142,2,FALSE),"")</f>
        <v>2804800</v>
      </c>
    </row>
    <row r="8555" spans="1:8" x14ac:dyDescent="0.2">
      <c r="A8555">
        <f t="shared" si="133"/>
        <v>2804800</v>
      </c>
      <c r="B8555" s="1">
        <v>2022</v>
      </c>
      <c r="C8555" s="1" t="s">
        <v>2505</v>
      </c>
      <c r="D8555" s="1" t="s">
        <v>2506</v>
      </c>
      <c r="E8555" s="1" t="s">
        <v>2019</v>
      </c>
      <c r="F8555" s="1" t="s">
        <v>852</v>
      </c>
      <c r="G8555" s="6">
        <v>1551123</v>
      </c>
      <c r="H8555">
        <f>IFERROR(VLOOKUP(F8555,'LEAID Match'!$A$2:$B$142,2,FALSE),"")</f>
        <v>2804800</v>
      </c>
    </row>
    <row r="8556" spans="1:8" x14ac:dyDescent="0.2">
      <c r="A8556">
        <f t="shared" si="133"/>
        <v>2804800</v>
      </c>
      <c r="B8556" s="1">
        <v>2023</v>
      </c>
      <c r="C8556" s="1" t="s">
        <v>2505</v>
      </c>
      <c r="D8556" s="1" t="s">
        <v>2506</v>
      </c>
      <c r="E8556" s="1" t="s">
        <v>2019</v>
      </c>
      <c r="F8556" s="1" t="s">
        <v>852</v>
      </c>
      <c r="G8556" s="6">
        <v>1702858</v>
      </c>
      <c r="H8556">
        <f>IFERROR(VLOOKUP(F8556,'LEAID Match'!$A$2:$B$142,2,FALSE),"")</f>
        <v>2804800</v>
      </c>
    </row>
    <row r="8557" spans="1:8" x14ac:dyDescent="0.2">
      <c r="A8557">
        <f t="shared" si="133"/>
        <v>2804800</v>
      </c>
      <c r="B8557" s="1">
        <v>2024</v>
      </c>
      <c r="C8557" s="1" t="s">
        <v>2505</v>
      </c>
      <c r="D8557" s="1" t="s">
        <v>2506</v>
      </c>
      <c r="E8557" s="1" t="s">
        <v>2019</v>
      </c>
      <c r="F8557" s="1" t="s">
        <v>852</v>
      </c>
      <c r="G8557" s="6">
        <v>1780054</v>
      </c>
      <c r="H8557">
        <f>IFERROR(VLOOKUP(F8557,'LEAID Match'!$A$2:$B$142,2,FALSE),"")</f>
        <v>2804800</v>
      </c>
    </row>
    <row r="8558" spans="1:8" x14ac:dyDescent="0.2">
      <c r="A8558" t="str">
        <f t="shared" si="133"/>
        <v/>
      </c>
      <c r="B8558" s="1">
        <v>2015</v>
      </c>
      <c r="C8558" s="1" t="s">
        <v>2505</v>
      </c>
      <c r="D8558" s="1" t="s">
        <v>2506</v>
      </c>
      <c r="E8558" s="1" t="s">
        <v>2019</v>
      </c>
      <c r="F8558" s="1" t="s">
        <v>853</v>
      </c>
      <c r="G8558" s="6">
        <v>834186</v>
      </c>
      <c r="H8558" t="str">
        <f>IFERROR(VLOOKUP(F8558,'LEAID Match'!$A$2:$B$142,2,FALSE),"")</f>
        <v/>
      </c>
    </row>
    <row r="8559" spans="1:8" x14ac:dyDescent="0.2">
      <c r="A8559" t="str">
        <f t="shared" si="133"/>
        <v/>
      </c>
      <c r="B8559">
        <v>2016</v>
      </c>
      <c r="C8559" s="1" t="s">
        <v>2505</v>
      </c>
      <c r="D8559" s="1" t="s">
        <v>2506</v>
      </c>
      <c r="E8559" s="1" t="s">
        <v>2019</v>
      </c>
      <c r="F8559" s="1" t="s">
        <v>853</v>
      </c>
      <c r="G8559" s="12">
        <v>837588</v>
      </c>
      <c r="H8559" t="str">
        <f>IFERROR(VLOOKUP(F8559,'LEAID Match'!$A$2:$B$142,2,FALSE),"")</f>
        <v/>
      </c>
    </row>
    <row r="8560" spans="1:8" x14ac:dyDescent="0.2">
      <c r="A8560" t="str">
        <f t="shared" si="133"/>
        <v/>
      </c>
      <c r="B8560" s="1">
        <v>2017</v>
      </c>
      <c r="C8560" s="1" t="s">
        <v>2505</v>
      </c>
      <c r="D8560" s="1" t="s">
        <v>2506</v>
      </c>
      <c r="E8560" s="1" t="s">
        <v>2019</v>
      </c>
      <c r="F8560" s="1" t="s">
        <v>853</v>
      </c>
      <c r="G8560" s="47">
        <v>896324</v>
      </c>
      <c r="H8560" t="str">
        <f>IFERROR(VLOOKUP(F8560,'LEAID Match'!$A$2:$B$142,2,FALSE),"")</f>
        <v/>
      </c>
    </row>
    <row r="8561" spans="1:8" x14ac:dyDescent="0.2">
      <c r="A8561" t="str">
        <f t="shared" si="133"/>
        <v/>
      </c>
      <c r="B8561" s="1">
        <v>2018</v>
      </c>
      <c r="C8561" s="1" t="s">
        <v>2505</v>
      </c>
      <c r="D8561" s="1" t="s">
        <v>2506</v>
      </c>
      <c r="E8561" s="1" t="s">
        <v>2019</v>
      </c>
      <c r="F8561" s="1" t="s">
        <v>853</v>
      </c>
      <c r="G8561" s="6">
        <v>867532</v>
      </c>
      <c r="H8561" t="str">
        <f>IFERROR(VLOOKUP(F8561,'LEAID Match'!$A$2:$B$142,2,FALSE),"")</f>
        <v/>
      </c>
    </row>
    <row r="8562" spans="1:8" x14ac:dyDescent="0.2">
      <c r="A8562" t="str">
        <f t="shared" si="133"/>
        <v/>
      </c>
      <c r="B8562" s="1">
        <v>2019</v>
      </c>
      <c r="C8562" s="1" t="s">
        <v>2505</v>
      </c>
      <c r="D8562" s="1" t="s">
        <v>2506</v>
      </c>
      <c r="E8562" s="1" t="s">
        <v>2019</v>
      </c>
      <c r="F8562" s="1" t="s">
        <v>853</v>
      </c>
      <c r="G8562" s="6">
        <v>893342</v>
      </c>
      <c r="H8562" t="str">
        <f>IFERROR(VLOOKUP(F8562,'LEAID Match'!$A$2:$B$142,2,FALSE),"")</f>
        <v/>
      </c>
    </row>
    <row r="8563" spans="1:8" x14ac:dyDescent="0.2">
      <c r="A8563" t="str">
        <f t="shared" si="133"/>
        <v/>
      </c>
      <c r="B8563" s="1">
        <v>2020</v>
      </c>
      <c r="C8563" s="1" t="s">
        <v>2505</v>
      </c>
      <c r="D8563" s="1" t="s">
        <v>2506</v>
      </c>
      <c r="E8563" s="1" t="s">
        <v>2019</v>
      </c>
      <c r="F8563" s="1" t="s">
        <v>853</v>
      </c>
      <c r="G8563" s="6">
        <v>981384</v>
      </c>
      <c r="H8563" t="str">
        <f>IFERROR(VLOOKUP(F8563,'LEAID Match'!$A$2:$B$142,2,FALSE),"")</f>
        <v/>
      </c>
    </row>
    <row r="8564" spans="1:8" x14ac:dyDescent="0.2">
      <c r="A8564" t="str">
        <f t="shared" si="133"/>
        <v/>
      </c>
      <c r="B8564" s="1">
        <v>2021</v>
      </c>
      <c r="C8564" s="1" t="s">
        <v>2505</v>
      </c>
      <c r="D8564" s="1" t="s">
        <v>2506</v>
      </c>
      <c r="E8564" s="1" t="s">
        <v>2019</v>
      </c>
      <c r="F8564" s="1" t="s">
        <v>853</v>
      </c>
      <c r="G8564" s="6">
        <v>1046164</v>
      </c>
      <c r="H8564" t="str">
        <f>IFERROR(VLOOKUP(F8564,'LEAID Match'!$A$2:$B$142,2,FALSE),"")</f>
        <v/>
      </c>
    </row>
    <row r="8565" spans="1:8" x14ac:dyDescent="0.2">
      <c r="A8565" t="str">
        <f t="shared" si="133"/>
        <v/>
      </c>
      <c r="B8565" s="1">
        <v>2022</v>
      </c>
      <c r="C8565" s="1" t="s">
        <v>2505</v>
      </c>
      <c r="D8565" s="1" t="s">
        <v>2506</v>
      </c>
      <c r="E8565" s="1" t="s">
        <v>2019</v>
      </c>
      <c r="F8565" s="1" t="s">
        <v>853</v>
      </c>
      <c r="G8565" s="6">
        <v>1027138</v>
      </c>
      <c r="H8565" t="str">
        <f>IFERROR(VLOOKUP(F8565,'LEAID Match'!$A$2:$B$142,2,FALSE),"")</f>
        <v/>
      </c>
    </row>
    <row r="8566" spans="1:8" x14ac:dyDescent="0.2">
      <c r="A8566" t="str">
        <f t="shared" si="133"/>
        <v/>
      </c>
      <c r="B8566" s="1">
        <v>2023</v>
      </c>
      <c r="C8566" s="1" t="s">
        <v>2505</v>
      </c>
      <c r="D8566" s="1" t="s">
        <v>2506</v>
      </c>
      <c r="E8566" s="1" t="s">
        <v>2019</v>
      </c>
      <c r="F8566" s="1" t="s">
        <v>853</v>
      </c>
      <c r="G8566" s="6">
        <v>1057774</v>
      </c>
      <c r="H8566" t="str">
        <f>IFERROR(VLOOKUP(F8566,'LEAID Match'!$A$2:$B$142,2,FALSE),"")</f>
        <v/>
      </c>
    </row>
    <row r="8567" spans="1:8" x14ac:dyDescent="0.2">
      <c r="A8567" t="str">
        <f t="shared" si="133"/>
        <v/>
      </c>
      <c r="B8567" s="1">
        <v>2024</v>
      </c>
      <c r="C8567" s="1" t="s">
        <v>2505</v>
      </c>
      <c r="D8567" s="1" t="s">
        <v>2506</v>
      </c>
      <c r="E8567" s="1" t="s">
        <v>2019</v>
      </c>
      <c r="F8567" s="1" t="s">
        <v>853</v>
      </c>
      <c r="G8567" s="6">
        <v>1103864</v>
      </c>
      <c r="H8567" t="str">
        <f>IFERROR(VLOOKUP(F8567,'LEAID Match'!$A$2:$B$142,2,FALSE),"")</f>
        <v/>
      </c>
    </row>
    <row r="8568" spans="1:8" x14ac:dyDescent="0.2">
      <c r="A8568" t="str">
        <f t="shared" si="133"/>
        <v/>
      </c>
      <c r="B8568" s="1">
        <v>2015</v>
      </c>
      <c r="C8568" s="1" t="s">
        <v>2505</v>
      </c>
      <c r="D8568" s="1" t="s">
        <v>2506</v>
      </c>
      <c r="E8568" s="1" t="s">
        <v>2019</v>
      </c>
      <c r="F8568" s="1" t="s">
        <v>899</v>
      </c>
      <c r="G8568" s="6">
        <v>12206</v>
      </c>
      <c r="H8568" t="str">
        <f>IFERROR(VLOOKUP(F8568,'LEAID Match'!$A$2:$B$142,2,FALSE),"")</f>
        <v/>
      </c>
    </row>
    <row r="8569" spans="1:8" x14ac:dyDescent="0.2">
      <c r="A8569" t="str">
        <f t="shared" si="133"/>
        <v/>
      </c>
      <c r="B8569">
        <v>2016</v>
      </c>
      <c r="C8569" s="1" t="s">
        <v>2505</v>
      </c>
      <c r="D8569" s="1" t="s">
        <v>2506</v>
      </c>
      <c r="E8569" s="1" t="s">
        <v>2019</v>
      </c>
      <c r="F8569" s="1" t="s">
        <v>899</v>
      </c>
      <c r="G8569" s="12">
        <v>12206</v>
      </c>
      <c r="H8569" t="str">
        <f>IFERROR(VLOOKUP(F8569,'LEAID Match'!$A$2:$B$142,2,FALSE),"")</f>
        <v/>
      </c>
    </row>
    <row r="8570" spans="1:8" x14ac:dyDescent="0.2">
      <c r="A8570" t="str">
        <f t="shared" si="133"/>
        <v/>
      </c>
      <c r="B8570" s="1">
        <v>2017</v>
      </c>
      <c r="C8570" s="1" t="s">
        <v>2505</v>
      </c>
      <c r="D8570" s="1" t="s">
        <v>2506</v>
      </c>
      <c r="E8570" s="1" t="s">
        <v>2019</v>
      </c>
      <c r="F8570" s="1" t="s">
        <v>899</v>
      </c>
      <c r="G8570" s="47">
        <v>12206</v>
      </c>
      <c r="H8570" t="str">
        <f>IFERROR(VLOOKUP(F8570,'LEAID Match'!$A$2:$B$142,2,FALSE),"")</f>
        <v/>
      </c>
    </row>
    <row r="8571" spans="1:8" x14ac:dyDescent="0.2">
      <c r="A8571" t="str">
        <f t="shared" si="133"/>
        <v/>
      </c>
      <c r="B8571" s="1">
        <v>2018</v>
      </c>
      <c r="C8571" s="1" t="s">
        <v>2505</v>
      </c>
      <c r="D8571" s="1" t="s">
        <v>2506</v>
      </c>
      <c r="E8571" s="1" t="s">
        <v>2019</v>
      </c>
      <c r="F8571" s="1" t="s">
        <v>899</v>
      </c>
      <c r="G8571" s="6">
        <v>13099</v>
      </c>
      <c r="H8571" t="str">
        <f>IFERROR(VLOOKUP(F8571,'LEAID Match'!$A$2:$B$142,2,FALSE),"")</f>
        <v/>
      </c>
    </row>
    <row r="8572" spans="1:8" x14ac:dyDescent="0.2">
      <c r="A8572" t="str">
        <f t="shared" si="133"/>
        <v/>
      </c>
      <c r="B8572" s="1">
        <v>2019</v>
      </c>
      <c r="C8572" s="1" t="s">
        <v>2505</v>
      </c>
      <c r="D8572" s="1" t="s">
        <v>2506</v>
      </c>
      <c r="E8572" s="1" t="s">
        <v>2019</v>
      </c>
      <c r="F8572" s="1" t="s">
        <v>899</v>
      </c>
      <c r="G8572" s="6">
        <v>13545</v>
      </c>
      <c r="H8572" t="str">
        <f>IFERROR(VLOOKUP(F8572,'LEAID Match'!$A$2:$B$142,2,FALSE),"")</f>
        <v/>
      </c>
    </row>
    <row r="8573" spans="1:8" x14ac:dyDescent="0.2">
      <c r="A8573" t="str">
        <f t="shared" si="133"/>
        <v/>
      </c>
      <c r="B8573" s="1">
        <v>2020</v>
      </c>
      <c r="C8573" s="1" t="s">
        <v>2505</v>
      </c>
      <c r="D8573" s="1" t="s">
        <v>2506</v>
      </c>
      <c r="E8573" s="1" t="s">
        <v>2019</v>
      </c>
      <c r="F8573" s="1" t="s">
        <v>899</v>
      </c>
      <c r="G8573" s="6">
        <v>14964</v>
      </c>
      <c r="H8573" t="str">
        <f>IFERROR(VLOOKUP(F8573,'LEAID Match'!$A$2:$B$142,2,FALSE),"")</f>
        <v/>
      </c>
    </row>
    <row r="8574" spans="1:8" x14ac:dyDescent="0.2">
      <c r="A8574" t="str">
        <f t="shared" si="133"/>
        <v/>
      </c>
      <c r="B8574" s="1">
        <v>2021</v>
      </c>
      <c r="C8574" s="1" t="s">
        <v>2505</v>
      </c>
      <c r="D8574" s="1" t="s">
        <v>2506</v>
      </c>
      <c r="E8574" s="1" t="s">
        <v>2019</v>
      </c>
      <c r="F8574" s="1" t="s">
        <v>899</v>
      </c>
      <c r="G8574" s="6">
        <v>14964</v>
      </c>
      <c r="H8574" t="str">
        <f>IFERROR(VLOOKUP(F8574,'LEAID Match'!$A$2:$B$142,2,FALSE),"")</f>
        <v/>
      </c>
    </row>
    <row r="8575" spans="1:8" x14ac:dyDescent="0.2">
      <c r="A8575" t="str">
        <f t="shared" si="133"/>
        <v/>
      </c>
      <c r="B8575" s="1">
        <v>2022</v>
      </c>
      <c r="C8575" s="1" t="s">
        <v>2505</v>
      </c>
      <c r="D8575" s="1" t="s">
        <v>2506</v>
      </c>
      <c r="E8575" s="1" t="s">
        <v>2019</v>
      </c>
      <c r="F8575" s="1" t="s">
        <v>899</v>
      </c>
      <c r="G8575" s="6">
        <v>14964</v>
      </c>
      <c r="H8575" t="str">
        <f>IFERROR(VLOOKUP(F8575,'LEAID Match'!$A$2:$B$142,2,FALSE),"")</f>
        <v/>
      </c>
    </row>
    <row r="8576" spans="1:8" x14ac:dyDescent="0.2">
      <c r="A8576" t="str">
        <f t="shared" si="133"/>
        <v/>
      </c>
      <c r="B8576" s="1">
        <v>2023</v>
      </c>
      <c r="C8576" s="1" t="s">
        <v>2505</v>
      </c>
      <c r="D8576" s="1" t="s">
        <v>2506</v>
      </c>
      <c r="E8576" s="1" t="s">
        <v>2019</v>
      </c>
      <c r="F8576" s="1" t="s">
        <v>899</v>
      </c>
      <c r="G8576" s="6">
        <v>15088</v>
      </c>
      <c r="H8576" t="str">
        <f>IFERROR(VLOOKUP(F8576,'LEAID Match'!$A$2:$B$142,2,FALSE),"")</f>
        <v/>
      </c>
    </row>
    <row r="8577" spans="1:8" x14ac:dyDescent="0.2">
      <c r="A8577" t="str">
        <f t="shared" si="133"/>
        <v/>
      </c>
      <c r="B8577" s="1">
        <v>2024</v>
      </c>
      <c r="C8577" s="1" t="s">
        <v>2505</v>
      </c>
      <c r="D8577" s="1" t="s">
        <v>2506</v>
      </c>
      <c r="E8577" s="1" t="s">
        <v>2019</v>
      </c>
      <c r="F8577" s="1" t="s">
        <v>899</v>
      </c>
      <c r="G8577" s="6">
        <v>16852</v>
      </c>
      <c r="H8577" t="str">
        <f>IFERROR(VLOOKUP(F8577,'LEAID Match'!$A$2:$B$142,2,FALSE),"")</f>
        <v/>
      </c>
    </row>
    <row r="8578" spans="1:8" x14ac:dyDescent="0.2">
      <c r="A8578" t="str">
        <f t="shared" si="133"/>
        <v/>
      </c>
      <c r="B8578" s="1">
        <v>2015</v>
      </c>
      <c r="C8578" s="1" t="s">
        <v>2505</v>
      </c>
      <c r="D8578" s="1" t="s">
        <v>2506</v>
      </c>
      <c r="E8578" s="1" t="s">
        <v>2019</v>
      </c>
      <c r="F8578" s="1" t="s">
        <v>855</v>
      </c>
      <c r="G8578" s="6">
        <v>7916</v>
      </c>
      <c r="H8578" t="str">
        <f>IFERROR(VLOOKUP(F8578,'LEAID Match'!$A$2:$B$142,2,FALSE),"")</f>
        <v/>
      </c>
    </row>
    <row r="8579" spans="1:8" x14ac:dyDescent="0.2">
      <c r="A8579" t="str">
        <f t="shared" ref="A8579:A8627" si="134">H8579</f>
        <v/>
      </c>
      <c r="B8579">
        <v>2016</v>
      </c>
      <c r="C8579" s="1" t="s">
        <v>2505</v>
      </c>
      <c r="D8579" s="1" t="s">
        <v>2506</v>
      </c>
      <c r="E8579" s="1" t="s">
        <v>2019</v>
      </c>
      <c r="F8579" s="1" t="s">
        <v>855</v>
      </c>
      <c r="G8579" s="12">
        <v>8133</v>
      </c>
      <c r="H8579" t="str">
        <f>IFERROR(VLOOKUP(F8579,'LEAID Match'!$A$2:$B$142,2,FALSE),"")</f>
        <v/>
      </c>
    </row>
    <row r="8580" spans="1:8" x14ac:dyDescent="0.2">
      <c r="A8580" t="str">
        <f t="shared" si="134"/>
        <v/>
      </c>
      <c r="B8580" s="1">
        <v>2017</v>
      </c>
      <c r="C8580" s="1" t="s">
        <v>2505</v>
      </c>
      <c r="D8580" s="1" t="s">
        <v>2506</v>
      </c>
      <c r="E8580" s="1" t="s">
        <v>2019</v>
      </c>
      <c r="F8580" s="1" t="s">
        <v>855</v>
      </c>
      <c r="G8580" s="47">
        <v>8308</v>
      </c>
      <c r="H8580" t="str">
        <f>IFERROR(VLOOKUP(F8580,'LEAID Match'!$A$2:$B$142,2,FALSE),"")</f>
        <v/>
      </c>
    </row>
    <row r="8581" spans="1:8" x14ac:dyDescent="0.2">
      <c r="A8581" t="str">
        <f t="shared" si="134"/>
        <v/>
      </c>
      <c r="B8581" s="1">
        <v>2018</v>
      </c>
      <c r="C8581" s="1" t="s">
        <v>2505</v>
      </c>
      <c r="D8581" s="1" t="s">
        <v>2506</v>
      </c>
      <c r="E8581" s="1" t="s">
        <v>2019</v>
      </c>
      <c r="F8581" s="1" t="s">
        <v>855</v>
      </c>
      <c r="G8581" s="6">
        <v>8312</v>
      </c>
      <c r="H8581" t="str">
        <f>IFERROR(VLOOKUP(F8581,'LEAID Match'!$A$2:$B$142,2,FALSE),"")</f>
        <v/>
      </c>
    </row>
    <row r="8582" spans="1:8" x14ac:dyDescent="0.2">
      <c r="A8582" t="str">
        <f t="shared" si="134"/>
        <v/>
      </c>
      <c r="B8582" s="1">
        <v>2019</v>
      </c>
      <c r="C8582" s="1" t="s">
        <v>2505</v>
      </c>
      <c r="D8582" s="1" t="s">
        <v>2506</v>
      </c>
      <c r="E8582" s="1" t="s">
        <v>2019</v>
      </c>
      <c r="F8582" s="1" t="s">
        <v>855</v>
      </c>
      <c r="G8582" s="6">
        <v>9085</v>
      </c>
      <c r="H8582" t="str">
        <f>IFERROR(VLOOKUP(F8582,'LEAID Match'!$A$2:$B$142,2,FALSE),"")</f>
        <v/>
      </c>
    </row>
    <row r="8583" spans="1:8" x14ac:dyDescent="0.2">
      <c r="A8583" t="str">
        <f t="shared" si="134"/>
        <v/>
      </c>
      <c r="B8583" s="1">
        <v>2020</v>
      </c>
      <c r="C8583" s="1" t="s">
        <v>2505</v>
      </c>
      <c r="D8583" s="1" t="s">
        <v>2506</v>
      </c>
      <c r="E8583" s="1" t="s">
        <v>2019</v>
      </c>
      <c r="F8583" s="1" t="s">
        <v>855</v>
      </c>
      <c r="G8583" s="6">
        <v>6324</v>
      </c>
      <c r="H8583" t="str">
        <f>IFERROR(VLOOKUP(F8583,'LEAID Match'!$A$2:$B$142,2,FALSE),"")</f>
        <v/>
      </c>
    </row>
    <row r="8584" spans="1:8" x14ac:dyDescent="0.2">
      <c r="A8584" t="str">
        <f t="shared" si="134"/>
        <v/>
      </c>
      <c r="B8584" s="1">
        <v>2021</v>
      </c>
      <c r="C8584" s="1" t="s">
        <v>2505</v>
      </c>
      <c r="D8584" s="1" t="s">
        <v>2506</v>
      </c>
      <c r="E8584" s="1" t="s">
        <v>2019</v>
      </c>
      <c r="F8584" s="1" t="s">
        <v>855</v>
      </c>
      <c r="G8584" s="6">
        <v>6659</v>
      </c>
      <c r="H8584" t="str">
        <f>IFERROR(VLOOKUP(F8584,'LEAID Match'!$A$2:$B$142,2,FALSE),"")</f>
        <v/>
      </c>
    </row>
    <row r="8585" spans="1:8" x14ac:dyDescent="0.2">
      <c r="A8585" t="str">
        <f t="shared" si="134"/>
        <v/>
      </c>
      <c r="B8585" s="1">
        <v>2022</v>
      </c>
      <c r="C8585" s="1" t="s">
        <v>2505</v>
      </c>
      <c r="D8585" s="1" t="s">
        <v>2506</v>
      </c>
      <c r="E8585" s="1" t="s">
        <v>2019</v>
      </c>
      <c r="F8585" s="1" t="s">
        <v>855</v>
      </c>
      <c r="G8585" s="6">
        <v>6960</v>
      </c>
      <c r="H8585" t="str">
        <f>IFERROR(VLOOKUP(F8585,'LEAID Match'!$A$2:$B$142,2,FALSE),"")</f>
        <v/>
      </c>
    </row>
    <row r="8586" spans="1:8" x14ac:dyDescent="0.2">
      <c r="A8586" t="str">
        <f t="shared" si="134"/>
        <v/>
      </c>
      <c r="B8586" s="1">
        <v>2023</v>
      </c>
      <c r="C8586" s="1" t="s">
        <v>2505</v>
      </c>
      <c r="D8586" s="1" t="s">
        <v>2506</v>
      </c>
      <c r="E8586" s="1" t="s">
        <v>2019</v>
      </c>
      <c r="F8586" s="1" t="s">
        <v>855</v>
      </c>
      <c r="G8586" s="6">
        <v>7562</v>
      </c>
      <c r="H8586" t="str">
        <f>IFERROR(VLOOKUP(F8586,'LEAID Match'!$A$2:$B$142,2,FALSE),"")</f>
        <v/>
      </c>
    </row>
    <row r="8587" spans="1:8" x14ac:dyDescent="0.2">
      <c r="A8587" t="str">
        <f t="shared" si="134"/>
        <v/>
      </c>
      <c r="B8587" s="1">
        <v>2024</v>
      </c>
      <c r="C8587" s="1" t="s">
        <v>2505</v>
      </c>
      <c r="D8587" s="1" t="s">
        <v>2506</v>
      </c>
      <c r="E8587" s="1" t="s">
        <v>2019</v>
      </c>
      <c r="F8587" s="1" t="s">
        <v>855</v>
      </c>
      <c r="G8587" s="6">
        <v>7830</v>
      </c>
      <c r="H8587" t="str">
        <f>IFERROR(VLOOKUP(F8587,'LEAID Match'!$A$2:$B$142,2,FALSE),"")</f>
        <v/>
      </c>
    </row>
    <row r="8588" spans="1:8" x14ac:dyDescent="0.2">
      <c r="A8588" t="str">
        <f t="shared" si="134"/>
        <v/>
      </c>
      <c r="B8588" s="1">
        <v>2015</v>
      </c>
      <c r="C8588" s="1" t="s">
        <v>2505</v>
      </c>
      <c r="D8588" s="1" t="s">
        <v>2506</v>
      </c>
      <c r="E8588" s="1" t="s">
        <v>2019</v>
      </c>
      <c r="F8588" s="1" t="s">
        <v>856</v>
      </c>
      <c r="G8588" s="6">
        <v>19395</v>
      </c>
      <c r="H8588" t="str">
        <f>IFERROR(VLOOKUP(F8588,'LEAID Match'!$A$2:$B$142,2,FALSE),"")</f>
        <v/>
      </c>
    </row>
    <row r="8589" spans="1:8" x14ac:dyDescent="0.2">
      <c r="A8589" t="str">
        <f t="shared" si="134"/>
        <v/>
      </c>
      <c r="B8589">
        <v>2016</v>
      </c>
      <c r="C8589" s="1" t="s">
        <v>2505</v>
      </c>
      <c r="D8589" s="1" t="s">
        <v>2506</v>
      </c>
      <c r="E8589" s="1" t="s">
        <v>2019</v>
      </c>
      <c r="F8589" s="1" t="s">
        <v>856</v>
      </c>
      <c r="G8589" s="12">
        <v>19701</v>
      </c>
      <c r="H8589" t="str">
        <f>IFERROR(VLOOKUP(F8589,'LEAID Match'!$A$2:$B$142,2,FALSE),"")</f>
        <v/>
      </c>
    </row>
    <row r="8590" spans="1:8" x14ac:dyDescent="0.2">
      <c r="A8590" t="str">
        <f t="shared" si="134"/>
        <v/>
      </c>
      <c r="B8590" s="1">
        <v>2017</v>
      </c>
      <c r="C8590" s="1" t="s">
        <v>2505</v>
      </c>
      <c r="D8590" s="1" t="s">
        <v>2506</v>
      </c>
      <c r="E8590" s="1" t="s">
        <v>2019</v>
      </c>
      <c r="F8590" s="1" t="s">
        <v>856</v>
      </c>
      <c r="G8590" s="47">
        <v>17603</v>
      </c>
      <c r="H8590" t="str">
        <f>IFERROR(VLOOKUP(F8590,'LEAID Match'!$A$2:$B$142,2,FALSE),"")</f>
        <v/>
      </c>
    </row>
    <row r="8591" spans="1:8" x14ac:dyDescent="0.2">
      <c r="A8591" t="str">
        <f t="shared" si="134"/>
        <v/>
      </c>
      <c r="B8591" s="1">
        <v>2018</v>
      </c>
      <c r="C8591" s="1" t="s">
        <v>2505</v>
      </c>
      <c r="D8591" s="1" t="s">
        <v>2506</v>
      </c>
      <c r="E8591" s="1" t="s">
        <v>2019</v>
      </c>
      <c r="F8591" s="1" t="s">
        <v>856</v>
      </c>
      <c r="G8591" s="6">
        <v>18227</v>
      </c>
      <c r="H8591" t="str">
        <f>IFERROR(VLOOKUP(F8591,'LEAID Match'!$A$2:$B$142,2,FALSE),"")</f>
        <v/>
      </c>
    </row>
    <row r="8592" spans="1:8" x14ac:dyDescent="0.2">
      <c r="A8592" t="str">
        <f t="shared" si="134"/>
        <v/>
      </c>
      <c r="B8592" s="1">
        <v>2019</v>
      </c>
      <c r="C8592" s="1" t="s">
        <v>2505</v>
      </c>
      <c r="D8592" s="1" t="s">
        <v>2506</v>
      </c>
      <c r="E8592" s="1" t="s">
        <v>2019</v>
      </c>
      <c r="F8592" s="1" t="s">
        <v>856</v>
      </c>
      <c r="G8592" s="6">
        <v>15361</v>
      </c>
      <c r="H8592" t="str">
        <f>IFERROR(VLOOKUP(F8592,'LEAID Match'!$A$2:$B$142,2,FALSE),"")</f>
        <v/>
      </c>
    </row>
    <row r="8593" spans="1:8" x14ac:dyDescent="0.2">
      <c r="A8593" t="str">
        <f t="shared" si="134"/>
        <v/>
      </c>
      <c r="B8593" s="1">
        <v>2020</v>
      </c>
      <c r="C8593" s="1" t="s">
        <v>2505</v>
      </c>
      <c r="D8593" s="1" t="s">
        <v>2506</v>
      </c>
      <c r="E8593" s="1" t="s">
        <v>2019</v>
      </c>
      <c r="F8593" s="1" t="s">
        <v>856</v>
      </c>
      <c r="G8593" s="6">
        <v>16690</v>
      </c>
      <c r="H8593" t="str">
        <f>IFERROR(VLOOKUP(F8593,'LEAID Match'!$A$2:$B$142,2,FALSE),"")</f>
        <v/>
      </c>
    </row>
    <row r="8594" spans="1:8" x14ac:dyDescent="0.2">
      <c r="A8594" t="str">
        <f t="shared" si="134"/>
        <v/>
      </c>
      <c r="B8594" s="1">
        <v>2021</v>
      </c>
      <c r="C8594" s="1" t="s">
        <v>2505</v>
      </c>
      <c r="D8594" s="1" t="s">
        <v>2506</v>
      </c>
      <c r="E8594" s="1" t="s">
        <v>2019</v>
      </c>
      <c r="F8594" s="1" t="s">
        <v>856</v>
      </c>
      <c r="G8594" s="6">
        <v>19044</v>
      </c>
      <c r="H8594" t="str">
        <f>IFERROR(VLOOKUP(F8594,'LEAID Match'!$A$2:$B$142,2,FALSE),"")</f>
        <v/>
      </c>
    </row>
    <row r="8595" spans="1:8" x14ac:dyDescent="0.2">
      <c r="A8595" t="str">
        <f t="shared" si="134"/>
        <v/>
      </c>
      <c r="B8595" s="1">
        <v>2022</v>
      </c>
      <c r="C8595" s="1" t="s">
        <v>2505</v>
      </c>
      <c r="D8595" s="1" t="s">
        <v>2506</v>
      </c>
      <c r="E8595" s="1" t="s">
        <v>2019</v>
      </c>
      <c r="F8595" s="1" t="s">
        <v>856</v>
      </c>
      <c r="G8595" s="6">
        <v>21619</v>
      </c>
      <c r="H8595" t="str">
        <f>IFERROR(VLOOKUP(F8595,'LEAID Match'!$A$2:$B$142,2,FALSE),"")</f>
        <v/>
      </c>
    </row>
    <row r="8596" spans="1:8" x14ac:dyDescent="0.2">
      <c r="A8596" t="str">
        <f t="shared" si="134"/>
        <v/>
      </c>
      <c r="B8596" s="1">
        <v>2023</v>
      </c>
      <c r="C8596" s="1" t="s">
        <v>2505</v>
      </c>
      <c r="D8596" s="1" t="s">
        <v>2506</v>
      </c>
      <c r="E8596" s="1" t="s">
        <v>2019</v>
      </c>
      <c r="F8596" s="1" t="s">
        <v>856</v>
      </c>
      <c r="G8596" s="6">
        <v>22398</v>
      </c>
      <c r="H8596" t="str">
        <f>IFERROR(VLOOKUP(F8596,'LEAID Match'!$A$2:$B$142,2,FALSE),"")</f>
        <v/>
      </c>
    </row>
    <row r="8597" spans="1:8" x14ac:dyDescent="0.2">
      <c r="A8597" t="str">
        <f t="shared" si="134"/>
        <v/>
      </c>
      <c r="B8597" s="1">
        <v>2024</v>
      </c>
      <c r="C8597" s="1" t="s">
        <v>2505</v>
      </c>
      <c r="D8597" s="1" t="s">
        <v>2506</v>
      </c>
      <c r="E8597" s="1" t="s">
        <v>2019</v>
      </c>
      <c r="F8597" s="1" t="s">
        <v>856</v>
      </c>
      <c r="G8597" s="6">
        <v>21753</v>
      </c>
      <c r="H8597" t="str">
        <f>IFERROR(VLOOKUP(F8597,'LEAID Match'!$A$2:$B$142,2,FALSE),"")</f>
        <v/>
      </c>
    </row>
    <row r="8598" spans="1:8" x14ac:dyDescent="0.2">
      <c r="A8598" t="str">
        <f t="shared" si="134"/>
        <v/>
      </c>
      <c r="B8598" s="1">
        <v>2015</v>
      </c>
      <c r="C8598" s="1" t="s">
        <v>2505</v>
      </c>
      <c r="D8598" s="1" t="s">
        <v>2506</v>
      </c>
      <c r="E8598" s="1" t="s">
        <v>2019</v>
      </c>
      <c r="F8598" s="1" t="s">
        <v>857</v>
      </c>
      <c r="G8598" s="6">
        <v>9353</v>
      </c>
      <c r="H8598" t="str">
        <f>IFERROR(VLOOKUP(F8598,'LEAID Match'!$A$2:$B$142,2,FALSE),"")</f>
        <v/>
      </c>
    </row>
    <row r="8599" spans="1:8" x14ac:dyDescent="0.2">
      <c r="A8599" t="str">
        <f t="shared" si="134"/>
        <v/>
      </c>
      <c r="B8599">
        <v>2016</v>
      </c>
      <c r="C8599" s="1" t="s">
        <v>2505</v>
      </c>
      <c r="D8599" s="1" t="s">
        <v>2506</v>
      </c>
      <c r="E8599" s="1" t="s">
        <v>2019</v>
      </c>
      <c r="F8599" s="1" t="s">
        <v>857</v>
      </c>
      <c r="G8599" s="12">
        <v>9708</v>
      </c>
      <c r="H8599" t="str">
        <f>IFERROR(VLOOKUP(F8599,'LEAID Match'!$A$2:$B$142,2,FALSE),"")</f>
        <v/>
      </c>
    </row>
    <row r="8600" spans="1:8" x14ac:dyDescent="0.2">
      <c r="A8600" t="str">
        <f t="shared" si="134"/>
        <v/>
      </c>
      <c r="B8600" s="1">
        <v>2017</v>
      </c>
      <c r="C8600" s="1" t="s">
        <v>2505</v>
      </c>
      <c r="D8600" s="1" t="s">
        <v>2506</v>
      </c>
      <c r="E8600" s="1" t="s">
        <v>2019</v>
      </c>
      <c r="F8600" s="1" t="s">
        <v>857</v>
      </c>
      <c r="G8600" s="47">
        <v>9271</v>
      </c>
      <c r="H8600" t="str">
        <f>IFERROR(VLOOKUP(F8600,'LEAID Match'!$A$2:$B$142,2,FALSE),"")</f>
        <v/>
      </c>
    </row>
    <row r="8601" spans="1:8" x14ac:dyDescent="0.2">
      <c r="A8601" t="str">
        <f t="shared" si="134"/>
        <v/>
      </c>
      <c r="B8601" s="1">
        <v>2018</v>
      </c>
      <c r="C8601" s="1" t="s">
        <v>2505</v>
      </c>
      <c r="D8601" s="1" t="s">
        <v>2506</v>
      </c>
      <c r="E8601" s="1" t="s">
        <v>2019</v>
      </c>
      <c r="F8601" s="1" t="s">
        <v>857</v>
      </c>
      <c r="G8601" s="6">
        <v>9942</v>
      </c>
      <c r="H8601" t="str">
        <f>IFERROR(VLOOKUP(F8601,'LEAID Match'!$A$2:$B$142,2,FALSE),"")</f>
        <v/>
      </c>
    </row>
    <row r="8602" spans="1:8" x14ac:dyDescent="0.2">
      <c r="A8602" t="str">
        <f t="shared" si="134"/>
        <v/>
      </c>
      <c r="B8602" s="1">
        <v>2019</v>
      </c>
      <c r="C8602" s="1" t="s">
        <v>2505</v>
      </c>
      <c r="D8602" s="1" t="s">
        <v>2506</v>
      </c>
      <c r="E8602" s="1" t="s">
        <v>2019</v>
      </c>
      <c r="F8602" s="1" t="s">
        <v>857</v>
      </c>
      <c r="G8602" s="6">
        <v>12635</v>
      </c>
      <c r="H8602" t="str">
        <f>IFERROR(VLOOKUP(F8602,'LEAID Match'!$A$2:$B$142,2,FALSE),"")</f>
        <v/>
      </c>
    </row>
    <row r="8603" spans="1:8" x14ac:dyDescent="0.2">
      <c r="A8603" t="str">
        <f t="shared" si="134"/>
        <v/>
      </c>
      <c r="B8603" s="1">
        <v>2020</v>
      </c>
      <c r="C8603" s="1" t="s">
        <v>2505</v>
      </c>
      <c r="D8603" s="1" t="s">
        <v>2506</v>
      </c>
      <c r="E8603" s="1" t="s">
        <v>2019</v>
      </c>
      <c r="F8603" s="1" t="s">
        <v>857</v>
      </c>
      <c r="G8603" s="6">
        <v>7093</v>
      </c>
      <c r="H8603" t="str">
        <f>IFERROR(VLOOKUP(F8603,'LEAID Match'!$A$2:$B$142,2,FALSE),"")</f>
        <v/>
      </c>
    </row>
    <row r="8604" spans="1:8" x14ac:dyDescent="0.2">
      <c r="A8604" t="str">
        <f t="shared" si="134"/>
        <v/>
      </c>
      <c r="B8604" s="1">
        <v>2021</v>
      </c>
      <c r="C8604" s="1" t="s">
        <v>2505</v>
      </c>
      <c r="D8604" s="1" t="s">
        <v>2506</v>
      </c>
      <c r="E8604" s="1" t="s">
        <v>2019</v>
      </c>
      <c r="F8604" s="1" t="s">
        <v>857</v>
      </c>
      <c r="G8604" s="6">
        <v>5566</v>
      </c>
      <c r="H8604" t="str">
        <f>IFERROR(VLOOKUP(F8604,'LEAID Match'!$A$2:$B$142,2,FALSE),"")</f>
        <v/>
      </c>
    </row>
    <row r="8605" spans="1:8" x14ac:dyDescent="0.2">
      <c r="A8605" t="str">
        <f t="shared" si="134"/>
        <v/>
      </c>
      <c r="B8605" s="1">
        <v>2022</v>
      </c>
      <c r="C8605" s="1" t="s">
        <v>2505</v>
      </c>
      <c r="D8605" s="1" t="s">
        <v>2506</v>
      </c>
      <c r="E8605" s="1" t="s">
        <v>2019</v>
      </c>
      <c r="F8605" s="1" t="s">
        <v>857</v>
      </c>
      <c r="G8605" s="6">
        <v>5354</v>
      </c>
      <c r="H8605" t="str">
        <f>IFERROR(VLOOKUP(F8605,'LEAID Match'!$A$2:$B$142,2,FALSE),"")</f>
        <v/>
      </c>
    </row>
    <row r="8606" spans="1:8" x14ac:dyDescent="0.2">
      <c r="A8606" t="str">
        <f t="shared" si="134"/>
        <v/>
      </c>
      <c r="B8606" s="1">
        <v>2023</v>
      </c>
      <c r="C8606" s="1" t="s">
        <v>2505</v>
      </c>
      <c r="D8606" s="1" t="s">
        <v>2506</v>
      </c>
      <c r="E8606" s="1" t="s">
        <v>2019</v>
      </c>
      <c r="F8606" s="1" t="s">
        <v>857</v>
      </c>
      <c r="G8606" s="6">
        <v>5782</v>
      </c>
      <c r="H8606" t="str">
        <f>IFERROR(VLOOKUP(F8606,'LEAID Match'!$A$2:$B$142,2,FALSE),"")</f>
        <v/>
      </c>
    </row>
    <row r="8607" spans="1:8" x14ac:dyDescent="0.2">
      <c r="A8607" t="str">
        <f t="shared" si="134"/>
        <v/>
      </c>
      <c r="B8607" s="1">
        <v>2024</v>
      </c>
      <c r="C8607" s="1" t="s">
        <v>2505</v>
      </c>
      <c r="D8607" s="1" t="s">
        <v>2506</v>
      </c>
      <c r="E8607" s="1" t="s">
        <v>2019</v>
      </c>
      <c r="F8607" s="1" t="s">
        <v>857</v>
      </c>
      <c r="G8607" s="6">
        <v>5568</v>
      </c>
      <c r="H8607" t="str">
        <f>IFERROR(VLOOKUP(F8607,'LEAID Match'!$A$2:$B$142,2,FALSE),"")</f>
        <v/>
      </c>
    </row>
    <row r="8608" spans="1:8" x14ac:dyDescent="0.2">
      <c r="A8608" t="str">
        <f t="shared" si="134"/>
        <v/>
      </c>
      <c r="B8608" s="1">
        <v>2015</v>
      </c>
      <c r="C8608" s="1" t="s">
        <v>2505</v>
      </c>
      <c r="D8608" s="1" t="s">
        <v>2506</v>
      </c>
      <c r="E8608" s="1" t="s">
        <v>2019</v>
      </c>
      <c r="F8608" s="1" t="s">
        <v>858</v>
      </c>
      <c r="G8608" s="6">
        <v>97328</v>
      </c>
      <c r="H8608" t="str">
        <f>IFERROR(VLOOKUP(F8608,'LEAID Match'!$A$2:$B$142,2,FALSE),"")</f>
        <v/>
      </c>
    </row>
    <row r="8609" spans="1:8" x14ac:dyDescent="0.2">
      <c r="A8609" t="str">
        <f t="shared" si="134"/>
        <v/>
      </c>
      <c r="B8609">
        <v>2016</v>
      </c>
      <c r="C8609" s="1" t="s">
        <v>2505</v>
      </c>
      <c r="D8609" s="1" t="s">
        <v>2506</v>
      </c>
      <c r="E8609" s="1" t="s">
        <v>2019</v>
      </c>
      <c r="F8609" s="1" t="s">
        <v>858</v>
      </c>
      <c r="G8609" s="12">
        <v>95563</v>
      </c>
      <c r="H8609" t="str">
        <f>IFERROR(VLOOKUP(F8609,'LEAID Match'!$A$2:$B$142,2,FALSE),"")</f>
        <v/>
      </c>
    </row>
    <row r="8610" spans="1:8" x14ac:dyDescent="0.2">
      <c r="A8610" t="str">
        <f t="shared" si="134"/>
        <v/>
      </c>
      <c r="B8610" s="1">
        <v>2017</v>
      </c>
      <c r="C8610" s="1" t="s">
        <v>2505</v>
      </c>
      <c r="D8610" s="1" t="s">
        <v>2506</v>
      </c>
      <c r="E8610" s="1" t="s">
        <v>2019</v>
      </c>
      <c r="F8610" s="1" t="s">
        <v>858</v>
      </c>
      <c r="G8610" s="47">
        <v>81280</v>
      </c>
      <c r="H8610" t="str">
        <f>IFERROR(VLOOKUP(F8610,'LEAID Match'!$A$2:$B$142,2,FALSE),"")</f>
        <v/>
      </c>
    </row>
    <row r="8611" spans="1:8" x14ac:dyDescent="0.2">
      <c r="A8611" t="str">
        <f t="shared" si="134"/>
        <v/>
      </c>
      <c r="B8611" s="1">
        <v>2018</v>
      </c>
      <c r="C8611" s="1" t="s">
        <v>2505</v>
      </c>
      <c r="D8611" s="1" t="s">
        <v>2506</v>
      </c>
      <c r="E8611" s="1" t="s">
        <v>2019</v>
      </c>
      <c r="F8611" s="1" t="s">
        <v>858</v>
      </c>
      <c r="G8611" s="6">
        <v>89030</v>
      </c>
      <c r="H8611" t="str">
        <f>IFERROR(VLOOKUP(F8611,'LEAID Match'!$A$2:$B$142,2,FALSE),"")</f>
        <v/>
      </c>
    </row>
    <row r="8612" spans="1:8" x14ac:dyDescent="0.2">
      <c r="A8612" t="str">
        <f t="shared" si="134"/>
        <v/>
      </c>
      <c r="B8612" s="1">
        <v>2019</v>
      </c>
      <c r="C8612" s="1" t="s">
        <v>2505</v>
      </c>
      <c r="D8612" s="1" t="s">
        <v>2506</v>
      </c>
      <c r="E8612" s="1" t="s">
        <v>2019</v>
      </c>
      <c r="F8612" s="1" t="s">
        <v>858</v>
      </c>
      <c r="G8612" s="6">
        <v>77504</v>
      </c>
      <c r="H8612" t="str">
        <f>IFERROR(VLOOKUP(F8612,'LEAID Match'!$A$2:$B$142,2,FALSE),"")</f>
        <v/>
      </c>
    </row>
    <row r="8613" spans="1:8" x14ac:dyDescent="0.2">
      <c r="A8613" t="str">
        <f t="shared" si="134"/>
        <v/>
      </c>
      <c r="B8613" s="1">
        <v>2020</v>
      </c>
      <c r="C8613" s="1" t="s">
        <v>2505</v>
      </c>
      <c r="D8613" s="1" t="s">
        <v>2506</v>
      </c>
      <c r="E8613" s="1" t="s">
        <v>2019</v>
      </c>
      <c r="F8613" s="1" t="s">
        <v>858</v>
      </c>
      <c r="G8613" s="6">
        <v>101276</v>
      </c>
      <c r="H8613" t="str">
        <f>IFERROR(VLOOKUP(F8613,'LEAID Match'!$A$2:$B$142,2,FALSE),"")</f>
        <v/>
      </c>
    </row>
    <row r="8614" spans="1:8" x14ac:dyDescent="0.2">
      <c r="A8614" t="str">
        <f t="shared" si="134"/>
        <v/>
      </c>
      <c r="B8614" s="1">
        <v>2021</v>
      </c>
      <c r="C8614" s="1" t="s">
        <v>2505</v>
      </c>
      <c r="D8614" s="1" t="s">
        <v>2506</v>
      </c>
      <c r="E8614" s="1" t="s">
        <v>2019</v>
      </c>
      <c r="F8614" s="1" t="s">
        <v>858</v>
      </c>
      <c r="G8614" s="6">
        <v>111843</v>
      </c>
      <c r="H8614" t="str">
        <f>IFERROR(VLOOKUP(F8614,'LEAID Match'!$A$2:$B$142,2,FALSE),"")</f>
        <v/>
      </c>
    </row>
    <row r="8615" spans="1:8" x14ac:dyDescent="0.2">
      <c r="A8615" t="str">
        <f t="shared" si="134"/>
        <v/>
      </c>
      <c r="B8615" s="1">
        <v>2022</v>
      </c>
      <c r="C8615" s="1" t="s">
        <v>2505</v>
      </c>
      <c r="D8615" s="1" t="s">
        <v>2506</v>
      </c>
      <c r="E8615" s="1" t="s">
        <v>2019</v>
      </c>
      <c r="F8615" s="1" t="s">
        <v>858</v>
      </c>
      <c r="G8615" s="6">
        <v>114679</v>
      </c>
      <c r="H8615" t="str">
        <f>IFERROR(VLOOKUP(F8615,'LEAID Match'!$A$2:$B$142,2,FALSE),"")</f>
        <v/>
      </c>
    </row>
    <row r="8616" spans="1:8" x14ac:dyDescent="0.2">
      <c r="A8616" t="str">
        <f t="shared" si="134"/>
        <v/>
      </c>
      <c r="B8616" s="1">
        <v>2023</v>
      </c>
      <c r="C8616" s="1" t="s">
        <v>2505</v>
      </c>
      <c r="D8616" s="1" t="s">
        <v>2506</v>
      </c>
      <c r="E8616" s="1" t="s">
        <v>2019</v>
      </c>
      <c r="F8616" s="1" t="s">
        <v>858</v>
      </c>
      <c r="G8616" s="6">
        <v>124352</v>
      </c>
      <c r="H8616" t="str">
        <f>IFERROR(VLOOKUP(F8616,'LEAID Match'!$A$2:$B$142,2,FALSE),"")</f>
        <v/>
      </c>
    </row>
    <row r="8617" spans="1:8" x14ac:dyDescent="0.2">
      <c r="A8617" t="str">
        <f t="shared" si="134"/>
        <v/>
      </c>
      <c r="B8617" s="1">
        <v>2024</v>
      </c>
      <c r="C8617" s="1" t="s">
        <v>2505</v>
      </c>
      <c r="D8617" s="1" t="s">
        <v>2506</v>
      </c>
      <c r="E8617" s="1" t="s">
        <v>2019</v>
      </c>
      <c r="F8617" s="1" t="s">
        <v>858</v>
      </c>
      <c r="G8617" s="6">
        <v>126378</v>
      </c>
      <c r="H8617" t="str">
        <f>IFERROR(VLOOKUP(F8617,'LEAID Match'!$A$2:$B$142,2,FALSE),"")</f>
        <v/>
      </c>
    </row>
    <row r="8618" spans="1:8" x14ac:dyDescent="0.2">
      <c r="A8618" t="str">
        <f t="shared" si="134"/>
        <v/>
      </c>
      <c r="B8618" s="1">
        <v>2015</v>
      </c>
      <c r="C8618" s="1" t="s">
        <v>2505</v>
      </c>
      <c r="D8618" s="1" t="s">
        <v>2506</v>
      </c>
      <c r="E8618" s="1" t="s">
        <v>2019</v>
      </c>
      <c r="F8618" s="1" t="s">
        <v>859</v>
      </c>
      <c r="G8618" s="6">
        <v>59948</v>
      </c>
      <c r="H8618" t="str">
        <f>IFERROR(VLOOKUP(F8618,'LEAID Match'!$A$2:$B$142,2,FALSE),"")</f>
        <v/>
      </c>
    </row>
    <row r="8619" spans="1:8" x14ac:dyDescent="0.2">
      <c r="A8619" t="str">
        <f t="shared" si="134"/>
        <v/>
      </c>
      <c r="B8619">
        <v>2016</v>
      </c>
      <c r="C8619" s="1" t="s">
        <v>2505</v>
      </c>
      <c r="D8619" s="1" t="s">
        <v>2506</v>
      </c>
      <c r="E8619" s="1" t="s">
        <v>2019</v>
      </c>
      <c r="F8619" s="1" t="s">
        <v>859</v>
      </c>
      <c r="G8619" s="12">
        <v>73945</v>
      </c>
      <c r="H8619" t="str">
        <f>IFERROR(VLOOKUP(F8619,'LEAID Match'!$A$2:$B$142,2,FALSE),"")</f>
        <v/>
      </c>
    </row>
    <row r="8620" spans="1:8" x14ac:dyDescent="0.2">
      <c r="A8620" t="str">
        <f t="shared" si="134"/>
        <v/>
      </c>
      <c r="B8620" s="1">
        <v>2017</v>
      </c>
      <c r="C8620" s="1" t="s">
        <v>2505</v>
      </c>
      <c r="D8620" s="1" t="s">
        <v>2506</v>
      </c>
      <c r="E8620" s="1" t="s">
        <v>2019</v>
      </c>
      <c r="F8620" s="1" t="s">
        <v>859</v>
      </c>
      <c r="G8620" s="47">
        <v>77357</v>
      </c>
      <c r="H8620" t="str">
        <f>IFERROR(VLOOKUP(F8620,'LEAID Match'!$A$2:$B$142,2,FALSE),"")</f>
        <v/>
      </c>
    </row>
    <row r="8621" spans="1:8" x14ac:dyDescent="0.2">
      <c r="A8621" t="str">
        <f t="shared" si="134"/>
        <v/>
      </c>
      <c r="B8621" s="1">
        <v>2018</v>
      </c>
      <c r="C8621" s="1" t="s">
        <v>2505</v>
      </c>
      <c r="D8621" s="1" t="s">
        <v>2506</v>
      </c>
      <c r="E8621" s="1" t="s">
        <v>2019</v>
      </c>
      <c r="F8621" s="1" t="s">
        <v>859</v>
      </c>
      <c r="G8621" s="6">
        <v>81943</v>
      </c>
      <c r="H8621" t="str">
        <f>IFERROR(VLOOKUP(F8621,'LEAID Match'!$A$2:$B$142,2,FALSE),"")</f>
        <v/>
      </c>
    </row>
    <row r="8622" spans="1:8" x14ac:dyDescent="0.2">
      <c r="A8622" t="str">
        <f t="shared" si="134"/>
        <v/>
      </c>
      <c r="B8622" s="1">
        <v>2019</v>
      </c>
      <c r="C8622" s="1" t="s">
        <v>2505</v>
      </c>
      <c r="D8622" s="1" t="s">
        <v>2506</v>
      </c>
      <c r="E8622" s="1" t="s">
        <v>2019</v>
      </c>
      <c r="F8622" s="1" t="s">
        <v>859</v>
      </c>
      <c r="G8622" s="6">
        <v>85580</v>
      </c>
      <c r="H8622" t="str">
        <f>IFERROR(VLOOKUP(F8622,'LEAID Match'!$A$2:$B$142,2,FALSE),"")</f>
        <v/>
      </c>
    </row>
    <row r="8623" spans="1:8" x14ac:dyDescent="0.2">
      <c r="A8623" t="str">
        <f t="shared" si="134"/>
        <v/>
      </c>
      <c r="B8623" s="1">
        <v>2020</v>
      </c>
      <c r="C8623" s="1" t="s">
        <v>2505</v>
      </c>
      <c r="D8623" s="1" t="s">
        <v>2506</v>
      </c>
      <c r="E8623" s="1" t="s">
        <v>2019</v>
      </c>
      <c r="F8623" s="1" t="s">
        <v>859</v>
      </c>
      <c r="G8623" s="6">
        <v>103232</v>
      </c>
      <c r="H8623" t="str">
        <f>IFERROR(VLOOKUP(F8623,'LEAID Match'!$A$2:$B$142,2,FALSE),"")</f>
        <v/>
      </c>
    </row>
    <row r="8624" spans="1:8" x14ac:dyDescent="0.2">
      <c r="A8624" t="str">
        <f t="shared" si="134"/>
        <v/>
      </c>
      <c r="B8624" s="1">
        <v>2021</v>
      </c>
      <c r="C8624" s="1" t="s">
        <v>2505</v>
      </c>
      <c r="D8624" s="1" t="s">
        <v>2506</v>
      </c>
      <c r="E8624" s="1" t="s">
        <v>2019</v>
      </c>
      <c r="F8624" s="1" t="s">
        <v>859</v>
      </c>
      <c r="G8624" s="6">
        <v>106820</v>
      </c>
      <c r="H8624" t="str">
        <f>IFERROR(VLOOKUP(F8624,'LEAID Match'!$A$2:$B$142,2,FALSE),"")</f>
        <v/>
      </c>
    </row>
    <row r="8625" spans="1:8" x14ac:dyDescent="0.2">
      <c r="A8625" t="str">
        <f t="shared" si="134"/>
        <v/>
      </c>
      <c r="B8625" s="1">
        <v>2022</v>
      </c>
      <c r="C8625" s="1" t="s">
        <v>2505</v>
      </c>
      <c r="D8625" s="1" t="s">
        <v>2506</v>
      </c>
      <c r="E8625" s="1" t="s">
        <v>2019</v>
      </c>
      <c r="F8625" s="1" t="s">
        <v>859</v>
      </c>
      <c r="G8625" s="6">
        <v>103072</v>
      </c>
      <c r="H8625" t="str">
        <f>IFERROR(VLOOKUP(F8625,'LEAID Match'!$A$2:$B$142,2,FALSE),"")</f>
        <v/>
      </c>
    </row>
    <row r="8626" spans="1:8" x14ac:dyDescent="0.2">
      <c r="A8626" t="str">
        <f t="shared" si="134"/>
        <v/>
      </c>
      <c r="B8626" s="1">
        <v>2023</v>
      </c>
      <c r="C8626" s="1" t="s">
        <v>2505</v>
      </c>
      <c r="D8626" s="1" t="s">
        <v>2506</v>
      </c>
      <c r="E8626" s="1" t="s">
        <v>2019</v>
      </c>
      <c r="F8626" s="1" t="s">
        <v>859</v>
      </c>
      <c r="G8626" s="6">
        <v>113585</v>
      </c>
      <c r="H8626" t="str">
        <f>IFERROR(VLOOKUP(F8626,'LEAID Match'!$A$2:$B$142,2,FALSE),"")</f>
        <v/>
      </c>
    </row>
    <row r="8627" spans="1:8" x14ac:dyDescent="0.2">
      <c r="A8627" t="str">
        <f t="shared" si="134"/>
        <v/>
      </c>
      <c r="B8627" s="1">
        <v>2024</v>
      </c>
      <c r="C8627" s="1" t="s">
        <v>2505</v>
      </c>
      <c r="D8627" s="1" t="s">
        <v>2506</v>
      </c>
      <c r="E8627" s="1" t="s">
        <v>2019</v>
      </c>
      <c r="F8627" s="1" t="s">
        <v>859</v>
      </c>
      <c r="G8627" s="6">
        <v>145091</v>
      </c>
      <c r="H8627" t="str">
        <f>IFERROR(VLOOKUP(F8627,'LEAID Match'!$A$2:$B$142,2,FALSE),"")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40C5-A0BF-1C4A-AD1A-057A9DC213E4}">
  <sheetPr>
    <tabColor rgb="FFFF0000"/>
  </sheetPr>
  <dimension ref="A1"/>
  <sheetViews>
    <sheetView workbookViewId="0">
      <selection activeCell="E10" sqref="E10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9A34-9CBD-784A-B7FA-37ECF9CD559E}">
  <sheetPr>
    <tabColor rgb="FFFFFF00"/>
  </sheetPr>
  <dimension ref="A1:D867"/>
  <sheetViews>
    <sheetView topLeftCell="A836" workbookViewId="0">
      <selection activeCell="D861" sqref="A2:D861"/>
    </sheetView>
  </sheetViews>
  <sheetFormatPr baseColWidth="10" defaultRowHeight="16" x14ac:dyDescent="0.2"/>
  <cols>
    <col min="1" max="1" width="10.83203125" style="1"/>
    <col min="2" max="2" width="34.5" style="1" bestFit="1" customWidth="1"/>
    <col min="3" max="3" width="19.664062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2024</v>
      </c>
      <c r="B2" s="1" t="s">
        <v>0</v>
      </c>
      <c r="C2" s="2">
        <v>660418</v>
      </c>
      <c r="D2" s="8">
        <v>4.9529000000000001E-4</v>
      </c>
    </row>
    <row r="3" spans="1:4" x14ac:dyDescent="0.2">
      <c r="A3" s="1">
        <v>2024</v>
      </c>
      <c r="B3" s="1" t="s">
        <v>1</v>
      </c>
      <c r="C3" s="2">
        <v>1490844</v>
      </c>
      <c r="D3" s="8">
        <v>1.11808E-3</v>
      </c>
    </row>
    <row r="4" spans="1:4" x14ac:dyDescent="0.2">
      <c r="A4" s="1">
        <v>2024</v>
      </c>
      <c r="B4" s="1" t="s">
        <v>2</v>
      </c>
      <c r="C4" s="2">
        <v>112983</v>
      </c>
      <c r="D4" s="8">
        <v>8.4729999999999997E-5</v>
      </c>
    </row>
    <row r="5" spans="1:4" x14ac:dyDescent="0.2">
      <c r="A5" s="1">
        <v>2024</v>
      </c>
      <c r="B5" s="1" t="s">
        <v>3</v>
      </c>
      <c r="C5" s="2">
        <v>49052</v>
      </c>
      <c r="D5" s="8">
        <v>3.6789999999999998E-5</v>
      </c>
    </row>
    <row r="6" spans="1:4" x14ac:dyDescent="0.2">
      <c r="A6" s="1">
        <v>2024</v>
      </c>
      <c r="B6" s="1" t="s">
        <v>4</v>
      </c>
      <c r="C6" s="2">
        <v>1505070</v>
      </c>
      <c r="D6" s="8">
        <v>1.12875E-3</v>
      </c>
    </row>
    <row r="7" spans="1:4" x14ac:dyDescent="0.2">
      <c r="A7" s="1">
        <v>2024</v>
      </c>
      <c r="B7" s="1" t="s">
        <v>5</v>
      </c>
      <c r="C7" s="2">
        <v>15377</v>
      </c>
      <c r="D7" s="8">
        <v>1.153E-5</v>
      </c>
    </row>
    <row r="8" spans="1:4" x14ac:dyDescent="0.2">
      <c r="A8" s="1">
        <v>2024</v>
      </c>
      <c r="B8" s="1" t="s">
        <v>6</v>
      </c>
      <c r="C8" s="2">
        <v>3315652</v>
      </c>
      <c r="D8" s="8">
        <v>2.4866100000000002E-3</v>
      </c>
    </row>
    <row r="9" spans="1:4" x14ac:dyDescent="0.2">
      <c r="A9" s="1">
        <v>2024</v>
      </c>
      <c r="B9" s="1" t="s">
        <v>7</v>
      </c>
      <c r="C9" s="2">
        <v>1831440</v>
      </c>
      <c r="D9" s="8">
        <v>1.3735100000000001E-3</v>
      </c>
    </row>
    <row r="10" spans="1:4" x14ac:dyDescent="0.2">
      <c r="A10" s="1">
        <v>2024</v>
      </c>
      <c r="B10" s="1" t="s">
        <v>8</v>
      </c>
      <c r="C10" s="2">
        <v>3974339</v>
      </c>
      <c r="D10" s="8">
        <v>2.9805999999999999E-3</v>
      </c>
    </row>
    <row r="11" spans="1:4" x14ac:dyDescent="0.2">
      <c r="A11" s="1">
        <v>2024</v>
      </c>
      <c r="B11" s="1" t="s">
        <v>9</v>
      </c>
      <c r="C11" s="2">
        <v>1389690</v>
      </c>
      <c r="D11" s="8">
        <v>1.04221E-3</v>
      </c>
    </row>
    <row r="12" spans="1:4" x14ac:dyDescent="0.2">
      <c r="A12" s="1">
        <v>2024</v>
      </c>
      <c r="B12" s="1" t="s">
        <v>10</v>
      </c>
      <c r="C12" s="2">
        <v>4713818</v>
      </c>
      <c r="D12" s="8">
        <v>3.5351800000000002E-3</v>
      </c>
    </row>
    <row r="13" spans="1:4" x14ac:dyDescent="0.2">
      <c r="A13" s="1">
        <v>2024</v>
      </c>
      <c r="B13" s="1" t="s">
        <v>11</v>
      </c>
      <c r="C13" s="2">
        <v>1415599</v>
      </c>
      <c r="D13" s="8">
        <v>1.0616499999999999E-3</v>
      </c>
    </row>
    <row r="14" spans="1:4" x14ac:dyDescent="0.2">
      <c r="A14" s="1">
        <v>2024</v>
      </c>
      <c r="B14" s="1" t="s">
        <v>12</v>
      </c>
      <c r="C14" s="2">
        <v>470027</v>
      </c>
      <c r="D14" s="8">
        <v>3.525E-4</v>
      </c>
    </row>
    <row r="15" spans="1:4" x14ac:dyDescent="0.2">
      <c r="A15" s="1">
        <v>2024</v>
      </c>
      <c r="B15" s="1" t="s">
        <v>13</v>
      </c>
      <c r="C15" s="2">
        <v>965735</v>
      </c>
      <c r="D15" s="8">
        <v>7.2426000000000001E-4</v>
      </c>
    </row>
    <row r="16" spans="1:4" x14ac:dyDescent="0.2">
      <c r="A16" s="1">
        <v>2024</v>
      </c>
      <c r="B16" s="1" t="s">
        <v>14</v>
      </c>
      <c r="C16" s="2">
        <v>39678</v>
      </c>
      <c r="D16" s="8">
        <v>2.976E-5</v>
      </c>
    </row>
    <row r="17" spans="1:4" x14ac:dyDescent="0.2">
      <c r="A17" s="1">
        <v>2024</v>
      </c>
      <c r="B17" s="1" t="s">
        <v>15</v>
      </c>
      <c r="C17" s="2">
        <v>1723472</v>
      </c>
      <c r="D17" s="8">
        <v>1.29254E-3</v>
      </c>
    </row>
    <row r="18" spans="1:4" x14ac:dyDescent="0.2">
      <c r="A18" s="1">
        <v>2024</v>
      </c>
      <c r="B18" s="1" t="s">
        <v>16</v>
      </c>
      <c r="C18" s="2">
        <v>17261</v>
      </c>
      <c r="D18" s="8">
        <v>1.294E-5</v>
      </c>
    </row>
    <row r="19" spans="1:4" x14ac:dyDescent="0.2">
      <c r="A19" s="1">
        <v>2024</v>
      </c>
      <c r="B19" s="1" t="s">
        <v>17</v>
      </c>
      <c r="C19" s="2">
        <v>22382</v>
      </c>
      <c r="D19" s="8">
        <v>1.679E-5</v>
      </c>
    </row>
    <row r="20" spans="1:4" x14ac:dyDescent="0.2">
      <c r="A20" s="1">
        <v>2024</v>
      </c>
      <c r="B20" s="1" t="s">
        <v>18</v>
      </c>
      <c r="C20" s="2">
        <v>241750</v>
      </c>
      <c r="D20" s="8">
        <v>1.8129999999999999E-4</v>
      </c>
    </row>
    <row r="21" spans="1:4" x14ac:dyDescent="0.2">
      <c r="A21" s="1">
        <v>2024</v>
      </c>
      <c r="B21" s="1" t="s">
        <v>19</v>
      </c>
      <c r="C21" s="2">
        <v>21246</v>
      </c>
      <c r="D21" s="8">
        <v>1.5930000000000002E-5</v>
      </c>
    </row>
    <row r="22" spans="1:4" x14ac:dyDescent="0.2">
      <c r="A22" s="1">
        <v>2024</v>
      </c>
      <c r="B22" s="1" t="s">
        <v>20</v>
      </c>
      <c r="C22" s="2">
        <v>1320771</v>
      </c>
      <c r="D22" s="8">
        <v>9.905300000000001E-4</v>
      </c>
    </row>
    <row r="23" spans="1:4" x14ac:dyDescent="0.2">
      <c r="A23" s="1">
        <v>2024</v>
      </c>
      <c r="B23" s="1" t="s">
        <v>21</v>
      </c>
      <c r="C23" s="2">
        <v>10675</v>
      </c>
      <c r="D23" s="8">
        <v>8.0099999999999995E-6</v>
      </c>
    </row>
    <row r="24" spans="1:4" x14ac:dyDescent="0.2">
      <c r="A24" s="1">
        <v>2024</v>
      </c>
      <c r="B24" s="1" t="s">
        <v>22</v>
      </c>
      <c r="C24" s="2">
        <v>15683</v>
      </c>
      <c r="D24" s="8">
        <v>1.1759999999999999E-5</v>
      </c>
    </row>
    <row r="25" spans="1:4" x14ac:dyDescent="0.2">
      <c r="A25" s="1">
        <v>2024</v>
      </c>
      <c r="B25" s="1" t="s">
        <v>23</v>
      </c>
      <c r="C25" s="2">
        <v>126541</v>
      </c>
      <c r="D25" s="8">
        <v>9.4900000000000003E-5</v>
      </c>
    </row>
    <row r="26" spans="1:4" x14ac:dyDescent="0.2">
      <c r="A26" s="1">
        <v>2024</v>
      </c>
      <c r="B26" s="1" t="s">
        <v>24</v>
      </c>
      <c r="C26" s="2">
        <v>47654</v>
      </c>
      <c r="D26" s="8">
        <v>3.574E-5</v>
      </c>
    </row>
    <row r="27" spans="1:4" x14ac:dyDescent="0.2">
      <c r="A27" s="1">
        <v>2024</v>
      </c>
      <c r="B27" s="1" t="s">
        <v>25</v>
      </c>
      <c r="C27" s="2">
        <v>3216</v>
      </c>
      <c r="D27" s="8">
        <v>2.4099999999999998E-6</v>
      </c>
    </row>
    <row r="28" spans="1:4" x14ac:dyDescent="0.2">
      <c r="A28" s="1">
        <v>2024</v>
      </c>
      <c r="B28" s="1" t="s">
        <v>26</v>
      </c>
      <c r="C28" s="2">
        <v>1452943</v>
      </c>
      <c r="D28" s="8">
        <v>1.08965E-3</v>
      </c>
    </row>
    <row r="29" spans="1:4" x14ac:dyDescent="0.2">
      <c r="A29" s="1">
        <v>2024</v>
      </c>
      <c r="B29" s="1" t="s">
        <v>27</v>
      </c>
      <c r="C29" s="2">
        <v>659439</v>
      </c>
      <c r="D29" s="8">
        <v>4.9454999999999996E-4</v>
      </c>
    </row>
    <row r="30" spans="1:4" x14ac:dyDescent="0.2">
      <c r="A30" s="1">
        <v>2024</v>
      </c>
      <c r="B30" s="1" t="s">
        <v>28</v>
      </c>
      <c r="C30" s="2">
        <v>30433</v>
      </c>
      <c r="D30" s="8">
        <v>2.2819999999999998E-5</v>
      </c>
    </row>
    <row r="31" spans="1:4" x14ac:dyDescent="0.2">
      <c r="A31" s="1">
        <v>2024</v>
      </c>
      <c r="B31" s="1" t="s">
        <v>29</v>
      </c>
      <c r="C31" s="2">
        <v>3690183</v>
      </c>
      <c r="D31" s="8">
        <v>2.7675E-3</v>
      </c>
    </row>
    <row r="32" spans="1:4" x14ac:dyDescent="0.2">
      <c r="A32" s="1">
        <v>2024</v>
      </c>
      <c r="B32" s="1" t="s">
        <v>30</v>
      </c>
      <c r="C32" s="2">
        <v>241309</v>
      </c>
      <c r="D32" s="8">
        <v>1.8097E-4</v>
      </c>
    </row>
    <row r="33" spans="1:4" x14ac:dyDescent="0.2">
      <c r="A33" s="1">
        <v>2024</v>
      </c>
      <c r="B33" s="1" t="s">
        <v>31</v>
      </c>
      <c r="C33" s="2">
        <v>17121</v>
      </c>
      <c r="D33" s="8">
        <v>1.2840000000000001E-5</v>
      </c>
    </row>
    <row r="34" spans="1:4" x14ac:dyDescent="0.2">
      <c r="A34" s="1">
        <v>2024</v>
      </c>
      <c r="B34" s="1" t="s">
        <v>32</v>
      </c>
      <c r="C34" s="2">
        <v>1099332</v>
      </c>
      <c r="D34" s="8">
        <v>8.2445999999999995E-4</v>
      </c>
    </row>
    <row r="35" spans="1:4" x14ac:dyDescent="0.2">
      <c r="A35" s="1">
        <v>2024</v>
      </c>
      <c r="B35" s="1" t="s">
        <v>33</v>
      </c>
      <c r="C35" s="2">
        <v>1011532</v>
      </c>
      <c r="D35" s="8">
        <v>7.5860999999999995E-4</v>
      </c>
    </row>
    <row r="36" spans="1:4" x14ac:dyDescent="0.2">
      <c r="A36" s="1">
        <v>2024</v>
      </c>
      <c r="B36" s="1" t="s">
        <v>34</v>
      </c>
      <c r="C36" s="2">
        <v>12111</v>
      </c>
      <c r="D36" s="8">
        <v>9.0799999999999995E-6</v>
      </c>
    </row>
    <row r="37" spans="1:4" x14ac:dyDescent="0.2">
      <c r="A37" s="1">
        <v>2024</v>
      </c>
      <c r="B37" s="1" t="s">
        <v>35</v>
      </c>
      <c r="C37" s="2">
        <v>48840</v>
      </c>
      <c r="D37" s="8">
        <v>3.663E-5</v>
      </c>
    </row>
    <row r="38" spans="1:4" x14ac:dyDescent="0.2">
      <c r="A38" s="1">
        <v>2024</v>
      </c>
      <c r="B38" s="1" t="s">
        <v>36</v>
      </c>
      <c r="C38" s="2">
        <v>1548521</v>
      </c>
      <c r="D38" s="8">
        <v>1.1613299999999999E-3</v>
      </c>
    </row>
    <row r="39" spans="1:4" x14ac:dyDescent="0.2">
      <c r="A39" s="1">
        <v>2024</v>
      </c>
      <c r="B39" s="1" t="s">
        <v>37</v>
      </c>
      <c r="C39" s="2">
        <v>231146</v>
      </c>
      <c r="D39" s="8">
        <v>1.7335000000000001E-4</v>
      </c>
    </row>
    <row r="40" spans="1:4" x14ac:dyDescent="0.2">
      <c r="A40" s="1">
        <v>2024</v>
      </c>
      <c r="B40" s="1" t="s">
        <v>38</v>
      </c>
      <c r="C40" s="2">
        <v>981084</v>
      </c>
      <c r="D40" s="8">
        <v>7.3578000000000001E-4</v>
      </c>
    </row>
    <row r="41" spans="1:4" x14ac:dyDescent="0.2">
      <c r="A41" s="1">
        <v>2024</v>
      </c>
      <c r="B41" s="1" t="s">
        <v>39</v>
      </c>
      <c r="C41" s="2">
        <v>2498417</v>
      </c>
      <c r="D41" s="8">
        <v>1.8737199999999999E-3</v>
      </c>
    </row>
    <row r="42" spans="1:4" x14ac:dyDescent="0.2">
      <c r="A42" s="1">
        <v>2024</v>
      </c>
      <c r="B42" s="1" t="s">
        <v>40</v>
      </c>
      <c r="C42" s="2">
        <v>67342</v>
      </c>
      <c r="D42" s="8">
        <v>5.0500000000000001E-5</v>
      </c>
    </row>
    <row r="43" spans="1:4" x14ac:dyDescent="0.2">
      <c r="A43" s="1">
        <v>2024</v>
      </c>
      <c r="B43" s="1" t="s">
        <v>41</v>
      </c>
      <c r="C43" s="2">
        <v>16290</v>
      </c>
      <c r="D43" s="8">
        <v>1.222E-5</v>
      </c>
    </row>
    <row r="44" spans="1:4" x14ac:dyDescent="0.2">
      <c r="A44" s="1">
        <v>2024</v>
      </c>
      <c r="B44" s="1" t="s">
        <v>42</v>
      </c>
      <c r="C44" s="2">
        <v>55708</v>
      </c>
      <c r="D44" s="8">
        <v>4.1780000000000003E-5</v>
      </c>
    </row>
    <row r="45" spans="1:4" x14ac:dyDescent="0.2">
      <c r="A45" s="1">
        <v>2024</v>
      </c>
      <c r="B45" s="1" t="s">
        <v>43</v>
      </c>
      <c r="C45" s="2">
        <v>157275</v>
      </c>
      <c r="D45" s="8">
        <v>1.1794999999999999E-4</v>
      </c>
    </row>
    <row r="46" spans="1:4" x14ac:dyDescent="0.2">
      <c r="A46" s="1">
        <v>2024</v>
      </c>
      <c r="B46" s="1" t="s">
        <v>44</v>
      </c>
      <c r="C46" s="2">
        <v>183142</v>
      </c>
      <c r="D46" s="8">
        <v>1.3735E-4</v>
      </c>
    </row>
    <row r="47" spans="1:4" x14ac:dyDescent="0.2">
      <c r="A47" s="1">
        <v>2024</v>
      </c>
      <c r="B47" s="1" t="s">
        <v>45</v>
      </c>
      <c r="C47" s="2">
        <v>12446</v>
      </c>
      <c r="D47" s="8">
        <v>9.3300000000000005E-6</v>
      </c>
    </row>
    <row r="48" spans="1:4" x14ac:dyDescent="0.2">
      <c r="A48" s="1">
        <v>2024</v>
      </c>
      <c r="B48" s="1" t="s">
        <v>46</v>
      </c>
      <c r="C48" s="2">
        <v>1254510</v>
      </c>
      <c r="D48" s="8">
        <v>9.4083000000000003E-4</v>
      </c>
    </row>
    <row r="49" spans="1:4" x14ac:dyDescent="0.2">
      <c r="A49" s="1">
        <v>2024</v>
      </c>
      <c r="B49" s="1" t="s">
        <v>47</v>
      </c>
      <c r="C49" s="2">
        <v>455508</v>
      </c>
      <c r="D49" s="8">
        <v>3.4161E-4</v>
      </c>
    </row>
    <row r="50" spans="1:4" x14ac:dyDescent="0.2">
      <c r="A50" s="1">
        <v>2024</v>
      </c>
      <c r="B50" s="1" t="s">
        <v>48</v>
      </c>
      <c r="C50" s="2">
        <v>11916</v>
      </c>
      <c r="D50" s="8">
        <v>8.9400000000000008E-6</v>
      </c>
    </row>
    <row r="51" spans="1:4" x14ac:dyDescent="0.2">
      <c r="A51" s="1">
        <v>2024</v>
      </c>
      <c r="B51" s="1" t="s">
        <v>49</v>
      </c>
      <c r="C51" s="2">
        <v>20275</v>
      </c>
      <c r="D51" s="8">
        <v>1.521E-5</v>
      </c>
    </row>
    <row r="52" spans="1:4" x14ac:dyDescent="0.2">
      <c r="A52" s="1">
        <v>2024</v>
      </c>
      <c r="B52" s="1" t="s">
        <v>50</v>
      </c>
      <c r="C52" s="2">
        <v>5975695</v>
      </c>
      <c r="D52" s="8">
        <v>4.48154E-3</v>
      </c>
    </row>
    <row r="53" spans="1:4" x14ac:dyDescent="0.2">
      <c r="A53" s="1">
        <v>2024</v>
      </c>
      <c r="B53" s="1" t="s">
        <v>51</v>
      </c>
      <c r="C53" s="2">
        <v>385531</v>
      </c>
      <c r="D53" s="8">
        <v>2.8913000000000002E-4</v>
      </c>
    </row>
    <row r="54" spans="1:4" x14ac:dyDescent="0.2">
      <c r="A54" s="1">
        <v>2024</v>
      </c>
      <c r="B54" s="1" t="s">
        <v>52</v>
      </c>
      <c r="C54" s="2">
        <v>7422856</v>
      </c>
      <c r="D54" s="8">
        <v>5.5668599999999999E-3</v>
      </c>
    </row>
    <row r="55" spans="1:4" x14ac:dyDescent="0.2">
      <c r="A55" s="1">
        <v>2024</v>
      </c>
      <c r="B55" s="1" t="s">
        <v>53</v>
      </c>
      <c r="C55" s="2">
        <v>12929</v>
      </c>
      <c r="D55" s="8">
        <v>9.7000000000000003E-6</v>
      </c>
    </row>
    <row r="56" spans="1:4" x14ac:dyDescent="0.2">
      <c r="A56" s="1">
        <v>2024</v>
      </c>
      <c r="B56" s="1" t="s">
        <v>54</v>
      </c>
      <c r="C56" s="2">
        <v>12692</v>
      </c>
      <c r="D56" s="8">
        <v>9.5200000000000003E-6</v>
      </c>
    </row>
    <row r="57" spans="1:4" x14ac:dyDescent="0.2">
      <c r="A57" s="1">
        <v>2024</v>
      </c>
      <c r="B57" s="1" t="s">
        <v>55</v>
      </c>
      <c r="C57" s="2">
        <v>14295</v>
      </c>
      <c r="D57" s="8">
        <v>1.0720000000000001E-5</v>
      </c>
    </row>
    <row r="58" spans="1:4" x14ac:dyDescent="0.2">
      <c r="A58" s="1">
        <v>2024</v>
      </c>
      <c r="B58" s="1" t="s">
        <v>56</v>
      </c>
      <c r="C58" s="2">
        <v>74416</v>
      </c>
      <c r="D58" s="8">
        <v>5.5810000000000003E-5</v>
      </c>
    </row>
    <row r="59" spans="1:4" x14ac:dyDescent="0.2">
      <c r="A59" s="1">
        <v>2024</v>
      </c>
      <c r="B59" s="1" t="s">
        <v>57</v>
      </c>
      <c r="C59" s="2">
        <v>48006</v>
      </c>
      <c r="D59" s="8">
        <v>3.6000000000000001E-5</v>
      </c>
    </row>
    <row r="60" spans="1:4" x14ac:dyDescent="0.2">
      <c r="A60" s="1">
        <v>2024</v>
      </c>
      <c r="B60" s="1" t="s">
        <v>58</v>
      </c>
      <c r="C60" s="2">
        <v>1672395</v>
      </c>
      <c r="D60" s="8">
        <v>1.2542300000000001E-3</v>
      </c>
    </row>
    <row r="61" spans="1:4" x14ac:dyDescent="0.2">
      <c r="A61" s="1">
        <v>2024</v>
      </c>
      <c r="B61" s="1" t="s">
        <v>59</v>
      </c>
      <c r="C61" s="2">
        <v>5429</v>
      </c>
      <c r="D61" s="8">
        <v>4.07E-6</v>
      </c>
    </row>
    <row r="62" spans="1:4" x14ac:dyDescent="0.2">
      <c r="A62" s="1">
        <v>2024</v>
      </c>
      <c r="B62" s="1" t="s">
        <v>60</v>
      </c>
      <c r="C62" s="2">
        <v>56124</v>
      </c>
      <c r="D62" s="8">
        <v>4.2089999999999999E-5</v>
      </c>
    </row>
    <row r="63" spans="1:4" x14ac:dyDescent="0.2">
      <c r="A63" s="1">
        <v>2024</v>
      </c>
      <c r="B63" s="1" t="s">
        <v>61</v>
      </c>
      <c r="C63" s="2">
        <v>608253</v>
      </c>
      <c r="D63" s="8">
        <v>4.5616999999999999E-4</v>
      </c>
    </row>
    <row r="64" spans="1:4" x14ac:dyDescent="0.2">
      <c r="A64" s="1">
        <v>2024</v>
      </c>
      <c r="B64" s="1" t="s">
        <v>62</v>
      </c>
      <c r="C64" s="2">
        <v>180389</v>
      </c>
      <c r="D64" s="8">
        <v>1.3528999999999999E-4</v>
      </c>
    </row>
    <row r="65" spans="1:4" x14ac:dyDescent="0.2">
      <c r="A65" s="1">
        <v>2024</v>
      </c>
      <c r="B65" s="1" t="s">
        <v>63</v>
      </c>
      <c r="C65" s="2">
        <v>53637</v>
      </c>
      <c r="D65" s="8">
        <v>4.0229999999999999E-5</v>
      </c>
    </row>
    <row r="66" spans="1:4" x14ac:dyDescent="0.2">
      <c r="A66" s="1">
        <v>2024</v>
      </c>
      <c r="B66" s="1" t="s">
        <v>64</v>
      </c>
      <c r="C66" s="2">
        <v>1455102</v>
      </c>
      <c r="D66" s="8">
        <v>1.0912700000000001E-3</v>
      </c>
    </row>
    <row r="67" spans="1:4" x14ac:dyDescent="0.2">
      <c r="A67" s="1">
        <v>2024</v>
      </c>
      <c r="B67" s="1" t="s">
        <v>65</v>
      </c>
      <c r="C67" s="2">
        <v>5227465</v>
      </c>
      <c r="D67" s="8">
        <v>3.9204000000000001E-3</v>
      </c>
    </row>
    <row r="68" spans="1:4" x14ac:dyDescent="0.2">
      <c r="A68" s="1">
        <v>2024</v>
      </c>
      <c r="B68" s="1" t="s">
        <v>66</v>
      </c>
      <c r="C68" s="2">
        <v>67281</v>
      </c>
      <c r="D68" s="8">
        <v>5.0460000000000001E-5</v>
      </c>
    </row>
    <row r="69" spans="1:4" x14ac:dyDescent="0.2">
      <c r="A69" s="1">
        <v>2024</v>
      </c>
      <c r="B69" s="1" t="s">
        <v>67</v>
      </c>
      <c r="C69" s="2">
        <v>1395291</v>
      </c>
      <c r="D69" s="8">
        <v>1.0464199999999999E-3</v>
      </c>
    </row>
    <row r="70" spans="1:4" x14ac:dyDescent="0.2">
      <c r="A70" s="1">
        <v>2024</v>
      </c>
      <c r="B70" s="1" t="s">
        <v>68</v>
      </c>
      <c r="C70" s="2">
        <v>1175446</v>
      </c>
      <c r="D70" s="8">
        <v>8.8153999999999999E-4</v>
      </c>
    </row>
    <row r="71" spans="1:4" x14ac:dyDescent="0.2">
      <c r="A71" s="1">
        <v>2024</v>
      </c>
      <c r="B71" s="1" t="s">
        <v>69</v>
      </c>
      <c r="C71" s="2">
        <v>3213262</v>
      </c>
      <c r="D71" s="8">
        <v>2.40982E-3</v>
      </c>
    </row>
    <row r="72" spans="1:4" x14ac:dyDescent="0.2">
      <c r="A72" s="1">
        <v>2024</v>
      </c>
      <c r="B72" s="1" t="s">
        <v>70</v>
      </c>
      <c r="C72" s="2">
        <v>59702</v>
      </c>
      <c r="D72" s="8">
        <v>4.477E-5</v>
      </c>
    </row>
    <row r="73" spans="1:4" x14ac:dyDescent="0.2">
      <c r="A73" s="1">
        <v>2024</v>
      </c>
      <c r="B73" s="1" t="s">
        <v>71</v>
      </c>
      <c r="C73" s="2">
        <v>59093</v>
      </c>
      <c r="D73" s="8">
        <v>4.4320000000000003E-5</v>
      </c>
    </row>
    <row r="74" spans="1:4" x14ac:dyDescent="0.2">
      <c r="A74" s="1">
        <v>2024</v>
      </c>
      <c r="B74" s="1" t="s">
        <v>72</v>
      </c>
      <c r="C74" s="2">
        <v>126480</v>
      </c>
      <c r="D74" s="8">
        <v>9.4859999999999996E-5</v>
      </c>
    </row>
    <row r="75" spans="1:4" x14ac:dyDescent="0.2">
      <c r="A75" s="1">
        <v>2024</v>
      </c>
      <c r="B75" s="1" t="s">
        <v>73</v>
      </c>
      <c r="C75" s="2">
        <v>51906</v>
      </c>
      <c r="D75" s="8">
        <v>3.8930000000000002E-5</v>
      </c>
    </row>
    <row r="76" spans="1:4" x14ac:dyDescent="0.2">
      <c r="A76" s="1">
        <v>2024</v>
      </c>
      <c r="B76" s="1" t="s">
        <v>74</v>
      </c>
      <c r="C76" s="2">
        <v>1526974</v>
      </c>
      <c r="D76" s="8">
        <v>1.14517E-3</v>
      </c>
    </row>
    <row r="77" spans="1:4" x14ac:dyDescent="0.2">
      <c r="A77" s="1">
        <v>2024</v>
      </c>
      <c r="B77" s="1" t="s">
        <v>75</v>
      </c>
      <c r="C77" s="2">
        <v>32053</v>
      </c>
      <c r="D77" s="8">
        <v>2.404E-5</v>
      </c>
    </row>
    <row r="78" spans="1:4" x14ac:dyDescent="0.2">
      <c r="A78" s="1">
        <v>2024</v>
      </c>
      <c r="B78" s="1" t="s">
        <v>76</v>
      </c>
      <c r="C78" s="2">
        <v>298630</v>
      </c>
      <c r="D78" s="8">
        <v>2.2395999999999999E-4</v>
      </c>
    </row>
    <row r="79" spans="1:4" x14ac:dyDescent="0.2">
      <c r="A79" s="1">
        <v>2024</v>
      </c>
      <c r="B79" s="1" t="s">
        <v>77</v>
      </c>
      <c r="C79" s="2">
        <v>69330</v>
      </c>
      <c r="D79" s="8">
        <v>5.1999999999999997E-5</v>
      </c>
    </row>
    <row r="80" spans="1:4" x14ac:dyDescent="0.2">
      <c r="A80" s="1">
        <v>2024</v>
      </c>
      <c r="B80" s="1" t="s">
        <v>78</v>
      </c>
      <c r="C80" s="2">
        <v>95977</v>
      </c>
      <c r="D80" s="8">
        <v>7.1979999999999999E-5</v>
      </c>
    </row>
    <row r="81" spans="1:4" x14ac:dyDescent="0.2">
      <c r="A81" s="1">
        <v>2024</v>
      </c>
      <c r="B81" s="1" t="s">
        <v>79</v>
      </c>
      <c r="C81" s="2">
        <v>80980</v>
      </c>
      <c r="D81" s="8">
        <v>6.0730000000000003E-5</v>
      </c>
    </row>
    <row r="82" spans="1:4" x14ac:dyDescent="0.2">
      <c r="A82" s="1">
        <v>2024</v>
      </c>
      <c r="B82" s="1" t="s">
        <v>80</v>
      </c>
      <c r="C82" s="2">
        <v>2829258</v>
      </c>
      <c r="D82" s="8">
        <v>2.1218399999999998E-3</v>
      </c>
    </row>
    <row r="83" spans="1:4" x14ac:dyDescent="0.2">
      <c r="A83" s="1">
        <v>2024</v>
      </c>
      <c r="B83" s="1" t="s">
        <v>81</v>
      </c>
      <c r="C83" s="2">
        <v>525320</v>
      </c>
      <c r="D83" s="8">
        <v>3.9397E-4</v>
      </c>
    </row>
    <row r="84" spans="1:4" x14ac:dyDescent="0.2">
      <c r="A84" s="1">
        <v>2024</v>
      </c>
      <c r="B84" s="1" t="s">
        <v>82</v>
      </c>
      <c r="C84" s="2">
        <v>3845</v>
      </c>
      <c r="D84" s="8">
        <v>2.88E-6</v>
      </c>
    </row>
    <row r="85" spans="1:4" x14ac:dyDescent="0.2">
      <c r="A85" s="1">
        <v>2024</v>
      </c>
      <c r="B85" s="1" t="s">
        <v>83</v>
      </c>
      <c r="C85" s="2">
        <v>718771</v>
      </c>
      <c r="D85" s="8">
        <v>5.3905000000000001E-4</v>
      </c>
    </row>
    <row r="86" spans="1:4" x14ac:dyDescent="0.2">
      <c r="A86" s="1">
        <v>2024</v>
      </c>
      <c r="B86" s="1" t="s">
        <v>84</v>
      </c>
      <c r="C86" s="2">
        <v>55918</v>
      </c>
      <c r="D86" s="8">
        <v>4.1940000000000002E-5</v>
      </c>
    </row>
    <row r="87" spans="1:4" x14ac:dyDescent="0.2">
      <c r="A87" s="1">
        <v>2024</v>
      </c>
      <c r="B87" s="1" t="s">
        <v>85</v>
      </c>
      <c r="C87" s="2">
        <v>63422</v>
      </c>
      <c r="D87" s="8">
        <v>4.7559999999999999E-5</v>
      </c>
    </row>
    <row r="88" spans="1:4" x14ac:dyDescent="0.2">
      <c r="A88" s="1">
        <v>2024</v>
      </c>
      <c r="B88" s="1" t="s">
        <v>86</v>
      </c>
      <c r="C88" s="2">
        <v>3626733</v>
      </c>
      <c r="D88" s="8">
        <v>2.7199099999999999E-3</v>
      </c>
    </row>
    <row r="89" spans="1:4" x14ac:dyDescent="0.2">
      <c r="A89" s="1">
        <v>2024</v>
      </c>
      <c r="B89" s="1" t="s">
        <v>87</v>
      </c>
      <c r="C89" s="2">
        <v>678318</v>
      </c>
      <c r="D89" s="8">
        <v>5.0871E-4</v>
      </c>
    </row>
    <row r="90" spans="1:4" x14ac:dyDescent="0.2">
      <c r="A90" s="1">
        <v>2024</v>
      </c>
      <c r="B90" s="1" t="s">
        <v>88</v>
      </c>
      <c r="C90" s="2">
        <v>29224</v>
      </c>
      <c r="D90" s="8">
        <v>2.192E-5</v>
      </c>
    </row>
    <row r="91" spans="1:4" x14ac:dyDescent="0.2">
      <c r="A91" s="1">
        <v>2024</v>
      </c>
      <c r="B91" s="1" t="s">
        <v>89</v>
      </c>
      <c r="C91" s="2">
        <v>1021997</v>
      </c>
      <c r="D91" s="8">
        <v>7.6645999999999995E-4</v>
      </c>
    </row>
    <row r="92" spans="1:4" x14ac:dyDescent="0.2">
      <c r="A92" s="1">
        <v>2024</v>
      </c>
      <c r="B92" s="1" t="s">
        <v>90</v>
      </c>
      <c r="C92" s="2">
        <v>774903</v>
      </c>
      <c r="D92" s="8">
        <v>5.8115E-4</v>
      </c>
    </row>
    <row r="93" spans="1:4" x14ac:dyDescent="0.2">
      <c r="A93" s="1">
        <v>2024</v>
      </c>
      <c r="B93" s="1" t="s">
        <v>91</v>
      </c>
      <c r="C93" s="2">
        <v>15349</v>
      </c>
      <c r="D93" s="8">
        <v>1.151E-5</v>
      </c>
    </row>
    <row r="94" spans="1:4" x14ac:dyDescent="0.2">
      <c r="A94" s="1">
        <v>2024</v>
      </c>
      <c r="B94" s="1" t="s">
        <v>92</v>
      </c>
      <c r="C94" s="2">
        <v>433259</v>
      </c>
      <c r="D94" s="8">
        <v>3.2493000000000002E-4</v>
      </c>
    </row>
    <row r="95" spans="1:4" x14ac:dyDescent="0.2">
      <c r="A95" s="1">
        <v>2024</v>
      </c>
      <c r="B95" s="1" t="s">
        <v>93</v>
      </c>
      <c r="C95" s="2">
        <v>8678</v>
      </c>
      <c r="D95" s="8">
        <v>6.5100000000000004E-6</v>
      </c>
    </row>
    <row r="96" spans="1:4" x14ac:dyDescent="0.2">
      <c r="A96" s="1">
        <v>2024</v>
      </c>
      <c r="B96" s="1" t="s">
        <v>94</v>
      </c>
      <c r="C96" s="2">
        <v>255033</v>
      </c>
      <c r="D96" s="8">
        <v>1.9127E-4</v>
      </c>
    </row>
    <row r="97" spans="1:4" x14ac:dyDescent="0.2">
      <c r="A97" s="1">
        <v>2024</v>
      </c>
      <c r="B97" s="1" t="s">
        <v>95</v>
      </c>
      <c r="C97" s="2">
        <v>114191</v>
      </c>
      <c r="D97" s="8">
        <v>8.564E-5</v>
      </c>
    </row>
    <row r="98" spans="1:4" x14ac:dyDescent="0.2">
      <c r="A98" s="1">
        <v>2024</v>
      </c>
      <c r="B98" s="1" t="s">
        <v>96</v>
      </c>
      <c r="C98" s="2">
        <v>130370</v>
      </c>
      <c r="D98" s="8">
        <v>9.7769999999999994E-5</v>
      </c>
    </row>
    <row r="99" spans="1:4" x14ac:dyDescent="0.2">
      <c r="A99" s="1">
        <v>2024</v>
      </c>
      <c r="B99" s="1" t="s">
        <v>97</v>
      </c>
      <c r="C99" s="2">
        <v>868152</v>
      </c>
      <c r="D99" s="8">
        <v>6.5107999999999995E-4</v>
      </c>
    </row>
    <row r="100" spans="1:4" x14ac:dyDescent="0.2">
      <c r="A100" s="1">
        <v>2024</v>
      </c>
      <c r="B100" s="1" t="s">
        <v>98</v>
      </c>
      <c r="C100" s="2">
        <v>2410606</v>
      </c>
      <c r="D100" s="8">
        <v>1.8078599999999999E-3</v>
      </c>
    </row>
    <row r="101" spans="1:4" x14ac:dyDescent="0.2">
      <c r="A101" s="1">
        <v>2024</v>
      </c>
      <c r="B101" s="1" t="s">
        <v>99</v>
      </c>
      <c r="C101" s="2">
        <v>101232</v>
      </c>
      <c r="D101" s="8">
        <v>7.5920000000000005E-5</v>
      </c>
    </row>
    <row r="102" spans="1:4" x14ac:dyDescent="0.2">
      <c r="A102" s="1">
        <v>2024</v>
      </c>
      <c r="B102" s="1" t="s">
        <v>100</v>
      </c>
      <c r="C102" s="2">
        <v>2028726</v>
      </c>
      <c r="D102" s="8">
        <v>1.52147E-3</v>
      </c>
    </row>
    <row r="103" spans="1:4" x14ac:dyDescent="0.2">
      <c r="A103" s="1">
        <v>2024</v>
      </c>
      <c r="B103" s="1" t="s">
        <v>101</v>
      </c>
      <c r="C103" s="2">
        <v>518090</v>
      </c>
      <c r="D103" s="8">
        <v>3.8854999999999998E-4</v>
      </c>
    </row>
    <row r="104" spans="1:4" x14ac:dyDescent="0.2">
      <c r="A104" s="1">
        <v>2024</v>
      </c>
      <c r="B104" s="1" t="s">
        <v>102</v>
      </c>
      <c r="C104" s="2">
        <v>21981</v>
      </c>
      <c r="D104" s="8">
        <v>1.649E-5</v>
      </c>
    </row>
    <row r="105" spans="1:4" x14ac:dyDescent="0.2">
      <c r="A105" s="1">
        <v>2024</v>
      </c>
      <c r="B105" s="1" t="s">
        <v>103</v>
      </c>
      <c r="C105" s="2">
        <v>11293</v>
      </c>
      <c r="D105" s="8">
        <v>8.4700000000000002E-6</v>
      </c>
    </row>
    <row r="106" spans="1:4" x14ac:dyDescent="0.2">
      <c r="A106" s="1">
        <v>2024</v>
      </c>
      <c r="B106" s="1" t="s">
        <v>104</v>
      </c>
      <c r="C106" s="2">
        <v>750216</v>
      </c>
      <c r="D106" s="8">
        <v>5.6263000000000005E-4</v>
      </c>
    </row>
    <row r="107" spans="1:4" x14ac:dyDescent="0.2">
      <c r="A107" s="1">
        <v>2024</v>
      </c>
      <c r="B107" s="1" t="s">
        <v>105</v>
      </c>
      <c r="C107" s="2">
        <v>260739</v>
      </c>
      <c r="D107" s="8">
        <v>1.9553999999999999E-4</v>
      </c>
    </row>
    <row r="108" spans="1:4" x14ac:dyDescent="0.2">
      <c r="A108" s="1">
        <v>2024</v>
      </c>
      <c r="B108" s="1" t="s">
        <v>106</v>
      </c>
      <c r="C108" s="2">
        <v>2230184</v>
      </c>
      <c r="D108" s="8">
        <v>1.6725500000000001E-3</v>
      </c>
    </row>
    <row r="109" spans="1:4" x14ac:dyDescent="0.2">
      <c r="A109" s="1">
        <v>2024</v>
      </c>
      <c r="B109" s="1" t="s">
        <v>107</v>
      </c>
      <c r="C109" s="2">
        <v>108769</v>
      </c>
      <c r="D109" s="8">
        <v>8.1570000000000007E-5</v>
      </c>
    </row>
    <row r="110" spans="1:4" x14ac:dyDescent="0.2">
      <c r="A110" s="1">
        <v>2024</v>
      </c>
      <c r="B110" s="1" t="s">
        <v>108</v>
      </c>
      <c r="C110" s="2">
        <v>178427</v>
      </c>
      <c r="D110" s="8">
        <v>1.3380999999999999E-4</v>
      </c>
    </row>
    <row r="111" spans="1:4" x14ac:dyDescent="0.2">
      <c r="A111" s="1">
        <v>2024</v>
      </c>
      <c r="B111" s="1" t="s">
        <v>109</v>
      </c>
      <c r="C111" s="2">
        <v>1611711</v>
      </c>
      <c r="D111" s="8">
        <v>1.2087199999999999E-3</v>
      </c>
    </row>
    <row r="112" spans="1:4" x14ac:dyDescent="0.2">
      <c r="A112" s="1">
        <v>2024</v>
      </c>
      <c r="B112" s="1" t="s">
        <v>110</v>
      </c>
      <c r="C112" s="2">
        <v>664245</v>
      </c>
      <c r="D112" s="8">
        <v>4.9815999999999999E-4</v>
      </c>
    </row>
    <row r="113" spans="1:4" x14ac:dyDescent="0.2">
      <c r="A113" s="1">
        <v>2024</v>
      </c>
      <c r="B113" s="1" t="s">
        <v>111</v>
      </c>
      <c r="C113" s="2">
        <v>660946</v>
      </c>
      <c r="D113" s="8">
        <v>4.9567999999999997E-4</v>
      </c>
    </row>
    <row r="114" spans="1:4" x14ac:dyDescent="0.2">
      <c r="A114" s="1">
        <v>2024</v>
      </c>
      <c r="B114" s="1" t="s">
        <v>112</v>
      </c>
      <c r="C114" s="2">
        <v>160098</v>
      </c>
      <c r="D114" s="8">
        <v>1.2006999999999999E-4</v>
      </c>
    </row>
    <row r="115" spans="1:4" x14ac:dyDescent="0.2">
      <c r="A115" s="1">
        <v>2024</v>
      </c>
      <c r="B115" s="1" t="s">
        <v>113</v>
      </c>
      <c r="C115" s="2">
        <v>819045</v>
      </c>
      <c r="D115" s="8">
        <v>6.1425E-4</v>
      </c>
    </row>
    <row r="116" spans="1:4" x14ac:dyDescent="0.2">
      <c r="A116" s="1">
        <v>2024</v>
      </c>
      <c r="B116" s="1" t="s">
        <v>114</v>
      </c>
      <c r="C116" s="2">
        <v>1040175</v>
      </c>
      <c r="D116" s="8">
        <v>7.8008999999999999E-4</v>
      </c>
    </row>
    <row r="117" spans="1:4" x14ac:dyDescent="0.2">
      <c r="A117" s="1">
        <v>2024</v>
      </c>
      <c r="B117" s="1" t="s">
        <v>115</v>
      </c>
      <c r="C117" s="2">
        <v>93865</v>
      </c>
      <c r="D117" s="8">
        <v>7.0400000000000004E-5</v>
      </c>
    </row>
    <row r="118" spans="1:4" x14ac:dyDescent="0.2">
      <c r="A118" s="1">
        <v>2024</v>
      </c>
      <c r="B118" s="1" t="s">
        <v>116</v>
      </c>
      <c r="C118" s="2">
        <v>2448134</v>
      </c>
      <c r="D118" s="8">
        <v>1.8360099999999999E-3</v>
      </c>
    </row>
    <row r="119" spans="1:4" x14ac:dyDescent="0.2">
      <c r="A119" s="1">
        <v>2024</v>
      </c>
      <c r="B119" s="1" t="s">
        <v>117</v>
      </c>
      <c r="C119" s="2">
        <v>33743</v>
      </c>
      <c r="D119" s="8">
        <v>2.531E-5</v>
      </c>
    </row>
    <row r="120" spans="1:4" x14ac:dyDescent="0.2">
      <c r="A120" s="1">
        <v>2024</v>
      </c>
      <c r="B120" s="1" t="s">
        <v>118</v>
      </c>
      <c r="C120" s="2">
        <v>716949</v>
      </c>
      <c r="D120" s="8">
        <v>5.3768000000000002E-4</v>
      </c>
    </row>
    <row r="121" spans="1:4" x14ac:dyDescent="0.2">
      <c r="A121" s="1">
        <v>2024</v>
      </c>
      <c r="B121" s="1" t="s">
        <v>119</v>
      </c>
      <c r="C121" s="2">
        <v>710906</v>
      </c>
      <c r="D121" s="8">
        <v>5.3315000000000003E-4</v>
      </c>
    </row>
    <row r="122" spans="1:4" x14ac:dyDescent="0.2">
      <c r="A122" s="1">
        <v>2024</v>
      </c>
      <c r="B122" s="1" t="s">
        <v>120</v>
      </c>
      <c r="C122" s="2">
        <v>40670</v>
      </c>
      <c r="D122" s="8">
        <v>3.0499999999999999E-5</v>
      </c>
    </row>
    <row r="123" spans="1:4" x14ac:dyDescent="0.2">
      <c r="A123" s="1">
        <v>2024</v>
      </c>
      <c r="B123" s="1" t="s">
        <v>121</v>
      </c>
      <c r="C123" s="2">
        <v>1109538</v>
      </c>
      <c r="D123" s="8">
        <v>8.3210999999999995E-4</v>
      </c>
    </row>
    <row r="124" spans="1:4" x14ac:dyDescent="0.2">
      <c r="A124" s="1">
        <v>2024</v>
      </c>
      <c r="B124" s="1" t="s">
        <v>122</v>
      </c>
      <c r="C124" s="2">
        <v>3488110</v>
      </c>
      <c r="D124" s="8">
        <v>2.6159500000000001E-3</v>
      </c>
    </row>
    <row r="125" spans="1:4" x14ac:dyDescent="0.2">
      <c r="A125" s="1">
        <v>2024</v>
      </c>
      <c r="B125" s="1" t="s">
        <v>123</v>
      </c>
      <c r="C125" s="2">
        <v>2037187</v>
      </c>
      <c r="D125" s="8">
        <v>1.5278100000000001E-3</v>
      </c>
    </row>
    <row r="126" spans="1:4" x14ac:dyDescent="0.2">
      <c r="A126" s="1">
        <v>2024</v>
      </c>
      <c r="B126" s="1" t="s">
        <v>124</v>
      </c>
      <c r="C126" s="2">
        <v>5748070</v>
      </c>
      <c r="D126" s="8">
        <v>4.3108299999999999E-3</v>
      </c>
    </row>
    <row r="127" spans="1:4" x14ac:dyDescent="0.2">
      <c r="A127" s="1">
        <v>2024</v>
      </c>
      <c r="B127" s="1" t="s">
        <v>125</v>
      </c>
      <c r="C127" s="2">
        <v>1663735</v>
      </c>
      <c r="D127" s="8">
        <v>1.24774E-3</v>
      </c>
    </row>
    <row r="128" spans="1:4" x14ac:dyDescent="0.2">
      <c r="A128" s="1">
        <v>2024</v>
      </c>
      <c r="B128" s="1" t="s">
        <v>126</v>
      </c>
      <c r="C128" s="2">
        <v>1014740</v>
      </c>
      <c r="D128" s="8">
        <v>7.6101999999999995E-4</v>
      </c>
    </row>
    <row r="129" spans="1:4" x14ac:dyDescent="0.2">
      <c r="A129" s="1">
        <v>2024</v>
      </c>
      <c r="B129" s="1" t="s">
        <v>127</v>
      </c>
      <c r="C129" s="2">
        <v>5013</v>
      </c>
      <c r="D129" s="8">
        <v>3.76E-6</v>
      </c>
    </row>
    <row r="130" spans="1:4" x14ac:dyDescent="0.2">
      <c r="A130" s="1">
        <v>2024</v>
      </c>
      <c r="B130" s="1" t="s">
        <v>128</v>
      </c>
      <c r="C130" s="2">
        <v>2106405</v>
      </c>
      <c r="D130" s="8">
        <v>1.57972E-3</v>
      </c>
    </row>
    <row r="131" spans="1:4" x14ac:dyDescent="0.2">
      <c r="A131" s="1">
        <v>2024</v>
      </c>
      <c r="B131" s="1" t="s">
        <v>129</v>
      </c>
      <c r="C131" s="2">
        <v>259120</v>
      </c>
      <c r="D131" s="8">
        <v>1.9432999999999999E-4</v>
      </c>
    </row>
    <row r="132" spans="1:4" x14ac:dyDescent="0.2">
      <c r="A132" s="1">
        <v>2024</v>
      </c>
      <c r="B132" s="1" t="s">
        <v>130</v>
      </c>
      <c r="C132" s="2">
        <v>577034</v>
      </c>
      <c r="D132" s="8">
        <v>4.3274999999999997E-4</v>
      </c>
    </row>
    <row r="133" spans="1:4" x14ac:dyDescent="0.2">
      <c r="A133" s="1">
        <v>2024</v>
      </c>
      <c r="B133" s="1" t="s">
        <v>131</v>
      </c>
      <c r="C133" s="2">
        <v>54587</v>
      </c>
      <c r="D133" s="8">
        <v>4.0939999999999998E-5</v>
      </c>
    </row>
    <row r="134" spans="1:4" x14ac:dyDescent="0.2">
      <c r="A134" s="1">
        <v>2024</v>
      </c>
      <c r="B134" s="1" t="s">
        <v>132</v>
      </c>
      <c r="C134" s="2">
        <v>64475</v>
      </c>
      <c r="D134" s="8">
        <v>4.8350000000000003E-5</v>
      </c>
    </row>
    <row r="135" spans="1:4" x14ac:dyDescent="0.2">
      <c r="A135" s="1">
        <v>2024</v>
      </c>
      <c r="B135" s="1" t="s">
        <v>133</v>
      </c>
      <c r="C135" s="2">
        <v>483732</v>
      </c>
      <c r="D135" s="8">
        <v>3.6277999999999999E-4</v>
      </c>
    </row>
    <row r="136" spans="1:4" x14ac:dyDescent="0.2">
      <c r="A136" s="1">
        <v>2024</v>
      </c>
      <c r="B136" s="1" t="s">
        <v>134</v>
      </c>
      <c r="C136" s="2">
        <v>633401</v>
      </c>
      <c r="D136" s="8">
        <v>4.7502999999999998E-4</v>
      </c>
    </row>
    <row r="137" spans="1:4" x14ac:dyDescent="0.2">
      <c r="A137" s="1">
        <v>2024</v>
      </c>
      <c r="B137" s="1" t="s">
        <v>135</v>
      </c>
      <c r="C137" s="2">
        <v>2179619</v>
      </c>
      <c r="D137" s="8">
        <v>1.63463E-3</v>
      </c>
    </row>
    <row r="138" spans="1:4" x14ac:dyDescent="0.2">
      <c r="A138" s="1">
        <v>2024</v>
      </c>
      <c r="B138" s="1" t="s">
        <v>136</v>
      </c>
      <c r="C138" s="2">
        <v>1819779</v>
      </c>
      <c r="D138" s="8">
        <v>1.36476E-3</v>
      </c>
    </row>
    <row r="139" spans="1:4" x14ac:dyDescent="0.2">
      <c r="A139" s="1">
        <v>2024</v>
      </c>
      <c r="B139" s="1" t="s">
        <v>137</v>
      </c>
      <c r="C139" s="2">
        <v>138475</v>
      </c>
      <c r="D139" s="8">
        <v>1.0385E-4</v>
      </c>
    </row>
    <row r="140" spans="1:4" x14ac:dyDescent="0.2">
      <c r="A140" s="1">
        <v>2024</v>
      </c>
      <c r="B140" s="1" t="s">
        <v>138</v>
      </c>
      <c r="C140" s="2">
        <v>1044514</v>
      </c>
      <c r="D140" s="8">
        <v>7.8335000000000004E-4</v>
      </c>
    </row>
    <row r="141" spans="1:4" x14ac:dyDescent="0.2">
      <c r="A141" s="1">
        <v>2024</v>
      </c>
      <c r="B141" s="1" t="s">
        <v>139</v>
      </c>
      <c r="C141" s="2">
        <v>4311214</v>
      </c>
      <c r="D141" s="8">
        <v>3.23325E-3</v>
      </c>
    </row>
    <row r="142" spans="1:4" x14ac:dyDescent="0.2">
      <c r="A142" s="1">
        <v>2024</v>
      </c>
      <c r="B142" s="1" t="s">
        <v>140</v>
      </c>
      <c r="C142" s="2">
        <v>69258</v>
      </c>
      <c r="D142" s="8">
        <v>5.1940000000000001E-5</v>
      </c>
    </row>
    <row r="143" spans="1:4" x14ac:dyDescent="0.2">
      <c r="A143" s="1">
        <v>2024</v>
      </c>
      <c r="B143" s="1" t="s">
        <v>141</v>
      </c>
      <c r="C143" s="2">
        <v>64075</v>
      </c>
      <c r="D143" s="8">
        <v>4.8050000000000002E-5</v>
      </c>
    </row>
    <row r="144" spans="1:4" x14ac:dyDescent="0.2">
      <c r="A144" s="1">
        <v>2024</v>
      </c>
      <c r="B144" s="1" t="s">
        <v>142</v>
      </c>
      <c r="C144" s="2">
        <v>2398456</v>
      </c>
      <c r="D144" s="8">
        <v>1.79875E-3</v>
      </c>
    </row>
    <row r="145" spans="1:4" x14ac:dyDescent="0.2">
      <c r="A145" s="1">
        <v>2024</v>
      </c>
      <c r="B145" s="1" t="s">
        <v>143</v>
      </c>
      <c r="C145" s="2">
        <v>1010719</v>
      </c>
      <c r="D145" s="8">
        <v>7.5799999999999999E-4</v>
      </c>
    </row>
    <row r="146" spans="1:4" x14ac:dyDescent="0.2">
      <c r="A146" s="1">
        <v>2024</v>
      </c>
      <c r="B146" s="1" t="s">
        <v>144</v>
      </c>
      <c r="C146" s="2">
        <v>42097</v>
      </c>
      <c r="D146" s="8">
        <v>3.1569999999999998E-5</v>
      </c>
    </row>
    <row r="147" spans="1:4" x14ac:dyDescent="0.2">
      <c r="A147" s="1">
        <v>2024</v>
      </c>
      <c r="B147" s="1" t="s">
        <v>145</v>
      </c>
      <c r="C147" s="2">
        <v>20248</v>
      </c>
      <c r="D147" s="8">
        <v>1.519E-5</v>
      </c>
    </row>
    <row r="148" spans="1:4" x14ac:dyDescent="0.2">
      <c r="A148" s="1">
        <v>2024</v>
      </c>
      <c r="B148" s="1" t="s">
        <v>146</v>
      </c>
      <c r="C148" s="2">
        <v>2775332</v>
      </c>
      <c r="D148" s="8">
        <v>2.0813899999999998E-3</v>
      </c>
    </row>
    <row r="149" spans="1:4" x14ac:dyDescent="0.2">
      <c r="A149" s="1">
        <v>2024</v>
      </c>
      <c r="B149" s="1" t="s">
        <v>147</v>
      </c>
      <c r="C149" s="2">
        <v>1168937</v>
      </c>
      <c r="D149" s="8">
        <v>8.7666000000000003E-4</v>
      </c>
    </row>
    <row r="150" spans="1:4" x14ac:dyDescent="0.2">
      <c r="A150" s="1">
        <v>2024</v>
      </c>
      <c r="B150" s="1" t="s">
        <v>148</v>
      </c>
      <c r="C150" s="2">
        <v>464654</v>
      </c>
      <c r="D150" s="8">
        <v>3.4846999999999998E-4</v>
      </c>
    </row>
    <row r="151" spans="1:4" x14ac:dyDescent="0.2">
      <c r="A151" s="1">
        <v>2024</v>
      </c>
      <c r="B151" s="1" t="s">
        <v>149</v>
      </c>
      <c r="C151" s="2">
        <v>74862</v>
      </c>
      <c r="D151" s="8">
        <v>5.6140000000000001E-5</v>
      </c>
    </row>
    <row r="152" spans="1:4" x14ac:dyDescent="0.2">
      <c r="A152" s="1">
        <v>2024</v>
      </c>
      <c r="B152" s="1" t="s">
        <v>150</v>
      </c>
      <c r="C152" s="2">
        <v>2782876</v>
      </c>
      <c r="D152" s="8">
        <v>2.08705E-3</v>
      </c>
    </row>
    <row r="153" spans="1:4" x14ac:dyDescent="0.2">
      <c r="A153" s="1">
        <v>2024</v>
      </c>
      <c r="B153" s="1" t="s">
        <v>151</v>
      </c>
      <c r="C153" s="2">
        <v>30951</v>
      </c>
      <c r="D153" s="8">
        <v>2.321E-5</v>
      </c>
    </row>
    <row r="154" spans="1:4" x14ac:dyDescent="0.2">
      <c r="A154" s="1">
        <v>2024</v>
      </c>
      <c r="B154" s="1" t="s">
        <v>152</v>
      </c>
      <c r="C154" s="2">
        <v>49714</v>
      </c>
      <c r="D154" s="8">
        <v>3.7280000000000002E-5</v>
      </c>
    </row>
    <row r="155" spans="1:4" x14ac:dyDescent="0.2">
      <c r="A155" s="1">
        <v>2024</v>
      </c>
      <c r="B155" s="1" t="s">
        <v>153</v>
      </c>
      <c r="C155" s="2">
        <v>15499</v>
      </c>
      <c r="D155" s="8">
        <v>1.1620000000000001E-5</v>
      </c>
    </row>
    <row r="156" spans="1:4" x14ac:dyDescent="0.2">
      <c r="A156" s="1">
        <v>2024</v>
      </c>
      <c r="B156" s="1" t="s">
        <v>154</v>
      </c>
      <c r="C156" s="2">
        <v>17391166</v>
      </c>
      <c r="D156" s="8">
        <v>1.3042710000000001E-2</v>
      </c>
    </row>
    <row r="157" spans="1:4" x14ac:dyDescent="0.2">
      <c r="A157" s="1">
        <v>2024</v>
      </c>
      <c r="B157" s="1" t="s">
        <v>155</v>
      </c>
      <c r="C157" s="2">
        <v>70810</v>
      </c>
      <c r="D157" s="8">
        <v>5.3100000000000003E-5</v>
      </c>
    </row>
    <row r="158" spans="1:4" x14ac:dyDescent="0.2">
      <c r="A158" s="1">
        <v>2024</v>
      </c>
      <c r="B158" s="1" t="s">
        <v>156</v>
      </c>
      <c r="C158" s="2">
        <v>3274773</v>
      </c>
      <c r="D158" s="8">
        <v>2.4559600000000001E-3</v>
      </c>
    </row>
    <row r="159" spans="1:4" x14ac:dyDescent="0.2">
      <c r="A159" s="1">
        <v>2024</v>
      </c>
      <c r="B159" s="1" t="s">
        <v>157</v>
      </c>
      <c r="C159" s="2">
        <v>898511</v>
      </c>
      <c r="D159" s="8">
        <v>6.7385000000000003E-4</v>
      </c>
    </row>
    <row r="160" spans="1:4" x14ac:dyDescent="0.2">
      <c r="A160" s="1">
        <v>2024</v>
      </c>
      <c r="B160" s="1" t="s">
        <v>158</v>
      </c>
      <c r="C160" s="2">
        <v>27872</v>
      </c>
      <c r="D160" s="8">
        <v>2.09E-5</v>
      </c>
    </row>
    <row r="161" spans="1:4" x14ac:dyDescent="0.2">
      <c r="A161" s="1">
        <v>2024</v>
      </c>
      <c r="B161" s="1" t="s">
        <v>159</v>
      </c>
      <c r="C161" s="2">
        <v>5862</v>
      </c>
      <c r="D161" s="8">
        <v>4.4000000000000002E-6</v>
      </c>
    </row>
    <row r="162" spans="1:4" x14ac:dyDescent="0.2">
      <c r="A162" s="1">
        <v>2024</v>
      </c>
      <c r="B162" s="1" t="s">
        <v>160</v>
      </c>
      <c r="C162" s="2">
        <v>9814</v>
      </c>
      <c r="D162" s="8">
        <v>7.3599999999999998E-6</v>
      </c>
    </row>
    <row r="163" spans="1:4" x14ac:dyDescent="0.2">
      <c r="A163" s="1">
        <v>2024</v>
      </c>
      <c r="B163" s="1" t="s">
        <v>161</v>
      </c>
      <c r="C163" s="2">
        <v>14767</v>
      </c>
      <c r="D163" s="8">
        <v>1.1070000000000001E-5</v>
      </c>
    </row>
    <row r="164" spans="1:4" x14ac:dyDescent="0.2">
      <c r="A164" s="1">
        <v>2024</v>
      </c>
      <c r="B164" s="1" t="s">
        <v>162</v>
      </c>
      <c r="C164" s="2">
        <v>6070</v>
      </c>
      <c r="D164" s="8">
        <v>4.5499999999999996E-6</v>
      </c>
    </row>
    <row r="165" spans="1:4" x14ac:dyDescent="0.2">
      <c r="A165" s="1">
        <v>2024</v>
      </c>
      <c r="B165" s="1" t="s">
        <v>163</v>
      </c>
      <c r="C165" s="2">
        <v>257814</v>
      </c>
      <c r="D165" s="8">
        <v>1.9335000000000001E-4</v>
      </c>
    </row>
    <row r="166" spans="1:4" x14ac:dyDescent="0.2">
      <c r="A166" s="1">
        <v>2024</v>
      </c>
      <c r="B166" s="1" t="s">
        <v>164</v>
      </c>
      <c r="C166" s="2">
        <v>133651</v>
      </c>
      <c r="D166" s="8">
        <v>1.0022999999999999E-4</v>
      </c>
    </row>
    <row r="167" spans="1:4" x14ac:dyDescent="0.2">
      <c r="A167" s="1">
        <v>2024</v>
      </c>
      <c r="B167" s="1" t="s">
        <v>165</v>
      </c>
      <c r="C167" s="2">
        <v>75358</v>
      </c>
      <c r="D167" s="8">
        <v>5.6520000000000001E-5</v>
      </c>
    </row>
    <row r="168" spans="1:4" x14ac:dyDescent="0.2">
      <c r="A168" s="1">
        <v>2024</v>
      </c>
      <c r="B168" s="1" t="s">
        <v>166</v>
      </c>
      <c r="C168" s="2">
        <v>50441</v>
      </c>
      <c r="D168" s="8">
        <v>3.7830000000000002E-5</v>
      </c>
    </row>
    <row r="169" spans="1:4" x14ac:dyDescent="0.2">
      <c r="A169" s="1">
        <v>2024</v>
      </c>
      <c r="B169" s="1" t="s">
        <v>167</v>
      </c>
      <c r="C169" s="2">
        <v>26815</v>
      </c>
      <c r="D169" s="8">
        <v>2.0109999999999999E-5</v>
      </c>
    </row>
    <row r="170" spans="1:4" x14ac:dyDescent="0.2">
      <c r="A170" s="1">
        <v>2024</v>
      </c>
      <c r="B170" s="1" t="s">
        <v>168</v>
      </c>
      <c r="C170" s="2">
        <v>3341442</v>
      </c>
      <c r="D170" s="8">
        <v>2.5059499999999998E-3</v>
      </c>
    </row>
    <row r="171" spans="1:4" x14ac:dyDescent="0.2">
      <c r="A171" s="1">
        <v>2024</v>
      </c>
      <c r="B171" s="1" t="s">
        <v>169</v>
      </c>
      <c r="C171" s="2">
        <v>4674891</v>
      </c>
      <c r="D171" s="8">
        <v>3.5059900000000001E-3</v>
      </c>
    </row>
    <row r="172" spans="1:4" x14ac:dyDescent="0.2">
      <c r="A172" s="1">
        <v>2024</v>
      </c>
      <c r="B172" s="1" t="s">
        <v>170</v>
      </c>
      <c r="C172" s="2">
        <v>3937734</v>
      </c>
      <c r="D172" s="8">
        <v>2.9531499999999999E-3</v>
      </c>
    </row>
    <row r="173" spans="1:4" x14ac:dyDescent="0.2">
      <c r="A173" s="1">
        <v>2024</v>
      </c>
      <c r="B173" s="1" t="s">
        <v>171</v>
      </c>
      <c r="C173" s="2">
        <v>12980875</v>
      </c>
      <c r="D173" s="8">
        <v>9.7351599999999996E-3</v>
      </c>
    </row>
    <row r="174" spans="1:4" x14ac:dyDescent="0.2">
      <c r="A174" s="1">
        <v>2024</v>
      </c>
      <c r="B174" s="1" t="s">
        <v>172</v>
      </c>
      <c r="C174" s="2">
        <v>39021</v>
      </c>
      <c r="D174" s="8">
        <v>2.9260000000000001E-5</v>
      </c>
    </row>
    <row r="175" spans="1:4" x14ac:dyDescent="0.2">
      <c r="A175" s="1">
        <v>2024</v>
      </c>
      <c r="B175" s="1" t="s">
        <v>173</v>
      </c>
      <c r="C175" s="2">
        <v>35802730</v>
      </c>
      <c r="D175" s="8">
        <v>2.685069E-2</v>
      </c>
    </row>
    <row r="176" spans="1:4" x14ac:dyDescent="0.2">
      <c r="A176" s="1">
        <v>2024</v>
      </c>
      <c r="B176" s="1" t="s">
        <v>174</v>
      </c>
      <c r="C176" s="2">
        <v>6862265</v>
      </c>
      <c r="D176" s="8">
        <v>5.1464400000000004E-3</v>
      </c>
    </row>
    <row r="177" spans="1:4" x14ac:dyDescent="0.2">
      <c r="A177" s="1">
        <v>2024</v>
      </c>
      <c r="B177" s="1" t="s">
        <v>175</v>
      </c>
      <c r="C177" s="2">
        <v>410445</v>
      </c>
      <c r="D177" s="8">
        <v>3.0781999999999999E-4</v>
      </c>
    </row>
    <row r="178" spans="1:4" x14ac:dyDescent="0.2">
      <c r="A178" s="1">
        <v>2024</v>
      </c>
      <c r="B178" s="1" t="s">
        <v>176</v>
      </c>
      <c r="C178" s="2">
        <v>13398</v>
      </c>
      <c r="D178" s="8">
        <v>1.005E-5</v>
      </c>
    </row>
    <row r="179" spans="1:4" x14ac:dyDescent="0.2">
      <c r="A179" s="1">
        <v>2024</v>
      </c>
      <c r="B179" s="1" t="s">
        <v>177</v>
      </c>
      <c r="C179" s="2">
        <v>15272</v>
      </c>
      <c r="D179" s="8">
        <v>1.145E-5</v>
      </c>
    </row>
    <row r="180" spans="1:4" x14ac:dyDescent="0.2">
      <c r="A180" s="1">
        <v>2024</v>
      </c>
      <c r="B180" s="1" t="s">
        <v>178</v>
      </c>
      <c r="C180" s="2">
        <v>185120</v>
      </c>
      <c r="D180" s="8">
        <v>1.3883E-4</v>
      </c>
    </row>
    <row r="181" spans="1:4" x14ac:dyDescent="0.2">
      <c r="A181" s="1">
        <v>2024</v>
      </c>
      <c r="B181" s="1" t="s">
        <v>179</v>
      </c>
      <c r="C181" s="2">
        <v>1438384</v>
      </c>
      <c r="D181" s="8">
        <v>1.07873E-3</v>
      </c>
    </row>
    <row r="182" spans="1:4" x14ac:dyDescent="0.2">
      <c r="A182" s="1">
        <v>2024</v>
      </c>
      <c r="B182" s="1" t="s">
        <v>180</v>
      </c>
      <c r="C182" s="2">
        <v>3881650</v>
      </c>
      <c r="D182" s="8">
        <v>2.9110899999999999E-3</v>
      </c>
    </row>
    <row r="183" spans="1:4" x14ac:dyDescent="0.2">
      <c r="A183" s="1">
        <v>2024</v>
      </c>
      <c r="B183" s="1" t="s">
        <v>181</v>
      </c>
      <c r="C183" s="2">
        <v>61672</v>
      </c>
      <c r="D183" s="8">
        <v>4.6249999999999999E-5</v>
      </c>
    </row>
    <row r="184" spans="1:4" x14ac:dyDescent="0.2">
      <c r="A184" s="1">
        <v>2024</v>
      </c>
      <c r="B184" s="1" t="s">
        <v>182</v>
      </c>
      <c r="C184" s="2">
        <v>82656</v>
      </c>
      <c r="D184" s="8">
        <v>6.1989999999999994E-5</v>
      </c>
    </row>
    <row r="185" spans="1:4" x14ac:dyDescent="0.2">
      <c r="A185" s="1">
        <v>2024</v>
      </c>
      <c r="B185" s="1" t="s">
        <v>183</v>
      </c>
      <c r="C185" s="2">
        <v>35268</v>
      </c>
      <c r="D185" s="8">
        <v>2.6449999999999999E-5</v>
      </c>
    </row>
    <row r="186" spans="1:4" x14ac:dyDescent="0.2">
      <c r="A186" s="1">
        <v>2024</v>
      </c>
      <c r="B186" s="1" t="s">
        <v>184</v>
      </c>
      <c r="C186" s="2">
        <v>144490</v>
      </c>
      <c r="D186" s="8">
        <v>1.0836E-4</v>
      </c>
    </row>
    <row r="187" spans="1:4" x14ac:dyDescent="0.2">
      <c r="A187" s="1">
        <v>2024</v>
      </c>
      <c r="B187" s="1" t="s">
        <v>185</v>
      </c>
      <c r="C187" s="2">
        <v>2184918</v>
      </c>
      <c r="D187" s="8">
        <v>1.63861E-3</v>
      </c>
    </row>
    <row r="188" spans="1:4" x14ac:dyDescent="0.2">
      <c r="A188" s="1">
        <v>2024</v>
      </c>
      <c r="B188" s="1" t="s">
        <v>186</v>
      </c>
      <c r="C188" s="2">
        <v>1121496</v>
      </c>
      <c r="D188" s="8">
        <v>8.4108000000000002E-4</v>
      </c>
    </row>
    <row r="189" spans="1:4" x14ac:dyDescent="0.2">
      <c r="A189" s="1">
        <v>2024</v>
      </c>
      <c r="B189" s="1" t="s">
        <v>187</v>
      </c>
      <c r="C189" s="2">
        <v>63906</v>
      </c>
      <c r="D189" s="8">
        <v>4.7929999999999997E-5</v>
      </c>
    </row>
    <row r="190" spans="1:4" x14ac:dyDescent="0.2">
      <c r="A190" s="1">
        <v>2024</v>
      </c>
      <c r="B190" s="1" t="s">
        <v>188</v>
      </c>
      <c r="C190" s="2">
        <v>3154340</v>
      </c>
      <c r="D190" s="8">
        <v>2.36564E-3</v>
      </c>
    </row>
    <row r="191" spans="1:4" x14ac:dyDescent="0.2">
      <c r="A191" s="1">
        <v>2024</v>
      </c>
      <c r="B191" s="1" t="s">
        <v>189</v>
      </c>
      <c r="C191" s="2">
        <v>41704</v>
      </c>
      <c r="D191" s="8">
        <v>3.1279999999999999E-5</v>
      </c>
    </row>
    <row r="192" spans="1:4" x14ac:dyDescent="0.2">
      <c r="A192" s="1">
        <v>2024</v>
      </c>
      <c r="B192" s="1" t="s">
        <v>190</v>
      </c>
      <c r="C192" s="2">
        <v>5461663</v>
      </c>
      <c r="D192" s="8">
        <v>4.0960399999999996E-3</v>
      </c>
    </row>
    <row r="193" spans="1:4" x14ac:dyDescent="0.2">
      <c r="A193" s="1">
        <v>2024</v>
      </c>
      <c r="B193" s="1" t="s">
        <v>191</v>
      </c>
      <c r="C193" s="2">
        <v>1125270</v>
      </c>
      <c r="D193" s="8">
        <v>8.4391000000000002E-4</v>
      </c>
    </row>
    <row r="194" spans="1:4" x14ac:dyDescent="0.2">
      <c r="A194" s="1">
        <v>2024</v>
      </c>
      <c r="B194" s="1" t="s">
        <v>192</v>
      </c>
      <c r="C194" s="2">
        <v>104074</v>
      </c>
      <c r="D194" s="8">
        <v>7.805E-5</v>
      </c>
    </row>
    <row r="195" spans="1:4" x14ac:dyDescent="0.2">
      <c r="A195" s="1">
        <v>2024</v>
      </c>
      <c r="B195" s="1" t="s">
        <v>193</v>
      </c>
      <c r="C195" s="2">
        <v>83065</v>
      </c>
      <c r="D195" s="8">
        <v>6.2299999999999996E-5</v>
      </c>
    </row>
    <row r="196" spans="1:4" x14ac:dyDescent="0.2">
      <c r="A196" s="1">
        <v>2024</v>
      </c>
      <c r="B196" s="1" t="s">
        <v>194</v>
      </c>
      <c r="C196" s="2">
        <v>733494</v>
      </c>
      <c r="D196" s="8">
        <v>5.5009000000000004E-4</v>
      </c>
    </row>
    <row r="197" spans="1:4" x14ac:dyDescent="0.2">
      <c r="A197" s="1">
        <v>2024</v>
      </c>
      <c r="B197" s="1" t="s">
        <v>195</v>
      </c>
      <c r="C197" s="2">
        <v>43737</v>
      </c>
      <c r="D197" s="8">
        <v>3.2799999999999998E-5</v>
      </c>
    </row>
    <row r="198" spans="1:4" x14ac:dyDescent="0.2">
      <c r="A198" s="1">
        <v>2024</v>
      </c>
      <c r="B198" s="1" t="s">
        <v>196</v>
      </c>
      <c r="C198" s="2">
        <v>27642</v>
      </c>
      <c r="D198" s="8">
        <v>2.073E-5</v>
      </c>
    </row>
    <row r="199" spans="1:4" x14ac:dyDescent="0.2">
      <c r="A199" s="1">
        <v>2024</v>
      </c>
      <c r="B199" s="1" t="s">
        <v>197</v>
      </c>
      <c r="C199" s="2">
        <v>311336</v>
      </c>
      <c r="D199" s="8">
        <v>2.3348999999999999E-4</v>
      </c>
    </row>
    <row r="200" spans="1:4" x14ac:dyDescent="0.2">
      <c r="A200" s="1">
        <v>2024</v>
      </c>
      <c r="B200" s="1" t="s">
        <v>198</v>
      </c>
      <c r="C200" s="2">
        <v>7852499</v>
      </c>
      <c r="D200" s="8">
        <v>5.8890799999999997E-3</v>
      </c>
    </row>
    <row r="201" spans="1:4" x14ac:dyDescent="0.2">
      <c r="A201" s="1">
        <v>2024</v>
      </c>
      <c r="B201" s="1" t="s">
        <v>199</v>
      </c>
      <c r="C201" s="2">
        <v>1408205</v>
      </c>
      <c r="D201" s="8">
        <v>1.0560999999999999E-3</v>
      </c>
    </row>
    <row r="202" spans="1:4" x14ac:dyDescent="0.2">
      <c r="A202" s="1">
        <v>2024</v>
      </c>
      <c r="B202" s="1" t="s">
        <v>200</v>
      </c>
      <c r="C202" s="2">
        <v>63546</v>
      </c>
      <c r="D202" s="8">
        <v>4.7660000000000001E-5</v>
      </c>
    </row>
    <row r="203" spans="1:4" x14ac:dyDescent="0.2">
      <c r="A203" s="1">
        <v>2024</v>
      </c>
      <c r="B203" s="1" t="s">
        <v>201</v>
      </c>
      <c r="C203" s="2">
        <v>1132574</v>
      </c>
      <c r="D203" s="8">
        <v>8.4939E-4</v>
      </c>
    </row>
    <row r="204" spans="1:4" x14ac:dyDescent="0.2">
      <c r="A204" s="1">
        <v>2024</v>
      </c>
      <c r="B204" s="1" t="s">
        <v>202</v>
      </c>
      <c r="C204" s="2">
        <v>38735</v>
      </c>
      <c r="D204" s="8">
        <v>2.9050000000000001E-5</v>
      </c>
    </row>
    <row r="205" spans="1:4" x14ac:dyDescent="0.2">
      <c r="A205" s="1">
        <v>2024</v>
      </c>
      <c r="B205" s="1" t="s">
        <v>203</v>
      </c>
      <c r="C205" s="2">
        <v>6052</v>
      </c>
      <c r="D205" s="8">
        <v>4.5399999999999997E-6</v>
      </c>
    </row>
    <row r="206" spans="1:4" x14ac:dyDescent="0.2">
      <c r="A206" s="1">
        <v>2024</v>
      </c>
      <c r="B206" s="1" t="s">
        <v>204</v>
      </c>
      <c r="C206" s="2">
        <v>82763</v>
      </c>
      <c r="D206" s="8">
        <v>6.2069999999999994E-5</v>
      </c>
    </row>
    <row r="207" spans="1:4" x14ac:dyDescent="0.2">
      <c r="A207" s="1">
        <v>2024</v>
      </c>
      <c r="B207" s="1" t="s">
        <v>205</v>
      </c>
      <c r="C207" s="2">
        <v>151030</v>
      </c>
      <c r="D207" s="8">
        <v>1.1327E-4</v>
      </c>
    </row>
    <row r="208" spans="1:4" x14ac:dyDescent="0.2">
      <c r="A208" s="1">
        <v>2024</v>
      </c>
      <c r="B208" s="1" t="s">
        <v>206</v>
      </c>
      <c r="C208" s="2">
        <v>13826</v>
      </c>
      <c r="D208" s="8">
        <v>1.0370000000000001E-5</v>
      </c>
    </row>
    <row r="209" spans="1:4" x14ac:dyDescent="0.2">
      <c r="A209" s="1">
        <v>2024</v>
      </c>
      <c r="B209" s="1" t="s">
        <v>207</v>
      </c>
      <c r="C209" s="2">
        <v>21310</v>
      </c>
      <c r="D209" s="8">
        <v>1.5979999999999999E-5</v>
      </c>
    </row>
    <row r="210" spans="1:4" x14ac:dyDescent="0.2">
      <c r="A210" s="1">
        <v>2024</v>
      </c>
      <c r="B210" s="1" t="s">
        <v>208</v>
      </c>
      <c r="C210" s="2">
        <v>1381365</v>
      </c>
      <c r="D210" s="8">
        <v>1.03597E-3</v>
      </c>
    </row>
    <row r="211" spans="1:4" x14ac:dyDescent="0.2">
      <c r="A211" s="1">
        <v>2024</v>
      </c>
      <c r="B211" s="1" t="s">
        <v>209</v>
      </c>
      <c r="C211" s="2">
        <v>3205190</v>
      </c>
      <c r="D211" s="8">
        <v>2.40377E-3</v>
      </c>
    </row>
    <row r="212" spans="1:4" x14ac:dyDescent="0.2">
      <c r="A212" s="1">
        <v>2024</v>
      </c>
      <c r="B212" s="1" t="s">
        <v>210</v>
      </c>
      <c r="C212" s="2">
        <v>520219</v>
      </c>
      <c r="D212" s="8">
        <v>3.9013999999999997E-4</v>
      </c>
    </row>
    <row r="213" spans="1:4" x14ac:dyDescent="0.2">
      <c r="A213" s="1">
        <v>2024</v>
      </c>
      <c r="B213" s="1" t="s">
        <v>211</v>
      </c>
      <c r="C213" s="2">
        <v>133183</v>
      </c>
      <c r="D213" s="8">
        <v>9.9879999999999999E-5</v>
      </c>
    </row>
    <row r="214" spans="1:4" x14ac:dyDescent="0.2">
      <c r="A214" s="1">
        <v>2024</v>
      </c>
      <c r="B214" s="1" t="s">
        <v>212</v>
      </c>
      <c r="C214" s="2">
        <v>319768</v>
      </c>
      <c r="D214" s="8">
        <v>2.3981E-4</v>
      </c>
    </row>
    <row r="215" spans="1:4" x14ac:dyDescent="0.2">
      <c r="A215" s="1">
        <v>2024</v>
      </c>
      <c r="B215" s="1" t="s">
        <v>213</v>
      </c>
      <c r="C215" s="2">
        <v>2098128</v>
      </c>
      <c r="D215" s="8">
        <v>1.5735199999999999E-3</v>
      </c>
    </row>
    <row r="216" spans="1:4" x14ac:dyDescent="0.2">
      <c r="A216" s="1">
        <v>2024</v>
      </c>
      <c r="B216" s="1" t="s">
        <v>214</v>
      </c>
      <c r="C216" s="2">
        <v>582456</v>
      </c>
      <c r="D216" s="8">
        <v>4.3681999999999998E-4</v>
      </c>
    </row>
    <row r="217" spans="1:4" x14ac:dyDescent="0.2">
      <c r="A217" s="1">
        <v>2024</v>
      </c>
      <c r="B217" s="1" t="s">
        <v>215</v>
      </c>
      <c r="C217" s="2">
        <v>25639</v>
      </c>
      <c r="D217" s="8">
        <v>1.9230000000000001E-5</v>
      </c>
    </row>
    <row r="218" spans="1:4" x14ac:dyDescent="0.2">
      <c r="A218" s="1">
        <v>2024</v>
      </c>
      <c r="B218" s="1" t="s">
        <v>216</v>
      </c>
      <c r="C218" s="2">
        <v>1789014</v>
      </c>
      <c r="D218" s="8">
        <v>1.34169E-3</v>
      </c>
    </row>
    <row r="219" spans="1:4" x14ac:dyDescent="0.2">
      <c r="A219" s="1">
        <v>2024</v>
      </c>
      <c r="B219" s="1" t="s">
        <v>217</v>
      </c>
      <c r="C219" s="2">
        <v>1961465</v>
      </c>
      <c r="D219" s="8">
        <v>1.47102E-3</v>
      </c>
    </row>
    <row r="220" spans="1:4" x14ac:dyDescent="0.2">
      <c r="A220" s="1">
        <v>2024</v>
      </c>
      <c r="B220" s="1" t="s">
        <v>218</v>
      </c>
      <c r="C220" s="2">
        <v>799181</v>
      </c>
      <c r="D220" s="8">
        <v>5.9935999999999995E-4</v>
      </c>
    </row>
    <row r="221" spans="1:4" x14ac:dyDescent="0.2">
      <c r="A221" s="1">
        <v>2024</v>
      </c>
      <c r="B221" s="1" t="s">
        <v>219</v>
      </c>
      <c r="C221" s="2">
        <v>3110475</v>
      </c>
      <c r="D221" s="8">
        <v>2.3327399999999998E-3</v>
      </c>
    </row>
    <row r="222" spans="1:4" x14ac:dyDescent="0.2">
      <c r="A222" s="1">
        <v>2024</v>
      </c>
      <c r="B222" s="1" t="s">
        <v>220</v>
      </c>
      <c r="C222" s="2">
        <v>2892464</v>
      </c>
      <c r="D222" s="8">
        <v>2.1692399999999998E-3</v>
      </c>
    </row>
    <row r="223" spans="1:4" x14ac:dyDescent="0.2">
      <c r="A223" s="1">
        <v>2024</v>
      </c>
      <c r="B223" s="1" t="s">
        <v>221</v>
      </c>
      <c r="C223" s="2">
        <v>8560</v>
      </c>
      <c r="D223" s="8">
        <v>6.4200000000000004E-6</v>
      </c>
    </row>
    <row r="224" spans="1:4" x14ac:dyDescent="0.2">
      <c r="A224" s="1">
        <v>2024</v>
      </c>
      <c r="B224" s="1" t="s">
        <v>222</v>
      </c>
      <c r="C224" s="2">
        <v>1635601</v>
      </c>
      <c r="D224" s="8">
        <v>1.22664E-3</v>
      </c>
    </row>
    <row r="225" spans="1:4" x14ac:dyDescent="0.2">
      <c r="A225" s="1">
        <v>2024</v>
      </c>
      <c r="B225" s="1" t="s">
        <v>223</v>
      </c>
      <c r="C225" s="2">
        <v>406212</v>
      </c>
      <c r="D225" s="8">
        <v>3.0464000000000001E-4</v>
      </c>
    </row>
    <row r="226" spans="1:4" x14ac:dyDescent="0.2">
      <c r="A226" s="1">
        <v>2024</v>
      </c>
      <c r="B226" s="1" t="s">
        <v>224</v>
      </c>
      <c r="C226" s="2">
        <v>1548361</v>
      </c>
      <c r="D226" s="8">
        <v>1.16121E-3</v>
      </c>
    </row>
    <row r="227" spans="1:4" x14ac:dyDescent="0.2">
      <c r="A227" s="1">
        <v>2024</v>
      </c>
      <c r="B227" s="1" t="s">
        <v>225</v>
      </c>
      <c r="C227" s="2">
        <v>350114</v>
      </c>
      <c r="D227" s="8">
        <v>2.6257E-4</v>
      </c>
    </row>
    <row r="228" spans="1:4" x14ac:dyDescent="0.2">
      <c r="A228" s="1">
        <v>2024</v>
      </c>
      <c r="B228" s="1" t="s">
        <v>226</v>
      </c>
      <c r="C228" s="2">
        <v>1031604</v>
      </c>
      <c r="D228" s="8">
        <v>7.7366000000000002E-4</v>
      </c>
    </row>
    <row r="229" spans="1:4" x14ac:dyDescent="0.2">
      <c r="A229" s="1">
        <v>2024</v>
      </c>
      <c r="B229" s="1" t="s">
        <v>227</v>
      </c>
      <c r="C229" s="2">
        <v>935367</v>
      </c>
      <c r="D229" s="8">
        <v>7.0149000000000003E-4</v>
      </c>
    </row>
    <row r="230" spans="1:4" x14ac:dyDescent="0.2">
      <c r="A230" s="1">
        <v>2024</v>
      </c>
      <c r="B230" s="1" t="s">
        <v>228</v>
      </c>
      <c r="C230" s="2">
        <v>4198206</v>
      </c>
      <c r="D230" s="8">
        <v>3.1484999999999998E-3</v>
      </c>
    </row>
    <row r="231" spans="1:4" x14ac:dyDescent="0.2">
      <c r="A231" s="1">
        <v>2024</v>
      </c>
      <c r="B231" s="1" t="s">
        <v>229</v>
      </c>
      <c r="C231" s="2">
        <v>46944</v>
      </c>
      <c r="D231" s="8">
        <v>3.5209999999999997E-5</v>
      </c>
    </row>
    <row r="232" spans="1:4" x14ac:dyDescent="0.2">
      <c r="A232" s="1">
        <v>2024</v>
      </c>
      <c r="B232" s="1" t="s">
        <v>230</v>
      </c>
      <c r="C232" s="2">
        <v>165133</v>
      </c>
      <c r="D232" s="8">
        <v>1.2384000000000001E-4</v>
      </c>
    </row>
    <row r="233" spans="1:4" x14ac:dyDescent="0.2">
      <c r="A233" s="1">
        <v>2024</v>
      </c>
      <c r="B233" s="1" t="s">
        <v>231</v>
      </c>
      <c r="C233" s="2">
        <v>167062</v>
      </c>
      <c r="D233" s="8">
        <v>1.2528999999999999E-4</v>
      </c>
    </row>
    <row r="234" spans="1:4" x14ac:dyDescent="0.2">
      <c r="A234" s="1">
        <v>2024</v>
      </c>
      <c r="B234" s="1" t="s">
        <v>232</v>
      </c>
      <c r="C234" s="2">
        <v>351192</v>
      </c>
      <c r="D234" s="8">
        <v>2.6338000000000002E-4</v>
      </c>
    </row>
    <row r="235" spans="1:4" x14ac:dyDescent="0.2">
      <c r="A235" s="1">
        <v>2024</v>
      </c>
      <c r="B235" s="1" t="s">
        <v>233</v>
      </c>
      <c r="C235" s="2">
        <v>125827</v>
      </c>
      <c r="D235" s="8">
        <v>9.4370000000000006E-5</v>
      </c>
    </row>
    <row r="236" spans="1:4" x14ac:dyDescent="0.2">
      <c r="A236" s="1">
        <v>2024</v>
      </c>
      <c r="B236" s="1" t="s">
        <v>234</v>
      </c>
      <c r="C236" s="2">
        <v>12992</v>
      </c>
      <c r="D236" s="8">
        <v>9.7399999999999999E-6</v>
      </c>
    </row>
    <row r="237" spans="1:4" x14ac:dyDescent="0.2">
      <c r="A237" s="1">
        <v>2024</v>
      </c>
      <c r="B237" s="1" t="s">
        <v>235</v>
      </c>
      <c r="C237" s="2">
        <v>341040</v>
      </c>
      <c r="D237" s="8">
        <v>2.5577E-4</v>
      </c>
    </row>
    <row r="238" spans="1:4" x14ac:dyDescent="0.2">
      <c r="A238" s="1">
        <v>2024</v>
      </c>
      <c r="B238" s="1" t="s">
        <v>236</v>
      </c>
      <c r="C238" s="2">
        <v>24044</v>
      </c>
      <c r="D238" s="8">
        <v>1.8029999999999998E-5</v>
      </c>
    </row>
    <row r="239" spans="1:4" x14ac:dyDescent="0.2">
      <c r="A239" s="1">
        <v>2024</v>
      </c>
      <c r="B239" s="1" t="s">
        <v>237</v>
      </c>
      <c r="C239" s="2">
        <v>2041650</v>
      </c>
      <c r="D239" s="8">
        <v>1.5311599999999999E-3</v>
      </c>
    </row>
    <row r="240" spans="1:4" x14ac:dyDescent="0.2">
      <c r="A240" s="1">
        <v>2024</v>
      </c>
      <c r="B240" s="1" t="s">
        <v>238</v>
      </c>
      <c r="C240" s="2">
        <v>568754</v>
      </c>
      <c r="D240" s="8">
        <v>4.2653999999999999E-4</v>
      </c>
    </row>
    <row r="241" spans="1:4" x14ac:dyDescent="0.2">
      <c r="A241" s="1">
        <v>2024</v>
      </c>
      <c r="B241" s="1" t="s">
        <v>239</v>
      </c>
      <c r="C241" s="2">
        <v>116820</v>
      </c>
      <c r="D241" s="8">
        <v>8.7609999999999996E-5</v>
      </c>
    </row>
    <row r="242" spans="1:4" x14ac:dyDescent="0.2">
      <c r="A242" s="1">
        <v>2024</v>
      </c>
      <c r="B242" s="1" t="s">
        <v>240</v>
      </c>
      <c r="C242" s="2">
        <v>4787691</v>
      </c>
      <c r="D242" s="8">
        <v>3.5905899999999998E-3</v>
      </c>
    </row>
    <row r="243" spans="1:4" x14ac:dyDescent="0.2">
      <c r="A243" s="1">
        <v>2024</v>
      </c>
      <c r="B243" s="1" t="s">
        <v>241</v>
      </c>
      <c r="C243" s="2">
        <v>1303036</v>
      </c>
      <c r="D243" s="8">
        <v>9.7722999999999994E-4</v>
      </c>
    </row>
    <row r="244" spans="1:4" x14ac:dyDescent="0.2">
      <c r="A244" s="1">
        <v>2024</v>
      </c>
      <c r="B244" s="1" t="s">
        <v>242</v>
      </c>
      <c r="C244" s="2">
        <v>89920</v>
      </c>
      <c r="D244" s="8">
        <v>6.7440000000000005E-5</v>
      </c>
    </row>
    <row r="245" spans="1:4" x14ac:dyDescent="0.2">
      <c r="A245" s="1">
        <v>2024</v>
      </c>
      <c r="B245" s="1" t="s">
        <v>243</v>
      </c>
      <c r="C245" s="2">
        <v>17855</v>
      </c>
      <c r="D245" s="8">
        <v>1.3390000000000001E-5</v>
      </c>
    </row>
    <row r="246" spans="1:4" x14ac:dyDescent="0.2">
      <c r="A246" s="1">
        <v>2024</v>
      </c>
      <c r="B246" s="1" t="s">
        <v>244</v>
      </c>
      <c r="C246" s="2">
        <v>592551</v>
      </c>
      <c r="D246" s="8">
        <v>4.4439000000000002E-4</v>
      </c>
    </row>
    <row r="247" spans="1:4" x14ac:dyDescent="0.2">
      <c r="A247" s="1">
        <v>2024</v>
      </c>
      <c r="B247" s="1" t="s">
        <v>245</v>
      </c>
      <c r="C247" s="2">
        <v>5072833</v>
      </c>
      <c r="D247" s="8">
        <v>3.8044300000000001E-3</v>
      </c>
    </row>
    <row r="248" spans="1:4" x14ac:dyDescent="0.2">
      <c r="A248" s="1">
        <v>2024</v>
      </c>
      <c r="B248" s="1" t="s">
        <v>246</v>
      </c>
      <c r="C248" s="2">
        <v>37466</v>
      </c>
      <c r="D248" s="8">
        <v>2.8099999999999999E-5</v>
      </c>
    </row>
    <row r="249" spans="1:4" x14ac:dyDescent="0.2">
      <c r="A249" s="1">
        <v>2024</v>
      </c>
      <c r="B249" s="1" t="s">
        <v>247</v>
      </c>
      <c r="C249" s="2">
        <v>1031841</v>
      </c>
      <c r="D249" s="8">
        <v>7.7384000000000003E-4</v>
      </c>
    </row>
    <row r="250" spans="1:4" x14ac:dyDescent="0.2">
      <c r="A250" s="1">
        <v>2024</v>
      </c>
      <c r="B250" s="1" t="s">
        <v>248</v>
      </c>
      <c r="C250" s="2">
        <v>740721</v>
      </c>
      <c r="D250" s="8">
        <v>5.5551000000000005E-4</v>
      </c>
    </row>
    <row r="251" spans="1:4" x14ac:dyDescent="0.2">
      <c r="A251" s="1">
        <v>2024</v>
      </c>
      <c r="B251" s="1" t="s">
        <v>249</v>
      </c>
      <c r="C251" s="2">
        <v>5066</v>
      </c>
      <c r="D251" s="8">
        <v>3.8E-6</v>
      </c>
    </row>
    <row r="252" spans="1:4" x14ac:dyDescent="0.2">
      <c r="A252" s="1">
        <v>2024</v>
      </c>
      <c r="B252" s="1" t="s">
        <v>250</v>
      </c>
      <c r="C252" s="2">
        <v>18938</v>
      </c>
      <c r="D252" s="8">
        <v>1.42E-5</v>
      </c>
    </row>
    <row r="253" spans="1:4" x14ac:dyDescent="0.2">
      <c r="A253" s="1">
        <v>2024</v>
      </c>
      <c r="B253" s="1" t="s">
        <v>251</v>
      </c>
      <c r="C253" s="2">
        <v>4568583</v>
      </c>
      <c r="D253" s="8">
        <v>3.42626E-3</v>
      </c>
    </row>
    <row r="254" spans="1:4" x14ac:dyDescent="0.2">
      <c r="A254" s="1">
        <v>2024</v>
      </c>
      <c r="B254" s="1" t="s">
        <v>252</v>
      </c>
      <c r="C254" s="2">
        <v>39598</v>
      </c>
      <c r="D254" s="8">
        <v>2.97E-5</v>
      </c>
    </row>
    <row r="255" spans="1:4" x14ac:dyDescent="0.2">
      <c r="A255" s="1">
        <v>2024</v>
      </c>
      <c r="B255" s="1" t="s">
        <v>253</v>
      </c>
      <c r="C255" s="2">
        <v>74542</v>
      </c>
      <c r="D255" s="8">
        <v>5.5899999999999997E-5</v>
      </c>
    </row>
    <row r="256" spans="1:4" x14ac:dyDescent="0.2">
      <c r="A256" s="1">
        <v>2024</v>
      </c>
      <c r="B256" s="1" t="s">
        <v>254</v>
      </c>
      <c r="C256" s="2">
        <v>5044197</v>
      </c>
      <c r="D256" s="8">
        <v>3.7829600000000001E-3</v>
      </c>
    </row>
    <row r="257" spans="1:4" x14ac:dyDescent="0.2">
      <c r="A257" s="1">
        <v>2024</v>
      </c>
      <c r="B257" s="1" t="s">
        <v>255</v>
      </c>
      <c r="C257" s="2">
        <v>7188833</v>
      </c>
      <c r="D257" s="8">
        <v>5.3913499999999996E-3</v>
      </c>
    </row>
    <row r="258" spans="1:4" x14ac:dyDescent="0.2">
      <c r="A258" s="1">
        <v>2024</v>
      </c>
      <c r="B258" s="1" t="s">
        <v>256</v>
      </c>
      <c r="C258" s="2">
        <v>440105</v>
      </c>
      <c r="D258" s="8">
        <v>3.3006000000000002E-4</v>
      </c>
    </row>
    <row r="259" spans="1:4" x14ac:dyDescent="0.2">
      <c r="A259" s="1">
        <v>2024</v>
      </c>
      <c r="B259" s="1" t="s">
        <v>257</v>
      </c>
      <c r="C259" s="2">
        <v>4714876</v>
      </c>
      <c r="D259" s="8">
        <v>3.5359800000000002E-3</v>
      </c>
    </row>
    <row r="260" spans="1:4" x14ac:dyDescent="0.2">
      <c r="A260" s="1">
        <v>2024</v>
      </c>
      <c r="B260" s="1" t="s">
        <v>258</v>
      </c>
      <c r="C260" s="2">
        <v>2582767</v>
      </c>
      <c r="D260" s="8">
        <v>1.93698E-3</v>
      </c>
    </row>
    <row r="261" spans="1:4" x14ac:dyDescent="0.2">
      <c r="A261" s="1">
        <v>2024</v>
      </c>
      <c r="B261" s="1" t="s">
        <v>259</v>
      </c>
      <c r="C261" s="2">
        <v>197548</v>
      </c>
      <c r="D261" s="8">
        <v>1.4815E-4</v>
      </c>
    </row>
    <row r="262" spans="1:4" x14ac:dyDescent="0.2">
      <c r="A262" s="1">
        <v>2024</v>
      </c>
      <c r="B262" s="1" t="s">
        <v>260</v>
      </c>
      <c r="C262" s="2">
        <v>156572</v>
      </c>
      <c r="D262" s="8">
        <v>1.1742E-4</v>
      </c>
    </row>
    <row r="263" spans="1:4" x14ac:dyDescent="0.2">
      <c r="A263" s="1">
        <v>2024</v>
      </c>
      <c r="B263" s="1" t="s">
        <v>261</v>
      </c>
      <c r="C263" s="2">
        <v>25889</v>
      </c>
      <c r="D263" s="8">
        <v>1.942E-5</v>
      </c>
    </row>
    <row r="264" spans="1:4" x14ac:dyDescent="0.2">
      <c r="A264" s="1">
        <v>2024</v>
      </c>
      <c r="B264" s="1" t="s">
        <v>262</v>
      </c>
      <c r="C264" s="2">
        <v>263804</v>
      </c>
      <c r="D264" s="8">
        <v>1.9783999999999999E-4</v>
      </c>
    </row>
    <row r="265" spans="1:4" x14ac:dyDescent="0.2">
      <c r="A265" s="1">
        <v>2024</v>
      </c>
      <c r="B265" s="1" t="s">
        <v>263</v>
      </c>
      <c r="C265" s="2">
        <v>10653</v>
      </c>
      <c r="D265" s="8">
        <v>7.9899999999999997E-6</v>
      </c>
    </row>
    <row r="266" spans="1:4" x14ac:dyDescent="0.2">
      <c r="A266" s="1">
        <v>2024</v>
      </c>
      <c r="B266" s="1" t="s">
        <v>264</v>
      </c>
      <c r="C266" s="2">
        <v>172784</v>
      </c>
      <c r="D266" s="8">
        <v>1.2957999999999999E-4</v>
      </c>
    </row>
    <row r="267" spans="1:4" x14ac:dyDescent="0.2">
      <c r="A267" s="1">
        <v>2024</v>
      </c>
      <c r="B267" s="1" t="s">
        <v>265</v>
      </c>
      <c r="C267" s="2">
        <v>96450</v>
      </c>
      <c r="D267" s="8">
        <v>7.2329999999999994E-5</v>
      </c>
    </row>
    <row r="268" spans="1:4" x14ac:dyDescent="0.2">
      <c r="A268" s="1">
        <v>2024</v>
      </c>
      <c r="B268" s="1" t="s">
        <v>266</v>
      </c>
      <c r="C268" s="2">
        <v>9861</v>
      </c>
      <c r="D268" s="8">
        <v>7.4000000000000003E-6</v>
      </c>
    </row>
    <row r="269" spans="1:4" x14ac:dyDescent="0.2">
      <c r="A269" s="1">
        <v>2024</v>
      </c>
      <c r="B269" s="1" t="s">
        <v>267</v>
      </c>
      <c r="C269" s="2">
        <v>16236615</v>
      </c>
      <c r="D269" s="8">
        <v>1.217684E-2</v>
      </c>
    </row>
    <row r="270" spans="1:4" x14ac:dyDescent="0.2">
      <c r="A270" s="1">
        <v>2024</v>
      </c>
      <c r="B270" s="1" t="s">
        <v>268</v>
      </c>
      <c r="C270" s="2">
        <v>7201635</v>
      </c>
      <c r="D270" s="8">
        <v>5.4009499999999998E-3</v>
      </c>
    </row>
    <row r="271" spans="1:4" x14ac:dyDescent="0.2">
      <c r="A271" s="1">
        <v>2024</v>
      </c>
      <c r="B271" s="1" t="s">
        <v>269</v>
      </c>
      <c r="C271" s="2">
        <v>161152</v>
      </c>
      <c r="D271" s="8">
        <v>1.2086E-4</v>
      </c>
    </row>
    <row r="272" spans="1:4" x14ac:dyDescent="0.2">
      <c r="A272" s="1">
        <v>2024</v>
      </c>
      <c r="B272" s="1" t="s">
        <v>270</v>
      </c>
      <c r="C272" s="2">
        <v>146445</v>
      </c>
      <c r="D272" s="8">
        <v>1.0983E-4</v>
      </c>
    </row>
    <row r="273" spans="1:4" x14ac:dyDescent="0.2">
      <c r="A273" s="1">
        <v>2024</v>
      </c>
      <c r="B273" s="1" t="s">
        <v>271</v>
      </c>
      <c r="C273" s="2">
        <v>5492</v>
      </c>
      <c r="D273" s="8">
        <v>4.1200000000000004E-6</v>
      </c>
    </row>
    <row r="274" spans="1:4" x14ac:dyDescent="0.2">
      <c r="A274" s="1">
        <v>2024</v>
      </c>
      <c r="B274" s="1" t="s">
        <v>272</v>
      </c>
      <c r="C274" s="2">
        <v>239801</v>
      </c>
      <c r="D274" s="8">
        <v>1.7984000000000001E-4</v>
      </c>
    </row>
    <row r="275" spans="1:4" x14ac:dyDescent="0.2">
      <c r="A275" s="1">
        <v>2024</v>
      </c>
      <c r="B275" s="1" t="s">
        <v>273</v>
      </c>
      <c r="C275" s="2">
        <v>287571</v>
      </c>
      <c r="D275" s="8">
        <v>2.1567E-4</v>
      </c>
    </row>
    <row r="276" spans="1:4" x14ac:dyDescent="0.2">
      <c r="A276" s="1">
        <v>2024</v>
      </c>
      <c r="B276" s="1" t="s">
        <v>274</v>
      </c>
      <c r="C276" s="2">
        <v>161226</v>
      </c>
      <c r="D276" s="8">
        <v>1.2091000000000001E-4</v>
      </c>
    </row>
    <row r="277" spans="1:4" x14ac:dyDescent="0.2">
      <c r="A277" s="1">
        <v>2024</v>
      </c>
      <c r="B277" s="1" t="s">
        <v>275</v>
      </c>
      <c r="C277" s="2">
        <v>19255</v>
      </c>
      <c r="D277" s="8">
        <v>1.4440000000000001E-5</v>
      </c>
    </row>
    <row r="278" spans="1:4" x14ac:dyDescent="0.2">
      <c r="A278" s="1">
        <v>2024</v>
      </c>
      <c r="B278" s="1" t="s">
        <v>276</v>
      </c>
      <c r="C278" s="2">
        <v>5071802</v>
      </c>
      <c r="D278" s="8">
        <v>3.8036599999999999E-3</v>
      </c>
    </row>
    <row r="279" spans="1:4" x14ac:dyDescent="0.2">
      <c r="A279" s="1">
        <v>2024</v>
      </c>
      <c r="B279" s="1" t="s">
        <v>277</v>
      </c>
      <c r="C279" s="2">
        <v>82865</v>
      </c>
      <c r="D279" s="8">
        <v>6.2150000000000006E-5</v>
      </c>
    </row>
    <row r="280" spans="1:4" x14ac:dyDescent="0.2">
      <c r="A280" s="1">
        <v>2024</v>
      </c>
      <c r="B280" s="1" t="s">
        <v>278</v>
      </c>
      <c r="C280" s="2">
        <v>4874396</v>
      </c>
      <c r="D280" s="8">
        <v>3.6556100000000001E-3</v>
      </c>
    </row>
    <row r="281" spans="1:4" x14ac:dyDescent="0.2">
      <c r="A281" s="1">
        <v>2024</v>
      </c>
      <c r="B281" s="1" t="s">
        <v>279</v>
      </c>
      <c r="C281" s="2">
        <v>72523</v>
      </c>
      <c r="D281" s="8">
        <v>5.4389999999999999E-5</v>
      </c>
    </row>
    <row r="282" spans="1:4" x14ac:dyDescent="0.2">
      <c r="A282" s="1">
        <v>2024</v>
      </c>
      <c r="B282" s="1" t="s">
        <v>280</v>
      </c>
      <c r="C282" s="2">
        <v>115429</v>
      </c>
      <c r="D282" s="8">
        <v>8.6570000000000006E-5</v>
      </c>
    </row>
    <row r="283" spans="1:4" x14ac:dyDescent="0.2">
      <c r="A283" s="1">
        <v>2024</v>
      </c>
      <c r="B283" s="1" t="s">
        <v>281</v>
      </c>
      <c r="C283" s="2">
        <v>273452</v>
      </c>
      <c r="D283" s="8">
        <v>2.0508000000000001E-4</v>
      </c>
    </row>
    <row r="284" spans="1:4" x14ac:dyDescent="0.2">
      <c r="A284" s="1">
        <v>2024</v>
      </c>
      <c r="B284" s="1" t="s">
        <v>282</v>
      </c>
      <c r="C284" s="2">
        <v>32618</v>
      </c>
      <c r="D284" s="8">
        <v>2.446E-5</v>
      </c>
    </row>
    <row r="285" spans="1:4" x14ac:dyDescent="0.2">
      <c r="A285" s="1">
        <v>2024</v>
      </c>
      <c r="B285" s="1" t="s">
        <v>283</v>
      </c>
      <c r="C285" s="2">
        <v>1516955</v>
      </c>
      <c r="D285" s="8">
        <v>1.13766E-3</v>
      </c>
    </row>
    <row r="286" spans="1:4" x14ac:dyDescent="0.2">
      <c r="A286" s="1">
        <v>2024</v>
      </c>
      <c r="B286" s="1" t="s">
        <v>284</v>
      </c>
      <c r="C286" s="2">
        <v>75796</v>
      </c>
      <c r="D286" s="8">
        <v>5.6839999999999998E-5</v>
      </c>
    </row>
    <row r="287" spans="1:4" x14ac:dyDescent="0.2">
      <c r="A287" s="1">
        <v>2024</v>
      </c>
      <c r="B287" s="1" t="s">
        <v>285</v>
      </c>
      <c r="C287" s="2">
        <v>1842939</v>
      </c>
      <c r="D287" s="8">
        <v>1.3821300000000001E-3</v>
      </c>
    </row>
    <row r="288" spans="1:4" x14ac:dyDescent="0.2">
      <c r="A288" s="1">
        <v>2024</v>
      </c>
      <c r="B288" s="1" t="s">
        <v>286</v>
      </c>
      <c r="C288" s="2">
        <v>24181</v>
      </c>
      <c r="D288" s="8">
        <v>1.8130000000000001E-5</v>
      </c>
    </row>
    <row r="289" spans="1:4" x14ac:dyDescent="0.2">
      <c r="A289" s="1">
        <v>2024</v>
      </c>
      <c r="B289" s="1" t="s">
        <v>287</v>
      </c>
      <c r="C289" s="2">
        <v>21422</v>
      </c>
      <c r="D289" s="8">
        <v>1.607E-5</v>
      </c>
    </row>
    <row r="290" spans="1:4" x14ac:dyDescent="0.2">
      <c r="A290" s="1">
        <v>2024</v>
      </c>
      <c r="B290" s="1" t="s">
        <v>288</v>
      </c>
      <c r="C290" s="2">
        <v>4828075</v>
      </c>
      <c r="D290" s="8">
        <v>3.62087E-3</v>
      </c>
    </row>
    <row r="291" spans="1:4" x14ac:dyDescent="0.2">
      <c r="A291" s="1">
        <v>2024</v>
      </c>
      <c r="B291" s="1" t="s">
        <v>289</v>
      </c>
      <c r="C291" s="2">
        <v>5081524</v>
      </c>
      <c r="D291" s="8">
        <v>3.81095E-3</v>
      </c>
    </row>
    <row r="292" spans="1:4" x14ac:dyDescent="0.2">
      <c r="A292" s="1">
        <v>2024</v>
      </c>
      <c r="B292" s="1" t="s">
        <v>290</v>
      </c>
      <c r="C292" s="2">
        <v>131416</v>
      </c>
      <c r="D292" s="8">
        <v>9.8560000000000005E-5</v>
      </c>
    </row>
    <row r="293" spans="1:4" x14ac:dyDescent="0.2">
      <c r="A293" s="1">
        <v>2024</v>
      </c>
      <c r="B293" s="1" t="s">
        <v>291</v>
      </c>
      <c r="C293" s="2">
        <v>191427</v>
      </c>
      <c r="D293" s="8">
        <v>1.4355999999999999E-4</v>
      </c>
    </row>
    <row r="294" spans="1:4" x14ac:dyDescent="0.2">
      <c r="A294" s="1">
        <v>2024</v>
      </c>
      <c r="B294" s="1" t="s">
        <v>292</v>
      </c>
      <c r="C294" s="2">
        <v>10001</v>
      </c>
      <c r="D294" s="8">
        <v>7.5000000000000002E-6</v>
      </c>
    </row>
    <row r="295" spans="1:4" x14ac:dyDescent="0.2">
      <c r="A295" s="1">
        <v>2024</v>
      </c>
      <c r="B295" s="1" t="s">
        <v>293</v>
      </c>
      <c r="C295" s="2">
        <v>9239039</v>
      </c>
      <c r="D295" s="8">
        <v>6.9289299999999998E-3</v>
      </c>
    </row>
    <row r="296" spans="1:4" x14ac:dyDescent="0.2">
      <c r="A296" s="1">
        <v>2024</v>
      </c>
      <c r="B296" s="1" t="s">
        <v>294</v>
      </c>
      <c r="C296" s="2">
        <v>110112</v>
      </c>
      <c r="D296" s="8">
        <v>8.2579999999999999E-5</v>
      </c>
    </row>
    <row r="297" spans="1:4" x14ac:dyDescent="0.2">
      <c r="A297" s="1">
        <v>2024</v>
      </c>
      <c r="B297" s="1" t="s">
        <v>295</v>
      </c>
      <c r="C297" s="2">
        <v>746303</v>
      </c>
      <c r="D297" s="8">
        <v>5.597E-4</v>
      </c>
    </row>
    <row r="298" spans="1:4" x14ac:dyDescent="0.2">
      <c r="A298" s="1">
        <v>2024</v>
      </c>
      <c r="B298" s="1" t="s">
        <v>296</v>
      </c>
      <c r="C298" s="2">
        <v>508431</v>
      </c>
      <c r="D298" s="8">
        <v>3.813E-4</v>
      </c>
    </row>
    <row r="299" spans="1:4" x14ac:dyDescent="0.2">
      <c r="A299" s="1">
        <v>2024</v>
      </c>
      <c r="B299" s="1" t="s">
        <v>297</v>
      </c>
      <c r="C299" s="2">
        <v>24411</v>
      </c>
      <c r="D299" s="8">
        <v>1.8309999999999999E-5</v>
      </c>
    </row>
    <row r="300" spans="1:4" x14ac:dyDescent="0.2">
      <c r="A300" s="1">
        <v>2024</v>
      </c>
      <c r="B300" s="1" t="s">
        <v>298</v>
      </c>
      <c r="C300" s="2">
        <v>1365443</v>
      </c>
      <c r="D300" s="8">
        <v>1.02403E-3</v>
      </c>
    </row>
    <row r="301" spans="1:4" x14ac:dyDescent="0.2">
      <c r="A301" s="1">
        <v>2024</v>
      </c>
      <c r="B301" s="1" t="s">
        <v>299</v>
      </c>
      <c r="C301" s="2">
        <v>622097</v>
      </c>
      <c r="D301" s="8">
        <v>4.6654999999999998E-4</v>
      </c>
    </row>
    <row r="302" spans="1:4" x14ac:dyDescent="0.2">
      <c r="A302" s="1">
        <v>2024</v>
      </c>
      <c r="B302" s="1" t="s">
        <v>300</v>
      </c>
      <c r="C302" s="2">
        <v>882144</v>
      </c>
      <c r="D302" s="8">
        <v>6.6157E-4</v>
      </c>
    </row>
    <row r="303" spans="1:4" x14ac:dyDescent="0.2">
      <c r="A303" s="1">
        <v>2024</v>
      </c>
      <c r="B303" s="1" t="s">
        <v>301</v>
      </c>
      <c r="C303" s="2">
        <v>3965371</v>
      </c>
      <c r="D303" s="8">
        <v>2.9738799999999999E-3</v>
      </c>
    </row>
    <row r="304" spans="1:4" x14ac:dyDescent="0.2">
      <c r="A304" s="1">
        <v>2024</v>
      </c>
      <c r="B304" s="1" t="s">
        <v>302</v>
      </c>
      <c r="C304" s="2">
        <v>3173803</v>
      </c>
      <c r="D304" s="8">
        <v>2.3802300000000001E-3</v>
      </c>
    </row>
    <row r="305" spans="1:4" x14ac:dyDescent="0.2">
      <c r="A305" s="1">
        <v>2024</v>
      </c>
      <c r="B305" s="1" t="s">
        <v>303</v>
      </c>
      <c r="C305" s="2">
        <v>1993485</v>
      </c>
      <c r="D305" s="8">
        <v>1.49504E-3</v>
      </c>
    </row>
    <row r="306" spans="1:4" x14ac:dyDescent="0.2">
      <c r="A306" s="1">
        <v>2024</v>
      </c>
      <c r="B306" s="1" t="s">
        <v>304</v>
      </c>
      <c r="C306" s="2">
        <v>48696</v>
      </c>
      <c r="D306" s="8">
        <v>3.6520000000000003E-5</v>
      </c>
    </row>
    <row r="307" spans="1:4" x14ac:dyDescent="0.2">
      <c r="A307" s="1">
        <v>2024</v>
      </c>
      <c r="B307" s="1" t="s">
        <v>305</v>
      </c>
      <c r="C307" s="2">
        <v>1567380</v>
      </c>
      <c r="D307" s="8">
        <v>1.17548E-3</v>
      </c>
    </row>
    <row r="308" spans="1:4" x14ac:dyDescent="0.2">
      <c r="A308" s="1">
        <v>2024</v>
      </c>
      <c r="B308" s="1" t="s">
        <v>306</v>
      </c>
      <c r="C308" s="2">
        <v>276759</v>
      </c>
      <c r="D308" s="8">
        <v>2.0756E-4</v>
      </c>
    </row>
    <row r="309" spans="1:4" x14ac:dyDescent="0.2">
      <c r="A309" s="1">
        <v>2024</v>
      </c>
      <c r="B309" s="1" t="s">
        <v>307</v>
      </c>
      <c r="C309" s="2">
        <v>4296533</v>
      </c>
      <c r="D309" s="8">
        <v>3.2222399999999999E-3</v>
      </c>
    </row>
    <row r="310" spans="1:4" x14ac:dyDescent="0.2">
      <c r="A310" s="1">
        <v>2024</v>
      </c>
      <c r="B310" s="1" t="s">
        <v>308</v>
      </c>
      <c r="C310" s="2">
        <v>1531620</v>
      </c>
      <c r="D310" s="8">
        <v>1.1486599999999999E-3</v>
      </c>
    </row>
    <row r="311" spans="1:4" x14ac:dyDescent="0.2">
      <c r="A311" s="1">
        <v>2024</v>
      </c>
      <c r="B311" s="1" t="s">
        <v>309</v>
      </c>
      <c r="C311" s="2">
        <v>790779</v>
      </c>
      <c r="D311" s="8">
        <v>5.9305000000000002E-4</v>
      </c>
    </row>
    <row r="312" spans="1:4" x14ac:dyDescent="0.2">
      <c r="A312" s="1">
        <v>2024</v>
      </c>
      <c r="B312" s="1" t="s">
        <v>310</v>
      </c>
      <c r="C312" s="2">
        <v>9707</v>
      </c>
      <c r="D312" s="8">
        <v>7.2799999999999998E-6</v>
      </c>
    </row>
    <row r="313" spans="1:4" x14ac:dyDescent="0.2">
      <c r="A313" s="1">
        <v>2024</v>
      </c>
      <c r="B313" s="1" t="s">
        <v>311</v>
      </c>
      <c r="C313" s="2">
        <v>489840</v>
      </c>
      <c r="D313" s="8">
        <v>3.6736000000000001E-4</v>
      </c>
    </row>
    <row r="314" spans="1:4" x14ac:dyDescent="0.2">
      <c r="A314" s="1">
        <v>2024</v>
      </c>
      <c r="B314" s="1" t="s">
        <v>312</v>
      </c>
      <c r="C314" s="2">
        <v>402355</v>
      </c>
      <c r="D314" s="8">
        <v>3.0174999999999999E-4</v>
      </c>
    </row>
    <row r="315" spans="1:4" x14ac:dyDescent="0.2">
      <c r="A315" s="1">
        <v>2024</v>
      </c>
      <c r="B315" s="1" t="s">
        <v>313</v>
      </c>
      <c r="C315" s="2">
        <v>1463795</v>
      </c>
      <c r="D315" s="8">
        <v>1.09779E-3</v>
      </c>
    </row>
    <row r="316" spans="1:4" x14ac:dyDescent="0.2">
      <c r="A316" s="1">
        <v>2024</v>
      </c>
      <c r="B316" s="1" t="s">
        <v>314</v>
      </c>
      <c r="C316" s="2">
        <v>1203871</v>
      </c>
      <c r="D316" s="8">
        <v>9.0286000000000001E-4</v>
      </c>
    </row>
    <row r="317" spans="1:4" x14ac:dyDescent="0.2">
      <c r="A317" s="1">
        <v>2024</v>
      </c>
      <c r="B317" s="1" t="s">
        <v>315</v>
      </c>
      <c r="C317" s="2">
        <v>70891</v>
      </c>
      <c r="D317" s="8">
        <v>5.3170000000000001E-5</v>
      </c>
    </row>
    <row r="318" spans="1:4" x14ac:dyDescent="0.2">
      <c r="A318" s="1">
        <v>2024</v>
      </c>
      <c r="B318" s="1" t="s">
        <v>316</v>
      </c>
      <c r="C318" s="2">
        <v>377296</v>
      </c>
      <c r="D318" s="8">
        <v>2.8296000000000001E-4</v>
      </c>
    </row>
    <row r="319" spans="1:4" x14ac:dyDescent="0.2">
      <c r="A319" s="1">
        <v>2024</v>
      </c>
      <c r="B319" s="1" t="s">
        <v>317</v>
      </c>
      <c r="C319" s="2">
        <v>3821827</v>
      </c>
      <c r="D319" s="8">
        <v>2.86623E-3</v>
      </c>
    </row>
    <row r="320" spans="1:4" x14ac:dyDescent="0.2">
      <c r="A320" s="1">
        <v>2024</v>
      </c>
      <c r="B320" s="1" t="s">
        <v>318</v>
      </c>
      <c r="C320" s="2">
        <v>858905</v>
      </c>
      <c r="D320" s="8">
        <v>6.4415000000000002E-4</v>
      </c>
    </row>
    <row r="321" spans="1:4" x14ac:dyDescent="0.2">
      <c r="A321" s="1">
        <v>2024</v>
      </c>
      <c r="B321" s="1" t="s">
        <v>319</v>
      </c>
      <c r="C321" s="2">
        <v>5714</v>
      </c>
      <c r="D321" s="8">
        <v>4.2899999999999996E-6</v>
      </c>
    </row>
    <row r="322" spans="1:4" x14ac:dyDescent="0.2">
      <c r="A322" s="1">
        <v>2024</v>
      </c>
      <c r="B322" s="1" t="s">
        <v>320</v>
      </c>
      <c r="C322" s="2">
        <v>4290378</v>
      </c>
      <c r="D322" s="8">
        <v>3.21762E-3</v>
      </c>
    </row>
    <row r="323" spans="1:4" x14ac:dyDescent="0.2">
      <c r="A323" s="1">
        <v>2024</v>
      </c>
      <c r="B323" s="1" t="s">
        <v>321</v>
      </c>
      <c r="C323" s="2">
        <v>87923</v>
      </c>
      <c r="D323" s="8">
        <v>6.5939999999999995E-5</v>
      </c>
    </row>
    <row r="324" spans="1:4" x14ac:dyDescent="0.2">
      <c r="A324" s="1">
        <v>2024</v>
      </c>
      <c r="B324" s="1" t="s">
        <v>322</v>
      </c>
      <c r="C324" s="2">
        <v>24298</v>
      </c>
      <c r="D324" s="8">
        <v>1.8219999999999998E-5</v>
      </c>
    </row>
    <row r="325" spans="1:4" x14ac:dyDescent="0.2">
      <c r="A325" s="1">
        <v>2024</v>
      </c>
      <c r="B325" s="1" t="s">
        <v>323</v>
      </c>
      <c r="C325" s="2">
        <v>233877</v>
      </c>
      <c r="D325" s="8">
        <v>1.7540000000000001E-4</v>
      </c>
    </row>
    <row r="326" spans="1:4" x14ac:dyDescent="0.2">
      <c r="A326" s="1">
        <v>2024</v>
      </c>
      <c r="B326" s="1" t="s">
        <v>324</v>
      </c>
      <c r="C326" s="2">
        <v>20805</v>
      </c>
      <c r="D326" s="8">
        <v>1.56E-5</v>
      </c>
    </row>
    <row r="327" spans="1:4" x14ac:dyDescent="0.2">
      <c r="A327" s="1">
        <v>2024</v>
      </c>
      <c r="B327" s="1" t="s">
        <v>325</v>
      </c>
      <c r="C327" s="2">
        <v>10116085</v>
      </c>
      <c r="D327" s="8">
        <v>7.5866800000000002E-3</v>
      </c>
    </row>
    <row r="328" spans="1:4" x14ac:dyDescent="0.2">
      <c r="A328" s="1">
        <v>2024</v>
      </c>
      <c r="B328" s="1" t="s">
        <v>326</v>
      </c>
      <c r="C328" s="2">
        <v>1067389</v>
      </c>
      <c r="D328" s="8">
        <v>8.005E-4</v>
      </c>
    </row>
    <row r="329" spans="1:4" x14ac:dyDescent="0.2">
      <c r="A329" s="1">
        <v>2024</v>
      </c>
      <c r="B329" s="1" t="s">
        <v>327</v>
      </c>
      <c r="C329" s="2">
        <v>9796936</v>
      </c>
      <c r="D329" s="8">
        <v>7.34733E-3</v>
      </c>
    </row>
    <row r="330" spans="1:4" x14ac:dyDescent="0.2">
      <c r="A330" s="1">
        <v>2024</v>
      </c>
      <c r="B330" s="1" t="s">
        <v>328</v>
      </c>
      <c r="C330" s="2">
        <v>6761914</v>
      </c>
      <c r="D330" s="8">
        <v>5.0711799999999998E-3</v>
      </c>
    </row>
    <row r="331" spans="1:4" x14ac:dyDescent="0.2">
      <c r="A331" s="1">
        <v>2024</v>
      </c>
      <c r="B331" s="1" t="s">
        <v>329</v>
      </c>
      <c r="C331" s="2">
        <v>73531</v>
      </c>
      <c r="D331" s="8">
        <v>5.5149999999999999E-5</v>
      </c>
    </row>
    <row r="332" spans="1:4" x14ac:dyDescent="0.2">
      <c r="A332" s="1">
        <v>2024</v>
      </c>
      <c r="B332" s="1" t="s">
        <v>330</v>
      </c>
      <c r="C332" s="2">
        <v>190355</v>
      </c>
      <c r="D332" s="8">
        <v>1.4276E-4</v>
      </c>
    </row>
    <row r="333" spans="1:4" x14ac:dyDescent="0.2">
      <c r="A333" s="1">
        <v>2024</v>
      </c>
      <c r="B333" s="1" t="s">
        <v>331</v>
      </c>
      <c r="C333" s="2">
        <v>14769</v>
      </c>
      <c r="D333" s="8">
        <v>1.1080000000000001E-5</v>
      </c>
    </row>
    <row r="334" spans="1:4" x14ac:dyDescent="0.2">
      <c r="A334" s="1">
        <v>2024</v>
      </c>
      <c r="B334" s="1" t="s">
        <v>332</v>
      </c>
      <c r="C334" s="2">
        <v>216839</v>
      </c>
      <c r="D334" s="8">
        <v>1.6262000000000001E-4</v>
      </c>
    </row>
    <row r="335" spans="1:4" x14ac:dyDescent="0.2">
      <c r="A335" s="1">
        <v>2024</v>
      </c>
      <c r="B335" s="1" t="s">
        <v>333</v>
      </c>
      <c r="C335" s="2">
        <v>558642</v>
      </c>
      <c r="D335" s="8">
        <v>4.1896000000000001E-4</v>
      </c>
    </row>
    <row r="336" spans="1:4" x14ac:dyDescent="0.2">
      <c r="A336" s="1">
        <v>2024</v>
      </c>
      <c r="B336" s="1" t="s">
        <v>334</v>
      </c>
      <c r="C336" s="2">
        <v>104107</v>
      </c>
      <c r="D336" s="8">
        <v>7.8079999999999998E-5</v>
      </c>
    </row>
    <row r="337" spans="1:4" x14ac:dyDescent="0.2">
      <c r="A337" s="1">
        <v>2024</v>
      </c>
      <c r="B337" s="1" t="s">
        <v>335</v>
      </c>
      <c r="C337" s="2">
        <v>23958217</v>
      </c>
      <c r="D337" s="8">
        <v>1.7967750000000001E-2</v>
      </c>
    </row>
    <row r="338" spans="1:4" x14ac:dyDescent="0.2">
      <c r="A338" s="1">
        <v>2024</v>
      </c>
      <c r="B338" s="1" t="s">
        <v>336</v>
      </c>
      <c r="C338" s="2">
        <v>1328800</v>
      </c>
      <c r="D338" s="8">
        <v>9.9654999999999991E-4</v>
      </c>
    </row>
    <row r="339" spans="1:4" x14ac:dyDescent="0.2">
      <c r="A339" s="1">
        <v>2024</v>
      </c>
      <c r="B339" s="1" t="s">
        <v>337</v>
      </c>
      <c r="C339" s="2">
        <v>9105206</v>
      </c>
      <c r="D339" s="8">
        <v>6.82856E-3</v>
      </c>
    </row>
    <row r="340" spans="1:4" x14ac:dyDescent="0.2">
      <c r="A340" s="1">
        <v>2024</v>
      </c>
      <c r="B340" s="1" t="s">
        <v>338</v>
      </c>
      <c r="C340" s="2">
        <v>316063</v>
      </c>
      <c r="D340" s="8">
        <v>2.3703E-4</v>
      </c>
    </row>
    <row r="341" spans="1:4" x14ac:dyDescent="0.2">
      <c r="A341" s="1">
        <v>2024</v>
      </c>
      <c r="B341" s="1" t="s">
        <v>339</v>
      </c>
      <c r="C341" s="2">
        <v>376172</v>
      </c>
      <c r="D341" s="8">
        <v>2.8211000000000002E-4</v>
      </c>
    </row>
    <row r="342" spans="1:4" x14ac:dyDescent="0.2">
      <c r="A342" s="1">
        <v>2024</v>
      </c>
      <c r="B342" s="1" t="s">
        <v>340</v>
      </c>
      <c r="C342" s="2">
        <v>914147</v>
      </c>
      <c r="D342" s="8">
        <v>6.8557999999999998E-4</v>
      </c>
    </row>
    <row r="343" spans="1:4" x14ac:dyDescent="0.2">
      <c r="A343" s="1">
        <v>2024</v>
      </c>
      <c r="B343" s="1" t="s">
        <v>341</v>
      </c>
      <c r="C343" s="2">
        <v>577091</v>
      </c>
      <c r="D343" s="8">
        <v>4.328E-4</v>
      </c>
    </row>
    <row r="344" spans="1:4" x14ac:dyDescent="0.2">
      <c r="A344" s="1">
        <v>2024</v>
      </c>
      <c r="B344" s="1" t="s">
        <v>342</v>
      </c>
      <c r="C344" s="2">
        <v>1574333</v>
      </c>
      <c r="D344" s="8">
        <v>1.1806900000000001E-3</v>
      </c>
    </row>
    <row r="345" spans="1:4" x14ac:dyDescent="0.2">
      <c r="A345" s="1">
        <v>2024</v>
      </c>
      <c r="B345" s="1" t="s">
        <v>343</v>
      </c>
      <c r="C345" s="2">
        <v>619569</v>
      </c>
      <c r="D345" s="8">
        <v>4.6464999999999999E-4</v>
      </c>
    </row>
    <row r="346" spans="1:4" x14ac:dyDescent="0.2">
      <c r="A346" s="1">
        <v>2024</v>
      </c>
      <c r="B346" s="1" t="s">
        <v>344</v>
      </c>
      <c r="C346" s="2">
        <v>481669</v>
      </c>
      <c r="D346" s="8">
        <v>3.6122999999999998E-4</v>
      </c>
    </row>
    <row r="347" spans="1:4" x14ac:dyDescent="0.2">
      <c r="A347" s="1">
        <v>2024</v>
      </c>
      <c r="B347" s="1" t="s">
        <v>345</v>
      </c>
      <c r="C347" s="2">
        <v>1807266</v>
      </c>
      <c r="D347" s="8">
        <v>1.35538E-3</v>
      </c>
    </row>
    <row r="348" spans="1:4" x14ac:dyDescent="0.2">
      <c r="A348" s="1">
        <v>2024</v>
      </c>
      <c r="B348" s="1" t="s">
        <v>346</v>
      </c>
      <c r="C348" s="2">
        <v>26652</v>
      </c>
      <c r="D348" s="8">
        <v>1.999E-5</v>
      </c>
    </row>
    <row r="349" spans="1:4" x14ac:dyDescent="0.2">
      <c r="A349" s="1">
        <v>2024</v>
      </c>
      <c r="B349" s="1" t="s">
        <v>347</v>
      </c>
      <c r="C349" s="2">
        <v>446527</v>
      </c>
      <c r="D349" s="8">
        <v>3.3488000000000002E-4</v>
      </c>
    </row>
    <row r="350" spans="1:4" x14ac:dyDescent="0.2">
      <c r="A350" s="1">
        <v>2024</v>
      </c>
      <c r="B350" s="1" t="s">
        <v>348</v>
      </c>
      <c r="C350" s="2">
        <v>9527765</v>
      </c>
      <c r="D350" s="8">
        <v>7.1454600000000002E-3</v>
      </c>
    </row>
    <row r="351" spans="1:4" x14ac:dyDescent="0.2">
      <c r="A351" s="1">
        <v>2024</v>
      </c>
      <c r="B351" s="1" t="s">
        <v>349</v>
      </c>
      <c r="C351" s="2">
        <v>3053485</v>
      </c>
      <c r="D351" s="8">
        <v>2.2899999999999999E-3</v>
      </c>
    </row>
    <row r="352" spans="1:4" x14ac:dyDescent="0.2">
      <c r="A352" s="1">
        <v>2024</v>
      </c>
      <c r="B352" s="1" t="s">
        <v>350</v>
      </c>
      <c r="C352" s="2">
        <v>4124006</v>
      </c>
      <c r="D352" s="8">
        <v>3.0928499999999999E-3</v>
      </c>
    </row>
    <row r="353" spans="1:4" x14ac:dyDescent="0.2">
      <c r="A353" s="1">
        <v>2024</v>
      </c>
      <c r="B353" s="1" t="s">
        <v>351</v>
      </c>
      <c r="C353" s="2">
        <v>31889</v>
      </c>
      <c r="D353" s="8">
        <v>2.3920000000000001E-5</v>
      </c>
    </row>
    <row r="354" spans="1:4" x14ac:dyDescent="0.2">
      <c r="A354" s="1">
        <v>2024</v>
      </c>
      <c r="B354" s="1" t="s">
        <v>352</v>
      </c>
      <c r="C354" s="2">
        <v>80113</v>
      </c>
      <c r="D354" s="8">
        <v>6.0080000000000001E-5</v>
      </c>
    </row>
    <row r="355" spans="1:4" x14ac:dyDescent="0.2">
      <c r="A355" s="1">
        <v>2024</v>
      </c>
      <c r="B355" s="1" t="s">
        <v>353</v>
      </c>
      <c r="C355" s="2">
        <v>6516</v>
      </c>
      <c r="D355" s="8">
        <v>4.8899999999999998E-6</v>
      </c>
    </row>
    <row r="356" spans="1:4" x14ac:dyDescent="0.2">
      <c r="A356" s="1">
        <v>2024</v>
      </c>
      <c r="B356" s="1" t="s">
        <v>354</v>
      </c>
      <c r="C356" s="2">
        <v>1693705</v>
      </c>
      <c r="D356" s="8">
        <v>1.2702099999999999E-3</v>
      </c>
    </row>
    <row r="357" spans="1:4" x14ac:dyDescent="0.2">
      <c r="A357" s="1">
        <v>2024</v>
      </c>
      <c r="B357" s="1" t="s">
        <v>355</v>
      </c>
      <c r="C357" s="2">
        <v>917252</v>
      </c>
      <c r="D357" s="8">
        <v>6.8789999999999997E-4</v>
      </c>
    </row>
    <row r="358" spans="1:4" x14ac:dyDescent="0.2">
      <c r="A358" s="1">
        <v>2024</v>
      </c>
      <c r="B358" s="1" t="s">
        <v>356</v>
      </c>
      <c r="C358" s="2">
        <v>23029</v>
      </c>
      <c r="D358" s="8">
        <v>1.7269999999999999E-5</v>
      </c>
    </row>
    <row r="359" spans="1:4" x14ac:dyDescent="0.2">
      <c r="A359" s="1">
        <v>2024</v>
      </c>
      <c r="B359" s="1" t="s">
        <v>357</v>
      </c>
      <c r="C359" s="2">
        <v>40767</v>
      </c>
      <c r="D359" s="8">
        <v>3.057E-5</v>
      </c>
    </row>
    <row r="360" spans="1:4" x14ac:dyDescent="0.2">
      <c r="A360" s="1">
        <v>2024</v>
      </c>
      <c r="B360" s="1" t="s">
        <v>358</v>
      </c>
      <c r="C360" s="2">
        <v>55035</v>
      </c>
      <c r="D360" s="8">
        <v>4.1270000000000003E-5</v>
      </c>
    </row>
    <row r="361" spans="1:4" x14ac:dyDescent="0.2">
      <c r="A361" s="1">
        <v>2024</v>
      </c>
      <c r="B361" s="1" t="s">
        <v>359</v>
      </c>
      <c r="C361" s="2">
        <v>518850</v>
      </c>
      <c r="D361" s="8">
        <v>3.8912000000000001E-4</v>
      </c>
    </row>
    <row r="362" spans="1:4" x14ac:dyDescent="0.2">
      <c r="A362" s="1">
        <v>2024</v>
      </c>
      <c r="B362" s="1" t="s">
        <v>360</v>
      </c>
      <c r="C362" s="2">
        <v>2357508</v>
      </c>
      <c r="D362" s="8">
        <v>1.76804E-3</v>
      </c>
    </row>
    <row r="363" spans="1:4" x14ac:dyDescent="0.2">
      <c r="A363" s="1">
        <v>2024</v>
      </c>
      <c r="B363" s="1" t="s">
        <v>361</v>
      </c>
      <c r="C363" s="2">
        <v>256986</v>
      </c>
      <c r="D363" s="8">
        <v>1.9273000000000001E-4</v>
      </c>
    </row>
    <row r="364" spans="1:4" x14ac:dyDescent="0.2">
      <c r="A364" s="1">
        <v>2024</v>
      </c>
      <c r="B364" s="1" t="s">
        <v>362</v>
      </c>
      <c r="C364" s="2">
        <v>3589999</v>
      </c>
      <c r="D364" s="8">
        <v>2.69236E-3</v>
      </c>
    </row>
    <row r="365" spans="1:4" x14ac:dyDescent="0.2">
      <c r="A365" s="1">
        <v>2024</v>
      </c>
      <c r="B365" s="1" t="s">
        <v>363</v>
      </c>
      <c r="C365" s="2">
        <v>2668329</v>
      </c>
      <c r="D365" s="8">
        <v>2.0011500000000002E-3</v>
      </c>
    </row>
    <row r="366" spans="1:4" x14ac:dyDescent="0.2">
      <c r="A366" s="1">
        <v>2024</v>
      </c>
      <c r="B366" s="1" t="s">
        <v>364</v>
      </c>
      <c r="C366" s="2">
        <v>4087</v>
      </c>
      <c r="D366" s="8">
        <v>3.0699999999999998E-6</v>
      </c>
    </row>
    <row r="367" spans="1:4" x14ac:dyDescent="0.2">
      <c r="A367" s="1">
        <v>2024</v>
      </c>
      <c r="B367" s="1" t="s">
        <v>365</v>
      </c>
      <c r="C367" s="2">
        <v>51620</v>
      </c>
      <c r="D367" s="8">
        <v>3.871E-5</v>
      </c>
    </row>
    <row r="368" spans="1:4" x14ac:dyDescent="0.2">
      <c r="A368" s="1">
        <v>2024</v>
      </c>
      <c r="B368" s="1" t="s">
        <v>366</v>
      </c>
      <c r="C368" s="2">
        <v>11984557</v>
      </c>
      <c r="D368" s="8">
        <v>8.9879599999999997E-3</v>
      </c>
    </row>
    <row r="369" spans="1:4" x14ac:dyDescent="0.2">
      <c r="A369" s="1">
        <v>2024</v>
      </c>
      <c r="B369" s="1" t="s">
        <v>367</v>
      </c>
      <c r="C369" s="2">
        <v>9837</v>
      </c>
      <c r="D369" s="8">
        <v>7.3799999999999996E-6</v>
      </c>
    </row>
    <row r="370" spans="1:4" x14ac:dyDescent="0.2">
      <c r="A370" s="1">
        <v>2024</v>
      </c>
      <c r="B370" s="1" t="s">
        <v>368</v>
      </c>
      <c r="C370" s="2">
        <v>2864174</v>
      </c>
      <c r="D370" s="8">
        <v>2.1480200000000001E-3</v>
      </c>
    </row>
    <row r="371" spans="1:4" x14ac:dyDescent="0.2">
      <c r="A371" s="1">
        <v>2024</v>
      </c>
      <c r="B371" s="1" t="s">
        <v>369</v>
      </c>
      <c r="C371" s="2">
        <v>97102</v>
      </c>
      <c r="D371" s="8">
        <v>7.2819999999999997E-5</v>
      </c>
    </row>
    <row r="372" spans="1:4" x14ac:dyDescent="0.2">
      <c r="A372" s="1">
        <v>2024</v>
      </c>
      <c r="B372" s="1" t="s">
        <v>370</v>
      </c>
      <c r="C372" s="2">
        <v>31352</v>
      </c>
      <c r="D372" s="8">
        <v>2.351E-5</v>
      </c>
    </row>
    <row r="373" spans="1:4" x14ac:dyDescent="0.2">
      <c r="A373" s="1">
        <v>2024</v>
      </c>
      <c r="B373" s="1" t="s">
        <v>371</v>
      </c>
      <c r="C373" s="2">
        <v>6981109</v>
      </c>
      <c r="D373" s="8">
        <v>5.2355700000000002E-3</v>
      </c>
    </row>
    <row r="374" spans="1:4" x14ac:dyDescent="0.2">
      <c r="A374" s="1">
        <v>2024</v>
      </c>
      <c r="B374" s="1" t="s">
        <v>372</v>
      </c>
      <c r="C374" s="2">
        <v>2560598</v>
      </c>
      <c r="D374" s="8">
        <v>1.9203499999999999E-3</v>
      </c>
    </row>
    <row r="375" spans="1:4" x14ac:dyDescent="0.2">
      <c r="A375" s="1">
        <v>2024</v>
      </c>
      <c r="B375" s="1" t="s">
        <v>373</v>
      </c>
      <c r="C375" s="2">
        <v>489350</v>
      </c>
      <c r="D375" s="8">
        <v>3.6698999999999998E-4</v>
      </c>
    </row>
    <row r="376" spans="1:4" x14ac:dyDescent="0.2">
      <c r="A376" s="1">
        <v>2024</v>
      </c>
      <c r="B376" s="1" t="s">
        <v>374</v>
      </c>
      <c r="C376" s="2">
        <v>34376</v>
      </c>
      <c r="D376" s="8">
        <v>2.5780000000000001E-5</v>
      </c>
    </row>
    <row r="377" spans="1:4" x14ac:dyDescent="0.2">
      <c r="A377" s="1">
        <v>2024</v>
      </c>
      <c r="B377" s="1" t="s">
        <v>375</v>
      </c>
      <c r="C377" s="2">
        <v>1653708</v>
      </c>
      <c r="D377" s="8">
        <v>1.24022E-3</v>
      </c>
    </row>
    <row r="378" spans="1:4" x14ac:dyDescent="0.2">
      <c r="A378" s="1">
        <v>2024</v>
      </c>
      <c r="B378" s="1" t="s">
        <v>376</v>
      </c>
      <c r="C378" s="2">
        <v>168531</v>
      </c>
      <c r="D378" s="8">
        <v>1.2638999999999999E-4</v>
      </c>
    </row>
    <row r="379" spans="1:4" x14ac:dyDescent="0.2">
      <c r="A379" s="1">
        <v>2024</v>
      </c>
      <c r="B379" s="1" t="s">
        <v>377</v>
      </c>
      <c r="C379" s="2">
        <v>3232092</v>
      </c>
      <c r="D379" s="8">
        <v>2.4239499999999998E-3</v>
      </c>
    </row>
    <row r="380" spans="1:4" x14ac:dyDescent="0.2">
      <c r="A380" s="1">
        <v>2024</v>
      </c>
      <c r="B380" s="1" t="s">
        <v>378</v>
      </c>
      <c r="C380" s="2">
        <v>66522</v>
      </c>
      <c r="D380" s="8">
        <v>4.9889999999999998E-5</v>
      </c>
    </row>
    <row r="381" spans="1:4" x14ac:dyDescent="0.2">
      <c r="A381" s="1">
        <v>2024</v>
      </c>
      <c r="B381" s="1" t="s">
        <v>379</v>
      </c>
      <c r="C381" s="2">
        <v>2251469</v>
      </c>
      <c r="D381" s="8">
        <v>1.68852E-3</v>
      </c>
    </row>
    <row r="382" spans="1:4" x14ac:dyDescent="0.2">
      <c r="A382" s="1">
        <v>2024</v>
      </c>
      <c r="B382" s="1" t="s">
        <v>380</v>
      </c>
      <c r="C382" s="2">
        <v>605570</v>
      </c>
      <c r="D382" s="8">
        <v>4.5415000000000001E-4</v>
      </c>
    </row>
    <row r="383" spans="1:4" x14ac:dyDescent="0.2">
      <c r="A383" s="1">
        <v>2024</v>
      </c>
      <c r="B383" s="1" t="s">
        <v>381</v>
      </c>
      <c r="C383" s="2">
        <v>2841595</v>
      </c>
      <c r="D383" s="8">
        <v>2.13109E-3</v>
      </c>
    </row>
    <row r="384" spans="1:4" x14ac:dyDescent="0.2">
      <c r="A384" s="1">
        <v>2024</v>
      </c>
      <c r="B384" s="1" t="s">
        <v>382</v>
      </c>
      <c r="C384" s="2">
        <v>1079936</v>
      </c>
      <c r="D384" s="8">
        <v>8.0990999999999995E-4</v>
      </c>
    </row>
    <row r="385" spans="1:4" x14ac:dyDescent="0.2">
      <c r="A385" s="1">
        <v>2024</v>
      </c>
      <c r="B385" s="1" t="s">
        <v>383</v>
      </c>
      <c r="C385" s="2">
        <v>47862</v>
      </c>
      <c r="D385" s="8">
        <v>3.5889999999999997E-5</v>
      </c>
    </row>
    <row r="386" spans="1:4" x14ac:dyDescent="0.2">
      <c r="A386" s="1">
        <v>2024</v>
      </c>
      <c r="B386" s="1" t="s">
        <v>384</v>
      </c>
      <c r="C386" s="2">
        <v>2922717</v>
      </c>
      <c r="D386" s="8">
        <v>2.1919299999999999E-3</v>
      </c>
    </row>
    <row r="387" spans="1:4" x14ac:dyDescent="0.2">
      <c r="A387" s="1">
        <v>2024</v>
      </c>
      <c r="B387" s="1" t="s">
        <v>385</v>
      </c>
      <c r="C387" s="2">
        <v>7561</v>
      </c>
      <c r="D387" s="8">
        <v>5.6699999999999999E-6</v>
      </c>
    </row>
    <row r="388" spans="1:4" x14ac:dyDescent="0.2">
      <c r="A388" s="1">
        <v>2024</v>
      </c>
      <c r="B388" s="1" t="s">
        <v>386</v>
      </c>
      <c r="C388" s="2">
        <v>7494856</v>
      </c>
      <c r="D388" s="8">
        <v>5.6208600000000001E-3</v>
      </c>
    </row>
    <row r="389" spans="1:4" x14ac:dyDescent="0.2">
      <c r="A389" s="1">
        <v>2024</v>
      </c>
      <c r="B389" s="1" t="s">
        <v>387</v>
      </c>
      <c r="C389" s="2">
        <v>152334</v>
      </c>
      <c r="D389" s="8">
        <v>1.1424E-4</v>
      </c>
    </row>
    <row r="390" spans="1:4" x14ac:dyDescent="0.2">
      <c r="A390" s="1">
        <v>2024</v>
      </c>
      <c r="B390" s="1" t="s">
        <v>388</v>
      </c>
      <c r="C390" s="2">
        <v>1453771</v>
      </c>
      <c r="D390" s="8">
        <v>1.09027E-3</v>
      </c>
    </row>
    <row r="391" spans="1:4" x14ac:dyDescent="0.2">
      <c r="A391" s="1">
        <v>2024</v>
      </c>
      <c r="B391" s="1" t="s">
        <v>389</v>
      </c>
      <c r="C391" s="2">
        <v>66551</v>
      </c>
      <c r="D391" s="8">
        <v>4.9910000000000002E-5</v>
      </c>
    </row>
    <row r="392" spans="1:4" x14ac:dyDescent="0.2">
      <c r="A392" s="1">
        <v>2024</v>
      </c>
      <c r="B392" s="1" t="s">
        <v>390</v>
      </c>
      <c r="C392" s="2">
        <v>280741</v>
      </c>
      <c r="D392" s="8">
        <v>2.1054999999999999E-4</v>
      </c>
    </row>
    <row r="393" spans="1:4" x14ac:dyDescent="0.2">
      <c r="A393" s="1">
        <v>2024</v>
      </c>
      <c r="B393" s="1" t="s">
        <v>391</v>
      </c>
      <c r="C393" s="2">
        <v>15847</v>
      </c>
      <c r="D393" s="8">
        <v>1.188E-5</v>
      </c>
    </row>
    <row r="394" spans="1:4" x14ac:dyDescent="0.2">
      <c r="A394" s="1">
        <v>2024</v>
      </c>
      <c r="B394" s="1" t="s">
        <v>392</v>
      </c>
      <c r="C394" s="2">
        <v>315899</v>
      </c>
      <c r="D394" s="8">
        <v>2.3691000000000001E-4</v>
      </c>
    </row>
    <row r="395" spans="1:4" x14ac:dyDescent="0.2">
      <c r="A395" s="1">
        <v>2024</v>
      </c>
      <c r="B395" s="1" t="s">
        <v>393</v>
      </c>
      <c r="C395" s="2">
        <v>1107657</v>
      </c>
      <c r="D395" s="8">
        <v>8.3069999999999997E-4</v>
      </c>
    </row>
    <row r="396" spans="1:4" x14ac:dyDescent="0.2">
      <c r="A396" s="1">
        <v>2024</v>
      </c>
      <c r="B396" s="1" t="s">
        <v>394</v>
      </c>
      <c r="C396" s="1">
        <v>479</v>
      </c>
      <c r="D396" s="8">
        <v>3.5999999999999999E-7</v>
      </c>
    </row>
    <row r="397" spans="1:4" x14ac:dyDescent="0.2">
      <c r="A397" s="1">
        <v>2024</v>
      </c>
      <c r="B397" s="1" t="s">
        <v>395</v>
      </c>
      <c r="C397" s="2">
        <v>232471</v>
      </c>
      <c r="D397" s="8">
        <v>1.7433999999999999E-4</v>
      </c>
    </row>
    <row r="398" spans="1:4" x14ac:dyDescent="0.2">
      <c r="A398" s="1">
        <v>2024</v>
      </c>
      <c r="B398" s="1" t="s">
        <v>396</v>
      </c>
      <c r="C398" s="2">
        <v>175250</v>
      </c>
      <c r="D398" s="8">
        <v>1.3143000000000001E-4</v>
      </c>
    </row>
    <row r="399" spans="1:4" x14ac:dyDescent="0.2">
      <c r="A399" s="1">
        <v>2024</v>
      </c>
      <c r="B399" s="1" t="s">
        <v>397</v>
      </c>
      <c r="C399" s="2">
        <v>139317</v>
      </c>
      <c r="D399" s="8">
        <v>1.0448E-4</v>
      </c>
    </row>
    <row r="400" spans="1:4" x14ac:dyDescent="0.2">
      <c r="A400" s="1">
        <v>2024</v>
      </c>
      <c r="B400" s="1" t="s">
        <v>398</v>
      </c>
      <c r="C400" s="2">
        <v>70864</v>
      </c>
      <c r="D400" s="8">
        <v>5.3149999999999998E-5</v>
      </c>
    </row>
    <row r="401" spans="1:4" x14ac:dyDescent="0.2">
      <c r="A401" s="1">
        <v>2024</v>
      </c>
      <c r="B401" s="1" t="s">
        <v>399</v>
      </c>
      <c r="C401" s="2">
        <v>2827992</v>
      </c>
      <c r="D401" s="8">
        <v>2.1208899999999998E-3</v>
      </c>
    </row>
    <row r="402" spans="1:4" x14ac:dyDescent="0.2">
      <c r="A402" s="1">
        <v>2024</v>
      </c>
      <c r="B402" s="1" t="s">
        <v>400</v>
      </c>
      <c r="C402" s="2">
        <v>1161864</v>
      </c>
      <c r="D402" s="8">
        <v>8.7135000000000001E-4</v>
      </c>
    </row>
    <row r="403" spans="1:4" x14ac:dyDescent="0.2">
      <c r="A403" s="1">
        <v>2024</v>
      </c>
      <c r="B403" s="1" t="s">
        <v>401</v>
      </c>
      <c r="C403" s="2">
        <v>74595</v>
      </c>
      <c r="D403" s="8">
        <v>5.5940000000000003E-5</v>
      </c>
    </row>
    <row r="404" spans="1:4" x14ac:dyDescent="0.2">
      <c r="A404" s="1">
        <v>2024</v>
      </c>
      <c r="B404" s="1" t="s">
        <v>402</v>
      </c>
      <c r="C404" s="2">
        <v>994347</v>
      </c>
      <c r="D404" s="8">
        <v>7.4571999999999995E-4</v>
      </c>
    </row>
    <row r="405" spans="1:4" x14ac:dyDescent="0.2">
      <c r="A405" s="1">
        <v>2024</v>
      </c>
      <c r="B405" s="1" t="s">
        <v>403</v>
      </c>
      <c r="C405" s="2">
        <v>3236541</v>
      </c>
      <c r="D405" s="8">
        <v>2.42728E-3</v>
      </c>
    </row>
    <row r="406" spans="1:4" x14ac:dyDescent="0.2">
      <c r="A406" s="1">
        <v>2024</v>
      </c>
      <c r="B406" s="1" t="s">
        <v>404</v>
      </c>
      <c r="C406" s="2">
        <v>7861</v>
      </c>
      <c r="D406" s="8">
        <v>5.9000000000000003E-6</v>
      </c>
    </row>
    <row r="407" spans="1:4" x14ac:dyDescent="0.2">
      <c r="A407" s="1">
        <v>2024</v>
      </c>
      <c r="B407" s="1" t="s">
        <v>405</v>
      </c>
      <c r="C407" s="2">
        <v>10113</v>
      </c>
      <c r="D407" s="8">
        <v>7.5800000000000003E-6</v>
      </c>
    </row>
    <row r="408" spans="1:4" x14ac:dyDescent="0.2">
      <c r="A408" s="1">
        <v>2024</v>
      </c>
      <c r="B408" s="1" t="s">
        <v>406</v>
      </c>
      <c r="C408" s="2">
        <v>546262</v>
      </c>
      <c r="D408" s="8">
        <v>4.0967999999999999E-4</v>
      </c>
    </row>
    <row r="409" spans="1:4" x14ac:dyDescent="0.2">
      <c r="A409" s="1">
        <v>2024</v>
      </c>
      <c r="B409" s="1" t="s">
        <v>407</v>
      </c>
      <c r="C409" s="2">
        <v>181043</v>
      </c>
      <c r="D409" s="8">
        <v>1.3578E-4</v>
      </c>
    </row>
    <row r="410" spans="1:4" x14ac:dyDescent="0.2">
      <c r="A410" s="1">
        <v>2024</v>
      </c>
      <c r="B410" s="1" t="s">
        <v>408</v>
      </c>
      <c r="C410" s="2">
        <v>43693</v>
      </c>
      <c r="D410" s="8">
        <v>3.277E-5</v>
      </c>
    </row>
    <row r="411" spans="1:4" x14ac:dyDescent="0.2">
      <c r="A411" s="1">
        <v>2024</v>
      </c>
      <c r="B411" s="1" t="s">
        <v>409</v>
      </c>
      <c r="C411" s="2">
        <v>3111661</v>
      </c>
      <c r="D411" s="8">
        <v>2.3336300000000002E-3</v>
      </c>
    </row>
    <row r="412" spans="1:4" x14ac:dyDescent="0.2">
      <c r="A412" s="1">
        <v>2024</v>
      </c>
      <c r="B412" s="1" t="s">
        <v>410</v>
      </c>
      <c r="C412" s="2">
        <v>122389</v>
      </c>
      <c r="D412" s="8">
        <v>9.179E-5</v>
      </c>
    </row>
    <row r="413" spans="1:4" x14ac:dyDescent="0.2">
      <c r="A413" s="1">
        <v>2024</v>
      </c>
      <c r="B413" s="1" t="s">
        <v>411</v>
      </c>
      <c r="C413" s="2">
        <v>6744668</v>
      </c>
      <c r="D413" s="8">
        <v>5.0582500000000002E-3</v>
      </c>
    </row>
    <row r="414" spans="1:4" x14ac:dyDescent="0.2">
      <c r="A414" s="1">
        <v>2024</v>
      </c>
      <c r="B414" s="1" t="s">
        <v>412</v>
      </c>
      <c r="C414" s="2">
        <v>2742306</v>
      </c>
      <c r="D414" s="8">
        <v>2.0566299999999998E-3</v>
      </c>
    </row>
    <row r="415" spans="1:4" x14ac:dyDescent="0.2">
      <c r="A415" s="1">
        <v>2024</v>
      </c>
      <c r="B415" s="1" t="s">
        <v>413</v>
      </c>
      <c r="C415" s="2">
        <v>346696</v>
      </c>
      <c r="D415" s="8">
        <v>2.6001000000000003E-4</v>
      </c>
    </row>
    <row r="416" spans="1:4" x14ac:dyDescent="0.2">
      <c r="A416" s="1">
        <v>2024</v>
      </c>
      <c r="B416" s="1" t="s">
        <v>414</v>
      </c>
      <c r="C416" s="1">
        <v>465</v>
      </c>
      <c r="D416" s="8">
        <v>3.4999999999999998E-7</v>
      </c>
    </row>
    <row r="417" spans="1:4" x14ac:dyDescent="0.2">
      <c r="A417" s="1">
        <v>2024</v>
      </c>
      <c r="B417" s="1" t="s">
        <v>415</v>
      </c>
      <c r="C417" s="2">
        <v>105712</v>
      </c>
      <c r="D417" s="8">
        <v>7.928E-5</v>
      </c>
    </row>
    <row r="418" spans="1:4" x14ac:dyDescent="0.2">
      <c r="A418" s="1">
        <v>2024</v>
      </c>
      <c r="B418" s="1" t="s">
        <v>416</v>
      </c>
      <c r="C418" s="2">
        <v>21457</v>
      </c>
      <c r="D418" s="8">
        <v>1.609E-5</v>
      </c>
    </row>
    <row r="419" spans="1:4" x14ac:dyDescent="0.2">
      <c r="A419" s="1">
        <v>2024</v>
      </c>
      <c r="B419" s="1" t="s">
        <v>417</v>
      </c>
      <c r="C419" s="2">
        <v>36498</v>
      </c>
      <c r="D419" s="8">
        <v>2.7370000000000001E-5</v>
      </c>
    </row>
    <row r="420" spans="1:4" x14ac:dyDescent="0.2">
      <c r="A420" s="1">
        <v>2024</v>
      </c>
      <c r="B420" s="1" t="s">
        <v>418</v>
      </c>
      <c r="C420" s="2">
        <v>159391</v>
      </c>
      <c r="D420" s="8">
        <v>1.1954E-4</v>
      </c>
    </row>
    <row r="421" spans="1:4" x14ac:dyDescent="0.2">
      <c r="A421" s="1">
        <v>2024</v>
      </c>
      <c r="B421" s="1" t="s">
        <v>419</v>
      </c>
      <c r="C421" s="2">
        <v>77265</v>
      </c>
      <c r="D421" s="8">
        <v>5.7949999999999999E-5</v>
      </c>
    </row>
    <row r="422" spans="1:4" x14ac:dyDescent="0.2">
      <c r="A422" s="1">
        <v>2024</v>
      </c>
      <c r="B422" s="1" t="s">
        <v>420</v>
      </c>
      <c r="C422" s="2">
        <v>2418238</v>
      </c>
      <c r="D422" s="8">
        <v>1.8135899999999999E-3</v>
      </c>
    </row>
    <row r="423" spans="1:4" x14ac:dyDescent="0.2">
      <c r="A423" s="1">
        <v>2024</v>
      </c>
      <c r="B423" s="1" t="s">
        <v>421</v>
      </c>
      <c r="C423" s="2">
        <v>228328</v>
      </c>
      <c r="D423" s="8">
        <v>1.7123999999999999E-4</v>
      </c>
    </row>
    <row r="424" spans="1:4" x14ac:dyDescent="0.2">
      <c r="A424" s="1">
        <v>2024</v>
      </c>
      <c r="B424" s="1" t="s">
        <v>422</v>
      </c>
      <c r="C424" s="2">
        <v>16958737</v>
      </c>
      <c r="D424" s="8">
        <v>1.2718409999999999E-2</v>
      </c>
    </row>
    <row r="425" spans="1:4" x14ac:dyDescent="0.2">
      <c r="A425" s="1">
        <v>2024</v>
      </c>
      <c r="B425" s="1" t="s">
        <v>423</v>
      </c>
      <c r="C425" s="2">
        <v>3982726</v>
      </c>
      <c r="D425" s="8">
        <v>2.9868899999999999E-3</v>
      </c>
    </row>
    <row r="426" spans="1:4" x14ac:dyDescent="0.2">
      <c r="A426" s="1">
        <v>2024</v>
      </c>
      <c r="B426" s="1" t="s">
        <v>424</v>
      </c>
      <c r="C426" s="2">
        <v>106405</v>
      </c>
      <c r="D426" s="8">
        <v>7.9800000000000002E-5</v>
      </c>
    </row>
    <row r="427" spans="1:4" x14ac:dyDescent="0.2">
      <c r="A427" s="1">
        <v>2024</v>
      </c>
      <c r="B427" s="1" t="s">
        <v>425</v>
      </c>
      <c r="C427" s="2">
        <v>602475</v>
      </c>
      <c r="D427" s="8">
        <v>4.5183000000000002E-4</v>
      </c>
    </row>
    <row r="428" spans="1:4" x14ac:dyDescent="0.2">
      <c r="A428" s="1">
        <v>2024</v>
      </c>
      <c r="B428" s="1" t="s">
        <v>426</v>
      </c>
      <c r="C428" s="2">
        <v>11775</v>
      </c>
      <c r="D428" s="8">
        <v>8.8300000000000002E-6</v>
      </c>
    </row>
    <row r="429" spans="1:4" x14ac:dyDescent="0.2">
      <c r="A429" s="1">
        <v>2024</v>
      </c>
      <c r="B429" s="1" t="s">
        <v>427</v>
      </c>
      <c r="C429" s="2">
        <v>394361</v>
      </c>
      <c r="D429" s="8">
        <v>2.9576E-4</v>
      </c>
    </row>
    <row r="430" spans="1:4" x14ac:dyDescent="0.2">
      <c r="A430" s="1">
        <v>2024</v>
      </c>
      <c r="B430" s="1" t="s">
        <v>428</v>
      </c>
      <c r="C430" s="2">
        <v>408797</v>
      </c>
      <c r="D430" s="8">
        <v>3.0657999999999998E-4</v>
      </c>
    </row>
    <row r="431" spans="1:4" x14ac:dyDescent="0.2">
      <c r="A431" s="1">
        <v>2024</v>
      </c>
      <c r="B431" s="1" t="s">
        <v>429</v>
      </c>
      <c r="C431" s="2">
        <v>180449</v>
      </c>
      <c r="D431" s="8">
        <v>1.3532999999999999E-4</v>
      </c>
    </row>
    <row r="432" spans="1:4" x14ac:dyDescent="0.2">
      <c r="A432" s="1">
        <v>2024</v>
      </c>
      <c r="B432" s="1" t="s">
        <v>430</v>
      </c>
      <c r="C432" s="2">
        <v>2820814</v>
      </c>
      <c r="D432" s="8">
        <v>2.1155000000000002E-3</v>
      </c>
    </row>
    <row r="433" spans="1:4" x14ac:dyDescent="0.2">
      <c r="A433" s="1">
        <v>2024</v>
      </c>
      <c r="B433" s="1" t="s">
        <v>431</v>
      </c>
      <c r="C433" s="2">
        <v>47487</v>
      </c>
      <c r="D433" s="8">
        <v>3.561E-5</v>
      </c>
    </row>
    <row r="434" spans="1:4" x14ac:dyDescent="0.2">
      <c r="A434" s="1">
        <v>2024</v>
      </c>
      <c r="B434" s="1" t="s">
        <v>432</v>
      </c>
      <c r="C434" s="2">
        <v>9080</v>
      </c>
      <c r="D434" s="8">
        <v>6.81E-6</v>
      </c>
    </row>
    <row r="435" spans="1:4" x14ac:dyDescent="0.2">
      <c r="A435" s="1">
        <v>2024</v>
      </c>
      <c r="B435" s="1" t="s">
        <v>433</v>
      </c>
      <c r="C435" s="2">
        <v>2483644</v>
      </c>
      <c r="D435" s="8">
        <v>1.86264E-3</v>
      </c>
    </row>
    <row r="436" spans="1:4" x14ac:dyDescent="0.2">
      <c r="A436" s="1">
        <v>2024</v>
      </c>
      <c r="B436" s="1" t="s">
        <v>434</v>
      </c>
      <c r="C436" s="2">
        <v>1251561</v>
      </c>
      <c r="D436" s="8">
        <v>9.3862000000000004E-4</v>
      </c>
    </row>
    <row r="437" spans="1:4" x14ac:dyDescent="0.2">
      <c r="A437" s="1">
        <v>2024</v>
      </c>
      <c r="B437" s="1" t="s">
        <v>435</v>
      </c>
      <c r="C437" s="2">
        <v>7234</v>
      </c>
      <c r="D437" s="8">
        <v>5.4299999999999997E-6</v>
      </c>
    </row>
    <row r="438" spans="1:4" x14ac:dyDescent="0.2">
      <c r="A438" s="1">
        <v>2024</v>
      </c>
      <c r="B438" s="1" t="s">
        <v>436</v>
      </c>
      <c r="C438" s="2">
        <v>86805</v>
      </c>
      <c r="D438" s="8">
        <v>6.5099999999999997E-5</v>
      </c>
    </row>
    <row r="439" spans="1:4" x14ac:dyDescent="0.2">
      <c r="A439" s="1">
        <v>2024</v>
      </c>
      <c r="B439" s="1" t="s">
        <v>437</v>
      </c>
      <c r="C439" s="2">
        <v>99460</v>
      </c>
      <c r="D439" s="8">
        <v>7.4590000000000002E-5</v>
      </c>
    </row>
    <row r="440" spans="1:4" x14ac:dyDescent="0.2">
      <c r="A440" s="1">
        <v>2024</v>
      </c>
      <c r="B440" s="1" t="s">
        <v>438</v>
      </c>
      <c r="C440" s="2">
        <v>11164</v>
      </c>
      <c r="D440" s="8">
        <v>8.3699999999999995E-6</v>
      </c>
    </row>
    <row r="441" spans="1:4" x14ac:dyDescent="0.2">
      <c r="A441" s="1">
        <v>2024</v>
      </c>
      <c r="B441" s="1" t="s">
        <v>439</v>
      </c>
      <c r="C441" s="2">
        <v>3057058</v>
      </c>
      <c r="D441" s="8">
        <v>2.2926800000000001E-3</v>
      </c>
    </row>
    <row r="442" spans="1:4" x14ac:dyDescent="0.2">
      <c r="A442" s="1">
        <v>2024</v>
      </c>
      <c r="B442" s="1" t="s">
        <v>440</v>
      </c>
      <c r="C442" s="2">
        <v>1875127</v>
      </c>
      <c r="D442" s="8">
        <v>1.40627E-3</v>
      </c>
    </row>
    <row r="443" spans="1:4" x14ac:dyDescent="0.2">
      <c r="A443" s="1">
        <v>2024</v>
      </c>
      <c r="B443" s="1" t="s">
        <v>441</v>
      </c>
      <c r="C443" s="2">
        <v>18645</v>
      </c>
      <c r="D443" s="8">
        <v>1.398E-5</v>
      </c>
    </row>
    <row r="444" spans="1:4" x14ac:dyDescent="0.2">
      <c r="A444" s="1">
        <v>2024</v>
      </c>
      <c r="B444" s="1" t="s">
        <v>442</v>
      </c>
      <c r="C444" s="2">
        <v>41380</v>
      </c>
      <c r="D444" s="8">
        <v>3.1029999999999999E-5</v>
      </c>
    </row>
    <row r="445" spans="1:4" x14ac:dyDescent="0.2">
      <c r="A445" s="1">
        <v>2024</v>
      </c>
      <c r="B445" s="1" t="s">
        <v>443</v>
      </c>
      <c r="C445" s="2">
        <v>1182528</v>
      </c>
      <c r="D445" s="8">
        <v>8.8685000000000001E-4</v>
      </c>
    </row>
    <row r="446" spans="1:4" x14ac:dyDescent="0.2">
      <c r="A446" s="1">
        <v>2024</v>
      </c>
      <c r="B446" s="1" t="s">
        <v>444</v>
      </c>
      <c r="C446" s="2">
        <v>154623</v>
      </c>
      <c r="D446" s="8">
        <v>1.1595999999999999E-4</v>
      </c>
    </row>
    <row r="447" spans="1:4" x14ac:dyDescent="0.2">
      <c r="A447" s="1">
        <v>2024</v>
      </c>
      <c r="B447" s="1" t="s">
        <v>445</v>
      </c>
      <c r="C447" s="2">
        <v>3415499</v>
      </c>
      <c r="D447" s="8">
        <v>2.56149E-3</v>
      </c>
    </row>
    <row r="448" spans="1:4" x14ac:dyDescent="0.2">
      <c r="A448" s="1">
        <v>2024</v>
      </c>
      <c r="B448" s="1" t="s">
        <v>446</v>
      </c>
      <c r="C448" s="2">
        <v>16894</v>
      </c>
      <c r="D448" s="8">
        <v>1.2670000000000001E-5</v>
      </c>
    </row>
    <row r="449" spans="1:4" x14ac:dyDescent="0.2">
      <c r="A449" s="1">
        <v>2024</v>
      </c>
      <c r="B449" s="1" t="s">
        <v>447</v>
      </c>
      <c r="C449" s="2">
        <v>35069</v>
      </c>
      <c r="D449" s="8">
        <v>2.6299999999999999E-5</v>
      </c>
    </row>
    <row r="450" spans="1:4" x14ac:dyDescent="0.2">
      <c r="A450" s="1">
        <v>2024</v>
      </c>
      <c r="B450" s="1" t="s">
        <v>448</v>
      </c>
      <c r="C450" s="2">
        <v>7308989</v>
      </c>
      <c r="D450" s="8">
        <v>5.4814599999999996E-3</v>
      </c>
    </row>
    <row r="451" spans="1:4" x14ac:dyDescent="0.2">
      <c r="A451" s="1">
        <v>2024</v>
      </c>
      <c r="B451" s="1" t="s">
        <v>449</v>
      </c>
      <c r="C451" s="2">
        <v>312722</v>
      </c>
      <c r="D451" s="8">
        <v>2.3452999999999999E-4</v>
      </c>
    </row>
    <row r="452" spans="1:4" x14ac:dyDescent="0.2">
      <c r="A452" s="1">
        <v>2024</v>
      </c>
      <c r="B452" s="1" t="s">
        <v>450</v>
      </c>
      <c r="C452" s="2">
        <v>154824</v>
      </c>
      <c r="D452" s="8">
        <v>1.1611E-4</v>
      </c>
    </row>
    <row r="453" spans="1:4" x14ac:dyDescent="0.2">
      <c r="A453" s="1">
        <v>2024</v>
      </c>
      <c r="B453" s="1" t="s">
        <v>451</v>
      </c>
      <c r="C453" s="2">
        <v>1588186</v>
      </c>
      <c r="D453" s="8">
        <v>1.19108E-3</v>
      </c>
    </row>
    <row r="454" spans="1:4" x14ac:dyDescent="0.2">
      <c r="A454" s="1">
        <v>2024</v>
      </c>
      <c r="B454" s="1" t="s">
        <v>452</v>
      </c>
      <c r="C454" s="2">
        <v>2846647</v>
      </c>
      <c r="D454" s="8">
        <v>2.13488E-3</v>
      </c>
    </row>
    <row r="455" spans="1:4" x14ac:dyDescent="0.2">
      <c r="A455" s="1">
        <v>2024</v>
      </c>
      <c r="B455" s="1" t="s">
        <v>453</v>
      </c>
      <c r="C455" s="2">
        <v>3252708</v>
      </c>
      <c r="D455" s="8">
        <v>2.4394099999999999E-3</v>
      </c>
    </row>
    <row r="456" spans="1:4" x14ac:dyDescent="0.2">
      <c r="A456" s="1">
        <v>2024</v>
      </c>
      <c r="B456" s="1" t="s">
        <v>454</v>
      </c>
      <c r="C456" s="2">
        <v>1145536</v>
      </c>
      <c r="D456" s="8">
        <v>8.5910999999999995E-4</v>
      </c>
    </row>
    <row r="457" spans="1:4" x14ac:dyDescent="0.2">
      <c r="A457" s="1">
        <v>2024</v>
      </c>
      <c r="B457" s="1" t="s">
        <v>455</v>
      </c>
      <c r="C457" s="2">
        <v>640028</v>
      </c>
      <c r="D457" s="8">
        <v>4.8000000000000001E-4</v>
      </c>
    </row>
    <row r="458" spans="1:4" x14ac:dyDescent="0.2">
      <c r="A458" s="1">
        <v>2024</v>
      </c>
      <c r="B458" s="1" t="s">
        <v>456</v>
      </c>
      <c r="C458" s="2">
        <v>3211238</v>
      </c>
      <c r="D458" s="8">
        <v>2.4083099999999999E-3</v>
      </c>
    </row>
    <row r="459" spans="1:4" x14ac:dyDescent="0.2">
      <c r="A459" s="1">
        <v>2024</v>
      </c>
      <c r="B459" s="1" t="s">
        <v>457</v>
      </c>
      <c r="C459" s="2">
        <v>2788978</v>
      </c>
      <c r="D459" s="8">
        <v>2.0916300000000001E-3</v>
      </c>
    </row>
    <row r="460" spans="1:4" x14ac:dyDescent="0.2">
      <c r="A460" s="1">
        <v>2024</v>
      </c>
      <c r="B460" s="1" t="s">
        <v>458</v>
      </c>
      <c r="C460" s="2">
        <v>366186</v>
      </c>
      <c r="D460" s="8">
        <v>2.7462999999999999E-4</v>
      </c>
    </row>
    <row r="461" spans="1:4" x14ac:dyDescent="0.2">
      <c r="A461" s="1">
        <v>2024</v>
      </c>
      <c r="B461" s="1" t="s">
        <v>459</v>
      </c>
      <c r="C461" s="2">
        <v>6904181</v>
      </c>
      <c r="D461" s="8">
        <v>5.1778700000000002E-3</v>
      </c>
    </row>
    <row r="462" spans="1:4" x14ac:dyDescent="0.2">
      <c r="A462" s="1">
        <v>2024</v>
      </c>
      <c r="B462" s="1" t="s">
        <v>460</v>
      </c>
      <c r="C462" s="2">
        <v>84353</v>
      </c>
      <c r="D462" s="8">
        <v>6.3260000000000001E-5</v>
      </c>
    </row>
    <row r="463" spans="1:4" x14ac:dyDescent="0.2">
      <c r="A463" s="1">
        <v>2024</v>
      </c>
      <c r="B463" s="1" t="s">
        <v>461</v>
      </c>
      <c r="C463" s="2">
        <v>25071</v>
      </c>
      <c r="D463" s="8">
        <v>1.88E-5</v>
      </c>
    </row>
    <row r="464" spans="1:4" x14ac:dyDescent="0.2">
      <c r="A464" s="1">
        <v>2024</v>
      </c>
      <c r="B464" s="1" t="s">
        <v>462</v>
      </c>
      <c r="C464" s="2">
        <v>183075</v>
      </c>
      <c r="D464" s="8">
        <v>1.373E-4</v>
      </c>
    </row>
    <row r="465" spans="1:4" x14ac:dyDescent="0.2">
      <c r="A465" s="1">
        <v>2024</v>
      </c>
      <c r="B465" s="1" t="s">
        <v>463</v>
      </c>
      <c r="C465" s="2">
        <v>18509</v>
      </c>
      <c r="D465" s="8">
        <v>1.3879999999999999E-5</v>
      </c>
    </row>
    <row r="466" spans="1:4" x14ac:dyDescent="0.2">
      <c r="A466" s="1">
        <v>2024</v>
      </c>
      <c r="B466" s="1" t="s">
        <v>464</v>
      </c>
      <c r="C466" s="2">
        <v>317292</v>
      </c>
      <c r="D466" s="8">
        <v>2.3796000000000001E-4</v>
      </c>
    </row>
    <row r="467" spans="1:4" x14ac:dyDescent="0.2">
      <c r="A467" s="1">
        <v>2024</v>
      </c>
      <c r="B467" s="1" t="s">
        <v>465</v>
      </c>
      <c r="C467" s="2">
        <v>1904497</v>
      </c>
      <c r="D467" s="8">
        <v>1.4283E-3</v>
      </c>
    </row>
    <row r="468" spans="1:4" x14ac:dyDescent="0.2">
      <c r="A468" s="1">
        <v>2024</v>
      </c>
      <c r="B468" s="1" t="s">
        <v>466</v>
      </c>
      <c r="C468" s="2">
        <v>3526162</v>
      </c>
      <c r="D468" s="8">
        <v>2.6444900000000002E-3</v>
      </c>
    </row>
    <row r="469" spans="1:4" x14ac:dyDescent="0.2">
      <c r="A469" s="1">
        <v>2024</v>
      </c>
      <c r="B469" s="1" t="s">
        <v>467</v>
      </c>
      <c r="C469" s="2">
        <v>747538</v>
      </c>
      <c r="D469" s="8">
        <v>5.6063E-4</v>
      </c>
    </row>
    <row r="470" spans="1:4" x14ac:dyDescent="0.2">
      <c r="A470" s="1">
        <v>2024</v>
      </c>
      <c r="B470" s="1" t="s">
        <v>468</v>
      </c>
      <c r="C470" s="2">
        <v>611541</v>
      </c>
      <c r="D470" s="8">
        <v>4.5863000000000002E-4</v>
      </c>
    </row>
    <row r="471" spans="1:4" x14ac:dyDescent="0.2">
      <c r="A471" s="1">
        <v>2024</v>
      </c>
      <c r="B471" s="1" t="s">
        <v>469</v>
      </c>
      <c r="C471" s="2">
        <v>4914452</v>
      </c>
      <c r="D471" s="8">
        <v>3.68565E-3</v>
      </c>
    </row>
    <row r="472" spans="1:4" x14ac:dyDescent="0.2">
      <c r="A472" s="1">
        <v>2024</v>
      </c>
      <c r="B472" s="1" t="s">
        <v>470</v>
      </c>
      <c r="C472" s="2">
        <v>2978503</v>
      </c>
      <c r="D472" s="8">
        <v>2.23376E-3</v>
      </c>
    </row>
    <row r="473" spans="1:4" x14ac:dyDescent="0.2">
      <c r="A473" s="1">
        <v>2024</v>
      </c>
      <c r="B473" s="1" t="s">
        <v>471</v>
      </c>
      <c r="C473" s="2">
        <v>740322</v>
      </c>
      <c r="D473" s="8">
        <v>5.5520999999999999E-4</v>
      </c>
    </row>
    <row r="474" spans="1:4" x14ac:dyDescent="0.2">
      <c r="A474" s="1">
        <v>2024</v>
      </c>
      <c r="B474" s="1" t="s">
        <v>472</v>
      </c>
      <c r="C474" s="2">
        <v>308899</v>
      </c>
      <c r="D474" s="8">
        <v>2.3165999999999999E-4</v>
      </c>
    </row>
    <row r="475" spans="1:4" x14ac:dyDescent="0.2">
      <c r="A475" s="1">
        <v>2024</v>
      </c>
      <c r="B475" s="1" t="s">
        <v>473</v>
      </c>
      <c r="C475" s="2">
        <v>291572</v>
      </c>
      <c r="D475" s="8">
        <v>2.1866999999999999E-4</v>
      </c>
    </row>
    <row r="476" spans="1:4" x14ac:dyDescent="0.2">
      <c r="A476" s="1">
        <v>2024</v>
      </c>
      <c r="B476" s="1" t="s">
        <v>474</v>
      </c>
      <c r="C476" s="2">
        <v>9683574</v>
      </c>
      <c r="D476" s="8">
        <v>7.2623100000000001E-3</v>
      </c>
    </row>
    <row r="477" spans="1:4" x14ac:dyDescent="0.2">
      <c r="A477" s="1">
        <v>2024</v>
      </c>
      <c r="B477" s="1" t="s">
        <v>475</v>
      </c>
      <c r="C477" s="2">
        <v>950101</v>
      </c>
      <c r="D477" s="8">
        <v>7.1254E-4</v>
      </c>
    </row>
    <row r="478" spans="1:4" x14ac:dyDescent="0.2">
      <c r="A478" s="1">
        <v>2024</v>
      </c>
      <c r="B478" s="1" t="s">
        <v>476</v>
      </c>
      <c r="C478" s="2">
        <v>45297285</v>
      </c>
      <c r="D478" s="8">
        <v>3.3971250000000001E-2</v>
      </c>
    </row>
    <row r="479" spans="1:4" x14ac:dyDescent="0.2">
      <c r="A479" s="1">
        <v>2024</v>
      </c>
      <c r="B479" s="1" t="s">
        <v>477</v>
      </c>
      <c r="C479" s="2">
        <v>13459</v>
      </c>
      <c r="D479" s="8">
        <v>1.009E-5</v>
      </c>
    </row>
    <row r="480" spans="1:4" x14ac:dyDescent="0.2">
      <c r="A480" s="1">
        <v>2024</v>
      </c>
      <c r="B480" s="1" t="s">
        <v>478</v>
      </c>
      <c r="C480" s="2">
        <v>2584613</v>
      </c>
      <c r="D480" s="8">
        <v>1.9383600000000001E-3</v>
      </c>
    </row>
    <row r="481" spans="1:4" x14ac:dyDescent="0.2">
      <c r="A481" s="1">
        <v>2024</v>
      </c>
      <c r="B481" s="1" t="s">
        <v>479</v>
      </c>
      <c r="C481" s="2">
        <v>1507192</v>
      </c>
      <c r="D481" s="8">
        <v>1.1303400000000001E-3</v>
      </c>
    </row>
    <row r="482" spans="1:4" x14ac:dyDescent="0.2">
      <c r="A482" s="1">
        <v>2024</v>
      </c>
      <c r="B482" s="1" t="s">
        <v>480</v>
      </c>
      <c r="C482" s="2">
        <v>5269</v>
      </c>
      <c r="D482" s="8">
        <v>3.9500000000000003E-6</v>
      </c>
    </row>
    <row r="483" spans="1:4" x14ac:dyDescent="0.2">
      <c r="A483" s="1">
        <v>2024</v>
      </c>
      <c r="B483" s="1" t="s">
        <v>481</v>
      </c>
      <c r="C483" s="2">
        <v>372646</v>
      </c>
      <c r="D483" s="8">
        <v>2.7946999999999998E-4</v>
      </c>
    </row>
    <row r="484" spans="1:4" x14ac:dyDescent="0.2">
      <c r="A484" s="1">
        <v>2024</v>
      </c>
      <c r="B484" s="1" t="s">
        <v>482</v>
      </c>
      <c r="C484" s="2">
        <v>144140</v>
      </c>
      <c r="D484" s="8">
        <v>1.081E-4</v>
      </c>
    </row>
    <row r="485" spans="1:4" x14ac:dyDescent="0.2">
      <c r="A485" s="1">
        <v>2024</v>
      </c>
      <c r="B485" s="1" t="s">
        <v>483</v>
      </c>
      <c r="C485" s="2">
        <v>75824</v>
      </c>
      <c r="D485" s="8">
        <v>5.6870000000000003E-5</v>
      </c>
    </row>
    <row r="486" spans="1:4" x14ac:dyDescent="0.2">
      <c r="A486" s="1">
        <v>2024</v>
      </c>
      <c r="B486" s="1" t="s">
        <v>484</v>
      </c>
      <c r="C486" s="2">
        <v>227586</v>
      </c>
      <c r="D486" s="8">
        <v>1.7068000000000001E-4</v>
      </c>
    </row>
    <row r="487" spans="1:4" x14ac:dyDescent="0.2">
      <c r="A487" s="1">
        <v>2024</v>
      </c>
      <c r="B487" s="1" t="s">
        <v>485</v>
      </c>
      <c r="C487" s="2">
        <v>654322</v>
      </c>
      <c r="D487" s="8">
        <v>4.9072000000000005E-4</v>
      </c>
    </row>
    <row r="488" spans="1:4" x14ac:dyDescent="0.2">
      <c r="A488" s="1">
        <v>2024</v>
      </c>
      <c r="B488" s="1" t="s">
        <v>486</v>
      </c>
      <c r="C488" s="2">
        <v>2878458</v>
      </c>
      <c r="D488" s="8">
        <v>2.1587300000000002E-3</v>
      </c>
    </row>
    <row r="489" spans="1:4" x14ac:dyDescent="0.2">
      <c r="A489" s="1">
        <v>2024</v>
      </c>
      <c r="B489" s="1" t="s">
        <v>487</v>
      </c>
      <c r="C489" s="2">
        <v>31874</v>
      </c>
      <c r="D489" s="8">
        <v>2.3900000000000002E-5</v>
      </c>
    </row>
    <row r="490" spans="1:4" x14ac:dyDescent="0.2">
      <c r="A490" s="1">
        <v>2024</v>
      </c>
      <c r="B490" s="1" t="s">
        <v>488</v>
      </c>
      <c r="C490" s="2">
        <v>35684</v>
      </c>
      <c r="D490" s="8">
        <v>2.6760000000000001E-5</v>
      </c>
    </row>
    <row r="491" spans="1:4" x14ac:dyDescent="0.2">
      <c r="A491" s="1">
        <v>2024</v>
      </c>
      <c r="B491" s="1" t="s">
        <v>489</v>
      </c>
      <c r="C491" s="2">
        <v>12869</v>
      </c>
      <c r="D491" s="8">
        <v>9.6500000000000008E-6</v>
      </c>
    </row>
    <row r="492" spans="1:4" x14ac:dyDescent="0.2">
      <c r="A492" s="1">
        <v>2024</v>
      </c>
      <c r="B492" s="1" t="s">
        <v>490</v>
      </c>
      <c r="C492" s="2">
        <v>10440</v>
      </c>
      <c r="D492" s="8">
        <v>7.8299999999999996E-6</v>
      </c>
    </row>
    <row r="493" spans="1:4" x14ac:dyDescent="0.2">
      <c r="A493" s="1">
        <v>2024</v>
      </c>
      <c r="B493" s="1" t="s">
        <v>491</v>
      </c>
      <c r="C493" s="2">
        <v>253901</v>
      </c>
      <c r="D493" s="8">
        <v>1.9042000000000001E-4</v>
      </c>
    </row>
    <row r="494" spans="1:4" x14ac:dyDescent="0.2">
      <c r="A494" s="1">
        <v>2024</v>
      </c>
      <c r="B494" s="1" t="s">
        <v>492</v>
      </c>
      <c r="C494" s="2">
        <v>58744</v>
      </c>
      <c r="D494" s="8">
        <v>4.4060000000000002E-5</v>
      </c>
    </row>
    <row r="495" spans="1:4" x14ac:dyDescent="0.2">
      <c r="A495" s="1">
        <v>2024</v>
      </c>
      <c r="B495" s="1" t="s">
        <v>493</v>
      </c>
      <c r="C495" s="2">
        <v>142404</v>
      </c>
      <c r="D495" s="8">
        <v>1.0679999999999999E-4</v>
      </c>
    </row>
    <row r="496" spans="1:4" x14ac:dyDescent="0.2">
      <c r="A496" s="1">
        <v>2024</v>
      </c>
      <c r="B496" s="1" t="s">
        <v>494</v>
      </c>
      <c r="C496" s="2">
        <v>60483</v>
      </c>
      <c r="D496" s="8">
        <v>4.5359999999999999E-5</v>
      </c>
    </row>
    <row r="497" spans="1:4" x14ac:dyDescent="0.2">
      <c r="A497" s="1">
        <v>2024</v>
      </c>
      <c r="B497" s="1" t="s">
        <v>495</v>
      </c>
      <c r="C497" s="2">
        <v>2101727</v>
      </c>
      <c r="D497" s="8">
        <v>1.5762199999999999E-3</v>
      </c>
    </row>
    <row r="498" spans="1:4" x14ac:dyDescent="0.2">
      <c r="A498" s="1">
        <v>2024</v>
      </c>
      <c r="B498" s="1" t="s">
        <v>496</v>
      </c>
      <c r="C498" s="2">
        <v>13486357</v>
      </c>
      <c r="D498" s="8">
        <v>1.011426E-2</v>
      </c>
    </row>
    <row r="499" spans="1:4" x14ac:dyDescent="0.2">
      <c r="A499" s="1">
        <v>2024</v>
      </c>
      <c r="B499" s="1" t="s">
        <v>497</v>
      </c>
      <c r="C499" s="2">
        <v>1484756</v>
      </c>
      <c r="D499" s="8">
        <v>1.1135100000000001E-3</v>
      </c>
    </row>
    <row r="500" spans="1:4" x14ac:dyDescent="0.2">
      <c r="A500" s="1">
        <v>2024</v>
      </c>
      <c r="B500" s="1" t="s">
        <v>498</v>
      </c>
      <c r="C500" s="2">
        <v>21862609</v>
      </c>
      <c r="D500" s="8">
        <v>1.6396129999999998E-2</v>
      </c>
    </row>
    <row r="501" spans="1:4" x14ac:dyDescent="0.2">
      <c r="A501" s="1">
        <v>2024</v>
      </c>
      <c r="B501" s="1" t="s">
        <v>499</v>
      </c>
      <c r="C501" s="2">
        <v>1933889</v>
      </c>
      <c r="D501" s="8">
        <v>1.45034E-3</v>
      </c>
    </row>
    <row r="502" spans="1:4" x14ac:dyDescent="0.2">
      <c r="A502" s="1">
        <v>2024</v>
      </c>
      <c r="B502" s="1" t="s">
        <v>500</v>
      </c>
      <c r="C502" s="2">
        <v>1103903</v>
      </c>
      <c r="D502" s="8">
        <v>8.2788999999999996E-4</v>
      </c>
    </row>
    <row r="503" spans="1:4" x14ac:dyDescent="0.2">
      <c r="A503" s="1">
        <v>2024</v>
      </c>
      <c r="B503" s="1" t="s">
        <v>501</v>
      </c>
      <c r="C503" s="2">
        <v>7047229</v>
      </c>
      <c r="D503" s="8">
        <v>5.2851499999999997E-3</v>
      </c>
    </row>
    <row r="504" spans="1:4" x14ac:dyDescent="0.2">
      <c r="A504" s="1">
        <v>2024</v>
      </c>
      <c r="B504" s="1" t="s">
        <v>502</v>
      </c>
      <c r="C504" s="2">
        <v>208440</v>
      </c>
      <c r="D504" s="8">
        <v>1.5631999999999999E-4</v>
      </c>
    </row>
    <row r="505" spans="1:4" x14ac:dyDescent="0.2">
      <c r="A505" s="1">
        <v>2024</v>
      </c>
      <c r="B505" s="1" t="s">
        <v>503</v>
      </c>
      <c r="C505" s="2">
        <v>8498891</v>
      </c>
      <c r="D505" s="8">
        <v>6.3738500000000003E-3</v>
      </c>
    </row>
    <row r="506" spans="1:4" x14ac:dyDescent="0.2">
      <c r="A506" s="1">
        <v>2024</v>
      </c>
      <c r="B506" s="1" t="s">
        <v>504</v>
      </c>
      <c r="C506" s="2">
        <v>387171</v>
      </c>
      <c r="D506" s="8">
        <v>2.9035999999999998E-4</v>
      </c>
    </row>
    <row r="507" spans="1:4" x14ac:dyDescent="0.2">
      <c r="A507" s="1">
        <v>2024</v>
      </c>
      <c r="B507" s="1" t="s">
        <v>505</v>
      </c>
      <c r="C507" s="2">
        <v>1479160</v>
      </c>
      <c r="D507" s="8">
        <v>1.1093100000000001E-3</v>
      </c>
    </row>
    <row r="508" spans="1:4" x14ac:dyDescent="0.2">
      <c r="A508" s="1">
        <v>2024</v>
      </c>
      <c r="B508" s="1" t="s">
        <v>506</v>
      </c>
      <c r="C508" s="2">
        <v>31189</v>
      </c>
      <c r="D508" s="8">
        <v>2.3390000000000001E-5</v>
      </c>
    </row>
    <row r="509" spans="1:4" x14ac:dyDescent="0.2">
      <c r="A509" s="1">
        <v>2024</v>
      </c>
      <c r="B509" s="1" t="s">
        <v>507</v>
      </c>
      <c r="C509" s="2">
        <v>132939</v>
      </c>
      <c r="D509" s="8">
        <v>9.9699999999999998E-5</v>
      </c>
    </row>
    <row r="510" spans="1:4" x14ac:dyDescent="0.2">
      <c r="A510" s="1">
        <v>2024</v>
      </c>
      <c r="B510" s="1" t="s">
        <v>508</v>
      </c>
      <c r="C510" s="2">
        <v>451653</v>
      </c>
      <c r="D510" s="8">
        <v>3.3871999999999998E-4</v>
      </c>
    </row>
    <row r="511" spans="1:4" x14ac:dyDescent="0.2">
      <c r="A511" s="1">
        <v>2024</v>
      </c>
      <c r="B511" s="1" t="s">
        <v>509</v>
      </c>
      <c r="C511" s="2">
        <v>225773</v>
      </c>
      <c r="D511" s="8">
        <v>1.6932000000000001E-4</v>
      </c>
    </row>
    <row r="512" spans="1:4" x14ac:dyDescent="0.2">
      <c r="A512" s="1">
        <v>2024</v>
      </c>
      <c r="B512" s="1" t="s">
        <v>510</v>
      </c>
      <c r="C512" s="2">
        <v>337848</v>
      </c>
      <c r="D512" s="8">
        <v>2.5336999999999999E-4</v>
      </c>
    </row>
    <row r="513" spans="1:4" x14ac:dyDescent="0.2">
      <c r="A513" s="1">
        <v>2024</v>
      </c>
      <c r="B513" s="1" t="s">
        <v>511</v>
      </c>
      <c r="C513" s="2">
        <v>789995</v>
      </c>
      <c r="D513" s="8">
        <v>5.9247E-4</v>
      </c>
    </row>
    <row r="514" spans="1:4" x14ac:dyDescent="0.2">
      <c r="A514" s="1">
        <v>2024</v>
      </c>
      <c r="B514" s="1" t="s">
        <v>512</v>
      </c>
      <c r="C514" s="2">
        <v>973779</v>
      </c>
      <c r="D514" s="8">
        <v>7.3030000000000002E-4</v>
      </c>
    </row>
    <row r="515" spans="1:4" x14ac:dyDescent="0.2">
      <c r="A515" s="1">
        <v>2024</v>
      </c>
      <c r="B515" s="1" t="s">
        <v>513</v>
      </c>
      <c r="C515" s="2">
        <v>305290</v>
      </c>
      <c r="D515" s="8">
        <v>2.2896E-4</v>
      </c>
    </row>
    <row r="516" spans="1:4" x14ac:dyDescent="0.2">
      <c r="A516" s="1">
        <v>2024</v>
      </c>
      <c r="B516" s="1" t="s">
        <v>514</v>
      </c>
      <c r="C516" s="2">
        <v>147202</v>
      </c>
      <c r="D516" s="8">
        <v>1.104E-4</v>
      </c>
    </row>
    <row r="517" spans="1:4" x14ac:dyDescent="0.2">
      <c r="A517" s="1">
        <v>2024</v>
      </c>
      <c r="B517" s="1" t="s">
        <v>515</v>
      </c>
      <c r="C517" s="2">
        <v>488251</v>
      </c>
      <c r="D517" s="8">
        <v>3.6617000000000003E-4</v>
      </c>
    </row>
    <row r="518" spans="1:4" x14ac:dyDescent="0.2">
      <c r="A518" s="1">
        <v>2024</v>
      </c>
      <c r="B518" s="1" t="s">
        <v>516</v>
      </c>
      <c r="C518" s="2">
        <v>3047079</v>
      </c>
      <c r="D518" s="8">
        <v>2.2851899999999999E-3</v>
      </c>
    </row>
    <row r="519" spans="1:4" x14ac:dyDescent="0.2">
      <c r="A519" s="1">
        <v>2024</v>
      </c>
      <c r="B519" s="1" t="s">
        <v>517</v>
      </c>
      <c r="C519" s="2">
        <v>2781331</v>
      </c>
      <c r="D519" s="8">
        <v>2.08589E-3</v>
      </c>
    </row>
    <row r="520" spans="1:4" x14ac:dyDescent="0.2">
      <c r="A520" s="1">
        <v>2024</v>
      </c>
      <c r="B520" s="1" t="s">
        <v>518</v>
      </c>
      <c r="C520" s="2">
        <v>46512</v>
      </c>
      <c r="D520" s="8">
        <v>3.4879999999999998E-5</v>
      </c>
    </row>
    <row r="521" spans="1:4" x14ac:dyDescent="0.2">
      <c r="A521" s="1">
        <v>2024</v>
      </c>
      <c r="B521" s="1" t="s">
        <v>519</v>
      </c>
      <c r="C521" s="2">
        <v>146042</v>
      </c>
      <c r="D521" s="8">
        <v>1.0953E-4</v>
      </c>
    </row>
    <row r="522" spans="1:4" x14ac:dyDescent="0.2">
      <c r="A522" s="1">
        <v>2024</v>
      </c>
      <c r="B522" s="1" t="s">
        <v>520</v>
      </c>
      <c r="C522" s="2">
        <v>30611</v>
      </c>
      <c r="D522" s="8">
        <v>2.296E-5</v>
      </c>
    </row>
    <row r="523" spans="1:4" x14ac:dyDescent="0.2">
      <c r="A523" s="1">
        <v>2024</v>
      </c>
      <c r="B523" s="1" t="s">
        <v>521</v>
      </c>
      <c r="C523" s="2">
        <v>1386121</v>
      </c>
      <c r="D523" s="8">
        <v>1.03954E-3</v>
      </c>
    </row>
    <row r="524" spans="1:4" x14ac:dyDescent="0.2">
      <c r="A524" s="1">
        <v>2024</v>
      </c>
      <c r="B524" s="1" t="s">
        <v>522</v>
      </c>
      <c r="C524" s="2">
        <v>44213</v>
      </c>
      <c r="D524" s="8">
        <v>3.3160000000000001E-5</v>
      </c>
    </row>
    <row r="525" spans="1:4" x14ac:dyDescent="0.2">
      <c r="A525" s="1">
        <v>2024</v>
      </c>
      <c r="B525" s="1" t="s">
        <v>523</v>
      </c>
      <c r="C525" s="2">
        <v>123158</v>
      </c>
      <c r="D525" s="8">
        <v>9.2360000000000003E-5</v>
      </c>
    </row>
    <row r="526" spans="1:4" x14ac:dyDescent="0.2">
      <c r="A526" s="1">
        <v>2024</v>
      </c>
      <c r="B526" s="1" t="s">
        <v>524</v>
      </c>
      <c r="C526" s="2">
        <v>377771</v>
      </c>
      <c r="D526" s="8">
        <v>2.8331E-4</v>
      </c>
    </row>
    <row r="527" spans="1:4" x14ac:dyDescent="0.2">
      <c r="A527" s="1">
        <v>2024</v>
      </c>
      <c r="B527" s="1" t="s">
        <v>525</v>
      </c>
      <c r="C527" s="2">
        <v>129245</v>
      </c>
      <c r="D527" s="8">
        <v>9.6929999999999995E-5</v>
      </c>
    </row>
    <row r="528" spans="1:4" x14ac:dyDescent="0.2">
      <c r="A528" s="1">
        <v>2024</v>
      </c>
      <c r="B528" s="1" t="s">
        <v>526</v>
      </c>
      <c r="C528" s="2">
        <v>3841841</v>
      </c>
      <c r="D528" s="8">
        <v>2.8812400000000002E-3</v>
      </c>
    </row>
    <row r="529" spans="1:4" x14ac:dyDescent="0.2">
      <c r="A529" s="1">
        <v>2024</v>
      </c>
      <c r="B529" s="1" t="s">
        <v>527</v>
      </c>
      <c r="C529" s="2">
        <v>8959</v>
      </c>
      <c r="D529" s="8">
        <v>6.72E-6</v>
      </c>
    </row>
    <row r="530" spans="1:4" x14ac:dyDescent="0.2">
      <c r="A530" s="1">
        <v>2024</v>
      </c>
      <c r="B530" s="1" t="s">
        <v>528</v>
      </c>
      <c r="C530" s="2">
        <v>3238210</v>
      </c>
      <c r="D530" s="8">
        <v>2.4285299999999999E-3</v>
      </c>
    </row>
    <row r="531" spans="1:4" x14ac:dyDescent="0.2">
      <c r="A531" s="1">
        <v>2024</v>
      </c>
      <c r="B531" s="1" t="s">
        <v>529</v>
      </c>
      <c r="C531" s="2">
        <v>962824</v>
      </c>
      <c r="D531" s="8">
        <v>7.2208000000000005E-4</v>
      </c>
    </row>
    <row r="532" spans="1:4" x14ac:dyDescent="0.2">
      <c r="A532" s="1">
        <v>2024</v>
      </c>
      <c r="B532" s="1" t="s">
        <v>530</v>
      </c>
      <c r="C532" s="2">
        <v>18752</v>
      </c>
      <c r="D532" s="8">
        <v>1.4059999999999999E-5</v>
      </c>
    </row>
    <row r="533" spans="1:4" x14ac:dyDescent="0.2">
      <c r="A533" s="1">
        <v>2024</v>
      </c>
      <c r="B533" s="1" t="s">
        <v>531</v>
      </c>
      <c r="C533" s="2">
        <v>5756</v>
      </c>
      <c r="D533" s="8">
        <v>4.3200000000000001E-6</v>
      </c>
    </row>
    <row r="534" spans="1:4" x14ac:dyDescent="0.2">
      <c r="A534" s="1">
        <v>2024</v>
      </c>
      <c r="B534" s="1" t="s">
        <v>532</v>
      </c>
      <c r="C534" s="2">
        <v>1238002</v>
      </c>
      <c r="D534" s="8">
        <v>9.2845000000000004E-4</v>
      </c>
    </row>
    <row r="535" spans="1:4" x14ac:dyDescent="0.2">
      <c r="A535" s="1">
        <v>2024</v>
      </c>
      <c r="B535" s="1" t="s">
        <v>533</v>
      </c>
      <c r="C535" s="2">
        <v>114409</v>
      </c>
      <c r="D535" s="8">
        <v>8.5799999999999998E-5</v>
      </c>
    </row>
    <row r="536" spans="1:4" x14ac:dyDescent="0.2">
      <c r="A536" s="1">
        <v>2024</v>
      </c>
      <c r="B536" s="1" t="s">
        <v>534</v>
      </c>
      <c r="C536" s="2">
        <v>795677</v>
      </c>
      <c r="D536" s="8">
        <v>5.9672999999999996E-4</v>
      </c>
    </row>
    <row r="537" spans="1:4" x14ac:dyDescent="0.2">
      <c r="A537" s="1">
        <v>2024</v>
      </c>
      <c r="B537" s="1" t="s">
        <v>535</v>
      </c>
      <c r="C537" s="2">
        <v>795175</v>
      </c>
      <c r="D537" s="8">
        <v>5.9635000000000005E-4</v>
      </c>
    </row>
    <row r="538" spans="1:4" x14ac:dyDescent="0.2">
      <c r="A538" s="1">
        <v>2024</v>
      </c>
      <c r="B538" s="1" t="s">
        <v>536</v>
      </c>
      <c r="C538" s="2">
        <v>2505344</v>
      </c>
      <c r="D538" s="8">
        <v>1.8789099999999999E-3</v>
      </c>
    </row>
    <row r="539" spans="1:4" x14ac:dyDescent="0.2">
      <c r="A539" s="1">
        <v>2024</v>
      </c>
      <c r="B539" s="1" t="s">
        <v>537</v>
      </c>
      <c r="C539" s="2">
        <v>37194</v>
      </c>
      <c r="D539" s="8">
        <v>2.7889999999999999E-5</v>
      </c>
    </row>
    <row r="540" spans="1:4" x14ac:dyDescent="0.2">
      <c r="A540" s="1">
        <v>2024</v>
      </c>
      <c r="B540" s="1" t="s">
        <v>538</v>
      </c>
      <c r="C540" s="2">
        <v>34984</v>
      </c>
      <c r="D540" s="8">
        <v>2.6239999999999999E-5</v>
      </c>
    </row>
    <row r="541" spans="1:4" x14ac:dyDescent="0.2">
      <c r="A541" s="1">
        <v>2024</v>
      </c>
      <c r="B541" s="1" t="s">
        <v>539</v>
      </c>
      <c r="C541" s="2">
        <v>256902</v>
      </c>
      <c r="D541" s="8">
        <v>1.9267000000000001E-4</v>
      </c>
    </row>
    <row r="542" spans="1:4" x14ac:dyDescent="0.2">
      <c r="A542" s="1">
        <v>2024</v>
      </c>
      <c r="B542" s="1" t="s">
        <v>540</v>
      </c>
      <c r="C542" s="2">
        <v>1857402</v>
      </c>
      <c r="D542" s="8">
        <v>1.39298E-3</v>
      </c>
    </row>
    <row r="543" spans="1:4" x14ac:dyDescent="0.2">
      <c r="A543" s="1">
        <v>2024</v>
      </c>
      <c r="B543" s="1" t="s">
        <v>541</v>
      </c>
      <c r="C543" s="2">
        <v>698860</v>
      </c>
      <c r="D543" s="8">
        <v>5.2411999999999999E-4</v>
      </c>
    </row>
    <row r="544" spans="1:4" x14ac:dyDescent="0.2">
      <c r="A544" s="1">
        <v>2024</v>
      </c>
      <c r="B544" s="1" t="s">
        <v>542</v>
      </c>
      <c r="C544" s="2">
        <v>4562</v>
      </c>
      <c r="D544" s="8">
        <v>3.4199999999999999E-6</v>
      </c>
    </row>
    <row r="545" spans="1:4" x14ac:dyDescent="0.2">
      <c r="A545" s="1">
        <v>2024</v>
      </c>
      <c r="B545" s="1" t="s">
        <v>543</v>
      </c>
      <c r="C545" s="2">
        <v>1166580</v>
      </c>
      <c r="D545" s="8">
        <v>8.7489000000000002E-4</v>
      </c>
    </row>
    <row r="546" spans="1:4" x14ac:dyDescent="0.2">
      <c r="A546" s="1">
        <v>2024</v>
      </c>
      <c r="B546" s="1" t="s">
        <v>544</v>
      </c>
      <c r="C546" s="2">
        <v>9528</v>
      </c>
      <c r="D546" s="8">
        <v>7.1500000000000002E-6</v>
      </c>
    </row>
    <row r="547" spans="1:4" x14ac:dyDescent="0.2">
      <c r="A547" s="1">
        <v>2024</v>
      </c>
      <c r="B547" s="1" t="s">
        <v>545</v>
      </c>
      <c r="C547" s="2">
        <v>1201343</v>
      </c>
      <c r="D547" s="8">
        <v>9.0096000000000002E-4</v>
      </c>
    </row>
    <row r="548" spans="1:4" x14ac:dyDescent="0.2">
      <c r="A548" s="1">
        <v>2024</v>
      </c>
      <c r="B548" s="1" t="s">
        <v>546</v>
      </c>
      <c r="C548" s="2">
        <v>5015504</v>
      </c>
      <c r="D548" s="8">
        <v>3.76144E-3</v>
      </c>
    </row>
    <row r="549" spans="1:4" x14ac:dyDescent="0.2">
      <c r="A549" s="1">
        <v>2024</v>
      </c>
      <c r="B549" s="1" t="s">
        <v>547</v>
      </c>
      <c r="C549" s="2">
        <v>1465039</v>
      </c>
      <c r="D549" s="8">
        <v>1.0987200000000001E-3</v>
      </c>
    </row>
    <row r="550" spans="1:4" x14ac:dyDescent="0.2">
      <c r="A550" s="1">
        <v>2024</v>
      </c>
      <c r="B550" s="1" t="s">
        <v>548</v>
      </c>
      <c r="C550" s="2">
        <v>2566587</v>
      </c>
      <c r="D550" s="8">
        <v>1.9248399999999999E-3</v>
      </c>
    </row>
    <row r="551" spans="1:4" x14ac:dyDescent="0.2">
      <c r="A551" s="1">
        <v>2024</v>
      </c>
      <c r="B551" s="1" t="s">
        <v>549</v>
      </c>
      <c r="C551" s="2">
        <v>4704040</v>
      </c>
      <c r="D551" s="8">
        <v>3.5278499999999999E-3</v>
      </c>
    </row>
    <row r="552" spans="1:4" x14ac:dyDescent="0.2">
      <c r="A552" s="1">
        <v>2024</v>
      </c>
      <c r="B552" s="1" t="s">
        <v>550</v>
      </c>
      <c r="C552" s="2">
        <v>1496463</v>
      </c>
      <c r="D552" s="8">
        <v>1.12229E-3</v>
      </c>
    </row>
    <row r="553" spans="1:4" x14ac:dyDescent="0.2">
      <c r="A553" s="1">
        <v>2024</v>
      </c>
      <c r="B553" s="1" t="s">
        <v>551</v>
      </c>
      <c r="C553" s="2">
        <v>1993956</v>
      </c>
      <c r="D553" s="8">
        <v>1.4953900000000001E-3</v>
      </c>
    </row>
    <row r="554" spans="1:4" x14ac:dyDescent="0.2">
      <c r="A554" s="1">
        <v>2024</v>
      </c>
      <c r="B554" s="1" t="s">
        <v>552</v>
      </c>
      <c r="C554" s="2">
        <v>61056</v>
      </c>
      <c r="D554" s="8">
        <v>4.579E-5</v>
      </c>
    </row>
    <row r="555" spans="1:4" x14ac:dyDescent="0.2">
      <c r="A555" s="1">
        <v>2024</v>
      </c>
      <c r="B555" s="1" t="s">
        <v>553</v>
      </c>
      <c r="C555" s="2">
        <v>3296553</v>
      </c>
      <c r="D555" s="8">
        <v>2.4722899999999998E-3</v>
      </c>
    </row>
    <row r="556" spans="1:4" x14ac:dyDescent="0.2">
      <c r="A556" s="1">
        <v>2024</v>
      </c>
      <c r="B556" s="1" t="s">
        <v>554</v>
      </c>
      <c r="C556" s="2">
        <v>74181</v>
      </c>
      <c r="D556" s="8">
        <v>5.5630000000000001E-5</v>
      </c>
    </row>
    <row r="557" spans="1:4" x14ac:dyDescent="0.2">
      <c r="A557" s="1">
        <v>2024</v>
      </c>
      <c r="B557" s="1" t="s">
        <v>555</v>
      </c>
      <c r="C557" s="2">
        <v>5638377</v>
      </c>
      <c r="D557" s="8">
        <v>4.2285700000000001E-3</v>
      </c>
    </row>
    <row r="558" spans="1:4" x14ac:dyDescent="0.2">
      <c r="A558" s="1">
        <v>2024</v>
      </c>
      <c r="B558" s="1" t="s">
        <v>556</v>
      </c>
      <c r="C558" s="2">
        <v>37735</v>
      </c>
      <c r="D558" s="8">
        <v>2.83E-5</v>
      </c>
    </row>
    <row r="559" spans="1:4" x14ac:dyDescent="0.2">
      <c r="A559" s="1">
        <v>2024</v>
      </c>
      <c r="B559" s="1" t="s">
        <v>557</v>
      </c>
      <c r="C559" s="2">
        <v>1657410</v>
      </c>
      <c r="D559" s="8">
        <v>1.24299E-3</v>
      </c>
    </row>
    <row r="560" spans="1:4" x14ac:dyDescent="0.2">
      <c r="A560" s="1">
        <v>2024</v>
      </c>
      <c r="B560" s="1" t="s">
        <v>558</v>
      </c>
      <c r="C560" s="2">
        <v>450977</v>
      </c>
      <c r="D560" s="8">
        <v>3.3822000000000002E-4</v>
      </c>
    </row>
    <row r="561" spans="1:4" x14ac:dyDescent="0.2">
      <c r="A561" s="1">
        <v>2024</v>
      </c>
      <c r="B561" s="1" t="s">
        <v>559</v>
      </c>
      <c r="C561" s="2">
        <v>8483</v>
      </c>
      <c r="D561" s="8">
        <v>6.3600000000000001E-6</v>
      </c>
    </row>
    <row r="562" spans="1:4" x14ac:dyDescent="0.2">
      <c r="A562" s="1">
        <v>2024</v>
      </c>
      <c r="B562" s="1" t="s">
        <v>560</v>
      </c>
      <c r="C562" s="2">
        <v>68178</v>
      </c>
      <c r="D562" s="8">
        <v>5.113E-5</v>
      </c>
    </row>
    <row r="563" spans="1:4" x14ac:dyDescent="0.2">
      <c r="A563" s="1">
        <v>2024</v>
      </c>
      <c r="B563" s="1" t="s">
        <v>561</v>
      </c>
      <c r="C563" s="2">
        <v>16135</v>
      </c>
      <c r="D563" s="8">
        <v>1.2099999999999999E-5</v>
      </c>
    </row>
    <row r="564" spans="1:4" x14ac:dyDescent="0.2">
      <c r="A564" s="1">
        <v>2024</v>
      </c>
      <c r="B564" s="1" t="s">
        <v>562</v>
      </c>
      <c r="C564" s="2">
        <v>1452387</v>
      </c>
      <c r="D564" s="8">
        <v>1.08924E-3</v>
      </c>
    </row>
    <row r="565" spans="1:4" x14ac:dyDescent="0.2">
      <c r="A565" s="1">
        <v>2024</v>
      </c>
      <c r="B565" s="1" t="s">
        <v>563</v>
      </c>
      <c r="C565" s="2">
        <v>6876486</v>
      </c>
      <c r="D565" s="8">
        <v>5.1571000000000004E-3</v>
      </c>
    </row>
    <row r="566" spans="1:4" x14ac:dyDescent="0.2">
      <c r="A566" s="1">
        <v>2024</v>
      </c>
      <c r="B566" s="1" t="s">
        <v>564</v>
      </c>
      <c r="C566" s="2">
        <v>273820</v>
      </c>
      <c r="D566" s="8">
        <v>2.0535E-4</v>
      </c>
    </row>
    <row r="567" spans="1:4" x14ac:dyDescent="0.2">
      <c r="A567" s="1">
        <v>2024</v>
      </c>
      <c r="B567" s="1" t="s">
        <v>565</v>
      </c>
      <c r="C567" s="2">
        <v>412601</v>
      </c>
      <c r="D567" s="8">
        <v>3.0943000000000002E-4</v>
      </c>
    </row>
    <row r="568" spans="1:4" x14ac:dyDescent="0.2">
      <c r="A568" s="1">
        <v>2024</v>
      </c>
      <c r="B568" s="1" t="s">
        <v>566</v>
      </c>
      <c r="C568" s="2">
        <v>256360</v>
      </c>
      <c r="D568" s="8">
        <v>1.9226000000000001E-4</v>
      </c>
    </row>
    <row r="569" spans="1:4" x14ac:dyDescent="0.2">
      <c r="A569" s="1">
        <v>2024</v>
      </c>
      <c r="B569" s="1" t="s">
        <v>567</v>
      </c>
      <c r="C569" s="2">
        <v>192156</v>
      </c>
      <c r="D569" s="8">
        <v>1.4411E-4</v>
      </c>
    </row>
    <row r="570" spans="1:4" x14ac:dyDescent="0.2">
      <c r="A570" s="1">
        <v>2024</v>
      </c>
      <c r="B570" s="1" t="s">
        <v>568</v>
      </c>
      <c r="C570" s="2">
        <v>196582</v>
      </c>
      <c r="D570" s="8">
        <v>1.4742999999999999E-4</v>
      </c>
    </row>
    <row r="571" spans="1:4" x14ac:dyDescent="0.2">
      <c r="A571" s="1">
        <v>2024</v>
      </c>
      <c r="B571" s="1" t="s">
        <v>569</v>
      </c>
      <c r="C571" s="2">
        <v>726946</v>
      </c>
      <c r="D571" s="8">
        <v>5.4518000000000004E-4</v>
      </c>
    </row>
    <row r="572" spans="1:4" x14ac:dyDescent="0.2">
      <c r="A572" s="1">
        <v>2024</v>
      </c>
      <c r="B572" s="1" t="s">
        <v>570</v>
      </c>
      <c r="C572" s="2">
        <v>1632698</v>
      </c>
      <c r="D572" s="8">
        <v>1.2244599999999999E-3</v>
      </c>
    </row>
    <row r="573" spans="1:4" x14ac:dyDescent="0.2">
      <c r="A573" s="1">
        <v>2024</v>
      </c>
      <c r="B573" s="1" t="s">
        <v>571</v>
      </c>
      <c r="C573" s="2">
        <v>60280</v>
      </c>
      <c r="D573" s="8">
        <v>4.5210000000000003E-5</v>
      </c>
    </row>
    <row r="574" spans="1:4" x14ac:dyDescent="0.2">
      <c r="A574" s="1">
        <v>2024</v>
      </c>
      <c r="B574" s="1" t="s">
        <v>572</v>
      </c>
      <c r="C574" s="2">
        <v>4777990</v>
      </c>
      <c r="D574" s="8">
        <v>3.5833100000000001E-3</v>
      </c>
    </row>
    <row r="575" spans="1:4" x14ac:dyDescent="0.2">
      <c r="A575" s="1">
        <v>2024</v>
      </c>
      <c r="B575" s="1" t="s">
        <v>573</v>
      </c>
      <c r="C575" s="2">
        <v>27947</v>
      </c>
      <c r="D575" s="8">
        <v>2.0959999999999999E-5</v>
      </c>
    </row>
    <row r="576" spans="1:4" x14ac:dyDescent="0.2">
      <c r="A576" s="1">
        <v>2024</v>
      </c>
      <c r="B576" s="1" t="s">
        <v>574</v>
      </c>
      <c r="C576" s="2">
        <v>3823955</v>
      </c>
      <c r="D576" s="8">
        <v>2.8678200000000001E-3</v>
      </c>
    </row>
    <row r="577" spans="1:4" x14ac:dyDescent="0.2">
      <c r="A577" s="1">
        <v>2024</v>
      </c>
      <c r="B577" s="1" t="s">
        <v>575</v>
      </c>
      <c r="C577" s="2">
        <v>622086</v>
      </c>
      <c r="D577" s="8">
        <v>4.6653999999999999E-4</v>
      </c>
    </row>
    <row r="578" spans="1:4" x14ac:dyDescent="0.2">
      <c r="A578" s="1">
        <v>2024</v>
      </c>
      <c r="B578" s="1" t="s">
        <v>576</v>
      </c>
      <c r="C578" s="2">
        <v>129694</v>
      </c>
      <c r="D578" s="8">
        <v>9.7269999999999995E-5</v>
      </c>
    </row>
    <row r="579" spans="1:4" x14ac:dyDescent="0.2">
      <c r="A579" s="1">
        <v>2024</v>
      </c>
      <c r="B579" s="1" t="s">
        <v>577</v>
      </c>
      <c r="C579" s="2">
        <v>5973172</v>
      </c>
      <c r="D579" s="8">
        <v>4.47965E-3</v>
      </c>
    </row>
    <row r="580" spans="1:4" x14ac:dyDescent="0.2">
      <c r="A580" s="1">
        <v>2024</v>
      </c>
      <c r="B580" s="1" t="s">
        <v>578</v>
      </c>
      <c r="C580" s="2">
        <v>48353</v>
      </c>
      <c r="D580" s="8">
        <v>3.6260000000000002E-5</v>
      </c>
    </row>
    <row r="581" spans="1:4" x14ac:dyDescent="0.2">
      <c r="A581" s="1">
        <v>2024</v>
      </c>
      <c r="B581" s="1" t="s">
        <v>579</v>
      </c>
      <c r="C581" s="2">
        <v>20593</v>
      </c>
      <c r="D581" s="8">
        <v>1.5440000000000001E-5</v>
      </c>
    </row>
    <row r="582" spans="1:4" x14ac:dyDescent="0.2">
      <c r="A582" s="1">
        <v>2024</v>
      </c>
      <c r="B582" s="1" t="s">
        <v>580</v>
      </c>
      <c r="C582" s="2">
        <v>1751871</v>
      </c>
      <c r="D582" s="8">
        <v>1.3138399999999999E-3</v>
      </c>
    </row>
    <row r="583" spans="1:4" x14ac:dyDescent="0.2">
      <c r="A583" s="1">
        <v>2024</v>
      </c>
      <c r="B583" s="1" t="s">
        <v>581</v>
      </c>
      <c r="C583" s="2">
        <v>5881</v>
      </c>
      <c r="D583" s="8">
        <v>4.4100000000000001E-6</v>
      </c>
    </row>
    <row r="584" spans="1:4" x14ac:dyDescent="0.2">
      <c r="A584" s="1">
        <v>2024</v>
      </c>
      <c r="B584" s="1" t="s">
        <v>582</v>
      </c>
      <c r="C584" s="2">
        <v>1760150</v>
      </c>
      <c r="D584" s="8">
        <v>1.3200499999999999E-3</v>
      </c>
    </row>
    <row r="585" spans="1:4" x14ac:dyDescent="0.2">
      <c r="A585" s="1">
        <v>2024</v>
      </c>
      <c r="B585" s="1" t="s">
        <v>583</v>
      </c>
      <c r="C585" s="2">
        <v>11579535</v>
      </c>
      <c r="D585" s="8">
        <v>8.6842099999999995E-3</v>
      </c>
    </row>
    <row r="586" spans="1:4" x14ac:dyDescent="0.2">
      <c r="A586" s="1">
        <v>2024</v>
      </c>
      <c r="B586" s="1" t="s">
        <v>584</v>
      </c>
      <c r="C586" s="2">
        <v>768991</v>
      </c>
      <c r="D586" s="8">
        <v>5.7671000000000003E-4</v>
      </c>
    </row>
    <row r="587" spans="1:4" x14ac:dyDescent="0.2">
      <c r="A587" s="1">
        <v>2024</v>
      </c>
      <c r="B587" s="1" t="s">
        <v>585</v>
      </c>
      <c r="C587" s="2">
        <v>2777047</v>
      </c>
      <c r="D587" s="8">
        <v>2.0826799999999999E-3</v>
      </c>
    </row>
    <row r="588" spans="1:4" x14ac:dyDescent="0.2">
      <c r="A588" s="1">
        <v>2024</v>
      </c>
      <c r="B588" s="1" t="s">
        <v>586</v>
      </c>
      <c r="C588" s="2">
        <v>183185</v>
      </c>
      <c r="D588" s="8">
        <v>1.3737999999999999E-4</v>
      </c>
    </row>
    <row r="589" spans="1:4" x14ac:dyDescent="0.2">
      <c r="A589" s="1">
        <v>2024</v>
      </c>
      <c r="B589" s="1" t="s">
        <v>587</v>
      </c>
      <c r="C589" s="2">
        <v>2187707</v>
      </c>
      <c r="D589" s="8">
        <v>1.6406999999999999E-3</v>
      </c>
    </row>
    <row r="590" spans="1:4" x14ac:dyDescent="0.2">
      <c r="A590" s="1">
        <v>2024</v>
      </c>
      <c r="B590" s="1" t="s">
        <v>588</v>
      </c>
      <c r="C590" s="2">
        <v>4856851</v>
      </c>
      <c r="D590" s="8">
        <v>3.6424500000000002E-3</v>
      </c>
    </row>
    <row r="591" spans="1:4" x14ac:dyDescent="0.2">
      <c r="A591" s="1">
        <v>2024</v>
      </c>
      <c r="B591" s="1" t="s">
        <v>589</v>
      </c>
      <c r="C591" s="2">
        <v>3183940</v>
      </c>
      <c r="D591" s="8">
        <v>2.3878300000000001E-3</v>
      </c>
    </row>
    <row r="592" spans="1:4" x14ac:dyDescent="0.2">
      <c r="A592" s="1">
        <v>2024</v>
      </c>
      <c r="B592" s="1" t="s">
        <v>590</v>
      </c>
      <c r="C592" s="2">
        <v>2106283</v>
      </c>
      <c r="D592" s="8">
        <v>1.5796300000000001E-3</v>
      </c>
    </row>
    <row r="593" spans="1:4" x14ac:dyDescent="0.2">
      <c r="A593" s="1">
        <v>2024</v>
      </c>
      <c r="B593" s="1" t="s">
        <v>591</v>
      </c>
      <c r="C593" s="2">
        <v>69264</v>
      </c>
      <c r="D593" s="8">
        <v>5.1950000000000002E-5</v>
      </c>
    </row>
    <row r="594" spans="1:4" x14ac:dyDescent="0.2">
      <c r="A594" s="1">
        <v>2024</v>
      </c>
      <c r="B594" s="1" t="s">
        <v>592</v>
      </c>
      <c r="C594" s="2">
        <v>4478814</v>
      </c>
      <c r="D594" s="8">
        <v>3.3589399999999999E-3</v>
      </c>
    </row>
    <row r="595" spans="1:4" x14ac:dyDescent="0.2">
      <c r="A595" s="1">
        <v>2024</v>
      </c>
      <c r="B595" s="1" t="s">
        <v>593</v>
      </c>
      <c r="C595" s="2">
        <v>2071</v>
      </c>
      <c r="D595" s="8">
        <v>1.55E-6</v>
      </c>
    </row>
    <row r="596" spans="1:4" x14ac:dyDescent="0.2">
      <c r="A596" s="1">
        <v>2024</v>
      </c>
      <c r="B596" s="1" t="s">
        <v>594</v>
      </c>
      <c r="C596" s="2">
        <v>720673</v>
      </c>
      <c r="D596" s="8">
        <v>5.4047999999999998E-4</v>
      </c>
    </row>
    <row r="597" spans="1:4" x14ac:dyDescent="0.2">
      <c r="A597" s="1">
        <v>2024</v>
      </c>
      <c r="B597" s="1" t="s">
        <v>595</v>
      </c>
      <c r="C597" s="2">
        <v>119409</v>
      </c>
      <c r="D597" s="8">
        <v>8.9549999999999995E-5</v>
      </c>
    </row>
    <row r="598" spans="1:4" x14ac:dyDescent="0.2">
      <c r="A598" s="1">
        <v>2024</v>
      </c>
      <c r="B598" s="1" t="s">
        <v>596</v>
      </c>
      <c r="C598" s="2">
        <v>1462358</v>
      </c>
      <c r="D598" s="8">
        <v>1.0967100000000001E-3</v>
      </c>
    </row>
    <row r="599" spans="1:4" x14ac:dyDescent="0.2">
      <c r="A599" s="1">
        <v>2024</v>
      </c>
      <c r="B599" s="1" t="s">
        <v>597</v>
      </c>
      <c r="C599" s="2">
        <v>539364</v>
      </c>
      <c r="D599" s="8">
        <v>4.0450000000000002E-4</v>
      </c>
    </row>
    <row r="600" spans="1:4" x14ac:dyDescent="0.2">
      <c r="A600" s="1">
        <v>2024</v>
      </c>
      <c r="B600" s="1" t="s">
        <v>598</v>
      </c>
      <c r="C600" s="2">
        <v>720944</v>
      </c>
      <c r="D600" s="8">
        <v>5.4067999999999998E-4</v>
      </c>
    </row>
    <row r="601" spans="1:4" x14ac:dyDescent="0.2">
      <c r="A601" s="1">
        <v>2024</v>
      </c>
      <c r="B601" s="1" t="s">
        <v>599</v>
      </c>
      <c r="C601" s="2">
        <v>4892398</v>
      </c>
      <c r="D601" s="8">
        <v>3.6691100000000002E-3</v>
      </c>
    </row>
    <row r="602" spans="1:4" x14ac:dyDescent="0.2">
      <c r="A602" s="1">
        <v>2024</v>
      </c>
      <c r="B602" s="1" t="s">
        <v>600</v>
      </c>
      <c r="C602" s="2">
        <v>677205</v>
      </c>
      <c r="D602" s="8">
        <v>5.0788000000000005E-4</v>
      </c>
    </row>
    <row r="603" spans="1:4" x14ac:dyDescent="0.2">
      <c r="A603" s="1">
        <v>2024</v>
      </c>
      <c r="B603" s="1" t="s">
        <v>601</v>
      </c>
      <c r="C603" s="2">
        <v>1050040</v>
      </c>
      <c r="D603" s="8">
        <v>7.8748999999999996E-4</v>
      </c>
    </row>
    <row r="604" spans="1:4" x14ac:dyDescent="0.2">
      <c r="A604" s="1">
        <v>2024</v>
      </c>
      <c r="B604" s="1" t="s">
        <v>602</v>
      </c>
      <c r="C604" s="2">
        <v>27666</v>
      </c>
      <c r="D604" s="8">
        <v>2.075E-5</v>
      </c>
    </row>
    <row r="605" spans="1:4" x14ac:dyDescent="0.2">
      <c r="A605" s="1">
        <v>2024</v>
      </c>
      <c r="B605" s="1" t="s">
        <v>603</v>
      </c>
      <c r="C605" s="2">
        <v>1014342</v>
      </c>
      <c r="D605" s="8">
        <v>7.6071999999999999E-4</v>
      </c>
    </row>
    <row r="606" spans="1:4" x14ac:dyDescent="0.2">
      <c r="A606" s="1">
        <v>2024</v>
      </c>
      <c r="B606" s="1" t="s">
        <v>604</v>
      </c>
      <c r="C606" s="2">
        <v>121272</v>
      </c>
      <c r="D606" s="8">
        <v>9.0950000000000002E-5</v>
      </c>
    </row>
    <row r="607" spans="1:4" x14ac:dyDescent="0.2">
      <c r="A607" s="1">
        <v>2024</v>
      </c>
      <c r="B607" s="1" t="s">
        <v>605</v>
      </c>
      <c r="C607" s="2">
        <v>4687686</v>
      </c>
      <c r="D607" s="8">
        <v>3.5155899999999999E-3</v>
      </c>
    </row>
    <row r="608" spans="1:4" x14ac:dyDescent="0.2">
      <c r="A608" s="1">
        <v>2024</v>
      </c>
      <c r="B608" s="1" t="s">
        <v>606</v>
      </c>
      <c r="C608" s="2">
        <v>1425062</v>
      </c>
      <c r="D608" s="8">
        <v>1.0687400000000001E-3</v>
      </c>
    </row>
    <row r="609" spans="1:4" x14ac:dyDescent="0.2">
      <c r="A609" s="1">
        <v>2024</v>
      </c>
      <c r="B609" s="1" t="s">
        <v>607</v>
      </c>
      <c r="C609" s="2">
        <v>4496</v>
      </c>
      <c r="D609" s="8">
        <v>3.3699999999999999E-6</v>
      </c>
    </row>
    <row r="610" spans="1:4" x14ac:dyDescent="0.2">
      <c r="A610" s="1">
        <v>2024</v>
      </c>
      <c r="B610" s="1" t="s">
        <v>608</v>
      </c>
      <c r="C610" s="2">
        <v>77419</v>
      </c>
      <c r="D610" s="8">
        <v>5.8060000000000003E-5</v>
      </c>
    </row>
    <row r="611" spans="1:4" x14ac:dyDescent="0.2">
      <c r="A611" s="1">
        <v>2024</v>
      </c>
      <c r="B611" s="1" t="s">
        <v>609</v>
      </c>
      <c r="C611" s="2">
        <v>27678</v>
      </c>
      <c r="D611" s="8">
        <v>2.0760000000000001E-5</v>
      </c>
    </row>
    <row r="612" spans="1:4" x14ac:dyDescent="0.2">
      <c r="A612" s="1">
        <v>2024</v>
      </c>
      <c r="B612" s="1" t="s">
        <v>610</v>
      </c>
      <c r="C612" s="2">
        <v>21016</v>
      </c>
      <c r="D612" s="8">
        <v>1.5760000000000002E-5</v>
      </c>
    </row>
    <row r="613" spans="1:4" x14ac:dyDescent="0.2">
      <c r="A613" s="1">
        <v>2024</v>
      </c>
      <c r="B613" s="1" t="s">
        <v>611</v>
      </c>
      <c r="C613" s="2">
        <v>48913</v>
      </c>
      <c r="D613" s="8">
        <v>3.6680000000000001E-5</v>
      </c>
    </row>
    <row r="614" spans="1:4" x14ac:dyDescent="0.2">
      <c r="A614" s="1">
        <v>2024</v>
      </c>
      <c r="B614" s="1" t="s">
        <v>612</v>
      </c>
      <c r="C614" s="2">
        <v>908029</v>
      </c>
      <c r="D614" s="8">
        <v>6.8099000000000002E-4</v>
      </c>
    </row>
    <row r="615" spans="1:4" x14ac:dyDescent="0.2">
      <c r="A615" s="1">
        <v>2024</v>
      </c>
      <c r="B615" s="1" t="s">
        <v>613</v>
      </c>
      <c r="C615" s="2">
        <v>3651530</v>
      </c>
      <c r="D615" s="8">
        <v>2.73851E-3</v>
      </c>
    </row>
    <row r="616" spans="1:4" x14ac:dyDescent="0.2">
      <c r="A616" s="1">
        <v>2024</v>
      </c>
      <c r="B616" s="1" t="s">
        <v>614</v>
      </c>
      <c r="C616" s="2">
        <v>1006107</v>
      </c>
      <c r="D616" s="8">
        <v>7.5454000000000005E-4</v>
      </c>
    </row>
    <row r="617" spans="1:4" x14ac:dyDescent="0.2">
      <c r="A617" s="1">
        <v>2024</v>
      </c>
      <c r="B617" s="1" t="s">
        <v>615</v>
      </c>
      <c r="C617" s="2">
        <v>20333</v>
      </c>
      <c r="D617" s="8">
        <v>1.525E-5</v>
      </c>
    </row>
    <row r="618" spans="1:4" x14ac:dyDescent="0.2">
      <c r="A618" s="1">
        <v>2024</v>
      </c>
      <c r="B618" s="1" t="s">
        <v>616</v>
      </c>
      <c r="C618" s="2">
        <v>2863848</v>
      </c>
      <c r="D618" s="8">
        <v>2.1477800000000002E-3</v>
      </c>
    </row>
    <row r="619" spans="1:4" x14ac:dyDescent="0.2">
      <c r="A619" s="1">
        <v>2024</v>
      </c>
      <c r="B619" s="1" t="s">
        <v>617</v>
      </c>
      <c r="C619" s="2">
        <v>225280</v>
      </c>
      <c r="D619" s="8">
        <v>1.6894999999999999E-4</v>
      </c>
    </row>
    <row r="620" spans="1:4" x14ac:dyDescent="0.2">
      <c r="A620" s="1">
        <v>2024</v>
      </c>
      <c r="B620" s="1" t="s">
        <v>618</v>
      </c>
      <c r="C620" s="2">
        <v>2276602</v>
      </c>
      <c r="D620" s="8">
        <v>1.70736E-3</v>
      </c>
    </row>
    <row r="621" spans="1:4" x14ac:dyDescent="0.2">
      <c r="A621" s="1">
        <v>2024</v>
      </c>
      <c r="B621" s="1" t="s">
        <v>619</v>
      </c>
      <c r="C621" s="2">
        <v>511065</v>
      </c>
      <c r="D621" s="8">
        <v>3.8328E-4</v>
      </c>
    </row>
    <row r="622" spans="1:4" x14ac:dyDescent="0.2">
      <c r="A622" s="1">
        <v>2024</v>
      </c>
      <c r="B622" s="1" t="s">
        <v>620</v>
      </c>
      <c r="C622" s="2">
        <v>159737</v>
      </c>
      <c r="D622" s="8">
        <v>1.198E-4</v>
      </c>
    </row>
    <row r="623" spans="1:4" x14ac:dyDescent="0.2">
      <c r="A623" s="1">
        <v>2024</v>
      </c>
      <c r="B623" s="1" t="s">
        <v>621</v>
      </c>
      <c r="C623" s="2">
        <v>19752</v>
      </c>
      <c r="D623" s="8">
        <v>1.4810000000000001E-5</v>
      </c>
    </row>
    <row r="624" spans="1:4" x14ac:dyDescent="0.2">
      <c r="A624" s="1">
        <v>2024</v>
      </c>
      <c r="B624" s="1" t="s">
        <v>622</v>
      </c>
      <c r="C624" s="2">
        <v>2750606</v>
      </c>
      <c r="D624" s="8">
        <v>2.0628500000000002E-3</v>
      </c>
    </row>
    <row r="625" spans="1:4" x14ac:dyDescent="0.2">
      <c r="A625" s="1">
        <v>2024</v>
      </c>
      <c r="B625" s="1" t="s">
        <v>623</v>
      </c>
      <c r="C625" s="2">
        <v>832652</v>
      </c>
      <c r="D625" s="8">
        <v>6.2445999999999997E-4</v>
      </c>
    </row>
    <row r="626" spans="1:4" x14ac:dyDescent="0.2">
      <c r="A626" s="1">
        <v>2024</v>
      </c>
      <c r="B626" s="1" t="s">
        <v>624</v>
      </c>
      <c r="C626" s="2">
        <v>108250</v>
      </c>
      <c r="D626" s="8">
        <v>8.1180000000000005E-5</v>
      </c>
    </row>
    <row r="627" spans="1:4" x14ac:dyDescent="0.2">
      <c r="A627" s="1">
        <v>2024</v>
      </c>
      <c r="B627" s="1" t="s">
        <v>625</v>
      </c>
      <c r="C627" s="2">
        <v>36428</v>
      </c>
      <c r="D627" s="8">
        <v>2.7319999999999999E-5</v>
      </c>
    </row>
    <row r="628" spans="1:4" x14ac:dyDescent="0.2">
      <c r="A628" s="1">
        <v>2024</v>
      </c>
      <c r="B628" s="1" t="s">
        <v>626</v>
      </c>
      <c r="C628" s="2">
        <v>50608</v>
      </c>
      <c r="D628" s="8">
        <v>3.7950000000000001E-5</v>
      </c>
    </row>
    <row r="629" spans="1:4" x14ac:dyDescent="0.2">
      <c r="A629" s="1">
        <v>2024</v>
      </c>
      <c r="B629" s="1" t="s">
        <v>627</v>
      </c>
      <c r="C629" s="2">
        <v>1472086</v>
      </c>
      <c r="D629" s="8">
        <v>1.1040100000000001E-3</v>
      </c>
    </row>
    <row r="630" spans="1:4" x14ac:dyDescent="0.2">
      <c r="A630" s="1">
        <v>2024</v>
      </c>
      <c r="B630" s="1" t="s">
        <v>628</v>
      </c>
      <c r="C630" s="2">
        <v>780915</v>
      </c>
      <c r="D630" s="8">
        <v>5.8566E-4</v>
      </c>
    </row>
    <row r="631" spans="1:4" x14ac:dyDescent="0.2">
      <c r="A631" s="1">
        <v>2024</v>
      </c>
      <c r="B631" s="1" t="s">
        <v>629</v>
      </c>
      <c r="C631" s="2">
        <v>20021</v>
      </c>
      <c r="D631" s="8">
        <v>1.502E-5</v>
      </c>
    </row>
    <row r="632" spans="1:4" x14ac:dyDescent="0.2">
      <c r="A632" s="1">
        <v>2024</v>
      </c>
      <c r="B632" s="1" t="s">
        <v>630</v>
      </c>
      <c r="C632" s="2">
        <v>213751</v>
      </c>
      <c r="D632" s="8">
        <v>1.6029999999999999E-4</v>
      </c>
    </row>
    <row r="633" spans="1:4" x14ac:dyDescent="0.2">
      <c r="A633" s="1">
        <v>2024</v>
      </c>
      <c r="B633" s="1" t="s">
        <v>631</v>
      </c>
      <c r="C633" s="2">
        <v>1140997</v>
      </c>
      <c r="D633" s="8">
        <v>8.5570000000000004E-4</v>
      </c>
    </row>
    <row r="634" spans="1:4" x14ac:dyDescent="0.2">
      <c r="A634" s="1">
        <v>2024</v>
      </c>
      <c r="B634" s="1" t="s">
        <v>632</v>
      </c>
      <c r="C634" s="2">
        <v>591681</v>
      </c>
      <c r="D634" s="8">
        <v>4.4373999999999998E-4</v>
      </c>
    </row>
    <row r="635" spans="1:4" x14ac:dyDescent="0.2">
      <c r="A635" s="1">
        <v>2024</v>
      </c>
      <c r="B635" s="1" t="s">
        <v>633</v>
      </c>
      <c r="C635" s="2">
        <v>1980391</v>
      </c>
      <c r="D635" s="8">
        <v>1.48522E-3</v>
      </c>
    </row>
    <row r="636" spans="1:4" x14ac:dyDescent="0.2">
      <c r="A636" s="1">
        <v>2024</v>
      </c>
      <c r="B636" s="1" t="s">
        <v>634</v>
      </c>
      <c r="C636" s="2">
        <v>64782</v>
      </c>
      <c r="D636" s="8">
        <v>4.8579999999999999E-5</v>
      </c>
    </row>
    <row r="637" spans="1:4" x14ac:dyDescent="0.2">
      <c r="A637" s="1">
        <v>2024</v>
      </c>
      <c r="B637" s="1" t="s">
        <v>635</v>
      </c>
      <c r="C637" s="2">
        <v>22351335</v>
      </c>
      <c r="D637" s="8">
        <v>1.676265E-2</v>
      </c>
    </row>
    <row r="638" spans="1:4" x14ac:dyDescent="0.2">
      <c r="A638" s="1">
        <v>2024</v>
      </c>
      <c r="B638" s="1" t="s">
        <v>636</v>
      </c>
      <c r="C638" s="2">
        <v>4260168</v>
      </c>
      <c r="D638" s="8">
        <v>3.1949600000000002E-3</v>
      </c>
    </row>
    <row r="639" spans="1:4" x14ac:dyDescent="0.2">
      <c r="A639" s="1">
        <v>2024</v>
      </c>
      <c r="B639" s="1" t="s">
        <v>637</v>
      </c>
      <c r="C639" s="2">
        <v>21484</v>
      </c>
      <c r="D639" s="8">
        <v>1.611E-5</v>
      </c>
    </row>
    <row r="640" spans="1:4" x14ac:dyDescent="0.2">
      <c r="A640" s="1">
        <v>2024</v>
      </c>
      <c r="B640" s="1" t="s">
        <v>638</v>
      </c>
      <c r="C640" s="2">
        <v>113585</v>
      </c>
      <c r="D640" s="8">
        <v>8.5179999999999994E-5</v>
      </c>
    </row>
    <row r="641" spans="1:4" x14ac:dyDescent="0.2">
      <c r="A641" s="1">
        <v>2024</v>
      </c>
      <c r="B641" s="1" t="s">
        <v>639</v>
      </c>
      <c r="C641" s="2">
        <v>134240</v>
      </c>
      <c r="D641" s="8">
        <v>1.0067E-4</v>
      </c>
    </row>
    <row r="642" spans="1:4" x14ac:dyDescent="0.2">
      <c r="A642" s="1">
        <v>2024</v>
      </c>
      <c r="B642" s="1" t="s">
        <v>640</v>
      </c>
      <c r="C642" s="2">
        <v>7449774</v>
      </c>
      <c r="D642" s="8">
        <v>5.5870499999999997E-3</v>
      </c>
    </row>
    <row r="643" spans="1:4" x14ac:dyDescent="0.2">
      <c r="A643" s="1">
        <v>2024</v>
      </c>
      <c r="B643" s="1" t="s">
        <v>641</v>
      </c>
      <c r="C643" s="2">
        <v>266637</v>
      </c>
      <c r="D643" s="8">
        <v>1.9997E-4</v>
      </c>
    </row>
    <row r="644" spans="1:4" x14ac:dyDescent="0.2">
      <c r="A644" s="1">
        <v>2024</v>
      </c>
      <c r="B644" s="1" t="s">
        <v>642</v>
      </c>
      <c r="C644" s="2">
        <v>1081422</v>
      </c>
      <c r="D644" s="8">
        <v>8.1103000000000002E-4</v>
      </c>
    </row>
    <row r="645" spans="1:4" x14ac:dyDescent="0.2">
      <c r="A645" s="1">
        <v>2024</v>
      </c>
      <c r="B645" s="1" t="s">
        <v>643</v>
      </c>
      <c r="C645" s="2">
        <v>662274</v>
      </c>
      <c r="D645" s="8">
        <v>4.9667999999999999E-4</v>
      </c>
    </row>
    <row r="646" spans="1:4" x14ac:dyDescent="0.2">
      <c r="A646" s="1">
        <v>2024</v>
      </c>
      <c r="B646" s="1" t="s">
        <v>644</v>
      </c>
      <c r="C646" s="2">
        <v>86875</v>
      </c>
      <c r="D646" s="8">
        <v>6.5149999999999998E-5</v>
      </c>
    </row>
    <row r="647" spans="1:4" x14ac:dyDescent="0.2">
      <c r="A647" s="1">
        <v>2024</v>
      </c>
      <c r="B647" s="1" t="s">
        <v>645</v>
      </c>
      <c r="C647" s="2">
        <v>2405158</v>
      </c>
      <c r="D647" s="8">
        <v>1.8037800000000001E-3</v>
      </c>
    </row>
    <row r="648" spans="1:4" x14ac:dyDescent="0.2">
      <c r="A648" s="1">
        <v>2024</v>
      </c>
      <c r="B648" s="1" t="s">
        <v>646</v>
      </c>
      <c r="C648" s="2">
        <v>93654</v>
      </c>
      <c r="D648" s="8">
        <v>7.0240000000000005E-5</v>
      </c>
    </row>
    <row r="649" spans="1:4" x14ac:dyDescent="0.2">
      <c r="A649" s="1">
        <v>2024</v>
      </c>
      <c r="B649" s="1" t="s">
        <v>647</v>
      </c>
      <c r="C649" s="2">
        <v>354537</v>
      </c>
      <c r="D649" s="8">
        <v>2.6589000000000002E-4</v>
      </c>
    </row>
    <row r="650" spans="1:4" x14ac:dyDescent="0.2">
      <c r="A650" s="1">
        <v>2024</v>
      </c>
      <c r="B650" s="1" t="s">
        <v>648</v>
      </c>
      <c r="C650" s="2">
        <v>160790</v>
      </c>
      <c r="D650" s="8">
        <v>1.2059E-4</v>
      </c>
    </row>
    <row r="651" spans="1:4" x14ac:dyDescent="0.2">
      <c r="A651" s="1">
        <v>2024</v>
      </c>
      <c r="B651" s="1" t="s">
        <v>649</v>
      </c>
      <c r="C651" s="2">
        <v>46954</v>
      </c>
      <c r="D651" s="8">
        <v>3.5209999999999997E-5</v>
      </c>
    </row>
    <row r="652" spans="1:4" x14ac:dyDescent="0.2">
      <c r="A652" s="1">
        <v>2024</v>
      </c>
      <c r="B652" s="1" t="s">
        <v>650</v>
      </c>
      <c r="C652" s="2">
        <v>50087</v>
      </c>
      <c r="D652" s="8">
        <v>3.756E-5</v>
      </c>
    </row>
    <row r="653" spans="1:4" x14ac:dyDescent="0.2">
      <c r="A653" s="1">
        <v>2024</v>
      </c>
      <c r="B653" s="1" t="s">
        <v>651</v>
      </c>
      <c r="C653" s="2">
        <v>20457</v>
      </c>
      <c r="D653" s="8">
        <v>1.5339999999999999E-5</v>
      </c>
    </row>
    <row r="654" spans="1:4" x14ac:dyDescent="0.2">
      <c r="A654" s="1">
        <v>2024</v>
      </c>
      <c r="B654" s="1" t="s">
        <v>652</v>
      </c>
      <c r="C654" s="2">
        <v>123170</v>
      </c>
      <c r="D654" s="8">
        <v>9.2369999999999998E-5</v>
      </c>
    </row>
    <row r="655" spans="1:4" x14ac:dyDescent="0.2">
      <c r="A655" s="1">
        <v>2024</v>
      </c>
      <c r="B655" s="1" t="s">
        <v>653</v>
      </c>
      <c r="C655" s="2">
        <v>20291</v>
      </c>
      <c r="D655" s="8">
        <v>1.522E-5</v>
      </c>
    </row>
    <row r="656" spans="1:4" x14ac:dyDescent="0.2">
      <c r="A656" s="1">
        <v>2024</v>
      </c>
      <c r="B656" s="1" t="s">
        <v>654</v>
      </c>
      <c r="C656" s="2">
        <v>308750</v>
      </c>
      <c r="D656" s="8">
        <v>2.3154999999999999E-4</v>
      </c>
    </row>
    <row r="657" spans="1:4" x14ac:dyDescent="0.2">
      <c r="A657" s="1">
        <v>2024</v>
      </c>
      <c r="B657" s="1" t="s">
        <v>655</v>
      </c>
      <c r="C657" s="2">
        <v>139530</v>
      </c>
      <c r="D657" s="8">
        <v>1.0464E-4</v>
      </c>
    </row>
    <row r="658" spans="1:4" x14ac:dyDescent="0.2">
      <c r="A658" s="1">
        <v>2024</v>
      </c>
      <c r="B658" s="1" t="s">
        <v>656</v>
      </c>
      <c r="C658" s="2">
        <v>25663</v>
      </c>
      <c r="D658" s="8">
        <v>1.925E-5</v>
      </c>
    </row>
    <row r="659" spans="1:4" x14ac:dyDescent="0.2">
      <c r="A659" s="1">
        <v>2024</v>
      </c>
      <c r="B659" s="1" t="s">
        <v>657</v>
      </c>
      <c r="C659" s="2">
        <v>58606</v>
      </c>
      <c r="D659" s="8">
        <v>4.3949999999999998E-5</v>
      </c>
    </row>
    <row r="660" spans="1:4" x14ac:dyDescent="0.2">
      <c r="A660" s="1">
        <v>2024</v>
      </c>
      <c r="B660" s="1" t="s">
        <v>658</v>
      </c>
      <c r="C660" s="2">
        <v>3961349</v>
      </c>
      <c r="D660" s="8">
        <v>2.9708600000000001E-3</v>
      </c>
    </row>
    <row r="661" spans="1:4" x14ac:dyDescent="0.2">
      <c r="A661" s="1">
        <v>2024</v>
      </c>
      <c r="B661" s="1" t="s">
        <v>659</v>
      </c>
      <c r="C661" s="2">
        <v>948504</v>
      </c>
      <c r="D661" s="8">
        <v>7.1133999999999998E-4</v>
      </c>
    </row>
    <row r="662" spans="1:4" x14ac:dyDescent="0.2">
      <c r="A662" s="1">
        <v>2024</v>
      </c>
      <c r="B662" s="1" t="s">
        <v>660</v>
      </c>
      <c r="C662" s="2">
        <v>7964</v>
      </c>
      <c r="D662" s="8">
        <v>5.9699999999999996E-6</v>
      </c>
    </row>
    <row r="663" spans="1:4" x14ac:dyDescent="0.2">
      <c r="A663" s="1">
        <v>2024</v>
      </c>
      <c r="B663" s="1" t="s">
        <v>661</v>
      </c>
      <c r="C663" s="2">
        <v>24425</v>
      </c>
      <c r="D663" s="8">
        <v>1.8320000000000001E-5</v>
      </c>
    </row>
    <row r="664" spans="1:4" x14ac:dyDescent="0.2">
      <c r="A664" s="1">
        <v>2024</v>
      </c>
      <c r="B664" s="1" t="s">
        <v>662</v>
      </c>
      <c r="C664" s="2">
        <v>936302</v>
      </c>
      <c r="D664" s="8">
        <v>7.0219E-4</v>
      </c>
    </row>
    <row r="665" spans="1:4" x14ac:dyDescent="0.2">
      <c r="A665" s="1">
        <v>2024</v>
      </c>
      <c r="B665" s="1" t="s">
        <v>663</v>
      </c>
      <c r="C665" s="2">
        <v>19220</v>
      </c>
      <c r="D665" s="8">
        <v>1.4409999999999999E-5</v>
      </c>
    </row>
    <row r="666" spans="1:4" x14ac:dyDescent="0.2">
      <c r="A666" s="1">
        <v>2024</v>
      </c>
      <c r="B666" s="1" t="s">
        <v>664</v>
      </c>
      <c r="C666" s="2">
        <v>836549</v>
      </c>
      <c r="D666" s="8">
        <v>6.2737999999999997E-4</v>
      </c>
    </row>
    <row r="667" spans="1:4" x14ac:dyDescent="0.2">
      <c r="A667" s="1">
        <v>2024</v>
      </c>
      <c r="B667" s="1" t="s">
        <v>665</v>
      </c>
      <c r="C667" s="2">
        <v>42214</v>
      </c>
      <c r="D667" s="8">
        <v>3.1659999999999998E-5</v>
      </c>
    </row>
    <row r="668" spans="1:4" x14ac:dyDescent="0.2">
      <c r="A668" s="1">
        <v>2024</v>
      </c>
      <c r="B668" s="1" t="s">
        <v>666</v>
      </c>
      <c r="C668" s="2">
        <v>2120507</v>
      </c>
      <c r="D668" s="8">
        <v>1.5903E-3</v>
      </c>
    </row>
    <row r="669" spans="1:4" x14ac:dyDescent="0.2">
      <c r="A669" s="1">
        <v>2024</v>
      </c>
      <c r="B669" s="1" t="s">
        <v>667</v>
      </c>
      <c r="C669" s="2">
        <v>72037</v>
      </c>
      <c r="D669" s="8">
        <v>5.4030000000000003E-5</v>
      </c>
    </row>
    <row r="670" spans="1:4" x14ac:dyDescent="0.2">
      <c r="A670" s="1">
        <v>2024</v>
      </c>
      <c r="B670" s="1" t="s">
        <v>668</v>
      </c>
      <c r="C670" s="2">
        <v>338900</v>
      </c>
      <c r="D670" s="8">
        <v>2.5416000000000002E-4</v>
      </c>
    </row>
    <row r="671" spans="1:4" x14ac:dyDescent="0.2">
      <c r="A671" s="1">
        <v>2024</v>
      </c>
      <c r="B671" s="1" t="s">
        <v>669</v>
      </c>
      <c r="C671" s="2">
        <v>15848</v>
      </c>
      <c r="D671" s="8">
        <v>1.189E-5</v>
      </c>
    </row>
    <row r="672" spans="1:4" x14ac:dyDescent="0.2">
      <c r="A672" s="1">
        <v>2024</v>
      </c>
      <c r="B672" s="1" t="s">
        <v>670</v>
      </c>
      <c r="C672" s="2">
        <v>47292</v>
      </c>
      <c r="D672" s="8">
        <v>3.5469999999999998E-5</v>
      </c>
    </row>
    <row r="673" spans="1:4" x14ac:dyDescent="0.2">
      <c r="A673" s="1">
        <v>2024</v>
      </c>
      <c r="B673" s="1" t="s">
        <v>671</v>
      </c>
      <c r="C673" s="2">
        <v>71502</v>
      </c>
      <c r="D673" s="8">
        <v>5.3619999999999998E-5</v>
      </c>
    </row>
    <row r="674" spans="1:4" x14ac:dyDescent="0.2">
      <c r="A674" s="1">
        <v>2024</v>
      </c>
      <c r="B674" s="1" t="s">
        <v>672</v>
      </c>
      <c r="C674" s="2">
        <v>10875</v>
      </c>
      <c r="D674" s="8">
        <v>8.1599999999999998E-6</v>
      </c>
    </row>
    <row r="675" spans="1:4" x14ac:dyDescent="0.2">
      <c r="A675" s="1">
        <v>2024</v>
      </c>
      <c r="B675" s="1" t="s">
        <v>673</v>
      </c>
      <c r="C675" s="2">
        <v>85328</v>
      </c>
      <c r="D675" s="8">
        <v>6.3990000000000002E-5</v>
      </c>
    </row>
    <row r="676" spans="1:4" x14ac:dyDescent="0.2">
      <c r="A676" s="1">
        <v>2024</v>
      </c>
      <c r="B676" s="1" t="s">
        <v>674</v>
      </c>
      <c r="C676" s="2">
        <v>19828</v>
      </c>
      <c r="D676" s="8">
        <v>1.487E-5</v>
      </c>
    </row>
    <row r="677" spans="1:4" x14ac:dyDescent="0.2">
      <c r="A677" s="1">
        <v>2024</v>
      </c>
      <c r="B677" s="1" t="s">
        <v>675</v>
      </c>
      <c r="C677" s="2">
        <v>22768</v>
      </c>
      <c r="D677" s="8">
        <v>1.7079999999999999E-5</v>
      </c>
    </row>
    <row r="678" spans="1:4" x14ac:dyDescent="0.2">
      <c r="A678" s="1">
        <v>2024</v>
      </c>
      <c r="B678" s="1" t="s">
        <v>676</v>
      </c>
      <c r="C678" s="1">
        <v>365</v>
      </c>
      <c r="D678" s="8">
        <v>2.7000000000000001E-7</v>
      </c>
    </row>
    <row r="679" spans="1:4" x14ac:dyDescent="0.2">
      <c r="A679" s="1">
        <v>2024</v>
      </c>
      <c r="B679" s="1" t="s">
        <v>677</v>
      </c>
      <c r="C679" s="2">
        <v>3406966</v>
      </c>
      <c r="D679" s="8">
        <v>2.5550999999999998E-3</v>
      </c>
    </row>
    <row r="680" spans="1:4" x14ac:dyDescent="0.2">
      <c r="A680" s="1">
        <v>2024</v>
      </c>
      <c r="B680" s="1" t="s">
        <v>678</v>
      </c>
      <c r="C680" s="2">
        <v>1145044</v>
      </c>
      <c r="D680" s="8">
        <v>8.5873999999999998E-4</v>
      </c>
    </row>
    <row r="681" spans="1:4" x14ac:dyDescent="0.2">
      <c r="A681" s="1">
        <v>2024</v>
      </c>
      <c r="B681" s="1" t="s">
        <v>679</v>
      </c>
      <c r="C681" s="2">
        <v>7208</v>
      </c>
      <c r="D681" s="8">
        <v>5.4099999999999999E-6</v>
      </c>
    </row>
    <row r="682" spans="1:4" x14ac:dyDescent="0.2">
      <c r="A682" s="1">
        <v>2024</v>
      </c>
      <c r="B682" s="1" t="s">
        <v>680</v>
      </c>
      <c r="C682" s="2">
        <v>882087</v>
      </c>
      <c r="D682" s="8">
        <v>6.6153000000000002E-4</v>
      </c>
    </row>
    <row r="683" spans="1:4" x14ac:dyDescent="0.2">
      <c r="A683" s="1">
        <v>2024</v>
      </c>
      <c r="B683" s="1" t="s">
        <v>681</v>
      </c>
      <c r="C683" s="2">
        <v>20324</v>
      </c>
      <c r="D683" s="8">
        <v>1.524E-5</v>
      </c>
    </row>
    <row r="684" spans="1:4" x14ac:dyDescent="0.2">
      <c r="A684" s="1">
        <v>2024</v>
      </c>
      <c r="B684" s="1" t="s">
        <v>682</v>
      </c>
      <c r="C684" s="2">
        <v>2562605</v>
      </c>
      <c r="D684" s="8">
        <v>1.9218600000000001E-3</v>
      </c>
    </row>
    <row r="685" spans="1:4" x14ac:dyDescent="0.2">
      <c r="A685" s="1">
        <v>2024</v>
      </c>
      <c r="B685" s="1" t="s">
        <v>683</v>
      </c>
      <c r="C685" s="2">
        <v>677091</v>
      </c>
      <c r="D685" s="8">
        <v>5.0779000000000004E-4</v>
      </c>
    </row>
    <row r="686" spans="1:4" x14ac:dyDescent="0.2">
      <c r="A686" s="1">
        <v>2024</v>
      </c>
      <c r="B686" s="1" t="s">
        <v>684</v>
      </c>
      <c r="C686" s="2">
        <v>36569</v>
      </c>
      <c r="D686" s="8">
        <v>2.743E-5</v>
      </c>
    </row>
    <row r="687" spans="1:4" x14ac:dyDescent="0.2">
      <c r="A687" s="1">
        <v>2024</v>
      </c>
      <c r="B687" s="1" t="s">
        <v>685</v>
      </c>
      <c r="C687" s="2">
        <v>1339063</v>
      </c>
      <c r="D687" s="8">
        <v>1.0042499999999999E-3</v>
      </c>
    </row>
    <row r="688" spans="1:4" x14ac:dyDescent="0.2">
      <c r="A688" s="1">
        <v>2024</v>
      </c>
      <c r="B688" s="1" t="s">
        <v>686</v>
      </c>
      <c r="C688" s="2">
        <v>10272</v>
      </c>
      <c r="D688" s="8">
        <v>7.7000000000000008E-6</v>
      </c>
    </row>
    <row r="689" spans="1:4" x14ac:dyDescent="0.2">
      <c r="A689" s="1">
        <v>2024</v>
      </c>
      <c r="B689" s="1" t="s">
        <v>687</v>
      </c>
      <c r="C689" s="2">
        <v>181934</v>
      </c>
      <c r="D689" s="8">
        <v>1.3643999999999999E-4</v>
      </c>
    </row>
    <row r="690" spans="1:4" x14ac:dyDescent="0.2">
      <c r="A690" s="1">
        <v>2024</v>
      </c>
      <c r="B690" s="1" t="s">
        <v>688</v>
      </c>
      <c r="C690" s="2">
        <v>825285</v>
      </c>
      <c r="D690" s="8">
        <v>6.1892999999999996E-4</v>
      </c>
    </row>
    <row r="691" spans="1:4" x14ac:dyDescent="0.2">
      <c r="A691" s="1">
        <v>2024</v>
      </c>
      <c r="B691" s="1" t="s">
        <v>689</v>
      </c>
      <c r="C691" s="2">
        <v>261042</v>
      </c>
      <c r="D691" s="8">
        <v>1.9577E-4</v>
      </c>
    </row>
    <row r="692" spans="1:4" x14ac:dyDescent="0.2">
      <c r="A692" s="1">
        <v>2024</v>
      </c>
      <c r="B692" s="1" t="s">
        <v>690</v>
      </c>
      <c r="C692" s="2">
        <v>34776</v>
      </c>
      <c r="D692" s="8">
        <v>2.6080000000000001E-5</v>
      </c>
    </row>
    <row r="693" spans="1:4" x14ac:dyDescent="0.2">
      <c r="A693" s="1">
        <v>2024</v>
      </c>
      <c r="B693" s="1" t="s">
        <v>691</v>
      </c>
      <c r="C693" s="2">
        <v>39910</v>
      </c>
      <c r="D693" s="8">
        <v>2.993E-5</v>
      </c>
    </row>
    <row r="694" spans="1:4" x14ac:dyDescent="0.2">
      <c r="A694" s="1">
        <v>2024</v>
      </c>
      <c r="B694" s="1" t="s">
        <v>692</v>
      </c>
      <c r="C694" s="2">
        <v>5273631</v>
      </c>
      <c r="D694" s="8">
        <v>3.9550200000000001E-3</v>
      </c>
    </row>
    <row r="695" spans="1:4" x14ac:dyDescent="0.2">
      <c r="A695" s="1">
        <v>2024</v>
      </c>
      <c r="B695" s="1" t="s">
        <v>693</v>
      </c>
      <c r="C695" s="2">
        <v>1810109</v>
      </c>
      <c r="D695" s="8">
        <v>1.3575099999999999E-3</v>
      </c>
    </row>
    <row r="696" spans="1:4" x14ac:dyDescent="0.2">
      <c r="A696" s="1">
        <v>2024</v>
      </c>
      <c r="B696" s="1" t="s">
        <v>694</v>
      </c>
      <c r="C696" s="2">
        <v>2879546</v>
      </c>
      <c r="D696" s="8">
        <v>2.1595500000000001E-3</v>
      </c>
    </row>
    <row r="697" spans="1:4" x14ac:dyDescent="0.2">
      <c r="A697" s="1">
        <v>2024</v>
      </c>
      <c r="B697" s="1" t="s">
        <v>695</v>
      </c>
      <c r="C697" s="2">
        <v>5449114</v>
      </c>
      <c r="D697" s="8">
        <v>4.08663E-3</v>
      </c>
    </row>
    <row r="698" spans="1:4" x14ac:dyDescent="0.2">
      <c r="A698" s="1">
        <v>2024</v>
      </c>
      <c r="B698" s="1" t="s">
        <v>696</v>
      </c>
      <c r="C698" s="2">
        <v>2080758</v>
      </c>
      <c r="D698" s="8">
        <v>1.5604900000000001E-3</v>
      </c>
    </row>
    <row r="699" spans="1:4" x14ac:dyDescent="0.2">
      <c r="A699" s="1">
        <v>2024</v>
      </c>
      <c r="B699" s="1" t="s">
        <v>697</v>
      </c>
      <c r="C699" s="2">
        <v>653127</v>
      </c>
      <c r="D699" s="8">
        <v>4.8981999999999997E-4</v>
      </c>
    </row>
    <row r="700" spans="1:4" x14ac:dyDescent="0.2">
      <c r="A700" s="1">
        <v>2024</v>
      </c>
      <c r="B700" s="1" t="s">
        <v>698</v>
      </c>
      <c r="C700" s="2">
        <v>63140</v>
      </c>
      <c r="D700" s="8">
        <v>4.7349999999999999E-5</v>
      </c>
    </row>
    <row r="701" spans="1:4" x14ac:dyDescent="0.2">
      <c r="A701" s="1">
        <v>2024</v>
      </c>
      <c r="B701" s="1" t="s">
        <v>699</v>
      </c>
      <c r="C701" s="2">
        <v>6733721</v>
      </c>
      <c r="D701" s="8">
        <v>5.0500400000000004E-3</v>
      </c>
    </row>
    <row r="702" spans="1:4" x14ac:dyDescent="0.2">
      <c r="A702" s="1">
        <v>2024</v>
      </c>
      <c r="B702" s="1" t="s">
        <v>700</v>
      </c>
      <c r="C702" s="2">
        <v>573297</v>
      </c>
      <c r="D702" s="8">
        <v>4.2995000000000002E-4</v>
      </c>
    </row>
    <row r="703" spans="1:4" x14ac:dyDescent="0.2">
      <c r="A703" s="1">
        <v>2024</v>
      </c>
      <c r="B703" s="1" t="s">
        <v>701</v>
      </c>
      <c r="C703" s="2">
        <v>20500</v>
      </c>
      <c r="D703" s="8">
        <v>1.537E-5</v>
      </c>
    </row>
    <row r="704" spans="1:4" x14ac:dyDescent="0.2">
      <c r="A704" s="1">
        <v>2024</v>
      </c>
      <c r="B704" s="1" t="s">
        <v>702</v>
      </c>
      <c r="C704" s="2">
        <v>80424</v>
      </c>
      <c r="D704" s="8">
        <v>6.0319999999999998E-5</v>
      </c>
    </row>
    <row r="705" spans="1:4" x14ac:dyDescent="0.2">
      <c r="A705" s="1">
        <v>2024</v>
      </c>
      <c r="B705" s="1" t="s">
        <v>703</v>
      </c>
      <c r="C705" s="2">
        <v>15621819</v>
      </c>
      <c r="D705" s="8">
        <v>1.171577E-2</v>
      </c>
    </row>
    <row r="706" spans="1:4" x14ac:dyDescent="0.2">
      <c r="A706" s="1">
        <v>2024</v>
      </c>
      <c r="B706" s="1" t="s">
        <v>704</v>
      </c>
      <c r="C706" s="2">
        <v>580674</v>
      </c>
      <c r="D706" s="8">
        <v>4.3548000000000003E-4</v>
      </c>
    </row>
    <row r="707" spans="1:4" x14ac:dyDescent="0.2">
      <c r="A707" s="1">
        <v>2024</v>
      </c>
      <c r="B707" s="1" t="s">
        <v>705</v>
      </c>
      <c r="C707" s="2">
        <v>1308259</v>
      </c>
      <c r="D707" s="8">
        <v>9.8113999999999992E-4</v>
      </c>
    </row>
    <row r="708" spans="1:4" x14ac:dyDescent="0.2">
      <c r="A708" s="1">
        <v>2024</v>
      </c>
      <c r="B708" s="1" t="s">
        <v>706</v>
      </c>
      <c r="C708" s="2">
        <v>33834</v>
      </c>
      <c r="D708" s="8">
        <v>2.5369999999999999E-5</v>
      </c>
    </row>
    <row r="709" spans="1:4" x14ac:dyDescent="0.2">
      <c r="A709" s="1">
        <v>2024</v>
      </c>
      <c r="B709" s="1" t="s">
        <v>707</v>
      </c>
      <c r="C709" s="2">
        <v>119923</v>
      </c>
      <c r="D709" s="8">
        <v>8.9939999999999996E-5</v>
      </c>
    </row>
    <row r="710" spans="1:4" x14ac:dyDescent="0.2">
      <c r="A710" s="1">
        <v>2024</v>
      </c>
      <c r="B710" s="1" t="s">
        <v>708</v>
      </c>
      <c r="C710" s="2">
        <v>3049451</v>
      </c>
      <c r="D710" s="8">
        <v>2.2869700000000001E-3</v>
      </c>
    </row>
    <row r="711" spans="1:4" x14ac:dyDescent="0.2">
      <c r="A711" s="1">
        <v>2024</v>
      </c>
      <c r="B711" s="1" t="s">
        <v>709</v>
      </c>
      <c r="C711" s="2">
        <v>2617242</v>
      </c>
      <c r="D711" s="8">
        <v>1.96283E-3</v>
      </c>
    </row>
    <row r="712" spans="1:4" x14ac:dyDescent="0.2">
      <c r="A712" s="1">
        <v>2024</v>
      </c>
      <c r="B712" s="1" t="s">
        <v>710</v>
      </c>
      <c r="C712" s="2">
        <v>21112</v>
      </c>
      <c r="D712" s="8">
        <v>1.5829999999999999E-5</v>
      </c>
    </row>
    <row r="713" spans="1:4" x14ac:dyDescent="0.2">
      <c r="A713" s="1">
        <v>2024</v>
      </c>
      <c r="B713" s="1" t="s">
        <v>711</v>
      </c>
      <c r="C713" s="2">
        <v>1153294</v>
      </c>
      <c r="D713" s="8">
        <v>8.6492999999999997E-4</v>
      </c>
    </row>
    <row r="714" spans="1:4" x14ac:dyDescent="0.2">
      <c r="A714" s="1">
        <v>2024</v>
      </c>
      <c r="B714" s="1" t="s">
        <v>712</v>
      </c>
      <c r="C714" s="2">
        <v>2004</v>
      </c>
      <c r="D714" s="8">
        <v>1.5E-6</v>
      </c>
    </row>
    <row r="715" spans="1:4" x14ac:dyDescent="0.2">
      <c r="A715" s="1">
        <v>2024</v>
      </c>
      <c r="B715" s="1" t="s">
        <v>713</v>
      </c>
      <c r="C715" s="2">
        <v>46834</v>
      </c>
      <c r="D715" s="8">
        <v>3.5120000000000003E-5</v>
      </c>
    </row>
    <row r="716" spans="1:4" x14ac:dyDescent="0.2">
      <c r="A716" s="1">
        <v>2024</v>
      </c>
      <c r="B716" s="1" t="s">
        <v>714</v>
      </c>
      <c r="C716" s="2">
        <v>12310</v>
      </c>
      <c r="D716" s="8">
        <v>9.2299999999999997E-6</v>
      </c>
    </row>
    <row r="717" spans="1:4" x14ac:dyDescent="0.2">
      <c r="A717" s="1">
        <v>2024</v>
      </c>
      <c r="B717" s="1" t="s">
        <v>715</v>
      </c>
      <c r="C717" s="2">
        <v>3838</v>
      </c>
      <c r="D717" s="8">
        <v>2.88E-6</v>
      </c>
    </row>
    <row r="718" spans="1:4" x14ac:dyDescent="0.2">
      <c r="A718" s="1">
        <v>2024</v>
      </c>
      <c r="B718" s="1" t="s">
        <v>716</v>
      </c>
      <c r="C718" s="2">
        <v>104080</v>
      </c>
      <c r="D718" s="8">
        <v>7.8059999999999995E-5</v>
      </c>
    </row>
    <row r="719" spans="1:4" x14ac:dyDescent="0.2">
      <c r="A719" s="1">
        <v>2024</v>
      </c>
      <c r="B719" s="1" t="s">
        <v>717</v>
      </c>
      <c r="C719" s="2">
        <v>39303</v>
      </c>
      <c r="D719" s="8">
        <v>2.9479999999999999E-5</v>
      </c>
    </row>
    <row r="720" spans="1:4" x14ac:dyDescent="0.2">
      <c r="A720" s="1">
        <v>2024</v>
      </c>
      <c r="B720" s="1" t="s">
        <v>718</v>
      </c>
      <c r="C720" s="2">
        <v>120006</v>
      </c>
      <c r="D720" s="8">
        <v>9.0000000000000006E-5</v>
      </c>
    </row>
    <row r="721" spans="1:4" x14ac:dyDescent="0.2">
      <c r="A721" s="1">
        <v>2024</v>
      </c>
      <c r="B721" s="1" t="s">
        <v>719</v>
      </c>
      <c r="C721" s="2">
        <v>44620</v>
      </c>
      <c r="D721" s="8">
        <v>3.3460000000000002E-5</v>
      </c>
    </row>
    <row r="722" spans="1:4" x14ac:dyDescent="0.2">
      <c r="A722" s="1">
        <v>2024</v>
      </c>
      <c r="B722" s="1" t="s">
        <v>720</v>
      </c>
      <c r="C722" s="2">
        <v>1172542</v>
      </c>
      <c r="D722" s="8">
        <v>8.7936000000000004E-4</v>
      </c>
    </row>
    <row r="723" spans="1:4" x14ac:dyDescent="0.2">
      <c r="A723" s="1">
        <v>2024</v>
      </c>
      <c r="B723" s="1" t="s">
        <v>721</v>
      </c>
      <c r="C723" s="2">
        <v>50180</v>
      </c>
      <c r="D723" s="8">
        <v>3.7629999999999997E-5</v>
      </c>
    </row>
    <row r="724" spans="1:4" x14ac:dyDescent="0.2">
      <c r="A724" s="1">
        <v>2024</v>
      </c>
      <c r="B724" s="1" t="s">
        <v>722</v>
      </c>
      <c r="C724" s="2">
        <v>4009</v>
      </c>
      <c r="D724" s="8">
        <v>3.01E-6</v>
      </c>
    </row>
    <row r="725" spans="1:4" x14ac:dyDescent="0.2">
      <c r="A725" s="1">
        <v>2024</v>
      </c>
      <c r="B725" s="1" t="s">
        <v>723</v>
      </c>
      <c r="C725" s="2">
        <v>3923101</v>
      </c>
      <c r="D725" s="8">
        <v>2.94218E-3</v>
      </c>
    </row>
    <row r="726" spans="1:4" x14ac:dyDescent="0.2">
      <c r="A726" s="1">
        <v>2024</v>
      </c>
      <c r="B726" s="1" t="s">
        <v>724</v>
      </c>
      <c r="C726" s="2">
        <v>2319309</v>
      </c>
      <c r="D726" s="8">
        <v>1.7393899999999999E-3</v>
      </c>
    </row>
    <row r="727" spans="1:4" x14ac:dyDescent="0.2">
      <c r="A727" s="1">
        <v>2024</v>
      </c>
      <c r="B727" s="1" t="s">
        <v>725</v>
      </c>
      <c r="C727" s="2">
        <v>1944678</v>
      </c>
      <c r="D727" s="8">
        <v>1.4584299999999999E-3</v>
      </c>
    </row>
    <row r="728" spans="1:4" x14ac:dyDescent="0.2">
      <c r="A728" s="1">
        <v>2024</v>
      </c>
      <c r="B728" s="1" t="s">
        <v>726</v>
      </c>
      <c r="C728" s="2">
        <v>47925</v>
      </c>
      <c r="D728" s="8">
        <v>3.5939999999999998E-5</v>
      </c>
    </row>
    <row r="729" spans="1:4" x14ac:dyDescent="0.2">
      <c r="A729" s="1">
        <v>2024</v>
      </c>
      <c r="B729" s="1" t="s">
        <v>727</v>
      </c>
      <c r="C729" s="2">
        <v>577114</v>
      </c>
      <c r="D729" s="8">
        <v>4.3281E-4</v>
      </c>
    </row>
    <row r="730" spans="1:4" x14ac:dyDescent="0.2">
      <c r="A730" s="1">
        <v>2024</v>
      </c>
      <c r="B730" s="1" t="s">
        <v>728</v>
      </c>
      <c r="C730" s="2">
        <v>12600</v>
      </c>
      <c r="D730" s="8">
        <v>9.4499999999999993E-6</v>
      </c>
    </row>
    <row r="731" spans="1:4" x14ac:dyDescent="0.2">
      <c r="A731" s="1">
        <v>2024</v>
      </c>
      <c r="B731" s="1" t="s">
        <v>729</v>
      </c>
      <c r="C731" s="2">
        <v>3317</v>
      </c>
      <c r="D731" s="8">
        <v>2.4899999999999999E-6</v>
      </c>
    </row>
    <row r="732" spans="1:4" x14ac:dyDescent="0.2">
      <c r="A732" s="1">
        <v>2024</v>
      </c>
      <c r="B732" s="1" t="s">
        <v>730</v>
      </c>
      <c r="C732" s="2">
        <v>2068545</v>
      </c>
      <c r="D732" s="8">
        <v>1.5513300000000001E-3</v>
      </c>
    </row>
    <row r="733" spans="1:4" x14ac:dyDescent="0.2">
      <c r="A733" s="1">
        <v>2024</v>
      </c>
      <c r="B733" s="1" t="s">
        <v>731</v>
      </c>
      <c r="C733" s="2">
        <v>1053201</v>
      </c>
      <c r="D733" s="8">
        <v>7.8985999999999998E-4</v>
      </c>
    </row>
    <row r="734" spans="1:4" x14ac:dyDescent="0.2">
      <c r="A734" s="1">
        <v>2024</v>
      </c>
      <c r="B734" s="1" t="s">
        <v>732</v>
      </c>
      <c r="C734" s="2">
        <v>133561</v>
      </c>
      <c r="D734" s="8">
        <v>1.0017E-4</v>
      </c>
    </row>
    <row r="735" spans="1:4" x14ac:dyDescent="0.2">
      <c r="A735" s="1">
        <v>2024</v>
      </c>
      <c r="B735" s="1" t="s">
        <v>733</v>
      </c>
      <c r="C735" s="2">
        <v>42773</v>
      </c>
      <c r="D735" s="8">
        <v>3.2079999999999998E-5</v>
      </c>
    </row>
    <row r="736" spans="1:4" x14ac:dyDescent="0.2">
      <c r="A736" s="1">
        <v>2024</v>
      </c>
      <c r="B736" s="1" t="s">
        <v>734</v>
      </c>
      <c r="C736" s="2">
        <v>30291</v>
      </c>
      <c r="D736" s="8">
        <v>2.2719999999999999E-5</v>
      </c>
    </row>
    <row r="737" spans="1:4" x14ac:dyDescent="0.2">
      <c r="A737" s="1">
        <v>2024</v>
      </c>
      <c r="B737" s="1" t="s">
        <v>735</v>
      </c>
      <c r="C737" s="2">
        <v>87130</v>
      </c>
      <c r="D737" s="8">
        <v>6.5339999999999994E-5</v>
      </c>
    </row>
    <row r="738" spans="1:4" x14ac:dyDescent="0.2">
      <c r="A738" s="1">
        <v>2024</v>
      </c>
      <c r="B738" s="1" t="s">
        <v>736</v>
      </c>
      <c r="C738" s="2">
        <v>697543</v>
      </c>
      <c r="D738" s="8">
        <v>5.2313000000000001E-4</v>
      </c>
    </row>
    <row r="739" spans="1:4" x14ac:dyDescent="0.2">
      <c r="A739" s="1">
        <v>2024</v>
      </c>
      <c r="B739" s="1" t="s">
        <v>737</v>
      </c>
      <c r="C739" s="2">
        <v>1083326</v>
      </c>
      <c r="D739" s="8">
        <v>8.1245000000000004E-4</v>
      </c>
    </row>
    <row r="740" spans="1:4" x14ac:dyDescent="0.2">
      <c r="A740" s="1">
        <v>2024</v>
      </c>
      <c r="B740" s="1" t="s">
        <v>738</v>
      </c>
      <c r="C740" s="2">
        <v>680035</v>
      </c>
      <c r="D740" s="8">
        <v>5.1000000000000004E-4</v>
      </c>
    </row>
    <row r="741" spans="1:4" x14ac:dyDescent="0.2">
      <c r="A741" s="1">
        <v>2024</v>
      </c>
      <c r="B741" s="1" t="s">
        <v>739</v>
      </c>
      <c r="C741" s="2">
        <v>3846096</v>
      </c>
      <c r="D741" s="8">
        <v>2.8844299999999999E-3</v>
      </c>
    </row>
    <row r="742" spans="1:4" x14ac:dyDescent="0.2">
      <c r="A742" s="1">
        <v>2024</v>
      </c>
      <c r="B742" s="1" t="s">
        <v>740</v>
      </c>
      <c r="C742" s="2">
        <v>51347</v>
      </c>
      <c r="D742" s="8">
        <v>3.8510000000000002E-5</v>
      </c>
    </row>
    <row r="743" spans="1:4" x14ac:dyDescent="0.2">
      <c r="A743" s="1">
        <v>2024</v>
      </c>
      <c r="B743" s="1" t="s">
        <v>741</v>
      </c>
      <c r="C743" s="2">
        <v>47208</v>
      </c>
      <c r="D743" s="8">
        <v>3.54E-5</v>
      </c>
    </row>
    <row r="744" spans="1:4" x14ac:dyDescent="0.2">
      <c r="A744" s="1">
        <v>2024</v>
      </c>
      <c r="B744" s="1" t="s">
        <v>742</v>
      </c>
      <c r="C744" s="2">
        <v>161513</v>
      </c>
      <c r="D744" s="8">
        <v>1.2113E-4</v>
      </c>
    </row>
    <row r="745" spans="1:4" x14ac:dyDescent="0.2">
      <c r="A745" s="1">
        <v>2024</v>
      </c>
      <c r="B745" s="1" t="s">
        <v>743</v>
      </c>
      <c r="C745" s="2">
        <v>3861</v>
      </c>
      <c r="D745" s="8">
        <v>2.9000000000000002E-6</v>
      </c>
    </row>
    <row r="746" spans="1:4" x14ac:dyDescent="0.2">
      <c r="A746" s="1">
        <v>2024</v>
      </c>
      <c r="B746" s="1" t="s">
        <v>744</v>
      </c>
      <c r="C746" s="2">
        <v>42105</v>
      </c>
      <c r="D746" s="8">
        <v>3.1579999999999999E-5</v>
      </c>
    </row>
    <row r="747" spans="1:4" x14ac:dyDescent="0.2">
      <c r="A747" s="1">
        <v>2024</v>
      </c>
      <c r="B747" s="1" t="s">
        <v>745</v>
      </c>
      <c r="C747" s="2">
        <v>5387</v>
      </c>
      <c r="D747" s="8">
        <v>4.0400000000000003E-6</v>
      </c>
    </row>
    <row r="748" spans="1:4" x14ac:dyDescent="0.2">
      <c r="A748" s="1">
        <v>2024</v>
      </c>
      <c r="B748" s="1" t="s">
        <v>746</v>
      </c>
      <c r="C748" s="2">
        <v>12891</v>
      </c>
      <c r="D748" s="8">
        <v>9.6700000000000006E-6</v>
      </c>
    </row>
    <row r="749" spans="1:4" x14ac:dyDescent="0.2">
      <c r="A749" s="1">
        <v>2024</v>
      </c>
      <c r="B749" s="1" t="s">
        <v>747</v>
      </c>
      <c r="C749" s="2">
        <v>36521</v>
      </c>
      <c r="D749" s="8">
        <v>2.739E-5</v>
      </c>
    </row>
    <row r="750" spans="1:4" x14ac:dyDescent="0.2">
      <c r="A750" s="1">
        <v>2024</v>
      </c>
      <c r="B750" s="1" t="s">
        <v>748</v>
      </c>
      <c r="C750" s="2">
        <v>1520</v>
      </c>
      <c r="D750" s="8">
        <v>1.1400000000000001E-6</v>
      </c>
    </row>
    <row r="751" spans="1:4" x14ac:dyDescent="0.2">
      <c r="A751" s="1">
        <v>2024</v>
      </c>
      <c r="B751" s="1" t="s">
        <v>749</v>
      </c>
      <c r="C751" s="2">
        <v>23541</v>
      </c>
      <c r="D751" s="8">
        <v>1.766E-5</v>
      </c>
    </row>
    <row r="752" spans="1:4" x14ac:dyDescent="0.2">
      <c r="A752" s="1">
        <v>2024</v>
      </c>
      <c r="B752" s="1" t="s">
        <v>750</v>
      </c>
      <c r="C752" s="2">
        <v>47304</v>
      </c>
      <c r="D752" s="8">
        <v>3.5479999999999999E-5</v>
      </c>
    </row>
    <row r="753" spans="1:4" x14ac:dyDescent="0.2">
      <c r="A753" s="1">
        <v>2024</v>
      </c>
      <c r="B753" s="1" t="s">
        <v>751</v>
      </c>
      <c r="C753" s="2">
        <v>2923</v>
      </c>
      <c r="D753" s="8">
        <v>2.1900000000000002E-6</v>
      </c>
    </row>
    <row r="754" spans="1:4" x14ac:dyDescent="0.2">
      <c r="A754" s="1">
        <v>2024</v>
      </c>
      <c r="B754" s="1" t="s">
        <v>752</v>
      </c>
      <c r="C754" s="2">
        <v>28584</v>
      </c>
      <c r="D754" s="8">
        <v>2.1440000000000001E-5</v>
      </c>
    </row>
    <row r="755" spans="1:4" x14ac:dyDescent="0.2">
      <c r="A755" s="1">
        <v>2024</v>
      </c>
      <c r="B755" s="1" t="s">
        <v>753</v>
      </c>
      <c r="C755" s="2">
        <v>12773</v>
      </c>
      <c r="D755" s="8">
        <v>9.5799999999999998E-6</v>
      </c>
    </row>
    <row r="756" spans="1:4" x14ac:dyDescent="0.2">
      <c r="A756" s="1">
        <v>2024</v>
      </c>
      <c r="B756" s="1" t="s">
        <v>754</v>
      </c>
      <c r="C756" s="2">
        <v>12824</v>
      </c>
      <c r="D756" s="8">
        <v>9.6199999999999994E-6</v>
      </c>
    </row>
    <row r="757" spans="1:4" x14ac:dyDescent="0.2">
      <c r="A757" s="1">
        <v>2024</v>
      </c>
      <c r="B757" s="1" t="s">
        <v>755</v>
      </c>
      <c r="C757" s="2">
        <v>17484</v>
      </c>
      <c r="D757" s="8">
        <v>1.311E-5</v>
      </c>
    </row>
    <row r="758" spans="1:4" x14ac:dyDescent="0.2">
      <c r="A758" s="1">
        <v>2024</v>
      </c>
      <c r="B758" s="1" t="s">
        <v>756</v>
      </c>
      <c r="C758" s="2">
        <v>17117</v>
      </c>
      <c r="D758" s="8">
        <v>1.2840000000000001E-5</v>
      </c>
    </row>
    <row r="759" spans="1:4" x14ac:dyDescent="0.2">
      <c r="A759" s="1">
        <v>2024</v>
      </c>
      <c r="B759" s="1" t="s">
        <v>757</v>
      </c>
      <c r="C759" s="2">
        <v>49981</v>
      </c>
      <c r="D759" s="8">
        <v>3.748E-5</v>
      </c>
    </row>
    <row r="760" spans="1:4" x14ac:dyDescent="0.2">
      <c r="A760" s="1">
        <v>2024</v>
      </c>
      <c r="B760" s="1" t="s">
        <v>758</v>
      </c>
      <c r="C760" s="2">
        <v>6377</v>
      </c>
      <c r="D760" s="8">
        <v>4.78E-6</v>
      </c>
    </row>
    <row r="761" spans="1:4" x14ac:dyDescent="0.2">
      <c r="A761" s="1">
        <v>2024</v>
      </c>
      <c r="B761" s="1" t="s">
        <v>759</v>
      </c>
      <c r="C761" s="2">
        <v>414385</v>
      </c>
      <c r="D761" s="8">
        <v>3.1076999999999998E-4</v>
      </c>
    </row>
    <row r="762" spans="1:4" x14ac:dyDescent="0.2">
      <c r="A762" s="1">
        <v>2024</v>
      </c>
      <c r="B762" s="1" t="s">
        <v>760</v>
      </c>
      <c r="C762" s="2">
        <v>20747</v>
      </c>
      <c r="D762" s="8">
        <v>1.556E-5</v>
      </c>
    </row>
    <row r="763" spans="1:4" x14ac:dyDescent="0.2">
      <c r="A763" s="1">
        <v>2024</v>
      </c>
      <c r="B763" s="1" t="s">
        <v>761</v>
      </c>
      <c r="C763" s="2">
        <v>3076790</v>
      </c>
      <c r="D763" s="8">
        <v>2.3074800000000002E-3</v>
      </c>
    </row>
    <row r="764" spans="1:4" x14ac:dyDescent="0.2">
      <c r="A764" s="1">
        <v>2024</v>
      </c>
      <c r="B764" s="1" t="s">
        <v>762</v>
      </c>
      <c r="C764" s="2">
        <v>49302</v>
      </c>
      <c r="D764" s="8">
        <v>3.697E-5</v>
      </c>
    </row>
    <row r="765" spans="1:4" x14ac:dyDescent="0.2">
      <c r="A765" s="1">
        <v>2024</v>
      </c>
      <c r="B765" s="1" t="s">
        <v>763</v>
      </c>
      <c r="C765" s="2">
        <v>2531405</v>
      </c>
      <c r="D765" s="8">
        <v>1.89846E-3</v>
      </c>
    </row>
    <row r="766" spans="1:4" x14ac:dyDescent="0.2">
      <c r="A766" s="1">
        <v>2024</v>
      </c>
      <c r="B766" s="1" t="s">
        <v>764</v>
      </c>
      <c r="C766" s="2">
        <v>1734939</v>
      </c>
      <c r="D766" s="8">
        <v>1.3011399999999999E-3</v>
      </c>
    </row>
    <row r="767" spans="1:4" x14ac:dyDescent="0.2">
      <c r="A767" s="1">
        <v>2024</v>
      </c>
      <c r="B767" s="1" t="s">
        <v>765</v>
      </c>
      <c r="C767" s="2">
        <v>164383</v>
      </c>
      <c r="D767" s="8">
        <v>1.2328E-4</v>
      </c>
    </row>
    <row r="768" spans="1:4" x14ac:dyDescent="0.2">
      <c r="A768" s="1">
        <v>2024</v>
      </c>
      <c r="B768" s="1" t="s">
        <v>766</v>
      </c>
      <c r="C768" s="2">
        <v>98690</v>
      </c>
      <c r="D768" s="8">
        <v>7.4010000000000005E-5</v>
      </c>
    </row>
    <row r="769" spans="1:4" x14ac:dyDescent="0.2">
      <c r="A769" s="1">
        <v>2024</v>
      </c>
      <c r="B769" s="1" t="s">
        <v>767</v>
      </c>
      <c r="C769" s="2">
        <v>222168</v>
      </c>
      <c r="D769" s="8">
        <v>1.6662E-4</v>
      </c>
    </row>
    <row r="770" spans="1:4" x14ac:dyDescent="0.2">
      <c r="A770" s="1">
        <v>2024</v>
      </c>
      <c r="B770" s="1" t="s">
        <v>768</v>
      </c>
      <c r="C770" s="2">
        <v>105940</v>
      </c>
      <c r="D770" s="8">
        <v>7.9450000000000007E-5</v>
      </c>
    </row>
    <row r="771" spans="1:4" x14ac:dyDescent="0.2">
      <c r="A771" s="1">
        <v>2024</v>
      </c>
      <c r="B771" s="1" t="s">
        <v>769</v>
      </c>
      <c r="C771" s="2">
        <v>3520466</v>
      </c>
      <c r="D771" s="8">
        <v>2.64022E-3</v>
      </c>
    </row>
    <row r="772" spans="1:4" x14ac:dyDescent="0.2">
      <c r="A772" s="1">
        <v>2024</v>
      </c>
      <c r="B772" s="1" t="s">
        <v>770</v>
      </c>
      <c r="C772" s="2">
        <v>157913</v>
      </c>
      <c r="D772" s="8">
        <v>1.1843E-4</v>
      </c>
    </row>
    <row r="773" spans="1:4" x14ac:dyDescent="0.2">
      <c r="A773" s="1">
        <v>2024</v>
      </c>
      <c r="B773" s="1" t="s">
        <v>771</v>
      </c>
      <c r="C773" s="2">
        <v>105627</v>
      </c>
      <c r="D773" s="8">
        <v>7.9220000000000004E-5</v>
      </c>
    </row>
    <row r="774" spans="1:4" x14ac:dyDescent="0.2">
      <c r="A774" s="1">
        <v>2024</v>
      </c>
      <c r="B774" s="1" t="s">
        <v>772</v>
      </c>
      <c r="C774" s="2">
        <v>8924247</v>
      </c>
      <c r="D774" s="8">
        <v>6.6928500000000002E-3</v>
      </c>
    </row>
    <row r="775" spans="1:4" x14ac:dyDescent="0.2">
      <c r="A775" s="1">
        <v>2024</v>
      </c>
      <c r="B775" s="1" t="s">
        <v>773</v>
      </c>
      <c r="C775" s="2">
        <v>690163</v>
      </c>
      <c r="D775" s="8">
        <v>5.176E-4</v>
      </c>
    </row>
    <row r="776" spans="1:4" x14ac:dyDescent="0.2">
      <c r="A776" s="1">
        <v>2024</v>
      </c>
      <c r="B776" s="1" t="s">
        <v>774</v>
      </c>
      <c r="C776" s="2">
        <v>117764</v>
      </c>
      <c r="D776" s="8">
        <v>8.8319999999999995E-5</v>
      </c>
    </row>
    <row r="777" spans="1:4" x14ac:dyDescent="0.2">
      <c r="A777" s="1">
        <v>2024</v>
      </c>
      <c r="B777" s="1" t="s">
        <v>775</v>
      </c>
      <c r="C777" s="2">
        <v>141815</v>
      </c>
      <c r="D777" s="8">
        <v>1.0636E-4</v>
      </c>
    </row>
    <row r="778" spans="1:4" x14ac:dyDescent="0.2">
      <c r="A778" s="1">
        <v>2024</v>
      </c>
      <c r="B778" s="1" t="s">
        <v>776</v>
      </c>
      <c r="C778" s="2">
        <v>118056</v>
      </c>
      <c r="D778" s="8">
        <v>8.8540000000000003E-5</v>
      </c>
    </row>
    <row r="779" spans="1:4" x14ac:dyDescent="0.2">
      <c r="A779" s="1">
        <v>2024</v>
      </c>
      <c r="B779" s="1" t="s">
        <v>777</v>
      </c>
      <c r="C779" s="2">
        <v>3123084</v>
      </c>
      <c r="D779" s="8">
        <v>2.3421900000000001E-3</v>
      </c>
    </row>
    <row r="780" spans="1:4" x14ac:dyDescent="0.2">
      <c r="A780" s="1">
        <v>2024</v>
      </c>
      <c r="B780" s="1" t="s">
        <v>778</v>
      </c>
      <c r="C780" s="2">
        <v>894677</v>
      </c>
      <c r="D780" s="8">
        <v>6.7097000000000001E-4</v>
      </c>
    </row>
    <row r="781" spans="1:4" x14ac:dyDescent="0.2">
      <c r="A781" s="1">
        <v>2024</v>
      </c>
      <c r="B781" s="1" t="s">
        <v>779</v>
      </c>
      <c r="C781" s="2">
        <v>6153</v>
      </c>
      <c r="D781" s="8">
        <v>4.6099999999999999E-6</v>
      </c>
    </row>
    <row r="782" spans="1:4" x14ac:dyDescent="0.2">
      <c r="A782" s="1">
        <v>2024</v>
      </c>
      <c r="B782" s="1" t="s">
        <v>780</v>
      </c>
      <c r="C782" s="2">
        <v>1052824</v>
      </c>
      <c r="D782" s="8">
        <v>7.8958000000000001E-4</v>
      </c>
    </row>
    <row r="783" spans="1:4" x14ac:dyDescent="0.2">
      <c r="A783" s="1">
        <v>2024</v>
      </c>
      <c r="B783" s="1" t="s">
        <v>781</v>
      </c>
      <c r="C783" s="2">
        <v>92098820</v>
      </c>
      <c r="D783" s="8">
        <v>6.9070619999999999E-2</v>
      </c>
    </row>
    <row r="784" spans="1:4" x14ac:dyDescent="0.2">
      <c r="A784" s="1">
        <v>2024</v>
      </c>
      <c r="B784" s="1" t="s">
        <v>782</v>
      </c>
      <c r="C784" s="2">
        <v>28784386</v>
      </c>
      <c r="D784" s="8">
        <v>2.1587200000000001E-2</v>
      </c>
    </row>
    <row r="785" spans="1:4" x14ac:dyDescent="0.2">
      <c r="A785" s="1">
        <v>2024</v>
      </c>
      <c r="B785" s="1" t="s">
        <v>783</v>
      </c>
      <c r="C785" s="2">
        <v>16487067</v>
      </c>
      <c r="D785" s="8">
        <v>1.2364669999999999E-2</v>
      </c>
    </row>
    <row r="786" spans="1:4" x14ac:dyDescent="0.2">
      <c r="A786" s="1">
        <v>2024</v>
      </c>
      <c r="B786" s="1" t="s">
        <v>784</v>
      </c>
      <c r="C786" s="2">
        <v>199607</v>
      </c>
      <c r="D786" s="8">
        <v>1.4970000000000001E-4</v>
      </c>
    </row>
    <row r="787" spans="1:4" x14ac:dyDescent="0.2">
      <c r="A787" s="1">
        <v>2024</v>
      </c>
      <c r="B787" s="1" t="s">
        <v>785</v>
      </c>
      <c r="C787" s="2">
        <v>39070</v>
      </c>
      <c r="D787" s="8">
        <v>2.9300000000000001E-5</v>
      </c>
    </row>
    <row r="788" spans="1:4" x14ac:dyDescent="0.2">
      <c r="A788" s="1">
        <v>2024</v>
      </c>
      <c r="B788" s="1" t="s">
        <v>786</v>
      </c>
      <c r="C788" s="2">
        <v>50700</v>
      </c>
      <c r="D788" s="8">
        <v>3.8019999999999999E-5</v>
      </c>
    </row>
    <row r="789" spans="1:4" x14ac:dyDescent="0.2">
      <c r="A789" s="1">
        <v>2024</v>
      </c>
      <c r="B789" s="1" t="s">
        <v>787</v>
      </c>
      <c r="C789" s="2">
        <v>172450</v>
      </c>
      <c r="D789" s="8">
        <v>1.2933000000000001E-4</v>
      </c>
    </row>
    <row r="790" spans="1:4" x14ac:dyDescent="0.2">
      <c r="A790" s="1">
        <v>2024</v>
      </c>
      <c r="B790" s="1" t="s">
        <v>788</v>
      </c>
      <c r="C790" s="2">
        <v>165606</v>
      </c>
      <c r="D790" s="8">
        <v>1.2420000000000001E-4</v>
      </c>
    </row>
    <row r="791" spans="1:4" x14ac:dyDescent="0.2">
      <c r="A791" s="1">
        <v>2024</v>
      </c>
      <c r="B791" s="1" t="s">
        <v>789</v>
      </c>
      <c r="C791" s="2">
        <v>74581</v>
      </c>
      <c r="D791" s="8">
        <v>5.5930000000000002E-5</v>
      </c>
    </row>
    <row r="792" spans="1:4" x14ac:dyDescent="0.2">
      <c r="A792" s="1">
        <v>2024</v>
      </c>
      <c r="B792" s="1" t="s">
        <v>790</v>
      </c>
      <c r="C792" s="2">
        <v>2891978</v>
      </c>
      <c r="D792" s="8">
        <v>2.1688699999999998E-3</v>
      </c>
    </row>
    <row r="793" spans="1:4" x14ac:dyDescent="0.2">
      <c r="A793" s="1">
        <v>2024</v>
      </c>
      <c r="B793" s="1" t="s">
        <v>791</v>
      </c>
      <c r="C793" s="2">
        <v>59719</v>
      </c>
      <c r="D793" s="8">
        <v>4.4790000000000003E-5</v>
      </c>
    </row>
    <row r="794" spans="1:4" x14ac:dyDescent="0.2">
      <c r="A794" s="1">
        <v>2024</v>
      </c>
      <c r="B794" s="1" t="s">
        <v>792</v>
      </c>
      <c r="C794" s="2">
        <v>95646</v>
      </c>
      <c r="D794" s="8">
        <v>7.1730000000000006E-5</v>
      </c>
    </row>
    <row r="795" spans="1:4" x14ac:dyDescent="0.2">
      <c r="A795" s="1">
        <v>2024</v>
      </c>
      <c r="B795" s="1" t="s">
        <v>793</v>
      </c>
      <c r="C795" s="2">
        <v>8768783</v>
      </c>
      <c r="D795" s="8">
        <v>6.5762499999999996E-3</v>
      </c>
    </row>
    <row r="796" spans="1:4" x14ac:dyDescent="0.2">
      <c r="A796" s="1">
        <v>2024</v>
      </c>
      <c r="B796" s="1" t="s">
        <v>794</v>
      </c>
      <c r="C796" s="2">
        <v>60104</v>
      </c>
      <c r="D796" s="8">
        <v>4.5080000000000002E-5</v>
      </c>
    </row>
    <row r="797" spans="1:4" x14ac:dyDescent="0.2">
      <c r="A797" s="1">
        <v>2024</v>
      </c>
      <c r="B797" s="1" t="s">
        <v>795</v>
      </c>
      <c r="C797" s="2">
        <v>104504</v>
      </c>
      <c r="D797" s="8">
        <v>7.8369999999999997E-5</v>
      </c>
    </row>
    <row r="798" spans="1:4" x14ac:dyDescent="0.2">
      <c r="A798" s="1">
        <v>2024</v>
      </c>
      <c r="B798" s="1" t="s">
        <v>796</v>
      </c>
      <c r="C798" s="2">
        <v>575064</v>
      </c>
      <c r="D798" s="8">
        <v>4.3127999999999998E-4</v>
      </c>
    </row>
    <row r="799" spans="1:4" x14ac:dyDescent="0.2">
      <c r="A799" s="1">
        <v>2024</v>
      </c>
      <c r="B799" s="1" t="s">
        <v>797</v>
      </c>
      <c r="C799" s="2">
        <v>4437</v>
      </c>
      <c r="D799" s="8">
        <v>3.3299999999999999E-6</v>
      </c>
    </row>
    <row r="800" spans="1:4" x14ac:dyDescent="0.2">
      <c r="A800" s="1">
        <v>2024</v>
      </c>
      <c r="B800" s="1" t="s">
        <v>798</v>
      </c>
      <c r="C800" s="2">
        <v>2070351</v>
      </c>
      <c r="D800" s="8">
        <v>1.55269E-3</v>
      </c>
    </row>
    <row r="801" spans="1:4" x14ac:dyDescent="0.2">
      <c r="A801" s="1">
        <v>2024</v>
      </c>
      <c r="B801" s="1" t="s">
        <v>799</v>
      </c>
      <c r="C801" s="2">
        <v>1608</v>
      </c>
      <c r="D801" s="8">
        <v>1.2100000000000001E-6</v>
      </c>
    </row>
    <row r="802" spans="1:4" x14ac:dyDescent="0.2">
      <c r="A802" s="1">
        <v>2024</v>
      </c>
      <c r="B802" s="1" t="s">
        <v>800</v>
      </c>
      <c r="C802" s="2">
        <v>2132587</v>
      </c>
      <c r="D802" s="8">
        <v>1.59936E-3</v>
      </c>
    </row>
    <row r="803" spans="1:4" x14ac:dyDescent="0.2">
      <c r="A803" s="1">
        <v>2024</v>
      </c>
      <c r="B803" s="1" t="s">
        <v>801</v>
      </c>
      <c r="C803" s="2">
        <v>17318</v>
      </c>
      <c r="D803" s="8">
        <v>1.2989999999999999E-5</v>
      </c>
    </row>
    <row r="804" spans="1:4" x14ac:dyDescent="0.2">
      <c r="A804" s="1">
        <v>2024</v>
      </c>
      <c r="B804" s="1" t="s">
        <v>802</v>
      </c>
      <c r="C804" s="2">
        <v>2283181</v>
      </c>
      <c r="D804" s="8">
        <v>1.7122999999999999E-3</v>
      </c>
    </row>
    <row r="805" spans="1:4" x14ac:dyDescent="0.2">
      <c r="A805" s="1">
        <v>2024</v>
      </c>
      <c r="B805" s="1" t="s">
        <v>803</v>
      </c>
      <c r="C805" s="2">
        <v>72196</v>
      </c>
      <c r="D805" s="8">
        <v>5.414E-5</v>
      </c>
    </row>
    <row r="806" spans="1:4" x14ac:dyDescent="0.2">
      <c r="A806" s="1">
        <v>2024</v>
      </c>
      <c r="B806" s="1" t="s">
        <v>804</v>
      </c>
      <c r="C806" s="2">
        <v>400997</v>
      </c>
      <c r="D806" s="8">
        <v>3.0072999999999998E-4</v>
      </c>
    </row>
    <row r="807" spans="1:4" x14ac:dyDescent="0.2">
      <c r="A807" s="1">
        <v>2024</v>
      </c>
      <c r="B807" s="1" t="s">
        <v>805</v>
      </c>
      <c r="C807" s="2">
        <v>51125</v>
      </c>
      <c r="D807" s="8">
        <v>3.8340000000000002E-5</v>
      </c>
    </row>
    <row r="808" spans="1:4" x14ac:dyDescent="0.2">
      <c r="A808" s="1">
        <v>2024</v>
      </c>
      <c r="B808" s="1" t="s">
        <v>806</v>
      </c>
      <c r="C808" s="2">
        <v>1135307</v>
      </c>
      <c r="D808" s="8">
        <v>8.5143999999999997E-4</v>
      </c>
    </row>
    <row r="809" spans="1:4" x14ac:dyDescent="0.2">
      <c r="A809" s="1">
        <v>2024</v>
      </c>
      <c r="B809" s="1" t="s">
        <v>807</v>
      </c>
      <c r="C809" s="2">
        <v>597989</v>
      </c>
      <c r="D809" s="8">
        <v>4.4847000000000002E-4</v>
      </c>
    </row>
    <row r="810" spans="1:4" x14ac:dyDescent="0.2">
      <c r="A810" s="1">
        <v>2024</v>
      </c>
      <c r="B810" s="1" t="s">
        <v>808</v>
      </c>
      <c r="C810" s="2">
        <v>3628429</v>
      </c>
      <c r="D810" s="8">
        <v>2.7211800000000001E-3</v>
      </c>
    </row>
    <row r="811" spans="1:4" x14ac:dyDescent="0.2">
      <c r="A811" s="1">
        <v>2024</v>
      </c>
      <c r="B811" s="1" t="s">
        <v>809</v>
      </c>
      <c r="C811" s="2">
        <v>949517</v>
      </c>
      <c r="D811" s="8">
        <v>7.1210000000000002E-4</v>
      </c>
    </row>
    <row r="812" spans="1:4" x14ac:dyDescent="0.2">
      <c r="A812" s="1">
        <v>2024</v>
      </c>
      <c r="B812" s="1" t="s">
        <v>810</v>
      </c>
      <c r="C812" s="2">
        <v>5429</v>
      </c>
      <c r="D812" s="8">
        <v>4.07E-6</v>
      </c>
    </row>
    <row r="813" spans="1:4" x14ac:dyDescent="0.2">
      <c r="A813" s="1">
        <v>2024</v>
      </c>
      <c r="B813" s="1" t="s">
        <v>811</v>
      </c>
      <c r="C813" s="2">
        <v>4077</v>
      </c>
      <c r="D813" s="8">
        <v>3.0599999999999999E-6</v>
      </c>
    </row>
    <row r="814" spans="1:4" x14ac:dyDescent="0.2">
      <c r="A814" s="1">
        <v>2024</v>
      </c>
      <c r="B814" s="1" t="s">
        <v>812</v>
      </c>
      <c r="C814" s="2">
        <v>333862</v>
      </c>
      <c r="D814" s="8">
        <v>2.5038000000000003E-4</v>
      </c>
    </row>
    <row r="815" spans="1:4" x14ac:dyDescent="0.2">
      <c r="A815" s="1">
        <v>2024</v>
      </c>
      <c r="B815" s="1" t="s">
        <v>813</v>
      </c>
      <c r="C815" s="2">
        <v>10419</v>
      </c>
      <c r="D815" s="8">
        <v>7.8099999999999998E-6</v>
      </c>
    </row>
    <row r="816" spans="1:4" x14ac:dyDescent="0.2">
      <c r="A816" s="1">
        <v>2024</v>
      </c>
      <c r="B816" s="1" t="s">
        <v>814</v>
      </c>
      <c r="C816" s="2">
        <v>32443</v>
      </c>
      <c r="D816" s="8">
        <v>2.4329999999999999E-5</v>
      </c>
    </row>
    <row r="817" spans="1:4" x14ac:dyDescent="0.2">
      <c r="A817" s="1">
        <v>2024</v>
      </c>
      <c r="B817" s="1" t="s">
        <v>815</v>
      </c>
      <c r="C817" s="2">
        <v>350045</v>
      </c>
      <c r="D817" s="8">
        <v>2.6251999999999997E-4</v>
      </c>
    </row>
    <row r="818" spans="1:4" x14ac:dyDescent="0.2">
      <c r="A818" s="1">
        <v>2024</v>
      </c>
      <c r="B818" s="1" t="s">
        <v>816</v>
      </c>
      <c r="C818" s="2">
        <v>1930242</v>
      </c>
      <c r="D818" s="8">
        <v>1.44761E-3</v>
      </c>
    </row>
    <row r="819" spans="1:4" x14ac:dyDescent="0.2">
      <c r="A819" s="1">
        <v>2024</v>
      </c>
      <c r="B819" s="1" t="s">
        <v>817</v>
      </c>
      <c r="C819" s="2">
        <v>1729821</v>
      </c>
      <c r="D819" s="8">
        <v>1.2972999999999999E-3</v>
      </c>
    </row>
    <row r="820" spans="1:4" x14ac:dyDescent="0.2">
      <c r="A820" s="1">
        <v>2024</v>
      </c>
      <c r="B820" s="1" t="s">
        <v>818</v>
      </c>
      <c r="C820" s="2">
        <v>15462</v>
      </c>
      <c r="D820" s="8">
        <v>1.1600000000000001E-5</v>
      </c>
    </row>
    <row r="821" spans="1:4" x14ac:dyDescent="0.2">
      <c r="A821" s="1">
        <v>2024</v>
      </c>
      <c r="B821" s="1" t="s">
        <v>819</v>
      </c>
      <c r="C821" s="2">
        <v>83996</v>
      </c>
      <c r="D821" s="8">
        <v>6.2990000000000005E-5</v>
      </c>
    </row>
    <row r="822" spans="1:4" x14ac:dyDescent="0.2">
      <c r="A822" s="1">
        <v>2024</v>
      </c>
      <c r="B822" s="1" t="s">
        <v>820</v>
      </c>
      <c r="C822" s="2">
        <v>1399958</v>
      </c>
      <c r="D822" s="8">
        <v>1.04992E-3</v>
      </c>
    </row>
    <row r="823" spans="1:4" x14ac:dyDescent="0.2">
      <c r="A823" s="1">
        <v>2024</v>
      </c>
      <c r="B823" s="1" t="s">
        <v>821</v>
      </c>
      <c r="C823" s="2">
        <v>256889</v>
      </c>
      <c r="D823" s="8">
        <v>1.9265999999999999E-4</v>
      </c>
    </row>
    <row r="824" spans="1:4" x14ac:dyDescent="0.2">
      <c r="A824" s="1">
        <v>2024</v>
      </c>
      <c r="B824" s="1" t="s">
        <v>822</v>
      </c>
      <c r="C824" s="2">
        <v>1695105</v>
      </c>
      <c r="D824" s="8">
        <v>1.27126E-3</v>
      </c>
    </row>
    <row r="825" spans="1:4" x14ac:dyDescent="0.2">
      <c r="A825" s="1">
        <v>2024</v>
      </c>
      <c r="B825" s="1" t="s">
        <v>823</v>
      </c>
      <c r="C825" s="2">
        <v>700446</v>
      </c>
      <c r="D825" s="8">
        <v>5.2530999999999997E-4</v>
      </c>
    </row>
    <row r="826" spans="1:4" x14ac:dyDescent="0.2">
      <c r="A826" s="1">
        <v>2024</v>
      </c>
      <c r="B826" s="1" t="s">
        <v>824</v>
      </c>
      <c r="C826" s="2">
        <v>3267484</v>
      </c>
      <c r="D826" s="8">
        <v>2.45049E-3</v>
      </c>
    </row>
    <row r="827" spans="1:4" x14ac:dyDescent="0.2">
      <c r="A827" s="1">
        <v>2024</v>
      </c>
      <c r="B827" s="1" t="s">
        <v>825</v>
      </c>
      <c r="C827" s="2">
        <v>174328</v>
      </c>
      <c r="D827" s="8">
        <v>1.3074000000000001E-4</v>
      </c>
    </row>
    <row r="828" spans="1:4" x14ac:dyDescent="0.2">
      <c r="A828" s="1">
        <v>2024</v>
      </c>
      <c r="B828" s="1" t="s">
        <v>826</v>
      </c>
      <c r="C828" s="2">
        <v>37518</v>
      </c>
      <c r="D828" s="8">
        <v>2.8140000000000002E-5</v>
      </c>
    </row>
    <row r="829" spans="1:4" x14ac:dyDescent="0.2">
      <c r="A829" s="1">
        <v>2024</v>
      </c>
      <c r="B829" s="1" t="s">
        <v>827</v>
      </c>
      <c r="C829" s="2">
        <v>173198</v>
      </c>
      <c r="D829" s="8">
        <v>1.2988999999999999E-4</v>
      </c>
    </row>
    <row r="830" spans="1:4" x14ac:dyDescent="0.2">
      <c r="A830" s="1">
        <v>2024</v>
      </c>
      <c r="B830" s="1" t="s">
        <v>828</v>
      </c>
      <c r="C830" s="2">
        <v>29228</v>
      </c>
      <c r="D830" s="8">
        <v>2.192E-5</v>
      </c>
    </row>
    <row r="831" spans="1:4" x14ac:dyDescent="0.2">
      <c r="A831" s="1">
        <v>2024</v>
      </c>
      <c r="B831" s="1" t="s">
        <v>829</v>
      </c>
      <c r="C831" s="2">
        <v>922249</v>
      </c>
      <c r="D831" s="8">
        <v>6.9165000000000003E-4</v>
      </c>
    </row>
    <row r="832" spans="1:4" x14ac:dyDescent="0.2">
      <c r="A832" s="1">
        <v>2024</v>
      </c>
      <c r="B832" s="1" t="s">
        <v>830</v>
      </c>
      <c r="C832" s="2">
        <v>3274</v>
      </c>
      <c r="D832" s="8">
        <v>2.4600000000000002E-6</v>
      </c>
    </row>
    <row r="833" spans="1:4" x14ac:dyDescent="0.2">
      <c r="A833" s="1">
        <v>2024</v>
      </c>
      <c r="B833" s="1" t="s">
        <v>831</v>
      </c>
      <c r="C833" s="2">
        <v>2307823</v>
      </c>
      <c r="D833" s="8">
        <v>1.7307799999999999E-3</v>
      </c>
    </row>
    <row r="834" spans="1:4" x14ac:dyDescent="0.2">
      <c r="A834" s="1">
        <v>2024</v>
      </c>
      <c r="B834" s="1" t="s">
        <v>832</v>
      </c>
      <c r="C834" s="2">
        <v>343404</v>
      </c>
      <c r="D834" s="8">
        <v>2.5754E-4</v>
      </c>
    </row>
    <row r="835" spans="1:4" x14ac:dyDescent="0.2">
      <c r="A835" s="1">
        <v>2024</v>
      </c>
      <c r="B835" s="1" t="s">
        <v>833</v>
      </c>
      <c r="C835" s="2">
        <v>4649125</v>
      </c>
      <c r="D835" s="8">
        <v>3.4866699999999999E-3</v>
      </c>
    </row>
    <row r="836" spans="1:4" x14ac:dyDescent="0.2">
      <c r="A836" s="1">
        <v>2024</v>
      </c>
      <c r="B836" s="1" t="s">
        <v>834</v>
      </c>
      <c r="C836" s="2">
        <v>1002823</v>
      </c>
      <c r="D836" s="8">
        <v>7.5208000000000002E-4</v>
      </c>
    </row>
    <row r="837" spans="1:4" x14ac:dyDescent="0.2">
      <c r="A837" s="1">
        <v>2024</v>
      </c>
      <c r="B837" s="1" t="s">
        <v>835</v>
      </c>
      <c r="C837" s="2">
        <v>391516</v>
      </c>
      <c r="D837" s="8">
        <v>2.9362000000000002E-4</v>
      </c>
    </row>
    <row r="838" spans="1:4" x14ac:dyDescent="0.2">
      <c r="A838" s="1">
        <v>2024</v>
      </c>
      <c r="B838" s="1" t="s">
        <v>836</v>
      </c>
      <c r="C838" s="2">
        <v>12300</v>
      </c>
      <c r="D838" s="8">
        <v>9.2199999999999998E-6</v>
      </c>
    </row>
    <row r="839" spans="1:4" x14ac:dyDescent="0.2">
      <c r="A839" s="1">
        <v>2024</v>
      </c>
      <c r="B839" s="1" t="s">
        <v>837</v>
      </c>
      <c r="C839" s="2">
        <v>345445</v>
      </c>
      <c r="D839" s="8">
        <v>2.5907000000000003E-4</v>
      </c>
    </row>
    <row r="840" spans="1:4" x14ac:dyDescent="0.2">
      <c r="A840" s="1">
        <v>2024</v>
      </c>
      <c r="B840" s="1" t="s">
        <v>838</v>
      </c>
      <c r="C840" s="2">
        <v>55799</v>
      </c>
      <c r="D840" s="8">
        <v>4.1850000000000001E-5</v>
      </c>
    </row>
    <row r="841" spans="1:4" x14ac:dyDescent="0.2">
      <c r="A841" s="1">
        <v>2024</v>
      </c>
      <c r="B841" s="1" t="s">
        <v>839</v>
      </c>
      <c r="C841" s="2">
        <v>1432170</v>
      </c>
      <c r="D841" s="8">
        <v>1.0740700000000001E-3</v>
      </c>
    </row>
    <row r="842" spans="1:4" x14ac:dyDescent="0.2">
      <c r="A842" s="1">
        <v>2024</v>
      </c>
      <c r="B842" s="1" t="s">
        <v>840</v>
      </c>
      <c r="C842" s="2">
        <v>688332</v>
      </c>
      <c r="D842" s="8">
        <v>5.1621999999999996E-4</v>
      </c>
    </row>
    <row r="843" spans="1:4" x14ac:dyDescent="0.2">
      <c r="A843" s="1">
        <v>2024</v>
      </c>
      <c r="B843" s="1" t="s">
        <v>841</v>
      </c>
      <c r="C843" s="2">
        <v>29809</v>
      </c>
      <c r="D843" s="8">
        <v>2.2359999999999999E-5</v>
      </c>
    </row>
    <row r="844" spans="1:4" x14ac:dyDescent="0.2">
      <c r="A844" s="1">
        <v>2024</v>
      </c>
      <c r="B844" s="1" t="s">
        <v>842</v>
      </c>
      <c r="C844" s="2">
        <v>3932</v>
      </c>
      <c r="D844" s="8">
        <v>2.9500000000000001E-6</v>
      </c>
    </row>
    <row r="845" spans="1:4" x14ac:dyDescent="0.2">
      <c r="A845" s="1">
        <v>2024</v>
      </c>
      <c r="B845" s="1" t="s">
        <v>843</v>
      </c>
      <c r="C845" s="2">
        <v>136890</v>
      </c>
      <c r="D845" s="8">
        <v>1.0266E-4</v>
      </c>
    </row>
    <row r="846" spans="1:4" x14ac:dyDescent="0.2">
      <c r="A846" s="1">
        <v>2024</v>
      </c>
      <c r="B846" s="1" t="s">
        <v>844</v>
      </c>
      <c r="C846" s="2">
        <v>575134</v>
      </c>
      <c r="D846" s="8">
        <v>4.3133000000000001E-4</v>
      </c>
    </row>
    <row r="847" spans="1:4" x14ac:dyDescent="0.2">
      <c r="A847" s="1">
        <v>2024</v>
      </c>
      <c r="B847" s="1" t="s">
        <v>845</v>
      </c>
      <c r="C847" s="2">
        <v>494841</v>
      </c>
      <c r="D847" s="8">
        <v>3.7111000000000002E-4</v>
      </c>
    </row>
    <row r="848" spans="1:4" x14ac:dyDescent="0.2">
      <c r="A848" s="1">
        <v>2024</v>
      </c>
      <c r="B848" s="1" t="s">
        <v>846</v>
      </c>
      <c r="C848" s="2">
        <v>5757</v>
      </c>
      <c r="D848" s="8">
        <v>4.3200000000000001E-6</v>
      </c>
    </row>
    <row r="849" spans="1:4" x14ac:dyDescent="0.2">
      <c r="A849" s="1">
        <v>2024</v>
      </c>
      <c r="B849" s="1" t="s">
        <v>847</v>
      </c>
      <c r="C849" s="2">
        <v>24907</v>
      </c>
      <c r="D849" s="8">
        <v>1.8680000000000001E-5</v>
      </c>
    </row>
    <row r="850" spans="1:4" x14ac:dyDescent="0.2">
      <c r="A850" s="1">
        <v>2024</v>
      </c>
      <c r="B850" s="1" t="s">
        <v>848</v>
      </c>
      <c r="C850" s="2">
        <v>604466</v>
      </c>
      <c r="D850" s="8">
        <v>4.5333E-4</v>
      </c>
    </row>
    <row r="851" spans="1:4" x14ac:dyDescent="0.2">
      <c r="A851" s="1">
        <v>2024</v>
      </c>
      <c r="B851" s="1" t="s">
        <v>849</v>
      </c>
      <c r="C851" s="2">
        <v>28781</v>
      </c>
      <c r="D851" s="8">
        <v>2.158E-5</v>
      </c>
    </row>
    <row r="852" spans="1:4" x14ac:dyDescent="0.2">
      <c r="A852" s="1">
        <v>2024</v>
      </c>
      <c r="B852" s="1" t="s">
        <v>850</v>
      </c>
      <c r="C852" s="2">
        <v>2080768</v>
      </c>
      <c r="D852" s="8">
        <v>1.5605E-3</v>
      </c>
    </row>
    <row r="853" spans="1:4" x14ac:dyDescent="0.2">
      <c r="A853" s="1">
        <v>2024</v>
      </c>
      <c r="B853" s="1" t="s">
        <v>851</v>
      </c>
      <c r="C853" s="2">
        <v>541923</v>
      </c>
      <c r="D853" s="8">
        <v>4.0642E-4</v>
      </c>
    </row>
    <row r="854" spans="1:4" x14ac:dyDescent="0.2">
      <c r="A854" s="1">
        <v>2024</v>
      </c>
      <c r="B854" s="1" t="s">
        <v>852</v>
      </c>
      <c r="C854" s="2">
        <v>1780054</v>
      </c>
      <c r="D854" s="8">
        <v>1.33497E-3</v>
      </c>
    </row>
    <row r="855" spans="1:4" x14ac:dyDescent="0.2">
      <c r="A855" s="1">
        <v>2024</v>
      </c>
      <c r="B855" s="1" t="s">
        <v>853</v>
      </c>
      <c r="C855" s="2">
        <v>1103864</v>
      </c>
      <c r="D855" s="8">
        <v>8.2786000000000003E-4</v>
      </c>
    </row>
    <row r="856" spans="1:4" x14ac:dyDescent="0.2">
      <c r="A856" s="1">
        <v>2024</v>
      </c>
      <c r="B856" s="1" t="s">
        <v>854</v>
      </c>
      <c r="C856" s="2">
        <v>16852</v>
      </c>
      <c r="D856" s="8">
        <v>1.2639999999999999E-5</v>
      </c>
    </row>
    <row r="857" spans="1:4" x14ac:dyDescent="0.2">
      <c r="A857" s="1">
        <v>2024</v>
      </c>
      <c r="B857" s="1" t="s">
        <v>855</v>
      </c>
      <c r="C857" s="2">
        <v>7830</v>
      </c>
      <c r="D857" s="8">
        <v>5.8699999999999997E-6</v>
      </c>
    </row>
    <row r="858" spans="1:4" x14ac:dyDescent="0.2">
      <c r="A858" s="1">
        <v>2024</v>
      </c>
      <c r="B858" s="1" t="s">
        <v>856</v>
      </c>
      <c r="C858" s="2">
        <v>21753</v>
      </c>
      <c r="D858" s="8">
        <v>1.6310000000000001E-5</v>
      </c>
    </row>
    <row r="859" spans="1:4" x14ac:dyDescent="0.2">
      <c r="A859" s="1">
        <v>2024</v>
      </c>
      <c r="B859" s="1" t="s">
        <v>857</v>
      </c>
      <c r="C859" s="2">
        <v>5568</v>
      </c>
      <c r="D859" s="8">
        <v>4.1799999999999998E-6</v>
      </c>
    </row>
    <row r="860" spans="1:4" x14ac:dyDescent="0.2">
      <c r="A860" s="1">
        <v>2024</v>
      </c>
      <c r="B860" s="1" t="s">
        <v>858</v>
      </c>
      <c r="C860" s="2">
        <v>126378</v>
      </c>
      <c r="D860" s="8">
        <v>9.4779999999999997E-5</v>
      </c>
    </row>
    <row r="861" spans="1:4" x14ac:dyDescent="0.2">
      <c r="A861" s="1">
        <v>2024</v>
      </c>
      <c r="B861" s="1" t="s">
        <v>859</v>
      </c>
      <c r="C861" s="2">
        <v>145091</v>
      </c>
      <c r="D861" s="8">
        <v>1.0881E-4</v>
      </c>
    </row>
    <row r="863" spans="1:4" x14ac:dyDescent="0.2">
      <c r="B863" s="3" t="s">
        <v>861</v>
      </c>
      <c r="C863" s="6">
        <f>SUM(C2:C861)</f>
        <v>1333400773</v>
      </c>
    </row>
    <row r="864" spans="1:4" x14ac:dyDescent="0.2">
      <c r="B864" s="3"/>
    </row>
    <row r="865" spans="2:3" x14ac:dyDescent="0.2">
      <c r="B865" s="3" t="s">
        <v>860</v>
      </c>
      <c r="C865" s="2">
        <v>1333400791</v>
      </c>
    </row>
    <row r="867" spans="2:3" x14ac:dyDescent="0.2">
      <c r="B867" s="4" t="s">
        <v>862</v>
      </c>
      <c r="C867" s="7">
        <f>C863-C865</f>
        <v>-18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FE693-57CF-604F-862F-7BE79A2DF36E}">
  <sheetPr>
    <tabColor rgb="FFFFFF00"/>
  </sheetPr>
  <dimension ref="A1:D869"/>
  <sheetViews>
    <sheetView topLeftCell="A838" workbookViewId="0">
      <selection activeCell="A863" sqref="A2:D863"/>
    </sheetView>
  </sheetViews>
  <sheetFormatPr baseColWidth="10" defaultRowHeight="16" x14ac:dyDescent="0.2"/>
  <cols>
    <col min="1" max="1" width="10.83203125" style="1"/>
    <col min="2" max="2" width="34.5" style="1" bestFit="1" customWidth="1"/>
    <col min="3" max="3" width="19.664062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2023</v>
      </c>
      <c r="B2" s="1" t="s">
        <v>0</v>
      </c>
      <c r="C2" s="2">
        <v>684599</v>
      </c>
      <c r="D2" s="8">
        <v>5.3076999999999996E-4</v>
      </c>
    </row>
    <row r="3" spans="1:4" x14ac:dyDescent="0.2">
      <c r="A3" s="1">
        <v>2023</v>
      </c>
      <c r="B3" s="1" t="s">
        <v>1</v>
      </c>
      <c r="C3" s="2">
        <v>1428807</v>
      </c>
      <c r="D3" s="8">
        <v>1.10776E-3</v>
      </c>
    </row>
    <row r="4" spans="1:4" x14ac:dyDescent="0.2">
      <c r="A4" s="1">
        <v>2023</v>
      </c>
      <c r="B4" s="1" t="s">
        <v>2</v>
      </c>
      <c r="C4" s="2">
        <v>113564</v>
      </c>
      <c r="D4" s="8">
        <v>8.8049999999999999E-5</v>
      </c>
    </row>
    <row r="5" spans="1:4" x14ac:dyDescent="0.2">
      <c r="A5" s="1">
        <v>2023</v>
      </c>
      <c r="B5" s="1" t="s">
        <v>3</v>
      </c>
      <c r="C5" s="2">
        <v>44180</v>
      </c>
      <c r="D5" s="8">
        <v>3.4249999999999999E-5</v>
      </c>
    </row>
    <row r="6" spans="1:4" x14ac:dyDescent="0.2">
      <c r="A6" s="1">
        <v>2023</v>
      </c>
      <c r="B6" s="1" t="s">
        <v>4</v>
      </c>
      <c r="C6" s="2">
        <v>1569793</v>
      </c>
      <c r="D6" s="8">
        <v>1.2170600000000001E-3</v>
      </c>
    </row>
    <row r="7" spans="1:4" x14ac:dyDescent="0.2">
      <c r="A7" s="1">
        <v>2023</v>
      </c>
      <c r="B7" s="1" t="s">
        <v>5</v>
      </c>
      <c r="C7" s="2">
        <v>15817</v>
      </c>
      <c r="D7" s="8">
        <v>1.226E-5</v>
      </c>
    </row>
    <row r="8" spans="1:4" x14ac:dyDescent="0.2">
      <c r="A8" s="1">
        <v>2023</v>
      </c>
      <c r="B8" s="1" t="s">
        <v>6</v>
      </c>
      <c r="C8" s="2">
        <v>3070271</v>
      </c>
      <c r="D8" s="8">
        <v>2.38039E-3</v>
      </c>
    </row>
    <row r="9" spans="1:4" x14ac:dyDescent="0.2">
      <c r="A9" s="1">
        <v>2023</v>
      </c>
      <c r="B9" s="1" t="s">
        <v>7</v>
      </c>
      <c r="C9" s="2">
        <v>1754905</v>
      </c>
      <c r="D9" s="8">
        <v>1.3605799999999999E-3</v>
      </c>
    </row>
    <row r="10" spans="1:4" x14ac:dyDescent="0.2">
      <c r="A10" s="1">
        <v>2023</v>
      </c>
      <c r="B10" s="1" t="s">
        <v>8</v>
      </c>
      <c r="C10" s="2">
        <v>3635718</v>
      </c>
      <c r="D10" s="8">
        <v>2.8187799999999999E-3</v>
      </c>
    </row>
    <row r="11" spans="1:4" x14ac:dyDescent="0.2">
      <c r="A11" s="1">
        <v>2023</v>
      </c>
      <c r="B11" s="1" t="s">
        <v>9</v>
      </c>
      <c r="C11" s="2">
        <v>1342888</v>
      </c>
      <c r="D11" s="8">
        <v>1.0411400000000001E-3</v>
      </c>
    </row>
    <row r="12" spans="1:4" x14ac:dyDescent="0.2">
      <c r="A12" s="1">
        <v>2023</v>
      </c>
      <c r="B12" s="1" t="s">
        <v>10</v>
      </c>
      <c r="C12" s="2">
        <v>4269771</v>
      </c>
      <c r="D12" s="8">
        <v>3.31036E-3</v>
      </c>
    </row>
    <row r="13" spans="1:4" x14ac:dyDescent="0.2">
      <c r="A13" s="1">
        <v>2023</v>
      </c>
      <c r="B13" s="1" t="s">
        <v>11</v>
      </c>
      <c r="C13" s="2">
        <v>1330125</v>
      </c>
      <c r="D13" s="8">
        <v>1.03125E-3</v>
      </c>
    </row>
    <row r="14" spans="1:4" x14ac:dyDescent="0.2">
      <c r="A14" s="1">
        <v>2023</v>
      </c>
      <c r="B14" s="1" t="s">
        <v>12</v>
      </c>
      <c r="C14" s="2">
        <v>461928</v>
      </c>
      <c r="D14" s="8">
        <v>3.5813000000000002E-4</v>
      </c>
    </row>
    <row r="15" spans="1:4" x14ac:dyDescent="0.2">
      <c r="A15" s="1">
        <v>2023</v>
      </c>
      <c r="B15" s="1" t="s">
        <v>13</v>
      </c>
      <c r="C15" s="2">
        <v>957427</v>
      </c>
      <c r="D15" s="8">
        <v>7.4229999999999999E-4</v>
      </c>
    </row>
    <row r="16" spans="1:4" x14ac:dyDescent="0.2">
      <c r="A16" s="1">
        <v>2023</v>
      </c>
      <c r="B16" s="1" t="s">
        <v>14</v>
      </c>
      <c r="C16" s="2">
        <v>37565</v>
      </c>
      <c r="D16" s="8">
        <v>2.9119999999999999E-5</v>
      </c>
    </row>
    <row r="17" spans="1:4" x14ac:dyDescent="0.2">
      <c r="A17" s="1">
        <v>2023</v>
      </c>
      <c r="B17" s="1" t="s">
        <v>15</v>
      </c>
      <c r="C17" s="2">
        <v>1705848</v>
      </c>
      <c r="D17" s="8">
        <v>1.32255E-3</v>
      </c>
    </row>
    <row r="18" spans="1:4" x14ac:dyDescent="0.2">
      <c r="A18" s="1">
        <v>2023</v>
      </c>
      <c r="B18" s="1" t="s">
        <v>16</v>
      </c>
      <c r="C18" s="2">
        <v>16516</v>
      </c>
      <c r="D18" s="8">
        <v>1.2799999999999999E-5</v>
      </c>
    </row>
    <row r="19" spans="1:4" x14ac:dyDescent="0.2">
      <c r="A19" s="1">
        <v>2023</v>
      </c>
      <c r="B19" s="1" t="s">
        <v>17</v>
      </c>
      <c r="C19" s="2">
        <v>25697</v>
      </c>
      <c r="D19" s="8">
        <v>1.9919999999999999E-5</v>
      </c>
    </row>
    <row r="20" spans="1:4" x14ac:dyDescent="0.2">
      <c r="A20" s="1">
        <v>2023</v>
      </c>
      <c r="B20" s="1" t="s">
        <v>18</v>
      </c>
      <c r="C20" s="2">
        <v>218856</v>
      </c>
      <c r="D20" s="8">
        <v>1.6967999999999999E-4</v>
      </c>
    </row>
    <row r="21" spans="1:4" x14ac:dyDescent="0.2">
      <c r="A21" s="1">
        <v>2023</v>
      </c>
      <c r="B21" s="1" t="s">
        <v>19</v>
      </c>
      <c r="C21" s="2">
        <v>20557</v>
      </c>
      <c r="D21" s="8">
        <v>1.594E-5</v>
      </c>
    </row>
    <row r="22" spans="1:4" x14ac:dyDescent="0.2">
      <c r="A22" s="1">
        <v>2023</v>
      </c>
      <c r="B22" s="1" t="s">
        <v>20</v>
      </c>
      <c r="C22" s="2">
        <v>1221652</v>
      </c>
      <c r="D22" s="8">
        <v>9.4715000000000001E-4</v>
      </c>
    </row>
    <row r="23" spans="1:4" x14ac:dyDescent="0.2">
      <c r="A23" s="1">
        <v>2023</v>
      </c>
      <c r="B23" s="1" t="s">
        <v>21</v>
      </c>
      <c r="C23" s="2">
        <v>15675</v>
      </c>
      <c r="D23" s="8">
        <v>1.2150000000000001E-5</v>
      </c>
    </row>
    <row r="24" spans="1:4" x14ac:dyDescent="0.2">
      <c r="A24" s="1">
        <v>2023</v>
      </c>
      <c r="B24" s="1" t="s">
        <v>22</v>
      </c>
      <c r="C24" s="2">
        <v>14543</v>
      </c>
      <c r="D24" s="8">
        <v>1.128E-5</v>
      </c>
    </row>
    <row r="25" spans="1:4" x14ac:dyDescent="0.2">
      <c r="A25" s="1">
        <v>2023</v>
      </c>
      <c r="B25" s="1" t="s">
        <v>23</v>
      </c>
      <c r="C25" s="2">
        <v>108633</v>
      </c>
      <c r="D25" s="8">
        <v>8.4220000000000003E-5</v>
      </c>
    </row>
    <row r="26" spans="1:4" x14ac:dyDescent="0.2">
      <c r="A26" s="1">
        <v>2023</v>
      </c>
      <c r="B26" s="1" t="s">
        <v>24</v>
      </c>
      <c r="C26" s="2">
        <v>42694</v>
      </c>
      <c r="D26" s="8">
        <v>3.3099999999999998E-5</v>
      </c>
    </row>
    <row r="27" spans="1:4" x14ac:dyDescent="0.2">
      <c r="A27" s="1">
        <v>2023</v>
      </c>
      <c r="B27" s="1" t="s">
        <v>26</v>
      </c>
      <c r="C27" s="2">
        <v>1465888</v>
      </c>
      <c r="D27" s="8">
        <v>1.1365100000000001E-3</v>
      </c>
    </row>
    <row r="28" spans="1:4" x14ac:dyDescent="0.2">
      <c r="A28" s="1">
        <v>2023</v>
      </c>
      <c r="B28" s="1" t="s">
        <v>27</v>
      </c>
      <c r="C28" s="2">
        <v>665517</v>
      </c>
      <c r="D28" s="8">
        <v>5.1597999999999998E-4</v>
      </c>
    </row>
    <row r="29" spans="1:4" x14ac:dyDescent="0.2">
      <c r="A29" s="1">
        <v>2023</v>
      </c>
      <c r="B29" s="1" t="s">
        <v>28</v>
      </c>
      <c r="C29" s="2">
        <v>28406</v>
      </c>
      <c r="D29" s="8">
        <v>2.2019999999999999E-5</v>
      </c>
    </row>
    <row r="30" spans="1:4" x14ac:dyDescent="0.2">
      <c r="A30" s="1">
        <v>2023</v>
      </c>
      <c r="B30" s="1" t="s">
        <v>29</v>
      </c>
      <c r="C30" s="2">
        <v>3401661</v>
      </c>
      <c r="D30" s="8">
        <v>2.6373099999999999E-3</v>
      </c>
    </row>
    <row r="31" spans="1:4" x14ac:dyDescent="0.2">
      <c r="A31" s="1">
        <v>2023</v>
      </c>
      <c r="B31" s="1" t="s">
        <v>30</v>
      </c>
      <c r="C31" s="2">
        <v>211449</v>
      </c>
      <c r="D31" s="8">
        <v>1.6394000000000001E-4</v>
      </c>
    </row>
    <row r="32" spans="1:4" x14ac:dyDescent="0.2">
      <c r="A32" s="1">
        <v>2023</v>
      </c>
      <c r="B32" s="1" t="s">
        <v>31</v>
      </c>
      <c r="C32" s="2">
        <v>14568</v>
      </c>
      <c r="D32" s="8">
        <v>1.129E-5</v>
      </c>
    </row>
    <row r="33" spans="1:4" x14ac:dyDescent="0.2">
      <c r="A33" s="1">
        <v>2023</v>
      </c>
      <c r="B33" s="1" t="s">
        <v>32</v>
      </c>
      <c r="C33" s="2">
        <v>1016954</v>
      </c>
      <c r="D33" s="8">
        <v>7.8845E-4</v>
      </c>
    </row>
    <row r="34" spans="1:4" x14ac:dyDescent="0.2">
      <c r="A34" s="1">
        <v>2023</v>
      </c>
      <c r="B34" s="1" t="s">
        <v>33</v>
      </c>
      <c r="C34" s="2">
        <v>967944</v>
      </c>
      <c r="D34" s="8">
        <v>7.5045000000000005E-4</v>
      </c>
    </row>
    <row r="35" spans="1:4" x14ac:dyDescent="0.2">
      <c r="A35" s="1">
        <v>2023</v>
      </c>
      <c r="B35" s="1" t="s">
        <v>34</v>
      </c>
      <c r="C35" s="2">
        <v>13809</v>
      </c>
      <c r="D35" s="8">
        <v>1.0710000000000001E-5</v>
      </c>
    </row>
    <row r="36" spans="1:4" x14ac:dyDescent="0.2">
      <c r="A36" s="1">
        <v>2023</v>
      </c>
      <c r="B36" s="1" t="s">
        <v>35</v>
      </c>
      <c r="C36" s="2">
        <v>46065</v>
      </c>
      <c r="D36" s="8">
        <v>3.5710000000000002E-5</v>
      </c>
    </row>
    <row r="37" spans="1:4" x14ac:dyDescent="0.2">
      <c r="A37" s="1">
        <v>2023</v>
      </c>
      <c r="B37" s="1" t="s">
        <v>36</v>
      </c>
      <c r="C37" s="2">
        <v>1434153</v>
      </c>
      <c r="D37" s="8">
        <v>1.1119000000000001E-3</v>
      </c>
    </row>
    <row r="38" spans="1:4" x14ac:dyDescent="0.2">
      <c r="A38" s="1">
        <v>2023</v>
      </c>
      <c r="B38" s="1" t="s">
        <v>37</v>
      </c>
      <c r="C38" s="2">
        <v>218607</v>
      </c>
      <c r="D38" s="8">
        <v>1.6949000000000001E-4</v>
      </c>
    </row>
    <row r="39" spans="1:4" x14ac:dyDescent="0.2">
      <c r="A39" s="1">
        <v>2023</v>
      </c>
      <c r="B39" s="1" t="s">
        <v>38</v>
      </c>
      <c r="C39" s="2">
        <v>892288</v>
      </c>
      <c r="D39" s="8">
        <v>6.9178999999999996E-4</v>
      </c>
    </row>
    <row r="40" spans="1:4" x14ac:dyDescent="0.2">
      <c r="A40" s="1">
        <v>2023</v>
      </c>
      <c r="B40" s="1" t="s">
        <v>863</v>
      </c>
      <c r="C40" s="2">
        <v>2460151</v>
      </c>
      <c r="D40" s="8">
        <v>1.9073600000000001E-3</v>
      </c>
    </row>
    <row r="41" spans="1:4" x14ac:dyDescent="0.2">
      <c r="A41" s="1">
        <v>2023</v>
      </c>
      <c r="B41" s="1" t="s">
        <v>40</v>
      </c>
      <c r="C41" s="2">
        <v>54683</v>
      </c>
      <c r="D41" s="8">
        <v>4.2400000000000001E-5</v>
      </c>
    </row>
    <row r="42" spans="1:4" x14ac:dyDescent="0.2">
      <c r="A42" s="1">
        <v>2023</v>
      </c>
      <c r="B42" s="1" t="s">
        <v>41</v>
      </c>
      <c r="C42" s="2">
        <v>13777</v>
      </c>
      <c r="D42" s="8">
        <v>1.0679999999999999E-5</v>
      </c>
    </row>
    <row r="43" spans="1:4" x14ac:dyDescent="0.2">
      <c r="A43" s="1">
        <v>2023</v>
      </c>
      <c r="B43" s="1" t="s">
        <v>42</v>
      </c>
      <c r="C43" s="2">
        <v>49540</v>
      </c>
      <c r="D43" s="8">
        <v>3.841E-5</v>
      </c>
    </row>
    <row r="44" spans="1:4" x14ac:dyDescent="0.2">
      <c r="A44" s="1">
        <v>2023</v>
      </c>
      <c r="B44" s="1" t="s">
        <v>43</v>
      </c>
      <c r="C44" s="2">
        <v>168543</v>
      </c>
      <c r="D44" s="8">
        <v>1.3066999999999999E-4</v>
      </c>
    </row>
    <row r="45" spans="1:4" x14ac:dyDescent="0.2">
      <c r="A45" s="1">
        <v>2023</v>
      </c>
      <c r="B45" s="1" t="s">
        <v>44</v>
      </c>
      <c r="C45" s="2">
        <v>188783</v>
      </c>
      <c r="D45" s="8">
        <v>1.4636E-4</v>
      </c>
    </row>
    <row r="46" spans="1:4" x14ac:dyDescent="0.2">
      <c r="A46" s="1">
        <v>2023</v>
      </c>
      <c r="B46" s="1" t="s">
        <v>45</v>
      </c>
      <c r="C46" s="2">
        <v>8377</v>
      </c>
      <c r="D46" s="8">
        <v>6.4899999999999997E-6</v>
      </c>
    </row>
    <row r="47" spans="1:4" x14ac:dyDescent="0.2">
      <c r="A47" s="1">
        <v>2023</v>
      </c>
      <c r="B47" s="1" t="s">
        <v>46</v>
      </c>
      <c r="C47" s="2">
        <v>1350582</v>
      </c>
      <c r="D47" s="8">
        <v>1.04711E-3</v>
      </c>
    </row>
    <row r="48" spans="1:4" x14ac:dyDescent="0.2">
      <c r="A48" s="1">
        <v>2023</v>
      </c>
      <c r="B48" s="1" t="s">
        <v>47</v>
      </c>
      <c r="C48" s="2">
        <v>431050</v>
      </c>
      <c r="D48" s="8">
        <v>3.3419E-4</v>
      </c>
    </row>
    <row r="49" spans="1:4" x14ac:dyDescent="0.2">
      <c r="A49" s="1">
        <v>2023</v>
      </c>
      <c r="B49" s="1" t="s">
        <v>48</v>
      </c>
      <c r="C49" s="2">
        <v>12152</v>
      </c>
      <c r="D49" s="8">
        <v>9.4199999999999996E-6</v>
      </c>
    </row>
    <row r="50" spans="1:4" x14ac:dyDescent="0.2">
      <c r="A50" s="1">
        <v>2023</v>
      </c>
      <c r="B50" s="1" t="s">
        <v>49</v>
      </c>
      <c r="C50" s="2">
        <v>18648</v>
      </c>
      <c r="D50" s="8">
        <v>1.446E-5</v>
      </c>
    </row>
    <row r="51" spans="1:4" x14ac:dyDescent="0.2">
      <c r="A51" s="1">
        <v>2023</v>
      </c>
      <c r="B51" s="1" t="s">
        <v>50</v>
      </c>
      <c r="C51" s="2">
        <v>5545688</v>
      </c>
      <c r="D51" s="8">
        <v>4.2995799999999999E-3</v>
      </c>
    </row>
    <row r="52" spans="1:4" x14ac:dyDescent="0.2">
      <c r="A52" s="1">
        <v>2023</v>
      </c>
      <c r="B52" s="1" t="s">
        <v>51</v>
      </c>
      <c r="C52" s="2">
        <v>389850</v>
      </c>
      <c r="D52" s="8">
        <v>3.0225E-4</v>
      </c>
    </row>
    <row r="53" spans="1:4" x14ac:dyDescent="0.2">
      <c r="A53" s="1">
        <v>2023</v>
      </c>
      <c r="B53" s="1" t="s">
        <v>52</v>
      </c>
      <c r="C53" s="2">
        <v>7121793</v>
      </c>
      <c r="D53" s="8">
        <v>5.5215400000000001E-3</v>
      </c>
    </row>
    <row r="54" spans="1:4" x14ac:dyDescent="0.2">
      <c r="A54" s="1">
        <v>2023</v>
      </c>
      <c r="B54" s="1" t="s">
        <v>53</v>
      </c>
      <c r="C54" s="2">
        <v>12553</v>
      </c>
      <c r="D54" s="8">
        <v>9.73E-6</v>
      </c>
    </row>
    <row r="55" spans="1:4" x14ac:dyDescent="0.2">
      <c r="A55" s="1">
        <v>2023</v>
      </c>
      <c r="B55" s="1" t="s">
        <v>54</v>
      </c>
      <c r="C55" s="2">
        <v>10407</v>
      </c>
      <c r="D55" s="8">
        <v>8.0700000000000007E-6</v>
      </c>
    </row>
    <row r="56" spans="1:4" x14ac:dyDescent="0.2">
      <c r="A56" s="1">
        <v>2023</v>
      </c>
      <c r="B56" s="1" t="s">
        <v>55</v>
      </c>
      <c r="C56" s="2">
        <v>13855</v>
      </c>
      <c r="D56" s="8">
        <v>1.0740000000000001E-5</v>
      </c>
    </row>
    <row r="57" spans="1:4" x14ac:dyDescent="0.2">
      <c r="A57" s="1">
        <v>2023</v>
      </c>
      <c r="B57" s="1" t="s">
        <v>56</v>
      </c>
      <c r="C57" s="2">
        <v>72995</v>
      </c>
      <c r="D57" s="8">
        <v>5.6589999999999999E-5</v>
      </c>
    </row>
    <row r="58" spans="1:4" x14ac:dyDescent="0.2">
      <c r="A58" s="1">
        <v>2023</v>
      </c>
      <c r="B58" s="1" t="s">
        <v>57</v>
      </c>
      <c r="C58" s="2">
        <v>61832</v>
      </c>
      <c r="D58" s="8">
        <v>4.7939999999999998E-5</v>
      </c>
    </row>
    <row r="59" spans="1:4" x14ac:dyDescent="0.2">
      <c r="A59" s="1">
        <v>2023</v>
      </c>
      <c r="B59" s="1" t="s">
        <v>58</v>
      </c>
      <c r="C59" s="2">
        <v>1671403</v>
      </c>
      <c r="D59" s="8">
        <v>1.2958399999999999E-3</v>
      </c>
    </row>
    <row r="60" spans="1:4" x14ac:dyDescent="0.2">
      <c r="A60" s="1">
        <v>2023</v>
      </c>
      <c r="B60" s="1" t="s">
        <v>59</v>
      </c>
      <c r="C60" s="2">
        <v>5589</v>
      </c>
      <c r="D60" s="8">
        <v>4.33E-6</v>
      </c>
    </row>
    <row r="61" spans="1:4" x14ac:dyDescent="0.2">
      <c r="A61" s="1">
        <v>2023</v>
      </c>
      <c r="B61" s="1" t="s">
        <v>60</v>
      </c>
      <c r="C61" s="2">
        <v>57987</v>
      </c>
      <c r="D61" s="8">
        <v>4.4960000000000003E-5</v>
      </c>
    </row>
    <row r="62" spans="1:4" x14ac:dyDescent="0.2">
      <c r="A62" s="1">
        <v>2023</v>
      </c>
      <c r="B62" s="1" t="s">
        <v>61</v>
      </c>
      <c r="C62" s="2">
        <v>594343</v>
      </c>
      <c r="D62" s="8">
        <v>4.6079999999999998E-4</v>
      </c>
    </row>
    <row r="63" spans="1:4" x14ac:dyDescent="0.2">
      <c r="A63" s="1">
        <v>2023</v>
      </c>
      <c r="B63" s="1" t="s">
        <v>62</v>
      </c>
      <c r="C63" s="2">
        <v>168063</v>
      </c>
      <c r="D63" s="8">
        <v>1.303E-4</v>
      </c>
    </row>
    <row r="64" spans="1:4" x14ac:dyDescent="0.2">
      <c r="A64" s="1">
        <v>2023</v>
      </c>
      <c r="B64" s="1" t="s">
        <v>63</v>
      </c>
      <c r="C64" s="2">
        <v>49328</v>
      </c>
      <c r="D64" s="8">
        <v>3.824E-5</v>
      </c>
    </row>
    <row r="65" spans="1:4" x14ac:dyDescent="0.2">
      <c r="A65" s="1">
        <v>2023</v>
      </c>
      <c r="B65" s="1" t="s">
        <v>64</v>
      </c>
      <c r="C65" s="2">
        <v>1372099</v>
      </c>
      <c r="D65" s="8">
        <v>1.06379E-3</v>
      </c>
    </row>
    <row r="66" spans="1:4" x14ac:dyDescent="0.2">
      <c r="A66" s="1">
        <v>2023</v>
      </c>
      <c r="B66" s="1" t="s">
        <v>65</v>
      </c>
      <c r="C66" s="2">
        <v>4977642</v>
      </c>
      <c r="D66" s="8">
        <v>3.8591799999999998E-3</v>
      </c>
    </row>
    <row r="67" spans="1:4" x14ac:dyDescent="0.2">
      <c r="A67" s="1">
        <v>2023</v>
      </c>
      <c r="B67" s="1" t="s">
        <v>66</v>
      </c>
      <c r="C67" s="2">
        <v>62326</v>
      </c>
      <c r="D67" s="8">
        <v>4.8319999999999998E-5</v>
      </c>
    </row>
    <row r="68" spans="1:4" x14ac:dyDescent="0.2">
      <c r="A68" s="1">
        <v>2023</v>
      </c>
      <c r="B68" s="1" t="s">
        <v>67</v>
      </c>
      <c r="C68" s="2">
        <v>1364371</v>
      </c>
      <c r="D68" s="8">
        <v>1.0578E-3</v>
      </c>
    </row>
    <row r="69" spans="1:4" x14ac:dyDescent="0.2">
      <c r="A69" s="1">
        <v>2023</v>
      </c>
      <c r="B69" s="1" t="s">
        <v>68</v>
      </c>
      <c r="C69" s="2">
        <v>1114630</v>
      </c>
      <c r="D69" s="8">
        <v>8.6417000000000004E-4</v>
      </c>
    </row>
    <row r="70" spans="1:4" x14ac:dyDescent="0.2">
      <c r="A70" s="1">
        <v>2023</v>
      </c>
      <c r="B70" s="1" t="s">
        <v>69</v>
      </c>
      <c r="C70" s="2">
        <v>3221934</v>
      </c>
      <c r="D70" s="8">
        <v>2.49797E-3</v>
      </c>
    </row>
    <row r="71" spans="1:4" x14ac:dyDescent="0.2">
      <c r="A71" s="1">
        <v>2023</v>
      </c>
      <c r="B71" s="1" t="s">
        <v>70</v>
      </c>
      <c r="C71" s="2">
        <v>56757</v>
      </c>
      <c r="D71" s="8">
        <v>4.3999999999999999E-5</v>
      </c>
    </row>
    <row r="72" spans="1:4" x14ac:dyDescent="0.2">
      <c r="A72" s="1">
        <v>2023</v>
      </c>
      <c r="B72" s="1" t="s">
        <v>71</v>
      </c>
      <c r="C72" s="2">
        <v>59383</v>
      </c>
      <c r="D72" s="8">
        <v>4.604E-5</v>
      </c>
    </row>
    <row r="73" spans="1:4" x14ac:dyDescent="0.2">
      <c r="A73" s="1">
        <v>2023</v>
      </c>
      <c r="B73" s="1" t="s">
        <v>72</v>
      </c>
      <c r="C73" s="2">
        <v>117331</v>
      </c>
      <c r="D73" s="8">
        <v>9.0970000000000005E-5</v>
      </c>
    </row>
    <row r="74" spans="1:4" x14ac:dyDescent="0.2">
      <c r="A74" s="1">
        <v>2023</v>
      </c>
      <c r="B74" s="1" t="s">
        <v>73</v>
      </c>
      <c r="C74" s="2">
        <v>46353</v>
      </c>
      <c r="D74" s="8">
        <v>3.5939999999999998E-5</v>
      </c>
    </row>
    <row r="75" spans="1:4" x14ac:dyDescent="0.2">
      <c r="A75" s="1">
        <v>2023</v>
      </c>
      <c r="B75" s="1" t="s">
        <v>74</v>
      </c>
      <c r="C75" s="2">
        <v>1450713</v>
      </c>
      <c r="D75" s="8">
        <v>1.1247399999999999E-3</v>
      </c>
    </row>
    <row r="76" spans="1:4" x14ac:dyDescent="0.2">
      <c r="A76" s="1">
        <v>2023</v>
      </c>
      <c r="B76" s="1" t="s">
        <v>75</v>
      </c>
      <c r="C76" s="2">
        <v>36294</v>
      </c>
      <c r="D76" s="8">
        <v>2.8140000000000002E-5</v>
      </c>
    </row>
    <row r="77" spans="1:4" x14ac:dyDescent="0.2">
      <c r="A77" s="1">
        <v>2023</v>
      </c>
      <c r="B77" s="1" t="s">
        <v>76</v>
      </c>
      <c r="C77" s="2">
        <v>267644</v>
      </c>
      <c r="D77" s="8">
        <v>2.0751E-4</v>
      </c>
    </row>
    <row r="78" spans="1:4" x14ac:dyDescent="0.2">
      <c r="A78" s="1">
        <v>2023</v>
      </c>
      <c r="B78" s="1" t="s">
        <v>77</v>
      </c>
      <c r="C78" s="2">
        <v>67982</v>
      </c>
      <c r="D78" s="8">
        <v>5.2710000000000002E-5</v>
      </c>
    </row>
    <row r="79" spans="1:4" x14ac:dyDescent="0.2">
      <c r="A79" s="1">
        <v>2023</v>
      </c>
      <c r="B79" s="1" t="s">
        <v>78</v>
      </c>
      <c r="C79" s="2">
        <v>93265</v>
      </c>
      <c r="D79" s="8">
        <v>7.2310000000000004E-5</v>
      </c>
    </row>
    <row r="80" spans="1:4" x14ac:dyDescent="0.2">
      <c r="A80" s="1">
        <v>2023</v>
      </c>
      <c r="B80" s="1" t="s">
        <v>79</v>
      </c>
      <c r="C80" s="2">
        <v>73882</v>
      </c>
      <c r="D80" s="8">
        <v>5.728E-5</v>
      </c>
    </row>
    <row r="81" spans="1:4" x14ac:dyDescent="0.2">
      <c r="A81" s="1">
        <v>2023</v>
      </c>
      <c r="B81" s="1" t="s">
        <v>80</v>
      </c>
      <c r="C81" s="2">
        <v>2795671</v>
      </c>
      <c r="D81" s="8">
        <v>2.1674900000000002E-3</v>
      </c>
    </row>
    <row r="82" spans="1:4" x14ac:dyDescent="0.2">
      <c r="A82" s="1">
        <v>2023</v>
      </c>
      <c r="B82" s="1" t="s">
        <v>81</v>
      </c>
      <c r="C82" s="2">
        <v>509911</v>
      </c>
      <c r="D82" s="8">
        <v>3.9533E-4</v>
      </c>
    </row>
    <row r="83" spans="1:4" x14ac:dyDescent="0.2">
      <c r="A83" s="1">
        <v>2023</v>
      </c>
      <c r="B83" s="1" t="s">
        <v>82</v>
      </c>
      <c r="C83" s="2">
        <v>3899</v>
      </c>
      <c r="D83" s="8">
        <v>3.0199999999999999E-6</v>
      </c>
    </row>
    <row r="84" spans="1:4" x14ac:dyDescent="0.2">
      <c r="A84" s="1">
        <v>2023</v>
      </c>
      <c r="B84" s="1" t="s">
        <v>83</v>
      </c>
      <c r="C84" s="2">
        <v>882005</v>
      </c>
      <c r="D84" s="8">
        <v>6.8382000000000002E-4</v>
      </c>
    </row>
    <row r="85" spans="1:4" x14ac:dyDescent="0.2">
      <c r="A85" s="1">
        <v>2023</v>
      </c>
      <c r="B85" s="1" t="s">
        <v>84</v>
      </c>
      <c r="C85" s="2">
        <v>44923</v>
      </c>
      <c r="D85" s="8">
        <v>3.4829999999999997E-5</v>
      </c>
    </row>
    <row r="86" spans="1:4" x14ac:dyDescent="0.2">
      <c r="A86" s="1">
        <v>2023</v>
      </c>
      <c r="B86" s="1" t="s">
        <v>85</v>
      </c>
      <c r="C86" s="2">
        <v>40628</v>
      </c>
      <c r="D86" s="8">
        <v>3.15E-5</v>
      </c>
    </row>
    <row r="87" spans="1:4" x14ac:dyDescent="0.2">
      <c r="A87" s="1">
        <v>2023</v>
      </c>
      <c r="B87" s="1" t="s">
        <v>86</v>
      </c>
      <c r="C87" s="2">
        <v>3627554</v>
      </c>
      <c r="D87" s="8">
        <v>2.8124500000000002E-3</v>
      </c>
    </row>
    <row r="88" spans="1:4" x14ac:dyDescent="0.2">
      <c r="A88" s="1">
        <v>2023</v>
      </c>
      <c r="B88" s="1" t="s">
        <v>87</v>
      </c>
      <c r="C88" s="2">
        <v>716286</v>
      </c>
      <c r="D88" s="8">
        <v>5.5533999999999998E-4</v>
      </c>
    </row>
    <row r="89" spans="1:4" x14ac:dyDescent="0.2">
      <c r="A89" s="1">
        <v>2023</v>
      </c>
      <c r="B89" s="1" t="s">
        <v>88</v>
      </c>
      <c r="C89" s="2">
        <v>27053</v>
      </c>
      <c r="D89" s="8">
        <v>2.0970000000000001E-5</v>
      </c>
    </row>
    <row r="90" spans="1:4" x14ac:dyDescent="0.2">
      <c r="A90" s="1">
        <v>2023</v>
      </c>
      <c r="B90" s="1" t="s">
        <v>89</v>
      </c>
      <c r="C90" s="2">
        <v>1013555</v>
      </c>
      <c r="D90" s="8">
        <v>7.8580999999999996E-4</v>
      </c>
    </row>
    <row r="91" spans="1:4" x14ac:dyDescent="0.2">
      <c r="A91" s="1">
        <v>2023</v>
      </c>
      <c r="B91" s="1" t="s">
        <v>90</v>
      </c>
      <c r="C91" s="2">
        <v>751924</v>
      </c>
      <c r="D91" s="8">
        <v>5.8297000000000004E-4</v>
      </c>
    </row>
    <row r="92" spans="1:4" x14ac:dyDescent="0.2">
      <c r="A92" s="1">
        <v>2023</v>
      </c>
      <c r="B92" s="1" t="s">
        <v>91</v>
      </c>
      <c r="C92" s="2">
        <v>7466</v>
      </c>
      <c r="D92" s="8">
        <v>5.7899999999999996E-6</v>
      </c>
    </row>
    <row r="93" spans="1:4" x14ac:dyDescent="0.2">
      <c r="A93" s="1">
        <v>2023</v>
      </c>
      <c r="B93" s="1" t="s">
        <v>92</v>
      </c>
      <c r="C93" s="2">
        <v>396352</v>
      </c>
      <c r="D93" s="8">
        <v>3.0728999999999999E-4</v>
      </c>
    </row>
    <row r="94" spans="1:4" x14ac:dyDescent="0.2">
      <c r="A94" s="1">
        <v>2023</v>
      </c>
      <c r="B94" s="1" t="s">
        <v>93</v>
      </c>
      <c r="C94" s="2">
        <v>7021</v>
      </c>
      <c r="D94" s="8">
        <v>5.4399999999999996E-6</v>
      </c>
    </row>
    <row r="95" spans="1:4" x14ac:dyDescent="0.2">
      <c r="A95" s="1">
        <v>2023</v>
      </c>
      <c r="B95" s="1" t="s">
        <v>94</v>
      </c>
      <c r="C95" s="2">
        <v>236263</v>
      </c>
      <c r="D95" s="8">
        <v>1.8317E-4</v>
      </c>
    </row>
    <row r="96" spans="1:4" x14ac:dyDescent="0.2">
      <c r="A96" s="1">
        <v>2023</v>
      </c>
      <c r="B96" s="1" t="s">
        <v>95</v>
      </c>
      <c r="C96" s="2">
        <v>106399</v>
      </c>
      <c r="D96" s="8">
        <v>8.2490000000000005E-5</v>
      </c>
    </row>
    <row r="97" spans="1:4" x14ac:dyDescent="0.2">
      <c r="A97" s="1">
        <v>2023</v>
      </c>
      <c r="B97" s="1" t="s">
        <v>96</v>
      </c>
      <c r="C97" s="2">
        <v>149760</v>
      </c>
      <c r="D97" s="8">
        <v>1.1611E-4</v>
      </c>
    </row>
    <row r="98" spans="1:4" x14ac:dyDescent="0.2">
      <c r="A98" s="1">
        <v>2023</v>
      </c>
      <c r="B98" s="1" t="s">
        <v>97</v>
      </c>
      <c r="C98" s="2">
        <v>858004</v>
      </c>
      <c r="D98" s="8">
        <v>6.6520999999999995E-4</v>
      </c>
    </row>
    <row r="99" spans="1:4" x14ac:dyDescent="0.2">
      <c r="A99" s="1">
        <v>2023</v>
      </c>
      <c r="B99" s="1" t="s">
        <v>98</v>
      </c>
      <c r="C99" s="2">
        <v>2337844</v>
      </c>
      <c r="D99" s="8">
        <v>1.8125400000000001E-3</v>
      </c>
    </row>
    <row r="100" spans="1:4" x14ac:dyDescent="0.2">
      <c r="A100" s="1">
        <v>2023</v>
      </c>
      <c r="B100" s="1" t="s">
        <v>99</v>
      </c>
      <c r="C100" s="2">
        <v>88083</v>
      </c>
      <c r="D100" s="8">
        <v>6.8289999999999998E-5</v>
      </c>
    </row>
    <row r="101" spans="1:4" x14ac:dyDescent="0.2">
      <c r="A101" s="1">
        <v>2023</v>
      </c>
      <c r="B101" s="1" t="s">
        <v>100</v>
      </c>
      <c r="C101" s="2">
        <v>1925818</v>
      </c>
      <c r="D101" s="8">
        <v>1.4930900000000001E-3</v>
      </c>
    </row>
    <row r="102" spans="1:4" x14ac:dyDescent="0.2">
      <c r="A102" s="1">
        <v>2023</v>
      </c>
      <c r="B102" s="1" t="s">
        <v>101</v>
      </c>
      <c r="C102" s="2">
        <v>514100</v>
      </c>
      <c r="D102" s="8">
        <v>3.9858E-4</v>
      </c>
    </row>
    <row r="103" spans="1:4" x14ac:dyDescent="0.2">
      <c r="A103" s="1">
        <v>2023</v>
      </c>
      <c r="B103" s="1" t="s">
        <v>102</v>
      </c>
      <c r="C103" s="2">
        <v>5646</v>
      </c>
      <c r="D103" s="8">
        <v>4.3800000000000004E-6</v>
      </c>
    </row>
    <row r="104" spans="1:4" x14ac:dyDescent="0.2">
      <c r="A104" s="1">
        <v>2023</v>
      </c>
      <c r="B104" s="1" t="s">
        <v>103</v>
      </c>
      <c r="C104" s="2">
        <v>10264</v>
      </c>
      <c r="D104" s="8">
        <v>7.96E-6</v>
      </c>
    </row>
    <row r="105" spans="1:4" x14ac:dyDescent="0.2">
      <c r="A105" s="1">
        <v>2023</v>
      </c>
      <c r="B105" s="1" t="s">
        <v>104</v>
      </c>
      <c r="C105" s="2">
        <v>739843</v>
      </c>
      <c r="D105" s="8">
        <v>5.7359999999999996E-4</v>
      </c>
    </row>
    <row r="106" spans="1:4" x14ac:dyDescent="0.2">
      <c r="A106" s="1">
        <v>2023</v>
      </c>
      <c r="B106" s="1" t="s">
        <v>105</v>
      </c>
      <c r="C106" s="2">
        <v>180449</v>
      </c>
      <c r="D106" s="8">
        <v>1.3990000000000001E-4</v>
      </c>
    </row>
    <row r="107" spans="1:4" x14ac:dyDescent="0.2">
      <c r="A107" s="1">
        <v>2023</v>
      </c>
      <c r="B107" s="1" t="s">
        <v>106</v>
      </c>
      <c r="C107" s="2">
        <v>2296304</v>
      </c>
      <c r="D107" s="8">
        <v>1.7803300000000001E-3</v>
      </c>
    </row>
    <row r="108" spans="1:4" x14ac:dyDescent="0.2">
      <c r="A108" s="1">
        <v>2023</v>
      </c>
      <c r="B108" s="1" t="s">
        <v>107</v>
      </c>
      <c r="C108" s="2">
        <v>107678</v>
      </c>
      <c r="D108" s="8">
        <v>8.3479999999999994E-5</v>
      </c>
    </row>
    <row r="109" spans="1:4" x14ac:dyDescent="0.2">
      <c r="A109" s="1">
        <v>2023</v>
      </c>
      <c r="B109" s="1" t="s">
        <v>108</v>
      </c>
      <c r="C109" s="2">
        <v>166606</v>
      </c>
      <c r="D109" s="8">
        <v>1.2917000000000001E-4</v>
      </c>
    </row>
    <row r="110" spans="1:4" x14ac:dyDescent="0.2">
      <c r="A110" s="1">
        <v>2023</v>
      </c>
      <c r="B110" s="1" t="s">
        <v>109</v>
      </c>
      <c r="C110" s="2">
        <v>1615654</v>
      </c>
      <c r="D110" s="8">
        <v>1.2526200000000001E-3</v>
      </c>
    </row>
    <row r="111" spans="1:4" x14ac:dyDescent="0.2">
      <c r="A111" s="1">
        <v>2023</v>
      </c>
      <c r="B111" s="1" t="s">
        <v>110</v>
      </c>
      <c r="C111" s="2">
        <v>664976</v>
      </c>
      <c r="D111" s="8">
        <v>5.1555999999999998E-4</v>
      </c>
    </row>
    <row r="112" spans="1:4" x14ac:dyDescent="0.2">
      <c r="A112" s="1">
        <v>2023</v>
      </c>
      <c r="B112" s="1" t="s">
        <v>111</v>
      </c>
      <c r="C112" s="2">
        <v>650706</v>
      </c>
      <c r="D112" s="8">
        <v>5.0449000000000002E-4</v>
      </c>
    </row>
    <row r="113" spans="1:4" x14ac:dyDescent="0.2">
      <c r="A113" s="1">
        <v>2023</v>
      </c>
      <c r="B113" s="1" t="s">
        <v>112</v>
      </c>
      <c r="C113" s="2">
        <v>160687</v>
      </c>
      <c r="D113" s="8">
        <v>1.2458E-4</v>
      </c>
    </row>
    <row r="114" spans="1:4" x14ac:dyDescent="0.2">
      <c r="A114" s="1">
        <v>2023</v>
      </c>
      <c r="B114" s="1" t="s">
        <v>113</v>
      </c>
      <c r="C114" s="2">
        <v>787746</v>
      </c>
      <c r="D114" s="8">
        <v>6.1074000000000002E-4</v>
      </c>
    </row>
    <row r="115" spans="1:4" x14ac:dyDescent="0.2">
      <c r="A115" s="1">
        <v>2023</v>
      </c>
      <c r="B115" s="1" t="s">
        <v>114</v>
      </c>
      <c r="C115" s="2">
        <v>1049733</v>
      </c>
      <c r="D115" s="8">
        <v>8.1386000000000002E-4</v>
      </c>
    </row>
    <row r="116" spans="1:4" x14ac:dyDescent="0.2">
      <c r="A116" s="1">
        <v>2023</v>
      </c>
      <c r="B116" s="1" t="s">
        <v>115</v>
      </c>
      <c r="C116" s="2">
        <v>92450</v>
      </c>
      <c r="D116" s="8">
        <v>7.1680000000000005E-5</v>
      </c>
    </row>
    <row r="117" spans="1:4" x14ac:dyDescent="0.2">
      <c r="A117" s="1">
        <v>2023</v>
      </c>
      <c r="B117" s="1" t="s">
        <v>116</v>
      </c>
      <c r="C117" s="2">
        <v>2682751</v>
      </c>
      <c r="D117" s="8">
        <v>2.0799400000000002E-3</v>
      </c>
    </row>
    <row r="118" spans="1:4" x14ac:dyDescent="0.2">
      <c r="A118" s="1">
        <v>2023</v>
      </c>
      <c r="B118" s="1" t="s">
        <v>117</v>
      </c>
      <c r="C118" s="2">
        <v>33891</v>
      </c>
      <c r="D118" s="8">
        <v>2.6279999999999999E-5</v>
      </c>
    </row>
    <row r="119" spans="1:4" x14ac:dyDescent="0.2">
      <c r="A119" s="1">
        <v>2023</v>
      </c>
      <c r="B119" s="1" t="s">
        <v>118</v>
      </c>
      <c r="C119" s="2">
        <v>686418</v>
      </c>
      <c r="D119" s="8">
        <v>5.3218000000000004E-4</v>
      </c>
    </row>
    <row r="120" spans="1:4" x14ac:dyDescent="0.2">
      <c r="A120" s="1">
        <v>2023</v>
      </c>
      <c r="B120" s="1" t="s">
        <v>119</v>
      </c>
      <c r="C120" s="2">
        <v>661330</v>
      </c>
      <c r="D120" s="8">
        <v>5.1272999999999998E-4</v>
      </c>
    </row>
    <row r="121" spans="1:4" x14ac:dyDescent="0.2">
      <c r="A121" s="1">
        <v>2023</v>
      </c>
      <c r="B121" s="1" t="s">
        <v>120</v>
      </c>
      <c r="C121" s="2">
        <v>34538</v>
      </c>
      <c r="D121" s="8">
        <v>2.6780000000000001E-5</v>
      </c>
    </row>
    <row r="122" spans="1:4" x14ac:dyDescent="0.2">
      <c r="A122" s="1">
        <v>2023</v>
      </c>
      <c r="B122" s="1" t="s">
        <v>121</v>
      </c>
      <c r="C122" s="2">
        <v>1069541</v>
      </c>
      <c r="D122" s="8">
        <v>8.2921999999999998E-4</v>
      </c>
    </row>
    <row r="123" spans="1:4" x14ac:dyDescent="0.2">
      <c r="A123" s="1">
        <v>2023</v>
      </c>
      <c r="B123" s="1" t="s">
        <v>122</v>
      </c>
      <c r="C123" s="2">
        <v>3426444</v>
      </c>
      <c r="D123" s="8">
        <v>2.6565299999999998E-3</v>
      </c>
    </row>
    <row r="124" spans="1:4" x14ac:dyDescent="0.2">
      <c r="A124" s="1">
        <v>2023</v>
      </c>
      <c r="B124" s="1" t="s">
        <v>123</v>
      </c>
      <c r="C124" s="2">
        <v>1880766</v>
      </c>
      <c r="D124" s="8">
        <v>1.45816E-3</v>
      </c>
    </row>
    <row r="125" spans="1:4" x14ac:dyDescent="0.2">
      <c r="A125" s="1">
        <v>2023</v>
      </c>
      <c r="B125" s="1" t="s">
        <v>124</v>
      </c>
      <c r="C125" s="2">
        <v>5178725</v>
      </c>
      <c r="D125" s="8">
        <v>4.0150799999999999E-3</v>
      </c>
    </row>
    <row r="126" spans="1:4" x14ac:dyDescent="0.2">
      <c r="A126" s="1">
        <v>2023</v>
      </c>
      <c r="B126" s="1" t="s">
        <v>125</v>
      </c>
      <c r="C126" s="2">
        <v>1452474</v>
      </c>
      <c r="D126" s="8">
        <v>1.12611E-3</v>
      </c>
    </row>
    <row r="127" spans="1:4" x14ac:dyDescent="0.2">
      <c r="A127" s="1">
        <v>2023</v>
      </c>
      <c r="B127" s="1" t="s">
        <v>126</v>
      </c>
      <c r="C127" s="2">
        <v>1053403</v>
      </c>
      <c r="D127" s="8">
        <v>8.1671000000000001E-4</v>
      </c>
    </row>
    <row r="128" spans="1:4" x14ac:dyDescent="0.2">
      <c r="A128" s="1">
        <v>2023</v>
      </c>
      <c r="B128" s="1" t="s">
        <v>127</v>
      </c>
      <c r="C128" s="2">
        <v>5205</v>
      </c>
      <c r="D128" s="8">
        <v>4.0400000000000003E-6</v>
      </c>
    </row>
    <row r="129" spans="1:4" x14ac:dyDescent="0.2">
      <c r="A129" s="1">
        <v>2023</v>
      </c>
      <c r="B129" s="1" t="s">
        <v>128</v>
      </c>
      <c r="C129" s="2">
        <v>2071275</v>
      </c>
      <c r="D129" s="8">
        <v>1.60586E-3</v>
      </c>
    </row>
    <row r="130" spans="1:4" x14ac:dyDescent="0.2">
      <c r="A130" s="1">
        <v>2023</v>
      </c>
      <c r="B130" s="1" t="s">
        <v>129</v>
      </c>
      <c r="C130" s="2">
        <v>222502</v>
      </c>
      <c r="D130" s="8">
        <v>1.7250999999999999E-4</v>
      </c>
    </row>
    <row r="131" spans="1:4" x14ac:dyDescent="0.2">
      <c r="A131" s="1">
        <v>2023</v>
      </c>
      <c r="B131" s="1" t="s">
        <v>130</v>
      </c>
      <c r="C131" s="2">
        <v>595973</v>
      </c>
      <c r="D131" s="8">
        <v>4.6205999999999998E-4</v>
      </c>
    </row>
    <row r="132" spans="1:4" x14ac:dyDescent="0.2">
      <c r="A132" s="1">
        <v>2023</v>
      </c>
      <c r="B132" s="1" t="s">
        <v>131</v>
      </c>
      <c r="C132" s="2">
        <v>54917</v>
      </c>
      <c r="D132" s="8">
        <v>4.2580000000000002E-5</v>
      </c>
    </row>
    <row r="133" spans="1:4" x14ac:dyDescent="0.2">
      <c r="A133" s="1">
        <v>2023</v>
      </c>
      <c r="B133" s="1" t="s">
        <v>132</v>
      </c>
      <c r="C133" s="2">
        <v>74929</v>
      </c>
      <c r="D133" s="8">
        <v>5.8090000000000001E-5</v>
      </c>
    </row>
    <row r="134" spans="1:4" x14ac:dyDescent="0.2">
      <c r="A134" s="1">
        <v>2023</v>
      </c>
      <c r="B134" s="1" t="s">
        <v>133</v>
      </c>
      <c r="C134" s="2">
        <v>468153</v>
      </c>
      <c r="D134" s="8">
        <v>3.6296000000000001E-4</v>
      </c>
    </row>
    <row r="135" spans="1:4" x14ac:dyDescent="0.2">
      <c r="A135" s="1">
        <v>2023</v>
      </c>
      <c r="B135" s="1" t="s">
        <v>134</v>
      </c>
      <c r="C135" s="2">
        <v>604943</v>
      </c>
      <c r="D135" s="8">
        <v>4.6901000000000001E-4</v>
      </c>
    </row>
    <row r="136" spans="1:4" x14ac:dyDescent="0.2">
      <c r="A136" s="1">
        <v>2023</v>
      </c>
      <c r="B136" s="1" t="s">
        <v>135</v>
      </c>
      <c r="C136" s="2">
        <v>2042074</v>
      </c>
      <c r="D136" s="8">
        <v>1.58322E-3</v>
      </c>
    </row>
    <row r="137" spans="1:4" x14ac:dyDescent="0.2">
      <c r="A137" s="1">
        <v>2023</v>
      </c>
      <c r="B137" s="1" t="s">
        <v>136</v>
      </c>
      <c r="C137" s="2">
        <v>1780432</v>
      </c>
      <c r="D137" s="8">
        <v>1.3803699999999999E-3</v>
      </c>
    </row>
    <row r="138" spans="1:4" x14ac:dyDescent="0.2">
      <c r="A138" s="1">
        <v>2023</v>
      </c>
      <c r="B138" s="1" t="s">
        <v>137</v>
      </c>
      <c r="C138" s="2">
        <v>136020</v>
      </c>
      <c r="D138" s="8">
        <v>1.0546E-4</v>
      </c>
    </row>
    <row r="139" spans="1:4" x14ac:dyDescent="0.2">
      <c r="A139" s="1">
        <v>2023</v>
      </c>
      <c r="B139" s="1" t="s">
        <v>138</v>
      </c>
      <c r="C139" s="2">
        <v>1020768</v>
      </c>
      <c r="D139" s="8">
        <v>7.9140000000000005E-4</v>
      </c>
    </row>
    <row r="140" spans="1:4" x14ac:dyDescent="0.2">
      <c r="A140" s="1">
        <v>2023</v>
      </c>
      <c r="B140" s="1" t="s">
        <v>139</v>
      </c>
      <c r="C140" s="2">
        <v>4167246</v>
      </c>
      <c r="D140" s="8">
        <v>3.2308699999999998E-3</v>
      </c>
    </row>
    <row r="141" spans="1:4" x14ac:dyDescent="0.2">
      <c r="A141" s="1">
        <v>2023</v>
      </c>
      <c r="B141" s="1" t="s">
        <v>864</v>
      </c>
      <c r="C141" s="2">
        <v>74222</v>
      </c>
      <c r="D141" s="8">
        <v>5.7540000000000001E-5</v>
      </c>
    </row>
    <row r="142" spans="1:4" x14ac:dyDescent="0.2">
      <c r="A142" s="1">
        <v>2023</v>
      </c>
      <c r="B142" s="1" t="s">
        <v>141</v>
      </c>
      <c r="C142" s="2">
        <v>62011</v>
      </c>
      <c r="D142" s="8">
        <v>4.808E-5</v>
      </c>
    </row>
    <row r="143" spans="1:4" x14ac:dyDescent="0.2">
      <c r="A143" s="1">
        <v>2023</v>
      </c>
      <c r="B143" s="1" t="s">
        <v>142</v>
      </c>
      <c r="C143" s="2">
        <v>2320090</v>
      </c>
      <c r="D143" s="8">
        <v>1.7987700000000001E-3</v>
      </c>
    </row>
    <row r="144" spans="1:4" x14ac:dyDescent="0.2">
      <c r="A144" s="1">
        <v>2023</v>
      </c>
      <c r="B144" s="1" t="s">
        <v>143</v>
      </c>
      <c r="C144" s="2">
        <v>968905</v>
      </c>
      <c r="D144" s="8">
        <v>7.5119E-4</v>
      </c>
    </row>
    <row r="145" spans="1:4" x14ac:dyDescent="0.2">
      <c r="A145" s="1">
        <v>2023</v>
      </c>
      <c r="B145" s="1" t="s">
        <v>144</v>
      </c>
      <c r="C145" s="2">
        <v>44413</v>
      </c>
      <c r="D145" s="8">
        <v>3.4430000000000001E-5</v>
      </c>
    </row>
    <row r="146" spans="1:4" x14ac:dyDescent="0.2">
      <c r="A146" s="1">
        <v>2023</v>
      </c>
      <c r="B146" s="1" t="s">
        <v>145</v>
      </c>
      <c r="C146" s="2">
        <v>19319</v>
      </c>
      <c r="D146" s="8">
        <v>1.4980000000000001E-5</v>
      </c>
    </row>
    <row r="147" spans="1:4" x14ac:dyDescent="0.2">
      <c r="A147" s="1">
        <v>2023</v>
      </c>
      <c r="B147" s="1" t="s">
        <v>865</v>
      </c>
      <c r="C147" s="2">
        <v>2760373</v>
      </c>
      <c r="D147" s="8">
        <v>2.1401200000000001E-3</v>
      </c>
    </row>
    <row r="148" spans="1:4" x14ac:dyDescent="0.2">
      <c r="A148" s="1">
        <v>2023</v>
      </c>
      <c r="B148" s="1" t="s">
        <v>147</v>
      </c>
      <c r="C148" s="2">
        <v>1110147</v>
      </c>
      <c r="D148" s="8">
        <v>8.6070000000000005E-4</v>
      </c>
    </row>
    <row r="149" spans="1:4" x14ac:dyDescent="0.2">
      <c r="A149" s="1">
        <v>2023</v>
      </c>
      <c r="B149" s="1" t="s">
        <v>148</v>
      </c>
      <c r="C149" s="2">
        <v>432564</v>
      </c>
      <c r="D149" s="8">
        <v>3.3536999999999998E-4</v>
      </c>
    </row>
    <row r="150" spans="1:4" x14ac:dyDescent="0.2">
      <c r="A150" s="1">
        <v>2023</v>
      </c>
      <c r="B150" s="1" t="s">
        <v>149</v>
      </c>
      <c r="C150" s="2">
        <v>74006</v>
      </c>
      <c r="D150" s="8">
        <v>5.7380000000000003E-5</v>
      </c>
    </row>
    <row r="151" spans="1:4" x14ac:dyDescent="0.2">
      <c r="A151" s="1">
        <v>2023</v>
      </c>
      <c r="B151" s="1" t="s">
        <v>150</v>
      </c>
      <c r="C151" s="2">
        <v>2557222</v>
      </c>
      <c r="D151" s="8">
        <v>1.98262E-3</v>
      </c>
    </row>
    <row r="152" spans="1:4" x14ac:dyDescent="0.2">
      <c r="A152" s="1">
        <v>2023</v>
      </c>
      <c r="B152" s="1" t="s">
        <v>866</v>
      </c>
      <c r="C152" s="2">
        <v>30190</v>
      </c>
      <c r="D152" s="8">
        <v>2.3410000000000001E-5</v>
      </c>
    </row>
    <row r="153" spans="1:4" x14ac:dyDescent="0.2">
      <c r="A153" s="1">
        <v>2023</v>
      </c>
      <c r="B153" s="1" t="s">
        <v>867</v>
      </c>
      <c r="C153" s="2">
        <v>49356</v>
      </c>
      <c r="D153" s="8">
        <v>3.8269999999999998E-5</v>
      </c>
    </row>
    <row r="154" spans="1:4" x14ac:dyDescent="0.2">
      <c r="A154" s="1">
        <v>2023</v>
      </c>
      <c r="B154" s="1" t="s">
        <v>868</v>
      </c>
      <c r="C154" s="2">
        <v>13776</v>
      </c>
      <c r="D154" s="8">
        <v>1.0679999999999999E-5</v>
      </c>
    </row>
    <row r="155" spans="1:4" x14ac:dyDescent="0.2">
      <c r="A155" s="1">
        <v>2023</v>
      </c>
      <c r="B155" s="1" t="s">
        <v>154</v>
      </c>
      <c r="C155" s="2">
        <v>16096392</v>
      </c>
      <c r="D155" s="8">
        <v>1.2479560000000001E-2</v>
      </c>
    </row>
    <row r="156" spans="1:4" x14ac:dyDescent="0.2">
      <c r="A156" s="1">
        <v>2023</v>
      </c>
      <c r="B156" s="1" t="s">
        <v>155</v>
      </c>
      <c r="C156" s="2">
        <v>40312</v>
      </c>
      <c r="D156" s="8">
        <v>3.1250000000000001E-5</v>
      </c>
    </row>
    <row r="157" spans="1:4" x14ac:dyDescent="0.2">
      <c r="A157" s="1">
        <v>2023</v>
      </c>
      <c r="B157" s="1" t="s">
        <v>156</v>
      </c>
      <c r="C157" s="2">
        <v>3354402</v>
      </c>
      <c r="D157" s="8">
        <v>2.6006699999999998E-3</v>
      </c>
    </row>
    <row r="158" spans="1:4" x14ac:dyDescent="0.2">
      <c r="A158" s="1">
        <v>2023</v>
      </c>
      <c r="B158" s="1" t="s">
        <v>157</v>
      </c>
      <c r="C158" s="2">
        <v>846475</v>
      </c>
      <c r="D158" s="8">
        <v>6.5627000000000003E-4</v>
      </c>
    </row>
    <row r="159" spans="1:4" x14ac:dyDescent="0.2">
      <c r="A159" s="1">
        <v>2023</v>
      </c>
      <c r="B159" s="1" t="s">
        <v>158</v>
      </c>
      <c r="C159" s="2">
        <v>25715</v>
      </c>
      <c r="D159" s="8">
        <v>1.9939999999999999E-5</v>
      </c>
    </row>
    <row r="160" spans="1:4" x14ac:dyDescent="0.2">
      <c r="A160" s="1">
        <v>2023</v>
      </c>
      <c r="B160" s="1" t="s">
        <v>159</v>
      </c>
      <c r="C160" s="2">
        <v>5719</v>
      </c>
      <c r="D160" s="8">
        <v>4.4299999999999999E-6</v>
      </c>
    </row>
    <row r="161" spans="1:4" x14ac:dyDescent="0.2">
      <c r="A161" s="1">
        <v>2023</v>
      </c>
      <c r="B161" s="1" t="s">
        <v>160</v>
      </c>
      <c r="C161" s="2">
        <v>8596</v>
      </c>
      <c r="D161" s="8">
        <v>6.6599999999999998E-6</v>
      </c>
    </row>
    <row r="162" spans="1:4" x14ac:dyDescent="0.2">
      <c r="A162" s="1">
        <v>2023</v>
      </c>
      <c r="B162" s="1" t="s">
        <v>161</v>
      </c>
      <c r="C162" s="2">
        <v>8881</v>
      </c>
      <c r="D162" s="8">
        <v>6.8900000000000001E-6</v>
      </c>
    </row>
    <row r="163" spans="1:4" x14ac:dyDescent="0.2">
      <c r="A163" s="1">
        <v>2023</v>
      </c>
      <c r="B163" s="1" t="s">
        <v>162</v>
      </c>
      <c r="C163" s="2">
        <v>4871</v>
      </c>
      <c r="D163" s="8">
        <v>3.7799999999999998E-6</v>
      </c>
    </row>
    <row r="164" spans="1:4" x14ac:dyDescent="0.2">
      <c r="A164" s="1">
        <v>2023</v>
      </c>
      <c r="B164" s="1" t="s">
        <v>163</v>
      </c>
      <c r="C164" s="2">
        <v>274305</v>
      </c>
      <c r="D164" s="8">
        <v>2.1267000000000001E-4</v>
      </c>
    </row>
    <row r="165" spans="1:4" x14ac:dyDescent="0.2">
      <c r="A165" s="1">
        <v>2023</v>
      </c>
      <c r="B165" s="1" t="s">
        <v>164</v>
      </c>
      <c r="C165" s="2">
        <v>121013</v>
      </c>
      <c r="D165" s="8">
        <v>9.3820000000000006E-5</v>
      </c>
    </row>
    <row r="166" spans="1:4" x14ac:dyDescent="0.2">
      <c r="A166" s="1">
        <v>2023</v>
      </c>
      <c r="B166" s="1" t="s">
        <v>165</v>
      </c>
      <c r="C166" s="2">
        <v>70026</v>
      </c>
      <c r="D166" s="8">
        <v>5.4289999999999997E-5</v>
      </c>
    </row>
    <row r="167" spans="1:4" x14ac:dyDescent="0.2">
      <c r="A167" s="1">
        <v>2023</v>
      </c>
      <c r="B167" s="1" t="s">
        <v>166</v>
      </c>
      <c r="C167" s="2">
        <v>47380</v>
      </c>
      <c r="D167" s="8">
        <v>3.6730000000000002E-5</v>
      </c>
    </row>
    <row r="168" spans="1:4" x14ac:dyDescent="0.2">
      <c r="A168" s="1">
        <v>2023</v>
      </c>
      <c r="B168" s="1" t="s">
        <v>167</v>
      </c>
      <c r="C168" s="2">
        <v>25166</v>
      </c>
      <c r="D168" s="8">
        <v>1.9510000000000001E-5</v>
      </c>
    </row>
    <row r="169" spans="1:4" x14ac:dyDescent="0.2">
      <c r="A169" s="1">
        <v>2023</v>
      </c>
      <c r="B169" s="1" t="s">
        <v>168</v>
      </c>
      <c r="C169" s="2">
        <v>3477207</v>
      </c>
      <c r="D169" s="8">
        <v>2.6958899999999998E-3</v>
      </c>
    </row>
    <row r="170" spans="1:4" x14ac:dyDescent="0.2">
      <c r="A170" s="1">
        <v>2023</v>
      </c>
      <c r="B170" s="1" t="s">
        <v>169</v>
      </c>
      <c r="C170" s="2">
        <v>4479394</v>
      </c>
      <c r="D170" s="8">
        <v>3.4728799999999998E-3</v>
      </c>
    </row>
    <row r="171" spans="1:4" x14ac:dyDescent="0.2">
      <c r="A171" s="1">
        <v>2023</v>
      </c>
      <c r="B171" s="1" t="s">
        <v>170</v>
      </c>
      <c r="C171" s="2">
        <v>3832462</v>
      </c>
      <c r="D171" s="8">
        <v>2.97132E-3</v>
      </c>
    </row>
    <row r="172" spans="1:4" x14ac:dyDescent="0.2">
      <c r="A172" s="1">
        <v>2023</v>
      </c>
      <c r="B172" s="1" t="s">
        <v>171</v>
      </c>
      <c r="C172" s="2">
        <v>22571182</v>
      </c>
      <c r="D172" s="8">
        <v>1.7499480000000001E-2</v>
      </c>
    </row>
    <row r="173" spans="1:4" x14ac:dyDescent="0.2">
      <c r="A173" s="1">
        <v>2023</v>
      </c>
      <c r="B173" s="1" t="s">
        <v>172</v>
      </c>
      <c r="C173" s="2">
        <v>43592</v>
      </c>
      <c r="D173" s="8">
        <v>3.3800000000000002E-5</v>
      </c>
    </row>
    <row r="174" spans="1:4" x14ac:dyDescent="0.2">
      <c r="A174" s="1">
        <v>2023</v>
      </c>
      <c r="B174" s="1" t="s">
        <v>173</v>
      </c>
      <c r="C174" s="2">
        <v>34061077</v>
      </c>
      <c r="D174" s="8">
        <v>2.640762E-2</v>
      </c>
    </row>
    <row r="175" spans="1:4" x14ac:dyDescent="0.2">
      <c r="A175" s="1">
        <v>2023</v>
      </c>
      <c r="B175" s="1" t="s">
        <v>174</v>
      </c>
      <c r="C175" s="2">
        <v>6380232</v>
      </c>
      <c r="D175" s="8">
        <v>4.9466099999999997E-3</v>
      </c>
    </row>
    <row r="176" spans="1:4" x14ac:dyDescent="0.2">
      <c r="A176" s="1">
        <v>2023</v>
      </c>
      <c r="B176" s="1" t="s">
        <v>175</v>
      </c>
      <c r="C176" s="2">
        <v>388779</v>
      </c>
      <c r="D176" s="8">
        <v>3.0142E-4</v>
      </c>
    </row>
    <row r="177" spans="1:4" x14ac:dyDescent="0.2">
      <c r="A177" s="1">
        <v>2023</v>
      </c>
      <c r="B177" s="1" t="s">
        <v>176</v>
      </c>
      <c r="C177" s="2">
        <v>6411</v>
      </c>
      <c r="D177" s="8">
        <v>4.9699999999999998E-6</v>
      </c>
    </row>
    <row r="178" spans="1:4" x14ac:dyDescent="0.2">
      <c r="A178" s="1">
        <v>2023</v>
      </c>
      <c r="B178" s="1" t="s">
        <v>177</v>
      </c>
      <c r="C178" s="2">
        <v>14643</v>
      </c>
      <c r="D178" s="8">
        <v>1.135E-5</v>
      </c>
    </row>
    <row r="179" spans="1:4" x14ac:dyDescent="0.2">
      <c r="A179" s="1">
        <v>2023</v>
      </c>
      <c r="B179" s="1" t="s">
        <v>178</v>
      </c>
      <c r="C179" s="2">
        <v>179228</v>
      </c>
      <c r="D179" s="8">
        <v>1.3896000000000001E-4</v>
      </c>
    </row>
    <row r="180" spans="1:4" x14ac:dyDescent="0.2">
      <c r="A180" s="1">
        <v>2023</v>
      </c>
      <c r="B180" s="1" t="s">
        <v>179</v>
      </c>
      <c r="C180" s="2">
        <v>1338209</v>
      </c>
      <c r="D180" s="8">
        <v>1.0375199999999999E-3</v>
      </c>
    </row>
    <row r="181" spans="1:4" x14ac:dyDescent="0.2">
      <c r="A181" s="1">
        <v>2023</v>
      </c>
      <c r="B181" s="1" t="s">
        <v>180</v>
      </c>
      <c r="C181" s="2">
        <v>3471576</v>
      </c>
      <c r="D181" s="8">
        <v>2.6915200000000002E-3</v>
      </c>
    </row>
    <row r="182" spans="1:4" x14ac:dyDescent="0.2">
      <c r="A182" s="1">
        <v>2023</v>
      </c>
      <c r="B182" s="1" t="s">
        <v>181</v>
      </c>
      <c r="C182" s="2">
        <v>60216</v>
      </c>
      <c r="D182" s="8">
        <v>4.6690000000000002E-5</v>
      </c>
    </row>
    <row r="183" spans="1:4" x14ac:dyDescent="0.2">
      <c r="A183" s="1">
        <v>2023</v>
      </c>
      <c r="B183" s="1" t="s">
        <v>182</v>
      </c>
      <c r="C183" s="2">
        <v>71929</v>
      </c>
      <c r="D183" s="8">
        <v>5.5770000000000003E-5</v>
      </c>
    </row>
    <row r="184" spans="1:4" x14ac:dyDescent="0.2">
      <c r="A184" s="1">
        <v>2023</v>
      </c>
      <c r="B184" s="1" t="s">
        <v>183</v>
      </c>
      <c r="C184" s="2">
        <v>40252</v>
      </c>
      <c r="D184" s="8">
        <v>3.1210000000000001E-5</v>
      </c>
    </row>
    <row r="185" spans="1:4" x14ac:dyDescent="0.2">
      <c r="A185" s="1">
        <v>2023</v>
      </c>
      <c r="B185" s="1" t="s">
        <v>184</v>
      </c>
      <c r="C185" s="2">
        <v>152781</v>
      </c>
      <c r="D185" s="8">
        <v>1.1845000000000001E-4</v>
      </c>
    </row>
    <row r="186" spans="1:4" x14ac:dyDescent="0.2">
      <c r="A186" s="1">
        <v>2023</v>
      </c>
      <c r="B186" s="1" t="s">
        <v>185</v>
      </c>
      <c r="C186" s="2">
        <v>2073329</v>
      </c>
      <c r="D186" s="8">
        <v>1.60746E-3</v>
      </c>
    </row>
    <row r="187" spans="1:4" x14ac:dyDescent="0.2">
      <c r="A187" s="1">
        <v>2023</v>
      </c>
      <c r="B187" s="1" t="s">
        <v>186</v>
      </c>
      <c r="C187" s="2">
        <v>1175867</v>
      </c>
      <c r="D187" s="8">
        <v>9.1164999999999996E-4</v>
      </c>
    </row>
    <row r="188" spans="1:4" x14ac:dyDescent="0.2">
      <c r="A188" s="1">
        <v>2023</v>
      </c>
      <c r="B188" s="1" t="s">
        <v>187</v>
      </c>
      <c r="C188" s="2">
        <v>62796</v>
      </c>
      <c r="D188" s="8">
        <v>4.8690000000000003E-5</v>
      </c>
    </row>
    <row r="189" spans="1:4" x14ac:dyDescent="0.2">
      <c r="A189" s="1">
        <v>2023</v>
      </c>
      <c r="B189" s="1" t="s">
        <v>188</v>
      </c>
      <c r="C189" s="2">
        <v>3031451</v>
      </c>
      <c r="D189" s="8">
        <v>2.3502900000000001E-3</v>
      </c>
    </row>
    <row r="190" spans="1:4" x14ac:dyDescent="0.2">
      <c r="A190" s="1">
        <v>2023</v>
      </c>
      <c r="B190" s="1" t="s">
        <v>189</v>
      </c>
      <c r="C190" s="2">
        <v>36581</v>
      </c>
      <c r="D190" s="8">
        <v>2.836E-5</v>
      </c>
    </row>
    <row r="191" spans="1:4" x14ac:dyDescent="0.2">
      <c r="A191" s="1">
        <v>2023</v>
      </c>
      <c r="B191" s="1" t="s">
        <v>190</v>
      </c>
      <c r="C191" s="2">
        <v>5428249</v>
      </c>
      <c r="D191" s="8">
        <v>4.2085300000000003E-3</v>
      </c>
    </row>
    <row r="192" spans="1:4" x14ac:dyDescent="0.2">
      <c r="A192" s="1">
        <v>2023</v>
      </c>
      <c r="B192" s="1" t="s">
        <v>191</v>
      </c>
      <c r="C192" s="2">
        <v>1036488</v>
      </c>
      <c r="D192" s="8">
        <v>8.0358999999999997E-4</v>
      </c>
    </row>
    <row r="193" spans="1:4" x14ac:dyDescent="0.2">
      <c r="A193" s="1">
        <v>2023</v>
      </c>
      <c r="B193" s="1" t="s">
        <v>192</v>
      </c>
      <c r="C193" s="2">
        <v>82504</v>
      </c>
      <c r="D193" s="8">
        <v>6.3969999999999999E-5</v>
      </c>
    </row>
    <row r="194" spans="1:4" x14ac:dyDescent="0.2">
      <c r="A194" s="1">
        <v>2023</v>
      </c>
      <c r="B194" s="1" t="s">
        <v>193</v>
      </c>
      <c r="C194" s="2">
        <v>83812</v>
      </c>
      <c r="D194" s="8">
        <v>6.4980000000000005E-5</v>
      </c>
    </row>
    <row r="195" spans="1:4" x14ac:dyDescent="0.2">
      <c r="A195" s="1">
        <v>2023</v>
      </c>
      <c r="B195" s="1" t="s">
        <v>194</v>
      </c>
      <c r="C195" s="2">
        <v>723890</v>
      </c>
      <c r="D195" s="8">
        <v>5.6123000000000002E-4</v>
      </c>
    </row>
    <row r="196" spans="1:4" x14ac:dyDescent="0.2">
      <c r="A196" s="1">
        <v>2023</v>
      </c>
      <c r="B196" s="1" t="s">
        <v>195</v>
      </c>
      <c r="C196" s="2">
        <v>46435</v>
      </c>
      <c r="D196" s="8">
        <v>3.6000000000000001E-5</v>
      </c>
    </row>
    <row r="197" spans="1:4" x14ac:dyDescent="0.2">
      <c r="A197" s="1">
        <v>2023</v>
      </c>
      <c r="B197" s="1" t="s">
        <v>196</v>
      </c>
      <c r="C197" s="2">
        <v>25596</v>
      </c>
      <c r="D197" s="8">
        <v>1.984E-5</v>
      </c>
    </row>
    <row r="198" spans="1:4" x14ac:dyDescent="0.2">
      <c r="A198" s="1">
        <v>2023</v>
      </c>
      <c r="B198" s="1" t="s">
        <v>197</v>
      </c>
      <c r="C198" s="2">
        <v>282246</v>
      </c>
      <c r="D198" s="8">
        <v>2.1882999999999999E-4</v>
      </c>
    </row>
    <row r="199" spans="1:4" x14ac:dyDescent="0.2">
      <c r="A199" s="1">
        <v>2023</v>
      </c>
      <c r="B199" s="1" t="s">
        <v>198</v>
      </c>
      <c r="C199" s="2">
        <v>7391484</v>
      </c>
      <c r="D199" s="8">
        <v>5.7306299999999996E-3</v>
      </c>
    </row>
    <row r="200" spans="1:4" x14ac:dyDescent="0.2">
      <c r="A200" s="1">
        <v>2023</v>
      </c>
      <c r="B200" s="1" t="s">
        <v>199</v>
      </c>
      <c r="C200" s="2">
        <v>1417423</v>
      </c>
      <c r="D200" s="8">
        <v>1.0989299999999999E-3</v>
      </c>
    </row>
    <row r="201" spans="1:4" x14ac:dyDescent="0.2">
      <c r="A201" s="1">
        <v>2023</v>
      </c>
      <c r="B201" s="1" t="s">
        <v>200</v>
      </c>
      <c r="C201" s="2">
        <v>79123</v>
      </c>
      <c r="D201" s="8">
        <v>6.1340000000000006E-5</v>
      </c>
    </row>
    <row r="202" spans="1:4" x14ac:dyDescent="0.2">
      <c r="A202" s="1">
        <v>2023</v>
      </c>
      <c r="B202" s="1" t="s">
        <v>201</v>
      </c>
      <c r="C202" s="2">
        <v>1100908</v>
      </c>
      <c r="D202" s="8">
        <v>8.5353999999999996E-4</v>
      </c>
    </row>
    <row r="203" spans="1:4" x14ac:dyDescent="0.2">
      <c r="A203" s="1">
        <v>2023</v>
      </c>
      <c r="B203" s="1" t="s">
        <v>202</v>
      </c>
      <c r="C203" s="2">
        <v>40308</v>
      </c>
      <c r="D203" s="8">
        <v>3.1250000000000001E-5</v>
      </c>
    </row>
    <row r="204" spans="1:4" x14ac:dyDescent="0.2">
      <c r="A204" s="1">
        <v>2023</v>
      </c>
      <c r="B204" s="1" t="s">
        <v>203</v>
      </c>
      <c r="C204" s="2">
        <v>4453</v>
      </c>
      <c r="D204" s="8">
        <v>3.45E-6</v>
      </c>
    </row>
    <row r="205" spans="1:4" x14ac:dyDescent="0.2">
      <c r="A205" s="1">
        <v>2023</v>
      </c>
      <c r="B205" s="1" t="s">
        <v>204</v>
      </c>
      <c r="C205" s="2">
        <v>79631</v>
      </c>
      <c r="D205" s="8">
        <v>6.1740000000000002E-5</v>
      </c>
    </row>
    <row r="206" spans="1:4" x14ac:dyDescent="0.2">
      <c r="A206" s="1">
        <v>2023</v>
      </c>
      <c r="B206" s="1" t="s">
        <v>205</v>
      </c>
      <c r="C206" s="2">
        <v>145581</v>
      </c>
      <c r="D206" s="8">
        <v>1.1287E-4</v>
      </c>
    </row>
    <row r="207" spans="1:4" x14ac:dyDescent="0.2">
      <c r="A207" s="1">
        <v>2023</v>
      </c>
      <c r="B207" s="1" t="s">
        <v>206</v>
      </c>
      <c r="C207" s="2">
        <v>10538</v>
      </c>
      <c r="D207" s="8">
        <v>8.1699999999999997E-6</v>
      </c>
    </row>
    <row r="208" spans="1:4" x14ac:dyDescent="0.2">
      <c r="A208" s="1">
        <v>2023</v>
      </c>
      <c r="B208" s="1" t="s">
        <v>207</v>
      </c>
      <c r="C208" s="2">
        <v>21084</v>
      </c>
      <c r="D208" s="8">
        <v>1.6350000000000001E-5</v>
      </c>
    </row>
    <row r="209" spans="1:4" x14ac:dyDescent="0.2">
      <c r="A209" s="1">
        <v>2023</v>
      </c>
      <c r="B209" s="1" t="s">
        <v>208</v>
      </c>
      <c r="C209" s="2">
        <v>1298044</v>
      </c>
      <c r="D209" s="8">
        <v>1.0063800000000001E-3</v>
      </c>
    </row>
    <row r="210" spans="1:4" x14ac:dyDescent="0.2">
      <c r="A210" s="1">
        <v>2023</v>
      </c>
      <c r="B210" s="1" t="s">
        <v>209</v>
      </c>
      <c r="C210" s="2">
        <v>3153713</v>
      </c>
      <c r="D210" s="8">
        <v>2.4450800000000001E-3</v>
      </c>
    </row>
    <row r="211" spans="1:4" x14ac:dyDescent="0.2">
      <c r="A211" s="1">
        <v>2023</v>
      </c>
      <c r="B211" s="1" t="s">
        <v>210</v>
      </c>
      <c r="C211" s="2">
        <v>518375</v>
      </c>
      <c r="D211" s="8">
        <v>4.0190000000000001E-4</v>
      </c>
    </row>
    <row r="212" spans="1:4" x14ac:dyDescent="0.2">
      <c r="A212" s="1">
        <v>2023</v>
      </c>
      <c r="B212" s="1" t="s">
        <v>211</v>
      </c>
      <c r="C212" s="2">
        <v>124438</v>
      </c>
      <c r="D212" s="8">
        <v>9.6479999999999998E-5</v>
      </c>
    </row>
    <row r="213" spans="1:4" x14ac:dyDescent="0.2">
      <c r="A213" s="1">
        <v>2023</v>
      </c>
      <c r="B213" s="1" t="s">
        <v>212</v>
      </c>
      <c r="C213" s="2">
        <v>303086</v>
      </c>
      <c r="D213" s="8">
        <v>2.3498E-4</v>
      </c>
    </row>
    <row r="214" spans="1:4" x14ac:dyDescent="0.2">
      <c r="A214" s="1">
        <v>2023</v>
      </c>
      <c r="B214" s="1" t="s">
        <v>213</v>
      </c>
      <c r="C214" s="2">
        <v>1945917</v>
      </c>
      <c r="D214" s="8">
        <v>1.5086699999999999E-3</v>
      </c>
    </row>
    <row r="215" spans="1:4" x14ac:dyDescent="0.2">
      <c r="A215" s="1">
        <v>2023</v>
      </c>
      <c r="B215" s="1" t="s">
        <v>214</v>
      </c>
      <c r="C215" s="2">
        <v>551763</v>
      </c>
      <c r="D215" s="8">
        <v>4.2778E-4</v>
      </c>
    </row>
    <row r="216" spans="1:4" x14ac:dyDescent="0.2">
      <c r="A216" s="1">
        <v>2023</v>
      </c>
      <c r="B216" s="1" t="s">
        <v>215</v>
      </c>
      <c r="C216" s="2">
        <v>24610</v>
      </c>
      <c r="D216" s="8">
        <v>1.908E-5</v>
      </c>
    </row>
    <row r="217" spans="1:4" x14ac:dyDescent="0.2">
      <c r="A217" s="1">
        <v>2023</v>
      </c>
      <c r="B217" s="1" t="s">
        <v>216</v>
      </c>
      <c r="C217" s="2">
        <v>1876330</v>
      </c>
      <c r="D217" s="8">
        <v>1.4547200000000001E-3</v>
      </c>
    </row>
    <row r="218" spans="1:4" x14ac:dyDescent="0.2">
      <c r="A218" s="1">
        <v>2023</v>
      </c>
      <c r="B218" s="1" t="s">
        <v>217</v>
      </c>
      <c r="C218" s="2">
        <v>1894426</v>
      </c>
      <c r="D218" s="8">
        <v>1.46875E-3</v>
      </c>
    </row>
    <row r="219" spans="1:4" x14ac:dyDescent="0.2">
      <c r="A219" s="1">
        <v>2023</v>
      </c>
      <c r="B219" s="1" t="s">
        <v>218</v>
      </c>
      <c r="C219" s="2">
        <v>750456</v>
      </c>
      <c r="D219" s="8">
        <v>5.8182999999999998E-4</v>
      </c>
    </row>
    <row r="220" spans="1:4" x14ac:dyDescent="0.2">
      <c r="A220" s="1">
        <v>2023</v>
      </c>
      <c r="B220" s="1" t="s">
        <v>219</v>
      </c>
      <c r="C220" s="2">
        <v>3256932</v>
      </c>
      <c r="D220" s="8">
        <v>2.5251100000000001E-3</v>
      </c>
    </row>
    <row r="221" spans="1:4" x14ac:dyDescent="0.2">
      <c r="A221" s="1">
        <v>2023</v>
      </c>
      <c r="B221" s="1" t="s">
        <v>220</v>
      </c>
      <c r="C221" s="2">
        <v>2801830</v>
      </c>
      <c r="D221" s="8">
        <v>2.1722600000000001E-3</v>
      </c>
    </row>
    <row r="222" spans="1:4" x14ac:dyDescent="0.2">
      <c r="A222" s="1">
        <v>2023</v>
      </c>
      <c r="B222" s="1" t="s">
        <v>221</v>
      </c>
      <c r="C222" s="2">
        <v>7486</v>
      </c>
      <c r="D222" s="8">
        <v>5.8000000000000004E-6</v>
      </c>
    </row>
    <row r="223" spans="1:4" x14ac:dyDescent="0.2">
      <c r="A223" s="1">
        <v>2023</v>
      </c>
      <c r="B223" s="1" t="s">
        <v>222</v>
      </c>
      <c r="C223" s="2">
        <v>1650373</v>
      </c>
      <c r="D223" s="8">
        <v>1.27954E-3</v>
      </c>
    </row>
    <row r="224" spans="1:4" x14ac:dyDescent="0.2">
      <c r="A224" s="1">
        <v>2023</v>
      </c>
      <c r="B224" s="1" t="s">
        <v>223</v>
      </c>
      <c r="C224" s="2">
        <v>397280</v>
      </c>
      <c r="D224" s="8">
        <v>3.0801E-4</v>
      </c>
    </row>
    <row r="225" spans="1:4" x14ac:dyDescent="0.2">
      <c r="A225" s="1">
        <v>2023</v>
      </c>
      <c r="B225" s="1" t="s">
        <v>224</v>
      </c>
      <c r="C225" s="2">
        <v>1399778</v>
      </c>
      <c r="D225" s="8">
        <v>1.0852500000000001E-3</v>
      </c>
    </row>
    <row r="226" spans="1:4" x14ac:dyDescent="0.2">
      <c r="A226" s="1">
        <v>2023</v>
      </c>
      <c r="B226" s="1" t="s">
        <v>225</v>
      </c>
      <c r="C226" s="2">
        <v>343395</v>
      </c>
      <c r="D226" s="8">
        <v>2.6623E-4</v>
      </c>
    </row>
    <row r="227" spans="1:4" x14ac:dyDescent="0.2">
      <c r="A227" s="1">
        <v>2023</v>
      </c>
      <c r="B227" s="1" t="s">
        <v>226</v>
      </c>
      <c r="C227" s="2">
        <v>1013612</v>
      </c>
      <c r="D227" s="8">
        <v>7.8585999999999999E-4</v>
      </c>
    </row>
    <row r="228" spans="1:4" x14ac:dyDescent="0.2">
      <c r="A228" s="1">
        <v>2023</v>
      </c>
      <c r="B228" s="1" t="s">
        <v>227</v>
      </c>
      <c r="C228" s="2">
        <v>881277</v>
      </c>
      <c r="D228" s="8">
        <v>6.8325999999999999E-4</v>
      </c>
    </row>
    <row r="229" spans="1:4" x14ac:dyDescent="0.2">
      <c r="A229" s="1">
        <v>2023</v>
      </c>
      <c r="B229" s="1" t="s">
        <v>228</v>
      </c>
      <c r="C229" s="2">
        <v>4265710</v>
      </c>
      <c r="D229" s="8">
        <v>3.3072100000000001E-3</v>
      </c>
    </row>
    <row r="230" spans="1:4" x14ac:dyDescent="0.2">
      <c r="A230" s="1">
        <v>2023</v>
      </c>
      <c r="B230" s="1" t="s">
        <v>229</v>
      </c>
      <c r="C230" s="2">
        <v>37215</v>
      </c>
      <c r="D230" s="8">
        <v>2.885E-5</v>
      </c>
    </row>
    <row r="231" spans="1:4" x14ac:dyDescent="0.2">
      <c r="A231" s="1">
        <v>2023</v>
      </c>
      <c r="B231" s="1" t="s">
        <v>230</v>
      </c>
      <c r="C231" s="2">
        <v>139528</v>
      </c>
      <c r="D231" s="8">
        <v>1.0818E-4</v>
      </c>
    </row>
    <row r="232" spans="1:4" x14ac:dyDescent="0.2">
      <c r="A232" s="1">
        <v>2023</v>
      </c>
      <c r="B232" s="1" t="s">
        <v>231</v>
      </c>
      <c r="C232" s="2">
        <v>170835</v>
      </c>
      <c r="D232" s="8">
        <v>1.3244999999999999E-4</v>
      </c>
    </row>
    <row r="233" spans="1:4" x14ac:dyDescent="0.2">
      <c r="A233" s="1">
        <v>2023</v>
      </c>
      <c r="B233" s="1" t="s">
        <v>232</v>
      </c>
      <c r="C233" s="2">
        <v>325056</v>
      </c>
      <c r="D233" s="8">
        <v>2.5201999999999999E-4</v>
      </c>
    </row>
    <row r="234" spans="1:4" x14ac:dyDescent="0.2">
      <c r="A234" s="1">
        <v>2023</v>
      </c>
      <c r="B234" s="1" t="s">
        <v>233</v>
      </c>
      <c r="C234" s="2">
        <v>120075</v>
      </c>
      <c r="D234" s="8">
        <v>9.3090000000000005E-5</v>
      </c>
    </row>
    <row r="235" spans="1:4" x14ac:dyDescent="0.2">
      <c r="A235" s="1">
        <v>2023</v>
      </c>
      <c r="B235" s="1" t="s">
        <v>234</v>
      </c>
      <c r="C235" s="2">
        <v>17385</v>
      </c>
      <c r="D235" s="8">
        <v>1.348E-5</v>
      </c>
    </row>
    <row r="236" spans="1:4" x14ac:dyDescent="0.2">
      <c r="A236" s="1">
        <v>2023</v>
      </c>
      <c r="B236" s="1" t="s">
        <v>235</v>
      </c>
      <c r="C236" s="2">
        <v>309657</v>
      </c>
      <c r="D236" s="8">
        <v>2.4007999999999999E-4</v>
      </c>
    </row>
    <row r="237" spans="1:4" x14ac:dyDescent="0.2">
      <c r="A237" s="1">
        <v>2023</v>
      </c>
      <c r="B237" s="1" t="s">
        <v>236</v>
      </c>
      <c r="C237" s="2">
        <v>27806</v>
      </c>
      <c r="D237" s="8">
        <v>2.156E-5</v>
      </c>
    </row>
    <row r="238" spans="1:4" x14ac:dyDescent="0.2">
      <c r="A238" s="1">
        <v>2023</v>
      </c>
      <c r="B238" s="1" t="s">
        <v>237</v>
      </c>
      <c r="C238" s="2">
        <v>2028871</v>
      </c>
      <c r="D238" s="8">
        <v>1.57299E-3</v>
      </c>
    </row>
    <row r="239" spans="1:4" x14ac:dyDescent="0.2">
      <c r="A239" s="1">
        <v>2023</v>
      </c>
      <c r="B239" s="1" t="s">
        <v>238</v>
      </c>
      <c r="C239" s="2">
        <v>578610</v>
      </c>
      <c r="D239" s="8">
        <v>4.4860000000000001E-4</v>
      </c>
    </row>
    <row r="240" spans="1:4" x14ac:dyDescent="0.2">
      <c r="A240" s="1">
        <v>2023</v>
      </c>
      <c r="B240" s="1" t="s">
        <v>239</v>
      </c>
      <c r="C240" s="2">
        <v>104985</v>
      </c>
      <c r="D240" s="8">
        <v>8.14E-5</v>
      </c>
    </row>
    <row r="241" spans="1:4" x14ac:dyDescent="0.2">
      <c r="A241" s="1">
        <v>2023</v>
      </c>
      <c r="B241" s="1" t="s">
        <v>240</v>
      </c>
      <c r="C241" s="2">
        <v>4519685</v>
      </c>
      <c r="D241" s="8">
        <v>3.5041199999999999E-3</v>
      </c>
    </row>
    <row r="242" spans="1:4" x14ac:dyDescent="0.2">
      <c r="A242" s="1">
        <v>2023</v>
      </c>
      <c r="B242" s="1" t="s">
        <v>241</v>
      </c>
      <c r="C242" s="2">
        <v>1237953</v>
      </c>
      <c r="D242" s="8">
        <v>9.5978999999999997E-4</v>
      </c>
    </row>
    <row r="243" spans="1:4" x14ac:dyDescent="0.2">
      <c r="A243" s="1">
        <v>2023</v>
      </c>
      <c r="B243" s="1" t="s">
        <v>242</v>
      </c>
      <c r="C243" s="2">
        <v>94909</v>
      </c>
      <c r="D243" s="8">
        <v>7.3579999999999997E-5</v>
      </c>
    </row>
    <row r="244" spans="1:4" x14ac:dyDescent="0.2">
      <c r="A244" s="1">
        <v>2023</v>
      </c>
      <c r="B244" s="1" t="s">
        <v>243</v>
      </c>
      <c r="C244" s="2">
        <v>17838</v>
      </c>
      <c r="D244" s="8">
        <v>1.383E-5</v>
      </c>
    </row>
    <row r="245" spans="1:4" x14ac:dyDescent="0.2">
      <c r="A245" s="1">
        <v>2023</v>
      </c>
      <c r="B245" s="1" t="s">
        <v>244</v>
      </c>
      <c r="C245" s="2">
        <v>626940</v>
      </c>
      <c r="D245" s="8">
        <v>4.8607000000000001E-4</v>
      </c>
    </row>
    <row r="246" spans="1:4" x14ac:dyDescent="0.2">
      <c r="A246" s="1">
        <v>2023</v>
      </c>
      <c r="B246" s="1" t="s">
        <v>869</v>
      </c>
      <c r="C246" s="2">
        <v>5232731</v>
      </c>
      <c r="D246" s="8">
        <v>4.0569500000000001E-3</v>
      </c>
    </row>
    <row r="247" spans="1:4" x14ac:dyDescent="0.2">
      <c r="A247" s="1">
        <v>2023</v>
      </c>
      <c r="B247" s="1" t="s">
        <v>870</v>
      </c>
      <c r="C247" s="2">
        <v>41079</v>
      </c>
      <c r="D247" s="8">
        <v>3.1850000000000002E-5</v>
      </c>
    </row>
    <row r="248" spans="1:4" x14ac:dyDescent="0.2">
      <c r="A248" s="1">
        <v>2023</v>
      </c>
      <c r="B248" s="1" t="s">
        <v>247</v>
      </c>
      <c r="C248" s="2">
        <v>1034998</v>
      </c>
      <c r="D248" s="8">
        <v>8.0243999999999997E-4</v>
      </c>
    </row>
    <row r="249" spans="1:4" x14ac:dyDescent="0.2">
      <c r="A249" s="1">
        <v>2023</v>
      </c>
      <c r="B249" s="1" t="s">
        <v>248</v>
      </c>
      <c r="C249" s="2">
        <v>734216</v>
      </c>
      <c r="D249" s="8">
        <v>5.6924000000000005E-4</v>
      </c>
    </row>
    <row r="250" spans="1:4" x14ac:dyDescent="0.2">
      <c r="A250" s="1">
        <v>2023</v>
      </c>
      <c r="B250" s="1" t="s">
        <v>249</v>
      </c>
      <c r="C250" s="2">
        <v>5262</v>
      </c>
      <c r="D250" s="8">
        <v>4.0799999999999999E-6</v>
      </c>
    </row>
    <row r="251" spans="1:4" x14ac:dyDescent="0.2">
      <c r="A251" s="1">
        <v>2023</v>
      </c>
      <c r="B251" s="1" t="s">
        <v>250</v>
      </c>
      <c r="C251" s="2">
        <v>17674</v>
      </c>
      <c r="D251" s="8">
        <v>1.3699999999999999E-5</v>
      </c>
    </row>
    <row r="252" spans="1:4" x14ac:dyDescent="0.2">
      <c r="A252" s="1">
        <v>2023</v>
      </c>
      <c r="B252" s="1" t="s">
        <v>251</v>
      </c>
      <c r="C252" s="2">
        <v>4513455</v>
      </c>
      <c r="D252" s="8">
        <v>3.49929E-3</v>
      </c>
    </row>
    <row r="253" spans="1:4" x14ac:dyDescent="0.2">
      <c r="A253" s="1">
        <v>2023</v>
      </c>
      <c r="B253" s="1" t="s">
        <v>252</v>
      </c>
      <c r="C253" s="2">
        <v>35665</v>
      </c>
      <c r="D253" s="8">
        <v>2.7650000000000001E-5</v>
      </c>
    </row>
    <row r="254" spans="1:4" x14ac:dyDescent="0.2">
      <c r="A254" s="1">
        <v>2023</v>
      </c>
      <c r="B254" s="1" t="s">
        <v>253</v>
      </c>
      <c r="C254" s="2">
        <v>90769</v>
      </c>
      <c r="D254" s="8">
        <v>7.0370000000000006E-5</v>
      </c>
    </row>
    <row r="255" spans="1:4" x14ac:dyDescent="0.2">
      <c r="A255" s="1">
        <v>2023</v>
      </c>
      <c r="B255" s="1" t="s">
        <v>254</v>
      </c>
      <c r="C255" s="2">
        <v>4961257</v>
      </c>
      <c r="D255" s="8">
        <v>3.8464699999999998E-3</v>
      </c>
    </row>
    <row r="256" spans="1:4" x14ac:dyDescent="0.2">
      <c r="A256" s="1">
        <v>2023</v>
      </c>
      <c r="B256" s="1" t="s">
        <v>255</v>
      </c>
      <c r="C256" s="2">
        <v>7146342</v>
      </c>
      <c r="D256" s="8">
        <v>5.5405699999999999E-3</v>
      </c>
    </row>
    <row r="257" spans="1:4" x14ac:dyDescent="0.2">
      <c r="A257" s="1">
        <v>2023</v>
      </c>
      <c r="B257" s="1" t="s">
        <v>871</v>
      </c>
      <c r="C257" s="2">
        <v>398985</v>
      </c>
      <c r="D257" s="8">
        <v>3.0933000000000002E-4</v>
      </c>
    </row>
    <row r="258" spans="1:4" x14ac:dyDescent="0.2">
      <c r="A258" s="1">
        <v>2023</v>
      </c>
      <c r="B258" s="1" t="s">
        <v>257</v>
      </c>
      <c r="C258" s="2">
        <v>4703410</v>
      </c>
      <c r="D258" s="8">
        <v>3.6465600000000001E-3</v>
      </c>
    </row>
    <row r="259" spans="1:4" x14ac:dyDescent="0.2">
      <c r="A259" s="1">
        <v>2023</v>
      </c>
      <c r="B259" s="1" t="s">
        <v>258</v>
      </c>
      <c r="C259" s="2">
        <v>2436957</v>
      </c>
      <c r="D259" s="8">
        <v>1.88938E-3</v>
      </c>
    </row>
    <row r="260" spans="1:4" x14ac:dyDescent="0.2">
      <c r="A260" s="1">
        <v>2023</v>
      </c>
      <c r="B260" s="1" t="s">
        <v>259</v>
      </c>
      <c r="C260" s="2">
        <v>205372</v>
      </c>
      <c r="D260" s="8">
        <v>1.5923000000000001E-4</v>
      </c>
    </row>
    <row r="261" spans="1:4" x14ac:dyDescent="0.2">
      <c r="A261" s="1">
        <v>2023</v>
      </c>
      <c r="B261" s="1" t="s">
        <v>260</v>
      </c>
      <c r="C261" s="2">
        <v>139110</v>
      </c>
      <c r="D261" s="8">
        <v>1.0785000000000001E-4</v>
      </c>
    </row>
    <row r="262" spans="1:4" x14ac:dyDescent="0.2">
      <c r="A262" s="1">
        <v>2023</v>
      </c>
      <c r="B262" s="1" t="s">
        <v>261</v>
      </c>
      <c r="C262" s="2">
        <v>23735</v>
      </c>
      <c r="D262" s="8">
        <v>1.84E-5</v>
      </c>
    </row>
    <row r="263" spans="1:4" x14ac:dyDescent="0.2">
      <c r="A263" s="1">
        <v>2023</v>
      </c>
      <c r="B263" s="1" t="s">
        <v>262</v>
      </c>
      <c r="C263" s="2">
        <v>241121</v>
      </c>
      <c r="D263" s="8">
        <v>1.8694E-4</v>
      </c>
    </row>
    <row r="264" spans="1:4" x14ac:dyDescent="0.2">
      <c r="A264" s="1">
        <v>2023</v>
      </c>
      <c r="B264" s="1" t="s">
        <v>263</v>
      </c>
      <c r="C264" s="2">
        <v>11970</v>
      </c>
      <c r="D264" s="8">
        <v>9.2799999999999992E-6</v>
      </c>
    </row>
    <row r="265" spans="1:4" x14ac:dyDescent="0.2">
      <c r="A265" s="1">
        <v>2023</v>
      </c>
      <c r="B265" s="1" t="s">
        <v>264</v>
      </c>
      <c r="C265" s="2">
        <v>155313</v>
      </c>
      <c r="D265" s="8">
        <v>1.2040999999999999E-4</v>
      </c>
    </row>
    <row r="266" spans="1:4" x14ac:dyDescent="0.2">
      <c r="A266" s="1">
        <v>2023</v>
      </c>
      <c r="B266" s="1" t="s">
        <v>265</v>
      </c>
      <c r="C266" s="2">
        <v>82952</v>
      </c>
      <c r="D266" s="8">
        <v>6.4309999999999999E-5</v>
      </c>
    </row>
    <row r="267" spans="1:4" x14ac:dyDescent="0.2">
      <c r="A267" s="1">
        <v>2023</v>
      </c>
      <c r="B267" s="1" t="s">
        <v>266</v>
      </c>
      <c r="C267" s="2">
        <v>9861</v>
      </c>
      <c r="D267" s="8">
        <v>7.6399999999999997E-6</v>
      </c>
    </row>
    <row r="268" spans="1:4" x14ac:dyDescent="0.2">
      <c r="A268" s="1">
        <v>2023</v>
      </c>
      <c r="B268" s="1" t="s">
        <v>267</v>
      </c>
      <c r="C268" s="2">
        <v>16144301</v>
      </c>
      <c r="D268" s="8">
        <v>1.251671E-2</v>
      </c>
    </row>
    <row r="269" spans="1:4" x14ac:dyDescent="0.2">
      <c r="A269" s="1">
        <v>2023</v>
      </c>
      <c r="B269" s="1" t="s">
        <v>268</v>
      </c>
      <c r="C269" s="2">
        <v>7124686</v>
      </c>
      <c r="D269" s="8">
        <v>5.5237799999999998E-3</v>
      </c>
    </row>
    <row r="270" spans="1:4" x14ac:dyDescent="0.2">
      <c r="A270" s="1">
        <v>2023</v>
      </c>
      <c r="B270" s="1" t="s">
        <v>269</v>
      </c>
      <c r="C270" s="2">
        <v>168985</v>
      </c>
      <c r="D270" s="8">
        <v>1.3101000000000001E-4</v>
      </c>
    </row>
    <row r="271" spans="1:4" x14ac:dyDescent="0.2">
      <c r="A271" s="1">
        <v>2023</v>
      </c>
      <c r="B271" s="1" t="s">
        <v>270</v>
      </c>
      <c r="C271" s="2">
        <v>133109</v>
      </c>
      <c r="D271" s="8">
        <v>1.032E-4</v>
      </c>
    </row>
    <row r="272" spans="1:4" x14ac:dyDescent="0.2">
      <c r="A272" s="1">
        <v>2023</v>
      </c>
      <c r="B272" s="1" t="s">
        <v>271</v>
      </c>
      <c r="C272" s="2">
        <v>3881</v>
      </c>
      <c r="D272" s="8">
        <v>3.01E-6</v>
      </c>
    </row>
    <row r="273" spans="1:4" x14ac:dyDescent="0.2">
      <c r="A273" s="1">
        <v>2023</v>
      </c>
      <c r="B273" s="1" t="s">
        <v>272</v>
      </c>
      <c r="C273" s="2">
        <v>245176</v>
      </c>
      <c r="D273" s="8">
        <v>1.9008999999999999E-4</v>
      </c>
    </row>
    <row r="274" spans="1:4" x14ac:dyDescent="0.2">
      <c r="A274" s="1">
        <v>2023</v>
      </c>
      <c r="B274" s="1" t="s">
        <v>273</v>
      </c>
      <c r="C274" s="2">
        <v>272320</v>
      </c>
      <c r="D274" s="8">
        <v>2.1112999999999999E-4</v>
      </c>
    </row>
    <row r="275" spans="1:4" x14ac:dyDescent="0.2">
      <c r="A275" s="1">
        <v>2023</v>
      </c>
      <c r="B275" s="1" t="s">
        <v>274</v>
      </c>
      <c r="C275" s="2">
        <v>143154</v>
      </c>
      <c r="D275" s="8">
        <v>1.1099000000000001E-4</v>
      </c>
    </row>
    <row r="276" spans="1:4" x14ac:dyDescent="0.2">
      <c r="A276" s="1">
        <v>2023</v>
      </c>
      <c r="B276" s="1" t="s">
        <v>275</v>
      </c>
      <c r="C276" s="2">
        <v>17272</v>
      </c>
      <c r="D276" s="8">
        <v>1.3390000000000001E-5</v>
      </c>
    </row>
    <row r="277" spans="1:4" x14ac:dyDescent="0.2">
      <c r="A277" s="1">
        <v>2023</v>
      </c>
      <c r="B277" s="1" t="s">
        <v>276</v>
      </c>
      <c r="C277" s="2">
        <v>4695701</v>
      </c>
      <c r="D277" s="8">
        <v>3.64059E-3</v>
      </c>
    </row>
    <row r="278" spans="1:4" x14ac:dyDescent="0.2">
      <c r="A278" s="1">
        <v>2023</v>
      </c>
      <c r="B278" s="1" t="s">
        <v>277</v>
      </c>
      <c r="C278" s="2">
        <v>85610</v>
      </c>
      <c r="D278" s="8">
        <v>6.6370000000000003E-5</v>
      </c>
    </row>
    <row r="279" spans="1:4" x14ac:dyDescent="0.2">
      <c r="A279" s="1">
        <v>2023</v>
      </c>
      <c r="B279" s="1" t="s">
        <v>278</v>
      </c>
      <c r="C279" s="2">
        <v>4569413</v>
      </c>
      <c r="D279" s="8">
        <v>3.5426699999999999E-3</v>
      </c>
    </row>
    <row r="280" spans="1:4" x14ac:dyDescent="0.2">
      <c r="A280" s="1">
        <v>2023</v>
      </c>
      <c r="B280" s="1" t="s">
        <v>279</v>
      </c>
      <c r="C280" s="2">
        <v>65937</v>
      </c>
      <c r="D280" s="8">
        <v>5.1119999999999998E-5</v>
      </c>
    </row>
    <row r="281" spans="1:4" x14ac:dyDescent="0.2">
      <c r="A281" s="1">
        <v>2023</v>
      </c>
      <c r="B281" s="1" t="s">
        <v>872</v>
      </c>
      <c r="C281" s="2">
        <v>118906</v>
      </c>
      <c r="D281" s="8">
        <v>9.2189999999999997E-5</v>
      </c>
    </row>
    <row r="282" spans="1:4" x14ac:dyDescent="0.2">
      <c r="A282" s="1">
        <v>2023</v>
      </c>
      <c r="B282" s="1" t="s">
        <v>281</v>
      </c>
      <c r="C282" s="2">
        <v>266173</v>
      </c>
      <c r="D282" s="8">
        <v>2.0636E-4</v>
      </c>
    </row>
    <row r="283" spans="1:4" x14ac:dyDescent="0.2">
      <c r="A283" s="1">
        <v>2023</v>
      </c>
      <c r="B283" s="1" t="s">
        <v>282</v>
      </c>
      <c r="C283" s="2">
        <v>31019</v>
      </c>
      <c r="D283" s="8">
        <v>2.4049999999999998E-5</v>
      </c>
    </row>
    <row r="284" spans="1:4" x14ac:dyDescent="0.2">
      <c r="A284" s="1">
        <v>2023</v>
      </c>
      <c r="B284" s="1" t="s">
        <v>283</v>
      </c>
      <c r="C284" s="2">
        <v>1596393</v>
      </c>
      <c r="D284" s="8">
        <v>1.2376900000000001E-3</v>
      </c>
    </row>
    <row r="285" spans="1:4" x14ac:dyDescent="0.2">
      <c r="A285" s="1">
        <v>2023</v>
      </c>
      <c r="B285" s="1" t="s">
        <v>284</v>
      </c>
      <c r="C285" s="2">
        <v>70333</v>
      </c>
      <c r="D285" s="8">
        <v>5.4530000000000001E-5</v>
      </c>
    </row>
    <row r="286" spans="1:4" x14ac:dyDescent="0.2">
      <c r="A286" s="1">
        <v>2023</v>
      </c>
      <c r="B286" s="1" t="s">
        <v>285</v>
      </c>
      <c r="C286" s="2">
        <v>1635560</v>
      </c>
      <c r="D286" s="8">
        <v>1.2680499999999999E-3</v>
      </c>
    </row>
    <row r="287" spans="1:4" x14ac:dyDescent="0.2">
      <c r="A287" s="1">
        <v>2023</v>
      </c>
      <c r="B287" s="1" t="s">
        <v>286</v>
      </c>
      <c r="C287" s="2">
        <v>30144</v>
      </c>
      <c r="D287" s="8">
        <v>2.3370000000000002E-5</v>
      </c>
    </row>
    <row r="288" spans="1:4" x14ac:dyDescent="0.2">
      <c r="A288" s="1">
        <v>2023</v>
      </c>
      <c r="B288" s="1" t="s">
        <v>287</v>
      </c>
      <c r="C288" s="2">
        <v>26004</v>
      </c>
      <c r="D288" s="8">
        <v>2.016E-5</v>
      </c>
    </row>
    <row r="289" spans="1:4" x14ac:dyDescent="0.2">
      <c r="A289" s="1">
        <v>2023</v>
      </c>
      <c r="B289" s="1" t="s">
        <v>288</v>
      </c>
      <c r="C289" s="2">
        <v>4824132</v>
      </c>
      <c r="D289" s="8">
        <v>3.7401600000000002E-3</v>
      </c>
    </row>
    <row r="290" spans="1:4" x14ac:dyDescent="0.2">
      <c r="A290" s="1">
        <v>2023</v>
      </c>
      <c r="B290" s="1" t="s">
        <v>289</v>
      </c>
      <c r="C290" s="2">
        <v>5224704</v>
      </c>
      <c r="D290" s="8">
        <v>4.0507199999999998E-3</v>
      </c>
    </row>
    <row r="291" spans="1:4" x14ac:dyDescent="0.2">
      <c r="A291" s="1">
        <v>2023</v>
      </c>
      <c r="B291" s="1" t="s">
        <v>290</v>
      </c>
      <c r="C291" s="2">
        <v>128717</v>
      </c>
      <c r="D291" s="8">
        <v>9.9790000000000005E-5</v>
      </c>
    </row>
    <row r="292" spans="1:4" x14ac:dyDescent="0.2">
      <c r="A292" s="1">
        <v>2023</v>
      </c>
      <c r="B292" s="1" t="s">
        <v>291</v>
      </c>
      <c r="C292" s="2">
        <v>194646</v>
      </c>
      <c r="D292" s="8">
        <v>1.5091E-4</v>
      </c>
    </row>
    <row r="293" spans="1:4" x14ac:dyDescent="0.2">
      <c r="A293" s="1">
        <v>2023</v>
      </c>
      <c r="B293" s="1" t="s">
        <v>292</v>
      </c>
      <c r="C293" s="2">
        <v>10011</v>
      </c>
      <c r="D293" s="8">
        <v>7.7600000000000002E-6</v>
      </c>
    </row>
    <row r="294" spans="1:4" x14ac:dyDescent="0.2">
      <c r="A294" s="1">
        <v>2023</v>
      </c>
      <c r="B294" s="1" t="s">
        <v>293</v>
      </c>
      <c r="C294" s="2">
        <v>9194661</v>
      </c>
      <c r="D294" s="8">
        <v>7.1286400000000003E-3</v>
      </c>
    </row>
    <row r="295" spans="1:4" x14ac:dyDescent="0.2">
      <c r="A295" s="1">
        <v>2023</v>
      </c>
      <c r="B295" s="1" t="s">
        <v>294</v>
      </c>
      <c r="C295" s="2">
        <v>118365</v>
      </c>
      <c r="D295" s="8">
        <v>9.1769999999999997E-5</v>
      </c>
    </row>
    <row r="296" spans="1:4" x14ac:dyDescent="0.2">
      <c r="A296" s="1">
        <v>2023</v>
      </c>
      <c r="B296" s="1" t="s">
        <v>295</v>
      </c>
      <c r="C296" s="2">
        <v>761927</v>
      </c>
      <c r="D296" s="8">
        <v>5.9071999999999998E-4</v>
      </c>
    </row>
    <row r="297" spans="1:4" x14ac:dyDescent="0.2">
      <c r="A297" s="1">
        <v>2023</v>
      </c>
      <c r="B297" s="1" t="s">
        <v>296</v>
      </c>
      <c r="C297" s="2">
        <v>527892</v>
      </c>
      <c r="D297" s="8">
        <v>4.0927999999999998E-4</v>
      </c>
    </row>
    <row r="298" spans="1:4" x14ac:dyDescent="0.2">
      <c r="A298" s="1">
        <v>2023</v>
      </c>
      <c r="B298" s="1" t="s">
        <v>297</v>
      </c>
      <c r="C298" s="2">
        <v>19901</v>
      </c>
      <c r="D298" s="8">
        <v>1.543E-5</v>
      </c>
    </row>
    <row r="299" spans="1:4" x14ac:dyDescent="0.2">
      <c r="A299" s="1">
        <v>2023</v>
      </c>
      <c r="B299" s="1" t="s">
        <v>298</v>
      </c>
      <c r="C299" s="2">
        <v>1381759</v>
      </c>
      <c r="D299" s="8">
        <v>1.07128E-3</v>
      </c>
    </row>
    <row r="300" spans="1:4" x14ac:dyDescent="0.2">
      <c r="A300" s="1">
        <v>2023</v>
      </c>
      <c r="B300" s="1" t="s">
        <v>299</v>
      </c>
      <c r="C300" s="2">
        <v>645869</v>
      </c>
      <c r="D300" s="8">
        <v>5.0073999999999995E-4</v>
      </c>
    </row>
    <row r="301" spans="1:4" x14ac:dyDescent="0.2">
      <c r="A301" s="1">
        <v>2023</v>
      </c>
      <c r="B301" s="1" t="s">
        <v>300</v>
      </c>
      <c r="C301" s="2">
        <v>847042</v>
      </c>
      <c r="D301" s="8">
        <v>6.5671000000000002E-4</v>
      </c>
    </row>
    <row r="302" spans="1:4" x14ac:dyDescent="0.2">
      <c r="A302" s="1">
        <v>2023</v>
      </c>
      <c r="B302" s="1" t="s">
        <v>873</v>
      </c>
      <c r="C302" s="2">
        <v>3322</v>
      </c>
      <c r="D302" s="8">
        <v>2.5799999999999999E-6</v>
      </c>
    </row>
    <row r="303" spans="1:4" x14ac:dyDescent="0.2">
      <c r="A303" s="1">
        <v>2023</v>
      </c>
      <c r="B303" s="1" t="s">
        <v>301</v>
      </c>
      <c r="C303" s="2">
        <v>3890655</v>
      </c>
      <c r="D303" s="8">
        <v>3.0164300000000001E-3</v>
      </c>
    </row>
    <row r="304" spans="1:4" x14ac:dyDescent="0.2">
      <c r="A304" s="1">
        <v>2023</v>
      </c>
      <c r="B304" s="1" t="s">
        <v>302</v>
      </c>
      <c r="C304" s="2">
        <v>3211309</v>
      </c>
      <c r="D304" s="8">
        <v>2.4897299999999999E-3</v>
      </c>
    </row>
    <row r="305" spans="1:4" x14ac:dyDescent="0.2">
      <c r="A305" s="1">
        <v>2023</v>
      </c>
      <c r="B305" s="1" t="s">
        <v>303</v>
      </c>
      <c r="C305" s="2">
        <v>1796922</v>
      </c>
      <c r="D305" s="8">
        <v>1.3931600000000001E-3</v>
      </c>
    </row>
    <row r="306" spans="1:4" x14ac:dyDescent="0.2">
      <c r="A306" s="1">
        <v>2023</v>
      </c>
      <c r="B306" s="1" t="s">
        <v>304</v>
      </c>
      <c r="C306" s="2">
        <v>45259</v>
      </c>
      <c r="D306" s="8">
        <v>3.5089999999999998E-5</v>
      </c>
    </row>
    <row r="307" spans="1:4" x14ac:dyDescent="0.2">
      <c r="A307" s="1">
        <v>2023</v>
      </c>
      <c r="B307" s="1" t="s">
        <v>305</v>
      </c>
      <c r="C307" s="2">
        <v>1499006</v>
      </c>
      <c r="D307" s="8">
        <v>1.1621800000000001E-3</v>
      </c>
    </row>
    <row r="308" spans="1:4" x14ac:dyDescent="0.2">
      <c r="A308" s="1">
        <v>2023</v>
      </c>
      <c r="B308" s="1" t="s">
        <v>306</v>
      </c>
      <c r="C308" s="2">
        <v>241764</v>
      </c>
      <c r="D308" s="8">
        <v>1.8744000000000001E-4</v>
      </c>
    </row>
    <row r="309" spans="1:4" x14ac:dyDescent="0.2">
      <c r="A309" s="1">
        <v>2023</v>
      </c>
      <c r="B309" s="1" t="s">
        <v>307</v>
      </c>
      <c r="C309" s="2">
        <v>4050788</v>
      </c>
      <c r="D309" s="8">
        <v>3.14058E-3</v>
      </c>
    </row>
    <row r="310" spans="1:4" x14ac:dyDescent="0.2">
      <c r="A310" s="1">
        <v>2023</v>
      </c>
      <c r="B310" s="1" t="s">
        <v>308</v>
      </c>
      <c r="C310" s="2">
        <v>1549215</v>
      </c>
      <c r="D310" s="8">
        <v>1.20111E-3</v>
      </c>
    </row>
    <row r="311" spans="1:4" x14ac:dyDescent="0.2">
      <c r="A311" s="1">
        <v>2023</v>
      </c>
      <c r="B311" s="1" t="s">
        <v>309</v>
      </c>
      <c r="C311" s="2">
        <v>807907</v>
      </c>
      <c r="D311" s="8">
        <v>6.2637000000000001E-4</v>
      </c>
    </row>
    <row r="312" spans="1:4" x14ac:dyDescent="0.2">
      <c r="A312" s="1">
        <v>2023</v>
      </c>
      <c r="B312" s="1" t="s">
        <v>310</v>
      </c>
      <c r="C312" s="2">
        <v>9249</v>
      </c>
      <c r="D312" s="8">
        <v>7.17E-6</v>
      </c>
    </row>
    <row r="313" spans="1:4" x14ac:dyDescent="0.2">
      <c r="A313" s="1">
        <v>2023</v>
      </c>
      <c r="B313" s="1" t="s">
        <v>311</v>
      </c>
      <c r="C313" s="2">
        <v>544738</v>
      </c>
      <c r="D313" s="8">
        <v>4.2234E-4</v>
      </c>
    </row>
    <row r="314" spans="1:4" x14ac:dyDescent="0.2">
      <c r="A314" s="1">
        <v>2023</v>
      </c>
      <c r="B314" s="1" t="s">
        <v>312</v>
      </c>
      <c r="C314" s="2">
        <v>391224</v>
      </c>
      <c r="D314" s="8">
        <v>3.0331999999999999E-4</v>
      </c>
    </row>
    <row r="315" spans="1:4" x14ac:dyDescent="0.2">
      <c r="A315" s="1">
        <v>2023</v>
      </c>
      <c r="B315" s="1" t="s">
        <v>313</v>
      </c>
      <c r="C315" s="2">
        <v>1294475</v>
      </c>
      <c r="D315" s="8">
        <v>1.00361E-3</v>
      </c>
    </row>
    <row r="316" spans="1:4" x14ac:dyDescent="0.2">
      <c r="A316" s="1">
        <v>2023</v>
      </c>
      <c r="B316" s="1" t="s">
        <v>314</v>
      </c>
      <c r="C316" s="2">
        <v>1196426</v>
      </c>
      <c r="D316" s="8">
        <v>9.2758999999999995E-4</v>
      </c>
    </row>
    <row r="317" spans="1:4" x14ac:dyDescent="0.2">
      <c r="A317" s="1">
        <v>2023</v>
      </c>
      <c r="B317" s="1" t="s">
        <v>315</v>
      </c>
      <c r="C317" s="2">
        <v>70538</v>
      </c>
      <c r="D317" s="8">
        <v>5.469E-5</v>
      </c>
    </row>
    <row r="318" spans="1:4" x14ac:dyDescent="0.2">
      <c r="A318" s="1">
        <v>2023</v>
      </c>
      <c r="B318" s="1" t="s">
        <v>316</v>
      </c>
      <c r="C318" s="2">
        <v>379998</v>
      </c>
      <c r="D318" s="8">
        <v>2.9461E-4</v>
      </c>
    </row>
    <row r="319" spans="1:4" x14ac:dyDescent="0.2">
      <c r="A319" s="1">
        <v>2023</v>
      </c>
      <c r="B319" s="1" t="s">
        <v>317</v>
      </c>
      <c r="C319" s="2">
        <v>3742731</v>
      </c>
      <c r="D319" s="8">
        <v>2.9017499999999998E-3</v>
      </c>
    </row>
    <row r="320" spans="1:4" x14ac:dyDescent="0.2">
      <c r="A320" s="1">
        <v>2023</v>
      </c>
      <c r="B320" s="1" t="s">
        <v>318</v>
      </c>
      <c r="C320" s="2">
        <v>840429</v>
      </c>
      <c r="D320" s="8">
        <v>6.5158999999999996E-4</v>
      </c>
    </row>
    <row r="321" spans="1:4" x14ac:dyDescent="0.2">
      <c r="A321" s="1">
        <v>2023</v>
      </c>
      <c r="B321" s="1" t="s">
        <v>319</v>
      </c>
      <c r="C321" s="2">
        <v>4698</v>
      </c>
      <c r="D321" s="8">
        <v>3.6399999999999999E-6</v>
      </c>
    </row>
    <row r="322" spans="1:4" x14ac:dyDescent="0.2">
      <c r="A322" s="1">
        <v>2023</v>
      </c>
      <c r="B322" s="1" t="s">
        <v>320</v>
      </c>
      <c r="C322" s="2">
        <v>4092639</v>
      </c>
      <c r="D322" s="8">
        <v>3.1730299999999999E-3</v>
      </c>
    </row>
    <row r="323" spans="1:4" x14ac:dyDescent="0.2">
      <c r="A323" s="1">
        <v>2023</v>
      </c>
      <c r="B323" s="1" t="s">
        <v>321</v>
      </c>
      <c r="C323" s="2">
        <v>87908</v>
      </c>
      <c r="D323" s="8">
        <v>6.8159999999999998E-5</v>
      </c>
    </row>
    <row r="324" spans="1:4" x14ac:dyDescent="0.2">
      <c r="A324" s="1">
        <v>2023</v>
      </c>
      <c r="B324" s="1" t="s">
        <v>322</v>
      </c>
      <c r="C324" s="2">
        <v>18791</v>
      </c>
      <c r="D324" s="8">
        <v>1.4569999999999999E-5</v>
      </c>
    </row>
    <row r="325" spans="1:4" x14ac:dyDescent="0.2">
      <c r="A325" s="1">
        <v>2023</v>
      </c>
      <c r="B325" s="1" t="s">
        <v>323</v>
      </c>
      <c r="C325" s="2">
        <v>251383</v>
      </c>
      <c r="D325" s="8">
        <v>1.9489999999999999E-4</v>
      </c>
    </row>
    <row r="326" spans="1:4" x14ac:dyDescent="0.2">
      <c r="A326" s="1">
        <v>2023</v>
      </c>
      <c r="B326" s="1" t="s">
        <v>324</v>
      </c>
      <c r="C326" s="2">
        <v>18750</v>
      </c>
      <c r="D326" s="8">
        <v>1.454E-5</v>
      </c>
    </row>
    <row r="327" spans="1:4" x14ac:dyDescent="0.2">
      <c r="A327" s="1">
        <v>2023</v>
      </c>
      <c r="B327" s="1" t="s">
        <v>325</v>
      </c>
      <c r="C327" s="2">
        <v>9745301</v>
      </c>
      <c r="D327" s="8">
        <v>7.5555500000000003E-3</v>
      </c>
    </row>
    <row r="328" spans="1:4" x14ac:dyDescent="0.2">
      <c r="A328" s="1">
        <v>2023</v>
      </c>
      <c r="B328" s="1" t="s">
        <v>326</v>
      </c>
      <c r="C328" s="2">
        <v>1014507</v>
      </c>
      <c r="D328" s="8">
        <v>7.8655000000000001E-4</v>
      </c>
    </row>
    <row r="329" spans="1:4" x14ac:dyDescent="0.2">
      <c r="A329" s="1">
        <v>2023</v>
      </c>
      <c r="B329" s="1" t="s">
        <v>327</v>
      </c>
      <c r="C329" s="2">
        <v>9929262</v>
      </c>
      <c r="D329" s="8">
        <v>7.6981799999999998E-3</v>
      </c>
    </row>
    <row r="330" spans="1:4" x14ac:dyDescent="0.2">
      <c r="A330" s="1">
        <v>2023</v>
      </c>
      <c r="B330" s="1" t="s">
        <v>328</v>
      </c>
      <c r="C330" s="2">
        <v>6571146</v>
      </c>
      <c r="D330" s="8">
        <v>5.0946200000000002E-3</v>
      </c>
    </row>
    <row r="331" spans="1:4" x14ac:dyDescent="0.2">
      <c r="A331" s="1">
        <v>2023</v>
      </c>
      <c r="B331" s="1" t="s">
        <v>329</v>
      </c>
      <c r="C331" s="2">
        <v>75538</v>
      </c>
      <c r="D331" s="8">
        <v>5.8570000000000003E-5</v>
      </c>
    </row>
    <row r="332" spans="1:4" x14ac:dyDescent="0.2">
      <c r="A332" s="1">
        <v>2023</v>
      </c>
      <c r="B332" s="1" t="s">
        <v>330</v>
      </c>
      <c r="C332" s="2">
        <v>176670</v>
      </c>
      <c r="D332" s="8">
        <v>1.3697000000000001E-4</v>
      </c>
    </row>
    <row r="333" spans="1:4" x14ac:dyDescent="0.2">
      <c r="A333" s="1">
        <v>2023</v>
      </c>
      <c r="B333" s="1" t="s">
        <v>331</v>
      </c>
      <c r="C333" s="2">
        <v>14713</v>
      </c>
      <c r="D333" s="8">
        <v>1.1409999999999999E-5</v>
      </c>
    </row>
    <row r="334" spans="1:4" x14ac:dyDescent="0.2">
      <c r="A334" s="1">
        <v>2023</v>
      </c>
      <c r="B334" s="1" t="s">
        <v>332</v>
      </c>
      <c r="C334" s="2">
        <v>204579</v>
      </c>
      <c r="D334" s="8">
        <v>1.5861E-4</v>
      </c>
    </row>
    <row r="335" spans="1:4" x14ac:dyDescent="0.2">
      <c r="A335" s="1">
        <v>2023</v>
      </c>
      <c r="B335" s="1" t="s">
        <v>333</v>
      </c>
      <c r="C335" s="2">
        <v>555880</v>
      </c>
      <c r="D335" s="8">
        <v>4.3096999999999998E-4</v>
      </c>
    </row>
    <row r="336" spans="1:4" x14ac:dyDescent="0.2">
      <c r="A336" s="1">
        <v>2023</v>
      </c>
      <c r="B336" s="1" t="s">
        <v>334</v>
      </c>
      <c r="C336" s="2">
        <v>100955</v>
      </c>
      <c r="D336" s="8">
        <v>7.8269999999999994E-5</v>
      </c>
    </row>
    <row r="337" spans="1:4" x14ac:dyDescent="0.2">
      <c r="A337" s="1">
        <v>2023</v>
      </c>
      <c r="B337" s="1" t="s">
        <v>335</v>
      </c>
      <c r="C337" s="2">
        <v>24121594</v>
      </c>
      <c r="D337" s="8">
        <v>1.8701519999999999E-2</v>
      </c>
    </row>
    <row r="338" spans="1:4" x14ac:dyDescent="0.2">
      <c r="A338" s="1">
        <v>2023</v>
      </c>
      <c r="B338" s="1" t="s">
        <v>336</v>
      </c>
      <c r="C338" s="2">
        <v>1218079</v>
      </c>
      <c r="D338" s="8">
        <v>9.4437999999999998E-4</v>
      </c>
    </row>
    <row r="339" spans="1:4" x14ac:dyDescent="0.2">
      <c r="A339" s="1">
        <v>2023</v>
      </c>
      <c r="B339" s="1" t="s">
        <v>337</v>
      </c>
      <c r="C339" s="2">
        <v>8539387</v>
      </c>
      <c r="D339" s="8">
        <v>6.6205999999999999E-3</v>
      </c>
    </row>
    <row r="340" spans="1:4" x14ac:dyDescent="0.2">
      <c r="A340" s="1">
        <v>2023</v>
      </c>
      <c r="B340" s="1" t="s">
        <v>338</v>
      </c>
      <c r="C340" s="2">
        <v>231804</v>
      </c>
      <c r="D340" s="8">
        <v>1.7971999999999999E-4</v>
      </c>
    </row>
    <row r="341" spans="1:4" x14ac:dyDescent="0.2">
      <c r="A341" s="1">
        <v>2023</v>
      </c>
      <c r="B341" s="1" t="s">
        <v>874</v>
      </c>
      <c r="C341" s="2">
        <v>356422</v>
      </c>
      <c r="D341" s="8">
        <v>2.7632999999999998E-4</v>
      </c>
    </row>
    <row r="342" spans="1:4" x14ac:dyDescent="0.2">
      <c r="A342" s="1">
        <v>2023</v>
      </c>
      <c r="B342" s="1" t="s">
        <v>340</v>
      </c>
      <c r="C342" s="2">
        <v>890473</v>
      </c>
      <c r="D342" s="8">
        <v>6.9039000000000004E-4</v>
      </c>
    </row>
    <row r="343" spans="1:4" x14ac:dyDescent="0.2">
      <c r="A343" s="1">
        <v>2023</v>
      </c>
      <c r="B343" s="1" t="s">
        <v>341</v>
      </c>
      <c r="C343" s="2">
        <v>553088</v>
      </c>
      <c r="D343" s="8">
        <v>4.2881000000000001E-4</v>
      </c>
    </row>
    <row r="344" spans="1:4" x14ac:dyDescent="0.2">
      <c r="A344" s="1">
        <v>2023</v>
      </c>
      <c r="B344" s="1" t="s">
        <v>342</v>
      </c>
      <c r="C344" s="2">
        <v>1531266</v>
      </c>
      <c r="D344" s="8">
        <v>1.1871900000000001E-3</v>
      </c>
    </row>
    <row r="345" spans="1:4" x14ac:dyDescent="0.2">
      <c r="A345" s="1">
        <v>2023</v>
      </c>
      <c r="B345" s="1" t="s">
        <v>343</v>
      </c>
      <c r="C345" s="2">
        <v>592973</v>
      </c>
      <c r="D345" s="8">
        <v>4.5972999999999999E-4</v>
      </c>
    </row>
    <row r="346" spans="1:4" x14ac:dyDescent="0.2">
      <c r="A346" s="1">
        <v>2023</v>
      </c>
      <c r="B346" s="1" t="s">
        <v>344</v>
      </c>
      <c r="C346" s="2">
        <v>616753</v>
      </c>
      <c r="D346" s="8">
        <v>4.7816999999999998E-4</v>
      </c>
    </row>
    <row r="347" spans="1:4" x14ac:dyDescent="0.2">
      <c r="A347" s="1">
        <v>2023</v>
      </c>
      <c r="B347" s="1" t="s">
        <v>345</v>
      </c>
      <c r="C347" s="2">
        <v>1753881</v>
      </c>
      <c r="D347" s="8">
        <v>1.35979E-3</v>
      </c>
    </row>
    <row r="348" spans="1:4" x14ac:dyDescent="0.2">
      <c r="A348" s="1">
        <v>2023</v>
      </c>
      <c r="B348" s="1" t="s">
        <v>346</v>
      </c>
      <c r="C348" s="2">
        <v>26783</v>
      </c>
      <c r="D348" s="8">
        <v>2.0769999999999999E-5</v>
      </c>
    </row>
    <row r="349" spans="1:4" x14ac:dyDescent="0.2">
      <c r="A349" s="1">
        <v>2023</v>
      </c>
      <c r="B349" s="1" t="s">
        <v>347</v>
      </c>
      <c r="C349" s="2">
        <v>439886</v>
      </c>
      <c r="D349" s="8">
        <v>3.4103999999999997E-4</v>
      </c>
    </row>
    <row r="350" spans="1:4" x14ac:dyDescent="0.2">
      <c r="A350" s="1">
        <v>2023</v>
      </c>
      <c r="B350" s="1" t="s">
        <v>348</v>
      </c>
      <c r="C350" s="2">
        <v>8700523</v>
      </c>
      <c r="D350" s="8">
        <v>6.7455299999999996E-3</v>
      </c>
    </row>
    <row r="351" spans="1:4" x14ac:dyDescent="0.2">
      <c r="A351" s="1">
        <v>2023</v>
      </c>
      <c r="B351" s="1" t="s">
        <v>349</v>
      </c>
      <c r="C351" s="2">
        <v>2925505</v>
      </c>
      <c r="D351" s="8">
        <v>2.26815E-3</v>
      </c>
    </row>
    <row r="352" spans="1:4" x14ac:dyDescent="0.2">
      <c r="A352" s="1">
        <v>2023</v>
      </c>
      <c r="B352" s="1" t="s">
        <v>350</v>
      </c>
      <c r="C352" s="2">
        <v>3852389</v>
      </c>
      <c r="D352" s="8">
        <v>2.9867600000000002E-3</v>
      </c>
    </row>
    <row r="353" spans="1:4" x14ac:dyDescent="0.2">
      <c r="A353" s="1">
        <v>2023</v>
      </c>
      <c r="B353" s="1" t="s">
        <v>351</v>
      </c>
      <c r="C353" s="2">
        <v>36924</v>
      </c>
      <c r="D353" s="8">
        <v>2.8629999999999999E-5</v>
      </c>
    </row>
    <row r="354" spans="1:4" x14ac:dyDescent="0.2">
      <c r="A354" s="1">
        <v>2023</v>
      </c>
      <c r="B354" s="1" t="s">
        <v>352</v>
      </c>
      <c r="C354" s="2">
        <v>81124</v>
      </c>
      <c r="D354" s="8">
        <v>6.2899999999999997E-5</v>
      </c>
    </row>
    <row r="355" spans="1:4" x14ac:dyDescent="0.2">
      <c r="A355" s="1">
        <v>2023</v>
      </c>
      <c r="B355" s="1" t="s">
        <v>353</v>
      </c>
      <c r="C355" s="2">
        <v>6396</v>
      </c>
      <c r="D355" s="8">
        <v>4.9599999999999999E-6</v>
      </c>
    </row>
    <row r="356" spans="1:4" x14ac:dyDescent="0.2">
      <c r="A356" s="1">
        <v>2023</v>
      </c>
      <c r="B356" s="1" t="s">
        <v>354</v>
      </c>
      <c r="C356" s="2">
        <v>1700148</v>
      </c>
      <c r="D356" s="8">
        <v>1.31813E-3</v>
      </c>
    </row>
    <row r="357" spans="1:4" x14ac:dyDescent="0.2">
      <c r="A357" s="1">
        <v>2023</v>
      </c>
      <c r="B357" s="1" t="s">
        <v>355</v>
      </c>
      <c r="C357" s="2">
        <v>876598</v>
      </c>
      <c r="D357" s="8">
        <v>6.7962999999999997E-4</v>
      </c>
    </row>
    <row r="358" spans="1:4" x14ac:dyDescent="0.2">
      <c r="A358" s="1">
        <v>2023</v>
      </c>
      <c r="B358" s="1" t="s">
        <v>875</v>
      </c>
      <c r="C358" s="2">
        <v>22678</v>
      </c>
      <c r="D358" s="8">
        <v>1.7580000000000001E-5</v>
      </c>
    </row>
    <row r="359" spans="1:4" x14ac:dyDescent="0.2">
      <c r="A359" s="1">
        <v>2023</v>
      </c>
      <c r="B359" s="1" t="s">
        <v>357</v>
      </c>
      <c r="C359" s="2">
        <v>34105</v>
      </c>
      <c r="D359" s="8">
        <v>2.6440000000000001E-5</v>
      </c>
    </row>
    <row r="360" spans="1:4" x14ac:dyDescent="0.2">
      <c r="A360" s="1">
        <v>2023</v>
      </c>
      <c r="B360" s="1" t="s">
        <v>358</v>
      </c>
      <c r="C360" s="2">
        <v>47088</v>
      </c>
      <c r="D360" s="8">
        <v>3.6510000000000001E-5</v>
      </c>
    </row>
    <row r="361" spans="1:4" x14ac:dyDescent="0.2">
      <c r="A361" s="1">
        <v>2023</v>
      </c>
      <c r="B361" s="1" t="s">
        <v>359</v>
      </c>
      <c r="C361" s="2">
        <v>517104</v>
      </c>
      <c r="D361" s="8">
        <v>4.0090999999999998E-4</v>
      </c>
    </row>
    <row r="362" spans="1:4" x14ac:dyDescent="0.2">
      <c r="A362" s="1">
        <v>2023</v>
      </c>
      <c r="B362" s="1" t="s">
        <v>360</v>
      </c>
      <c r="C362" s="2">
        <v>2516079</v>
      </c>
      <c r="D362" s="8">
        <v>1.95072E-3</v>
      </c>
    </row>
    <row r="363" spans="1:4" x14ac:dyDescent="0.2">
      <c r="A363" s="1">
        <v>2023</v>
      </c>
      <c r="B363" s="1" t="s">
        <v>361</v>
      </c>
      <c r="C363" s="2">
        <v>243541</v>
      </c>
      <c r="D363" s="8">
        <v>1.8882E-4</v>
      </c>
    </row>
    <row r="364" spans="1:4" x14ac:dyDescent="0.2">
      <c r="A364" s="1">
        <v>2023</v>
      </c>
      <c r="B364" s="1" t="s">
        <v>362</v>
      </c>
      <c r="C364" s="2">
        <v>3261251</v>
      </c>
      <c r="D364" s="8">
        <v>2.5284499999999998E-3</v>
      </c>
    </row>
    <row r="365" spans="1:4" x14ac:dyDescent="0.2">
      <c r="A365" s="1">
        <v>2023</v>
      </c>
      <c r="B365" s="1" t="s">
        <v>363</v>
      </c>
      <c r="C365" s="2">
        <v>2428012</v>
      </c>
      <c r="D365" s="8">
        <v>1.88244E-3</v>
      </c>
    </row>
    <row r="366" spans="1:4" x14ac:dyDescent="0.2">
      <c r="A366" s="1">
        <v>2023</v>
      </c>
      <c r="B366" s="1" t="s">
        <v>364</v>
      </c>
      <c r="C366" s="2">
        <v>3805</v>
      </c>
      <c r="D366" s="8">
        <v>2.9500000000000001E-6</v>
      </c>
    </row>
    <row r="367" spans="1:4" x14ac:dyDescent="0.2">
      <c r="A367" s="1">
        <v>2023</v>
      </c>
      <c r="B367" s="1" t="s">
        <v>365</v>
      </c>
      <c r="C367" s="2">
        <v>36221</v>
      </c>
      <c r="D367" s="8">
        <v>2.8079999999999999E-5</v>
      </c>
    </row>
    <row r="368" spans="1:4" x14ac:dyDescent="0.2">
      <c r="A368" s="1">
        <v>2023</v>
      </c>
      <c r="B368" s="1" t="s">
        <v>366</v>
      </c>
      <c r="C368" s="2">
        <v>12612031</v>
      </c>
      <c r="D368" s="8">
        <v>9.7781299999999995E-3</v>
      </c>
    </row>
    <row r="369" spans="1:4" x14ac:dyDescent="0.2">
      <c r="A369" s="1">
        <v>2023</v>
      </c>
      <c r="B369" s="1" t="s">
        <v>367</v>
      </c>
      <c r="C369" s="2">
        <v>11886</v>
      </c>
      <c r="D369" s="8">
        <v>9.2199999999999998E-6</v>
      </c>
    </row>
    <row r="370" spans="1:4" x14ac:dyDescent="0.2">
      <c r="A370" s="1">
        <v>2023</v>
      </c>
      <c r="B370" s="1" t="s">
        <v>368</v>
      </c>
      <c r="C370" s="2">
        <v>2779209</v>
      </c>
      <c r="D370" s="8">
        <v>2.1547300000000001E-3</v>
      </c>
    </row>
    <row r="371" spans="1:4" x14ac:dyDescent="0.2">
      <c r="A371" s="1">
        <v>2023</v>
      </c>
      <c r="B371" s="1" t="s">
        <v>369</v>
      </c>
      <c r="C371" s="2">
        <v>87853</v>
      </c>
      <c r="D371" s="8">
        <v>6.8109999999999997E-5</v>
      </c>
    </row>
    <row r="372" spans="1:4" x14ac:dyDescent="0.2">
      <c r="A372" s="1">
        <v>2023</v>
      </c>
      <c r="B372" s="1" t="s">
        <v>370</v>
      </c>
      <c r="C372" s="2">
        <v>40879</v>
      </c>
      <c r="D372" s="8">
        <v>3.1690000000000003E-5</v>
      </c>
    </row>
    <row r="373" spans="1:4" x14ac:dyDescent="0.2">
      <c r="A373" s="1">
        <v>2023</v>
      </c>
      <c r="B373" s="1" t="s">
        <v>371</v>
      </c>
      <c r="C373" s="2">
        <v>6422293</v>
      </c>
      <c r="D373" s="8">
        <v>4.9792200000000003E-3</v>
      </c>
    </row>
    <row r="374" spans="1:4" x14ac:dyDescent="0.2">
      <c r="A374" s="1">
        <v>2023</v>
      </c>
      <c r="B374" s="1" t="s">
        <v>372</v>
      </c>
      <c r="C374" s="2">
        <v>2611355</v>
      </c>
      <c r="D374" s="8">
        <v>2.0245900000000002E-3</v>
      </c>
    </row>
    <row r="375" spans="1:4" x14ac:dyDescent="0.2">
      <c r="A375" s="1">
        <v>2023</v>
      </c>
      <c r="B375" s="1" t="s">
        <v>373</v>
      </c>
      <c r="C375" s="2">
        <v>539296</v>
      </c>
      <c r="D375" s="8">
        <v>4.1812000000000002E-4</v>
      </c>
    </row>
    <row r="376" spans="1:4" x14ac:dyDescent="0.2">
      <c r="A376" s="1">
        <v>2023</v>
      </c>
      <c r="B376" s="1" t="s">
        <v>374</v>
      </c>
      <c r="C376" s="2">
        <v>33671</v>
      </c>
      <c r="D376" s="8">
        <v>2.6100000000000001E-5</v>
      </c>
    </row>
    <row r="377" spans="1:4" x14ac:dyDescent="0.2">
      <c r="A377" s="1">
        <v>2023</v>
      </c>
      <c r="B377" s="1" t="s">
        <v>375</v>
      </c>
      <c r="C377" s="2">
        <v>1659207</v>
      </c>
      <c r="D377" s="8">
        <v>1.2863900000000001E-3</v>
      </c>
    </row>
    <row r="378" spans="1:4" x14ac:dyDescent="0.2">
      <c r="A378" s="1">
        <v>2023</v>
      </c>
      <c r="B378" s="1" t="s">
        <v>376</v>
      </c>
      <c r="C378" s="2">
        <v>155221</v>
      </c>
      <c r="D378" s="8">
        <v>1.2034E-4</v>
      </c>
    </row>
    <row r="379" spans="1:4" x14ac:dyDescent="0.2">
      <c r="A379" s="1">
        <v>2023</v>
      </c>
      <c r="B379" s="1" t="s">
        <v>377</v>
      </c>
      <c r="C379" s="2">
        <v>3168345</v>
      </c>
      <c r="D379" s="8">
        <v>2.45642E-3</v>
      </c>
    </row>
    <row r="380" spans="1:4" x14ac:dyDescent="0.2">
      <c r="A380" s="1">
        <v>2023</v>
      </c>
      <c r="B380" s="1" t="s">
        <v>876</v>
      </c>
      <c r="C380" s="2">
        <v>59344</v>
      </c>
      <c r="D380" s="8">
        <v>4.6010000000000002E-5</v>
      </c>
    </row>
    <row r="381" spans="1:4" x14ac:dyDescent="0.2">
      <c r="A381" s="1">
        <v>2023</v>
      </c>
      <c r="B381" s="1" t="s">
        <v>379</v>
      </c>
      <c r="C381" s="2">
        <v>2137081</v>
      </c>
      <c r="D381" s="8">
        <v>1.6568799999999999E-3</v>
      </c>
    </row>
    <row r="382" spans="1:4" x14ac:dyDescent="0.2">
      <c r="A382" s="1">
        <v>2023</v>
      </c>
      <c r="B382" s="1" t="s">
        <v>380</v>
      </c>
      <c r="C382" s="2">
        <v>581040</v>
      </c>
      <c r="D382" s="8">
        <v>4.5048000000000001E-4</v>
      </c>
    </row>
    <row r="383" spans="1:4" x14ac:dyDescent="0.2">
      <c r="A383" s="1">
        <v>2023</v>
      </c>
      <c r="B383" s="1" t="s">
        <v>381</v>
      </c>
      <c r="C383" s="2">
        <v>2830246</v>
      </c>
      <c r="D383" s="8">
        <v>2.1943000000000002E-3</v>
      </c>
    </row>
    <row r="384" spans="1:4" x14ac:dyDescent="0.2">
      <c r="A384" s="1">
        <v>2023</v>
      </c>
      <c r="B384" s="1" t="s">
        <v>382</v>
      </c>
      <c r="C384" s="2">
        <v>1004391</v>
      </c>
      <c r="D384" s="8">
        <v>7.7870999999999995E-4</v>
      </c>
    </row>
    <row r="385" spans="1:4" x14ac:dyDescent="0.2">
      <c r="A385" s="1">
        <v>2023</v>
      </c>
      <c r="B385" s="1" t="s">
        <v>383</v>
      </c>
      <c r="C385" s="2">
        <v>45956</v>
      </c>
      <c r="D385" s="8">
        <v>3.5630000000000003E-5</v>
      </c>
    </row>
    <row r="386" spans="1:4" x14ac:dyDescent="0.2">
      <c r="A386" s="1">
        <v>2023</v>
      </c>
      <c r="B386" s="1" t="s">
        <v>384</v>
      </c>
      <c r="C386" s="2">
        <v>2821243</v>
      </c>
      <c r="D386" s="8">
        <v>2.18731E-3</v>
      </c>
    </row>
    <row r="387" spans="1:4" x14ac:dyDescent="0.2">
      <c r="A387" s="1">
        <v>2023</v>
      </c>
      <c r="B387" s="1" t="s">
        <v>385</v>
      </c>
      <c r="C387" s="2">
        <v>7807</v>
      </c>
      <c r="D387" s="8">
        <v>6.0499999999999997E-6</v>
      </c>
    </row>
    <row r="388" spans="1:4" x14ac:dyDescent="0.2">
      <c r="A388" s="1">
        <v>2023</v>
      </c>
      <c r="B388" s="1" t="s">
        <v>386</v>
      </c>
      <c r="C388" s="2">
        <v>7367946</v>
      </c>
      <c r="D388" s="8">
        <v>5.7123800000000004E-3</v>
      </c>
    </row>
    <row r="389" spans="1:4" x14ac:dyDescent="0.2">
      <c r="A389" s="1">
        <v>2023</v>
      </c>
      <c r="B389" s="1" t="s">
        <v>877</v>
      </c>
      <c r="C389" s="2">
        <v>142105</v>
      </c>
      <c r="D389" s="8">
        <v>1.1017E-4</v>
      </c>
    </row>
    <row r="390" spans="1:4" x14ac:dyDescent="0.2">
      <c r="A390" s="1">
        <v>2023</v>
      </c>
      <c r="B390" s="1" t="s">
        <v>388</v>
      </c>
      <c r="C390" s="2">
        <v>1474051</v>
      </c>
      <c r="D390" s="8">
        <v>1.1428300000000001E-3</v>
      </c>
    </row>
    <row r="391" spans="1:4" x14ac:dyDescent="0.2">
      <c r="A391" s="1">
        <v>2023</v>
      </c>
      <c r="B391" s="1" t="s">
        <v>389</v>
      </c>
      <c r="C391" s="2">
        <v>72464</v>
      </c>
      <c r="D391" s="8">
        <v>5.6180000000000001E-5</v>
      </c>
    </row>
    <row r="392" spans="1:4" x14ac:dyDescent="0.2">
      <c r="A392" s="1">
        <v>2023</v>
      </c>
      <c r="B392" s="1" t="s">
        <v>390</v>
      </c>
      <c r="C392" s="2">
        <v>266712</v>
      </c>
      <c r="D392" s="8">
        <v>2.0678E-4</v>
      </c>
    </row>
    <row r="393" spans="1:4" x14ac:dyDescent="0.2">
      <c r="A393" s="1">
        <v>2023</v>
      </c>
      <c r="B393" s="1" t="s">
        <v>391</v>
      </c>
      <c r="C393" s="2">
        <v>15238</v>
      </c>
      <c r="D393" s="8">
        <v>1.181E-5</v>
      </c>
    </row>
    <row r="394" spans="1:4" x14ac:dyDescent="0.2">
      <c r="A394" s="1">
        <v>2023</v>
      </c>
      <c r="B394" s="1" t="s">
        <v>392</v>
      </c>
      <c r="C394" s="2">
        <v>308350</v>
      </c>
      <c r="D394" s="8">
        <v>2.3906E-4</v>
      </c>
    </row>
    <row r="395" spans="1:4" x14ac:dyDescent="0.2">
      <c r="A395" s="1">
        <v>2023</v>
      </c>
      <c r="B395" s="1" t="s">
        <v>393</v>
      </c>
      <c r="C395" s="2">
        <v>1105265</v>
      </c>
      <c r="D395" s="8">
        <v>8.5691000000000001E-4</v>
      </c>
    </row>
    <row r="396" spans="1:4" x14ac:dyDescent="0.2">
      <c r="A396" s="1">
        <v>2023</v>
      </c>
      <c r="B396" s="1" t="s">
        <v>394</v>
      </c>
      <c r="C396" s="1">
        <v>480</v>
      </c>
      <c r="D396" s="8">
        <v>3.7E-7</v>
      </c>
    </row>
    <row r="397" spans="1:4" x14ac:dyDescent="0.2">
      <c r="A397" s="1">
        <v>2023</v>
      </c>
      <c r="B397" s="1" t="s">
        <v>395</v>
      </c>
      <c r="C397" s="2">
        <v>232078</v>
      </c>
      <c r="D397" s="8">
        <v>1.7992999999999999E-4</v>
      </c>
    </row>
    <row r="398" spans="1:4" x14ac:dyDescent="0.2">
      <c r="A398" s="1">
        <v>2023</v>
      </c>
      <c r="B398" s="1" t="s">
        <v>396</v>
      </c>
      <c r="C398" s="2">
        <v>168831</v>
      </c>
      <c r="D398" s="8">
        <v>1.3090000000000001E-4</v>
      </c>
    </row>
    <row r="399" spans="1:4" x14ac:dyDescent="0.2">
      <c r="A399" s="1">
        <v>2023</v>
      </c>
      <c r="B399" s="1" t="s">
        <v>397</v>
      </c>
      <c r="C399" s="2">
        <v>123673</v>
      </c>
      <c r="D399" s="8">
        <v>9.5879999999999997E-5</v>
      </c>
    </row>
    <row r="400" spans="1:4" x14ac:dyDescent="0.2">
      <c r="A400" s="1">
        <v>2023</v>
      </c>
      <c r="B400" s="1" t="s">
        <v>398</v>
      </c>
      <c r="C400" s="2">
        <v>63403</v>
      </c>
      <c r="D400" s="8">
        <v>4.9159999999999997E-5</v>
      </c>
    </row>
    <row r="401" spans="1:4" x14ac:dyDescent="0.2">
      <c r="A401" s="1">
        <v>2023</v>
      </c>
      <c r="B401" s="1" t="s">
        <v>399</v>
      </c>
      <c r="C401" s="2">
        <v>2805029</v>
      </c>
      <c r="D401" s="8">
        <v>2.1747400000000001E-3</v>
      </c>
    </row>
    <row r="402" spans="1:4" x14ac:dyDescent="0.2">
      <c r="A402" s="1">
        <v>2023</v>
      </c>
      <c r="B402" s="1" t="s">
        <v>400</v>
      </c>
      <c r="C402" s="2">
        <v>1071503</v>
      </c>
      <c r="D402" s="8">
        <v>8.3073999999999995E-4</v>
      </c>
    </row>
    <row r="403" spans="1:4" x14ac:dyDescent="0.2">
      <c r="A403" s="1">
        <v>2023</v>
      </c>
      <c r="B403" s="1" t="s">
        <v>878</v>
      </c>
      <c r="C403" s="2">
        <v>71432</v>
      </c>
      <c r="D403" s="8">
        <v>5.5380000000000002E-5</v>
      </c>
    </row>
    <row r="404" spans="1:4" x14ac:dyDescent="0.2">
      <c r="A404" s="1">
        <v>2023</v>
      </c>
      <c r="B404" s="1" t="s">
        <v>402</v>
      </c>
      <c r="C404" s="2">
        <v>944363</v>
      </c>
      <c r="D404" s="8">
        <v>7.3216999999999998E-4</v>
      </c>
    </row>
    <row r="405" spans="1:4" x14ac:dyDescent="0.2">
      <c r="A405" s="1">
        <v>2023</v>
      </c>
      <c r="B405" s="1" t="s">
        <v>403</v>
      </c>
      <c r="C405" s="2">
        <v>3251445</v>
      </c>
      <c r="D405" s="8">
        <v>2.5208499999999998E-3</v>
      </c>
    </row>
    <row r="406" spans="1:4" x14ac:dyDescent="0.2">
      <c r="A406" s="1">
        <v>2023</v>
      </c>
      <c r="B406" s="1" t="s">
        <v>404</v>
      </c>
      <c r="C406" s="2">
        <v>8436</v>
      </c>
      <c r="D406" s="8">
        <v>6.5400000000000001E-6</v>
      </c>
    </row>
    <row r="407" spans="1:4" x14ac:dyDescent="0.2">
      <c r="A407" s="1">
        <v>2023</v>
      </c>
      <c r="B407" s="1" t="s">
        <v>405</v>
      </c>
      <c r="C407" s="2">
        <v>10769</v>
      </c>
      <c r="D407" s="8">
        <v>8.3499999999999997E-6</v>
      </c>
    </row>
    <row r="408" spans="1:4" x14ac:dyDescent="0.2">
      <c r="A408" s="1">
        <v>2023</v>
      </c>
      <c r="B408" s="1" t="s">
        <v>406</v>
      </c>
      <c r="C408" s="2">
        <v>530313</v>
      </c>
      <c r="D408" s="8">
        <v>4.1114999999999999E-4</v>
      </c>
    </row>
    <row r="409" spans="1:4" x14ac:dyDescent="0.2">
      <c r="A409" s="1">
        <v>2023</v>
      </c>
      <c r="B409" s="1" t="s">
        <v>407</v>
      </c>
      <c r="C409" s="2">
        <v>175757</v>
      </c>
      <c r="D409" s="8">
        <v>1.3626E-4</v>
      </c>
    </row>
    <row r="410" spans="1:4" x14ac:dyDescent="0.2">
      <c r="A410" s="1">
        <v>2023</v>
      </c>
      <c r="B410" s="1" t="s">
        <v>408</v>
      </c>
      <c r="C410" s="2">
        <v>46631</v>
      </c>
      <c r="D410" s="8">
        <v>3.6149999999999998E-5</v>
      </c>
    </row>
    <row r="411" spans="1:4" x14ac:dyDescent="0.2">
      <c r="A411" s="1">
        <v>2023</v>
      </c>
      <c r="B411" s="1" t="s">
        <v>409</v>
      </c>
      <c r="C411" s="2">
        <v>3211975</v>
      </c>
      <c r="D411" s="8">
        <v>2.4902499999999998E-3</v>
      </c>
    </row>
    <row r="412" spans="1:4" x14ac:dyDescent="0.2">
      <c r="A412" s="1">
        <v>2023</v>
      </c>
      <c r="B412" s="1" t="s">
        <v>410</v>
      </c>
      <c r="C412" s="2">
        <v>128365</v>
      </c>
      <c r="D412" s="8">
        <v>9.9519999999999996E-5</v>
      </c>
    </row>
    <row r="413" spans="1:4" x14ac:dyDescent="0.2">
      <c r="A413" s="1">
        <v>2023</v>
      </c>
      <c r="B413" s="1" t="s">
        <v>411</v>
      </c>
      <c r="C413" s="2">
        <v>5950163</v>
      </c>
      <c r="D413" s="8">
        <v>4.6131699999999998E-3</v>
      </c>
    </row>
    <row r="414" spans="1:4" x14ac:dyDescent="0.2">
      <c r="A414" s="1">
        <v>2023</v>
      </c>
      <c r="B414" s="1" t="s">
        <v>412</v>
      </c>
      <c r="C414" s="2">
        <v>2377134</v>
      </c>
      <c r="D414" s="8">
        <v>1.843E-3</v>
      </c>
    </row>
    <row r="415" spans="1:4" x14ac:dyDescent="0.2">
      <c r="A415" s="1">
        <v>2023</v>
      </c>
      <c r="B415" s="1" t="s">
        <v>413</v>
      </c>
      <c r="C415" s="2">
        <v>354792</v>
      </c>
      <c r="D415" s="8">
        <v>2.7506999999999998E-4</v>
      </c>
    </row>
    <row r="416" spans="1:4" x14ac:dyDescent="0.2">
      <c r="A416" s="1">
        <v>2023</v>
      </c>
      <c r="B416" s="1" t="s">
        <v>414</v>
      </c>
      <c r="C416" s="2">
        <v>1348</v>
      </c>
      <c r="D416" s="8">
        <v>1.04E-6</v>
      </c>
    </row>
    <row r="417" spans="1:4" x14ac:dyDescent="0.2">
      <c r="A417" s="1">
        <v>2023</v>
      </c>
      <c r="B417" s="1" t="s">
        <v>415</v>
      </c>
      <c r="C417" s="2">
        <v>118591</v>
      </c>
      <c r="D417" s="8">
        <v>9.1940000000000004E-5</v>
      </c>
    </row>
    <row r="418" spans="1:4" x14ac:dyDescent="0.2">
      <c r="A418" s="1">
        <v>2023</v>
      </c>
      <c r="B418" s="1" t="s">
        <v>416</v>
      </c>
      <c r="C418" s="2">
        <v>20713</v>
      </c>
      <c r="D418" s="8">
        <v>1.6059999999999999E-5</v>
      </c>
    </row>
    <row r="419" spans="1:4" x14ac:dyDescent="0.2">
      <c r="A419" s="1">
        <v>2023</v>
      </c>
      <c r="B419" s="1" t="s">
        <v>417</v>
      </c>
      <c r="C419" s="2">
        <v>31730</v>
      </c>
      <c r="D419" s="8">
        <v>2.4600000000000002E-5</v>
      </c>
    </row>
    <row r="420" spans="1:4" x14ac:dyDescent="0.2">
      <c r="A420" s="1">
        <v>2023</v>
      </c>
      <c r="B420" s="1" t="s">
        <v>418</v>
      </c>
      <c r="C420" s="2">
        <v>156626</v>
      </c>
      <c r="D420" s="8">
        <v>1.2142999999999999E-4</v>
      </c>
    </row>
    <row r="421" spans="1:4" x14ac:dyDescent="0.2">
      <c r="A421" s="1">
        <v>2023</v>
      </c>
      <c r="B421" s="1" t="s">
        <v>419</v>
      </c>
      <c r="C421" s="2">
        <v>74771</v>
      </c>
      <c r="D421" s="8">
        <v>5.7970000000000002E-5</v>
      </c>
    </row>
    <row r="422" spans="1:4" x14ac:dyDescent="0.2">
      <c r="A422" s="1">
        <v>2023</v>
      </c>
      <c r="B422" s="1" t="s">
        <v>420</v>
      </c>
      <c r="C422" s="2">
        <v>2117286</v>
      </c>
      <c r="D422" s="8">
        <v>1.6415399999999999E-3</v>
      </c>
    </row>
    <row r="423" spans="1:4" x14ac:dyDescent="0.2">
      <c r="A423" s="1">
        <v>2023</v>
      </c>
      <c r="B423" s="1" t="s">
        <v>879</v>
      </c>
      <c r="C423" s="2">
        <v>223197</v>
      </c>
      <c r="D423" s="8">
        <v>1.7305000000000001E-4</v>
      </c>
    </row>
    <row r="424" spans="1:4" x14ac:dyDescent="0.2">
      <c r="A424" s="1">
        <v>2023</v>
      </c>
      <c r="B424" s="1" t="s">
        <v>422</v>
      </c>
      <c r="C424" s="2">
        <v>16302581</v>
      </c>
      <c r="D424" s="8">
        <v>1.263942E-2</v>
      </c>
    </row>
    <row r="425" spans="1:4" x14ac:dyDescent="0.2">
      <c r="A425" s="1">
        <v>2023</v>
      </c>
      <c r="B425" s="1" t="s">
        <v>423</v>
      </c>
      <c r="C425" s="2">
        <v>3779481</v>
      </c>
      <c r="D425" s="8">
        <v>2.9302400000000002E-3</v>
      </c>
    </row>
    <row r="426" spans="1:4" x14ac:dyDescent="0.2">
      <c r="A426" s="1">
        <v>2023</v>
      </c>
      <c r="B426" s="1" t="s">
        <v>424</v>
      </c>
      <c r="C426" s="2">
        <v>98156</v>
      </c>
      <c r="D426" s="8">
        <v>7.6100000000000007E-5</v>
      </c>
    </row>
    <row r="427" spans="1:4" x14ac:dyDescent="0.2">
      <c r="A427" s="1">
        <v>2023</v>
      </c>
      <c r="B427" s="1" t="s">
        <v>425</v>
      </c>
      <c r="C427" s="2">
        <v>548520</v>
      </c>
      <c r="D427" s="8">
        <v>4.2527E-4</v>
      </c>
    </row>
    <row r="428" spans="1:4" x14ac:dyDescent="0.2">
      <c r="A428" s="1">
        <v>2023</v>
      </c>
      <c r="B428" s="1" t="s">
        <v>426</v>
      </c>
      <c r="C428" s="2">
        <v>15786</v>
      </c>
      <c r="D428" s="8">
        <v>1.224E-5</v>
      </c>
    </row>
    <row r="429" spans="1:4" x14ac:dyDescent="0.2">
      <c r="A429" s="1">
        <v>2023</v>
      </c>
      <c r="B429" s="1" t="s">
        <v>427</v>
      </c>
      <c r="C429" s="2">
        <v>312560</v>
      </c>
      <c r="D429" s="8">
        <v>2.4232999999999999E-4</v>
      </c>
    </row>
    <row r="430" spans="1:4" x14ac:dyDescent="0.2">
      <c r="A430" s="1">
        <v>2023</v>
      </c>
      <c r="B430" s="1" t="s">
        <v>428</v>
      </c>
      <c r="C430" s="2">
        <v>359455</v>
      </c>
      <c r="D430" s="8">
        <v>2.7869E-4</v>
      </c>
    </row>
    <row r="431" spans="1:4" x14ac:dyDescent="0.2">
      <c r="A431" s="1">
        <v>2023</v>
      </c>
      <c r="B431" s="1" t="s">
        <v>429</v>
      </c>
      <c r="C431" s="2">
        <v>187288</v>
      </c>
      <c r="D431" s="8">
        <v>1.4520000000000001E-4</v>
      </c>
    </row>
    <row r="432" spans="1:4" x14ac:dyDescent="0.2">
      <c r="A432" s="1">
        <v>2023</v>
      </c>
      <c r="B432" s="1" t="s">
        <v>430</v>
      </c>
      <c r="C432" s="2">
        <v>3269339</v>
      </c>
      <c r="D432" s="8">
        <v>2.5347299999999998E-3</v>
      </c>
    </row>
    <row r="433" spans="1:4" x14ac:dyDescent="0.2">
      <c r="A433" s="1">
        <v>2023</v>
      </c>
      <c r="B433" s="1" t="s">
        <v>431</v>
      </c>
      <c r="C433" s="2">
        <v>44570</v>
      </c>
      <c r="D433" s="8">
        <v>3.4560000000000001E-5</v>
      </c>
    </row>
    <row r="434" spans="1:4" x14ac:dyDescent="0.2">
      <c r="A434" s="1">
        <v>2023</v>
      </c>
      <c r="B434" s="1" t="s">
        <v>432</v>
      </c>
      <c r="C434" s="2">
        <v>9149</v>
      </c>
      <c r="D434" s="8">
        <v>7.0899999999999999E-6</v>
      </c>
    </row>
    <row r="435" spans="1:4" x14ac:dyDescent="0.2">
      <c r="A435" s="1">
        <v>2023</v>
      </c>
      <c r="B435" s="1" t="s">
        <v>433</v>
      </c>
      <c r="C435" s="2">
        <v>2641286</v>
      </c>
      <c r="D435" s="8">
        <v>2.0477899999999999E-3</v>
      </c>
    </row>
    <row r="436" spans="1:4" x14ac:dyDescent="0.2">
      <c r="A436" s="1">
        <v>2023</v>
      </c>
      <c r="B436" s="1" t="s">
        <v>434</v>
      </c>
      <c r="C436" s="2">
        <v>1197665</v>
      </c>
      <c r="D436" s="8">
        <v>9.2854999999999999E-4</v>
      </c>
    </row>
    <row r="437" spans="1:4" x14ac:dyDescent="0.2">
      <c r="A437" s="1">
        <v>2023</v>
      </c>
      <c r="B437" s="1" t="s">
        <v>435</v>
      </c>
      <c r="C437" s="2">
        <v>7329</v>
      </c>
      <c r="D437" s="8">
        <v>5.6799999999999998E-6</v>
      </c>
    </row>
    <row r="438" spans="1:4" x14ac:dyDescent="0.2">
      <c r="A438" s="1">
        <v>2023</v>
      </c>
      <c r="B438" s="1" t="s">
        <v>436</v>
      </c>
      <c r="C438" s="2">
        <v>81019</v>
      </c>
      <c r="D438" s="8">
        <v>6.2810000000000003E-5</v>
      </c>
    </row>
    <row r="439" spans="1:4" x14ac:dyDescent="0.2">
      <c r="A439" s="1">
        <v>2023</v>
      </c>
      <c r="B439" s="1" t="s">
        <v>437</v>
      </c>
      <c r="C439" s="2">
        <v>98697</v>
      </c>
      <c r="D439" s="8">
        <v>7.6520000000000006E-5</v>
      </c>
    </row>
    <row r="440" spans="1:4" x14ac:dyDescent="0.2">
      <c r="A440" s="1">
        <v>2023</v>
      </c>
      <c r="B440" s="1" t="s">
        <v>880</v>
      </c>
      <c r="C440" s="2">
        <v>10312</v>
      </c>
      <c r="D440" s="8">
        <v>7.9999999999999996E-6</v>
      </c>
    </row>
    <row r="441" spans="1:4" x14ac:dyDescent="0.2">
      <c r="A441" s="1">
        <v>2023</v>
      </c>
      <c r="B441" s="1" t="s">
        <v>439</v>
      </c>
      <c r="C441" s="2">
        <v>2923954</v>
      </c>
      <c r="D441" s="8">
        <v>2.2669500000000002E-3</v>
      </c>
    </row>
    <row r="442" spans="1:4" x14ac:dyDescent="0.2">
      <c r="A442" s="1">
        <v>2023</v>
      </c>
      <c r="B442" s="1" t="s">
        <v>440</v>
      </c>
      <c r="C442" s="2">
        <v>1782310</v>
      </c>
      <c r="D442" s="8">
        <v>1.3818299999999999E-3</v>
      </c>
    </row>
    <row r="443" spans="1:4" x14ac:dyDescent="0.2">
      <c r="A443" s="1">
        <v>2023</v>
      </c>
      <c r="B443" s="1" t="s">
        <v>441</v>
      </c>
      <c r="C443" s="2">
        <v>18555</v>
      </c>
      <c r="D443" s="8">
        <v>1.4389999999999999E-5</v>
      </c>
    </row>
    <row r="444" spans="1:4" x14ac:dyDescent="0.2">
      <c r="A444" s="1">
        <v>2023</v>
      </c>
      <c r="B444" s="1" t="s">
        <v>442</v>
      </c>
      <c r="C444" s="2">
        <v>45918</v>
      </c>
      <c r="D444" s="8">
        <v>3.5599999999999998E-5</v>
      </c>
    </row>
    <row r="445" spans="1:4" x14ac:dyDescent="0.2">
      <c r="A445" s="1">
        <v>2023</v>
      </c>
      <c r="B445" s="1" t="s">
        <v>443</v>
      </c>
      <c r="C445" s="2">
        <v>1197086</v>
      </c>
      <c r="D445" s="8">
        <v>9.2809999999999995E-4</v>
      </c>
    </row>
    <row r="446" spans="1:4" x14ac:dyDescent="0.2">
      <c r="A446" s="1">
        <v>2023</v>
      </c>
      <c r="B446" s="1" t="s">
        <v>444</v>
      </c>
      <c r="C446" s="2">
        <v>149037</v>
      </c>
      <c r="D446" s="8">
        <v>1.1555E-4</v>
      </c>
    </row>
    <row r="447" spans="1:4" x14ac:dyDescent="0.2">
      <c r="A447" s="1">
        <v>2023</v>
      </c>
      <c r="B447" s="1" t="s">
        <v>445</v>
      </c>
      <c r="C447" s="2">
        <v>3164420</v>
      </c>
      <c r="D447" s="8">
        <v>2.4533799999999998E-3</v>
      </c>
    </row>
    <row r="448" spans="1:4" x14ac:dyDescent="0.2">
      <c r="A448" s="1">
        <v>2023</v>
      </c>
      <c r="B448" s="1" t="s">
        <v>446</v>
      </c>
      <c r="C448" s="2">
        <v>14860</v>
      </c>
      <c r="D448" s="8">
        <v>1.152E-5</v>
      </c>
    </row>
    <row r="449" spans="1:4" x14ac:dyDescent="0.2">
      <c r="A449" s="1">
        <v>2023</v>
      </c>
      <c r="B449" s="1" t="s">
        <v>447</v>
      </c>
      <c r="C449" s="2">
        <v>33550</v>
      </c>
      <c r="D449" s="8">
        <v>2.601E-5</v>
      </c>
    </row>
    <row r="450" spans="1:4" x14ac:dyDescent="0.2">
      <c r="A450" s="1">
        <v>2023</v>
      </c>
      <c r="B450" s="1" t="s">
        <v>881</v>
      </c>
      <c r="C450" s="2">
        <v>6697955</v>
      </c>
      <c r="D450" s="8">
        <v>5.1929400000000001E-3</v>
      </c>
    </row>
    <row r="451" spans="1:4" x14ac:dyDescent="0.2">
      <c r="A451" s="1">
        <v>2023</v>
      </c>
      <c r="B451" s="1" t="s">
        <v>449</v>
      </c>
      <c r="C451" s="2">
        <v>266979</v>
      </c>
      <c r="D451" s="8">
        <v>2.0699E-4</v>
      </c>
    </row>
    <row r="452" spans="1:4" x14ac:dyDescent="0.2">
      <c r="A452" s="1">
        <v>2023</v>
      </c>
      <c r="B452" s="1" t="s">
        <v>450</v>
      </c>
      <c r="C452" s="2">
        <v>151426</v>
      </c>
      <c r="D452" s="8">
        <v>1.1739999999999999E-4</v>
      </c>
    </row>
    <row r="453" spans="1:4" x14ac:dyDescent="0.2">
      <c r="A453" s="1">
        <v>2023</v>
      </c>
      <c r="B453" s="1" t="s">
        <v>451</v>
      </c>
      <c r="C453" s="2">
        <v>1625595</v>
      </c>
      <c r="D453" s="8">
        <v>1.26033E-3</v>
      </c>
    </row>
    <row r="454" spans="1:4" x14ac:dyDescent="0.2">
      <c r="A454" s="1">
        <v>2023</v>
      </c>
      <c r="B454" s="1" t="s">
        <v>452</v>
      </c>
      <c r="C454" s="2">
        <v>2419783</v>
      </c>
      <c r="D454" s="8">
        <v>1.8760599999999999E-3</v>
      </c>
    </row>
    <row r="455" spans="1:4" x14ac:dyDescent="0.2">
      <c r="A455" s="1">
        <v>2023</v>
      </c>
      <c r="B455" s="1" t="s">
        <v>453</v>
      </c>
      <c r="C455" s="2">
        <v>3116621</v>
      </c>
      <c r="D455" s="8">
        <v>2.41632E-3</v>
      </c>
    </row>
    <row r="456" spans="1:4" x14ac:dyDescent="0.2">
      <c r="A456" s="1">
        <v>2023</v>
      </c>
      <c r="B456" s="1" t="s">
        <v>454</v>
      </c>
      <c r="C456" s="2">
        <v>1044854</v>
      </c>
      <c r="D456" s="8">
        <v>8.1008000000000002E-4</v>
      </c>
    </row>
    <row r="457" spans="1:4" x14ac:dyDescent="0.2">
      <c r="A457" s="1">
        <v>2023</v>
      </c>
      <c r="B457" s="1" t="s">
        <v>455</v>
      </c>
      <c r="C457" s="2">
        <v>592667</v>
      </c>
      <c r="D457" s="8">
        <v>4.595E-4</v>
      </c>
    </row>
    <row r="458" spans="1:4" x14ac:dyDescent="0.2">
      <c r="A458" s="1">
        <v>2023</v>
      </c>
      <c r="B458" s="1" t="s">
        <v>456</v>
      </c>
      <c r="C458" s="2">
        <v>3237608</v>
      </c>
      <c r="D458" s="8">
        <v>2.5101199999999998E-3</v>
      </c>
    </row>
    <row r="459" spans="1:4" x14ac:dyDescent="0.2">
      <c r="A459" s="1">
        <v>2023</v>
      </c>
      <c r="B459" s="1" t="s">
        <v>457</v>
      </c>
      <c r="C459" s="2">
        <v>2829038</v>
      </c>
      <c r="D459" s="8">
        <v>2.1933600000000001E-3</v>
      </c>
    </row>
    <row r="460" spans="1:4" x14ac:dyDescent="0.2">
      <c r="A460" s="1">
        <v>2023</v>
      </c>
      <c r="B460" s="1" t="s">
        <v>458</v>
      </c>
      <c r="C460" s="2">
        <v>389180</v>
      </c>
      <c r="D460" s="8">
        <v>3.0173E-4</v>
      </c>
    </row>
    <row r="461" spans="1:4" x14ac:dyDescent="0.2">
      <c r="A461" s="1">
        <v>2023</v>
      </c>
      <c r="B461" s="1" t="s">
        <v>459</v>
      </c>
      <c r="C461" s="2">
        <v>6665708</v>
      </c>
      <c r="D461" s="8">
        <v>5.1679400000000002E-3</v>
      </c>
    </row>
    <row r="462" spans="1:4" x14ac:dyDescent="0.2">
      <c r="A462" s="1">
        <v>2023</v>
      </c>
      <c r="B462" s="1" t="s">
        <v>882</v>
      </c>
      <c r="C462" s="2">
        <v>82381</v>
      </c>
      <c r="D462" s="8">
        <v>6.3869999999999997E-5</v>
      </c>
    </row>
    <row r="463" spans="1:4" x14ac:dyDescent="0.2">
      <c r="A463" s="1">
        <v>2023</v>
      </c>
      <c r="B463" s="1" t="s">
        <v>461</v>
      </c>
      <c r="C463" s="2">
        <v>24080</v>
      </c>
      <c r="D463" s="8">
        <v>1.8669999999999999E-5</v>
      </c>
    </row>
    <row r="464" spans="1:4" x14ac:dyDescent="0.2">
      <c r="A464" s="1">
        <v>2023</v>
      </c>
      <c r="B464" s="1" t="s">
        <v>462</v>
      </c>
      <c r="C464" s="2">
        <v>183193</v>
      </c>
      <c r="D464" s="8">
        <v>1.4202999999999999E-4</v>
      </c>
    </row>
    <row r="465" spans="1:4" x14ac:dyDescent="0.2">
      <c r="A465" s="1">
        <v>2023</v>
      </c>
      <c r="B465" s="1" t="s">
        <v>883</v>
      </c>
      <c r="C465" s="2">
        <v>16820</v>
      </c>
      <c r="D465" s="8">
        <v>1.3040000000000001E-5</v>
      </c>
    </row>
    <row r="466" spans="1:4" x14ac:dyDescent="0.2">
      <c r="A466" s="1">
        <v>2023</v>
      </c>
      <c r="B466" s="1" t="s">
        <v>464</v>
      </c>
      <c r="C466" s="2">
        <v>290876</v>
      </c>
      <c r="D466" s="8">
        <v>2.2552E-4</v>
      </c>
    </row>
    <row r="467" spans="1:4" x14ac:dyDescent="0.2">
      <c r="A467" s="1">
        <v>2023</v>
      </c>
      <c r="B467" s="1" t="s">
        <v>465</v>
      </c>
      <c r="C467" s="2">
        <v>1706834</v>
      </c>
      <c r="D467" s="8">
        <v>1.3233100000000001E-3</v>
      </c>
    </row>
    <row r="468" spans="1:4" x14ac:dyDescent="0.2">
      <c r="A468" s="1">
        <v>2023</v>
      </c>
      <c r="B468" s="1" t="s">
        <v>466</v>
      </c>
      <c r="C468" s="2">
        <v>3312573</v>
      </c>
      <c r="D468" s="8">
        <v>2.5682399999999998E-3</v>
      </c>
    </row>
    <row r="469" spans="1:4" x14ac:dyDescent="0.2">
      <c r="A469" s="1">
        <v>2023</v>
      </c>
      <c r="B469" s="1" t="s">
        <v>467</v>
      </c>
      <c r="C469" s="2">
        <v>717275</v>
      </c>
      <c r="D469" s="8">
        <v>5.5610000000000002E-4</v>
      </c>
    </row>
    <row r="470" spans="1:4" x14ac:dyDescent="0.2">
      <c r="A470" s="1">
        <v>2023</v>
      </c>
      <c r="B470" s="1" t="s">
        <v>468</v>
      </c>
      <c r="C470" s="2">
        <v>611375</v>
      </c>
      <c r="D470" s="8">
        <v>4.7399999999999997E-4</v>
      </c>
    </row>
    <row r="471" spans="1:4" x14ac:dyDescent="0.2">
      <c r="A471" s="1">
        <v>2023</v>
      </c>
      <c r="B471" s="1" t="s">
        <v>469</v>
      </c>
      <c r="C471" s="2">
        <v>5316948</v>
      </c>
      <c r="D471" s="8">
        <v>4.1222400000000001E-3</v>
      </c>
    </row>
    <row r="472" spans="1:4" x14ac:dyDescent="0.2">
      <c r="A472" s="1">
        <v>2023</v>
      </c>
      <c r="B472" s="1" t="s">
        <v>470</v>
      </c>
      <c r="C472" s="2">
        <v>3229979</v>
      </c>
      <c r="D472" s="8">
        <v>2.5042100000000002E-3</v>
      </c>
    </row>
    <row r="473" spans="1:4" x14ac:dyDescent="0.2">
      <c r="A473" s="1">
        <v>2023</v>
      </c>
      <c r="B473" s="1" t="s">
        <v>471</v>
      </c>
      <c r="C473" s="2">
        <v>747549</v>
      </c>
      <c r="D473" s="8">
        <v>5.7958E-4</v>
      </c>
    </row>
    <row r="474" spans="1:4" x14ac:dyDescent="0.2">
      <c r="A474" s="1">
        <v>2023</v>
      </c>
      <c r="B474" s="1" t="s">
        <v>472</v>
      </c>
      <c r="C474" s="2">
        <v>287763</v>
      </c>
      <c r="D474" s="8">
        <v>2.231E-4</v>
      </c>
    </row>
    <row r="475" spans="1:4" x14ac:dyDescent="0.2">
      <c r="A475" s="1">
        <v>2023</v>
      </c>
      <c r="B475" s="1" t="s">
        <v>473</v>
      </c>
      <c r="C475" s="2">
        <v>289039</v>
      </c>
      <c r="D475" s="8">
        <v>2.2409E-4</v>
      </c>
    </row>
    <row r="476" spans="1:4" x14ac:dyDescent="0.2">
      <c r="A476" s="1">
        <v>2023</v>
      </c>
      <c r="B476" s="1" t="s">
        <v>474</v>
      </c>
      <c r="C476" s="2">
        <v>8922735</v>
      </c>
      <c r="D476" s="8">
        <v>6.9178099999999999E-3</v>
      </c>
    </row>
    <row r="477" spans="1:4" x14ac:dyDescent="0.2">
      <c r="A477" s="1">
        <v>2023</v>
      </c>
      <c r="B477" s="1" t="s">
        <v>475</v>
      </c>
      <c r="C477" s="2">
        <v>890810</v>
      </c>
      <c r="D477" s="8">
        <v>6.9065000000000001E-4</v>
      </c>
    </row>
    <row r="478" spans="1:4" x14ac:dyDescent="0.2">
      <c r="A478" s="1">
        <v>2023</v>
      </c>
      <c r="B478" s="1" t="s">
        <v>476</v>
      </c>
      <c r="C478" s="2">
        <v>42608042</v>
      </c>
      <c r="D478" s="8">
        <v>3.3034099999999997E-2</v>
      </c>
    </row>
    <row r="479" spans="1:4" x14ac:dyDescent="0.2">
      <c r="A479" s="1">
        <v>2023</v>
      </c>
      <c r="B479" s="1" t="s">
        <v>477</v>
      </c>
      <c r="C479" s="2">
        <v>10715</v>
      </c>
      <c r="D479" s="8">
        <v>8.3100000000000001E-6</v>
      </c>
    </row>
    <row r="480" spans="1:4" x14ac:dyDescent="0.2">
      <c r="A480" s="1">
        <v>2023</v>
      </c>
      <c r="B480" s="1" t="s">
        <v>478</v>
      </c>
      <c r="C480" s="2">
        <v>2359282</v>
      </c>
      <c r="D480" s="8">
        <v>1.82916E-3</v>
      </c>
    </row>
    <row r="481" spans="1:4" x14ac:dyDescent="0.2">
      <c r="A481" s="1">
        <v>2023</v>
      </c>
      <c r="B481" s="1" t="s">
        <v>479</v>
      </c>
      <c r="C481" s="2">
        <v>1513035</v>
      </c>
      <c r="D481" s="8">
        <v>1.1730600000000001E-3</v>
      </c>
    </row>
    <row r="482" spans="1:4" x14ac:dyDescent="0.2">
      <c r="A482" s="1">
        <v>2023</v>
      </c>
      <c r="B482" s="1" t="s">
        <v>480</v>
      </c>
      <c r="C482" s="2">
        <v>4520</v>
      </c>
      <c r="D482" s="8">
        <v>3.4999999999999999E-6</v>
      </c>
    </row>
    <row r="483" spans="1:4" x14ac:dyDescent="0.2">
      <c r="A483" s="1">
        <v>2023</v>
      </c>
      <c r="B483" s="1" t="s">
        <v>481</v>
      </c>
      <c r="C483" s="2">
        <v>359397</v>
      </c>
      <c r="D483" s="8">
        <v>2.7863999999999997E-4</v>
      </c>
    </row>
    <row r="484" spans="1:4" x14ac:dyDescent="0.2">
      <c r="A484" s="1">
        <v>2023</v>
      </c>
      <c r="B484" s="1" t="s">
        <v>482</v>
      </c>
      <c r="C484" s="2">
        <v>137962</v>
      </c>
      <c r="D484" s="8">
        <v>1.0696000000000001E-4</v>
      </c>
    </row>
    <row r="485" spans="1:4" x14ac:dyDescent="0.2">
      <c r="A485" s="1">
        <v>2023</v>
      </c>
      <c r="B485" s="1" t="s">
        <v>483</v>
      </c>
      <c r="C485" s="2">
        <v>73581</v>
      </c>
      <c r="D485" s="8">
        <v>5.7049999999999998E-5</v>
      </c>
    </row>
    <row r="486" spans="1:4" x14ac:dyDescent="0.2">
      <c r="A486" s="1">
        <v>2023</v>
      </c>
      <c r="B486" s="1" t="s">
        <v>484</v>
      </c>
      <c r="C486" s="2">
        <v>211113</v>
      </c>
      <c r="D486" s="8">
        <v>1.6368E-4</v>
      </c>
    </row>
    <row r="487" spans="1:4" x14ac:dyDescent="0.2">
      <c r="A487" s="1">
        <v>2023</v>
      </c>
      <c r="B487" s="1" t="s">
        <v>485</v>
      </c>
      <c r="C487" s="2">
        <v>621483</v>
      </c>
      <c r="D487" s="8">
        <v>4.8183999999999998E-4</v>
      </c>
    </row>
    <row r="488" spans="1:4" x14ac:dyDescent="0.2">
      <c r="A488" s="1">
        <v>2023</v>
      </c>
      <c r="B488" s="1" t="s">
        <v>486</v>
      </c>
      <c r="C488" s="2">
        <v>2661384</v>
      </c>
      <c r="D488" s="8">
        <v>2.0633800000000001E-3</v>
      </c>
    </row>
    <row r="489" spans="1:4" x14ac:dyDescent="0.2">
      <c r="A489" s="1">
        <v>2023</v>
      </c>
      <c r="B489" s="1" t="s">
        <v>487</v>
      </c>
      <c r="C489" s="2">
        <v>31874</v>
      </c>
      <c r="D489" s="8">
        <v>2.4709999999999999E-5</v>
      </c>
    </row>
    <row r="490" spans="1:4" x14ac:dyDescent="0.2">
      <c r="A490" s="1">
        <v>2023</v>
      </c>
      <c r="B490" s="1" t="s">
        <v>488</v>
      </c>
      <c r="C490" s="2">
        <v>31641</v>
      </c>
      <c r="D490" s="8">
        <v>2.4530000000000001E-5</v>
      </c>
    </row>
    <row r="491" spans="1:4" x14ac:dyDescent="0.2">
      <c r="A491" s="1">
        <v>2023</v>
      </c>
      <c r="B491" s="1" t="s">
        <v>489</v>
      </c>
      <c r="C491" s="2">
        <v>14901</v>
      </c>
      <c r="D491" s="8">
        <v>1.155E-5</v>
      </c>
    </row>
    <row r="492" spans="1:4" x14ac:dyDescent="0.2">
      <c r="A492" s="1">
        <v>2023</v>
      </c>
      <c r="B492" s="1" t="s">
        <v>490</v>
      </c>
      <c r="C492" s="2">
        <v>10440</v>
      </c>
      <c r="D492" s="8">
        <v>8.0900000000000005E-6</v>
      </c>
    </row>
    <row r="493" spans="1:4" x14ac:dyDescent="0.2">
      <c r="A493" s="1">
        <v>2023</v>
      </c>
      <c r="B493" s="1" t="s">
        <v>491</v>
      </c>
      <c r="C493" s="2">
        <v>287520</v>
      </c>
      <c r="D493" s="8">
        <v>2.2290999999999999E-4</v>
      </c>
    </row>
    <row r="494" spans="1:4" x14ac:dyDescent="0.2">
      <c r="A494" s="1">
        <v>2023</v>
      </c>
      <c r="B494" s="1" t="s">
        <v>492</v>
      </c>
      <c r="C494" s="2">
        <v>55264</v>
      </c>
      <c r="D494" s="8">
        <v>4.2849999999999998E-5</v>
      </c>
    </row>
    <row r="495" spans="1:4" x14ac:dyDescent="0.2">
      <c r="A495" s="1">
        <v>2023</v>
      </c>
      <c r="B495" s="1" t="s">
        <v>493</v>
      </c>
      <c r="C495" s="2">
        <v>142026</v>
      </c>
      <c r="D495" s="8">
        <v>1.1011E-4</v>
      </c>
    </row>
    <row r="496" spans="1:4" x14ac:dyDescent="0.2">
      <c r="A496" s="1">
        <v>2023</v>
      </c>
      <c r="B496" s="1" t="s">
        <v>494</v>
      </c>
      <c r="C496" s="2">
        <v>42994</v>
      </c>
      <c r="D496" s="8">
        <v>3.3330000000000001E-5</v>
      </c>
    </row>
    <row r="497" spans="1:4" x14ac:dyDescent="0.2">
      <c r="A497" s="1">
        <v>2023</v>
      </c>
      <c r="B497" s="1" t="s">
        <v>495</v>
      </c>
      <c r="C497" s="2">
        <v>2079160</v>
      </c>
      <c r="D497" s="8">
        <v>1.6119800000000001E-3</v>
      </c>
    </row>
    <row r="498" spans="1:4" x14ac:dyDescent="0.2">
      <c r="A498" s="1">
        <v>2023</v>
      </c>
      <c r="B498" s="1" t="s">
        <v>497</v>
      </c>
      <c r="C498" s="2">
        <v>1451073</v>
      </c>
      <c r="D498" s="8">
        <v>1.12502E-3</v>
      </c>
    </row>
    <row r="499" spans="1:4" x14ac:dyDescent="0.2">
      <c r="A499" s="1">
        <v>2023</v>
      </c>
      <c r="B499" s="1" t="s">
        <v>498</v>
      </c>
      <c r="C499" s="2">
        <v>20597327</v>
      </c>
      <c r="D499" s="8">
        <v>1.5969150000000001E-2</v>
      </c>
    </row>
    <row r="500" spans="1:4" x14ac:dyDescent="0.2">
      <c r="A500" s="1">
        <v>2023</v>
      </c>
      <c r="B500" s="1" t="s">
        <v>499</v>
      </c>
      <c r="C500" s="2">
        <v>1831152</v>
      </c>
      <c r="D500" s="8">
        <v>1.4197000000000001E-3</v>
      </c>
    </row>
    <row r="501" spans="1:4" x14ac:dyDescent="0.2">
      <c r="A501" s="1">
        <v>2023</v>
      </c>
      <c r="B501" s="1" t="s">
        <v>500</v>
      </c>
      <c r="C501" s="2">
        <v>1043397</v>
      </c>
      <c r="D501" s="8">
        <v>8.0895000000000001E-4</v>
      </c>
    </row>
    <row r="502" spans="1:4" x14ac:dyDescent="0.2">
      <c r="A502" s="1">
        <v>2023</v>
      </c>
      <c r="B502" s="1" t="s">
        <v>501</v>
      </c>
      <c r="C502" s="2">
        <v>6740796</v>
      </c>
      <c r="D502" s="8">
        <v>5.2261499999999997E-3</v>
      </c>
    </row>
    <row r="503" spans="1:4" x14ac:dyDescent="0.2">
      <c r="A503" s="1">
        <v>2023</v>
      </c>
      <c r="B503" s="1" t="s">
        <v>502</v>
      </c>
      <c r="C503" s="2">
        <v>161870</v>
      </c>
      <c r="D503" s="8">
        <v>1.2549999999999999E-4</v>
      </c>
    </row>
    <row r="504" spans="1:4" x14ac:dyDescent="0.2">
      <c r="A504" s="1">
        <v>2023</v>
      </c>
      <c r="B504" s="1" t="s">
        <v>503</v>
      </c>
      <c r="C504" s="2">
        <v>7479290</v>
      </c>
      <c r="D504" s="8">
        <v>5.7987100000000003E-3</v>
      </c>
    </row>
    <row r="505" spans="1:4" x14ac:dyDescent="0.2">
      <c r="A505" s="1">
        <v>2023</v>
      </c>
      <c r="B505" s="1" t="s">
        <v>504</v>
      </c>
      <c r="C505" s="2">
        <v>343271</v>
      </c>
      <c r="D505" s="8">
        <v>2.6614E-4</v>
      </c>
    </row>
    <row r="506" spans="1:4" x14ac:dyDescent="0.2">
      <c r="A506" s="1">
        <v>2023</v>
      </c>
      <c r="B506" s="1" t="s">
        <v>505</v>
      </c>
      <c r="C506" s="2">
        <v>1445319</v>
      </c>
      <c r="D506" s="8">
        <v>1.12056E-3</v>
      </c>
    </row>
    <row r="507" spans="1:4" x14ac:dyDescent="0.2">
      <c r="A507" s="1">
        <v>2023</v>
      </c>
      <c r="B507" s="1" t="s">
        <v>506</v>
      </c>
      <c r="C507" s="2">
        <v>23864</v>
      </c>
      <c r="D507" s="8">
        <v>1.8499999999999999E-5</v>
      </c>
    </row>
    <row r="508" spans="1:4" x14ac:dyDescent="0.2">
      <c r="A508" s="1">
        <v>2023</v>
      </c>
      <c r="B508" s="1" t="s">
        <v>507</v>
      </c>
      <c r="C508" s="2">
        <v>138033</v>
      </c>
      <c r="D508" s="8">
        <v>1.0702E-4</v>
      </c>
    </row>
    <row r="509" spans="1:4" x14ac:dyDescent="0.2">
      <c r="A509" s="1">
        <v>2023</v>
      </c>
      <c r="B509" s="1" t="s">
        <v>508</v>
      </c>
      <c r="C509" s="2">
        <v>433998</v>
      </c>
      <c r="D509" s="8">
        <v>3.3648E-4</v>
      </c>
    </row>
    <row r="510" spans="1:4" x14ac:dyDescent="0.2">
      <c r="A510" s="1">
        <v>2023</v>
      </c>
      <c r="B510" s="1" t="s">
        <v>509</v>
      </c>
      <c r="C510" s="2">
        <v>210513</v>
      </c>
      <c r="D510" s="8">
        <v>1.6321E-4</v>
      </c>
    </row>
    <row r="511" spans="1:4" x14ac:dyDescent="0.2">
      <c r="A511" s="1">
        <v>2023</v>
      </c>
      <c r="B511" s="1" t="s">
        <v>510</v>
      </c>
      <c r="C511" s="2">
        <v>295364</v>
      </c>
      <c r="D511" s="8">
        <v>2.2900000000000001E-4</v>
      </c>
    </row>
    <row r="512" spans="1:4" x14ac:dyDescent="0.2">
      <c r="A512" s="1">
        <v>2023</v>
      </c>
      <c r="B512" s="1" t="s">
        <v>507</v>
      </c>
      <c r="C512" s="2">
        <v>774063</v>
      </c>
      <c r="D512" s="8">
        <v>6.0013000000000004E-4</v>
      </c>
    </row>
    <row r="513" spans="1:4" x14ac:dyDescent="0.2">
      <c r="A513" s="1">
        <v>2023</v>
      </c>
      <c r="B513" s="1" t="s">
        <v>512</v>
      </c>
      <c r="C513" s="2">
        <v>1017654</v>
      </c>
      <c r="D513" s="8">
        <v>7.8899000000000005E-4</v>
      </c>
    </row>
    <row r="514" spans="1:4" x14ac:dyDescent="0.2">
      <c r="A514" s="1">
        <v>2023</v>
      </c>
      <c r="B514" s="1" t="s">
        <v>513</v>
      </c>
      <c r="C514" s="2">
        <v>291576</v>
      </c>
      <c r="D514" s="8">
        <v>2.2605999999999999E-4</v>
      </c>
    </row>
    <row r="515" spans="1:4" x14ac:dyDescent="0.2">
      <c r="A515" s="1">
        <v>2023</v>
      </c>
      <c r="B515" s="1" t="s">
        <v>514</v>
      </c>
      <c r="C515" s="2">
        <v>125211</v>
      </c>
      <c r="D515" s="8">
        <v>9.7079999999999999E-5</v>
      </c>
    </row>
    <row r="516" spans="1:4" x14ac:dyDescent="0.2">
      <c r="A516" s="1">
        <v>2023</v>
      </c>
      <c r="B516" s="1" t="s">
        <v>515</v>
      </c>
      <c r="C516" s="2">
        <v>447671</v>
      </c>
      <c r="D516" s="8">
        <v>3.4707999999999999E-4</v>
      </c>
    </row>
    <row r="517" spans="1:4" x14ac:dyDescent="0.2">
      <c r="A517" s="1">
        <v>2023</v>
      </c>
      <c r="B517" s="1" t="s">
        <v>516</v>
      </c>
      <c r="C517" s="2">
        <v>2990571</v>
      </c>
      <c r="D517" s="8">
        <v>2.3186000000000001E-3</v>
      </c>
    </row>
    <row r="518" spans="1:4" x14ac:dyDescent="0.2">
      <c r="A518" s="1">
        <v>2023</v>
      </c>
      <c r="B518" s="1" t="s">
        <v>517</v>
      </c>
      <c r="C518" s="2">
        <v>2698292</v>
      </c>
      <c r="D518" s="8">
        <v>2.0919900000000002E-3</v>
      </c>
    </row>
    <row r="519" spans="1:4" x14ac:dyDescent="0.2">
      <c r="A519" s="1">
        <v>2023</v>
      </c>
      <c r="B519" s="1" t="s">
        <v>518</v>
      </c>
      <c r="C519" s="2">
        <v>39914</v>
      </c>
      <c r="D519" s="8">
        <v>3.095E-5</v>
      </c>
    </row>
    <row r="520" spans="1:4" x14ac:dyDescent="0.2">
      <c r="A520" s="1">
        <v>2023</v>
      </c>
      <c r="B520" s="1" t="s">
        <v>519</v>
      </c>
      <c r="C520" s="2">
        <v>140132</v>
      </c>
      <c r="D520" s="8">
        <v>1.0864E-4</v>
      </c>
    </row>
    <row r="521" spans="1:4" x14ac:dyDescent="0.2">
      <c r="A521" s="1">
        <v>2023</v>
      </c>
      <c r="B521" s="1" t="s">
        <v>520</v>
      </c>
      <c r="C521" s="2">
        <v>31239</v>
      </c>
      <c r="D521" s="8">
        <v>2.4219999999999999E-5</v>
      </c>
    </row>
    <row r="522" spans="1:4" x14ac:dyDescent="0.2">
      <c r="A522" s="1">
        <v>2023</v>
      </c>
      <c r="B522" s="1" t="s">
        <v>521</v>
      </c>
      <c r="C522" s="2">
        <v>1284479</v>
      </c>
      <c r="D522" s="8">
        <v>9.958600000000001E-4</v>
      </c>
    </row>
    <row r="523" spans="1:4" x14ac:dyDescent="0.2">
      <c r="A523" s="1">
        <v>2023</v>
      </c>
      <c r="B523" s="1" t="s">
        <v>522</v>
      </c>
      <c r="C523" s="2">
        <v>48295</v>
      </c>
      <c r="D523" s="8">
        <v>3.7440000000000001E-5</v>
      </c>
    </row>
    <row r="524" spans="1:4" x14ac:dyDescent="0.2">
      <c r="A524" s="1">
        <v>2023</v>
      </c>
      <c r="B524" s="1" t="s">
        <v>523</v>
      </c>
      <c r="C524" s="2">
        <v>123789</v>
      </c>
      <c r="D524" s="8">
        <v>9.5970000000000004E-5</v>
      </c>
    </row>
    <row r="525" spans="1:4" x14ac:dyDescent="0.2">
      <c r="A525" s="1">
        <v>2023</v>
      </c>
      <c r="B525" s="1" t="s">
        <v>524</v>
      </c>
      <c r="C525" s="2">
        <v>382880</v>
      </c>
      <c r="D525" s="8">
        <v>2.9684999999999998E-4</v>
      </c>
    </row>
    <row r="526" spans="1:4" x14ac:dyDescent="0.2">
      <c r="A526" s="1">
        <v>2023</v>
      </c>
      <c r="B526" s="1" t="s">
        <v>884</v>
      </c>
      <c r="C526" s="2">
        <v>119863</v>
      </c>
      <c r="D526" s="8">
        <v>9.2930000000000006E-5</v>
      </c>
    </row>
    <row r="527" spans="1:4" x14ac:dyDescent="0.2">
      <c r="A527" s="1">
        <v>2023</v>
      </c>
      <c r="B527" s="1" t="s">
        <v>885</v>
      </c>
      <c r="C527" s="2">
        <v>3898030</v>
      </c>
      <c r="D527" s="8">
        <v>3.0221499999999999E-3</v>
      </c>
    </row>
    <row r="528" spans="1:4" x14ac:dyDescent="0.2">
      <c r="A528" s="1">
        <v>2023</v>
      </c>
      <c r="B528" s="1" t="s">
        <v>527</v>
      </c>
      <c r="C528" s="2">
        <v>8558</v>
      </c>
      <c r="D528" s="8">
        <v>6.64E-6</v>
      </c>
    </row>
    <row r="529" spans="1:4" x14ac:dyDescent="0.2">
      <c r="A529" s="1">
        <v>2023</v>
      </c>
      <c r="B529" s="1" t="s">
        <v>528</v>
      </c>
      <c r="C529" s="2">
        <v>3105062</v>
      </c>
      <c r="D529" s="8">
        <v>2.4073599999999999E-3</v>
      </c>
    </row>
    <row r="530" spans="1:4" x14ac:dyDescent="0.2">
      <c r="A530" s="1">
        <v>2023</v>
      </c>
      <c r="B530" s="1" t="s">
        <v>529</v>
      </c>
      <c r="C530" s="2">
        <v>943813</v>
      </c>
      <c r="D530" s="8">
        <v>7.3174000000000004E-4</v>
      </c>
    </row>
    <row r="531" spans="1:4" x14ac:dyDescent="0.2">
      <c r="A531" s="1">
        <v>2023</v>
      </c>
      <c r="B531" s="1" t="s">
        <v>530</v>
      </c>
      <c r="C531" s="2">
        <v>19206</v>
      </c>
      <c r="D531" s="8">
        <v>1.489E-5</v>
      </c>
    </row>
    <row r="532" spans="1:4" x14ac:dyDescent="0.2">
      <c r="A532" s="1">
        <v>2023</v>
      </c>
      <c r="B532" s="1" t="s">
        <v>531</v>
      </c>
      <c r="C532" s="2">
        <v>5826</v>
      </c>
      <c r="D532" s="8">
        <v>4.5199999999999999E-6</v>
      </c>
    </row>
    <row r="533" spans="1:4" x14ac:dyDescent="0.2">
      <c r="A533" s="1">
        <v>2023</v>
      </c>
      <c r="B533" s="1" t="s">
        <v>532</v>
      </c>
      <c r="C533" s="2">
        <v>1159133</v>
      </c>
      <c r="D533" s="8">
        <v>8.9868000000000001E-4</v>
      </c>
    </row>
    <row r="534" spans="1:4" x14ac:dyDescent="0.2">
      <c r="A534" s="1">
        <v>2023</v>
      </c>
      <c r="B534" s="1" t="s">
        <v>533</v>
      </c>
      <c r="C534" s="2">
        <v>103678</v>
      </c>
      <c r="D534" s="8">
        <v>8.038E-5</v>
      </c>
    </row>
    <row r="535" spans="1:4" x14ac:dyDescent="0.2">
      <c r="A535" s="1">
        <v>2023</v>
      </c>
      <c r="B535" s="1" t="s">
        <v>534</v>
      </c>
      <c r="C535" s="2">
        <v>766335</v>
      </c>
      <c r="D535" s="8">
        <v>5.9413999999999995E-4</v>
      </c>
    </row>
    <row r="536" spans="1:4" x14ac:dyDescent="0.2">
      <c r="A536" s="1">
        <v>2023</v>
      </c>
      <c r="B536" s="1" t="s">
        <v>535</v>
      </c>
      <c r="C536" s="2">
        <v>783421</v>
      </c>
      <c r="D536" s="8">
        <v>6.0738999999999997E-4</v>
      </c>
    </row>
    <row r="537" spans="1:4" x14ac:dyDescent="0.2">
      <c r="A537" s="1">
        <v>2023</v>
      </c>
      <c r="B537" s="1" t="s">
        <v>536</v>
      </c>
      <c r="C537" s="2">
        <v>2443359</v>
      </c>
      <c r="D537" s="8">
        <v>1.89434E-3</v>
      </c>
    </row>
    <row r="538" spans="1:4" x14ac:dyDescent="0.2">
      <c r="A538" s="1">
        <v>2023</v>
      </c>
      <c r="B538" s="1" t="s">
        <v>537</v>
      </c>
      <c r="C538" s="2">
        <v>39876</v>
      </c>
      <c r="D538" s="8">
        <v>3.0920000000000002E-5</v>
      </c>
    </row>
    <row r="539" spans="1:4" x14ac:dyDescent="0.2">
      <c r="A539" s="1">
        <v>2023</v>
      </c>
      <c r="B539" s="1" t="s">
        <v>538</v>
      </c>
      <c r="C539" s="2">
        <v>30531</v>
      </c>
      <c r="D539" s="8">
        <v>2.3669999999999999E-5</v>
      </c>
    </row>
    <row r="540" spans="1:4" x14ac:dyDescent="0.2">
      <c r="A540" s="1">
        <v>2023</v>
      </c>
      <c r="B540" s="1" t="s">
        <v>539</v>
      </c>
      <c r="C540" s="2">
        <v>262476</v>
      </c>
      <c r="D540" s="8">
        <v>2.0350000000000001E-4</v>
      </c>
    </row>
    <row r="541" spans="1:4" x14ac:dyDescent="0.2">
      <c r="A541" s="1">
        <v>2023</v>
      </c>
      <c r="B541" s="1" t="s">
        <v>540</v>
      </c>
      <c r="C541" s="2">
        <v>1983337</v>
      </c>
      <c r="D541" s="8">
        <v>1.53769E-3</v>
      </c>
    </row>
    <row r="542" spans="1:4" x14ac:dyDescent="0.2">
      <c r="A542" s="1">
        <v>2023</v>
      </c>
      <c r="B542" s="1" t="s">
        <v>541</v>
      </c>
      <c r="C542" s="2">
        <v>722445</v>
      </c>
      <c r="D542" s="8">
        <v>5.6010999999999995E-4</v>
      </c>
    </row>
    <row r="543" spans="1:4" x14ac:dyDescent="0.2">
      <c r="A543" s="1">
        <v>2023</v>
      </c>
      <c r="B543" s="1" t="s">
        <v>542</v>
      </c>
      <c r="C543" s="2">
        <v>3474</v>
      </c>
      <c r="D543" s="8">
        <v>2.6900000000000001E-6</v>
      </c>
    </row>
    <row r="544" spans="1:4" x14ac:dyDescent="0.2">
      <c r="A544" s="1">
        <v>2023</v>
      </c>
      <c r="B544" s="1" t="s">
        <v>543</v>
      </c>
      <c r="C544" s="2">
        <v>1028272</v>
      </c>
      <c r="D544" s="8">
        <v>7.9721999999999996E-4</v>
      </c>
    </row>
    <row r="545" spans="1:4" x14ac:dyDescent="0.2">
      <c r="A545" s="1">
        <v>2023</v>
      </c>
      <c r="B545" s="1" t="s">
        <v>544</v>
      </c>
      <c r="C545" s="2">
        <v>9724</v>
      </c>
      <c r="D545" s="8">
        <v>7.5399999999999998E-6</v>
      </c>
    </row>
    <row r="546" spans="1:4" x14ac:dyDescent="0.2">
      <c r="A546" s="1">
        <v>2023</v>
      </c>
      <c r="B546" s="1" t="s">
        <v>545</v>
      </c>
      <c r="C546" s="2">
        <v>1117636</v>
      </c>
      <c r="D546" s="8">
        <v>8.6651000000000002E-4</v>
      </c>
    </row>
    <row r="547" spans="1:4" x14ac:dyDescent="0.2">
      <c r="A547" s="1">
        <v>2023</v>
      </c>
      <c r="B547" s="1" t="s">
        <v>546</v>
      </c>
      <c r="C547" s="2">
        <v>4997063</v>
      </c>
      <c r="D547" s="8">
        <v>3.8742300000000002E-3</v>
      </c>
    </row>
    <row r="548" spans="1:4" x14ac:dyDescent="0.2">
      <c r="A548" s="1">
        <v>2023</v>
      </c>
      <c r="B548" s="1" t="s">
        <v>547</v>
      </c>
      <c r="C548" s="2">
        <v>1490021</v>
      </c>
      <c r="D548" s="8">
        <v>1.15522E-3</v>
      </c>
    </row>
    <row r="549" spans="1:4" x14ac:dyDescent="0.2">
      <c r="A549" s="1">
        <v>2023</v>
      </c>
      <c r="B549" s="1" t="s">
        <v>548</v>
      </c>
      <c r="C549" s="2">
        <v>2435995</v>
      </c>
      <c r="D549" s="8">
        <v>1.8886300000000001E-3</v>
      </c>
    </row>
    <row r="550" spans="1:4" x14ac:dyDescent="0.2">
      <c r="A550" s="1">
        <v>2023</v>
      </c>
      <c r="B550" s="1" t="s">
        <v>549</v>
      </c>
      <c r="C550" s="2">
        <v>4398283</v>
      </c>
      <c r="D550" s="8">
        <v>3.4099999999999998E-3</v>
      </c>
    </row>
    <row r="551" spans="1:4" x14ac:dyDescent="0.2">
      <c r="A551" s="1">
        <v>2023</v>
      </c>
      <c r="B551" s="1" t="s">
        <v>550</v>
      </c>
      <c r="C551" s="2">
        <v>1354633</v>
      </c>
      <c r="D551" s="8">
        <v>1.05025E-3</v>
      </c>
    </row>
    <row r="552" spans="1:4" x14ac:dyDescent="0.2">
      <c r="A552" s="1">
        <v>2023</v>
      </c>
      <c r="B552" s="1" t="s">
        <v>551</v>
      </c>
      <c r="C552" s="2">
        <v>1823086</v>
      </c>
      <c r="D552" s="8">
        <v>1.41344E-3</v>
      </c>
    </row>
    <row r="553" spans="1:4" x14ac:dyDescent="0.2">
      <c r="A553" s="1">
        <v>2023</v>
      </c>
      <c r="B553" s="1" t="s">
        <v>552</v>
      </c>
      <c r="C553" s="2">
        <v>50060</v>
      </c>
      <c r="D553" s="8">
        <v>3.8810000000000003E-5</v>
      </c>
    </row>
    <row r="554" spans="1:4" x14ac:dyDescent="0.2">
      <c r="A554" s="1">
        <v>2023</v>
      </c>
      <c r="B554" s="1" t="s">
        <v>553</v>
      </c>
      <c r="C554" s="2">
        <v>3160768</v>
      </c>
      <c r="D554" s="8">
        <v>2.4505500000000001E-3</v>
      </c>
    </row>
    <row r="555" spans="1:4" x14ac:dyDescent="0.2">
      <c r="A555" s="1">
        <v>2023</v>
      </c>
      <c r="B555" s="1" t="s">
        <v>554</v>
      </c>
      <c r="C555" s="2">
        <v>69261</v>
      </c>
      <c r="D555" s="8">
        <v>5.3699999999999997E-5</v>
      </c>
    </row>
    <row r="556" spans="1:4" x14ac:dyDescent="0.2">
      <c r="A556" s="1">
        <v>2023</v>
      </c>
      <c r="B556" s="1" t="s">
        <v>555</v>
      </c>
      <c r="C556" s="2">
        <v>5158999</v>
      </c>
      <c r="D556" s="8">
        <v>3.9997799999999997E-3</v>
      </c>
    </row>
    <row r="557" spans="1:4" x14ac:dyDescent="0.2">
      <c r="A557" s="1">
        <v>2023</v>
      </c>
      <c r="B557" s="1" t="s">
        <v>556</v>
      </c>
      <c r="C557" s="2">
        <v>37808</v>
      </c>
      <c r="D557" s="8">
        <v>2.9309999999999999E-5</v>
      </c>
    </row>
    <row r="558" spans="1:4" x14ac:dyDescent="0.2">
      <c r="A558" s="1">
        <v>2023</v>
      </c>
      <c r="B558" s="1" t="s">
        <v>557</v>
      </c>
      <c r="C558" s="2">
        <v>1617172</v>
      </c>
      <c r="D558" s="8">
        <v>1.2538E-3</v>
      </c>
    </row>
    <row r="559" spans="1:4" x14ac:dyDescent="0.2">
      <c r="A559" s="1">
        <v>2023</v>
      </c>
      <c r="B559" s="1" t="s">
        <v>558</v>
      </c>
      <c r="C559" s="2">
        <v>453130</v>
      </c>
      <c r="D559" s="8">
        <v>3.5131000000000002E-4</v>
      </c>
    </row>
    <row r="560" spans="1:4" x14ac:dyDescent="0.2">
      <c r="A560" s="1">
        <v>2023</v>
      </c>
      <c r="B560" s="1" t="s">
        <v>559</v>
      </c>
      <c r="C560" s="2">
        <v>8468</v>
      </c>
      <c r="D560" s="8">
        <v>6.5699999999999998E-6</v>
      </c>
    </row>
    <row r="561" spans="1:4" x14ac:dyDescent="0.2">
      <c r="A561" s="1">
        <v>2023</v>
      </c>
      <c r="B561" s="1" t="s">
        <v>560</v>
      </c>
      <c r="C561" s="2">
        <v>64838</v>
      </c>
      <c r="D561" s="8">
        <v>5.0269999999999998E-5</v>
      </c>
    </row>
    <row r="562" spans="1:4" x14ac:dyDescent="0.2">
      <c r="A562" s="1">
        <v>2023</v>
      </c>
      <c r="B562" s="1" t="s">
        <v>886</v>
      </c>
      <c r="C562" s="2">
        <v>16135</v>
      </c>
      <c r="D562" s="8">
        <v>1.2510000000000001E-5</v>
      </c>
    </row>
    <row r="563" spans="1:4" x14ac:dyDescent="0.2">
      <c r="A563" s="1">
        <v>2023</v>
      </c>
      <c r="B563" s="1" t="s">
        <v>562</v>
      </c>
      <c r="C563" s="2">
        <v>1442324</v>
      </c>
      <c r="D563" s="8">
        <v>1.1182399999999999E-3</v>
      </c>
    </row>
    <row r="564" spans="1:4" x14ac:dyDescent="0.2">
      <c r="A564" s="1">
        <v>2023</v>
      </c>
      <c r="B564" s="1" t="s">
        <v>563</v>
      </c>
      <c r="C564" s="2">
        <v>6394005</v>
      </c>
      <c r="D564" s="8">
        <v>4.9572799999999997E-3</v>
      </c>
    </row>
    <row r="565" spans="1:4" x14ac:dyDescent="0.2">
      <c r="A565" s="1">
        <v>2023</v>
      </c>
      <c r="B565" s="1" t="s">
        <v>564</v>
      </c>
      <c r="C565" s="2">
        <v>268313</v>
      </c>
      <c r="D565" s="8">
        <v>2.0802E-4</v>
      </c>
    </row>
    <row r="566" spans="1:4" x14ac:dyDescent="0.2">
      <c r="A566" s="1">
        <v>2023</v>
      </c>
      <c r="B566" s="1" t="s">
        <v>565</v>
      </c>
      <c r="C566" s="2">
        <v>389781</v>
      </c>
      <c r="D566" s="8">
        <v>3.0219999999999997E-4</v>
      </c>
    </row>
    <row r="567" spans="1:4" x14ac:dyDescent="0.2">
      <c r="A567" s="1">
        <v>2023</v>
      </c>
      <c r="B567" s="1" t="s">
        <v>566</v>
      </c>
      <c r="C567" s="2">
        <v>235594</v>
      </c>
      <c r="D567" s="8">
        <v>1.8265999999999999E-4</v>
      </c>
    </row>
    <row r="568" spans="1:4" x14ac:dyDescent="0.2">
      <c r="A568" s="1">
        <v>2023</v>
      </c>
      <c r="B568" s="1" t="s">
        <v>567</v>
      </c>
      <c r="C568" s="2">
        <v>192466</v>
      </c>
      <c r="D568" s="8">
        <v>1.4922000000000001E-4</v>
      </c>
    </row>
    <row r="569" spans="1:4" x14ac:dyDescent="0.2">
      <c r="A569" s="1">
        <v>2023</v>
      </c>
      <c r="B569" s="1" t="s">
        <v>568</v>
      </c>
      <c r="C569" s="2">
        <v>204679</v>
      </c>
      <c r="D569" s="8">
        <v>1.5868999999999999E-4</v>
      </c>
    </row>
    <row r="570" spans="1:4" x14ac:dyDescent="0.2">
      <c r="A570" s="1">
        <v>2023</v>
      </c>
      <c r="B570" s="1" t="s">
        <v>569</v>
      </c>
      <c r="C570" s="2">
        <v>715809</v>
      </c>
      <c r="D570" s="8">
        <v>5.5497000000000001E-4</v>
      </c>
    </row>
    <row r="571" spans="1:4" x14ac:dyDescent="0.2">
      <c r="A571" s="1">
        <v>2023</v>
      </c>
      <c r="B571" s="1" t="s">
        <v>570</v>
      </c>
      <c r="C571" s="2">
        <v>1516404</v>
      </c>
      <c r="D571" s="8">
        <v>1.17567E-3</v>
      </c>
    </row>
    <row r="572" spans="1:4" x14ac:dyDescent="0.2">
      <c r="A572" s="1">
        <v>2023</v>
      </c>
      <c r="B572" s="1" t="s">
        <v>571</v>
      </c>
      <c r="C572" s="2">
        <v>57671</v>
      </c>
      <c r="D572" s="8">
        <v>4.4709999999999997E-5</v>
      </c>
    </row>
    <row r="573" spans="1:4" x14ac:dyDescent="0.2">
      <c r="A573" s="1">
        <v>2023</v>
      </c>
      <c r="B573" s="1" t="s">
        <v>572</v>
      </c>
      <c r="C573" s="2">
        <v>4557752</v>
      </c>
      <c r="D573" s="8">
        <v>3.5336299999999998E-3</v>
      </c>
    </row>
    <row r="574" spans="1:4" x14ac:dyDescent="0.2">
      <c r="A574" s="1">
        <v>2023</v>
      </c>
      <c r="B574" s="1" t="s">
        <v>573</v>
      </c>
      <c r="C574" s="2">
        <v>33573</v>
      </c>
      <c r="D574" s="8">
        <v>2.603E-5</v>
      </c>
    </row>
    <row r="575" spans="1:4" x14ac:dyDescent="0.2">
      <c r="A575" s="1">
        <v>2023</v>
      </c>
      <c r="B575" s="1" t="s">
        <v>574</v>
      </c>
      <c r="C575" s="2">
        <v>3826218</v>
      </c>
      <c r="D575" s="8">
        <v>2.9664700000000001E-3</v>
      </c>
    </row>
    <row r="576" spans="1:4" x14ac:dyDescent="0.2">
      <c r="A576" s="1">
        <v>2023</v>
      </c>
      <c r="B576" s="1" t="s">
        <v>887</v>
      </c>
      <c r="C576" s="2">
        <v>574857</v>
      </c>
      <c r="D576" s="8">
        <v>4.4569E-4</v>
      </c>
    </row>
    <row r="577" spans="1:4" x14ac:dyDescent="0.2">
      <c r="A577" s="1">
        <v>2023</v>
      </c>
      <c r="B577" s="1" t="s">
        <v>576</v>
      </c>
      <c r="C577" s="2">
        <v>119197</v>
      </c>
      <c r="D577" s="8">
        <v>9.2410000000000005E-5</v>
      </c>
    </row>
    <row r="578" spans="1:4" x14ac:dyDescent="0.2">
      <c r="A578" s="1">
        <v>2023</v>
      </c>
      <c r="B578" s="1" t="s">
        <v>577</v>
      </c>
      <c r="C578" s="2">
        <v>5665983</v>
      </c>
      <c r="D578" s="8">
        <v>4.3928500000000002E-3</v>
      </c>
    </row>
    <row r="579" spans="1:4" x14ac:dyDescent="0.2">
      <c r="A579" s="1">
        <v>2023</v>
      </c>
      <c r="B579" s="1" t="s">
        <v>578</v>
      </c>
      <c r="C579" s="2">
        <v>43112</v>
      </c>
      <c r="D579" s="8">
        <v>3.3420000000000002E-5</v>
      </c>
    </row>
    <row r="580" spans="1:4" x14ac:dyDescent="0.2">
      <c r="A580" s="1">
        <v>2023</v>
      </c>
      <c r="B580" s="1" t="s">
        <v>579</v>
      </c>
      <c r="C580" s="2">
        <v>17703</v>
      </c>
      <c r="D580" s="8">
        <v>1.3730000000000001E-5</v>
      </c>
    </row>
    <row r="581" spans="1:4" x14ac:dyDescent="0.2">
      <c r="A581" s="1">
        <v>2023</v>
      </c>
      <c r="B581" s="1" t="s">
        <v>580</v>
      </c>
      <c r="C581" s="2">
        <v>1671771</v>
      </c>
      <c r="D581" s="8">
        <v>1.2961299999999999E-3</v>
      </c>
    </row>
    <row r="582" spans="1:4" x14ac:dyDescent="0.2">
      <c r="A582" s="1">
        <v>2023</v>
      </c>
      <c r="B582" s="1" t="s">
        <v>581</v>
      </c>
      <c r="C582" s="2">
        <v>5789</v>
      </c>
      <c r="D582" s="8">
        <v>4.4900000000000002E-6</v>
      </c>
    </row>
    <row r="583" spans="1:4" x14ac:dyDescent="0.2">
      <c r="A583" s="1">
        <v>2023</v>
      </c>
      <c r="B583" s="1" t="s">
        <v>582</v>
      </c>
      <c r="C583" s="2">
        <v>1653524</v>
      </c>
      <c r="D583" s="8">
        <v>1.2819800000000001E-3</v>
      </c>
    </row>
    <row r="584" spans="1:4" x14ac:dyDescent="0.2">
      <c r="A584" s="1">
        <v>2023</v>
      </c>
      <c r="B584" s="1" t="s">
        <v>583</v>
      </c>
      <c r="C584" s="2">
        <v>10897016</v>
      </c>
      <c r="D584" s="8">
        <v>8.4484799999999995E-3</v>
      </c>
    </row>
    <row r="585" spans="1:4" x14ac:dyDescent="0.2">
      <c r="A585" s="1">
        <v>2023</v>
      </c>
      <c r="B585" s="1" t="s">
        <v>584</v>
      </c>
      <c r="C585" s="2">
        <v>706177</v>
      </c>
      <c r="D585" s="8">
        <v>5.4750000000000003E-4</v>
      </c>
    </row>
    <row r="586" spans="1:4" x14ac:dyDescent="0.2">
      <c r="A586" s="1">
        <v>2023</v>
      </c>
      <c r="B586" s="1" t="s">
        <v>585</v>
      </c>
      <c r="C586" s="2">
        <v>2597328</v>
      </c>
      <c r="D586" s="8">
        <v>2.0137100000000002E-3</v>
      </c>
    </row>
    <row r="587" spans="1:4" x14ac:dyDescent="0.2">
      <c r="A587" s="1">
        <v>2023</v>
      </c>
      <c r="B587" s="1" t="s">
        <v>586</v>
      </c>
      <c r="C587" s="2">
        <v>185780</v>
      </c>
      <c r="D587" s="8">
        <v>1.4404000000000001E-4</v>
      </c>
    </row>
    <row r="588" spans="1:4" x14ac:dyDescent="0.2">
      <c r="A588" s="1">
        <v>2023</v>
      </c>
      <c r="B588" s="1" t="s">
        <v>587</v>
      </c>
      <c r="C588" s="2">
        <v>2046994</v>
      </c>
      <c r="D588" s="8">
        <v>1.5870400000000001E-3</v>
      </c>
    </row>
    <row r="589" spans="1:4" x14ac:dyDescent="0.2">
      <c r="A589" s="1">
        <v>2023</v>
      </c>
      <c r="B589" s="1" t="s">
        <v>588</v>
      </c>
      <c r="C589" s="2">
        <v>4432189</v>
      </c>
      <c r="D589" s="8">
        <v>3.4362799999999999E-3</v>
      </c>
    </row>
    <row r="590" spans="1:4" x14ac:dyDescent="0.2">
      <c r="A590" s="1">
        <v>2023</v>
      </c>
      <c r="B590" s="1" t="s">
        <v>589</v>
      </c>
      <c r="C590" s="2">
        <v>3233994</v>
      </c>
      <c r="D590" s="8">
        <v>2.5073199999999999E-3</v>
      </c>
    </row>
    <row r="591" spans="1:4" x14ac:dyDescent="0.2">
      <c r="A591" s="1">
        <v>2023</v>
      </c>
      <c r="B591" s="1" t="s">
        <v>590</v>
      </c>
      <c r="C591" s="2">
        <v>2120792</v>
      </c>
      <c r="D591" s="8">
        <v>1.6442500000000001E-3</v>
      </c>
    </row>
    <row r="592" spans="1:4" x14ac:dyDescent="0.2">
      <c r="A592" s="1">
        <v>2023</v>
      </c>
      <c r="B592" s="1" t="s">
        <v>591</v>
      </c>
      <c r="C592" s="2">
        <v>63773</v>
      </c>
      <c r="D592" s="8">
        <v>4.9440000000000001E-5</v>
      </c>
    </row>
    <row r="593" spans="1:4" x14ac:dyDescent="0.2">
      <c r="A593" s="1">
        <v>2023</v>
      </c>
      <c r="B593" s="1" t="s">
        <v>592</v>
      </c>
      <c r="C593" s="2">
        <v>4226188</v>
      </c>
      <c r="D593" s="8">
        <v>3.2765699999999999E-3</v>
      </c>
    </row>
    <row r="594" spans="1:4" x14ac:dyDescent="0.2">
      <c r="A594" s="1">
        <v>2023</v>
      </c>
      <c r="B594" s="1" t="s">
        <v>593</v>
      </c>
      <c r="C594" s="2">
        <v>2339</v>
      </c>
      <c r="D594" s="8">
        <v>1.81E-6</v>
      </c>
    </row>
    <row r="595" spans="1:4" x14ac:dyDescent="0.2">
      <c r="A595" s="1">
        <v>2023</v>
      </c>
      <c r="B595" s="1" t="s">
        <v>594</v>
      </c>
      <c r="C595" s="2">
        <v>678124</v>
      </c>
      <c r="D595" s="8">
        <v>5.2574999999999996E-4</v>
      </c>
    </row>
    <row r="596" spans="1:4" x14ac:dyDescent="0.2">
      <c r="A596" s="1">
        <v>2023</v>
      </c>
      <c r="B596" s="1" t="s">
        <v>595</v>
      </c>
      <c r="C596" s="2">
        <v>120210</v>
      </c>
      <c r="D596" s="8">
        <v>9.3200000000000002E-5</v>
      </c>
    </row>
    <row r="597" spans="1:4" x14ac:dyDescent="0.2">
      <c r="A597" s="1">
        <v>2023</v>
      </c>
      <c r="B597" s="1" t="s">
        <v>596</v>
      </c>
      <c r="C597" s="2">
        <v>1387145</v>
      </c>
      <c r="D597" s="8">
        <v>1.0754600000000001E-3</v>
      </c>
    </row>
    <row r="598" spans="1:4" x14ac:dyDescent="0.2">
      <c r="A598" s="1">
        <v>2023</v>
      </c>
      <c r="B598" s="1" t="s">
        <v>597</v>
      </c>
      <c r="C598" s="2">
        <v>539075</v>
      </c>
      <c r="D598" s="8">
        <v>4.1794999999999999E-4</v>
      </c>
    </row>
    <row r="599" spans="1:4" x14ac:dyDescent="0.2">
      <c r="A599" s="1">
        <v>2023</v>
      </c>
      <c r="B599" s="1" t="s">
        <v>598</v>
      </c>
      <c r="C599" s="2">
        <v>756052</v>
      </c>
      <c r="D599" s="8">
        <v>5.8617000000000001E-4</v>
      </c>
    </row>
    <row r="600" spans="1:4" x14ac:dyDescent="0.2">
      <c r="A600" s="1">
        <v>2023</v>
      </c>
      <c r="B600" s="1" t="s">
        <v>599</v>
      </c>
      <c r="C600" s="2">
        <v>4723144</v>
      </c>
      <c r="D600" s="8">
        <v>3.6618599999999999E-3</v>
      </c>
    </row>
    <row r="601" spans="1:4" x14ac:dyDescent="0.2">
      <c r="A601" s="1">
        <v>2023</v>
      </c>
      <c r="B601" s="1" t="s">
        <v>600</v>
      </c>
      <c r="C601" s="2">
        <v>652152</v>
      </c>
      <c r="D601" s="8">
        <v>5.0560999999999998E-4</v>
      </c>
    </row>
    <row r="602" spans="1:4" x14ac:dyDescent="0.2">
      <c r="A602" s="1">
        <v>2023</v>
      </c>
      <c r="B602" s="1" t="s">
        <v>601</v>
      </c>
      <c r="C602" s="2">
        <v>1052350</v>
      </c>
      <c r="D602" s="8">
        <v>8.1589E-4</v>
      </c>
    </row>
    <row r="603" spans="1:4" x14ac:dyDescent="0.2">
      <c r="A603" s="1">
        <v>2023</v>
      </c>
      <c r="B603" s="1" t="s">
        <v>888</v>
      </c>
      <c r="C603" s="2">
        <v>26769</v>
      </c>
      <c r="D603" s="8">
        <v>2.075E-5</v>
      </c>
    </row>
    <row r="604" spans="1:4" x14ac:dyDescent="0.2">
      <c r="A604" s="1">
        <v>2023</v>
      </c>
      <c r="B604" s="1" t="s">
        <v>603</v>
      </c>
      <c r="C604" s="2">
        <v>1204043</v>
      </c>
      <c r="D604" s="8">
        <v>9.3349999999999998E-4</v>
      </c>
    </row>
    <row r="605" spans="1:4" x14ac:dyDescent="0.2">
      <c r="A605" s="1">
        <v>2023</v>
      </c>
      <c r="B605" s="1" t="s">
        <v>604</v>
      </c>
      <c r="C605" s="2">
        <v>115741</v>
      </c>
      <c r="D605" s="8">
        <v>8.9729999999999996E-5</v>
      </c>
    </row>
    <row r="606" spans="1:4" x14ac:dyDescent="0.2">
      <c r="A606" s="1">
        <v>2023</v>
      </c>
      <c r="B606" s="1" t="s">
        <v>605</v>
      </c>
      <c r="C606" s="2">
        <v>4298942</v>
      </c>
      <c r="D606" s="8">
        <v>3.3329800000000001E-3</v>
      </c>
    </row>
    <row r="607" spans="1:4" x14ac:dyDescent="0.2">
      <c r="A607" s="1">
        <v>2023</v>
      </c>
      <c r="B607" s="1" t="s">
        <v>606</v>
      </c>
      <c r="C607" s="2">
        <v>1391299</v>
      </c>
      <c r="D607" s="8">
        <v>1.07868E-3</v>
      </c>
    </row>
    <row r="608" spans="1:4" x14ac:dyDescent="0.2">
      <c r="A608" s="1">
        <v>2023</v>
      </c>
      <c r="B608" s="1" t="s">
        <v>607</v>
      </c>
      <c r="C608" s="2">
        <v>5457</v>
      </c>
      <c r="D608" s="8">
        <v>4.2300000000000002E-6</v>
      </c>
    </row>
    <row r="609" spans="1:4" x14ac:dyDescent="0.2">
      <c r="A609" s="1">
        <v>2023</v>
      </c>
      <c r="B609" s="1" t="s">
        <v>889</v>
      </c>
      <c r="C609" s="2">
        <v>76122</v>
      </c>
      <c r="D609" s="8">
        <v>5.9020000000000001E-5</v>
      </c>
    </row>
    <row r="610" spans="1:4" x14ac:dyDescent="0.2">
      <c r="A610" s="1">
        <v>2023</v>
      </c>
      <c r="B610" s="1" t="s">
        <v>609</v>
      </c>
      <c r="C610" s="2">
        <v>26390</v>
      </c>
      <c r="D610" s="8">
        <v>2.0460000000000001E-5</v>
      </c>
    </row>
    <row r="611" spans="1:4" x14ac:dyDescent="0.2">
      <c r="A611" s="1">
        <v>2023</v>
      </c>
      <c r="B611" s="1" t="s">
        <v>610</v>
      </c>
      <c r="C611" s="2">
        <v>21509</v>
      </c>
      <c r="D611" s="8">
        <v>1.668E-5</v>
      </c>
    </row>
    <row r="612" spans="1:4" x14ac:dyDescent="0.2">
      <c r="A612" s="1">
        <v>2023</v>
      </c>
      <c r="B612" s="1" t="s">
        <v>611</v>
      </c>
      <c r="C612" s="2">
        <v>46047</v>
      </c>
      <c r="D612" s="8">
        <v>3.57E-5</v>
      </c>
    </row>
    <row r="613" spans="1:4" x14ac:dyDescent="0.2">
      <c r="A613" s="1">
        <v>2023</v>
      </c>
      <c r="B613" s="1" t="s">
        <v>612</v>
      </c>
      <c r="C613" s="2">
        <v>823288</v>
      </c>
      <c r="D613" s="8">
        <v>6.3829999999999996E-4</v>
      </c>
    </row>
    <row r="614" spans="1:4" x14ac:dyDescent="0.2">
      <c r="A614" s="1">
        <v>2023</v>
      </c>
      <c r="B614" s="1" t="s">
        <v>613</v>
      </c>
      <c r="C614" s="2">
        <v>3645764</v>
      </c>
      <c r="D614" s="8">
        <v>2.82657E-3</v>
      </c>
    </row>
    <row r="615" spans="1:4" x14ac:dyDescent="0.2">
      <c r="A615" s="1">
        <v>2023</v>
      </c>
      <c r="B615" s="1" t="s">
        <v>614</v>
      </c>
      <c r="C615" s="2">
        <v>967700</v>
      </c>
      <c r="D615" s="8">
        <v>7.5025999999999999E-4</v>
      </c>
    </row>
    <row r="616" spans="1:4" x14ac:dyDescent="0.2">
      <c r="A616" s="1">
        <v>2023</v>
      </c>
      <c r="B616" s="1" t="s">
        <v>890</v>
      </c>
      <c r="C616" s="2">
        <v>2144</v>
      </c>
      <c r="D616" s="8">
        <v>1.66E-6</v>
      </c>
    </row>
    <row r="617" spans="1:4" x14ac:dyDescent="0.2">
      <c r="A617" s="1">
        <v>2023</v>
      </c>
      <c r="B617" s="1" t="s">
        <v>615</v>
      </c>
      <c r="C617" s="2">
        <v>26998</v>
      </c>
      <c r="D617" s="8">
        <v>2.0930000000000001E-5</v>
      </c>
    </row>
    <row r="618" spans="1:4" x14ac:dyDescent="0.2">
      <c r="A618" s="1">
        <v>2023</v>
      </c>
      <c r="B618" s="1" t="s">
        <v>616</v>
      </c>
      <c r="C618" s="2">
        <v>2663452</v>
      </c>
      <c r="D618" s="8">
        <v>2.0649800000000001E-3</v>
      </c>
    </row>
    <row r="619" spans="1:4" x14ac:dyDescent="0.2">
      <c r="A619" s="1">
        <v>2023</v>
      </c>
      <c r="B619" s="1" t="s">
        <v>617</v>
      </c>
      <c r="C619" s="2">
        <v>202168</v>
      </c>
      <c r="D619" s="8">
        <v>1.5673999999999999E-4</v>
      </c>
    </row>
    <row r="620" spans="1:4" x14ac:dyDescent="0.2">
      <c r="A620" s="1">
        <v>2023</v>
      </c>
      <c r="B620" s="1" t="s">
        <v>618</v>
      </c>
      <c r="C620" s="2">
        <v>2132083</v>
      </c>
      <c r="D620" s="8">
        <v>1.6530099999999999E-3</v>
      </c>
    </row>
    <row r="621" spans="1:4" x14ac:dyDescent="0.2">
      <c r="A621" s="1">
        <v>2023</v>
      </c>
      <c r="B621" s="1" t="s">
        <v>619</v>
      </c>
      <c r="C621" s="2">
        <v>541234</v>
      </c>
      <c r="D621" s="8">
        <v>4.1962E-4</v>
      </c>
    </row>
    <row r="622" spans="1:4" x14ac:dyDescent="0.2">
      <c r="A622" s="1">
        <v>2023</v>
      </c>
      <c r="B622" s="1" t="s">
        <v>620</v>
      </c>
      <c r="C622" s="2">
        <v>177701</v>
      </c>
      <c r="D622" s="8">
        <v>1.3777E-4</v>
      </c>
    </row>
    <row r="623" spans="1:4" x14ac:dyDescent="0.2">
      <c r="A623" s="1">
        <v>2023</v>
      </c>
      <c r="B623" s="1" t="s">
        <v>621</v>
      </c>
      <c r="C623" s="2">
        <v>23616</v>
      </c>
      <c r="D623" s="8">
        <v>1.8309999999999999E-5</v>
      </c>
    </row>
    <row r="624" spans="1:4" x14ac:dyDescent="0.2">
      <c r="A624" s="1">
        <v>2023</v>
      </c>
      <c r="B624" s="1" t="s">
        <v>622</v>
      </c>
      <c r="C624" s="2">
        <v>2705073</v>
      </c>
      <c r="D624" s="8">
        <v>2.0972500000000002E-3</v>
      </c>
    </row>
    <row r="625" spans="1:4" x14ac:dyDescent="0.2">
      <c r="A625" s="1">
        <v>2023</v>
      </c>
      <c r="B625" s="1" t="s">
        <v>623</v>
      </c>
      <c r="C625" s="2">
        <v>794429</v>
      </c>
      <c r="D625" s="8">
        <v>6.1592000000000005E-4</v>
      </c>
    </row>
    <row r="626" spans="1:4" x14ac:dyDescent="0.2">
      <c r="A626" s="1">
        <v>2023</v>
      </c>
      <c r="B626" s="1" t="s">
        <v>891</v>
      </c>
      <c r="C626" s="2">
        <v>4534</v>
      </c>
      <c r="D626" s="8">
        <v>3.5200000000000002E-6</v>
      </c>
    </row>
    <row r="627" spans="1:4" x14ac:dyDescent="0.2">
      <c r="A627" s="1">
        <v>2023</v>
      </c>
      <c r="B627" s="1" t="s">
        <v>624</v>
      </c>
      <c r="C627" s="2">
        <v>105698</v>
      </c>
      <c r="D627" s="8">
        <v>8.195E-5</v>
      </c>
    </row>
    <row r="628" spans="1:4" x14ac:dyDescent="0.2">
      <c r="A628" s="1">
        <v>2023</v>
      </c>
      <c r="B628" s="1" t="s">
        <v>625</v>
      </c>
      <c r="C628" s="2">
        <v>40970</v>
      </c>
      <c r="D628" s="8">
        <v>3.1760000000000001E-5</v>
      </c>
    </row>
    <row r="629" spans="1:4" x14ac:dyDescent="0.2">
      <c r="A629" s="1">
        <v>2023</v>
      </c>
      <c r="B629" s="1" t="s">
        <v>626</v>
      </c>
      <c r="C629" s="2">
        <v>53032</v>
      </c>
      <c r="D629" s="8">
        <v>4.1119999999999999E-5</v>
      </c>
    </row>
    <row r="630" spans="1:4" x14ac:dyDescent="0.2">
      <c r="A630" s="1">
        <v>2023</v>
      </c>
      <c r="B630" s="1" t="s">
        <v>627</v>
      </c>
      <c r="C630" s="2">
        <v>1378470</v>
      </c>
      <c r="D630" s="8">
        <v>1.0687299999999999E-3</v>
      </c>
    </row>
    <row r="631" spans="1:4" x14ac:dyDescent="0.2">
      <c r="A631" s="1">
        <v>2023</v>
      </c>
      <c r="B631" s="1" t="s">
        <v>628</v>
      </c>
      <c r="C631" s="2">
        <v>756417</v>
      </c>
      <c r="D631" s="8">
        <v>5.8644999999999997E-4</v>
      </c>
    </row>
    <row r="632" spans="1:4" x14ac:dyDescent="0.2">
      <c r="A632" s="1">
        <v>2023</v>
      </c>
      <c r="B632" s="1" t="s">
        <v>629</v>
      </c>
      <c r="C632" s="2">
        <v>20487</v>
      </c>
      <c r="D632" s="8">
        <v>1.588E-5</v>
      </c>
    </row>
    <row r="633" spans="1:4" x14ac:dyDescent="0.2">
      <c r="A633" s="1">
        <v>2023</v>
      </c>
      <c r="B633" s="1" t="s">
        <v>630</v>
      </c>
      <c r="C633" s="2">
        <v>196983</v>
      </c>
      <c r="D633" s="8">
        <v>1.5271999999999999E-4</v>
      </c>
    </row>
    <row r="634" spans="1:4" x14ac:dyDescent="0.2">
      <c r="A634" s="1">
        <v>2023</v>
      </c>
      <c r="B634" s="1" t="s">
        <v>631</v>
      </c>
      <c r="C634" s="2">
        <v>1219250</v>
      </c>
      <c r="D634" s="8">
        <v>9.4529E-4</v>
      </c>
    </row>
    <row r="635" spans="1:4" x14ac:dyDescent="0.2">
      <c r="A635" s="1">
        <v>2023</v>
      </c>
      <c r="B635" s="1" t="s">
        <v>632</v>
      </c>
      <c r="C635" s="2">
        <v>610140</v>
      </c>
      <c r="D635" s="8">
        <v>4.7303999999999998E-4</v>
      </c>
    </row>
    <row r="636" spans="1:4" x14ac:dyDescent="0.2">
      <c r="A636" s="1">
        <v>2023</v>
      </c>
      <c r="B636" s="1" t="s">
        <v>633</v>
      </c>
      <c r="C636" s="2">
        <v>1966857</v>
      </c>
      <c r="D636" s="8">
        <v>1.52491E-3</v>
      </c>
    </row>
    <row r="637" spans="1:4" x14ac:dyDescent="0.2">
      <c r="A637" s="1">
        <v>2023</v>
      </c>
      <c r="B637" s="1" t="s">
        <v>634</v>
      </c>
      <c r="C637" s="2">
        <v>77157</v>
      </c>
      <c r="D637" s="8">
        <v>5.982E-5</v>
      </c>
    </row>
    <row r="638" spans="1:4" x14ac:dyDescent="0.2">
      <c r="A638" s="1">
        <v>2023</v>
      </c>
      <c r="B638" s="1" t="s">
        <v>635</v>
      </c>
      <c r="C638" s="2">
        <v>21458778</v>
      </c>
      <c r="D638" s="8">
        <v>1.6637030000000001E-2</v>
      </c>
    </row>
    <row r="639" spans="1:4" x14ac:dyDescent="0.2">
      <c r="A639" s="1">
        <v>2023</v>
      </c>
      <c r="B639" s="1" t="s">
        <v>636</v>
      </c>
      <c r="C639" s="2">
        <v>4227866</v>
      </c>
      <c r="D639" s="8">
        <v>3.27787E-3</v>
      </c>
    </row>
    <row r="640" spans="1:4" x14ac:dyDescent="0.2">
      <c r="A640" s="1">
        <v>2023</v>
      </c>
      <c r="B640" s="1" t="s">
        <v>892</v>
      </c>
      <c r="C640" s="2">
        <v>2058</v>
      </c>
      <c r="D640" s="8">
        <v>1.5999999999999999E-6</v>
      </c>
    </row>
    <row r="641" spans="1:4" x14ac:dyDescent="0.2">
      <c r="A641" s="1">
        <v>2023</v>
      </c>
      <c r="B641" s="1" t="s">
        <v>893</v>
      </c>
      <c r="C641" s="2">
        <v>23632</v>
      </c>
      <c r="D641" s="8">
        <v>1.8320000000000001E-5</v>
      </c>
    </row>
    <row r="642" spans="1:4" x14ac:dyDescent="0.2">
      <c r="A642" s="1">
        <v>2023</v>
      </c>
      <c r="B642" s="1" t="s">
        <v>638</v>
      </c>
      <c r="C642" s="2">
        <v>101115</v>
      </c>
      <c r="D642" s="8">
        <v>7.839E-5</v>
      </c>
    </row>
    <row r="643" spans="1:4" x14ac:dyDescent="0.2">
      <c r="A643" s="1">
        <v>2023</v>
      </c>
      <c r="B643" s="1" t="s">
        <v>639</v>
      </c>
      <c r="C643" s="2">
        <v>114080</v>
      </c>
      <c r="D643" s="8">
        <v>8.8449999999999995E-5</v>
      </c>
    </row>
    <row r="644" spans="1:4" x14ac:dyDescent="0.2">
      <c r="A644" s="1">
        <v>2023</v>
      </c>
      <c r="B644" s="1" t="s">
        <v>640</v>
      </c>
      <c r="C644" s="2">
        <v>6898434</v>
      </c>
      <c r="D644" s="8">
        <v>5.3483699999999999E-3</v>
      </c>
    </row>
    <row r="645" spans="1:4" x14ac:dyDescent="0.2">
      <c r="A645" s="1">
        <v>2023</v>
      </c>
      <c r="B645" s="1" t="s">
        <v>641</v>
      </c>
      <c r="C645" s="2">
        <v>252020</v>
      </c>
      <c r="D645" s="8">
        <v>1.9539000000000001E-4</v>
      </c>
    </row>
    <row r="646" spans="1:4" x14ac:dyDescent="0.2">
      <c r="A646" s="1">
        <v>2023</v>
      </c>
      <c r="B646" s="1" t="s">
        <v>642</v>
      </c>
      <c r="C646" s="2">
        <v>1066658</v>
      </c>
      <c r="D646" s="8">
        <v>8.2697999999999995E-4</v>
      </c>
    </row>
    <row r="647" spans="1:4" x14ac:dyDescent="0.2">
      <c r="A647" s="1">
        <v>2023</v>
      </c>
      <c r="B647" s="1" t="s">
        <v>643</v>
      </c>
      <c r="C647" s="2">
        <v>666105</v>
      </c>
      <c r="D647" s="8">
        <v>5.1643000000000001E-4</v>
      </c>
    </row>
    <row r="648" spans="1:4" x14ac:dyDescent="0.2">
      <c r="A648" s="1">
        <v>2023</v>
      </c>
      <c r="B648" s="1" t="s">
        <v>644</v>
      </c>
      <c r="C648" s="2">
        <v>82325</v>
      </c>
      <c r="D648" s="8">
        <v>6.3830000000000004E-5</v>
      </c>
    </row>
    <row r="649" spans="1:4" x14ac:dyDescent="0.2">
      <c r="A649" s="1">
        <v>2023</v>
      </c>
      <c r="B649" s="1" t="s">
        <v>645</v>
      </c>
      <c r="C649" s="2">
        <v>2294441</v>
      </c>
      <c r="D649" s="8">
        <v>1.77888E-3</v>
      </c>
    </row>
    <row r="650" spans="1:4" x14ac:dyDescent="0.2">
      <c r="A650" s="1">
        <v>2023</v>
      </c>
      <c r="B650" s="1" t="s">
        <v>646</v>
      </c>
      <c r="C650" s="2">
        <v>82936</v>
      </c>
      <c r="D650" s="8">
        <v>6.4300000000000004E-5</v>
      </c>
    </row>
    <row r="651" spans="1:4" x14ac:dyDescent="0.2">
      <c r="A651" s="1">
        <v>2023</v>
      </c>
      <c r="B651" s="1" t="s">
        <v>647</v>
      </c>
      <c r="C651" s="2">
        <v>334038</v>
      </c>
      <c r="D651" s="8">
        <v>2.5898000000000002E-4</v>
      </c>
    </row>
    <row r="652" spans="1:4" x14ac:dyDescent="0.2">
      <c r="A652" s="1">
        <v>2023</v>
      </c>
      <c r="B652" s="1" t="s">
        <v>648</v>
      </c>
      <c r="C652" s="2">
        <v>165672</v>
      </c>
      <c r="D652" s="8">
        <v>1.2845000000000001E-4</v>
      </c>
    </row>
    <row r="653" spans="1:4" x14ac:dyDescent="0.2">
      <c r="A653" s="1">
        <v>2023</v>
      </c>
      <c r="B653" s="1" t="s">
        <v>649</v>
      </c>
      <c r="C653" s="2">
        <v>53956</v>
      </c>
      <c r="D653" s="8">
        <v>4.1829999999999998E-5</v>
      </c>
    </row>
    <row r="654" spans="1:4" x14ac:dyDescent="0.2">
      <c r="A654" s="1">
        <v>2023</v>
      </c>
      <c r="B654" s="1" t="s">
        <v>894</v>
      </c>
      <c r="C654" s="2">
        <v>48602</v>
      </c>
      <c r="D654" s="8">
        <v>3.7679999999999998E-5</v>
      </c>
    </row>
    <row r="655" spans="1:4" x14ac:dyDescent="0.2">
      <c r="A655" s="1">
        <v>2023</v>
      </c>
      <c r="B655" s="1" t="s">
        <v>651</v>
      </c>
      <c r="C655" s="2">
        <v>20004</v>
      </c>
      <c r="D655" s="8">
        <v>1.5509999999999999E-5</v>
      </c>
    </row>
    <row r="656" spans="1:4" x14ac:dyDescent="0.2">
      <c r="A656" s="1">
        <v>2023</v>
      </c>
      <c r="B656" s="1" t="s">
        <v>652</v>
      </c>
      <c r="C656" s="2">
        <v>132093</v>
      </c>
      <c r="D656" s="8">
        <v>1.0241E-4</v>
      </c>
    </row>
    <row r="657" spans="1:4" x14ac:dyDescent="0.2">
      <c r="A657" s="1">
        <v>2023</v>
      </c>
      <c r="B657" s="1" t="s">
        <v>653</v>
      </c>
      <c r="C657" s="2">
        <v>18537</v>
      </c>
      <c r="D657" s="8">
        <v>1.437E-5</v>
      </c>
    </row>
    <row r="658" spans="1:4" x14ac:dyDescent="0.2">
      <c r="A658" s="1">
        <v>2023</v>
      </c>
      <c r="B658" s="1" t="s">
        <v>654</v>
      </c>
      <c r="C658" s="2">
        <v>295268</v>
      </c>
      <c r="D658" s="8">
        <v>2.2892E-4</v>
      </c>
    </row>
    <row r="659" spans="1:4" x14ac:dyDescent="0.2">
      <c r="A659" s="1">
        <v>2023</v>
      </c>
      <c r="B659" s="1" t="s">
        <v>655</v>
      </c>
      <c r="C659" s="2">
        <v>127055</v>
      </c>
      <c r="D659" s="8">
        <v>9.8510000000000004E-5</v>
      </c>
    </row>
    <row r="660" spans="1:4" x14ac:dyDescent="0.2">
      <c r="A660" s="1">
        <v>2023</v>
      </c>
      <c r="B660" s="1" t="s">
        <v>656</v>
      </c>
      <c r="C660" s="2">
        <v>26756</v>
      </c>
      <c r="D660" s="8">
        <v>2.0740000000000001E-5</v>
      </c>
    </row>
    <row r="661" spans="1:4" x14ac:dyDescent="0.2">
      <c r="A661" s="1">
        <v>2023</v>
      </c>
      <c r="B661" s="1" t="s">
        <v>657</v>
      </c>
      <c r="C661" s="2">
        <v>55366</v>
      </c>
      <c r="D661" s="8">
        <v>4.2929999999999997E-5</v>
      </c>
    </row>
    <row r="662" spans="1:4" x14ac:dyDescent="0.2">
      <c r="A662" s="1">
        <v>2023</v>
      </c>
      <c r="B662" s="1" t="s">
        <v>658</v>
      </c>
      <c r="C662" s="2">
        <v>3926856</v>
      </c>
      <c r="D662" s="8">
        <v>3.0444999999999999E-3</v>
      </c>
    </row>
    <row r="663" spans="1:4" x14ac:dyDescent="0.2">
      <c r="A663" s="1">
        <v>2023</v>
      </c>
      <c r="B663" s="1" t="s">
        <v>659</v>
      </c>
      <c r="C663" s="2">
        <v>907840</v>
      </c>
      <c r="D663" s="8">
        <v>7.0385000000000001E-4</v>
      </c>
    </row>
    <row r="664" spans="1:4" x14ac:dyDescent="0.2">
      <c r="A664" s="1">
        <v>2023</v>
      </c>
      <c r="B664" s="1" t="s">
        <v>660</v>
      </c>
      <c r="C664" s="2">
        <v>11012</v>
      </c>
      <c r="D664" s="8">
        <v>8.5399999999999996E-6</v>
      </c>
    </row>
    <row r="665" spans="1:4" x14ac:dyDescent="0.2">
      <c r="A665" s="1">
        <v>2023</v>
      </c>
      <c r="B665" s="1" t="s">
        <v>661</v>
      </c>
      <c r="C665" s="2">
        <v>26429</v>
      </c>
      <c r="D665" s="8">
        <v>2.0489999999999999E-5</v>
      </c>
    </row>
    <row r="666" spans="1:4" x14ac:dyDescent="0.2">
      <c r="A666" s="1">
        <v>2023</v>
      </c>
      <c r="B666" s="1" t="s">
        <v>662</v>
      </c>
      <c r="C666" s="2">
        <v>917213</v>
      </c>
      <c r="D666" s="8">
        <v>7.1111999999999998E-4</v>
      </c>
    </row>
    <row r="667" spans="1:4" x14ac:dyDescent="0.2">
      <c r="A667" s="1">
        <v>2023</v>
      </c>
      <c r="B667" s="1" t="s">
        <v>663</v>
      </c>
      <c r="C667" s="2">
        <v>21339</v>
      </c>
      <c r="D667" s="8">
        <v>1.6540000000000001E-5</v>
      </c>
    </row>
    <row r="668" spans="1:4" x14ac:dyDescent="0.2">
      <c r="A668" s="1">
        <v>2023</v>
      </c>
      <c r="B668" s="1" t="s">
        <v>664</v>
      </c>
      <c r="C668" s="2">
        <v>784476</v>
      </c>
      <c r="D668" s="8">
        <v>6.0820999999999998E-4</v>
      </c>
    </row>
    <row r="669" spans="1:4" x14ac:dyDescent="0.2">
      <c r="A669" s="1">
        <v>2023</v>
      </c>
      <c r="B669" s="1" t="s">
        <v>665</v>
      </c>
      <c r="C669" s="2">
        <v>41834</v>
      </c>
      <c r="D669" s="8">
        <v>3.243E-5</v>
      </c>
    </row>
    <row r="670" spans="1:4" x14ac:dyDescent="0.2">
      <c r="A670" s="1">
        <v>2023</v>
      </c>
      <c r="B670" s="1" t="s">
        <v>666</v>
      </c>
      <c r="C670" s="2">
        <v>2104405</v>
      </c>
      <c r="D670" s="8">
        <v>1.6315500000000001E-3</v>
      </c>
    </row>
    <row r="671" spans="1:4" x14ac:dyDescent="0.2">
      <c r="A671" s="1">
        <v>2023</v>
      </c>
      <c r="B671" s="1" t="s">
        <v>667</v>
      </c>
      <c r="C671" s="2">
        <v>63974</v>
      </c>
      <c r="D671" s="8">
        <v>4.9599999999999999E-5</v>
      </c>
    </row>
    <row r="672" spans="1:4" x14ac:dyDescent="0.2">
      <c r="A672" s="1">
        <v>2023</v>
      </c>
      <c r="B672" s="1" t="s">
        <v>668</v>
      </c>
      <c r="C672" s="2">
        <v>328786</v>
      </c>
      <c r="D672" s="8">
        <v>2.5491000000000001E-4</v>
      </c>
    </row>
    <row r="673" spans="1:4" x14ac:dyDescent="0.2">
      <c r="A673" s="1">
        <v>2023</v>
      </c>
      <c r="B673" s="1" t="s">
        <v>895</v>
      </c>
      <c r="C673" s="2">
        <v>15770</v>
      </c>
      <c r="D673" s="8">
        <v>1.223E-5</v>
      </c>
    </row>
    <row r="674" spans="1:4" x14ac:dyDescent="0.2">
      <c r="A674" s="1">
        <v>2023</v>
      </c>
      <c r="B674" s="1" t="s">
        <v>670</v>
      </c>
      <c r="C674" s="2">
        <v>50694</v>
      </c>
      <c r="D674" s="8">
        <v>3.93E-5</v>
      </c>
    </row>
    <row r="675" spans="1:4" x14ac:dyDescent="0.2">
      <c r="A675" s="1">
        <v>2023</v>
      </c>
      <c r="B675" s="1" t="s">
        <v>671</v>
      </c>
      <c r="C675" s="2">
        <v>78780</v>
      </c>
      <c r="D675" s="8">
        <v>6.1080000000000005E-5</v>
      </c>
    </row>
    <row r="676" spans="1:4" x14ac:dyDescent="0.2">
      <c r="A676" s="1">
        <v>2023</v>
      </c>
      <c r="B676" s="1" t="s">
        <v>672</v>
      </c>
      <c r="C676" s="2">
        <v>9969</v>
      </c>
      <c r="D676" s="8">
        <v>7.7300000000000005E-6</v>
      </c>
    </row>
    <row r="677" spans="1:4" x14ac:dyDescent="0.2">
      <c r="A677" s="1">
        <v>2023</v>
      </c>
      <c r="B677" s="1" t="s">
        <v>673</v>
      </c>
      <c r="C677" s="2">
        <v>81579</v>
      </c>
      <c r="D677" s="8">
        <v>6.3250000000000006E-5</v>
      </c>
    </row>
    <row r="678" spans="1:4" x14ac:dyDescent="0.2">
      <c r="A678" s="1">
        <v>2023</v>
      </c>
      <c r="B678" s="1" t="s">
        <v>674</v>
      </c>
      <c r="C678" s="2">
        <v>18334</v>
      </c>
      <c r="D678" s="8">
        <v>1.4209999999999999E-5</v>
      </c>
    </row>
    <row r="679" spans="1:4" x14ac:dyDescent="0.2">
      <c r="A679" s="1">
        <v>2023</v>
      </c>
      <c r="B679" s="1" t="s">
        <v>675</v>
      </c>
      <c r="C679" s="2">
        <v>23689</v>
      </c>
      <c r="D679" s="8">
        <v>1.8369999999999999E-5</v>
      </c>
    </row>
    <row r="680" spans="1:4" x14ac:dyDescent="0.2">
      <c r="A680" s="1">
        <v>2023</v>
      </c>
      <c r="B680" s="1" t="s">
        <v>676</v>
      </c>
      <c r="C680" s="1">
        <v>383</v>
      </c>
      <c r="D680" s="8">
        <v>2.9999999999999999E-7</v>
      </c>
    </row>
    <row r="681" spans="1:4" x14ac:dyDescent="0.2">
      <c r="A681" s="1">
        <v>2023</v>
      </c>
      <c r="B681" s="1" t="s">
        <v>677</v>
      </c>
      <c r="C681" s="2">
        <v>3685359</v>
      </c>
      <c r="D681" s="8">
        <v>2.8572699999999999E-3</v>
      </c>
    </row>
    <row r="682" spans="1:4" x14ac:dyDescent="0.2">
      <c r="A682" s="1">
        <v>2023</v>
      </c>
      <c r="B682" s="1" t="s">
        <v>678</v>
      </c>
      <c r="C682" s="2">
        <v>1097254</v>
      </c>
      <c r="D682" s="8">
        <v>8.5070000000000002E-4</v>
      </c>
    </row>
    <row r="683" spans="1:4" x14ac:dyDescent="0.2">
      <c r="A683" s="1">
        <v>2023</v>
      </c>
      <c r="B683" s="1" t="s">
        <v>679</v>
      </c>
      <c r="C683" s="2">
        <v>7014</v>
      </c>
      <c r="D683" s="8">
        <v>5.4399999999999996E-6</v>
      </c>
    </row>
    <row r="684" spans="1:4" x14ac:dyDescent="0.2">
      <c r="A684" s="1">
        <v>2023</v>
      </c>
      <c r="B684" s="1" t="s">
        <v>680</v>
      </c>
      <c r="C684" s="2">
        <v>912263</v>
      </c>
      <c r="D684" s="8">
        <v>7.0728000000000002E-4</v>
      </c>
    </row>
    <row r="685" spans="1:4" x14ac:dyDescent="0.2">
      <c r="A685" s="1">
        <v>2023</v>
      </c>
      <c r="B685" s="1" t="s">
        <v>681</v>
      </c>
      <c r="C685" s="2">
        <v>13274</v>
      </c>
      <c r="D685" s="8">
        <v>1.029E-5</v>
      </c>
    </row>
    <row r="686" spans="1:4" x14ac:dyDescent="0.2">
      <c r="A686" s="1">
        <v>2023</v>
      </c>
      <c r="B686" s="1" t="s">
        <v>682</v>
      </c>
      <c r="C686" s="2">
        <v>2570715</v>
      </c>
      <c r="D686" s="8">
        <v>1.9930799999999999E-3</v>
      </c>
    </row>
    <row r="687" spans="1:4" x14ac:dyDescent="0.2">
      <c r="A687" s="1">
        <v>2023</v>
      </c>
      <c r="B687" s="1" t="s">
        <v>683</v>
      </c>
      <c r="C687" s="2">
        <v>630824</v>
      </c>
      <c r="D687" s="8">
        <v>4.8908000000000003E-4</v>
      </c>
    </row>
    <row r="688" spans="1:4" x14ac:dyDescent="0.2">
      <c r="A688" s="1">
        <v>2023</v>
      </c>
      <c r="B688" s="1" t="s">
        <v>684</v>
      </c>
      <c r="C688" s="2">
        <v>39523</v>
      </c>
      <c r="D688" s="8">
        <v>3.0639999999999998E-5</v>
      </c>
    </row>
    <row r="689" spans="1:4" x14ac:dyDescent="0.2">
      <c r="A689" s="1">
        <v>2023</v>
      </c>
      <c r="B689" s="1" t="s">
        <v>685</v>
      </c>
      <c r="C689" s="2">
        <v>1414396</v>
      </c>
      <c r="D689" s="8">
        <v>1.09658E-3</v>
      </c>
    </row>
    <row r="690" spans="1:4" x14ac:dyDescent="0.2">
      <c r="A690" s="1">
        <v>2023</v>
      </c>
      <c r="B690" s="1" t="s">
        <v>686</v>
      </c>
      <c r="C690" s="2">
        <v>7730</v>
      </c>
      <c r="D690" s="8">
        <v>5.9900000000000002E-6</v>
      </c>
    </row>
    <row r="691" spans="1:4" x14ac:dyDescent="0.2">
      <c r="A691" s="1">
        <v>2023</v>
      </c>
      <c r="B691" s="1" t="s">
        <v>687</v>
      </c>
      <c r="C691" s="2">
        <v>178934</v>
      </c>
      <c r="D691" s="8">
        <v>1.3872999999999999E-4</v>
      </c>
    </row>
    <row r="692" spans="1:4" x14ac:dyDescent="0.2">
      <c r="A692" s="1">
        <v>2023</v>
      </c>
      <c r="B692" s="1" t="s">
        <v>688</v>
      </c>
      <c r="C692" s="2">
        <v>894700</v>
      </c>
      <c r="D692" s="8">
        <v>6.9366000000000002E-4</v>
      </c>
    </row>
    <row r="693" spans="1:4" x14ac:dyDescent="0.2">
      <c r="A693" s="1">
        <v>2023</v>
      </c>
      <c r="B693" s="1" t="s">
        <v>689</v>
      </c>
      <c r="C693" s="2">
        <v>243087</v>
      </c>
      <c r="D693" s="8">
        <v>1.8846999999999999E-4</v>
      </c>
    </row>
    <row r="694" spans="1:4" x14ac:dyDescent="0.2">
      <c r="A694" s="1">
        <v>2023</v>
      </c>
      <c r="B694" s="1" t="s">
        <v>690</v>
      </c>
      <c r="C694" s="2">
        <v>36065</v>
      </c>
      <c r="D694" s="8">
        <v>2.796E-5</v>
      </c>
    </row>
    <row r="695" spans="1:4" x14ac:dyDescent="0.2">
      <c r="A695" s="1">
        <v>2023</v>
      </c>
      <c r="B695" s="1" t="s">
        <v>691</v>
      </c>
      <c r="C695" s="2">
        <v>41379</v>
      </c>
      <c r="D695" s="8">
        <v>3.2079999999999998E-5</v>
      </c>
    </row>
    <row r="696" spans="1:4" x14ac:dyDescent="0.2">
      <c r="A696" s="1">
        <v>2023</v>
      </c>
      <c r="B696" s="1" t="s">
        <v>692</v>
      </c>
      <c r="C696" s="2">
        <v>4877442</v>
      </c>
      <c r="D696" s="8">
        <v>3.7814900000000002E-3</v>
      </c>
    </row>
    <row r="697" spans="1:4" x14ac:dyDescent="0.2">
      <c r="A697" s="1">
        <v>2023</v>
      </c>
      <c r="B697" s="1" t="s">
        <v>693</v>
      </c>
      <c r="C697" s="2">
        <v>1839881</v>
      </c>
      <c r="D697" s="8">
        <v>1.4264600000000001E-3</v>
      </c>
    </row>
    <row r="698" spans="1:4" x14ac:dyDescent="0.2">
      <c r="A698" s="1">
        <v>2023</v>
      </c>
      <c r="B698" s="1" t="s">
        <v>694</v>
      </c>
      <c r="C698" s="2">
        <v>2880490</v>
      </c>
      <c r="D698" s="8">
        <v>2.23325E-3</v>
      </c>
    </row>
    <row r="699" spans="1:4" x14ac:dyDescent="0.2">
      <c r="A699" s="1">
        <v>2023</v>
      </c>
      <c r="B699" s="1" t="s">
        <v>695</v>
      </c>
      <c r="C699" s="2">
        <v>5190172</v>
      </c>
      <c r="D699" s="8">
        <v>4.0239500000000001E-3</v>
      </c>
    </row>
    <row r="700" spans="1:4" x14ac:dyDescent="0.2">
      <c r="A700" s="1">
        <v>2023</v>
      </c>
      <c r="B700" s="1" t="s">
        <v>696</v>
      </c>
      <c r="C700" s="2">
        <v>1970396</v>
      </c>
      <c r="D700" s="8">
        <v>1.52765E-3</v>
      </c>
    </row>
    <row r="701" spans="1:4" x14ac:dyDescent="0.2">
      <c r="A701" s="1">
        <v>2023</v>
      </c>
      <c r="B701" s="1" t="s">
        <v>697</v>
      </c>
      <c r="C701" s="2">
        <v>565763</v>
      </c>
      <c r="D701" s="8">
        <v>4.3864000000000002E-4</v>
      </c>
    </row>
    <row r="702" spans="1:4" x14ac:dyDescent="0.2">
      <c r="A702" s="1">
        <v>2023</v>
      </c>
      <c r="B702" s="1" t="s">
        <v>698</v>
      </c>
      <c r="C702" s="2">
        <v>59577</v>
      </c>
      <c r="D702" s="8">
        <v>4.6190000000000003E-5</v>
      </c>
    </row>
    <row r="703" spans="1:4" x14ac:dyDescent="0.2">
      <c r="A703" s="1">
        <v>2023</v>
      </c>
      <c r="B703" s="1" t="s">
        <v>699</v>
      </c>
      <c r="C703" s="2">
        <v>6975649</v>
      </c>
      <c r="D703" s="8">
        <v>5.40823E-3</v>
      </c>
    </row>
    <row r="704" spans="1:4" x14ac:dyDescent="0.2">
      <c r="A704" s="1">
        <v>2023</v>
      </c>
      <c r="B704" s="1" t="s">
        <v>700</v>
      </c>
      <c r="C704" s="2">
        <v>544359</v>
      </c>
      <c r="D704" s="8">
        <v>4.2203999999999999E-4</v>
      </c>
    </row>
    <row r="705" spans="1:4" x14ac:dyDescent="0.2">
      <c r="A705" s="1">
        <v>2023</v>
      </c>
      <c r="B705" s="1" t="s">
        <v>701</v>
      </c>
      <c r="C705" s="2">
        <v>19893</v>
      </c>
      <c r="D705" s="8">
        <v>1.5420000000000001E-5</v>
      </c>
    </row>
    <row r="706" spans="1:4" x14ac:dyDescent="0.2">
      <c r="A706" s="1">
        <v>2023</v>
      </c>
      <c r="B706" s="1" t="s">
        <v>702</v>
      </c>
      <c r="C706" s="2">
        <v>67774</v>
      </c>
      <c r="D706" s="8">
        <v>5.2549999999999997E-5</v>
      </c>
    </row>
    <row r="707" spans="1:4" x14ac:dyDescent="0.2">
      <c r="A707" s="1">
        <v>2023</v>
      </c>
      <c r="B707" s="1" t="s">
        <v>703</v>
      </c>
      <c r="C707" s="2">
        <v>14764681</v>
      </c>
      <c r="D707" s="8">
        <v>1.144709E-2</v>
      </c>
    </row>
    <row r="708" spans="1:4" x14ac:dyDescent="0.2">
      <c r="A708" s="1">
        <v>2023</v>
      </c>
      <c r="B708" s="1" t="s">
        <v>704</v>
      </c>
      <c r="C708" s="2">
        <v>541755</v>
      </c>
      <c r="D708" s="8">
        <v>4.2002000000000001E-4</v>
      </c>
    </row>
    <row r="709" spans="1:4" x14ac:dyDescent="0.2">
      <c r="A709" s="1">
        <v>2023</v>
      </c>
      <c r="B709" s="1" t="s">
        <v>705</v>
      </c>
      <c r="C709" s="2">
        <v>1251606</v>
      </c>
      <c r="D709" s="8">
        <v>9.7037000000000002E-4</v>
      </c>
    </row>
    <row r="710" spans="1:4" x14ac:dyDescent="0.2">
      <c r="A710" s="1">
        <v>2023</v>
      </c>
      <c r="B710" s="1" t="s">
        <v>706</v>
      </c>
      <c r="C710" s="2">
        <v>32331</v>
      </c>
      <c r="D710" s="8">
        <v>2.5069999999999999E-5</v>
      </c>
    </row>
    <row r="711" spans="1:4" x14ac:dyDescent="0.2">
      <c r="A711" s="1">
        <v>2023</v>
      </c>
      <c r="B711" s="1" t="s">
        <v>707</v>
      </c>
      <c r="C711" s="2">
        <v>112826</v>
      </c>
      <c r="D711" s="8">
        <v>8.7470000000000001E-5</v>
      </c>
    </row>
    <row r="712" spans="1:4" x14ac:dyDescent="0.2">
      <c r="A712" s="1">
        <v>2023</v>
      </c>
      <c r="B712" s="1" t="s">
        <v>708</v>
      </c>
      <c r="C712" s="2">
        <v>3123507</v>
      </c>
      <c r="D712" s="8">
        <v>2.42166E-3</v>
      </c>
    </row>
    <row r="713" spans="1:4" x14ac:dyDescent="0.2">
      <c r="A713" s="1">
        <v>2023</v>
      </c>
      <c r="B713" s="1" t="s">
        <v>709</v>
      </c>
      <c r="C713" s="2">
        <v>2520755</v>
      </c>
      <c r="D713" s="8">
        <v>1.9543500000000001E-3</v>
      </c>
    </row>
    <row r="714" spans="1:4" x14ac:dyDescent="0.2">
      <c r="A714" s="1">
        <v>2023</v>
      </c>
      <c r="B714" s="1" t="s">
        <v>710</v>
      </c>
      <c r="C714" s="2">
        <v>20109</v>
      </c>
      <c r="D714" s="8">
        <v>1.5590000000000002E-5</v>
      </c>
    </row>
    <row r="715" spans="1:4" x14ac:dyDescent="0.2">
      <c r="A715" s="1">
        <v>2023</v>
      </c>
      <c r="B715" s="1" t="s">
        <v>711</v>
      </c>
      <c r="C715" s="2">
        <v>1045014</v>
      </c>
      <c r="D715" s="8">
        <v>8.1019999999999996E-4</v>
      </c>
    </row>
    <row r="716" spans="1:4" x14ac:dyDescent="0.2">
      <c r="A716" s="1">
        <v>2023</v>
      </c>
      <c r="B716" s="1" t="s">
        <v>712</v>
      </c>
      <c r="C716" s="2">
        <v>2004</v>
      </c>
      <c r="D716" s="8">
        <v>1.55E-6</v>
      </c>
    </row>
    <row r="717" spans="1:4" x14ac:dyDescent="0.2">
      <c r="A717" s="1">
        <v>2023</v>
      </c>
      <c r="B717" s="1" t="s">
        <v>713</v>
      </c>
      <c r="C717" s="2">
        <v>48706</v>
      </c>
      <c r="D717" s="8">
        <v>3.7759999999999998E-5</v>
      </c>
    </row>
    <row r="718" spans="1:4" x14ac:dyDescent="0.2">
      <c r="A718" s="1">
        <v>2023</v>
      </c>
      <c r="B718" s="1" t="s">
        <v>714</v>
      </c>
      <c r="C718" s="2">
        <v>13307</v>
      </c>
      <c r="D718" s="8">
        <v>1.0319999999999999E-5</v>
      </c>
    </row>
    <row r="719" spans="1:4" x14ac:dyDescent="0.2">
      <c r="A719" s="1">
        <v>2023</v>
      </c>
      <c r="B719" s="1" t="s">
        <v>715</v>
      </c>
      <c r="C719" s="2">
        <v>2977</v>
      </c>
      <c r="D719" s="8">
        <v>2.3099999999999999E-6</v>
      </c>
    </row>
    <row r="720" spans="1:4" x14ac:dyDescent="0.2">
      <c r="A720" s="1">
        <v>2023</v>
      </c>
      <c r="B720" s="1" t="s">
        <v>716</v>
      </c>
      <c r="C720" s="2">
        <v>108318</v>
      </c>
      <c r="D720" s="8">
        <v>8.3980000000000006E-5</v>
      </c>
    </row>
    <row r="721" spans="1:4" x14ac:dyDescent="0.2">
      <c r="A721" s="1">
        <v>2023</v>
      </c>
      <c r="B721" s="1" t="s">
        <v>717</v>
      </c>
      <c r="C721" s="2">
        <v>40891</v>
      </c>
      <c r="D721" s="8">
        <v>3.1699999999999998E-5</v>
      </c>
    </row>
    <row r="722" spans="1:4" x14ac:dyDescent="0.2">
      <c r="A722" s="1">
        <v>2023</v>
      </c>
      <c r="B722" s="1" t="s">
        <v>718</v>
      </c>
      <c r="C722" s="2">
        <v>114860</v>
      </c>
      <c r="D722" s="8">
        <v>8.9049999999999996E-5</v>
      </c>
    </row>
    <row r="723" spans="1:4" x14ac:dyDescent="0.2">
      <c r="A723" s="1">
        <v>2023</v>
      </c>
      <c r="B723" s="1" t="s">
        <v>719</v>
      </c>
      <c r="C723" s="2">
        <v>36459</v>
      </c>
      <c r="D723" s="8">
        <v>2.8269999999999999E-5</v>
      </c>
    </row>
    <row r="724" spans="1:4" x14ac:dyDescent="0.2">
      <c r="A724" s="1">
        <v>2023</v>
      </c>
      <c r="B724" s="1" t="s">
        <v>720</v>
      </c>
      <c r="C724" s="2">
        <v>1100980</v>
      </c>
      <c r="D724" s="8">
        <v>8.5358999999999999E-4</v>
      </c>
    </row>
    <row r="725" spans="1:4" x14ac:dyDescent="0.2">
      <c r="A725" s="1">
        <v>2023</v>
      </c>
      <c r="B725" s="1" t="s">
        <v>721</v>
      </c>
      <c r="C725" s="2">
        <v>49576</v>
      </c>
      <c r="D725" s="8">
        <v>3.8439999999999998E-5</v>
      </c>
    </row>
    <row r="726" spans="1:4" x14ac:dyDescent="0.2">
      <c r="A726" s="1">
        <v>2023</v>
      </c>
      <c r="B726" s="1" t="s">
        <v>722</v>
      </c>
      <c r="C726" s="2">
        <v>4163</v>
      </c>
      <c r="D726" s="8">
        <v>3.23E-6</v>
      </c>
    </row>
    <row r="727" spans="1:4" x14ac:dyDescent="0.2">
      <c r="A727" s="1">
        <v>2023</v>
      </c>
      <c r="B727" s="1" t="s">
        <v>723</v>
      </c>
      <c r="C727" s="2">
        <v>3746460</v>
      </c>
      <c r="D727" s="8">
        <v>2.90464E-3</v>
      </c>
    </row>
    <row r="728" spans="1:4" x14ac:dyDescent="0.2">
      <c r="A728" s="1">
        <v>2023</v>
      </c>
      <c r="B728" s="1" t="s">
        <v>724</v>
      </c>
      <c r="C728" s="2">
        <v>2277289</v>
      </c>
      <c r="D728" s="8">
        <v>1.76559E-3</v>
      </c>
    </row>
    <row r="729" spans="1:4" x14ac:dyDescent="0.2">
      <c r="A729" s="1">
        <v>2023</v>
      </c>
      <c r="B729" s="1" t="s">
        <v>725</v>
      </c>
      <c r="C729" s="2">
        <v>1846740</v>
      </c>
      <c r="D729" s="8">
        <v>1.4317799999999999E-3</v>
      </c>
    </row>
    <row r="730" spans="1:4" x14ac:dyDescent="0.2">
      <c r="A730" s="1">
        <v>2023</v>
      </c>
      <c r="B730" s="1" t="s">
        <v>726</v>
      </c>
      <c r="C730" s="2">
        <v>787635</v>
      </c>
      <c r="D730" s="8">
        <v>6.1065999999999996E-4</v>
      </c>
    </row>
    <row r="731" spans="1:4" x14ac:dyDescent="0.2">
      <c r="A731" s="1">
        <v>2023</v>
      </c>
      <c r="B731" s="1" t="s">
        <v>727</v>
      </c>
      <c r="C731" s="2">
        <v>547320</v>
      </c>
      <c r="D731" s="8">
        <v>4.2433999999999999E-4</v>
      </c>
    </row>
    <row r="732" spans="1:4" x14ac:dyDescent="0.2">
      <c r="A732" s="1">
        <v>2023</v>
      </c>
      <c r="B732" s="1" t="s">
        <v>728</v>
      </c>
      <c r="C732" s="2">
        <v>11682</v>
      </c>
      <c r="D732" s="8">
        <v>9.0599999999999997E-6</v>
      </c>
    </row>
    <row r="733" spans="1:4" x14ac:dyDescent="0.2">
      <c r="A733" s="1">
        <v>2023</v>
      </c>
      <c r="B733" s="1" t="s">
        <v>729</v>
      </c>
      <c r="C733" s="2">
        <v>3250</v>
      </c>
      <c r="D733" s="8">
        <v>2.52E-6</v>
      </c>
    </row>
    <row r="734" spans="1:4" x14ac:dyDescent="0.2">
      <c r="A734" s="1">
        <v>2023</v>
      </c>
      <c r="B734" s="1" t="s">
        <v>730</v>
      </c>
      <c r="C734" s="2">
        <v>1917030</v>
      </c>
      <c r="D734" s="8">
        <v>1.48628E-3</v>
      </c>
    </row>
    <row r="735" spans="1:4" x14ac:dyDescent="0.2">
      <c r="A735" s="1">
        <v>2023</v>
      </c>
      <c r="B735" s="1" t="s">
        <v>731</v>
      </c>
      <c r="C735" s="2">
        <v>1009688</v>
      </c>
      <c r="D735" s="8">
        <v>7.8280999999999999E-4</v>
      </c>
    </row>
    <row r="736" spans="1:4" x14ac:dyDescent="0.2">
      <c r="A736" s="1">
        <v>2023</v>
      </c>
      <c r="B736" s="1" t="s">
        <v>732</v>
      </c>
      <c r="C736" s="2">
        <v>113596</v>
      </c>
      <c r="D736" s="8">
        <v>8.8070000000000002E-5</v>
      </c>
    </row>
    <row r="737" spans="1:4" x14ac:dyDescent="0.2">
      <c r="A737" s="1">
        <v>2023</v>
      </c>
      <c r="B737" s="1" t="s">
        <v>733</v>
      </c>
      <c r="C737" s="2">
        <v>46970</v>
      </c>
      <c r="D737" s="8">
        <v>3.642E-5</v>
      </c>
    </row>
    <row r="738" spans="1:4" x14ac:dyDescent="0.2">
      <c r="A738" s="1">
        <v>2023</v>
      </c>
      <c r="B738" s="1" t="s">
        <v>896</v>
      </c>
      <c r="C738" s="2">
        <v>27581</v>
      </c>
      <c r="D738" s="8">
        <v>2.1379999999999999E-5</v>
      </c>
    </row>
    <row r="739" spans="1:4" x14ac:dyDescent="0.2">
      <c r="A739" s="1">
        <v>2023</v>
      </c>
      <c r="B739" s="1" t="s">
        <v>735</v>
      </c>
      <c r="C739" s="2">
        <v>79090</v>
      </c>
      <c r="D739" s="8">
        <v>6.1320000000000002E-5</v>
      </c>
    </row>
    <row r="740" spans="1:4" x14ac:dyDescent="0.2">
      <c r="A740" s="1">
        <v>2023</v>
      </c>
      <c r="B740" s="1" t="s">
        <v>736</v>
      </c>
      <c r="C740" s="2">
        <v>646662</v>
      </c>
      <c r="D740" s="8">
        <v>5.0135999999999996E-4</v>
      </c>
    </row>
    <row r="741" spans="1:4" x14ac:dyDescent="0.2">
      <c r="A741" s="1">
        <v>2023</v>
      </c>
      <c r="B741" s="1" t="s">
        <v>737</v>
      </c>
      <c r="C741" s="2">
        <v>1196658</v>
      </c>
      <c r="D741" s="8">
        <v>9.2776999999999996E-4</v>
      </c>
    </row>
    <row r="742" spans="1:4" x14ac:dyDescent="0.2">
      <c r="A742" s="1">
        <v>2023</v>
      </c>
      <c r="B742" s="1" t="s">
        <v>738</v>
      </c>
      <c r="C742" s="2">
        <v>667015</v>
      </c>
      <c r="D742" s="8">
        <v>5.1714000000000003E-4</v>
      </c>
    </row>
    <row r="743" spans="1:4" x14ac:dyDescent="0.2">
      <c r="A743" s="1">
        <v>2023</v>
      </c>
      <c r="B743" s="1" t="s">
        <v>739</v>
      </c>
      <c r="C743" s="2">
        <v>3538210</v>
      </c>
      <c r="D743" s="8">
        <v>2.74318E-3</v>
      </c>
    </row>
    <row r="744" spans="1:4" x14ac:dyDescent="0.2">
      <c r="A744" s="1">
        <v>2023</v>
      </c>
      <c r="B744" s="1" t="s">
        <v>740</v>
      </c>
      <c r="C744" s="2">
        <v>46486</v>
      </c>
      <c r="D744" s="8">
        <v>3.6040000000000001E-5</v>
      </c>
    </row>
    <row r="745" spans="1:4" x14ac:dyDescent="0.2">
      <c r="A745" s="1">
        <v>2023</v>
      </c>
      <c r="B745" s="1" t="s">
        <v>741</v>
      </c>
      <c r="C745" s="2">
        <v>45042</v>
      </c>
      <c r="D745" s="8">
        <v>3.4919999999999998E-5</v>
      </c>
    </row>
    <row r="746" spans="1:4" x14ac:dyDescent="0.2">
      <c r="A746" s="1">
        <v>2023</v>
      </c>
      <c r="B746" s="1" t="s">
        <v>742</v>
      </c>
      <c r="C746" s="2">
        <v>159263</v>
      </c>
      <c r="D746" s="8">
        <v>1.2348E-4</v>
      </c>
    </row>
    <row r="747" spans="1:4" x14ac:dyDescent="0.2">
      <c r="A747" s="1">
        <v>2023</v>
      </c>
      <c r="B747" s="1" t="s">
        <v>743</v>
      </c>
      <c r="C747" s="2">
        <v>4174</v>
      </c>
      <c r="D747" s="8">
        <v>3.2399999999999999E-6</v>
      </c>
    </row>
    <row r="748" spans="1:4" x14ac:dyDescent="0.2">
      <c r="A748" s="1">
        <v>2023</v>
      </c>
      <c r="B748" s="1" t="s">
        <v>744</v>
      </c>
      <c r="C748" s="2">
        <v>41254</v>
      </c>
      <c r="D748" s="8">
        <v>3.1980000000000002E-5</v>
      </c>
    </row>
    <row r="749" spans="1:4" x14ac:dyDescent="0.2">
      <c r="A749" s="1">
        <v>2023</v>
      </c>
      <c r="B749" s="1" t="s">
        <v>745</v>
      </c>
      <c r="C749" s="2">
        <v>5909</v>
      </c>
      <c r="D749" s="8">
        <v>4.5800000000000002E-6</v>
      </c>
    </row>
    <row r="750" spans="1:4" x14ac:dyDescent="0.2">
      <c r="A750" s="1">
        <v>2023</v>
      </c>
      <c r="B750" s="1" t="s">
        <v>746</v>
      </c>
      <c r="C750" s="2">
        <v>11967</v>
      </c>
      <c r="D750" s="8">
        <v>9.2799999999999992E-6</v>
      </c>
    </row>
    <row r="751" spans="1:4" x14ac:dyDescent="0.2">
      <c r="A751" s="1">
        <v>2023</v>
      </c>
      <c r="B751" s="1" t="s">
        <v>747</v>
      </c>
      <c r="C751" s="2">
        <v>40918</v>
      </c>
      <c r="D751" s="8">
        <v>3.1720000000000001E-5</v>
      </c>
    </row>
    <row r="752" spans="1:4" x14ac:dyDescent="0.2">
      <c r="A752" s="1">
        <v>2023</v>
      </c>
      <c r="B752" s="1" t="s">
        <v>748</v>
      </c>
      <c r="C752" s="2">
        <v>1583</v>
      </c>
      <c r="D752" s="8">
        <v>1.2300000000000001E-6</v>
      </c>
    </row>
    <row r="753" spans="1:4" x14ac:dyDescent="0.2">
      <c r="A753" s="1">
        <v>2023</v>
      </c>
      <c r="B753" s="1" t="s">
        <v>749</v>
      </c>
      <c r="C753" s="2">
        <v>21845</v>
      </c>
      <c r="D753" s="8">
        <v>1.694E-5</v>
      </c>
    </row>
    <row r="754" spans="1:4" x14ac:dyDescent="0.2">
      <c r="A754" s="1">
        <v>2023</v>
      </c>
      <c r="B754" s="1" t="s">
        <v>750</v>
      </c>
      <c r="C754" s="2">
        <v>43504</v>
      </c>
      <c r="D754" s="8">
        <v>3.3729999999999997E-5</v>
      </c>
    </row>
    <row r="755" spans="1:4" x14ac:dyDescent="0.2">
      <c r="A755" s="1">
        <v>2023</v>
      </c>
      <c r="B755" s="1" t="s">
        <v>751</v>
      </c>
      <c r="C755" s="2">
        <v>2923</v>
      </c>
      <c r="D755" s="8">
        <v>2.2699999999999999E-6</v>
      </c>
    </row>
    <row r="756" spans="1:4" x14ac:dyDescent="0.2">
      <c r="A756" s="1">
        <v>2023</v>
      </c>
      <c r="B756" s="1" t="s">
        <v>752</v>
      </c>
      <c r="C756" s="2">
        <v>27361</v>
      </c>
      <c r="D756" s="8">
        <v>2.1209999999999999E-5</v>
      </c>
    </row>
    <row r="757" spans="1:4" x14ac:dyDescent="0.2">
      <c r="A757" s="1">
        <v>2023</v>
      </c>
      <c r="B757" s="1" t="s">
        <v>753</v>
      </c>
      <c r="C757" s="2">
        <v>12030</v>
      </c>
      <c r="D757" s="8">
        <v>9.3300000000000005E-6</v>
      </c>
    </row>
    <row r="758" spans="1:4" x14ac:dyDescent="0.2">
      <c r="A758" s="1">
        <v>2023</v>
      </c>
      <c r="B758" s="1" t="s">
        <v>754</v>
      </c>
      <c r="C758" s="2">
        <v>16968</v>
      </c>
      <c r="D758" s="8">
        <v>1.3159999999999999E-5</v>
      </c>
    </row>
    <row r="759" spans="1:4" x14ac:dyDescent="0.2">
      <c r="A759" s="1">
        <v>2023</v>
      </c>
      <c r="B759" s="1" t="s">
        <v>755</v>
      </c>
      <c r="C759" s="2">
        <v>16391</v>
      </c>
      <c r="D759" s="8">
        <v>1.271E-5</v>
      </c>
    </row>
    <row r="760" spans="1:4" x14ac:dyDescent="0.2">
      <c r="A760" s="1">
        <v>2023</v>
      </c>
      <c r="B760" s="1" t="s">
        <v>756</v>
      </c>
      <c r="C760" s="2">
        <v>18273</v>
      </c>
      <c r="D760" s="8">
        <v>1.417E-5</v>
      </c>
    </row>
    <row r="761" spans="1:4" x14ac:dyDescent="0.2">
      <c r="A761" s="1">
        <v>2023</v>
      </c>
      <c r="B761" s="1" t="s">
        <v>757</v>
      </c>
      <c r="C761" s="2">
        <v>53199</v>
      </c>
      <c r="D761" s="8">
        <v>4.125E-5</v>
      </c>
    </row>
    <row r="762" spans="1:4" x14ac:dyDescent="0.2">
      <c r="A762" s="1">
        <v>2023</v>
      </c>
      <c r="B762" s="1" t="s">
        <v>758</v>
      </c>
      <c r="C762" s="2">
        <v>3263</v>
      </c>
      <c r="D762" s="8">
        <v>2.5299999999999999E-6</v>
      </c>
    </row>
    <row r="763" spans="1:4" x14ac:dyDescent="0.2">
      <c r="A763" s="1">
        <v>2023</v>
      </c>
      <c r="B763" s="1" t="s">
        <v>759</v>
      </c>
      <c r="C763" s="2">
        <v>385623</v>
      </c>
      <c r="D763" s="8">
        <v>2.9897000000000002E-4</v>
      </c>
    </row>
    <row r="764" spans="1:4" x14ac:dyDescent="0.2">
      <c r="A764" s="1">
        <v>2023</v>
      </c>
      <c r="B764" s="1" t="s">
        <v>760</v>
      </c>
      <c r="C764" s="2">
        <v>25201</v>
      </c>
      <c r="D764" s="8">
        <v>1.9539999999999999E-5</v>
      </c>
    </row>
    <row r="765" spans="1:4" x14ac:dyDescent="0.2">
      <c r="A765" s="1">
        <v>2023</v>
      </c>
      <c r="B765" s="1" t="s">
        <v>761</v>
      </c>
      <c r="C765" s="2">
        <v>3009552</v>
      </c>
      <c r="D765" s="8">
        <v>2.3333099999999999E-3</v>
      </c>
    </row>
    <row r="766" spans="1:4" x14ac:dyDescent="0.2">
      <c r="A766" s="1">
        <v>2023</v>
      </c>
      <c r="B766" s="1" t="s">
        <v>762</v>
      </c>
      <c r="C766" s="2">
        <v>47846</v>
      </c>
      <c r="D766" s="8">
        <v>3.7100000000000001E-5</v>
      </c>
    </row>
    <row r="767" spans="1:4" x14ac:dyDescent="0.2">
      <c r="A767" s="1">
        <v>2023</v>
      </c>
      <c r="B767" s="1" t="s">
        <v>763</v>
      </c>
      <c r="C767" s="2">
        <v>2590693</v>
      </c>
      <c r="D767" s="8">
        <v>2.0085699999999999E-3</v>
      </c>
    </row>
    <row r="768" spans="1:4" x14ac:dyDescent="0.2">
      <c r="A768" s="1">
        <v>2023</v>
      </c>
      <c r="B768" s="1" t="s">
        <v>764</v>
      </c>
      <c r="C768" s="2">
        <v>1675532</v>
      </c>
      <c r="D768" s="8">
        <v>1.29904E-3</v>
      </c>
    </row>
    <row r="769" spans="1:4" x14ac:dyDescent="0.2">
      <c r="A769" s="1">
        <v>2023</v>
      </c>
      <c r="B769" s="1" t="s">
        <v>765</v>
      </c>
      <c r="C769" s="2">
        <v>220741</v>
      </c>
      <c r="D769" s="8">
        <v>1.7113999999999999E-4</v>
      </c>
    </row>
    <row r="770" spans="1:4" x14ac:dyDescent="0.2">
      <c r="A770" s="1">
        <v>2023</v>
      </c>
      <c r="B770" s="1" t="s">
        <v>766</v>
      </c>
      <c r="C770" s="2">
        <v>96963</v>
      </c>
      <c r="D770" s="8">
        <v>7.5179999999999995E-5</v>
      </c>
    </row>
    <row r="771" spans="1:4" x14ac:dyDescent="0.2">
      <c r="A771" s="1">
        <v>2023</v>
      </c>
      <c r="B771" s="1" t="s">
        <v>767</v>
      </c>
      <c r="C771" s="2">
        <v>219862</v>
      </c>
      <c r="D771" s="8">
        <v>1.7045999999999999E-4</v>
      </c>
    </row>
    <row r="772" spans="1:4" x14ac:dyDescent="0.2">
      <c r="A772" s="1">
        <v>2023</v>
      </c>
      <c r="B772" s="1" t="s">
        <v>768</v>
      </c>
      <c r="C772" s="2">
        <v>90973</v>
      </c>
      <c r="D772" s="8">
        <v>7.0530000000000004E-5</v>
      </c>
    </row>
    <row r="773" spans="1:4" x14ac:dyDescent="0.2">
      <c r="A773" s="1">
        <v>2023</v>
      </c>
      <c r="B773" s="1" t="s">
        <v>769</v>
      </c>
      <c r="C773" s="2">
        <v>3502855</v>
      </c>
      <c r="D773" s="8">
        <v>2.7157700000000002E-3</v>
      </c>
    </row>
    <row r="774" spans="1:4" x14ac:dyDescent="0.2">
      <c r="A774" s="1">
        <v>2023</v>
      </c>
      <c r="B774" s="1" t="s">
        <v>770</v>
      </c>
      <c r="C774" s="2">
        <v>151762</v>
      </c>
      <c r="D774" s="8">
        <v>1.1765999999999999E-4</v>
      </c>
    </row>
    <row r="775" spans="1:4" x14ac:dyDescent="0.2">
      <c r="A775" s="1">
        <v>2023</v>
      </c>
      <c r="B775" s="1" t="s">
        <v>771</v>
      </c>
      <c r="C775" s="2">
        <v>102266</v>
      </c>
      <c r="D775" s="8">
        <v>7.9289999999999995E-5</v>
      </c>
    </row>
    <row r="776" spans="1:4" x14ac:dyDescent="0.2">
      <c r="A776" s="1">
        <v>2023</v>
      </c>
      <c r="B776" s="1" t="s">
        <v>772</v>
      </c>
      <c r="C776" s="2">
        <v>8869095</v>
      </c>
      <c r="D776" s="8">
        <v>6.8762299999999997E-3</v>
      </c>
    </row>
    <row r="777" spans="1:4" x14ac:dyDescent="0.2">
      <c r="A777" s="1">
        <v>2023</v>
      </c>
      <c r="B777" s="1" t="s">
        <v>773</v>
      </c>
      <c r="C777" s="2">
        <v>680704</v>
      </c>
      <c r="D777" s="8">
        <v>5.2775000000000001E-4</v>
      </c>
    </row>
    <row r="778" spans="1:4" x14ac:dyDescent="0.2">
      <c r="A778" s="1">
        <v>2023</v>
      </c>
      <c r="B778" s="1" t="s">
        <v>774</v>
      </c>
      <c r="C778" s="2">
        <v>104919</v>
      </c>
      <c r="D778" s="8">
        <v>8.1340000000000004E-5</v>
      </c>
    </row>
    <row r="779" spans="1:4" x14ac:dyDescent="0.2">
      <c r="A779" s="1">
        <v>2023</v>
      </c>
      <c r="B779" s="1" t="s">
        <v>775</v>
      </c>
      <c r="C779" s="2">
        <v>139119</v>
      </c>
      <c r="D779" s="8">
        <v>1.0786E-4</v>
      </c>
    </row>
    <row r="780" spans="1:4" x14ac:dyDescent="0.2">
      <c r="A780" s="1">
        <v>2023</v>
      </c>
      <c r="B780" s="1" t="s">
        <v>776</v>
      </c>
      <c r="C780" s="2">
        <v>111715</v>
      </c>
      <c r="D780" s="8">
        <v>8.6609999999999999E-5</v>
      </c>
    </row>
    <row r="781" spans="1:4" x14ac:dyDescent="0.2">
      <c r="A781" s="1">
        <v>2023</v>
      </c>
      <c r="B781" s="1" t="s">
        <v>777</v>
      </c>
      <c r="C781" s="2">
        <v>3119097</v>
      </c>
      <c r="D781" s="8">
        <v>2.4182399999999999E-3</v>
      </c>
    </row>
    <row r="782" spans="1:4" x14ac:dyDescent="0.2">
      <c r="A782" s="1">
        <v>2023</v>
      </c>
      <c r="B782" s="1" t="s">
        <v>778</v>
      </c>
      <c r="C782" s="2">
        <v>860300</v>
      </c>
      <c r="D782" s="8">
        <v>6.6699000000000001E-4</v>
      </c>
    </row>
    <row r="783" spans="1:4" x14ac:dyDescent="0.2">
      <c r="A783" s="1">
        <v>2023</v>
      </c>
      <c r="B783" s="1" t="s">
        <v>779</v>
      </c>
      <c r="C783" s="2">
        <v>3882</v>
      </c>
      <c r="D783" s="8">
        <v>3.01E-6</v>
      </c>
    </row>
    <row r="784" spans="1:4" x14ac:dyDescent="0.2">
      <c r="A784" s="1">
        <v>2023</v>
      </c>
      <c r="B784" s="1" t="s">
        <v>780</v>
      </c>
      <c r="C784" s="2">
        <v>1071997</v>
      </c>
      <c r="D784" s="8">
        <v>8.3111999999999997E-4</v>
      </c>
    </row>
    <row r="785" spans="1:4" x14ac:dyDescent="0.2">
      <c r="A785" s="1">
        <v>2023</v>
      </c>
      <c r="B785" s="1" t="s">
        <v>781</v>
      </c>
      <c r="C785" s="2">
        <v>93670120</v>
      </c>
      <c r="D785" s="8">
        <v>7.2622629999999994E-2</v>
      </c>
    </row>
    <row r="786" spans="1:4" x14ac:dyDescent="0.2">
      <c r="A786" s="1">
        <v>2023</v>
      </c>
      <c r="B786" s="1" t="s">
        <v>782</v>
      </c>
      <c r="C786" s="2">
        <v>25833733</v>
      </c>
      <c r="D786" s="8">
        <v>2.0028939999999999E-2</v>
      </c>
    </row>
    <row r="787" spans="1:4" x14ac:dyDescent="0.2">
      <c r="A787" s="1">
        <v>2023</v>
      </c>
      <c r="B787" s="1" t="s">
        <v>783</v>
      </c>
      <c r="C787" s="2">
        <v>16203011</v>
      </c>
      <c r="D787" s="8">
        <v>1.2562230000000001E-2</v>
      </c>
    </row>
    <row r="788" spans="1:4" x14ac:dyDescent="0.2">
      <c r="A788" s="1">
        <v>2023</v>
      </c>
      <c r="B788" s="1" t="s">
        <v>784</v>
      </c>
      <c r="C788" s="2">
        <v>219085</v>
      </c>
      <c r="D788" s="8">
        <v>1.6986E-4</v>
      </c>
    </row>
    <row r="789" spans="1:4" x14ac:dyDescent="0.2">
      <c r="A789" s="1">
        <v>2023</v>
      </c>
      <c r="B789" s="1" t="s">
        <v>785</v>
      </c>
      <c r="C789" s="2">
        <v>38287</v>
      </c>
      <c r="D789" s="8">
        <v>2.968E-5</v>
      </c>
    </row>
    <row r="790" spans="1:4" x14ac:dyDescent="0.2">
      <c r="A790" s="1">
        <v>2023</v>
      </c>
      <c r="B790" s="1" t="s">
        <v>786</v>
      </c>
      <c r="C790" s="2">
        <v>48331</v>
      </c>
      <c r="D790" s="8">
        <v>3.7469999999999999E-5</v>
      </c>
    </row>
    <row r="791" spans="1:4" x14ac:dyDescent="0.2">
      <c r="A791" s="1">
        <v>2023</v>
      </c>
      <c r="B791" s="1" t="s">
        <v>787</v>
      </c>
      <c r="C791" s="2">
        <v>145185</v>
      </c>
      <c r="D791" s="8">
        <v>1.1256000000000001E-4</v>
      </c>
    </row>
    <row r="792" spans="1:4" x14ac:dyDescent="0.2">
      <c r="A792" s="1">
        <v>2023</v>
      </c>
      <c r="B792" s="1" t="s">
        <v>788</v>
      </c>
      <c r="C792" s="2">
        <v>165694</v>
      </c>
      <c r="D792" s="8">
        <v>1.2846E-4</v>
      </c>
    </row>
    <row r="793" spans="1:4" x14ac:dyDescent="0.2">
      <c r="A793" s="1">
        <v>2023</v>
      </c>
      <c r="B793" s="1" t="s">
        <v>789</v>
      </c>
      <c r="C793" s="2">
        <v>68686</v>
      </c>
      <c r="D793" s="8">
        <v>5.325E-5</v>
      </c>
    </row>
    <row r="794" spans="1:4" x14ac:dyDescent="0.2">
      <c r="A794" s="1">
        <v>2023</v>
      </c>
      <c r="B794" s="1" t="s">
        <v>790</v>
      </c>
      <c r="C794" s="2">
        <v>2841241</v>
      </c>
      <c r="D794" s="8">
        <v>2.2028199999999999E-3</v>
      </c>
    </row>
    <row r="795" spans="1:4" x14ac:dyDescent="0.2">
      <c r="A795" s="1">
        <v>2023</v>
      </c>
      <c r="B795" s="1" t="s">
        <v>791</v>
      </c>
      <c r="C795" s="2">
        <v>58234</v>
      </c>
      <c r="D795" s="8">
        <v>4.515E-5</v>
      </c>
    </row>
    <row r="796" spans="1:4" x14ac:dyDescent="0.2">
      <c r="A796" s="1">
        <v>2023</v>
      </c>
      <c r="B796" s="1" t="s">
        <v>792</v>
      </c>
      <c r="C796" s="2">
        <v>94279</v>
      </c>
      <c r="D796" s="8">
        <v>7.3090000000000007E-5</v>
      </c>
    </row>
    <row r="797" spans="1:4" x14ac:dyDescent="0.2">
      <c r="A797" s="1">
        <v>2023</v>
      </c>
      <c r="B797" s="1" t="s">
        <v>793</v>
      </c>
      <c r="C797" s="2">
        <v>9017342</v>
      </c>
      <c r="D797" s="8">
        <v>6.9911599999999997E-3</v>
      </c>
    </row>
    <row r="798" spans="1:4" x14ac:dyDescent="0.2">
      <c r="A798" s="1">
        <v>2023</v>
      </c>
      <c r="B798" s="1" t="s">
        <v>794</v>
      </c>
      <c r="C798" s="2">
        <v>58031</v>
      </c>
      <c r="D798" s="8">
        <v>4.4990000000000001E-5</v>
      </c>
    </row>
    <row r="799" spans="1:4" x14ac:dyDescent="0.2">
      <c r="A799" s="1">
        <v>2023</v>
      </c>
      <c r="B799" s="1" t="s">
        <v>795</v>
      </c>
      <c r="C799" s="2">
        <v>102688</v>
      </c>
      <c r="D799" s="8">
        <v>7.9610000000000005E-5</v>
      </c>
    </row>
    <row r="800" spans="1:4" x14ac:dyDescent="0.2">
      <c r="A800" s="1">
        <v>2023</v>
      </c>
      <c r="B800" s="1" t="s">
        <v>796</v>
      </c>
      <c r="C800" s="2">
        <v>540204</v>
      </c>
      <c r="D800" s="8">
        <v>4.1881999999999998E-4</v>
      </c>
    </row>
    <row r="801" spans="1:4" x14ac:dyDescent="0.2">
      <c r="A801" s="1">
        <v>2023</v>
      </c>
      <c r="B801" s="1" t="s">
        <v>797</v>
      </c>
      <c r="C801" s="2">
        <v>4061</v>
      </c>
      <c r="D801" s="8">
        <v>3.1499999999999999E-6</v>
      </c>
    </row>
    <row r="802" spans="1:4" x14ac:dyDescent="0.2">
      <c r="A802" s="1">
        <v>2023</v>
      </c>
      <c r="B802" s="1" t="s">
        <v>798</v>
      </c>
      <c r="C802" s="2">
        <v>2095563</v>
      </c>
      <c r="D802" s="8">
        <v>1.62469E-3</v>
      </c>
    </row>
    <row r="803" spans="1:4" x14ac:dyDescent="0.2">
      <c r="A803" s="1">
        <v>2023</v>
      </c>
      <c r="B803" s="1" t="s">
        <v>799</v>
      </c>
      <c r="C803" s="2">
        <v>2151</v>
      </c>
      <c r="D803" s="8">
        <v>1.6700000000000001E-6</v>
      </c>
    </row>
    <row r="804" spans="1:4" x14ac:dyDescent="0.2">
      <c r="A804" s="1">
        <v>2023</v>
      </c>
      <c r="B804" s="1" t="s">
        <v>800</v>
      </c>
      <c r="C804" s="2">
        <v>2031349</v>
      </c>
      <c r="D804" s="8">
        <v>1.5749099999999999E-3</v>
      </c>
    </row>
    <row r="805" spans="1:4" x14ac:dyDescent="0.2">
      <c r="A805" s="1">
        <v>2023</v>
      </c>
      <c r="B805" s="1" t="s">
        <v>801</v>
      </c>
      <c r="C805" s="2">
        <v>16334</v>
      </c>
      <c r="D805" s="8">
        <v>1.2660000000000001E-5</v>
      </c>
    </row>
    <row r="806" spans="1:4" x14ac:dyDescent="0.2">
      <c r="A806" s="1">
        <v>2023</v>
      </c>
      <c r="B806" s="1" t="s">
        <v>802</v>
      </c>
      <c r="C806" s="2">
        <v>2291716</v>
      </c>
      <c r="D806" s="8">
        <v>1.77677E-3</v>
      </c>
    </row>
    <row r="807" spans="1:4" x14ac:dyDescent="0.2">
      <c r="A807" s="1">
        <v>2023</v>
      </c>
      <c r="B807" s="1" t="s">
        <v>803</v>
      </c>
      <c r="C807" s="2">
        <v>73077</v>
      </c>
      <c r="D807" s="8">
        <v>5.6660000000000003E-5</v>
      </c>
    </row>
    <row r="808" spans="1:4" x14ac:dyDescent="0.2">
      <c r="A808" s="1">
        <v>2023</v>
      </c>
      <c r="B808" s="1" t="s">
        <v>804</v>
      </c>
      <c r="C808" s="2">
        <v>400958</v>
      </c>
      <c r="D808" s="8">
        <v>3.1085999999999999E-4</v>
      </c>
    </row>
    <row r="809" spans="1:4" x14ac:dyDescent="0.2">
      <c r="A809" s="1">
        <v>2023</v>
      </c>
      <c r="B809" s="1" t="s">
        <v>805</v>
      </c>
      <c r="C809" s="2">
        <v>50422</v>
      </c>
      <c r="D809" s="8">
        <v>3.909E-5</v>
      </c>
    </row>
    <row r="810" spans="1:4" x14ac:dyDescent="0.2">
      <c r="A810" s="1">
        <v>2023</v>
      </c>
      <c r="B810" s="1" t="s">
        <v>806</v>
      </c>
      <c r="C810" s="2">
        <v>1158183</v>
      </c>
      <c r="D810" s="8">
        <v>8.9793999999999996E-4</v>
      </c>
    </row>
    <row r="811" spans="1:4" x14ac:dyDescent="0.2">
      <c r="A811" s="1">
        <v>2023</v>
      </c>
      <c r="B811" s="1" t="s">
        <v>807</v>
      </c>
      <c r="C811" s="2">
        <v>609245</v>
      </c>
      <c r="D811" s="8">
        <v>4.7235000000000002E-4</v>
      </c>
    </row>
    <row r="812" spans="1:4" x14ac:dyDescent="0.2">
      <c r="A812" s="1">
        <v>2023</v>
      </c>
      <c r="B812" s="1" t="s">
        <v>808</v>
      </c>
      <c r="C812" s="2">
        <v>3460944</v>
      </c>
      <c r="D812" s="8">
        <v>2.6832800000000001E-3</v>
      </c>
    </row>
    <row r="813" spans="1:4" x14ac:dyDescent="0.2">
      <c r="A813" s="1">
        <v>2023</v>
      </c>
      <c r="B813" s="1" t="s">
        <v>809</v>
      </c>
      <c r="C813" s="2">
        <v>875865</v>
      </c>
      <c r="D813" s="8">
        <v>6.7905999999999999E-4</v>
      </c>
    </row>
    <row r="814" spans="1:4" x14ac:dyDescent="0.2">
      <c r="A814" s="1">
        <v>2023</v>
      </c>
      <c r="B814" s="1" t="s">
        <v>810</v>
      </c>
      <c r="C814" s="2">
        <v>5429</v>
      </c>
      <c r="D814" s="8">
        <v>4.2100000000000003E-6</v>
      </c>
    </row>
    <row r="815" spans="1:4" x14ac:dyDescent="0.2">
      <c r="A815" s="1">
        <v>2023</v>
      </c>
      <c r="B815" s="1" t="s">
        <v>811</v>
      </c>
      <c r="C815" s="2">
        <v>4228</v>
      </c>
      <c r="D815" s="8">
        <v>3.2799999999999999E-6</v>
      </c>
    </row>
    <row r="816" spans="1:4" x14ac:dyDescent="0.2">
      <c r="A816" s="1">
        <v>2023</v>
      </c>
      <c r="B816" s="1" t="s">
        <v>812</v>
      </c>
      <c r="C816" s="2">
        <v>332530</v>
      </c>
      <c r="D816" s="8">
        <v>2.5781000000000003E-4</v>
      </c>
    </row>
    <row r="817" spans="1:4" x14ac:dyDescent="0.2">
      <c r="A817" s="1">
        <v>2023</v>
      </c>
      <c r="B817" s="1" t="s">
        <v>813</v>
      </c>
      <c r="C817" s="2">
        <v>10419</v>
      </c>
      <c r="D817" s="8">
        <v>8.0800000000000006E-6</v>
      </c>
    </row>
    <row r="818" spans="1:4" x14ac:dyDescent="0.2">
      <c r="A818" s="1">
        <v>2023</v>
      </c>
      <c r="B818" s="1" t="s">
        <v>897</v>
      </c>
      <c r="C818" s="2">
        <v>31745</v>
      </c>
      <c r="D818" s="8">
        <v>2.461E-5</v>
      </c>
    </row>
    <row r="819" spans="1:4" x14ac:dyDescent="0.2">
      <c r="A819" s="1">
        <v>2023</v>
      </c>
      <c r="B819" s="1" t="s">
        <v>815</v>
      </c>
      <c r="C819" s="2">
        <v>339625</v>
      </c>
      <c r="D819" s="8">
        <v>2.6331E-4</v>
      </c>
    </row>
    <row r="820" spans="1:4" x14ac:dyDescent="0.2">
      <c r="A820" s="1">
        <v>2023</v>
      </c>
      <c r="B820" s="1" t="s">
        <v>816</v>
      </c>
      <c r="C820" s="2">
        <v>1905063</v>
      </c>
      <c r="D820" s="8">
        <v>1.477E-3</v>
      </c>
    </row>
    <row r="821" spans="1:4" x14ac:dyDescent="0.2">
      <c r="A821" s="1">
        <v>2023</v>
      </c>
      <c r="B821" s="1" t="s">
        <v>817</v>
      </c>
      <c r="C821" s="2">
        <v>1762899</v>
      </c>
      <c r="D821" s="8">
        <v>1.3667799999999999E-3</v>
      </c>
    </row>
    <row r="822" spans="1:4" x14ac:dyDescent="0.2">
      <c r="A822" s="1">
        <v>2023</v>
      </c>
      <c r="B822" s="1" t="s">
        <v>818</v>
      </c>
      <c r="C822" s="2">
        <v>19888</v>
      </c>
      <c r="D822" s="8">
        <v>1.5420000000000001E-5</v>
      </c>
    </row>
    <row r="823" spans="1:4" x14ac:dyDescent="0.2">
      <c r="A823" s="1">
        <v>2023</v>
      </c>
      <c r="B823" s="1" t="s">
        <v>819</v>
      </c>
      <c r="C823" s="2">
        <v>80204</v>
      </c>
      <c r="D823" s="8">
        <v>6.2180000000000004E-5</v>
      </c>
    </row>
    <row r="824" spans="1:4" x14ac:dyDescent="0.2">
      <c r="A824" s="1">
        <v>2023</v>
      </c>
      <c r="B824" s="1" t="s">
        <v>820</v>
      </c>
      <c r="C824" s="2">
        <v>1334338</v>
      </c>
      <c r="D824" s="8">
        <v>1.0345199999999999E-3</v>
      </c>
    </row>
    <row r="825" spans="1:4" x14ac:dyDescent="0.2">
      <c r="A825" s="1">
        <v>2023</v>
      </c>
      <c r="B825" s="1" t="s">
        <v>821</v>
      </c>
      <c r="C825" s="2">
        <v>262400</v>
      </c>
      <c r="D825" s="8">
        <v>2.0343999999999999E-4</v>
      </c>
    </row>
    <row r="826" spans="1:4" x14ac:dyDescent="0.2">
      <c r="A826" s="1">
        <v>2023</v>
      </c>
      <c r="B826" s="1" t="s">
        <v>822</v>
      </c>
      <c r="C826" s="2">
        <v>1730787</v>
      </c>
      <c r="D826" s="8">
        <v>1.3418799999999999E-3</v>
      </c>
    </row>
    <row r="827" spans="1:4" x14ac:dyDescent="0.2">
      <c r="A827" s="1">
        <v>2023</v>
      </c>
      <c r="B827" s="1" t="s">
        <v>823</v>
      </c>
      <c r="C827" s="2">
        <v>695739</v>
      </c>
      <c r="D827" s="8">
        <v>5.3941000000000004E-4</v>
      </c>
    </row>
    <row r="828" spans="1:4" x14ac:dyDescent="0.2">
      <c r="A828" s="1">
        <v>2023</v>
      </c>
      <c r="B828" s="1" t="s">
        <v>824</v>
      </c>
      <c r="C828" s="2">
        <v>3268419</v>
      </c>
      <c r="D828" s="8">
        <v>2.5340100000000002E-3</v>
      </c>
    </row>
    <row r="829" spans="1:4" x14ac:dyDescent="0.2">
      <c r="A829" s="1">
        <v>2023</v>
      </c>
      <c r="B829" s="1" t="s">
        <v>825</v>
      </c>
      <c r="C829" s="2">
        <v>193132</v>
      </c>
      <c r="D829" s="8">
        <v>1.4974000000000001E-4</v>
      </c>
    </row>
    <row r="830" spans="1:4" x14ac:dyDescent="0.2">
      <c r="A830" s="1">
        <v>2023</v>
      </c>
      <c r="B830" s="1" t="s">
        <v>826</v>
      </c>
      <c r="C830" s="2">
        <v>35512</v>
      </c>
      <c r="D830" s="8">
        <v>2.7529999999999999E-5</v>
      </c>
    </row>
    <row r="831" spans="1:4" x14ac:dyDescent="0.2">
      <c r="A831" s="1">
        <v>2023</v>
      </c>
      <c r="B831" s="1" t="s">
        <v>827</v>
      </c>
      <c r="C831" s="2">
        <v>133043</v>
      </c>
      <c r="D831" s="8">
        <v>1.0315E-4</v>
      </c>
    </row>
    <row r="832" spans="1:4" x14ac:dyDescent="0.2">
      <c r="A832" s="1">
        <v>2023</v>
      </c>
      <c r="B832" s="1" t="s">
        <v>828</v>
      </c>
      <c r="C832" s="2">
        <v>27936</v>
      </c>
      <c r="D832" s="8">
        <v>2.1659999999999999E-5</v>
      </c>
    </row>
    <row r="833" spans="1:4" x14ac:dyDescent="0.2">
      <c r="A833" s="1">
        <v>2023</v>
      </c>
      <c r="B833" s="1" t="s">
        <v>829</v>
      </c>
      <c r="C833" s="2">
        <v>843966</v>
      </c>
      <c r="D833" s="8">
        <v>6.5432999999999995E-4</v>
      </c>
    </row>
    <row r="834" spans="1:4" x14ac:dyDescent="0.2">
      <c r="A834" s="1">
        <v>2023</v>
      </c>
      <c r="B834" s="1" t="s">
        <v>830</v>
      </c>
      <c r="C834" s="2">
        <v>2972</v>
      </c>
      <c r="D834" s="8">
        <v>2.3E-6</v>
      </c>
    </row>
    <row r="835" spans="1:4" x14ac:dyDescent="0.2">
      <c r="A835" s="1">
        <v>2023</v>
      </c>
      <c r="B835" s="1" t="s">
        <v>831</v>
      </c>
      <c r="C835" s="2">
        <v>2244350</v>
      </c>
      <c r="D835" s="8">
        <v>1.7400499999999999E-3</v>
      </c>
    </row>
    <row r="836" spans="1:4" x14ac:dyDescent="0.2">
      <c r="A836" s="1">
        <v>2023</v>
      </c>
      <c r="B836" s="1" t="s">
        <v>832</v>
      </c>
      <c r="C836" s="2">
        <v>375707</v>
      </c>
      <c r="D836" s="8">
        <v>2.9128999999999998E-4</v>
      </c>
    </row>
    <row r="837" spans="1:4" x14ac:dyDescent="0.2">
      <c r="A837" s="1">
        <v>2023</v>
      </c>
      <c r="B837" s="1" t="s">
        <v>833</v>
      </c>
      <c r="C837" s="2">
        <v>4381075</v>
      </c>
      <c r="D837" s="8">
        <v>3.3966600000000001E-3</v>
      </c>
    </row>
    <row r="838" spans="1:4" x14ac:dyDescent="0.2">
      <c r="A838" s="1">
        <v>2023</v>
      </c>
      <c r="B838" s="1" t="s">
        <v>834</v>
      </c>
      <c r="C838" s="2">
        <v>1144167</v>
      </c>
      <c r="D838" s="8">
        <v>8.8707E-4</v>
      </c>
    </row>
    <row r="839" spans="1:4" x14ac:dyDescent="0.2">
      <c r="A839" s="1">
        <v>2023</v>
      </c>
      <c r="B839" s="1" t="s">
        <v>835</v>
      </c>
      <c r="C839" s="2">
        <v>388332</v>
      </c>
      <c r="D839" s="8">
        <v>3.0107000000000002E-4</v>
      </c>
    </row>
    <row r="840" spans="1:4" x14ac:dyDescent="0.2">
      <c r="A840" s="1">
        <v>2023</v>
      </c>
      <c r="B840" s="1" t="s">
        <v>836</v>
      </c>
      <c r="C840" s="2">
        <v>10178</v>
      </c>
      <c r="D840" s="8">
        <v>7.8900000000000007E-6</v>
      </c>
    </row>
    <row r="841" spans="1:4" x14ac:dyDescent="0.2">
      <c r="A841" s="1">
        <v>2023</v>
      </c>
      <c r="B841" s="1" t="s">
        <v>837</v>
      </c>
      <c r="C841" s="2">
        <v>342239</v>
      </c>
      <c r="D841" s="8">
        <v>2.6533999999999998E-4</v>
      </c>
    </row>
    <row r="842" spans="1:4" x14ac:dyDescent="0.2">
      <c r="A842" s="1">
        <v>2023</v>
      </c>
      <c r="B842" s="1" t="s">
        <v>838</v>
      </c>
      <c r="C842" s="2">
        <v>64305</v>
      </c>
      <c r="D842" s="8">
        <v>4.986E-5</v>
      </c>
    </row>
    <row r="843" spans="1:4" x14ac:dyDescent="0.2">
      <c r="A843" s="1">
        <v>2023</v>
      </c>
      <c r="B843" s="1" t="s">
        <v>898</v>
      </c>
      <c r="C843" s="2">
        <v>1384873</v>
      </c>
      <c r="D843" s="8">
        <v>1.07369E-3</v>
      </c>
    </row>
    <row r="844" spans="1:4" x14ac:dyDescent="0.2">
      <c r="A844" s="1">
        <v>2023</v>
      </c>
      <c r="B844" s="1" t="s">
        <v>840</v>
      </c>
      <c r="C844" s="2">
        <v>629240</v>
      </c>
      <c r="D844" s="8">
        <v>4.8785000000000001E-4</v>
      </c>
    </row>
    <row r="845" spans="1:4" x14ac:dyDescent="0.2">
      <c r="A845" s="1">
        <v>2023</v>
      </c>
      <c r="B845" s="1" t="s">
        <v>841</v>
      </c>
      <c r="C845" s="2">
        <v>28923</v>
      </c>
      <c r="D845" s="8">
        <v>2.2419999999999999E-5</v>
      </c>
    </row>
    <row r="846" spans="1:4" x14ac:dyDescent="0.2">
      <c r="A846" s="1">
        <v>2023</v>
      </c>
      <c r="B846" s="1" t="s">
        <v>842</v>
      </c>
      <c r="C846" s="2">
        <v>3932</v>
      </c>
      <c r="D846" s="8">
        <v>3.05E-6</v>
      </c>
    </row>
    <row r="847" spans="1:4" x14ac:dyDescent="0.2">
      <c r="A847" s="1">
        <v>2023</v>
      </c>
      <c r="B847" s="1" t="s">
        <v>843</v>
      </c>
      <c r="C847" s="2">
        <v>155929</v>
      </c>
      <c r="D847" s="8">
        <v>1.2089E-4</v>
      </c>
    </row>
    <row r="848" spans="1:4" x14ac:dyDescent="0.2">
      <c r="A848" s="1">
        <v>2023</v>
      </c>
      <c r="B848" s="1" t="s">
        <v>844</v>
      </c>
      <c r="C848" s="2">
        <v>586696</v>
      </c>
      <c r="D848" s="8">
        <v>4.5487000000000001E-4</v>
      </c>
    </row>
    <row r="849" spans="1:4" x14ac:dyDescent="0.2">
      <c r="A849" s="1">
        <v>2023</v>
      </c>
      <c r="B849" s="1" t="s">
        <v>845</v>
      </c>
      <c r="C849" s="2">
        <v>471678</v>
      </c>
      <c r="D849" s="8">
        <v>3.6569E-4</v>
      </c>
    </row>
    <row r="850" spans="1:4" x14ac:dyDescent="0.2">
      <c r="A850" s="1">
        <v>2023</v>
      </c>
      <c r="B850" s="1" t="s">
        <v>846</v>
      </c>
      <c r="C850" s="2">
        <v>5719</v>
      </c>
      <c r="D850" s="8">
        <v>4.4299999999999999E-6</v>
      </c>
    </row>
    <row r="851" spans="1:4" x14ac:dyDescent="0.2">
      <c r="A851" s="1">
        <v>2023</v>
      </c>
      <c r="B851" s="1" t="s">
        <v>847</v>
      </c>
      <c r="C851" s="2">
        <v>21697</v>
      </c>
      <c r="D851" s="8">
        <v>1.6820000000000002E-5</v>
      </c>
    </row>
    <row r="852" spans="1:4" x14ac:dyDescent="0.2">
      <c r="A852" s="1">
        <v>2023</v>
      </c>
      <c r="B852" s="1" t="s">
        <v>848</v>
      </c>
      <c r="C852" s="2">
        <v>571722</v>
      </c>
      <c r="D852" s="8">
        <v>4.4326000000000001E-4</v>
      </c>
    </row>
    <row r="853" spans="1:4" x14ac:dyDescent="0.2">
      <c r="A853" s="1">
        <v>2023</v>
      </c>
      <c r="B853" s="1" t="s">
        <v>849</v>
      </c>
      <c r="C853" s="2">
        <v>33564</v>
      </c>
      <c r="D853" s="8">
        <v>2.6020000000000002E-5</v>
      </c>
    </row>
    <row r="854" spans="1:4" x14ac:dyDescent="0.2">
      <c r="A854" s="1">
        <v>2023</v>
      </c>
      <c r="B854" s="1" t="s">
        <v>850</v>
      </c>
      <c r="C854" s="2">
        <v>2231452</v>
      </c>
      <c r="D854" s="8">
        <v>1.7300499999999999E-3</v>
      </c>
    </row>
    <row r="855" spans="1:4" x14ac:dyDescent="0.2">
      <c r="A855" s="1">
        <v>2023</v>
      </c>
      <c r="B855" s="1" t="s">
        <v>851</v>
      </c>
      <c r="C855" s="2">
        <v>519096</v>
      </c>
      <c r="D855" s="8">
        <v>4.0245999999999999E-4</v>
      </c>
    </row>
    <row r="856" spans="1:4" x14ac:dyDescent="0.2">
      <c r="A856" s="1">
        <v>2023</v>
      </c>
      <c r="B856" s="1" t="s">
        <v>852</v>
      </c>
      <c r="C856" s="2">
        <v>1702858</v>
      </c>
      <c r="D856" s="8">
        <v>1.3202299999999999E-3</v>
      </c>
    </row>
    <row r="857" spans="1:4" x14ac:dyDescent="0.2">
      <c r="A857" s="1">
        <v>2023</v>
      </c>
      <c r="B857" s="1" t="s">
        <v>853</v>
      </c>
      <c r="C857" s="2">
        <v>1057774</v>
      </c>
      <c r="D857" s="8">
        <v>8.2008999999999999E-4</v>
      </c>
    </row>
    <row r="858" spans="1:4" x14ac:dyDescent="0.2">
      <c r="A858" s="1">
        <v>2023</v>
      </c>
      <c r="B858" s="1" t="s">
        <v>899</v>
      </c>
      <c r="C858" s="2">
        <v>15088</v>
      </c>
      <c r="D858" s="8">
        <v>1.17E-5</v>
      </c>
    </row>
    <row r="859" spans="1:4" x14ac:dyDescent="0.2">
      <c r="A859" s="1">
        <v>2023</v>
      </c>
      <c r="B859" s="1" t="s">
        <v>855</v>
      </c>
      <c r="C859" s="2">
        <v>7562</v>
      </c>
      <c r="D859" s="8">
        <v>5.8599999999999998E-6</v>
      </c>
    </row>
    <row r="860" spans="1:4" x14ac:dyDescent="0.2">
      <c r="A860" s="1">
        <v>2023</v>
      </c>
      <c r="B860" s="1" t="s">
        <v>856</v>
      </c>
      <c r="C860" s="2">
        <v>22398</v>
      </c>
      <c r="D860" s="8">
        <v>1.7370000000000001E-5</v>
      </c>
    </row>
    <row r="861" spans="1:4" x14ac:dyDescent="0.2">
      <c r="A861" s="1">
        <v>2023</v>
      </c>
      <c r="B861" s="1" t="s">
        <v>857</v>
      </c>
      <c r="C861" s="2">
        <v>5782</v>
      </c>
      <c r="D861" s="8">
        <v>4.4800000000000003E-6</v>
      </c>
    </row>
    <row r="862" spans="1:4" x14ac:dyDescent="0.2">
      <c r="A862" s="1">
        <v>2023</v>
      </c>
      <c r="B862" s="1" t="s">
        <v>900</v>
      </c>
      <c r="C862" s="2">
        <v>124352</v>
      </c>
      <c r="D862" s="8">
        <v>9.6409999999999993E-5</v>
      </c>
    </row>
    <row r="863" spans="1:4" x14ac:dyDescent="0.2">
      <c r="A863" s="1">
        <v>2023</v>
      </c>
      <c r="B863" s="1" t="s">
        <v>859</v>
      </c>
      <c r="C863" s="2">
        <v>113585</v>
      </c>
      <c r="D863" s="8">
        <v>8.8059999999999994E-5</v>
      </c>
    </row>
    <row r="865" spans="2:3" x14ac:dyDescent="0.2">
      <c r="B865" s="3" t="s">
        <v>861</v>
      </c>
      <c r="C865" s="2">
        <f>SUM(C2:C863)</f>
        <v>1289820046</v>
      </c>
    </row>
    <row r="866" spans="2:3" x14ac:dyDescent="0.2">
      <c r="B866" s="3"/>
    </row>
    <row r="867" spans="2:3" x14ac:dyDescent="0.2">
      <c r="B867" s="3" t="s">
        <v>860</v>
      </c>
      <c r="C867" s="2">
        <v>1289820038</v>
      </c>
    </row>
    <row r="869" spans="2:3" x14ac:dyDescent="0.2">
      <c r="B869" s="4" t="s">
        <v>862</v>
      </c>
      <c r="C869" s="5">
        <f>C865-C867</f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8D987-D0F2-1441-A128-6BCD12E99AC9}">
  <sheetPr>
    <tabColor rgb="FFFFFF00"/>
  </sheetPr>
  <dimension ref="A1:D869"/>
  <sheetViews>
    <sheetView topLeftCell="A838" workbookViewId="0">
      <selection activeCell="D863" sqref="A2:D863"/>
    </sheetView>
  </sheetViews>
  <sheetFormatPr baseColWidth="10" defaultRowHeight="16" x14ac:dyDescent="0.2"/>
  <cols>
    <col min="1" max="1" width="10.83203125" style="1"/>
    <col min="2" max="2" width="34.5" style="1" bestFit="1" customWidth="1"/>
    <col min="3" max="3" width="19.664062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2022</v>
      </c>
      <c r="B2" s="1" t="s">
        <v>0</v>
      </c>
      <c r="C2" s="2">
        <v>625086</v>
      </c>
      <c r="D2" s="8">
        <v>5.2183000000000004E-4</v>
      </c>
    </row>
    <row r="3" spans="1:4" x14ac:dyDescent="0.2">
      <c r="A3" s="1">
        <v>2022</v>
      </c>
      <c r="B3" s="1" t="s">
        <v>1</v>
      </c>
      <c r="C3" s="2">
        <v>1335037</v>
      </c>
      <c r="D3" s="8">
        <v>1.11451E-3</v>
      </c>
    </row>
    <row r="4" spans="1:4" x14ac:dyDescent="0.2">
      <c r="A4" s="1">
        <v>2022</v>
      </c>
      <c r="B4" s="1" t="s">
        <v>2</v>
      </c>
      <c r="C4" s="2">
        <v>116120</v>
      </c>
      <c r="D4" s="8">
        <v>9.6940000000000004E-5</v>
      </c>
    </row>
    <row r="5" spans="1:4" x14ac:dyDescent="0.2">
      <c r="A5" s="1">
        <v>2022</v>
      </c>
      <c r="B5" s="1" t="s">
        <v>3</v>
      </c>
      <c r="C5" s="2">
        <v>35157</v>
      </c>
      <c r="D5" s="8">
        <v>2.9349999999999999E-5</v>
      </c>
    </row>
    <row r="6" spans="1:4" x14ac:dyDescent="0.2">
      <c r="A6" s="1">
        <v>2022</v>
      </c>
      <c r="B6" s="1" t="s">
        <v>4</v>
      </c>
      <c r="C6" s="2">
        <v>1531599</v>
      </c>
      <c r="D6" s="8">
        <v>1.2786E-3</v>
      </c>
    </row>
    <row r="7" spans="1:4" x14ac:dyDescent="0.2">
      <c r="A7" s="1">
        <v>2022</v>
      </c>
      <c r="B7" s="1" t="s">
        <v>5</v>
      </c>
      <c r="C7" s="2">
        <v>14764</v>
      </c>
      <c r="D7" s="8">
        <v>1.2330000000000001E-5</v>
      </c>
    </row>
    <row r="8" spans="1:4" x14ac:dyDescent="0.2">
      <c r="A8" s="1">
        <v>2022</v>
      </c>
      <c r="B8" s="1" t="s">
        <v>6</v>
      </c>
      <c r="C8" s="2">
        <v>3023001</v>
      </c>
      <c r="D8" s="8">
        <v>2.5236500000000001E-3</v>
      </c>
    </row>
    <row r="9" spans="1:4" x14ac:dyDescent="0.2">
      <c r="A9" s="1">
        <v>2022</v>
      </c>
      <c r="B9" s="1" t="s">
        <v>7</v>
      </c>
      <c r="C9" s="2">
        <v>1548280</v>
      </c>
      <c r="D9" s="8">
        <v>1.2925300000000001E-3</v>
      </c>
    </row>
    <row r="10" spans="1:4" x14ac:dyDescent="0.2">
      <c r="A10" s="1">
        <v>2022</v>
      </c>
      <c r="B10" s="1" t="s">
        <v>8</v>
      </c>
      <c r="C10" s="2">
        <v>3190701</v>
      </c>
      <c r="D10" s="8">
        <v>2.6636400000000001E-3</v>
      </c>
    </row>
    <row r="11" spans="1:4" x14ac:dyDescent="0.2">
      <c r="A11" s="1">
        <v>2022</v>
      </c>
      <c r="B11" s="1" t="s">
        <v>9</v>
      </c>
      <c r="C11" s="2">
        <v>1256825</v>
      </c>
      <c r="D11" s="8">
        <v>1.04922E-3</v>
      </c>
    </row>
    <row r="12" spans="1:4" x14ac:dyDescent="0.2">
      <c r="A12" s="1">
        <v>2022</v>
      </c>
      <c r="B12" s="1" t="s">
        <v>10</v>
      </c>
      <c r="C12" s="2">
        <v>4172359</v>
      </c>
      <c r="D12" s="8">
        <v>3.48315E-3</v>
      </c>
    </row>
    <row r="13" spans="1:4" x14ac:dyDescent="0.2">
      <c r="A13" s="1">
        <v>2022</v>
      </c>
      <c r="B13" s="1" t="s">
        <v>11</v>
      </c>
      <c r="C13" s="2">
        <v>1231860</v>
      </c>
      <c r="D13" s="8">
        <v>1.02837E-3</v>
      </c>
    </row>
    <row r="14" spans="1:4" x14ac:dyDescent="0.2">
      <c r="A14" s="1">
        <v>2022</v>
      </c>
      <c r="B14" s="1" t="s">
        <v>12</v>
      </c>
      <c r="C14" s="2">
        <v>437304</v>
      </c>
      <c r="D14" s="8">
        <v>3.6507E-4</v>
      </c>
    </row>
    <row r="15" spans="1:4" x14ac:dyDescent="0.2">
      <c r="A15" s="1">
        <v>2022</v>
      </c>
      <c r="B15" s="1" t="s">
        <v>13</v>
      </c>
      <c r="C15" s="2">
        <v>855198</v>
      </c>
      <c r="D15" s="8">
        <v>7.1392999999999999E-4</v>
      </c>
    </row>
    <row r="16" spans="1:4" x14ac:dyDescent="0.2">
      <c r="A16" s="1">
        <v>2022</v>
      </c>
      <c r="B16" s="1" t="s">
        <v>14</v>
      </c>
      <c r="C16" s="2">
        <v>35278</v>
      </c>
      <c r="D16" s="8">
        <v>2.9450000000000001E-5</v>
      </c>
    </row>
    <row r="17" spans="1:4" x14ac:dyDescent="0.2">
      <c r="A17" s="1">
        <v>2022</v>
      </c>
      <c r="B17" s="1" t="s">
        <v>15</v>
      </c>
      <c r="C17" s="2">
        <v>1557311</v>
      </c>
      <c r="D17" s="8">
        <v>1.30007E-3</v>
      </c>
    </row>
    <row r="18" spans="1:4" x14ac:dyDescent="0.2">
      <c r="A18" s="1">
        <v>2022</v>
      </c>
      <c r="B18" s="1" t="s">
        <v>16</v>
      </c>
      <c r="C18" s="2">
        <v>16366</v>
      </c>
      <c r="D18" s="8">
        <v>1.366E-5</v>
      </c>
    </row>
    <row r="19" spans="1:4" x14ac:dyDescent="0.2">
      <c r="A19" s="1">
        <v>2022</v>
      </c>
      <c r="B19" s="1" t="s">
        <v>17</v>
      </c>
      <c r="C19" s="2">
        <v>19740</v>
      </c>
      <c r="D19" s="8">
        <v>1.6480000000000001E-5</v>
      </c>
    </row>
    <row r="20" spans="1:4" x14ac:dyDescent="0.2">
      <c r="A20" s="1">
        <v>2022</v>
      </c>
      <c r="B20" s="1" t="s">
        <v>18</v>
      </c>
      <c r="C20" s="2">
        <v>204188</v>
      </c>
      <c r="D20" s="8">
        <v>1.7045999999999999E-4</v>
      </c>
    </row>
    <row r="21" spans="1:4" x14ac:dyDescent="0.2">
      <c r="A21" s="1">
        <v>2022</v>
      </c>
      <c r="B21" s="1" t="s">
        <v>19</v>
      </c>
      <c r="C21" s="2">
        <v>19640</v>
      </c>
      <c r="D21" s="8">
        <v>1.6399999999999999E-5</v>
      </c>
    </row>
    <row r="22" spans="1:4" x14ac:dyDescent="0.2">
      <c r="A22" s="1">
        <v>2022</v>
      </c>
      <c r="B22" s="1" t="s">
        <v>20</v>
      </c>
      <c r="C22" s="2">
        <v>1105088</v>
      </c>
      <c r="D22" s="8">
        <v>9.2254000000000001E-4</v>
      </c>
    </row>
    <row r="23" spans="1:4" x14ac:dyDescent="0.2">
      <c r="A23" s="1">
        <v>2022</v>
      </c>
      <c r="B23" s="1" t="s">
        <v>21</v>
      </c>
      <c r="C23" s="2">
        <v>14992</v>
      </c>
      <c r="D23" s="8">
        <v>1.252E-5</v>
      </c>
    </row>
    <row r="24" spans="1:4" x14ac:dyDescent="0.2">
      <c r="A24" s="1">
        <v>2022</v>
      </c>
      <c r="B24" s="1" t="s">
        <v>22</v>
      </c>
      <c r="C24" s="2">
        <v>12512</v>
      </c>
      <c r="D24" s="8">
        <v>1.045E-5</v>
      </c>
    </row>
    <row r="25" spans="1:4" x14ac:dyDescent="0.2">
      <c r="A25" s="1">
        <v>2022</v>
      </c>
      <c r="B25" s="1" t="s">
        <v>23</v>
      </c>
      <c r="C25" s="2">
        <v>98165</v>
      </c>
      <c r="D25" s="8">
        <v>8.195E-5</v>
      </c>
    </row>
    <row r="26" spans="1:4" x14ac:dyDescent="0.2">
      <c r="A26" s="1">
        <v>2022</v>
      </c>
      <c r="B26" s="1" t="s">
        <v>24</v>
      </c>
      <c r="C26" s="2">
        <v>44819</v>
      </c>
      <c r="D26" s="8">
        <v>3.7419999999999997E-5</v>
      </c>
    </row>
    <row r="27" spans="1:4" x14ac:dyDescent="0.2">
      <c r="A27" s="1">
        <v>2022</v>
      </c>
      <c r="B27" s="1" t="s">
        <v>26</v>
      </c>
      <c r="C27" s="2">
        <v>1313763</v>
      </c>
      <c r="D27" s="8">
        <v>1.0967500000000001E-3</v>
      </c>
    </row>
    <row r="28" spans="1:4" x14ac:dyDescent="0.2">
      <c r="A28" s="1">
        <v>2022</v>
      </c>
      <c r="B28" s="1" t="s">
        <v>27</v>
      </c>
      <c r="C28" s="2">
        <v>587318</v>
      </c>
      <c r="D28" s="8">
        <v>4.9030000000000005E-4</v>
      </c>
    </row>
    <row r="29" spans="1:4" x14ac:dyDescent="0.2">
      <c r="A29" s="1">
        <v>2022</v>
      </c>
      <c r="B29" s="1" t="s">
        <v>28</v>
      </c>
      <c r="C29" s="2">
        <v>24246</v>
      </c>
      <c r="D29" s="8">
        <v>2.0239999999999999E-5</v>
      </c>
    </row>
    <row r="30" spans="1:4" x14ac:dyDescent="0.2">
      <c r="A30" s="1">
        <v>2022</v>
      </c>
      <c r="B30" s="1" t="s">
        <v>29</v>
      </c>
      <c r="C30" s="2">
        <v>3272980</v>
      </c>
      <c r="D30" s="8">
        <v>2.7323299999999998E-3</v>
      </c>
    </row>
    <row r="31" spans="1:4" x14ac:dyDescent="0.2">
      <c r="A31" s="1">
        <v>2022</v>
      </c>
      <c r="B31" s="1" t="s">
        <v>30</v>
      </c>
      <c r="C31" s="2">
        <v>215443</v>
      </c>
      <c r="D31" s="8">
        <v>1.7985000000000001E-4</v>
      </c>
    </row>
    <row r="32" spans="1:4" x14ac:dyDescent="0.2">
      <c r="A32" s="1">
        <v>2022</v>
      </c>
      <c r="B32" s="1" t="s">
        <v>31</v>
      </c>
      <c r="C32" s="2">
        <v>13518</v>
      </c>
      <c r="D32" s="8">
        <v>1.128E-5</v>
      </c>
    </row>
    <row r="33" spans="1:4" x14ac:dyDescent="0.2">
      <c r="A33" s="1">
        <v>2022</v>
      </c>
      <c r="B33" s="1" t="s">
        <v>32</v>
      </c>
      <c r="C33" s="2">
        <v>907218</v>
      </c>
      <c r="D33" s="8">
        <v>7.5736E-4</v>
      </c>
    </row>
    <row r="34" spans="1:4" x14ac:dyDescent="0.2">
      <c r="A34" s="1">
        <v>2022</v>
      </c>
      <c r="B34" s="1" t="s">
        <v>33</v>
      </c>
      <c r="C34" s="2">
        <v>1040765</v>
      </c>
      <c r="D34" s="8">
        <v>8.6885E-4</v>
      </c>
    </row>
    <row r="35" spans="1:4" x14ac:dyDescent="0.2">
      <c r="A35" s="1">
        <v>2022</v>
      </c>
      <c r="B35" s="1" t="s">
        <v>34</v>
      </c>
      <c r="C35" s="2">
        <v>15190</v>
      </c>
      <c r="D35" s="8">
        <v>1.2680000000000001E-5</v>
      </c>
    </row>
    <row r="36" spans="1:4" x14ac:dyDescent="0.2">
      <c r="A36" s="1">
        <v>2022</v>
      </c>
      <c r="B36" s="1" t="s">
        <v>35</v>
      </c>
      <c r="C36" s="2">
        <v>31661</v>
      </c>
      <c r="D36" s="8">
        <v>2.6429999999999999E-5</v>
      </c>
    </row>
    <row r="37" spans="1:4" x14ac:dyDescent="0.2">
      <c r="A37" s="1">
        <v>2022</v>
      </c>
      <c r="B37" s="1" t="s">
        <v>36</v>
      </c>
      <c r="C37" s="2">
        <v>1329370</v>
      </c>
      <c r="D37" s="8">
        <v>1.1097800000000001E-3</v>
      </c>
    </row>
    <row r="38" spans="1:4" x14ac:dyDescent="0.2">
      <c r="A38" s="1">
        <v>2022</v>
      </c>
      <c r="B38" s="1" t="s">
        <v>37</v>
      </c>
      <c r="C38" s="2">
        <v>196676</v>
      </c>
      <c r="D38" s="8">
        <v>1.6419000000000001E-4</v>
      </c>
    </row>
    <row r="39" spans="1:4" x14ac:dyDescent="0.2">
      <c r="A39" s="1">
        <v>2022</v>
      </c>
      <c r="B39" s="1" t="s">
        <v>38</v>
      </c>
      <c r="C39" s="2">
        <v>785262</v>
      </c>
      <c r="D39" s="8">
        <v>6.5554999999999997E-4</v>
      </c>
    </row>
    <row r="40" spans="1:4" x14ac:dyDescent="0.2">
      <c r="A40" s="1">
        <v>2022</v>
      </c>
      <c r="B40" s="1" t="s">
        <v>863</v>
      </c>
      <c r="C40" s="2">
        <v>2316071</v>
      </c>
      <c r="D40" s="8">
        <v>1.9334899999999999E-3</v>
      </c>
    </row>
    <row r="41" spans="1:4" x14ac:dyDescent="0.2">
      <c r="A41" s="1">
        <v>2022</v>
      </c>
      <c r="B41" s="1" t="s">
        <v>40</v>
      </c>
      <c r="C41" s="2">
        <v>54498</v>
      </c>
      <c r="D41" s="8">
        <v>4.5500000000000001E-5</v>
      </c>
    </row>
    <row r="42" spans="1:4" x14ac:dyDescent="0.2">
      <c r="A42" s="1">
        <v>2022</v>
      </c>
      <c r="B42" s="1" t="s">
        <v>41</v>
      </c>
      <c r="C42" s="2">
        <v>13557</v>
      </c>
      <c r="D42" s="8">
        <v>1.132E-5</v>
      </c>
    </row>
    <row r="43" spans="1:4" x14ac:dyDescent="0.2">
      <c r="A43" s="1">
        <v>2022</v>
      </c>
      <c r="B43" s="1" t="s">
        <v>42</v>
      </c>
      <c r="C43" s="2">
        <v>51967</v>
      </c>
      <c r="D43" s="8">
        <v>4.3380000000000001E-5</v>
      </c>
    </row>
    <row r="44" spans="1:4" x14ac:dyDescent="0.2">
      <c r="A44" s="1">
        <v>2022</v>
      </c>
      <c r="B44" s="1" t="s">
        <v>43</v>
      </c>
      <c r="C44" s="2">
        <v>168053</v>
      </c>
      <c r="D44" s="8">
        <v>1.4029E-4</v>
      </c>
    </row>
    <row r="45" spans="1:4" x14ac:dyDescent="0.2">
      <c r="A45" s="1">
        <v>2022</v>
      </c>
      <c r="B45" s="1" t="s">
        <v>44</v>
      </c>
      <c r="C45" s="2">
        <v>196997</v>
      </c>
      <c r="D45" s="8">
        <v>1.6446000000000001E-4</v>
      </c>
    </row>
    <row r="46" spans="1:4" x14ac:dyDescent="0.2">
      <c r="A46" s="1">
        <v>2022</v>
      </c>
      <c r="B46" s="1" t="s">
        <v>45</v>
      </c>
      <c r="C46" s="2">
        <v>3855</v>
      </c>
      <c r="D46" s="8">
        <v>3.2200000000000001E-6</v>
      </c>
    </row>
    <row r="47" spans="1:4" x14ac:dyDescent="0.2">
      <c r="A47" s="1">
        <v>2022</v>
      </c>
      <c r="B47" s="1" t="s">
        <v>46</v>
      </c>
      <c r="C47" s="2">
        <v>1092952</v>
      </c>
      <c r="D47" s="8">
        <v>9.1241E-4</v>
      </c>
    </row>
    <row r="48" spans="1:4" x14ac:dyDescent="0.2">
      <c r="A48" s="1">
        <v>2022</v>
      </c>
      <c r="B48" s="1" t="s">
        <v>47</v>
      </c>
      <c r="C48" s="2">
        <v>413214</v>
      </c>
      <c r="D48" s="8">
        <v>3.4496E-4</v>
      </c>
    </row>
    <row r="49" spans="1:4" x14ac:dyDescent="0.2">
      <c r="A49" s="1">
        <v>2022</v>
      </c>
      <c r="B49" s="1" t="s">
        <v>48</v>
      </c>
      <c r="C49" s="2">
        <v>13831</v>
      </c>
      <c r="D49" s="8">
        <v>1.155E-5</v>
      </c>
    </row>
    <row r="50" spans="1:4" x14ac:dyDescent="0.2">
      <c r="A50" s="1">
        <v>2022</v>
      </c>
      <c r="B50" s="1" t="s">
        <v>49</v>
      </c>
      <c r="C50" s="2">
        <v>15177</v>
      </c>
      <c r="D50" s="8">
        <v>1.2670000000000001E-5</v>
      </c>
    </row>
    <row r="51" spans="1:4" x14ac:dyDescent="0.2">
      <c r="A51" s="1">
        <v>2022</v>
      </c>
      <c r="B51" s="1" t="s">
        <v>50</v>
      </c>
      <c r="C51" s="2">
        <v>5278287</v>
      </c>
      <c r="D51" s="8">
        <v>4.4063899999999996E-3</v>
      </c>
    </row>
    <row r="52" spans="1:4" x14ac:dyDescent="0.2">
      <c r="A52" s="1">
        <v>2022</v>
      </c>
      <c r="B52" s="1" t="s">
        <v>51</v>
      </c>
      <c r="C52" s="2">
        <v>357183</v>
      </c>
      <c r="D52" s="8">
        <v>2.9817999999999999E-4</v>
      </c>
    </row>
    <row r="53" spans="1:4" x14ac:dyDescent="0.2">
      <c r="A53" s="1">
        <v>2022</v>
      </c>
      <c r="B53" s="1" t="s">
        <v>52</v>
      </c>
      <c r="C53" s="2">
        <v>6592780</v>
      </c>
      <c r="D53" s="8">
        <v>5.50375E-3</v>
      </c>
    </row>
    <row r="54" spans="1:4" x14ac:dyDescent="0.2">
      <c r="A54" s="1">
        <v>2022</v>
      </c>
      <c r="B54" s="1" t="s">
        <v>53</v>
      </c>
      <c r="C54" s="2">
        <v>12339</v>
      </c>
      <c r="D54" s="8">
        <v>1.03E-5</v>
      </c>
    </row>
    <row r="55" spans="1:4" x14ac:dyDescent="0.2">
      <c r="A55" s="1">
        <v>2022</v>
      </c>
      <c r="B55" s="1" t="s">
        <v>54</v>
      </c>
      <c r="C55" s="2">
        <v>8920</v>
      </c>
      <c r="D55" s="8">
        <v>7.4499999999999998E-6</v>
      </c>
    </row>
    <row r="56" spans="1:4" x14ac:dyDescent="0.2">
      <c r="A56" s="1">
        <v>2022</v>
      </c>
      <c r="B56" s="1" t="s">
        <v>55</v>
      </c>
      <c r="C56" s="2">
        <v>12180</v>
      </c>
      <c r="D56" s="8">
        <v>1.0169999999999999E-5</v>
      </c>
    </row>
    <row r="57" spans="1:4" x14ac:dyDescent="0.2">
      <c r="A57" s="1">
        <v>2022</v>
      </c>
      <c r="B57" s="1" t="s">
        <v>56</v>
      </c>
      <c r="C57" s="2">
        <v>62773</v>
      </c>
      <c r="D57" s="8">
        <v>5.24E-5</v>
      </c>
    </row>
    <row r="58" spans="1:4" x14ac:dyDescent="0.2">
      <c r="A58" s="1">
        <v>2022</v>
      </c>
      <c r="B58" s="1" t="s">
        <v>57</v>
      </c>
      <c r="C58" s="2">
        <v>59382</v>
      </c>
      <c r="D58" s="8">
        <v>4.9570000000000001E-5</v>
      </c>
    </row>
    <row r="59" spans="1:4" x14ac:dyDescent="0.2">
      <c r="A59" s="1">
        <v>2022</v>
      </c>
      <c r="B59" s="1" t="s">
        <v>58</v>
      </c>
      <c r="C59" s="2">
        <v>1457391</v>
      </c>
      <c r="D59" s="8">
        <v>1.2166499999999999E-3</v>
      </c>
    </row>
    <row r="60" spans="1:4" x14ac:dyDescent="0.2">
      <c r="A60" s="1">
        <v>2022</v>
      </c>
      <c r="B60" s="1" t="s">
        <v>59</v>
      </c>
      <c r="C60" s="2">
        <v>5193</v>
      </c>
      <c r="D60" s="8">
        <v>4.34E-6</v>
      </c>
    </row>
    <row r="61" spans="1:4" x14ac:dyDescent="0.2">
      <c r="A61" s="1">
        <v>2022</v>
      </c>
      <c r="B61" s="1" t="s">
        <v>60</v>
      </c>
      <c r="C61" s="2">
        <v>58548</v>
      </c>
      <c r="D61" s="8">
        <v>4.888E-5</v>
      </c>
    </row>
    <row r="62" spans="1:4" x14ac:dyDescent="0.2">
      <c r="A62" s="1">
        <v>2022</v>
      </c>
      <c r="B62" s="1" t="s">
        <v>61</v>
      </c>
      <c r="C62" s="2">
        <v>551717</v>
      </c>
      <c r="D62" s="8">
        <v>4.6057999999999998E-4</v>
      </c>
    </row>
    <row r="63" spans="1:4" x14ac:dyDescent="0.2">
      <c r="A63" s="1">
        <v>2022</v>
      </c>
      <c r="B63" s="1" t="s">
        <v>62</v>
      </c>
      <c r="C63" s="2">
        <v>136587</v>
      </c>
      <c r="D63" s="8">
        <v>1.1402E-4</v>
      </c>
    </row>
    <row r="64" spans="1:4" x14ac:dyDescent="0.2">
      <c r="A64" s="1">
        <v>2022</v>
      </c>
      <c r="B64" s="1" t="s">
        <v>63</v>
      </c>
      <c r="C64" s="2">
        <v>50703</v>
      </c>
      <c r="D64" s="8">
        <v>4.2330000000000003E-5</v>
      </c>
    </row>
    <row r="65" spans="1:4" x14ac:dyDescent="0.2">
      <c r="A65" s="1">
        <v>2022</v>
      </c>
      <c r="B65" s="1" t="s">
        <v>64</v>
      </c>
      <c r="C65" s="2">
        <v>1295802</v>
      </c>
      <c r="D65" s="8">
        <v>1.08175E-3</v>
      </c>
    </row>
    <row r="66" spans="1:4" x14ac:dyDescent="0.2">
      <c r="A66" s="1">
        <v>2022</v>
      </c>
      <c r="B66" s="1" t="s">
        <v>65</v>
      </c>
      <c r="C66" s="2">
        <v>4281510</v>
      </c>
      <c r="D66" s="8">
        <v>3.5742700000000001E-3</v>
      </c>
    </row>
    <row r="67" spans="1:4" x14ac:dyDescent="0.2">
      <c r="A67" s="1">
        <v>2022</v>
      </c>
      <c r="B67" s="1" t="s">
        <v>66</v>
      </c>
      <c r="C67" s="2">
        <v>58181</v>
      </c>
      <c r="D67" s="8">
        <v>4.8569999999999997E-5</v>
      </c>
    </row>
    <row r="68" spans="1:4" x14ac:dyDescent="0.2">
      <c r="A68" s="1">
        <v>2022</v>
      </c>
      <c r="B68" s="1" t="s">
        <v>67</v>
      </c>
      <c r="C68" s="2">
        <v>1240547</v>
      </c>
      <c r="D68" s="8">
        <v>1.0356300000000001E-3</v>
      </c>
    </row>
    <row r="69" spans="1:4" x14ac:dyDescent="0.2">
      <c r="A69" s="1">
        <v>2022</v>
      </c>
      <c r="B69" s="1" t="s">
        <v>68</v>
      </c>
      <c r="C69" s="2">
        <v>1017619</v>
      </c>
      <c r="D69" s="8">
        <v>8.4951999999999998E-4</v>
      </c>
    </row>
    <row r="70" spans="1:4" x14ac:dyDescent="0.2">
      <c r="A70" s="1">
        <v>2022</v>
      </c>
      <c r="B70" s="1" t="s">
        <v>69</v>
      </c>
      <c r="C70" s="2">
        <v>2980648</v>
      </c>
      <c r="D70" s="8">
        <v>2.4882900000000002E-3</v>
      </c>
    </row>
    <row r="71" spans="1:4" x14ac:dyDescent="0.2">
      <c r="A71" s="1">
        <v>2022</v>
      </c>
      <c r="B71" s="1" t="s">
        <v>70</v>
      </c>
      <c r="C71" s="2">
        <v>60228</v>
      </c>
      <c r="D71" s="8">
        <v>5.028E-5</v>
      </c>
    </row>
    <row r="72" spans="1:4" x14ac:dyDescent="0.2">
      <c r="A72" s="1">
        <v>2022</v>
      </c>
      <c r="B72" s="1" t="s">
        <v>71</v>
      </c>
      <c r="C72" s="2">
        <v>60533</v>
      </c>
      <c r="D72" s="8">
        <v>5.0529999999999999E-5</v>
      </c>
    </row>
    <row r="73" spans="1:4" x14ac:dyDescent="0.2">
      <c r="A73" s="1">
        <v>2022</v>
      </c>
      <c r="B73" s="1" t="s">
        <v>72</v>
      </c>
      <c r="C73" s="2">
        <v>111665</v>
      </c>
      <c r="D73" s="8">
        <v>9.3220000000000005E-5</v>
      </c>
    </row>
    <row r="74" spans="1:4" x14ac:dyDescent="0.2">
      <c r="A74" s="1">
        <v>2022</v>
      </c>
      <c r="B74" s="1" t="s">
        <v>73</v>
      </c>
      <c r="C74" s="2">
        <v>42800</v>
      </c>
      <c r="D74" s="8">
        <v>3.5729999999999998E-5</v>
      </c>
    </row>
    <row r="75" spans="1:4" x14ac:dyDescent="0.2">
      <c r="A75" s="1">
        <v>2022</v>
      </c>
      <c r="B75" s="1" t="s">
        <v>74</v>
      </c>
      <c r="C75" s="2">
        <v>1308449</v>
      </c>
      <c r="D75" s="8">
        <v>1.09231E-3</v>
      </c>
    </row>
    <row r="76" spans="1:4" x14ac:dyDescent="0.2">
      <c r="A76" s="1">
        <v>2022</v>
      </c>
      <c r="B76" s="1" t="s">
        <v>75</v>
      </c>
      <c r="C76" s="2">
        <v>36132</v>
      </c>
      <c r="D76" s="8">
        <v>3.0159999999999999E-5</v>
      </c>
    </row>
    <row r="77" spans="1:4" x14ac:dyDescent="0.2">
      <c r="A77" s="1">
        <v>2022</v>
      </c>
      <c r="B77" s="1" t="s">
        <v>76</v>
      </c>
      <c r="C77" s="2">
        <v>260154</v>
      </c>
      <c r="D77" s="8">
        <v>2.1718E-4</v>
      </c>
    </row>
    <row r="78" spans="1:4" x14ac:dyDescent="0.2">
      <c r="A78" s="1">
        <v>2022</v>
      </c>
      <c r="B78" s="1" t="s">
        <v>77</v>
      </c>
      <c r="C78" s="2">
        <v>63548</v>
      </c>
      <c r="D78" s="8">
        <v>5.3050000000000002E-5</v>
      </c>
    </row>
    <row r="79" spans="1:4" x14ac:dyDescent="0.2">
      <c r="A79" s="1">
        <v>2022</v>
      </c>
      <c r="B79" s="1" t="s">
        <v>78</v>
      </c>
      <c r="C79" s="2">
        <v>84298</v>
      </c>
      <c r="D79" s="8">
        <v>7.0370000000000006E-5</v>
      </c>
    </row>
    <row r="80" spans="1:4" x14ac:dyDescent="0.2">
      <c r="A80" s="1">
        <v>2022</v>
      </c>
      <c r="B80" s="1" t="s">
        <v>79</v>
      </c>
      <c r="C80" s="2">
        <v>76004</v>
      </c>
      <c r="D80" s="8">
        <v>6.3449999999999997E-5</v>
      </c>
    </row>
    <row r="81" spans="1:4" x14ac:dyDescent="0.2">
      <c r="A81" s="1">
        <v>2022</v>
      </c>
      <c r="B81" s="1" t="s">
        <v>80</v>
      </c>
      <c r="C81" s="2">
        <v>2535199</v>
      </c>
      <c r="D81" s="8">
        <v>2.1164199999999999E-3</v>
      </c>
    </row>
    <row r="82" spans="1:4" x14ac:dyDescent="0.2">
      <c r="A82" s="1">
        <v>2022</v>
      </c>
      <c r="B82" s="1" t="s">
        <v>81</v>
      </c>
      <c r="C82" s="2">
        <v>466953</v>
      </c>
      <c r="D82" s="8">
        <v>3.8981999999999998E-4</v>
      </c>
    </row>
    <row r="83" spans="1:4" x14ac:dyDescent="0.2">
      <c r="A83" s="1">
        <v>2022</v>
      </c>
      <c r="B83" s="1" t="s">
        <v>82</v>
      </c>
      <c r="C83" s="2">
        <v>2471</v>
      </c>
      <c r="D83" s="8">
        <v>2.0600000000000002E-6</v>
      </c>
    </row>
    <row r="84" spans="1:4" x14ac:dyDescent="0.2">
      <c r="A84" s="1">
        <v>2022</v>
      </c>
      <c r="B84" s="1" t="s">
        <v>83</v>
      </c>
      <c r="C84" s="2">
        <v>884892</v>
      </c>
      <c r="D84" s="8">
        <v>7.3872E-4</v>
      </c>
    </row>
    <row r="85" spans="1:4" x14ac:dyDescent="0.2">
      <c r="A85" s="1">
        <v>2022</v>
      </c>
      <c r="B85" s="1" t="s">
        <v>84</v>
      </c>
      <c r="C85" s="2">
        <v>30949</v>
      </c>
      <c r="D85" s="8">
        <v>2.584E-5</v>
      </c>
    </row>
    <row r="86" spans="1:4" x14ac:dyDescent="0.2">
      <c r="A86" s="1">
        <v>2022</v>
      </c>
      <c r="B86" s="1" t="s">
        <v>85</v>
      </c>
      <c r="C86" s="2">
        <v>51957</v>
      </c>
      <c r="D86" s="8">
        <v>4.337E-5</v>
      </c>
    </row>
    <row r="87" spans="1:4" x14ac:dyDescent="0.2">
      <c r="A87" s="1">
        <v>2022</v>
      </c>
      <c r="B87" s="1" t="s">
        <v>86</v>
      </c>
      <c r="C87" s="2">
        <v>3420345</v>
      </c>
      <c r="D87" s="8">
        <v>2.85535E-3</v>
      </c>
    </row>
    <row r="88" spans="1:4" x14ac:dyDescent="0.2">
      <c r="A88" s="1">
        <v>2022</v>
      </c>
      <c r="B88" s="1" t="s">
        <v>87</v>
      </c>
      <c r="C88" s="2">
        <v>789444</v>
      </c>
      <c r="D88" s="8">
        <v>6.5903999999999995E-4</v>
      </c>
    </row>
    <row r="89" spans="1:4" x14ac:dyDescent="0.2">
      <c r="A89" s="1">
        <v>2022</v>
      </c>
      <c r="B89" s="1" t="s">
        <v>88</v>
      </c>
      <c r="C89" s="2">
        <v>23300</v>
      </c>
      <c r="D89" s="8">
        <v>1.9449999999999998E-5</v>
      </c>
    </row>
    <row r="90" spans="1:4" x14ac:dyDescent="0.2">
      <c r="A90" s="1">
        <v>2022</v>
      </c>
      <c r="B90" s="1" t="s">
        <v>89</v>
      </c>
      <c r="C90" s="2">
        <v>960471</v>
      </c>
      <c r="D90" s="8">
        <v>8.0181999999999996E-4</v>
      </c>
    </row>
    <row r="91" spans="1:4" x14ac:dyDescent="0.2">
      <c r="A91" s="1">
        <v>2022</v>
      </c>
      <c r="B91" s="1" t="s">
        <v>90</v>
      </c>
      <c r="C91" s="2">
        <v>704390</v>
      </c>
      <c r="D91" s="8">
        <v>5.8803000000000002E-4</v>
      </c>
    </row>
    <row r="92" spans="1:4" x14ac:dyDescent="0.2">
      <c r="A92" s="1">
        <v>2022</v>
      </c>
      <c r="B92" s="1" t="s">
        <v>91</v>
      </c>
      <c r="C92" s="2">
        <v>10885</v>
      </c>
      <c r="D92" s="8">
        <v>9.0899999999999994E-6</v>
      </c>
    </row>
    <row r="93" spans="1:4" x14ac:dyDescent="0.2">
      <c r="A93" s="1">
        <v>2022</v>
      </c>
      <c r="B93" s="1" t="s">
        <v>92</v>
      </c>
      <c r="C93" s="2">
        <v>345413</v>
      </c>
      <c r="D93" s="8">
        <v>2.8835999999999998E-4</v>
      </c>
    </row>
    <row r="94" spans="1:4" x14ac:dyDescent="0.2">
      <c r="A94" s="1">
        <v>2022</v>
      </c>
      <c r="B94" s="1" t="s">
        <v>93</v>
      </c>
      <c r="C94" s="2">
        <v>8351</v>
      </c>
      <c r="D94" s="8">
        <v>6.9700000000000002E-6</v>
      </c>
    </row>
    <row r="95" spans="1:4" x14ac:dyDescent="0.2">
      <c r="A95" s="1">
        <v>2022</v>
      </c>
      <c r="B95" s="1" t="s">
        <v>94</v>
      </c>
      <c r="C95" s="2">
        <v>241254</v>
      </c>
      <c r="D95" s="8">
        <v>2.0139999999999999E-4</v>
      </c>
    </row>
    <row r="96" spans="1:4" x14ac:dyDescent="0.2">
      <c r="A96" s="1">
        <v>2022</v>
      </c>
      <c r="B96" s="1" t="s">
        <v>95</v>
      </c>
      <c r="C96" s="2">
        <v>104501</v>
      </c>
      <c r="D96" s="8">
        <v>8.7239999999999998E-5</v>
      </c>
    </row>
    <row r="97" spans="1:4" x14ac:dyDescent="0.2">
      <c r="A97" s="1">
        <v>2022</v>
      </c>
      <c r="B97" s="1" t="s">
        <v>96</v>
      </c>
      <c r="C97" s="2">
        <v>145656</v>
      </c>
      <c r="D97" s="8">
        <v>1.216E-4</v>
      </c>
    </row>
    <row r="98" spans="1:4" x14ac:dyDescent="0.2">
      <c r="A98" s="1">
        <v>2022</v>
      </c>
      <c r="B98" s="1" t="s">
        <v>97</v>
      </c>
      <c r="C98" s="2">
        <v>790935</v>
      </c>
      <c r="D98" s="8">
        <v>6.6027999999999996E-4</v>
      </c>
    </row>
    <row r="99" spans="1:4" x14ac:dyDescent="0.2">
      <c r="A99" s="1">
        <v>2022</v>
      </c>
      <c r="B99" s="1" t="s">
        <v>98</v>
      </c>
      <c r="C99" s="2">
        <v>2054787</v>
      </c>
      <c r="D99" s="8">
        <v>1.7153699999999999E-3</v>
      </c>
    </row>
    <row r="100" spans="1:4" x14ac:dyDescent="0.2">
      <c r="A100" s="1">
        <v>2022</v>
      </c>
      <c r="B100" s="1" t="s">
        <v>99</v>
      </c>
      <c r="C100" s="2">
        <v>88074</v>
      </c>
      <c r="D100" s="8">
        <v>7.3529999999999996E-5</v>
      </c>
    </row>
    <row r="101" spans="1:4" x14ac:dyDescent="0.2">
      <c r="A101" s="1">
        <v>2022</v>
      </c>
      <c r="B101" s="1" t="s">
        <v>100</v>
      </c>
      <c r="C101" s="2">
        <v>1807734</v>
      </c>
      <c r="D101" s="8">
        <v>1.5091200000000001E-3</v>
      </c>
    </row>
    <row r="102" spans="1:4" x14ac:dyDescent="0.2">
      <c r="A102" s="1">
        <v>2022</v>
      </c>
      <c r="B102" s="1" t="s">
        <v>101</v>
      </c>
      <c r="C102" s="2">
        <v>472035</v>
      </c>
      <c r="D102" s="8">
        <v>3.9406E-4</v>
      </c>
    </row>
    <row r="103" spans="1:4" x14ac:dyDescent="0.2">
      <c r="A103" s="1">
        <v>2022</v>
      </c>
      <c r="B103" s="1" t="s">
        <v>102</v>
      </c>
      <c r="C103" s="2">
        <v>14699</v>
      </c>
      <c r="D103" s="8">
        <v>1.2269999999999999E-5</v>
      </c>
    </row>
    <row r="104" spans="1:4" x14ac:dyDescent="0.2">
      <c r="A104" s="1">
        <v>2022</v>
      </c>
      <c r="B104" s="1" t="s">
        <v>103</v>
      </c>
      <c r="C104" s="2">
        <v>9341</v>
      </c>
      <c r="D104" s="8">
        <v>7.7999999999999999E-6</v>
      </c>
    </row>
    <row r="105" spans="1:4" x14ac:dyDescent="0.2">
      <c r="A105" s="1">
        <v>2022</v>
      </c>
      <c r="B105" s="1" t="s">
        <v>104</v>
      </c>
      <c r="C105" s="2">
        <v>658402</v>
      </c>
      <c r="D105" s="8">
        <v>5.4964E-4</v>
      </c>
    </row>
    <row r="106" spans="1:4" x14ac:dyDescent="0.2">
      <c r="A106" s="1">
        <v>2022</v>
      </c>
      <c r="B106" s="1" t="s">
        <v>105</v>
      </c>
      <c r="C106" s="2">
        <v>8707</v>
      </c>
      <c r="D106" s="8">
        <v>7.2699999999999999E-6</v>
      </c>
    </row>
    <row r="107" spans="1:4" x14ac:dyDescent="0.2">
      <c r="A107" s="1">
        <v>2022</v>
      </c>
      <c r="B107" s="1" t="s">
        <v>106</v>
      </c>
      <c r="C107" s="2">
        <v>2266201</v>
      </c>
      <c r="D107" s="8">
        <v>1.89186E-3</v>
      </c>
    </row>
    <row r="108" spans="1:4" x14ac:dyDescent="0.2">
      <c r="A108" s="1">
        <v>2022</v>
      </c>
      <c r="B108" s="1" t="s">
        <v>107</v>
      </c>
      <c r="C108" s="2">
        <v>91050</v>
      </c>
      <c r="D108" s="8">
        <v>7.6009999999999999E-5</v>
      </c>
    </row>
    <row r="109" spans="1:4" x14ac:dyDescent="0.2">
      <c r="A109" s="1">
        <v>2022</v>
      </c>
      <c r="B109" s="1" t="s">
        <v>108</v>
      </c>
      <c r="C109" s="2">
        <v>172248</v>
      </c>
      <c r="D109" s="8">
        <v>1.4379E-4</v>
      </c>
    </row>
    <row r="110" spans="1:4" x14ac:dyDescent="0.2">
      <c r="A110" s="1">
        <v>2022</v>
      </c>
      <c r="B110" s="1" t="s">
        <v>109</v>
      </c>
      <c r="C110" s="2">
        <v>1525181</v>
      </c>
      <c r="D110" s="8">
        <v>1.2732399999999999E-3</v>
      </c>
    </row>
    <row r="111" spans="1:4" x14ac:dyDescent="0.2">
      <c r="A111" s="1">
        <v>2022</v>
      </c>
      <c r="B111" s="1" t="s">
        <v>110</v>
      </c>
      <c r="C111" s="2">
        <v>605194</v>
      </c>
      <c r="D111" s="8">
        <v>5.0522000000000002E-4</v>
      </c>
    </row>
    <row r="112" spans="1:4" x14ac:dyDescent="0.2">
      <c r="A112" s="1">
        <v>2022</v>
      </c>
      <c r="B112" s="1" t="s">
        <v>111</v>
      </c>
      <c r="C112" s="2">
        <v>610562</v>
      </c>
      <c r="D112" s="8">
        <v>5.0971000000000002E-4</v>
      </c>
    </row>
    <row r="113" spans="1:4" x14ac:dyDescent="0.2">
      <c r="A113" s="1">
        <v>2022</v>
      </c>
      <c r="B113" s="1" t="s">
        <v>112</v>
      </c>
      <c r="C113" s="2">
        <v>135595</v>
      </c>
      <c r="D113" s="8">
        <v>1.132E-4</v>
      </c>
    </row>
    <row r="114" spans="1:4" x14ac:dyDescent="0.2">
      <c r="A114" s="1">
        <v>2022</v>
      </c>
      <c r="B114" s="1" t="s">
        <v>113</v>
      </c>
      <c r="C114" s="2">
        <v>712175</v>
      </c>
      <c r="D114" s="8">
        <v>5.9453000000000002E-4</v>
      </c>
    </row>
    <row r="115" spans="1:4" x14ac:dyDescent="0.2">
      <c r="A115" s="1">
        <v>2022</v>
      </c>
      <c r="B115" s="1" t="s">
        <v>114</v>
      </c>
      <c r="C115" s="2">
        <v>1059756</v>
      </c>
      <c r="D115" s="8">
        <v>8.8469999999999998E-4</v>
      </c>
    </row>
    <row r="116" spans="1:4" x14ac:dyDescent="0.2">
      <c r="A116" s="1">
        <v>2022</v>
      </c>
      <c r="B116" s="1" t="s">
        <v>115</v>
      </c>
      <c r="C116" s="2">
        <v>84604</v>
      </c>
      <c r="D116" s="8">
        <v>7.0630000000000006E-5</v>
      </c>
    </row>
    <row r="117" spans="1:4" x14ac:dyDescent="0.2">
      <c r="A117" s="1">
        <v>2022</v>
      </c>
      <c r="B117" s="1" t="s">
        <v>116</v>
      </c>
      <c r="C117" s="2">
        <v>2424256</v>
      </c>
      <c r="D117" s="8">
        <v>2.0238000000000001E-3</v>
      </c>
    </row>
    <row r="118" spans="1:4" x14ac:dyDescent="0.2">
      <c r="A118" s="1">
        <v>2022</v>
      </c>
      <c r="B118" s="1" t="s">
        <v>117</v>
      </c>
      <c r="C118" s="2">
        <v>36245</v>
      </c>
      <c r="D118" s="8">
        <v>3.0260000000000002E-5</v>
      </c>
    </row>
    <row r="119" spans="1:4" x14ac:dyDescent="0.2">
      <c r="A119" s="1">
        <v>2022</v>
      </c>
      <c r="B119" s="1" t="s">
        <v>118</v>
      </c>
      <c r="C119" s="2">
        <v>615681</v>
      </c>
      <c r="D119" s="8">
        <v>5.1398000000000004E-4</v>
      </c>
    </row>
    <row r="120" spans="1:4" x14ac:dyDescent="0.2">
      <c r="A120" s="1">
        <v>2022</v>
      </c>
      <c r="B120" s="1" t="s">
        <v>119</v>
      </c>
      <c r="C120" s="2">
        <v>621791</v>
      </c>
      <c r="D120" s="8">
        <v>5.1908E-4</v>
      </c>
    </row>
    <row r="121" spans="1:4" x14ac:dyDescent="0.2">
      <c r="A121" s="1">
        <v>2022</v>
      </c>
      <c r="B121" s="1" t="s">
        <v>120</v>
      </c>
      <c r="C121" s="2">
        <v>34831</v>
      </c>
      <c r="D121" s="8">
        <v>2.9079999999999999E-5</v>
      </c>
    </row>
    <row r="122" spans="1:4" x14ac:dyDescent="0.2">
      <c r="A122" s="1">
        <v>2022</v>
      </c>
      <c r="B122" s="1" t="s">
        <v>121</v>
      </c>
      <c r="C122" s="2">
        <v>943296</v>
      </c>
      <c r="D122" s="8">
        <v>7.8748000000000002E-4</v>
      </c>
    </row>
    <row r="123" spans="1:4" x14ac:dyDescent="0.2">
      <c r="A123" s="1">
        <v>2022</v>
      </c>
      <c r="B123" s="1" t="s">
        <v>122</v>
      </c>
      <c r="C123" s="2">
        <v>3074424</v>
      </c>
      <c r="D123" s="8">
        <v>2.5665699999999998E-3</v>
      </c>
    </row>
    <row r="124" spans="1:4" x14ac:dyDescent="0.2">
      <c r="A124" s="1">
        <v>2022</v>
      </c>
      <c r="B124" s="1" t="s">
        <v>123</v>
      </c>
      <c r="C124" s="2">
        <v>1794171</v>
      </c>
      <c r="D124" s="8">
        <v>1.4978000000000001E-3</v>
      </c>
    </row>
    <row r="125" spans="1:4" x14ac:dyDescent="0.2">
      <c r="A125" s="1">
        <v>2022</v>
      </c>
      <c r="B125" s="1" t="s">
        <v>124</v>
      </c>
      <c r="C125" s="2">
        <v>4638027</v>
      </c>
      <c r="D125" s="8">
        <v>3.8718899999999998E-3</v>
      </c>
    </row>
    <row r="126" spans="1:4" x14ac:dyDescent="0.2">
      <c r="A126" s="1">
        <v>2022</v>
      </c>
      <c r="B126" s="1" t="s">
        <v>125</v>
      </c>
      <c r="C126" s="2">
        <v>1432711</v>
      </c>
      <c r="D126" s="8">
        <v>1.1960499999999999E-3</v>
      </c>
    </row>
    <row r="127" spans="1:4" x14ac:dyDescent="0.2">
      <c r="A127" s="1">
        <v>2022</v>
      </c>
      <c r="B127" s="1" t="s">
        <v>126</v>
      </c>
      <c r="C127" s="2">
        <v>961150</v>
      </c>
      <c r="D127" s="8">
        <v>8.0238E-4</v>
      </c>
    </row>
    <row r="128" spans="1:4" x14ac:dyDescent="0.2">
      <c r="A128" s="1">
        <v>2022</v>
      </c>
      <c r="B128" s="1" t="s">
        <v>127</v>
      </c>
      <c r="C128" s="2">
        <v>4762</v>
      </c>
      <c r="D128" s="8">
        <v>3.98E-6</v>
      </c>
    </row>
    <row r="129" spans="1:4" x14ac:dyDescent="0.2">
      <c r="A129" s="1">
        <v>2022</v>
      </c>
      <c r="B129" s="1" t="s">
        <v>128</v>
      </c>
      <c r="C129" s="2">
        <v>1950684</v>
      </c>
      <c r="D129" s="8">
        <v>1.62846E-3</v>
      </c>
    </row>
    <row r="130" spans="1:4" x14ac:dyDescent="0.2">
      <c r="A130" s="1">
        <v>2022</v>
      </c>
      <c r="B130" s="1" t="s">
        <v>129</v>
      </c>
      <c r="C130" s="2">
        <v>201020</v>
      </c>
      <c r="D130" s="8">
        <v>1.6781000000000001E-4</v>
      </c>
    </row>
    <row r="131" spans="1:4" x14ac:dyDescent="0.2">
      <c r="A131" s="1">
        <v>2022</v>
      </c>
      <c r="B131" s="1" t="s">
        <v>130</v>
      </c>
      <c r="C131" s="2">
        <v>606390</v>
      </c>
      <c r="D131" s="8">
        <v>5.0622000000000004E-4</v>
      </c>
    </row>
    <row r="132" spans="1:4" x14ac:dyDescent="0.2">
      <c r="A132" s="1">
        <v>2022</v>
      </c>
      <c r="B132" s="1" t="s">
        <v>131</v>
      </c>
      <c r="C132" s="2">
        <v>44420</v>
      </c>
      <c r="D132" s="8">
        <v>3.7079999999999997E-5</v>
      </c>
    </row>
    <row r="133" spans="1:4" x14ac:dyDescent="0.2">
      <c r="A133" s="1">
        <v>2022</v>
      </c>
      <c r="B133" s="1" t="s">
        <v>132</v>
      </c>
      <c r="C133" s="2">
        <v>62672</v>
      </c>
      <c r="D133" s="8">
        <v>5.2320000000000001E-5</v>
      </c>
    </row>
    <row r="134" spans="1:4" x14ac:dyDescent="0.2">
      <c r="A134" s="1">
        <v>2022</v>
      </c>
      <c r="B134" s="1" t="s">
        <v>133</v>
      </c>
      <c r="C134" s="2">
        <v>428746</v>
      </c>
      <c r="D134" s="8">
        <v>3.5792000000000002E-4</v>
      </c>
    </row>
    <row r="135" spans="1:4" x14ac:dyDescent="0.2">
      <c r="A135" s="1">
        <v>2022</v>
      </c>
      <c r="B135" s="1" t="s">
        <v>134</v>
      </c>
      <c r="C135" s="2">
        <v>530754</v>
      </c>
      <c r="D135" s="8">
        <v>4.4307999999999999E-4</v>
      </c>
    </row>
    <row r="136" spans="1:4" x14ac:dyDescent="0.2">
      <c r="A136" s="1">
        <v>2022</v>
      </c>
      <c r="B136" s="1" t="s">
        <v>135</v>
      </c>
      <c r="C136" s="2">
        <v>1823013</v>
      </c>
      <c r="D136" s="8">
        <v>1.52188E-3</v>
      </c>
    </row>
    <row r="137" spans="1:4" x14ac:dyDescent="0.2">
      <c r="A137" s="1">
        <v>2022</v>
      </c>
      <c r="B137" s="1" t="s">
        <v>136</v>
      </c>
      <c r="C137" s="2">
        <v>1650727</v>
      </c>
      <c r="D137" s="8">
        <v>1.37805E-3</v>
      </c>
    </row>
    <row r="138" spans="1:4" x14ac:dyDescent="0.2">
      <c r="A138" s="1">
        <v>2022</v>
      </c>
      <c r="B138" s="1" t="s">
        <v>137</v>
      </c>
      <c r="C138" s="2">
        <v>125615</v>
      </c>
      <c r="D138" s="8">
        <v>1.0487E-4</v>
      </c>
    </row>
    <row r="139" spans="1:4" x14ac:dyDescent="0.2">
      <c r="A139" s="1">
        <v>2022</v>
      </c>
      <c r="B139" s="1" t="s">
        <v>138</v>
      </c>
      <c r="C139" s="2">
        <v>967584</v>
      </c>
      <c r="D139" s="8">
        <v>8.0774999999999998E-4</v>
      </c>
    </row>
    <row r="140" spans="1:4" x14ac:dyDescent="0.2">
      <c r="A140" s="1">
        <v>2022</v>
      </c>
      <c r="B140" s="1" t="s">
        <v>139</v>
      </c>
      <c r="C140" s="2">
        <v>3779131</v>
      </c>
      <c r="D140" s="8">
        <v>3.1548700000000002E-3</v>
      </c>
    </row>
    <row r="141" spans="1:4" x14ac:dyDescent="0.2">
      <c r="A141" s="1">
        <v>2022</v>
      </c>
      <c r="B141" s="1" t="s">
        <v>864</v>
      </c>
      <c r="C141" s="2">
        <v>70424</v>
      </c>
      <c r="D141" s="8">
        <v>5.8789999999999998E-5</v>
      </c>
    </row>
    <row r="142" spans="1:4" x14ac:dyDescent="0.2">
      <c r="A142" s="1">
        <v>2022</v>
      </c>
      <c r="B142" s="1" t="s">
        <v>141</v>
      </c>
      <c r="C142" s="2">
        <v>46302</v>
      </c>
      <c r="D142" s="8">
        <v>3.8649999999999998E-5</v>
      </c>
    </row>
    <row r="143" spans="1:4" x14ac:dyDescent="0.2">
      <c r="A143" s="1">
        <v>2022</v>
      </c>
      <c r="B143" s="1" t="s">
        <v>142</v>
      </c>
      <c r="C143" s="2">
        <v>2164559</v>
      </c>
      <c r="D143" s="8">
        <v>1.80701E-3</v>
      </c>
    </row>
    <row r="144" spans="1:4" x14ac:dyDescent="0.2">
      <c r="A144" s="1">
        <v>2022</v>
      </c>
      <c r="B144" s="1" t="s">
        <v>143</v>
      </c>
      <c r="C144" s="2">
        <v>849170</v>
      </c>
      <c r="D144" s="8">
        <v>7.0890000000000005E-4</v>
      </c>
    </row>
    <row r="145" spans="1:4" x14ac:dyDescent="0.2">
      <c r="A145" s="1">
        <v>2022</v>
      </c>
      <c r="B145" s="1" t="s">
        <v>144</v>
      </c>
      <c r="C145" s="2">
        <v>43920</v>
      </c>
      <c r="D145" s="8">
        <v>3.667E-5</v>
      </c>
    </row>
    <row r="146" spans="1:4" x14ac:dyDescent="0.2">
      <c r="A146" s="1">
        <v>2022</v>
      </c>
      <c r="B146" s="1" t="s">
        <v>145</v>
      </c>
      <c r="C146" s="2">
        <v>21093</v>
      </c>
      <c r="D146" s="8">
        <v>1.7609999999999999E-5</v>
      </c>
    </row>
    <row r="147" spans="1:4" x14ac:dyDescent="0.2">
      <c r="A147" s="1">
        <v>2022</v>
      </c>
      <c r="B147" s="1" t="s">
        <v>865</v>
      </c>
      <c r="C147" s="2">
        <v>2624211</v>
      </c>
      <c r="D147" s="8">
        <v>2.1907300000000001E-3</v>
      </c>
    </row>
    <row r="148" spans="1:4" x14ac:dyDescent="0.2">
      <c r="A148" s="1">
        <v>2022</v>
      </c>
      <c r="B148" s="1" t="s">
        <v>147</v>
      </c>
      <c r="C148" s="2">
        <v>1069346</v>
      </c>
      <c r="D148" s="8">
        <v>8.9271000000000001E-4</v>
      </c>
    </row>
    <row r="149" spans="1:4" x14ac:dyDescent="0.2">
      <c r="A149" s="1">
        <v>2022</v>
      </c>
      <c r="B149" s="1" t="s">
        <v>148</v>
      </c>
      <c r="C149" s="2">
        <v>383412</v>
      </c>
      <c r="D149" s="8">
        <v>3.2007999999999998E-4</v>
      </c>
    </row>
    <row r="150" spans="1:4" x14ac:dyDescent="0.2">
      <c r="A150" s="1">
        <v>2022</v>
      </c>
      <c r="B150" s="1" t="s">
        <v>149</v>
      </c>
      <c r="C150" s="2">
        <v>70880</v>
      </c>
      <c r="D150" s="8">
        <v>5.9169999999999998E-5</v>
      </c>
    </row>
    <row r="151" spans="1:4" x14ac:dyDescent="0.2">
      <c r="A151" s="1">
        <v>2022</v>
      </c>
      <c r="B151" s="1" t="s">
        <v>150</v>
      </c>
      <c r="C151" s="2">
        <v>2274393</v>
      </c>
      <c r="D151" s="8">
        <v>1.8986999999999999E-3</v>
      </c>
    </row>
    <row r="152" spans="1:4" x14ac:dyDescent="0.2">
      <c r="A152" s="1">
        <v>2022</v>
      </c>
      <c r="B152" s="1" t="s">
        <v>866</v>
      </c>
      <c r="C152" s="2">
        <v>23321</v>
      </c>
      <c r="D152" s="8">
        <v>1.9470000000000002E-5</v>
      </c>
    </row>
    <row r="153" spans="1:4" x14ac:dyDescent="0.2">
      <c r="A153" s="1">
        <v>2022</v>
      </c>
      <c r="B153" s="1" t="s">
        <v>867</v>
      </c>
      <c r="C153" s="2">
        <v>44754</v>
      </c>
      <c r="D153" s="8">
        <v>3.7360000000000001E-5</v>
      </c>
    </row>
    <row r="154" spans="1:4" x14ac:dyDescent="0.2">
      <c r="A154" s="1">
        <v>2022</v>
      </c>
      <c r="B154" s="1" t="s">
        <v>868</v>
      </c>
      <c r="C154" s="2">
        <v>13274</v>
      </c>
      <c r="D154" s="8">
        <v>1.1080000000000001E-5</v>
      </c>
    </row>
    <row r="155" spans="1:4" x14ac:dyDescent="0.2">
      <c r="A155" s="1">
        <v>2022</v>
      </c>
      <c r="B155" s="1" t="s">
        <v>154</v>
      </c>
      <c r="C155" s="2">
        <v>12699366</v>
      </c>
      <c r="D155" s="8">
        <v>1.0601609999999999E-2</v>
      </c>
    </row>
    <row r="156" spans="1:4" x14ac:dyDescent="0.2">
      <c r="A156" s="1">
        <v>2022</v>
      </c>
      <c r="B156" s="1" t="s">
        <v>155</v>
      </c>
      <c r="C156" s="2">
        <v>47953</v>
      </c>
      <c r="D156" s="8">
        <v>4.0030000000000001E-5</v>
      </c>
    </row>
    <row r="157" spans="1:4" x14ac:dyDescent="0.2">
      <c r="A157" s="1">
        <v>2022</v>
      </c>
      <c r="B157" s="1" t="s">
        <v>156</v>
      </c>
      <c r="C157" s="2">
        <v>3092576</v>
      </c>
      <c r="D157" s="8">
        <v>2.58173E-3</v>
      </c>
    </row>
    <row r="158" spans="1:4" x14ac:dyDescent="0.2">
      <c r="A158" s="1">
        <v>2022</v>
      </c>
      <c r="B158" s="1" t="s">
        <v>157</v>
      </c>
      <c r="C158" s="2">
        <v>769558</v>
      </c>
      <c r="D158" s="8">
        <v>6.4243999999999998E-4</v>
      </c>
    </row>
    <row r="159" spans="1:4" x14ac:dyDescent="0.2">
      <c r="A159" s="1">
        <v>2022</v>
      </c>
      <c r="B159" s="1" t="s">
        <v>158</v>
      </c>
      <c r="C159" s="2">
        <v>23908</v>
      </c>
      <c r="D159" s="8">
        <v>1.9959999999999999E-5</v>
      </c>
    </row>
    <row r="160" spans="1:4" x14ac:dyDescent="0.2">
      <c r="A160" s="1">
        <v>2022</v>
      </c>
      <c r="B160" s="1" t="s">
        <v>159</v>
      </c>
      <c r="C160" s="2">
        <v>5384</v>
      </c>
      <c r="D160" s="8">
        <v>4.4900000000000002E-6</v>
      </c>
    </row>
    <row r="161" spans="1:4" x14ac:dyDescent="0.2">
      <c r="A161" s="1">
        <v>2022</v>
      </c>
      <c r="B161" s="1" t="s">
        <v>160</v>
      </c>
      <c r="C161" s="2">
        <v>7700</v>
      </c>
      <c r="D161" s="8">
        <v>6.4300000000000003E-6</v>
      </c>
    </row>
    <row r="162" spans="1:4" x14ac:dyDescent="0.2">
      <c r="A162" s="1">
        <v>2022</v>
      </c>
      <c r="B162" s="1" t="s">
        <v>161</v>
      </c>
      <c r="C162" s="2">
        <v>16381</v>
      </c>
      <c r="D162" s="8">
        <v>1.3679999999999999E-5</v>
      </c>
    </row>
    <row r="163" spans="1:4" x14ac:dyDescent="0.2">
      <c r="A163" s="1">
        <v>2022</v>
      </c>
      <c r="B163" s="1" t="s">
        <v>162</v>
      </c>
      <c r="C163" s="2">
        <v>4519</v>
      </c>
      <c r="D163" s="8">
        <v>3.7699999999999999E-6</v>
      </c>
    </row>
    <row r="164" spans="1:4" x14ac:dyDescent="0.2">
      <c r="A164" s="1">
        <v>2022</v>
      </c>
      <c r="B164" s="1" t="s">
        <v>163</v>
      </c>
      <c r="C164" s="2">
        <v>256439</v>
      </c>
      <c r="D164" s="8">
        <v>2.1408000000000001E-4</v>
      </c>
    </row>
    <row r="165" spans="1:4" x14ac:dyDescent="0.2">
      <c r="A165" s="1">
        <v>2022</v>
      </c>
      <c r="B165" s="1" t="s">
        <v>164</v>
      </c>
      <c r="C165" s="2">
        <v>113110</v>
      </c>
      <c r="D165" s="8">
        <v>9.4430000000000002E-5</v>
      </c>
    </row>
    <row r="166" spans="1:4" x14ac:dyDescent="0.2">
      <c r="A166" s="1">
        <v>2022</v>
      </c>
      <c r="B166" s="1" t="s">
        <v>165</v>
      </c>
      <c r="C166" s="2">
        <v>65664</v>
      </c>
      <c r="D166" s="8">
        <v>5.482E-5</v>
      </c>
    </row>
    <row r="167" spans="1:4" x14ac:dyDescent="0.2">
      <c r="A167" s="1">
        <v>2022</v>
      </c>
      <c r="B167" s="1" t="s">
        <v>166</v>
      </c>
      <c r="C167" s="2">
        <v>47592</v>
      </c>
      <c r="D167" s="8">
        <v>3.9730000000000001E-5</v>
      </c>
    </row>
    <row r="168" spans="1:4" x14ac:dyDescent="0.2">
      <c r="A168" s="1">
        <v>2022</v>
      </c>
      <c r="B168" s="1" t="s">
        <v>167</v>
      </c>
      <c r="C168" s="2">
        <v>24700</v>
      </c>
      <c r="D168" s="8">
        <v>2.0619999999999999E-5</v>
      </c>
    </row>
    <row r="169" spans="1:4" x14ac:dyDescent="0.2">
      <c r="A169" s="1">
        <v>2022</v>
      </c>
      <c r="B169" s="1" t="s">
        <v>168</v>
      </c>
      <c r="C169" s="2">
        <v>3272936</v>
      </c>
      <c r="D169" s="8">
        <v>2.7322900000000001E-3</v>
      </c>
    </row>
    <row r="170" spans="1:4" x14ac:dyDescent="0.2">
      <c r="A170" s="1">
        <v>2022</v>
      </c>
      <c r="B170" s="1" t="s">
        <v>169</v>
      </c>
      <c r="C170" s="2">
        <v>4597975</v>
      </c>
      <c r="D170" s="8">
        <v>3.8384600000000001E-3</v>
      </c>
    </row>
    <row r="171" spans="1:4" x14ac:dyDescent="0.2">
      <c r="A171" s="1">
        <v>2022</v>
      </c>
      <c r="B171" s="1" t="s">
        <v>170</v>
      </c>
      <c r="C171" s="2">
        <v>3659031</v>
      </c>
      <c r="D171" s="8">
        <v>3.0546100000000001E-3</v>
      </c>
    </row>
    <row r="172" spans="1:4" x14ac:dyDescent="0.2">
      <c r="A172" s="1">
        <v>2022</v>
      </c>
      <c r="B172" s="1" t="s">
        <v>171</v>
      </c>
      <c r="C172" s="2">
        <v>20282810</v>
      </c>
      <c r="D172" s="8">
        <v>1.693238E-2</v>
      </c>
    </row>
    <row r="173" spans="1:4" x14ac:dyDescent="0.2">
      <c r="A173" s="1">
        <v>2022</v>
      </c>
      <c r="B173" s="1" t="s">
        <v>172</v>
      </c>
      <c r="C173" s="2">
        <v>40766</v>
      </c>
      <c r="D173" s="8">
        <v>3.4029999999999998E-5</v>
      </c>
    </row>
    <row r="174" spans="1:4" x14ac:dyDescent="0.2">
      <c r="A174" s="1">
        <v>2022</v>
      </c>
      <c r="B174" s="1" t="s">
        <v>173</v>
      </c>
      <c r="C174" s="2">
        <v>30941609</v>
      </c>
      <c r="D174" s="8">
        <v>2.5830499999999999E-2</v>
      </c>
    </row>
    <row r="175" spans="1:4" x14ac:dyDescent="0.2">
      <c r="A175" s="1">
        <v>2022</v>
      </c>
      <c r="B175" s="1" t="s">
        <v>174</v>
      </c>
      <c r="C175" s="2">
        <v>5748705</v>
      </c>
      <c r="D175" s="8">
        <v>4.7990999999999997E-3</v>
      </c>
    </row>
    <row r="176" spans="1:4" x14ac:dyDescent="0.2">
      <c r="A176" s="1">
        <v>2022</v>
      </c>
      <c r="B176" s="1" t="s">
        <v>175</v>
      </c>
      <c r="C176" s="2">
        <v>324452</v>
      </c>
      <c r="D176" s="8">
        <v>2.7085999999999999E-4</v>
      </c>
    </row>
    <row r="177" spans="1:4" x14ac:dyDescent="0.2">
      <c r="A177" s="1">
        <v>2022</v>
      </c>
      <c r="B177" s="1" t="s">
        <v>176</v>
      </c>
      <c r="C177" s="2">
        <v>6474</v>
      </c>
      <c r="D177" s="8">
        <v>5.4E-6</v>
      </c>
    </row>
    <row r="178" spans="1:4" x14ac:dyDescent="0.2">
      <c r="A178" s="1">
        <v>2022</v>
      </c>
      <c r="B178" s="1" t="s">
        <v>177</v>
      </c>
      <c r="C178" s="2">
        <v>14028</v>
      </c>
      <c r="D178" s="8">
        <v>1.171E-5</v>
      </c>
    </row>
    <row r="179" spans="1:4" x14ac:dyDescent="0.2">
      <c r="A179" s="1">
        <v>2022</v>
      </c>
      <c r="B179" s="1" t="s">
        <v>178</v>
      </c>
      <c r="C179" s="2">
        <v>169310</v>
      </c>
      <c r="D179" s="8">
        <v>1.4134E-4</v>
      </c>
    </row>
    <row r="180" spans="1:4" x14ac:dyDescent="0.2">
      <c r="A180" s="1">
        <v>2022</v>
      </c>
      <c r="B180" s="1" t="s">
        <v>179</v>
      </c>
      <c r="C180" s="2">
        <v>1231008</v>
      </c>
      <c r="D180" s="8">
        <v>1.0276599999999999E-3</v>
      </c>
    </row>
    <row r="181" spans="1:4" x14ac:dyDescent="0.2">
      <c r="A181" s="1">
        <v>2022</v>
      </c>
      <c r="B181" s="1" t="s">
        <v>180</v>
      </c>
      <c r="C181" s="2">
        <v>3291588</v>
      </c>
      <c r="D181" s="8">
        <v>2.7478699999999999E-3</v>
      </c>
    </row>
    <row r="182" spans="1:4" x14ac:dyDescent="0.2">
      <c r="A182" s="1">
        <v>2022</v>
      </c>
      <c r="B182" s="1" t="s">
        <v>181</v>
      </c>
      <c r="C182" s="2">
        <v>60216</v>
      </c>
      <c r="D182" s="8">
        <v>5.0269999999999998E-5</v>
      </c>
    </row>
    <row r="183" spans="1:4" x14ac:dyDescent="0.2">
      <c r="A183" s="1">
        <v>2022</v>
      </c>
      <c r="B183" s="1" t="s">
        <v>182</v>
      </c>
      <c r="C183" s="2">
        <v>67488</v>
      </c>
      <c r="D183" s="8">
        <v>5.6339999999999999E-5</v>
      </c>
    </row>
    <row r="184" spans="1:4" x14ac:dyDescent="0.2">
      <c r="A184" s="1">
        <v>2022</v>
      </c>
      <c r="B184" s="1" t="s">
        <v>183</v>
      </c>
      <c r="C184" s="2">
        <v>42307</v>
      </c>
      <c r="D184" s="8">
        <v>3.5320000000000001E-5</v>
      </c>
    </row>
    <row r="185" spans="1:4" x14ac:dyDescent="0.2">
      <c r="A185" s="1">
        <v>2022</v>
      </c>
      <c r="B185" s="1" t="s">
        <v>184</v>
      </c>
      <c r="C185" s="2">
        <v>126746</v>
      </c>
      <c r="D185" s="8">
        <v>1.0581000000000001E-4</v>
      </c>
    </row>
    <row r="186" spans="1:4" x14ac:dyDescent="0.2">
      <c r="A186" s="1">
        <v>2022</v>
      </c>
      <c r="B186" s="1" t="s">
        <v>185</v>
      </c>
      <c r="C186" s="2">
        <v>1969685</v>
      </c>
      <c r="D186" s="8">
        <v>1.6443199999999999E-3</v>
      </c>
    </row>
    <row r="187" spans="1:4" x14ac:dyDescent="0.2">
      <c r="A187" s="1">
        <v>2022</v>
      </c>
      <c r="B187" s="1" t="s">
        <v>186</v>
      </c>
      <c r="C187" s="2">
        <v>1056101</v>
      </c>
      <c r="D187" s="8">
        <v>8.8164999999999999E-4</v>
      </c>
    </row>
    <row r="188" spans="1:4" x14ac:dyDescent="0.2">
      <c r="A188" s="1">
        <v>2022</v>
      </c>
      <c r="B188" s="1" t="s">
        <v>187</v>
      </c>
      <c r="C188" s="2">
        <v>61307</v>
      </c>
      <c r="D188" s="8">
        <v>5.1180000000000001E-5</v>
      </c>
    </row>
    <row r="189" spans="1:4" x14ac:dyDescent="0.2">
      <c r="A189" s="1">
        <v>2022</v>
      </c>
      <c r="B189" s="1" t="s">
        <v>188</v>
      </c>
      <c r="C189" s="2">
        <v>2878612</v>
      </c>
      <c r="D189" s="8">
        <v>2.40311E-3</v>
      </c>
    </row>
    <row r="190" spans="1:4" x14ac:dyDescent="0.2">
      <c r="A190" s="1">
        <v>2022</v>
      </c>
      <c r="B190" s="1" t="s">
        <v>189</v>
      </c>
      <c r="C190" s="2">
        <v>34063</v>
      </c>
      <c r="D190" s="8">
        <v>2.8439999999999999E-5</v>
      </c>
    </row>
    <row r="191" spans="1:4" x14ac:dyDescent="0.2">
      <c r="A191" s="1">
        <v>2022</v>
      </c>
      <c r="B191" s="1" t="s">
        <v>190</v>
      </c>
      <c r="C191" s="2">
        <v>5580298</v>
      </c>
      <c r="D191" s="8">
        <v>4.6585100000000003E-3</v>
      </c>
    </row>
    <row r="192" spans="1:4" x14ac:dyDescent="0.2">
      <c r="A192" s="1">
        <v>2022</v>
      </c>
      <c r="B192" s="1" t="s">
        <v>191</v>
      </c>
      <c r="C192" s="2">
        <v>981985</v>
      </c>
      <c r="D192" s="8">
        <v>8.1977000000000005E-4</v>
      </c>
    </row>
    <row r="193" spans="1:4" x14ac:dyDescent="0.2">
      <c r="A193" s="1">
        <v>2022</v>
      </c>
      <c r="B193" s="1" t="s">
        <v>192</v>
      </c>
      <c r="C193" s="2">
        <v>60182</v>
      </c>
      <c r="D193" s="8">
        <v>5.024E-5</v>
      </c>
    </row>
    <row r="194" spans="1:4" x14ac:dyDescent="0.2">
      <c r="A194" s="1">
        <v>2022</v>
      </c>
      <c r="B194" s="1" t="s">
        <v>193</v>
      </c>
      <c r="C194" s="2">
        <v>81984</v>
      </c>
      <c r="D194" s="8">
        <v>6.8440000000000002E-5</v>
      </c>
    </row>
    <row r="195" spans="1:4" x14ac:dyDescent="0.2">
      <c r="A195" s="1">
        <v>2022</v>
      </c>
      <c r="B195" s="1" t="s">
        <v>194</v>
      </c>
      <c r="C195" s="2">
        <v>672287</v>
      </c>
      <c r="D195" s="8">
        <v>5.6123000000000002E-4</v>
      </c>
    </row>
    <row r="196" spans="1:4" x14ac:dyDescent="0.2">
      <c r="A196" s="1">
        <v>2022</v>
      </c>
      <c r="B196" s="1" t="s">
        <v>195</v>
      </c>
      <c r="C196" s="2">
        <v>47610</v>
      </c>
      <c r="D196" s="8">
        <v>3.9749999999999997E-5</v>
      </c>
    </row>
    <row r="197" spans="1:4" x14ac:dyDescent="0.2">
      <c r="A197" s="1">
        <v>2022</v>
      </c>
      <c r="B197" s="1" t="s">
        <v>196</v>
      </c>
      <c r="C197" s="2">
        <v>25309</v>
      </c>
      <c r="D197" s="8">
        <v>2.1129999999999999E-5</v>
      </c>
    </row>
    <row r="198" spans="1:4" x14ac:dyDescent="0.2">
      <c r="A198" s="1">
        <v>2022</v>
      </c>
      <c r="B198" s="1" t="s">
        <v>197</v>
      </c>
      <c r="C198" s="2">
        <v>246645</v>
      </c>
      <c r="D198" s="8">
        <v>2.0589999999999999E-4</v>
      </c>
    </row>
    <row r="199" spans="1:4" x14ac:dyDescent="0.2">
      <c r="A199" s="1">
        <v>2022</v>
      </c>
      <c r="B199" s="1" t="s">
        <v>198</v>
      </c>
      <c r="C199" s="2">
        <v>7320761</v>
      </c>
      <c r="D199" s="8">
        <v>6.1114799999999999E-3</v>
      </c>
    </row>
    <row r="200" spans="1:4" x14ac:dyDescent="0.2">
      <c r="A200" s="1">
        <v>2022</v>
      </c>
      <c r="B200" s="1" t="s">
        <v>199</v>
      </c>
      <c r="C200" s="2">
        <v>1284295</v>
      </c>
      <c r="D200" s="8">
        <v>1.07215E-3</v>
      </c>
    </row>
    <row r="201" spans="1:4" x14ac:dyDescent="0.2">
      <c r="A201" s="1">
        <v>2022</v>
      </c>
      <c r="B201" s="1" t="s">
        <v>200</v>
      </c>
      <c r="C201" s="2">
        <v>74580</v>
      </c>
      <c r="D201" s="8">
        <v>6.2260000000000004E-5</v>
      </c>
    </row>
    <row r="202" spans="1:4" x14ac:dyDescent="0.2">
      <c r="A202" s="1">
        <v>2022</v>
      </c>
      <c r="B202" s="1" t="s">
        <v>201</v>
      </c>
      <c r="C202" s="2">
        <v>949058</v>
      </c>
      <c r="D202" s="8">
        <v>7.9228999999999996E-4</v>
      </c>
    </row>
    <row r="203" spans="1:4" x14ac:dyDescent="0.2">
      <c r="A203" s="1">
        <v>2022</v>
      </c>
      <c r="B203" s="1" t="s">
        <v>202</v>
      </c>
      <c r="C203" s="2">
        <v>36100</v>
      </c>
      <c r="D203" s="8">
        <v>3.0139999999999999E-5</v>
      </c>
    </row>
    <row r="204" spans="1:4" x14ac:dyDescent="0.2">
      <c r="A204" s="1">
        <v>2022</v>
      </c>
      <c r="B204" s="1" t="s">
        <v>203</v>
      </c>
      <c r="C204" s="2">
        <v>4050</v>
      </c>
      <c r="D204" s="8">
        <v>3.3799999999999998E-6</v>
      </c>
    </row>
    <row r="205" spans="1:4" x14ac:dyDescent="0.2">
      <c r="A205" s="1">
        <v>2022</v>
      </c>
      <c r="B205" s="1" t="s">
        <v>204</v>
      </c>
      <c r="C205" s="2">
        <v>72518</v>
      </c>
      <c r="D205" s="8">
        <v>6.054E-5</v>
      </c>
    </row>
    <row r="206" spans="1:4" x14ac:dyDescent="0.2">
      <c r="A206" s="1">
        <v>2022</v>
      </c>
      <c r="B206" s="1" t="s">
        <v>205</v>
      </c>
      <c r="C206" s="2">
        <v>128113</v>
      </c>
      <c r="D206" s="8">
        <v>1.0695E-4</v>
      </c>
    </row>
    <row r="207" spans="1:4" x14ac:dyDescent="0.2">
      <c r="A207" s="1">
        <v>2022</v>
      </c>
      <c r="B207" s="1" t="s">
        <v>206</v>
      </c>
      <c r="C207" s="2">
        <v>10953</v>
      </c>
      <c r="D207" s="8">
        <v>9.1400000000000006E-6</v>
      </c>
    </row>
    <row r="208" spans="1:4" x14ac:dyDescent="0.2">
      <c r="A208" s="1">
        <v>2022</v>
      </c>
      <c r="B208" s="1" t="s">
        <v>207</v>
      </c>
      <c r="C208" s="2">
        <v>21629</v>
      </c>
      <c r="D208" s="8">
        <v>1.806E-5</v>
      </c>
    </row>
    <row r="209" spans="1:4" x14ac:dyDescent="0.2">
      <c r="A209" s="1">
        <v>2022</v>
      </c>
      <c r="B209" s="1" t="s">
        <v>208</v>
      </c>
      <c r="C209" s="2">
        <v>1269749</v>
      </c>
      <c r="D209" s="8">
        <v>1.06E-3</v>
      </c>
    </row>
    <row r="210" spans="1:4" x14ac:dyDescent="0.2">
      <c r="A210" s="1">
        <v>2022</v>
      </c>
      <c r="B210" s="1" t="s">
        <v>209</v>
      </c>
      <c r="C210" s="2">
        <v>2968397</v>
      </c>
      <c r="D210" s="8">
        <v>2.4780599999999998E-3</v>
      </c>
    </row>
    <row r="211" spans="1:4" x14ac:dyDescent="0.2">
      <c r="A211" s="1">
        <v>2022</v>
      </c>
      <c r="B211" s="1" t="s">
        <v>210</v>
      </c>
      <c r="C211" s="2">
        <v>470015</v>
      </c>
      <c r="D211" s="8">
        <v>3.9238000000000001E-4</v>
      </c>
    </row>
    <row r="212" spans="1:4" x14ac:dyDescent="0.2">
      <c r="A212" s="1">
        <v>2022</v>
      </c>
      <c r="B212" s="1" t="s">
        <v>211</v>
      </c>
      <c r="C212" s="2">
        <v>113723</v>
      </c>
      <c r="D212" s="8">
        <v>9.4939999999999996E-5</v>
      </c>
    </row>
    <row r="213" spans="1:4" x14ac:dyDescent="0.2">
      <c r="A213" s="1">
        <v>2022</v>
      </c>
      <c r="B213" s="1" t="s">
        <v>212</v>
      </c>
      <c r="C213" s="2">
        <v>267645</v>
      </c>
      <c r="D213" s="8">
        <v>2.2342999999999999E-4</v>
      </c>
    </row>
    <row r="214" spans="1:4" x14ac:dyDescent="0.2">
      <c r="A214" s="1">
        <v>2022</v>
      </c>
      <c r="B214" s="1" t="s">
        <v>213</v>
      </c>
      <c r="C214" s="2">
        <v>1811015</v>
      </c>
      <c r="D214" s="8">
        <v>1.5118600000000001E-3</v>
      </c>
    </row>
    <row r="215" spans="1:4" x14ac:dyDescent="0.2">
      <c r="A215" s="1">
        <v>2022</v>
      </c>
      <c r="B215" s="1" t="s">
        <v>214</v>
      </c>
      <c r="C215" s="2">
        <v>545719</v>
      </c>
      <c r="D215" s="8">
        <v>4.5556999999999998E-4</v>
      </c>
    </row>
    <row r="216" spans="1:4" x14ac:dyDescent="0.2">
      <c r="A216" s="1">
        <v>2022</v>
      </c>
      <c r="B216" s="1" t="s">
        <v>215</v>
      </c>
      <c r="C216" s="2">
        <v>23300</v>
      </c>
      <c r="D216" s="8">
        <v>1.9449999999999998E-5</v>
      </c>
    </row>
    <row r="217" spans="1:4" x14ac:dyDescent="0.2">
      <c r="A217" s="1">
        <v>2022</v>
      </c>
      <c r="B217" s="1" t="s">
        <v>216</v>
      </c>
      <c r="C217" s="2">
        <v>1623680</v>
      </c>
      <c r="D217" s="8">
        <v>1.3554699999999999E-3</v>
      </c>
    </row>
    <row r="218" spans="1:4" x14ac:dyDescent="0.2">
      <c r="A218" s="1">
        <v>2022</v>
      </c>
      <c r="B218" s="1" t="s">
        <v>217</v>
      </c>
      <c r="C218" s="2">
        <v>1734323</v>
      </c>
      <c r="D218" s="8">
        <v>1.4478399999999999E-3</v>
      </c>
    </row>
    <row r="219" spans="1:4" x14ac:dyDescent="0.2">
      <c r="A219" s="1">
        <v>2022</v>
      </c>
      <c r="B219" s="1" t="s">
        <v>218</v>
      </c>
      <c r="C219" s="2">
        <v>690408</v>
      </c>
      <c r="D219" s="8">
        <v>5.7636000000000005E-4</v>
      </c>
    </row>
    <row r="220" spans="1:4" x14ac:dyDescent="0.2">
      <c r="A220" s="1">
        <v>2022</v>
      </c>
      <c r="B220" s="1" t="s">
        <v>219</v>
      </c>
      <c r="C220" s="2">
        <v>3045195</v>
      </c>
      <c r="D220" s="8">
        <v>2.5421699999999998E-3</v>
      </c>
    </row>
    <row r="221" spans="1:4" x14ac:dyDescent="0.2">
      <c r="A221" s="1">
        <v>2022</v>
      </c>
      <c r="B221" s="1" t="s">
        <v>220</v>
      </c>
      <c r="C221" s="2">
        <v>2645103</v>
      </c>
      <c r="D221" s="8">
        <v>2.2081700000000002E-3</v>
      </c>
    </row>
    <row r="222" spans="1:4" x14ac:dyDescent="0.2">
      <c r="A222" s="1">
        <v>2022</v>
      </c>
      <c r="B222" s="1" t="s">
        <v>221</v>
      </c>
      <c r="C222" s="2">
        <v>8098</v>
      </c>
      <c r="D222" s="8">
        <v>6.7599999999999997E-6</v>
      </c>
    </row>
    <row r="223" spans="1:4" x14ac:dyDescent="0.2">
      <c r="A223" s="1">
        <v>2022</v>
      </c>
      <c r="B223" s="1" t="s">
        <v>222</v>
      </c>
      <c r="C223" s="2">
        <v>1504694</v>
      </c>
      <c r="D223" s="8">
        <v>1.25614E-3</v>
      </c>
    </row>
    <row r="224" spans="1:4" x14ac:dyDescent="0.2">
      <c r="A224" s="1">
        <v>2022</v>
      </c>
      <c r="B224" s="1" t="s">
        <v>223</v>
      </c>
      <c r="C224" s="2">
        <v>358514</v>
      </c>
      <c r="D224" s="8">
        <v>2.9929000000000002E-4</v>
      </c>
    </row>
    <row r="225" spans="1:4" x14ac:dyDescent="0.2">
      <c r="A225" s="1">
        <v>2022</v>
      </c>
      <c r="B225" s="1" t="s">
        <v>224</v>
      </c>
      <c r="C225" s="2">
        <v>1371960</v>
      </c>
      <c r="D225" s="8">
        <v>1.14533E-3</v>
      </c>
    </row>
    <row r="226" spans="1:4" x14ac:dyDescent="0.2">
      <c r="A226" s="1">
        <v>2022</v>
      </c>
      <c r="B226" s="1" t="s">
        <v>225</v>
      </c>
      <c r="C226" s="2">
        <v>316918</v>
      </c>
      <c r="D226" s="8">
        <v>2.6457E-4</v>
      </c>
    </row>
    <row r="227" spans="1:4" x14ac:dyDescent="0.2">
      <c r="A227" s="1">
        <v>2022</v>
      </c>
      <c r="B227" s="1" t="s">
        <v>226</v>
      </c>
      <c r="C227" s="2">
        <v>932187</v>
      </c>
      <c r="D227" s="8">
        <v>7.7820000000000005E-4</v>
      </c>
    </row>
    <row r="228" spans="1:4" x14ac:dyDescent="0.2">
      <c r="A228" s="1">
        <v>2022</v>
      </c>
      <c r="B228" s="1" t="s">
        <v>227</v>
      </c>
      <c r="C228" s="2">
        <v>849567</v>
      </c>
      <c r="D228" s="8">
        <v>7.0923000000000004E-4</v>
      </c>
    </row>
    <row r="229" spans="1:4" x14ac:dyDescent="0.2">
      <c r="A229" s="1">
        <v>2022</v>
      </c>
      <c r="B229" s="1" t="s">
        <v>904</v>
      </c>
      <c r="C229" s="2">
        <v>1336</v>
      </c>
      <c r="D229" s="8">
        <v>1.1200000000000001E-6</v>
      </c>
    </row>
    <row r="230" spans="1:4" x14ac:dyDescent="0.2">
      <c r="A230" s="1">
        <v>2022</v>
      </c>
      <c r="B230" s="1" t="s">
        <v>228</v>
      </c>
      <c r="C230" s="2">
        <v>3797775</v>
      </c>
      <c r="D230" s="8">
        <v>3.1704400000000001E-3</v>
      </c>
    </row>
    <row r="231" spans="1:4" x14ac:dyDescent="0.2">
      <c r="A231" s="1">
        <v>2022</v>
      </c>
      <c r="B231" s="1" t="s">
        <v>229</v>
      </c>
      <c r="C231" s="2">
        <v>38037</v>
      </c>
      <c r="D231" s="8">
        <v>3.1749999999999999E-5</v>
      </c>
    </row>
    <row r="232" spans="1:4" x14ac:dyDescent="0.2">
      <c r="A232" s="1">
        <v>2022</v>
      </c>
      <c r="B232" s="1" t="s">
        <v>230</v>
      </c>
      <c r="C232" s="2">
        <v>121869</v>
      </c>
      <c r="D232" s="8">
        <v>1.0174E-4</v>
      </c>
    </row>
    <row r="233" spans="1:4" x14ac:dyDescent="0.2">
      <c r="A233" s="1">
        <v>2022</v>
      </c>
      <c r="B233" s="1" t="s">
        <v>231</v>
      </c>
      <c r="C233" s="2">
        <v>160530</v>
      </c>
      <c r="D233" s="8">
        <v>1.3401E-4</v>
      </c>
    </row>
    <row r="234" spans="1:4" x14ac:dyDescent="0.2">
      <c r="A234" s="1">
        <v>2022</v>
      </c>
      <c r="B234" s="1" t="s">
        <v>232</v>
      </c>
      <c r="C234" s="2">
        <v>321962</v>
      </c>
      <c r="D234" s="8">
        <v>2.6877999999999998E-4</v>
      </c>
    </row>
    <row r="235" spans="1:4" x14ac:dyDescent="0.2">
      <c r="A235" s="1">
        <v>2022</v>
      </c>
      <c r="B235" s="1" t="s">
        <v>233</v>
      </c>
      <c r="C235" s="2">
        <v>144063</v>
      </c>
      <c r="D235" s="8">
        <v>1.2027E-4</v>
      </c>
    </row>
    <row r="236" spans="1:4" x14ac:dyDescent="0.2">
      <c r="A236" s="1">
        <v>2022</v>
      </c>
      <c r="B236" s="1" t="s">
        <v>234</v>
      </c>
      <c r="C236" s="2">
        <v>24962</v>
      </c>
      <c r="D236" s="8">
        <v>2.084E-5</v>
      </c>
    </row>
    <row r="237" spans="1:4" x14ac:dyDescent="0.2">
      <c r="A237" s="1">
        <v>2022</v>
      </c>
      <c r="B237" s="1" t="s">
        <v>235</v>
      </c>
      <c r="C237" s="2">
        <v>299303</v>
      </c>
      <c r="D237" s="8">
        <v>2.4986000000000002E-4</v>
      </c>
    </row>
    <row r="238" spans="1:4" x14ac:dyDescent="0.2">
      <c r="A238" s="1">
        <v>2022</v>
      </c>
      <c r="B238" s="1" t="s">
        <v>236</v>
      </c>
      <c r="C238" s="2">
        <v>24115</v>
      </c>
      <c r="D238" s="8">
        <v>2.0129999999999999E-5</v>
      </c>
    </row>
    <row r="239" spans="1:4" x14ac:dyDescent="0.2">
      <c r="A239" s="1">
        <v>2022</v>
      </c>
      <c r="B239" s="1" t="s">
        <v>237</v>
      </c>
      <c r="C239" s="2">
        <v>1861925</v>
      </c>
      <c r="D239" s="8">
        <v>1.5543600000000001E-3</v>
      </c>
    </row>
    <row r="240" spans="1:4" x14ac:dyDescent="0.2">
      <c r="A240" s="1">
        <v>2022</v>
      </c>
      <c r="B240" s="1" t="s">
        <v>238</v>
      </c>
      <c r="C240" s="2">
        <v>555922</v>
      </c>
      <c r="D240" s="8">
        <v>4.6409000000000001E-4</v>
      </c>
    </row>
    <row r="241" spans="1:4" x14ac:dyDescent="0.2">
      <c r="A241" s="1">
        <v>2022</v>
      </c>
      <c r="B241" s="1" t="s">
        <v>239</v>
      </c>
      <c r="C241" s="2">
        <v>92801</v>
      </c>
      <c r="D241" s="8">
        <v>7.7470000000000002E-5</v>
      </c>
    </row>
    <row r="242" spans="1:4" x14ac:dyDescent="0.2">
      <c r="A242" s="1">
        <v>2022</v>
      </c>
      <c r="B242" s="1" t="s">
        <v>240</v>
      </c>
      <c r="C242" s="2">
        <v>4293878</v>
      </c>
      <c r="D242" s="8">
        <v>3.5845899999999999E-3</v>
      </c>
    </row>
    <row r="243" spans="1:4" x14ac:dyDescent="0.2">
      <c r="A243" s="1">
        <v>2022</v>
      </c>
      <c r="B243" s="1" t="s">
        <v>241</v>
      </c>
      <c r="C243" s="2">
        <v>1225952</v>
      </c>
      <c r="D243" s="8">
        <v>1.02344E-3</v>
      </c>
    </row>
    <row r="244" spans="1:4" x14ac:dyDescent="0.2">
      <c r="A244" s="1">
        <v>2022</v>
      </c>
      <c r="B244" s="1" t="s">
        <v>242</v>
      </c>
      <c r="C244" s="2">
        <v>88273</v>
      </c>
      <c r="D244" s="8">
        <v>7.3689999999999994E-5</v>
      </c>
    </row>
    <row r="245" spans="1:4" x14ac:dyDescent="0.2">
      <c r="A245" s="1">
        <v>2022</v>
      </c>
      <c r="B245" s="1" t="s">
        <v>243</v>
      </c>
      <c r="C245" s="2">
        <v>12078</v>
      </c>
      <c r="D245" s="8">
        <v>1.008E-5</v>
      </c>
    </row>
    <row r="246" spans="1:4" x14ac:dyDescent="0.2">
      <c r="A246" s="1">
        <v>2022</v>
      </c>
      <c r="B246" s="1" t="s">
        <v>244</v>
      </c>
      <c r="C246" s="2">
        <v>623386</v>
      </c>
      <c r="D246" s="8">
        <v>5.2041000000000001E-4</v>
      </c>
    </row>
    <row r="247" spans="1:4" x14ac:dyDescent="0.2">
      <c r="A247" s="1">
        <v>2022</v>
      </c>
      <c r="B247" s="1" t="s">
        <v>869</v>
      </c>
      <c r="C247" s="2">
        <v>4730413</v>
      </c>
      <c r="D247" s="8">
        <v>3.9490200000000001E-3</v>
      </c>
    </row>
    <row r="248" spans="1:4" x14ac:dyDescent="0.2">
      <c r="A248" s="1">
        <v>2022</v>
      </c>
      <c r="B248" s="1" t="s">
        <v>870</v>
      </c>
      <c r="C248" s="2">
        <v>43630</v>
      </c>
      <c r="D248" s="8">
        <v>3.642E-5</v>
      </c>
    </row>
    <row r="249" spans="1:4" x14ac:dyDescent="0.2">
      <c r="A249" s="1">
        <v>2022</v>
      </c>
      <c r="B249" s="1" t="s">
        <v>247</v>
      </c>
      <c r="C249" s="2">
        <v>989764</v>
      </c>
      <c r="D249" s="8">
        <v>8.2627000000000004E-4</v>
      </c>
    </row>
    <row r="250" spans="1:4" x14ac:dyDescent="0.2">
      <c r="A250" s="1">
        <v>2022</v>
      </c>
      <c r="B250" s="1" t="s">
        <v>248</v>
      </c>
      <c r="C250" s="2">
        <v>692544</v>
      </c>
      <c r="D250" s="8">
        <v>5.7815000000000004E-4</v>
      </c>
    </row>
    <row r="251" spans="1:4" x14ac:dyDescent="0.2">
      <c r="A251" s="1">
        <v>2022</v>
      </c>
      <c r="B251" s="1" t="s">
        <v>249</v>
      </c>
      <c r="C251" s="2">
        <v>4814</v>
      </c>
      <c r="D251" s="8">
        <v>4.0199999999999996E-6</v>
      </c>
    </row>
    <row r="252" spans="1:4" x14ac:dyDescent="0.2">
      <c r="A252" s="1">
        <v>2022</v>
      </c>
      <c r="B252" s="1" t="s">
        <v>250</v>
      </c>
      <c r="C252" s="2">
        <v>15929</v>
      </c>
      <c r="D252" s="8">
        <v>1.33E-5</v>
      </c>
    </row>
    <row r="253" spans="1:4" x14ac:dyDescent="0.2">
      <c r="A253" s="1">
        <v>2022</v>
      </c>
      <c r="B253" s="1" t="s">
        <v>251</v>
      </c>
      <c r="C253" s="2">
        <v>3997718</v>
      </c>
      <c r="D253" s="8">
        <v>3.3373500000000002E-3</v>
      </c>
    </row>
    <row r="254" spans="1:4" x14ac:dyDescent="0.2">
      <c r="A254" s="1">
        <v>2022</v>
      </c>
      <c r="B254" s="1" t="s">
        <v>252</v>
      </c>
      <c r="C254" s="2">
        <v>32578</v>
      </c>
      <c r="D254" s="8">
        <v>2.72E-5</v>
      </c>
    </row>
    <row r="255" spans="1:4" x14ac:dyDescent="0.2">
      <c r="A255" s="1">
        <v>2022</v>
      </c>
      <c r="B255" s="1" t="s">
        <v>253</v>
      </c>
      <c r="C255" s="2">
        <v>82911</v>
      </c>
      <c r="D255" s="8">
        <v>6.9209999999999996E-5</v>
      </c>
    </row>
    <row r="256" spans="1:4" x14ac:dyDescent="0.2">
      <c r="A256" s="1">
        <v>2022</v>
      </c>
      <c r="B256" s="1" t="s">
        <v>254</v>
      </c>
      <c r="C256" s="2">
        <v>5199377</v>
      </c>
      <c r="D256" s="8">
        <v>4.3405199999999996E-3</v>
      </c>
    </row>
    <row r="257" spans="1:4" x14ac:dyDescent="0.2">
      <c r="A257" s="1">
        <v>2022</v>
      </c>
      <c r="B257" s="1" t="s">
        <v>255</v>
      </c>
      <c r="C257" s="2">
        <v>6489894</v>
      </c>
      <c r="D257" s="8">
        <v>5.41786E-3</v>
      </c>
    </row>
    <row r="258" spans="1:4" x14ac:dyDescent="0.2">
      <c r="A258" s="1">
        <v>2022</v>
      </c>
      <c r="B258" s="1" t="s">
        <v>871</v>
      </c>
      <c r="C258" s="2">
        <v>363243</v>
      </c>
      <c r="D258" s="8">
        <v>3.0323999999999998E-4</v>
      </c>
    </row>
    <row r="259" spans="1:4" x14ac:dyDescent="0.2">
      <c r="A259" s="1">
        <v>2022</v>
      </c>
      <c r="B259" s="1" t="s">
        <v>257</v>
      </c>
      <c r="C259" s="2">
        <v>4209613</v>
      </c>
      <c r="D259" s="8">
        <v>3.51425E-3</v>
      </c>
    </row>
    <row r="260" spans="1:4" x14ac:dyDescent="0.2">
      <c r="A260" s="1">
        <v>2022</v>
      </c>
      <c r="B260" s="1" t="s">
        <v>258</v>
      </c>
      <c r="C260" s="2">
        <v>2268791</v>
      </c>
      <c r="D260" s="8">
        <v>1.8940199999999999E-3</v>
      </c>
    </row>
    <row r="261" spans="1:4" x14ac:dyDescent="0.2">
      <c r="A261" s="1">
        <v>2022</v>
      </c>
      <c r="B261" s="1" t="s">
        <v>259</v>
      </c>
      <c r="C261" s="2">
        <v>197942</v>
      </c>
      <c r="D261" s="8">
        <v>1.6525000000000001E-4</v>
      </c>
    </row>
    <row r="262" spans="1:4" x14ac:dyDescent="0.2">
      <c r="A262" s="1">
        <v>2022</v>
      </c>
      <c r="B262" s="1" t="s">
        <v>260</v>
      </c>
      <c r="C262" s="2">
        <v>129325</v>
      </c>
      <c r="D262" s="8">
        <v>1.0796E-4</v>
      </c>
    </row>
    <row r="263" spans="1:4" x14ac:dyDescent="0.2">
      <c r="A263" s="1">
        <v>2022</v>
      </c>
      <c r="B263" s="1" t="s">
        <v>261</v>
      </c>
      <c r="C263" s="2">
        <v>27049</v>
      </c>
      <c r="D263" s="8">
        <v>2.2580000000000001E-5</v>
      </c>
    </row>
    <row r="264" spans="1:4" x14ac:dyDescent="0.2">
      <c r="A264" s="1">
        <v>2022</v>
      </c>
      <c r="B264" s="1" t="s">
        <v>262</v>
      </c>
      <c r="C264" s="2">
        <v>255088</v>
      </c>
      <c r="D264" s="8">
        <v>2.1295E-4</v>
      </c>
    </row>
    <row r="265" spans="1:4" x14ac:dyDescent="0.2">
      <c r="A265" s="1">
        <v>2022</v>
      </c>
      <c r="B265" s="1" t="s">
        <v>263</v>
      </c>
      <c r="C265" s="2">
        <v>5513</v>
      </c>
      <c r="D265" s="8">
        <v>4.6E-6</v>
      </c>
    </row>
    <row r="266" spans="1:4" x14ac:dyDescent="0.2">
      <c r="A266" s="1">
        <v>2022</v>
      </c>
      <c r="B266" s="1" t="s">
        <v>264</v>
      </c>
      <c r="C266" s="2">
        <v>148360</v>
      </c>
      <c r="D266" s="8">
        <v>1.2385E-4</v>
      </c>
    </row>
    <row r="267" spans="1:4" x14ac:dyDescent="0.2">
      <c r="A267" s="1">
        <v>2022</v>
      </c>
      <c r="B267" s="1" t="s">
        <v>265</v>
      </c>
      <c r="C267" s="2">
        <v>84382</v>
      </c>
      <c r="D267" s="8">
        <v>7.0439999999999996E-5</v>
      </c>
    </row>
    <row r="268" spans="1:4" x14ac:dyDescent="0.2">
      <c r="A268" s="1">
        <v>2022</v>
      </c>
      <c r="B268" s="1" t="s">
        <v>266</v>
      </c>
      <c r="C268" s="2">
        <v>9861</v>
      </c>
      <c r="D268" s="8">
        <v>8.2300000000000008E-6</v>
      </c>
    </row>
    <row r="269" spans="1:4" x14ac:dyDescent="0.2">
      <c r="A269" s="1">
        <v>2022</v>
      </c>
      <c r="B269" s="1" t="s">
        <v>267</v>
      </c>
      <c r="C269" s="2">
        <v>14557945</v>
      </c>
      <c r="D269" s="8">
        <v>1.215318E-2</v>
      </c>
    </row>
    <row r="270" spans="1:4" x14ac:dyDescent="0.2">
      <c r="A270" s="1">
        <v>2022</v>
      </c>
      <c r="B270" s="1" t="s">
        <v>268</v>
      </c>
      <c r="C270" s="2">
        <v>6444097</v>
      </c>
      <c r="D270" s="8">
        <v>5.3796299999999998E-3</v>
      </c>
    </row>
    <row r="271" spans="1:4" x14ac:dyDescent="0.2">
      <c r="A271" s="1">
        <v>2022</v>
      </c>
      <c r="B271" s="1" t="s">
        <v>269</v>
      </c>
      <c r="C271" s="2">
        <v>154976</v>
      </c>
      <c r="D271" s="8">
        <v>1.2938000000000001E-4</v>
      </c>
    </row>
    <row r="272" spans="1:4" x14ac:dyDescent="0.2">
      <c r="A272" s="1">
        <v>2022</v>
      </c>
      <c r="B272" s="1" t="s">
        <v>270</v>
      </c>
      <c r="C272" s="2">
        <v>121620</v>
      </c>
      <c r="D272" s="8">
        <v>1.0153E-4</v>
      </c>
    </row>
    <row r="273" spans="1:4" x14ac:dyDescent="0.2">
      <c r="A273" s="1">
        <v>2022</v>
      </c>
      <c r="B273" s="1" t="s">
        <v>271</v>
      </c>
      <c r="C273" s="2">
        <v>8928</v>
      </c>
      <c r="D273" s="8">
        <v>7.4499999999999998E-6</v>
      </c>
    </row>
    <row r="274" spans="1:4" x14ac:dyDescent="0.2">
      <c r="A274" s="1">
        <v>2022</v>
      </c>
      <c r="B274" s="1" t="s">
        <v>272</v>
      </c>
      <c r="C274" s="2">
        <v>218441</v>
      </c>
      <c r="D274" s="8">
        <v>1.8236000000000001E-4</v>
      </c>
    </row>
    <row r="275" spans="1:4" x14ac:dyDescent="0.2">
      <c r="A275" s="1">
        <v>2022</v>
      </c>
      <c r="B275" s="1" t="s">
        <v>273</v>
      </c>
      <c r="C275" s="2">
        <v>258549</v>
      </c>
      <c r="D275" s="8">
        <v>2.1583999999999999E-4</v>
      </c>
    </row>
    <row r="276" spans="1:4" x14ac:dyDescent="0.2">
      <c r="A276" s="1">
        <v>2022</v>
      </c>
      <c r="B276" s="1" t="s">
        <v>274</v>
      </c>
      <c r="C276" s="2">
        <v>153567</v>
      </c>
      <c r="D276" s="8">
        <v>1.282E-4</v>
      </c>
    </row>
    <row r="277" spans="1:4" x14ac:dyDescent="0.2">
      <c r="A277" s="1">
        <v>2022</v>
      </c>
      <c r="B277" s="1" t="s">
        <v>275</v>
      </c>
      <c r="C277" s="2">
        <v>16726</v>
      </c>
      <c r="D277" s="8">
        <v>1.396E-5</v>
      </c>
    </row>
    <row r="278" spans="1:4" x14ac:dyDescent="0.2">
      <c r="A278" s="1">
        <v>2022</v>
      </c>
      <c r="B278" s="1" t="s">
        <v>276</v>
      </c>
      <c r="C278" s="2">
        <v>4376133</v>
      </c>
      <c r="D278" s="8">
        <v>3.6532600000000002E-3</v>
      </c>
    </row>
    <row r="279" spans="1:4" x14ac:dyDescent="0.2">
      <c r="A279" s="1">
        <v>2022</v>
      </c>
      <c r="B279" s="1" t="s">
        <v>277</v>
      </c>
      <c r="C279" s="2">
        <v>79570</v>
      </c>
      <c r="D279" s="8">
        <v>6.6429999999999999E-5</v>
      </c>
    </row>
    <row r="280" spans="1:4" x14ac:dyDescent="0.2">
      <c r="A280" s="1">
        <v>2022</v>
      </c>
      <c r="B280" s="1" t="s">
        <v>278</v>
      </c>
      <c r="C280" s="2">
        <v>4565536</v>
      </c>
      <c r="D280" s="8">
        <v>3.8113800000000001E-3</v>
      </c>
    </row>
    <row r="281" spans="1:4" x14ac:dyDescent="0.2">
      <c r="A281" s="1">
        <v>2022</v>
      </c>
      <c r="B281" s="1" t="s">
        <v>279</v>
      </c>
      <c r="C281" s="2">
        <v>51952</v>
      </c>
      <c r="D281" s="8">
        <v>4.337E-5</v>
      </c>
    </row>
    <row r="282" spans="1:4" x14ac:dyDescent="0.2">
      <c r="A282" s="1">
        <v>2022</v>
      </c>
      <c r="B282" s="1" t="s">
        <v>872</v>
      </c>
      <c r="C282" s="2">
        <v>114979</v>
      </c>
      <c r="D282" s="8">
        <v>9.5989999999999994E-5</v>
      </c>
    </row>
    <row r="283" spans="1:4" x14ac:dyDescent="0.2">
      <c r="A283" s="1">
        <v>2022</v>
      </c>
      <c r="B283" s="1" t="s">
        <v>281</v>
      </c>
      <c r="C283" s="2">
        <v>233960</v>
      </c>
      <c r="D283" s="8">
        <v>1.9531E-4</v>
      </c>
    </row>
    <row r="284" spans="1:4" x14ac:dyDescent="0.2">
      <c r="A284" s="1">
        <v>2022</v>
      </c>
      <c r="B284" s="1" t="s">
        <v>282</v>
      </c>
      <c r="C284" s="2">
        <v>29357</v>
      </c>
      <c r="D284" s="8">
        <v>2.4510000000000001E-5</v>
      </c>
    </row>
    <row r="285" spans="1:4" x14ac:dyDescent="0.2">
      <c r="A285" s="1">
        <v>2022</v>
      </c>
      <c r="B285" s="1" t="s">
        <v>283</v>
      </c>
      <c r="C285" s="2">
        <v>1474183</v>
      </c>
      <c r="D285" s="8">
        <v>1.2306699999999999E-3</v>
      </c>
    </row>
    <row r="286" spans="1:4" x14ac:dyDescent="0.2">
      <c r="A286" s="1">
        <v>2022</v>
      </c>
      <c r="B286" s="1" t="s">
        <v>284</v>
      </c>
      <c r="C286" s="2">
        <v>62805</v>
      </c>
      <c r="D286" s="8">
        <v>5.2429999999999998E-5</v>
      </c>
    </row>
    <row r="287" spans="1:4" x14ac:dyDescent="0.2">
      <c r="A287" s="1">
        <v>2022</v>
      </c>
      <c r="B287" s="1" t="s">
        <v>285</v>
      </c>
      <c r="C287" s="2">
        <v>1405860</v>
      </c>
      <c r="D287" s="8">
        <v>1.1736299999999999E-3</v>
      </c>
    </row>
    <row r="288" spans="1:4" x14ac:dyDescent="0.2">
      <c r="A288" s="1">
        <v>2022</v>
      </c>
      <c r="B288" s="1" t="s">
        <v>286</v>
      </c>
      <c r="C288" s="2">
        <v>29075</v>
      </c>
      <c r="D288" s="8">
        <v>2.427E-5</v>
      </c>
    </row>
    <row r="289" spans="1:4" x14ac:dyDescent="0.2">
      <c r="A289" s="1">
        <v>2022</v>
      </c>
      <c r="B289" s="1" t="s">
        <v>287</v>
      </c>
      <c r="C289" s="2">
        <v>25639</v>
      </c>
      <c r="D289" s="8">
        <v>2.1399999999999998E-5</v>
      </c>
    </row>
    <row r="290" spans="1:4" x14ac:dyDescent="0.2">
      <c r="A290" s="1">
        <v>2022</v>
      </c>
      <c r="B290" s="1" t="s">
        <v>288</v>
      </c>
      <c r="C290" s="2">
        <v>4420177</v>
      </c>
      <c r="D290" s="8">
        <v>3.69003E-3</v>
      </c>
    </row>
    <row r="291" spans="1:4" x14ac:dyDescent="0.2">
      <c r="A291" s="1">
        <v>2022</v>
      </c>
      <c r="B291" s="1" t="s">
        <v>289</v>
      </c>
      <c r="C291" s="2">
        <v>5091408</v>
      </c>
      <c r="D291" s="8">
        <v>4.2503799999999998E-3</v>
      </c>
    </row>
    <row r="292" spans="1:4" x14ac:dyDescent="0.2">
      <c r="A292" s="1">
        <v>2022</v>
      </c>
      <c r="B292" s="1" t="s">
        <v>290</v>
      </c>
      <c r="C292" s="2">
        <v>123255</v>
      </c>
      <c r="D292" s="8">
        <v>1.0289999999999999E-4</v>
      </c>
    </row>
    <row r="293" spans="1:4" x14ac:dyDescent="0.2">
      <c r="A293" s="1">
        <v>2022</v>
      </c>
      <c r="B293" s="1" t="s">
        <v>291</v>
      </c>
      <c r="C293" s="2">
        <v>185354</v>
      </c>
      <c r="D293" s="8">
        <v>1.5474E-4</v>
      </c>
    </row>
    <row r="294" spans="1:4" x14ac:dyDescent="0.2">
      <c r="A294" s="1">
        <v>2022</v>
      </c>
      <c r="B294" s="1" t="s">
        <v>292</v>
      </c>
      <c r="C294" s="2">
        <v>9479</v>
      </c>
      <c r="D294" s="8">
        <v>7.9100000000000005E-6</v>
      </c>
    </row>
    <row r="295" spans="1:4" x14ac:dyDescent="0.2">
      <c r="A295" s="1">
        <v>2022</v>
      </c>
      <c r="B295" s="1" t="s">
        <v>293</v>
      </c>
      <c r="C295" s="2">
        <v>9421596</v>
      </c>
      <c r="D295" s="8">
        <v>7.8652900000000005E-3</v>
      </c>
    </row>
    <row r="296" spans="1:4" x14ac:dyDescent="0.2">
      <c r="A296" s="1">
        <v>2022</v>
      </c>
      <c r="B296" s="1" t="s">
        <v>294</v>
      </c>
      <c r="C296" s="2">
        <v>114471</v>
      </c>
      <c r="D296" s="8">
        <v>9.556E-5</v>
      </c>
    </row>
    <row r="297" spans="1:4" x14ac:dyDescent="0.2">
      <c r="A297" s="1">
        <v>2022</v>
      </c>
      <c r="B297" s="1" t="s">
        <v>295</v>
      </c>
      <c r="C297" s="2">
        <v>689090</v>
      </c>
      <c r="D297" s="8">
        <v>5.7525999999999996E-4</v>
      </c>
    </row>
    <row r="298" spans="1:4" x14ac:dyDescent="0.2">
      <c r="A298" s="1">
        <v>2022</v>
      </c>
      <c r="B298" s="1" t="s">
        <v>296</v>
      </c>
      <c r="C298" s="2">
        <v>516118</v>
      </c>
      <c r="D298" s="8">
        <v>4.3085999999999998E-4</v>
      </c>
    </row>
    <row r="299" spans="1:4" x14ac:dyDescent="0.2">
      <c r="A299" s="1">
        <v>2022</v>
      </c>
      <c r="B299" s="1" t="s">
        <v>297</v>
      </c>
      <c r="C299" s="2">
        <v>19360</v>
      </c>
      <c r="D299" s="8">
        <v>1.6160000000000001E-5</v>
      </c>
    </row>
    <row r="300" spans="1:4" x14ac:dyDescent="0.2">
      <c r="A300" s="1">
        <v>2022</v>
      </c>
      <c r="B300" s="1" t="s">
        <v>298</v>
      </c>
      <c r="C300" s="2">
        <v>1260245</v>
      </c>
      <c r="D300" s="8">
        <v>1.05207E-3</v>
      </c>
    </row>
    <row r="301" spans="1:4" x14ac:dyDescent="0.2">
      <c r="A301" s="1">
        <v>2022</v>
      </c>
      <c r="B301" s="1" t="s">
        <v>299</v>
      </c>
      <c r="C301" s="2">
        <v>561297</v>
      </c>
      <c r="D301" s="8">
        <v>4.6858000000000002E-4</v>
      </c>
    </row>
    <row r="302" spans="1:4" x14ac:dyDescent="0.2">
      <c r="A302" s="1">
        <v>2022</v>
      </c>
      <c r="B302" s="1" t="s">
        <v>300</v>
      </c>
      <c r="C302" s="2">
        <v>831183</v>
      </c>
      <c r="D302" s="8">
        <v>6.9388000000000002E-4</v>
      </c>
    </row>
    <row r="303" spans="1:4" x14ac:dyDescent="0.2">
      <c r="A303" s="1">
        <v>2022</v>
      </c>
      <c r="B303" s="1" t="s">
        <v>873</v>
      </c>
      <c r="C303" s="2">
        <v>4984</v>
      </c>
      <c r="D303" s="8">
        <v>4.16E-6</v>
      </c>
    </row>
    <row r="304" spans="1:4" x14ac:dyDescent="0.2">
      <c r="A304" s="1">
        <v>2022</v>
      </c>
      <c r="B304" s="1" t="s">
        <v>301</v>
      </c>
      <c r="C304" s="2">
        <v>3696561</v>
      </c>
      <c r="D304" s="8">
        <v>3.0859400000000001E-3</v>
      </c>
    </row>
    <row r="305" spans="1:4" x14ac:dyDescent="0.2">
      <c r="A305" s="1">
        <v>2022</v>
      </c>
      <c r="B305" s="1" t="s">
        <v>302</v>
      </c>
      <c r="C305" s="2">
        <v>2919723</v>
      </c>
      <c r="D305" s="8">
        <v>2.43743E-3</v>
      </c>
    </row>
    <row r="306" spans="1:4" x14ac:dyDescent="0.2">
      <c r="A306" s="1">
        <v>2022</v>
      </c>
      <c r="B306" s="1" t="s">
        <v>303</v>
      </c>
      <c r="C306" s="2">
        <v>1706462</v>
      </c>
      <c r="D306" s="8">
        <v>1.4245799999999999E-3</v>
      </c>
    </row>
    <row r="307" spans="1:4" x14ac:dyDescent="0.2">
      <c r="A307" s="1">
        <v>2022</v>
      </c>
      <c r="B307" s="1" t="s">
        <v>304</v>
      </c>
      <c r="C307" s="2">
        <v>39754</v>
      </c>
      <c r="D307" s="8">
        <v>3.3189999999999999E-5</v>
      </c>
    </row>
    <row r="308" spans="1:4" x14ac:dyDescent="0.2">
      <c r="A308" s="1">
        <v>2022</v>
      </c>
      <c r="B308" s="1" t="s">
        <v>305</v>
      </c>
      <c r="C308" s="2">
        <v>1480312</v>
      </c>
      <c r="D308" s="8">
        <v>1.2357900000000001E-3</v>
      </c>
    </row>
    <row r="309" spans="1:4" x14ac:dyDescent="0.2">
      <c r="A309" s="1">
        <v>2022</v>
      </c>
      <c r="B309" s="1" t="s">
        <v>306</v>
      </c>
      <c r="C309" s="2">
        <v>208429</v>
      </c>
      <c r="D309" s="8">
        <v>1.74E-4</v>
      </c>
    </row>
    <row r="310" spans="1:4" x14ac:dyDescent="0.2">
      <c r="A310" s="1">
        <v>2022</v>
      </c>
      <c r="B310" s="1" t="s">
        <v>307</v>
      </c>
      <c r="C310" s="2">
        <v>3740978</v>
      </c>
      <c r="D310" s="8">
        <v>3.1230199999999998E-3</v>
      </c>
    </row>
    <row r="311" spans="1:4" x14ac:dyDescent="0.2">
      <c r="A311" s="1">
        <v>2022</v>
      </c>
      <c r="B311" s="1" t="s">
        <v>308</v>
      </c>
      <c r="C311" s="2">
        <v>1537161</v>
      </c>
      <c r="D311" s="8">
        <v>1.2832399999999999E-3</v>
      </c>
    </row>
    <row r="312" spans="1:4" x14ac:dyDescent="0.2">
      <c r="A312" s="1">
        <v>2022</v>
      </c>
      <c r="B312" s="1" t="s">
        <v>309</v>
      </c>
      <c r="C312" s="2">
        <v>724337</v>
      </c>
      <c r="D312" s="8">
        <v>6.0468999999999996E-4</v>
      </c>
    </row>
    <row r="313" spans="1:4" x14ac:dyDescent="0.2">
      <c r="A313" s="1">
        <v>2022</v>
      </c>
      <c r="B313" s="1" t="s">
        <v>310</v>
      </c>
      <c r="C313" s="2">
        <v>7156</v>
      </c>
      <c r="D313" s="8">
        <v>5.9699999999999996E-6</v>
      </c>
    </row>
    <row r="314" spans="1:4" x14ac:dyDescent="0.2">
      <c r="A314" s="1">
        <v>2022</v>
      </c>
      <c r="B314" s="1" t="s">
        <v>311</v>
      </c>
      <c r="C314" s="2">
        <v>511584</v>
      </c>
      <c r="D314" s="8">
        <v>4.2707999999999998E-4</v>
      </c>
    </row>
    <row r="315" spans="1:4" x14ac:dyDescent="0.2">
      <c r="A315" s="1">
        <v>2022</v>
      </c>
      <c r="B315" s="1" t="s">
        <v>312</v>
      </c>
      <c r="C315" s="2">
        <v>409845</v>
      </c>
      <c r="D315" s="8">
        <v>3.4214E-4</v>
      </c>
    </row>
    <row r="316" spans="1:4" x14ac:dyDescent="0.2">
      <c r="A316" s="1">
        <v>2022</v>
      </c>
      <c r="B316" s="1" t="s">
        <v>313</v>
      </c>
      <c r="C316" s="2">
        <v>1266362</v>
      </c>
      <c r="D316" s="8">
        <v>1.05718E-3</v>
      </c>
    </row>
    <row r="317" spans="1:4" x14ac:dyDescent="0.2">
      <c r="A317" s="1">
        <v>2022</v>
      </c>
      <c r="B317" s="1" t="s">
        <v>314</v>
      </c>
      <c r="C317" s="2">
        <v>1137721</v>
      </c>
      <c r="D317" s="8">
        <v>9.4979000000000005E-4</v>
      </c>
    </row>
    <row r="318" spans="1:4" x14ac:dyDescent="0.2">
      <c r="A318" s="1">
        <v>2022</v>
      </c>
      <c r="B318" s="1" t="s">
        <v>315</v>
      </c>
      <c r="C318" s="2">
        <v>62547</v>
      </c>
      <c r="D318" s="8">
        <v>5.2219999999999998E-5</v>
      </c>
    </row>
    <row r="319" spans="1:4" x14ac:dyDescent="0.2">
      <c r="A319" s="1">
        <v>2022</v>
      </c>
      <c r="B319" s="1" t="s">
        <v>316</v>
      </c>
      <c r="C319" s="2">
        <v>348079</v>
      </c>
      <c r="D319" s="8">
        <v>2.9058000000000003E-4</v>
      </c>
    </row>
    <row r="320" spans="1:4" x14ac:dyDescent="0.2">
      <c r="A320" s="1">
        <v>2022</v>
      </c>
      <c r="B320" s="1" t="s">
        <v>317</v>
      </c>
      <c r="C320" s="2">
        <v>3389622</v>
      </c>
      <c r="D320" s="8">
        <v>2.82971E-3</v>
      </c>
    </row>
    <row r="321" spans="1:4" x14ac:dyDescent="0.2">
      <c r="A321" s="1">
        <v>2022</v>
      </c>
      <c r="B321" s="1" t="s">
        <v>318</v>
      </c>
      <c r="C321" s="2">
        <v>729830</v>
      </c>
      <c r="D321" s="8">
        <v>6.0926999999999997E-4</v>
      </c>
    </row>
    <row r="322" spans="1:4" x14ac:dyDescent="0.2">
      <c r="A322" s="1">
        <v>2022</v>
      </c>
      <c r="B322" s="1" t="s">
        <v>319</v>
      </c>
      <c r="C322" s="2">
        <v>4698</v>
      </c>
      <c r="D322" s="8">
        <v>3.9199999999999997E-6</v>
      </c>
    </row>
    <row r="323" spans="1:4" x14ac:dyDescent="0.2">
      <c r="A323" s="1">
        <v>2022</v>
      </c>
      <c r="B323" s="1" t="s">
        <v>320</v>
      </c>
      <c r="C323" s="2">
        <v>3914844</v>
      </c>
      <c r="D323" s="8">
        <v>3.2681699999999999E-3</v>
      </c>
    </row>
    <row r="324" spans="1:4" x14ac:dyDescent="0.2">
      <c r="A324" s="1">
        <v>2022</v>
      </c>
      <c r="B324" s="1" t="s">
        <v>321</v>
      </c>
      <c r="C324" s="2">
        <v>73883</v>
      </c>
      <c r="D324" s="8">
        <v>6.1680000000000006E-5</v>
      </c>
    </row>
    <row r="325" spans="1:4" x14ac:dyDescent="0.2">
      <c r="A325" s="1">
        <v>2022</v>
      </c>
      <c r="B325" s="1" t="s">
        <v>322</v>
      </c>
      <c r="C325" s="2">
        <v>18008</v>
      </c>
      <c r="D325" s="8">
        <v>1.503E-5</v>
      </c>
    </row>
    <row r="326" spans="1:4" x14ac:dyDescent="0.2">
      <c r="A326" s="1">
        <v>2022</v>
      </c>
      <c r="B326" s="1" t="s">
        <v>323</v>
      </c>
      <c r="C326" s="2">
        <v>256407</v>
      </c>
      <c r="D326" s="8">
        <v>2.1405E-4</v>
      </c>
    </row>
    <row r="327" spans="1:4" x14ac:dyDescent="0.2">
      <c r="A327" s="1">
        <v>2022</v>
      </c>
      <c r="B327" s="1" t="s">
        <v>324</v>
      </c>
      <c r="C327" s="2">
        <v>26726</v>
      </c>
      <c r="D327" s="8">
        <v>2.2310000000000002E-5</v>
      </c>
    </row>
    <row r="328" spans="1:4" x14ac:dyDescent="0.2">
      <c r="A328" s="1">
        <v>2022</v>
      </c>
      <c r="B328" s="1" t="s">
        <v>325</v>
      </c>
      <c r="C328" s="2">
        <v>9793516</v>
      </c>
      <c r="D328" s="8">
        <v>8.1757700000000006E-3</v>
      </c>
    </row>
    <row r="329" spans="1:4" x14ac:dyDescent="0.2">
      <c r="A329" s="1">
        <v>2022</v>
      </c>
      <c r="B329" s="1" t="s">
        <v>326</v>
      </c>
      <c r="C329" s="2">
        <v>959420</v>
      </c>
      <c r="D329" s="8">
        <v>8.0093999999999999E-4</v>
      </c>
    </row>
    <row r="330" spans="1:4" x14ac:dyDescent="0.2">
      <c r="A330" s="1">
        <v>2022</v>
      </c>
      <c r="B330" s="1" t="s">
        <v>327</v>
      </c>
      <c r="C330" s="2">
        <v>9231467</v>
      </c>
      <c r="D330" s="8">
        <v>7.7065600000000003E-3</v>
      </c>
    </row>
    <row r="331" spans="1:4" x14ac:dyDescent="0.2">
      <c r="A331" s="1">
        <v>2022</v>
      </c>
      <c r="B331" s="1" t="s">
        <v>328</v>
      </c>
      <c r="C331" s="2">
        <v>5984679</v>
      </c>
      <c r="D331" s="8">
        <v>4.9960999999999998E-3</v>
      </c>
    </row>
    <row r="332" spans="1:4" x14ac:dyDescent="0.2">
      <c r="A332" s="1">
        <v>2022</v>
      </c>
      <c r="B332" s="1" t="s">
        <v>329</v>
      </c>
      <c r="C332" s="2">
        <v>73782</v>
      </c>
      <c r="D332" s="8">
        <v>6.1589999999999998E-5</v>
      </c>
    </row>
    <row r="333" spans="1:4" x14ac:dyDescent="0.2">
      <c r="A333" s="1">
        <v>2022</v>
      </c>
      <c r="B333" s="1" t="s">
        <v>330</v>
      </c>
      <c r="C333" s="2">
        <v>156787</v>
      </c>
      <c r="D333" s="8">
        <v>1.3088999999999999E-4</v>
      </c>
    </row>
    <row r="334" spans="1:4" x14ac:dyDescent="0.2">
      <c r="A334" s="1">
        <v>2022</v>
      </c>
      <c r="B334" s="1" t="s">
        <v>331</v>
      </c>
      <c r="C334" s="2">
        <v>23078</v>
      </c>
      <c r="D334" s="8">
        <v>1.927E-5</v>
      </c>
    </row>
    <row r="335" spans="1:4" x14ac:dyDescent="0.2">
      <c r="A335" s="1">
        <v>2022</v>
      </c>
      <c r="B335" s="1" t="s">
        <v>332</v>
      </c>
      <c r="C335" s="2">
        <v>198035</v>
      </c>
      <c r="D335" s="8">
        <v>1.6532E-4</v>
      </c>
    </row>
    <row r="336" spans="1:4" x14ac:dyDescent="0.2">
      <c r="A336" s="1">
        <v>2022</v>
      </c>
      <c r="B336" s="1" t="s">
        <v>333</v>
      </c>
      <c r="C336" s="2">
        <v>543352</v>
      </c>
      <c r="D336" s="8">
        <v>4.5360000000000002E-4</v>
      </c>
    </row>
    <row r="337" spans="1:4" x14ac:dyDescent="0.2">
      <c r="A337" s="1">
        <v>2022</v>
      </c>
      <c r="B337" s="1" t="s">
        <v>334</v>
      </c>
      <c r="C337" s="2">
        <v>97714</v>
      </c>
      <c r="D337" s="8">
        <v>8.1570000000000007E-5</v>
      </c>
    </row>
    <row r="338" spans="1:4" x14ac:dyDescent="0.2">
      <c r="A338" s="1">
        <v>2022</v>
      </c>
      <c r="B338" s="1" t="s">
        <v>335</v>
      </c>
      <c r="C338" s="2">
        <v>23560001</v>
      </c>
      <c r="D338" s="8">
        <v>1.9668229999999998E-2</v>
      </c>
    </row>
    <row r="339" spans="1:4" x14ac:dyDescent="0.2">
      <c r="A339" s="1">
        <v>2022</v>
      </c>
      <c r="B339" s="1" t="s">
        <v>336</v>
      </c>
      <c r="C339" s="2">
        <v>1100955</v>
      </c>
      <c r="D339" s="8">
        <v>9.1909000000000001E-4</v>
      </c>
    </row>
    <row r="340" spans="1:4" x14ac:dyDescent="0.2">
      <c r="A340" s="1">
        <v>2022</v>
      </c>
      <c r="B340" s="1" t="s">
        <v>337</v>
      </c>
      <c r="C340" s="2">
        <v>8239036</v>
      </c>
      <c r="D340" s="8">
        <v>6.87807E-3</v>
      </c>
    </row>
    <row r="341" spans="1:4" x14ac:dyDescent="0.2">
      <c r="A341" s="1">
        <v>2022</v>
      </c>
      <c r="B341" s="1" t="s">
        <v>338</v>
      </c>
      <c r="C341" s="2">
        <v>263264</v>
      </c>
      <c r="D341" s="8">
        <v>2.1978000000000001E-4</v>
      </c>
    </row>
    <row r="342" spans="1:4" x14ac:dyDescent="0.2">
      <c r="A342" s="1">
        <v>2022</v>
      </c>
      <c r="B342" s="1" t="s">
        <v>874</v>
      </c>
      <c r="C342" s="2">
        <v>380219</v>
      </c>
      <c r="D342" s="8">
        <v>3.1741000000000001E-4</v>
      </c>
    </row>
    <row r="343" spans="1:4" x14ac:dyDescent="0.2">
      <c r="A343" s="1">
        <v>2022</v>
      </c>
      <c r="B343" s="1" t="s">
        <v>340</v>
      </c>
      <c r="C343" s="2">
        <v>862962</v>
      </c>
      <c r="D343" s="8">
        <v>7.2041E-4</v>
      </c>
    </row>
    <row r="344" spans="1:4" x14ac:dyDescent="0.2">
      <c r="A344" s="1">
        <v>2022</v>
      </c>
      <c r="B344" s="1" t="s">
        <v>341</v>
      </c>
      <c r="C344" s="2">
        <v>516389</v>
      </c>
      <c r="D344" s="8">
        <v>4.3109000000000002E-4</v>
      </c>
    </row>
    <row r="345" spans="1:4" x14ac:dyDescent="0.2">
      <c r="A345" s="1">
        <v>2022</v>
      </c>
      <c r="B345" s="1" t="s">
        <v>342</v>
      </c>
      <c r="C345" s="2">
        <v>1460338</v>
      </c>
      <c r="D345" s="8">
        <v>1.21911E-3</v>
      </c>
    </row>
    <row r="346" spans="1:4" x14ac:dyDescent="0.2">
      <c r="A346" s="1">
        <v>2022</v>
      </c>
      <c r="B346" s="1" t="s">
        <v>343</v>
      </c>
      <c r="C346" s="2">
        <v>565208</v>
      </c>
      <c r="D346" s="8">
        <v>4.7184000000000001E-4</v>
      </c>
    </row>
    <row r="347" spans="1:4" x14ac:dyDescent="0.2">
      <c r="A347" s="1">
        <v>2022</v>
      </c>
      <c r="B347" s="1" t="s">
        <v>344</v>
      </c>
      <c r="C347" s="2">
        <v>531887</v>
      </c>
      <c r="D347" s="8">
        <v>4.4402999999999999E-4</v>
      </c>
    </row>
    <row r="348" spans="1:4" x14ac:dyDescent="0.2">
      <c r="A348" s="1">
        <v>2022</v>
      </c>
      <c r="B348" s="1" t="s">
        <v>345</v>
      </c>
      <c r="C348" s="2">
        <v>1675339</v>
      </c>
      <c r="D348" s="8">
        <v>1.3986000000000001E-3</v>
      </c>
    </row>
    <row r="349" spans="1:4" x14ac:dyDescent="0.2">
      <c r="A349" s="1">
        <v>2022</v>
      </c>
      <c r="B349" s="1" t="s">
        <v>346</v>
      </c>
      <c r="C349" s="2">
        <v>21671</v>
      </c>
      <c r="D349" s="8">
        <v>1.8090000000000001E-5</v>
      </c>
    </row>
    <row r="350" spans="1:4" x14ac:dyDescent="0.2">
      <c r="A350" s="1">
        <v>2022</v>
      </c>
      <c r="B350" s="1" t="s">
        <v>347</v>
      </c>
      <c r="C350" s="2">
        <v>428911</v>
      </c>
      <c r="D350" s="8">
        <v>3.5806E-4</v>
      </c>
    </row>
    <row r="351" spans="1:4" x14ac:dyDescent="0.2">
      <c r="A351" s="1">
        <v>2022</v>
      </c>
      <c r="B351" s="1" t="s">
        <v>348</v>
      </c>
      <c r="C351" s="2">
        <v>7711073</v>
      </c>
      <c r="D351" s="8">
        <v>6.4373199999999998E-3</v>
      </c>
    </row>
    <row r="352" spans="1:4" x14ac:dyDescent="0.2">
      <c r="A352" s="1">
        <v>2022</v>
      </c>
      <c r="B352" s="1" t="s">
        <v>349</v>
      </c>
      <c r="C352" s="2">
        <v>2688561</v>
      </c>
      <c r="D352" s="8">
        <v>2.2444499999999998E-3</v>
      </c>
    </row>
    <row r="353" spans="1:4" x14ac:dyDescent="0.2">
      <c r="A353" s="1">
        <v>2022</v>
      </c>
      <c r="B353" s="1" t="s">
        <v>350</v>
      </c>
      <c r="C353" s="2">
        <v>3683060</v>
      </c>
      <c r="D353" s="8">
        <v>3.0746699999999998E-3</v>
      </c>
    </row>
    <row r="354" spans="1:4" x14ac:dyDescent="0.2">
      <c r="A354" s="1">
        <v>2022</v>
      </c>
      <c r="B354" s="1" t="s">
        <v>351</v>
      </c>
      <c r="C354" s="2">
        <v>34314</v>
      </c>
      <c r="D354" s="8">
        <v>2.8649999999999998E-5</v>
      </c>
    </row>
    <row r="355" spans="1:4" x14ac:dyDescent="0.2">
      <c r="A355" s="1">
        <v>2022</v>
      </c>
      <c r="B355" s="1" t="s">
        <v>352</v>
      </c>
      <c r="C355" s="2">
        <v>78108</v>
      </c>
      <c r="D355" s="8">
        <v>6.5209999999999994E-5</v>
      </c>
    </row>
    <row r="356" spans="1:4" x14ac:dyDescent="0.2">
      <c r="A356" s="1">
        <v>2022</v>
      </c>
      <c r="B356" s="1" t="s">
        <v>353</v>
      </c>
      <c r="C356" s="2">
        <v>6198</v>
      </c>
      <c r="D356" s="8">
        <v>5.1699999999999996E-6</v>
      </c>
    </row>
    <row r="357" spans="1:4" x14ac:dyDescent="0.2">
      <c r="A357" s="1">
        <v>2022</v>
      </c>
      <c r="B357" s="1" t="s">
        <v>354</v>
      </c>
      <c r="C357" s="2">
        <v>1488350</v>
      </c>
      <c r="D357" s="8">
        <v>1.2424999999999999E-3</v>
      </c>
    </row>
    <row r="358" spans="1:4" x14ac:dyDescent="0.2">
      <c r="A358" s="1">
        <v>2022</v>
      </c>
      <c r="B358" s="1" t="s">
        <v>355</v>
      </c>
      <c r="C358" s="2">
        <v>762823</v>
      </c>
      <c r="D358" s="8">
        <v>6.3681999999999996E-4</v>
      </c>
    </row>
    <row r="359" spans="1:4" x14ac:dyDescent="0.2">
      <c r="A359" s="1">
        <v>2022</v>
      </c>
      <c r="B359" s="1" t="s">
        <v>875</v>
      </c>
      <c r="C359" s="2">
        <v>27865</v>
      </c>
      <c r="D359" s="8">
        <v>2.3260000000000001E-5</v>
      </c>
    </row>
    <row r="360" spans="1:4" x14ac:dyDescent="0.2">
      <c r="A360" s="1">
        <v>2022</v>
      </c>
      <c r="B360" s="1" t="s">
        <v>357</v>
      </c>
      <c r="C360" s="2">
        <v>29480</v>
      </c>
      <c r="D360" s="8">
        <v>2.461E-5</v>
      </c>
    </row>
    <row r="361" spans="1:4" x14ac:dyDescent="0.2">
      <c r="A361" s="1">
        <v>2022</v>
      </c>
      <c r="B361" s="1" t="s">
        <v>358</v>
      </c>
      <c r="C361" s="2">
        <v>54113</v>
      </c>
      <c r="D361" s="8">
        <v>4.5170000000000003E-5</v>
      </c>
    </row>
    <row r="362" spans="1:4" x14ac:dyDescent="0.2">
      <c r="A362" s="1">
        <v>2022</v>
      </c>
      <c r="B362" s="1" t="s">
        <v>359</v>
      </c>
      <c r="C362" s="2">
        <v>501966</v>
      </c>
      <c r="D362" s="8">
        <v>4.1905000000000002E-4</v>
      </c>
    </row>
    <row r="363" spans="1:4" x14ac:dyDescent="0.2">
      <c r="A363" s="1">
        <v>2022</v>
      </c>
      <c r="B363" s="1" t="s">
        <v>360</v>
      </c>
      <c r="C363" s="2">
        <v>2313987</v>
      </c>
      <c r="D363" s="8">
        <v>1.9317500000000001E-3</v>
      </c>
    </row>
    <row r="364" spans="1:4" x14ac:dyDescent="0.2">
      <c r="A364" s="1">
        <v>2022</v>
      </c>
      <c r="B364" s="1" t="s">
        <v>361</v>
      </c>
      <c r="C364" s="2">
        <v>245782</v>
      </c>
      <c r="D364" s="8">
        <v>2.0518000000000001E-4</v>
      </c>
    </row>
    <row r="365" spans="1:4" x14ac:dyDescent="0.2">
      <c r="A365" s="1">
        <v>2022</v>
      </c>
      <c r="B365" s="1" t="s">
        <v>362</v>
      </c>
      <c r="C365" s="2">
        <v>3028491</v>
      </c>
      <c r="D365" s="8">
        <v>2.5282299999999998E-3</v>
      </c>
    </row>
    <row r="366" spans="1:4" x14ac:dyDescent="0.2">
      <c r="A366" s="1">
        <v>2022</v>
      </c>
      <c r="B366" s="1" t="s">
        <v>363</v>
      </c>
      <c r="C366" s="2">
        <v>2145971</v>
      </c>
      <c r="D366" s="8">
        <v>1.79149E-3</v>
      </c>
    </row>
    <row r="367" spans="1:4" x14ac:dyDescent="0.2">
      <c r="A367" s="1">
        <v>2022</v>
      </c>
      <c r="B367" s="1" t="s">
        <v>364</v>
      </c>
      <c r="C367" s="2">
        <v>3500</v>
      </c>
      <c r="D367" s="8">
        <v>2.92E-6</v>
      </c>
    </row>
    <row r="368" spans="1:4" x14ac:dyDescent="0.2">
      <c r="A368" s="1">
        <v>2022</v>
      </c>
      <c r="B368" s="1" t="s">
        <v>365</v>
      </c>
      <c r="C368" s="2">
        <v>37717</v>
      </c>
      <c r="D368" s="8">
        <v>3.1489999999999998E-5</v>
      </c>
    </row>
    <row r="369" spans="1:4" x14ac:dyDescent="0.2">
      <c r="A369" s="1">
        <v>2022</v>
      </c>
      <c r="B369" s="1" t="s">
        <v>366</v>
      </c>
      <c r="C369" s="2">
        <v>11003420</v>
      </c>
      <c r="D369" s="8">
        <v>9.1858100000000008E-3</v>
      </c>
    </row>
    <row r="370" spans="1:4" x14ac:dyDescent="0.2">
      <c r="A370" s="1">
        <v>2022</v>
      </c>
      <c r="B370" s="1" t="s">
        <v>367</v>
      </c>
      <c r="C370" s="2">
        <v>9660</v>
      </c>
      <c r="D370" s="8">
        <v>8.0600000000000008E-6</v>
      </c>
    </row>
    <row r="371" spans="1:4" x14ac:dyDescent="0.2">
      <c r="A371" s="1">
        <v>2022</v>
      </c>
      <c r="B371" s="1" t="s">
        <v>368</v>
      </c>
      <c r="C371" s="2">
        <v>2744641</v>
      </c>
      <c r="D371" s="8">
        <v>2.2912700000000002E-3</v>
      </c>
    </row>
    <row r="372" spans="1:4" x14ac:dyDescent="0.2">
      <c r="A372" s="1">
        <v>2022</v>
      </c>
      <c r="B372" s="1" t="s">
        <v>369</v>
      </c>
      <c r="C372" s="2">
        <v>90653</v>
      </c>
      <c r="D372" s="8">
        <v>7.5679999999999994E-5</v>
      </c>
    </row>
    <row r="373" spans="1:4" x14ac:dyDescent="0.2">
      <c r="A373" s="1">
        <v>2022</v>
      </c>
      <c r="B373" s="1" t="s">
        <v>370</v>
      </c>
      <c r="C373" s="2">
        <v>37679</v>
      </c>
      <c r="D373" s="8">
        <v>3.146E-5</v>
      </c>
    </row>
    <row r="374" spans="1:4" x14ac:dyDescent="0.2">
      <c r="A374" s="1">
        <v>2022</v>
      </c>
      <c r="B374" s="1" t="s">
        <v>371</v>
      </c>
      <c r="C374" s="2">
        <v>6206137</v>
      </c>
      <c r="D374" s="8">
        <v>5.18097E-3</v>
      </c>
    </row>
    <row r="375" spans="1:4" x14ac:dyDescent="0.2">
      <c r="A375" s="1">
        <v>2022</v>
      </c>
      <c r="B375" s="1" t="s">
        <v>372</v>
      </c>
      <c r="C375" s="2">
        <v>2314812</v>
      </c>
      <c r="D375" s="8">
        <v>1.9324399999999999E-3</v>
      </c>
    </row>
    <row r="376" spans="1:4" x14ac:dyDescent="0.2">
      <c r="A376" s="1">
        <v>2022</v>
      </c>
      <c r="B376" s="1" t="s">
        <v>373</v>
      </c>
      <c r="C376" s="2">
        <v>481888</v>
      </c>
      <c r="D376" s="8">
        <v>4.0229000000000003E-4</v>
      </c>
    </row>
    <row r="377" spans="1:4" x14ac:dyDescent="0.2">
      <c r="A377" s="1">
        <v>2022</v>
      </c>
      <c r="B377" s="1" t="s">
        <v>374</v>
      </c>
      <c r="C377" s="2">
        <v>29031</v>
      </c>
      <c r="D377" s="8">
        <v>2.4239999999999998E-5</v>
      </c>
    </row>
    <row r="378" spans="1:4" x14ac:dyDescent="0.2">
      <c r="A378" s="1">
        <v>2022</v>
      </c>
      <c r="B378" s="1" t="s">
        <v>375</v>
      </c>
      <c r="C378" s="2">
        <v>1595052</v>
      </c>
      <c r="D378" s="8">
        <v>1.33157E-3</v>
      </c>
    </row>
    <row r="379" spans="1:4" x14ac:dyDescent="0.2">
      <c r="A379" s="1">
        <v>2022</v>
      </c>
      <c r="B379" s="1" t="s">
        <v>376</v>
      </c>
      <c r="C379" s="2">
        <v>158062</v>
      </c>
      <c r="D379" s="8">
        <v>1.3195000000000001E-4</v>
      </c>
    </row>
    <row r="380" spans="1:4" x14ac:dyDescent="0.2">
      <c r="A380" s="1">
        <v>2022</v>
      </c>
      <c r="B380" s="1" t="s">
        <v>377</v>
      </c>
      <c r="C380" s="2">
        <v>3128766</v>
      </c>
      <c r="D380" s="8">
        <v>2.6119400000000001E-3</v>
      </c>
    </row>
    <row r="381" spans="1:4" x14ac:dyDescent="0.2">
      <c r="A381" s="1">
        <v>2022</v>
      </c>
      <c r="B381" s="1" t="s">
        <v>876</v>
      </c>
      <c r="C381" s="2">
        <v>61783</v>
      </c>
      <c r="D381" s="8">
        <v>5.1579999999999997E-5</v>
      </c>
    </row>
    <row r="382" spans="1:4" x14ac:dyDescent="0.2">
      <c r="A382" s="1">
        <v>2022</v>
      </c>
      <c r="B382" s="1" t="s">
        <v>379</v>
      </c>
      <c r="C382" s="2">
        <v>1977023</v>
      </c>
      <c r="D382" s="8">
        <v>1.6504499999999999E-3</v>
      </c>
    </row>
    <row r="383" spans="1:4" x14ac:dyDescent="0.2">
      <c r="A383" s="1">
        <v>2022</v>
      </c>
      <c r="B383" s="1" t="s">
        <v>380</v>
      </c>
      <c r="C383" s="2">
        <v>531273</v>
      </c>
      <c r="D383" s="8">
        <v>4.4350999999999999E-4</v>
      </c>
    </row>
    <row r="384" spans="1:4" x14ac:dyDescent="0.2">
      <c r="A384" s="1">
        <v>2022</v>
      </c>
      <c r="B384" s="1" t="s">
        <v>381</v>
      </c>
      <c r="C384" s="2">
        <v>2536686</v>
      </c>
      <c r="D384" s="8">
        <v>2.1176599999999999E-3</v>
      </c>
    </row>
    <row r="385" spans="1:4" x14ac:dyDescent="0.2">
      <c r="A385" s="1">
        <v>2022</v>
      </c>
      <c r="B385" s="1" t="s">
        <v>382</v>
      </c>
      <c r="C385" s="2">
        <v>914538</v>
      </c>
      <c r="D385" s="8">
        <v>7.6347000000000003E-4</v>
      </c>
    </row>
    <row r="386" spans="1:4" x14ac:dyDescent="0.2">
      <c r="A386" s="1">
        <v>2022</v>
      </c>
      <c r="B386" s="1" t="s">
        <v>383</v>
      </c>
      <c r="C386" s="2">
        <v>39775</v>
      </c>
      <c r="D386" s="8">
        <v>3.3200000000000001E-5</v>
      </c>
    </row>
    <row r="387" spans="1:4" x14ac:dyDescent="0.2">
      <c r="A387" s="1">
        <v>2022</v>
      </c>
      <c r="B387" s="1" t="s">
        <v>384</v>
      </c>
      <c r="C387" s="2">
        <v>2443577</v>
      </c>
      <c r="D387" s="8">
        <v>2.0399300000000001E-3</v>
      </c>
    </row>
    <row r="388" spans="1:4" x14ac:dyDescent="0.2">
      <c r="A388" s="1">
        <v>2022</v>
      </c>
      <c r="B388" s="1" t="s">
        <v>385</v>
      </c>
      <c r="C388" s="2">
        <v>7249</v>
      </c>
      <c r="D388" s="8">
        <v>6.0499999999999997E-6</v>
      </c>
    </row>
    <row r="389" spans="1:4" x14ac:dyDescent="0.2">
      <c r="A389" s="1">
        <v>2022</v>
      </c>
      <c r="B389" s="1" t="s">
        <v>386</v>
      </c>
      <c r="C389" s="2">
        <v>6653770</v>
      </c>
      <c r="D389" s="8">
        <v>5.5546600000000003E-3</v>
      </c>
    </row>
    <row r="390" spans="1:4" x14ac:dyDescent="0.2">
      <c r="A390" s="1">
        <v>2022</v>
      </c>
      <c r="B390" s="1" t="s">
        <v>877</v>
      </c>
      <c r="C390" s="2">
        <v>139043</v>
      </c>
      <c r="D390" s="8">
        <v>1.1608E-4</v>
      </c>
    </row>
    <row r="391" spans="1:4" x14ac:dyDescent="0.2">
      <c r="A391" s="1">
        <v>2022</v>
      </c>
      <c r="B391" s="1" t="s">
        <v>388</v>
      </c>
      <c r="C391" s="2">
        <v>1344731</v>
      </c>
      <c r="D391" s="8">
        <v>1.1226000000000001E-3</v>
      </c>
    </row>
    <row r="392" spans="1:4" x14ac:dyDescent="0.2">
      <c r="A392" s="1">
        <v>2022</v>
      </c>
      <c r="B392" s="1" t="s">
        <v>389</v>
      </c>
      <c r="C392" s="2">
        <v>72315</v>
      </c>
      <c r="D392" s="8">
        <v>6.037E-5</v>
      </c>
    </row>
    <row r="393" spans="1:4" x14ac:dyDescent="0.2">
      <c r="A393" s="1">
        <v>2022</v>
      </c>
      <c r="B393" s="1" t="s">
        <v>390</v>
      </c>
      <c r="C393" s="2">
        <v>291160</v>
      </c>
      <c r="D393" s="8">
        <v>2.4305999999999999E-4</v>
      </c>
    </row>
    <row r="394" spans="1:4" x14ac:dyDescent="0.2">
      <c r="A394" s="1">
        <v>2022</v>
      </c>
      <c r="B394" s="1" t="s">
        <v>391</v>
      </c>
      <c r="C394" s="2">
        <v>19566</v>
      </c>
      <c r="D394" s="8">
        <v>1.6330000000000001E-5</v>
      </c>
    </row>
    <row r="395" spans="1:4" x14ac:dyDescent="0.2">
      <c r="A395" s="1">
        <v>2022</v>
      </c>
      <c r="B395" s="1" t="s">
        <v>392</v>
      </c>
      <c r="C395" s="2">
        <v>319109</v>
      </c>
      <c r="D395" s="8">
        <v>2.6640000000000002E-4</v>
      </c>
    </row>
    <row r="396" spans="1:4" x14ac:dyDescent="0.2">
      <c r="A396" s="1">
        <v>2022</v>
      </c>
      <c r="B396" s="1" t="s">
        <v>393</v>
      </c>
      <c r="C396" s="2">
        <v>1086150</v>
      </c>
      <c r="D396" s="8">
        <v>9.0673000000000001E-4</v>
      </c>
    </row>
    <row r="397" spans="1:4" x14ac:dyDescent="0.2">
      <c r="A397" s="1">
        <v>2022</v>
      </c>
      <c r="B397" s="1" t="s">
        <v>394</v>
      </c>
      <c r="C397" s="2">
        <v>1556</v>
      </c>
      <c r="D397" s="8">
        <v>1.3E-6</v>
      </c>
    </row>
    <row r="398" spans="1:4" x14ac:dyDescent="0.2">
      <c r="A398" s="1">
        <v>2022</v>
      </c>
      <c r="B398" s="1" t="s">
        <v>395</v>
      </c>
      <c r="C398" s="2">
        <v>214078</v>
      </c>
      <c r="D398" s="8">
        <v>1.7872E-4</v>
      </c>
    </row>
    <row r="399" spans="1:4" x14ac:dyDescent="0.2">
      <c r="A399" s="1">
        <v>2022</v>
      </c>
      <c r="B399" s="1" t="s">
        <v>396</v>
      </c>
      <c r="C399" s="2">
        <v>168453</v>
      </c>
      <c r="D399" s="8">
        <v>1.4062999999999999E-4</v>
      </c>
    </row>
    <row r="400" spans="1:4" x14ac:dyDescent="0.2">
      <c r="A400" s="1">
        <v>2022</v>
      </c>
      <c r="B400" s="1" t="s">
        <v>397</v>
      </c>
      <c r="C400" s="2">
        <v>86519</v>
      </c>
      <c r="D400" s="8">
        <v>7.2230000000000005E-5</v>
      </c>
    </row>
    <row r="401" spans="1:4" x14ac:dyDescent="0.2">
      <c r="A401" s="1">
        <v>2022</v>
      </c>
      <c r="B401" s="1" t="s">
        <v>398</v>
      </c>
      <c r="C401" s="2">
        <v>56613</v>
      </c>
      <c r="D401" s="8">
        <v>4.7259999999999998E-5</v>
      </c>
    </row>
    <row r="402" spans="1:4" x14ac:dyDescent="0.2">
      <c r="A402" s="1">
        <v>2022</v>
      </c>
      <c r="B402" s="1" t="s">
        <v>399</v>
      </c>
      <c r="C402" s="2">
        <v>2513423</v>
      </c>
      <c r="D402" s="8">
        <v>2.0982399999999999E-3</v>
      </c>
    </row>
    <row r="403" spans="1:4" x14ac:dyDescent="0.2">
      <c r="A403" s="1">
        <v>2022</v>
      </c>
      <c r="B403" s="1" t="s">
        <v>400</v>
      </c>
      <c r="C403" s="2">
        <v>1000704</v>
      </c>
      <c r="D403" s="8">
        <v>8.3540000000000003E-4</v>
      </c>
    </row>
    <row r="404" spans="1:4" x14ac:dyDescent="0.2">
      <c r="A404" s="1">
        <v>2022</v>
      </c>
      <c r="B404" s="1" t="s">
        <v>878</v>
      </c>
      <c r="C404" s="2">
        <v>64646</v>
      </c>
      <c r="D404" s="8">
        <v>5.397E-5</v>
      </c>
    </row>
    <row r="405" spans="1:4" x14ac:dyDescent="0.2">
      <c r="A405" s="1">
        <v>2022</v>
      </c>
      <c r="B405" s="1" t="s">
        <v>402</v>
      </c>
      <c r="C405" s="2">
        <v>919443</v>
      </c>
      <c r="D405" s="8">
        <v>7.6756000000000003E-4</v>
      </c>
    </row>
    <row r="406" spans="1:4" x14ac:dyDescent="0.2">
      <c r="A406" s="1">
        <v>2022</v>
      </c>
      <c r="B406" s="1" t="s">
        <v>403</v>
      </c>
      <c r="C406" s="2">
        <v>3131477</v>
      </c>
      <c r="D406" s="8">
        <v>2.6142000000000001E-3</v>
      </c>
    </row>
    <row r="407" spans="1:4" x14ac:dyDescent="0.2">
      <c r="A407" s="1">
        <v>2022</v>
      </c>
      <c r="B407" s="1" t="s">
        <v>404</v>
      </c>
      <c r="C407" s="2">
        <v>7646</v>
      </c>
      <c r="D407" s="8">
        <v>6.3799999999999999E-6</v>
      </c>
    </row>
    <row r="408" spans="1:4" x14ac:dyDescent="0.2">
      <c r="A408" s="1">
        <v>2022</v>
      </c>
      <c r="B408" s="1" t="s">
        <v>405</v>
      </c>
      <c r="C408" s="2">
        <v>10235</v>
      </c>
      <c r="D408" s="8">
        <v>8.5399999999999996E-6</v>
      </c>
    </row>
    <row r="409" spans="1:4" x14ac:dyDescent="0.2">
      <c r="A409" s="1">
        <v>2022</v>
      </c>
      <c r="B409" s="1" t="s">
        <v>406</v>
      </c>
      <c r="C409" s="2">
        <v>473204</v>
      </c>
      <c r="D409" s="8">
        <v>3.9503999999999999E-4</v>
      </c>
    </row>
    <row r="410" spans="1:4" x14ac:dyDescent="0.2">
      <c r="A410" s="1">
        <v>2022</v>
      </c>
      <c r="B410" s="1" t="s">
        <v>407</v>
      </c>
      <c r="C410" s="2">
        <v>167036</v>
      </c>
      <c r="D410" s="8">
        <v>1.3944000000000001E-4</v>
      </c>
    </row>
    <row r="411" spans="1:4" x14ac:dyDescent="0.2">
      <c r="A411" s="1">
        <v>2022</v>
      </c>
      <c r="B411" s="1" t="s">
        <v>408</v>
      </c>
      <c r="C411" s="2">
        <v>42546</v>
      </c>
      <c r="D411" s="8">
        <v>3.5519999999999999E-5</v>
      </c>
    </row>
    <row r="412" spans="1:4" x14ac:dyDescent="0.2">
      <c r="A412" s="1">
        <v>2022</v>
      </c>
      <c r="B412" s="1" t="s">
        <v>409</v>
      </c>
      <c r="C412" s="2">
        <v>2908224</v>
      </c>
      <c r="D412" s="8">
        <v>2.4278300000000002E-3</v>
      </c>
    </row>
    <row r="413" spans="1:4" x14ac:dyDescent="0.2">
      <c r="A413" s="1">
        <v>2022</v>
      </c>
      <c r="B413" s="1" t="s">
        <v>410</v>
      </c>
      <c r="C413" s="2">
        <v>120789</v>
      </c>
      <c r="D413" s="8">
        <v>1.0084E-4</v>
      </c>
    </row>
    <row r="414" spans="1:4" x14ac:dyDescent="0.2">
      <c r="A414" s="1">
        <v>2022</v>
      </c>
      <c r="B414" s="1" t="s">
        <v>411</v>
      </c>
      <c r="C414" s="2">
        <v>5300901</v>
      </c>
      <c r="D414" s="8">
        <v>4.4252700000000002E-3</v>
      </c>
    </row>
    <row r="415" spans="1:4" x14ac:dyDescent="0.2">
      <c r="A415" s="1">
        <v>2022</v>
      </c>
      <c r="B415" s="1" t="s">
        <v>412</v>
      </c>
      <c r="C415" s="2">
        <v>2197112</v>
      </c>
      <c r="D415" s="8">
        <v>1.8341799999999999E-3</v>
      </c>
    </row>
    <row r="416" spans="1:4" x14ac:dyDescent="0.2">
      <c r="A416" s="1">
        <v>2022</v>
      </c>
      <c r="B416" s="1" t="s">
        <v>413</v>
      </c>
      <c r="C416" s="2">
        <v>318793</v>
      </c>
      <c r="D416" s="8">
        <v>2.6613E-4</v>
      </c>
    </row>
    <row r="417" spans="1:4" x14ac:dyDescent="0.2">
      <c r="A417" s="1">
        <v>2022</v>
      </c>
      <c r="B417" s="1" t="s">
        <v>414</v>
      </c>
      <c r="C417" s="2">
        <v>4475</v>
      </c>
      <c r="D417" s="8">
        <v>3.7400000000000002E-6</v>
      </c>
    </row>
    <row r="418" spans="1:4" x14ac:dyDescent="0.2">
      <c r="A418" s="1">
        <v>2022</v>
      </c>
      <c r="B418" s="1" t="s">
        <v>415</v>
      </c>
      <c r="C418" s="2">
        <v>116920</v>
      </c>
      <c r="D418" s="8">
        <v>9.7609999999999995E-5</v>
      </c>
    </row>
    <row r="419" spans="1:4" x14ac:dyDescent="0.2">
      <c r="A419" s="1">
        <v>2022</v>
      </c>
      <c r="B419" s="1" t="s">
        <v>416</v>
      </c>
      <c r="C419" s="2">
        <v>20468</v>
      </c>
      <c r="D419" s="8">
        <v>1.7090000000000001E-5</v>
      </c>
    </row>
    <row r="420" spans="1:4" x14ac:dyDescent="0.2">
      <c r="A420" s="1">
        <v>2022</v>
      </c>
      <c r="B420" s="1" t="s">
        <v>417</v>
      </c>
      <c r="C420" s="2">
        <v>30590</v>
      </c>
      <c r="D420" s="8">
        <v>2.5539999999999999E-5</v>
      </c>
    </row>
    <row r="421" spans="1:4" x14ac:dyDescent="0.2">
      <c r="A421" s="1">
        <v>2022</v>
      </c>
      <c r="B421" s="1" t="s">
        <v>418</v>
      </c>
      <c r="C421" s="2">
        <v>140962</v>
      </c>
      <c r="D421" s="8">
        <v>1.1768E-4</v>
      </c>
    </row>
    <row r="422" spans="1:4" x14ac:dyDescent="0.2">
      <c r="A422" s="1">
        <v>2022</v>
      </c>
      <c r="B422" s="1" t="s">
        <v>419</v>
      </c>
      <c r="C422" s="2">
        <v>73177</v>
      </c>
      <c r="D422" s="8">
        <v>6.109E-5</v>
      </c>
    </row>
    <row r="423" spans="1:4" x14ac:dyDescent="0.2">
      <c r="A423" s="1">
        <v>2022</v>
      </c>
      <c r="B423" s="1" t="s">
        <v>420</v>
      </c>
      <c r="C423" s="2">
        <v>1794052</v>
      </c>
      <c r="D423" s="8">
        <v>1.4977E-3</v>
      </c>
    </row>
    <row r="424" spans="1:4" x14ac:dyDescent="0.2">
      <c r="A424" s="1">
        <v>2022</v>
      </c>
      <c r="B424" s="1" t="s">
        <v>879</v>
      </c>
      <c r="C424" s="2">
        <v>210444</v>
      </c>
      <c r="D424" s="8">
        <v>1.7568E-4</v>
      </c>
    </row>
    <row r="425" spans="1:4" x14ac:dyDescent="0.2">
      <c r="A425" s="1">
        <v>2022</v>
      </c>
      <c r="B425" s="1" t="s">
        <v>422</v>
      </c>
      <c r="C425" s="2">
        <v>14516513</v>
      </c>
      <c r="D425" s="8">
        <v>1.21186E-2</v>
      </c>
    </row>
    <row r="426" spans="1:4" x14ac:dyDescent="0.2">
      <c r="A426" s="1">
        <v>2022</v>
      </c>
      <c r="B426" s="1" t="s">
        <v>423</v>
      </c>
      <c r="C426" s="2">
        <v>3525251</v>
      </c>
      <c r="D426" s="8">
        <v>2.9429299999999999E-3</v>
      </c>
    </row>
    <row r="427" spans="1:4" x14ac:dyDescent="0.2">
      <c r="A427" s="1">
        <v>2022</v>
      </c>
      <c r="B427" s="1" t="s">
        <v>424</v>
      </c>
      <c r="C427" s="2">
        <v>91312</v>
      </c>
      <c r="D427" s="8">
        <v>7.6229999999999994E-5</v>
      </c>
    </row>
    <row r="428" spans="1:4" x14ac:dyDescent="0.2">
      <c r="A428" s="1">
        <v>2022</v>
      </c>
      <c r="B428" s="1" t="s">
        <v>425</v>
      </c>
      <c r="C428" s="2">
        <v>504512</v>
      </c>
      <c r="D428" s="8">
        <v>4.2117000000000001E-4</v>
      </c>
    </row>
    <row r="429" spans="1:4" x14ac:dyDescent="0.2">
      <c r="A429" s="1">
        <v>2022</v>
      </c>
      <c r="B429" s="1" t="s">
        <v>426</v>
      </c>
      <c r="C429" s="2">
        <v>10680</v>
      </c>
      <c r="D429" s="8">
        <v>8.9199999999999993E-6</v>
      </c>
    </row>
    <row r="430" spans="1:4" x14ac:dyDescent="0.2">
      <c r="A430" s="1">
        <v>2022</v>
      </c>
      <c r="B430" s="1" t="s">
        <v>427</v>
      </c>
      <c r="C430" s="2">
        <v>275996</v>
      </c>
      <c r="D430" s="8">
        <v>2.3041000000000001E-4</v>
      </c>
    </row>
    <row r="431" spans="1:4" x14ac:dyDescent="0.2">
      <c r="A431" s="1">
        <v>2022</v>
      </c>
      <c r="B431" s="1" t="s">
        <v>428</v>
      </c>
      <c r="C431" s="2">
        <v>354441</v>
      </c>
      <c r="D431" s="8">
        <v>2.9588999999999999E-4</v>
      </c>
    </row>
    <row r="432" spans="1:4" x14ac:dyDescent="0.2">
      <c r="A432" s="1">
        <v>2022</v>
      </c>
      <c r="B432" s="1" t="s">
        <v>429</v>
      </c>
      <c r="C432" s="2">
        <v>178449</v>
      </c>
      <c r="D432" s="8">
        <v>1.4897000000000001E-4</v>
      </c>
    </row>
    <row r="433" spans="1:4" x14ac:dyDescent="0.2">
      <c r="A433" s="1">
        <v>2022</v>
      </c>
      <c r="B433" s="1" t="s">
        <v>430</v>
      </c>
      <c r="C433" s="2">
        <v>4042034</v>
      </c>
      <c r="D433" s="8">
        <v>3.3743499999999999E-3</v>
      </c>
    </row>
    <row r="434" spans="1:4" x14ac:dyDescent="0.2">
      <c r="A434" s="1">
        <v>2022</v>
      </c>
      <c r="B434" s="1" t="s">
        <v>431</v>
      </c>
      <c r="C434" s="2">
        <v>48281</v>
      </c>
      <c r="D434" s="8">
        <v>4.0309999999999999E-5</v>
      </c>
    </row>
    <row r="435" spans="1:4" x14ac:dyDescent="0.2">
      <c r="A435" s="1">
        <v>2022</v>
      </c>
      <c r="B435" s="1" t="s">
        <v>432</v>
      </c>
      <c r="C435" s="2">
        <v>8940</v>
      </c>
      <c r="D435" s="8">
        <v>7.4599999999999997E-6</v>
      </c>
    </row>
    <row r="436" spans="1:4" x14ac:dyDescent="0.2">
      <c r="A436" s="1">
        <v>2022</v>
      </c>
      <c r="B436" s="1" t="s">
        <v>433</v>
      </c>
      <c r="C436" s="2">
        <v>2333797</v>
      </c>
      <c r="D436" s="8">
        <v>1.9482900000000001E-3</v>
      </c>
    </row>
    <row r="437" spans="1:4" x14ac:dyDescent="0.2">
      <c r="A437" s="1">
        <v>2022</v>
      </c>
      <c r="B437" s="1" t="s">
        <v>434</v>
      </c>
      <c r="C437" s="2">
        <v>1120379</v>
      </c>
      <c r="D437" s="8">
        <v>9.3530999999999996E-4</v>
      </c>
    </row>
    <row r="438" spans="1:4" x14ac:dyDescent="0.2">
      <c r="A438" s="1">
        <v>2022</v>
      </c>
      <c r="B438" s="1" t="s">
        <v>435</v>
      </c>
      <c r="C438" s="2">
        <v>7057</v>
      </c>
      <c r="D438" s="8">
        <v>5.8900000000000004E-6</v>
      </c>
    </row>
    <row r="439" spans="1:4" x14ac:dyDescent="0.2">
      <c r="A439" s="1">
        <v>2022</v>
      </c>
      <c r="B439" s="1" t="s">
        <v>436</v>
      </c>
      <c r="C439" s="2">
        <v>74080</v>
      </c>
      <c r="D439" s="8">
        <v>6.1840000000000004E-5</v>
      </c>
    </row>
    <row r="440" spans="1:4" x14ac:dyDescent="0.2">
      <c r="A440" s="1">
        <v>2022</v>
      </c>
      <c r="B440" s="1" t="s">
        <v>437</v>
      </c>
      <c r="C440" s="2">
        <v>87150</v>
      </c>
      <c r="D440" s="8">
        <v>7.2750000000000007E-5</v>
      </c>
    </row>
    <row r="441" spans="1:4" x14ac:dyDescent="0.2">
      <c r="A441" s="1">
        <v>2022</v>
      </c>
      <c r="B441" s="1" t="s">
        <v>880</v>
      </c>
      <c r="C441" s="2">
        <v>8474</v>
      </c>
      <c r="D441" s="8">
        <v>7.0700000000000001E-6</v>
      </c>
    </row>
    <row r="442" spans="1:4" x14ac:dyDescent="0.2">
      <c r="A442" s="1">
        <v>2022</v>
      </c>
      <c r="B442" s="1" t="s">
        <v>439</v>
      </c>
      <c r="C442" s="2">
        <v>2737328</v>
      </c>
      <c r="D442" s="8">
        <v>2.2851600000000001E-3</v>
      </c>
    </row>
    <row r="443" spans="1:4" x14ac:dyDescent="0.2">
      <c r="A443" s="1">
        <v>2022</v>
      </c>
      <c r="B443" s="1" t="s">
        <v>440</v>
      </c>
      <c r="C443" s="2">
        <v>1628677</v>
      </c>
      <c r="D443" s="8">
        <v>1.3596400000000001E-3</v>
      </c>
    </row>
    <row r="444" spans="1:4" x14ac:dyDescent="0.2">
      <c r="A444" s="1">
        <v>2022</v>
      </c>
      <c r="B444" s="1" t="s">
        <v>441</v>
      </c>
      <c r="C444" s="2">
        <v>20414</v>
      </c>
      <c r="D444" s="8">
        <v>1.7039999999999999E-5</v>
      </c>
    </row>
    <row r="445" spans="1:4" x14ac:dyDescent="0.2">
      <c r="A445" s="1">
        <v>2022</v>
      </c>
      <c r="B445" s="1" t="s">
        <v>442</v>
      </c>
      <c r="C445" s="2">
        <v>48322</v>
      </c>
      <c r="D445" s="8">
        <v>4.0339999999999997E-5</v>
      </c>
    </row>
    <row r="446" spans="1:4" x14ac:dyDescent="0.2">
      <c r="A446" s="1">
        <v>2022</v>
      </c>
      <c r="B446" s="1" t="s">
        <v>443</v>
      </c>
      <c r="C446" s="2">
        <v>1182594</v>
      </c>
      <c r="D446" s="8">
        <v>9.8725000000000006E-4</v>
      </c>
    </row>
    <row r="447" spans="1:4" x14ac:dyDescent="0.2">
      <c r="A447" s="1">
        <v>2022</v>
      </c>
      <c r="B447" s="1" t="s">
        <v>444</v>
      </c>
      <c r="C447" s="2">
        <v>131602</v>
      </c>
      <c r="D447" s="8">
        <v>1.0986E-4</v>
      </c>
    </row>
    <row r="448" spans="1:4" x14ac:dyDescent="0.2">
      <c r="A448" s="1">
        <v>2022</v>
      </c>
      <c r="B448" s="1" t="s">
        <v>445</v>
      </c>
      <c r="C448" s="2">
        <v>2823743</v>
      </c>
      <c r="D448" s="8">
        <v>2.3573000000000001E-3</v>
      </c>
    </row>
    <row r="449" spans="1:4" x14ac:dyDescent="0.2">
      <c r="A449" s="1">
        <v>2022</v>
      </c>
      <c r="B449" s="1" t="s">
        <v>446</v>
      </c>
      <c r="C449" s="2">
        <v>14157</v>
      </c>
      <c r="D449" s="8">
        <v>1.182E-5</v>
      </c>
    </row>
    <row r="450" spans="1:4" x14ac:dyDescent="0.2">
      <c r="A450" s="1">
        <v>2022</v>
      </c>
      <c r="B450" s="1" t="s">
        <v>447</v>
      </c>
      <c r="C450" s="2">
        <v>31337</v>
      </c>
      <c r="D450" s="8">
        <v>2.616E-5</v>
      </c>
    </row>
    <row r="451" spans="1:4" x14ac:dyDescent="0.2">
      <c r="A451" s="1">
        <v>2022</v>
      </c>
      <c r="B451" s="1" t="s">
        <v>881</v>
      </c>
      <c r="C451" s="2">
        <v>6471275</v>
      </c>
      <c r="D451" s="8">
        <v>5.4023099999999996E-3</v>
      </c>
    </row>
    <row r="452" spans="1:4" x14ac:dyDescent="0.2">
      <c r="A452" s="1">
        <v>2022</v>
      </c>
      <c r="B452" s="1" t="s">
        <v>449</v>
      </c>
      <c r="C452" s="2">
        <v>232740</v>
      </c>
      <c r="D452" s="8">
        <v>1.9429000000000001E-4</v>
      </c>
    </row>
    <row r="453" spans="1:4" x14ac:dyDescent="0.2">
      <c r="A453" s="1">
        <v>2022</v>
      </c>
      <c r="B453" s="1" t="s">
        <v>450</v>
      </c>
      <c r="C453" s="2">
        <v>137370</v>
      </c>
      <c r="D453" s="8">
        <v>1.1468000000000001E-4</v>
      </c>
    </row>
    <row r="454" spans="1:4" x14ac:dyDescent="0.2">
      <c r="A454" s="1">
        <v>2022</v>
      </c>
      <c r="B454" s="1" t="s">
        <v>905</v>
      </c>
      <c r="C454" s="2">
        <v>1804769</v>
      </c>
      <c r="D454" s="8">
        <v>1.50665E-3</v>
      </c>
    </row>
    <row r="455" spans="1:4" x14ac:dyDescent="0.2">
      <c r="A455" s="1">
        <v>2022</v>
      </c>
      <c r="B455" s="1" t="s">
        <v>905</v>
      </c>
      <c r="C455" s="2">
        <v>2202967</v>
      </c>
      <c r="D455" s="8">
        <v>1.8390699999999999E-3</v>
      </c>
    </row>
    <row r="456" spans="1:4" x14ac:dyDescent="0.2">
      <c r="A456" s="1">
        <v>2022</v>
      </c>
      <c r="B456" s="1" t="s">
        <v>905</v>
      </c>
      <c r="C456" s="2">
        <v>2729202</v>
      </c>
      <c r="D456" s="8">
        <v>2.27838E-3</v>
      </c>
    </row>
    <row r="457" spans="1:4" x14ac:dyDescent="0.2">
      <c r="A457" s="1">
        <v>2022</v>
      </c>
      <c r="B457" s="1" t="s">
        <v>454</v>
      </c>
      <c r="C457" s="2">
        <v>963667</v>
      </c>
      <c r="D457" s="8">
        <v>8.0448E-4</v>
      </c>
    </row>
    <row r="458" spans="1:4" x14ac:dyDescent="0.2">
      <c r="A458" s="1">
        <v>2022</v>
      </c>
      <c r="B458" s="1" t="s">
        <v>455</v>
      </c>
      <c r="C458" s="2">
        <v>494940</v>
      </c>
      <c r="D458" s="8">
        <v>4.1318000000000003E-4</v>
      </c>
    </row>
    <row r="459" spans="1:4" x14ac:dyDescent="0.2">
      <c r="A459" s="1">
        <v>2022</v>
      </c>
      <c r="B459" s="1" t="s">
        <v>456</v>
      </c>
      <c r="C459" s="2">
        <v>2941895</v>
      </c>
      <c r="D459" s="8">
        <v>2.4559400000000002E-3</v>
      </c>
    </row>
    <row r="460" spans="1:4" x14ac:dyDescent="0.2">
      <c r="A460" s="1">
        <v>2022</v>
      </c>
      <c r="B460" s="1" t="s">
        <v>457</v>
      </c>
      <c r="C460" s="2">
        <v>2806957</v>
      </c>
      <c r="D460" s="8">
        <v>2.34329E-3</v>
      </c>
    </row>
    <row r="461" spans="1:4" x14ac:dyDescent="0.2">
      <c r="A461" s="1">
        <v>2022</v>
      </c>
      <c r="B461" s="1" t="s">
        <v>458</v>
      </c>
      <c r="C461" s="2">
        <v>373964</v>
      </c>
      <c r="D461" s="8">
        <v>3.1219E-4</v>
      </c>
    </row>
    <row r="462" spans="1:4" x14ac:dyDescent="0.2">
      <c r="A462" s="1">
        <v>2022</v>
      </c>
      <c r="B462" s="1" t="s">
        <v>459</v>
      </c>
      <c r="C462" s="2">
        <v>6237459</v>
      </c>
      <c r="D462" s="8">
        <v>5.20712E-3</v>
      </c>
    </row>
    <row r="463" spans="1:4" x14ac:dyDescent="0.2">
      <c r="A463" s="1">
        <v>2022</v>
      </c>
      <c r="B463" s="1" t="s">
        <v>882</v>
      </c>
      <c r="C463" s="2">
        <v>78479</v>
      </c>
      <c r="D463" s="8">
        <v>6.5519999999999996E-5</v>
      </c>
    </row>
    <row r="464" spans="1:4" x14ac:dyDescent="0.2">
      <c r="A464" s="1">
        <v>2022</v>
      </c>
      <c r="B464" s="1" t="s">
        <v>461</v>
      </c>
      <c r="C464" s="2">
        <v>23728</v>
      </c>
      <c r="D464" s="8">
        <v>1.9809999999999998E-5</v>
      </c>
    </row>
    <row r="465" spans="1:4" x14ac:dyDescent="0.2">
      <c r="A465" s="1">
        <v>2022</v>
      </c>
      <c r="B465" s="1" t="s">
        <v>462</v>
      </c>
      <c r="C465" s="2">
        <v>185009</v>
      </c>
      <c r="D465" s="8">
        <v>1.5444999999999999E-4</v>
      </c>
    </row>
    <row r="466" spans="1:4" x14ac:dyDescent="0.2">
      <c r="A466" s="1">
        <v>2022</v>
      </c>
      <c r="B466" s="1" t="s">
        <v>883</v>
      </c>
      <c r="C466" s="2">
        <v>15356</v>
      </c>
      <c r="D466" s="8">
        <v>1.2819999999999999E-5</v>
      </c>
    </row>
    <row r="467" spans="1:4" x14ac:dyDescent="0.2">
      <c r="A467" s="1">
        <v>2022</v>
      </c>
      <c r="B467" s="1" t="s">
        <v>464</v>
      </c>
      <c r="C467" s="2">
        <v>267142</v>
      </c>
      <c r="D467" s="8">
        <v>2.2300999999999999E-4</v>
      </c>
    </row>
    <row r="468" spans="1:4" x14ac:dyDescent="0.2">
      <c r="A468" s="1">
        <v>2022</v>
      </c>
      <c r="B468" s="1" t="s">
        <v>465</v>
      </c>
      <c r="C468" s="2">
        <v>1679696</v>
      </c>
      <c r="D468" s="8">
        <v>1.40223E-3</v>
      </c>
    </row>
    <row r="469" spans="1:4" x14ac:dyDescent="0.2">
      <c r="A469" s="1">
        <v>2022</v>
      </c>
      <c r="B469" s="1" t="s">
        <v>466</v>
      </c>
      <c r="C469" s="2">
        <v>3087738</v>
      </c>
      <c r="D469" s="8">
        <v>2.5776900000000001E-3</v>
      </c>
    </row>
    <row r="470" spans="1:4" x14ac:dyDescent="0.2">
      <c r="A470" s="1">
        <v>2022</v>
      </c>
      <c r="B470" s="1" t="s">
        <v>467</v>
      </c>
      <c r="C470" s="2">
        <v>676951</v>
      </c>
      <c r="D470" s="8">
        <v>5.6512999999999995E-4</v>
      </c>
    </row>
    <row r="471" spans="1:4" x14ac:dyDescent="0.2">
      <c r="A471" s="1">
        <v>2022</v>
      </c>
      <c r="B471" s="1" t="s">
        <v>468</v>
      </c>
      <c r="C471" s="2">
        <v>649535</v>
      </c>
      <c r="D471" s="8">
        <v>5.4224000000000004E-4</v>
      </c>
    </row>
    <row r="472" spans="1:4" x14ac:dyDescent="0.2">
      <c r="A472" s="1">
        <v>2022</v>
      </c>
      <c r="B472" s="1" t="s">
        <v>469</v>
      </c>
      <c r="C472" s="2">
        <v>4959549</v>
      </c>
      <c r="D472" s="8">
        <v>4.1403000000000004E-3</v>
      </c>
    </row>
    <row r="473" spans="1:4" x14ac:dyDescent="0.2">
      <c r="A473" s="1">
        <v>2022</v>
      </c>
      <c r="B473" s="1" t="s">
        <v>470</v>
      </c>
      <c r="C473" s="2">
        <v>3851447</v>
      </c>
      <c r="D473" s="8">
        <v>3.2152399999999999E-3</v>
      </c>
    </row>
    <row r="474" spans="1:4" x14ac:dyDescent="0.2">
      <c r="A474" s="1">
        <v>2022</v>
      </c>
      <c r="B474" s="1" t="s">
        <v>471</v>
      </c>
      <c r="C474" s="2">
        <v>740317</v>
      </c>
      <c r="D474" s="8">
        <v>6.1802999999999999E-4</v>
      </c>
    </row>
    <row r="475" spans="1:4" x14ac:dyDescent="0.2">
      <c r="A475" s="1">
        <v>2022</v>
      </c>
      <c r="B475" s="1" t="s">
        <v>472</v>
      </c>
      <c r="C475" s="2">
        <v>276534</v>
      </c>
      <c r="D475" s="8">
        <v>2.3085E-4</v>
      </c>
    </row>
    <row r="476" spans="1:4" x14ac:dyDescent="0.2">
      <c r="A476" s="1">
        <v>2022</v>
      </c>
      <c r="B476" s="1" t="s">
        <v>473</v>
      </c>
      <c r="C476" s="2">
        <v>276019</v>
      </c>
      <c r="D476" s="8">
        <v>2.3042000000000001E-4</v>
      </c>
    </row>
    <row r="477" spans="1:4" x14ac:dyDescent="0.2">
      <c r="A477" s="1">
        <v>2022</v>
      </c>
      <c r="B477" s="1" t="s">
        <v>474</v>
      </c>
      <c r="C477" s="2">
        <v>8804318</v>
      </c>
      <c r="D477" s="8">
        <v>7.3499699999999999E-3</v>
      </c>
    </row>
    <row r="478" spans="1:4" x14ac:dyDescent="0.2">
      <c r="A478" s="1">
        <v>2022</v>
      </c>
      <c r="B478" s="1" t="s">
        <v>475</v>
      </c>
      <c r="C478" s="2">
        <v>868338</v>
      </c>
      <c r="D478" s="8">
        <v>7.249E-4</v>
      </c>
    </row>
    <row r="479" spans="1:4" x14ac:dyDescent="0.2">
      <c r="A479" s="1">
        <v>2022</v>
      </c>
      <c r="B479" s="1" t="s">
        <v>476</v>
      </c>
      <c r="C479" s="2">
        <v>39074852</v>
      </c>
      <c r="D479" s="8">
        <v>3.2620250000000003E-2</v>
      </c>
    </row>
    <row r="480" spans="1:4" x14ac:dyDescent="0.2">
      <c r="A480" s="1">
        <v>2022</v>
      </c>
      <c r="B480" s="1" t="s">
        <v>477</v>
      </c>
      <c r="C480" s="2">
        <v>8270</v>
      </c>
      <c r="D480" s="8">
        <v>6.9E-6</v>
      </c>
    </row>
    <row r="481" spans="1:4" x14ac:dyDescent="0.2">
      <c r="A481" s="1">
        <v>2022</v>
      </c>
      <c r="B481" s="1" t="s">
        <v>478</v>
      </c>
      <c r="C481" s="2">
        <v>2144268</v>
      </c>
      <c r="D481" s="8">
        <v>1.7900699999999999E-3</v>
      </c>
    </row>
    <row r="482" spans="1:4" x14ac:dyDescent="0.2">
      <c r="A482" s="1">
        <v>2022</v>
      </c>
      <c r="B482" s="1" t="s">
        <v>479</v>
      </c>
      <c r="C482" s="2">
        <v>1409130</v>
      </c>
      <c r="D482" s="8">
        <v>1.17636E-3</v>
      </c>
    </row>
    <row r="483" spans="1:4" x14ac:dyDescent="0.2">
      <c r="A483" s="1">
        <v>2022</v>
      </c>
      <c r="B483" s="1" t="s">
        <v>480</v>
      </c>
      <c r="C483" s="2">
        <v>4520</v>
      </c>
      <c r="D483" s="8">
        <v>3.7699999999999999E-6</v>
      </c>
    </row>
    <row r="484" spans="1:4" x14ac:dyDescent="0.2">
      <c r="A484" s="1">
        <v>2022</v>
      </c>
      <c r="B484" s="1" t="s">
        <v>481</v>
      </c>
      <c r="C484" s="2">
        <v>338287</v>
      </c>
      <c r="D484" s="8">
        <v>2.8240999999999997E-4</v>
      </c>
    </row>
    <row r="485" spans="1:4" x14ac:dyDescent="0.2">
      <c r="A485" s="1">
        <v>2022</v>
      </c>
      <c r="B485" s="1" t="s">
        <v>482</v>
      </c>
      <c r="C485" s="2">
        <v>140737</v>
      </c>
      <c r="D485" s="8">
        <v>1.1749E-4</v>
      </c>
    </row>
    <row r="486" spans="1:4" x14ac:dyDescent="0.2">
      <c r="A486" s="1">
        <v>2022</v>
      </c>
      <c r="B486" s="1" t="s">
        <v>483</v>
      </c>
      <c r="C486" s="2">
        <v>83267</v>
      </c>
      <c r="D486" s="8">
        <v>6.9510000000000004E-5</v>
      </c>
    </row>
    <row r="487" spans="1:4" x14ac:dyDescent="0.2">
      <c r="A487" s="1">
        <v>2022</v>
      </c>
      <c r="B487" s="1" t="s">
        <v>484</v>
      </c>
      <c r="C487" s="2">
        <v>215674</v>
      </c>
      <c r="D487" s="8">
        <v>1.8005000000000001E-4</v>
      </c>
    </row>
    <row r="488" spans="1:4" x14ac:dyDescent="0.2">
      <c r="A488" s="1">
        <v>2022</v>
      </c>
      <c r="B488" s="1" t="s">
        <v>485</v>
      </c>
      <c r="C488" s="2">
        <v>637656</v>
      </c>
      <c r="D488" s="8">
        <v>5.3231999999999997E-4</v>
      </c>
    </row>
    <row r="489" spans="1:4" x14ac:dyDescent="0.2">
      <c r="A489" s="1">
        <v>2022</v>
      </c>
      <c r="B489" s="1" t="s">
        <v>486</v>
      </c>
      <c r="C489" s="2">
        <v>2623695</v>
      </c>
      <c r="D489" s="8">
        <v>2.1903000000000001E-3</v>
      </c>
    </row>
    <row r="490" spans="1:4" x14ac:dyDescent="0.2">
      <c r="A490" s="1">
        <v>2022</v>
      </c>
      <c r="B490" s="1" t="s">
        <v>487</v>
      </c>
      <c r="C490" s="2">
        <v>30759</v>
      </c>
      <c r="D490" s="8">
        <v>2.5680000000000001E-5</v>
      </c>
    </row>
    <row r="491" spans="1:4" x14ac:dyDescent="0.2">
      <c r="A491" s="1">
        <v>2022</v>
      </c>
      <c r="B491" s="1" t="s">
        <v>488</v>
      </c>
      <c r="C491" s="2">
        <v>29495</v>
      </c>
      <c r="D491" s="8">
        <v>2.4620000000000001E-5</v>
      </c>
    </row>
    <row r="492" spans="1:4" x14ac:dyDescent="0.2">
      <c r="A492" s="1">
        <v>2022</v>
      </c>
      <c r="B492" s="1" t="s">
        <v>489</v>
      </c>
      <c r="C492" s="2">
        <v>12305</v>
      </c>
      <c r="D492" s="8">
        <v>1.027E-5</v>
      </c>
    </row>
    <row r="493" spans="1:4" x14ac:dyDescent="0.2">
      <c r="A493" s="1">
        <v>2022</v>
      </c>
      <c r="B493" s="1" t="s">
        <v>490</v>
      </c>
      <c r="C493" s="2">
        <v>10440</v>
      </c>
      <c r="D493" s="8">
        <v>8.7199999999999995E-6</v>
      </c>
    </row>
    <row r="494" spans="1:4" x14ac:dyDescent="0.2">
      <c r="A494" s="1">
        <v>2022</v>
      </c>
      <c r="B494" s="1" t="s">
        <v>491</v>
      </c>
      <c r="C494" s="2">
        <v>271119</v>
      </c>
      <c r="D494" s="8">
        <v>2.2633000000000001E-4</v>
      </c>
    </row>
    <row r="495" spans="1:4" x14ac:dyDescent="0.2">
      <c r="A495" s="1">
        <v>2022</v>
      </c>
      <c r="B495" s="1" t="s">
        <v>492</v>
      </c>
      <c r="C495" s="2">
        <v>89736</v>
      </c>
      <c r="D495" s="8">
        <v>7.4909999999999999E-5</v>
      </c>
    </row>
    <row r="496" spans="1:4" x14ac:dyDescent="0.2">
      <c r="A496" s="1">
        <v>2022</v>
      </c>
      <c r="B496" s="1" t="s">
        <v>493</v>
      </c>
      <c r="C496" s="2">
        <v>130124</v>
      </c>
      <c r="D496" s="8">
        <v>1.0863E-4</v>
      </c>
    </row>
    <row r="497" spans="1:4" x14ac:dyDescent="0.2">
      <c r="A497" s="1">
        <v>2022</v>
      </c>
      <c r="B497" s="1" t="s">
        <v>494</v>
      </c>
      <c r="C497" s="2">
        <v>35883</v>
      </c>
      <c r="D497" s="8">
        <v>2.9960000000000001E-5</v>
      </c>
    </row>
    <row r="498" spans="1:4" x14ac:dyDescent="0.2">
      <c r="A498" s="1">
        <v>2022</v>
      </c>
      <c r="B498" s="1" t="s">
        <v>495</v>
      </c>
      <c r="C498" s="2">
        <v>2062131</v>
      </c>
      <c r="D498" s="8">
        <v>1.7214999999999999E-3</v>
      </c>
    </row>
    <row r="499" spans="1:4" x14ac:dyDescent="0.2">
      <c r="A499" s="1">
        <v>2022</v>
      </c>
      <c r="B499" s="1" t="s">
        <v>497</v>
      </c>
      <c r="C499" s="2">
        <v>1242830</v>
      </c>
      <c r="D499" s="8">
        <v>1.03753E-3</v>
      </c>
    </row>
    <row r="500" spans="1:4" x14ac:dyDescent="0.2">
      <c r="A500" s="1">
        <v>2022</v>
      </c>
      <c r="B500" s="1" t="s">
        <v>498</v>
      </c>
      <c r="C500" s="2">
        <v>19161278</v>
      </c>
      <c r="D500" s="8">
        <v>1.5996110000000001E-2</v>
      </c>
    </row>
    <row r="501" spans="1:4" x14ac:dyDescent="0.2">
      <c r="A501" s="1">
        <v>2022</v>
      </c>
      <c r="B501" s="1" t="s">
        <v>499</v>
      </c>
      <c r="C501" s="2">
        <v>1911381</v>
      </c>
      <c r="D501" s="8">
        <v>1.5956500000000001E-3</v>
      </c>
    </row>
    <row r="502" spans="1:4" x14ac:dyDescent="0.2">
      <c r="A502" s="1">
        <v>2022</v>
      </c>
      <c r="B502" s="1" t="s">
        <v>500</v>
      </c>
      <c r="C502" s="2">
        <v>961822</v>
      </c>
      <c r="D502" s="8">
        <v>8.0294000000000003E-4</v>
      </c>
    </row>
    <row r="503" spans="1:4" x14ac:dyDescent="0.2">
      <c r="A503" s="1">
        <v>2022</v>
      </c>
      <c r="B503" s="1" t="s">
        <v>501</v>
      </c>
      <c r="C503" s="2">
        <v>6716349</v>
      </c>
      <c r="D503" s="8">
        <v>5.6069099999999997E-3</v>
      </c>
    </row>
    <row r="504" spans="1:4" x14ac:dyDescent="0.2">
      <c r="A504" s="1">
        <v>2022</v>
      </c>
      <c r="B504" s="1" t="s">
        <v>502</v>
      </c>
      <c r="C504" s="2">
        <v>151795</v>
      </c>
      <c r="D504" s="8">
        <v>1.2672000000000001E-4</v>
      </c>
    </row>
    <row r="505" spans="1:4" x14ac:dyDescent="0.2">
      <c r="A505" s="1">
        <v>2022</v>
      </c>
      <c r="B505" s="1" t="s">
        <v>503</v>
      </c>
      <c r="C505" s="2">
        <v>6440804</v>
      </c>
      <c r="D505" s="8">
        <v>5.3768799999999997E-3</v>
      </c>
    </row>
    <row r="506" spans="1:4" x14ac:dyDescent="0.2">
      <c r="A506" s="1">
        <v>2022</v>
      </c>
      <c r="B506" s="1" t="s">
        <v>504</v>
      </c>
      <c r="C506" s="2">
        <v>275980</v>
      </c>
      <c r="D506" s="8">
        <v>2.3038999999999999E-4</v>
      </c>
    </row>
    <row r="507" spans="1:4" x14ac:dyDescent="0.2">
      <c r="A507" s="1">
        <v>2022</v>
      </c>
      <c r="B507" s="1" t="s">
        <v>505</v>
      </c>
      <c r="C507" s="2">
        <v>1341601</v>
      </c>
      <c r="D507" s="8">
        <v>1.11999E-3</v>
      </c>
    </row>
    <row r="508" spans="1:4" x14ac:dyDescent="0.2">
      <c r="A508" s="1">
        <v>2022</v>
      </c>
      <c r="B508" s="1" t="s">
        <v>906</v>
      </c>
      <c r="C508" s="2">
        <v>23431</v>
      </c>
      <c r="D508" s="8">
        <v>1.9559999999999999E-5</v>
      </c>
    </row>
    <row r="509" spans="1:4" x14ac:dyDescent="0.2">
      <c r="A509" s="1">
        <v>2022</v>
      </c>
      <c r="B509" s="1" t="s">
        <v>507</v>
      </c>
      <c r="C509" s="2">
        <v>134048</v>
      </c>
      <c r="D509" s="8">
        <v>1.119E-4</v>
      </c>
    </row>
    <row r="510" spans="1:4" x14ac:dyDescent="0.2">
      <c r="A510" s="1">
        <v>2022</v>
      </c>
      <c r="B510" s="1" t="s">
        <v>508</v>
      </c>
      <c r="C510" s="2">
        <v>420202</v>
      </c>
      <c r="D510" s="8">
        <v>3.5079000000000002E-4</v>
      </c>
    </row>
    <row r="511" spans="1:4" x14ac:dyDescent="0.2">
      <c r="A511" s="1">
        <v>2022</v>
      </c>
      <c r="B511" s="1" t="s">
        <v>509</v>
      </c>
      <c r="C511" s="2">
        <v>206739</v>
      </c>
      <c r="D511" s="8">
        <v>1.7259E-4</v>
      </c>
    </row>
    <row r="512" spans="1:4" x14ac:dyDescent="0.2">
      <c r="A512" s="1">
        <v>2022</v>
      </c>
      <c r="B512" s="1" t="s">
        <v>510</v>
      </c>
      <c r="C512" s="2">
        <v>266653</v>
      </c>
      <c r="D512" s="8">
        <v>2.2261000000000001E-4</v>
      </c>
    </row>
    <row r="513" spans="1:4" x14ac:dyDescent="0.2">
      <c r="A513" s="1">
        <v>2022</v>
      </c>
      <c r="B513" s="1" t="s">
        <v>508</v>
      </c>
      <c r="C513" s="2">
        <v>701603</v>
      </c>
      <c r="D513" s="8">
        <v>5.8571000000000003E-4</v>
      </c>
    </row>
    <row r="514" spans="1:4" x14ac:dyDescent="0.2">
      <c r="A514" s="1">
        <v>2022</v>
      </c>
      <c r="B514" s="1" t="s">
        <v>512</v>
      </c>
      <c r="C514" s="2">
        <v>848209</v>
      </c>
      <c r="D514" s="8">
        <v>7.0810000000000003E-4</v>
      </c>
    </row>
    <row r="515" spans="1:4" x14ac:dyDescent="0.2">
      <c r="A515" s="1">
        <v>2022</v>
      </c>
      <c r="B515" s="1" t="s">
        <v>513</v>
      </c>
      <c r="C515" s="2">
        <v>276171</v>
      </c>
      <c r="D515" s="8">
        <v>2.3054999999999999E-4</v>
      </c>
    </row>
    <row r="516" spans="1:4" x14ac:dyDescent="0.2">
      <c r="A516" s="1">
        <v>2022</v>
      </c>
      <c r="B516" s="1" t="s">
        <v>514</v>
      </c>
      <c r="C516" s="2">
        <v>126810</v>
      </c>
      <c r="D516" s="8">
        <v>1.0586000000000001E-4</v>
      </c>
    </row>
    <row r="517" spans="1:4" x14ac:dyDescent="0.2">
      <c r="A517" s="1">
        <v>2022</v>
      </c>
      <c r="B517" s="1" t="s">
        <v>515</v>
      </c>
      <c r="C517" s="2">
        <v>412318</v>
      </c>
      <c r="D517" s="8">
        <v>3.4421000000000001E-4</v>
      </c>
    </row>
    <row r="518" spans="1:4" x14ac:dyDescent="0.2">
      <c r="A518" s="1">
        <v>2022</v>
      </c>
      <c r="B518" s="1" t="s">
        <v>516</v>
      </c>
      <c r="C518" s="2">
        <v>2771320</v>
      </c>
      <c r="D518" s="8">
        <v>2.3135400000000002E-3</v>
      </c>
    </row>
    <row r="519" spans="1:4" x14ac:dyDescent="0.2">
      <c r="A519" s="1">
        <v>2022</v>
      </c>
      <c r="B519" s="1" t="s">
        <v>517</v>
      </c>
      <c r="C519" s="2">
        <v>2646935</v>
      </c>
      <c r="D519" s="8">
        <v>2.2097000000000002E-3</v>
      </c>
    </row>
    <row r="520" spans="1:4" x14ac:dyDescent="0.2">
      <c r="A520" s="1">
        <v>2022</v>
      </c>
      <c r="B520" s="1" t="s">
        <v>518</v>
      </c>
      <c r="C520" s="2">
        <v>27846</v>
      </c>
      <c r="D520" s="8">
        <v>2.3249999999999999E-5</v>
      </c>
    </row>
    <row r="521" spans="1:4" x14ac:dyDescent="0.2">
      <c r="A521" s="1">
        <v>2022</v>
      </c>
      <c r="B521" s="1" t="s">
        <v>519</v>
      </c>
      <c r="C521" s="2">
        <v>134391</v>
      </c>
      <c r="D521" s="8">
        <v>1.1218999999999999E-4</v>
      </c>
    </row>
    <row r="522" spans="1:4" x14ac:dyDescent="0.2">
      <c r="A522" s="1">
        <v>2022</v>
      </c>
      <c r="B522" s="1" t="s">
        <v>520</v>
      </c>
      <c r="C522" s="2">
        <v>30624</v>
      </c>
      <c r="D522" s="8">
        <v>2.5570000000000001E-5</v>
      </c>
    </row>
    <row r="523" spans="1:4" x14ac:dyDescent="0.2">
      <c r="A523" s="1">
        <v>2022</v>
      </c>
      <c r="B523" s="1" t="s">
        <v>521</v>
      </c>
      <c r="C523" s="2">
        <v>1200877</v>
      </c>
      <c r="D523" s="8">
        <v>1.0025100000000001E-3</v>
      </c>
    </row>
    <row r="524" spans="1:4" x14ac:dyDescent="0.2">
      <c r="A524" s="1">
        <v>2022</v>
      </c>
      <c r="B524" s="1" t="s">
        <v>522</v>
      </c>
      <c r="C524" s="2">
        <v>46677</v>
      </c>
      <c r="D524" s="8">
        <v>3.8970000000000001E-5</v>
      </c>
    </row>
    <row r="525" spans="1:4" x14ac:dyDescent="0.2">
      <c r="A525" s="1">
        <v>2022</v>
      </c>
      <c r="B525" s="1" t="s">
        <v>523</v>
      </c>
      <c r="C525" s="2">
        <v>117020</v>
      </c>
      <c r="D525" s="8">
        <v>9.7689999999999995E-5</v>
      </c>
    </row>
    <row r="526" spans="1:4" x14ac:dyDescent="0.2">
      <c r="A526" s="1">
        <v>2022</v>
      </c>
      <c r="B526" s="1" t="s">
        <v>524</v>
      </c>
      <c r="C526" s="2">
        <v>376248</v>
      </c>
      <c r="D526" s="8">
        <v>3.1409999999999999E-4</v>
      </c>
    </row>
    <row r="527" spans="1:4" x14ac:dyDescent="0.2">
      <c r="A527" s="1">
        <v>2022</v>
      </c>
      <c r="B527" s="1" t="s">
        <v>884</v>
      </c>
      <c r="C527" s="2">
        <v>126807</v>
      </c>
      <c r="D527" s="8">
        <v>1.0586000000000001E-4</v>
      </c>
    </row>
    <row r="528" spans="1:4" x14ac:dyDescent="0.2">
      <c r="A528" s="1">
        <v>2022</v>
      </c>
      <c r="B528" s="1" t="s">
        <v>885</v>
      </c>
      <c r="C528" s="2">
        <v>3839134</v>
      </c>
      <c r="D528" s="8">
        <v>3.2049700000000001E-3</v>
      </c>
    </row>
    <row r="529" spans="1:4" x14ac:dyDescent="0.2">
      <c r="A529" s="1">
        <v>2022</v>
      </c>
      <c r="B529" s="1" t="s">
        <v>527</v>
      </c>
      <c r="C529" s="2">
        <v>8137</v>
      </c>
      <c r="D529" s="8">
        <v>6.7900000000000002E-6</v>
      </c>
    </row>
    <row r="530" spans="1:4" x14ac:dyDescent="0.2">
      <c r="A530" s="1">
        <v>2022</v>
      </c>
      <c r="B530" s="1" t="s">
        <v>528</v>
      </c>
      <c r="C530" s="2">
        <v>2788728</v>
      </c>
      <c r="D530" s="8">
        <v>2.3280699999999998E-3</v>
      </c>
    </row>
    <row r="531" spans="1:4" x14ac:dyDescent="0.2">
      <c r="A531" s="1">
        <v>2022</v>
      </c>
      <c r="B531" s="1" t="s">
        <v>529</v>
      </c>
      <c r="C531" s="2">
        <v>789974</v>
      </c>
      <c r="D531" s="8">
        <v>6.5948000000000005E-4</v>
      </c>
    </row>
    <row r="532" spans="1:4" x14ac:dyDescent="0.2">
      <c r="A532" s="1">
        <v>2022</v>
      </c>
      <c r="B532" s="1" t="s">
        <v>530</v>
      </c>
      <c r="C532" s="2">
        <v>22836</v>
      </c>
      <c r="D532" s="8">
        <v>1.906E-5</v>
      </c>
    </row>
    <row r="533" spans="1:4" x14ac:dyDescent="0.2">
      <c r="A533" s="1">
        <v>2022</v>
      </c>
      <c r="B533" s="1" t="s">
        <v>531</v>
      </c>
      <c r="C533" s="2">
        <v>5495</v>
      </c>
      <c r="D533" s="8">
        <v>4.5900000000000001E-6</v>
      </c>
    </row>
    <row r="534" spans="1:4" x14ac:dyDescent="0.2">
      <c r="A534" s="1">
        <v>2022</v>
      </c>
      <c r="B534" s="1" t="s">
        <v>532</v>
      </c>
      <c r="C534" s="2">
        <v>1062276</v>
      </c>
      <c r="D534" s="8">
        <v>8.8679999999999998E-4</v>
      </c>
    </row>
    <row r="535" spans="1:4" x14ac:dyDescent="0.2">
      <c r="A535" s="1">
        <v>2022</v>
      </c>
      <c r="B535" s="1" t="s">
        <v>533</v>
      </c>
      <c r="C535" s="2">
        <v>98404</v>
      </c>
      <c r="D535" s="8">
        <v>8.2150000000000005E-5</v>
      </c>
    </row>
    <row r="536" spans="1:4" x14ac:dyDescent="0.2">
      <c r="A536" s="1">
        <v>2022</v>
      </c>
      <c r="B536" s="1" t="s">
        <v>534</v>
      </c>
      <c r="C536" s="2">
        <v>714875</v>
      </c>
      <c r="D536" s="8">
        <v>5.9679000000000004E-4</v>
      </c>
    </row>
    <row r="537" spans="1:4" x14ac:dyDescent="0.2">
      <c r="A537" s="1">
        <v>2022</v>
      </c>
      <c r="B537" s="1" t="s">
        <v>535</v>
      </c>
      <c r="C537" s="2">
        <v>721193</v>
      </c>
      <c r="D537" s="8">
        <v>6.0205999999999996E-4</v>
      </c>
    </row>
    <row r="538" spans="1:4" x14ac:dyDescent="0.2">
      <c r="A538" s="1">
        <v>2022</v>
      </c>
      <c r="B538" s="1" t="s">
        <v>536</v>
      </c>
      <c r="C538" s="2">
        <v>2187452</v>
      </c>
      <c r="D538" s="8">
        <v>1.8261200000000001E-3</v>
      </c>
    </row>
    <row r="539" spans="1:4" x14ac:dyDescent="0.2">
      <c r="A539" s="1">
        <v>2022</v>
      </c>
      <c r="B539" s="1" t="s">
        <v>537</v>
      </c>
      <c r="C539" s="2">
        <v>41194</v>
      </c>
      <c r="D539" s="8">
        <v>3.4390000000000001E-5</v>
      </c>
    </row>
    <row r="540" spans="1:4" x14ac:dyDescent="0.2">
      <c r="A540" s="1">
        <v>2022</v>
      </c>
      <c r="B540" s="1" t="s">
        <v>538</v>
      </c>
      <c r="C540" s="2">
        <v>29441</v>
      </c>
      <c r="D540" s="8">
        <v>2.4579999999999998E-5</v>
      </c>
    </row>
    <row r="541" spans="1:4" x14ac:dyDescent="0.2">
      <c r="A541" s="1">
        <v>2022</v>
      </c>
      <c r="B541" s="1" t="s">
        <v>539</v>
      </c>
      <c r="C541" s="2">
        <v>246087</v>
      </c>
      <c r="D541" s="8">
        <v>2.0544000000000001E-4</v>
      </c>
    </row>
    <row r="542" spans="1:4" x14ac:dyDescent="0.2">
      <c r="A542" s="1">
        <v>2022</v>
      </c>
      <c r="B542" s="1" t="s">
        <v>540</v>
      </c>
      <c r="C542" s="2">
        <v>1790653</v>
      </c>
      <c r="D542" s="8">
        <v>1.49486E-3</v>
      </c>
    </row>
    <row r="543" spans="1:4" x14ac:dyDescent="0.2">
      <c r="A543" s="1">
        <v>2022</v>
      </c>
      <c r="B543" s="1" t="s">
        <v>541</v>
      </c>
      <c r="C543" s="2">
        <v>693972</v>
      </c>
      <c r="D543" s="8">
        <v>5.7934000000000002E-4</v>
      </c>
    </row>
    <row r="544" spans="1:4" x14ac:dyDescent="0.2">
      <c r="A544" s="1">
        <v>2022</v>
      </c>
      <c r="B544" s="1" t="s">
        <v>542</v>
      </c>
      <c r="C544" s="2">
        <v>3737</v>
      </c>
      <c r="D544" s="8">
        <v>3.1200000000000002E-6</v>
      </c>
    </row>
    <row r="545" spans="1:4" x14ac:dyDescent="0.2">
      <c r="A545" s="1">
        <v>2022</v>
      </c>
      <c r="B545" s="1" t="s">
        <v>543</v>
      </c>
      <c r="C545" s="2">
        <v>1032283</v>
      </c>
      <c r="D545" s="8">
        <v>8.6176000000000004E-4</v>
      </c>
    </row>
    <row r="546" spans="1:4" x14ac:dyDescent="0.2">
      <c r="A546" s="1">
        <v>2022</v>
      </c>
      <c r="B546" s="1" t="s">
        <v>544</v>
      </c>
      <c r="C546" s="2">
        <v>9240</v>
      </c>
      <c r="D546" s="8">
        <v>7.7100000000000007E-6</v>
      </c>
    </row>
    <row r="547" spans="1:4" x14ac:dyDescent="0.2">
      <c r="A547" s="1">
        <v>2022</v>
      </c>
      <c r="B547" s="1" t="s">
        <v>545</v>
      </c>
      <c r="C547" s="2">
        <v>1051405</v>
      </c>
      <c r="D547" s="8">
        <v>8.7772999999999996E-4</v>
      </c>
    </row>
    <row r="548" spans="1:4" x14ac:dyDescent="0.2">
      <c r="A548" s="1">
        <v>2022</v>
      </c>
      <c r="B548" s="1" t="s">
        <v>546</v>
      </c>
      <c r="C548" s="2">
        <v>5031594</v>
      </c>
      <c r="D548" s="8">
        <v>4.2004499999999997E-3</v>
      </c>
    </row>
    <row r="549" spans="1:4" x14ac:dyDescent="0.2">
      <c r="A549" s="1">
        <v>2022</v>
      </c>
      <c r="B549" s="1" t="s">
        <v>547</v>
      </c>
      <c r="C549" s="2">
        <v>1432012</v>
      </c>
      <c r="D549" s="8">
        <v>1.19546E-3</v>
      </c>
    </row>
    <row r="550" spans="1:4" x14ac:dyDescent="0.2">
      <c r="A550" s="1">
        <v>2022</v>
      </c>
      <c r="B550" s="1" t="s">
        <v>548</v>
      </c>
      <c r="C550" s="2">
        <v>2273618</v>
      </c>
      <c r="D550" s="8">
        <v>1.8980500000000001E-3</v>
      </c>
    </row>
    <row r="551" spans="1:4" x14ac:dyDescent="0.2">
      <c r="A551" s="1">
        <v>2022</v>
      </c>
      <c r="B551" s="1" t="s">
        <v>549</v>
      </c>
      <c r="C551" s="2">
        <v>4338772</v>
      </c>
      <c r="D551" s="8">
        <v>3.6220699999999998E-3</v>
      </c>
    </row>
    <row r="552" spans="1:4" x14ac:dyDescent="0.2">
      <c r="A552" s="1">
        <v>2022</v>
      </c>
      <c r="B552" s="1" t="s">
        <v>550</v>
      </c>
      <c r="C552" s="2">
        <v>1200538</v>
      </c>
      <c r="D552" s="8">
        <v>1.00223E-3</v>
      </c>
    </row>
    <row r="553" spans="1:4" x14ac:dyDescent="0.2">
      <c r="A553" s="1">
        <v>2022</v>
      </c>
      <c r="B553" s="1" t="s">
        <v>551</v>
      </c>
      <c r="C553" s="2">
        <v>1741403</v>
      </c>
      <c r="D553" s="8">
        <v>1.45375E-3</v>
      </c>
    </row>
    <row r="554" spans="1:4" x14ac:dyDescent="0.2">
      <c r="A554" s="1">
        <v>2022</v>
      </c>
      <c r="B554" s="1" t="s">
        <v>552</v>
      </c>
      <c r="C554" s="2">
        <v>67748</v>
      </c>
      <c r="D554" s="8">
        <v>5.6560000000000001E-5</v>
      </c>
    </row>
    <row r="555" spans="1:4" x14ac:dyDescent="0.2">
      <c r="A555" s="1">
        <v>2022</v>
      </c>
      <c r="B555" s="1" t="s">
        <v>553</v>
      </c>
      <c r="C555" s="2">
        <v>3044137</v>
      </c>
      <c r="D555" s="8">
        <v>2.5412899999999999E-3</v>
      </c>
    </row>
    <row r="556" spans="1:4" x14ac:dyDescent="0.2">
      <c r="A556" s="1">
        <v>2022</v>
      </c>
      <c r="B556" s="1" t="s">
        <v>554</v>
      </c>
      <c r="C556" s="2">
        <v>67136</v>
      </c>
      <c r="D556" s="8">
        <v>5.605E-5</v>
      </c>
    </row>
    <row r="557" spans="1:4" x14ac:dyDescent="0.2">
      <c r="A557" s="1">
        <v>2022</v>
      </c>
      <c r="B557" s="1" t="s">
        <v>555</v>
      </c>
      <c r="C557" s="2">
        <v>5003365</v>
      </c>
      <c r="D557" s="8">
        <v>4.17688E-3</v>
      </c>
    </row>
    <row r="558" spans="1:4" x14ac:dyDescent="0.2">
      <c r="A558" s="1">
        <v>2022</v>
      </c>
      <c r="B558" s="1" t="s">
        <v>556</v>
      </c>
      <c r="C558" s="2">
        <v>33174</v>
      </c>
      <c r="D558" s="8">
        <v>2.7690000000000001E-5</v>
      </c>
    </row>
    <row r="559" spans="1:4" x14ac:dyDescent="0.2">
      <c r="A559" s="1">
        <v>2022</v>
      </c>
      <c r="B559" s="1" t="s">
        <v>557</v>
      </c>
      <c r="C559" s="2">
        <v>1367382</v>
      </c>
      <c r="D559" s="8">
        <v>1.1415100000000001E-3</v>
      </c>
    </row>
    <row r="560" spans="1:4" x14ac:dyDescent="0.2">
      <c r="A560" s="1">
        <v>2022</v>
      </c>
      <c r="B560" s="1" t="s">
        <v>558</v>
      </c>
      <c r="C560" s="2">
        <v>426646</v>
      </c>
      <c r="D560" s="8">
        <v>3.5617E-4</v>
      </c>
    </row>
    <row r="561" spans="1:4" x14ac:dyDescent="0.2">
      <c r="A561" s="1">
        <v>2022</v>
      </c>
      <c r="B561" s="1" t="s">
        <v>559</v>
      </c>
      <c r="C561" s="2">
        <v>8468</v>
      </c>
      <c r="D561" s="8">
        <v>7.0700000000000001E-6</v>
      </c>
    </row>
    <row r="562" spans="1:4" x14ac:dyDescent="0.2">
      <c r="A562" s="1">
        <v>2022</v>
      </c>
      <c r="B562" s="1" t="s">
        <v>560</v>
      </c>
      <c r="C562" s="2">
        <v>55028</v>
      </c>
      <c r="D562" s="8">
        <v>4.5939999999999997E-5</v>
      </c>
    </row>
    <row r="563" spans="1:4" x14ac:dyDescent="0.2">
      <c r="A563" s="1">
        <v>2022</v>
      </c>
      <c r="B563" s="1" t="s">
        <v>886</v>
      </c>
      <c r="C563" s="2">
        <v>15652</v>
      </c>
      <c r="D563" s="8">
        <v>1.307E-5</v>
      </c>
    </row>
    <row r="564" spans="1:4" x14ac:dyDescent="0.2">
      <c r="A564" s="1">
        <v>2022</v>
      </c>
      <c r="B564" s="1" t="s">
        <v>562</v>
      </c>
      <c r="C564" s="2">
        <v>1354845</v>
      </c>
      <c r="D564" s="8">
        <v>1.13104E-3</v>
      </c>
    </row>
    <row r="565" spans="1:4" x14ac:dyDescent="0.2">
      <c r="A565" s="1">
        <v>2022</v>
      </c>
      <c r="B565" s="1" t="s">
        <v>563</v>
      </c>
      <c r="C565" s="2">
        <v>5876713</v>
      </c>
      <c r="D565" s="8">
        <v>4.90596E-3</v>
      </c>
    </row>
    <row r="566" spans="1:4" x14ac:dyDescent="0.2">
      <c r="A566" s="1">
        <v>2022</v>
      </c>
      <c r="B566" s="1" t="s">
        <v>564</v>
      </c>
      <c r="C566" s="2">
        <v>99026</v>
      </c>
      <c r="D566" s="8">
        <v>8.2670000000000006E-5</v>
      </c>
    </row>
    <row r="567" spans="1:4" x14ac:dyDescent="0.2">
      <c r="A567" s="1">
        <v>2022</v>
      </c>
      <c r="B567" s="1" t="s">
        <v>565</v>
      </c>
      <c r="C567" s="2">
        <v>313076</v>
      </c>
      <c r="D567" s="8">
        <v>2.6135999999999998E-4</v>
      </c>
    </row>
    <row r="568" spans="1:4" x14ac:dyDescent="0.2">
      <c r="A568" s="1">
        <v>2022</v>
      </c>
      <c r="B568" s="1" t="s">
        <v>566</v>
      </c>
      <c r="C568" s="2">
        <v>222592</v>
      </c>
      <c r="D568" s="8">
        <v>1.8582000000000001E-4</v>
      </c>
    </row>
    <row r="569" spans="1:4" x14ac:dyDescent="0.2">
      <c r="A569" s="1">
        <v>2022</v>
      </c>
      <c r="B569" s="1" t="s">
        <v>567</v>
      </c>
      <c r="C569" s="2">
        <v>179476</v>
      </c>
      <c r="D569" s="8">
        <v>1.4982999999999999E-4</v>
      </c>
    </row>
    <row r="570" spans="1:4" x14ac:dyDescent="0.2">
      <c r="A570" s="1">
        <v>2022</v>
      </c>
      <c r="B570" s="1" t="s">
        <v>568</v>
      </c>
      <c r="C570" s="2">
        <v>185590</v>
      </c>
      <c r="D570" s="8">
        <v>1.5493000000000001E-4</v>
      </c>
    </row>
    <row r="571" spans="1:4" x14ac:dyDescent="0.2">
      <c r="A571" s="1">
        <v>2022</v>
      </c>
      <c r="B571" s="1" t="s">
        <v>569</v>
      </c>
      <c r="C571" s="2">
        <v>672216</v>
      </c>
      <c r="D571" s="8">
        <v>5.6117999999999999E-4</v>
      </c>
    </row>
    <row r="572" spans="1:4" x14ac:dyDescent="0.2">
      <c r="A572" s="1">
        <v>2022</v>
      </c>
      <c r="B572" s="1" t="s">
        <v>570</v>
      </c>
      <c r="C572" s="2">
        <v>1308415</v>
      </c>
      <c r="D572" s="8">
        <v>1.0922799999999999E-3</v>
      </c>
    </row>
    <row r="573" spans="1:4" x14ac:dyDescent="0.2">
      <c r="A573" s="1">
        <v>2022</v>
      </c>
      <c r="B573" s="1" t="s">
        <v>571</v>
      </c>
      <c r="C573" s="2">
        <v>52614</v>
      </c>
      <c r="D573" s="8">
        <v>4.392E-5</v>
      </c>
    </row>
    <row r="574" spans="1:4" x14ac:dyDescent="0.2">
      <c r="A574" s="1">
        <v>2022</v>
      </c>
      <c r="B574" s="1" t="s">
        <v>572</v>
      </c>
      <c r="C574" s="2">
        <v>4077156</v>
      </c>
      <c r="D574" s="8">
        <v>3.4036700000000001E-3</v>
      </c>
    </row>
    <row r="575" spans="1:4" x14ac:dyDescent="0.2">
      <c r="A575" s="1">
        <v>2022</v>
      </c>
      <c r="B575" s="1" t="s">
        <v>573</v>
      </c>
      <c r="C575" s="2">
        <v>30709</v>
      </c>
      <c r="D575" s="8">
        <v>2.5639999999999998E-5</v>
      </c>
    </row>
    <row r="576" spans="1:4" x14ac:dyDescent="0.2">
      <c r="A576" s="1">
        <v>2022</v>
      </c>
      <c r="B576" s="1" t="s">
        <v>574</v>
      </c>
      <c r="C576" s="2">
        <v>3199244</v>
      </c>
      <c r="D576" s="8">
        <v>2.6707800000000002E-3</v>
      </c>
    </row>
    <row r="577" spans="1:4" x14ac:dyDescent="0.2">
      <c r="A577" s="1">
        <v>2022</v>
      </c>
      <c r="B577" s="1" t="s">
        <v>887</v>
      </c>
      <c r="C577" s="2">
        <v>576965</v>
      </c>
      <c r="D577" s="8">
        <v>4.8166000000000002E-4</v>
      </c>
    </row>
    <row r="578" spans="1:4" x14ac:dyDescent="0.2">
      <c r="A578" s="1">
        <v>2022</v>
      </c>
      <c r="B578" s="1" t="s">
        <v>576</v>
      </c>
      <c r="C578" s="2">
        <v>105272</v>
      </c>
      <c r="D578" s="8">
        <v>8.7880000000000006E-5</v>
      </c>
    </row>
    <row r="579" spans="1:4" x14ac:dyDescent="0.2">
      <c r="A579" s="1">
        <v>2022</v>
      </c>
      <c r="B579" s="1" t="s">
        <v>577</v>
      </c>
      <c r="C579" s="2">
        <v>5011297</v>
      </c>
      <c r="D579" s="8">
        <v>4.1834999999999997E-3</v>
      </c>
    </row>
    <row r="580" spans="1:4" x14ac:dyDescent="0.2">
      <c r="A580" s="1">
        <v>2022</v>
      </c>
      <c r="B580" s="1" t="s">
        <v>578</v>
      </c>
      <c r="C580" s="2">
        <v>37121</v>
      </c>
      <c r="D580" s="8">
        <v>3.099E-5</v>
      </c>
    </row>
    <row r="581" spans="1:4" x14ac:dyDescent="0.2">
      <c r="A581" s="1">
        <v>2022</v>
      </c>
      <c r="B581" s="1" t="s">
        <v>580</v>
      </c>
      <c r="C581" s="2">
        <v>1576931</v>
      </c>
      <c r="D581" s="8">
        <v>1.3164400000000001E-3</v>
      </c>
    </row>
    <row r="582" spans="1:4" x14ac:dyDescent="0.2">
      <c r="A582" s="1">
        <v>2022</v>
      </c>
      <c r="B582" s="1" t="s">
        <v>581</v>
      </c>
      <c r="C582" s="2">
        <v>5450</v>
      </c>
      <c r="D582" s="8">
        <v>4.5499999999999996E-6</v>
      </c>
    </row>
    <row r="583" spans="1:4" x14ac:dyDescent="0.2">
      <c r="A583" s="1">
        <v>2022</v>
      </c>
      <c r="B583" s="1" t="s">
        <v>582</v>
      </c>
      <c r="C583" s="2">
        <v>1589683</v>
      </c>
      <c r="D583" s="8">
        <v>1.32709E-3</v>
      </c>
    </row>
    <row r="584" spans="1:4" x14ac:dyDescent="0.2">
      <c r="A584" s="1">
        <v>2022</v>
      </c>
      <c r="B584" s="1" t="s">
        <v>583</v>
      </c>
      <c r="C584" s="2">
        <v>10228917</v>
      </c>
      <c r="D584" s="8">
        <v>8.53925E-3</v>
      </c>
    </row>
    <row r="585" spans="1:4" x14ac:dyDescent="0.2">
      <c r="A585" s="1">
        <v>2022</v>
      </c>
      <c r="B585" s="1" t="s">
        <v>584</v>
      </c>
      <c r="C585" s="2">
        <v>618902</v>
      </c>
      <c r="D585" s="8">
        <v>5.1667E-4</v>
      </c>
    </row>
    <row r="586" spans="1:4" x14ac:dyDescent="0.2">
      <c r="A586" s="1">
        <v>2022</v>
      </c>
      <c r="B586" s="1" t="s">
        <v>585</v>
      </c>
      <c r="C586" s="2">
        <v>2255749</v>
      </c>
      <c r="D586" s="8">
        <v>1.88313E-3</v>
      </c>
    </row>
    <row r="587" spans="1:4" x14ac:dyDescent="0.2">
      <c r="A587" s="1">
        <v>2022</v>
      </c>
      <c r="B587" s="1" t="s">
        <v>586</v>
      </c>
      <c r="C587" s="2">
        <v>172683</v>
      </c>
      <c r="D587" s="8">
        <v>1.4416E-4</v>
      </c>
    </row>
    <row r="588" spans="1:4" x14ac:dyDescent="0.2">
      <c r="A588" s="1">
        <v>2022</v>
      </c>
      <c r="B588" s="1" t="s">
        <v>587</v>
      </c>
      <c r="C588" s="2">
        <v>1810894</v>
      </c>
      <c r="D588" s="8">
        <v>1.51176E-3</v>
      </c>
    </row>
    <row r="589" spans="1:4" x14ac:dyDescent="0.2">
      <c r="A589" s="1">
        <v>2022</v>
      </c>
      <c r="B589" s="1" t="s">
        <v>588</v>
      </c>
      <c r="C589" s="2">
        <v>4055587</v>
      </c>
      <c r="D589" s="8">
        <v>3.38566E-3</v>
      </c>
    </row>
    <row r="590" spans="1:4" x14ac:dyDescent="0.2">
      <c r="A590" s="1">
        <v>2022</v>
      </c>
      <c r="B590" s="1" t="s">
        <v>589</v>
      </c>
      <c r="C590" s="2">
        <v>2891365</v>
      </c>
      <c r="D590" s="8">
        <v>2.4137500000000001E-3</v>
      </c>
    </row>
    <row r="591" spans="1:4" x14ac:dyDescent="0.2">
      <c r="A591" s="1">
        <v>2022</v>
      </c>
      <c r="B591" s="1" t="s">
        <v>590</v>
      </c>
      <c r="C591" s="2">
        <v>1866583</v>
      </c>
      <c r="D591" s="8">
        <v>1.55825E-3</v>
      </c>
    </row>
    <row r="592" spans="1:4" x14ac:dyDescent="0.2">
      <c r="A592" s="1">
        <v>2022</v>
      </c>
      <c r="B592" s="1" t="s">
        <v>591</v>
      </c>
      <c r="C592" s="2">
        <v>60544</v>
      </c>
      <c r="D592" s="8">
        <v>5.0540000000000001E-5</v>
      </c>
    </row>
    <row r="593" spans="1:4" x14ac:dyDescent="0.2">
      <c r="A593" s="1">
        <v>2022</v>
      </c>
      <c r="B593" s="1" t="s">
        <v>592</v>
      </c>
      <c r="C593" s="2">
        <v>3923273</v>
      </c>
      <c r="D593" s="8">
        <v>3.2751999999999998E-3</v>
      </c>
    </row>
    <row r="594" spans="1:4" x14ac:dyDescent="0.2">
      <c r="A594" s="1">
        <v>2022</v>
      </c>
      <c r="B594" s="1" t="s">
        <v>593</v>
      </c>
      <c r="C594" s="1">
        <v>668</v>
      </c>
      <c r="D594" s="8">
        <v>5.6000000000000004E-7</v>
      </c>
    </row>
    <row r="595" spans="1:4" x14ac:dyDescent="0.2">
      <c r="A595" s="1">
        <v>2022</v>
      </c>
      <c r="B595" s="1" t="s">
        <v>594</v>
      </c>
      <c r="C595" s="2">
        <v>626135</v>
      </c>
      <c r="D595" s="8">
        <v>5.2271000000000001E-4</v>
      </c>
    </row>
    <row r="596" spans="1:4" x14ac:dyDescent="0.2">
      <c r="A596" s="1">
        <v>2022</v>
      </c>
      <c r="B596" s="1" t="s">
        <v>595</v>
      </c>
      <c r="C596" s="2">
        <v>107864</v>
      </c>
      <c r="D596" s="8">
        <v>9.0049999999999993E-5</v>
      </c>
    </row>
    <row r="597" spans="1:4" x14ac:dyDescent="0.2">
      <c r="A597" s="1">
        <v>2022</v>
      </c>
      <c r="B597" s="1" t="s">
        <v>596</v>
      </c>
      <c r="C597" s="2">
        <v>1276998</v>
      </c>
      <c r="D597" s="8">
        <v>1.06606E-3</v>
      </c>
    </row>
    <row r="598" spans="1:4" x14ac:dyDescent="0.2">
      <c r="A598" s="1">
        <v>2022</v>
      </c>
      <c r="B598" s="1" t="s">
        <v>597</v>
      </c>
      <c r="C598" s="2">
        <v>503729</v>
      </c>
      <c r="D598" s="8">
        <v>4.2052000000000002E-4</v>
      </c>
    </row>
    <row r="599" spans="1:4" x14ac:dyDescent="0.2">
      <c r="A599" s="1">
        <v>2022</v>
      </c>
      <c r="B599" s="1" t="s">
        <v>598</v>
      </c>
      <c r="C599" s="2">
        <v>737797</v>
      </c>
      <c r="D599" s="8">
        <v>6.1592000000000005E-4</v>
      </c>
    </row>
    <row r="600" spans="1:4" x14ac:dyDescent="0.2">
      <c r="A600" s="1">
        <v>2022</v>
      </c>
      <c r="B600" s="1" t="s">
        <v>599</v>
      </c>
      <c r="C600" s="2">
        <v>4212584</v>
      </c>
      <c r="D600" s="8">
        <v>3.51673E-3</v>
      </c>
    </row>
    <row r="601" spans="1:4" x14ac:dyDescent="0.2">
      <c r="A601" s="1">
        <v>2022</v>
      </c>
      <c r="B601" s="1" t="s">
        <v>600</v>
      </c>
      <c r="C601" s="2">
        <v>630168</v>
      </c>
      <c r="D601" s="8">
        <v>5.2607000000000001E-4</v>
      </c>
    </row>
    <row r="602" spans="1:4" x14ac:dyDescent="0.2">
      <c r="A602" s="1">
        <v>2022</v>
      </c>
      <c r="B602" s="1" t="s">
        <v>601</v>
      </c>
      <c r="C602" s="2">
        <v>945381</v>
      </c>
      <c r="D602" s="8">
        <v>7.8921999999999998E-4</v>
      </c>
    </row>
    <row r="603" spans="1:4" x14ac:dyDescent="0.2">
      <c r="A603" s="1">
        <v>2022</v>
      </c>
      <c r="B603" s="1" t="s">
        <v>888</v>
      </c>
      <c r="C603" s="2">
        <v>25192</v>
      </c>
      <c r="D603" s="8">
        <v>2.103E-5</v>
      </c>
    </row>
    <row r="604" spans="1:4" x14ac:dyDescent="0.2">
      <c r="A604" s="1">
        <v>2022</v>
      </c>
      <c r="B604" s="1" t="s">
        <v>603</v>
      </c>
      <c r="C604" s="2">
        <v>1084177</v>
      </c>
      <c r="D604" s="8">
        <v>9.0509E-4</v>
      </c>
    </row>
    <row r="605" spans="1:4" x14ac:dyDescent="0.2">
      <c r="A605" s="1">
        <v>2022</v>
      </c>
      <c r="B605" s="1" t="s">
        <v>604</v>
      </c>
      <c r="C605" s="2">
        <v>110584</v>
      </c>
      <c r="D605" s="8">
        <v>9.2319999999999997E-5</v>
      </c>
    </row>
    <row r="606" spans="1:4" x14ac:dyDescent="0.2">
      <c r="A606" s="1">
        <v>2022</v>
      </c>
      <c r="B606" s="1" t="s">
        <v>605</v>
      </c>
      <c r="C606" s="2">
        <v>3911805</v>
      </c>
      <c r="D606" s="8">
        <v>3.2656299999999998E-3</v>
      </c>
    </row>
    <row r="607" spans="1:4" x14ac:dyDescent="0.2">
      <c r="A607" s="1">
        <v>2022</v>
      </c>
      <c r="B607" s="1" t="s">
        <v>606</v>
      </c>
      <c r="C607" s="2">
        <v>1342950</v>
      </c>
      <c r="D607" s="8">
        <v>1.12111E-3</v>
      </c>
    </row>
    <row r="608" spans="1:4" x14ac:dyDescent="0.2">
      <c r="A608" s="1">
        <v>2022</v>
      </c>
      <c r="B608" s="1" t="s">
        <v>607</v>
      </c>
      <c r="C608" s="2">
        <v>3143</v>
      </c>
      <c r="D608" s="8">
        <v>2.6199999999999999E-6</v>
      </c>
    </row>
    <row r="609" spans="1:4" x14ac:dyDescent="0.2">
      <c r="A609" s="1">
        <v>2022</v>
      </c>
      <c r="B609" s="1" t="s">
        <v>889</v>
      </c>
      <c r="C609" s="2">
        <v>74448</v>
      </c>
      <c r="D609" s="8">
        <v>6.2150000000000006E-5</v>
      </c>
    </row>
    <row r="610" spans="1:4" x14ac:dyDescent="0.2">
      <c r="A610" s="1">
        <v>2022</v>
      </c>
      <c r="B610" s="1" t="s">
        <v>609</v>
      </c>
      <c r="C610" s="2">
        <v>23658</v>
      </c>
      <c r="D610" s="8">
        <v>1.9749999999999999E-5</v>
      </c>
    </row>
    <row r="611" spans="1:4" x14ac:dyDescent="0.2">
      <c r="A611" s="1">
        <v>2022</v>
      </c>
      <c r="B611" s="1" t="s">
        <v>610</v>
      </c>
      <c r="C611" s="2">
        <v>20669</v>
      </c>
      <c r="D611" s="8">
        <v>1.7249999999999999E-5</v>
      </c>
    </row>
    <row r="612" spans="1:4" x14ac:dyDescent="0.2">
      <c r="A612" s="1">
        <v>2022</v>
      </c>
      <c r="B612" s="1" t="s">
        <v>611</v>
      </c>
      <c r="C612" s="2">
        <v>44741</v>
      </c>
      <c r="D612" s="8">
        <v>3.735E-5</v>
      </c>
    </row>
    <row r="613" spans="1:4" x14ac:dyDescent="0.2">
      <c r="A613" s="1">
        <v>2022</v>
      </c>
      <c r="B613" s="1" t="s">
        <v>612</v>
      </c>
      <c r="C613" s="2">
        <v>758410</v>
      </c>
      <c r="D613" s="8">
        <v>6.3312999999999998E-4</v>
      </c>
    </row>
    <row r="614" spans="1:4" x14ac:dyDescent="0.2">
      <c r="A614" s="1">
        <v>2022</v>
      </c>
      <c r="B614" s="1" t="s">
        <v>613</v>
      </c>
      <c r="C614" s="2">
        <v>3221345</v>
      </c>
      <c r="D614" s="8">
        <v>2.6892299999999999E-3</v>
      </c>
    </row>
    <row r="615" spans="1:4" x14ac:dyDescent="0.2">
      <c r="A615" s="1">
        <v>2022</v>
      </c>
      <c r="B615" s="1" t="s">
        <v>614</v>
      </c>
      <c r="C615" s="2">
        <v>868280</v>
      </c>
      <c r="D615" s="8">
        <v>7.2484999999999997E-4</v>
      </c>
    </row>
    <row r="616" spans="1:4" x14ac:dyDescent="0.2">
      <c r="A616" s="1">
        <v>2022</v>
      </c>
      <c r="B616" s="1" t="s">
        <v>890</v>
      </c>
      <c r="C616" s="2">
        <v>2748</v>
      </c>
      <c r="D616" s="8">
        <v>2.2900000000000001E-6</v>
      </c>
    </row>
    <row r="617" spans="1:4" x14ac:dyDescent="0.2">
      <c r="A617" s="1">
        <v>2022</v>
      </c>
      <c r="B617" s="1" t="s">
        <v>615</v>
      </c>
      <c r="C617" s="2">
        <v>26211</v>
      </c>
      <c r="D617" s="8">
        <v>2.1880000000000001E-5</v>
      </c>
    </row>
    <row r="618" spans="1:4" x14ac:dyDescent="0.2">
      <c r="A618" s="1">
        <v>2022</v>
      </c>
      <c r="B618" s="1" t="s">
        <v>616</v>
      </c>
      <c r="C618" s="2">
        <v>2352955</v>
      </c>
      <c r="D618" s="8">
        <v>1.9642800000000001E-3</v>
      </c>
    </row>
    <row r="619" spans="1:4" x14ac:dyDescent="0.2">
      <c r="A619" s="1">
        <v>2022</v>
      </c>
      <c r="B619" s="1" t="s">
        <v>617</v>
      </c>
      <c r="C619" s="2">
        <v>186049</v>
      </c>
      <c r="D619" s="8">
        <v>1.5532E-4</v>
      </c>
    </row>
    <row r="620" spans="1:4" x14ac:dyDescent="0.2">
      <c r="A620" s="1">
        <v>2022</v>
      </c>
      <c r="B620" s="1" t="s">
        <v>618</v>
      </c>
      <c r="C620" s="2">
        <v>1974736</v>
      </c>
      <c r="D620" s="8">
        <v>1.64854E-3</v>
      </c>
    </row>
    <row r="621" spans="1:4" x14ac:dyDescent="0.2">
      <c r="A621" s="1">
        <v>2022</v>
      </c>
      <c r="B621" s="1" t="s">
        <v>619</v>
      </c>
      <c r="C621" s="2">
        <v>541111</v>
      </c>
      <c r="D621" s="8">
        <v>4.5173000000000001E-4</v>
      </c>
    </row>
    <row r="622" spans="1:4" x14ac:dyDescent="0.2">
      <c r="A622" s="1">
        <v>2022</v>
      </c>
      <c r="B622" s="1" t="s">
        <v>620</v>
      </c>
      <c r="C622" s="2">
        <v>157880</v>
      </c>
      <c r="D622" s="8">
        <v>1.3180000000000001E-4</v>
      </c>
    </row>
    <row r="623" spans="1:4" x14ac:dyDescent="0.2">
      <c r="A623" s="1">
        <v>2022</v>
      </c>
      <c r="B623" s="1" t="s">
        <v>621</v>
      </c>
      <c r="C623" s="2">
        <v>22529</v>
      </c>
      <c r="D623" s="8">
        <v>1.8810000000000001E-5</v>
      </c>
    </row>
    <row r="624" spans="1:4" x14ac:dyDescent="0.2">
      <c r="A624" s="1">
        <v>2022</v>
      </c>
      <c r="B624" s="1" t="s">
        <v>622</v>
      </c>
      <c r="C624" s="2">
        <v>2441885</v>
      </c>
      <c r="D624" s="8">
        <v>2.0385199999999998E-3</v>
      </c>
    </row>
    <row r="625" spans="1:4" x14ac:dyDescent="0.2">
      <c r="A625" s="1">
        <v>2022</v>
      </c>
      <c r="B625" s="1" t="s">
        <v>623</v>
      </c>
      <c r="C625" s="2">
        <v>739409</v>
      </c>
      <c r="D625" s="8">
        <v>6.1726999999999995E-4</v>
      </c>
    </row>
    <row r="626" spans="1:4" x14ac:dyDescent="0.2">
      <c r="A626" s="1">
        <v>2022</v>
      </c>
      <c r="B626" s="1" t="s">
        <v>891</v>
      </c>
      <c r="C626" s="2">
        <v>4183</v>
      </c>
      <c r="D626" s="8">
        <v>3.49E-6</v>
      </c>
    </row>
    <row r="627" spans="1:4" x14ac:dyDescent="0.2">
      <c r="A627" s="1">
        <v>2022</v>
      </c>
      <c r="B627" s="1" t="s">
        <v>624</v>
      </c>
      <c r="C627" s="2">
        <v>99043</v>
      </c>
      <c r="D627" s="8">
        <v>8.2680000000000001E-5</v>
      </c>
    </row>
    <row r="628" spans="1:4" x14ac:dyDescent="0.2">
      <c r="A628" s="1">
        <v>2022</v>
      </c>
      <c r="B628" s="1" t="s">
        <v>625</v>
      </c>
      <c r="C628" s="2">
        <v>41924</v>
      </c>
      <c r="D628" s="8">
        <v>3.4999999999999997E-5</v>
      </c>
    </row>
    <row r="629" spans="1:4" x14ac:dyDescent="0.2">
      <c r="A629" s="1">
        <v>2022</v>
      </c>
      <c r="B629" s="1" t="s">
        <v>626</v>
      </c>
      <c r="C629" s="2">
        <v>52254</v>
      </c>
      <c r="D629" s="8">
        <v>4.3619999999999999E-5</v>
      </c>
    </row>
    <row r="630" spans="1:4" x14ac:dyDescent="0.2">
      <c r="A630" s="1">
        <v>2022</v>
      </c>
      <c r="B630" s="1" t="s">
        <v>627</v>
      </c>
      <c r="C630" s="2">
        <v>1345143</v>
      </c>
      <c r="D630" s="8">
        <v>1.1229499999999999E-3</v>
      </c>
    </row>
    <row r="631" spans="1:4" x14ac:dyDescent="0.2">
      <c r="A631" s="1">
        <v>2022</v>
      </c>
      <c r="B631" s="1" t="s">
        <v>628</v>
      </c>
      <c r="C631" s="2">
        <v>756310</v>
      </c>
      <c r="D631" s="8">
        <v>6.3137999999999996E-4</v>
      </c>
    </row>
    <row r="632" spans="1:4" x14ac:dyDescent="0.2">
      <c r="A632" s="1">
        <v>2022</v>
      </c>
      <c r="B632" s="1" t="s">
        <v>629</v>
      </c>
      <c r="C632" s="2">
        <v>15389</v>
      </c>
      <c r="D632" s="8">
        <v>1.2850000000000001E-5</v>
      </c>
    </row>
    <row r="633" spans="1:4" x14ac:dyDescent="0.2">
      <c r="A633" s="1">
        <v>2022</v>
      </c>
      <c r="B633" s="1" t="s">
        <v>630</v>
      </c>
      <c r="C633" s="2">
        <v>192211</v>
      </c>
      <c r="D633" s="8">
        <v>1.6045999999999999E-4</v>
      </c>
    </row>
    <row r="634" spans="1:4" x14ac:dyDescent="0.2">
      <c r="A634" s="1">
        <v>2022</v>
      </c>
      <c r="B634" s="1" t="s">
        <v>631</v>
      </c>
      <c r="C634" s="2">
        <v>1332890</v>
      </c>
      <c r="D634" s="8">
        <v>1.11272E-3</v>
      </c>
    </row>
    <row r="635" spans="1:4" x14ac:dyDescent="0.2">
      <c r="A635" s="1">
        <v>2022</v>
      </c>
      <c r="B635" s="1" t="s">
        <v>632</v>
      </c>
      <c r="C635" s="2">
        <v>589554</v>
      </c>
      <c r="D635" s="8">
        <v>4.9217E-4</v>
      </c>
    </row>
    <row r="636" spans="1:4" x14ac:dyDescent="0.2">
      <c r="A636" s="1">
        <v>2022</v>
      </c>
      <c r="B636" s="1" t="s">
        <v>633</v>
      </c>
      <c r="C636" s="2">
        <v>1769779</v>
      </c>
      <c r="D636" s="8">
        <v>1.47744E-3</v>
      </c>
    </row>
    <row r="637" spans="1:4" x14ac:dyDescent="0.2">
      <c r="A637" s="1">
        <v>2022</v>
      </c>
      <c r="B637" s="1" t="s">
        <v>634</v>
      </c>
      <c r="C637" s="2">
        <v>59485</v>
      </c>
      <c r="D637" s="8">
        <v>4.9660000000000002E-5</v>
      </c>
    </row>
    <row r="638" spans="1:4" x14ac:dyDescent="0.2">
      <c r="A638" s="1">
        <v>2022</v>
      </c>
      <c r="B638" s="1" t="s">
        <v>635</v>
      </c>
      <c r="C638" s="2">
        <v>19362279</v>
      </c>
      <c r="D638" s="8">
        <v>1.616391E-2</v>
      </c>
    </row>
    <row r="639" spans="1:4" x14ac:dyDescent="0.2">
      <c r="A639" s="1">
        <v>2022</v>
      </c>
      <c r="B639" s="1" t="s">
        <v>636</v>
      </c>
      <c r="C639" s="2">
        <v>3917340</v>
      </c>
      <c r="D639" s="8">
        <v>3.2702500000000002E-3</v>
      </c>
    </row>
    <row r="640" spans="1:4" x14ac:dyDescent="0.2">
      <c r="A640" s="1">
        <v>2022</v>
      </c>
      <c r="B640" s="1" t="s">
        <v>892</v>
      </c>
      <c r="C640" s="2">
        <v>71440</v>
      </c>
      <c r="D640" s="8">
        <v>5.9639999999999998E-5</v>
      </c>
    </row>
    <row r="641" spans="1:4" x14ac:dyDescent="0.2">
      <c r="A641" s="1">
        <v>2022</v>
      </c>
      <c r="B641" s="1" t="s">
        <v>893</v>
      </c>
      <c r="C641" s="2">
        <v>18475</v>
      </c>
      <c r="D641" s="8">
        <v>1.5420000000000001E-5</v>
      </c>
    </row>
    <row r="642" spans="1:4" x14ac:dyDescent="0.2">
      <c r="A642" s="1">
        <v>2022</v>
      </c>
      <c r="B642" s="1" t="s">
        <v>638</v>
      </c>
      <c r="C642" s="2">
        <v>102208</v>
      </c>
      <c r="D642" s="8">
        <v>8.5320000000000003E-5</v>
      </c>
    </row>
    <row r="643" spans="1:4" x14ac:dyDescent="0.2">
      <c r="A643" s="1">
        <v>2022</v>
      </c>
      <c r="B643" s="1" t="s">
        <v>639</v>
      </c>
      <c r="C643" s="2">
        <v>111911</v>
      </c>
      <c r="D643" s="8">
        <v>9.3430000000000005E-5</v>
      </c>
    </row>
    <row r="644" spans="1:4" x14ac:dyDescent="0.2">
      <c r="A644" s="1">
        <v>2022</v>
      </c>
      <c r="B644" s="1" t="s">
        <v>640</v>
      </c>
      <c r="C644" s="2">
        <v>6511075</v>
      </c>
      <c r="D644" s="8">
        <v>5.43554E-3</v>
      </c>
    </row>
    <row r="645" spans="1:4" x14ac:dyDescent="0.2">
      <c r="A645" s="1">
        <v>2022</v>
      </c>
      <c r="B645" s="1" t="s">
        <v>641</v>
      </c>
      <c r="C645" s="2">
        <v>230246</v>
      </c>
      <c r="D645" s="8">
        <v>1.9221E-4</v>
      </c>
    </row>
    <row r="646" spans="1:4" x14ac:dyDescent="0.2">
      <c r="A646" s="1">
        <v>2022</v>
      </c>
      <c r="B646" s="1" t="s">
        <v>642</v>
      </c>
      <c r="C646" s="2">
        <v>969046</v>
      </c>
      <c r="D646" s="8">
        <v>8.0897E-4</v>
      </c>
    </row>
    <row r="647" spans="1:4" x14ac:dyDescent="0.2">
      <c r="A647" s="1">
        <v>2022</v>
      </c>
      <c r="B647" s="1" t="s">
        <v>643</v>
      </c>
      <c r="C647" s="2">
        <v>582422</v>
      </c>
      <c r="D647" s="8">
        <v>4.8621E-4</v>
      </c>
    </row>
    <row r="648" spans="1:4" x14ac:dyDescent="0.2">
      <c r="A648" s="1">
        <v>2022</v>
      </c>
      <c r="B648" s="1" t="s">
        <v>644</v>
      </c>
      <c r="C648" s="2">
        <v>65844</v>
      </c>
      <c r="D648" s="8">
        <v>5.4969999999999997E-5</v>
      </c>
    </row>
    <row r="649" spans="1:4" x14ac:dyDescent="0.2">
      <c r="A649" s="1">
        <v>2022</v>
      </c>
      <c r="B649" s="1" t="s">
        <v>645</v>
      </c>
      <c r="C649" s="2">
        <v>2053877</v>
      </c>
      <c r="D649" s="8">
        <v>1.7146100000000001E-3</v>
      </c>
    </row>
    <row r="650" spans="1:4" x14ac:dyDescent="0.2">
      <c r="A650" s="1">
        <v>2022</v>
      </c>
      <c r="B650" s="1" t="s">
        <v>646</v>
      </c>
      <c r="C650" s="2">
        <v>74912</v>
      </c>
      <c r="D650" s="8">
        <v>6.2539999999999994E-5</v>
      </c>
    </row>
    <row r="651" spans="1:4" x14ac:dyDescent="0.2">
      <c r="A651" s="1">
        <v>2022</v>
      </c>
      <c r="B651" s="1" t="s">
        <v>647</v>
      </c>
      <c r="C651" s="2">
        <v>317368</v>
      </c>
      <c r="D651" s="8">
        <v>2.6494000000000002E-4</v>
      </c>
    </row>
    <row r="652" spans="1:4" x14ac:dyDescent="0.2">
      <c r="A652" s="1">
        <v>2022</v>
      </c>
      <c r="B652" s="1" t="s">
        <v>648</v>
      </c>
      <c r="C652" s="2">
        <v>177354</v>
      </c>
      <c r="D652" s="8">
        <v>1.4805999999999999E-4</v>
      </c>
    </row>
    <row r="653" spans="1:4" x14ac:dyDescent="0.2">
      <c r="A653" s="1">
        <v>2022</v>
      </c>
      <c r="B653" s="1" t="s">
        <v>649</v>
      </c>
      <c r="C653" s="2">
        <v>45639</v>
      </c>
      <c r="D653" s="8">
        <v>3.8099999999999998E-5</v>
      </c>
    </row>
    <row r="654" spans="1:4" x14ac:dyDescent="0.2">
      <c r="A654" s="1">
        <v>2022</v>
      </c>
      <c r="B654" s="1" t="s">
        <v>894</v>
      </c>
      <c r="C654" s="2">
        <v>43949</v>
      </c>
      <c r="D654" s="8">
        <v>3.6690000000000003E-5</v>
      </c>
    </row>
    <row r="655" spans="1:4" x14ac:dyDescent="0.2">
      <c r="A655" s="1">
        <v>2022</v>
      </c>
      <c r="B655" s="1" t="s">
        <v>651</v>
      </c>
      <c r="C655" s="2">
        <v>19850</v>
      </c>
      <c r="D655" s="8">
        <v>1.6569999999999999E-5</v>
      </c>
    </row>
    <row r="656" spans="1:4" x14ac:dyDescent="0.2">
      <c r="A656" s="1">
        <v>2022</v>
      </c>
      <c r="B656" s="1" t="s">
        <v>652</v>
      </c>
      <c r="C656" s="2">
        <v>133970</v>
      </c>
      <c r="D656" s="8">
        <v>1.1184E-4</v>
      </c>
    </row>
    <row r="657" spans="1:4" x14ac:dyDescent="0.2">
      <c r="A657" s="1">
        <v>2022</v>
      </c>
      <c r="B657" s="1" t="s">
        <v>653</v>
      </c>
      <c r="C657" s="2">
        <v>16727</v>
      </c>
      <c r="D657" s="8">
        <v>1.396E-5</v>
      </c>
    </row>
    <row r="658" spans="1:4" x14ac:dyDescent="0.2">
      <c r="A658" s="1">
        <v>2022</v>
      </c>
      <c r="B658" s="1" t="s">
        <v>654</v>
      </c>
      <c r="C658" s="2">
        <v>262638</v>
      </c>
      <c r="D658" s="8">
        <v>2.1924999999999999E-4</v>
      </c>
    </row>
    <row r="659" spans="1:4" x14ac:dyDescent="0.2">
      <c r="A659" s="1">
        <v>2022</v>
      </c>
      <c r="B659" s="1" t="s">
        <v>655</v>
      </c>
      <c r="C659" s="2">
        <v>123249</v>
      </c>
      <c r="D659" s="8">
        <v>1.0289E-4</v>
      </c>
    </row>
    <row r="660" spans="1:4" x14ac:dyDescent="0.2">
      <c r="A660" s="1">
        <v>2022</v>
      </c>
      <c r="B660" s="1" t="s">
        <v>656</v>
      </c>
      <c r="C660" s="2">
        <v>22671</v>
      </c>
      <c r="D660" s="8">
        <v>1.893E-5</v>
      </c>
    </row>
    <row r="661" spans="1:4" x14ac:dyDescent="0.2">
      <c r="A661" s="1">
        <v>2022</v>
      </c>
      <c r="B661" s="1" t="s">
        <v>657</v>
      </c>
      <c r="C661" s="2">
        <v>60692</v>
      </c>
      <c r="D661" s="8">
        <v>5.0670000000000001E-5</v>
      </c>
    </row>
    <row r="662" spans="1:4" x14ac:dyDescent="0.2">
      <c r="A662" s="1">
        <v>2022</v>
      </c>
      <c r="B662" s="1" t="s">
        <v>658</v>
      </c>
      <c r="C662" s="2">
        <v>3627453</v>
      </c>
      <c r="D662" s="8">
        <v>3.0282500000000001E-3</v>
      </c>
    </row>
    <row r="663" spans="1:4" x14ac:dyDescent="0.2">
      <c r="A663" s="1">
        <v>2022</v>
      </c>
      <c r="B663" s="1" t="s">
        <v>659</v>
      </c>
      <c r="C663" s="2">
        <v>820809</v>
      </c>
      <c r="D663" s="8">
        <v>6.8521999999999995E-4</v>
      </c>
    </row>
    <row r="664" spans="1:4" x14ac:dyDescent="0.2">
      <c r="A664" s="1">
        <v>2022</v>
      </c>
      <c r="B664" s="1" t="s">
        <v>660</v>
      </c>
      <c r="C664" s="2">
        <v>17666</v>
      </c>
      <c r="D664" s="8">
        <v>1.4749999999999999E-5</v>
      </c>
    </row>
    <row r="665" spans="1:4" x14ac:dyDescent="0.2">
      <c r="A665" s="1">
        <v>2022</v>
      </c>
      <c r="B665" s="1" t="s">
        <v>661</v>
      </c>
      <c r="C665" s="2">
        <v>21453</v>
      </c>
      <c r="D665" s="8">
        <v>1.791E-5</v>
      </c>
    </row>
    <row r="666" spans="1:4" x14ac:dyDescent="0.2">
      <c r="A666" s="1">
        <v>2022</v>
      </c>
      <c r="B666" s="1" t="s">
        <v>662</v>
      </c>
      <c r="C666" s="2">
        <v>897110</v>
      </c>
      <c r="D666" s="8">
        <v>7.4892000000000003E-4</v>
      </c>
    </row>
    <row r="667" spans="1:4" x14ac:dyDescent="0.2">
      <c r="A667" s="1">
        <v>2022</v>
      </c>
      <c r="B667" s="1" t="s">
        <v>663</v>
      </c>
      <c r="C667" s="2">
        <v>19779</v>
      </c>
      <c r="D667" s="8">
        <v>1.6509999999999999E-5</v>
      </c>
    </row>
    <row r="668" spans="1:4" x14ac:dyDescent="0.2">
      <c r="A668" s="1">
        <v>2022</v>
      </c>
      <c r="B668" s="1" t="s">
        <v>664</v>
      </c>
      <c r="C668" s="2">
        <v>711142</v>
      </c>
      <c r="D668" s="8">
        <v>5.9367000000000003E-4</v>
      </c>
    </row>
    <row r="669" spans="1:4" x14ac:dyDescent="0.2">
      <c r="A669" s="1">
        <v>2022</v>
      </c>
      <c r="B669" s="1" t="s">
        <v>665</v>
      </c>
      <c r="C669" s="2">
        <v>40960</v>
      </c>
      <c r="D669" s="8">
        <v>3.4190000000000003E-5</v>
      </c>
    </row>
    <row r="670" spans="1:4" x14ac:dyDescent="0.2">
      <c r="A670" s="1">
        <v>2022</v>
      </c>
      <c r="B670" s="1" t="s">
        <v>666</v>
      </c>
      <c r="C670" s="2">
        <v>1711242</v>
      </c>
      <c r="D670" s="8">
        <v>1.4285700000000001E-3</v>
      </c>
    </row>
    <row r="671" spans="1:4" x14ac:dyDescent="0.2">
      <c r="A671" s="1">
        <v>2022</v>
      </c>
      <c r="B671" s="1" t="s">
        <v>667</v>
      </c>
      <c r="C671" s="2">
        <v>65563</v>
      </c>
      <c r="D671" s="8">
        <v>5.4729999999999999E-5</v>
      </c>
    </row>
    <row r="672" spans="1:4" x14ac:dyDescent="0.2">
      <c r="A672" s="1">
        <v>2022</v>
      </c>
      <c r="B672" s="1" t="s">
        <v>668</v>
      </c>
      <c r="C672" s="2">
        <v>316526</v>
      </c>
      <c r="D672" s="8">
        <v>2.6424E-4</v>
      </c>
    </row>
    <row r="673" spans="1:4" x14ac:dyDescent="0.2">
      <c r="A673" s="1">
        <v>2022</v>
      </c>
      <c r="B673" s="1" t="s">
        <v>895</v>
      </c>
      <c r="C673" s="2">
        <v>15461</v>
      </c>
      <c r="D673" s="8">
        <v>1.291E-5</v>
      </c>
    </row>
    <row r="674" spans="1:4" x14ac:dyDescent="0.2">
      <c r="A674" s="1">
        <v>2022</v>
      </c>
      <c r="B674" s="1" t="s">
        <v>670</v>
      </c>
      <c r="C674" s="2">
        <v>49729</v>
      </c>
      <c r="D674" s="8">
        <v>4.1510000000000001E-5</v>
      </c>
    </row>
    <row r="675" spans="1:4" x14ac:dyDescent="0.2">
      <c r="A675" s="1">
        <v>2022</v>
      </c>
      <c r="B675" s="1" t="s">
        <v>671</v>
      </c>
      <c r="C675" s="2">
        <v>71487</v>
      </c>
      <c r="D675" s="8">
        <v>5.9679999999999998E-5</v>
      </c>
    </row>
    <row r="676" spans="1:4" x14ac:dyDescent="0.2">
      <c r="A676" s="1">
        <v>2022</v>
      </c>
      <c r="B676" s="1" t="s">
        <v>672</v>
      </c>
      <c r="C676" s="2">
        <v>7758</v>
      </c>
      <c r="D676" s="8">
        <v>6.4799999999999998E-6</v>
      </c>
    </row>
    <row r="677" spans="1:4" x14ac:dyDescent="0.2">
      <c r="A677" s="1">
        <v>2022</v>
      </c>
      <c r="B677" s="1" t="s">
        <v>673</v>
      </c>
      <c r="C677" s="2">
        <v>68347</v>
      </c>
      <c r="D677" s="8">
        <v>5.7059999999999999E-5</v>
      </c>
    </row>
    <row r="678" spans="1:4" x14ac:dyDescent="0.2">
      <c r="A678" s="1">
        <v>2022</v>
      </c>
      <c r="B678" s="1" t="s">
        <v>674</v>
      </c>
      <c r="C678" s="2">
        <v>19283</v>
      </c>
      <c r="D678" s="8">
        <v>1.6099999999999998E-5</v>
      </c>
    </row>
    <row r="679" spans="1:4" x14ac:dyDescent="0.2">
      <c r="A679" s="1">
        <v>2022</v>
      </c>
      <c r="B679" s="1" t="s">
        <v>675</v>
      </c>
      <c r="C679" s="2">
        <v>22769</v>
      </c>
      <c r="D679" s="8">
        <v>1.9009999999999999E-5</v>
      </c>
    </row>
    <row r="680" spans="1:4" x14ac:dyDescent="0.2">
      <c r="A680" s="1">
        <v>2022</v>
      </c>
      <c r="B680" s="1" t="s">
        <v>676</v>
      </c>
      <c r="C680" s="1">
        <v>392</v>
      </c>
      <c r="D680" s="8">
        <v>3.3000000000000002E-7</v>
      </c>
    </row>
    <row r="681" spans="1:4" x14ac:dyDescent="0.2">
      <c r="A681" s="1">
        <v>2022</v>
      </c>
      <c r="B681" s="1" t="s">
        <v>677</v>
      </c>
      <c r="C681" s="2">
        <v>3483538</v>
      </c>
      <c r="D681" s="8">
        <v>2.9081100000000002E-3</v>
      </c>
    </row>
    <row r="682" spans="1:4" x14ac:dyDescent="0.2">
      <c r="A682" s="1">
        <v>2022</v>
      </c>
      <c r="B682" s="1" t="s">
        <v>678</v>
      </c>
      <c r="C682" s="2">
        <v>1061974</v>
      </c>
      <c r="D682" s="8">
        <v>8.8654999999999995E-4</v>
      </c>
    </row>
    <row r="683" spans="1:4" x14ac:dyDescent="0.2">
      <c r="A683" s="1">
        <v>2022</v>
      </c>
      <c r="B683" s="1" t="s">
        <v>679</v>
      </c>
      <c r="C683" s="2">
        <v>6997</v>
      </c>
      <c r="D683" s="8">
        <v>5.84E-6</v>
      </c>
    </row>
    <row r="684" spans="1:4" x14ac:dyDescent="0.2">
      <c r="A684" s="1">
        <v>2022</v>
      </c>
      <c r="B684" s="1" t="s">
        <v>680</v>
      </c>
      <c r="C684" s="2">
        <v>803530</v>
      </c>
      <c r="D684" s="8">
        <v>6.7080000000000004E-4</v>
      </c>
    </row>
    <row r="685" spans="1:4" x14ac:dyDescent="0.2">
      <c r="A685" s="1">
        <v>2022</v>
      </c>
      <c r="B685" s="1" t="s">
        <v>681</v>
      </c>
      <c r="C685" s="2">
        <v>16830</v>
      </c>
      <c r="D685" s="8">
        <v>1.4049999999999999E-5</v>
      </c>
    </row>
    <row r="686" spans="1:4" x14ac:dyDescent="0.2">
      <c r="A686" s="1">
        <v>2022</v>
      </c>
      <c r="B686" s="1" t="s">
        <v>682</v>
      </c>
      <c r="C686" s="2">
        <v>2394796</v>
      </c>
      <c r="D686" s="8">
        <v>1.99921E-3</v>
      </c>
    </row>
    <row r="687" spans="1:4" x14ac:dyDescent="0.2">
      <c r="A687" s="1">
        <v>2022</v>
      </c>
      <c r="B687" s="1" t="s">
        <v>683</v>
      </c>
      <c r="C687" s="2">
        <v>584960</v>
      </c>
      <c r="D687" s="8">
        <v>4.8833000000000004E-4</v>
      </c>
    </row>
    <row r="688" spans="1:4" x14ac:dyDescent="0.2">
      <c r="A688" s="1">
        <v>2022</v>
      </c>
      <c r="B688" s="1" t="s">
        <v>684</v>
      </c>
      <c r="C688" s="2">
        <v>39677</v>
      </c>
      <c r="D688" s="8">
        <v>3.3120000000000001E-5</v>
      </c>
    </row>
    <row r="689" spans="1:4" x14ac:dyDescent="0.2">
      <c r="A689" s="1">
        <v>2022</v>
      </c>
      <c r="B689" s="1" t="s">
        <v>685</v>
      </c>
      <c r="C689" s="2">
        <v>1413655</v>
      </c>
      <c r="D689" s="8">
        <v>1.1801400000000001E-3</v>
      </c>
    </row>
    <row r="690" spans="1:4" x14ac:dyDescent="0.2">
      <c r="A690" s="1">
        <v>2022</v>
      </c>
      <c r="B690" s="1" t="s">
        <v>686</v>
      </c>
      <c r="C690" s="2">
        <v>7062</v>
      </c>
      <c r="D690" s="8">
        <v>5.9000000000000003E-6</v>
      </c>
    </row>
    <row r="691" spans="1:4" x14ac:dyDescent="0.2">
      <c r="A691" s="1">
        <v>2022</v>
      </c>
      <c r="B691" s="1" t="s">
        <v>687</v>
      </c>
      <c r="C691" s="2">
        <v>183948</v>
      </c>
      <c r="D691" s="8">
        <v>1.5355999999999999E-4</v>
      </c>
    </row>
    <row r="692" spans="1:4" x14ac:dyDescent="0.2">
      <c r="A692" s="1">
        <v>2022</v>
      </c>
      <c r="B692" s="1" t="s">
        <v>688</v>
      </c>
      <c r="C692" s="2">
        <v>957204</v>
      </c>
      <c r="D692" s="8">
        <v>7.9909000000000002E-4</v>
      </c>
    </row>
    <row r="693" spans="1:4" x14ac:dyDescent="0.2">
      <c r="A693" s="1">
        <v>2022</v>
      </c>
      <c r="B693" s="1" t="s">
        <v>689</v>
      </c>
      <c r="C693" s="2">
        <v>197832</v>
      </c>
      <c r="D693" s="8">
        <v>1.6515E-4</v>
      </c>
    </row>
    <row r="694" spans="1:4" x14ac:dyDescent="0.2">
      <c r="A694" s="1">
        <v>2022</v>
      </c>
      <c r="B694" s="1" t="s">
        <v>690</v>
      </c>
      <c r="C694" s="2">
        <v>30505</v>
      </c>
      <c r="D694" s="8">
        <v>2.5469999999999998E-5</v>
      </c>
    </row>
    <row r="695" spans="1:4" x14ac:dyDescent="0.2">
      <c r="A695" s="1">
        <v>2022</v>
      </c>
      <c r="B695" s="1" t="s">
        <v>691</v>
      </c>
      <c r="C695" s="2">
        <v>43519</v>
      </c>
      <c r="D695" s="8">
        <v>3.6329999999999999E-5</v>
      </c>
    </row>
    <row r="696" spans="1:4" x14ac:dyDescent="0.2">
      <c r="A696" s="1">
        <v>2022</v>
      </c>
      <c r="B696" s="1" t="s">
        <v>692</v>
      </c>
      <c r="C696" s="2">
        <v>4299202</v>
      </c>
      <c r="D696" s="8">
        <v>3.5890399999999999E-3</v>
      </c>
    </row>
    <row r="697" spans="1:4" x14ac:dyDescent="0.2">
      <c r="A697" s="1">
        <v>2022</v>
      </c>
      <c r="B697" s="1" t="s">
        <v>693</v>
      </c>
      <c r="C697" s="2">
        <v>1763261</v>
      </c>
      <c r="D697" s="8">
        <v>1.472E-3</v>
      </c>
    </row>
    <row r="698" spans="1:4" x14ac:dyDescent="0.2">
      <c r="A698" s="1">
        <v>2022</v>
      </c>
      <c r="B698" s="1" t="s">
        <v>694</v>
      </c>
      <c r="C698" s="2">
        <v>2666485</v>
      </c>
      <c r="D698" s="8">
        <v>2.22602E-3</v>
      </c>
    </row>
    <row r="699" spans="1:4" x14ac:dyDescent="0.2">
      <c r="A699" s="1">
        <v>2022</v>
      </c>
      <c r="B699" s="1" t="s">
        <v>695</v>
      </c>
      <c r="C699" s="2">
        <v>4519589</v>
      </c>
      <c r="D699" s="8">
        <v>3.7730200000000002E-3</v>
      </c>
    </row>
    <row r="700" spans="1:4" x14ac:dyDescent="0.2">
      <c r="A700" s="1">
        <v>2022</v>
      </c>
      <c r="B700" s="1" t="s">
        <v>696</v>
      </c>
      <c r="C700" s="2">
        <v>1806274</v>
      </c>
      <c r="D700" s="8">
        <v>1.5079E-3</v>
      </c>
    </row>
    <row r="701" spans="1:4" x14ac:dyDescent="0.2">
      <c r="A701" s="1">
        <v>2022</v>
      </c>
      <c r="B701" s="1" t="s">
        <v>697</v>
      </c>
      <c r="C701" s="2">
        <v>537653</v>
      </c>
      <c r="D701" s="8">
        <v>4.4883999999999999E-4</v>
      </c>
    </row>
    <row r="702" spans="1:4" x14ac:dyDescent="0.2">
      <c r="A702" s="1">
        <v>2022</v>
      </c>
      <c r="B702" s="1" t="s">
        <v>698</v>
      </c>
      <c r="C702" s="2">
        <v>58045</v>
      </c>
      <c r="D702" s="8">
        <v>4.846E-5</v>
      </c>
    </row>
    <row r="703" spans="1:4" x14ac:dyDescent="0.2">
      <c r="A703" s="1">
        <v>2022</v>
      </c>
      <c r="B703" s="1" t="s">
        <v>699</v>
      </c>
      <c r="C703" s="2">
        <v>6070737</v>
      </c>
      <c r="D703" s="8">
        <v>5.0679399999999999E-3</v>
      </c>
    </row>
    <row r="704" spans="1:4" x14ac:dyDescent="0.2">
      <c r="A704" s="1">
        <v>2022</v>
      </c>
      <c r="B704" s="1" t="s">
        <v>700</v>
      </c>
      <c r="C704" s="2">
        <v>502359</v>
      </c>
      <c r="D704" s="8">
        <v>4.1938000000000001E-4</v>
      </c>
    </row>
    <row r="705" spans="1:4" x14ac:dyDescent="0.2">
      <c r="A705" s="1">
        <v>2022</v>
      </c>
      <c r="B705" s="1" t="s">
        <v>701</v>
      </c>
      <c r="C705" s="2">
        <v>18389</v>
      </c>
      <c r="D705" s="8">
        <v>1.535E-5</v>
      </c>
    </row>
    <row r="706" spans="1:4" x14ac:dyDescent="0.2">
      <c r="A706" s="1">
        <v>2022</v>
      </c>
      <c r="B706" s="1" t="s">
        <v>702</v>
      </c>
      <c r="C706" s="2">
        <v>65090</v>
      </c>
      <c r="D706" s="8">
        <v>5.4339999999999998E-5</v>
      </c>
    </row>
    <row r="707" spans="1:4" x14ac:dyDescent="0.2">
      <c r="A707" s="1">
        <v>2022</v>
      </c>
      <c r="B707" s="1" t="s">
        <v>703</v>
      </c>
      <c r="C707" s="2">
        <v>13432752</v>
      </c>
      <c r="D707" s="8">
        <v>1.1213860000000001E-2</v>
      </c>
    </row>
    <row r="708" spans="1:4" x14ac:dyDescent="0.2">
      <c r="A708" s="1">
        <v>2022</v>
      </c>
      <c r="B708" s="1" t="s">
        <v>704</v>
      </c>
      <c r="C708" s="2">
        <v>509599</v>
      </c>
      <c r="D708" s="8">
        <v>4.2541999999999998E-4</v>
      </c>
    </row>
    <row r="709" spans="1:4" x14ac:dyDescent="0.2">
      <c r="A709" s="1">
        <v>2022</v>
      </c>
      <c r="B709" s="1" t="s">
        <v>705</v>
      </c>
      <c r="C709" s="2">
        <v>1214894</v>
      </c>
      <c r="D709" s="8">
        <v>1.01421E-3</v>
      </c>
    </row>
    <row r="710" spans="1:4" x14ac:dyDescent="0.2">
      <c r="A710" s="1">
        <v>2022</v>
      </c>
      <c r="B710" s="1" t="s">
        <v>706</v>
      </c>
      <c r="C710" s="2">
        <v>20794</v>
      </c>
      <c r="D710" s="8">
        <v>1.736E-5</v>
      </c>
    </row>
    <row r="711" spans="1:4" x14ac:dyDescent="0.2">
      <c r="A711" s="1">
        <v>2022</v>
      </c>
      <c r="B711" s="1" t="s">
        <v>707</v>
      </c>
      <c r="C711" s="2">
        <v>109595</v>
      </c>
      <c r="D711" s="8">
        <v>9.1490000000000007E-5</v>
      </c>
    </row>
    <row r="712" spans="1:4" x14ac:dyDescent="0.2">
      <c r="A712" s="1">
        <v>2022</v>
      </c>
      <c r="B712" s="1" t="s">
        <v>708</v>
      </c>
      <c r="C712" s="2">
        <v>2933167</v>
      </c>
      <c r="D712" s="8">
        <v>2.4486500000000001E-3</v>
      </c>
    </row>
    <row r="713" spans="1:4" x14ac:dyDescent="0.2">
      <c r="A713" s="1">
        <v>2022</v>
      </c>
      <c r="B713" s="1" t="s">
        <v>709</v>
      </c>
      <c r="C713" s="2">
        <v>2368416</v>
      </c>
      <c r="D713" s="8">
        <v>1.9771900000000002E-3</v>
      </c>
    </row>
    <row r="714" spans="1:4" x14ac:dyDescent="0.2">
      <c r="A714" s="1">
        <v>2022</v>
      </c>
      <c r="B714" s="1" t="s">
        <v>710</v>
      </c>
      <c r="C714" s="2">
        <v>19016</v>
      </c>
      <c r="D714" s="8">
        <v>1.5869999999999999E-5</v>
      </c>
    </row>
    <row r="715" spans="1:4" x14ac:dyDescent="0.2">
      <c r="A715" s="1">
        <v>2022</v>
      </c>
      <c r="B715" s="1" t="s">
        <v>711</v>
      </c>
      <c r="C715" s="2">
        <v>968931</v>
      </c>
      <c r="D715" s="8">
        <v>8.0887999999999999E-4</v>
      </c>
    </row>
    <row r="716" spans="1:4" x14ac:dyDescent="0.2">
      <c r="A716" s="1">
        <v>2022</v>
      </c>
      <c r="B716" s="1" t="s">
        <v>712</v>
      </c>
      <c r="C716" s="2">
        <v>1737</v>
      </c>
      <c r="D716" s="8">
        <v>1.4500000000000001E-6</v>
      </c>
    </row>
    <row r="717" spans="1:4" x14ac:dyDescent="0.2">
      <c r="A717" s="1">
        <v>2022</v>
      </c>
      <c r="B717" s="1" t="s">
        <v>713</v>
      </c>
      <c r="C717" s="2">
        <v>45787</v>
      </c>
      <c r="D717" s="8">
        <v>3.8220000000000003E-5</v>
      </c>
    </row>
    <row r="718" spans="1:4" x14ac:dyDescent="0.2">
      <c r="A718" s="1">
        <v>2022</v>
      </c>
      <c r="B718" s="1" t="s">
        <v>714</v>
      </c>
      <c r="C718" s="2">
        <v>13543</v>
      </c>
      <c r="D718" s="8">
        <v>1.131E-5</v>
      </c>
    </row>
    <row r="719" spans="1:4" x14ac:dyDescent="0.2">
      <c r="A719" s="1">
        <v>2022</v>
      </c>
      <c r="B719" s="1" t="s">
        <v>715</v>
      </c>
      <c r="C719" s="2">
        <v>2324</v>
      </c>
      <c r="D719" s="8">
        <v>1.9400000000000001E-6</v>
      </c>
    </row>
    <row r="720" spans="1:4" x14ac:dyDescent="0.2">
      <c r="A720" s="1">
        <v>2022</v>
      </c>
      <c r="B720" s="1" t="s">
        <v>716</v>
      </c>
      <c r="C720" s="2">
        <v>114056</v>
      </c>
      <c r="D720" s="8">
        <v>9.522E-5</v>
      </c>
    </row>
    <row r="721" spans="1:4" x14ac:dyDescent="0.2">
      <c r="A721" s="1">
        <v>2022</v>
      </c>
      <c r="B721" s="1" t="s">
        <v>717</v>
      </c>
      <c r="C721" s="2">
        <v>37688</v>
      </c>
      <c r="D721" s="8">
        <v>3.146E-5</v>
      </c>
    </row>
    <row r="722" spans="1:4" x14ac:dyDescent="0.2">
      <c r="A722" s="1">
        <v>2022</v>
      </c>
      <c r="B722" s="1" t="s">
        <v>718</v>
      </c>
      <c r="C722" s="2">
        <v>111857</v>
      </c>
      <c r="D722" s="8">
        <v>9.3380000000000004E-5</v>
      </c>
    </row>
    <row r="723" spans="1:4" x14ac:dyDescent="0.2">
      <c r="A723" s="1">
        <v>2022</v>
      </c>
      <c r="B723" s="1" t="s">
        <v>719</v>
      </c>
      <c r="C723" s="2">
        <v>35795</v>
      </c>
      <c r="D723" s="8">
        <v>2.9879999999999999E-5</v>
      </c>
    </row>
    <row r="724" spans="1:4" x14ac:dyDescent="0.2">
      <c r="A724" s="1">
        <v>2022</v>
      </c>
      <c r="B724" s="1" t="s">
        <v>720</v>
      </c>
      <c r="C724" s="2">
        <v>1052243</v>
      </c>
      <c r="D724" s="8">
        <v>8.7843000000000003E-4</v>
      </c>
    </row>
    <row r="725" spans="1:4" x14ac:dyDescent="0.2">
      <c r="A725" s="1">
        <v>2022</v>
      </c>
      <c r="B725" s="1" t="s">
        <v>721</v>
      </c>
      <c r="C725" s="2">
        <v>46492</v>
      </c>
      <c r="D725" s="8">
        <v>3.8810000000000003E-5</v>
      </c>
    </row>
    <row r="726" spans="1:4" x14ac:dyDescent="0.2">
      <c r="A726" s="1">
        <v>2022</v>
      </c>
      <c r="B726" s="1" t="s">
        <v>722</v>
      </c>
      <c r="C726" s="2">
        <v>4009</v>
      </c>
      <c r="D726" s="8">
        <v>3.3500000000000001E-6</v>
      </c>
    </row>
    <row r="727" spans="1:4" x14ac:dyDescent="0.2">
      <c r="A727" s="1">
        <v>2022</v>
      </c>
      <c r="B727" s="1" t="s">
        <v>723</v>
      </c>
      <c r="C727" s="2">
        <v>3660003</v>
      </c>
      <c r="D727" s="8">
        <v>3.0554200000000001E-3</v>
      </c>
    </row>
    <row r="728" spans="1:4" x14ac:dyDescent="0.2">
      <c r="A728" s="1">
        <v>2022</v>
      </c>
      <c r="B728" s="1" t="s">
        <v>724</v>
      </c>
      <c r="C728" s="2">
        <v>2117905</v>
      </c>
      <c r="D728" s="8">
        <v>1.7680599999999999E-3</v>
      </c>
    </row>
    <row r="729" spans="1:4" x14ac:dyDescent="0.2">
      <c r="A729" s="1">
        <v>2022</v>
      </c>
      <c r="B729" s="1" t="s">
        <v>725</v>
      </c>
      <c r="C729" s="2">
        <v>1780855</v>
      </c>
      <c r="D729" s="8">
        <v>1.48668E-3</v>
      </c>
    </row>
    <row r="730" spans="1:4" x14ac:dyDescent="0.2">
      <c r="A730" s="1">
        <v>2022</v>
      </c>
      <c r="B730" s="1" t="s">
        <v>726</v>
      </c>
      <c r="C730" s="2">
        <v>640341</v>
      </c>
      <c r="D730" s="8">
        <v>5.3457000000000005E-4</v>
      </c>
    </row>
    <row r="731" spans="1:4" x14ac:dyDescent="0.2">
      <c r="A731" s="1">
        <v>2022</v>
      </c>
      <c r="B731" s="1" t="s">
        <v>727</v>
      </c>
      <c r="C731" s="2">
        <v>518442</v>
      </c>
      <c r="D731" s="8">
        <v>4.328E-4</v>
      </c>
    </row>
    <row r="732" spans="1:4" x14ac:dyDescent="0.2">
      <c r="A732" s="1">
        <v>2022</v>
      </c>
      <c r="B732" s="1" t="s">
        <v>728</v>
      </c>
      <c r="C732" s="2">
        <v>9730</v>
      </c>
      <c r="D732" s="8">
        <v>8.1200000000000002E-6</v>
      </c>
    </row>
    <row r="733" spans="1:4" x14ac:dyDescent="0.2">
      <c r="A733" s="1">
        <v>2022</v>
      </c>
      <c r="B733" s="1" t="s">
        <v>729</v>
      </c>
      <c r="C733" s="2">
        <v>3141</v>
      </c>
      <c r="D733" s="8">
        <v>2.6199999999999999E-6</v>
      </c>
    </row>
    <row r="734" spans="1:4" x14ac:dyDescent="0.2">
      <c r="A734" s="1">
        <v>2022</v>
      </c>
      <c r="B734" s="1" t="s">
        <v>730</v>
      </c>
      <c r="C734" s="2">
        <v>1936366</v>
      </c>
      <c r="D734" s="8">
        <v>1.61651E-3</v>
      </c>
    </row>
    <row r="735" spans="1:4" x14ac:dyDescent="0.2">
      <c r="A735" s="1">
        <v>2022</v>
      </c>
      <c r="B735" s="1" t="s">
        <v>731</v>
      </c>
      <c r="C735" s="2">
        <v>1007840</v>
      </c>
      <c r="D735" s="8">
        <v>8.4135999999999998E-4</v>
      </c>
    </row>
    <row r="736" spans="1:4" x14ac:dyDescent="0.2">
      <c r="A736" s="1">
        <v>2022</v>
      </c>
      <c r="B736" s="1" t="s">
        <v>732</v>
      </c>
      <c r="C736" s="2">
        <v>116408</v>
      </c>
      <c r="D736" s="8">
        <v>9.7180000000000001E-5</v>
      </c>
    </row>
    <row r="737" spans="1:4" x14ac:dyDescent="0.2">
      <c r="A737" s="1">
        <v>2022</v>
      </c>
      <c r="B737" s="1" t="s">
        <v>733</v>
      </c>
      <c r="C737" s="2">
        <v>45623</v>
      </c>
      <c r="D737" s="8">
        <v>3.8090000000000003E-5</v>
      </c>
    </row>
    <row r="738" spans="1:4" x14ac:dyDescent="0.2">
      <c r="A738" s="1">
        <v>2022</v>
      </c>
      <c r="B738" s="1" t="s">
        <v>896</v>
      </c>
      <c r="C738" s="2">
        <v>24873</v>
      </c>
      <c r="D738" s="8">
        <v>2.0760000000000001E-5</v>
      </c>
    </row>
    <row r="739" spans="1:4" x14ac:dyDescent="0.2">
      <c r="A739" s="1">
        <v>2022</v>
      </c>
      <c r="B739" s="1" t="s">
        <v>735</v>
      </c>
      <c r="C739" s="2">
        <v>61653</v>
      </c>
      <c r="D739" s="8">
        <v>5.147E-5</v>
      </c>
    </row>
    <row r="740" spans="1:4" x14ac:dyDescent="0.2">
      <c r="A740" s="1">
        <v>2022</v>
      </c>
      <c r="B740" s="1" t="s">
        <v>736</v>
      </c>
      <c r="C740" s="2">
        <v>623926</v>
      </c>
      <c r="D740" s="8">
        <v>5.2086000000000005E-4</v>
      </c>
    </row>
    <row r="741" spans="1:4" x14ac:dyDescent="0.2">
      <c r="A741" s="1">
        <v>2022</v>
      </c>
      <c r="B741" s="1" t="s">
        <v>737</v>
      </c>
      <c r="C741" s="2">
        <v>1169460</v>
      </c>
      <c r="D741" s="8">
        <v>9.7628000000000005E-4</v>
      </c>
    </row>
    <row r="742" spans="1:4" x14ac:dyDescent="0.2">
      <c r="A742" s="1">
        <v>2022</v>
      </c>
      <c r="B742" s="1" t="s">
        <v>738</v>
      </c>
      <c r="C742" s="2">
        <v>650728</v>
      </c>
      <c r="D742" s="8">
        <v>5.4323999999999996E-4</v>
      </c>
    </row>
    <row r="743" spans="1:4" x14ac:dyDescent="0.2">
      <c r="A743" s="1">
        <v>2022</v>
      </c>
      <c r="B743" s="1" t="s">
        <v>739</v>
      </c>
      <c r="C743" s="2">
        <v>3212831</v>
      </c>
      <c r="D743" s="8">
        <v>2.6821200000000001E-3</v>
      </c>
    </row>
    <row r="744" spans="1:4" x14ac:dyDescent="0.2">
      <c r="A744" s="1">
        <v>2022</v>
      </c>
      <c r="B744" s="1" t="s">
        <v>740</v>
      </c>
      <c r="C744" s="2">
        <v>45993</v>
      </c>
      <c r="D744" s="8">
        <v>3.8399999999999998E-5</v>
      </c>
    </row>
    <row r="745" spans="1:4" x14ac:dyDescent="0.2">
      <c r="A745" s="1">
        <v>2022</v>
      </c>
      <c r="B745" s="1" t="s">
        <v>741</v>
      </c>
      <c r="C745" s="2">
        <v>41196</v>
      </c>
      <c r="D745" s="8">
        <v>3.4390000000000001E-5</v>
      </c>
    </row>
    <row r="746" spans="1:4" x14ac:dyDescent="0.2">
      <c r="A746" s="1">
        <v>2022</v>
      </c>
      <c r="B746" s="1" t="s">
        <v>742</v>
      </c>
      <c r="C746" s="2">
        <v>148036</v>
      </c>
      <c r="D746" s="8">
        <v>1.2358000000000001E-4</v>
      </c>
    </row>
    <row r="747" spans="1:4" x14ac:dyDescent="0.2">
      <c r="A747" s="1">
        <v>2022</v>
      </c>
      <c r="B747" s="1" t="s">
        <v>743</v>
      </c>
      <c r="C747" s="2">
        <v>4058</v>
      </c>
      <c r="D747" s="8">
        <v>3.3900000000000002E-6</v>
      </c>
    </row>
    <row r="748" spans="1:4" x14ac:dyDescent="0.2">
      <c r="A748" s="1">
        <v>2022</v>
      </c>
      <c r="B748" s="1" t="s">
        <v>744</v>
      </c>
      <c r="C748" s="2">
        <v>41547</v>
      </c>
      <c r="D748" s="8">
        <v>3.468E-5</v>
      </c>
    </row>
    <row r="749" spans="1:4" x14ac:dyDescent="0.2">
      <c r="A749" s="1">
        <v>2022</v>
      </c>
      <c r="B749" s="1" t="s">
        <v>745</v>
      </c>
      <c r="C749" s="2">
        <v>5561</v>
      </c>
      <c r="D749" s="8">
        <v>4.6399999999999996E-6</v>
      </c>
    </row>
    <row r="750" spans="1:4" x14ac:dyDescent="0.2">
      <c r="A750" s="1">
        <v>2022</v>
      </c>
      <c r="B750" s="1" t="s">
        <v>746</v>
      </c>
      <c r="C750" s="2">
        <v>8143</v>
      </c>
      <c r="D750" s="8">
        <v>6.8000000000000001E-6</v>
      </c>
    </row>
    <row r="751" spans="1:4" x14ac:dyDescent="0.2">
      <c r="A751" s="1">
        <v>2022</v>
      </c>
      <c r="B751" s="1" t="s">
        <v>747</v>
      </c>
      <c r="C751" s="2">
        <v>43333</v>
      </c>
      <c r="D751" s="8">
        <v>3.6170000000000001E-5</v>
      </c>
    </row>
    <row r="752" spans="1:4" x14ac:dyDescent="0.2">
      <c r="A752" s="1">
        <v>2022</v>
      </c>
      <c r="B752" s="1" t="s">
        <v>748</v>
      </c>
      <c r="C752" s="2">
        <v>1761</v>
      </c>
      <c r="D752" s="8">
        <v>1.4699999999999999E-6</v>
      </c>
    </row>
    <row r="753" spans="1:4" x14ac:dyDescent="0.2">
      <c r="A753" s="1">
        <v>2022</v>
      </c>
      <c r="B753" s="1" t="s">
        <v>749</v>
      </c>
      <c r="C753" s="2">
        <v>20250</v>
      </c>
      <c r="D753" s="8">
        <v>1.6909999999999999E-5</v>
      </c>
    </row>
    <row r="754" spans="1:4" x14ac:dyDescent="0.2">
      <c r="A754" s="1">
        <v>2022</v>
      </c>
      <c r="B754" s="1" t="s">
        <v>750</v>
      </c>
      <c r="C754" s="2">
        <v>39710</v>
      </c>
      <c r="D754" s="8">
        <v>3.3149999999999999E-5</v>
      </c>
    </row>
    <row r="755" spans="1:4" x14ac:dyDescent="0.2">
      <c r="A755" s="1">
        <v>2022</v>
      </c>
      <c r="B755" s="1" t="s">
        <v>751</v>
      </c>
      <c r="C755" s="2">
        <v>2923</v>
      </c>
      <c r="D755" s="8">
        <v>2.4399999999999999E-6</v>
      </c>
    </row>
    <row r="756" spans="1:4" x14ac:dyDescent="0.2">
      <c r="A756" s="1">
        <v>2022</v>
      </c>
      <c r="B756" s="1" t="s">
        <v>752</v>
      </c>
      <c r="C756" s="2">
        <v>24729</v>
      </c>
      <c r="D756" s="8">
        <v>2.0639999999999999E-5</v>
      </c>
    </row>
    <row r="757" spans="1:4" x14ac:dyDescent="0.2">
      <c r="A757" s="1">
        <v>2022</v>
      </c>
      <c r="B757" s="1" t="s">
        <v>753</v>
      </c>
      <c r="C757" s="2">
        <v>10065</v>
      </c>
      <c r="D757" s="8">
        <v>8.3999999999999992E-6</v>
      </c>
    </row>
    <row r="758" spans="1:4" x14ac:dyDescent="0.2">
      <c r="A758" s="1">
        <v>2022</v>
      </c>
      <c r="B758" s="1" t="s">
        <v>754</v>
      </c>
      <c r="C758" s="2">
        <v>15725</v>
      </c>
      <c r="D758" s="8">
        <v>1.313E-5</v>
      </c>
    </row>
    <row r="759" spans="1:4" x14ac:dyDescent="0.2">
      <c r="A759" s="1">
        <v>2022</v>
      </c>
      <c r="B759" s="1" t="s">
        <v>755</v>
      </c>
      <c r="C759" s="2">
        <v>16579</v>
      </c>
      <c r="D759" s="8">
        <v>1.384E-5</v>
      </c>
    </row>
    <row r="760" spans="1:4" x14ac:dyDescent="0.2">
      <c r="A760" s="1">
        <v>2022</v>
      </c>
      <c r="B760" s="1" t="s">
        <v>756</v>
      </c>
      <c r="C760" s="2">
        <v>13489</v>
      </c>
      <c r="D760" s="8">
        <v>1.1260000000000001E-5</v>
      </c>
    </row>
    <row r="761" spans="1:4" x14ac:dyDescent="0.2">
      <c r="A761" s="1">
        <v>2022</v>
      </c>
      <c r="B761" s="1" t="s">
        <v>757</v>
      </c>
      <c r="C761" s="2">
        <v>53295</v>
      </c>
      <c r="D761" s="8">
        <v>4.4490000000000003E-5</v>
      </c>
    </row>
    <row r="762" spans="1:4" x14ac:dyDescent="0.2">
      <c r="A762" s="1">
        <v>2022</v>
      </c>
      <c r="B762" s="1" t="s">
        <v>758</v>
      </c>
      <c r="C762" s="2">
        <v>3028</v>
      </c>
      <c r="D762" s="8">
        <v>2.5299999999999999E-6</v>
      </c>
    </row>
    <row r="763" spans="1:4" x14ac:dyDescent="0.2">
      <c r="A763" s="1">
        <v>2022</v>
      </c>
      <c r="B763" s="1" t="s">
        <v>759</v>
      </c>
      <c r="C763" s="2">
        <v>342820</v>
      </c>
      <c r="D763" s="8">
        <v>2.8619000000000002E-4</v>
      </c>
    </row>
    <row r="764" spans="1:4" x14ac:dyDescent="0.2">
      <c r="A764" s="1">
        <v>2022</v>
      </c>
      <c r="B764" s="1" t="s">
        <v>760</v>
      </c>
      <c r="C764" s="2">
        <v>22066</v>
      </c>
      <c r="D764" s="8">
        <v>1.842E-5</v>
      </c>
    </row>
    <row r="765" spans="1:4" x14ac:dyDescent="0.2">
      <c r="A765" s="1">
        <v>2022</v>
      </c>
      <c r="B765" s="1" t="s">
        <v>761</v>
      </c>
      <c r="C765" s="2">
        <v>2914261</v>
      </c>
      <c r="D765" s="8">
        <v>2.4328700000000002E-3</v>
      </c>
    </row>
    <row r="766" spans="1:4" x14ac:dyDescent="0.2">
      <c r="A766" s="1">
        <v>2022</v>
      </c>
      <c r="B766" s="1" t="s">
        <v>762</v>
      </c>
      <c r="C766" s="2">
        <v>45861</v>
      </c>
      <c r="D766" s="8">
        <v>3.8290000000000001E-5</v>
      </c>
    </row>
    <row r="767" spans="1:4" x14ac:dyDescent="0.2">
      <c r="A767" s="1">
        <v>2022</v>
      </c>
      <c r="B767" s="1" t="s">
        <v>763</v>
      </c>
      <c r="C767" s="2">
        <v>2375088</v>
      </c>
      <c r="D767" s="8">
        <v>1.9827600000000001E-3</v>
      </c>
    </row>
    <row r="768" spans="1:4" x14ac:dyDescent="0.2">
      <c r="A768" s="1">
        <v>2022</v>
      </c>
      <c r="B768" s="1" t="s">
        <v>764</v>
      </c>
      <c r="C768" s="2">
        <v>1538647</v>
      </c>
      <c r="D768" s="8">
        <v>1.28448E-3</v>
      </c>
    </row>
    <row r="769" spans="1:4" x14ac:dyDescent="0.2">
      <c r="A769" s="1">
        <v>2022</v>
      </c>
      <c r="B769" s="1" t="s">
        <v>765</v>
      </c>
      <c r="C769" s="2">
        <v>201026</v>
      </c>
      <c r="D769" s="8">
        <v>1.6782E-4</v>
      </c>
    </row>
    <row r="770" spans="1:4" x14ac:dyDescent="0.2">
      <c r="A770" s="1">
        <v>2022</v>
      </c>
      <c r="B770" s="1" t="s">
        <v>766</v>
      </c>
      <c r="C770" s="2">
        <v>92371</v>
      </c>
      <c r="D770" s="8">
        <v>7.7109999999999999E-5</v>
      </c>
    </row>
    <row r="771" spans="1:4" x14ac:dyDescent="0.2">
      <c r="A771" s="1">
        <v>2022</v>
      </c>
      <c r="B771" s="1" t="s">
        <v>767</v>
      </c>
      <c r="C771" s="2">
        <v>206079</v>
      </c>
      <c r="D771" s="8">
        <v>1.7204000000000001E-4</v>
      </c>
    </row>
    <row r="772" spans="1:4" x14ac:dyDescent="0.2">
      <c r="A772" s="1">
        <v>2022</v>
      </c>
      <c r="B772" s="1" t="s">
        <v>768</v>
      </c>
      <c r="C772" s="2">
        <v>81866</v>
      </c>
      <c r="D772" s="8">
        <v>6.834E-5</v>
      </c>
    </row>
    <row r="773" spans="1:4" x14ac:dyDescent="0.2">
      <c r="A773" s="1">
        <v>2022</v>
      </c>
      <c r="B773" s="1" t="s">
        <v>769</v>
      </c>
      <c r="C773" s="2">
        <v>3103504</v>
      </c>
      <c r="D773" s="8">
        <v>2.59085E-3</v>
      </c>
    </row>
    <row r="774" spans="1:4" x14ac:dyDescent="0.2">
      <c r="A774" s="1">
        <v>2022</v>
      </c>
      <c r="B774" s="1" t="s">
        <v>770</v>
      </c>
      <c r="C774" s="2">
        <v>130234</v>
      </c>
      <c r="D774" s="8">
        <v>1.0872E-4</v>
      </c>
    </row>
    <row r="775" spans="1:4" x14ac:dyDescent="0.2">
      <c r="A775" s="1">
        <v>2022</v>
      </c>
      <c r="B775" s="1" t="s">
        <v>771</v>
      </c>
      <c r="C775" s="2">
        <v>95412</v>
      </c>
      <c r="D775" s="8">
        <v>7.9649999999999998E-5</v>
      </c>
    </row>
    <row r="776" spans="1:4" x14ac:dyDescent="0.2">
      <c r="A776" s="1">
        <v>2022</v>
      </c>
      <c r="B776" s="1" t="s">
        <v>772</v>
      </c>
      <c r="C776" s="2">
        <v>7976959</v>
      </c>
      <c r="D776" s="8">
        <v>6.6592800000000001E-3</v>
      </c>
    </row>
    <row r="777" spans="1:4" x14ac:dyDescent="0.2">
      <c r="A777" s="1">
        <v>2022</v>
      </c>
      <c r="B777" s="1" t="s">
        <v>773</v>
      </c>
      <c r="C777" s="2">
        <v>624543</v>
      </c>
      <c r="D777" s="8">
        <v>5.2138E-4</v>
      </c>
    </row>
    <row r="778" spans="1:4" x14ac:dyDescent="0.2">
      <c r="A778" s="1">
        <v>2022</v>
      </c>
      <c r="B778" s="1" t="s">
        <v>774</v>
      </c>
      <c r="C778" s="2">
        <v>111838</v>
      </c>
      <c r="D778" s="8">
        <v>9.3360000000000001E-5</v>
      </c>
    </row>
    <row r="779" spans="1:4" x14ac:dyDescent="0.2">
      <c r="A779" s="1">
        <v>2022</v>
      </c>
      <c r="B779" s="1" t="s">
        <v>775</v>
      </c>
      <c r="C779" s="2">
        <v>130637</v>
      </c>
      <c r="D779" s="8">
        <v>1.0906E-4</v>
      </c>
    </row>
    <row r="780" spans="1:4" x14ac:dyDescent="0.2">
      <c r="A780" s="1">
        <v>2022</v>
      </c>
      <c r="B780" s="1" t="s">
        <v>776</v>
      </c>
      <c r="C780" s="2">
        <v>114888</v>
      </c>
      <c r="D780" s="8">
        <v>9.5909999999999995E-5</v>
      </c>
    </row>
    <row r="781" spans="1:4" x14ac:dyDescent="0.2">
      <c r="A781" s="1">
        <v>2022</v>
      </c>
      <c r="B781" s="1" t="s">
        <v>777</v>
      </c>
      <c r="C781" s="2">
        <v>2804217</v>
      </c>
      <c r="D781" s="8">
        <v>2.3410000000000002E-3</v>
      </c>
    </row>
    <row r="782" spans="1:4" x14ac:dyDescent="0.2">
      <c r="A782" s="1">
        <v>2022</v>
      </c>
      <c r="B782" s="1" t="s">
        <v>778</v>
      </c>
      <c r="C782" s="2">
        <v>838230</v>
      </c>
      <c r="D782" s="8">
        <v>6.9976999999999995E-4</v>
      </c>
    </row>
    <row r="783" spans="1:4" x14ac:dyDescent="0.2">
      <c r="A783" s="1">
        <v>2022</v>
      </c>
      <c r="B783" s="1" t="s">
        <v>779</v>
      </c>
      <c r="C783" s="2">
        <v>2045</v>
      </c>
      <c r="D783" s="8">
        <v>1.7099999999999999E-6</v>
      </c>
    </row>
    <row r="784" spans="1:4" x14ac:dyDescent="0.2">
      <c r="A784" s="1">
        <v>2022</v>
      </c>
      <c r="B784" s="1" t="s">
        <v>780</v>
      </c>
      <c r="C784" s="2">
        <v>991108</v>
      </c>
      <c r="D784" s="8">
        <v>8.2739E-4</v>
      </c>
    </row>
    <row r="785" spans="1:4" x14ac:dyDescent="0.2">
      <c r="A785" s="1">
        <v>2022</v>
      </c>
      <c r="B785" s="1" t="s">
        <v>781</v>
      </c>
      <c r="C785" s="2">
        <v>88006462</v>
      </c>
      <c r="D785" s="8">
        <v>7.3469069999999997E-2</v>
      </c>
    </row>
    <row r="786" spans="1:4" x14ac:dyDescent="0.2">
      <c r="A786" s="1">
        <v>2022</v>
      </c>
      <c r="B786" s="1" t="s">
        <v>782</v>
      </c>
      <c r="C786" s="2">
        <v>23035202</v>
      </c>
      <c r="D786" s="8">
        <v>1.923012E-2</v>
      </c>
    </row>
    <row r="787" spans="1:4" x14ac:dyDescent="0.2">
      <c r="A787" s="1">
        <v>2022</v>
      </c>
      <c r="B787" s="1" t="s">
        <v>783</v>
      </c>
      <c r="C787" s="2">
        <v>15420139</v>
      </c>
      <c r="D787" s="8">
        <v>1.2872959999999999E-2</v>
      </c>
    </row>
    <row r="788" spans="1:4" x14ac:dyDescent="0.2">
      <c r="A788" s="1">
        <v>2022</v>
      </c>
      <c r="B788" s="1" t="s">
        <v>784</v>
      </c>
      <c r="C788" s="2">
        <v>186599</v>
      </c>
      <c r="D788" s="8">
        <v>1.5578E-4</v>
      </c>
    </row>
    <row r="789" spans="1:4" x14ac:dyDescent="0.2">
      <c r="A789" s="1">
        <v>2022</v>
      </c>
      <c r="B789" s="1" t="s">
        <v>785</v>
      </c>
      <c r="C789" s="2">
        <v>28583</v>
      </c>
      <c r="D789" s="8">
        <v>2.3859999999999999E-5</v>
      </c>
    </row>
    <row r="790" spans="1:4" x14ac:dyDescent="0.2">
      <c r="A790" s="1">
        <v>2022</v>
      </c>
      <c r="B790" s="1" t="s">
        <v>786</v>
      </c>
      <c r="C790" s="2">
        <v>47420</v>
      </c>
      <c r="D790" s="8">
        <v>3.9589999999999999E-5</v>
      </c>
    </row>
    <row r="791" spans="1:4" x14ac:dyDescent="0.2">
      <c r="A791" s="1">
        <v>2022</v>
      </c>
      <c r="B791" s="1" t="s">
        <v>787</v>
      </c>
      <c r="C791" s="2">
        <v>131189</v>
      </c>
      <c r="D791" s="8">
        <v>1.0951999999999999E-4</v>
      </c>
    </row>
    <row r="792" spans="1:4" x14ac:dyDescent="0.2">
      <c r="A792" s="1">
        <v>2022</v>
      </c>
      <c r="B792" s="1" t="s">
        <v>788</v>
      </c>
      <c r="C792" s="2">
        <v>159582</v>
      </c>
      <c r="D792" s="8">
        <v>1.3322E-4</v>
      </c>
    </row>
    <row r="793" spans="1:4" x14ac:dyDescent="0.2">
      <c r="A793" s="1">
        <v>2022</v>
      </c>
      <c r="B793" s="1" t="s">
        <v>789</v>
      </c>
      <c r="C793" s="2">
        <v>59652</v>
      </c>
      <c r="D793" s="8">
        <v>4.9799999999999998E-5</v>
      </c>
    </row>
    <row r="794" spans="1:4" x14ac:dyDescent="0.2">
      <c r="A794" s="1">
        <v>2022</v>
      </c>
      <c r="B794" s="1" t="s">
        <v>790</v>
      </c>
      <c r="C794" s="2">
        <v>2892860</v>
      </c>
      <c r="D794" s="8">
        <v>2.415E-3</v>
      </c>
    </row>
    <row r="795" spans="1:4" x14ac:dyDescent="0.2">
      <c r="A795" s="1">
        <v>2022</v>
      </c>
      <c r="B795" s="1" t="s">
        <v>791</v>
      </c>
      <c r="C795" s="2">
        <v>50666</v>
      </c>
      <c r="D795" s="8">
        <v>4.2299999999999998E-5</v>
      </c>
    </row>
    <row r="796" spans="1:4" x14ac:dyDescent="0.2">
      <c r="A796" s="1">
        <v>2022</v>
      </c>
      <c r="B796" s="1" t="s">
        <v>792</v>
      </c>
      <c r="C796" s="2">
        <v>87112</v>
      </c>
      <c r="D796" s="8">
        <v>7.2719999999999995E-5</v>
      </c>
    </row>
    <row r="797" spans="1:4" x14ac:dyDescent="0.2">
      <c r="A797" s="1">
        <v>2022</v>
      </c>
      <c r="B797" s="1" t="s">
        <v>793</v>
      </c>
      <c r="C797" s="2">
        <v>8107873</v>
      </c>
      <c r="D797" s="8">
        <v>6.7685699999999998E-3</v>
      </c>
    </row>
    <row r="798" spans="1:4" x14ac:dyDescent="0.2">
      <c r="A798" s="1">
        <v>2022</v>
      </c>
      <c r="B798" s="1" t="s">
        <v>794</v>
      </c>
      <c r="C798" s="2">
        <v>58716</v>
      </c>
      <c r="D798" s="8">
        <v>4.9020000000000002E-5</v>
      </c>
    </row>
    <row r="799" spans="1:4" x14ac:dyDescent="0.2">
      <c r="A799" s="1">
        <v>2022</v>
      </c>
      <c r="B799" s="1" t="s">
        <v>795</v>
      </c>
      <c r="C799" s="2">
        <v>96605</v>
      </c>
      <c r="D799" s="8">
        <v>8.0649999999999995E-5</v>
      </c>
    </row>
    <row r="800" spans="1:4" x14ac:dyDescent="0.2">
      <c r="A800" s="1">
        <v>2022</v>
      </c>
      <c r="B800" s="1" t="s">
        <v>796</v>
      </c>
      <c r="C800" s="2">
        <v>491890</v>
      </c>
      <c r="D800" s="8">
        <v>4.1063999999999999E-4</v>
      </c>
    </row>
    <row r="801" spans="1:4" x14ac:dyDescent="0.2">
      <c r="A801" s="1">
        <v>2022</v>
      </c>
      <c r="B801" s="1" t="s">
        <v>797</v>
      </c>
      <c r="C801" s="2">
        <v>4061</v>
      </c>
      <c r="D801" s="8">
        <v>3.3900000000000002E-6</v>
      </c>
    </row>
    <row r="802" spans="1:4" x14ac:dyDescent="0.2">
      <c r="A802" s="1">
        <v>2022</v>
      </c>
      <c r="B802" s="1" t="s">
        <v>798</v>
      </c>
      <c r="C802" s="2">
        <v>1951291</v>
      </c>
      <c r="D802" s="8">
        <v>1.62897E-3</v>
      </c>
    </row>
    <row r="803" spans="1:4" x14ac:dyDescent="0.2">
      <c r="A803" s="1">
        <v>2022</v>
      </c>
      <c r="B803" s="1" t="s">
        <v>799</v>
      </c>
      <c r="C803" s="2">
        <v>1757</v>
      </c>
      <c r="D803" s="8">
        <v>1.4699999999999999E-6</v>
      </c>
    </row>
    <row r="804" spans="1:4" x14ac:dyDescent="0.2">
      <c r="A804" s="1">
        <v>2022</v>
      </c>
      <c r="B804" s="1" t="s">
        <v>800</v>
      </c>
      <c r="C804" s="2">
        <v>1970426</v>
      </c>
      <c r="D804" s="8">
        <v>1.6449399999999999E-3</v>
      </c>
    </row>
    <row r="805" spans="1:4" x14ac:dyDescent="0.2">
      <c r="A805" s="1">
        <v>2022</v>
      </c>
      <c r="B805" s="1" t="s">
        <v>801</v>
      </c>
      <c r="C805" s="2">
        <v>15051</v>
      </c>
      <c r="D805" s="8">
        <v>1.257E-5</v>
      </c>
    </row>
    <row r="806" spans="1:4" x14ac:dyDescent="0.2">
      <c r="A806" s="1">
        <v>2022</v>
      </c>
      <c r="B806" s="1" t="s">
        <v>802</v>
      </c>
      <c r="C806" s="2">
        <v>2086839</v>
      </c>
      <c r="D806" s="8">
        <v>1.74212E-3</v>
      </c>
    </row>
    <row r="807" spans="1:4" x14ac:dyDescent="0.2">
      <c r="A807" s="1">
        <v>2022</v>
      </c>
      <c r="B807" s="1" t="s">
        <v>803</v>
      </c>
      <c r="C807" s="2">
        <v>69999</v>
      </c>
      <c r="D807" s="8">
        <v>5.8440000000000003E-5</v>
      </c>
    </row>
    <row r="808" spans="1:4" x14ac:dyDescent="0.2">
      <c r="A808" s="1">
        <v>2022</v>
      </c>
      <c r="B808" s="1" t="s">
        <v>804</v>
      </c>
      <c r="C808" s="2">
        <v>363180</v>
      </c>
      <c r="D808" s="8">
        <v>3.0319E-4</v>
      </c>
    </row>
    <row r="809" spans="1:4" x14ac:dyDescent="0.2">
      <c r="A809" s="1">
        <v>2022</v>
      </c>
      <c r="B809" s="1" t="s">
        <v>805</v>
      </c>
      <c r="C809" s="2">
        <v>49224</v>
      </c>
      <c r="D809" s="8">
        <v>4.1090000000000001E-5</v>
      </c>
    </row>
    <row r="810" spans="1:4" x14ac:dyDescent="0.2">
      <c r="A810" s="1">
        <v>2022</v>
      </c>
      <c r="B810" s="1" t="s">
        <v>806</v>
      </c>
      <c r="C810" s="2">
        <v>1037976</v>
      </c>
      <c r="D810" s="8">
        <v>8.6651999999999996E-4</v>
      </c>
    </row>
    <row r="811" spans="1:4" x14ac:dyDescent="0.2">
      <c r="A811" s="1">
        <v>2022</v>
      </c>
      <c r="B811" s="1" t="s">
        <v>807</v>
      </c>
      <c r="C811" s="2">
        <v>618262</v>
      </c>
      <c r="D811" s="8">
        <v>5.1612999999999995E-4</v>
      </c>
    </row>
    <row r="812" spans="1:4" x14ac:dyDescent="0.2">
      <c r="A812" s="1">
        <v>2022</v>
      </c>
      <c r="B812" s="1" t="s">
        <v>808</v>
      </c>
      <c r="C812" s="2">
        <v>3183432</v>
      </c>
      <c r="D812" s="8">
        <v>2.6575800000000001E-3</v>
      </c>
    </row>
    <row r="813" spans="1:4" x14ac:dyDescent="0.2">
      <c r="A813" s="1">
        <v>2022</v>
      </c>
      <c r="B813" s="1" t="s">
        <v>809</v>
      </c>
      <c r="C813" s="2">
        <v>809354</v>
      </c>
      <c r="D813" s="8">
        <v>6.7566000000000002E-4</v>
      </c>
    </row>
    <row r="814" spans="1:4" x14ac:dyDescent="0.2">
      <c r="A814" s="1">
        <v>2022</v>
      </c>
      <c r="B814" s="1" t="s">
        <v>810</v>
      </c>
      <c r="C814" s="2">
        <v>5536</v>
      </c>
      <c r="D814" s="8">
        <v>4.6199999999999998E-6</v>
      </c>
    </row>
    <row r="815" spans="1:4" x14ac:dyDescent="0.2">
      <c r="A815" s="1">
        <v>2022</v>
      </c>
      <c r="B815" s="1" t="s">
        <v>811</v>
      </c>
      <c r="C815" s="2">
        <v>4072</v>
      </c>
      <c r="D815" s="8">
        <v>3.4000000000000001E-6</v>
      </c>
    </row>
    <row r="816" spans="1:4" x14ac:dyDescent="0.2">
      <c r="A816" s="1">
        <v>2022</v>
      </c>
      <c r="B816" s="1" t="s">
        <v>812</v>
      </c>
      <c r="C816" s="2">
        <v>304511</v>
      </c>
      <c r="D816" s="8">
        <v>2.5420999999999999E-4</v>
      </c>
    </row>
    <row r="817" spans="1:4" x14ac:dyDescent="0.2">
      <c r="A817" s="1">
        <v>2022</v>
      </c>
      <c r="B817" s="1" t="s">
        <v>813</v>
      </c>
      <c r="C817" s="2">
        <v>10419</v>
      </c>
      <c r="D817" s="8">
        <v>8.6999999999999997E-6</v>
      </c>
    </row>
    <row r="818" spans="1:4" x14ac:dyDescent="0.2">
      <c r="A818" s="1">
        <v>2022</v>
      </c>
      <c r="B818" s="1" t="s">
        <v>897</v>
      </c>
      <c r="C818" s="2">
        <v>31542</v>
      </c>
      <c r="D818" s="8">
        <v>2.633E-5</v>
      </c>
    </row>
    <row r="819" spans="1:4" x14ac:dyDescent="0.2">
      <c r="A819" s="1">
        <v>2022</v>
      </c>
      <c r="B819" s="1" t="s">
        <v>815</v>
      </c>
      <c r="C819" s="2">
        <v>317192</v>
      </c>
      <c r="D819" s="8">
        <v>2.6479999999999999E-4</v>
      </c>
    </row>
    <row r="820" spans="1:4" x14ac:dyDescent="0.2">
      <c r="A820" s="1">
        <v>2022</v>
      </c>
      <c r="B820" s="1" t="s">
        <v>816</v>
      </c>
      <c r="C820" s="2">
        <v>1717806</v>
      </c>
      <c r="D820" s="8">
        <v>1.4340500000000001E-3</v>
      </c>
    </row>
    <row r="821" spans="1:4" x14ac:dyDescent="0.2">
      <c r="A821" s="1">
        <v>2022</v>
      </c>
      <c r="B821" s="1" t="s">
        <v>817</v>
      </c>
      <c r="C821" s="2">
        <v>1717139</v>
      </c>
      <c r="D821" s="8">
        <v>1.4334899999999999E-3</v>
      </c>
    </row>
    <row r="822" spans="1:4" x14ac:dyDescent="0.2">
      <c r="A822" s="1">
        <v>2022</v>
      </c>
      <c r="B822" s="1" t="s">
        <v>818</v>
      </c>
      <c r="C822" s="2">
        <v>19275</v>
      </c>
      <c r="D822" s="8">
        <v>1.609E-5</v>
      </c>
    </row>
    <row r="823" spans="1:4" x14ac:dyDescent="0.2">
      <c r="A823" s="1">
        <v>2022</v>
      </c>
      <c r="B823" s="1" t="s">
        <v>819</v>
      </c>
      <c r="C823" s="2">
        <v>66421</v>
      </c>
      <c r="D823" s="8">
        <v>5.5449999999999999E-5</v>
      </c>
    </row>
    <row r="824" spans="1:4" x14ac:dyDescent="0.2">
      <c r="A824" s="1">
        <v>2022</v>
      </c>
      <c r="B824" s="1" t="s">
        <v>820</v>
      </c>
      <c r="C824" s="2">
        <v>1232679</v>
      </c>
      <c r="D824" s="8">
        <v>1.02906E-3</v>
      </c>
    </row>
    <row r="825" spans="1:4" x14ac:dyDescent="0.2">
      <c r="A825" s="1">
        <v>2022</v>
      </c>
      <c r="B825" s="1" t="s">
        <v>821</v>
      </c>
      <c r="C825" s="2">
        <v>233025</v>
      </c>
      <c r="D825" s="8">
        <v>1.9453E-4</v>
      </c>
    </row>
    <row r="826" spans="1:4" x14ac:dyDescent="0.2">
      <c r="A826" s="1">
        <v>2022</v>
      </c>
      <c r="B826" s="1" t="s">
        <v>822</v>
      </c>
      <c r="C826" s="2">
        <v>1536829</v>
      </c>
      <c r="D826" s="8">
        <v>1.28297E-3</v>
      </c>
    </row>
    <row r="827" spans="1:4" x14ac:dyDescent="0.2">
      <c r="A827" s="1">
        <v>2022</v>
      </c>
      <c r="B827" s="1" t="s">
        <v>823</v>
      </c>
      <c r="C827" s="2">
        <v>718770</v>
      </c>
      <c r="D827" s="8">
        <v>6.0004000000000004E-4</v>
      </c>
    </row>
    <row r="828" spans="1:4" x14ac:dyDescent="0.2">
      <c r="A828" s="1">
        <v>2022</v>
      </c>
      <c r="B828" s="1" t="s">
        <v>824</v>
      </c>
      <c r="C828" s="2">
        <v>2985196</v>
      </c>
      <c r="D828" s="8">
        <v>2.4920799999999998E-3</v>
      </c>
    </row>
    <row r="829" spans="1:4" x14ac:dyDescent="0.2">
      <c r="A829" s="1">
        <v>2022</v>
      </c>
      <c r="B829" s="1" t="s">
        <v>825</v>
      </c>
      <c r="C829" s="2">
        <v>171692</v>
      </c>
      <c r="D829" s="8">
        <v>1.4333E-4</v>
      </c>
    </row>
    <row r="830" spans="1:4" x14ac:dyDescent="0.2">
      <c r="A830" s="1">
        <v>2022</v>
      </c>
      <c r="B830" s="1" t="s">
        <v>826</v>
      </c>
      <c r="C830" s="2">
        <v>35415</v>
      </c>
      <c r="D830" s="8">
        <v>2.9560000000000002E-5</v>
      </c>
    </row>
    <row r="831" spans="1:4" x14ac:dyDescent="0.2">
      <c r="A831" s="1">
        <v>2022</v>
      </c>
      <c r="B831" s="1" t="s">
        <v>827</v>
      </c>
      <c r="C831" s="2">
        <v>133969</v>
      </c>
      <c r="D831" s="8">
        <v>1.1184E-4</v>
      </c>
    </row>
    <row r="832" spans="1:4" x14ac:dyDescent="0.2">
      <c r="A832" s="1">
        <v>2022</v>
      </c>
      <c r="B832" s="1" t="s">
        <v>828</v>
      </c>
      <c r="C832" s="2">
        <v>25798</v>
      </c>
      <c r="D832" s="8">
        <v>2.154E-5</v>
      </c>
    </row>
    <row r="833" spans="1:4" x14ac:dyDescent="0.2">
      <c r="A833" s="1">
        <v>2022</v>
      </c>
      <c r="B833" s="1" t="s">
        <v>829</v>
      </c>
      <c r="C833" s="2">
        <v>831974</v>
      </c>
      <c r="D833" s="8">
        <v>6.9454E-4</v>
      </c>
    </row>
    <row r="834" spans="1:4" x14ac:dyDescent="0.2">
      <c r="A834" s="1">
        <v>2022</v>
      </c>
      <c r="B834" s="1" t="s">
        <v>830</v>
      </c>
      <c r="C834" s="2">
        <v>3419</v>
      </c>
      <c r="D834" s="8">
        <v>2.8499999999999998E-6</v>
      </c>
    </row>
    <row r="835" spans="1:4" x14ac:dyDescent="0.2">
      <c r="A835" s="1">
        <v>2022</v>
      </c>
      <c r="B835" s="1" t="s">
        <v>831</v>
      </c>
      <c r="C835" s="2">
        <v>2261497</v>
      </c>
      <c r="D835" s="8">
        <v>1.8879299999999999E-3</v>
      </c>
    </row>
    <row r="836" spans="1:4" x14ac:dyDescent="0.2">
      <c r="A836" s="1">
        <v>2022</v>
      </c>
      <c r="B836" s="1" t="s">
        <v>832</v>
      </c>
      <c r="C836" s="2">
        <v>342480</v>
      </c>
      <c r="D836" s="8">
        <v>2.8591000000000001E-4</v>
      </c>
    </row>
    <row r="837" spans="1:4" x14ac:dyDescent="0.2">
      <c r="A837" s="1">
        <v>2022</v>
      </c>
      <c r="B837" s="1" t="s">
        <v>833</v>
      </c>
      <c r="C837" s="2">
        <v>3676498</v>
      </c>
      <c r="D837" s="8">
        <v>3.0691899999999999E-3</v>
      </c>
    </row>
    <row r="838" spans="1:4" x14ac:dyDescent="0.2">
      <c r="A838" s="1">
        <v>2022</v>
      </c>
      <c r="B838" s="1" t="s">
        <v>834</v>
      </c>
      <c r="C838" s="2">
        <v>1222999</v>
      </c>
      <c r="D838" s="8">
        <v>1.0209800000000001E-3</v>
      </c>
    </row>
    <row r="839" spans="1:4" x14ac:dyDescent="0.2">
      <c r="A839" s="1">
        <v>2022</v>
      </c>
      <c r="B839" s="1" t="s">
        <v>835</v>
      </c>
      <c r="C839" s="2">
        <v>390559</v>
      </c>
      <c r="D839" s="8">
        <v>3.2603999999999999E-4</v>
      </c>
    </row>
    <row r="840" spans="1:4" x14ac:dyDescent="0.2">
      <c r="A840" s="1">
        <v>2022</v>
      </c>
      <c r="B840" s="1" t="s">
        <v>836</v>
      </c>
      <c r="C840" s="2">
        <v>6773</v>
      </c>
      <c r="D840" s="8">
        <v>5.6500000000000001E-6</v>
      </c>
    </row>
    <row r="841" spans="1:4" x14ac:dyDescent="0.2">
      <c r="A841" s="1">
        <v>2022</v>
      </c>
      <c r="B841" s="1" t="s">
        <v>837</v>
      </c>
      <c r="C841" s="2">
        <v>317652</v>
      </c>
      <c r="D841" s="8">
        <v>2.6518000000000001E-4</v>
      </c>
    </row>
    <row r="842" spans="1:4" x14ac:dyDescent="0.2">
      <c r="A842" s="1">
        <v>2022</v>
      </c>
      <c r="B842" s="1" t="s">
        <v>838</v>
      </c>
      <c r="C842" s="2">
        <v>50034</v>
      </c>
      <c r="D842" s="8">
        <v>4.1770000000000002E-5</v>
      </c>
    </row>
    <row r="843" spans="1:4" x14ac:dyDescent="0.2">
      <c r="A843" s="1">
        <v>2022</v>
      </c>
      <c r="B843" s="1" t="s">
        <v>898</v>
      </c>
      <c r="C843" s="2">
        <v>1327736</v>
      </c>
      <c r="D843" s="8">
        <v>1.10841E-3</v>
      </c>
    </row>
    <row r="844" spans="1:4" x14ac:dyDescent="0.2">
      <c r="A844" s="1">
        <v>2022</v>
      </c>
      <c r="B844" s="1" t="s">
        <v>840</v>
      </c>
      <c r="C844" s="2">
        <v>647274</v>
      </c>
      <c r="D844" s="8">
        <v>5.4034999999999999E-4</v>
      </c>
    </row>
    <row r="845" spans="1:4" x14ac:dyDescent="0.2">
      <c r="A845" s="1">
        <v>2022</v>
      </c>
      <c r="B845" s="1" t="s">
        <v>841</v>
      </c>
      <c r="C845" s="2">
        <v>27475</v>
      </c>
      <c r="D845" s="8">
        <v>2.2940000000000001E-5</v>
      </c>
    </row>
    <row r="846" spans="1:4" x14ac:dyDescent="0.2">
      <c r="A846" s="1">
        <v>2022</v>
      </c>
      <c r="B846" s="1" t="s">
        <v>842</v>
      </c>
      <c r="C846" s="2">
        <v>3932</v>
      </c>
      <c r="D846" s="8">
        <v>3.2799999999999999E-6</v>
      </c>
    </row>
    <row r="847" spans="1:4" x14ac:dyDescent="0.2">
      <c r="A847" s="1">
        <v>2022</v>
      </c>
      <c r="B847" s="1" t="s">
        <v>843</v>
      </c>
      <c r="C847" s="2">
        <v>122461</v>
      </c>
      <c r="D847" s="8">
        <v>1.0223E-4</v>
      </c>
    </row>
    <row r="848" spans="1:4" x14ac:dyDescent="0.2">
      <c r="A848" s="1">
        <v>2022</v>
      </c>
      <c r="B848" s="1" t="s">
        <v>844</v>
      </c>
      <c r="C848" s="2">
        <v>544654</v>
      </c>
      <c r="D848" s="8">
        <v>4.5468E-4</v>
      </c>
    </row>
    <row r="849" spans="1:4" x14ac:dyDescent="0.2">
      <c r="A849" s="1">
        <v>2022</v>
      </c>
      <c r="B849" s="1" t="s">
        <v>845</v>
      </c>
      <c r="C849" s="2">
        <v>439568</v>
      </c>
      <c r="D849" s="8">
        <v>3.6696E-4</v>
      </c>
    </row>
    <row r="850" spans="1:4" x14ac:dyDescent="0.2">
      <c r="A850" s="1">
        <v>2022</v>
      </c>
      <c r="B850" s="1" t="s">
        <v>846</v>
      </c>
      <c r="C850" s="2">
        <v>5582</v>
      </c>
      <c r="D850" s="8">
        <v>4.6600000000000003E-6</v>
      </c>
    </row>
    <row r="851" spans="1:4" x14ac:dyDescent="0.2">
      <c r="A851" s="1">
        <v>2022</v>
      </c>
      <c r="B851" s="1" t="s">
        <v>847</v>
      </c>
      <c r="C851" s="2">
        <v>17813</v>
      </c>
      <c r="D851" s="8">
        <v>1.487E-5</v>
      </c>
    </row>
    <row r="852" spans="1:4" x14ac:dyDescent="0.2">
      <c r="A852" s="1">
        <v>2022</v>
      </c>
      <c r="B852" s="1" t="s">
        <v>848</v>
      </c>
      <c r="C852" s="2">
        <v>579618</v>
      </c>
      <c r="D852" s="8">
        <v>4.8387000000000001E-4</v>
      </c>
    </row>
    <row r="853" spans="1:4" x14ac:dyDescent="0.2">
      <c r="A853" s="1">
        <v>2022</v>
      </c>
      <c r="B853" s="1" t="s">
        <v>849</v>
      </c>
      <c r="C853" s="2">
        <v>46423</v>
      </c>
      <c r="D853" s="8">
        <v>3.875E-5</v>
      </c>
    </row>
    <row r="854" spans="1:4" x14ac:dyDescent="0.2">
      <c r="A854" s="1">
        <v>2022</v>
      </c>
      <c r="B854" s="1" t="s">
        <v>850</v>
      </c>
      <c r="C854" s="2">
        <v>2116002</v>
      </c>
      <c r="D854" s="8">
        <v>1.76647E-3</v>
      </c>
    </row>
    <row r="855" spans="1:4" x14ac:dyDescent="0.2">
      <c r="A855" s="1">
        <v>2022</v>
      </c>
      <c r="B855" s="1" t="s">
        <v>851</v>
      </c>
      <c r="C855" s="2">
        <v>491396</v>
      </c>
      <c r="D855" s="8">
        <v>4.1021999999999999E-4</v>
      </c>
    </row>
    <row r="856" spans="1:4" x14ac:dyDescent="0.2">
      <c r="A856" s="1">
        <v>2022</v>
      </c>
      <c r="B856" s="1" t="s">
        <v>852</v>
      </c>
      <c r="C856" s="2">
        <v>1551123</v>
      </c>
      <c r="D856" s="8">
        <v>1.2949000000000001E-3</v>
      </c>
    </row>
    <row r="857" spans="1:4" x14ac:dyDescent="0.2">
      <c r="A857" s="1">
        <v>2022</v>
      </c>
      <c r="B857" s="1" t="s">
        <v>853</v>
      </c>
      <c r="C857" s="2">
        <v>1027138</v>
      </c>
      <c r="D857" s="8">
        <v>8.5747000000000004E-4</v>
      </c>
    </row>
    <row r="858" spans="1:4" x14ac:dyDescent="0.2">
      <c r="A858" s="1">
        <v>2022</v>
      </c>
      <c r="B858" s="1" t="s">
        <v>899</v>
      </c>
      <c r="C858" s="2">
        <v>14964</v>
      </c>
      <c r="D858" s="8">
        <v>1.2490000000000001E-5</v>
      </c>
    </row>
    <row r="859" spans="1:4" x14ac:dyDescent="0.2">
      <c r="A859" s="1">
        <v>2022</v>
      </c>
      <c r="B859" s="1" t="s">
        <v>855</v>
      </c>
      <c r="C859" s="2">
        <v>6960</v>
      </c>
      <c r="D859" s="8">
        <v>5.8100000000000003E-6</v>
      </c>
    </row>
    <row r="860" spans="1:4" x14ac:dyDescent="0.2">
      <c r="A860" s="1">
        <v>2022</v>
      </c>
      <c r="B860" s="1" t="s">
        <v>856</v>
      </c>
      <c r="C860" s="2">
        <v>21619</v>
      </c>
      <c r="D860" s="8">
        <v>1.8050000000000002E-5</v>
      </c>
    </row>
    <row r="861" spans="1:4" x14ac:dyDescent="0.2">
      <c r="A861" s="1">
        <v>2022</v>
      </c>
      <c r="B861" s="1" t="s">
        <v>857</v>
      </c>
      <c r="C861" s="2">
        <v>5354</v>
      </c>
      <c r="D861" s="8">
        <v>4.4700000000000004E-6</v>
      </c>
    </row>
    <row r="862" spans="1:4" x14ac:dyDescent="0.2">
      <c r="A862" s="1">
        <v>2022</v>
      </c>
      <c r="B862" s="1" t="s">
        <v>900</v>
      </c>
      <c r="C862" s="2">
        <v>114679</v>
      </c>
      <c r="D862" s="8">
        <v>9.5740000000000002E-5</v>
      </c>
    </row>
    <row r="863" spans="1:4" x14ac:dyDescent="0.2">
      <c r="A863" s="1">
        <v>2022</v>
      </c>
      <c r="B863" s="1" t="s">
        <v>859</v>
      </c>
      <c r="C863" s="2">
        <v>103072</v>
      </c>
      <c r="D863" s="8">
        <v>8.6050000000000005E-5</v>
      </c>
    </row>
    <row r="865" spans="2:3" x14ac:dyDescent="0.2">
      <c r="B865" s="3" t="s">
        <v>861</v>
      </c>
      <c r="C865" s="2">
        <f>SUM(C2:C863)</f>
        <v>1197870890</v>
      </c>
    </row>
    <row r="866" spans="2:3" x14ac:dyDescent="0.2">
      <c r="B866" s="3"/>
    </row>
    <row r="867" spans="2:3" x14ac:dyDescent="0.2">
      <c r="B867" s="3" t="s">
        <v>860</v>
      </c>
      <c r="C867" s="2">
        <v>1197870900</v>
      </c>
    </row>
    <row r="869" spans="2:3" x14ac:dyDescent="0.2">
      <c r="B869" s="4" t="s">
        <v>862</v>
      </c>
      <c r="C869" s="5">
        <f>C865-C867</f>
        <v>-10</v>
      </c>
    </row>
  </sheetData>
  <autoFilter ref="A1:D863" xr:uid="{00C8D987-D0F2-1441-A128-6BCD12E99AC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B2DF-4F7F-4C4B-AADD-6A8AEF59AD46}">
  <sheetPr>
    <tabColor rgb="FFFFFF00"/>
  </sheetPr>
  <dimension ref="A1:D867"/>
  <sheetViews>
    <sheetView workbookViewId="0">
      <selection activeCell="A2" sqref="A2:D861"/>
    </sheetView>
  </sheetViews>
  <sheetFormatPr baseColWidth="10" defaultRowHeight="16" x14ac:dyDescent="0.2"/>
  <cols>
    <col min="1" max="1" width="10.83203125" style="1"/>
    <col min="2" max="2" width="32.6640625" style="1" bestFit="1" customWidth="1"/>
    <col min="3" max="3" width="19.664062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2021</v>
      </c>
      <c r="B2" s="1" t="s">
        <v>0</v>
      </c>
      <c r="C2" s="2">
        <v>597612</v>
      </c>
      <c r="D2" s="8">
        <v>5.1654999999999995E-4</v>
      </c>
    </row>
    <row r="3" spans="1:4" x14ac:dyDescent="0.2">
      <c r="A3" s="1">
        <v>2021</v>
      </c>
      <c r="B3" s="1" t="s">
        <v>1</v>
      </c>
      <c r="C3" s="2">
        <v>1223385</v>
      </c>
      <c r="D3" s="8">
        <v>1.0574499999999999E-3</v>
      </c>
    </row>
    <row r="4" spans="1:4" x14ac:dyDescent="0.2">
      <c r="A4" s="1">
        <v>2021</v>
      </c>
      <c r="B4" s="1" t="s">
        <v>2</v>
      </c>
      <c r="C4" s="2">
        <v>110759</v>
      </c>
      <c r="D4" s="8">
        <v>9.5740000000000002E-5</v>
      </c>
    </row>
    <row r="5" spans="1:4" x14ac:dyDescent="0.2">
      <c r="A5" s="1">
        <v>2021</v>
      </c>
      <c r="B5" s="1" t="s">
        <v>3</v>
      </c>
      <c r="C5" s="2">
        <v>30908</v>
      </c>
      <c r="D5" s="8">
        <v>2.6720000000000002E-5</v>
      </c>
    </row>
    <row r="6" spans="1:4" x14ac:dyDescent="0.2">
      <c r="A6" s="1">
        <v>2021</v>
      </c>
      <c r="B6" s="1" t="s">
        <v>4</v>
      </c>
      <c r="C6" s="2">
        <v>1416239</v>
      </c>
      <c r="D6" s="8">
        <v>1.2241400000000001E-3</v>
      </c>
    </row>
    <row r="7" spans="1:4" x14ac:dyDescent="0.2">
      <c r="A7" s="1">
        <v>2021</v>
      </c>
      <c r="B7" s="1" t="s">
        <v>5</v>
      </c>
      <c r="C7" s="2">
        <v>13616</v>
      </c>
      <c r="D7" s="8">
        <v>1.1770000000000001E-5</v>
      </c>
    </row>
    <row r="8" spans="1:4" x14ac:dyDescent="0.2">
      <c r="A8" s="1">
        <v>2021</v>
      </c>
      <c r="B8" s="1" t="s">
        <v>6</v>
      </c>
      <c r="C8" s="2">
        <v>3076796</v>
      </c>
      <c r="D8" s="8">
        <v>2.6594600000000002E-3</v>
      </c>
    </row>
    <row r="9" spans="1:4" x14ac:dyDescent="0.2">
      <c r="A9" s="1">
        <v>2021</v>
      </c>
      <c r="B9" s="1" t="s">
        <v>7</v>
      </c>
      <c r="C9" s="2">
        <v>1505318</v>
      </c>
      <c r="D9" s="8">
        <v>1.3011399999999999E-3</v>
      </c>
    </row>
    <row r="10" spans="1:4" x14ac:dyDescent="0.2">
      <c r="A10" s="1">
        <v>2021</v>
      </c>
      <c r="B10" s="1" t="s">
        <v>8</v>
      </c>
      <c r="C10" s="2">
        <v>3082201</v>
      </c>
      <c r="D10" s="8">
        <v>2.6641400000000002E-3</v>
      </c>
    </row>
    <row r="11" spans="1:4" x14ac:dyDescent="0.2">
      <c r="A11" s="1">
        <v>2021</v>
      </c>
      <c r="B11" s="1" t="s">
        <v>9</v>
      </c>
      <c r="C11" s="2">
        <v>1099253</v>
      </c>
      <c r="D11" s="8">
        <v>9.5014999999999997E-4</v>
      </c>
    </row>
    <row r="12" spans="1:4" x14ac:dyDescent="0.2">
      <c r="A12" s="1">
        <v>2021</v>
      </c>
      <c r="B12" s="1" t="s">
        <v>10</v>
      </c>
      <c r="C12" s="2">
        <v>4341099</v>
      </c>
      <c r="D12" s="8">
        <v>3.7522800000000002E-3</v>
      </c>
    </row>
    <row r="13" spans="1:4" x14ac:dyDescent="0.2">
      <c r="A13" s="1">
        <v>2021</v>
      </c>
      <c r="B13" s="1" t="s">
        <v>11</v>
      </c>
      <c r="C13" s="2">
        <v>1133842</v>
      </c>
      <c r="D13" s="8">
        <v>9.8005000000000011E-4</v>
      </c>
    </row>
    <row r="14" spans="1:4" x14ac:dyDescent="0.2">
      <c r="A14" s="1">
        <v>2021</v>
      </c>
      <c r="B14" s="1" t="s">
        <v>12</v>
      </c>
      <c r="C14" s="2">
        <v>430832</v>
      </c>
      <c r="D14" s="8">
        <v>3.7239E-4</v>
      </c>
    </row>
    <row r="15" spans="1:4" x14ac:dyDescent="0.2">
      <c r="A15" s="1">
        <v>2021</v>
      </c>
      <c r="B15" s="1" t="s">
        <v>13</v>
      </c>
      <c r="C15" s="2">
        <v>852129</v>
      </c>
      <c r="D15" s="8">
        <v>7.3654999999999999E-4</v>
      </c>
    </row>
    <row r="16" spans="1:4" x14ac:dyDescent="0.2">
      <c r="A16" s="1">
        <v>2021</v>
      </c>
      <c r="B16" s="1" t="s">
        <v>14</v>
      </c>
      <c r="C16" s="2">
        <v>23710</v>
      </c>
      <c r="D16" s="8">
        <v>2.0489999999999999E-5</v>
      </c>
    </row>
    <row r="17" spans="1:4" x14ac:dyDescent="0.2">
      <c r="A17" s="1">
        <v>2021</v>
      </c>
      <c r="B17" s="1" t="s">
        <v>15</v>
      </c>
      <c r="C17" s="2">
        <v>1469688</v>
      </c>
      <c r="D17" s="8">
        <v>1.27034E-3</v>
      </c>
    </row>
    <row r="18" spans="1:4" x14ac:dyDescent="0.2">
      <c r="A18" s="1">
        <v>2021</v>
      </c>
      <c r="B18" s="1" t="s">
        <v>16</v>
      </c>
      <c r="C18" s="2">
        <v>17183</v>
      </c>
      <c r="D18" s="8">
        <v>1.485E-5</v>
      </c>
    </row>
    <row r="19" spans="1:4" x14ac:dyDescent="0.2">
      <c r="A19" s="1">
        <v>2021</v>
      </c>
      <c r="B19" s="1" t="s">
        <v>17</v>
      </c>
      <c r="C19" s="2">
        <v>17694</v>
      </c>
      <c r="D19" s="8">
        <v>1.5290000000000001E-5</v>
      </c>
    </row>
    <row r="20" spans="1:4" x14ac:dyDescent="0.2">
      <c r="A20" s="1">
        <v>2021</v>
      </c>
      <c r="B20" s="1" t="s">
        <v>18</v>
      </c>
      <c r="C20" s="2">
        <v>203624</v>
      </c>
      <c r="D20" s="8">
        <v>1.76E-4</v>
      </c>
    </row>
    <row r="21" spans="1:4" x14ac:dyDescent="0.2">
      <c r="A21" s="1">
        <v>2021</v>
      </c>
      <c r="B21" s="1" t="s">
        <v>19</v>
      </c>
      <c r="C21" s="2">
        <v>21390</v>
      </c>
      <c r="D21" s="8">
        <v>1.8490000000000001E-5</v>
      </c>
    </row>
    <row r="22" spans="1:4" x14ac:dyDescent="0.2">
      <c r="A22" s="1">
        <v>2021</v>
      </c>
      <c r="B22" s="1" t="s">
        <v>20</v>
      </c>
      <c r="C22" s="2">
        <v>1047330</v>
      </c>
      <c r="D22" s="8">
        <v>9.0527000000000001E-4</v>
      </c>
    </row>
    <row r="23" spans="1:4" x14ac:dyDescent="0.2">
      <c r="A23" s="1">
        <v>2021</v>
      </c>
      <c r="B23" s="1" t="s">
        <v>21</v>
      </c>
      <c r="C23" s="2">
        <v>10742</v>
      </c>
      <c r="D23" s="8">
        <v>9.2799999999999992E-6</v>
      </c>
    </row>
    <row r="24" spans="1:4" x14ac:dyDescent="0.2">
      <c r="A24" s="1">
        <v>2021</v>
      </c>
      <c r="B24" s="1" t="s">
        <v>22</v>
      </c>
      <c r="C24" s="2">
        <v>10983</v>
      </c>
      <c r="D24" s="8">
        <v>9.4900000000000006E-6</v>
      </c>
    </row>
    <row r="25" spans="1:4" x14ac:dyDescent="0.2">
      <c r="A25" s="1">
        <v>2021</v>
      </c>
      <c r="B25" s="1" t="s">
        <v>23</v>
      </c>
      <c r="C25" s="2">
        <v>90772</v>
      </c>
      <c r="D25" s="8">
        <v>7.8460000000000004E-5</v>
      </c>
    </row>
    <row r="26" spans="1:4" x14ac:dyDescent="0.2">
      <c r="A26" s="1">
        <v>2021</v>
      </c>
      <c r="B26" s="1" t="s">
        <v>24</v>
      </c>
      <c r="C26" s="2">
        <v>39050</v>
      </c>
      <c r="D26" s="8">
        <v>3.375E-5</v>
      </c>
    </row>
    <row r="27" spans="1:4" x14ac:dyDescent="0.2">
      <c r="A27" s="1">
        <v>2021</v>
      </c>
      <c r="B27" s="1" t="s">
        <v>26</v>
      </c>
      <c r="C27" s="2">
        <v>1279202</v>
      </c>
      <c r="D27" s="8">
        <v>1.1056900000000001E-3</v>
      </c>
    </row>
    <row r="28" spans="1:4" x14ac:dyDescent="0.2">
      <c r="A28" s="1">
        <v>2021</v>
      </c>
      <c r="B28" s="1" t="s">
        <v>27</v>
      </c>
      <c r="C28" s="2">
        <v>587110</v>
      </c>
      <c r="D28" s="8">
        <v>5.0748000000000004E-4</v>
      </c>
    </row>
    <row r="29" spans="1:4" x14ac:dyDescent="0.2">
      <c r="A29" s="1">
        <v>2021</v>
      </c>
      <c r="B29" s="1" t="s">
        <v>28</v>
      </c>
      <c r="C29" s="2">
        <v>23349</v>
      </c>
      <c r="D29" s="8">
        <v>2.018E-5</v>
      </c>
    </row>
    <row r="30" spans="1:4" x14ac:dyDescent="0.2">
      <c r="A30" s="1">
        <v>2021</v>
      </c>
      <c r="B30" s="1" t="s">
        <v>29</v>
      </c>
      <c r="C30" s="2">
        <v>3355206</v>
      </c>
      <c r="D30" s="8">
        <v>2.90011E-3</v>
      </c>
    </row>
    <row r="31" spans="1:4" x14ac:dyDescent="0.2">
      <c r="A31" s="1">
        <v>2021</v>
      </c>
      <c r="B31" s="1" t="s">
        <v>30</v>
      </c>
      <c r="C31" s="2">
        <v>198408</v>
      </c>
      <c r="D31" s="8">
        <v>1.7149999999999999E-4</v>
      </c>
    </row>
    <row r="32" spans="1:4" x14ac:dyDescent="0.2">
      <c r="A32" s="1">
        <v>2021</v>
      </c>
      <c r="B32" s="1" t="s">
        <v>31</v>
      </c>
      <c r="C32" s="2">
        <v>12342</v>
      </c>
      <c r="D32" s="8">
        <v>1.0669999999999999E-5</v>
      </c>
    </row>
    <row r="33" spans="1:4" x14ac:dyDescent="0.2">
      <c r="A33" s="1">
        <v>2021</v>
      </c>
      <c r="B33" s="1" t="s">
        <v>32</v>
      </c>
      <c r="C33" s="2">
        <v>833529</v>
      </c>
      <c r="D33" s="8">
        <v>7.2046999999999996E-4</v>
      </c>
    </row>
    <row r="34" spans="1:4" x14ac:dyDescent="0.2">
      <c r="A34" s="1">
        <v>2021</v>
      </c>
      <c r="B34" s="1" t="s">
        <v>33</v>
      </c>
      <c r="C34" s="2">
        <v>1055627</v>
      </c>
      <c r="D34" s="8">
        <v>9.1244000000000004E-4</v>
      </c>
    </row>
    <row r="35" spans="1:4" x14ac:dyDescent="0.2">
      <c r="A35" s="1">
        <v>2021</v>
      </c>
      <c r="B35" s="1" t="s">
        <v>34</v>
      </c>
      <c r="C35" s="2">
        <v>14671</v>
      </c>
      <c r="D35" s="8">
        <v>1.2680000000000001E-5</v>
      </c>
    </row>
    <row r="36" spans="1:4" x14ac:dyDescent="0.2">
      <c r="A36" s="1">
        <v>2021</v>
      </c>
      <c r="B36" s="1" t="s">
        <v>35</v>
      </c>
      <c r="C36" s="2">
        <v>29544</v>
      </c>
      <c r="D36" s="8">
        <v>2.5539999999999999E-5</v>
      </c>
    </row>
    <row r="37" spans="1:4" x14ac:dyDescent="0.2">
      <c r="A37" s="1">
        <v>2021</v>
      </c>
      <c r="B37" s="1" t="s">
        <v>36</v>
      </c>
      <c r="C37" s="2">
        <v>1244534</v>
      </c>
      <c r="D37" s="8">
        <v>1.07573E-3</v>
      </c>
    </row>
    <row r="38" spans="1:4" x14ac:dyDescent="0.2">
      <c r="A38" s="1">
        <v>2021</v>
      </c>
      <c r="B38" s="1" t="s">
        <v>37</v>
      </c>
      <c r="C38" s="2">
        <v>189602</v>
      </c>
      <c r="D38" s="8">
        <v>1.6388000000000001E-4</v>
      </c>
    </row>
    <row r="39" spans="1:4" x14ac:dyDescent="0.2">
      <c r="A39" s="1">
        <v>2021</v>
      </c>
      <c r="B39" s="1" t="s">
        <v>38</v>
      </c>
      <c r="C39" s="2">
        <v>747531</v>
      </c>
      <c r="D39" s="8">
        <v>6.4614000000000002E-4</v>
      </c>
    </row>
    <row r="40" spans="1:4" x14ac:dyDescent="0.2">
      <c r="A40" s="1">
        <v>2021</v>
      </c>
      <c r="B40" s="1" t="s">
        <v>39</v>
      </c>
      <c r="C40" s="2">
        <v>2123845</v>
      </c>
      <c r="D40" s="8">
        <v>1.83577E-3</v>
      </c>
    </row>
    <row r="41" spans="1:4" x14ac:dyDescent="0.2">
      <c r="A41" s="1">
        <v>2021</v>
      </c>
      <c r="B41" s="1" t="s">
        <v>40</v>
      </c>
      <c r="C41" s="2">
        <v>56890</v>
      </c>
      <c r="D41" s="8">
        <v>4.9169999999999998E-5</v>
      </c>
    </row>
    <row r="42" spans="1:4" x14ac:dyDescent="0.2">
      <c r="A42" s="1">
        <v>2021</v>
      </c>
      <c r="B42" s="1" t="s">
        <v>41</v>
      </c>
      <c r="C42" s="2">
        <v>16754</v>
      </c>
      <c r="D42" s="8">
        <v>1.448E-5</v>
      </c>
    </row>
    <row r="43" spans="1:4" x14ac:dyDescent="0.2">
      <c r="A43" s="1">
        <v>2021</v>
      </c>
      <c r="B43" s="1" t="s">
        <v>42</v>
      </c>
      <c r="C43" s="2">
        <v>50586</v>
      </c>
      <c r="D43" s="8">
        <v>4.3720000000000002E-5</v>
      </c>
    </row>
    <row r="44" spans="1:4" x14ac:dyDescent="0.2">
      <c r="A44" s="1">
        <v>2021</v>
      </c>
      <c r="B44" s="1" t="s">
        <v>43</v>
      </c>
      <c r="C44" s="2">
        <v>164368</v>
      </c>
      <c r="D44" s="8">
        <v>1.4207E-4</v>
      </c>
    </row>
    <row r="45" spans="1:4" x14ac:dyDescent="0.2">
      <c r="A45" s="1">
        <v>2021</v>
      </c>
      <c r="B45" s="1" t="s">
        <v>44</v>
      </c>
      <c r="C45" s="2">
        <v>183669</v>
      </c>
      <c r="D45" s="8">
        <v>1.5876E-4</v>
      </c>
    </row>
    <row r="46" spans="1:4" x14ac:dyDescent="0.2">
      <c r="A46" s="1">
        <v>2021</v>
      </c>
      <c r="B46" s="1" t="s">
        <v>45</v>
      </c>
      <c r="C46" s="2">
        <v>4176</v>
      </c>
      <c r="D46" s="8">
        <v>3.6100000000000002E-6</v>
      </c>
    </row>
    <row r="47" spans="1:4" x14ac:dyDescent="0.2">
      <c r="A47" s="1">
        <v>2021</v>
      </c>
      <c r="B47" s="1" t="s">
        <v>46</v>
      </c>
      <c r="C47" s="2">
        <v>1093564</v>
      </c>
      <c r="D47" s="8">
        <v>9.4523000000000003E-4</v>
      </c>
    </row>
    <row r="48" spans="1:4" x14ac:dyDescent="0.2">
      <c r="A48" s="1">
        <v>2021</v>
      </c>
      <c r="B48" s="1" t="s">
        <v>47</v>
      </c>
      <c r="C48" s="2">
        <v>400490</v>
      </c>
      <c r="D48" s="8">
        <v>3.4616999999999997E-4</v>
      </c>
    </row>
    <row r="49" spans="1:4" x14ac:dyDescent="0.2">
      <c r="A49" s="1">
        <v>2021</v>
      </c>
      <c r="B49" s="1" t="s">
        <v>48</v>
      </c>
      <c r="C49" s="2">
        <v>13614</v>
      </c>
      <c r="D49" s="8">
        <v>1.1770000000000001E-5</v>
      </c>
    </row>
    <row r="50" spans="1:4" x14ac:dyDescent="0.2">
      <c r="A50" s="1">
        <v>2021</v>
      </c>
      <c r="B50" s="1" t="s">
        <v>49</v>
      </c>
      <c r="C50" s="2">
        <v>20659</v>
      </c>
      <c r="D50" s="8">
        <v>1.7859999999999998E-5</v>
      </c>
    </row>
    <row r="51" spans="1:4" x14ac:dyDescent="0.2">
      <c r="A51" s="1">
        <v>2021</v>
      </c>
      <c r="B51" s="1" t="s">
        <v>50</v>
      </c>
      <c r="C51" s="2">
        <v>5182454</v>
      </c>
      <c r="D51" s="8">
        <v>4.4795099999999999E-3</v>
      </c>
    </row>
    <row r="52" spans="1:4" x14ac:dyDescent="0.2">
      <c r="A52" s="1">
        <v>2021</v>
      </c>
      <c r="B52" s="1" t="s">
        <v>51</v>
      </c>
      <c r="C52" s="2">
        <v>346747</v>
      </c>
      <c r="D52" s="8">
        <v>2.9971000000000002E-4</v>
      </c>
    </row>
    <row r="53" spans="1:4" x14ac:dyDescent="0.2">
      <c r="A53" s="1">
        <v>2021</v>
      </c>
      <c r="B53" s="1" t="s">
        <v>52</v>
      </c>
      <c r="C53" s="2">
        <v>6144491</v>
      </c>
      <c r="D53" s="8">
        <v>5.3110600000000003E-3</v>
      </c>
    </row>
    <row r="54" spans="1:4" x14ac:dyDescent="0.2">
      <c r="A54" s="1">
        <v>2021</v>
      </c>
      <c r="B54" s="1" t="s">
        <v>53</v>
      </c>
      <c r="C54" s="2">
        <v>12187</v>
      </c>
      <c r="D54" s="8">
        <v>1.0530000000000001E-5</v>
      </c>
    </row>
    <row r="55" spans="1:4" x14ac:dyDescent="0.2">
      <c r="A55" s="1">
        <v>2021</v>
      </c>
      <c r="B55" s="1" t="s">
        <v>54</v>
      </c>
      <c r="C55" s="2">
        <v>8956</v>
      </c>
      <c r="D55" s="8">
        <v>7.7400000000000004E-6</v>
      </c>
    </row>
    <row r="56" spans="1:4" x14ac:dyDescent="0.2">
      <c r="A56" s="1">
        <v>2021</v>
      </c>
      <c r="B56" s="1" t="s">
        <v>55</v>
      </c>
      <c r="C56" s="2">
        <v>12180</v>
      </c>
      <c r="D56" s="8">
        <v>1.0530000000000001E-5</v>
      </c>
    </row>
    <row r="57" spans="1:4" x14ac:dyDescent="0.2">
      <c r="A57" s="1">
        <v>2021</v>
      </c>
      <c r="B57" s="1" t="s">
        <v>56</v>
      </c>
      <c r="C57" s="2">
        <v>58612</v>
      </c>
      <c r="D57" s="8">
        <v>5.0659999999999999E-5</v>
      </c>
    </row>
    <row r="58" spans="1:4" x14ac:dyDescent="0.2">
      <c r="A58" s="1">
        <v>2021</v>
      </c>
      <c r="B58" s="1" t="s">
        <v>57</v>
      </c>
      <c r="C58" s="2">
        <v>57644</v>
      </c>
      <c r="D58" s="8">
        <v>4.9830000000000002E-5</v>
      </c>
    </row>
    <row r="59" spans="1:4" x14ac:dyDescent="0.2">
      <c r="A59" s="1">
        <v>2021</v>
      </c>
      <c r="B59" s="1" t="s">
        <v>58</v>
      </c>
      <c r="C59" s="2">
        <v>1413553</v>
      </c>
      <c r="D59" s="8">
        <v>1.22182E-3</v>
      </c>
    </row>
    <row r="60" spans="1:4" x14ac:dyDescent="0.2">
      <c r="A60" s="1">
        <v>2021</v>
      </c>
      <c r="B60" s="1" t="s">
        <v>59</v>
      </c>
      <c r="C60" s="2">
        <v>4981</v>
      </c>
      <c r="D60" s="8">
        <v>4.3100000000000002E-6</v>
      </c>
    </row>
    <row r="61" spans="1:4" x14ac:dyDescent="0.2">
      <c r="A61" s="1">
        <v>2021</v>
      </c>
      <c r="B61" s="1" t="s">
        <v>60</v>
      </c>
      <c r="C61" s="2">
        <v>57685</v>
      </c>
      <c r="D61" s="8">
        <v>4.986E-5</v>
      </c>
    </row>
    <row r="62" spans="1:4" x14ac:dyDescent="0.2">
      <c r="A62" s="1">
        <v>2021</v>
      </c>
      <c r="B62" s="1" t="s">
        <v>61</v>
      </c>
      <c r="C62" s="2">
        <v>509147</v>
      </c>
      <c r="D62" s="8">
        <v>4.4009000000000002E-4</v>
      </c>
    </row>
    <row r="63" spans="1:4" x14ac:dyDescent="0.2">
      <c r="A63" s="1">
        <v>2021</v>
      </c>
      <c r="B63" s="1" t="s">
        <v>62</v>
      </c>
      <c r="C63" s="2">
        <v>135754</v>
      </c>
      <c r="D63" s="8">
        <v>1.1734E-4</v>
      </c>
    </row>
    <row r="64" spans="1:4" x14ac:dyDescent="0.2">
      <c r="A64" s="1">
        <v>2021</v>
      </c>
      <c r="B64" s="1" t="s">
        <v>63</v>
      </c>
      <c r="C64" s="2">
        <v>45358</v>
      </c>
      <c r="D64" s="8">
        <v>3.9209999999999999E-5</v>
      </c>
    </row>
    <row r="65" spans="1:4" x14ac:dyDescent="0.2">
      <c r="A65" s="1">
        <v>2021</v>
      </c>
      <c r="B65" s="1" t="s">
        <v>64</v>
      </c>
      <c r="C65" s="2">
        <v>1183393</v>
      </c>
      <c r="D65" s="8">
        <v>1.0228800000000001E-3</v>
      </c>
    </row>
    <row r="66" spans="1:4" x14ac:dyDescent="0.2">
      <c r="A66" s="1">
        <v>2021</v>
      </c>
      <c r="B66" s="1" t="s">
        <v>65</v>
      </c>
      <c r="C66" s="2">
        <v>7131713</v>
      </c>
      <c r="D66" s="8">
        <v>6.1643799999999997E-3</v>
      </c>
    </row>
    <row r="67" spans="1:4" x14ac:dyDescent="0.2">
      <c r="A67" s="1">
        <v>2021</v>
      </c>
      <c r="B67" s="1" t="s">
        <v>66</v>
      </c>
      <c r="C67" s="2">
        <v>52269</v>
      </c>
      <c r="D67" s="8">
        <v>4.5179999999999998E-5</v>
      </c>
    </row>
    <row r="68" spans="1:4" x14ac:dyDescent="0.2">
      <c r="A68" s="1">
        <v>2021</v>
      </c>
      <c r="B68" s="1" t="s">
        <v>67</v>
      </c>
      <c r="C68" s="2">
        <v>1267600</v>
      </c>
      <c r="D68" s="8">
        <v>1.09566E-3</v>
      </c>
    </row>
    <row r="69" spans="1:4" x14ac:dyDescent="0.2">
      <c r="A69" s="1">
        <v>2021</v>
      </c>
      <c r="B69" s="1" t="s">
        <v>68</v>
      </c>
      <c r="C69" s="2">
        <v>990913</v>
      </c>
      <c r="D69" s="8">
        <v>8.5651E-4</v>
      </c>
    </row>
    <row r="70" spans="1:4" x14ac:dyDescent="0.2">
      <c r="A70" s="1">
        <v>2021</v>
      </c>
      <c r="B70" s="1" t="s">
        <v>69</v>
      </c>
      <c r="C70" s="2">
        <v>2744824</v>
      </c>
      <c r="D70" s="8">
        <v>2.3725199999999999E-3</v>
      </c>
    </row>
    <row r="71" spans="1:4" x14ac:dyDescent="0.2">
      <c r="A71" s="1">
        <v>2021</v>
      </c>
      <c r="B71" s="1" t="s">
        <v>70</v>
      </c>
      <c r="C71" s="2">
        <v>58424</v>
      </c>
      <c r="D71" s="8">
        <v>5.0500000000000001E-5</v>
      </c>
    </row>
    <row r="72" spans="1:4" x14ac:dyDescent="0.2">
      <c r="A72" s="1">
        <v>2021</v>
      </c>
      <c r="B72" s="1" t="s">
        <v>71</v>
      </c>
      <c r="C72" s="2">
        <v>59539</v>
      </c>
      <c r="D72" s="8">
        <v>5.1459999999999999E-5</v>
      </c>
    </row>
    <row r="73" spans="1:4" x14ac:dyDescent="0.2">
      <c r="A73" s="1">
        <v>2021</v>
      </c>
      <c r="B73" s="1" t="s">
        <v>72</v>
      </c>
      <c r="C73" s="2">
        <v>121136</v>
      </c>
      <c r="D73" s="8">
        <v>1.0471000000000001E-4</v>
      </c>
    </row>
    <row r="74" spans="1:4" x14ac:dyDescent="0.2">
      <c r="A74" s="1">
        <v>2021</v>
      </c>
      <c r="B74" s="1" t="s">
        <v>73</v>
      </c>
      <c r="C74" s="2">
        <v>39865</v>
      </c>
      <c r="D74" s="8">
        <v>3.4459999999999999E-5</v>
      </c>
    </row>
    <row r="75" spans="1:4" x14ac:dyDescent="0.2">
      <c r="A75" s="1">
        <v>2021</v>
      </c>
      <c r="B75" s="1" t="s">
        <v>74</v>
      </c>
      <c r="C75" s="2">
        <v>1212832</v>
      </c>
      <c r="D75" s="8">
        <v>1.0483300000000001E-3</v>
      </c>
    </row>
    <row r="76" spans="1:4" x14ac:dyDescent="0.2">
      <c r="A76" s="1">
        <v>2021</v>
      </c>
      <c r="B76" s="1" t="s">
        <v>75</v>
      </c>
      <c r="C76" s="2">
        <v>33626</v>
      </c>
      <c r="D76" s="8">
        <v>2.906E-5</v>
      </c>
    </row>
    <row r="77" spans="1:4" x14ac:dyDescent="0.2">
      <c r="A77" s="1">
        <v>2021</v>
      </c>
      <c r="B77" s="1" t="s">
        <v>76</v>
      </c>
      <c r="C77" s="2">
        <v>234047</v>
      </c>
      <c r="D77" s="8">
        <v>2.0230000000000001E-4</v>
      </c>
    </row>
    <row r="78" spans="1:4" x14ac:dyDescent="0.2">
      <c r="A78" s="1">
        <v>2021</v>
      </c>
      <c r="B78" s="1" t="s">
        <v>77</v>
      </c>
      <c r="C78" s="2">
        <v>63130</v>
      </c>
      <c r="D78" s="8">
        <v>5.4570000000000001E-5</v>
      </c>
    </row>
    <row r="79" spans="1:4" x14ac:dyDescent="0.2">
      <c r="A79" s="1">
        <v>2021</v>
      </c>
      <c r="B79" s="1" t="s">
        <v>78</v>
      </c>
      <c r="C79" s="2">
        <v>82215</v>
      </c>
      <c r="D79" s="8">
        <v>7.1060000000000001E-5</v>
      </c>
    </row>
    <row r="80" spans="1:4" x14ac:dyDescent="0.2">
      <c r="A80" s="1">
        <v>2021</v>
      </c>
      <c r="B80" s="1" t="s">
        <v>79</v>
      </c>
      <c r="C80" s="2">
        <v>74069</v>
      </c>
      <c r="D80" s="8">
        <v>6.402E-5</v>
      </c>
    </row>
    <row r="81" spans="1:4" x14ac:dyDescent="0.2">
      <c r="A81" s="1">
        <v>2021</v>
      </c>
      <c r="B81" s="1" t="s">
        <v>80</v>
      </c>
      <c r="C81" s="2">
        <v>2276365</v>
      </c>
      <c r="D81" s="8">
        <v>1.9675999999999999E-3</v>
      </c>
    </row>
    <row r="82" spans="1:4" x14ac:dyDescent="0.2">
      <c r="A82" s="1">
        <v>2021</v>
      </c>
      <c r="B82" s="1" t="s">
        <v>81</v>
      </c>
      <c r="C82" s="2">
        <v>438060</v>
      </c>
      <c r="D82" s="8">
        <v>3.7864000000000002E-4</v>
      </c>
    </row>
    <row r="83" spans="1:4" x14ac:dyDescent="0.2">
      <c r="A83" s="1">
        <v>2021</v>
      </c>
      <c r="B83" s="1" t="s">
        <v>82</v>
      </c>
      <c r="C83" s="2">
        <v>1161</v>
      </c>
      <c r="D83" s="8">
        <v>9.9999999999999995E-7</v>
      </c>
    </row>
    <row r="84" spans="1:4" x14ac:dyDescent="0.2">
      <c r="A84" s="1">
        <v>2021</v>
      </c>
      <c r="B84" s="1" t="s">
        <v>83</v>
      </c>
      <c r="C84" s="2">
        <v>813365</v>
      </c>
      <c r="D84" s="8">
        <v>7.0304000000000005E-4</v>
      </c>
    </row>
    <row r="85" spans="1:4" x14ac:dyDescent="0.2">
      <c r="A85" s="1">
        <v>2021</v>
      </c>
      <c r="B85" s="1" t="s">
        <v>84</v>
      </c>
      <c r="C85" s="2">
        <v>28374</v>
      </c>
      <c r="D85" s="8">
        <v>2.4530000000000001E-5</v>
      </c>
    </row>
    <row r="86" spans="1:4" x14ac:dyDescent="0.2">
      <c r="A86" s="1">
        <v>2021</v>
      </c>
      <c r="B86" s="1" t="s">
        <v>85</v>
      </c>
      <c r="C86" s="2">
        <v>60242</v>
      </c>
      <c r="D86" s="8">
        <v>5.2070000000000001E-5</v>
      </c>
    </row>
    <row r="87" spans="1:4" x14ac:dyDescent="0.2">
      <c r="A87" s="1">
        <v>2021</v>
      </c>
      <c r="B87" s="1" t="s">
        <v>86</v>
      </c>
      <c r="C87" s="2">
        <v>3152892</v>
      </c>
      <c r="D87" s="8">
        <v>2.7252399999999999E-3</v>
      </c>
    </row>
    <row r="88" spans="1:4" x14ac:dyDescent="0.2">
      <c r="A88" s="1">
        <v>2021</v>
      </c>
      <c r="B88" s="1" t="s">
        <v>87</v>
      </c>
      <c r="C88" s="2">
        <v>829878</v>
      </c>
      <c r="D88" s="8">
        <v>7.1730999999999997E-4</v>
      </c>
    </row>
    <row r="89" spans="1:4" x14ac:dyDescent="0.2">
      <c r="A89" s="1">
        <v>2021</v>
      </c>
      <c r="B89" s="1" t="s">
        <v>88</v>
      </c>
      <c r="C89" s="2">
        <v>34694</v>
      </c>
      <c r="D89" s="8">
        <v>2.9989999999999999E-5</v>
      </c>
    </row>
    <row r="90" spans="1:4" x14ac:dyDescent="0.2">
      <c r="A90" s="1">
        <v>2021</v>
      </c>
      <c r="B90" s="1" t="s">
        <v>89</v>
      </c>
      <c r="C90" s="2">
        <v>876154</v>
      </c>
      <c r="D90" s="8">
        <v>7.5730999999999997E-4</v>
      </c>
    </row>
    <row r="91" spans="1:4" x14ac:dyDescent="0.2">
      <c r="A91" s="1">
        <v>2021</v>
      </c>
      <c r="B91" s="1" t="s">
        <v>90</v>
      </c>
      <c r="C91" s="2">
        <v>669575</v>
      </c>
      <c r="D91" s="8">
        <v>5.7874999999999995E-4</v>
      </c>
    </row>
    <row r="92" spans="1:4" x14ac:dyDescent="0.2">
      <c r="A92" s="1">
        <v>2021</v>
      </c>
      <c r="B92" s="1" t="s">
        <v>91</v>
      </c>
      <c r="C92" s="2">
        <v>10003</v>
      </c>
      <c r="D92" s="8">
        <v>8.6500000000000002E-6</v>
      </c>
    </row>
    <row r="93" spans="1:4" x14ac:dyDescent="0.2">
      <c r="A93" s="1">
        <v>2021</v>
      </c>
      <c r="B93" s="1" t="s">
        <v>92</v>
      </c>
      <c r="C93" s="2">
        <v>336569</v>
      </c>
      <c r="D93" s="8">
        <v>2.9092000000000001E-4</v>
      </c>
    </row>
    <row r="94" spans="1:4" x14ac:dyDescent="0.2">
      <c r="A94" s="1">
        <v>2021</v>
      </c>
      <c r="B94" s="1" t="s">
        <v>93</v>
      </c>
      <c r="C94" s="2">
        <v>8436</v>
      </c>
      <c r="D94" s="8">
        <v>7.2899999999999997E-6</v>
      </c>
    </row>
    <row r="95" spans="1:4" x14ac:dyDescent="0.2">
      <c r="A95" s="1">
        <v>2021</v>
      </c>
      <c r="B95" s="1" t="s">
        <v>94</v>
      </c>
      <c r="C95" s="2">
        <v>253045</v>
      </c>
      <c r="D95" s="8">
        <v>2.1871999999999999E-4</v>
      </c>
    </row>
    <row r="96" spans="1:4" x14ac:dyDescent="0.2">
      <c r="A96" s="1">
        <v>2021</v>
      </c>
      <c r="B96" s="1" t="s">
        <v>95</v>
      </c>
      <c r="C96" s="2">
        <v>102046</v>
      </c>
      <c r="D96" s="8">
        <v>8.8200000000000003E-5</v>
      </c>
    </row>
    <row r="97" spans="1:4" x14ac:dyDescent="0.2">
      <c r="A97" s="1">
        <v>2021</v>
      </c>
      <c r="B97" s="1" t="s">
        <v>96</v>
      </c>
      <c r="C97" s="2">
        <v>128640</v>
      </c>
      <c r="D97" s="8">
        <v>1.1119E-4</v>
      </c>
    </row>
    <row r="98" spans="1:4" x14ac:dyDescent="0.2">
      <c r="A98" s="1">
        <v>2021</v>
      </c>
      <c r="B98" s="1" t="s">
        <v>907</v>
      </c>
      <c r="C98" s="2">
        <v>394709</v>
      </c>
      <c r="D98" s="8">
        <v>3.4117000000000001E-4</v>
      </c>
    </row>
    <row r="99" spans="1:4" x14ac:dyDescent="0.2">
      <c r="A99" s="1">
        <v>2021</v>
      </c>
      <c r="B99" s="1" t="s">
        <v>97</v>
      </c>
      <c r="C99" s="2">
        <v>753841</v>
      </c>
      <c r="D99" s="8">
        <v>6.5158999999999996E-4</v>
      </c>
    </row>
    <row r="100" spans="1:4" x14ac:dyDescent="0.2">
      <c r="A100" s="1">
        <v>2021</v>
      </c>
      <c r="B100" s="1" t="s">
        <v>99</v>
      </c>
      <c r="C100" s="2">
        <v>89386</v>
      </c>
      <c r="D100" s="8">
        <v>7.7260000000000002E-5</v>
      </c>
    </row>
    <row r="101" spans="1:4" x14ac:dyDescent="0.2">
      <c r="A101" s="1">
        <v>2021</v>
      </c>
      <c r="B101" s="1" t="s">
        <v>100</v>
      </c>
      <c r="C101" s="2">
        <v>1690952</v>
      </c>
      <c r="D101" s="8">
        <v>1.46159E-3</v>
      </c>
    </row>
    <row r="102" spans="1:4" x14ac:dyDescent="0.2">
      <c r="A102" s="1">
        <v>2021</v>
      </c>
      <c r="B102" s="1" t="s">
        <v>101</v>
      </c>
      <c r="C102" s="2">
        <v>471558</v>
      </c>
      <c r="D102" s="8">
        <v>4.0759999999999999E-4</v>
      </c>
    </row>
    <row r="103" spans="1:4" x14ac:dyDescent="0.2">
      <c r="A103" s="1">
        <v>2021</v>
      </c>
      <c r="B103" s="1" t="s">
        <v>102</v>
      </c>
      <c r="C103" s="2">
        <v>13547</v>
      </c>
      <c r="D103" s="8">
        <v>1.171E-5</v>
      </c>
    </row>
    <row r="104" spans="1:4" x14ac:dyDescent="0.2">
      <c r="A104" s="1">
        <v>2021</v>
      </c>
      <c r="B104" s="1" t="s">
        <v>103</v>
      </c>
      <c r="C104" s="2">
        <v>10272</v>
      </c>
      <c r="D104" s="8">
        <v>8.8799999999999997E-6</v>
      </c>
    </row>
    <row r="105" spans="1:4" x14ac:dyDescent="0.2">
      <c r="A105" s="1">
        <v>2021</v>
      </c>
      <c r="B105" s="1" t="s">
        <v>104</v>
      </c>
      <c r="C105" s="2">
        <v>673713</v>
      </c>
      <c r="D105" s="8">
        <v>5.8233000000000004E-4</v>
      </c>
    </row>
    <row r="106" spans="1:4" x14ac:dyDescent="0.2">
      <c r="A106" s="1">
        <v>2021</v>
      </c>
      <c r="B106" s="1" t="s">
        <v>106</v>
      </c>
      <c r="C106" s="2">
        <v>1925307</v>
      </c>
      <c r="D106" s="8">
        <v>1.66416E-3</v>
      </c>
    </row>
    <row r="107" spans="1:4" x14ac:dyDescent="0.2">
      <c r="A107" s="1">
        <v>2021</v>
      </c>
      <c r="B107" s="1" t="s">
        <v>107</v>
      </c>
      <c r="C107" s="2">
        <v>80455</v>
      </c>
      <c r="D107" s="8">
        <v>6.9540000000000002E-5</v>
      </c>
    </row>
    <row r="108" spans="1:4" x14ac:dyDescent="0.2">
      <c r="A108" s="1">
        <v>2021</v>
      </c>
      <c r="B108" s="1" t="s">
        <v>108</v>
      </c>
      <c r="C108" s="2">
        <v>169622</v>
      </c>
      <c r="D108" s="8">
        <v>1.4661000000000001E-4</v>
      </c>
    </row>
    <row r="109" spans="1:4" x14ac:dyDescent="0.2">
      <c r="A109" s="1">
        <v>2021</v>
      </c>
      <c r="B109" s="1" t="s">
        <v>109</v>
      </c>
      <c r="C109" s="2">
        <v>1508807</v>
      </c>
      <c r="D109" s="8">
        <v>1.30415E-3</v>
      </c>
    </row>
    <row r="110" spans="1:4" x14ac:dyDescent="0.2">
      <c r="A110" s="1">
        <v>2021</v>
      </c>
      <c r="B110" s="1" t="s">
        <v>110</v>
      </c>
      <c r="C110" s="2">
        <v>573505</v>
      </c>
      <c r="D110" s="8">
        <v>4.9571999999999995E-4</v>
      </c>
    </row>
    <row r="111" spans="1:4" x14ac:dyDescent="0.2">
      <c r="A111" s="1">
        <v>2021</v>
      </c>
      <c r="B111" s="1" t="s">
        <v>111</v>
      </c>
      <c r="C111" s="2">
        <v>640069</v>
      </c>
      <c r="D111" s="8">
        <v>5.5325000000000003E-4</v>
      </c>
    </row>
    <row r="112" spans="1:4" x14ac:dyDescent="0.2">
      <c r="A112" s="1">
        <v>2021</v>
      </c>
      <c r="B112" s="1" t="s">
        <v>112</v>
      </c>
      <c r="C112" s="2">
        <v>123807</v>
      </c>
      <c r="D112" s="8">
        <v>1.0700999999999999E-4</v>
      </c>
    </row>
    <row r="113" spans="1:4" x14ac:dyDescent="0.2">
      <c r="A113" s="1">
        <v>2021</v>
      </c>
      <c r="B113" s="1" t="s">
        <v>113</v>
      </c>
      <c r="C113" s="2">
        <v>721204</v>
      </c>
      <c r="D113" s="8">
        <v>6.2337999999999998E-4</v>
      </c>
    </row>
    <row r="114" spans="1:4" x14ac:dyDescent="0.2">
      <c r="A114" s="1">
        <v>2021</v>
      </c>
      <c r="B114" s="1" t="s">
        <v>114</v>
      </c>
      <c r="C114" s="2">
        <v>957530</v>
      </c>
      <c r="D114" s="8">
        <v>8.2764999999999998E-4</v>
      </c>
    </row>
    <row r="115" spans="1:4" x14ac:dyDescent="0.2">
      <c r="A115" s="1">
        <v>2021</v>
      </c>
      <c r="B115" s="1" t="s">
        <v>115</v>
      </c>
      <c r="C115" s="2">
        <v>83612</v>
      </c>
      <c r="D115" s="8">
        <v>7.2269999999999998E-5</v>
      </c>
    </row>
    <row r="116" spans="1:4" x14ac:dyDescent="0.2">
      <c r="A116" s="1">
        <v>2021</v>
      </c>
      <c r="B116" s="1" t="s">
        <v>116</v>
      </c>
      <c r="C116" s="2">
        <v>2180270</v>
      </c>
      <c r="D116" s="8">
        <v>1.8845400000000001E-3</v>
      </c>
    </row>
    <row r="117" spans="1:4" x14ac:dyDescent="0.2">
      <c r="A117" s="1">
        <v>2021</v>
      </c>
      <c r="B117" s="1" t="s">
        <v>117</v>
      </c>
      <c r="C117" s="2">
        <v>31945</v>
      </c>
      <c r="D117" s="8">
        <v>2.7610000000000002E-5</v>
      </c>
    </row>
    <row r="118" spans="1:4" x14ac:dyDescent="0.2">
      <c r="A118" s="1">
        <v>2021</v>
      </c>
      <c r="B118" s="1" t="s">
        <v>118</v>
      </c>
      <c r="C118" s="2">
        <v>652775</v>
      </c>
      <c r="D118" s="8">
        <v>5.6422999999999998E-4</v>
      </c>
    </row>
    <row r="119" spans="1:4" x14ac:dyDescent="0.2">
      <c r="A119" s="1">
        <v>2021</v>
      </c>
      <c r="B119" s="1" t="s">
        <v>119</v>
      </c>
      <c r="C119" s="2">
        <v>590670</v>
      </c>
      <c r="D119" s="8">
        <v>5.1055000000000002E-4</v>
      </c>
    </row>
    <row r="120" spans="1:4" x14ac:dyDescent="0.2">
      <c r="A120" s="1">
        <v>2021</v>
      </c>
      <c r="B120" s="1" t="s">
        <v>120</v>
      </c>
      <c r="C120" s="2">
        <v>33052</v>
      </c>
      <c r="D120" s="8">
        <v>2.8569999999999999E-5</v>
      </c>
    </row>
    <row r="121" spans="1:4" x14ac:dyDescent="0.2">
      <c r="A121" s="1">
        <v>2021</v>
      </c>
      <c r="B121" s="1" t="s">
        <v>121</v>
      </c>
      <c r="C121" s="2">
        <v>910026</v>
      </c>
      <c r="D121" s="8">
        <v>7.8658999999999999E-4</v>
      </c>
    </row>
    <row r="122" spans="1:4" x14ac:dyDescent="0.2">
      <c r="A122" s="1">
        <v>2021</v>
      </c>
      <c r="B122" s="1" t="s">
        <v>122</v>
      </c>
      <c r="C122" s="2">
        <v>3262234</v>
      </c>
      <c r="D122" s="8">
        <v>2.8197500000000002E-3</v>
      </c>
    </row>
    <row r="123" spans="1:4" x14ac:dyDescent="0.2">
      <c r="A123" s="1">
        <v>2021</v>
      </c>
      <c r="B123" s="1" t="s">
        <v>123</v>
      </c>
      <c r="C123" s="2">
        <v>1711147</v>
      </c>
      <c r="D123" s="8">
        <v>1.47905E-3</v>
      </c>
    </row>
    <row r="124" spans="1:4" x14ac:dyDescent="0.2">
      <c r="A124" s="1">
        <v>2021</v>
      </c>
      <c r="B124" s="1" t="s">
        <v>124</v>
      </c>
      <c r="C124" s="2">
        <v>4452269</v>
      </c>
      <c r="D124" s="8">
        <v>3.8483699999999998E-3</v>
      </c>
    </row>
    <row r="125" spans="1:4" x14ac:dyDescent="0.2">
      <c r="A125" s="1">
        <v>2021</v>
      </c>
      <c r="B125" s="1" t="s">
        <v>125</v>
      </c>
      <c r="C125" s="2">
        <v>1480163</v>
      </c>
      <c r="D125" s="8">
        <v>1.2794E-3</v>
      </c>
    </row>
    <row r="126" spans="1:4" x14ac:dyDescent="0.2">
      <c r="A126" s="1">
        <v>2021</v>
      </c>
      <c r="B126" s="1" t="s">
        <v>126</v>
      </c>
      <c r="C126" s="2">
        <v>931642</v>
      </c>
      <c r="D126" s="8">
        <v>8.0528000000000001E-4</v>
      </c>
    </row>
    <row r="127" spans="1:4" x14ac:dyDescent="0.2">
      <c r="A127" s="1">
        <v>2021</v>
      </c>
      <c r="B127" s="1" t="s">
        <v>127</v>
      </c>
      <c r="C127" s="2">
        <v>5032</v>
      </c>
      <c r="D127" s="8">
        <v>4.3499999999999999E-6</v>
      </c>
    </row>
    <row r="128" spans="1:4" x14ac:dyDescent="0.2">
      <c r="A128" s="1">
        <v>2021</v>
      </c>
      <c r="B128" s="1" t="s">
        <v>128</v>
      </c>
      <c r="C128" s="2">
        <v>2132078</v>
      </c>
      <c r="D128" s="8">
        <v>1.84289E-3</v>
      </c>
    </row>
    <row r="129" spans="1:4" x14ac:dyDescent="0.2">
      <c r="A129" s="1">
        <v>2021</v>
      </c>
      <c r="B129" s="1" t="s">
        <v>129</v>
      </c>
      <c r="C129" s="2">
        <v>164240</v>
      </c>
      <c r="D129" s="8">
        <v>1.4196E-4</v>
      </c>
    </row>
    <row r="130" spans="1:4" x14ac:dyDescent="0.2">
      <c r="A130" s="1">
        <v>2021</v>
      </c>
      <c r="B130" s="1" t="s">
        <v>130</v>
      </c>
      <c r="C130" s="2">
        <v>442620</v>
      </c>
      <c r="D130" s="8">
        <v>3.8257999999999999E-4</v>
      </c>
    </row>
    <row r="131" spans="1:4" x14ac:dyDescent="0.2">
      <c r="A131" s="1">
        <v>2021</v>
      </c>
      <c r="B131" s="1" t="s">
        <v>131</v>
      </c>
      <c r="C131" s="2">
        <v>40831</v>
      </c>
      <c r="D131" s="8">
        <v>3.5290000000000003E-5</v>
      </c>
    </row>
    <row r="132" spans="1:4" x14ac:dyDescent="0.2">
      <c r="A132" s="1">
        <v>2021</v>
      </c>
      <c r="B132" s="1" t="s">
        <v>132</v>
      </c>
      <c r="C132" s="2">
        <v>56395</v>
      </c>
      <c r="D132" s="8">
        <v>4.8749999999999999E-5</v>
      </c>
    </row>
    <row r="133" spans="1:4" x14ac:dyDescent="0.2">
      <c r="A133" s="1">
        <v>2021</v>
      </c>
      <c r="B133" s="1" t="s">
        <v>133</v>
      </c>
      <c r="C133" s="2">
        <v>395366</v>
      </c>
      <c r="D133" s="8">
        <v>3.4173999999999999E-4</v>
      </c>
    </row>
    <row r="134" spans="1:4" x14ac:dyDescent="0.2">
      <c r="A134" s="1">
        <v>2021</v>
      </c>
      <c r="B134" s="1" t="s">
        <v>134</v>
      </c>
      <c r="C134" s="2">
        <v>476679</v>
      </c>
      <c r="D134" s="8">
        <v>4.1201999999999998E-4</v>
      </c>
    </row>
    <row r="135" spans="1:4" x14ac:dyDescent="0.2">
      <c r="A135" s="1">
        <v>2021</v>
      </c>
      <c r="B135" s="1" t="s">
        <v>135</v>
      </c>
      <c r="C135" s="2">
        <v>1635897</v>
      </c>
      <c r="D135" s="8">
        <v>1.41401E-3</v>
      </c>
    </row>
    <row r="136" spans="1:4" x14ac:dyDescent="0.2">
      <c r="A136" s="1">
        <v>2021</v>
      </c>
      <c r="B136" s="1" t="s">
        <v>136</v>
      </c>
      <c r="C136" s="2">
        <v>1643460</v>
      </c>
      <c r="D136" s="8">
        <v>1.4205400000000001E-3</v>
      </c>
    </row>
    <row r="137" spans="1:4" x14ac:dyDescent="0.2">
      <c r="A137" s="1">
        <v>2021</v>
      </c>
      <c r="B137" s="1" t="s">
        <v>137</v>
      </c>
      <c r="C137" s="2">
        <v>110475</v>
      </c>
      <c r="D137" s="8">
        <v>9.5489999999999995E-5</v>
      </c>
    </row>
    <row r="138" spans="1:4" x14ac:dyDescent="0.2">
      <c r="A138" s="1">
        <v>2021</v>
      </c>
      <c r="B138" s="1" t="s">
        <v>138</v>
      </c>
      <c r="C138" s="2">
        <v>889811</v>
      </c>
      <c r="D138" s="8">
        <v>7.6911999999999998E-4</v>
      </c>
    </row>
    <row r="139" spans="1:4" x14ac:dyDescent="0.2">
      <c r="A139" s="1">
        <v>2021</v>
      </c>
      <c r="B139" s="1" t="s">
        <v>139</v>
      </c>
      <c r="C139" s="2">
        <v>3522671</v>
      </c>
      <c r="D139" s="8">
        <v>3.0448599999999999E-3</v>
      </c>
    </row>
    <row r="140" spans="1:4" x14ac:dyDescent="0.2">
      <c r="A140" s="1">
        <v>2021</v>
      </c>
      <c r="B140" s="1" t="s">
        <v>140</v>
      </c>
      <c r="C140" s="2">
        <v>67879</v>
      </c>
      <c r="D140" s="8">
        <v>5.8669999999999999E-5</v>
      </c>
    </row>
    <row r="141" spans="1:4" x14ac:dyDescent="0.2">
      <c r="A141" s="1">
        <v>2021</v>
      </c>
      <c r="B141" s="1" t="s">
        <v>141</v>
      </c>
      <c r="C141" s="2">
        <v>38727</v>
      </c>
      <c r="D141" s="8">
        <v>3.3470000000000003E-5</v>
      </c>
    </row>
    <row r="142" spans="1:4" x14ac:dyDescent="0.2">
      <c r="A142" s="1">
        <v>2021</v>
      </c>
      <c r="B142" s="1" t="s">
        <v>142</v>
      </c>
      <c r="C142" s="2">
        <v>2078727</v>
      </c>
      <c r="D142" s="8">
        <v>1.7967700000000001E-3</v>
      </c>
    </row>
    <row r="143" spans="1:4" x14ac:dyDescent="0.2">
      <c r="A143" s="1">
        <v>2021</v>
      </c>
      <c r="B143" s="1" t="s">
        <v>143</v>
      </c>
      <c r="C143" s="2">
        <v>862596</v>
      </c>
      <c r="D143" s="8">
        <v>7.4558999999999997E-4</v>
      </c>
    </row>
    <row r="144" spans="1:4" x14ac:dyDescent="0.2">
      <c r="A144" s="1">
        <v>2021</v>
      </c>
      <c r="B144" s="1" t="s">
        <v>144</v>
      </c>
      <c r="C144" s="2">
        <v>40652</v>
      </c>
      <c r="D144" s="8">
        <v>3.5139999999999999E-5</v>
      </c>
    </row>
    <row r="145" spans="1:4" x14ac:dyDescent="0.2">
      <c r="A145" s="1">
        <v>2021</v>
      </c>
      <c r="B145" s="1" t="s">
        <v>145</v>
      </c>
      <c r="C145" s="2">
        <v>21748</v>
      </c>
      <c r="D145" s="8">
        <v>1.88E-5</v>
      </c>
    </row>
    <row r="146" spans="1:4" x14ac:dyDescent="0.2">
      <c r="A146" s="1">
        <v>2021</v>
      </c>
      <c r="B146" s="1" t="s">
        <v>146</v>
      </c>
      <c r="C146" s="2">
        <v>2470807</v>
      </c>
      <c r="D146" s="8">
        <v>2.1356700000000001E-3</v>
      </c>
    </row>
    <row r="147" spans="1:4" x14ac:dyDescent="0.2">
      <c r="A147" s="1">
        <v>2021</v>
      </c>
      <c r="B147" s="1" t="s">
        <v>147</v>
      </c>
      <c r="C147" s="2">
        <v>1006006</v>
      </c>
      <c r="D147" s="8">
        <v>8.6954999999999997E-4</v>
      </c>
    </row>
    <row r="148" spans="1:4" x14ac:dyDescent="0.2">
      <c r="A148" s="1">
        <v>2021</v>
      </c>
      <c r="B148" s="1" t="s">
        <v>148</v>
      </c>
      <c r="C148" s="2">
        <v>397023</v>
      </c>
      <c r="D148" s="8">
        <v>3.4317000000000001E-4</v>
      </c>
    </row>
    <row r="149" spans="1:4" x14ac:dyDescent="0.2">
      <c r="A149" s="1">
        <v>2021</v>
      </c>
      <c r="B149" s="1" t="s">
        <v>149</v>
      </c>
      <c r="C149" s="2">
        <v>69669</v>
      </c>
      <c r="D149" s="8">
        <v>6.0220000000000003E-5</v>
      </c>
    </row>
    <row r="150" spans="1:4" x14ac:dyDescent="0.2">
      <c r="A150" s="1">
        <v>2021</v>
      </c>
      <c r="B150" s="1" t="s">
        <v>150</v>
      </c>
      <c r="C150" s="2">
        <v>2218251</v>
      </c>
      <c r="D150" s="8">
        <v>1.9173700000000001E-3</v>
      </c>
    </row>
    <row r="151" spans="1:4" x14ac:dyDescent="0.2">
      <c r="A151" s="1">
        <v>2021</v>
      </c>
      <c r="B151" s="1" t="s">
        <v>151</v>
      </c>
      <c r="C151" s="2">
        <v>20290</v>
      </c>
      <c r="D151" s="8">
        <v>1.7540000000000001E-5</v>
      </c>
    </row>
    <row r="152" spans="1:4" x14ac:dyDescent="0.2">
      <c r="A152" s="1">
        <v>2021</v>
      </c>
      <c r="B152" s="1" t="s">
        <v>152</v>
      </c>
      <c r="C152" s="2">
        <v>30884</v>
      </c>
      <c r="D152" s="8">
        <v>2.6699999999999998E-5</v>
      </c>
    </row>
    <row r="153" spans="1:4" x14ac:dyDescent="0.2">
      <c r="A153" s="1">
        <v>2021</v>
      </c>
      <c r="B153" s="1" t="s">
        <v>153</v>
      </c>
      <c r="C153" s="2">
        <v>8398</v>
      </c>
      <c r="D153" s="8">
        <v>7.2599999999999999E-6</v>
      </c>
    </row>
    <row r="154" spans="1:4" x14ac:dyDescent="0.2">
      <c r="A154" s="1">
        <v>2021</v>
      </c>
      <c r="B154" s="1" t="s">
        <v>154</v>
      </c>
      <c r="C154" s="2">
        <v>11853154</v>
      </c>
      <c r="D154" s="8">
        <v>1.024541E-2</v>
      </c>
    </row>
    <row r="155" spans="1:4" x14ac:dyDescent="0.2">
      <c r="A155" s="1">
        <v>2021</v>
      </c>
      <c r="B155" s="1" t="s">
        <v>155</v>
      </c>
      <c r="C155" s="2">
        <v>50336</v>
      </c>
      <c r="D155" s="8">
        <v>4.3510000000000002E-5</v>
      </c>
    </row>
    <row r="156" spans="1:4" x14ac:dyDescent="0.2">
      <c r="A156" s="1">
        <v>2021</v>
      </c>
      <c r="B156" s="1" t="s">
        <v>156</v>
      </c>
      <c r="C156" s="2">
        <v>2855702</v>
      </c>
      <c r="D156" s="8">
        <v>2.4683600000000002E-3</v>
      </c>
    </row>
    <row r="157" spans="1:4" x14ac:dyDescent="0.2">
      <c r="A157" s="1">
        <v>2021</v>
      </c>
      <c r="B157" s="1" t="s">
        <v>157</v>
      </c>
      <c r="C157" s="2">
        <v>701911</v>
      </c>
      <c r="D157" s="8">
        <v>6.0669999999999995E-4</v>
      </c>
    </row>
    <row r="158" spans="1:4" x14ac:dyDescent="0.2">
      <c r="A158" s="1">
        <v>2021</v>
      </c>
      <c r="B158" s="1" t="s">
        <v>158</v>
      </c>
      <c r="C158" s="2">
        <v>23361</v>
      </c>
      <c r="D158" s="8">
        <v>2.0190000000000002E-5</v>
      </c>
    </row>
    <row r="159" spans="1:4" x14ac:dyDescent="0.2">
      <c r="A159" s="1">
        <v>2021</v>
      </c>
      <c r="B159" s="1" t="s">
        <v>159</v>
      </c>
      <c r="C159" s="2">
        <v>5384</v>
      </c>
      <c r="D159" s="8">
        <v>4.6500000000000004E-6</v>
      </c>
    </row>
    <row r="160" spans="1:4" x14ac:dyDescent="0.2">
      <c r="A160" s="1">
        <v>2021</v>
      </c>
      <c r="B160" s="1" t="s">
        <v>160</v>
      </c>
      <c r="C160" s="2">
        <v>6838</v>
      </c>
      <c r="D160" s="8">
        <v>5.9100000000000002E-6</v>
      </c>
    </row>
    <row r="161" spans="1:4" x14ac:dyDescent="0.2">
      <c r="A161" s="1">
        <v>2021</v>
      </c>
      <c r="B161" s="1" t="s">
        <v>161</v>
      </c>
      <c r="C161" s="2">
        <v>21764</v>
      </c>
      <c r="D161" s="8">
        <v>1.8810000000000001E-5</v>
      </c>
    </row>
    <row r="162" spans="1:4" x14ac:dyDescent="0.2">
      <c r="A162" s="1">
        <v>2021</v>
      </c>
      <c r="B162" s="1" t="s">
        <v>162</v>
      </c>
      <c r="C162" s="2">
        <v>4437</v>
      </c>
      <c r="D162" s="8">
        <v>3.8399999999999997E-6</v>
      </c>
    </row>
    <row r="163" spans="1:4" x14ac:dyDescent="0.2">
      <c r="A163" s="1">
        <v>2021</v>
      </c>
      <c r="B163" s="1" t="s">
        <v>163</v>
      </c>
      <c r="C163" s="2">
        <v>242232</v>
      </c>
      <c r="D163" s="8">
        <v>2.0938E-4</v>
      </c>
    </row>
    <row r="164" spans="1:4" x14ac:dyDescent="0.2">
      <c r="A164" s="1">
        <v>2021</v>
      </c>
      <c r="B164" s="1" t="s">
        <v>164</v>
      </c>
      <c r="C164" s="2">
        <v>99484</v>
      </c>
      <c r="D164" s="8">
        <v>8.5989999999999995E-5</v>
      </c>
    </row>
    <row r="165" spans="1:4" x14ac:dyDescent="0.2">
      <c r="A165" s="1">
        <v>2021</v>
      </c>
      <c r="B165" s="1" t="s">
        <v>165</v>
      </c>
      <c r="C165" s="2">
        <v>67024</v>
      </c>
      <c r="D165" s="8">
        <v>5.7930000000000003E-5</v>
      </c>
    </row>
    <row r="166" spans="1:4" x14ac:dyDescent="0.2">
      <c r="A166" s="1">
        <v>2021</v>
      </c>
      <c r="B166" s="1" t="s">
        <v>166</v>
      </c>
      <c r="C166" s="2">
        <v>47552</v>
      </c>
      <c r="D166" s="8">
        <v>4.1100000000000003E-5</v>
      </c>
    </row>
    <row r="167" spans="1:4" x14ac:dyDescent="0.2">
      <c r="A167" s="1">
        <v>2021</v>
      </c>
      <c r="B167" s="1" t="s">
        <v>167</v>
      </c>
      <c r="C167" s="2">
        <v>25199</v>
      </c>
      <c r="D167" s="8">
        <v>2.1780000000000002E-5</v>
      </c>
    </row>
    <row r="168" spans="1:4" x14ac:dyDescent="0.2">
      <c r="A168" s="1">
        <v>2021</v>
      </c>
      <c r="B168" s="1" t="s">
        <v>168</v>
      </c>
      <c r="C168" s="2">
        <v>3086744</v>
      </c>
      <c r="D168" s="8">
        <v>2.6680599999999999E-3</v>
      </c>
    </row>
    <row r="169" spans="1:4" x14ac:dyDescent="0.2">
      <c r="A169" s="1">
        <v>2021</v>
      </c>
      <c r="B169" s="1" t="s">
        <v>169</v>
      </c>
      <c r="C169" s="2">
        <v>5258215</v>
      </c>
      <c r="D169" s="8">
        <v>4.5450000000000004E-3</v>
      </c>
    </row>
    <row r="170" spans="1:4" x14ac:dyDescent="0.2">
      <c r="A170" s="1">
        <v>2021</v>
      </c>
      <c r="B170" s="1" t="s">
        <v>170</v>
      </c>
      <c r="C170" s="2">
        <v>3724983</v>
      </c>
      <c r="D170" s="8">
        <v>3.2197300000000001E-3</v>
      </c>
    </row>
    <row r="171" spans="1:4" x14ac:dyDescent="0.2">
      <c r="A171" s="1">
        <v>2021</v>
      </c>
      <c r="B171" s="1" t="s">
        <v>171</v>
      </c>
      <c r="C171" s="2">
        <v>19500735</v>
      </c>
      <c r="D171" s="8">
        <v>1.6855680000000001E-2</v>
      </c>
    </row>
    <row r="172" spans="1:4" x14ac:dyDescent="0.2">
      <c r="A172" s="1">
        <v>2021</v>
      </c>
      <c r="B172" s="1" t="s">
        <v>172</v>
      </c>
      <c r="C172" s="2">
        <v>33479</v>
      </c>
      <c r="D172" s="8">
        <v>2.8940000000000001E-5</v>
      </c>
    </row>
    <row r="173" spans="1:4" x14ac:dyDescent="0.2">
      <c r="A173" s="1">
        <v>2021</v>
      </c>
      <c r="B173" s="1" t="s">
        <v>173</v>
      </c>
      <c r="C173" s="2">
        <v>29441240</v>
      </c>
      <c r="D173" s="8">
        <v>2.5447870000000001E-2</v>
      </c>
    </row>
    <row r="174" spans="1:4" x14ac:dyDescent="0.2">
      <c r="A174" s="1">
        <v>2021</v>
      </c>
      <c r="B174" s="1" t="s">
        <v>174</v>
      </c>
      <c r="C174" s="2">
        <v>5390557</v>
      </c>
      <c r="D174" s="8">
        <v>4.6593900000000002E-3</v>
      </c>
    </row>
    <row r="175" spans="1:4" x14ac:dyDescent="0.2">
      <c r="A175" s="1">
        <v>2021</v>
      </c>
      <c r="B175" s="1" t="s">
        <v>175</v>
      </c>
      <c r="C175" s="2">
        <v>278679</v>
      </c>
      <c r="D175" s="8">
        <v>2.4088000000000001E-4</v>
      </c>
    </row>
    <row r="176" spans="1:4" x14ac:dyDescent="0.2">
      <c r="A176" s="1">
        <v>2021</v>
      </c>
      <c r="B176" s="1" t="s">
        <v>176</v>
      </c>
      <c r="C176" s="2">
        <v>12861</v>
      </c>
      <c r="D176" s="8">
        <v>1.112E-5</v>
      </c>
    </row>
    <row r="177" spans="1:4" x14ac:dyDescent="0.2">
      <c r="A177" s="1">
        <v>2021</v>
      </c>
      <c r="B177" s="1" t="s">
        <v>177</v>
      </c>
      <c r="C177" s="2">
        <v>13528</v>
      </c>
      <c r="D177" s="8">
        <v>1.169E-5</v>
      </c>
    </row>
    <row r="178" spans="1:4" x14ac:dyDescent="0.2">
      <c r="A178" s="1">
        <v>2021</v>
      </c>
      <c r="B178" s="1" t="s">
        <v>178</v>
      </c>
      <c r="C178" s="2">
        <v>149684</v>
      </c>
      <c r="D178" s="8">
        <v>1.2938000000000001E-4</v>
      </c>
    </row>
    <row r="179" spans="1:4" x14ac:dyDescent="0.2">
      <c r="A179" s="1">
        <v>2021</v>
      </c>
      <c r="B179" s="1" t="s">
        <v>179</v>
      </c>
      <c r="C179" s="2">
        <v>1163060</v>
      </c>
      <c r="D179" s="8">
        <v>1.0053E-3</v>
      </c>
    </row>
    <row r="180" spans="1:4" x14ac:dyDescent="0.2">
      <c r="A180" s="1">
        <v>2021</v>
      </c>
      <c r="B180" s="1" t="s">
        <v>180</v>
      </c>
      <c r="C180" s="2">
        <v>3278103</v>
      </c>
      <c r="D180" s="8">
        <v>2.8334699999999998E-3</v>
      </c>
    </row>
    <row r="181" spans="1:4" x14ac:dyDescent="0.2">
      <c r="A181" s="1">
        <v>2021</v>
      </c>
      <c r="B181" s="1" t="s">
        <v>181</v>
      </c>
      <c r="C181" s="2">
        <v>67782</v>
      </c>
      <c r="D181" s="8">
        <v>5.859E-5</v>
      </c>
    </row>
    <row r="182" spans="1:4" x14ac:dyDescent="0.2">
      <c r="A182" s="1">
        <v>2021</v>
      </c>
      <c r="B182" s="1" t="s">
        <v>182</v>
      </c>
      <c r="C182" s="2">
        <v>63675</v>
      </c>
      <c r="D182" s="8">
        <v>5.5040000000000002E-5</v>
      </c>
    </row>
    <row r="183" spans="1:4" x14ac:dyDescent="0.2">
      <c r="A183" s="1">
        <v>2021</v>
      </c>
      <c r="B183" s="1" t="s">
        <v>183</v>
      </c>
      <c r="C183" s="2">
        <v>38444</v>
      </c>
      <c r="D183" s="8">
        <v>3.3229999999999999E-5</v>
      </c>
    </row>
    <row r="184" spans="1:4" x14ac:dyDescent="0.2">
      <c r="A184" s="1">
        <v>2021</v>
      </c>
      <c r="B184" s="1" t="s">
        <v>184</v>
      </c>
      <c r="C184" s="2">
        <v>120114</v>
      </c>
      <c r="D184" s="8">
        <v>1.0382000000000001E-4</v>
      </c>
    </row>
    <row r="185" spans="1:4" x14ac:dyDescent="0.2">
      <c r="A185" s="1">
        <v>2021</v>
      </c>
      <c r="B185" s="1" t="s">
        <v>185</v>
      </c>
      <c r="C185" s="2">
        <v>1896943</v>
      </c>
      <c r="D185" s="8">
        <v>1.6396399999999999E-3</v>
      </c>
    </row>
    <row r="186" spans="1:4" x14ac:dyDescent="0.2">
      <c r="A186" s="1">
        <v>2021</v>
      </c>
      <c r="B186" s="1" t="s">
        <v>186</v>
      </c>
      <c r="C186" s="2">
        <v>961082</v>
      </c>
      <c r="D186" s="8">
        <v>8.3071999999999996E-4</v>
      </c>
    </row>
    <row r="187" spans="1:4" x14ac:dyDescent="0.2">
      <c r="A187" s="1">
        <v>2021</v>
      </c>
      <c r="B187" s="1" t="s">
        <v>187</v>
      </c>
      <c r="C187" s="2">
        <v>57668</v>
      </c>
      <c r="D187" s="8">
        <v>4.9849999999999999E-5</v>
      </c>
    </row>
    <row r="188" spans="1:4" x14ac:dyDescent="0.2">
      <c r="A188" s="1">
        <v>2021</v>
      </c>
      <c r="B188" s="1" t="s">
        <v>188</v>
      </c>
      <c r="C188" s="2">
        <v>2733234</v>
      </c>
      <c r="D188" s="8">
        <v>2.3625E-3</v>
      </c>
    </row>
    <row r="189" spans="1:4" x14ac:dyDescent="0.2">
      <c r="A189" s="1">
        <v>2021</v>
      </c>
      <c r="B189" s="1" t="s">
        <v>189</v>
      </c>
      <c r="C189" s="2">
        <v>34848</v>
      </c>
      <c r="D189" s="8">
        <v>3.012E-5</v>
      </c>
    </row>
    <row r="190" spans="1:4" x14ac:dyDescent="0.2">
      <c r="A190" s="1">
        <v>2021</v>
      </c>
      <c r="B190" s="1" t="s">
        <v>190</v>
      </c>
      <c r="C190" s="2">
        <v>5546614</v>
      </c>
      <c r="D190" s="8">
        <v>4.7942799999999997E-3</v>
      </c>
    </row>
    <row r="191" spans="1:4" x14ac:dyDescent="0.2">
      <c r="A191" s="1">
        <v>2021</v>
      </c>
      <c r="B191" s="1" t="s">
        <v>191</v>
      </c>
      <c r="C191" s="2">
        <v>885658</v>
      </c>
      <c r="D191" s="8">
        <v>7.6553000000000005E-4</v>
      </c>
    </row>
    <row r="192" spans="1:4" x14ac:dyDescent="0.2">
      <c r="A192" s="1">
        <v>2021</v>
      </c>
      <c r="B192" s="1" t="s">
        <v>192</v>
      </c>
      <c r="C192" s="2">
        <v>58285</v>
      </c>
      <c r="D192" s="8">
        <v>5.0380000000000002E-5</v>
      </c>
    </row>
    <row r="193" spans="1:4" x14ac:dyDescent="0.2">
      <c r="A193" s="1">
        <v>2021</v>
      </c>
      <c r="B193" s="1" t="s">
        <v>193</v>
      </c>
      <c r="C193" s="2">
        <v>68431</v>
      </c>
      <c r="D193" s="8">
        <v>5.9150000000000001E-5</v>
      </c>
    </row>
    <row r="194" spans="1:4" x14ac:dyDescent="0.2">
      <c r="A194" s="1">
        <v>2021</v>
      </c>
      <c r="B194" s="1" t="s">
        <v>194</v>
      </c>
      <c r="C194" s="2">
        <v>689554</v>
      </c>
      <c r="D194" s="8">
        <v>5.9601999999999995E-4</v>
      </c>
    </row>
    <row r="195" spans="1:4" x14ac:dyDescent="0.2">
      <c r="A195" s="1">
        <v>2021</v>
      </c>
      <c r="B195" s="1" t="s">
        <v>195</v>
      </c>
      <c r="C195" s="2">
        <v>42891</v>
      </c>
      <c r="D195" s="8">
        <v>3.7070000000000003E-5</v>
      </c>
    </row>
    <row r="196" spans="1:4" x14ac:dyDescent="0.2">
      <c r="A196" s="1">
        <v>2021</v>
      </c>
      <c r="B196" s="1" t="s">
        <v>196</v>
      </c>
      <c r="C196" s="2">
        <v>24520</v>
      </c>
      <c r="D196" s="8">
        <v>2.1189999999999999E-5</v>
      </c>
    </row>
    <row r="197" spans="1:4" x14ac:dyDescent="0.2">
      <c r="A197" s="1">
        <v>2021</v>
      </c>
      <c r="B197" s="1" t="s">
        <v>197</v>
      </c>
      <c r="C197" s="2">
        <v>235671</v>
      </c>
      <c r="D197" s="8">
        <v>2.0369999999999999E-4</v>
      </c>
    </row>
    <row r="198" spans="1:4" x14ac:dyDescent="0.2">
      <c r="A198" s="1">
        <v>2021</v>
      </c>
      <c r="B198" s="1" t="s">
        <v>198</v>
      </c>
      <c r="C198" s="2">
        <v>7301467</v>
      </c>
      <c r="D198" s="8">
        <v>6.31111E-3</v>
      </c>
    </row>
    <row r="199" spans="1:4" x14ac:dyDescent="0.2">
      <c r="A199" s="1">
        <v>2021</v>
      </c>
      <c r="B199" s="1" t="s">
        <v>199</v>
      </c>
      <c r="C199" s="2">
        <v>1291513</v>
      </c>
      <c r="D199" s="8">
        <v>1.11633E-3</v>
      </c>
    </row>
    <row r="200" spans="1:4" x14ac:dyDescent="0.2">
      <c r="A200" s="1">
        <v>2021</v>
      </c>
      <c r="B200" s="1" t="s">
        <v>200</v>
      </c>
      <c r="C200" s="2">
        <v>79740</v>
      </c>
      <c r="D200" s="8">
        <v>6.8919999999999997E-5</v>
      </c>
    </row>
    <row r="201" spans="1:4" x14ac:dyDescent="0.2">
      <c r="A201" s="1">
        <v>2021</v>
      </c>
      <c r="B201" s="1" t="s">
        <v>201</v>
      </c>
      <c r="C201" s="2">
        <v>905955</v>
      </c>
      <c r="D201" s="8">
        <v>7.8306999999999997E-4</v>
      </c>
    </row>
    <row r="202" spans="1:4" x14ac:dyDescent="0.2">
      <c r="A202" s="1">
        <v>2021</v>
      </c>
      <c r="B202" s="1" t="s">
        <v>202</v>
      </c>
      <c r="C202" s="2">
        <v>30106</v>
      </c>
      <c r="D202" s="8">
        <v>2.6020000000000002E-5</v>
      </c>
    </row>
    <row r="203" spans="1:4" x14ac:dyDescent="0.2">
      <c r="A203" s="1">
        <v>2021</v>
      </c>
      <c r="B203" s="1" t="s">
        <v>203</v>
      </c>
      <c r="C203" s="2">
        <v>3241</v>
      </c>
      <c r="D203" s="8">
        <v>2.7999999999999999E-6</v>
      </c>
    </row>
    <row r="204" spans="1:4" x14ac:dyDescent="0.2">
      <c r="A204" s="1">
        <v>2021</v>
      </c>
      <c r="B204" s="1" t="s">
        <v>204</v>
      </c>
      <c r="C204" s="2">
        <v>70931</v>
      </c>
      <c r="D204" s="8">
        <v>6.1309999999999994E-5</v>
      </c>
    </row>
    <row r="205" spans="1:4" x14ac:dyDescent="0.2">
      <c r="A205" s="1">
        <v>2021</v>
      </c>
      <c r="B205" s="1" t="s">
        <v>205</v>
      </c>
      <c r="C205" s="2">
        <v>128372</v>
      </c>
      <c r="D205" s="8">
        <v>1.1095999999999999E-4</v>
      </c>
    </row>
    <row r="206" spans="1:4" x14ac:dyDescent="0.2">
      <c r="A206" s="1">
        <v>2021</v>
      </c>
      <c r="B206" s="1" t="s">
        <v>206</v>
      </c>
      <c r="C206" s="2">
        <v>10030</v>
      </c>
      <c r="D206" s="8">
        <v>8.67E-6</v>
      </c>
    </row>
    <row r="207" spans="1:4" x14ac:dyDescent="0.2">
      <c r="A207" s="1">
        <v>2021</v>
      </c>
      <c r="B207" s="1" t="s">
        <v>908</v>
      </c>
      <c r="C207" s="2">
        <v>1491</v>
      </c>
      <c r="D207" s="8">
        <v>1.2899999999999999E-6</v>
      </c>
    </row>
    <row r="208" spans="1:4" x14ac:dyDescent="0.2">
      <c r="A208" s="1">
        <v>2021</v>
      </c>
      <c r="B208" s="1" t="s">
        <v>207</v>
      </c>
      <c r="C208" s="2">
        <v>21467</v>
      </c>
      <c r="D208" s="8">
        <v>1.8559999999999998E-5</v>
      </c>
    </row>
    <row r="209" spans="1:4" x14ac:dyDescent="0.2">
      <c r="A209" s="1">
        <v>2021</v>
      </c>
      <c r="B209" s="1" t="s">
        <v>208</v>
      </c>
      <c r="C209" s="2">
        <v>1276548</v>
      </c>
      <c r="D209" s="8">
        <v>1.1034E-3</v>
      </c>
    </row>
    <row r="210" spans="1:4" x14ac:dyDescent="0.2">
      <c r="A210" s="1">
        <v>2021</v>
      </c>
      <c r="B210" s="1" t="s">
        <v>209</v>
      </c>
      <c r="C210" s="2">
        <v>3631010</v>
      </c>
      <c r="D210" s="8">
        <v>3.1385100000000002E-3</v>
      </c>
    </row>
    <row r="211" spans="1:4" x14ac:dyDescent="0.2">
      <c r="A211" s="1">
        <v>2021</v>
      </c>
      <c r="B211" s="1" t="s">
        <v>210</v>
      </c>
      <c r="C211" s="2">
        <v>451123</v>
      </c>
      <c r="D211" s="8">
        <v>3.8992999999999997E-4</v>
      </c>
    </row>
    <row r="212" spans="1:4" x14ac:dyDescent="0.2">
      <c r="A212" s="1">
        <v>2021</v>
      </c>
      <c r="B212" s="1" t="s">
        <v>211</v>
      </c>
      <c r="C212" s="2">
        <v>108252</v>
      </c>
      <c r="D212" s="8">
        <v>9.357E-5</v>
      </c>
    </row>
    <row r="213" spans="1:4" x14ac:dyDescent="0.2">
      <c r="A213" s="1">
        <v>2021</v>
      </c>
      <c r="B213" s="1" t="s">
        <v>212</v>
      </c>
      <c r="C213" s="2">
        <v>247088</v>
      </c>
      <c r="D213" s="8">
        <v>2.1357E-4</v>
      </c>
    </row>
    <row r="214" spans="1:4" x14ac:dyDescent="0.2">
      <c r="A214" s="1">
        <v>2021</v>
      </c>
      <c r="B214" s="1" t="s">
        <v>213</v>
      </c>
      <c r="C214" s="2">
        <v>1765726</v>
      </c>
      <c r="D214" s="8">
        <v>1.5262299999999999E-3</v>
      </c>
    </row>
    <row r="215" spans="1:4" x14ac:dyDescent="0.2">
      <c r="A215" s="1">
        <v>2021</v>
      </c>
      <c r="B215" s="1" t="s">
        <v>214</v>
      </c>
      <c r="C215" s="2">
        <v>556052</v>
      </c>
      <c r="D215" s="8">
        <v>4.8063000000000001E-4</v>
      </c>
    </row>
    <row r="216" spans="1:4" x14ac:dyDescent="0.2">
      <c r="A216" s="1">
        <v>2021</v>
      </c>
      <c r="B216" s="1" t="s">
        <v>215</v>
      </c>
      <c r="C216" s="2">
        <v>21349</v>
      </c>
      <c r="D216" s="8">
        <v>1.8450000000000001E-5</v>
      </c>
    </row>
    <row r="217" spans="1:4" x14ac:dyDescent="0.2">
      <c r="A217" s="1">
        <v>2021</v>
      </c>
      <c r="B217" s="1" t="s">
        <v>216</v>
      </c>
      <c r="C217" s="2">
        <v>1439527</v>
      </c>
      <c r="D217" s="8">
        <v>1.24427E-3</v>
      </c>
    </row>
    <row r="218" spans="1:4" x14ac:dyDescent="0.2">
      <c r="A218" s="1">
        <v>2021</v>
      </c>
      <c r="B218" s="1" t="s">
        <v>217</v>
      </c>
      <c r="C218" s="2">
        <v>1768070</v>
      </c>
      <c r="D218" s="8">
        <v>1.5282500000000001E-3</v>
      </c>
    </row>
    <row r="219" spans="1:4" x14ac:dyDescent="0.2">
      <c r="A219" s="1">
        <v>2021</v>
      </c>
      <c r="B219" s="1" t="s">
        <v>218</v>
      </c>
      <c r="C219" s="2">
        <v>611965</v>
      </c>
      <c r="D219" s="8">
        <v>5.2895999999999998E-4</v>
      </c>
    </row>
    <row r="220" spans="1:4" x14ac:dyDescent="0.2">
      <c r="A220" s="1">
        <v>2021</v>
      </c>
      <c r="B220" s="1" t="s">
        <v>219</v>
      </c>
      <c r="C220" s="2">
        <v>2754469</v>
      </c>
      <c r="D220" s="8">
        <v>2.3808599999999998E-3</v>
      </c>
    </row>
    <row r="221" spans="1:4" x14ac:dyDescent="0.2">
      <c r="A221" s="1">
        <v>2021</v>
      </c>
      <c r="B221" s="1" t="s">
        <v>220</v>
      </c>
      <c r="C221" s="2">
        <v>2449004</v>
      </c>
      <c r="D221" s="8">
        <v>2.1168200000000002E-3</v>
      </c>
    </row>
    <row r="222" spans="1:4" x14ac:dyDescent="0.2">
      <c r="A222" s="1">
        <v>2021</v>
      </c>
      <c r="B222" s="1" t="s">
        <v>221</v>
      </c>
      <c r="C222" s="2">
        <v>6358</v>
      </c>
      <c r="D222" s="8">
        <v>5.4999999999999999E-6</v>
      </c>
    </row>
    <row r="223" spans="1:4" x14ac:dyDescent="0.2">
      <c r="A223" s="1">
        <v>2021</v>
      </c>
      <c r="B223" s="1" t="s">
        <v>222</v>
      </c>
      <c r="C223" s="2">
        <v>1462606</v>
      </c>
      <c r="D223" s="8">
        <v>1.2642199999999999E-3</v>
      </c>
    </row>
    <row r="224" spans="1:4" x14ac:dyDescent="0.2">
      <c r="A224" s="1">
        <v>2021</v>
      </c>
      <c r="B224" s="1" t="s">
        <v>223</v>
      </c>
      <c r="C224" s="2">
        <v>348069</v>
      </c>
      <c r="D224" s="8">
        <v>3.0086000000000002E-4</v>
      </c>
    </row>
    <row r="225" spans="1:4" x14ac:dyDescent="0.2">
      <c r="A225" s="1">
        <v>2021</v>
      </c>
      <c r="B225" s="1" t="s">
        <v>224</v>
      </c>
      <c r="C225" s="2">
        <v>1395774</v>
      </c>
      <c r="D225" s="8">
        <v>1.20645E-3</v>
      </c>
    </row>
    <row r="226" spans="1:4" x14ac:dyDescent="0.2">
      <c r="A226" s="1">
        <v>2021</v>
      </c>
      <c r="B226" s="1" t="s">
        <v>225</v>
      </c>
      <c r="C226" s="2">
        <v>307594</v>
      </c>
      <c r="D226" s="8">
        <v>2.6586999999999997E-4</v>
      </c>
    </row>
    <row r="227" spans="1:4" x14ac:dyDescent="0.2">
      <c r="A227" s="1">
        <v>2021</v>
      </c>
      <c r="B227" s="1" t="s">
        <v>226</v>
      </c>
      <c r="C227" s="2">
        <v>816982</v>
      </c>
      <c r="D227" s="8">
        <v>7.0617E-4</v>
      </c>
    </row>
    <row r="228" spans="1:4" x14ac:dyDescent="0.2">
      <c r="A228" s="1">
        <v>2021</v>
      </c>
      <c r="B228" s="1" t="s">
        <v>227</v>
      </c>
      <c r="C228" s="2">
        <v>827018</v>
      </c>
      <c r="D228" s="8">
        <v>7.1484000000000001E-4</v>
      </c>
    </row>
    <row r="229" spans="1:4" x14ac:dyDescent="0.2">
      <c r="A229" s="1">
        <v>2021</v>
      </c>
      <c r="B229" s="1" t="s">
        <v>904</v>
      </c>
      <c r="C229" s="2">
        <v>1336</v>
      </c>
      <c r="D229" s="8">
        <v>1.1599999999999999E-6</v>
      </c>
    </row>
    <row r="230" spans="1:4" x14ac:dyDescent="0.2">
      <c r="A230" s="1">
        <v>2021</v>
      </c>
      <c r="B230" s="1" t="s">
        <v>228</v>
      </c>
      <c r="C230" s="2">
        <v>3668250</v>
      </c>
      <c r="D230" s="8">
        <v>3.1706899999999999E-3</v>
      </c>
    </row>
    <row r="231" spans="1:4" x14ac:dyDescent="0.2">
      <c r="A231" s="1">
        <v>2021</v>
      </c>
      <c r="B231" s="1" t="s">
        <v>229</v>
      </c>
      <c r="C231" s="2">
        <v>30568</v>
      </c>
      <c r="D231" s="8">
        <v>2.6420000000000001E-5</v>
      </c>
    </row>
    <row r="232" spans="1:4" x14ac:dyDescent="0.2">
      <c r="A232" s="1">
        <v>2021</v>
      </c>
      <c r="B232" s="1" t="s">
        <v>230</v>
      </c>
      <c r="C232" s="2">
        <v>115713</v>
      </c>
      <c r="D232" s="8">
        <v>1.0001999999999999E-4</v>
      </c>
    </row>
    <row r="233" spans="1:4" x14ac:dyDescent="0.2">
      <c r="A233" s="1">
        <v>2021</v>
      </c>
      <c r="B233" s="1" t="s">
        <v>231</v>
      </c>
      <c r="C233" s="2">
        <v>151500</v>
      </c>
      <c r="D233" s="8">
        <v>1.3095000000000001E-4</v>
      </c>
    </row>
    <row r="234" spans="1:4" x14ac:dyDescent="0.2">
      <c r="A234" s="1">
        <v>2021</v>
      </c>
      <c r="B234" s="1" t="s">
        <v>232</v>
      </c>
      <c r="C234" s="2">
        <v>286792</v>
      </c>
      <c r="D234" s="8">
        <v>2.4789000000000001E-4</v>
      </c>
    </row>
    <row r="235" spans="1:4" x14ac:dyDescent="0.2">
      <c r="A235" s="1">
        <v>2021</v>
      </c>
      <c r="B235" s="1" t="s">
        <v>233</v>
      </c>
      <c r="C235" s="2">
        <v>117176</v>
      </c>
      <c r="D235" s="8">
        <v>1.0128000000000001E-4</v>
      </c>
    </row>
    <row r="236" spans="1:4" x14ac:dyDescent="0.2">
      <c r="A236" s="1">
        <v>2021</v>
      </c>
      <c r="B236" s="1" t="s">
        <v>234</v>
      </c>
      <c r="C236" s="2">
        <v>15704</v>
      </c>
      <c r="D236" s="8">
        <v>1.3570000000000001E-5</v>
      </c>
    </row>
    <row r="237" spans="1:4" x14ac:dyDescent="0.2">
      <c r="A237" s="1">
        <v>2021</v>
      </c>
      <c r="B237" s="1" t="s">
        <v>235</v>
      </c>
      <c r="C237" s="2">
        <v>300389</v>
      </c>
      <c r="D237" s="8">
        <v>2.5964E-4</v>
      </c>
    </row>
    <row r="238" spans="1:4" x14ac:dyDescent="0.2">
      <c r="A238" s="1">
        <v>2021</v>
      </c>
      <c r="B238" s="1" t="s">
        <v>236</v>
      </c>
      <c r="C238" s="2">
        <v>22921</v>
      </c>
      <c r="D238" s="8">
        <v>1.9809999999999998E-5</v>
      </c>
    </row>
    <row r="239" spans="1:4" x14ac:dyDescent="0.2">
      <c r="A239" s="1">
        <v>2021</v>
      </c>
      <c r="B239" s="1" t="s">
        <v>237</v>
      </c>
      <c r="C239" s="2">
        <v>1770235</v>
      </c>
      <c r="D239" s="8">
        <v>1.53012E-3</v>
      </c>
    </row>
    <row r="240" spans="1:4" x14ac:dyDescent="0.2">
      <c r="A240" s="1">
        <v>2021</v>
      </c>
      <c r="B240" s="1" t="s">
        <v>238</v>
      </c>
      <c r="C240" s="2">
        <v>550914</v>
      </c>
      <c r="D240" s="8">
        <v>4.7618999999999998E-4</v>
      </c>
    </row>
    <row r="241" spans="1:4" x14ac:dyDescent="0.2">
      <c r="A241" s="1">
        <v>2021</v>
      </c>
      <c r="B241" s="1" t="s">
        <v>239</v>
      </c>
      <c r="C241" s="2">
        <v>85900</v>
      </c>
      <c r="D241" s="8">
        <v>7.4250000000000002E-5</v>
      </c>
    </row>
    <row r="242" spans="1:4" x14ac:dyDescent="0.2">
      <c r="A242" s="1">
        <v>2021</v>
      </c>
      <c r="B242" s="1" t="s">
        <v>240</v>
      </c>
      <c r="C242" s="2">
        <v>4255277</v>
      </c>
      <c r="D242" s="8">
        <v>3.6781000000000001E-3</v>
      </c>
    </row>
    <row r="243" spans="1:4" x14ac:dyDescent="0.2">
      <c r="A243" s="1">
        <v>2021</v>
      </c>
      <c r="B243" s="1" t="s">
        <v>241</v>
      </c>
      <c r="C243" s="2">
        <v>1234334</v>
      </c>
      <c r="D243" s="8">
        <v>1.0669099999999999E-3</v>
      </c>
    </row>
    <row r="244" spans="1:4" x14ac:dyDescent="0.2">
      <c r="A244" s="1">
        <v>2021</v>
      </c>
      <c r="B244" s="1" t="s">
        <v>242</v>
      </c>
      <c r="C244" s="2">
        <v>95852</v>
      </c>
      <c r="D244" s="8">
        <v>8.2849999999999995E-5</v>
      </c>
    </row>
    <row r="245" spans="1:4" x14ac:dyDescent="0.2">
      <c r="A245" s="1">
        <v>2021</v>
      </c>
      <c r="B245" s="1" t="s">
        <v>243</v>
      </c>
      <c r="C245" s="2">
        <v>12810</v>
      </c>
      <c r="D245" s="8">
        <v>1.1070000000000001E-5</v>
      </c>
    </row>
    <row r="246" spans="1:4" x14ac:dyDescent="0.2">
      <c r="A246" s="1">
        <v>2021</v>
      </c>
      <c r="B246" s="1" t="s">
        <v>244</v>
      </c>
      <c r="C246" s="2">
        <v>657680</v>
      </c>
      <c r="D246" s="8">
        <v>5.6846999999999996E-4</v>
      </c>
    </row>
    <row r="247" spans="1:4" x14ac:dyDescent="0.2">
      <c r="A247" s="1">
        <v>2021</v>
      </c>
      <c r="B247" s="1" t="s">
        <v>245</v>
      </c>
      <c r="C247" s="2">
        <v>4682558</v>
      </c>
      <c r="D247" s="8">
        <v>4.0474200000000004E-3</v>
      </c>
    </row>
    <row r="248" spans="1:4" x14ac:dyDescent="0.2">
      <c r="A248" s="1">
        <v>2021</v>
      </c>
      <c r="B248" s="1" t="s">
        <v>246</v>
      </c>
      <c r="C248" s="2">
        <v>41128</v>
      </c>
      <c r="D248" s="8">
        <v>3.5549999999999997E-5</v>
      </c>
    </row>
    <row r="249" spans="1:4" x14ac:dyDescent="0.2">
      <c r="A249" s="1">
        <v>2021</v>
      </c>
      <c r="B249" s="1" t="s">
        <v>247</v>
      </c>
      <c r="C249" s="2">
        <v>1012489</v>
      </c>
      <c r="D249" s="8">
        <v>8.7516000000000004E-4</v>
      </c>
    </row>
    <row r="250" spans="1:4" x14ac:dyDescent="0.2">
      <c r="A250" s="1">
        <v>2021</v>
      </c>
      <c r="B250" s="1" t="s">
        <v>248</v>
      </c>
      <c r="C250" s="2">
        <v>691412</v>
      </c>
      <c r="D250" s="8">
        <v>5.9763000000000004E-4</v>
      </c>
    </row>
    <row r="251" spans="1:4" x14ac:dyDescent="0.2">
      <c r="A251" s="1">
        <v>2021</v>
      </c>
      <c r="B251" s="1" t="s">
        <v>249</v>
      </c>
      <c r="C251" s="2">
        <v>5067</v>
      </c>
      <c r="D251" s="8">
        <v>4.3800000000000004E-6</v>
      </c>
    </row>
    <row r="252" spans="1:4" x14ac:dyDescent="0.2">
      <c r="A252" s="1">
        <v>2021</v>
      </c>
      <c r="B252" s="1" t="s">
        <v>250</v>
      </c>
      <c r="C252" s="2">
        <v>17145</v>
      </c>
      <c r="D252" s="8">
        <v>1.482E-5</v>
      </c>
    </row>
    <row r="253" spans="1:4" x14ac:dyDescent="0.2">
      <c r="A253" s="1">
        <v>2021</v>
      </c>
      <c r="B253" s="1" t="s">
        <v>251</v>
      </c>
      <c r="C253" s="2">
        <v>3749659</v>
      </c>
      <c r="D253" s="8">
        <v>3.24106E-3</v>
      </c>
    </row>
    <row r="254" spans="1:4" x14ac:dyDescent="0.2">
      <c r="A254" s="1">
        <v>2021</v>
      </c>
      <c r="B254" s="1" t="s">
        <v>252</v>
      </c>
      <c r="C254" s="2">
        <v>32082</v>
      </c>
      <c r="D254" s="8">
        <v>2.773E-5</v>
      </c>
    </row>
    <row r="255" spans="1:4" x14ac:dyDescent="0.2">
      <c r="A255" s="1">
        <v>2021</v>
      </c>
      <c r="B255" s="1" t="s">
        <v>253</v>
      </c>
      <c r="C255" s="2">
        <v>95948</v>
      </c>
      <c r="D255" s="8">
        <v>8.2929999999999994E-5</v>
      </c>
    </row>
    <row r="256" spans="1:4" x14ac:dyDescent="0.2">
      <c r="A256" s="1">
        <v>2021</v>
      </c>
      <c r="B256" s="1" t="s">
        <v>254</v>
      </c>
      <c r="C256" s="2">
        <v>4631585</v>
      </c>
      <c r="D256" s="8">
        <v>4.0033600000000001E-3</v>
      </c>
    </row>
    <row r="257" spans="1:4" x14ac:dyDescent="0.2">
      <c r="A257" s="1">
        <v>2021</v>
      </c>
      <c r="B257" s="1" t="s">
        <v>255</v>
      </c>
      <c r="C257" s="2">
        <v>6328769</v>
      </c>
      <c r="D257" s="8">
        <v>5.4703399999999998E-3</v>
      </c>
    </row>
    <row r="258" spans="1:4" x14ac:dyDescent="0.2">
      <c r="A258" s="1">
        <v>2021</v>
      </c>
      <c r="B258" s="1" t="s">
        <v>256</v>
      </c>
      <c r="C258" s="2">
        <v>376408</v>
      </c>
      <c r="D258" s="8">
        <v>3.2535000000000002E-4</v>
      </c>
    </row>
    <row r="259" spans="1:4" x14ac:dyDescent="0.2">
      <c r="A259" s="1">
        <v>2021</v>
      </c>
      <c r="B259" s="1" t="s">
        <v>257</v>
      </c>
      <c r="C259" s="2">
        <v>3850148</v>
      </c>
      <c r="D259" s="8">
        <v>3.3279199999999998E-3</v>
      </c>
    </row>
    <row r="260" spans="1:4" x14ac:dyDescent="0.2">
      <c r="A260" s="1">
        <v>2021</v>
      </c>
      <c r="B260" s="1" t="s">
        <v>258</v>
      </c>
      <c r="C260" s="2">
        <v>2175482</v>
      </c>
      <c r="D260" s="8">
        <v>1.8804E-3</v>
      </c>
    </row>
    <row r="261" spans="1:4" x14ac:dyDescent="0.2">
      <c r="A261" s="1">
        <v>2021</v>
      </c>
      <c r="B261" s="1" t="s">
        <v>259</v>
      </c>
      <c r="C261" s="2">
        <v>135334</v>
      </c>
      <c r="D261" s="8">
        <v>1.1697999999999999E-4</v>
      </c>
    </row>
    <row r="262" spans="1:4" x14ac:dyDescent="0.2">
      <c r="A262" s="1">
        <v>2021</v>
      </c>
      <c r="B262" s="1" t="s">
        <v>260</v>
      </c>
      <c r="C262" s="2">
        <v>133371</v>
      </c>
      <c r="D262" s="8">
        <v>1.1527999999999999E-4</v>
      </c>
    </row>
    <row r="263" spans="1:4" x14ac:dyDescent="0.2">
      <c r="A263" s="1">
        <v>2021</v>
      </c>
      <c r="B263" s="1" t="s">
        <v>261</v>
      </c>
      <c r="C263" s="2">
        <v>28760</v>
      </c>
      <c r="D263" s="8">
        <v>2.4859999999999999E-5</v>
      </c>
    </row>
    <row r="264" spans="1:4" x14ac:dyDescent="0.2">
      <c r="A264" s="1">
        <v>2021</v>
      </c>
      <c r="B264" s="1" t="s">
        <v>262</v>
      </c>
      <c r="C264" s="2">
        <v>218723</v>
      </c>
      <c r="D264" s="8">
        <v>1.8906000000000001E-4</v>
      </c>
    </row>
    <row r="265" spans="1:4" x14ac:dyDescent="0.2">
      <c r="A265" s="1">
        <v>2021</v>
      </c>
      <c r="B265" s="1" t="s">
        <v>263</v>
      </c>
      <c r="C265" s="2">
        <v>9855</v>
      </c>
      <c r="D265" s="8">
        <v>8.5199999999999997E-6</v>
      </c>
    </row>
    <row r="266" spans="1:4" x14ac:dyDescent="0.2">
      <c r="A266" s="1">
        <v>2021</v>
      </c>
      <c r="B266" s="1" t="s">
        <v>264</v>
      </c>
      <c r="C266" s="2">
        <v>134095</v>
      </c>
      <c r="D266" s="8">
        <v>1.1591000000000001E-4</v>
      </c>
    </row>
    <row r="267" spans="1:4" x14ac:dyDescent="0.2">
      <c r="A267" s="1">
        <v>2021</v>
      </c>
      <c r="B267" s="1" t="s">
        <v>265</v>
      </c>
      <c r="C267" s="2">
        <v>80762</v>
      </c>
      <c r="D267" s="8">
        <v>6.9809999999999997E-5</v>
      </c>
    </row>
    <row r="268" spans="1:4" x14ac:dyDescent="0.2">
      <c r="A268" s="1">
        <v>2021</v>
      </c>
      <c r="B268" s="1" t="s">
        <v>266</v>
      </c>
      <c r="C268" s="2">
        <v>9861</v>
      </c>
      <c r="D268" s="8">
        <v>8.5199999999999997E-6</v>
      </c>
    </row>
    <row r="269" spans="1:4" x14ac:dyDescent="0.2">
      <c r="A269" s="1">
        <v>2021</v>
      </c>
      <c r="B269" s="1" t="s">
        <v>267</v>
      </c>
      <c r="C269" s="2">
        <v>14004259</v>
      </c>
      <c r="D269" s="8">
        <v>1.2104739999999999E-2</v>
      </c>
    </row>
    <row r="270" spans="1:4" x14ac:dyDescent="0.2">
      <c r="A270" s="1">
        <v>2021</v>
      </c>
      <c r="B270" s="1" t="s">
        <v>268</v>
      </c>
      <c r="C270" s="2">
        <v>6057229</v>
      </c>
      <c r="D270" s="8">
        <v>5.2356399999999997E-3</v>
      </c>
    </row>
    <row r="271" spans="1:4" x14ac:dyDescent="0.2">
      <c r="A271" s="1">
        <v>2021</v>
      </c>
      <c r="B271" s="1" t="s">
        <v>269</v>
      </c>
      <c r="C271" s="2">
        <v>169312</v>
      </c>
      <c r="D271" s="8">
        <v>1.4635000000000001E-4</v>
      </c>
    </row>
    <row r="272" spans="1:4" x14ac:dyDescent="0.2">
      <c r="A272" s="1">
        <v>2021</v>
      </c>
      <c r="B272" s="1" t="s">
        <v>270</v>
      </c>
      <c r="C272" s="2">
        <v>111422</v>
      </c>
      <c r="D272" s="8">
        <v>9.6310000000000005E-5</v>
      </c>
    </row>
    <row r="273" spans="1:4" x14ac:dyDescent="0.2">
      <c r="A273" s="1">
        <v>2021</v>
      </c>
      <c r="B273" s="1" t="s">
        <v>271</v>
      </c>
      <c r="C273" s="2">
        <v>7564</v>
      </c>
      <c r="D273" s="8">
        <v>6.5400000000000001E-6</v>
      </c>
    </row>
    <row r="274" spans="1:4" x14ac:dyDescent="0.2">
      <c r="A274" s="1">
        <v>2021</v>
      </c>
      <c r="B274" s="1" t="s">
        <v>272</v>
      </c>
      <c r="C274" s="2">
        <v>199371</v>
      </c>
      <c r="D274" s="8">
        <v>1.7233E-4</v>
      </c>
    </row>
    <row r="275" spans="1:4" x14ac:dyDescent="0.2">
      <c r="A275" s="1">
        <v>2021</v>
      </c>
      <c r="B275" s="1" t="s">
        <v>273</v>
      </c>
      <c r="C275" s="2">
        <v>248083</v>
      </c>
      <c r="D275" s="8">
        <v>2.1442999999999999E-4</v>
      </c>
    </row>
    <row r="276" spans="1:4" x14ac:dyDescent="0.2">
      <c r="A276" s="1">
        <v>2021</v>
      </c>
      <c r="B276" s="1" t="s">
        <v>274</v>
      </c>
      <c r="C276" s="2">
        <v>164079</v>
      </c>
      <c r="D276" s="8">
        <v>1.4181999999999999E-4</v>
      </c>
    </row>
    <row r="277" spans="1:4" x14ac:dyDescent="0.2">
      <c r="A277" s="1">
        <v>2021</v>
      </c>
      <c r="B277" s="1" t="s">
        <v>275</v>
      </c>
      <c r="C277" s="2">
        <v>15286</v>
      </c>
      <c r="D277" s="8">
        <v>1.3210000000000001E-5</v>
      </c>
    </row>
    <row r="278" spans="1:4" x14ac:dyDescent="0.2">
      <c r="A278" s="1">
        <v>2021</v>
      </c>
      <c r="B278" s="1" t="s">
        <v>276</v>
      </c>
      <c r="C278" s="2">
        <v>4282923</v>
      </c>
      <c r="D278" s="8">
        <v>3.7019900000000001E-3</v>
      </c>
    </row>
    <row r="279" spans="1:4" x14ac:dyDescent="0.2">
      <c r="A279" s="1">
        <v>2021</v>
      </c>
      <c r="B279" s="1" t="s">
        <v>277</v>
      </c>
      <c r="C279" s="2">
        <v>82763</v>
      </c>
      <c r="D279" s="8">
        <v>7.1539999999999996E-5</v>
      </c>
    </row>
    <row r="280" spans="1:4" x14ac:dyDescent="0.2">
      <c r="A280" s="1">
        <v>2021</v>
      </c>
      <c r="B280" s="1" t="s">
        <v>278</v>
      </c>
      <c r="C280" s="2">
        <v>4241428</v>
      </c>
      <c r="D280" s="8">
        <v>3.6661300000000001E-3</v>
      </c>
    </row>
    <row r="281" spans="1:4" x14ac:dyDescent="0.2">
      <c r="A281" s="1">
        <v>2021</v>
      </c>
      <c r="B281" s="1" t="s">
        <v>279</v>
      </c>
      <c r="C281" s="2">
        <v>47462</v>
      </c>
      <c r="D281" s="8">
        <v>4.1019999999999997E-5</v>
      </c>
    </row>
    <row r="282" spans="1:4" x14ac:dyDescent="0.2">
      <c r="A282" s="1">
        <v>2021</v>
      </c>
      <c r="B282" s="1" t="s">
        <v>280</v>
      </c>
      <c r="C282" s="2">
        <v>114167</v>
      </c>
      <c r="D282" s="8">
        <v>9.8679999999999997E-5</v>
      </c>
    </row>
    <row r="283" spans="1:4" x14ac:dyDescent="0.2">
      <c r="A283" s="1">
        <v>2021</v>
      </c>
      <c r="B283" s="1" t="s">
        <v>281</v>
      </c>
      <c r="C283" s="2">
        <v>250187</v>
      </c>
      <c r="D283" s="8">
        <v>2.1625E-4</v>
      </c>
    </row>
    <row r="284" spans="1:4" x14ac:dyDescent="0.2">
      <c r="A284" s="1">
        <v>2021</v>
      </c>
      <c r="B284" s="1" t="s">
        <v>282</v>
      </c>
      <c r="C284" s="2">
        <v>27644</v>
      </c>
      <c r="D284" s="8">
        <v>2.389E-5</v>
      </c>
    </row>
    <row r="285" spans="1:4" x14ac:dyDescent="0.2">
      <c r="A285" s="1">
        <v>2021</v>
      </c>
      <c r="B285" s="1" t="s">
        <v>283</v>
      </c>
      <c r="C285" s="2">
        <v>1404087</v>
      </c>
      <c r="D285" s="8">
        <v>1.21364E-3</v>
      </c>
    </row>
    <row r="286" spans="1:4" x14ac:dyDescent="0.2">
      <c r="A286" s="1">
        <v>2021</v>
      </c>
      <c r="B286" s="1" t="s">
        <v>284</v>
      </c>
      <c r="C286" s="2">
        <v>57972</v>
      </c>
      <c r="D286" s="8">
        <v>5.011E-5</v>
      </c>
    </row>
    <row r="287" spans="1:4" x14ac:dyDescent="0.2">
      <c r="A287" s="1">
        <v>2021</v>
      </c>
      <c r="B287" s="1" t="s">
        <v>285</v>
      </c>
      <c r="C287" s="2">
        <v>1273396</v>
      </c>
      <c r="D287" s="8">
        <v>1.10067E-3</v>
      </c>
    </row>
    <row r="288" spans="1:4" x14ac:dyDescent="0.2">
      <c r="A288" s="1">
        <v>2021</v>
      </c>
      <c r="B288" s="1" t="s">
        <v>286</v>
      </c>
      <c r="C288" s="2">
        <v>27855</v>
      </c>
      <c r="D288" s="8">
        <v>2.408E-5</v>
      </c>
    </row>
    <row r="289" spans="1:4" x14ac:dyDescent="0.2">
      <c r="A289" s="1">
        <v>2021</v>
      </c>
      <c r="B289" s="1" t="s">
        <v>287</v>
      </c>
      <c r="C289" s="2">
        <v>23638</v>
      </c>
      <c r="D289" s="8">
        <v>2.0429999999999999E-5</v>
      </c>
    </row>
    <row r="290" spans="1:4" x14ac:dyDescent="0.2">
      <c r="A290" s="1">
        <v>2021</v>
      </c>
      <c r="B290" s="1" t="s">
        <v>288</v>
      </c>
      <c r="C290" s="2">
        <v>4339936</v>
      </c>
      <c r="D290" s="8">
        <v>3.7512700000000001E-3</v>
      </c>
    </row>
    <row r="291" spans="1:4" x14ac:dyDescent="0.2">
      <c r="A291" s="1">
        <v>2021</v>
      </c>
      <c r="B291" s="1" t="s">
        <v>289</v>
      </c>
      <c r="C291" s="2">
        <v>5158543</v>
      </c>
      <c r="D291" s="8">
        <v>4.4588500000000003E-3</v>
      </c>
    </row>
    <row r="292" spans="1:4" x14ac:dyDescent="0.2">
      <c r="A292" s="1">
        <v>2021</v>
      </c>
      <c r="B292" s="1" t="s">
        <v>290</v>
      </c>
      <c r="C292" s="2">
        <v>123882</v>
      </c>
      <c r="D292" s="8">
        <v>1.0708E-4</v>
      </c>
    </row>
    <row r="293" spans="1:4" x14ac:dyDescent="0.2">
      <c r="A293" s="1">
        <v>2021</v>
      </c>
      <c r="B293" s="1" t="s">
        <v>291</v>
      </c>
      <c r="C293" s="2">
        <v>168193</v>
      </c>
      <c r="D293" s="8">
        <v>1.4537999999999999E-4</v>
      </c>
    </row>
    <row r="294" spans="1:4" x14ac:dyDescent="0.2">
      <c r="A294" s="1">
        <v>2021</v>
      </c>
      <c r="B294" s="1" t="s">
        <v>292</v>
      </c>
      <c r="C294" s="2">
        <v>9024</v>
      </c>
      <c r="D294" s="8">
        <v>7.7999999999999999E-6</v>
      </c>
    </row>
    <row r="295" spans="1:4" x14ac:dyDescent="0.2">
      <c r="A295" s="1">
        <v>2021</v>
      </c>
      <c r="B295" s="1" t="s">
        <v>293</v>
      </c>
      <c r="C295" s="2">
        <v>9402305</v>
      </c>
      <c r="D295" s="8">
        <v>8.1269900000000006E-3</v>
      </c>
    </row>
    <row r="296" spans="1:4" x14ac:dyDescent="0.2">
      <c r="A296" s="1">
        <v>2021</v>
      </c>
      <c r="B296" s="1" t="s">
        <v>294</v>
      </c>
      <c r="C296" s="2">
        <v>130929</v>
      </c>
      <c r="D296" s="8">
        <v>1.1317E-4</v>
      </c>
    </row>
    <row r="297" spans="1:4" x14ac:dyDescent="0.2">
      <c r="A297" s="1">
        <v>2021</v>
      </c>
      <c r="B297" s="1" t="s">
        <v>295</v>
      </c>
      <c r="C297" s="2">
        <v>621262</v>
      </c>
      <c r="D297" s="8">
        <v>5.3698999999999999E-4</v>
      </c>
    </row>
    <row r="298" spans="1:4" x14ac:dyDescent="0.2">
      <c r="A298" s="1">
        <v>2021</v>
      </c>
      <c r="B298" s="1" t="s">
        <v>296</v>
      </c>
      <c r="C298" s="2">
        <v>443666</v>
      </c>
      <c r="D298" s="8">
        <v>3.8349E-4</v>
      </c>
    </row>
    <row r="299" spans="1:4" x14ac:dyDescent="0.2">
      <c r="A299" s="1">
        <v>2021</v>
      </c>
      <c r="B299" s="1" t="s">
        <v>297</v>
      </c>
      <c r="C299" s="2">
        <v>18502</v>
      </c>
      <c r="D299" s="8">
        <v>1.5990000000000001E-5</v>
      </c>
    </row>
    <row r="300" spans="1:4" x14ac:dyDescent="0.2">
      <c r="A300" s="1">
        <v>2021</v>
      </c>
      <c r="B300" s="1" t="s">
        <v>298</v>
      </c>
      <c r="C300" s="2">
        <v>1160975</v>
      </c>
      <c r="D300" s="8">
        <v>1.0035000000000001E-3</v>
      </c>
    </row>
    <row r="301" spans="1:4" x14ac:dyDescent="0.2">
      <c r="A301" s="1">
        <v>2021</v>
      </c>
      <c r="B301" s="1" t="s">
        <v>299</v>
      </c>
      <c r="C301" s="2">
        <v>540243</v>
      </c>
      <c r="D301" s="8">
        <v>4.6696999999999998E-4</v>
      </c>
    </row>
    <row r="302" spans="1:4" x14ac:dyDescent="0.2">
      <c r="A302" s="1">
        <v>2021</v>
      </c>
      <c r="B302" s="1" t="s">
        <v>300</v>
      </c>
      <c r="C302" s="2">
        <v>802700</v>
      </c>
      <c r="D302" s="8">
        <v>6.9382000000000005E-4</v>
      </c>
    </row>
    <row r="303" spans="1:4" x14ac:dyDescent="0.2">
      <c r="A303" s="1">
        <v>2021</v>
      </c>
      <c r="B303" s="1" t="s">
        <v>873</v>
      </c>
      <c r="C303" s="2">
        <v>4984</v>
      </c>
      <c r="D303" s="8">
        <v>4.3100000000000002E-6</v>
      </c>
    </row>
    <row r="304" spans="1:4" x14ac:dyDescent="0.2">
      <c r="A304" s="1">
        <v>2021</v>
      </c>
      <c r="B304" s="1" t="s">
        <v>301</v>
      </c>
      <c r="C304" s="2">
        <v>3582903</v>
      </c>
      <c r="D304" s="8">
        <v>3.09692E-3</v>
      </c>
    </row>
    <row r="305" spans="1:4" x14ac:dyDescent="0.2">
      <c r="A305" s="1">
        <v>2021</v>
      </c>
      <c r="B305" s="1" t="s">
        <v>302</v>
      </c>
      <c r="C305" s="2">
        <v>2522543</v>
      </c>
      <c r="D305" s="8">
        <v>2.1803899999999999E-3</v>
      </c>
    </row>
    <row r="306" spans="1:4" x14ac:dyDescent="0.2">
      <c r="A306" s="1">
        <v>2021</v>
      </c>
      <c r="B306" s="1" t="s">
        <v>303</v>
      </c>
      <c r="C306" s="2">
        <v>1471415</v>
      </c>
      <c r="D306" s="8">
        <v>1.2718300000000001E-3</v>
      </c>
    </row>
    <row r="307" spans="1:4" x14ac:dyDescent="0.2">
      <c r="A307" s="1">
        <v>2021</v>
      </c>
      <c r="B307" s="1" t="s">
        <v>304</v>
      </c>
      <c r="C307" s="2">
        <v>36825</v>
      </c>
      <c r="D307" s="8">
        <v>3.1829999999999998E-5</v>
      </c>
    </row>
    <row r="308" spans="1:4" x14ac:dyDescent="0.2">
      <c r="A308" s="1">
        <v>2021</v>
      </c>
      <c r="B308" s="1" t="s">
        <v>305</v>
      </c>
      <c r="C308" s="2">
        <v>1477576</v>
      </c>
      <c r="D308" s="8">
        <v>1.2771600000000001E-3</v>
      </c>
    </row>
    <row r="309" spans="1:4" x14ac:dyDescent="0.2">
      <c r="A309" s="1">
        <v>2021</v>
      </c>
      <c r="B309" s="1" t="s">
        <v>909</v>
      </c>
      <c r="C309" s="2">
        <v>1536032</v>
      </c>
      <c r="D309" s="8">
        <v>1.3276900000000001E-3</v>
      </c>
    </row>
    <row r="310" spans="1:4" x14ac:dyDescent="0.2">
      <c r="A310" s="1">
        <v>2021</v>
      </c>
      <c r="B310" s="1" t="s">
        <v>306</v>
      </c>
      <c r="C310" s="2">
        <v>197837</v>
      </c>
      <c r="D310" s="8">
        <v>1.7100000000000001E-4</v>
      </c>
    </row>
    <row r="311" spans="1:4" x14ac:dyDescent="0.2">
      <c r="A311" s="1">
        <v>2021</v>
      </c>
      <c r="B311" s="1" t="s">
        <v>308</v>
      </c>
      <c r="C311" s="2">
        <v>1559188</v>
      </c>
      <c r="D311" s="8">
        <v>1.3477000000000001E-3</v>
      </c>
    </row>
    <row r="312" spans="1:4" x14ac:dyDescent="0.2">
      <c r="A312" s="1">
        <v>2021</v>
      </c>
      <c r="B312" s="1" t="s">
        <v>309</v>
      </c>
      <c r="C312" s="2">
        <v>635920</v>
      </c>
      <c r="D312" s="8">
        <v>5.4965999999999999E-4</v>
      </c>
    </row>
    <row r="313" spans="1:4" x14ac:dyDescent="0.2">
      <c r="A313" s="1">
        <v>2021</v>
      </c>
      <c r="B313" s="1" t="s">
        <v>310</v>
      </c>
      <c r="C313" s="2">
        <v>10457</v>
      </c>
      <c r="D313" s="8">
        <v>9.0399999999999998E-6</v>
      </c>
    </row>
    <row r="314" spans="1:4" x14ac:dyDescent="0.2">
      <c r="A314" s="1">
        <v>2021</v>
      </c>
      <c r="B314" s="1" t="s">
        <v>311</v>
      </c>
      <c r="C314" s="2">
        <v>528805</v>
      </c>
      <c r="D314" s="8">
        <v>4.5708000000000001E-4</v>
      </c>
    </row>
    <row r="315" spans="1:4" x14ac:dyDescent="0.2">
      <c r="A315" s="1">
        <v>2021</v>
      </c>
      <c r="B315" s="1" t="s">
        <v>312</v>
      </c>
      <c r="C315" s="2">
        <v>418954</v>
      </c>
      <c r="D315" s="8">
        <v>3.6213E-4</v>
      </c>
    </row>
    <row r="316" spans="1:4" x14ac:dyDescent="0.2">
      <c r="A316" s="1">
        <v>2021</v>
      </c>
      <c r="B316" s="1" t="s">
        <v>313</v>
      </c>
      <c r="C316" s="2">
        <v>1334847</v>
      </c>
      <c r="D316" s="8">
        <v>1.15379E-3</v>
      </c>
    </row>
    <row r="317" spans="1:4" x14ac:dyDescent="0.2">
      <c r="A317" s="1">
        <v>2021</v>
      </c>
      <c r="B317" s="1" t="s">
        <v>314</v>
      </c>
      <c r="C317" s="2">
        <v>1096750</v>
      </c>
      <c r="D317" s="8">
        <v>9.4799000000000001E-4</v>
      </c>
    </row>
    <row r="318" spans="1:4" x14ac:dyDescent="0.2">
      <c r="A318" s="1">
        <v>2021</v>
      </c>
      <c r="B318" s="1" t="s">
        <v>315</v>
      </c>
      <c r="C318" s="2">
        <v>56888</v>
      </c>
      <c r="D318" s="8">
        <v>4.9169999999999998E-5</v>
      </c>
    </row>
    <row r="319" spans="1:4" x14ac:dyDescent="0.2">
      <c r="A319" s="1">
        <v>2021</v>
      </c>
      <c r="B319" s="1" t="s">
        <v>316</v>
      </c>
      <c r="C319" s="2">
        <v>312533</v>
      </c>
      <c r="D319" s="8">
        <v>2.7013999999999999E-4</v>
      </c>
    </row>
    <row r="320" spans="1:4" x14ac:dyDescent="0.2">
      <c r="A320" s="1">
        <v>2021</v>
      </c>
      <c r="B320" s="1" t="s">
        <v>317</v>
      </c>
      <c r="C320" s="2">
        <v>3143909</v>
      </c>
      <c r="D320" s="8">
        <v>2.71747E-3</v>
      </c>
    </row>
    <row r="321" spans="1:4" x14ac:dyDescent="0.2">
      <c r="A321" s="1">
        <v>2021</v>
      </c>
      <c r="B321" s="1" t="s">
        <v>318</v>
      </c>
      <c r="C321" s="2">
        <v>714848</v>
      </c>
      <c r="D321" s="8">
        <v>6.1788999999999995E-4</v>
      </c>
    </row>
    <row r="322" spans="1:4" x14ac:dyDescent="0.2">
      <c r="A322" s="1">
        <v>2021</v>
      </c>
      <c r="B322" s="1" t="s">
        <v>319</v>
      </c>
      <c r="C322" s="1">
        <v>654</v>
      </c>
      <c r="D322" s="8">
        <v>5.7000000000000005E-7</v>
      </c>
    </row>
    <row r="323" spans="1:4" x14ac:dyDescent="0.2">
      <c r="A323" s="1">
        <v>2021</v>
      </c>
      <c r="B323" s="1" t="s">
        <v>320</v>
      </c>
      <c r="C323" s="2">
        <v>3903351</v>
      </c>
      <c r="D323" s="8">
        <v>3.3739099999999999E-3</v>
      </c>
    </row>
    <row r="324" spans="1:4" x14ac:dyDescent="0.2">
      <c r="A324" s="1">
        <v>2021</v>
      </c>
      <c r="B324" s="1" t="s">
        <v>321</v>
      </c>
      <c r="C324" s="2">
        <v>76980</v>
      </c>
      <c r="D324" s="8">
        <v>6.6539999999999997E-5</v>
      </c>
    </row>
    <row r="325" spans="1:4" x14ac:dyDescent="0.2">
      <c r="A325" s="1">
        <v>2021</v>
      </c>
      <c r="B325" s="1" t="s">
        <v>322</v>
      </c>
      <c r="C325" s="2">
        <v>23315</v>
      </c>
      <c r="D325" s="8">
        <v>2.0149999999999999E-5</v>
      </c>
    </row>
    <row r="326" spans="1:4" x14ac:dyDescent="0.2">
      <c r="A326" s="1">
        <v>2021</v>
      </c>
      <c r="B326" s="1" t="s">
        <v>323</v>
      </c>
      <c r="C326" s="2">
        <v>247355</v>
      </c>
      <c r="D326" s="8">
        <v>2.1379999999999999E-4</v>
      </c>
    </row>
    <row r="327" spans="1:4" x14ac:dyDescent="0.2">
      <c r="A327" s="1">
        <v>2021</v>
      </c>
      <c r="B327" s="1" t="s">
        <v>324</v>
      </c>
      <c r="C327" s="2">
        <v>26695</v>
      </c>
      <c r="D327" s="8">
        <v>2.3070000000000001E-5</v>
      </c>
    </row>
    <row r="328" spans="1:4" x14ac:dyDescent="0.2">
      <c r="A328" s="1">
        <v>2021</v>
      </c>
      <c r="B328" s="1" t="s">
        <v>325</v>
      </c>
      <c r="C328" s="2">
        <v>9978415</v>
      </c>
      <c r="D328" s="8">
        <v>8.6249599999999992E-3</v>
      </c>
    </row>
    <row r="329" spans="1:4" x14ac:dyDescent="0.2">
      <c r="A329" s="1">
        <v>2021</v>
      </c>
      <c r="B329" s="1" t="s">
        <v>326</v>
      </c>
      <c r="C329" s="2">
        <v>897281</v>
      </c>
      <c r="D329" s="8">
        <v>7.7558E-4</v>
      </c>
    </row>
    <row r="330" spans="1:4" x14ac:dyDescent="0.2">
      <c r="A330" s="1">
        <v>2021</v>
      </c>
      <c r="B330" s="1" t="s">
        <v>327</v>
      </c>
      <c r="C330" s="2">
        <v>9555400</v>
      </c>
      <c r="D330" s="8">
        <v>8.2593200000000006E-3</v>
      </c>
    </row>
    <row r="331" spans="1:4" x14ac:dyDescent="0.2">
      <c r="A331" s="1">
        <v>2021</v>
      </c>
      <c r="B331" s="1" t="s">
        <v>328</v>
      </c>
      <c r="C331" s="2">
        <v>6012771</v>
      </c>
      <c r="D331" s="8">
        <v>5.1972099999999999E-3</v>
      </c>
    </row>
    <row r="332" spans="1:4" x14ac:dyDescent="0.2">
      <c r="A332" s="1">
        <v>2021</v>
      </c>
      <c r="B332" s="1" t="s">
        <v>329</v>
      </c>
      <c r="C332" s="2">
        <v>80992</v>
      </c>
      <c r="D332" s="8">
        <v>7.0010000000000002E-5</v>
      </c>
    </row>
    <row r="333" spans="1:4" x14ac:dyDescent="0.2">
      <c r="A333" s="1">
        <v>2021</v>
      </c>
      <c r="B333" s="1" t="s">
        <v>330</v>
      </c>
      <c r="C333" s="2">
        <v>149009</v>
      </c>
      <c r="D333" s="8">
        <v>1.2879999999999999E-4</v>
      </c>
    </row>
    <row r="334" spans="1:4" x14ac:dyDescent="0.2">
      <c r="A334" s="1">
        <v>2021</v>
      </c>
      <c r="B334" s="1" t="s">
        <v>331</v>
      </c>
      <c r="C334" s="2">
        <v>26641</v>
      </c>
      <c r="D334" s="8">
        <v>2.3030000000000001E-5</v>
      </c>
    </row>
    <row r="335" spans="1:4" x14ac:dyDescent="0.2">
      <c r="A335" s="1">
        <v>2021</v>
      </c>
      <c r="B335" s="1" t="s">
        <v>332</v>
      </c>
      <c r="C335" s="2">
        <v>29624</v>
      </c>
      <c r="D335" s="8">
        <v>2.561E-5</v>
      </c>
    </row>
    <row r="336" spans="1:4" x14ac:dyDescent="0.2">
      <c r="A336" s="1">
        <v>2021</v>
      </c>
      <c r="B336" s="1" t="s">
        <v>333</v>
      </c>
      <c r="C336" s="2">
        <v>550572</v>
      </c>
      <c r="D336" s="8">
        <v>4.7589000000000003E-4</v>
      </c>
    </row>
    <row r="337" spans="1:4" x14ac:dyDescent="0.2">
      <c r="A337" s="1">
        <v>2021</v>
      </c>
      <c r="B337" s="1" t="s">
        <v>334</v>
      </c>
      <c r="C337" s="2">
        <v>93824</v>
      </c>
      <c r="D337" s="8">
        <v>8.1100000000000006E-5</v>
      </c>
    </row>
    <row r="338" spans="1:4" x14ac:dyDescent="0.2">
      <c r="A338" s="1">
        <v>2021</v>
      </c>
      <c r="B338" s="1" t="s">
        <v>335</v>
      </c>
      <c r="C338" s="2">
        <v>23739266</v>
      </c>
      <c r="D338" s="8">
        <v>2.0519309999999999E-2</v>
      </c>
    </row>
    <row r="339" spans="1:4" x14ac:dyDescent="0.2">
      <c r="A339" s="1">
        <v>2021</v>
      </c>
      <c r="B339" s="1" t="s">
        <v>336</v>
      </c>
      <c r="C339" s="2">
        <v>953177</v>
      </c>
      <c r="D339" s="8">
        <v>8.2388999999999997E-4</v>
      </c>
    </row>
    <row r="340" spans="1:4" x14ac:dyDescent="0.2">
      <c r="A340" s="1">
        <v>2021</v>
      </c>
      <c r="B340" s="1" t="s">
        <v>337</v>
      </c>
      <c r="C340" s="2">
        <v>7764695</v>
      </c>
      <c r="D340" s="8">
        <v>6.7114999999999996E-3</v>
      </c>
    </row>
    <row r="341" spans="1:4" x14ac:dyDescent="0.2">
      <c r="A341" s="1">
        <v>2021</v>
      </c>
      <c r="B341" s="1" t="s">
        <v>338</v>
      </c>
      <c r="C341" s="2">
        <v>315102</v>
      </c>
      <c r="D341" s="8">
        <v>2.7235999999999997E-4</v>
      </c>
    </row>
    <row r="342" spans="1:4" x14ac:dyDescent="0.2">
      <c r="A342" s="1">
        <v>2021</v>
      </c>
      <c r="B342" s="1" t="s">
        <v>339</v>
      </c>
      <c r="C342" s="2">
        <v>393004</v>
      </c>
      <c r="D342" s="8">
        <v>3.3970000000000002E-4</v>
      </c>
    </row>
    <row r="343" spans="1:4" x14ac:dyDescent="0.2">
      <c r="A343" s="1">
        <v>2021</v>
      </c>
      <c r="B343" s="1" t="s">
        <v>340</v>
      </c>
      <c r="C343" s="2">
        <v>888877</v>
      </c>
      <c r="D343" s="8">
        <v>7.6831000000000002E-4</v>
      </c>
    </row>
    <row r="344" spans="1:4" x14ac:dyDescent="0.2">
      <c r="A344" s="1">
        <v>2021</v>
      </c>
      <c r="B344" s="1" t="s">
        <v>341</v>
      </c>
      <c r="C344" s="2">
        <v>498337</v>
      </c>
      <c r="D344" s="8">
        <v>4.3073999999999999E-4</v>
      </c>
    </row>
    <row r="345" spans="1:4" x14ac:dyDescent="0.2">
      <c r="A345" s="1">
        <v>2021</v>
      </c>
      <c r="B345" s="1" t="s">
        <v>342</v>
      </c>
      <c r="C345" s="2">
        <v>1240304</v>
      </c>
      <c r="D345" s="8">
        <v>1.0720700000000001E-3</v>
      </c>
    </row>
    <row r="346" spans="1:4" x14ac:dyDescent="0.2">
      <c r="A346" s="1">
        <v>2021</v>
      </c>
      <c r="B346" s="1" t="s">
        <v>343</v>
      </c>
      <c r="C346" s="2">
        <v>587005</v>
      </c>
      <c r="D346" s="8">
        <v>5.0737999999999998E-4</v>
      </c>
    </row>
    <row r="347" spans="1:4" x14ac:dyDescent="0.2">
      <c r="A347" s="1">
        <v>2021</v>
      </c>
      <c r="B347" s="1" t="s">
        <v>344</v>
      </c>
      <c r="C347" s="2">
        <v>424699</v>
      </c>
      <c r="D347" s="8">
        <v>3.6708999999999998E-4</v>
      </c>
    </row>
    <row r="348" spans="1:4" x14ac:dyDescent="0.2">
      <c r="A348" s="1">
        <v>2021</v>
      </c>
      <c r="B348" s="1" t="s">
        <v>345</v>
      </c>
      <c r="C348" s="2">
        <v>1494275</v>
      </c>
      <c r="D348" s="8">
        <v>1.29159E-3</v>
      </c>
    </row>
    <row r="349" spans="1:4" x14ac:dyDescent="0.2">
      <c r="A349" s="1">
        <v>2021</v>
      </c>
      <c r="B349" s="1" t="s">
        <v>346</v>
      </c>
      <c r="C349" s="2">
        <v>19765</v>
      </c>
      <c r="D349" s="8">
        <v>1.7079999999999999E-5</v>
      </c>
    </row>
    <row r="350" spans="1:4" x14ac:dyDescent="0.2">
      <c r="A350" s="1">
        <v>2021</v>
      </c>
      <c r="B350" s="1" t="s">
        <v>347</v>
      </c>
      <c r="C350" s="2">
        <v>412325</v>
      </c>
      <c r="D350" s="8">
        <v>3.5639999999999999E-4</v>
      </c>
    </row>
    <row r="351" spans="1:4" x14ac:dyDescent="0.2">
      <c r="A351" s="1">
        <v>2021</v>
      </c>
      <c r="B351" s="1" t="s">
        <v>348</v>
      </c>
      <c r="C351" s="2">
        <v>7412109</v>
      </c>
      <c r="D351" s="8">
        <v>6.4067400000000002E-3</v>
      </c>
    </row>
    <row r="352" spans="1:4" x14ac:dyDescent="0.2">
      <c r="A352" s="1">
        <v>2021</v>
      </c>
      <c r="B352" s="1" t="s">
        <v>349</v>
      </c>
      <c r="C352" s="2">
        <v>2608562</v>
      </c>
      <c r="D352" s="8">
        <v>2.2547399999999999E-3</v>
      </c>
    </row>
    <row r="353" spans="1:4" x14ac:dyDescent="0.2">
      <c r="A353" s="1">
        <v>2021</v>
      </c>
      <c r="B353" s="1" t="s">
        <v>350</v>
      </c>
      <c r="C353" s="2">
        <v>3452003</v>
      </c>
      <c r="D353" s="8">
        <v>2.9837800000000001E-3</v>
      </c>
    </row>
    <row r="354" spans="1:4" x14ac:dyDescent="0.2">
      <c r="A354" s="1">
        <v>2021</v>
      </c>
      <c r="B354" s="1" t="s">
        <v>351</v>
      </c>
      <c r="C354" s="2">
        <v>35809</v>
      </c>
      <c r="D354" s="8">
        <v>3.095E-5</v>
      </c>
    </row>
    <row r="355" spans="1:4" x14ac:dyDescent="0.2">
      <c r="A355" s="1">
        <v>2021</v>
      </c>
      <c r="B355" s="1" t="s">
        <v>352</v>
      </c>
      <c r="C355" s="2">
        <v>55155</v>
      </c>
      <c r="D355" s="8">
        <v>4.7670000000000003E-5</v>
      </c>
    </row>
    <row r="356" spans="1:4" x14ac:dyDescent="0.2">
      <c r="A356" s="1">
        <v>2021</v>
      </c>
      <c r="B356" s="1" t="s">
        <v>353</v>
      </c>
      <c r="C356" s="2">
        <v>6013</v>
      </c>
      <c r="D356" s="8">
        <v>5.2000000000000002E-6</v>
      </c>
    </row>
    <row r="357" spans="1:4" x14ac:dyDescent="0.2">
      <c r="A357" s="1">
        <v>2021</v>
      </c>
      <c r="B357" s="1" t="s">
        <v>354</v>
      </c>
      <c r="C357" s="2">
        <v>1343866</v>
      </c>
      <c r="D357" s="8">
        <v>1.1615900000000001E-3</v>
      </c>
    </row>
    <row r="358" spans="1:4" x14ac:dyDescent="0.2">
      <c r="A358" s="1">
        <v>2021</v>
      </c>
      <c r="B358" s="1" t="s">
        <v>355</v>
      </c>
      <c r="C358" s="2">
        <v>734637</v>
      </c>
      <c r="D358" s="8">
        <v>6.3498999999999999E-4</v>
      </c>
    </row>
    <row r="359" spans="1:4" x14ac:dyDescent="0.2">
      <c r="A359" s="1">
        <v>2021</v>
      </c>
      <c r="B359" s="1" t="s">
        <v>356</v>
      </c>
      <c r="C359" s="2">
        <v>29128</v>
      </c>
      <c r="D359" s="8">
        <v>2.5179999999999999E-5</v>
      </c>
    </row>
    <row r="360" spans="1:4" x14ac:dyDescent="0.2">
      <c r="A360" s="1">
        <v>2021</v>
      </c>
      <c r="B360" s="1" t="s">
        <v>357</v>
      </c>
      <c r="C360" s="2">
        <v>34253</v>
      </c>
      <c r="D360" s="8">
        <v>2.9609999999999999E-5</v>
      </c>
    </row>
    <row r="361" spans="1:4" x14ac:dyDescent="0.2">
      <c r="A361" s="1">
        <v>2021</v>
      </c>
      <c r="B361" s="1" t="s">
        <v>358</v>
      </c>
      <c r="C361" s="2">
        <v>51963</v>
      </c>
      <c r="D361" s="8">
        <v>4.4910000000000002E-5</v>
      </c>
    </row>
    <row r="362" spans="1:4" x14ac:dyDescent="0.2">
      <c r="A362" s="1">
        <v>2021</v>
      </c>
      <c r="B362" s="1" t="s">
        <v>359</v>
      </c>
      <c r="C362" s="2">
        <v>447457</v>
      </c>
      <c r="D362" s="8">
        <v>3.8675999999999999E-4</v>
      </c>
    </row>
    <row r="363" spans="1:4" x14ac:dyDescent="0.2">
      <c r="A363" s="1">
        <v>2021</v>
      </c>
      <c r="B363" s="1" t="s">
        <v>360</v>
      </c>
      <c r="C363" s="2">
        <v>2075713</v>
      </c>
      <c r="D363" s="8">
        <v>1.7941700000000001E-3</v>
      </c>
    </row>
    <row r="364" spans="1:4" x14ac:dyDescent="0.2">
      <c r="A364" s="1">
        <v>2021</v>
      </c>
      <c r="B364" s="1" t="s">
        <v>361</v>
      </c>
      <c r="C364" s="2">
        <v>264229</v>
      </c>
      <c r="D364" s="8">
        <v>2.2839E-4</v>
      </c>
    </row>
    <row r="365" spans="1:4" x14ac:dyDescent="0.2">
      <c r="A365" s="1">
        <v>2021</v>
      </c>
      <c r="B365" s="1" t="s">
        <v>362</v>
      </c>
      <c r="C365" s="2">
        <v>2879759</v>
      </c>
      <c r="D365" s="8">
        <v>2.4891499999999999E-3</v>
      </c>
    </row>
    <row r="366" spans="1:4" x14ac:dyDescent="0.2">
      <c r="A366" s="1">
        <v>2021</v>
      </c>
      <c r="B366" s="1" t="s">
        <v>363</v>
      </c>
      <c r="C366" s="2">
        <v>1955703</v>
      </c>
      <c r="D366" s="8">
        <v>1.6904299999999999E-3</v>
      </c>
    </row>
    <row r="367" spans="1:4" x14ac:dyDescent="0.2">
      <c r="A367" s="1">
        <v>2021</v>
      </c>
      <c r="B367" s="1" t="s">
        <v>364</v>
      </c>
      <c r="C367" s="2">
        <v>3054</v>
      </c>
      <c r="D367" s="8">
        <v>2.6400000000000001E-6</v>
      </c>
    </row>
    <row r="368" spans="1:4" x14ac:dyDescent="0.2">
      <c r="A368" s="1">
        <v>2021</v>
      </c>
      <c r="B368" s="1" t="s">
        <v>365</v>
      </c>
      <c r="C368" s="2">
        <v>36576</v>
      </c>
      <c r="D368" s="8">
        <v>3.1609999999999997E-5</v>
      </c>
    </row>
    <row r="369" spans="1:4" x14ac:dyDescent="0.2">
      <c r="A369" s="1">
        <v>2021</v>
      </c>
      <c r="B369" s="1" t="s">
        <v>366</v>
      </c>
      <c r="C369" s="2">
        <v>10122409</v>
      </c>
      <c r="D369" s="8">
        <v>8.7494200000000008E-3</v>
      </c>
    </row>
    <row r="370" spans="1:4" x14ac:dyDescent="0.2">
      <c r="A370" s="1">
        <v>2021</v>
      </c>
      <c r="B370" s="1" t="s">
        <v>367</v>
      </c>
      <c r="C370" s="2">
        <v>9616</v>
      </c>
      <c r="D370" s="8">
        <v>8.3100000000000001E-6</v>
      </c>
    </row>
    <row r="371" spans="1:4" x14ac:dyDescent="0.2">
      <c r="A371" s="1">
        <v>2021</v>
      </c>
      <c r="B371" s="1" t="s">
        <v>368</v>
      </c>
      <c r="C371" s="2">
        <v>2545356</v>
      </c>
      <c r="D371" s="8">
        <v>2.2001099999999999E-3</v>
      </c>
    </row>
    <row r="372" spans="1:4" x14ac:dyDescent="0.2">
      <c r="A372" s="1">
        <v>2021</v>
      </c>
      <c r="B372" s="1" t="s">
        <v>369</v>
      </c>
      <c r="C372" s="2">
        <v>85175</v>
      </c>
      <c r="D372" s="8">
        <v>7.3620000000000003E-5</v>
      </c>
    </row>
    <row r="373" spans="1:4" x14ac:dyDescent="0.2">
      <c r="A373" s="1">
        <v>2021</v>
      </c>
      <c r="B373" s="1" t="s">
        <v>370</v>
      </c>
      <c r="C373" s="2">
        <v>36448</v>
      </c>
      <c r="D373" s="8">
        <v>3.15E-5</v>
      </c>
    </row>
    <row r="374" spans="1:4" x14ac:dyDescent="0.2">
      <c r="A374" s="1">
        <v>2021</v>
      </c>
      <c r="B374" s="1" t="s">
        <v>371</v>
      </c>
      <c r="C374" s="2">
        <v>5896098</v>
      </c>
      <c r="D374" s="8">
        <v>5.0963600000000003E-3</v>
      </c>
    </row>
    <row r="375" spans="1:4" x14ac:dyDescent="0.2">
      <c r="A375" s="1">
        <v>2021</v>
      </c>
      <c r="B375" s="1" t="s">
        <v>372</v>
      </c>
      <c r="C375" s="2">
        <v>2185962</v>
      </c>
      <c r="D375" s="8">
        <v>1.8894599999999999E-3</v>
      </c>
    </row>
    <row r="376" spans="1:4" x14ac:dyDescent="0.2">
      <c r="A376" s="1">
        <v>2021</v>
      </c>
      <c r="B376" s="1" t="s">
        <v>373</v>
      </c>
      <c r="C376" s="2">
        <v>494646</v>
      </c>
      <c r="D376" s="8">
        <v>4.2755000000000001E-4</v>
      </c>
    </row>
    <row r="377" spans="1:4" x14ac:dyDescent="0.2">
      <c r="A377" s="1">
        <v>2021</v>
      </c>
      <c r="B377" s="1" t="s">
        <v>910</v>
      </c>
      <c r="C377" s="1">
        <v>367</v>
      </c>
      <c r="D377" s="8">
        <v>3.2000000000000001E-7</v>
      </c>
    </row>
    <row r="378" spans="1:4" x14ac:dyDescent="0.2">
      <c r="A378" s="1">
        <v>2021</v>
      </c>
      <c r="B378" s="1" t="s">
        <v>374</v>
      </c>
      <c r="C378" s="2">
        <v>29354</v>
      </c>
      <c r="D378" s="8">
        <v>2.5369999999999999E-5</v>
      </c>
    </row>
    <row r="379" spans="1:4" x14ac:dyDescent="0.2">
      <c r="A379" s="1">
        <v>2021</v>
      </c>
      <c r="B379" s="1" t="s">
        <v>375</v>
      </c>
      <c r="C379" s="2">
        <v>1640412</v>
      </c>
      <c r="D379" s="8">
        <v>1.4179100000000001E-3</v>
      </c>
    </row>
    <row r="380" spans="1:4" x14ac:dyDescent="0.2">
      <c r="A380" s="1">
        <v>2021</v>
      </c>
      <c r="B380" s="1" t="s">
        <v>376</v>
      </c>
      <c r="C380" s="2">
        <v>162328</v>
      </c>
      <c r="D380" s="8">
        <v>1.4030999999999999E-4</v>
      </c>
    </row>
    <row r="381" spans="1:4" x14ac:dyDescent="0.2">
      <c r="A381" s="1">
        <v>2021</v>
      </c>
      <c r="B381" s="1" t="s">
        <v>377</v>
      </c>
      <c r="C381" s="2">
        <v>2906282</v>
      </c>
      <c r="D381" s="8">
        <v>2.5120799999999999E-3</v>
      </c>
    </row>
    <row r="382" spans="1:4" x14ac:dyDescent="0.2">
      <c r="A382" s="1">
        <v>2021</v>
      </c>
      <c r="B382" s="1" t="s">
        <v>378</v>
      </c>
      <c r="C382" s="2">
        <v>60041</v>
      </c>
      <c r="D382" s="8">
        <v>5.1900000000000001E-5</v>
      </c>
    </row>
    <row r="383" spans="1:4" x14ac:dyDescent="0.2">
      <c r="A383" s="1">
        <v>2021</v>
      </c>
      <c r="B383" s="1" t="s">
        <v>379</v>
      </c>
      <c r="C383" s="2">
        <v>1933855</v>
      </c>
      <c r="D383" s="8">
        <v>1.6715499999999999E-3</v>
      </c>
    </row>
    <row r="384" spans="1:4" x14ac:dyDescent="0.2">
      <c r="A384" s="1">
        <v>2021</v>
      </c>
      <c r="B384" s="1" t="s">
        <v>380</v>
      </c>
      <c r="C384" s="2">
        <v>526165</v>
      </c>
      <c r="D384" s="8">
        <v>4.548E-4</v>
      </c>
    </row>
    <row r="385" spans="1:4" x14ac:dyDescent="0.2">
      <c r="A385" s="1">
        <v>2021</v>
      </c>
      <c r="B385" s="1" t="s">
        <v>381</v>
      </c>
      <c r="C385" s="2">
        <v>2476010</v>
      </c>
      <c r="D385" s="8">
        <v>2.1401699999999998E-3</v>
      </c>
    </row>
    <row r="386" spans="1:4" x14ac:dyDescent="0.2">
      <c r="A386" s="1">
        <v>2021</v>
      </c>
      <c r="B386" s="1" t="s">
        <v>382</v>
      </c>
      <c r="C386" s="2">
        <v>870498</v>
      </c>
      <c r="D386" s="8">
        <v>7.5243E-4</v>
      </c>
    </row>
    <row r="387" spans="1:4" x14ac:dyDescent="0.2">
      <c r="A387" s="1">
        <v>2021</v>
      </c>
      <c r="B387" s="1" t="s">
        <v>383</v>
      </c>
      <c r="C387" s="2">
        <v>43626</v>
      </c>
      <c r="D387" s="8">
        <v>3.7710000000000003E-5</v>
      </c>
    </row>
    <row r="388" spans="1:4" x14ac:dyDescent="0.2">
      <c r="A388" s="1">
        <v>2021</v>
      </c>
      <c r="B388" s="1" t="s">
        <v>384</v>
      </c>
      <c r="C388" s="2">
        <v>2339741</v>
      </c>
      <c r="D388" s="8">
        <v>2.0223799999999998E-3</v>
      </c>
    </row>
    <row r="389" spans="1:4" x14ac:dyDescent="0.2">
      <c r="A389" s="1">
        <v>2021</v>
      </c>
      <c r="B389" s="1" t="s">
        <v>385</v>
      </c>
      <c r="C389" s="2">
        <v>10905</v>
      </c>
      <c r="D389" s="8">
        <v>9.4299999999999995E-6</v>
      </c>
    </row>
    <row r="390" spans="1:4" x14ac:dyDescent="0.2">
      <c r="A390" s="1">
        <v>2021</v>
      </c>
      <c r="B390" s="1" t="s">
        <v>386</v>
      </c>
      <c r="C390" s="2">
        <v>6430683</v>
      </c>
      <c r="D390" s="8">
        <v>5.5584299999999996E-3</v>
      </c>
    </row>
    <row r="391" spans="1:4" x14ac:dyDescent="0.2">
      <c r="A391" s="1">
        <v>2021</v>
      </c>
      <c r="B391" s="1" t="s">
        <v>387</v>
      </c>
      <c r="C391" s="2">
        <v>136857</v>
      </c>
      <c r="D391" s="8">
        <v>1.1828999999999999E-4</v>
      </c>
    </row>
    <row r="392" spans="1:4" x14ac:dyDescent="0.2">
      <c r="A392" s="1">
        <v>2021</v>
      </c>
      <c r="B392" s="1" t="s">
        <v>388</v>
      </c>
      <c r="C392" s="2">
        <v>1256409</v>
      </c>
      <c r="D392" s="8">
        <v>1.08599E-3</v>
      </c>
    </row>
    <row r="393" spans="1:4" x14ac:dyDescent="0.2">
      <c r="A393" s="1">
        <v>2021</v>
      </c>
      <c r="B393" s="1" t="s">
        <v>389</v>
      </c>
      <c r="C393" s="2">
        <v>71543</v>
      </c>
      <c r="D393" s="8">
        <v>6.1840000000000004E-5</v>
      </c>
    </row>
    <row r="394" spans="1:4" x14ac:dyDescent="0.2">
      <c r="A394" s="1">
        <v>2021</v>
      </c>
      <c r="B394" s="1" t="s">
        <v>390</v>
      </c>
      <c r="C394" s="2">
        <v>284767</v>
      </c>
      <c r="D394" s="8">
        <v>2.4614E-4</v>
      </c>
    </row>
    <row r="395" spans="1:4" x14ac:dyDescent="0.2">
      <c r="A395" s="1">
        <v>2021</v>
      </c>
      <c r="B395" s="1" t="s">
        <v>391</v>
      </c>
      <c r="C395" s="2">
        <v>14133</v>
      </c>
      <c r="D395" s="8">
        <v>1.222E-5</v>
      </c>
    </row>
    <row r="396" spans="1:4" x14ac:dyDescent="0.2">
      <c r="A396" s="1">
        <v>2021</v>
      </c>
      <c r="B396" s="1" t="s">
        <v>392</v>
      </c>
      <c r="C396" s="2">
        <v>281488</v>
      </c>
      <c r="D396" s="8">
        <v>2.4331E-4</v>
      </c>
    </row>
    <row r="397" spans="1:4" x14ac:dyDescent="0.2">
      <c r="A397" s="1">
        <v>2021</v>
      </c>
      <c r="B397" s="1" t="s">
        <v>393</v>
      </c>
      <c r="C397" s="2">
        <v>832094</v>
      </c>
      <c r="D397" s="8">
        <v>7.1922999999999996E-4</v>
      </c>
    </row>
    <row r="398" spans="1:4" x14ac:dyDescent="0.2">
      <c r="A398" s="1">
        <v>2021</v>
      </c>
      <c r="B398" s="1" t="s">
        <v>394</v>
      </c>
      <c r="C398" s="2">
        <v>2405</v>
      </c>
      <c r="D398" s="8">
        <v>2.08E-6</v>
      </c>
    </row>
    <row r="399" spans="1:4" x14ac:dyDescent="0.2">
      <c r="A399" s="1">
        <v>2021</v>
      </c>
      <c r="B399" s="1" t="s">
        <v>395</v>
      </c>
      <c r="C399" s="2">
        <v>204553</v>
      </c>
      <c r="D399" s="8">
        <v>1.7681000000000001E-4</v>
      </c>
    </row>
    <row r="400" spans="1:4" x14ac:dyDescent="0.2">
      <c r="A400" s="1">
        <v>2021</v>
      </c>
      <c r="B400" s="1" t="s">
        <v>396</v>
      </c>
      <c r="C400" s="2">
        <v>159839</v>
      </c>
      <c r="D400" s="8">
        <v>1.3815999999999999E-4</v>
      </c>
    </row>
    <row r="401" spans="1:4" x14ac:dyDescent="0.2">
      <c r="A401" s="1">
        <v>2021</v>
      </c>
      <c r="B401" s="1" t="s">
        <v>397</v>
      </c>
      <c r="C401" s="2">
        <v>86096</v>
      </c>
      <c r="D401" s="8">
        <v>7.4419999999999996E-5</v>
      </c>
    </row>
    <row r="402" spans="1:4" x14ac:dyDescent="0.2">
      <c r="A402" s="1">
        <v>2021</v>
      </c>
      <c r="B402" s="1" t="s">
        <v>398</v>
      </c>
      <c r="C402" s="2">
        <v>63666</v>
      </c>
      <c r="D402" s="8">
        <v>5.503E-5</v>
      </c>
    </row>
    <row r="403" spans="1:4" x14ac:dyDescent="0.2">
      <c r="A403" s="1">
        <v>2021</v>
      </c>
      <c r="B403" s="1" t="s">
        <v>399</v>
      </c>
      <c r="C403" s="2">
        <v>2421725</v>
      </c>
      <c r="D403" s="8">
        <v>2.0932500000000001E-3</v>
      </c>
    </row>
    <row r="404" spans="1:4" x14ac:dyDescent="0.2">
      <c r="A404" s="1">
        <v>2021</v>
      </c>
      <c r="B404" s="1" t="s">
        <v>400</v>
      </c>
      <c r="C404" s="2">
        <v>967038</v>
      </c>
      <c r="D404" s="8">
        <v>8.3586999999999995E-4</v>
      </c>
    </row>
    <row r="405" spans="1:4" x14ac:dyDescent="0.2">
      <c r="A405" s="1">
        <v>2021</v>
      </c>
      <c r="B405" s="1" t="s">
        <v>401</v>
      </c>
      <c r="C405" s="2">
        <v>60445</v>
      </c>
      <c r="D405" s="8">
        <v>5.2250000000000003E-5</v>
      </c>
    </row>
    <row r="406" spans="1:4" x14ac:dyDescent="0.2">
      <c r="A406" s="1">
        <v>2021</v>
      </c>
      <c r="B406" s="1" t="s">
        <v>402</v>
      </c>
      <c r="C406" s="2">
        <v>850567</v>
      </c>
      <c r="D406" s="8">
        <v>7.3519999999999998E-4</v>
      </c>
    </row>
    <row r="407" spans="1:4" x14ac:dyDescent="0.2">
      <c r="A407" s="1">
        <v>2021</v>
      </c>
      <c r="B407" s="1" t="s">
        <v>403</v>
      </c>
      <c r="C407" s="2">
        <v>2626501</v>
      </c>
      <c r="D407" s="8">
        <v>2.2702500000000001E-3</v>
      </c>
    </row>
    <row r="408" spans="1:4" x14ac:dyDescent="0.2">
      <c r="A408" s="1">
        <v>2021</v>
      </c>
      <c r="B408" s="1" t="s">
        <v>404</v>
      </c>
      <c r="C408" s="2">
        <v>7541</v>
      </c>
      <c r="D408" s="8">
        <v>6.5200000000000003E-6</v>
      </c>
    </row>
    <row r="409" spans="1:4" x14ac:dyDescent="0.2">
      <c r="A409" s="1">
        <v>2021</v>
      </c>
      <c r="B409" s="1" t="s">
        <v>405</v>
      </c>
      <c r="C409" s="2">
        <v>9997</v>
      </c>
      <c r="D409" s="8">
        <v>8.6400000000000003E-6</v>
      </c>
    </row>
    <row r="410" spans="1:4" x14ac:dyDescent="0.2">
      <c r="A410" s="1">
        <v>2021</v>
      </c>
      <c r="B410" s="1" t="s">
        <v>406</v>
      </c>
      <c r="C410" s="2">
        <v>430587</v>
      </c>
      <c r="D410" s="8">
        <v>3.7218E-4</v>
      </c>
    </row>
    <row r="411" spans="1:4" x14ac:dyDescent="0.2">
      <c r="A411" s="1">
        <v>2021</v>
      </c>
      <c r="B411" s="1" t="s">
        <v>407</v>
      </c>
      <c r="C411" s="2">
        <v>169653</v>
      </c>
      <c r="D411" s="8">
        <v>1.4663999999999999E-4</v>
      </c>
    </row>
    <row r="412" spans="1:4" x14ac:dyDescent="0.2">
      <c r="A412" s="1">
        <v>2021</v>
      </c>
      <c r="B412" s="1" t="s">
        <v>408</v>
      </c>
      <c r="C412" s="2">
        <v>41389</v>
      </c>
      <c r="D412" s="8">
        <v>3.5769999999999998E-5</v>
      </c>
    </row>
    <row r="413" spans="1:4" x14ac:dyDescent="0.2">
      <c r="A413" s="1">
        <v>2021</v>
      </c>
      <c r="B413" s="1" t="s">
        <v>409</v>
      </c>
      <c r="C413" s="2">
        <v>2744947</v>
      </c>
      <c r="D413" s="8">
        <v>2.3726300000000001E-3</v>
      </c>
    </row>
    <row r="414" spans="1:4" x14ac:dyDescent="0.2">
      <c r="A414" s="1">
        <v>2021</v>
      </c>
      <c r="B414" s="1" t="s">
        <v>410</v>
      </c>
      <c r="C414" s="2">
        <v>115249</v>
      </c>
      <c r="D414" s="8">
        <v>9.9619999999999998E-5</v>
      </c>
    </row>
    <row r="415" spans="1:4" x14ac:dyDescent="0.2">
      <c r="A415" s="1">
        <v>2021</v>
      </c>
      <c r="B415" s="1" t="s">
        <v>411</v>
      </c>
      <c r="C415" s="2">
        <v>5101307</v>
      </c>
      <c r="D415" s="8">
        <v>4.4093700000000001E-3</v>
      </c>
    </row>
    <row r="416" spans="1:4" x14ac:dyDescent="0.2">
      <c r="A416" s="1">
        <v>2021</v>
      </c>
      <c r="B416" s="1" t="s">
        <v>412</v>
      </c>
      <c r="C416" s="2">
        <v>2155381</v>
      </c>
      <c r="D416" s="8">
        <v>1.8630299999999999E-3</v>
      </c>
    </row>
    <row r="417" spans="1:4" x14ac:dyDescent="0.2">
      <c r="A417" s="1">
        <v>2021</v>
      </c>
      <c r="B417" s="1" t="s">
        <v>413</v>
      </c>
      <c r="C417" s="2">
        <v>309765</v>
      </c>
      <c r="D417" s="8">
        <v>2.6774999999999998E-4</v>
      </c>
    </row>
    <row r="418" spans="1:4" x14ac:dyDescent="0.2">
      <c r="A418" s="1">
        <v>2021</v>
      </c>
      <c r="B418" s="1" t="s">
        <v>414</v>
      </c>
      <c r="C418" s="2">
        <v>4475</v>
      </c>
      <c r="D418" s="8">
        <v>3.8700000000000002E-6</v>
      </c>
    </row>
    <row r="419" spans="1:4" x14ac:dyDescent="0.2">
      <c r="A419" s="1">
        <v>2021</v>
      </c>
      <c r="B419" s="1" t="s">
        <v>415</v>
      </c>
      <c r="C419" s="2">
        <v>94832</v>
      </c>
      <c r="D419" s="8">
        <v>8.1970000000000003E-5</v>
      </c>
    </row>
    <row r="420" spans="1:4" x14ac:dyDescent="0.2">
      <c r="A420" s="1">
        <v>2021</v>
      </c>
      <c r="B420" s="1" t="s">
        <v>416</v>
      </c>
      <c r="C420" s="2">
        <v>19718</v>
      </c>
      <c r="D420" s="8">
        <v>1.7039999999999999E-5</v>
      </c>
    </row>
    <row r="421" spans="1:4" x14ac:dyDescent="0.2">
      <c r="A421" s="1">
        <v>2021</v>
      </c>
      <c r="B421" s="1" t="s">
        <v>417</v>
      </c>
      <c r="C421" s="2">
        <v>30210</v>
      </c>
      <c r="D421" s="8">
        <v>2.6109999999999999E-5</v>
      </c>
    </row>
    <row r="422" spans="1:4" x14ac:dyDescent="0.2">
      <c r="A422" s="1">
        <v>2021</v>
      </c>
      <c r="B422" s="1" t="s">
        <v>418</v>
      </c>
      <c r="C422" s="2">
        <v>157951</v>
      </c>
      <c r="D422" s="8">
        <v>1.3653E-4</v>
      </c>
    </row>
    <row r="423" spans="1:4" x14ac:dyDescent="0.2">
      <c r="A423" s="1">
        <v>2021</v>
      </c>
      <c r="B423" s="1" t="s">
        <v>419</v>
      </c>
      <c r="C423" s="2">
        <v>61254</v>
      </c>
      <c r="D423" s="8">
        <v>5.295E-5</v>
      </c>
    </row>
    <row r="424" spans="1:4" x14ac:dyDescent="0.2">
      <c r="A424" s="1">
        <v>2021</v>
      </c>
      <c r="B424" s="1" t="s">
        <v>420</v>
      </c>
      <c r="C424" s="2">
        <v>1650694</v>
      </c>
      <c r="D424" s="8">
        <v>1.4268E-3</v>
      </c>
    </row>
    <row r="425" spans="1:4" x14ac:dyDescent="0.2">
      <c r="A425" s="1">
        <v>2021</v>
      </c>
      <c r="B425" s="1" t="s">
        <v>421</v>
      </c>
      <c r="C425" s="2">
        <v>205923</v>
      </c>
      <c r="D425" s="8">
        <v>1.7799E-4</v>
      </c>
    </row>
    <row r="426" spans="1:4" x14ac:dyDescent="0.2">
      <c r="A426" s="1">
        <v>2021</v>
      </c>
      <c r="B426" s="1" t="s">
        <v>422</v>
      </c>
      <c r="C426" s="2">
        <v>13830811</v>
      </c>
      <c r="D426" s="8">
        <v>1.195482E-2</v>
      </c>
    </row>
    <row r="427" spans="1:4" x14ac:dyDescent="0.2">
      <c r="A427" s="1">
        <v>2021</v>
      </c>
      <c r="B427" s="1" t="s">
        <v>423</v>
      </c>
      <c r="C427" s="2">
        <v>3343858</v>
      </c>
      <c r="D427" s="8">
        <v>2.8903000000000002E-3</v>
      </c>
    </row>
    <row r="428" spans="1:4" x14ac:dyDescent="0.2">
      <c r="A428" s="1">
        <v>2021</v>
      </c>
      <c r="B428" s="1" t="s">
        <v>424</v>
      </c>
      <c r="C428" s="2">
        <v>93980</v>
      </c>
      <c r="D428" s="8">
        <v>8.1230000000000007E-5</v>
      </c>
    </row>
    <row r="429" spans="1:4" x14ac:dyDescent="0.2">
      <c r="A429" s="1">
        <v>2021</v>
      </c>
      <c r="B429" s="1" t="s">
        <v>425</v>
      </c>
      <c r="C429" s="2">
        <v>487773</v>
      </c>
      <c r="D429" s="8">
        <v>4.2161E-4</v>
      </c>
    </row>
    <row r="430" spans="1:4" x14ac:dyDescent="0.2">
      <c r="A430" s="1">
        <v>2021</v>
      </c>
      <c r="B430" s="1" t="s">
        <v>426</v>
      </c>
      <c r="C430" s="2">
        <v>9248</v>
      </c>
      <c r="D430" s="8">
        <v>7.9899999999999997E-6</v>
      </c>
    </row>
    <row r="431" spans="1:4" x14ac:dyDescent="0.2">
      <c r="A431" s="1">
        <v>2021</v>
      </c>
      <c r="B431" s="1" t="s">
        <v>428</v>
      </c>
      <c r="C431" s="2">
        <v>369234</v>
      </c>
      <c r="D431" s="8">
        <v>3.1914999999999998E-4</v>
      </c>
    </row>
    <row r="432" spans="1:4" x14ac:dyDescent="0.2">
      <c r="A432" s="1">
        <v>2021</v>
      </c>
      <c r="B432" s="1" t="s">
        <v>429</v>
      </c>
      <c r="C432" s="2">
        <v>150726</v>
      </c>
      <c r="D432" s="8">
        <v>1.3028000000000001E-4</v>
      </c>
    </row>
    <row r="433" spans="1:4" x14ac:dyDescent="0.2">
      <c r="A433" s="1">
        <v>2021</v>
      </c>
      <c r="B433" s="1" t="s">
        <v>430</v>
      </c>
      <c r="C433" s="2">
        <v>6184227</v>
      </c>
      <c r="D433" s="8">
        <v>5.3454100000000001E-3</v>
      </c>
    </row>
    <row r="434" spans="1:4" x14ac:dyDescent="0.2">
      <c r="A434" s="1">
        <v>2021</v>
      </c>
      <c r="B434" s="1" t="s">
        <v>431</v>
      </c>
      <c r="C434" s="2">
        <v>42645</v>
      </c>
      <c r="D434" s="8">
        <v>3.6860000000000003E-5</v>
      </c>
    </row>
    <row r="435" spans="1:4" x14ac:dyDescent="0.2">
      <c r="A435" s="1">
        <v>2021</v>
      </c>
      <c r="B435" s="1" t="s">
        <v>432</v>
      </c>
      <c r="C435" s="2">
        <v>9697</v>
      </c>
      <c r="D435" s="8">
        <v>8.3799999999999994E-6</v>
      </c>
    </row>
    <row r="436" spans="1:4" x14ac:dyDescent="0.2">
      <c r="A436" s="1">
        <v>2021</v>
      </c>
      <c r="B436" s="1" t="s">
        <v>433</v>
      </c>
      <c r="C436" s="2">
        <v>2156540</v>
      </c>
      <c r="D436" s="8">
        <v>1.86403E-3</v>
      </c>
    </row>
    <row r="437" spans="1:4" x14ac:dyDescent="0.2">
      <c r="A437" s="1">
        <v>2021</v>
      </c>
      <c r="B437" s="1" t="s">
        <v>434</v>
      </c>
      <c r="C437" s="2">
        <v>1048590</v>
      </c>
      <c r="D437" s="8">
        <v>9.0636000000000004E-4</v>
      </c>
    </row>
    <row r="438" spans="1:4" x14ac:dyDescent="0.2">
      <c r="A438" s="1">
        <v>2021</v>
      </c>
      <c r="B438" s="1" t="s">
        <v>435</v>
      </c>
      <c r="C438" s="2">
        <v>7057</v>
      </c>
      <c r="D438" s="8">
        <v>6.1E-6</v>
      </c>
    </row>
    <row r="439" spans="1:4" x14ac:dyDescent="0.2">
      <c r="A439" s="1">
        <v>2021</v>
      </c>
      <c r="B439" s="1" t="s">
        <v>436</v>
      </c>
      <c r="C439" s="2">
        <v>71148</v>
      </c>
      <c r="D439" s="8">
        <v>6.1500000000000004E-5</v>
      </c>
    </row>
    <row r="440" spans="1:4" x14ac:dyDescent="0.2">
      <c r="A440" s="1">
        <v>2021</v>
      </c>
      <c r="B440" s="1" t="s">
        <v>437</v>
      </c>
      <c r="C440" s="2">
        <v>86779</v>
      </c>
      <c r="D440" s="8">
        <v>7.5010000000000002E-5</v>
      </c>
    </row>
    <row r="441" spans="1:4" x14ac:dyDescent="0.2">
      <c r="A441" s="1">
        <v>2021</v>
      </c>
      <c r="B441" s="1" t="s">
        <v>438</v>
      </c>
      <c r="C441" s="2">
        <v>8474</v>
      </c>
      <c r="D441" s="8">
        <v>7.3200000000000002E-6</v>
      </c>
    </row>
    <row r="442" spans="1:4" x14ac:dyDescent="0.2">
      <c r="A442" s="1">
        <v>2021</v>
      </c>
      <c r="B442" s="1" t="s">
        <v>439</v>
      </c>
      <c r="C442" s="2">
        <v>2572153</v>
      </c>
      <c r="D442" s="8">
        <v>2.2232699999999998E-3</v>
      </c>
    </row>
    <row r="443" spans="1:4" x14ac:dyDescent="0.2">
      <c r="A443" s="1">
        <v>2021</v>
      </c>
      <c r="B443" s="1" t="s">
        <v>440</v>
      </c>
      <c r="C443" s="2">
        <v>1486932</v>
      </c>
      <c r="D443" s="8">
        <v>1.2852499999999999E-3</v>
      </c>
    </row>
    <row r="444" spans="1:4" x14ac:dyDescent="0.2">
      <c r="A444" s="1">
        <v>2021</v>
      </c>
      <c r="B444" s="1" t="s">
        <v>441</v>
      </c>
      <c r="C444" s="2">
        <v>19732</v>
      </c>
      <c r="D444" s="8">
        <v>1.7059999999999999E-5</v>
      </c>
    </row>
    <row r="445" spans="1:4" x14ac:dyDescent="0.2">
      <c r="A445" s="1">
        <v>2021</v>
      </c>
      <c r="B445" s="1" t="s">
        <v>442</v>
      </c>
      <c r="C445" s="2">
        <v>41984</v>
      </c>
      <c r="D445" s="8">
        <v>3.629E-5</v>
      </c>
    </row>
    <row r="446" spans="1:4" x14ac:dyDescent="0.2">
      <c r="A446" s="1">
        <v>2021</v>
      </c>
      <c r="B446" s="1" t="s">
        <v>443</v>
      </c>
      <c r="C446" s="2">
        <v>1087086</v>
      </c>
      <c r="D446" s="8">
        <v>9.3964000000000005E-4</v>
      </c>
    </row>
    <row r="447" spans="1:4" x14ac:dyDescent="0.2">
      <c r="A447" s="1">
        <v>2021</v>
      </c>
      <c r="B447" s="1" t="s">
        <v>444</v>
      </c>
      <c r="C447" s="2">
        <v>134768</v>
      </c>
      <c r="D447" s="8">
        <v>1.1649E-4</v>
      </c>
    </row>
    <row r="448" spans="1:4" x14ac:dyDescent="0.2">
      <c r="A448" s="1">
        <v>2021</v>
      </c>
      <c r="B448" s="1" t="s">
        <v>445</v>
      </c>
      <c r="C448" s="2">
        <v>2763532</v>
      </c>
      <c r="D448" s="8">
        <v>2.3886900000000002E-3</v>
      </c>
    </row>
    <row r="449" spans="1:4" x14ac:dyDescent="0.2">
      <c r="A449" s="1">
        <v>2021</v>
      </c>
      <c r="B449" s="1" t="s">
        <v>446</v>
      </c>
      <c r="C449" s="2">
        <v>12842</v>
      </c>
      <c r="D449" s="8">
        <v>1.11E-5</v>
      </c>
    </row>
    <row r="450" spans="1:4" x14ac:dyDescent="0.2">
      <c r="A450" s="1">
        <v>2021</v>
      </c>
      <c r="B450" s="1" t="s">
        <v>447</v>
      </c>
      <c r="C450" s="2">
        <v>31353</v>
      </c>
      <c r="D450" s="8">
        <v>2.7100000000000001E-5</v>
      </c>
    </row>
    <row r="451" spans="1:4" x14ac:dyDescent="0.2">
      <c r="A451" s="1">
        <v>2021</v>
      </c>
      <c r="B451" s="1" t="s">
        <v>448</v>
      </c>
      <c r="C451" s="2">
        <v>6254531</v>
      </c>
      <c r="D451" s="8">
        <v>5.40618E-3</v>
      </c>
    </row>
    <row r="452" spans="1:4" x14ac:dyDescent="0.2">
      <c r="A452" s="1">
        <v>2021</v>
      </c>
      <c r="B452" s="1" t="s">
        <v>449</v>
      </c>
      <c r="C452" s="2">
        <v>221121</v>
      </c>
      <c r="D452" s="8">
        <v>1.9112999999999999E-4</v>
      </c>
    </row>
    <row r="453" spans="1:4" x14ac:dyDescent="0.2">
      <c r="A453" s="1">
        <v>2021</v>
      </c>
      <c r="B453" s="1" t="s">
        <v>450</v>
      </c>
      <c r="C453" s="2">
        <v>136549</v>
      </c>
      <c r="D453" s="8">
        <v>1.1803000000000001E-4</v>
      </c>
    </row>
    <row r="454" spans="1:4" x14ac:dyDescent="0.2">
      <c r="A454" s="1">
        <v>2021</v>
      </c>
      <c r="B454" s="1" t="s">
        <v>905</v>
      </c>
      <c r="C454" s="2">
        <v>1817854</v>
      </c>
      <c r="D454" s="8">
        <v>1.57128E-3</v>
      </c>
    </row>
    <row r="455" spans="1:4" x14ac:dyDescent="0.2">
      <c r="A455" s="1">
        <v>2021</v>
      </c>
      <c r="B455" s="1" t="s">
        <v>905</v>
      </c>
      <c r="C455" s="2">
        <v>2328405</v>
      </c>
      <c r="D455" s="8">
        <v>2.0125799999999999E-3</v>
      </c>
    </row>
    <row r="456" spans="1:4" x14ac:dyDescent="0.2">
      <c r="A456" s="1">
        <v>2021</v>
      </c>
      <c r="B456" s="1" t="s">
        <v>905</v>
      </c>
      <c r="C456" s="2">
        <v>2647992</v>
      </c>
      <c r="D456" s="8">
        <v>2.28882E-3</v>
      </c>
    </row>
    <row r="457" spans="1:4" x14ac:dyDescent="0.2">
      <c r="A457" s="1">
        <v>2021</v>
      </c>
      <c r="B457" s="1" t="s">
        <v>454</v>
      </c>
      <c r="C457" s="2">
        <v>906807</v>
      </c>
      <c r="D457" s="8">
        <v>7.8381000000000002E-4</v>
      </c>
    </row>
    <row r="458" spans="1:4" x14ac:dyDescent="0.2">
      <c r="A458" s="1">
        <v>2021</v>
      </c>
      <c r="B458" s="1" t="s">
        <v>455</v>
      </c>
      <c r="C458" s="2">
        <v>480261</v>
      </c>
      <c r="D458" s="8">
        <v>4.1512E-4</v>
      </c>
    </row>
    <row r="459" spans="1:4" x14ac:dyDescent="0.2">
      <c r="A459" s="1">
        <v>2021</v>
      </c>
      <c r="B459" s="1" t="s">
        <v>456</v>
      </c>
      <c r="C459" s="2">
        <v>2896625</v>
      </c>
      <c r="D459" s="8">
        <v>2.50373E-3</v>
      </c>
    </row>
    <row r="460" spans="1:4" x14ac:dyDescent="0.2">
      <c r="A460" s="1">
        <v>2021</v>
      </c>
      <c r="B460" s="1" t="s">
        <v>457</v>
      </c>
      <c r="C460" s="2">
        <v>2710683</v>
      </c>
      <c r="D460" s="8">
        <v>2.34301E-3</v>
      </c>
    </row>
    <row r="461" spans="1:4" x14ac:dyDescent="0.2">
      <c r="A461" s="1">
        <v>2021</v>
      </c>
      <c r="B461" s="1" t="s">
        <v>458</v>
      </c>
      <c r="C461" s="2">
        <v>350240</v>
      </c>
      <c r="D461" s="8">
        <v>3.0273000000000002E-4</v>
      </c>
    </row>
    <row r="462" spans="1:4" x14ac:dyDescent="0.2">
      <c r="A462" s="1">
        <v>2021</v>
      </c>
      <c r="B462" s="1" t="s">
        <v>459</v>
      </c>
      <c r="C462" s="2">
        <v>5855736</v>
      </c>
      <c r="D462" s="8">
        <v>5.0614700000000002E-3</v>
      </c>
    </row>
    <row r="463" spans="1:4" x14ac:dyDescent="0.2">
      <c r="A463" s="1">
        <v>2021</v>
      </c>
      <c r="B463" s="1" t="s">
        <v>460</v>
      </c>
      <c r="C463" s="2">
        <v>82208</v>
      </c>
      <c r="D463" s="8">
        <v>7.1060000000000001E-5</v>
      </c>
    </row>
    <row r="464" spans="1:4" x14ac:dyDescent="0.2">
      <c r="A464" s="1">
        <v>2021</v>
      </c>
      <c r="B464" s="1" t="s">
        <v>461</v>
      </c>
      <c r="C464" s="2">
        <v>22819</v>
      </c>
      <c r="D464" s="8">
        <v>1.9720000000000001E-5</v>
      </c>
    </row>
    <row r="465" spans="1:4" x14ac:dyDescent="0.2">
      <c r="A465" s="1">
        <v>2021</v>
      </c>
      <c r="B465" s="1" t="s">
        <v>462</v>
      </c>
      <c r="C465" s="2">
        <v>183388</v>
      </c>
      <c r="D465" s="8">
        <v>1.5851E-4</v>
      </c>
    </row>
    <row r="466" spans="1:4" x14ac:dyDescent="0.2">
      <c r="A466" s="1">
        <v>2021</v>
      </c>
      <c r="B466" s="1" t="s">
        <v>463</v>
      </c>
      <c r="C466" s="2">
        <v>14833</v>
      </c>
      <c r="D466" s="8">
        <v>1.2819999999999999E-5</v>
      </c>
    </row>
    <row r="467" spans="1:4" x14ac:dyDescent="0.2">
      <c r="A467" s="1">
        <v>2021</v>
      </c>
      <c r="B467" s="1" t="s">
        <v>464</v>
      </c>
      <c r="C467" s="2">
        <v>251971</v>
      </c>
      <c r="D467" s="8">
        <v>2.1778999999999999E-4</v>
      </c>
    </row>
    <row r="468" spans="1:4" x14ac:dyDescent="0.2">
      <c r="A468" s="1">
        <v>2021</v>
      </c>
      <c r="B468" s="1" t="s">
        <v>465</v>
      </c>
      <c r="C468" s="2">
        <v>1637248</v>
      </c>
      <c r="D468" s="8">
        <v>1.4151700000000001E-3</v>
      </c>
    </row>
    <row r="469" spans="1:4" x14ac:dyDescent="0.2">
      <c r="A469" s="1">
        <v>2021</v>
      </c>
      <c r="B469" s="1" t="s">
        <v>466</v>
      </c>
      <c r="C469" s="2">
        <v>3125910</v>
      </c>
      <c r="D469" s="8">
        <v>2.70192E-3</v>
      </c>
    </row>
    <row r="470" spans="1:4" x14ac:dyDescent="0.2">
      <c r="A470" s="1">
        <v>2021</v>
      </c>
      <c r="B470" s="1" t="s">
        <v>467</v>
      </c>
      <c r="C470" s="2">
        <v>682812</v>
      </c>
      <c r="D470" s="8">
        <v>5.9020000000000003E-4</v>
      </c>
    </row>
    <row r="471" spans="1:4" x14ac:dyDescent="0.2">
      <c r="A471" s="1">
        <v>2021</v>
      </c>
      <c r="B471" s="1" t="s">
        <v>468</v>
      </c>
      <c r="C471" s="2">
        <v>880006</v>
      </c>
      <c r="D471" s="8">
        <v>7.6064000000000004E-4</v>
      </c>
    </row>
    <row r="472" spans="1:4" x14ac:dyDescent="0.2">
      <c r="A472" s="1">
        <v>2021</v>
      </c>
      <c r="B472" s="1" t="s">
        <v>469</v>
      </c>
      <c r="C472" s="2">
        <v>5031066</v>
      </c>
      <c r="D472" s="8">
        <v>4.3486599999999999E-3</v>
      </c>
    </row>
    <row r="473" spans="1:4" x14ac:dyDescent="0.2">
      <c r="A473" s="1">
        <v>2021</v>
      </c>
      <c r="B473" s="1" t="s">
        <v>470</v>
      </c>
      <c r="C473" s="2">
        <v>3877563</v>
      </c>
      <c r="D473" s="8">
        <v>3.35162E-3</v>
      </c>
    </row>
    <row r="474" spans="1:4" x14ac:dyDescent="0.2">
      <c r="A474" s="1">
        <v>2021</v>
      </c>
      <c r="B474" s="1" t="s">
        <v>471</v>
      </c>
      <c r="C474" s="2">
        <v>730466</v>
      </c>
      <c r="D474" s="8">
        <v>6.3139000000000001E-4</v>
      </c>
    </row>
    <row r="475" spans="1:4" x14ac:dyDescent="0.2">
      <c r="A475" s="1">
        <v>2021</v>
      </c>
      <c r="B475" s="1" t="s">
        <v>472</v>
      </c>
      <c r="C475" s="2">
        <v>256627</v>
      </c>
      <c r="D475" s="8">
        <v>2.2181999999999999E-4</v>
      </c>
    </row>
    <row r="476" spans="1:4" x14ac:dyDescent="0.2">
      <c r="A476" s="1">
        <v>2021</v>
      </c>
      <c r="B476" s="1" t="s">
        <v>473</v>
      </c>
      <c r="C476" s="2">
        <v>270881</v>
      </c>
      <c r="D476" s="8">
        <v>2.3414E-4</v>
      </c>
    </row>
    <row r="477" spans="1:4" x14ac:dyDescent="0.2">
      <c r="A477" s="1">
        <v>2021</v>
      </c>
      <c r="B477" s="1" t="s">
        <v>474</v>
      </c>
      <c r="C477" s="2">
        <v>8636775</v>
      </c>
      <c r="D477" s="8">
        <v>7.4653000000000002E-3</v>
      </c>
    </row>
    <row r="478" spans="1:4" x14ac:dyDescent="0.2">
      <c r="A478" s="1">
        <v>2021</v>
      </c>
      <c r="B478" s="1" t="s">
        <v>475</v>
      </c>
      <c r="C478" s="2">
        <v>883377</v>
      </c>
      <c r="D478" s="8">
        <v>7.6356000000000004E-4</v>
      </c>
    </row>
    <row r="479" spans="1:4" x14ac:dyDescent="0.2">
      <c r="A479" s="1">
        <v>2021</v>
      </c>
      <c r="B479" s="1" t="s">
        <v>476</v>
      </c>
      <c r="C479" s="2">
        <v>37915781</v>
      </c>
      <c r="D479" s="8">
        <v>3.277294E-2</v>
      </c>
    </row>
    <row r="480" spans="1:4" x14ac:dyDescent="0.2">
      <c r="A480" s="1">
        <v>2021</v>
      </c>
      <c r="B480" s="1" t="s">
        <v>477</v>
      </c>
      <c r="C480" s="2">
        <v>8823</v>
      </c>
      <c r="D480" s="8">
        <v>7.6299999999999998E-6</v>
      </c>
    </row>
    <row r="481" spans="1:4" x14ac:dyDescent="0.2">
      <c r="A481" s="1">
        <v>2021</v>
      </c>
      <c r="B481" s="1" t="s">
        <v>478</v>
      </c>
      <c r="C481" s="2">
        <v>2081393</v>
      </c>
      <c r="D481" s="8">
        <v>1.79908E-3</v>
      </c>
    </row>
    <row r="482" spans="1:4" x14ac:dyDescent="0.2">
      <c r="A482" s="1">
        <v>2021</v>
      </c>
      <c r="B482" s="1" t="s">
        <v>479</v>
      </c>
      <c r="C482" s="2">
        <v>1353326</v>
      </c>
      <c r="D482" s="8">
        <v>1.1697599999999999E-3</v>
      </c>
    </row>
    <row r="483" spans="1:4" x14ac:dyDescent="0.2">
      <c r="A483" s="1">
        <v>2021</v>
      </c>
      <c r="B483" s="1" t="s">
        <v>480</v>
      </c>
      <c r="C483" s="2">
        <v>4346</v>
      </c>
      <c r="D483" s="8">
        <v>3.76E-6</v>
      </c>
    </row>
    <row r="484" spans="1:4" x14ac:dyDescent="0.2">
      <c r="A484" s="1">
        <v>2021</v>
      </c>
      <c r="B484" s="1" t="s">
        <v>481</v>
      </c>
      <c r="C484" s="2">
        <v>341870</v>
      </c>
      <c r="D484" s="8">
        <v>2.9550000000000003E-4</v>
      </c>
    </row>
    <row r="485" spans="1:4" x14ac:dyDescent="0.2">
      <c r="A485" s="1">
        <v>2021</v>
      </c>
      <c r="B485" s="1" t="s">
        <v>482</v>
      </c>
      <c r="C485" s="2">
        <v>134375</v>
      </c>
      <c r="D485" s="8">
        <v>1.1615E-4</v>
      </c>
    </row>
    <row r="486" spans="1:4" x14ac:dyDescent="0.2">
      <c r="A486" s="1">
        <v>2021</v>
      </c>
      <c r="B486" s="1" t="s">
        <v>483</v>
      </c>
      <c r="C486" s="2">
        <v>75554</v>
      </c>
      <c r="D486" s="8">
        <v>6.5309999999999996E-5</v>
      </c>
    </row>
    <row r="487" spans="1:4" x14ac:dyDescent="0.2">
      <c r="A487" s="1">
        <v>2021</v>
      </c>
      <c r="B487" s="1" t="s">
        <v>484</v>
      </c>
      <c r="C487" s="2">
        <v>202615</v>
      </c>
      <c r="D487" s="8">
        <v>1.7513000000000001E-4</v>
      </c>
    </row>
    <row r="488" spans="1:4" x14ac:dyDescent="0.2">
      <c r="A488" s="1">
        <v>2021</v>
      </c>
      <c r="B488" s="1" t="s">
        <v>485</v>
      </c>
      <c r="C488" s="2">
        <v>622725</v>
      </c>
      <c r="D488" s="8">
        <v>5.3826000000000004E-4</v>
      </c>
    </row>
    <row r="489" spans="1:4" x14ac:dyDescent="0.2">
      <c r="A489" s="1">
        <v>2021</v>
      </c>
      <c r="B489" s="1" t="s">
        <v>486</v>
      </c>
      <c r="C489" s="2">
        <v>2444263</v>
      </c>
      <c r="D489" s="8">
        <v>2.1127300000000002E-3</v>
      </c>
    </row>
    <row r="490" spans="1:4" x14ac:dyDescent="0.2">
      <c r="A490" s="1">
        <v>2021</v>
      </c>
      <c r="B490" s="1" t="s">
        <v>487</v>
      </c>
      <c r="C490" s="2">
        <v>30624</v>
      </c>
      <c r="D490" s="8">
        <v>2.6469999999999999E-5</v>
      </c>
    </row>
    <row r="491" spans="1:4" x14ac:dyDescent="0.2">
      <c r="A491" s="1">
        <v>2021</v>
      </c>
      <c r="B491" s="1" t="s">
        <v>488</v>
      </c>
      <c r="C491" s="2">
        <v>33101</v>
      </c>
      <c r="D491" s="8">
        <v>2.8609999999999999E-5</v>
      </c>
    </row>
    <row r="492" spans="1:4" x14ac:dyDescent="0.2">
      <c r="A492" s="1">
        <v>2021</v>
      </c>
      <c r="B492" s="1" t="s">
        <v>489</v>
      </c>
      <c r="C492" s="2">
        <v>12691</v>
      </c>
      <c r="D492" s="8">
        <v>1.097E-5</v>
      </c>
    </row>
    <row r="493" spans="1:4" x14ac:dyDescent="0.2">
      <c r="A493" s="1">
        <v>2021</v>
      </c>
      <c r="B493" s="1" t="s">
        <v>491</v>
      </c>
      <c r="C493" s="2">
        <v>278865</v>
      </c>
      <c r="D493" s="8">
        <v>2.4104000000000001E-4</v>
      </c>
    </row>
    <row r="494" spans="1:4" x14ac:dyDescent="0.2">
      <c r="A494" s="1">
        <v>2021</v>
      </c>
      <c r="B494" s="1" t="s">
        <v>492</v>
      </c>
      <c r="C494" s="2">
        <v>86134</v>
      </c>
      <c r="D494" s="8">
        <v>7.4449999999999994E-5</v>
      </c>
    </row>
    <row r="495" spans="1:4" x14ac:dyDescent="0.2">
      <c r="A495" s="1">
        <v>2021</v>
      </c>
      <c r="B495" s="1" t="s">
        <v>493</v>
      </c>
      <c r="C495" s="2">
        <v>127070</v>
      </c>
      <c r="D495" s="8">
        <v>1.0983E-4</v>
      </c>
    </row>
    <row r="496" spans="1:4" x14ac:dyDescent="0.2">
      <c r="A496" s="1">
        <v>2021</v>
      </c>
      <c r="B496" s="1" t="s">
        <v>494</v>
      </c>
      <c r="C496" s="2">
        <v>36517</v>
      </c>
      <c r="D496" s="8">
        <v>3.1560000000000003E-5</v>
      </c>
    </row>
    <row r="497" spans="1:4" x14ac:dyDescent="0.2">
      <c r="A497" s="1">
        <v>2021</v>
      </c>
      <c r="B497" s="1" t="s">
        <v>495</v>
      </c>
      <c r="C497" s="2">
        <v>2099080</v>
      </c>
      <c r="D497" s="8">
        <v>1.8143600000000001E-3</v>
      </c>
    </row>
    <row r="498" spans="1:4" x14ac:dyDescent="0.2">
      <c r="A498" s="1">
        <v>2021</v>
      </c>
      <c r="B498" s="1" t="s">
        <v>497</v>
      </c>
      <c r="C498" s="2">
        <v>1231719</v>
      </c>
      <c r="D498" s="8">
        <v>1.0646500000000001E-3</v>
      </c>
    </row>
    <row r="499" spans="1:4" x14ac:dyDescent="0.2">
      <c r="A499" s="1">
        <v>2021</v>
      </c>
      <c r="B499" s="1" t="s">
        <v>498</v>
      </c>
      <c r="C499" s="2">
        <v>20433981</v>
      </c>
      <c r="D499" s="8">
        <v>1.766235E-2</v>
      </c>
    </row>
    <row r="500" spans="1:4" x14ac:dyDescent="0.2">
      <c r="A500" s="1">
        <v>2021</v>
      </c>
      <c r="B500" s="1" t="s">
        <v>499</v>
      </c>
      <c r="C500" s="2">
        <v>2005066</v>
      </c>
      <c r="D500" s="8">
        <v>1.7331E-3</v>
      </c>
    </row>
    <row r="501" spans="1:4" x14ac:dyDescent="0.2">
      <c r="A501" s="1">
        <v>2021</v>
      </c>
      <c r="B501" s="1" t="s">
        <v>500</v>
      </c>
      <c r="C501" s="2">
        <v>943940</v>
      </c>
      <c r="D501" s="8">
        <v>8.1590000000000005E-4</v>
      </c>
    </row>
    <row r="502" spans="1:4" x14ac:dyDescent="0.2">
      <c r="A502" s="1">
        <v>2021</v>
      </c>
      <c r="B502" s="1" t="s">
        <v>501</v>
      </c>
      <c r="C502" s="2">
        <v>6928923</v>
      </c>
      <c r="D502" s="8">
        <v>5.9890899999999999E-3</v>
      </c>
    </row>
    <row r="503" spans="1:4" x14ac:dyDescent="0.2">
      <c r="A503" s="1">
        <v>2021</v>
      </c>
      <c r="B503" s="1" t="s">
        <v>502</v>
      </c>
      <c r="C503" s="2">
        <v>130602</v>
      </c>
      <c r="D503" s="8">
        <v>1.1289E-4</v>
      </c>
    </row>
    <row r="504" spans="1:4" x14ac:dyDescent="0.2">
      <c r="A504" s="1">
        <v>2021</v>
      </c>
      <c r="B504" s="1" t="s">
        <v>503</v>
      </c>
      <c r="C504" s="2">
        <v>4379681</v>
      </c>
      <c r="D504" s="8">
        <v>3.7856299999999999E-3</v>
      </c>
    </row>
    <row r="505" spans="1:4" x14ac:dyDescent="0.2">
      <c r="A505" s="1">
        <v>2021</v>
      </c>
      <c r="B505" s="1" t="s">
        <v>504</v>
      </c>
      <c r="C505" s="2">
        <v>286949</v>
      </c>
      <c r="D505" s="8">
        <v>2.4803E-4</v>
      </c>
    </row>
    <row r="506" spans="1:4" x14ac:dyDescent="0.2">
      <c r="A506" s="1">
        <v>2021</v>
      </c>
      <c r="B506" s="1" t="s">
        <v>505</v>
      </c>
      <c r="C506" s="2">
        <v>1350244</v>
      </c>
      <c r="D506" s="8">
        <v>1.1670999999999999E-3</v>
      </c>
    </row>
    <row r="507" spans="1:4" x14ac:dyDescent="0.2">
      <c r="A507" s="1">
        <v>2021</v>
      </c>
      <c r="B507" s="1" t="s">
        <v>911</v>
      </c>
      <c r="C507" s="2">
        <v>268332</v>
      </c>
      <c r="D507" s="8">
        <v>2.3194000000000001E-4</v>
      </c>
    </row>
    <row r="508" spans="1:4" x14ac:dyDescent="0.2">
      <c r="A508" s="1">
        <v>2021</v>
      </c>
      <c r="B508" s="1" t="s">
        <v>906</v>
      </c>
      <c r="C508" s="2">
        <v>16474</v>
      </c>
      <c r="D508" s="8">
        <v>1.4239999999999999E-5</v>
      </c>
    </row>
    <row r="509" spans="1:4" x14ac:dyDescent="0.2">
      <c r="A509" s="1">
        <v>2021</v>
      </c>
      <c r="B509" s="1" t="s">
        <v>507</v>
      </c>
      <c r="C509" s="2">
        <v>151643</v>
      </c>
      <c r="D509" s="8">
        <v>1.3107E-4</v>
      </c>
    </row>
    <row r="510" spans="1:4" x14ac:dyDescent="0.2">
      <c r="A510" s="1">
        <v>2021</v>
      </c>
      <c r="B510" s="1" t="s">
        <v>508</v>
      </c>
      <c r="C510" s="2">
        <v>399632</v>
      </c>
      <c r="D510" s="8">
        <v>3.4542999999999998E-4</v>
      </c>
    </row>
    <row r="511" spans="1:4" x14ac:dyDescent="0.2">
      <c r="A511" s="1">
        <v>2021</v>
      </c>
      <c r="B511" s="1" t="s">
        <v>509</v>
      </c>
      <c r="C511" s="2">
        <v>206036</v>
      </c>
      <c r="D511" s="8">
        <v>1.7809E-4</v>
      </c>
    </row>
    <row r="512" spans="1:4" x14ac:dyDescent="0.2">
      <c r="A512" s="1">
        <v>2021</v>
      </c>
      <c r="B512" s="1" t="s">
        <v>510</v>
      </c>
      <c r="C512" s="2">
        <v>220547</v>
      </c>
      <c r="D512" s="8">
        <v>1.9063000000000001E-4</v>
      </c>
    </row>
    <row r="513" spans="1:4" x14ac:dyDescent="0.2">
      <c r="A513" s="1">
        <v>2021</v>
      </c>
      <c r="B513" s="1" t="s">
        <v>508</v>
      </c>
      <c r="C513" s="2">
        <v>656710</v>
      </c>
      <c r="D513" s="8">
        <v>5.6762999999999996E-4</v>
      </c>
    </row>
    <row r="514" spans="1:4" x14ac:dyDescent="0.2">
      <c r="A514" s="1">
        <v>2021</v>
      </c>
      <c r="B514" s="1" t="s">
        <v>513</v>
      </c>
      <c r="C514" s="2">
        <v>267471</v>
      </c>
      <c r="D514" s="8">
        <v>2.3118999999999999E-4</v>
      </c>
    </row>
    <row r="515" spans="1:4" x14ac:dyDescent="0.2">
      <c r="A515" s="1">
        <v>2021</v>
      </c>
      <c r="B515" s="1" t="s">
        <v>514</v>
      </c>
      <c r="C515" s="2">
        <v>129946</v>
      </c>
      <c r="D515" s="8">
        <v>1.1232E-4</v>
      </c>
    </row>
    <row r="516" spans="1:4" x14ac:dyDescent="0.2">
      <c r="A516" s="1">
        <v>2021</v>
      </c>
      <c r="B516" s="1" t="s">
        <v>515</v>
      </c>
      <c r="C516" s="2">
        <v>405289</v>
      </c>
      <c r="D516" s="8">
        <v>3.5031999999999999E-4</v>
      </c>
    </row>
    <row r="517" spans="1:4" x14ac:dyDescent="0.2">
      <c r="A517" s="1">
        <v>2021</v>
      </c>
      <c r="B517" s="1" t="s">
        <v>516</v>
      </c>
      <c r="C517" s="2">
        <v>2623402</v>
      </c>
      <c r="D517" s="8">
        <v>2.26757E-3</v>
      </c>
    </row>
    <row r="518" spans="1:4" x14ac:dyDescent="0.2">
      <c r="A518" s="1">
        <v>2021</v>
      </c>
      <c r="B518" s="1" t="s">
        <v>517</v>
      </c>
      <c r="C518" s="2">
        <v>2632891</v>
      </c>
      <c r="D518" s="8">
        <v>2.2757699999999999E-3</v>
      </c>
    </row>
    <row r="519" spans="1:4" x14ac:dyDescent="0.2">
      <c r="A519" s="1">
        <v>2021</v>
      </c>
      <c r="B519" s="1" t="s">
        <v>518</v>
      </c>
      <c r="C519" s="2">
        <v>27405</v>
      </c>
      <c r="D519" s="8">
        <v>2.3689999999999998E-5</v>
      </c>
    </row>
    <row r="520" spans="1:4" x14ac:dyDescent="0.2">
      <c r="A520" s="1">
        <v>2021</v>
      </c>
      <c r="B520" s="1" t="s">
        <v>519</v>
      </c>
      <c r="C520" s="2">
        <v>130905</v>
      </c>
      <c r="D520" s="8">
        <v>1.1315E-4</v>
      </c>
    </row>
    <row r="521" spans="1:4" x14ac:dyDescent="0.2">
      <c r="A521" s="1">
        <v>2021</v>
      </c>
      <c r="B521" s="1" t="s">
        <v>520</v>
      </c>
      <c r="C521" s="2">
        <v>28715</v>
      </c>
      <c r="D521" s="8">
        <v>2.482E-5</v>
      </c>
    </row>
    <row r="522" spans="1:4" x14ac:dyDescent="0.2">
      <c r="A522" s="1">
        <v>2021</v>
      </c>
      <c r="B522" s="1" t="s">
        <v>521</v>
      </c>
      <c r="C522" s="2">
        <v>1108568</v>
      </c>
      <c r="D522" s="8">
        <v>9.5819999999999998E-4</v>
      </c>
    </row>
    <row r="523" spans="1:4" x14ac:dyDescent="0.2">
      <c r="A523" s="1">
        <v>2021</v>
      </c>
      <c r="B523" s="1" t="s">
        <v>522</v>
      </c>
      <c r="C523" s="2">
        <v>19965</v>
      </c>
      <c r="D523" s="8">
        <v>1.7260000000000001E-5</v>
      </c>
    </row>
    <row r="524" spans="1:4" x14ac:dyDescent="0.2">
      <c r="A524" s="1">
        <v>2021</v>
      </c>
      <c r="B524" s="1" t="s">
        <v>523</v>
      </c>
      <c r="C524" s="2">
        <v>116402</v>
      </c>
      <c r="D524" s="8">
        <v>1.0061E-4</v>
      </c>
    </row>
    <row r="525" spans="1:4" x14ac:dyDescent="0.2">
      <c r="A525" s="1">
        <v>2021</v>
      </c>
      <c r="B525" s="1" t="s">
        <v>524</v>
      </c>
      <c r="C525" s="2">
        <v>377445</v>
      </c>
      <c r="D525" s="8">
        <v>3.2624999999999999E-4</v>
      </c>
    </row>
    <row r="526" spans="1:4" x14ac:dyDescent="0.2">
      <c r="A526" s="1">
        <v>2021</v>
      </c>
      <c r="B526" s="1" t="s">
        <v>525</v>
      </c>
      <c r="C526" s="2">
        <v>120629</v>
      </c>
      <c r="D526" s="8">
        <v>1.0427E-4</v>
      </c>
    </row>
    <row r="527" spans="1:4" x14ac:dyDescent="0.2">
      <c r="A527" s="1">
        <v>2021</v>
      </c>
      <c r="B527" s="1" t="s">
        <v>526</v>
      </c>
      <c r="C527" s="2">
        <v>3675551</v>
      </c>
      <c r="D527" s="8">
        <v>3.1770000000000001E-3</v>
      </c>
    </row>
    <row r="528" spans="1:4" x14ac:dyDescent="0.2">
      <c r="A528" s="1">
        <v>2021</v>
      </c>
      <c r="B528" s="1" t="s">
        <v>527</v>
      </c>
      <c r="C528" s="2">
        <v>12005</v>
      </c>
      <c r="D528" s="8">
        <v>1.0380000000000001E-5</v>
      </c>
    </row>
    <row r="529" spans="1:4" x14ac:dyDescent="0.2">
      <c r="A529" s="1">
        <v>2021</v>
      </c>
      <c r="B529" s="1" t="s">
        <v>528</v>
      </c>
      <c r="C529" s="2">
        <v>2710058</v>
      </c>
      <c r="D529" s="8">
        <v>2.3424700000000001E-3</v>
      </c>
    </row>
    <row r="530" spans="1:4" x14ac:dyDescent="0.2">
      <c r="A530" s="1">
        <v>2021</v>
      </c>
      <c r="B530" s="1" t="s">
        <v>529</v>
      </c>
      <c r="C530" s="2">
        <v>749403</v>
      </c>
      <c r="D530" s="8">
        <v>6.4776000000000005E-4</v>
      </c>
    </row>
    <row r="531" spans="1:4" x14ac:dyDescent="0.2">
      <c r="A531" s="1">
        <v>2021</v>
      </c>
      <c r="B531" s="1" t="s">
        <v>530</v>
      </c>
      <c r="C531" s="2">
        <v>21751</v>
      </c>
      <c r="D531" s="8">
        <v>1.88E-5</v>
      </c>
    </row>
    <row r="532" spans="1:4" x14ac:dyDescent="0.2">
      <c r="A532" s="1">
        <v>2021</v>
      </c>
      <c r="B532" s="1" t="s">
        <v>531</v>
      </c>
      <c r="C532" s="2">
        <v>5338</v>
      </c>
      <c r="D532" s="8">
        <v>4.6099999999999999E-6</v>
      </c>
    </row>
    <row r="533" spans="1:4" x14ac:dyDescent="0.2">
      <c r="A533" s="1">
        <v>2021</v>
      </c>
      <c r="B533" s="1" t="s">
        <v>532</v>
      </c>
      <c r="C533" s="2">
        <v>1059664</v>
      </c>
      <c r="D533" s="8">
        <v>9.1593000000000002E-4</v>
      </c>
    </row>
    <row r="534" spans="1:4" x14ac:dyDescent="0.2">
      <c r="A534" s="1">
        <v>2021</v>
      </c>
      <c r="B534" s="1" t="s">
        <v>533</v>
      </c>
      <c r="C534" s="2">
        <v>94453</v>
      </c>
      <c r="D534" s="8">
        <v>8.1639999999999998E-5</v>
      </c>
    </row>
    <row r="535" spans="1:4" x14ac:dyDescent="0.2">
      <c r="A535" s="1">
        <v>2021</v>
      </c>
      <c r="B535" s="1" t="s">
        <v>534</v>
      </c>
      <c r="C535" s="2">
        <v>705958</v>
      </c>
      <c r="D535" s="8">
        <v>6.1019999999999998E-4</v>
      </c>
    </row>
    <row r="536" spans="1:4" x14ac:dyDescent="0.2">
      <c r="A536" s="1">
        <v>2021</v>
      </c>
      <c r="B536" s="1" t="s">
        <v>535</v>
      </c>
      <c r="C536" s="2">
        <v>657646</v>
      </c>
      <c r="D536" s="8">
        <v>5.6844000000000003E-4</v>
      </c>
    </row>
    <row r="537" spans="1:4" x14ac:dyDescent="0.2">
      <c r="A537" s="1">
        <v>2021</v>
      </c>
      <c r="B537" s="1" t="s">
        <v>536</v>
      </c>
      <c r="C537" s="2">
        <v>2021687</v>
      </c>
      <c r="D537" s="8">
        <v>1.7474700000000001E-3</v>
      </c>
    </row>
    <row r="538" spans="1:4" x14ac:dyDescent="0.2">
      <c r="A538" s="1">
        <v>2021</v>
      </c>
      <c r="B538" s="1" t="s">
        <v>537</v>
      </c>
      <c r="C538" s="2">
        <v>42625</v>
      </c>
      <c r="D538" s="8">
        <v>3.684E-5</v>
      </c>
    </row>
    <row r="539" spans="1:4" x14ac:dyDescent="0.2">
      <c r="A539" s="1">
        <v>2021</v>
      </c>
      <c r="B539" s="1" t="s">
        <v>538</v>
      </c>
      <c r="C539" s="2">
        <v>27487</v>
      </c>
      <c r="D539" s="8">
        <v>2.376E-5</v>
      </c>
    </row>
    <row r="540" spans="1:4" x14ac:dyDescent="0.2">
      <c r="A540" s="1">
        <v>2021</v>
      </c>
      <c r="B540" s="1" t="s">
        <v>539</v>
      </c>
      <c r="C540" s="2">
        <v>257434</v>
      </c>
      <c r="D540" s="8">
        <v>2.2252E-4</v>
      </c>
    </row>
    <row r="541" spans="1:4" x14ac:dyDescent="0.2">
      <c r="A541" s="1">
        <v>2021</v>
      </c>
      <c r="B541" s="1" t="s">
        <v>540</v>
      </c>
      <c r="C541" s="2">
        <v>1752235</v>
      </c>
      <c r="D541" s="8">
        <v>1.5145600000000001E-3</v>
      </c>
    </row>
    <row r="542" spans="1:4" x14ac:dyDescent="0.2">
      <c r="A542" s="1">
        <v>2021</v>
      </c>
      <c r="B542" s="1" t="s">
        <v>541</v>
      </c>
      <c r="C542" s="2">
        <v>679184</v>
      </c>
      <c r="D542" s="8">
        <v>5.8706000000000003E-4</v>
      </c>
    </row>
    <row r="543" spans="1:4" x14ac:dyDescent="0.2">
      <c r="A543" s="1">
        <v>2021</v>
      </c>
      <c r="B543" s="1" t="s">
        <v>542</v>
      </c>
      <c r="C543" s="1">
        <v>819</v>
      </c>
      <c r="D543" s="8">
        <v>7.0999999999999998E-7</v>
      </c>
    </row>
    <row r="544" spans="1:4" x14ac:dyDescent="0.2">
      <c r="A544" s="1">
        <v>2021</v>
      </c>
      <c r="B544" s="1" t="s">
        <v>543</v>
      </c>
      <c r="C544" s="2">
        <v>887789</v>
      </c>
      <c r="D544" s="8">
        <v>7.6736999999999997E-4</v>
      </c>
    </row>
    <row r="545" spans="1:4" x14ac:dyDescent="0.2">
      <c r="A545" s="1">
        <v>2021</v>
      </c>
      <c r="B545" s="1" t="s">
        <v>544</v>
      </c>
      <c r="C545" s="2">
        <v>9124</v>
      </c>
      <c r="D545" s="8">
        <v>7.8900000000000007E-6</v>
      </c>
    </row>
    <row r="546" spans="1:4" x14ac:dyDescent="0.2">
      <c r="A546" s="1">
        <v>2021</v>
      </c>
      <c r="B546" s="1" t="s">
        <v>545</v>
      </c>
      <c r="C546" s="2">
        <v>1008151</v>
      </c>
      <c r="D546" s="8">
        <v>8.7140999999999998E-4</v>
      </c>
    </row>
    <row r="547" spans="1:4" x14ac:dyDescent="0.2">
      <c r="A547" s="1">
        <v>2021</v>
      </c>
      <c r="B547" s="1" t="s">
        <v>546</v>
      </c>
      <c r="C547" s="2">
        <v>5072644</v>
      </c>
      <c r="D547" s="8">
        <v>4.3845999999999998E-3</v>
      </c>
    </row>
    <row r="548" spans="1:4" x14ac:dyDescent="0.2">
      <c r="A548" s="1">
        <v>2021</v>
      </c>
      <c r="B548" s="1" t="s">
        <v>547</v>
      </c>
      <c r="C548" s="2">
        <v>1405708</v>
      </c>
      <c r="D548" s="8">
        <v>1.2150399999999999E-3</v>
      </c>
    </row>
    <row r="549" spans="1:4" x14ac:dyDescent="0.2">
      <c r="A549" s="1">
        <v>2021</v>
      </c>
      <c r="B549" s="1" t="s">
        <v>548</v>
      </c>
      <c r="C549" s="2">
        <v>2135885</v>
      </c>
      <c r="D549" s="8">
        <v>1.84618E-3</v>
      </c>
    </row>
    <row r="550" spans="1:4" x14ac:dyDescent="0.2">
      <c r="A550" s="1">
        <v>2021</v>
      </c>
      <c r="B550" s="1" t="s">
        <v>549</v>
      </c>
      <c r="C550" s="2">
        <v>4303657</v>
      </c>
      <c r="D550" s="8">
        <v>3.7199199999999998E-3</v>
      </c>
    </row>
    <row r="551" spans="1:4" x14ac:dyDescent="0.2">
      <c r="A551" s="1">
        <v>2021</v>
      </c>
      <c r="B551" s="1" t="s">
        <v>550</v>
      </c>
      <c r="C551" s="2">
        <v>1087671</v>
      </c>
      <c r="D551" s="8">
        <v>9.4014000000000001E-4</v>
      </c>
    </row>
    <row r="552" spans="1:4" x14ac:dyDescent="0.2">
      <c r="A552" s="1">
        <v>2021</v>
      </c>
      <c r="B552" s="1" t="s">
        <v>551</v>
      </c>
      <c r="C552" s="2">
        <v>1701983</v>
      </c>
      <c r="D552" s="8">
        <v>1.47113E-3</v>
      </c>
    </row>
    <row r="553" spans="1:4" x14ac:dyDescent="0.2">
      <c r="A553" s="1">
        <v>2021</v>
      </c>
      <c r="B553" s="1" t="s">
        <v>552</v>
      </c>
      <c r="C553" s="2">
        <v>65387</v>
      </c>
      <c r="D553" s="8">
        <v>5.6520000000000001E-5</v>
      </c>
    </row>
    <row r="554" spans="1:4" x14ac:dyDescent="0.2">
      <c r="A554" s="1">
        <v>2021</v>
      </c>
      <c r="B554" s="1" t="s">
        <v>553</v>
      </c>
      <c r="C554" s="2">
        <v>2893200</v>
      </c>
      <c r="D554" s="8">
        <v>2.5007699999999998E-3</v>
      </c>
    </row>
    <row r="555" spans="1:4" x14ac:dyDescent="0.2">
      <c r="A555" s="1">
        <v>2021</v>
      </c>
      <c r="B555" s="1" t="s">
        <v>554</v>
      </c>
      <c r="C555" s="2">
        <v>59127</v>
      </c>
      <c r="D555" s="8">
        <v>5.1109999999999997E-5</v>
      </c>
    </row>
    <row r="556" spans="1:4" x14ac:dyDescent="0.2">
      <c r="A556" s="1">
        <v>2021</v>
      </c>
      <c r="B556" s="1" t="s">
        <v>555</v>
      </c>
      <c r="C556" s="2">
        <v>5013721</v>
      </c>
      <c r="D556" s="8">
        <v>4.3336700000000004E-3</v>
      </c>
    </row>
    <row r="557" spans="1:4" x14ac:dyDescent="0.2">
      <c r="A557" s="1">
        <v>2021</v>
      </c>
      <c r="B557" s="1" t="s">
        <v>556</v>
      </c>
      <c r="C557" s="2">
        <v>33377</v>
      </c>
      <c r="D557" s="8">
        <v>2.885E-5</v>
      </c>
    </row>
    <row r="558" spans="1:4" x14ac:dyDescent="0.2">
      <c r="A558" s="1">
        <v>2021</v>
      </c>
      <c r="B558" s="1" t="s">
        <v>557</v>
      </c>
      <c r="C558" s="2">
        <v>1347721</v>
      </c>
      <c r="D558" s="8">
        <v>1.1649200000000001E-3</v>
      </c>
    </row>
    <row r="559" spans="1:4" x14ac:dyDescent="0.2">
      <c r="A559" s="1">
        <v>2021</v>
      </c>
      <c r="B559" s="1" t="s">
        <v>558</v>
      </c>
      <c r="C559" s="2">
        <v>410631</v>
      </c>
      <c r="D559" s="8">
        <v>3.5492999999999999E-4</v>
      </c>
    </row>
    <row r="560" spans="1:4" x14ac:dyDescent="0.2">
      <c r="A560" s="1">
        <v>2021</v>
      </c>
      <c r="B560" s="1" t="s">
        <v>559</v>
      </c>
      <c r="C560" s="2">
        <v>8453</v>
      </c>
      <c r="D560" s="8">
        <v>7.3100000000000003E-6</v>
      </c>
    </row>
    <row r="561" spans="1:4" x14ac:dyDescent="0.2">
      <c r="A561" s="1">
        <v>2021</v>
      </c>
      <c r="B561" s="1" t="s">
        <v>560</v>
      </c>
      <c r="C561" s="2">
        <v>47985</v>
      </c>
      <c r="D561" s="8">
        <v>4.1480000000000003E-5</v>
      </c>
    </row>
    <row r="562" spans="1:4" x14ac:dyDescent="0.2">
      <c r="A562" s="1">
        <v>2021</v>
      </c>
      <c r="B562" s="1" t="s">
        <v>561</v>
      </c>
      <c r="C562" s="2">
        <v>16117</v>
      </c>
      <c r="D562" s="8">
        <v>1.393E-5</v>
      </c>
    </row>
    <row r="563" spans="1:4" x14ac:dyDescent="0.2">
      <c r="A563" s="1">
        <v>2021</v>
      </c>
      <c r="B563" s="1" t="s">
        <v>562</v>
      </c>
      <c r="C563" s="2">
        <v>1289629</v>
      </c>
      <c r="D563" s="8">
        <v>1.1147100000000001E-3</v>
      </c>
    </row>
    <row r="564" spans="1:4" x14ac:dyDescent="0.2">
      <c r="A564" s="1">
        <v>2021</v>
      </c>
      <c r="B564" s="1" t="s">
        <v>563</v>
      </c>
      <c r="C564" s="2">
        <v>5646859</v>
      </c>
      <c r="D564" s="8">
        <v>4.8809300000000003E-3</v>
      </c>
    </row>
    <row r="565" spans="1:4" x14ac:dyDescent="0.2">
      <c r="A565" s="1">
        <v>2021</v>
      </c>
      <c r="B565" s="1" t="s">
        <v>564</v>
      </c>
      <c r="C565" s="2">
        <v>6907</v>
      </c>
      <c r="D565" s="8">
        <v>5.9699999999999996E-6</v>
      </c>
    </row>
    <row r="566" spans="1:4" x14ac:dyDescent="0.2">
      <c r="A566" s="1">
        <v>2021</v>
      </c>
      <c r="B566" s="1" t="s">
        <v>565</v>
      </c>
      <c r="C566" s="2">
        <v>297061</v>
      </c>
      <c r="D566" s="8">
        <v>2.5677000000000002E-4</v>
      </c>
    </row>
    <row r="567" spans="1:4" x14ac:dyDescent="0.2">
      <c r="A567" s="1">
        <v>2021</v>
      </c>
      <c r="B567" s="1" t="s">
        <v>566</v>
      </c>
      <c r="C567" s="2">
        <v>222446</v>
      </c>
      <c r="D567" s="8">
        <v>1.9227E-4</v>
      </c>
    </row>
    <row r="568" spans="1:4" x14ac:dyDescent="0.2">
      <c r="A568" s="1">
        <v>2021</v>
      </c>
      <c r="B568" s="1" t="s">
        <v>567</v>
      </c>
      <c r="C568" s="2">
        <v>157534</v>
      </c>
      <c r="D568" s="8">
        <v>1.3616999999999999E-4</v>
      </c>
    </row>
    <row r="569" spans="1:4" x14ac:dyDescent="0.2">
      <c r="A569" s="1">
        <v>2021</v>
      </c>
      <c r="B569" s="1" t="s">
        <v>568</v>
      </c>
      <c r="C569" s="2">
        <v>169680</v>
      </c>
      <c r="D569" s="8">
        <v>1.4666000000000001E-4</v>
      </c>
    </row>
    <row r="570" spans="1:4" x14ac:dyDescent="0.2">
      <c r="A570" s="1">
        <v>2021</v>
      </c>
      <c r="B570" s="1" t="s">
        <v>569</v>
      </c>
      <c r="C570" s="2">
        <v>643949</v>
      </c>
      <c r="D570" s="8">
        <v>5.5659999999999998E-4</v>
      </c>
    </row>
    <row r="571" spans="1:4" x14ac:dyDescent="0.2">
      <c r="A571" s="1">
        <v>2021</v>
      </c>
      <c r="B571" s="1" t="s">
        <v>570</v>
      </c>
      <c r="C571" s="2">
        <v>1240457</v>
      </c>
      <c r="D571" s="8">
        <v>1.0721999999999999E-3</v>
      </c>
    </row>
    <row r="572" spans="1:4" x14ac:dyDescent="0.2">
      <c r="A572" s="1">
        <v>2021</v>
      </c>
      <c r="B572" s="1" t="s">
        <v>571</v>
      </c>
      <c r="C572" s="2">
        <v>40404</v>
      </c>
      <c r="D572" s="8">
        <v>3.4919999999999998E-5</v>
      </c>
    </row>
    <row r="573" spans="1:4" x14ac:dyDescent="0.2">
      <c r="A573" s="1">
        <v>2021</v>
      </c>
      <c r="B573" s="1" t="s">
        <v>572</v>
      </c>
      <c r="C573" s="2">
        <v>3807229</v>
      </c>
      <c r="D573" s="8">
        <v>3.2908199999999999E-3</v>
      </c>
    </row>
    <row r="574" spans="1:4" x14ac:dyDescent="0.2">
      <c r="A574" s="1">
        <v>2021</v>
      </c>
      <c r="B574" s="1" t="s">
        <v>573</v>
      </c>
      <c r="C574" s="2">
        <v>31525</v>
      </c>
      <c r="D574" s="8">
        <v>2.7250000000000002E-5</v>
      </c>
    </row>
    <row r="575" spans="1:4" x14ac:dyDescent="0.2">
      <c r="A575" s="1">
        <v>2021</v>
      </c>
      <c r="B575" s="1" t="s">
        <v>574</v>
      </c>
      <c r="C575" s="2">
        <v>2795556</v>
      </c>
      <c r="D575" s="8">
        <v>2.4163700000000001E-3</v>
      </c>
    </row>
    <row r="576" spans="1:4" x14ac:dyDescent="0.2">
      <c r="A576" s="1">
        <v>2021</v>
      </c>
      <c r="B576" s="1" t="s">
        <v>887</v>
      </c>
      <c r="C576" s="2">
        <v>528572</v>
      </c>
      <c r="D576" s="8">
        <v>4.5688E-4</v>
      </c>
    </row>
    <row r="577" spans="1:4" x14ac:dyDescent="0.2">
      <c r="A577" s="1">
        <v>2021</v>
      </c>
      <c r="B577" s="1" t="s">
        <v>576</v>
      </c>
      <c r="C577" s="2">
        <v>93972</v>
      </c>
      <c r="D577" s="8">
        <v>8.1230000000000007E-5</v>
      </c>
    </row>
    <row r="578" spans="1:4" x14ac:dyDescent="0.2">
      <c r="A578" s="1">
        <v>2021</v>
      </c>
      <c r="B578" s="1" t="s">
        <v>577</v>
      </c>
      <c r="C578" s="2">
        <v>4456663</v>
      </c>
      <c r="D578" s="8">
        <v>3.8521699999999998E-3</v>
      </c>
    </row>
    <row r="579" spans="1:4" x14ac:dyDescent="0.2">
      <c r="A579" s="1">
        <v>2021</v>
      </c>
      <c r="B579" s="1" t="s">
        <v>578</v>
      </c>
      <c r="C579" s="2">
        <v>34063</v>
      </c>
      <c r="D579" s="8">
        <v>2.9439999999999999E-5</v>
      </c>
    </row>
    <row r="580" spans="1:4" x14ac:dyDescent="0.2">
      <c r="A580" s="1">
        <v>2021</v>
      </c>
      <c r="B580" s="1" t="s">
        <v>580</v>
      </c>
      <c r="C580" s="2">
        <v>1512789</v>
      </c>
      <c r="D580" s="8">
        <v>1.3075999999999999E-3</v>
      </c>
    </row>
    <row r="581" spans="1:4" x14ac:dyDescent="0.2">
      <c r="A581" s="1">
        <v>2021</v>
      </c>
      <c r="B581" s="1" t="s">
        <v>581</v>
      </c>
      <c r="C581" s="2">
        <v>5429</v>
      </c>
      <c r="D581" s="8">
        <v>4.69E-6</v>
      </c>
    </row>
    <row r="582" spans="1:4" x14ac:dyDescent="0.2">
      <c r="A582" s="1">
        <v>2021</v>
      </c>
      <c r="B582" s="1" t="s">
        <v>582</v>
      </c>
      <c r="C582" s="2">
        <v>1559373</v>
      </c>
      <c r="D582" s="8">
        <v>1.34786E-3</v>
      </c>
    </row>
    <row r="583" spans="1:4" x14ac:dyDescent="0.2">
      <c r="A583" s="1">
        <v>2021</v>
      </c>
      <c r="B583" s="1" t="s">
        <v>583</v>
      </c>
      <c r="C583" s="2">
        <v>9710955</v>
      </c>
      <c r="D583" s="8">
        <v>8.39378E-3</v>
      </c>
    </row>
    <row r="584" spans="1:4" x14ac:dyDescent="0.2">
      <c r="A584" s="1">
        <v>2021</v>
      </c>
      <c r="B584" s="1" t="s">
        <v>584</v>
      </c>
      <c r="C584" s="2">
        <v>584265</v>
      </c>
      <c r="D584" s="8">
        <v>5.0502000000000001E-4</v>
      </c>
    </row>
    <row r="585" spans="1:4" x14ac:dyDescent="0.2">
      <c r="A585" s="1">
        <v>2021</v>
      </c>
      <c r="B585" s="1" t="s">
        <v>585</v>
      </c>
      <c r="C585" s="2">
        <v>2170041</v>
      </c>
      <c r="D585" s="8">
        <v>1.8756999999999999E-3</v>
      </c>
    </row>
    <row r="586" spans="1:4" x14ac:dyDescent="0.2">
      <c r="A586" s="1">
        <v>2021</v>
      </c>
      <c r="B586" s="1" t="s">
        <v>586</v>
      </c>
      <c r="C586" s="2">
        <v>188962</v>
      </c>
      <c r="D586" s="8">
        <v>1.6333E-4</v>
      </c>
    </row>
    <row r="587" spans="1:4" x14ac:dyDescent="0.2">
      <c r="A587" s="1">
        <v>2021</v>
      </c>
      <c r="B587" s="1" t="s">
        <v>587</v>
      </c>
      <c r="C587" s="2">
        <v>1735547</v>
      </c>
      <c r="D587" s="8">
        <v>1.5001400000000001E-3</v>
      </c>
    </row>
    <row r="588" spans="1:4" x14ac:dyDescent="0.2">
      <c r="A588" s="1">
        <v>2021</v>
      </c>
      <c r="B588" s="1" t="s">
        <v>588</v>
      </c>
      <c r="C588" s="2">
        <v>3819536</v>
      </c>
      <c r="D588" s="8">
        <v>3.30146E-3</v>
      </c>
    </row>
    <row r="589" spans="1:4" x14ac:dyDescent="0.2">
      <c r="A589" s="1">
        <v>2021</v>
      </c>
      <c r="B589" s="1" t="s">
        <v>589</v>
      </c>
      <c r="C589" s="2">
        <v>2708806</v>
      </c>
      <c r="D589" s="8">
        <v>2.3413900000000001E-3</v>
      </c>
    </row>
    <row r="590" spans="1:4" x14ac:dyDescent="0.2">
      <c r="A590" s="1">
        <v>2021</v>
      </c>
      <c r="B590" s="1" t="s">
        <v>590</v>
      </c>
      <c r="C590" s="2">
        <v>1746454</v>
      </c>
      <c r="D590" s="8">
        <v>1.50957E-3</v>
      </c>
    </row>
    <row r="591" spans="1:4" x14ac:dyDescent="0.2">
      <c r="A591" s="1">
        <v>2021</v>
      </c>
      <c r="B591" s="1" t="s">
        <v>591</v>
      </c>
      <c r="C591" s="2">
        <v>52305</v>
      </c>
      <c r="D591" s="8">
        <v>4.5210000000000003E-5</v>
      </c>
    </row>
    <row r="592" spans="1:4" x14ac:dyDescent="0.2">
      <c r="A592" s="1">
        <v>2021</v>
      </c>
      <c r="B592" s="1" t="s">
        <v>592</v>
      </c>
      <c r="C592" s="2">
        <v>3759765</v>
      </c>
      <c r="D592" s="8">
        <v>3.2498000000000002E-3</v>
      </c>
    </row>
    <row r="593" spans="1:4" x14ac:dyDescent="0.2">
      <c r="A593" s="1">
        <v>2021</v>
      </c>
      <c r="B593" s="1" t="s">
        <v>594</v>
      </c>
      <c r="C593" s="2">
        <v>661339</v>
      </c>
      <c r="D593" s="8">
        <v>5.7164E-4</v>
      </c>
    </row>
    <row r="594" spans="1:4" x14ac:dyDescent="0.2">
      <c r="A594" s="1">
        <v>2021</v>
      </c>
      <c r="B594" s="1" t="s">
        <v>595</v>
      </c>
      <c r="C594" s="2">
        <v>98456</v>
      </c>
      <c r="D594" s="8">
        <v>8.5099999999999995E-5</v>
      </c>
    </row>
    <row r="595" spans="1:4" x14ac:dyDescent="0.2">
      <c r="A595" s="1">
        <v>2021</v>
      </c>
      <c r="B595" s="1" t="s">
        <v>596</v>
      </c>
      <c r="C595" s="2">
        <v>1215383</v>
      </c>
      <c r="D595" s="8">
        <v>1.05053E-3</v>
      </c>
    </row>
    <row r="596" spans="1:4" x14ac:dyDescent="0.2">
      <c r="A596" s="1">
        <v>2021</v>
      </c>
      <c r="B596" s="1" t="s">
        <v>597</v>
      </c>
      <c r="C596" s="2">
        <v>458775</v>
      </c>
      <c r="D596" s="8">
        <v>3.9655000000000002E-4</v>
      </c>
    </row>
    <row r="597" spans="1:4" x14ac:dyDescent="0.2">
      <c r="A597" s="1">
        <v>2021</v>
      </c>
      <c r="B597" s="1" t="s">
        <v>598</v>
      </c>
      <c r="C597" s="2">
        <v>709456</v>
      </c>
      <c r="D597" s="8">
        <v>6.1322999999999998E-4</v>
      </c>
    </row>
    <row r="598" spans="1:4" x14ac:dyDescent="0.2">
      <c r="A598" s="1">
        <v>2021</v>
      </c>
      <c r="B598" s="1" t="s">
        <v>599</v>
      </c>
      <c r="C598" s="2">
        <v>3966631</v>
      </c>
      <c r="D598" s="8">
        <v>3.4286E-3</v>
      </c>
    </row>
    <row r="599" spans="1:4" x14ac:dyDescent="0.2">
      <c r="A599" s="1">
        <v>2021</v>
      </c>
      <c r="B599" s="1" t="s">
        <v>600</v>
      </c>
      <c r="C599" s="2">
        <v>603960</v>
      </c>
      <c r="D599" s="8">
        <v>5.2203999999999998E-4</v>
      </c>
    </row>
    <row r="600" spans="1:4" x14ac:dyDescent="0.2">
      <c r="A600" s="1">
        <v>2021</v>
      </c>
      <c r="B600" s="1" t="s">
        <v>601</v>
      </c>
      <c r="C600" s="2">
        <v>894672</v>
      </c>
      <c r="D600" s="8">
        <v>7.7331999999999998E-4</v>
      </c>
    </row>
    <row r="601" spans="1:4" x14ac:dyDescent="0.2">
      <c r="A601" s="1">
        <v>2021</v>
      </c>
      <c r="B601" s="1" t="s">
        <v>602</v>
      </c>
      <c r="C601" s="2">
        <v>25447</v>
      </c>
      <c r="D601" s="8">
        <v>2.1999999999999999E-5</v>
      </c>
    </row>
    <row r="602" spans="1:4" x14ac:dyDescent="0.2">
      <c r="A602" s="1">
        <v>2021</v>
      </c>
      <c r="B602" s="1" t="s">
        <v>603</v>
      </c>
      <c r="C602" s="2">
        <v>1041312</v>
      </c>
      <c r="D602" s="8">
        <v>9.0006999999999999E-4</v>
      </c>
    </row>
    <row r="603" spans="1:4" x14ac:dyDescent="0.2">
      <c r="A603" s="1">
        <v>2021</v>
      </c>
      <c r="B603" s="1" t="s">
        <v>604</v>
      </c>
      <c r="C603" s="2">
        <v>111488</v>
      </c>
      <c r="D603" s="8">
        <v>9.6370000000000001E-5</v>
      </c>
    </row>
    <row r="604" spans="1:4" x14ac:dyDescent="0.2">
      <c r="A604" s="1">
        <v>2021</v>
      </c>
      <c r="B604" s="1" t="s">
        <v>605</v>
      </c>
      <c r="C604" s="2">
        <v>3792563</v>
      </c>
      <c r="D604" s="8">
        <v>3.2781400000000001E-3</v>
      </c>
    </row>
    <row r="605" spans="1:4" x14ac:dyDescent="0.2">
      <c r="A605" s="1">
        <v>2021</v>
      </c>
      <c r="B605" s="1" t="s">
        <v>606</v>
      </c>
      <c r="C605" s="2">
        <v>1320664</v>
      </c>
      <c r="D605" s="8">
        <v>1.14153E-3</v>
      </c>
    </row>
    <row r="606" spans="1:4" x14ac:dyDescent="0.2">
      <c r="A606" s="1">
        <v>2021</v>
      </c>
      <c r="B606" s="1" t="s">
        <v>607</v>
      </c>
      <c r="C606" s="2">
        <v>2748</v>
      </c>
      <c r="D606" s="8">
        <v>2.3800000000000001E-6</v>
      </c>
    </row>
    <row r="607" spans="1:4" x14ac:dyDescent="0.2">
      <c r="A607" s="1">
        <v>2021</v>
      </c>
      <c r="B607" s="1" t="s">
        <v>608</v>
      </c>
      <c r="C607" s="2">
        <v>73630</v>
      </c>
      <c r="D607" s="8">
        <v>6.3639999999999994E-5</v>
      </c>
    </row>
    <row r="608" spans="1:4" x14ac:dyDescent="0.2">
      <c r="A608" s="1">
        <v>2021</v>
      </c>
      <c r="B608" s="1" t="s">
        <v>609</v>
      </c>
      <c r="C608" s="2">
        <v>22762</v>
      </c>
      <c r="D608" s="8">
        <v>1.967E-5</v>
      </c>
    </row>
    <row r="609" spans="1:4" x14ac:dyDescent="0.2">
      <c r="A609" s="1">
        <v>2021</v>
      </c>
      <c r="B609" s="1" t="s">
        <v>610</v>
      </c>
      <c r="C609" s="2">
        <v>21301</v>
      </c>
      <c r="D609" s="8">
        <v>1.8410000000000002E-5</v>
      </c>
    </row>
    <row r="610" spans="1:4" x14ac:dyDescent="0.2">
      <c r="A610" s="1">
        <v>2021</v>
      </c>
      <c r="B610" s="1" t="s">
        <v>611</v>
      </c>
      <c r="C610" s="2">
        <v>38006</v>
      </c>
      <c r="D610" s="8">
        <v>3.2849999999999999E-5</v>
      </c>
    </row>
    <row r="611" spans="1:4" x14ac:dyDescent="0.2">
      <c r="A611" s="1">
        <v>2021</v>
      </c>
      <c r="B611" s="1" t="s">
        <v>612</v>
      </c>
      <c r="C611" s="2">
        <v>707543</v>
      </c>
      <c r="D611" s="8">
        <v>6.1156999999999997E-4</v>
      </c>
    </row>
    <row r="612" spans="1:4" x14ac:dyDescent="0.2">
      <c r="A612" s="1">
        <v>2021</v>
      </c>
      <c r="B612" s="1" t="s">
        <v>613</v>
      </c>
      <c r="C612" s="2">
        <v>3020396</v>
      </c>
      <c r="D612" s="8">
        <v>2.61071E-3</v>
      </c>
    </row>
    <row r="613" spans="1:4" x14ac:dyDescent="0.2">
      <c r="A613" s="1">
        <v>2021</v>
      </c>
      <c r="B613" s="1" t="s">
        <v>614</v>
      </c>
      <c r="C613" s="2">
        <v>875920</v>
      </c>
      <c r="D613" s="8">
        <v>7.5710999999999997E-4</v>
      </c>
    </row>
    <row r="614" spans="1:4" x14ac:dyDescent="0.2">
      <c r="A614" s="1">
        <v>2021</v>
      </c>
      <c r="B614" s="1" t="s">
        <v>890</v>
      </c>
      <c r="C614" s="2">
        <v>5067</v>
      </c>
      <c r="D614" s="8">
        <v>4.3800000000000004E-6</v>
      </c>
    </row>
    <row r="615" spans="1:4" x14ac:dyDescent="0.2">
      <c r="A615" s="1">
        <v>2021</v>
      </c>
      <c r="B615" s="1" t="s">
        <v>615</v>
      </c>
      <c r="C615" s="2">
        <v>25452</v>
      </c>
      <c r="D615" s="8">
        <v>2.1999999999999999E-5</v>
      </c>
    </row>
    <row r="616" spans="1:4" x14ac:dyDescent="0.2">
      <c r="A616" s="1">
        <v>2021</v>
      </c>
      <c r="B616" s="1" t="s">
        <v>616</v>
      </c>
      <c r="C616" s="2">
        <v>2245974</v>
      </c>
      <c r="D616" s="8">
        <v>1.94133E-3</v>
      </c>
    </row>
    <row r="617" spans="1:4" x14ac:dyDescent="0.2">
      <c r="A617" s="1">
        <v>2021</v>
      </c>
      <c r="B617" s="1" t="s">
        <v>617</v>
      </c>
      <c r="C617" s="2">
        <v>177110</v>
      </c>
      <c r="D617" s="8">
        <v>1.5309000000000001E-4</v>
      </c>
    </row>
    <row r="618" spans="1:4" x14ac:dyDescent="0.2">
      <c r="A618" s="1">
        <v>2021</v>
      </c>
      <c r="B618" s="1" t="s">
        <v>618</v>
      </c>
      <c r="C618" s="2">
        <v>1851656</v>
      </c>
      <c r="D618" s="8">
        <v>1.6004999999999999E-3</v>
      </c>
    </row>
    <row r="619" spans="1:4" x14ac:dyDescent="0.2">
      <c r="A619" s="1">
        <v>2021</v>
      </c>
      <c r="B619" s="1" t="s">
        <v>619</v>
      </c>
      <c r="C619" s="2">
        <v>482573</v>
      </c>
      <c r="D619" s="8">
        <v>4.1711999999999999E-4</v>
      </c>
    </row>
    <row r="620" spans="1:4" x14ac:dyDescent="0.2">
      <c r="A620" s="1">
        <v>2021</v>
      </c>
      <c r="B620" s="1" t="s">
        <v>620</v>
      </c>
      <c r="C620" s="2">
        <v>157576</v>
      </c>
      <c r="D620" s="8">
        <v>1.362E-4</v>
      </c>
    </row>
    <row r="621" spans="1:4" x14ac:dyDescent="0.2">
      <c r="A621" s="1">
        <v>2021</v>
      </c>
      <c r="B621" s="1" t="s">
        <v>621</v>
      </c>
      <c r="C621" s="2">
        <v>21898</v>
      </c>
      <c r="D621" s="8">
        <v>1.893E-5</v>
      </c>
    </row>
    <row r="622" spans="1:4" x14ac:dyDescent="0.2">
      <c r="A622" s="1">
        <v>2021</v>
      </c>
      <c r="B622" s="1" t="s">
        <v>622</v>
      </c>
      <c r="C622" s="2">
        <v>2487376</v>
      </c>
      <c r="D622" s="8">
        <v>2.1499900000000001E-3</v>
      </c>
    </row>
    <row r="623" spans="1:4" x14ac:dyDescent="0.2">
      <c r="A623" s="1">
        <v>2021</v>
      </c>
      <c r="B623" s="1" t="s">
        <v>623</v>
      </c>
      <c r="C623" s="2">
        <v>671054</v>
      </c>
      <c r="D623" s="8">
        <v>5.8003000000000004E-4</v>
      </c>
    </row>
    <row r="624" spans="1:4" x14ac:dyDescent="0.2">
      <c r="A624" s="1">
        <v>2021</v>
      </c>
      <c r="B624" s="1" t="s">
        <v>891</v>
      </c>
      <c r="C624" s="2">
        <v>4350</v>
      </c>
      <c r="D624" s="8">
        <v>3.76E-6</v>
      </c>
    </row>
    <row r="625" spans="1:4" x14ac:dyDescent="0.2">
      <c r="A625" s="1">
        <v>2021</v>
      </c>
      <c r="B625" s="1" t="s">
        <v>624</v>
      </c>
      <c r="C625" s="2">
        <v>97949</v>
      </c>
      <c r="D625" s="8">
        <v>8.4660000000000006E-5</v>
      </c>
    </row>
    <row r="626" spans="1:4" x14ac:dyDescent="0.2">
      <c r="A626" s="1">
        <v>2021</v>
      </c>
      <c r="B626" s="1" t="s">
        <v>625</v>
      </c>
      <c r="C626" s="2">
        <v>40526</v>
      </c>
      <c r="D626" s="8">
        <v>3.5030000000000002E-5</v>
      </c>
    </row>
    <row r="627" spans="1:4" x14ac:dyDescent="0.2">
      <c r="A627" s="1">
        <v>2021</v>
      </c>
      <c r="B627" s="1" t="s">
        <v>626</v>
      </c>
      <c r="C627" s="2">
        <v>54380</v>
      </c>
      <c r="D627" s="8">
        <v>4.6999999999999997E-5</v>
      </c>
    </row>
    <row r="628" spans="1:4" x14ac:dyDescent="0.2">
      <c r="A628" s="1">
        <v>2021</v>
      </c>
      <c r="B628" s="1" t="s">
        <v>627</v>
      </c>
      <c r="C628" s="2">
        <v>1361390</v>
      </c>
      <c r="D628" s="8">
        <v>1.17673E-3</v>
      </c>
    </row>
    <row r="629" spans="1:4" x14ac:dyDescent="0.2">
      <c r="A629" s="1">
        <v>2021</v>
      </c>
      <c r="B629" s="1" t="s">
        <v>628</v>
      </c>
      <c r="C629" s="2">
        <v>738889</v>
      </c>
      <c r="D629" s="8">
        <v>6.3867000000000004E-4</v>
      </c>
    </row>
    <row r="630" spans="1:4" x14ac:dyDescent="0.2">
      <c r="A630" s="1">
        <v>2021</v>
      </c>
      <c r="B630" s="1" t="s">
        <v>629</v>
      </c>
      <c r="C630" s="2">
        <v>15759</v>
      </c>
      <c r="D630" s="8">
        <v>1.362E-5</v>
      </c>
    </row>
    <row r="631" spans="1:4" x14ac:dyDescent="0.2">
      <c r="A631" s="1">
        <v>2021</v>
      </c>
      <c r="B631" s="1" t="s">
        <v>630</v>
      </c>
      <c r="C631" s="2">
        <v>190228</v>
      </c>
      <c r="D631" s="8">
        <v>1.6443E-4</v>
      </c>
    </row>
    <row r="632" spans="1:4" x14ac:dyDescent="0.2">
      <c r="A632" s="1">
        <v>2021</v>
      </c>
      <c r="B632" s="1" t="s">
        <v>631</v>
      </c>
      <c r="C632" s="2">
        <v>1179682</v>
      </c>
      <c r="D632" s="8">
        <v>1.0196700000000001E-3</v>
      </c>
    </row>
    <row r="633" spans="1:4" x14ac:dyDescent="0.2">
      <c r="A633" s="1">
        <v>2021</v>
      </c>
      <c r="B633" s="1" t="s">
        <v>632</v>
      </c>
      <c r="C633" s="2">
        <v>555042</v>
      </c>
      <c r="D633" s="8">
        <v>4.7975999999999997E-4</v>
      </c>
    </row>
    <row r="634" spans="1:4" x14ac:dyDescent="0.2">
      <c r="A634" s="1">
        <v>2021</v>
      </c>
      <c r="B634" s="1" t="s">
        <v>633</v>
      </c>
      <c r="C634" s="2">
        <v>1744786</v>
      </c>
      <c r="D634" s="8">
        <v>1.5081300000000001E-3</v>
      </c>
    </row>
    <row r="635" spans="1:4" x14ac:dyDescent="0.2">
      <c r="A635" s="1">
        <v>2021</v>
      </c>
      <c r="B635" s="1" t="s">
        <v>634</v>
      </c>
      <c r="C635" s="2">
        <v>53114</v>
      </c>
      <c r="D635" s="8">
        <v>4.5909999999999999E-5</v>
      </c>
    </row>
    <row r="636" spans="1:4" x14ac:dyDescent="0.2">
      <c r="A636" s="1">
        <v>2021</v>
      </c>
      <c r="B636" s="1" t="s">
        <v>635</v>
      </c>
      <c r="C636" s="2">
        <v>18297473</v>
      </c>
      <c r="D636" s="8">
        <v>1.5815630000000001E-2</v>
      </c>
    </row>
    <row r="637" spans="1:4" x14ac:dyDescent="0.2">
      <c r="A637" s="1">
        <v>2021</v>
      </c>
      <c r="B637" s="1" t="s">
        <v>636</v>
      </c>
      <c r="C637" s="2">
        <v>3678375</v>
      </c>
      <c r="D637" s="8">
        <v>3.1794499999999999E-3</v>
      </c>
    </row>
    <row r="638" spans="1:4" x14ac:dyDescent="0.2">
      <c r="A638" s="1">
        <v>2021</v>
      </c>
      <c r="B638" s="1" t="s">
        <v>892</v>
      </c>
      <c r="C638" s="2">
        <v>75621</v>
      </c>
      <c r="D638" s="8">
        <v>6.5359999999999998E-5</v>
      </c>
    </row>
    <row r="639" spans="1:4" x14ac:dyDescent="0.2">
      <c r="A639" s="1">
        <v>2021</v>
      </c>
      <c r="B639" s="1" t="s">
        <v>637</v>
      </c>
      <c r="C639" s="2">
        <v>18182</v>
      </c>
      <c r="D639" s="8">
        <v>1.5719999999999999E-5</v>
      </c>
    </row>
    <row r="640" spans="1:4" x14ac:dyDescent="0.2">
      <c r="A640" s="1">
        <v>2021</v>
      </c>
      <c r="B640" s="1" t="s">
        <v>638</v>
      </c>
      <c r="C640" s="2">
        <v>104669</v>
      </c>
      <c r="D640" s="8">
        <v>9.0470000000000006E-5</v>
      </c>
    </row>
    <row r="641" spans="1:4" x14ac:dyDescent="0.2">
      <c r="A641" s="1">
        <v>2021</v>
      </c>
      <c r="B641" s="1" t="s">
        <v>639</v>
      </c>
      <c r="C641" s="2">
        <v>114487</v>
      </c>
      <c r="D641" s="8">
        <v>9.8960000000000001E-5</v>
      </c>
    </row>
    <row r="642" spans="1:4" x14ac:dyDescent="0.2">
      <c r="A642" s="1">
        <v>2021</v>
      </c>
      <c r="B642" s="1" t="s">
        <v>640</v>
      </c>
      <c r="C642" s="2">
        <v>6564700</v>
      </c>
      <c r="D642" s="8">
        <v>5.6742700000000004E-3</v>
      </c>
    </row>
    <row r="643" spans="1:4" x14ac:dyDescent="0.2">
      <c r="A643" s="1">
        <v>2021</v>
      </c>
      <c r="B643" s="1" t="s">
        <v>641</v>
      </c>
      <c r="C643" s="2">
        <v>228433</v>
      </c>
      <c r="D643" s="8">
        <v>1.9745E-4</v>
      </c>
    </row>
    <row r="644" spans="1:4" x14ac:dyDescent="0.2">
      <c r="A644" s="1">
        <v>2021</v>
      </c>
      <c r="B644" s="1" t="s">
        <v>642</v>
      </c>
      <c r="C644" s="2">
        <v>943684</v>
      </c>
      <c r="D644" s="8">
        <v>8.1568000000000005E-4</v>
      </c>
    </row>
    <row r="645" spans="1:4" x14ac:dyDescent="0.2">
      <c r="A645" s="1">
        <v>2021</v>
      </c>
      <c r="B645" s="1" t="s">
        <v>643</v>
      </c>
      <c r="C645" s="2">
        <v>566702</v>
      </c>
      <c r="D645" s="8">
        <v>4.8983999999999996E-4</v>
      </c>
    </row>
    <row r="646" spans="1:4" x14ac:dyDescent="0.2">
      <c r="A646" s="1">
        <v>2021</v>
      </c>
      <c r="B646" s="1" t="s">
        <v>644</v>
      </c>
      <c r="C646" s="2">
        <v>53737</v>
      </c>
      <c r="D646" s="8">
        <v>4.6449999999999997E-5</v>
      </c>
    </row>
    <row r="647" spans="1:4" x14ac:dyDescent="0.2">
      <c r="A647" s="1">
        <v>2021</v>
      </c>
      <c r="B647" s="1" t="s">
        <v>645</v>
      </c>
      <c r="C647" s="2">
        <v>2015092</v>
      </c>
      <c r="D647" s="8">
        <v>1.7417699999999999E-3</v>
      </c>
    </row>
    <row r="648" spans="1:4" x14ac:dyDescent="0.2">
      <c r="A648" s="1">
        <v>2021</v>
      </c>
      <c r="B648" s="1" t="s">
        <v>646</v>
      </c>
      <c r="C648" s="2">
        <v>63783</v>
      </c>
      <c r="D648" s="8">
        <v>5.5130000000000002E-5</v>
      </c>
    </row>
    <row r="649" spans="1:4" x14ac:dyDescent="0.2">
      <c r="A649" s="1">
        <v>2021</v>
      </c>
      <c r="B649" s="1" t="s">
        <v>647</v>
      </c>
      <c r="C649" s="2">
        <v>310155</v>
      </c>
      <c r="D649" s="8">
        <v>2.6809000000000002E-4</v>
      </c>
    </row>
    <row r="650" spans="1:4" x14ac:dyDescent="0.2">
      <c r="A650" s="1">
        <v>2021</v>
      </c>
      <c r="B650" s="1" t="s">
        <v>648</v>
      </c>
      <c r="C650" s="2">
        <v>160782</v>
      </c>
      <c r="D650" s="8">
        <v>1.3897000000000001E-4</v>
      </c>
    </row>
    <row r="651" spans="1:4" x14ac:dyDescent="0.2">
      <c r="A651" s="1">
        <v>2021</v>
      </c>
      <c r="B651" s="1" t="s">
        <v>649</v>
      </c>
      <c r="C651" s="2">
        <v>48103</v>
      </c>
      <c r="D651" s="8">
        <v>4.1579999999999998E-5</v>
      </c>
    </row>
    <row r="652" spans="1:4" x14ac:dyDescent="0.2">
      <c r="A652" s="1">
        <v>2021</v>
      </c>
      <c r="B652" s="1" t="s">
        <v>650</v>
      </c>
      <c r="C652" s="2">
        <v>45029</v>
      </c>
      <c r="D652" s="8">
        <v>3.892E-5</v>
      </c>
    </row>
    <row r="653" spans="1:4" x14ac:dyDescent="0.2">
      <c r="A653" s="1">
        <v>2021</v>
      </c>
      <c r="B653" s="1" t="s">
        <v>651</v>
      </c>
      <c r="C653" s="2">
        <v>16994</v>
      </c>
      <c r="D653" s="8">
        <v>1.469E-5</v>
      </c>
    </row>
    <row r="654" spans="1:4" x14ac:dyDescent="0.2">
      <c r="A654" s="1">
        <v>2021</v>
      </c>
      <c r="B654" s="1" t="s">
        <v>652</v>
      </c>
      <c r="C654" s="2">
        <v>124017</v>
      </c>
      <c r="D654" s="8">
        <v>1.072E-4</v>
      </c>
    </row>
    <row r="655" spans="1:4" x14ac:dyDescent="0.2">
      <c r="A655" s="1">
        <v>2021</v>
      </c>
      <c r="B655" s="1" t="s">
        <v>653</v>
      </c>
      <c r="C655" s="2">
        <v>12563</v>
      </c>
      <c r="D655" s="8">
        <v>1.0859999999999999E-5</v>
      </c>
    </row>
    <row r="656" spans="1:4" x14ac:dyDescent="0.2">
      <c r="A656" s="1">
        <v>2021</v>
      </c>
      <c r="B656" s="1" t="s">
        <v>654</v>
      </c>
      <c r="C656" s="2">
        <v>235954</v>
      </c>
      <c r="D656" s="8">
        <v>2.0395E-4</v>
      </c>
    </row>
    <row r="657" spans="1:4" x14ac:dyDescent="0.2">
      <c r="A657" s="1">
        <v>2021</v>
      </c>
      <c r="B657" s="1" t="s">
        <v>655</v>
      </c>
      <c r="C657" s="2">
        <v>113294</v>
      </c>
      <c r="D657" s="8">
        <v>9.7930000000000006E-5</v>
      </c>
    </row>
    <row r="658" spans="1:4" x14ac:dyDescent="0.2">
      <c r="A658" s="1">
        <v>2021</v>
      </c>
      <c r="B658" s="1" t="s">
        <v>656</v>
      </c>
      <c r="C658" s="2">
        <v>19513</v>
      </c>
      <c r="D658" s="8">
        <v>1.6869999999999999E-5</v>
      </c>
    </row>
    <row r="659" spans="1:4" x14ac:dyDescent="0.2">
      <c r="A659" s="1">
        <v>2021</v>
      </c>
      <c r="B659" s="1" t="s">
        <v>657</v>
      </c>
      <c r="C659" s="2">
        <v>53938</v>
      </c>
      <c r="D659" s="8">
        <v>4.6619999999999997E-5</v>
      </c>
    </row>
    <row r="660" spans="1:4" x14ac:dyDescent="0.2">
      <c r="A660" s="1">
        <v>2021</v>
      </c>
      <c r="B660" s="1" t="s">
        <v>658</v>
      </c>
      <c r="C660" s="2">
        <v>3465806</v>
      </c>
      <c r="D660" s="8">
        <v>2.99571E-3</v>
      </c>
    </row>
    <row r="661" spans="1:4" x14ac:dyDescent="0.2">
      <c r="A661" s="1">
        <v>2021</v>
      </c>
      <c r="B661" s="1" t="s">
        <v>659</v>
      </c>
      <c r="C661" s="2">
        <v>793113</v>
      </c>
      <c r="D661" s="8">
        <v>6.8554E-4</v>
      </c>
    </row>
    <row r="662" spans="1:4" x14ac:dyDescent="0.2">
      <c r="A662" s="1">
        <v>2021</v>
      </c>
      <c r="B662" s="1" t="s">
        <v>660</v>
      </c>
      <c r="C662" s="2">
        <v>8538</v>
      </c>
      <c r="D662" s="8">
        <v>7.3799999999999996E-6</v>
      </c>
    </row>
    <row r="663" spans="1:4" x14ac:dyDescent="0.2">
      <c r="A663" s="1">
        <v>2021</v>
      </c>
      <c r="B663" s="1" t="s">
        <v>661</v>
      </c>
      <c r="C663" s="2">
        <v>16566</v>
      </c>
      <c r="D663" s="8">
        <v>1.432E-5</v>
      </c>
    </row>
    <row r="664" spans="1:4" x14ac:dyDescent="0.2">
      <c r="A664" s="1">
        <v>2021</v>
      </c>
      <c r="B664" s="1" t="s">
        <v>662</v>
      </c>
      <c r="C664" s="2">
        <v>838155</v>
      </c>
      <c r="D664" s="8">
        <v>7.2446999999999995E-4</v>
      </c>
    </row>
    <row r="665" spans="1:4" x14ac:dyDescent="0.2">
      <c r="A665" s="1">
        <v>2021</v>
      </c>
      <c r="B665" s="1" t="s">
        <v>663</v>
      </c>
      <c r="C665" s="2">
        <v>16944</v>
      </c>
      <c r="D665" s="8">
        <v>1.465E-5</v>
      </c>
    </row>
    <row r="666" spans="1:4" x14ac:dyDescent="0.2">
      <c r="A666" s="1">
        <v>2021</v>
      </c>
      <c r="B666" s="1" t="s">
        <v>664</v>
      </c>
      <c r="C666" s="2">
        <v>655719</v>
      </c>
      <c r="D666" s="8">
        <v>5.6678000000000002E-4</v>
      </c>
    </row>
    <row r="667" spans="1:4" x14ac:dyDescent="0.2">
      <c r="A667" s="1">
        <v>2021</v>
      </c>
      <c r="B667" s="1" t="s">
        <v>665</v>
      </c>
      <c r="C667" s="2">
        <v>39337</v>
      </c>
      <c r="D667" s="8">
        <v>3.4E-5</v>
      </c>
    </row>
    <row r="668" spans="1:4" x14ac:dyDescent="0.2">
      <c r="A668" s="1">
        <v>2021</v>
      </c>
      <c r="B668" s="1" t="s">
        <v>666</v>
      </c>
      <c r="C668" s="2">
        <v>1663673</v>
      </c>
      <c r="D668" s="8">
        <v>1.43801E-3</v>
      </c>
    </row>
    <row r="669" spans="1:4" x14ac:dyDescent="0.2">
      <c r="A669" s="1">
        <v>2021</v>
      </c>
      <c r="B669" s="1" t="s">
        <v>667</v>
      </c>
      <c r="C669" s="2">
        <v>62574</v>
      </c>
      <c r="D669" s="8">
        <v>5.4089999999999999E-5</v>
      </c>
    </row>
    <row r="670" spans="1:4" x14ac:dyDescent="0.2">
      <c r="A670" s="1">
        <v>2021</v>
      </c>
      <c r="B670" s="1" t="s">
        <v>668</v>
      </c>
      <c r="C670" s="2">
        <v>301403</v>
      </c>
      <c r="D670" s="8">
        <v>2.6051999999999998E-4</v>
      </c>
    </row>
    <row r="671" spans="1:4" x14ac:dyDescent="0.2">
      <c r="A671" s="1">
        <v>2021</v>
      </c>
      <c r="B671" s="1" t="s">
        <v>669</v>
      </c>
      <c r="C671" s="2">
        <v>15233</v>
      </c>
      <c r="D671" s="8">
        <v>1.3169999999999999E-5</v>
      </c>
    </row>
    <row r="672" spans="1:4" x14ac:dyDescent="0.2">
      <c r="A672" s="1">
        <v>2021</v>
      </c>
      <c r="B672" s="1" t="s">
        <v>670</v>
      </c>
      <c r="C672" s="2">
        <v>46926</v>
      </c>
      <c r="D672" s="8">
        <v>4.0559999999999998E-5</v>
      </c>
    </row>
    <row r="673" spans="1:4" x14ac:dyDescent="0.2">
      <c r="A673" s="1">
        <v>2021</v>
      </c>
      <c r="B673" s="1" t="s">
        <v>671</v>
      </c>
      <c r="C673" s="2">
        <v>56033</v>
      </c>
      <c r="D673" s="8">
        <v>4.8430000000000002E-5</v>
      </c>
    </row>
    <row r="674" spans="1:4" x14ac:dyDescent="0.2">
      <c r="A674" s="1">
        <v>2021</v>
      </c>
      <c r="B674" s="1" t="s">
        <v>672</v>
      </c>
      <c r="C674" s="2">
        <v>7647</v>
      </c>
      <c r="D674" s="8">
        <v>6.6100000000000002E-6</v>
      </c>
    </row>
    <row r="675" spans="1:4" x14ac:dyDescent="0.2">
      <c r="A675" s="1">
        <v>2021</v>
      </c>
      <c r="B675" s="1" t="s">
        <v>673</v>
      </c>
      <c r="C675" s="2">
        <v>66181</v>
      </c>
      <c r="D675" s="8">
        <v>5.7200000000000001E-5</v>
      </c>
    </row>
    <row r="676" spans="1:4" x14ac:dyDescent="0.2">
      <c r="A676" s="1">
        <v>2021</v>
      </c>
      <c r="B676" s="1" t="s">
        <v>674</v>
      </c>
      <c r="C676" s="2">
        <v>21530</v>
      </c>
      <c r="D676" s="8">
        <v>1.861E-5</v>
      </c>
    </row>
    <row r="677" spans="1:4" x14ac:dyDescent="0.2">
      <c r="A677" s="1">
        <v>2021</v>
      </c>
      <c r="B677" s="1" t="s">
        <v>675</v>
      </c>
      <c r="C677" s="2">
        <v>24784</v>
      </c>
      <c r="D677" s="8">
        <v>2.1420000000000002E-5</v>
      </c>
    </row>
    <row r="678" spans="1:4" x14ac:dyDescent="0.2">
      <c r="A678" s="1">
        <v>2021</v>
      </c>
      <c r="B678" s="1" t="s">
        <v>676</v>
      </c>
      <c r="C678" s="1">
        <v>835</v>
      </c>
      <c r="D678" s="8">
        <v>7.1999999999999999E-7</v>
      </c>
    </row>
    <row r="679" spans="1:4" x14ac:dyDescent="0.2">
      <c r="A679" s="1">
        <v>2021</v>
      </c>
      <c r="B679" s="1" t="s">
        <v>677</v>
      </c>
      <c r="C679" s="2">
        <v>3318481</v>
      </c>
      <c r="D679" s="8">
        <v>2.8683699999999999E-3</v>
      </c>
    </row>
    <row r="680" spans="1:4" x14ac:dyDescent="0.2">
      <c r="A680" s="1">
        <v>2021</v>
      </c>
      <c r="B680" s="1" t="s">
        <v>678</v>
      </c>
      <c r="C680" s="2">
        <v>1041425</v>
      </c>
      <c r="D680" s="8">
        <v>9.0017000000000005E-4</v>
      </c>
    </row>
    <row r="681" spans="1:4" x14ac:dyDescent="0.2">
      <c r="A681" s="1">
        <v>2021</v>
      </c>
      <c r="B681" s="1" t="s">
        <v>679</v>
      </c>
      <c r="C681" s="2">
        <v>6997</v>
      </c>
      <c r="D681" s="8">
        <v>6.0499999999999997E-6</v>
      </c>
    </row>
    <row r="682" spans="1:4" x14ac:dyDescent="0.2">
      <c r="A682" s="1">
        <v>2021</v>
      </c>
      <c r="B682" s="1" t="s">
        <v>680</v>
      </c>
      <c r="C682" s="2">
        <v>774293</v>
      </c>
      <c r="D682" s="8">
        <v>6.6927000000000002E-4</v>
      </c>
    </row>
    <row r="683" spans="1:4" x14ac:dyDescent="0.2">
      <c r="A683" s="1">
        <v>2021</v>
      </c>
      <c r="B683" s="1" t="s">
        <v>681</v>
      </c>
      <c r="C683" s="2">
        <v>4385</v>
      </c>
      <c r="D683" s="8">
        <v>3.7900000000000001E-6</v>
      </c>
    </row>
    <row r="684" spans="1:4" x14ac:dyDescent="0.2">
      <c r="A684" s="1">
        <v>2021</v>
      </c>
      <c r="B684" s="1" t="s">
        <v>682</v>
      </c>
      <c r="C684" s="2">
        <v>2241251</v>
      </c>
      <c r="D684" s="8">
        <v>1.93725E-3</v>
      </c>
    </row>
    <row r="685" spans="1:4" x14ac:dyDescent="0.2">
      <c r="A685" s="1">
        <v>2021</v>
      </c>
      <c r="B685" s="1" t="s">
        <v>683</v>
      </c>
      <c r="C685" s="2">
        <v>561255</v>
      </c>
      <c r="D685" s="8">
        <v>4.8513000000000001E-4</v>
      </c>
    </row>
    <row r="686" spans="1:4" x14ac:dyDescent="0.2">
      <c r="A686" s="1">
        <v>2021</v>
      </c>
      <c r="B686" s="1" t="s">
        <v>684</v>
      </c>
      <c r="C686" s="2">
        <v>39206</v>
      </c>
      <c r="D686" s="8">
        <v>3.3890000000000002E-5</v>
      </c>
    </row>
    <row r="687" spans="1:4" x14ac:dyDescent="0.2">
      <c r="A687" s="1">
        <v>2021</v>
      </c>
      <c r="B687" s="1" t="s">
        <v>685</v>
      </c>
      <c r="C687" s="2">
        <v>1500679</v>
      </c>
      <c r="D687" s="8">
        <v>1.2971300000000001E-3</v>
      </c>
    </row>
    <row r="688" spans="1:4" x14ac:dyDescent="0.2">
      <c r="A688" s="1">
        <v>2021</v>
      </c>
      <c r="B688" s="1" t="s">
        <v>686</v>
      </c>
      <c r="C688" s="2">
        <v>7299</v>
      </c>
      <c r="D688" s="8">
        <v>6.3099999999999997E-6</v>
      </c>
    </row>
    <row r="689" spans="1:4" x14ac:dyDescent="0.2">
      <c r="A689" s="1">
        <v>2021</v>
      </c>
      <c r="B689" s="1" t="s">
        <v>687</v>
      </c>
      <c r="C689" s="2">
        <v>187579</v>
      </c>
      <c r="D689" s="8">
        <v>1.6213999999999999E-4</v>
      </c>
    </row>
    <row r="690" spans="1:4" x14ac:dyDescent="0.2">
      <c r="A690" s="1">
        <v>2021</v>
      </c>
      <c r="B690" s="1" t="s">
        <v>688</v>
      </c>
      <c r="C690" s="2">
        <v>915942</v>
      </c>
      <c r="D690" s="8">
        <v>7.9171000000000005E-4</v>
      </c>
    </row>
    <row r="691" spans="1:4" x14ac:dyDescent="0.2">
      <c r="A691" s="1">
        <v>2021</v>
      </c>
      <c r="B691" s="1" t="s">
        <v>689</v>
      </c>
      <c r="C691" s="2">
        <v>190472</v>
      </c>
      <c r="D691" s="8">
        <v>1.6464E-4</v>
      </c>
    </row>
    <row r="692" spans="1:4" x14ac:dyDescent="0.2">
      <c r="A692" s="1">
        <v>2021</v>
      </c>
      <c r="B692" s="1" t="s">
        <v>690</v>
      </c>
      <c r="C692" s="2">
        <v>37158</v>
      </c>
      <c r="D692" s="8">
        <v>3.2119999999999997E-5</v>
      </c>
    </row>
    <row r="693" spans="1:4" x14ac:dyDescent="0.2">
      <c r="A693" s="1">
        <v>2021</v>
      </c>
      <c r="B693" s="1" t="s">
        <v>691</v>
      </c>
      <c r="C693" s="2">
        <v>38355</v>
      </c>
      <c r="D693" s="8">
        <v>3.3149999999999999E-5</v>
      </c>
    </row>
    <row r="694" spans="1:4" x14ac:dyDescent="0.2">
      <c r="A694" s="1">
        <v>2021</v>
      </c>
      <c r="B694" s="1" t="s">
        <v>692</v>
      </c>
      <c r="C694" s="2">
        <v>4028785</v>
      </c>
      <c r="D694" s="8">
        <v>3.4823300000000001E-3</v>
      </c>
    </row>
    <row r="695" spans="1:4" x14ac:dyDescent="0.2">
      <c r="A695" s="1">
        <v>2021</v>
      </c>
      <c r="B695" s="1" t="s">
        <v>693</v>
      </c>
      <c r="C695" s="2">
        <v>1676044</v>
      </c>
      <c r="D695" s="8">
        <v>1.44871E-3</v>
      </c>
    </row>
    <row r="696" spans="1:4" x14ac:dyDescent="0.2">
      <c r="A696" s="1">
        <v>2021</v>
      </c>
      <c r="B696" s="1" t="s">
        <v>694</v>
      </c>
      <c r="C696" s="2">
        <v>2610524</v>
      </c>
      <c r="D696" s="8">
        <v>2.2564400000000002E-3</v>
      </c>
    </row>
    <row r="697" spans="1:4" x14ac:dyDescent="0.2">
      <c r="A697" s="1">
        <v>2021</v>
      </c>
      <c r="B697" s="1" t="s">
        <v>695</v>
      </c>
      <c r="C697" s="2">
        <v>4298088</v>
      </c>
      <c r="D697" s="8">
        <v>3.7150999999999998E-3</v>
      </c>
    </row>
    <row r="698" spans="1:4" x14ac:dyDescent="0.2">
      <c r="A698" s="1">
        <v>2021</v>
      </c>
      <c r="B698" s="1" t="s">
        <v>696</v>
      </c>
      <c r="C698" s="2">
        <v>1762603</v>
      </c>
      <c r="D698" s="8">
        <v>1.5235299999999999E-3</v>
      </c>
    </row>
    <row r="699" spans="1:4" x14ac:dyDescent="0.2">
      <c r="A699" s="1">
        <v>2021</v>
      </c>
      <c r="B699" s="1" t="s">
        <v>697</v>
      </c>
      <c r="C699" s="2">
        <v>507970</v>
      </c>
      <c r="D699" s="8">
        <v>4.3907000000000001E-4</v>
      </c>
    </row>
    <row r="700" spans="1:4" x14ac:dyDescent="0.2">
      <c r="A700" s="1">
        <v>2021</v>
      </c>
      <c r="B700" s="1" t="s">
        <v>698</v>
      </c>
      <c r="C700" s="2">
        <v>53206</v>
      </c>
      <c r="D700" s="8">
        <v>4.5989999999999998E-5</v>
      </c>
    </row>
    <row r="701" spans="1:4" x14ac:dyDescent="0.2">
      <c r="A701" s="1">
        <v>2021</v>
      </c>
      <c r="B701" s="1" t="s">
        <v>699</v>
      </c>
      <c r="C701" s="2">
        <v>5548897</v>
      </c>
      <c r="D701" s="8">
        <v>4.7962500000000002E-3</v>
      </c>
    </row>
    <row r="702" spans="1:4" x14ac:dyDescent="0.2">
      <c r="A702" s="1">
        <v>2021</v>
      </c>
      <c r="B702" s="1" t="s">
        <v>700</v>
      </c>
      <c r="C702" s="2">
        <v>527581</v>
      </c>
      <c r="D702" s="8">
        <v>4.5602000000000001E-4</v>
      </c>
    </row>
    <row r="703" spans="1:4" x14ac:dyDescent="0.2">
      <c r="A703" s="1">
        <v>2021</v>
      </c>
      <c r="B703" s="1" t="s">
        <v>701</v>
      </c>
      <c r="C703" s="2">
        <v>18286</v>
      </c>
      <c r="D703" s="8">
        <v>1.5809999999999999E-5</v>
      </c>
    </row>
    <row r="704" spans="1:4" x14ac:dyDescent="0.2">
      <c r="A704" s="1">
        <v>2021</v>
      </c>
      <c r="B704" s="1" t="s">
        <v>702</v>
      </c>
      <c r="C704" s="2">
        <v>54413</v>
      </c>
      <c r="D704" s="8">
        <v>4.7030000000000002E-5</v>
      </c>
    </row>
    <row r="705" spans="1:4" x14ac:dyDescent="0.2">
      <c r="A705" s="1">
        <v>2021</v>
      </c>
      <c r="B705" s="1" t="s">
        <v>703</v>
      </c>
      <c r="C705" s="2">
        <v>14373648</v>
      </c>
      <c r="D705" s="8">
        <v>1.2424030000000001E-2</v>
      </c>
    </row>
    <row r="706" spans="1:4" x14ac:dyDescent="0.2">
      <c r="A706" s="1">
        <v>2021</v>
      </c>
      <c r="B706" s="1" t="s">
        <v>704</v>
      </c>
      <c r="C706" s="2">
        <v>488849</v>
      </c>
      <c r="D706" s="8">
        <v>4.2254E-4</v>
      </c>
    </row>
    <row r="707" spans="1:4" x14ac:dyDescent="0.2">
      <c r="A707" s="1">
        <v>2021</v>
      </c>
      <c r="B707" s="1" t="s">
        <v>705</v>
      </c>
      <c r="C707" s="2">
        <v>1207451</v>
      </c>
      <c r="D707" s="8">
        <v>1.04367E-3</v>
      </c>
    </row>
    <row r="708" spans="1:4" x14ac:dyDescent="0.2">
      <c r="A708" s="1">
        <v>2021</v>
      </c>
      <c r="B708" s="1" t="s">
        <v>706</v>
      </c>
      <c r="C708" s="2">
        <v>21724</v>
      </c>
      <c r="D708" s="8">
        <v>1.878E-5</v>
      </c>
    </row>
    <row r="709" spans="1:4" x14ac:dyDescent="0.2">
      <c r="A709" s="1">
        <v>2021</v>
      </c>
      <c r="B709" s="1" t="s">
        <v>707</v>
      </c>
      <c r="C709" s="2">
        <v>106285</v>
      </c>
      <c r="D709" s="8">
        <v>9.187E-5</v>
      </c>
    </row>
    <row r="710" spans="1:4" x14ac:dyDescent="0.2">
      <c r="A710" s="1">
        <v>2021</v>
      </c>
      <c r="B710" s="1" t="s">
        <v>708</v>
      </c>
      <c r="C710" s="2">
        <v>2768291</v>
      </c>
      <c r="D710" s="8">
        <v>2.3928E-3</v>
      </c>
    </row>
    <row r="711" spans="1:4" x14ac:dyDescent="0.2">
      <c r="A711" s="1">
        <v>2021</v>
      </c>
      <c r="B711" s="1" t="s">
        <v>709</v>
      </c>
      <c r="C711" s="2">
        <v>2265929</v>
      </c>
      <c r="D711" s="8">
        <v>1.9585800000000001E-3</v>
      </c>
    </row>
    <row r="712" spans="1:4" x14ac:dyDescent="0.2">
      <c r="A712" s="1">
        <v>2021</v>
      </c>
      <c r="B712" s="1" t="s">
        <v>710</v>
      </c>
      <c r="C712" s="2">
        <v>18149</v>
      </c>
      <c r="D712" s="8">
        <v>1.5690000000000001E-5</v>
      </c>
    </row>
    <row r="713" spans="1:4" x14ac:dyDescent="0.2">
      <c r="A713" s="1">
        <v>2021</v>
      </c>
      <c r="B713" s="1" t="s">
        <v>711</v>
      </c>
      <c r="C713" s="2">
        <v>916934</v>
      </c>
      <c r="D713" s="8">
        <v>7.9255999999999999E-4</v>
      </c>
    </row>
    <row r="714" spans="1:4" x14ac:dyDescent="0.2">
      <c r="A714" s="1">
        <v>2021</v>
      </c>
      <c r="B714" s="1" t="s">
        <v>712</v>
      </c>
      <c r="C714" s="2">
        <v>1069</v>
      </c>
      <c r="D714" s="8">
        <v>9.1999999999999998E-7</v>
      </c>
    </row>
    <row r="715" spans="1:4" x14ac:dyDescent="0.2">
      <c r="A715" s="1">
        <v>2021</v>
      </c>
      <c r="B715" s="1" t="s">
        <v>713</v>
      </c>
      <c r="C715" s="2">
        <v>48133</v>
      </c>
      <c r="D715" s="8">
        <v>4.1600000000000002E-5</v>
      </c>
    </row>
    <row r="716" spans="1:4" x14ac:dyDescent="0.2">
      <c r="A716" s="1">
        <v>2021</v>
      </c>
      <c r="B716" s="1" t="s">
        <v>714</v>
      </c>
      <c r="C716" s="2">
        <v>13615</v>
      </c>
      <c r="D716" s="8">
        <v>1.1770000000000001E-5</v>
      </c>
    </row>
    <row r="717" spans="1:4" x14ac:dyDescent="0.2">
      <c r="A717" s="1">
        <v>2021</v>
      </c>
      <c r="B717" s="1" t="s">
        <v>715</v>
      </c>
      <c r="C717" s="2">
        <v>2192</v>
      </c>
      <c r="D717" s="8">
        <v>1.9E-6</v>
      </c>
    </row>
    <row r="718" spans="1:4" x14ac:dyDescent="0.2">
      <c r="A718" s="1">
        <v>2021</v>
      </c>
      <c r="B718" s="1" t="s">
        <v>716</v>
      </c>
      <c r="C718" s="2">
        <v>99610</v>
      </c>
      <c r="D718" s="8">
        <v>8.6100000000000006E-5</v>
      </c>
    </row>
    <row r="719" spans="1:4" x14ac:dyDescent="0.2">
      <c r="A719" s="1">
        <v>2021</v>
      </c>
      <c r="B719" s="1" t="s">
        <v>717</v>
      </c>
      <c r="C719" s="2">
        <v>36489</v>
      </c>
      <c r="D719" s="8">
        <v>3.154E-5</v>
      </c>
    </row>
    <row r="720" spans="1:4" x14ac:dyDescent="0.2">
      <c r="A720" s="1">
        <v>2021</v>
      </c>
      <c r="B720" s="1" t="s">
        <v>718</v>
      </c>
      <c r="C720" s="2">
        <v>102619</v>
      </c>
      <c r="D720" s="8">
        <v>8.8700000000000001E-5</v>
      </c>
    </row>
    <row r="721" spans="1:4" x14ac:dyDescent="0.2">
      <c r="A721" s="1">
        <v>2021</v>
      </c>
      <c r="B721" s="1" t="s">
        <v>719</v>
      </c>
      <c r="C721" s="2">
        <v>36707</v>
      </c>
      <c r="D721" s="8">
        <v>3.1730000000000003E-5</v>
      </c>
    </row>
    <row r="722" spans="1:4" x14ac:dyDescent="0.2">
      <c r="A722" s="1">
        <v>2021</v>
      </c>
      <c r="B722" s="1" t="s">
        <v>720</v>
      </c>
      <c r="C722" s="2">
        <v>926759</v>
      </c>
      <c r="D722" s="8">
        <v>8.0104999999999998E-4</v>
      </c>
    </row>
    <row r="723" spans="1:4" x14ac:dyDescent="0.2">
      <c r="A723" s="1">
        <v>2021</v>
      </c>
      <c r="B723" s="1" t="s">
        <v>721</v>
      </c>
      <c r="C723" s="2">
        <v>43920</v>
      </c>
      <c r="D723" s="8">
        <v>3.7960000000000002E-5</v>
      </c>
    </row>
    <row r="724" spans="1:4" x14ac:dyDescent="0.2">
      <c r="A724" s="1">
        <v>2021</v>
      </c>
      <c r="B724" s="1" t="s">
        <v>722</v>
      </c>
      <c r="C724" s="2">
        <v>4009</v>
      </c>
      <c r="D724" s="8">
        <v>3.4699999999999998E-6</v>
      </c>
    </row>
    <row r="725" spans="1:4" x14ac:dyDescent="0.2">
      <c r="A725" s="1">
        <v>2021</v>
      </c>
      <c r="B725" s="1" t="s">
        <v>723</v>
      </c>
      <c r="C725" s="2">
        <v>3439117</v>
      </c>
      <c r="D725" s="8">
        <v>2.9726399999999999E-3</v>
      </c>
    </row>
    <row r="726" spans="1:4" x14ac:dyDescent="0.2">
      <c r="A726" s="1">
        <v>2021</v>
      </c>
      <c r="B726" s="1" t="s">
        <v>724</v>
      </c>
      <c r="C726" s="2">
        <v>1960871</v>
      </c>
      <c r="D726" s="8">
        <v>1.6949000000000001E-3</v>
      </c>
    </row>
    <row r="727" spans="1:4" x14ac:dyDescent="0.2">
      <c r="A727" s="1">
        <v>2021</v>
      </c>
      <c r="B727" s="1" t="s">
        <v>725</v>
      </c>
      <c r="C727" s="2">
        <v>1766339</v>
      </c>
      <c r="D727" s="8">
        <v>1.5267600000000001E-3</v>
      </c>
    </row>
    <row r="728" spans="1:4" x14ac:dyDescent="0.2">
      <c r="A728" s="1">
        <v>2021</v>
      </c>
      <c r="B728" s="1" t="s">
        <v>726</v>
      </c>
      <c r="C728" s="2">
        <v>398960</v>
      </c>
      <c r="D728" s="8">
        <v>3.4485000000000001E-4</v>
      </c>
    </row>
    <row r="729" spans="1:4" x14ac:dyDescent="0.2">
      <c r="A729" s="1">
        <v>2021</v>
      </c>
      <c r="B729" s="1" t="s">
        <v>727</v>
      </c>
      <c r="C729" s="2">
        <v>545006</v>
      </c>
      <c r="D729" s="8">
        <v>4.7108000000000002E-4</v>
      </c>
    </row>
    <row r="730" spans="1:4" x14ac:dyDescent="0.2">
      <c r="A730" s="1">
        <v>2021</v>
      </c>
      <c r="B730" s="1" t="s">
        <v>728</v>
      </c>
      <c r="C730" s="2">
        <v>12393</v>
      </c>
      <c r="D730" s="8">
        <v>1.0710000000000001E-5</v>
      </c>
    </row>
    <row r="731" spans="1:4" x14ac:dyDescent="0.2">
      <c r="A731" s="1">
        <v>2021</v>
      </c>
      <c r="B731" s="1" t="s">
        <v>729</v>
      </c>
      <c r="C731" s="2">
        <v>3067</v>
      </c>
      <c r="D731" s="8">
        <v>2.65E-6</v>
      </c>
    </row>
    <row r="732" spans="1:4" x14ac:dyDescent="0.2">
      <c r="A732" s="1">
        <v>2021</v>
      </c>
      <c r="B732" s="1" t="s">
        <v>730</v>
      </c>
      <c r="C732" s="2">
        <v>1911806</v>
      </c>
      <c r="D732" s="8">
        <v>1.6524899999999999E-3</v>
      </c>
    </row>
    <row r="733" spans="1:4" x14ac:dyDescent="0.2">
      <c r="A733" s="1">
        <v>2021</v>
      </c>
      <c r="B733" s="1" t="s">
        <v>731</v>
      </c>
      <c r="C733" s="2">
        <v>943927</v>
      </c>
      <c r="D733" s="8">
        <v>8.1589E-4</v>
      </c>
    </row>
    <row r="734" spans="1:4" x14ac:dyDescent="0.2">
      <c r="A734" s="1">
        <v>2021</v>
      </c>
      <c r="B734" s="1" t="s">
        <v>732</v>
      </c>
      <c r="C734" s="2">
        <v>111217</v>
      </c>
      <c r="D734" s="8">
        <v>9.6130000000000003E-5</v>
      </c>
    </row>
    <row r="735" spans="1:4" x14ac:dyDescent="0.2">
      <c r="A735" s="1">
        <v>2021</v>
      </c>
      <c r="B735" s="1" t="s">
        <v>733</v>
      </c>
      <c r="C735" s="2">
        <v>39187</v>
      </c>
      <c r="D735" s="8">
        <v>3.3869999999999999E-5</v>
      </c>
    </row>
    <row r="736" spans="1:4" x14ac:dyDescent="0.2">
      <c r="A736" s="1">
        <v>2021</v>
      </c>
      <c r="B736" s="1" t="s">
        <v>734</v>
      </c>
      <c r="C736" s="2">
        <v>21960</v>
      </c>
      <c r="D736" s="8">
        <v>1.8980000000000001E-5</v>
      </c>
    </row>
    <row r="737" spans="1:4" x14ac:dyDescent="0.2">
      <c r="A737" s="1">
        <v>2021</v>
      </c>
      <c r="B737" s="1" t="s">
        <v>735</v>
      </c>
      <c r="C737" s="2">
        <v>57258</v>
      </c>
      <c r="D737" s="8">
        <v>4.9490000000000002E-5</v>
      </c>
    </row>
    <row r="738" spans="1:4" x14ac:dyDescent="0.2">
      <c r="A738" s="1">
        <v>2021</v>
      </c>
      <c r="B738" s="1" t="s">
        <v>736</v>
      </c>
      <c r="C738" s="2">
        <v>607779</v>
      </c>
      <c r="D738" s="8">
        <v>5.2534000000000001E-4</v>
      </c>
    </row>
    <row r="739" spans="1:4" x14ac:dyDescent="0.2">
      <c r="A739" s="1">
        <v>2021</v>
      </c>
      <c r="B739" s="1" t="s">
        <v>737</v>
      </c>
      <c r="C739" s="2">
        <v>1085933</v>
      </c>
      <c r="D739" s="8">
        <v>9.3864000000000003E-4</v>
      </c>
    </row>
    <row r="740" spans="1:4" x14ac:dyDescent="0.2">
      <c r="A740" s="1">
        <v>2021</v>
      </c>
      <c r="B740" s="1" t="s">
        <v>738</v>
      </c>
      <c r="C740" s="2">
        <v>625110</v>
      </c>
      <c r="D740" s="8">
        <v>5.4031999999999995E-4</v>
      </c>
    </row>
    <row r="741" spans="1:4" x14ac:dyDescent="0.2">
      <c r="A741" s="1">
        <v>2021</v>
      </c>
      <c r="B741" s="1" t="s">
        <v>739</v>
      </c>
      <c r="C741" s="2">
        <v>3071606</v>
      </c>
      <c r="D741" s="8">
        <v>2.6549799999999999E-3</v>
      </c>
    </row>
    <row r="742" spans="1:4" x14ac:dyDescent="0.2">
      <c r="A742" s="1">
        <v>2021</v>
      </c>
      <c r="B742" s="1" t="s">
        <v>740</v>
      </c>
      <c r="C742" s="2">
        <v>43031</v>
      </c>
      <c r="D742" s="8">
        <v>3.7190000000000001E-5</v>
      </c>
    </row>
    <row r="743" spans="1:4" x14ac:dyDescent="0.2">
      <c r="A743" s="1">
        <v>2021</v>
      </c>
      <c r="B743" s="1" t="s">
        <v>741</v>
      </c>
      <c r="C743" s="2">
        <v>39434</v>
      </c>
      <c r="D743" s="8">
        <v>3.4090000000000001E-5</v>
      </c>
    </row>
    <row r="744" spans="1:4" x14ac:dyDescent="0.2">
      <c r="A744" s="1">
        <v>2021</v>
      </c>
      <c r="B744" s="1" t="s">
        <v>742</v>
      </c>
      <c r="C744" s="2">
        <v>124879</v>
      </c>
      <c r="D744" s="8">
        <v>1.0794E-4</v>
      </c>
    </row>
    <row r="745" spans="1:4" x14ac:dyDescent="0.2">
      <c r="A745" s="1">
        <v>2021</v>
      </c>
      <c r="B745" s="1" t="s">
        <v>743</v>
      </c>
      <c r="C745" s="2">
        <v>3934</v>
      </c>
      <c r="D745" s="8">
        <v>3.4000000000000001E-6</v>
      </c>
    </row>
    <row r="746" spans="1:4" x14ac:dyDescent="0.2">
      <c r="A746" s="1">
        <v>2021</v>
      </c>
      <c r="B746" s="1" t="s">
        <v>744</v>
      </c>
      <c r="C746" s="2">
        <v>35054</v>
      </c>
      <c r="D746" s="8">
        <v>3.0300000000000001E-5</v>
      </c>
    </row>
    <row r="747" spans="1:4" x14ac:dyDescent="0.2">
      <c r="A747" s="1">
        <v>2021</v>
      </c>
      <c r="B747" s="1" t="s">
        <v>745</v>
      </c>
      <c r="C747" s="2">
        <v>5008</v>
      </c>
      <c r="D747" s="8">
        <v>4.33E-6</v>
      </c>
    </row>
    <row r="748" spans="1:4" x14ac:dyDescent="0.2">
      <c r="A748" s="1">
        <v>2021</v>
      </c>
      <c r="B748" s="1" t="s">
        <v>746</v>
      </c>
      <c r="C748" s="2">
        <v>8180</v>
      </c>
      <c r="D748" s="8">
        <v>7.0700000000000001E-6</v>
      </c>
    </row>
    <row r="749" spans="1:4" x14ac:dyDescent="0.2">
      <c r="A749" s="1">
        <v>2021</v>
      </c>
      <c r="B749" s="1" t="s">
        <v>747</v>
      </c>
      <c r="C749" s="2">
        <v>39760</v>
      </c>
      <c r="D749" s="8">
        <v>3.4369999999999998E-5</v>
      </c>
    </row>
    <row r="750" spans="1:4" x14ac:dyDescent="0.2">
      <c r="A750" s="1">
        <v>2021</v>
      </c>
      <c r="B750" s="1" t="s">
        <v>748</v>
      </c>
      <c r="C750" s="2">
        <v>1599</v>
      </c>
      <c r="D750" s="8">
        <v>1.3799999999999999E-6</v>
      </c>
    </row>
    <row r="751" spans="1:4" x14ac:dyDescent="0.2">
      <c r="A751" s="1">
        <v>2021</v>
      </c>
      <c r="B751" s="1" t="s">
        <v>749</v>
      </c>
      <c r="C751" s="2">
        <v>18289</v>
      </c>
      <c r="D751" s="8">
        <v>1.5809999999999999E-5</v>
      </c>
    </row>
    <row r="752" spans="1:4" x14ac:dyDescent="0.2">
      <c r="A752" s="1">
        <v>2021</v>
      </c>
      <c r="B752" s="1" t="s">
        <v>750</v>
      </c>
      <c r="C752" s="2">
        <v>27059</v>
      </c>
      <c r="D752" s="8">
        <v>2.3390000000000001E-5</v>
      </c>
    </row>
    <row r="753" spans="1:4" x14ac:dyDescent="0.2">
      <c r="A753" s="1">
        <v>2021</v>
      </c>
      <c r="B753" s="1" t="s">
        <v>751</v>
      </c>
      <c r="C753" s="2">
        <v>5533</v>
      </c>
      <c r="D753" s="8">
        <v>4.78E-6</v>
      </c>
    </row>
    <row r="754" spans="1:4" x14ac:dyDescent="0.2">
      <c r="A754" s="1">
        <v>2021</v>
      </c>
      <c r="B754" s="1" t="s">
        <v>752</v>
      </c>
      <c r="C754" s="2">
        <v>28653</v>
      </c>
      <c r="D754" s="8">
        <v>2.4769999999999998E-5</v>
      </c>
    </row>
    <row r="755" spans="1:4" x14ac:dyDescent="0.2">
      <c r="A755" s="1">
        <v>2021</v>
      </c>
      <c r="B755" s="1" t="s">
        <v>753</v>
      </c>
      <c r="C755" s="2">
        <v>6753</v>
      </c>
      <c r="D755" s="8">
        <v>5.84E-6</v>
      </c>
    </row>
    <row r="756" spans="1:4" x14ac:dyDescent="0.2">
      <c r="A756" s="1">
        <v>2021</v>
      </c>
      <c r="B756" s="1" t="s">
        <v>754</v>
      </c>
      <c r="C756" s="2">
        <v>14767</v>
      </c>
      <c r="D756" s="8">
        <v>1.276E-5</v>
      </c>
    </row>
    <row r="757" spans="1:4" x14ac:dyDescent="0.2">
      <c r="A757" s="1">
        <v>2021</v>
      </c>
      <c r="B757" s="1" t="s">
        <v>755</v>
      </c>
      <c r="C757" s="2">
        <v>15472</v>
      </c>
      <c r="D757" s="8">
        <v>1.3370000000000001E-5</v>
      </c>
    </row>
    <row r="758" spans="1:4" x14ac:dyDescent="0.2">
      <c r="A758" s="1">
        <v>2021</v>
      </c>
      <c r="B758" s="1" t="s">
        <v>756</v>
      </c>
      <c r="C758" s="2">
        <v>14650</v>
      </c>
      <c r="D758" s="8">
        <v>1.2660000000000001E-5</v>
      </c>
    </row>
    <row r="759" spans="1:4" x14ac:dyDescent="0.2">
      <c r="A759" s="1">
        <v>2021</v>
      </c>
      <c r="B759" s="1" t="s">
        <v>757</v>
      </c>
      <c r="C759" s="2">
        <v>54213</v>
      </c>
      <c r="D759" s="8">
        <v>4.6860000000000002E-5</v>
      </c>
    </row>
    <row r="760" spans="1:4" x14ac:dyDescent="0.2">
      <c r="A760" s="1">
        <v>2021</v>
      </c>
      <c r="B760" s="1" t="s">
        <v>758</v>
      </c>
      <c r="C760" s="2">
        <v>1349</v>
      </c>
      <c r="D760" s="8">
        <v>1.17E-6</v>
      </c>
    </row>
    <row r="761" spans="1:4" x14ac:dyDescent="0.2">
      <c r="A761" s="1">
        <v>2021</v>
      </c>
      <c r="B761" s="1" t="s">
        <v>759</v>
      </c>
      <c r="C761" s="2">
        <v>319139</v>
      </c>
      <c r="D761" s="8">
        <v>2.7585000000000001E-4</v>
      </c>
    </row>
    <row r="762" spans="1:4" x14ac:dyDescent="0.2">
      <c r="A762" s="1">
        <v>2021</v>
      </c>
      <c r="B762" s="1" t="s">
        <v>760</v>
      </c>
      <c r="C762" s="2">
        <v>16276</v>
      </c>
      <c r="D762" s="8">
        <v>1.4070000000000001E-5</v>
      </c>
    </row>
    <row r="763" spans="1:4" x14ac:dyDescent="0.2">
      <c r="A763" s="1">
        <v>2021</v>
      </c>
      <c r="B763" s="1" t="s">
        <v>761</v>
      </c>
      <c r="C763" s="2">
        <v>2801262</v>
      </c>
      <c r="D763" s="8">
        <v>2.4212999999999999E-3</v>
      </c>
    </row>
    <row r="764" spans="1:4" x14ac:dyDescent="0.2">
      <c r="A764" s="1">
        <v>2021</v>
      </c>
      <c r="B764" s="1" t="s">
        <v>762</v>
      </c>
      <c r="C764" s="2">
        <v>35924</v>
      </c>
      <c r="D764" s="8">
        <v>3.1050000000000003E-5</v>
      </c>
    </row>
    <row r="765" spans="1:4" x14ac:dyDescent="0.2">
      <c r="A765" s="1">
        <v>2021</v>
      </c>
      <c r="B765" s="1" t="s">
        <v>763</v>
      </c>
      <c r="C765" s="2">
        <v>2253426</v>
      </c>
      <c r="D765" s="8">
        <v>1.9477699999999999E-3</v>
      </c>
    </row>
    <row r="766" spans="1:4" x14ac:dyDescent="0.2">
      <c r="A766" s="1">
        <v>2021</v>
      </c>
      <c r="B766" s="1" t="s">
        <v>764</v>
      </c>
      <c r="C766" s="2">
        <v>1419099</v>
      </c>
      <c r="D766" s="8">
        <v>1.2266099999999999E-3</v>
      </c>
    </row>
    <row r="767" spans="1:4" x14ac:dyDescent="0.2">
      <c r="A767" s="1">
        <v>2021</v>
      </c>
      <c r="B767" s="1" t="s">
        <v>765</v>
      </c>
      <c r="C767" s="2">
        <v>125706</v>
      </c>
      <c r="D767" s="8">
        <v>1.0866000000000001E-4</v>
      </c>
    </row>
    <row r="768" spans="1:4" x14ac:dyDescent="0.2">
      <c r="A768" s="1">
        <v>2021</v>
      </c>
      <c r="B768" s="1" t="s">
        <v>766</v>
      </c>
      <c r="C768" s="2">
        <v>100103</v>
      </c>
      <c r="D768" s="8">
        <v>8.653E-5</v>
      </c>
    </row>
    <row r="769" spans="1:4" x14ac:dyDescent="0.2">
      <c r="A769" s="1">
        <v>2021</v>
      </c>
      <c r="B769" s="1" t="s">
        <v>767</v>
      </c>
      <c r="C769" s="2">
        <v>207587</v>
      </c>
      <c r="D769" s="8">
        <v>1.7943000000000001E-4</v>
      </c>
    </row>
    <row r="770" spans="1:4" x14ac:dyDescent="0.2">
      <c r="A770" s="1">
        <v>2021</v>
      </c>
      <c r="B770" s="1" t="s">
        <v>768</v>
      </c>
      <c r="C770" s="2">
        <v>59682</v>
      </c>
      <c r="D770" s="8">
        <v>5.1589999999999999E-5</v>
      </c>
    </row>
    <row r="771" spans="1:4" x14ac:dyDescent="0.2">
      <c r="A771" s="1">
        <v>2021</v>
      </c>
      <c r="B771" s="1" t="s">
        <v>769</v>
      </c>
      <c r="C771" s="2">
        <v>3065487</v>
      </c>
      <c r="D771" s="8">
        <v>2.6496900000000001E-3</v>
      </c>
    </row>
    <row r="772" spans="1:4" x14ac:dyDescent="0.2">
      <c r="A772" s="1">
        <v>2021</v>
      </c>
      <c r="B772" s="1" t="s">
        <v>770</v>
      </c>
      <c r="C772" s="2">
        <v>110125</v>
      </c>
      <c r="D772" s="8">
        <v>9.5190000000000002E-5</v>
      </c>
    </row>
    <row r="773" spans="1:4" x14ac:dyDescent="0.2">
      <c r="A773" s="1">
        <v>2021</v>
      </c>
      <c r="B773" s="1" t="s">
        <v>771</v>
      </c>
      <c r="C773" s="2">
        <v>90140</v>
      </c>
      <c r="D773" s="8">
        <v>7.7910000000000005E-5</v>
      </c>
    </row>
    <row r="774" spans="1:4" x14ac:dyDescent="0.2">
      <c r="A774" s="1">
        <v>2021</v>
      </c>
      <c r="B774" s="1" t="s">
        <v>772</v>
      </c>
      <c r="C774" s="2">
        <v>7198677</v>
      </c>
      <c r="D774" s="8">
        <v>6.2222600000000003E-3</v>
      </c>
    </row>
    <row r="775" spans="1:4" x14ac:dyDescent="0.2">
      <c r="A775" s="1">
        <v>2021</v>
      </c>
      <c r="B775" s="1" t="s">
        <v>773</v>
      </c>
      <c r="C775" s="2">
        <v>620245</v>
      </c>
      <c r="D775" s="8">
        <v>5.3611999999999996E-4</v>
      </c>
    </row>
    <row r="776" spans="1:4" x14ac:dyDescent="0.2">
      <c r="A776" s="1">
        <v>2021</v>
      </c>
      <c r="B776" s="1" t="s">
        <v>774</v>
      </c>
      <c r="C776" s="2">
        <v>104999</v>
      </c>
      <c r="D776" s="8">
        <v>9.0760000000000005E-5</v>
      </c>
    </row>
    <row r="777" spans="1:4" x14ac:dyDescent="0.2">
      <c r="A777" s="1">
        <v>2021</v>
      </c>
      <c r="B777" s="1" t="s">
        <v>775</v>
      </c>
      <c r="C777" s="2">
        <v>131892</v>
      </c>
      <c r="D777" s="8">
        <v>1.1400000000000001E-4</v>
      </c>
    </row>
    <row r="778" spans="1:4" x14ac:dyDescent="0.2">
      <c r="A778" s="1">
        <v>2021</v>
      </c>
      <c r="B778" s="1" t="s">
        <v>776</v>
      </c>
      <c r="C778" s="2">
        <v>103602</v>
      </c>
      <c r="D778" s="8">
        <v>8.9549999999999995E-5</v>
      </c>
    </row>
    <row r="779" spans="1:4" x14ac:dyDescent="0.2">
      <c r="A779" s="1">
        <v>2021</v>
      </c>
      <c r="B779" s="1" t="s">
        <v>777</v>
      </c>
      <c r="C779" s="2">
        <v>2598384</v>
      </c>
      <c r="D779" s="8">
        <v>2.2459400000000001E-3</v>
      </c>
    </row>
    <row r="780" spans="1:4" x14ac:dyDescent="0.2">
      <c r="A780" s="1">
        <v>2021</v>
      </c>
      <c r="B780" s="1" t="s">
        <v>778</v>
      </c>
      <c r="C780" s="2">
        <v>801207</v>
      </c>
      <c r="D780" s="8">
        <v>6.9253000000000001E-4</v>
      </c>
    </row>
    <row r="781" spans="1:4" x14ac:dyDescent="0.2">
      <c r="A781" s="1">
        <v>2021</v>
      </c>
      <c r="B781" s="1" t="s">
        <v>779</v>
      </c>
      <c r="C781" s="2">
        <v>2111</v>
      </c>
      <c r="D781" s="8">
        <v>1.8300000000000001E-6</v>
      </c>
    </row>
    <row r="782" spans="1:4" x14ac:dyDescent="0.2">
      <c r="A782" s="1">
        <v>2021</v>
      </c>
      <c r="B782" s="1" t="s">
        <v>780</v>
      </c>
      <c r="C782" s="2">
        <v>918193</v>
      </c>
      <c r="D782" s="8">
        <v>7.9365000000000002E-4</v>
      </c>
    </row>
    <row r="783" spans="1:4" x14ac:dyDescent="0.2">
      <c r="A783" s="1">
        <v>2021</v>
      </c>
      <c r="B783" s="1" t="s">
        <v>781</v>
      </c>
      <c r="C783" s="2">
        <v>86803221</v>
      </c>
      <c r="D783" s="8">
        <v>7.5029360000000003E-2</v>
      </c>
    </row>
    <row r="784" spans="1:4" x14ac:dyDescent="0.2">
      <c r="A784" s="1">
        <v>2021</v>
      </c>
      <c r="B784" s="1" t="s">
        <v>782</v>
      </c>
      <c r="C784" s="2">
        <v>21893281</v>
      </c>
      <c r="D784" s="8">
        <v>1.892371E-2</v>
      </c>
    </row>
    <row r="785" spans="1:4" x14ac:dyDescent="0.2">
      <c r="A785" s="1">
        <v>2021</v>
      </c>
      <c r="B785" s="1" t="s">
        <v>783</v>
      </c>
      <c r="C785" s="2">
        <v>15008331</v>
      </c>
      <c r="D785" s="8">
        <v>1.2972620000000001E-2</v>
      </c>
    </row>
    <row r="786" spans="1:4" x14ac:dyDescent="0.2">
      <c r="A786" s="1">
        <v>2021</v>
      </c>
      <c r="B786" s="1" t="s">
        <v>784</v>
      </c>
      <c r="C786" s="2">
        <v>163650</v>
      </c>
      <c r="D786" s="8">
        <v>1.4145E-4</v>
      </c>
    </row>
    <row r="787" spans="1:4" x14ac:dyDescent="0.2">
      <c r="A787" s="1">
        <v>2021</v>
      </c>
      <c r="B787" s="1" t="s">
        <v>785</v>
      </c>
      <c r="C787" s="2">
        <v>19795</v>
      </c>
      <c r="D787" s="8">
        <v>1.7110000000000001E-5</v>
      </c>
    </row>
    <row r="788" spans="1:4" x14ac:dyDescent="0.2">
      <c r="A788" s="1">
        <v>2021</v>
      </c>
      <c r="B788" s="1" t="s">
        <v>786</v>
      </c>
      <c r="C788" s="2">
        <v>45893</v>
      </c>
      <c r="D788" s="8">
        <v>3.9669999999999998E-5</v>
      </c>
    </row>
    <row r="789" spans="1:4" x14ac:dyDescent="0.2">
      <c r="A789" s="1">
        <v>2021</v>
      </c>
      <c r="B789" s="1" t="s">
        <v>787</v>
      </c>
      <c r="C789" s="2">
        <v>116272</v>
      </c>
      <c r="D789" s="8">
        <v>1.005E-4</v>
      </c>
    </row>
    <row r="790" spans="1:4" x14ac:dyDescent="0.2">
      <c r="A790" s="1">
        <v>2021</v>
      </c>
      <c r="B790" s="1" t="s">
        <v>788</v>
      </c>
      <c r="C790" s="2">
        <v>161148</v>
      </c>
      <c r="D790" s="8">
        <v>1.3929E-4</v>
      </c>
    </row>
    <row r="791" spans="1:4" x14ac:dyDescent="0.2">
      <c r="A791" s="1">
        <v>2021</v>
      </c>
      <c r="B791" s="1" t="s">
        <v>789</v>
      </c>
      <c r="C791" s="2">
        <v>62464</v>
      </c>
      <c r="D791" s="8">
        <v>5.3990000000000003E-5</v>
      </c>
    </row>
    <row r="792" spans="1:4" x14ac:dyDescent="0.2">
      <c r="A792" s="1">
        <v>2021</v>
      </c>
      <c r="B792" s="1" t="s">
        <v>790</v>
      </c>
      <c r="C792" s="2">
        <v>2740274</v>
      </c>
      <c r="D792" s="8">
        <v>2.3685899999999998E-3</v>
      </c>
    </row>
    <row r="793" spans="1:4" x14ac:dyDescent="0.2">
      <c r="A793" s="1">
        <v>2021</v>
      </c>
      <c r="B793" s="1" t="s">
        <v>791</v>
      </c>
      <c r="C793" s="2">
        <v>41735</v>
      </c>
      <c r="D793" s="8">
        <v>3.6069999999999999E-5</v>
      </c>
    </row>
    <row r="794" spans="1:4" x14ac:dyDescent="0.2">
      <c r="A794" s="1">
        <v>2021</v>
      </c>
      <c r="B794" s="1" t="s">
        <v>792</v>
      </c>
      <c r="C794" s="2">
        <v>94086</v>
      </c>
      <c r="D794" s="8">
        <v>8.1320000000000001E-5</v>
      </c>
    </row>
    <row r="795" spans="1:4" x14ac:dyDescent="0.2">
      <c r="A795" s="1">
        <v>2021</v>
      </c>
      <c r="B795" s="1" t="s">
        <v>793</v>
      </c>
      <c r="C795" s="2">
        <v>7624819</v>
      </c>
      <c r="D795" s="8">
        <v>6.5906000000000003E-3</v>
      </c>
    </row>
    <row r="796" spans="1:4" x14ac:dyDescent="0.2">
      <c r="A796" s="1">
        <v>2021</v>
      </c>
      <c r="B796" s="1" t="s">
        <v>794</v>
      </c>
      <c r="C796" s="2">
        <v>51598</v>
      </c>
      <c r="D796" s="8">
        <v>4.46E-5</v>
      </c>
    </row>
    <row r="797" spans="1:4" x14ac:dyDescent="0.2">
      <c r="A797" s="1">
        <v>2021</v>
      </c>
      <c r="B797" s="1" t="s">
        <v>795</v>
      </c>
      <c r="C797" s="2">
        <v>88672</v>
      </c>
      <c r="D797" s="8">
        <v>7.6639999999999998E-5</v>
      </c>
    </row>
    <row r="798" spans="1:4" x14ac:dyDescent="0.2">
      <c r="A798" s="1">
        <v>2021</v>
      </c>
      <c r="B798" s="1" t="s">
        <v>796</v>
      </c>
      <c r="C798" s="2">
        <v>464768</v>
      </c>
      <c r="D798" s="8">
        <v>4.0172999999999999E-4</v>
      </c>
    </row>
    <row r="799" spans="1:4" x14ac:dyDescent="0.2">
      <c r="A799" s="1">
        <v>2021</v>
      </c>
      <c r="B799" s="1" t="s">
        <v>797</v>
      </c>
      <c r="C799" s="2">
        <v>4061</v>
      </c>
      <c r="D799" s="8">
        <v>3.5099999999999999E-6</v>
      </c>
    </row>
    <row r="800" spans="1:4" x14ac:dyDescent="0.2">
      <c r="A800" s="1">
        <v>2021</v>
      </c>
      <c r="B800" s="1" t="s">
        <v>798</v>
      </c>
      <c r="C800" s="2">
        <v>1775508</v>
      </c>
      <c r="D800" s="8">
        <v>1.5346800000000001E-3</v>
      </c>
    </row>
    <row r="801" spans="1:4" x14ac:dyDescent="0.2">
      <c r="A801" s="1">
        <v>2021</v>
      </c>
      <c r="B801" s="1" t="s">
        <v>799</v>
      </c>
      <c r="C801" s="2">
        <v>1582</v>
      </c>
      <c r="D801" s="8">
        <v>1.37E-6</v>
      </c>
    </row>
    <row r="802" spans="1:4" x14ac:dyDescent="0.2">
      <c r="A802" s="1">
        <v>2021</v>
      </c>
      <c r="B802" s="1" t="s">
        <v>800</v>
      </c>
      <c r="C802" s="2">
        <v>1905866</v>
      </c>
      <c r="D802" s="8">
        <v>1.6473600000000001E-3</v>
      </c>
    </row>
    <row r="803" spans="1:4" x14ac:dyDescent="0.2">
      <c r="A803" s="1">
        <v>2021</v>
      </c>
      <c r="B803" s="1" t="s">
        <v>801</v>
      </c>
      <c r="C803" s="2">
        <v>9719</v>
      </c>
      <c r="D803" s="8">
        <v>8.3999999999999992E-6</v>
      </c>
    </row>
    <row r="804" spans="1:4" x14ac:dyDescent="0.2">
      <c r="A804" s="1">
        <v>2021</v>
      </c>
      <c r="B804" s="1" t="s">
        <v>802</v>
      </c>
      <c r="C804" s="2">
        <v>2072964</v>
      </c>
      <c r="D804" s="8">
        <v>1.7917899999999999E-3</v>
      </c>
    </row>
    <row r="805" spans="1:4" x14ac:dyDescent="0.2">
      <c r="A805" s="1">
        <v>2021</v>
      </c>
      <c r="B805" s="1" t="s">
        <v>803</v>
      </c>
      <c r="C805" s="2">
        <v>68202</v>
      </c>
      <c r="D805" s="8">
        <v>5.8950000000000003E-5</v>
      </c>
    </row>
    <row r="806" spans="1:4" x14ac:dyDescent="0.2">
      <c r="A806" s="1">
        <v>2021</v>
      </c>
      <c r="B806" s="1" t="s">
        <v>804</v>
      </c>
      <c r="C806" s="2">
        <v>345318</v>
      </c>
      <c r="D806" s="8">
        <v>2.9848E-4</v>
      </c>
    </row>
    <row r="807" spans="1:4" x14ac:dyDescent="0.2">
      <c r="A807" s="1">
        <v>2021</v>
      </c>
      <c r="B807" s="1" t="s">
        <v>805</v>
      </c>
      <c r="C807" s="2">
        <v>42255</v>
      </c>
      <c r="D807" s="8">
        <v>3.6520000000000003E-5</v>
      </c>
    </row>
    <row r="808" spans="1:4" x14ac:dyDescent="0.2">
      <c r="A808" s="1">
        <v>2021</v>
      </c>
      <c r="B808" s="1" t="s">
        <v>806</v>
      </c>
      <c r="C808" s="2">
        <v>1011855</v>
      </c>
      <c r="D808" s="8">
        <v>8.7460999999999995E-4</v>
      </c>
    </row>
    <row r="809" spans="1:4" x14ac:dyDescent="0.2">
      <c r="A809" s="1">
        <v>2021</v>
      </c>
      <c r="B809" s="1" t="s">
        <v>807</v>
      </c>
      <c r="C809" s="2">
        <v>538938</v>
      </c>
      <c r="D809" s="8">
        <v>4.6584000000000003E-4</v>
      </c>
    </row>
    <row r="810" spans="1:4" x14ac:dyDescent="0.2">
      <c r="A810" s="1">
        <v>2021</v>
      </c>
      <c r="B810" s="1" t="s">
        <v>808</v>
      </c>
      <c r="C810" s="2">
        <v>3086220</v>
      </c>
      <c r="D810" s="8">
        <v>2.6676099999999999E-3</v>
      </c>
    </row>
    <row r="811" spans="1:4" x14ac:dyDescent="0.2">
      <c r="A811" s="1">
        <v>2021</v>
      </c>
      <c r="B811" s="1" t="s">
        <v>809</v>
      </c>
      <c r="C811" s="2">
        <v>764808</v>
      </c>
      <c r="D811" s="8">
        <v>6.6107000000000004E-4</v>
      </c>
    </row>
    <row r="812" spans="1:4" x14ac:dyDescent="0.2">
      <c r="A812" s="1">
        <v>2021</v>
      </c>
      <c r="B812" s="1" t="s">
        <v>810</v>
      </c>
      <c r="C812" s="2">
        <v>5429</v>
      </c>
      <c r="D812" s="8">
        <v>4.69E-6</v>
      </c>
    </row>
    <row r="813" spans="1:4" x14ac:dyDescent="0.2">
      <c r="A813" s="1">
        <v>2021</v>
      </c>
      <c r="B813" s="1" t="s">
        <v>811</v>
      </c>
      <c r="C813" s="2">
        <v>4072</v>
      </c>
      <c r="D813" s="8">
        <v>3.5200000000000002E-6</v>
      </c>
    </row>
    <row r="814" spans="1:4" x14ac:dyDescent="0.2">
      <c r="A814" s="1">
        <v>2021</v>
      </c>
      <c r="B814" s="1" t="s">
        <v>812</v>
      </c>
      <c r="C814" s="2">
        <v>297819</v>
      </c>
      <c r="D814" s="8">
        <v>2.5742000000000001E-4</v>
      </c>
    </row>
    <row r="815" spans="1:4" x14ac:dyDescent="0.2">
      <c r="A815" s="1">
        <v>2021</v>
      </c>
      <c r="B815" s="1" t="s">
        <v>813</v>
      </c>
      <c r="C815" s="2">
        <v>10419</v>
      </c>
      <c r="D815" s="8">
        <v>9.0100000000000001E-6</v>
      </c>
    </row>
    <row r="816" spans="1:4" x14ac:dyDescent="0.2">
      <c r="A816" s="1">
        <v>2021</v>
      </c>
      <c r="B816" s="1" t="s">
        <v>814</v>
      </c>
      <c r="C816" s="2">
        <v>34337</v>
      </c>
      <c r="D816" s="8">
        <v>2.968E-5</v>
      </c>
    </row>
    <row r="817" spans="1:4" x14ac:dyDescent="0.2">
      <c r="A817" s="1">
        <v>2021</v>
      </c>
      <c r="B817" s="1" t="s">
        <v>815</v>
      </c>
      <c r="C817" s="2">
        <v>306559</v>
      </c>
      <c r="D817" s="8">
        <v>2.6498E-4</v>
      </c>
    </row>
    <row r="818" spans="1:4" x14ac:dyDescent="0.2">
      <c r="A818" s="1">
        <v>2021</v>
      </c>
      <c r="B818" s="1" t="s">
        <v>816</v>
      </c>
      <c r="C818" s="2">
        <v>1669268</v>
      </c>
      <c r="D818" s="8">
        <v>1.4428500000000001E-3</v>
      </c>
    </row>
    <row r="819" spans="1:4" x14ac:dyDescent="0.2">
      <c r="A819" s="1">
        <v>2021</v>
      </c>
      <c r="B819" s="1" t="s">
        <v>817</v>
      </c>
      <c r="C819" s="2">
        <v>1856577</v>
      </c>
      <c r="D819" s="8">
        <v>1.6047500000000001E-3</v>
      </c>
    </row>
    <row r="820" spans="1:4" x14ac:dyDescent="0.2">
      <c r="A820" s="1">
        <v>2021</v>
      </c>
      <c r="B820" s="1" t="s">
        <v>818</v>
      </c>
      <c r="C820" s="2">
        <v>13883</v>
      </c>
      <c r="D820" s="8">
        <v>1.2E-5</v>
      </c>
    </row>
    <row r="821" spans="1:4" x14ac:dyDescent="0.2">
      <c r="A821" s="1">
        <v>2021</v>
      </c>
      <c r="B821" s="1" t="s">
        <v>819</v>
      </c>
      <c r="C821" s="2">
        <v>69171</v>
      </c>
      <c r="D821" s="8">
        <v>5.9790000000000002E-5</v>
      </c>
    </row>
    <row r="822" spans="1:4" x14ac:dyDescent="0.2">
      <c r="A822" s="1">
        <v>2021</v>
      </c>
      <c r="B822" s="1" t="s">
        <v>820</v>
      </c>
      <c r="C822" s="2">
        <v>1196159</v>
      </c>
      <c r="D822" s="8">
        <v>1.0339100000000001E-3</v>
      </c>
    </row>
    <row r="823" spans="1:4" x14ac:dyDescent="0.2">
      <c r="A823" s="1">
        <v>2021</v>
      </c>
      <c r="B823" s="1" t="s">
        <v>821</v>
      </c>
      <c r="C823" s="2">
        <v>225420</v>
      </c>
      <c r="D823" s="8">
        <v>1.9484E-4</v>
      </c>
    </row>
    <row r="824" spans="1:4" x14ac:dyDescent="0.2">
      <c r="A824" s="1">
        <v>2021</v>
      </c>
      <c r="B824" s="1" t="s">
        <v>822</v>
      </c>
      <c r="C824" s="2">
        <v>1475175</v>
      </c>
      <c r="D824" s="8">
        <v>1.2750800000000001E-3</v>
      </c>
    </row>
    <row r="825" spans="1:4" x14ac:dyDescent="0.2">
      <c r="A825" s="1">
        <v>2021</v>
      </c>
      <c r="B825" s="1" t="s">
        <v>823</v>
      </c>
      <c r="C825" s="2">
        <v>670572</v>
      </c>
      <c r="D825" s="8">
        <v>5.7961999999999998E-4</v>
      </c>
    </row>
    <row r="826" spans="1:4" x14ac:dyDescent="0.2">
      <c r="A826" s="1">
        <v>2021</v>
      </c>
      <c r="B826" s="1" t="s">
        <v>824</v>
      </c>
      <c r="C826" s="2">
        <v>2805740</v>
      </c>
      <c r="D826" s="8">
        <v>2.4251699999999999E-3</v>
      </c>
    </row>
    <row r="827" spans="1:4" x14ac:dyDescent="0.2">
      <c r="A827" s="1">
        <v>2021</v>
      </c>
      <c r="B827" s="1" t="s">
        <v>825</v>
      </c>
      <c r="C827" s="2">
        <v>159623</v>
      </c>
      <c r="D827" s="8">
        <v>1.3797000000000001E-4</v>
      </c>
    </row>
    <row r="828" spans="1:4" x14ac:dyDescent="0.2">
      <c r="A828" s="1">
        <v>2021</v>
      </c>
      <c r="B828" s="1" t="s">
        <v>826</v>
      </c>
      <c r="C828" s="2">
        <v>39311</v>
      </c>
      <c r="D828" s="8">
        <v>3.3980000000000003E-5</v>
      </c>
    </row>
    <row r="829" spans="1:4" x14ac:dyDescent="0.2">
      <c r="A829" s="1">
        <v>2021</v>
      </c>
      <c r="B829" s="1" t="s">
        <v>827</v>
      </c>
      <c r="C829" s="2">
        <v>135175</v>
      </c>
      <c r="D829" s="8">
        <v>1.1684E-4</v>
      </c>
    </row>
    <row r="830" spans="1:4" x14ac:dyDescent="0.2">
      <c r="A830" s="1">
        <v>2021</v>
      </c>
      <c r="B830" s="1" t="s">
        <v>828</v>
      </c>
      <c r="C830" s="2">
        <v>24578</v>
      </c>
      <c r="D830" s="8">
        <v>2.124E-5</v>
      </c>
    </row>
    <row r="831" spans="1:4" x14ac:dyDescent="0.2">
      <c r="A831" s="1">
        <v>2021</v>
      </c>
      <c r="B831" s="1" t="s">
        <v>829</v>
      </c>
      <c r="C831" s="2">
        <v>729669</v>
      </c>
      <c r="D831" s="8">
        <v>6.3069999999999999E-4</v>
      </c>
    </row>
    <row r="832" spans="1:4" x14ac:dyDescent="0.2">
      <c r="A832" s="1">
        <v>2021</v>
      </c>
      <c r="B832" s="1" t="s">
        <v>830</v>
      </c>
      <c r="C832" s="2">
        <v>3378</v>
      </c>
      <c r="D832" s="8">
        <v>2.92E-6</v>
      </c>
    </row>
    <row r="833" spans="1:4" x14ac:dyDescent="0.2">
      <c r="A833" s="1">
        <v>2021</v>
      </c>
      <c r="B833" s="1" t="s">
        <v>831</v>
      </c>
      <c r="C833" s="2">
        <v>2085845</v>
      </c>
      <c r="D833" s="8">
        <v>1.80292E-3</v>
      </c>
    </row>
    <row r="834" spans="1:4" x14ac:dyDescent="0.2">
      <c r="A834" s="1">
        <v>2021</v>
      </c>
      <c r="B834" s="1" t="s">
        <v>832</v>
      </c>
      <c r="C834" s="2">
        <v>341175</v>
      </c>
      <c r="D834" s="8">
        <v>2.9490000000000001E-4</v>
      </c>
    </row>
    <row r="835" spans="1:4" x14ac:dyDescent="0.2">
      <c r="A835" s="1">
        <v>2021</v>
      </c>
      <c r="B835" s="1" t="s">
        <v>833</v>
      </c>
      <c r="C835" s="2">
        <v>3474866</v>
      </c>
      <c r="D835" s="8">
        <v>3.0035399999999999E-3</v>
      </c>
    </row>
    <row r="836" spans="1:4" x14ac:dyDescent="0.2">
      <c r="A836" s="1">
        <v>2021</v>
      </c>
      <c r="B836" s="1" t="s">
        <v>834</v>
      </c>
      <c r="C836" s="2">
        <v>1222656</v>
      </c>
      <c r="D836" s="8">
        <v>1.05682E-3</v>
      </c>
    </row>
    <row r="837" spans="1:4" x14ac:dyDescent="0.2">
      <c r="A837" s="1">
        <v>2021</v>
      </c>
      <c r="B837" s="1" t="s">
        <v>835</v>
      </c>
      <c r="C837" s="2">
        <v>380478</v>
      </c>
      <c r="D837" s="8">
        <v>3.2886999999999999E-4</v>
      </c>
    </row>
    <row r="838" spans="1:4" x14ac:dyDescent="0.2">
      <c r="A838" s="1">
        <v>2021</v>
      </c>
      <c r="B838" s="1" t="s">
        <v>836</v>
      </c>
      <c r="C838" s="2">
        <v>4005</v>
      </c>
      <c r="D838" s="8">
        <v>3.4599999999999999E-6</v>
      </c>
    </row>
    <row r="839" spans="1:4" x14ac:dyDescent="0.2">
      <c r="A839" s="1">
        <v>2021</v>
      </c>
      <c r="B839" s="1" t="s">
        <v>837</v>
      </c>
      <c r="C839" s="2">
        <v>300030</v>
      </c>
      <c r="D839" s="8">
        <v>2.5933E-4</v>
      </c>
    </row>
    <row r="840" spans="1:4" x14ac:dyDescent="0.2">
      <c r="A840" s="1">
        <v>2021</v>
      </c>
      <c r="B840" s="1" t="s">
        <v>838</v>
      </c>
      <c r="C840" s="2">
        <v>53939</v>
      </c>
      <c r="D840" s="8">
        <v>4.6619999999999997E-5</v>
      </c>
    </row>
    <row r="841" spans="1:4" x14ac:dyDescent="0.2">
      <c r="A841" s="1">
        <v>2021</v>
      </c>
      <c r="B841" s="1" t="s">
        <v>839</v>
      </c>
      <c r="C841" s="2">
        <v>1194110</v>
      </c>
      <c r="D841" s="8">
        <v>1.03214E-3</v>
      </c>
    </row>
    <row r="842" spans="1:4" x14ac:dyDescent="0.2">
      <c r="A842" s="1">
        <v>2021</v>
      </c>
      <c r="B842" s="1" t="s">
        <v>840</v>
      </c>
      <c r="C842" s="2">
        <v>602573</v>
      </c>
      <c r="D842" s="8">
        <v>5.2083999999999995E-4</v>
      </c>
    </row>
    <row r="843" spans="1:4" x14ac:dyDescent="0.2">
      <c r="A843" s="1">
        <v>2021</v>
      </c>
      <c r="B843" s="1" t="s">
        <v>841</v>
      </c>
      <c r="C843" s="2">
        <v>27370</v>
      </c>
      <c r="D843" s="8">
        <v>2.366E-5</v>
      </c>
    </row>
    <row r="844" spans="1:4" x14ac:dyDescent="0.2">
      <c r="A844" s="1">
        <v>2021</v>
      </c>
      <c r="B844" s="1" t="s">
        <v>842</v>
      </c>
      <c r="C844" s="2">
        <v>3932</v>
      </c>
      <c r="D844" s="8">
        <v>3.4000000000000001E-6</v>
      </c>
    </row>
    <row r="845" spans="1:4" x14ac:dyDescent="0.2">
      <c r="A845" s="1">
        <v>2021</v>
      </c>
      <c r="B845" s="1" t="s">
        <v>843</v>
      </c>
      <c r="C845" s="2">
        <v>131151</v>
      </c>
      <c r="D845" s="8">
        <v>1.1336E-4</v>
      </c>
    </row>
    <row r="846" spans="1:4" x14ac:dyDescent="0.2">
      <c r="A846" s="1">
        <v>2021</v>
      </c>
      <c r="B846" s="1" t="s">
        <v>844</v>
      </c>
      <c r="C846" s="2">
        <v>555578</v>
      </c>
      <c r="D846" s="8">
        <v>4.8022000000000001E-4</v>
      </c>
    </row>
    <row r="847" spans="1:4" x14ac:dyDescent="0.2">
      <c r="A847" s="1">
        <v>2021</v>
      </c>
      <c r="B847" s="1" t="s">
        <v>845</v>
      </c>
      <c r="C847" s="2">
        <v>423218</v>
      </c>
      <c r="D847" s="8">
        <v>3.6581E-4</v>
      </c>
    </row>
    <row r="848" spans="1:4" x14ac:dyDescent="0.2">
      <c r="A848" s="1">
        <v>2021</v>
      </c>
      <c r="B848" s="1" t="s">
        <v>846</v>
      </c>
      <c r="C848" s="2">
        <v>7496</v>
      </c>
      <c r="D848" s="8">
        <v>6.4799999999999998E-6</v>
      </c>
    </row>
    <row r="849" spans="1:4" x14ac:dyDescent="0.2">
      <c r="A849" s="1">
        <v>2021</v>
      </c>
      <c r="B849" s="1" t="s">
        <v>847</v>
      </c>
      <c r="C849" s="2">
        <v>18393</v>
      </c>
      <c r="D849" s="8">
        <v>1.59E-5</v>
      </c>
    </row>
    <row r="850" spans="1:4" x14ac:dyDescent="0.2">
      <c r="A850" s="1">
        <v>2021</v>
      </c>
      <c r="B850" s="1" t="s">
        <v>848</v>
      </c>
      <c r="C850" s="2">
        <v>519936</v>
      </c>
      <c r="D850" s="8">
        <v>4.4941000000000002E-4</v>
      </c>
    </row>
    <row r="851" spans="1:4" x14ac:dyDescent="0.2">
      <c r="A851" s="1">
        <v>2021</v>
      </c>
      <c r="B851" s="1" t="s">
        <v>849</v>
      </c>
      <c r="C851" s="2">
        <v>40540</v>
      </c>
      <c r="D851" s="8">
        <v>3.5040000000000003E-5</v>
      </c>
    </row>
    <row r="852" spans="1:4" x14ac:dyDescent="0.2">
      <c r="A852" s="1">
        <v>2021</v>
      </c>
      <c r="B852" s="1" t="s">
        <v>850</v>
      </c>
      <c r="C852" s="2">
        <v>2111564</v>
      </c>
      <c r="D852" s="8">
        <v>1.82515E-3</v>
      </c>
    </row>
    <row r="853" spans="1:4" x14ac:dyDescent="0.2">
      <c r="A853" s="1">
        <v>2021</v>
      </c>
      <c r="B853" s="1" t="s">
        <v>851</v>
      </c>
      <c r="C853" s="2">
        <v>514177</v>
      </c>
      <c r="D853" s="8">
        <v>4.4443E-4</v>
      </c>
    </row>
    <row r="854" spans="1:4" x14ac:dyDescent="0.2">
      <c r="A854" s="1">
        <v>2021</v>
      </c>
      <c r="B854" s="1" t="s">
        <v>852</v>
      </c>
      <c r="C854" s="2">
        <v>1475859</v>
      </c>
      <c r="D854" s="8">
        <v>1.27568E-3</v>
      </c>
    </row>
    <row r="855" spans="1:4" x14ac:dyDescent="0.2">
      <c r="A855" s="1">
        <v>2021</v>
      </c>
      <c r="B855" s="1" t="s">
        <v>853</v>
      </c>
      <c r="C855" s="2">
        <v>1046164</v>
      </c>
      <c r="D855" s="8">
        <v>9.0426000000000005E-4</v>
      </c>
    </row>
    <row r="856" spans="1:4" x14ac:dyDescent="0.2">
      <c r="A856" s="1">
        <v>2021</v>
      </c>
      <c r="B856" s="1" t="s">
        <v>899</v>
      </c>
      <c r="C856" s="2">
        <v>14964</v>
      </c>
      <c r="D856" s="8">
        <v>1.293E-5</v>
      </c>
    </row>
    <row r="857" spans="1:4" x14ac:dyDescent="0.2">
      <c r="A857" s="1">
        <v>2021</v>
      </c>
      <c r="B857" s="1" t="s">
        <v>855</v>
      </c>
      <c r="C857" s="2">
        <v>6659</v>
      </c>
      <c r="D857" s="8">
        <v>5.7599999999999999E-6</v>
      </c>
    </row>
    <row r="858" spans="1:4" x14ac:dyDescent="0.2">
      <c r="A858" s="1">
        <v>2021</v>
      </c>
      <c r="B858" s="1" t="s">
        <v>856</v>
      </c>
      <c r="C858" s="2">
        <v>19044</v>
      </c>
      <c r="D858" s="8">
        <v>1.6460000000000002E-5</v>
      </c>
    </row>
    <row r="859" spans="1:4" x14ac:dyDescent="0.2">
      <c r="A859" s="1">
        <v>2021</v>
      </c>
      <c r="B859" s="1" t="s">
        <v>857</v>
      </c>
      <c r="C859" s="2">
        <v>5566</v>
      </c>
      <c r="D859" s="8">
        <v>4.8099999999999997E-6</v>
      </c>
    </row>
    <row r="860" spans="1:4" x14ac:dyDescent="0.2">
      <c r="A860" s="1">
        <v>2021</v>
      </c>
      <c r="B860" s="1" t="s">
        <v>858</v>
      </c>
      <c r="C860" s="2">
        <v>111843</v>
      </c>
      <c r="D860" s="8">
        <v>9.6669999999999994E-5</v>
      </c>
    </row>
    <row r="861" spans="1:4" x14ac:dyDescent="0.2">
      <c r="A861" s="1">
        <v>2021</v>
      </c>
      <c r="B861" s="1" t="s">
        <v>859</v>
      </c>
      <c r="C861" s="2">
        <v>106820</v>
      </c>
      <c r="D861" s="8">
        <v>9.2330000000000005E-5</v>
      </c>
    </row>
    <row r="863" spans="1:4" x14ac:dyDescent="0.2">
      <c r="B863" s="3" t="s">
        <v>861</v>
      </c>
      <c r="C863" s="2">
        <f>SUM(C2:C861)</f>
        <v>1156923367</v>
      </c>
    </row>
    <row r="864" spans="1:4" x14ac:dyDescent="0.2">
      <c r="B864" s="3"/>
    </row>
    <row r="865" spans="2:3" x14ac:dyDescent="0.2">
      <c r="B865" s="3" t="s">
        <v>860</v>
      </c>
      <c r="C865" s="2">
        <v>1156923368</v>
      </c>
    </row>
    <row r="867" spans="2:3" x14ac:dyDescent="0.2">
      <c r="B867" s="4" t="s">
        <v>862</v>
      </c>
      <c r="C867" s="5">
        <f>C863-C865</f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97CA-BB42-AE4A-B020-C9ADA20633DA}">
  <sheetPr>
    <tabColor rgb="FFFFFF00"/>
  </sheetPr>
  <dimension ref="A1:D863"/>
  <sheetViews>
    <sheetView workbookViewId="0">
      <selection activeCell="A2" sqref="A2:D857"/>
    </sheetView>
  </sheetViews>
  <sheetFormatPr baseColWidth="10" defaultRowHeight="16" x14ac:dyDescent="0.2"/>
  <cols>
    <col min="1" max="1" width="10.83203125" style="1"/>
    <col min="2" max="2" width="32.6640625" style="1" bestFit="1" customWidth="1"/>
    <col min="3" max="3" width="19.664062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2020</v>
      </c>
      <c r="B2" s="1" t="s">
        <v>0</v>
      </c>
      <c r="C2" s="2">
        <v>561880</v>
      </c>
      <c r="D2" s="8">
        <v>4.8495E-4</v>
      </c>
    </row>
    <row r="3" spans="1:4" x14ac:dyDescent="0.2">
      <c r="A3" s="1">
        <v>2020</v>
      </c>
      <c r="B3" s="1" t="s">
        <v>1</v>
      </c>
      <c r="C3" s="2">
        <v>1243082</v>
      </c>
      <c r="D3" s="8">
        <v>1.07289E-3</v>
      </c>
    </row>
    <row r="4" spans="1:4" x14ac:dyDescent="0.2">
      <c r="A4" s="1">
        <v>2020</v>
      </c>
      <c r="B4" s="1" t="s">
        <v>2</v>
      </c>
      <c r="C4" s="2">
        <v>105061</v>
      </c>
      <c r="D4" s="8">
        <v>9.0680000000000006E-5</v>
      </c>
    </row>
    <row r="5" spans="1:4" x14ac:dyDescent="0.2">
      <c r="A5" s="1">
        <v>2020</v>
      </c>
      <c r="B5" s="1" t="s">
        <v>3</v>
      </c>
      <c r="C5" s="2">
        <v>30833</v>
      </c>
      <c r="D5" s="8">
        <v>2.6610000000000001E-5</v>
      </c>
    </row>
    <row r="6" spans="1:4" x14ac:dyDescent="0.2">
      <c r="A6" s="1">
        <v>2020</v>
      </c>
      <c r="B6" s="1" t="s">
        <v>4</v>
      </c>
      <c r="C6" s="2">
        <v>1411904</v>
      </c>
      <c r="D6" s="8">
        <v>1.2186E-3</v>
      </c>
    </row>
    <row r="7" spans="1:4" x14ac:dyDescent="0.2">
      <c r="A7" s="1">
        <v>2020</v>
      </c>
      <c r="B7" s="1" t="s">
        <v>5</v>
      </c>
      <c r="C7" s="2">
        <v>13616</v>
      </c>
      <c r="D7" s="8">
        <v>1.1749999999999999E-5</v>
      </c>
    </row>
    <row r="8" spans="1:4" x14ac:dyDescent="0.2">
      <c r="A8" s="1">
        <v>2020</v>
      </c>
      <c r="B8" s="1" t="s">
        <v>6</v>
      </c>
      <c r="C8" s="2">
        <v>2996676</v>
      </c>
      <c r="D8" s="8">
        <v>2.5864099999999999E-3</v>
      </c>
    </row>
    <row r="9" spans="1:4" x14ac:dyDescent="0.2">
      <c r="A9" s="1">
        <v>2020</v>
      </c>
      <c r="B9" s="1" t="s">
        <v>7</v>
      </c>
      <c r="C9" s="2">
        <v>1377564</v>
      </c>
      <c r="D9" s="8">
        <v>1.1889699999999999E-3</v>
      </c>
    </row>
    <row r="10" spans="1:4" x14ac:dyDescent="0.2">
      <c r="A10" s="1">
        <v>2020</v>
      </c>
      <c r="B10" s="1" t="s">
        <v>8</v>
      </c>
      <c r="C10" s="2">
        <v>3078090</v>
      </c>
      <c r="D10" s="8">
        <v>2.6566799999999998E-3</v>
      </c>
    </row>
    <row r="11" spans="1:4" x14ac:dyDescent="0.2">
      <c r="A11" s="1">
        <v>2020</v>
      </c>
      <c r="B11" s="1" t="s">
        <v>9</v>
      </c>
      <c r="C11" s="2">
        <v>1063282</v>
      </c>
      <c r="D11" s="8">
        <v>9.1770999999999997E-4</v>
      </c>
    </row>
    <row r="12" spans="1:4" x14ac:dyDescent="0.2">
      <c r="A12" s="1">
        <v>2020</v>
      </c>
      <c r="B12" s="1" t="s">
        <v>10</v>
      </c>
      <c r="C12" s="2">
        <v>4842398</v>
      </c>
      <c r="D12" s="8">
        <v>4.1794400000000004E-3</v>
      </c>
    </row>
    <row r="13" spans="1:4" x14ac:dyDescent="0.2">
      <c r="A13" s="1">
        <v>2020</v>
      </c>
      <c r="B13" s="1" t="s">
        <v>11</v>
      </c>
      <c r="C13" s="2">
        <v>1209007</v>
      </c>
      <c r="D13" s="8">
        <v>1.04349E-3</v>
      </c>
    </row>
    <row r="14" spans="1:4" x14ac:dyDescent="0.2">
      <c r="A14" s="1">
        <v>2020</v>
      </c>
      <c r="B14" s="1" t="s">
        <v>12</v>
      </c>
      <c r="C14" s="2">
        <v>411643</v>
      </c>
      <c r="D14" s="8">
        <v>3.5529000000000002E-4</v>
      </c>
    </row>
    <row r="15" spans="1:4" x14ac:dyDescent="0.2">
      <c r="A15" s="1">
        <v>2020</v>
      </c>
      <c r="B15" s="1" t="s">
        <v>13</v>
      </c>
      <c r="C15" s="2">
        <v>818949</v>
      </c>
      <c r="D15" s="8">
        <v>7.0682999999999998E-4</v>
      </c>
    </row>
    <row r="16" spans="1:4" x14ac:dyDescent="0.2">
      <c r="A16" s="1">
        <v>2020</v>
      </c>
      <c r="B16" s="1" t="s">
        <v>14</v>
      </c>
      <c r="C16" s="2">
        <v>14066</v>
      </c>
      <c r="D16" s="8">
        <v>1.2140000000000001E-5</v>
      </c>
    </row>
    <row r="17" spans="1:4" x14ac:dyDescent="0.2">
      <c r="A17" s="1">
        <v>2020</v>
      </c>
      <c r="B17" s="1" t="s">
        <v>15</v>
      </c>
      <c r="C17" s="2">
        <v>1465414</v>
      </c>
      <c r="D17" s="8">
        <v>1.26479E-3</v>
      </c>
    </row>
    <row r="18" spans="1:4" x14ac:dyDescent="0.2">
      <c r="A18" s="1">
        <v>2020</v>
      </c>
      <c r="B18" s="1" t="s">
        <v>16</v>
      </c>
      <c r="C18" s="2">
        <v>16837</v>
      </c>
      <c r="D18" s="8">
        <v>1.453E-5</v>
      </c>
    </row>
    <row r="19" spans="1:4" x14ac:dyDescent="0.2">
      <c r="A19" s="1">
        <v>2020</v>
      </c>
      <c r="B19" s="1" t="s">
        <v>17</v>
      </c>
      <c r="C19" s="2">
        <v>19705</v>
      </c>
      <c r="D19" s="8">
        <v>1.7010000000000001E-5</v>
      </c>
    </row>
    <row r="20" spans="1:4" x14ac:dyDescent="0.2">
      <c r="A20" s="1">
        <v>2020</v>
      </c>
      <c r="B20" s="1" t="s">
        <v>18</v>
      </c>
      <c r="C20" s="2">
        <v>198324</v>
      </c>
      <c r="D20" s="8">
        <v>1.7117E-4</v>
      </c>
    </row>
    <row r="21" spans="1:4" x14ac:dyDescent="0.2">
      <c r="A21" s="1">
        <v>2020</v>
      </c>
      <c r="B21" s="1" t="s">
        <v>19</v>
      </c>
      <c r="C21" s="2">
        <v>20294</v>
      </c>
      <c r="D21" s="8">
        <v>1.7520000000000002E-5</v>
      </c>
    </row>
    <row r="22" spans="1:4" x14ac:dyDescent="0.2">
      <c r="A22" s="1">
        <v>2020</v>
      </c>
      <c r="B22" s="1" t="s">
        <v>20</v>
      </c>
      <c r="C22" s="2">
        <v>1106515</v>
      </c>
      <c r="D22" s="8">
        <v>9.5502E-4</v>
      </c>
    </row>
    <row r="23" spans="1:4" x14ac:dyDescent="0.2">
      <c r="A23" s="1">
        <v>2020</v>
      </c>
      <c r="B23" s="1" t="s">
        <v>21</v>
      </c>
      <c r="C23" s="2">
        <v>10693</v>
      </c>
      <c r="D23" s="8">
        <v>9.2299999999999997E-6</v>
      </c>
    </row>
    <row r="24" spans="1:4" x14ac:dyDescent="0.2">
      <c r="A24" s="1">
        <v>2020</v>
      </c>
      <c r="B24" s="1" t="s">
        <v>22</v>
      </c>
      <c r="C24" s="2">
        <v>11007</v>
      </c>
      <c r="D24" s="8">
        <v>9.5000000000000005E-6</v>
      </c>
    </row>
    <row r="25" spans="1:4" x14ac:dyDescent="0.2">
      <c r="A25" s="1">
        <v>2020</v>
      </c>
      <c r="B25" s="1" t="s">
        <v>23</v>
      </c>
      <c r="C25" s="2">
        <v>100081</v>
      </c>
      <c r="D25" s="8">
        <v>8.6379999999999996E-5</v>
      </c>
    </row>
    <row r="26" spans="1:4" x14ac:dyDescent="0.2">
      <c r="A26" s="1">
        <v>2020</v>
      </c>
      <c r="B26" s="1" t="s">
        <v>24</v>
      </c>
      <c r="C26" s="2">
        <v>35012</v>
      </c>
      <c r="D26" s="8">
        <v>3.0219999999999999E-5</v>
      </c>
    </row>
    <row r="27" spans="1:4" x14ac:dyDescent="0.2">
      <c r="A27" s="1">
        <v>2020</v>
      </c>
      <c r="B27" s="1" t="s">
        <v>26</v>
      </c>
      <c r="C27" s="2">
        <v>1264466</v>
      </c>
      <c r="D27" s="8">
        <v>1.09135E-3</v>
      </c>
    </row>
    <row r="28" spans="1:4" x14ac:dyDescent="0.2">
      <c r="A28" s="1">
        <v>2020</v>
      </c>
      <c r="B28" s="1" t="s">
        <v>27</v>
      </c>
      <c r="C28" s="2">
        <v>551642</v>
      </c>
      <c r="D28" s="8">
        <v>4.7612000000000002E-4</v>
      </c>
    </row>
    <row r="29" spans="1:4" x14ac:dyDescent="0.2">
      <c r="A29" s="1">
        <v>2020</v>
      </c>
      <c r="B29" s="1" t="s">
        <v>28</v>
      </c>
      <c r="C29" s="2">
        <v>24002</v>
      </c>
      <c r="D29" s="8">
        <v>2.0720000000000002E-5</v>
      </c>
    </row>
    <row r="30" spans="1:4" x14ac:dyDescent="0.2">
      <c r="A30" s="1">
        <v>2020</v>
      </c>
      <c r="B30" s="1" t="s">
        <v>29</v>
      </c>
      <c r="C30" s="2">
        <v>3491265</v>
      </c>
      <c r="D30" s="8">
        <v>3.0132900000000001E-3</v>
      </c>
    </row>
    <row r="31" spans="1:4" x14ac:dyDescent="0.2">
      <c r="A31" s="1">
        <v>2020</v>
      </c>
      <c r="B31" s="1" t="s">
        <v>30</v>
      </c>
      <c r="C31" s="2">
        <v>224947</v>
      </c>
      <c r="D31" s="8">
        <v>1.9415E-4</v>
      </c>
    </row>
    <row r="32" spans="1:4" x14ac:dyDescent="0.2">
      <c r="A32" s="1">
        <v>2020</v>
      </c>
      <c r="B32" s="1" t="s">
        <v>31</v>
      </c>
      <c r="C32" s="2">
        <v>13458</v>
      </c>
      <c r="D32" s="8">
        <v>1.1620000000000001E-5</v>
      </c>
    </row>
    <row r="33" spans="1:4" x14ac:dyDescent="0.2">
      <c r="A33" s="1">
        <v>2020</v>
      </c>
      <c r="B33" s="1" t="s">
        <v>32</v>
      </c>
      <c r="C33" s="2">
        <v>846860</v>
      </c>
      <c r="D33" s="8">
        <v>7.3092000000000003E-4</v>
      </c>
    </row>
    <row r="34" spans="1:4" x14ac:dyDescent="0.2">
      <c r="A34" s="1">
        <v>2020</v>
      </c>
      <c r="B34" s="1" t="s">
        <v>33</v>
      </c>
      <c r="C34" s="2">
        <v>1027101</v>
      </c>
      <c r="D34" s="8">
        <v>8.8648000000000004E-4</v>
      </c>
    </row>
    <row r="35" spans="1:4" x14ac:dyDescent="0.2">
      <c r="A35" s="1">
        <v>2020</v>
      </c>
      <c r="B35" s="1" t="s">
        <v>34</v>
      </c>
      <c r="C35" s="2">
        <v>14505</v>
      </c>
      <c r="D35" s="8">
        <v>1.252E-5</v>
      </c>
    </row>
    <row r="36" spans="1:4" x14ac:dyDescent="0.2">
      <c r="A36" s="1">
        <v>2020</v>
      </c>
      <c r="B36" s="1" t="s">
        <v>35</v>
      </c>
      <c r="C36" s="2">
        <v>29282</v>
      </c>
      <c r="D36" s="8">
        <v>2.527E-5</v>
      </c>
    </row>
    <row r="37" spans="1:4" x14ac:dyDescent="0.2">
      <c r="A37" s="1">
        <v>2020</v>
      </c>
      <c r="B37" s="1" t="s">
        <v>36</v>
      </c>
      <c r="C37" s="2">
        <v>1189836</v>
      </c>
      <c r="D37" s="8">
        <v>1.0269400000000001E-3</v>
      </c>
    </row>
    <row r="38" spans="1:4" x14ac:dyDescent="0.2">
      <c r="A38" s="1">
        <v>2020</v>
      </c>
      <c r="B38" s="1" t="s">
        <v>37</v>
      </c>
      <c r="C38" s="2">
        <v>194296</v>
      </c>
      <c r="D38" s="8">
        <v>1.6770000000000001E-4</v>
      </c>
    </row>
    <row r="39" spans="1:4" x14ac:dyDescent="0.2">
      <c r="A39" s="1">
        <v>2020</v>
      </c>
      <c r="B39" s="1" t="s">
        <v>38</v>
      </c>
      <c r="C39" s="2">
        <v>712837</v>
      </c>
      <c r="D39" s="8">
        <v>6.1523999999999997E-4</v>
      </c>
    </row>
    <row r="40" spans="1:4" x14ac:dyDescent="0.2">
      <c r="A40" s="1">
        <v>2020</v>
      </c>
      <c r="B40" s="1" t="s">
        <v>39</v>
      </c>
      <c r="C40" s="2">
        <v>2009135</v>
      </c>
      <c r="D40" s="8">
        <v>1.7340700000000001E-3</v>
      </c>
    </row>
    <row r="41" spans="1:4" x14ac:dyDescent="0.2">
      <c r="A41" s="1">
        <v>2020</v>
      </c>
      <c r="B41" s="1" t="s">
        <v>40</v>
      </c>
      <c r="C41" s="2">
        <v>53293</v>
      </c>
      <c r="D41" s="8">
        <v>4.6E-5</v>
      </c>
    </row>
    <row r="42" spans="1:4" x14ac:dyDescent="0.2">
      <c r="A42" s="1">
        <v>2020</v>
      </c>
      <c r="B42" s="1" t="s">
        <v>41</v>
      </c>
      <c r="C42" s="2">
        <v>20825</v>
      </c>
      <c r="D42" s="8">
        <v>1.7969999999999999E-5</v>
      </c>
    </row>
    <row r="43" spans="1:4" x14ac:dyDescent="0.2">
      <c r="A43" s="1">
        <v>2020</v>
      </c>
      <c r="B43" s="1" t="s">
        <v>42</v>
      </c>
      <c r="C43" s="2">
        <v>48349</v>
      </c>
      <c r="D43" s="8">
        <v>4.1730000000000002E-5</v>
      </c>
    </row>
    <row r="44" spans="1:4" x14ac:dyDescent="0.2">
      <c r="A44" s="1">
        <v>2020</v>
      </c>
      <c r="B44" s="1" t="s">
        <v>43</v>
      </c>
      <c r="C44" s="2">
        <v>157551</v>
      </c>
      <c r="D44" s="8">
        <v>1.3598000000000001E-4</v>
      </c>
    </row>
    <row r="45" spans="1:4" x14ac:dyDescent="0.2">
      <c r="A45" s="1">
        <v>2020</v>
      </c>
      <c r="B45" s="1" t="s">
        <v>44</v>
      </c>
      <c r="C45" s="2">
        <v>180269</v>
      </c>
      <c r="D45" s="8">
        <v>1.5558999999999999E-4</v>
      </c>
    </row>
    <row r="46" spans="1:4" x14ac:dyDescent="0.2">
      <c r="A46" s="1">
        <v>2020</v>
      </c>
      <c r="B46" s="1" t="s">
        <v>45</v>
      </c>
      <c r="C46" s="2">
        <v>3925</v>
      </c>
      <c r="D46" s="8">
        <v>3.3900000000000002E-6</v>
      </c>
    </row>
    <row r="47" spans="1:4" x14ac:dyDescent="0.2">
      <c r="A47" s="1">
        <v>2020</v>
      </c>
      <c r="B47" s="1" t="s">
        <v>46</v>
      </c>
      <c r="C47" s="2">
        <v>1079554</v>
      </c>
      <c r="D47" s="8">
        <v>9.3176000000000001E-4</v>
      </c>
    </row>
    <row r="48" spans="1:4" x14ac:dyDescent="0.2">
      <c r="A48" s="1">
        <v>2020</v>
      </c>
      <c r="B48" s="1" t="s">
        <v>47</v>
      </c>
      <c r="C48" s="2">
        <v>376902</v>
      </c>
      <c r="D48" s="8">
        <v>3.2529999999999999E-4</v>
      </c>
    </row>
    <row r="49" spans="1:4" x14ac:dyDescent="0.2">
      <c r="A49" s="1">
        <v>2020</v>
      </c>
      <c r="B49" s="1" t="s">
        <v>48</v>
      </c>
      <c r="C49" s="2">
        <v>13614</v>
      </c>
      <c r="D49" s="8">
        <v>1.1749999999999999E-5</v>
      </c>
    </row>
    <row r="50" spans="1:4" x14ac:dyDescent="0.2">
      <c r="A50" s="1">
        <v>2020</v>
      </c>
      <c r="B50" s="1" t="s">
        <v>49</v>
      </c>
      <c r="C50" s="2">
        <v>22683</v>
      </c>
      <c r="D50" s="8">
        <v>1.9579999999999999E-5</v>
      </c>
    </row>
    <row r="51" spans="1:4" x14ac:dyDescent="0.2">
      <c r="A51" s="1">
        <v>2020</v>
      </c>
      <c r="B51" s="1" t="s">
        <v>50</v>
      </c>
      <c r="C51" s="2">
        <v>5359466</v>
      </c>
      <c r="D51" s="8">
        <v>4.6257199999999998E-3</v>
      </c>
    </row>
    <row r="52" spans="1:4" x14ac:dyDescent="0.2">
      <c r="A52" s="1">
        <v>2020</v>
      </c>
      <c r="B52" s="1" t="s">
        <v>51</v>
      </c>
      <c r="C52" s="2">
        <v>342035</v>
      </c>
      <c r="D52" s="8">
        <v>2.9521000000000001E-4</v>
      </c>
    </row>
    <row r="53" spans="1:4" x14ac:dyDescent="0.2">
      <c r="A53" s="1">
        <v>2020</v>
      </c>
      <c r="B53" s="1" t="s">
        <v>52</v>
      </c>
      <c r="C53" s="2">
        <v>6021888</v>
      </c>
      <c r="D53" s="8">
        <v>5.1974500000000002E-3</v>
      </c>
    </row>
    <row r="54" spans="1:4" x14ac:dyDescent="0.2">
      <c r="A54" s="1">
        <v>2020</v>
      </c>
      <c r="B54" s="1" t="s">
        <v>53</v>
      </c>
      <c r="C54" s="2">
        <v>12187</v>
      </c>
      <c r="D54" s="8">
        <v>1.0519999999999999E-5</v>
      </c>
    </row>
    <row r="55" spans="1:4" x14ac:dyDescent="0.2">
      <c r="A55" s="1">
        <v>2020</v>
      </c>
      <c r="B55" s="1" t="s">
        <v>54</v>
      </c>
      <c r="C55" s="2">
        <v>8496</v>
      </c>
      <c r="D55" s="8">
        <v>7.3300000000000001E-6</v>
      </c>
    </row>
    <row r="56" spans="1:4" x14ac:dyDescent="0.2">
      <c r="A56" s="1">
        <v>2020</v>
      </c>
      <c r="B56" s="1" t="s">
        <v>55</v>
      </c>
      <c r="C56" s="2">
        <v>12180</v>
      </c>
      <c r="D56" s="8">
        <v>1.0509999999999999E-5</v>
      </c>
    </row>
    <row r="57" spans="1:4" x14ac:dyDescent="0.2">
      <c r="A57" s="1">
        <v>2020</v>
      </c>
      <c r="B57" s="1" t="s">
        <v>56</v>
      </c>
      <c r="C57" s="2">
        <v>59219</v>
      </c>
      <c r="D57" s="8">
        <v>5.1109999999999997E-5</v>
      </c>
    </row>
    <row r="58" spans="1:4" x14ac:dyDescent="0.2">
      <c r="A58" s="1">
        <v>2020</v>
      </c>
      <c r="B58" s="1" t="s">
        <v>57</v>
      </c>
      <c r="C58" s="2">
        <v>56301</v>
      </c>
      <c r="D58" s="8">
        <v>4.8590000000000001E-5</v>
      </c>
    </row>
    <row r="59" spans="1:4" x14ac:dyDescent="0.2">
      <c r="A59" s="1">
        <v>2020</v>
      </c>
      <c r="B59" s="1" t="s">
        <v>58</v>
      </c>
      <c r="C59" s="2">
        <v>1360576</v>
      </c>
      <c r="D59" s="8">
        <v>1.1743000000000001E-3</v>
      </c>
    </row>
    <row r="60" spans="1:4" x14ac:dyDescent="0.2">
      <c r="A60" s="1">
        <v>2020</v>
      </c>
      <c r="B60" s="1" t="s">
        <v>59</v>
      </c>
      <c r="C60" s="2">
        <v>4875</v>
      </c>
      <c r="D60" s="8">
        <v>4.2100000000000003E-6</v>
      </c>
    </row>
    <row r="61" spans="1:4" x14ac:dyDescent="0.2">
      <c r="A61" s="1">
        <v>2020</v>
      </c>
      <c r="B61" s="1" t="s">
        <v>60</v>
      </c>
      <c r="C61" s="2">
        <v>55724</v>
      </c>
      <c r="D61" s="8">
        <v>4.8099999999999997E-5</v>
      </c>
    </row>
    <row r="62" spans="1:4" x14ac:dyDescent="0.2">
      <c r="A62" s="1">
        <v>2020</v>
      </c>
      <c r="B62" s="1" t="s">
        <v>61</v>
      </c>
      <c r="C62" s="2">
        <v>506716</v>
      </c>
      <c r="D62" s="8">
        <v>4.3733999999999998E-4</v>
      </c>
    </row>
    <row r="63" spans="1:4" x14ac:dyDescent="0.2">
      <c r="A63" s="1">
        <v>2020</v>
      </c>
      <c r="B63" s="1" t="s">
        <v>62</v>
      </c>
      <c r="C63" s="2">
        <v>140406</v>
      </c>
      <c r="D63" s="8">
        <v>1.2118E-4</v>
      </c>
    </row>
    <row r="64" spans="1:4" x14ac:dyDescent="0.2">
      <c r="A64" s="1">
        <v>2020</v>
      </c>
      <c r="B64" s="1" t="s">
        <v>63</v>
      </c>
      <c r="C64" s="2">
        <v>39650</v>
      </c>
      <c r="D64" s="8">
        <v>3.4220000000000001E-5</v>
      </c>
    </row>
    <row r="65" spans="1:4" x14ac:dyDescent="0.2">
      <c r="A65" s="1">
        <v>2020</v>
      </c>
      <c r="B65" s="1" t="s">
        <v>64</v>
      </c>
      <c r="C65" s="2">
        <v>1177660</v>
      </c>
      <c r="D65" s="8">
        <v>1.01643E-3</v>
      </c>
    </row>
    <row r="66" spans="1:4" x14ac:dyDescent="0.2">
      <c r="A66" s="1">
        <v>2020</v>
      </c>
      <c r="B66" s="1" t="s">
        <v>65</v>
      </c>
      <c r="C66" s="2">
        <v>7306694</v>
      </c>
      <c r="D66" s="8">
        <v>6.3063499999999996E-3</v>
      </c>
    </row>
    <row r="67" spans="1:4" x14ac:dyDescent="0.2">
      <c r="A67" s="1">
        <v>2020</v>
      </c>
      <c r="B67" s="1" t="s">
        <v>66</v>
      </c>
      <c r="C67" s="2">
        <v>50691</v>
      </c>
      <c r="D67" s="8">
        <v>4.375E-5</v>
      </c>
    </row>
    <row r="68" spans="1:4" x14ac:dyDescent="0.2">
      <c r="A68" s="1">
        <v>2020</v>
      </c>
      <c r="B68" s="1" t="s">
        <v>67</v>
      </c>
      <c r="C68" s="2">
        <v>1246069</v>
      </c>
      <c r="D68" s="8">
        <v>1.07547E-3</v>
      </c>
    </row>
    <row r="69" spans="1:4" x14ac:dyDescent="0.2">
      <c r="A69" s="1">
        <v>2020</v>
      </c>
      <c r="B69" s="1" t="s">
        <v>68</v>
      </c>
      <c r="C69" s="2">
        <v>1015387</v>
      </c>
      <c r="D69" s="8">
        <v>8.7637000000000001E-4</v>
      </c>
    </row>
    <row r="70" spans="1:4" x14ac:dyDescent="0.2">
      <c r="A70" s="1">
        <v>2020</v>
      </c>
      <c r="B70" s="1" t="s">
        <v>69</v>
      </c>
      <c r="C70" s="2">
        <v>2763062</v>
      </c>
      <c r="D70" s="8">
        <v>2.38478E-3</v>
      </c>
    </row>
    <row r="71" spans="1:4" x14ac:dyDescent="0.2">
      <c r="A71" s="1">
        <v>2020</v>
      </c>
      <c r="B71" s="1" t="s">
        <v>70</v>
      </c>
      <c r="C71" s="2">
        <v>61127</v>
      </c>
      <c r="D71" s="8">
        <v>5.2760000000000003E-5</v>
      </c>
    </row>
    <row r="72" spans="1:4" x14ac:dyDescent="0.2">
      <c r="A72" s="1">
        <v>2020</v>
      </c>
      <c r="B72" s="1" t="s">
        <v>71</v>
      </c>
      <c r="C72" s="2">
        <v>61948</v>
      </c>
      <c r="D72" s="8">
        <v>5.3470000000000001E-5</v>
      </c>
    </row>
    <row r="73" spans="1:4" x14ac:dyDescent="0.2">
      <c r="A73" s="1">
        <v>2020</v>
      </c>
      <c r="B73" s="1" t="s">
        <v>72</v>
      </c>
      <c r="C73" s="2">
        <v>121791</v>
      </c>
      <c r="D73" s="8">
        <v>1.0512E-4</v>
      </c>
    </row>
    <row r="74" spans="1:4" x14ac:dyDescent="0.2">
      <c r="A74" s="1">
        <v>2020</v>
      </c>
      <c r="B74" s="1" t="s">
        <v>73</v>
      </c>
      <c r="C74" s="2">
        <v>34612</v>
      </c>
      <c r="D74" s="8">
        <v>2.987E-5</v>
      </c>
    </row>
    <row r="75" spans="1:4" x14ac:dyDescent="0.2">
      <c r="A75" s="1">
        <v>2020</v>
      </c>
      <c r="B75" s="1" t="s">
        <v>74</v>
      </c>
      <c r="C75" s="2">
        <v>1270411</v>
      </c>
      <c r="D75" s="8">
        <v>1.0964799999999999E-3</v>
      </c>
    </row>
    <row r="76" spans="1:4" x14ac:dyDescent="0.2">
      <c r="A76" s="1">
        <v>2020</v>
      </c>
      <c r="B76" s="1" t="s">
        <v>75</v>
      </c>
      <c r="C76" s="2">
        <v>31666</v>
      </c>
      <c r="D76" s="8">
        <v>2.7330000000000001E-5</v>
      </c>
    </row>
    <row r="77" spans="1:4" x14ac:dyDescent="0.2">
      <c r="A77" s="1">
        <v>2020</v>
      </c>
      <c r="B77" s="1" t="s">
        <v>76</v>
      </c>
      <c r="C77" s="2">
        <v>227227</v>
      </c>
      <c r="D77" s="8">
        <v>1.9612000000000001E-4</v>
      </c>
    </row>
    <row r="78" spans="1:4" x14ac:dyDescent="0.2">
      <c r="A78" s="1">
        <v>2020</v>
      </c>
      <c r="B78" s="1" t="s">
        <v>77</v>
      </c>
      <c r="C78" s="2">
        <v>65619</v>
      </c>
      <c r="D78" s="8">
        <v>5.664E-5</v>
      </c>
    </row>
    <row r="79" spans="1:4" x14ac:dyDescent="0.2">
      <c r="A79" s="1">
        <v>2020</v>
      </c>
      <c r="B79" s="1" t="s">
        <v>78</v>
      </c>
      <c r="C79" s="2">
        <v>77535</v>
      </c>
      <c r="D79" s="8">
        <v>6.6920000000000003E-5</v>
      </c>
    </row>
    <row r="80" spans="1:4" x14ac:dyDescent="0.2">
      <c r="A80" s="1">
        <v>2020</v>
      </c>
      <c r="B80" s="1" t="s">
        <v>79</v>
      </c>
      <c r="C80" s="2">
        <v>74888</v>
      </c>
      <c r="D80" s="8">
        <v>6.4640000000000005E-5</v>
      </c>
    </row>
    <row r="81" spans="1:4" x14ac:dyDescent="0.2">
      <c r="A81" s="1">
        <v>2020</v>
      </c>
      <c r="B81" s="1" t="s">
        <v>80</v>
      </c>
      <c r="C81" s="2">
        <v>2239300</v>
      </c>
      <c r="D81" s="8">
        <v>1.93272E-3</v>
      </c>
    </row>
    <row r="82" spans="1:4" x14ac:dyDescent="0.2">
      <c r="A82" s="1">
        <v>2020</v>
      </c>
      <c r="B82" s="1" t="s">
        <v>81</v>
      </c>
      <c r="C82" s="2">
        <v>414944</v>
      </c>
      <c r="D82" s="8">
        <v>3.5814000000000001E-4</v>
      </c>
    </row>
    <row r="83" spans="1:4" x14ac:dyDescent="0.2">
      <c r="A83" s="1">
        <v>2020</v>
      </c>
      <c r="B83" s="1" t="s">
        <v>82</v>
      </c>
      <c r="C83" s="2">
        <v>3503</v>
      </c>
      <c r="D83" s="8">
        <v>3.0199999999999999E-6</v>
      </c>
    </row>
    <row r="84" spans="1:4" x14ac:dyDescent="0.2">
      <c r="A84" s="1">
        <v>2020</v>
      </c>
      <c r="B84" s="1" t="s">
        <v>83</v>
      </c>
      <c r="C84" s="2">
        <v>748333</v>
      </c>
      <c r="D84" s="8">
        <v>6.4588000000000004E-4</v>
      </c>
    </row>
    <row r="85" spans="1:4" x14ac:dyDescent="0.2">
      <c r="A85" s="1">
        <v>2020</v>
      </c>
      <c r="B85" s="1" t="s">
        <v>84</v>
      </c>
      <c r="C85" s="2">
        <v>21823</v>
      </c>
      <c r="D85" s="8">
        <v>1.8839999999999999E-5</v>
      </c>
    </row>
    <row r="86" spans="1:4" x14ac:dyDescent="0.2">
      <c r="A86" s="1">
        <v>2020</v>
      </c>
      <c r="B86" s="1" t="s">
        <v>85</v>
      </c>
      <c r="C86" s="2">
        <v>63424</v>
      </c>
      <c r="D86" s="8">
        <v>5.4740000000000001E-5</v>
      </c>
    </row>
    <row r="87" spans="1:4" x14ac:dyDescent="0.2">
      <c r="A87" s="1">
        <v>2020</v>
      </c>
      <c r="B87" s="1" t="s">
        <v>86</v>
      </c>
      <c r="C87" s="2">
        <v>3084905</v>
      </c>
      <c r="D87" s="8">
        <v>2.66256E-3</v>
      </c>
    </row>
    <row r="88" spans="1:4" x14ac:dyDescent="0.2">
      <c r="A88" s="1">
        <v>2020</v>
      </c>
      <c r="B88" s="1" t="s">
        <v>87</v>
      </c>
      <c r="C88" s="2">
        <v>790040</v>
      </c>
      <c r="D88" s="8">
        <v>6.8188000000000005E-4</v>
      </c>
    </row>
    <row r="89" spans="1:4" x14ac:dyDescent="0.2">
      <c r="A89" s="1">
        <v>2020</v>
      </c>
      <c r="B89" s="1" t="s">
        <v>88</v>
      </c>
      <c r="C89" s="2">
        <v>39650</v>
      </c>
      <c r="D89" s="8">
        <v>3.4220000000000001E-5</v>
      </c>
    </row>
    <row r="90" spans="1:4" x14ac:dyDescent="0.2">
      <c r="A90" s="1">
        <v>2020</v>
      </c>
      <c r="B90" s="1" t="s">
        <v>89</v>
      </c>
      <c r="C90" s="2">
        <v>956578</v>
      </c>
      <c r="D90" s="8">
        <v>8.2562E-4</v>
      </c>
    </row>
    <row r="91" spans="1:4" x14ac:dyDescent="0.2">
      <c r="A91" s="1">
        <v>2020</v>
      </c>
      <c r="B91" s="1" t="s">
        <v>90</v>
      </c>
      <c r="C91" s="2">
        <v>640723</v>
      </c>
      <c r="D91" s="8">
        <v>5.53E-4</v>
      </c>
    </row>
    <row r="92" spans="1:4" x14ac:dyDescent="0.2">
      <c r="A92" s="1">
        <v>2020</v>
      </c>
      <c r="B92" s="1" t="s">
        <v>91</v>
      </c>
      <c r="C92" s="2">
        <v>11091</v>
      </c>
      <c r="D92" s="8">
        <v>9.5699999999999999E-6</v>
      </c>
    </row>
    <row r="93" spans="1:4" x14ac:dyDescent="0.2">
      <c r="A93" s="1">
        <v>2020</v>
      </c>
      <c r="B93" s="1" t="s">
        <v>92</v>
      </c>
      <c r="C93" s="2">
        <v>338585</v>
      </c>
      <c r="D93" s="8">
        <v>2.9222999999999999E-4</v>
      </c>
    </row>
    <row r="94" spans="1:4" x14ac:dyDescent="0.2">
      <c r="A94" s="1">
        <v>2020</v>
      </c>
      <c r="B94" s="1" t="s">
        <v>93</v>
      </c>
      <c r="C94" s="2">
        <v>7371</v>
      </c>
      <c r="D94" s="8">
        <v>6.3600000000000001E-6</v>
      </c>
    </row>
    <row r="95" spans="1:4" x14ac:dyDescent="0.2">
      <c r="A95" s="1">
        <v>2020</v>
      </c>
      <c r="B95" s="1" t="s">
        <v>94</v>
      </c>
      <c r="C95" s="2">
        <v>277178</v>
      </c>
      <c r="D95" s="8">
        <v>2.3923E-4</v>
      </c>
    </row>
    <row r="96" spans="1:4" x14ac:dyDescent="0.2">
      <c r="A96" s="1">
        <v>2020</v>
      </c>
      <c r="B96" s="1" t="s">
        <v>95</v>
      </c>
      <c r="C96" s="2">
        <v>90007</v>
      </c>
      <c r="D96" s="8">
        <v>7.7680000000000002E-5</v>
      </c>
    </row>
    <row r="97" spans="1:4" x14ac:dyDescent="0.2">
      <c r="A97" s="1">
        <v>2020</v>
      </c>
      <c r="B97" s="1" t="s">
        <v>96</v>
      </c>
      <c r="C97" s="2">
        <v>144029</v>
      </c>
      <c r="D97" s="8">
        <v>1.2431000000000001E-4</v>
      </c>
    </row>
    <row r="98" spans="1:4" x14ac:dyDescent="0.2">
      <c r="A98" s="1">
        <v>2020</v>
      </c>
      <c r="B98" s="1" t="s">
        <v>907</v>
      </c>
      <c r="C98" s="2">
        <v>416726</v>
      </c>
      <c r="D98" s="8">
        <v>3.5966999999999998E-4</v>
      </c>
    </row>
    <row r="99" spans="1:4" x14ac:dyDescent="0.2">
      <c r="A99" s="1">
        <v>2020</v>
      </c>
      <c r="B99" s="1" t="s">
        <v>97</v>
      </c>
      <c r="C99" s="2">
        <v>706071</v>
      </c>
      <c r="D99" s="8">
        <v>6.0939999999999996E-4</v>
      </c>
    </row>
    <row r="100" spans="1:4" x14ac:dyDescent="0.2">
      <c r="A100" s="1">
        <v>2020</v>
      </c>
      <c r="B100" s="1" t="s">
        <v>99</v>
      </c>
      <c r="C100" s="2">
        <v>84809</v>
      </c>
      <c r="D100" s="8">
        <v>7.3200000000000004E-5</v>
      </c>
    </row>
    <row r="101" spans="1:4" x14ac:dyDescent="0.2">
      <c r="A101" s="1">
        <v>2020</v>
      </c>
      <c r="B101" s="1" t="s">
        <v>100</v>
      </c>
      <c r="C101" s="2">
        <v>1655965</v>
      </c>
      <c r="D101" s="8">
        <v>1.42925E-3</v>
      </c>
    </row>
    <row r="102" spans="1:4" x14ac:dyDescent="0.2">
      <c r="A102" s="1">
        <v>2020</v>
      </c>
      <c r="B102" s="1" t="s">
        <v>101</v>
      </c>
      <c r="C102" s="2">
        <v>438504</v>
      </c>
      <c r="D102" s="8">
        <v>3.7847E-4</v>
      </c>
    </row>
    <row r="103" spans="1:4" x14ac:dyDescent="0.2">
      <c r="A103" s="1">
        <v>2020</v>
      </c>
      <c r="B103" s="1" t="s">
        <v>102</v>
      </c>
      <c r="C103" s="2">
        <v>13242</v>
      </c>
      <c r="D103" s="8">
        <v>1.1430000000000001E-5</v>
      </c>
    </row>
    <row r="104" spans="1:4" x14ac:dyDescent="0.2">
      <c r="A104" s="1">
        <v>2020</v>
      </c>
      <c r="B104" s="1" t="s">
        <v>103</v>
      </c>
      <c r="C104" s="2">
        <v>10395</v>
      </c>
      <c r="D104" s="8">
        <v>8.9700000000000005E-6</v>
      </c>
    </row>
    <row r="105" spans="1:4" x14ac:dyDescent="0.2">
      <c r="A105" s="1">
        <v>2020</v>
      </c>
      <c r="B105" s="1" t="s">
        <v>104</v>
      </c>
      <c r="C105" s="2">
        <v>665765</v>
      </c>
      <c r="D105" s="8">
        <v>5.7461999999999997E-4</v>
      </c>
    </row>
    <row r="106" spans="1:4" x14ac:dyDescent="0.2">
      <c r="A106" s="1">
        <v>2020</v>
      </c>
      <c r="B106" s="1" t="s">
        <v>106</v>
      </c>
      <c r="C106" s="2">
        <v>2098593</v>
      </c>
      <c r="D106" s="8">
        <v>1.81128E-3</v>
      </c>
    </row>
    <row r="107" spans="1:4" x14ac:dyDescent="0.2">
      <c r="A107" s="1">
        <v>2020</v>
      </c>
      <c r="B107" s="1" t="s">
        <v>107</v>
      </c>
      <c r="C107" s="2">
        <v>82695</v>
      </c>
      <c r="D107" s="8">
        <v>7.1370000000000003E-5</v>
      </c>
    </row>
    <row r="108" spans="1:4" x14ac:dyDescent="0.2">
      <c r="A108" s="1">
        <v>2020</v>
      </c>
      <c r="B108" s="1" t="s">
        <v>108</v>
      </c>
      <c r="C108" s="2">
        <v>147907</v>
      </c>
      <c r="D108" s="8">
        <v>1.2766000000000001E-4</v>
      </c>
    </row>
    <row r="109" spans="1:4" x14ac:dyDescent="0.2">
      <c r="A109" s="1">
        <v>2020</v>
      </c>
      <c r="B109" s="1" t="s">
        <v>109</v>
      </c>
      <c r="C109" s="2">
        <v>1539682</v>
      </c>
      <c r="D109" s="8">
        <v>1.3288900000000001E-3</v>
      </c>
    </row>
    <row r="110" spans="1:4" x14ac:dyDescent="0.2">
      <c r="A110" s="1">
        <v>2020</v>
      </c>
      <c r="B110" s="1" t="s">
        <v>110</v>
      </c>
      <c r="C110" s="2">
        <v>559892</v>
      </c>
      <c r="D110" s="8">
        <v>4.8324000000000002E-4</v>
      </c>
    </row>
    <row r="111" spans="1:4" x14ac:dyDescent="0.2">
      <c r="A111" s="1">
        <v>2020</v>
      </c>
      <c r="B111" s="1" t="s">
        <v>111</v>
      </c>
      <c r="C111" s="2">
        <v>574954</v>
      </c>
      <c r="D111" s="8">
        <v>4.9624000000000001E-4</v>
      </c>
    </row>
    <row r="112" spans="1:4" x14ac:dyDescent="0.2">
      <c r="A112" s="1">
        <v>2020</v>
      </c>
      <c r="B112" s="1" t="s">
        <v>112</v>
      </c>
      <c r="C112" s="2">
        <v>105815</v>
      </c>
      <c r="D112" s="8">
        <v>9.1329999999999995E-5</v>
      </c>
    </row>
    <row r="113" spans="1:4" x14ac:dyDescent="0.2">
      <c r="A113" s="1">
        <v>2020</v>
      </c>
      <c r="B113" s="1" t="s">
        <v>113</v>
      </c>
      <c r="C113" s="2">
        <v>673326</v>
      </c>
      <c r="D113" s="8">
        <v>5.8113999999999996E-4</v>
      </c>
    </row>
    <row r="114" spans="1:4" x14ac:dyDescent="0.2">
      <c r="A114" s="1">
        <v>2020</v>
      </c>
      <c r="B114" s="1" t="s">
        <v>114</v>
      </c>
      <c r="C114" s="2">
        <v>957266</v>
      </c>
      <c r="D114" s="8">
        <v>8.2620999999999997E-4</v>
      </c>
    </row>
    <row r="115" spans="1:4" x14ac:dyDescent="0.2">
      <c r="A115" s="1">
        <v>2020</v>
      </c>
      <c r="B115" s="1" t="s">
        <v>115</v>
      </c>
      <c r="C115" s="2">
        <v>92311</v>
      </c>
      <c r="D115" s="8">
        <v>7.9670000000000001E-5</v>
      </c>
    </row>
    <row r="116" spans="1:4" x14ac:dyDescent="0.2">
      <c r="A116" s="1">
        <v>2020</v>
      </c>
      <c r="B116" s="1" t="s">
        <v>116</v>
      </c>
      <c r="C116" s="2">
        <v>2261841</v>
      </c>
      <c r="D116" s="8">
        <v>1.95218E-3</v>
      </c>
    </row>
    <row r="117" spans="1:4" x14ac:dyDescent="0.2">
      <c r="A117" s="1">
        <v>2020</v>
      </c>
      <c r="B117" s="1" t="s">
        <v>117</v>
      </c>
      <c r="C117" s="2">
        <v>32982</v>
      </c>
      <c r="D117" s="8">
        <v>2.847E-5</v>
      </c>
    </row>
    <row r="118" spans="1:4" x14ac:dyDescent="0.2">
      <c r="A118" s="1">
        <v>2020</v>
      </c>
      <c r="B118" s="1" t="s">
        <v>118</v>
      </c>
      <c r="C118" s="2">
        <v>668039</v>
      </c>
      <c r="D118" s="8">
        <v>5.7658000000000004E-4</v>
      </c>
    </row>
    <row r="119" spans="1:4" x14ac:dyDescent="0.2">
      <c r="A119" s="1">
        <v>2020</v>
      </c>
      <c r="B119" s="1" t="s">
        <v>119</v>
      </c>
      <c r="C119" s="2">
        <v>582485</v>
      </c>
      <c r="D119" s="8">
        <v>5.0274E-4</v>
      </c>
    </row>
    <row r="120" spans="1:4" x14ac:dyDescent="0.2">
      <c r="A120" s="1">
        <v>2020</v>
      </c>
      <c r="B120" s="1" t="s">
        <v>120</v>
      </c>
      <c r="C120" s="2">
        <v>30928</v>
      </c>
      <c r="D120" s="8">
        <v>2.669E-5</v>
      </c>
    </row>
    <row r="121" spans="1:4" x14ac:dyDescent="0.2">
      <c r="A121" s="1">
        <v>2020</v>
      </c>
      <c r="B121" s="1" t="s">
        <v>121</v>
      </c>
      <c r="C121" s="2">
        <v>936158</v>
      </c>
      <c r="D121" s="8">
        <v>8.0798999999999997E-4</v>
      </c>
    </row>
    <row r="122" spans="1:4" x14ac:dyDescent="0.2">
      <c r="A122" s="1">
        <v>2020</v>
      </c>
      <c r="B122" s="1" t="s">
        <v>122</v>
      </c>
      <c r="C122" s="2">
        <v>3106207</v>
      </c>
      <c r="D122" s="8">
        <v>2.6809400000000001E-3</v>
      </c>
    </row>
    <row r="123" spans="1:4" x14ac:dyDescent="0.2">
      <c r="A123" s="1">
        <v>2020</v>
      </c>
      <c r="B123" s="1" t="s">
        <v>123</v>
      </c>
      <c r="C123" s="2">
        <v>1665003</v>
      </c>
      <c r="D123" s="8">
        <v>1.43705E-3</v>
      </c>
    </row>
    <row r="124" spans="1:4" x14ac:dyDescent="0.2">
      <c r="A124" s="1">
        <v>2020</v>
      </c>
      <c r="B124" s="1" t="s">
        <v>124</v>
      </c>
      <c r="C124" s="2">
        <v>4356159</v>
      </c>
      <c r="D124" s="8">
        <v>3.75977E-3</v>
      </c>
    </row>
    <row r="125" spans="1:4" x14ac:dyDescent="0.2">
      <c r="A125" s="1">
        <v>2020</v>
      </c>
      <c r="B125" s="1" t="s">
        <v>125</v>
      </c>
      <c r="C125" s="2">
        <v>1515808</v>
      </c>
      <c r="D125" s="8">
        <v>1.30828E-3</v>
      </c>
    </row>
    <row r="126" spans="1:4" x14ac:dyDescent="0.2">
      <c r="A126" s="1">
        <v>2020</v>
      </c>
      <c r="B126" s="1" t="s">
        <v>126</v>
      </c>
      <c r="C126" s="2">
        <v>937036</v>
      </c>
      <c r="D126" s="8">
        <v>8.0875000000000001E-4</v>
      </c>
    </row>
    <row r="127" spans="1:4" x14ac:dyDescent="0.2">
      <c r="A127" s="1">
        <v>2020</v>
      </c>
      <c r="B127" s="1" t="s">
        <v>127</v>
      </c>
      <c r="C127" s="2">
        <v>5051</v>
      </c>
      <c r="D127" s="8">
        <v>4.3599999999999998E-6</v>
      </c>
    </row>
    <row r="128" spans="1:4" x14ac:dyDescent="0.2">
      <c r="A128" s="1">
        <v>2020</v>
      </c>
      <c r="B128" s="1" t="s">
        <v>128</v>
      </c>
      <c r="C128" s="2">
        <v>2247156</v>
      </c>
      <c r="D128" s="8">
        <v>1.9395E-3</v>
      </c>
    </row>
    <row r="129" spans="1:4" x14ac:dyDescent="0.2">
      <c r="A129" s="1">
        <v>2020</v>
      </c>
      <c r="B129" s="1" t="s">
        <v>129</v>
      </c>
      <c r="C129" s="2">
        <v>224271</v>
      </c>
      <c r="D129" s="8">
        <v>1.9357000000000001E-4</v>
      </c>
    </row>
    <row r="130" spans="1:4" x14ac:dyDescent="0.2">
      <c r="A130" s="1">
        <v>2020</v>
      </c>
      <c r="B130" s="1" t="s">
        <v>130</v>
      </c>
      <c r="C130" s="2">
        <v>581984</v>
      </c>
      <c r="D130" s="8">
        <v>5.0230999999999995E-4</v>
      </c>
    </row>
    <row r="131" spans="1:4" x14ac:dyDescent="0.2">
      <c r="A131" s="1">
        <v>2020</v>
      </c>
      <c r="B131" s="1" t="s">
        <v>131</v>
      </c>
      <c r="C131" s="2">
        <v>41512</v>
      </c>
      <c r="D131" s="8">
        <v>3.5830000000000001E-5</v>
      </c>
    </row>
    <row r="132" spans="1:4" x14ac:dyDescent="0.2">
      <c r="A132" s="1">
        <v>2020</v>
      </c>
      <c r="B132" s="1" t="s">
        <v>132</v>
      </c>
      <c r="C132" s="2">
        <v>56168</v>
      </c>
      <c r="D132" s="8">
        <v>4.8479999999999997E-5</v>
      </c>
    </row>
    <row r="133" spans="1:4" x14ac:dyDescent="0.2">
      <c r="A133" s="1">
        <v>2020</v>
      </c>
      <c r="B133" s="1" t="s">
        <v>133</v>
      </c>
      <c r="C133" s="2">
        <v>354732</v>
      </c>
      <c r="D133" s="8">
        <v>3.0616999999999998E-4</v>
      </c>
    </row>
    <row r="134" spans="1:4" x14ac:dyDescent="0.2">
      <c r="A134" s="1">
        <v>2020</v>
      </c>
      <c r="B134" s="1" t="s">
        <v>134</v>
      </c>
      <c r="C134" s="2">
        <v>476373</v>
      </c>
      <c r="D134" s="8">
        <v>4.1114999999999999E-4</v>
      </c>
    </row>
    <row r="135" spans="1:4" x14ac:dyDescent="0.2">
      <c r="A135" s="1">
        <v>2020</v>
      </c>
      <c r="B135" s="1" t="s">
        <v>135</v>
      </c>
      <c r="C135" s="2">
        <v>1619089</v>
      </c>
      <c r="D135" s="8">
        <v>1.3974199999999999E-3</v>
      </c>
    </row>
    <row r="136" spans="1:4" x14ac:dyDescent="0.2">
      <c r="A136" s="1">
        <v>2020</v>
      </c>
      <c r="B136" s="1" t="s">
        <v>136</v>
      </c>
      <c r="C136" s="2">
        <v>1652044</v>
      </c>
      <c r="D136" s="8">
        <v>1.4258700000000001E-3</v>
      </c>
    </row>
    <row r="137" spans="1:4" x14ac:dyDescent="0.2">
      <c r="A137" s="1">
        <v>2020</v>
      </c>
      <c r="B137" s="1" t="s">
        <v>137</v>
      </c>
      <c r="C137" s="2">
        <v>108723</v>
      </c>
      <c r="D137" s="8">
        <v>9.3839999999999996E-5</v>
      </c>
    </row>
    <row r="138" spans="1:4" x14ac:dyDescent="0.2">
      <c r="A138" s="1">
        <v>2020</v>
      </c>
      <c r="B138" s="1" t="s">
        <v>138</v>
      </c>
      <c r="C138" s="2">
        <v>886124</v>
      </c>
      <c r="D138" s="8">
        <v>7.6480999999999999E-4</v>
      </c>
    </row>
    <row r="139" spans="1:4" x14ac:dyDescent="0.2">
      <c r="A139" s="1">
        <v>2020</v>
      </c>
      <c r="B139" s="1" t="s">
        <v>139</v>
      </c>
      <c r="C139" s="2">
        <v>3616637</v>
      </c>
      <c r="D139" s="8">
        <v>3.1214900000000002E-3</v>
      </c>
    </row>
    <row r="140" spans="1:4" x14ac:dyDescent="0.2">
      <c r="A140" s="1">
        <v>2020</v>
      </c>
      <c r="B140" s="1" t="s">
        <v>140</v>
      </c>
      <c r="C140" s="2">
        <v>68641</v>
      </c>
      <c r="D140" s="8">
        <v>5.9240000000000002E-5</v>
      </c>
    </row>
    <row r="141" spans="1:4" x14ac:dyDescent="0.2">
      <c r="A141" s="1">
        <v>2020</v>
      </c>
      <c r="B141" s="1" t="s">
        <v>141</v>
      </c>
      <c r="C141" s="2">
        <v>46520</v>
      </c>
      <c r="D141" s="8">
        <v>4.015E-5</v>
      </c>
    </row>
    <row r="142" spans="1:4" x14ac:dyDescent="0.2">
      <c r="A142" s="1">
        <v>2020</v>
      </c>
      <c r="B142" s="1" t="s">
        <v>142</v>
      </c>
      <c r="C142" s="2">
        <v>2117720</v>
      </c>
      <c r="D142" s="8">
        <v>1.8277899999999999E-3</v>
      </c>
    </row>
    <row r="143" spans="1:4" x14ac:dyDescent="0.2">
      <c r="A143" s="1">
        <v>2020</v>
      </c>
      <c r="B143" s="1" t="s">
        <v>143</v>
      </c>
      <c r="C143" s="2">
        <v>830348</v>
      </c>
      <c r="D143" s="8">
        <v>7.1666999999999998E-4</v>
      </c>
    </row>
    <row r="144" spans="1:4" x14ac:dyDescent="0.2">
      <c r="A144" s="1">
        <v>2020</v>
      </c>
      <c r="B144" s="1" t="s">
        <v>144</v>
      </c>
      <c r="C144" s="2">
        <v>47561</v>
      </c>
      <c r="D144" s="8">
        <v>4.1050000000000002E-5</v>
      </c>
    </row>
    <row r="145" spans="1:4" x14ac:dyDescent="0.2">
      <c r="A145" s="1">
        <v>2020</v>
      </c>
      <c r="B145" s="1" t="s">
        <v>145</v>
      </c>
      <c r="C145" s="2">
        <v>23314</v>
      </c>
      <c r="D145" s="8">
        <v>2.012E-5</v>
      </c>
    </row>
    <row r="146" spans="1:4" x14ac:dyDescent="0.2">
      <c r="A146" s="1">
        <v>2020</v>
      </c>
      <c r="B146" s="1" t="s">
        <v>146</v>
      </c>
      <c r="C146" s="2">
        <v>2561103</v>
      </c>
      <c r="D146" s="8">
        <v>2.21047E-3</v>
      </c>
    </row>
    <row r="147" spans="1:4" x14ac:dyDescent="0.2">
      <c r="A147" s="1">
        <v>2020</v>
      </c>
      <c r="B147" s="1" t="s">
        <v>147</v>
      </c>
      <c r="C147" s="2">
        <v>990230</v>
      </c>
      <c r="D147" s="8">
        <v>8.5466000000000003E-4</v>
      </c>
    </row>
    <row r="148" spans="1:4" x14ac:dyDescent="0.2">
      <c r="A148" s="1">
        <v>2020</v>
      </c>
      <c r="B148" s="1" t="s">
        <v>148</v>
      </c>
      <c r="C148" s="2">
        <v>396753</v>
      </c>
      <c r="D148" s="8">
        <v>3.4243000000000001E-4</v>
      </c>
    </row>
    <row r="149" spans="1:4" x14ac:dyDescent="0.2">
      <c r="A149" s="1">
        <v>2020</v>
      </c>
      <c r="B149" s="1" t="s">
        <v>149</v>
      </c>
      <c r="C149" s="2">
        <v>66271</v>
      </c>
      <c r="D149" s="8">
        <v>5.7200000000000001E-5</v>
      </c>
    </row>
    <row r="150" spans="1:4" x14ac:dyDescent="0.2">
      <c r="A150" s="1">
        <v>2020</v>
      </c>
      <c r="B150" s="1" t="s">
        <v>150</v>
      </c>
      <c r="C150" s="2">
        <v>2249263</v>
      </c>
      <c r="D150" s="8">
        <v>1.9413200000000001E-3</v>
      </c>
    </row>
    <row r="151" spans="1:4" x14ac:dyDescent="0.2">
      <c r="A151" s="1">
        <v>2020</v>
      </c>
      <c r="B151" s="1" t="s">
        <v>151</v>
      </c>
      <c r="C151" s="2">
        <v>23310</v>
      </c>
      <c r="D151" s="8">
        <v>2.012E-5</v>
      </c>
    </row>
    <row r="152" spans="1:4" x14ac:dyDescent="0.2">
      <c r="A152" s="1">
        <v>2020</v>
      </c>
      <c r="B152" s="1" t="s">
        <v>152</v>
      </c>
      <c r="C152" s="2">
        <v>32660</v>
      </c>
      <c r="D152" s="8">
        <v>2.8189999999999999E-5</v>
      </c>
    </row>
    <row r="153" spans="1:4" x14ac:dyDescent="0.2">
      <c r="A153" s="1">
        <v>2020</v>
      </c>
      <c r="B153" s="1" t="s">
        <v>153</v>
      </c>
      <c r="C153" s="2">
        <v>11526</v>
      </c>
      <c r="D153" s="8">
        <v>9.9499999999999996E-6</v>
      </c>
    </row>
    <row r="154" spans="1:4" x14ac:dyDescent="0.2">
      <c r="A154" s="1">
        <v>2020</v>
      </c>
      <c r="B154" s="1" t="s">
        <v>154</v>
      </c>
      <c r="C154" s="2">
        <v>12315554</v>
      </c>
      <c r="D154" s="8">
        <v>1.062946E-2</v>
      </c>
    </row>
    <row r="155" spans="1:4" x14ac:dyDescent="0.2">
      <c r="A155" s="1">
        <v>2020</v>
      </c>
      <c r="B155" s="1" t="s">
        <v>155</v>
      </c>
      <c r="C155" s="2">
        <v>47788</v>
      </c>
      <c r="D155" s="8">
        <v>4.125E-5</v>
      </c>
    </row>
    <row r="156" spans="1:4" x14ac:dyDescent="0.2">
      <c r="A156" s="1">
        <v>2020</v>
      </c>
      <c r="B156" s="1" t="s">
        <v>156</v>
      </c>
      <c r="C156" s="2">
        <v>2852571</v>
      </c>
      <c r="D156" s="8">
        <v>2.46203E-3</v>
      </c>
    </row>
    <row r="157" spans="1:4" x14ac:dyDescent="0.2">
      <c r="A157" s="1">
        <v>2020</v>
      </c>
      <c r="B157" s="1" t="s">
        <v>157</v>
      </c>
      <c r="C157" s="2">
        <v>652286</v>
      </c>
      <c r="D157" s="8">
        <v>5.6298000000000003E-4</v>
      </c>
    </row>
    <row r="158" spans="1:4" x14ac:dyDescent="0.2">
      <c r="A158" s="1">
        <v>2020</v>
      </c>
      <c r="B158" s="1" t="s">
        <v>158</v>
      </c>
      <c r="C158" s="2">
        <v>23056</v>
      </c>
      <c r="D158" s="8">
        <v>1.9899999999999999E-5</v>
      </c>
    </row>
    <row r="159" spans="1:4" x14ac:dyDescent="0.2">
      <c r="A159" s="1">
        <v>2020</v>
      </c>
      <c r="B159" s="1" t="s">
        <v>159</v>
      </c>
      <c r="C159" s="2">
        <v>4945</v>
      </c>
      <c r="D159" s="8">
        <v>4.2699999999999998E-6</v>
      </c>
    </row>
    <row r="160" spans="1:4" x14ac:dyDescent="0.2">
      <c r="A160" s="1">
        <v>2020</v>
      </c>
      <c r="B160" s="1" t="s">
        <v>160</v>
      </c>
      <c r="C160" s="2">
        <v>6838</v>
      </c>
      <c r="D160" s="8">
        <v>5.9000000000000003E-6</v>
      </c>
    </row>
    <row r="161" spans="1:4" x14ac:dyDescent="0.2">
      <c r="A161" s="1">
        <v>2020</v>
      </c>
      <c r="B161" s="1" t="s">
        <v>161</v>
      </c>
      <c r="C161" s="2">
        <v>19896</v>
      </c>
      <c r="D161" s="8">
        <v>1.717E-5</v>
      </c>
    </row>
    <row r="162" spans="1:4" x14ac:dyDescent="0.2">
      <c r="A162" s="1">
        <v>2020</v>
      </c>
      <c r="B162" s="1" t="s">
        <v>162</v>
      </c>
      <c r="C162" s="2">
        <v>5046</v>
      </c>
      <c r="D162" s="8">
        <v>4.3599999999999998E-6</v>
      </c>
    </row>
    <row r="163" spans="1:4" x14ac:dyDescent="0.2">
      <c r="A163" s="1">
        <v>2020</v>
      </c>
      <c r="B163" s="1" t="s">
        <v>163</v>
      </c>
      <c r="C163" s="2">
        <v>240518</v>
      </c>
      <c r="D163" s="8">
        <v>2.0759000000000001E-4</v>
      </c>
    </row>
    <row r="164" spans="1:4" x14ac:dyDescent="0.2">
      <c r="A164" s="1">
        <v>2020</v>
      </c>
      <c r="B164" s="1" t="s">
        <v>164</v>
      </c>
      <c r="C164" s="2">
        <v>92531</v>
      </c>
      <c r="D164" s="8">
        <v>7.9859999999999998E-5</v>
      </c>
    </row>
    <row r="165" spans="1:4" x14ac:dyDescent="0.2">
      <c r="A165" s="1">
        <v>2020</v>
      </c>
      <c r="B165" s="1" t="s">
        <v>165</v>
      </c>
      <c r="C165" s="2">
        <v>64935</v>
      </c>
      <c r="D165" s="8">
        <v>5.605E-5</v>
      </c>
    </row>
    <row r="166" spans="1:4" x14ac:dyDescent="0.2">
      <c r="A166" s="1">
        <v>2020</v>
      </c>
      <c r="B166" s="1" t="s">
        <v>166</v>
      </c>
      <c r="C166" s="2">
        <v>44605</v>
      </c>
      <c r="D166" s="8">
        <v>3.8500000000000001E-5</v>
      </c>
    </row>
    <row r="167" spans="1:4" x14ac:dyDescent="0.2">
      <c r="A167" s="1">
        <v>2020</v>
      </c>
      <c r="B167" s="1" t="s">
        <v>167</v>
      </c>
      <c r="C167" s="2">
        <v>24552</v>
      </c>
      <c r="D167" s="8">
        <v>2.1189999999999999E-5</v>
      </c>
    </row>
    <row r="168" spans="1:4" x14ac:dyDescent="0.2">
      <c r="A168" s="1">
        <v>2020</v>
      </c>
      <c r="B168" s="1" t="s">
        <v>168</v>
      </c>
      <c r="C168" s="2">
        <v>3058705</v>
      </c>
      <c r="D168" s="8">
        <v>2.6399499999999998E-3</v>
      </c>
    </row>
    <row r="169" spans="1:4" x14ac:dyDescent="0.2">
      <c r="A169" s="1">
        <v>2020</v>
      </c>
      <c r="B169" s="1" t="s">
        <v>169</v>
      </c>
      <c r="C169" s="2">
        <v>5385680</v>
      </c>
      <c r="D169" s="8">
        <v>4.6483399999999999E-3</v>
      </c>
    </row>
    <row r="170" spans="1:4" x14ac:dyDescent="0.2">
      <c r="A170" s="1">
        <v>2020</v>
      </c>
      <c r="B170" s="1" t="s">
        <v>170</v>
      </c>
      <c r="C170" s="2">
        <v>3857000</v>
      </c>
      <c r="D170" s="8">
        <v>3.3289499999999998E-3</v>
      </c>
    </row>
    <row r="171" spans="1:4" x14ac:dyDescent="0.2">
      <c r="A171" s="1">
        <v>2020</v>
      </c>
      <c r="B171" s="1" t="s">
        <v>171</v>
      </c>
      <c r="C171" s="2">
        <v>19138402</v>
      </c>
      <c r="D171" s="8">
        <v>1.6518209999999998E-2</v>
      </c>
    </row>
    <row r="172" spans="1:4" x14ac:dyDescent="0.2">
      <c r="A172" s="1">
        <v>2020</v>
      </c>
      <c r="B172" s="1" t="s">
        <v>172</v>
      </c>
      <c r="C172" s="2">
        <v>31138</v>
      </c>
      <c r="D172" s="8">
        <v>2.6869999999999999E-5</v>
      </c>
    </row>
    <row r="173" spans="1:4" x14ac:dyDescent="0.2">
      <c r="A173" s="1">
        <v>2020</v>
      </c>
      <c r="B173" s="1" t="s">
        <v>173</v>
      </c>
      <c r="C173" s="2">
        <v>29179304</v>
      </c>
      <c r="D173" s="8">
        <v>2.5184439999999999E-2</v>
      </c>
    </row>
    <row r="174" spans="1:4" x14ac:dyDescent="0.2">
      <c r="A174" s="1">
        <v>2020</v>
      </c>
      <c r="B174" s="1" t="s">
        <v>174</v>
      </c>
      <c r="C174" s="2">
        <v>5096861</v>
      </c>
      <c r="D174" s="8">
        <v>4.3990599999999998E-3</v>
      </c>
    </row>
    <row r="175" spans="1:4" x14ac:dyDescent="0.2">
      <c r="A175" s="1">
        <v>2020</v>
      </c>
      <c r="B175" s="1" t="s">
        <v>175</v>
      </c>
      <c r="C175" s="2">
        <v>292811</v>
      </c>
      <c r="D175" s="8">
        <v>2.5272000000000001E-4</v>
      </c>
    </row>
    <row r="176" spans="1:4" x14ac:dyDescent="0.2">
      <c r="A176" s="1">
        <v>2020</v>
      </c>
      <c r="B176" s="1" t="s">
        <v>176</v>
      </c>
      <c r="C176" s="2">
        <v>12618</v>
      </c>
      <c r="D176" s="8">
        <v>1.0890000000000001E-5</v>
      </c>
    </row>
    <row r="177" spans="1:4" x14ac:dyDescent="0.2">
      <c r="A177" s="1">
        <v>2020</v>
      </c>
      <c r="B177" s="1" t="s">
        <v>177</v>
      </c>
      <c r="C177" s="2">
        <v>12962</v>
      </c>
      <c r="D177" s="8">
        <v>1.119E-5</v>
      </c>
    </row>
    <row r="178" spans="1:4" x14ac:dyDescent="0.2">
      <c r="A178" s="1">
        <v>2020</v>
      </c>
      <c r="B178" s="1" t="s">
        <v>178</v>
      </c>
      <c r="C178" s="2">
        <v>140382</v>
      </c>
      <c r="D178" s="8">
        <v>1.2116E-4</v>
      </c>
    </row>
    <row r="179" spans="1:4" x14ac:dyDescent="0.2">
      <c r="A179" s="1">
        <v>2020</v>
      </c>
      <c r="B179" s="1" t="s">
        <v>179</v>
      </c>
      <c r="C179" s="2">
        <v>1117578</v>
      </c>
      <c r="D179" s="8">
        <v>9.6456999999999999E-4</v>
      </c>
    </row>
    <row r="180" spans="1:4" x14ac:dyDescent="0.2">
      <c r="A180" s="1">
        <v>2020</v>
      </c>
      <c r="B180" s="1" t="s">
        <v>180</v>
      </c>
      <c r="C180" s="2">
        <v>3268357</v>
      </c>
      <c r="D180" s="8">
        <v>2.8208899999999999E-3</v>
      </c>
    </row>
    <row r="181" spans="1:4" x14ac:dyDescent="0.2">
      <c r="A181" s="1">
        <v>2020</v>
      </c>
      <c r="B181" s="1" t="s">
        <v>181</v>
      </c>
      <c r="C181" s="2">
        <v>69445</v>
      </c>
      <c r="D181" s="8">
        <v>5.9939999999999999E-5</v>
      </c>
    </row>
    <row r="182" spans="1:4" x14ac:dyDescent="0.2">
      <c r="A182" s="1">
        <v>2020</v>
      </c>
      <c r="B182" s="1" t="s">
        <v>182</v>
      </c>
      <c r="C182" s="2">
        <v>70383</v>
      </c>
      <c r="D182" s="8">
        <v>6.0749999999999999E-5</v>
      </c>
    </row>
    <row r="183" spans="1:4" x14ac:dyDescent="0.2">
      <c r="A183" s="1">
        <v>2020</v>
      </c>
      <c r="B183" s="1" t="s">
        <v>183</v>
      </c>
      <c r="C183" s="2">
        <v>28675</v>
      </c>
      <c r="D183" s="8">
        <v>2.4749999999999999E-5</v>
      </c>
    </row>
    <row r="184" spans="1:4" x14ac:dyDescent="0.2">
      <c r="A184" s="1">
        <v>2020</v>
      </c>
      <c r="B184" s="1" t="s">
        <v>184</v>
      </c>
      <c r="C184" s="2">
        <v>143037</v>
      </c>
      <c r="D184" s="8">
        <v>1.2344999999999999E-4</v>
      </c>
    </row>
    <row r="185" spans="1:4" x14ac:dyDescent="0.2">
      <c r="A185" s="1">
        <v>2020</v>
      </c>
      <c r="B185" s="1" t="s">
        <v>185</v>
      </c>
      <c r="C185" s="2">
        <v>1909860</v>
      </c>
      <c r="D185" s="8">
        <v>1.64839E-3</v>
      </c>
    </row>
    <row r="186" spans="1:4" x14ac:dyDescent="0.2">
      <c r="A186" s="1">
        <v>2020</v>
      </c>
      <c r="B186" s="1" t="s">
        <v>186</v>
      </c>
      <c r="C186" s="2">
        <v>1020990</v>
      </c>
      <c r="D186" s="8">
        <v>8.8121E-4</v>
      </c>
    </row>
    <row r="187" spans="1:4" x14ac:dyDescent="0.2">
      <c r="A187" s="1">
        <v>2020</v>
      </c>
      <c r="B187" s="1" t="s">
        <v>187</v>
      </c>
      <c r="C187" s="2">
        <v>54232</v>
      </c>
      <c r="D187" s="8">
        <v>4.6810000000000001E-5</v>
      </c>
    </row>
    <row r="188" spans="1:4" x14ac:dyDescent="0.2">
      <c r="A188" s="1">
        <v>2020</v>
      </c>
      <c r="B188" s="1" t="s">
        <v>188</v>
      </c>
      <c r="C188" s="2">
        <v>2888437</v>
      </c>
      <c r="D188" s="8">
        <v>2.49299E-3</v>
      </c>
    </row>
    <row r="189" spans="1:4" x14ac:dyDescent="0.2">
      <c r="A189" s="1">
        <v>2020</v>
      </c>
      <c r="B189" s="1" t="s">
        <v>189</v>
      </c>
      <c r="C189" s="2">
        <v>35956</v>
      </c>
      <c r="D189" s="8">
        <v>3.1029999999999999E-5</v>
      </c>
    </row>
    <row r="190" spans="1:4" x14ac:dyDescent="0.2">
      <c r="A190" s="1">
        <v>2020</v>
      </c>
      <c r="B190" s="1" t="s">
        <v>190</v>
      </c>
      <c r="C190" s="2">
        <v>5876238</v>
      </c>
      <c r="D190" s="8">
        <v>5.0717399999999999E-3</v>
      </c>
    </row>
    <row r="191" spans="1:4" x14ac:dyDescent="0.2">
      <c r="A191" s="1">
        <v>2020</v>
      </c>
      <c r="B191" s="1" t="s">
        <v>191</v>
      </c>
      <c r="C191" s="2">
        <v>978607</v>
      </c>
      <c r="D191" s="8">
        <v>8.4462999999999997E-4</v>
      </c>
    </row>
    <row r="192" spans="1:4" x14ac:dyDescent="0.2">
      <c r="A192" s="1">
        <v>2020</v>
      </c>
      <c r="B192" s="1" t="s">
        <v>192</v>
      </c>
      <c r="C192" s="2">
        <v>59425</v>
      </c>
      <c r="D192" s="8">
        <v>5.1289999999999999E-5</v>
      </c>
    </row>
    <row r="193" spans="1:4" x14ac:dyDescent="0.2">
      <c r="A193" s="1">
        <v>2020</v>
      </c>
      <c r="B193" s="1" t="s">
        <v>193</v>
      </c>
      <c r="C193" s="2">
        <v>62491</v>
      </c>
      <c r="D193" s="8">
        <v>5.3940000000000002E-5</v>
      </c>
    </row>
    <row r="194" spans="1:4" x14ac:dyDescent="0.2">
      <c r="A194" s="1">
        <v>2020</v>
      </c>
      <c r="B194" s="1" t="s">
        <v>194</v>
      </c>
      <c r="C194" s="2">
        <v>683924</v>
      </c>
      <c r="D194" s="8">
        <v>5.9029000000000004E-4</v>
      </c>
    </row>
    <row r="195" spans="1:4" x14ac:dyDescent="0.2">
      <c r="A195" s="1">
        <v>2020</v>
      </c>
      <c r="B195" s="1" t="s">
        <v>195</v>
      </c>
      <c r="C195" s="2">
        <v>41458</v>
      </c>
      <c r="D195" s="8">
        <v>3.578E-5</v>
      </c>
    </row>
    <row r="196" spans="1:4" x14ac:dyDescent="0.2">
      <c r="A196" s="1">
        <v>2020</v>
      </c>
      <c r="B196" s="1" t="s">
        <v>196</v>
      </c>
      <c r="C196" s="2">
        <v>25380</v>
      </c>
      <c r="D196" s="8">
        <v>2.1909999999999999E-5</v>
      </c>
    </row>
    <row r="197" spans="1:4" x14ac:dyDescent="0.2">
      <c r="A197" s="1">
        <v>2020</v>
      </c>
      <c r="B197" s="1" t="s">
        <v>197</v>
      </c>
      <c r="C197" s="2">
        <v>244907</v>
      </c>
      <c r="D197" s="8">
        <v>2.1138E-4</v>
      </c>
    </row>
    <row r="198" spans="1:4" x14ac:dyDescent="0.2">
      <c r="A198" s="1">
        <v>2020</v>
      </c>
      <c r="B198" s="1" t="s">
        <v>198</v>
      </c>
      <c r="C198" s="2">
        <v>7967261</v>
      </c>
      <c r="D198" s="8">
        <v>6.8764799999999999E-3</v>
      </c>
    </row>
    <row r="199" spans="1:4" x14ac:dyDescent="0.2">
      <c r="A199" s="1">
        <v>2020</v>
      </c>
      <c r="B199" s="1" t="s">
        <v>199</v>
      </c>
      <c r="C199" s="2">
        <v>1072539</v>
      </c>
      <c r="D199" s="8">
        <v>9.257E-4</v>
      </c>
    </row>
    <row r="200" spans="1:4" x14ac:dyDescent="0.2">
      <c r="A200" s="1">
        <v>2020</v>
      </c>
      <c r="B200" s="1" t="s">
        <v>200</v>
      </c>
      <c r="C200" s="2">
        <v>76059</v>
      </c>
      <c r="D200" s="8">
        <v>6.5649999999999997E-5</v>
      </c>
    </row>
    <row r="201" spans="1:4" x14ac:dyDescent="0.2">
      <c r="A201" s="1">
        <v>2020</v>
      </c>
      <c r="B201" s="1" t="s">
        <v>201</v>
      </c>
      <c r="C201" s="2">
        <v>890803</v>
      </c>
      <c r="D201" s="8">
        <v>7.6884999999999996E-4</v>
      </c>
    </row>
    <row r="202" spans="1:4" x14ac:dyDescent="0.2">
      <c r="A202" s="1">
        <v>2020</v>
      </c>
      <c r="B202" s="1" t="s">
        <v>202</v>
      </c>
      <c r="C202" s="2">
        <v>30265</v>
      </c>
      <c r="D202" s="8">
        <v>2.6120000000000001E-5</v>
      </c>
    </row>
    <row r="203" spans="1:4" x14ac:dyDescent="0.2">
      <c r="A203" s="1">
        <v>2020</v>
      </c>
      <c r="B203" s="1" t="s">
        <v>203</v>
      </c>
      <c r="C203" s="2">
        <v>3278</v>
      </c>
      <c r="D203" s="8">
        <v>2.83E-6</v>
      </c>
    </row>
    <row r="204" spans="1:4" x14ac:dyDescent="0.2">
      <c r="A204" s="1">
        <v>2020</v>
      </c>
      <c r="B204" s="1" t="s">
        <v>204</v>
      </c>
      <c r="C204" s="2">
        <v>70944</v>
      </c>
      <c r="D204" s="8">
        <v>6.1229999999999995E-5</v>
      </c>
    </row>
    <row r="205" spans="1:4" x14ac:dyDescent="0.2">
      <c r="A205" s="1">
        <v>2020</v>
      </c>
      <c r="B205" s="1" t="s">
        <v>205</v>
      </c>
      <c r="C205" s="2">
        <v>127004</v>
      </c>
      <c r="D205" s="8">
        <v>1.0962E-4</v>
      </c>
    </row>
    <row r="206" spans="1:4" x14ac:dyDescent="0.2">
      <c r="A206" s="1">
        <v>2020</v>
      </c>
      <c r="B206" s="1" t="s">
        <v>206</v>
      </c>
      <c r="C206" s="2">
        <v>10096</v>
      </c>
      <c r="D206" s="8">
        <v>8.7099999999999996E-6</v>
      </c>
    </row>
    <row r="207" spans="1:4" x14ac:dyDescent="0.2">
      <c r="A207" s="1">
        <v>2020</v>
      </c>
      <c r="B207" s="1" t="s">
        <v>908</v>
      </c>
      <c r="C207" s="2">
        <v>156977</v>
      </c>
      <c r="D207" s="8">
        <v>1.3548999999999999E-4</v>
      </c>
    </row>
    <row r="208" spans="1:4" x14ac:dyDescent="0.2">
      <c r="A208" s="1">
        <v>2020</v>
      </c>
      <c r="B208" s="1" t="s">
        <v>207</v>
      </c>
      <c r="C208" s="2">
        <v>21470</v>
      </c>
      <c r="D208" s="8">
        <v>1.853E-5</v>
      </c>
    </row>
    <row r="209" spans="1:4" x14ac:dyDescent="0.2">
      <c r="A209" s="1">
        <v>2020</v>
      </c>
      <c r="B209" s="1" t="s">
        <v>208</v>
      </c>
      <c r="C209" s="2">
        <v>1167478</v>
      </c>
      <c r="D209" s="8">
        <v>1.00764E-3</v>
      </c>
    </row>
    <row r="210" spans="1:4" x14ac:dyDescent="0.2">
      <c r="A210" s="1">
        <v>2020</v>
      </c>
      <c r="B210" s="1" t="s">
        <v>209</v>
      </c>
      <c r="C210" s="2">
        <v>3723849</v>
      </c>
      <c r="D210" s="8">
        <v>3.2140300000000001E-3</v>
      </c>
    </row>
    <row r="211" spans="1:4" x14ac:dyDescent="0.2">
      <c r="A211" s="1">
        <v>2020</v>
      </c>
      <c r="B211" s="1" t="s">
        <v>210</v>
      </c>
      <c r="C211" s="2">
        <v>459355</v>
      </c>
      <c r="D211" s="8">
        <v>3.9647E-4</v>
      </c>
    </row>
    <row r="212" spans="1:4" x14ac:dyDescent="0.2">
      <c r="A212" s="1">
        <v>2020</v>
      </c>
      <c r="B212" s="1" t="s">
        <v>211</v>
      </c>
      <c r="C212" s="2">
        <v>107389</v>
      </c>
      <c r="D212" s="8">
        <v>9.2689999999999995E-5</v>
      </c>
    </row>
    <row r="213" spans="1:4" x14ac:dyDescent="0.2">
      <c r="A213" s="1">
        <v>2020</v>
      </c>
      <c r="B213" s="1" t="s">
        <v>212</v>
      </c>
      <c r="C213" s="2">
        <v>245234</v>
      </c>
      <c r="D213" s="8">
        <v>2.1165999999999999E-4</v>
      </c>
    </row>
    <row r="214" spans="1:4" x14ac:dyDescent="0.2">
      <c r="A214" s="1">
        <v>2020</v>
      </c>
      <c r="B214" s="1" t="s">
        <v>213</v>
      </c>
      <c r="C214" s="2">
        <v>1723374</v>
      </c>
      <c r="D214" s="8">
        <v>1.4874300000000001E-3</v>
      </c>
    </row>
    <row r="215" spans="1:4" x14ac:dyDescent="0.2">
      <c r="A215" s="1">
        <v>2020</v>
      </c>
      <c r="B215" s="1" t="s">
        <v>214</v>
      </c>
      <c r="C215" s="2">
        <v>538604</v>
      </c>
      <c r="D215" s="8">
        <v>4.6486999999999999E-4</v>
      </c>
    </row>
    <row r="216" spans="1:4" x14ac:dyDescent="0.2">
      <c r="A216" s="1">
        <v>2020</v>
      </c>
      <c r="B216" s="1" t="s">
        <v>215</v>
      </c>
      <c r="C216" s="2">
        <v>21876</v>
      </c>
      <c r="D216" s="8">
        <v>1.8879999999999999E-5</v>
      </c>
    </row>
    <row r="217" spans="1:4" x14ac:dyDescent="0.2">
      <c r="A217" s="1">
        <v>2020</v>
      </c>
      <c r="B217" s="1" t="s">
        <v>216</v>
      </c>
      <c r="C217" s="2">
        <v>1401513</v>
      </c>
      <c r="D217" s="8">
        <v>1.2096400000000001E-3</v>
      </c>
    </row>
    <row r="218" spans="1:4" x14ac:dyDescent="0.2">
      <c r="A218" s="1">
        <v>2020</v>
      </c>
      <c r="B218" s="1" t="s">
        <v>217</v>
      </c>
      <c r="C218" s="2">
        <v>1757816</v>
      </c>
      <c r="D218" s="8">
        <v>1.51716E-3</v>
      </c>
    </row>
    <row r="219" spans="1:4" x14ac:dyDescent="0.2">
      <c r="A219" s="1">
        <v>2020</v>
      </c>
      <c r="B219" s="1" t="s">
        <v>218</v>
      </c>
      <c r="C219" s="2">
        <v>615402</v>
      </c>
      <c r="D219" s="8">
        <v>5.3114999999999998E-4</v>
      </c>
    </row>
    <row r="220" spans="1:4" x14ac:dyDescent="0.2">
      <c r="A220" s="1">
        <v>2020</v>
      </c>
      <c r="B220" s="1" t="s">
        <v>219</v>
      </c>
      <c r="C220" s="2">
        <v>2688373</v>
      </c>
      <c r="D220" s="8">
        <v>2.3203199999999998E-3</v>
      </c>
    </row>
    <row r="221" spans="1:4" x14ac:dyDescent="0.2">
      <c r="A221" s="1">
        <v>2020</v>
      </c>
      <c r="B221" s="1" t="s">
        <v>220</v>
      </c>
      <c r="C221" s="2">
        <v>2539064</v>
      </c>
      <c r="D221" s="8">
        <v>2.1914500000000002E-3</v>
      </c>
    </row>
    <row r="222" spans="1:4" x14ac:dyDescent="0.2">
      <c r="A222" s="1">
        <v>2020</v>
      </c>
      <c r="B222" s="1" t="s">
        <v>221</v>
      </c>
      <c r="C222" s="2">
        <v>11605</v>
      </c>
      <c r="D222" s="8">
        <v>1.0020000000000001E-5</v>
      </c>
    </row>
    <row r="223" spans="1:4" x14ac:dyDescent="0.2">
      <c r="A223" s="1">
        <v>2020</v>
      </c>
      <c r="B223" s="1" t="s">
        <v>222</v>
      </c>
      <c r="C223" s="2">
        <v>1445403</v>
      </c>
      <c r="D223" s="8">
        <v>1.24752E-3</v>
      </c>
    </row>
    <row r="224" spans="1:4" x14ac:dyDescent="0.2">
      <c r="A224" s="1">
        <v>2020</v>
      </c>
      <c r="B224" s="1" t="s">
        <v>223</v>
      </c>
      <c r="C224" s="2">
        <v>342724</v>
      </c>
      <c r="D224" s="8">
        <v>2.9579999999999998E-4</v>
      </c>
    </row>
    <row r="225" spans="1:4" x14ac:dyDescent="0.2">
      <c r="A225" s="1">
        <v>2020</v>
      </c>
      <c r="B225" s="1" t="s">
        <v>224</v>
      </c>
      <c r="C225" s="2">
        <v>1440831</v>
      </c>
      <c r="D225" s="8">
        <v>1.24357E-3</v>
      </c>
    </row>
    <row r="226" spans="1:4" x14ac:dyDescent="0.2">
      <c r="A226" s="1">
        <v>2020</v>
      </c>
      <c r="B226" s="1" t="s">
        <v>225</v>
      </c>
      <c r="C226" s="2">
        <v>309751</v>
      </c>
      <c r="D226" s="8">
        <v>2.6734000000000003E-4</v>
      </c>
    </row>
    <row r="227" spans="1:4" x14ac:dyDescent="0.2">
      <c r="A227" s="1">
        <v>2020</v>
      </c>
      <c r="B227" s="1" t="s">
        <v>226</v>
      </c>
      <c r="C227" s="2">
        <v>823046</v>
      </c>
      <c r="D227" s="8">
        <v>7.1036999999999999E-4</v>
      </c>
    </row>
    <row r="228" spans="1:4" x14ac:dyDescent="0.2">
      <c r="A228" s="1">
        <v>2020</v>
      </c>
      <c r="B228" s="1" t="s">
        <v>227</v>
      </c>
      <c r="C228" s="2">
        <v>795637</v>
      </c>
      <c r="D228" s="8">
        <v>6.8670999999999999E-4</v>
      </c>
    </row>
    <row r="229" spans="1:4" x14ac:dyDescent="0.2">
      <c r="A229" s="1">
        <v>2020</v>
      </c>
      <c r="B229" s="1" t="s">
        <v>904</v>
      </c>
      <c r="C229" s="2">
        <v>1336</v>
      </c>
      <c r="D229" s="8">
        <v>1.15E-6</v>
      </c>
    </row>
    <row r="230" spans="1:4" x14ac:dyDescent="0.2">
      <c r="A230" s="1">
        <v>2020</v>
      </c>
      <c r="B230" s="1" t="s">
        <v>228</v>
      </c>
      <c r="C230" s="2">
        <v>3689343</v>
      </c>
      <c r="D230" s="8">
        <v>3.18425E-3</v>
      </c>
    </row>
    <row r="231" spans="1:4" x14ac:dyDescent="0.2">
      <c r="A231" s="1">
        <v>2020</v>
      </c>
      <c r="B231" s="1" t="s">
        <v>229</v>
      </c>
      <c r="C231" s="2">
        <v>25209</v>
      </c>
      <c r="D231" s="8">
        <v>2.1759999999999998E-5</v>
      </c>
    </row>
    <row r="232" spans="1:4" x14ac:dyDescent="0.2">
      <c r="A232" s="1">
        <v>2020</v>
      </c>
      <c r="B232" s="1" t="s">
        <v>230</v>
      </c>
      <c r="C232" s="2">
        <v>99247</v>
      </c>
      <c r="D232" s="8">
        <v>8.5660000000000003E-5</v>
      </c>
    </row>
    <row r="233" spans="1:4" x14ac:dyDescent="0.2">
      <c r="A233" s="1">
        <v>2020</v>
      </c>
      <c r="B233" s="1" t="s">
        <v>231</v>
      </c>
      <c r="C233" s="2">
        <v>157844</v>
      </c>
      <c r="D233" s="8">
        <v>1.3622999999999999E-4</v>
      </c>
    </row>
    <row r="234" spans="1:4" x14ac:dyDescent="0.2">
      <c r="A234" s="1">
        <v>2020</v>
      </c>
      <c r="B234" s="1" t="s">
        <v>232</v>
      </c>
      <c r="C234" s="2">
        <v>321035</v>
      </c>
      <c r="D234" s="8">
        <v>2.7708000000000002E-4</v>
      </c>
    </row>
    <row r="235" spans="1:4" x14ac:dyDescent="0.2">
      <c r="A235" s="1">
        <v>2020</v>
      </c>
      <c r="B235" s="1" t="s">
        <v>233</v>
      </c>
      <c r="C235" s="2">
        <v>108871</v>
      </c>
      <c r="D235" s="8">
        <v>9.3969999999999996E-5</v>
      </c>
    </row>
    <row r="236" spans="1:4" x14ac:dyDescent="0.2">
      <c r="A236" s="1">
        <v>2020</v>
      </c>
      <c r="B236" s="1" t="s">
        <v>234</v>
      </c>
      <c r="C236" s="2">
        <v>4594</v>
      </c>
      <c r="D236" s="8">
        <v>3.9600000000000002E-6</v>
      </c>
    </row>
    <row r="237" spans="1:4" x14ac:dyDescent="0.2">
      <c r="A237" s="1">
        <v>2020</v>
      </c>
      <c r="B237" s="1" t="s">
        <v>235</v>
      </c>
      <c r="C237" s="2">
        <v>340393</v>
      </c>
      <c r="D237" s="8">
        <v>2.9378999999999999E-4</v>
      </c>
    </row>
    <row r="238" spans="1:4" x14ac:dyDescent="0.2">
      <c r="A238" s="1">
        <v>2020</v>
      </c>
      <c r="B238" s="1" t="s">
        <v>236</v>
      </c>
      <c r="C238" s="2">
        <v>21203</v>
      </c>
      <c r="D238" s="8">
        <v>1.8300000000000001E-5</v>
      </c>
    </row>
    <row r="239" spans="1:4" x14ac:dyDescent="0.2">
      <c r="A239" s="1">
        <v>2020</v>
      </c>
      <c r="B239" s="1" t="s">
        <v>237</v>
      </c>
      <c r="C239" s="2">
        <v>1699716</v>
      </c>
      <c r="D239" s="8">
        <v>1.4670099999999999E-3</v>
      </c>
    </row>
    <row r="240" spans="1:4" x14ac:dyDescent="0.2">
      <c r="A240" s="1">
        <v>2020</v>
      </c>
      <c r="B240" s="1" t="s">
        <v>238</v>
      </c>
      <c r="C240" s="2">
        <v>549206</v>
      </c>
      <c r="D240" s="8">
        <v>4.7402000000000002E-4</v>
      </c>
    </row>
    <row r="241" spans="1:4" x14ac:dyDescent="0.2">
      <c r="A241" s="1">
        <v>2020</v>
      </c>
      <c r="B241" s="1" t="s">
        <v>239</v>
      </c>
      <c r="C241" s="2">
        <v>86970</v>
      </c>
      <c r="D241" s="8">
        <v>7.5060000000000003E-5</v>
      </c>
    </row>
    <row r="242" spans="1:4" x14ac:dyDescent="0.2">
      <c r="A242" s="1">
        <v>2020</v>
      </c>
      <c r="B242" s="1" t="s">
        <v>240</v>
      </c>
      <c r="C242" s="2">
        <v>4416542</v>
      </c>
      <c r="D242" s="8">
        <v>3.8118800000000001E-3</v>
      </c>
    </row>
    <row r="243" spans="1:4" x14ac:dyDescent="0.2">
      <c r="A243" s="1">
        <v>2020</v>
      </c>
      <c r="B243" s="1" t="s">
        <v>241</v>
      </c>
      <c r="C243" s="2">
        <v>1217622</v>
      </c>
      <c r="D243" s="8">
        <v>1.0509199999999999E-3</v>
      </c>
    </row>
    <row r="244" spans="1:4" x14ac:dyDescent="0.2">
      <c r="A244" s="1">
        <v>2020</v>
      </c>
      <c r="B244" s="1" t="s">
        <v>242</v>
      </c>
      <c r="C244" s="2">
        <v>95139</v>
      </c>
      <c r="D244" s="8">
        <v>8.2109999999999998E-5</v>
      </c>
    </row>
    <row r="245" spans="1:4" x14ac:dyDescent="0.2">
      <c r="A245" s="1">
        <v>2020</v>
      </c>
      <c r="B245" s="1" t="s">
        <v>243</v>
      </c>
      <c r="C245" s="2">
        <v>15885</v>
      </c>
      <c r="D245" s="8">
        <v>1.3709999999999999E-5</v>
      </c>
    </row>
    <row r="246" spans="1:4" x14ac:dyDescent="0.2">
      <c r="A246" s="1">
        <v>2020</v>
      </c>
      <c r="B246" s="1" t="s">
        <v>244</v>
      </c>
      <c r="C246" s="2">
        <v>712202</v>
      </c>
      <c r="D246" s="8">
        <v>6.1470000000000003E-4</v>
      </c>
    </row>
    <row r="247" spans="1:4" x14ac:dyDescent="0.2">
      <c r="A247" s="1">
        <v>2020</v>
      </c>
      <c r="B247" s="1" t="s">
        <v>245</v>
      </c>
      <c r="C247" s="2">
        <v>5033512</v>
      </c>
      <c r="D247" s="8">
        <v>4.3443900000000001E-3</v>
      </c>
    </row>
    <row r="248" spans="1:4" x14ac:dyDescent="0.2">
      <c r="A248" s="1">
        <v>2020</v>
      </c>
      <c r="B248" s="1" t="s">
        <v>246</v>
      </c>
      <c r="C248" s="2">
        <v>45280</v>
      </c>
      <c r="D248" s="8">
        <v>3.9079999999999999E-5</v>
      </c>
    </row>
    <row r="249" spans="1:4" x14ac:dyDescent="0.2">
      <c r="A249" s="1">
        <v>2020</v>
      </c>
      <c r="B249" s="1" t="s">
        <v>247</v>
      </c>
      <c r="C249" s="2">
        <v>1041261</v>
      </c>
      <c r="D249" s="8">
        <v>8.987E-4</v>
      </c>
    </row>
    <row r="250" spans="1:4" x14ac:dyDescent="0.2">
      <c r="A250" s="1">
        <v>2020</v>
      </c>
      <c r="B250" s="1" t="s">
        <v>248</v>
      </c>
      <c r="C250" s="2">
        <v>673987</v>
      </c>
      <c r="D250" s="8">
        <v>5.8171000000000004E-4</v>
      </c>
    </row>
    <row r="251" spans="1:4" x14ac:dyDescent="0.2">
      <c r="A251" s="1">
        <v>2020</v>
      </c>
      <c r="B251" s="1" t="s">
        <v>249</v>
      </c>
      <c r="C251" s="2">
        <v>4544</v>
      </c>
      <c r="D251" s="8">
        <v>3.9199999999999997E-6</v>
      </c>
    </row>
    <row r="252" spans="1:4" x14ac:dyDescent="0.2">
      <c r="A252" s="1">
        <v>2020</v>
      </c>
      <c r="B252" s="1" t="s">
        <v>250</v>
      </c>
      <c r="C252" s="2">
        <v>16905</v>
      </c>
      <c r="D252" s="8">
        <v>1.4589999999999999E-5</v>
      </c>
    </row>
    <row r="253" spans="1:4" x14ac:dyDescent="0.2">
      <c r="A253" s="1">
        <v>2020</v>
      </c>
      <c r="B253" s="1" t="s">
        <v>251</v>
      </c>
      <c r="C253" s="2">
        <v>3811754</v>
      </c>
      <c r="D253" s="8">
        <v>3.2899000000000001E-3</v>
      </c>
    </row>
    <row r="254" spans="1:4" x14ac:dyDescent="0.2">
      <c r="A254" s="1">
        <v>2020</v>
      </c>
      <c r="B254" s="1" t="s">
        <v>252</v>
      </c>
      <c r="C254" s="2">
        <v>29247</v>
      </c>
      <c r="D254" s="8">
        <v>2.5239999999999999E-5</v>
      </c>
    </row>
    <row r="255" spans="1:4" x14ac:dyDescent="0.2">
      <c r="A255" s="1">
        <v>2020</v>
      </c>
      <c r="B255" s="1" t="s">
        <v>253</v>
      </c>
      <c r="C255" s="2">
        <v>95418</v>
      </c>
      <c r="D255" s="8">
        <v>8.2349999999999996E-5</v>
      </c>
    </row>
    <row r="256" spans="1:4" x14ac:dyDescent="0.2">
      <c r="A256" s="1">
        <v>2020</v>
      </c>
      <c r="B256" s="1" t="s">
        <v>254</v>
      </c>
      <c r="C256" s="2">
        <v>4689551</v>
      </c>
      <c r="D256" s="8">
        <v>4.0475199999999998E-3</v>
      </c>
    </row>
    <row r="257" spans="1:4" x14ac:dyDescent="0.2">
      <c r="A257" s="1">
        <v>2020</v>
      </c>
      <c r="B257" s="1" t="s">
        <v>255</v>
      </c>
      <c r="C257" s="2">
        <v>6093580</v>
      </c>
      <c r="D257" s="8">
        <v>5.2593199999999996E-3</v>
      </c>
    </row>
    <row r="258" spans="1:4" x14ac:dyDescent="0.2">
      <c r="A258" s="1">
        <v>2020</v>
      </c>
      <c r="B258" s="1" t="s">
        <v>256</v>
      </c>
      <c r="C258" s="2">
        <v>351612</v>
      </c>
      <c r="D258" s="8">
        <v>3.0347000000000002E-4</v>
      </c>
    </row>
    <row r="259" spans="1:4" x14ac:dyDescent="0.2">
      <c r="A259" s="1">
        <v>2020</v>
      </c>
      <c r="B259" s="1" t="s">
        <v>257</v>
      </c>
      <c r="C259" s="2">
        <v>3818438</v>
      </c>
      <c r="D259" s="8">
        <v>3.2956700000000001E-3</v>
      </c>
    </row>
    <row r="260" spans="1:4" x14ac:dyDescent="0.2">
      <c r="A260" s="1">
        <v>2020</v>
      </c>
      <c r="B260" s="1" t="s">
        <v>258</v>
      </c>
      <c r="C260" s="2">
        <v>2129678</v>
      </c>
      <c r="D260" s="8">
        <v>1.83811E-3</v>
      </c>
    </row>
    <row r="261" spans="1:4" x14ac:dyDescent="0.2">
      <c r="A261" s="1">
        <v>2020</v>
      </c>
      <c r="B261" s="1" t="s">
        <v>259</v>
      </c>
      <c r="C261" s="2">
        <v>158966</v>
      </c>
      <c r="D261" s="8">
        <v>1.372E-4</v>
      </c>
    </row>
    <row r="262" spans="1:4" x14ac:dyDescent="0.2">
      <c r="A262" s="1">
        <v>2020</v>
      </c>
      <c r="B262" s="1" t="s">
        <v>260</v>
      </c>
      <c r="C262" s="2">
        <v>131893</v>
      </c>
      <c r="D262" s="8">
        <v>1.1383999999999999E-4</v>
      </c>
    </row>
    <row r="263" spans="1:4" x14ac:dyDescent="0.2">
      <c r="A263" s="1">
        <v>2020</v>
      </c>
      <c r="B263" s="1" t="s">
        <v>261</v>
      </c>
      <c r="C263" s="2">
        <v>35506</v>
      </c>
      <c r="D263" s="8">
        <v>3.065E-5</v>
      </c>
    </row>
    <row r="264" spans="1:4" x14ac:dyDescent="0.2">
      <c r="A264" s="1">
        <v>2020</v>
      </c>
      <c r="B264" s="1" t="s">
        <v>262</v>
      </c>
      <c r="C264" s="2">
        <v>207013</v>
      </c>
      <c r="D264" s="8">
        <v>1.7867E-4</v>
      </c>
    </row>
    <row r="265" spans="1:4" x14ac:dyDescent="0.2">
      <c r="A265" s="1">
        <v>2020</v>
      </c>
      <c r="B265" s="1" t="s">
        <v>263</v>
      </c>
      <c r="C265" s="2">
        <v>13083</v>
      </c>
      <c r="D265" s="8">
        <v>1.129E-5</v>
      </c>
    </row>
    <row r="266" spans="1:4" x14ac:dyDescent="0.2">
      <c r="A266" s="1">
        <v>2020</v>
      </c>
      <c r="B266" s="1" t="s">
        <v>264</v>
      </c>
      <c r="C266" s="2">
        <v>116015</v>
      </c>
      <c r="D266" s="8">
        <v>1.0013000000000001E-4</v>
      </c>
    </row>
    <row r="267" spans="1:4" x14ac:dyDescent="0.2">
      <c r="A267" s="1">
        <v>2020</v>
      </c>
      <c r="B267" s="1" t="s">
        <v>265</v>
      </c>
      <c r="C267" s="2">
        <v>74834</v>
      </c>
      <c r="D267" s="8">
        <v>6.4590000000000003E-5</v>
      </c>
    </row>
    <row r="268" spans="1:4" x14ac:dyDescent="0.2">
      <c r="A268" s="1">
        <v>2020</v>
      </c>
      <c r="B268" s="1" t="s">
        <v>266</v>
      </c>
      <c r="C268" s="2">
        <v>9861</v>
      </c>
      <c r="D268" s="8">
        <v>8.5099999999999998E-6</v>
      </c>
    </row>
    <row r="269" spans="1:4" x14ac:dyDescent="0.2">
      <c r="A269" s="1">
        <v>2020</v>
      </c>
      <c r="B269" s="1" t="s">
        <v>267</v>
      </c>
      <c r="C269" s="2">
        <v>14081696</v>
      </c>
      <c r="D269" s="8">
        <v>1.2153809999999999E-2</v>
      </c>
    </row>
    <row r="270" spans="1:4" x14ac:dyDescent="0.2">
      <c r="A270" s="1">
        <v>2020</v>
      </c>
      <c r="B270" s="1" t="s">
        <v>268</v>
      </c>
      <c r="C270" s="2">
        <v>5964311</v>
      </c>
      <c r="D270" s="8">
        <v>5.1477500000000004E-3</v>
      </c>
    </row>
    <row r="271" spans="1:4" x14ac:dyDescent="0.2">
      <c r="A271" s="1">
        <v>2020</v>
      </c>
      <c r="B271" s="1" t="s">
        <v>269</v>
      </c>
      <c r="C271" s="2">
        <v>166190</v>
      </c>
      <c r="D271" s="8">
        <v>1.4344E-4</v>
      </c>
    </row>
    <row r="272" spans="1:4" x14ac:dyDescent="0.2">
      <c r="A272" s="1">
        <v>2020</v>
      </c>
      <c r="B272" s="1" t="s">
        <v>270</v>
      </c>
      <c r="C272" s="2">
        <v>99897</v>
      </c>
      <c r="D272" s="8">
        <v>8.6219999999999998E-5</v>
      </c>
    </row>
    <row r="273" spans="1:4" x14ac:dyDescent="0.2">
      <c r="A273" s="1">
        <v>2020</v>
      </c>
      <c r="B273" s="1" t="s">
        <v>271</v>
      </c>
      <c r="C273" s="2">
        <v>7564</v>
      </c>
      <c r="D273" s="8">
        <v>6.5300000000000002E-6</v>
      </c>
    </row>
    <row r="274" spans="1:4" x14ac:dyDescent="0.2">
      <c r="A274" s="1">
        <v>2020</v>
      </c>
      <c r="B274" s="1" t="s">
        <v>272</v>
      </c>
      <c r="C274" s="2">
        <v>218474</v>
      </c>
      <c r="D274" s="8">
        <v>1.8856E-4</v>
      </c>
    </row>
    <row r="275" spans="1:4" x14ac:dyDescent="0.2">
      <c r="A275" s="1">
        <v>2020</v>
      </c>
      <c r="B275" s="1" t="s">
        <v>273</v>
      </c>
      <c r="C275" s="2">
        <v>265000</v>
      </c>
      <c r="D275" s="8">
        <v>2.2871999999999999E-4</v>
      </c>
    </row>
    <row r="276" spans="1:4" x14ac:dyDescent="0.2">
      <c r="A276" s="1">
        <v>2020</v>
      </c>
      <c r="B276" s="1" t="s">
        <v>274</v>
      </c>
      <c r="C276" s="2">
        <v>162448</v>
      </c>
      <c r="D276" s="8">
        <v>1.4020999999999999E-4</v>
      </c>
    </row>
    <row r="277" spans="1:4" x14ac:dyDescent="0.2">
      <c r="A277" s="1">
        <v>2020</v>
      </c>
      <c r="B277" s="1" t="s">
        <v>275</v>
      </c>
      <c r="C277" s="2">
        <v>15128</v>
      </c>
      <c r="D277" s="8">
        <v>1.306E-5</v>
      </c>
    </row>
    <row r="278" spans="1:4" x14ac:dyDescent="0.2">
      <c r="A278" s="1">
        <v>2020</v>
      </c>
      <c r="B278" s="1" t="s">
        <v>276</v>
      </c>
      <c r="C278" s="2">
        <v>4417492</v>
      </c>
      <c r="D278" s="8">
        <v>3.81271E-3</v>
      </c>
    </row>
    <row r="279" spans="1:4" x14ac:dyDescent="0.2">
      <c r="A279" s="1">
        <v>2020</v>
      </c>
      <c r="B279" s="1" t="s">
        <v>277</v>
      </c>
      <c r="C279" s="2">
        <v>81201</v>
      </c>
      <c r="D279" s="8">
        <v>7.0080000000000007E-5</v>
      </c>
    </row>
    <row r="280" spans="1:4" x14ac:dyDescent="0.2">
      <c r="A280" s="1">
        <v>2020</v>
      </c>
      <c r="B280" s="1" t="s">
        <v>278</v>
      </c>
      <c r="C280" s="2">
        <v>4208493</v>
      </c>
      <c r="D280" s="8">
        <v>3.6323200000000001E-3</v>
      </c>
    </row>
    <row r="281" spans="1:4" x14ac:dyDescent="0.2">
      <c r="A281" s="1">
        <v>2020</v>
      </c>
      <c r="B281" s="1" t="s">
        <v>279</v>
      </c>
      <c r="C281" s="2">
        <v>52504</v>
      </c>
      <c r="D281" s="8">
        <v>4.532E-5</v>
      </c>
    </row>
    <row r="282" spans="1:4" x14ac:dyDescent="0.2">
      <c r="A282" s="1">
        <v>2020</v>
      </c>
      <c r="B282" s="1" t="s">
        <v>280</v>
      </c>
      <c r="C282" s="2">
        <v>121489</v>
      </c>
      <c r="D282" s="8">
        <v>1.0486E-4</v>
      </c>
    </row>
    <row r="283" spans="1:4" x14ac:dyDescent="0.2">
      <c r="A283" s="1">
        <v>2020</v>
      </c>
      <c r="B283" s="1" t="s">
        <v>281</v>
      </c>
      <c r="C283" s="2">
        <v>265428</v>
      </c>
      <c r="D283" s="8">
        <v>2.2908999999999999E-4</v>
      </c>
    </row>
    <row r="284" spans="1:4" x14ac:dyDescent="0.2">
      <c r="A284" s="1">
        <v>2020</v>
      </c>
      <c r="B284" s="1" t="s">
        <v>282</v>
      </c>
      <c r="C284" s="2">
        <v>31685</v>
      </c>
      <c r="D284" s="8">
        <v>2.7350000000000001E-5</v>
      </c>
    </row>
    <row r="285" spans="1:4" x14ac:dyDescent="0.2">
      <c r="A285" s="1">
        <v>2020</v>
      </c>
      <c r="B285" s="1" t="s">
        <v>283</v>
      </c>
      <c r="C285" s="2">
        <v>1403897</v>
      </c>
      <c r="D285" s="8">
        <v>1.2116900000000001E-3</v>
      </c>
    </row>
    <row r="286" spans="1:4" x14ac:dyDescent="0.2">
      <c r="A286" s="1">
        <v>2020</v>
      </c>
      <c r="B286" s="1" t="s">
        <v>284</v>
      </c>
      <c r="C286" s="2">
        <v>58902</v>
      </c>
      <c r="D286" s="8">
        <v>5.0840000000000001E-5</v>
      </c>
    </row>
    <row r="287" spans="1:4" x14ac:dyDescent="0.2">
      <c r="A287" s="1">
        <v>2020</v>
      </c>
      <c r="B287" s="1" t="s">
        <v>285</v>
      </c>
      <c r="C287" s="2">
        <v>1295771</v>
      </c>
      <c r="D287" s="8">
        <v>1.11837E-3</v>
      </c>
    </row>
    <row r="288" spans="1:4" x14ac:dyDescent="0.2">
      <c r="A288" s="1">
        <v>2020</v>
      </c>
      <c r="B288" s="1" t="s">
        <v>286</v>
      </c>
      <c r="C288" s="2">
        <v>29033</v>
      </c>
      <c r="D288" s="8">
        <v>2.5060000000000001E-5</v>
      </c>
    </row>
    <row r="289" spans="1:4" x14ac:dyDescent="0.2">
      <c r="A289" s="1">
        <v>2020</v>
      </c>
      <c r="B289" s="1" t="s">
        <v>287</v>
      </c>
      <c r="C289" s="2">
        <v>23592</v>
      </c>
      <c r="D289" s="8">
        <v>2.0360000000000002E-5</v>
      </c>
    </row>
    <row r="290" spans="1:4" x14ac:dyDescent="0.2">
      <c r="A290" s="1">
        <v>2020</v>
      </c>
      <c r="B290" s="1" t="s">
        <v>288</v>
      </c>
      <c r="C290" s="2">
        <v>4424611</v>
      </c>
      <c r="D290" s="8">
        <v>3.8188499999999999E-3</v>
      </c>
    </row>
    <row r="291" spans="1:4" x14ac:dyDescent="0.2">
      <c r="A291" s="1">
        <v>2020</v>
      </c>
      <c r="B291" s="1" t="s">
        <v>289</v>
      </c>
      <c r="C291" s="2">
        <v>5264551</v>
      </c>
      <c r="D291" s="8">
        <v>4.5437999999999997E-3</v>
      </c>
    </row>
    <row r="292" spans="1:4" x14ac:dyDescent="0.2">
      <c r="A292" s="1">
        <v>2020</v>
      </c>
      <c r="B292" s="1" t="s">
        <v>290</v>
      </c>
      <c r="C292" s="2">
        <v>120995</v>
      </c>
      <c r="D292" s="8">
        <v>1.0443E-4</v>
      </c>
    </row>
    <row r="293" spans="1:4" x14ac:dyDescent="0.2">
      <c r="A293" s="1">
        <v>2020</v>
      </c>
      <c r="B293" s="1" t="s">
        <v>291</v>
      </c>
      <c r="C293" s="2">
        <v>142229</v>
      </c>
      <c r="D293" s="8">
        <v>1.2276E-4</v>
      </c>
    </row>
    <row r="294" spans="1:4" x14ac:dyDescent="0.2">
      <c r="A294" s="1">
        <v>2020</v>
      </c>
      <c r="B294" s="1" t="s">
        <v>292</v>
      </c>
      <c r="C294" s="2">
        <v>11936</v>
      </c>
      <c r="D294" s="8">
        <v>1.03E-5</v>
      </c>
    </row>
    <row r="295" spans="1:4" x14ac:dyDescent="0.2">
      <c r="A295" s="1">
        <v>2020</v>
      </c>
      <c r="B295" s="1" t="s">
        <v>293</v>
      </c>
      <c r="C295" s="2">
        <v>9829936</v>
      </c>
      <c r="D295" s="8">
        <v>8.4841499999999993E-3</v>
      </c>
    </row>
    <row r="296" spans="1:4" x14ac:dyDescent="0.2">
      <c r="A296" s="1">
        <v>2020</v>
      </c>
      <c r="B296" s="1" t="s">
        <v>294</v>
      </c>
      <c r="C296" s="2">
        <v>134541</v>
      </c>
      <c r="D296" s="8">
        <v>1.1612000000000001E-4</v>
      </c>
    </row>
    <row r="297" spans="1:4" x14ac:dyDescent="0.2">
      <c r="A297" s="1">
        <v>2020</v>
      </c>
      <c r="B297" s="1" t="s">
        <v>295</v>
      </c>
      <c r="C297" s="2">
        <v>633364</v>
      </c>
      <c r="D297" s="8">
        <v>5.4664999999999998E-4</v>
      </c>
    </row>
    <row r="298" spans="1:4" x14ac:dyDescent="0.2">
      <c r="A298" s="1">
        <v>2020</v>
      </c>
      <c r="B298" s="1" t="s">
        <v>296</v>
      </c>
      <c r="C298" s="2">
        <v>448930</v>
      </c>
      <c r="D298" s="8">
        <v>3.8747E-4</v>
      </c>
    </row>
    <row r="299" spans="1:4" x14ac:dyDescent="0.2">
      <c r="A299" s="1">
        <v>2020</v>
      </c>
      <c r="B299" s="1" t="s">
        <v>297</v>
      </c>
      <c r="C299" s="2">
        <v>17454</v>
      </c>
      <c r="D299" s="8">
        <v>1.506E-5</v>
      </c>
    </row>
    <row r="300" spans="1:4" x14ac:dyDescent="0.2">
      <c r="A300" s="1">
        <v>2020</v>
      </c>
      <c r="B300" s="1" t="s">
        <v>298</v>
      </c>
      <c r="C300" s="2">
        <v>1264217</v>
      </c>
      <c r="D300" s="8">
        <v>1.09114E-3</v>
      </c>
    </row>
    <row r="301" spans="1:4" x14ac:dyDescent="0.2">
      <c r="A301" s="1">
        <v>2020</v>
      </c>
      <c r="B301" s="1" t="s">
        <v>299</v>
      </c>
      <c r="C301" s="2">
        <v>547267</v>
      </c>
      <c r="D301" s="8">
        <v>4.7234000000000002E-4</v>
      </c>
    </row>
    <row r="302" spans="1:4" x14ac:dyDescent="0.2">
      <c r="A302" s="1">
        <v>2020</v>
      </c>
      <c r="B302" s="1" t="s">
        <v>300</v>
      </c>
      <c r="C302" s="2">
        <v>804216</v>
      </c>
      <c r="D302" s="8">
        <v>6.9410999999999995E-4</v>
      </c>
    </row>
    <row r="303" spans="1:4" x14ac:dyDescent="0.2">
      <c r="A303" s="1">
        <v>2020</v>
      </c>
      <c r="B303" s="1" t="s">
        <v>873</v>
      </c>
      <c r="C303" s="2">
        <v>4984</v>
      </c>
      <c r="D303" s="8">
        <v>4.3000000000000003E-6</v>
      </c>
    </row>
    <row r="304" spans="1:4" x14ac:dyDescent="0.2">
      <c r="A304" s="1">
        <v>2020</v>
      </c>
      <c r="B304" s="1" t="s">
        <v>301</v>
      </c>
      <c r="C304" s="2">
        <v>3584623</v>
      </c>
      <c r="D304" s="8">
        <v>3.0938599999999999E-3</v>
      </c>
    </row>
    <row r="305" spans="1:4" x14ac:dyDescent="0.2">
      <c r="A305" s="1">
        <v>2020</v>
      </c>
      <c r="B305" s="1" t="s">
        <v>302</v>
      </c>
      <c r="C305" s="2">
        <v>2601350</v>
      </c>
      <c r="D305" s="8">
        <v>2.2452100000000001E-3</v>
      </c>
    </row>
    <row r="306" spans="1:4" x14ac:dyDescent="0.2">
      <c r="A306" s="1">
        <v>2020</v>
      </c>
      <c r="B306" s="1" t="s">
        <v>303</v>
      </c>
      <c r="C306" s="2">
        <v>1423207</v>
      </c>
      <c r="D306" s="8">
        <v>1.22836E-3</v>
      </c>
    </row>
    <row r="307" spans="1:4" x14ac:dyDescent="0.2">
      <c r="A307" s="1">
        <v>2020</v>
      </c>
      <c r="B307" s="1" t="s">
        <v>304</v>
      </c>
      <c r="C307" s="2">
        <v>36808</v>
      </c>
      <c r="D307" s="8">
        <v>3.1770000000000002E-5</v>
      </c>
    </row>
    <row r="308" spans="1:4" x14ac:dyDescent="0.2">
      <c r="A308" s="1">
        <v>2020</v>
      </c>
      <c r="B308" s="1" t="s">
        <v>305</v>
      </c>
      <c r="C308" s="2">
        <v>1325300</v>
      </c>
      <c r="D308" s="8">
        <v>1.14386E-3</v>
      </c>
    </row>
    <row r="309" spans="1:4" x14ac:dyDescent="0.2">
      <c r="A309" s="1">
        <v>2020</v>
      </c>
      <c r="B309" s="1" t="s">
        <v>909</v>
      </c>
      <c r="C309" s="2">
        <v>1555906</v>
      </c>
      <c r="D309" s="8">
        <v>1.34289E-3</v>
      </c>
    </row>
    <row r="310" spans="1:4" x14ac:dyDescent="0.2">
      <c r="A310" s="1">
        <v>2020</v>
      </c>
      <c r="B310" s="1" t="s">
        <v>306</v>
      </c>
      <c r="C310" s="2">
        <v>201490</v>
      </c>
      <c r="D310" s="8">
        <v>1.739E-4</v>
      </c>
    </row>
    <row r="311" spans="1:4" x14ac:dyDescent="0.2">
      <c r="A311" s="1">
        <v>2020</v>
      </c>
      <c r="B311" s="1" t="s">
        <v>308</v>
      </c>
      <c r="C311" s="2">
        <v>1517774</v>
      </c>
      <c r="D311" s="8">
        <v>1.3099800000000001E-3</v>
      </c>
    </row>
    <row r="312" spans="1:4" x14ac:dyDescent="0.2">
      <c r="A312" s="1">
        <v>2020</v>
      </c>
      <c r="B312" s="1" t="s">
        <v>309</v>
      </c>
      <c r="C312" s="2">
        <v>539000</v>
      </c>
      <c r="D312" s="8">
        <v>4.6521000000000003E-4</v>
      </c>
    </row>
    <row r="313" spans="1:4" x14ac:dyDescent="0.2">
      <c r="A313" s="1">
        <v>2020</v>
      </c>
      <c r="B313" s="1" t="s">
        <v>310</v>
      </c>
      <c r="C313" s="2">
        <v>9770</v>
      </c>
      <c r="D313" s="8">
        <v>8.4300000000000006E-6</v>
      </c>
    </row>
    <row r="314" spans="1:4" x14ac:dyDescent="0.2">
      <c r="A314" s="1">
        <v>2020</v>
      </c>
      <c r="B314" s="1" t="s">
        <v>311</v>
      </c>
      <c r="C314" s="2">
        <v>524074</v>
      </c>
      <c r="D314" s="8">
        <v>4.5231999999999998E-4</v>
      </c>
    </row>
    <row r="315" spans="1:4" x14ac:dyDescent="0.2">
      <c r="A315" s="1">
        <v>2020</v>
      </c>
      <c r="B315" s="1" t="s">
        <v>312</v>
      </c>
      <c r="C315" s="2">
        <v>434593</v>
      </c>
      <c r="D315" s="8">
        <v>3.7509000000000002E-4</v>
      </c>
    </row>
    <row r="316" spans="1:4" x14ac:dyDescent="0.2">
      <c r="A316" s="1">
        <v>2020</v>
      </c>
      <c r="B316" s="1" t="s">
        <v>313</v>
      </c>
      <c r="C316" s="2">
        <v>1360627</v>
      </c>
      <c r="D316" s="8">
        <v>1.17435E-3</v>
      </c>
    </row>
    <row r="317" spans="1:4" x14ac:dyDescent="0.2">
      <c r="A317" s="1">
        <v>2020</v>
      </c>
      <c r="B317" s="1" t="s">
        <v>314</v>
      </c>
      <c r="C317" s="2">
        <v>1160228</v>
      </c>
      <c r="D317" s="8">
        <v>1.0013800000000001E-3</v>
      </c>
    </row>
    <row r="318" spans="1:4" x14ac:dyDescent="0.2">
      <c r="A318" s="1">
        <v>2020</v>
      </c>
      <c r="B318" s="1" t="s">
        <v>315</v>
      </c>
      <c r="C318" s="2">
        <v>56248</v>
      </c>
      <c r="D318" s="8">
        <v>4.8550000000000001E-5</v>
      </c>
    </row>
    <row r="319" spans="1:4" x14ac:dyDescent="0.2">
      <c r="A319" s="1">
        <v>2020</v>
      </c>
      <c r="B319" s="1" t="s">
        <v>316</v>
      </c>
      <c r="C319" s="2">
        <v>337354</v>
      </c>
      <c r="D319" s="8">
        <v>2.9116999999999999E-4</v>
      </c>
    </row>
    <row r="320" spans="1:4" x14ac:dyDescent="0.2">
      <c r="A320" s="1">
        <v>2020</v>
      </c>
      <c r="B320" s="1" t="s">
        <v>317</v>
      </c>
      <c r="C320" s="2">
        <v>2913151</v>
      </c>
      <c r="D320" s="8">
        <v>2.51432E-3</v>
      </c>
    </row>
    <row r="321" spans="1:4" x14ac:dyDescent="0.2">
      <c r="A321" s="1">
        <v>2020</v>
      </c>
      <c r="B321" s="1" t="s">
        <v>318</v>
      </c>
      <c r="C321" s="2">
        <v>710054</v>
      </c>
      <c r="D321" s="8">
        <v>6.1284000000000002E-4</v>
      </c>
    </row>
    <row r="322" spans="1:4" x14ac:dyDescent="0.2">
      <c r="A322" s="1">
        <v>2020</v>
      </c>
      <c r="B322" s="1" t="s">
        <v>319</v>
      </c>
      <c r="C322" s="2">
        <v>3981</v>
      </c>
      <c r="D322" s="8">
        <v>3.4400000000000001E-6</v>
      </c>
    </row>
    <row r="323" spans="1:4" x14ac:dyDescent="0.2">
      <c r="A323" s="1">
        <v>2020</v>
      </c>
      <c r="B323" s="1" t="s">
        <v>320</v>
      </c>
      <c r="C323" s="2">
        <v>4058497</v>
      </c>
      <c r="D323" s="8">
        <v>3.50286E-3</v>
      </c>
    </row>
    <row r="324" spans="1:4" x14ac:dyDescent="0.2">
      <c r="A324" s="1">
        <v>2020</v>
      </c>
      <c r="B324" s="1" t="s">
        <v>321</v>
      </c>
      <c r="C324" s="2">
        <v>81697</v>
      </c>
      <c r="D324" s="8">
        <v>7.0510000000000001E-5</v>
      </c>
    </row>
    <row r="325" spans="1:4" x14ac:dyDescent="0.2">
      <c r="A325" s="1">
        <v>2020</v>
      </c>
      <c r="B325" s="1" t="s">
        <v>322</v>
      </c>
      <c r="C325" s="2">
        <v>21793</v>
      </c>
      <c r="D325" s="8">
        <v>1.8810000000000001E-5</v>
      </c>
    </row>
    <row r="326" spans="1:4" x14ac:dyDescent="0.2">
      <c r="A326" s="1">
        <v>2020</v>
      </c>
      <c r="B326" s="1" t="s">
        <v>323</v>
      </c>
      <c r="C326" s="2">
        <v>239929</v>
      </c>
      <c r="D326" s="8">
        <v>2.0708E-4</v>
      </c>
    </row>
    <row r="327" spans="1:4" x14ac:dyDescent="0.2">
      <c r="A327" s="1">
        <v>2020</v>
      </c>
      <c r="B327" s="1" t="s">
        <v>324</v>
      </c>
      <c r="C327" s="2">
        <v>26623</v>
      </c>
      <c r="D327" s="8">
        <v>2.298E-5</v>
      </c>
    </row>
    <row r="328" spans="1:4" x14ac:dyDescent="0.2">
      <c r="A328" s="1">
        <v>2020</v>
      </c>
      <c r="B328" s="1" t="s">
        <v>325</v>
      </c>
      <c r="C328" s="2">
        <v>10516408</v>
      </c>
      <c r="D328" s="8">
        <v>9.0766300000000005E-3</v>
      </c>
    </row>
    <row r="329" spans="1:4" x14ac:dyDescent="0.2">
      <c r="A329" s="1">
        <v>2020</v>
      </c>
      <c r="B329" s="1" t="s">
        <v>326</v>
      </c>
      <c r="C329" s="2">
        <v>865109</v>
      </c>
      <c r="D329" s="8">
        <v>7.4666999999999995E-4</v>
      </c>
    </row>
    <row r="330" spans="1:4" x14ac:dyDescent="0.2">
      <c r="A330" s="1">
        <v>2020</v>
      </c>
      <c r="B330" s="1" t="s">
        <v>327</v>
      </c>
      <c r="C330" s="2">
        <v>7806925</v>
      </c>
      <c r="D330" s="8">
        <v>6.7381000000000003E-3</v>
      </c>
    </row>
    <row r="331" spans="1:4" x14ac:dyDescent="0.2">
      <c r="A331" s="1">
        <v>2020</v>
      </c>
      <c r="B331" s="1" t="s">
        <v>328</v>
      </c>
      <c r="C331" s="2">
        <v>5770416</v>
      </c>
      <c r="D331" s="8">
        <v>4.9804000000000003E-3</v>
      </c>
    </row>
    <row r="332" spans="1:4" x14ac:dyDescent="0.2">
      <c r="A332" s="1">
        <v>2020</v>
      </c>
      <c r="B332" s="1" t="s">
        <v>329</v>
      </c>
      <c r="C332" s="2">
        <v>71787</v>
      </c>
      <c r="D332" s="8">
        <v>6.1959999999999996E-5</v>
      </c>
    </row>
    <row r="333" spans="1:4" x14ac:dyDescent="0.2">
      <c r="A333" s="1">
        <v>2020</v>
      </c>
      <c r="B333" s="1" t="s">
        <v>330</v>
      </c>
      <c r="C333" s="2">
        <v>143454</v>
      </c>
      <c r="D333" s="8">
        <v>1.2381E-4</v>
      </c>
    </row>
    <row r="334" spans="1:4" x14ac:dyDescent="0.2">
      <c r="A334" s="1">
        <v>2020</v>
      </c>
      <c r="B334" s="1" t="s">
        <v>331</v>
      </c>
      <c r="C334" s="2">
        <v>28271</v>
      </c>
      <c r="D334" s="8">
        <v>2.44E-5</v>
      </c>
    </row>
    <row r="335" spans="1:4" x14ac:dyDescent="0.2">
      <c r="A335" s="1">
        <v>2020</v>
      </c>
      <c r="B335" s="1" t="s">
        <v>333</v>
      </c>
      <c r="C335" s="2">
        <v>526612</v>
      </c>
      <c r="D335" s="8">
        <v>4.5451999999999998E-4</v>
      </c>
    </row>
    <row r="336" spans="1:4" x14ac:dyDescent="0.2">
      <c r="A336" s="1">
        <v>2020</v>
      </c>
      <c r="B336" s="1" t="s">
        <v>334</v>
      </c>
      <c r="C336" s="2">
        <v>90318</v>
      </c>
      <c r="D336" s="8">
        <v>7.7949999999999997E-5</v>
      </c>
    </row>
    <row r="337" spans="1:4" x14ac:dyDescent="0.2">
      <c r="A337" s="1">
        <v>2020</v>
      </c>
      <c r="B337" s="1" t="s">
        <v>335</v>
      </c>
      <c r="C337" s="2">
        <v>24159887</v>
      </c>
      <c r="D337" s="8">
        <v>2.0852220000000001E-2</v>
      </c>
    </row>
    <row r="338" spans="1:4" x14ac:dyDescent="0.2">
      <c r="A338" s="1">
        <v>2020</v>
      </c>
      <c r="B338" s="1" t="s">
        <v>336</v>
      </c>
      <c r="C338" s="2">
        <v>1028861</v>
      </c>
      <c r="D338" s="8">
        <v>8.8800000000000001E-4</v>
      </c>
    </row>
    <row r="339" spans="1:4" x14ac:dyDescent="0.2">
      <c r="A339" s="1">
        <v>2020</v>
      </c>
      <c r="B339" s="1" t="s">
        <v>337</v>
      </c>
      <c r="C339" s="2">
        <v>7897643</v>
      </c>
      <c r="D339" s="8">
        <v>6.8164000000000002E-3</v>
      </c>
    </row>
    <row r="340" spans="1:4" x14ac:dyDescent="0.2">
      <c r="A340" s="1">
        <v>2020</v>
      </c>
      <c r="B340" s="1" t="s">
        <v>338</v>
      </c>
      <c r="C340" s="2">
        <v>363555</v>
      </c>
      <c r="D340" s="8">
        <v>3.1377999999999999E-4</v>
      </c>
    </row>
    <row r="341" spans="1:4" x14ac:dyDescent="0.2">
      <c r="A341" s="1">
        <v>2020</v>
      </c>
      <c r="B341" s="1" t="s">
        <v>339</v>
      </c>
      <c r="C341" s="2">
        <v>387920</v>
      </c>
      <c r="D341" s="8">
        <v>3.3481E-4</v>
      </c>
    </row>
    <row r="342" spans="1:4" x14ac:dyDescent="0.2">
      <c r="A342" s="1">
        <v>2020</v>
      </c>
      <c r="B342" s="1" t="s">
        <v>340</v>
      </c>
      <c r="C342" s="2">
        <v>830248</v>
      </c>
      <c r="D342" s="8">
        <v>7.1657999999999997E-4</v>
      </c>
    </row>
    <row r="343" spans="1:4" x14ac:dyDescent="0.2">
      <c r="A343" s="1">
        <v>2020</v>
      </c>
      <c r="B343" s="1" t="s">
        <v>341</v>
      </c>
      <c r="C343" s="2">
        <v>493709</v>
      </c>
      <c r="D343" s="8">
        <v>4.2611999999999999E-4</v>
      </c>
    </row>
    <row r="344" spans="1:4" x14ac:dyDescent="0.2">
      <c r="A344" s="1">
        <v>2020</v>
      </c>
      <c r="B344" s="1" t="s">
        <v>342</v>
      </c>
      <c r="C344" s="2">
        <v>1124362</v>
      </c>
      <c r="D344" s="8">
        <v>9.7042999999999999E-4</v>
      </c>
    </row>
    <row r="345" spans="1:4" x14ac:dyDescent="0.2">
      <c r="A345" s="1">
        <v>2020</v>
      </c>
      <c r="B345" s="1" t="s">
        <v>343</v>
      </c>
      <c r="C345" s="2">
        <v>586444</v>
      </c>
      <c r="D345" s="8">
        <v>5.0615999999999996E-4</v>
      </c>
    </row>
    <row r="346" spans="1:4" x14ac:dyDescent="0.2">
      <c r="A346" s="1">
        <v>2020</v>
      </c>
      <c r="B346" s="1" t="s">
        <v>344</v>
      </c>
      <c r="C346" s="2">
        <v>407281</v>
      </c>
      <c r="D346" s="8">
        <v>3.5152000000000002E-4</v>
      </c>
    </row>
    <row r="347" spans="1:4" x14ac:dyDescent="0.2">
      <c r="A347" s="1">
        <v>2020</v>
      </c>
      <c r="B347" s="1" t="s">
        <v>345</v>
      </c>
      <c r="C347" s="2">
        <v>1469280</v>
      </c>
      <c r="D347" s="8">
        <v>1.26812E-3</v>
      </c>
    </row>
    <row r="348" spans="1:4" x14ac:dyDescent="0.2">
      <c r="A348" s="1">
        <v>2020</v>
      </c>
      <c r="B348" s="1" t="s">
        <v>346</v>
      </c>
      <c r="C348" s="2">
        <v>23055</v>
      </c>
      <c r="D348" s="8">
        <v>1.9899999999999999E-5</v>
      </c>
    </row>
    <row r="349" spans="1:4" x14ac:dyDescent="0.2">
      <c r="A349" s="1">
        <v>2020</v>
      </c>
      <c r="B349" s="1" t="s">
        <v>347</v>
      </c>
      <c r="C349" s="2">
        <v>369718</v>
      </c>
      <c r="D349" s="8">
        <v>3.191E-4</v>
      </c>
    </row>
    <row r="350" spans="1:4" x14ac:dyDescent="0.2">
      <c r="A350" s="1">
        <v>2020</v>
      </c>
      <c r="B350" s="1" t="s">
        <v>348</v>
      </c>
      <c r="C350" s="2">
        <v>7226897</v>
      </c>
      <c r="D350" s="8">
        <v>6.2374800000000001E-3</v>
      </c>
    </row>
    <row r="351" spans="1:4" x14ac:dyDescent="0.2">
      <c r="A351" s="1">
        <v>2020</v>
      </c>
      <c r="B351" s="1" t="s">
        <v>349</v>
      </c>
      <c r="C351" s="2">
        <v>2464877</v>
      </c>
      <c r="D351" s="8">
        <v>2.1274200000000001E-3</v>
      </c>
    </row>
    <row r="352" spans="1:4" x14ac:dyDescent="0.2">
      <c r="A352" s="1">
        <v>2020</v>
      </c>
      <c r="B352" s="1" t="s">
        <v>350</v>
      </c>
      <c r="C352" s="2">
        <v>3619364</v>
      </c>
      <c r="D352" s="8">
        <v>3.1238500000000001E-3</v>
      </c>
    </row>
    <row r="353" spans="1:4" x14ac:dyDescent="0.2">
      <c r="A353" s="1">
        <v>2020</v>
      </c>
      <c r="B353" s="1" t="s">
        <v>351</v>
      </c>
      <c r="C353" s="2">
        <v>35809</v>
      </c>
      <c r="D353" s="8">
        <v>3.0910000000000001E-5</v>
      </c>
    </row>
    <row r="354" spans="1:4" x14ac:dyDescent="0.2">
      <c r="A354" s="1">
        <v>2020</v>
      </c>
      <c r="B354" s="1" t="s">
        <v>352</v>
      </c>
      <c r="C354" s="2">
        <v>62304</v>
      </c>
      <c r="D354" s="8">
        <v>5.3770000000000002E-5</v>
      </c>
    </row>
    <row r="355" spans="1:4" x14ac:dyDescent="0.2">
      <c r="A355" s="1">
        <v>2020</v>
      </c>
      <c r="B355" s="1" t="s">
        <v>353</v>
      </c>
      <c r="C355" s="2">
        <v>6013</v>
      </c>
      <c r="D355" s="8">
        <v>5.1900000000000003E-6</v>
      </c>
    </row>
    <row r="356" spans="1:4" x14ac:dyDescent="0.2">
      <c r="A356" s="1">
        <v>2020</v>
      </c>
      <c r="B356" s="1" t="s">
        <v>354</v>
      </c>
      <c r="C356" s="2">
        <v>1283004</v>
      </c>
      <c r="D356" s="8">
        <v>1.10735E-3</v>
      </c>
    </row>
    <row r="357" spans="1:4" x14ac:dyDescent="0.2">
      <c r="A357" s="1">
        <v>2020</v>
      </c>
      <c r="B357" s="1" t="s">
        <v>355</v>
      </c>
      <c r="C357" s="2">
        <v>731614</v>
      </c>
      <c r="D357" s="8">
        <v>6.3144999999999998E-4</v>
      </c>
    </row>
    <row r="358" spans="1:4" x14ac:dyDescent="0.2">
      <c r="A358" s="1">
        <v>2020</v>
      </c>
      <c r="B358" s="1" t="s">
        <v>356</v>
      </c>
      <c r="C358" s="2">
        <v>27419</v>
      </c>
      <c r="D358" s="8">
        <v>2.3669999999999999E-5</v>
      </c>
    </row>
    <row r="359" spans="1:4" x14ac:dyDescent="0.2">
      <c r="A359" s="1">
        <v>2020</v>
      </c>
      <c r="B359" s="1" t="s">
        <v>357</v>
      </c>
      <c r="C359" s="2">
        <v>31860</v>
      </c>
      <c r="D359" s="8">
        <v>2.7500000000000001E-5</v>
      </c>
    </row>
    <row r="360" spans="1:4" x14ac:dyDescent="0.2">
      <c r="A360" s="1">
        <v>2020</v>
      </c>
      <c r="B360" s="1" t="s">
        <v>358</v>
      </c>
      <c r="C360" s="2">
        <v>56485</v>
      </c>
      <c r="D360" s="8">
        <v>4.8749999999999999E-5</v>
      </c>
    </row>
    <row r="361" spans="1:4" x14ac:dyDescent="0.2">
      <c r="A361" s="1">
        <v>2020</v>
      </c>
      <c r="B361" s="1" t="s">
        <v>359</v>
      </c>
      <c r="C361" s="2">
        <v>450101</v>
      </c>
      <c r="D361" s="8">
        <v>3.8848000000000002E-4</v>
      </c>
    </row>
    <row r="362" spans="1:4" x14ac:dyDescent="0.2">
      <c r="A362" s="1">
        <v>2020</v>
      </c>
      <c r="B362" s="1" t="s">
        <v>360</v>
      </c>
      <c r="C362" s="2">
        <v>2040141</v>
      </c>
      <c r="D362" s="8">
        <v>1.7608299999999999E-3</v>
      </c>
    </row>
    <row r="363" spans="1:4" x14ac:dyDescent="0.2">
      <c r="A363" s="1">
        <v>2020</v>
      </c>
      <c r="B363" s="1" t="s">
        <v>361</v>
      </c>
      <c r="C363" s="2">
        <v>263065</v>
      </c>
      <c r="D363" s="8">
        <v>2.2704999999999999E-4</v>
      </c>
    </row>
    <row r="364" spans="1:4" x14ac:dyDescent="0.2">
      <c r="A364" s="1">
        <v>2020</v>
      </c>
      <c r="B364" s="1" t="s">
        <v>362</v>
      </c>
      <c r="C364" s="2">
        <v>2867648</v>
      </c>
      <c r="D364" s="8">
        <v>2.4750499999999999E-3</v>
      </c>
    </row>
    <row r="365" spans="1:4" x14ac:dyDescent="0.2">
      <c r="A365" s="1">
        <v>2020</v>
      </c>
      <c r="B365" s="1" t="s">
        <v>363</v>
      </c>
      <c r="C365" s="2">
        <v>1853989</v>
      </c>
      <c r="D365" s="8">
        <v>1.60016E-3</v>
      </c>
    </row>
    <row r="366" spans="1:4" x14ac:dyDescent="0.2">
      <c r="A366" s="1">
        <v>2020</v>
      </c>
      <c r="B366" s="1" t="s">
        <v>364</v>
      </c>
      <c r="C366" s="2">
        <v>3054</v>
      </c>
      <c r="D366" s="8">
        <v>2.6400000000000001E-6</v>
      </c>
    </row>
    <row r="367" spans="1:4" x14ac:dyDescent="0.2">
      <c r="A367" s="1">
        <v>2020</v>
      </c>
      <c r="B367" s="1" t="s">
        <v>365</v>
      </c>
      <c r="C367" s="2">
        <v>31195</v>
      </c>
      <c r="D367" s="8">
        <v>2.692E-5</v>
      </c>
    </row>
    <row r="368" spans="1:4" x14ac:dyDescent="0.2">
      <c r="A368" s="1">
        <v>2020</v>
      </c>
      <c r="B368" s="1" t="s">
        <v>366</v>
      </c>
      <c r="C368" s="2">
        <v>9893770</v>
      </c>
      <c r="D368" s="8">
        <v>8.53924E-3</v>
      </c>
    </row>
    <row r="369" spans="1:4" x14ac:dyDescent="0.2">
      <c r="A369" s="1">
        <v>2020</v>
      </c>
      <c r="B369" s="1" t="s">
        <v>367</v>
      </c>
      <c r="C369" s="2">
        <v>12638</v>
      </c>
      <c r="D369" s="8">
        <v>1.0910000000000001E-5</v>
      </c>
    </row>
    <row r="370" spans="1:4" x14ac:dyDescent="0.2">
      <c r="A370" s="1">
        <v>2020</v>
      </c>
      <c r="B370" s="1" t="s">
        <v>368</v>
      </c>
      <c r="C370" s="2">
        <v>2498912</v>
      </c>
      <c r="D370" s="8">
        <v>2.15679E-3</v>
      </c>
    </row>
    <row r="371" spans="1:4" x14ac:dyDescent="0.2">
      <c r="A371" s="1">
        <v>2020</v>
      </c>
      <c r="B371" s="1" t="s">
        <v>369</v>
      </c>
      <c r="C371" s="2">
        <v>86125</v>
      </c>
      <c r="D371" s="8">
        <v>7.4330000000000002E-5</v>
      </c>
    </row>
    <row r="372" spans="1:4" x14ac:dyDescent="0.2">
      <c r="A372" s="1">
        <v>2020</v>
      </c>
      <c r="B372" s="1" t="s">
        <v>370</v>
      </c>
      <c r="C372" s="2">
        <v>34499</v>
      </c>
      <c r="D372" s="8">
        <v>2.9779999999999999E-5</v>
      </c>
    </row>
    <row r="373" spans="1:4" x14ac:dyDescent="0.2">
      <c r="A373" s="1">
        <v>2020</v>
      </c>
      <c r="B373" s="1" t="s">
        <v>371</v>
      </c>
      <c r="C373" s="2">
        <v>5766858</v>
      </c>
      <c r="D373" s="8">
        <v>4.9773300000000003E-3</v>
      </c>
    </row>
    <row r="374" spans="1:4" x14ac:dyDescent="0.2">
      <c r="A374" s="1">
        <v>2020</v>
      </c>
      <c r="B374" s="1" t="s">
        <v>372</v>
      </c>
      <c r="C374" s="2">
        <v>2164800</v>
      </c>
      <c r="D374" s="8">
        <v>1.86842E-3</v>
      </c>
    </row>
    <row r="375" spans="1:4" x14ac:dyDescent="0.2">
      <c r="A375" s="1">
        <v>2020</v>
      </c>
      <c r="B375" s="1" t="s">
        <v>373</v>
      </c>
      <c r="C375" s="2">
        <v>467941</v>
      </c>
      <c r="D375" s="8">
        <v>4.0388000000000002E-4</v>
      </c>
    </row>
    <row r="376" spans="1:4" x14ac:dyDescent="0.2">
      <c r="A376" s="1">
        <v>2020</v>
      </c>
      <c r="B376" s="1" t="s">
        <v>910</v>
      </c>
      <c r="C376" s="2">
        <v>1883</v>
      </c>
      <c r="D376" s="8">
        <v>1.6300000000000001E-6</v>
      </c>
    </row>
    <row r="377" spans="1:4" x14ac:dyDescent="0.2">
      <c r="A377" s="1">
        <v>2020</v>
      </c>
      <c r="B377" s="1" t="s">
        <v>374</v>
      </c>
      <c r="C377" s="2">
        <v>27793</v>
      </c>
      <c r="D377" s="8">
        <v>2.3989999999999999E-5</v>
      </c>
    </row>
    <row r="378" spans="1:4" x14ac:dyDescent="0.2">
      <c r="A378" s="1">
        <v>2020</v>
      </c>
      <c r="B378" s="1" t="s">
        <v>375</v>
      </c>
      <c r="C378" s="2">
        <v>1646382</v>
      </c>
      <c r="D378" s="8">
        <v>1.4209800000000001E-3</v>
      </c>
    </row>
    <row r="379" spans="1:4" x14ac:dyDescent="0.2">
      <c r="A379" s="1">
        <v>2020</v>
      </c>
      <c r="B379" s="1" t="s">
        <v>376</v>
      </c>
      <c r="C379" s="2">
        <v>168338</v>
      </c>
      <c r="D379" s="8">
        <v>1.4529000000000001E-4</v>
      </c>
    </row>
    <row r="380" spans="1:4" x14ac:dyDescent="0.2">
      <c r="A380" s="1">
        <v>2020</v>
      </c>
      <c r="B380" s="1" t="s">
        <v>377</v>
      </c>
      <c r="C380" s="2">
        <v>3221781</v>
      </c>
      <c r="D380" s="8">
        <v>2.7807000000000001E-3</v>
      </c>
    </row>
    <row r="381" spans="1:4" x14ac:dyDescent="0.2">
      <c r="A381" s="1">
        <v>2020</v>
      </c>
      <c r="B381" s="1" t="s">
        <v>378</v>
      </c>
      <c r="C381" s="2">
        <v>58361</v>
      </c>
      <c r="D381" s="8">
        <v>5.0370000000000001E-5</v>
      </c>
    </row>
    <row r="382" spans="1:4" x14ac:dyDescent="0.2">
      <c r="A382" s="1">
        <v>2020</v>
      </c>
      <c r="B382" s="1" t="s">
        <v>379</v>
      </c>
      <c r="C382" s="2">
        <v>1844446</v>
      </c>
      <c r="D382" s="8">
        <v>1.5919300000000001E-3</v>
      </c>
    </row>
    <row r="383" spans="1:4" x14ac:dyDescent="0.2">
      <c r="A383" s="1">
        <v>2020</v>
      </c>
      <c r="B383" s="1" t="s">
        <v>380</v>
      </c>
      <c r="C383" s="2">
        <v>560286</v>
      </c>
      <c r="D383" s="8">
        <v>4.8358E-4</v>
      </c>
    </row>
    <row r="384" spans="1:4" x14ac:dyDescent="0.2">
      <c r="A384" s="1">
        <v>2020</v>
      </c>
      <c r="B384" s="1" t="s">
        <v>381</v>
      </c>
      <c r="C384" s="2">
        <v>2332545</v>
      </c>
      <c r="D384" s="8">
        <v>2.0132000000000001E-3</v>
      </c>
    </row>
    <row r="385" spans="1:4" x14ac:dyDescent="0.2">
      <c r="A385" s="1">
        <v>2020</v>
      </c>
      <c r="B385" s="1" t="s">
        <v>382</v>
      </c>
      <c r="C385" s="2">
        <v>861624</v>
      </c>
      <c r="D385" s="8">
        <v>7.4366000000000005E-4</v>
      </c>
    </row>
    <row r="386" spans="1:4" x14ac:dyDescent="0.2">
      <c r="A386" s="1">
        <v>2020</v>
      </c>
      <c r="B386" s="1" t="s">
        <v>383</v>
      </c>
      <c r="C386" s="2">
        <v>59990</v>
      </c>
      <c r="D386" s="8">
        <v>5.1780000000000002E-5</v>
      </c>
    </row>
    <row r="387" spans="1:4" x14ac:dyDescent="0.2">
      <c r="A387" s="1">
        <v>2020</v>
      </c>
      <c r="B387" s="1" t="s">
        <v>384</v>
      </c>
      <c r="C387" s="2">
        <v>2308948</v>
      </c>
      <c r="D387" s="8">
        <v>1.9928400000000001E-3</v>
      </c>
    </row>
    <row r="388" spans="1:4" x14ac:dyDescent="0.2">
      <c r="A388" s="1">
        <v>2020</v>
      </c>
      <c r="B388" s="1" t="s">
        <v>385</v>
      </c>
      <c r="C388" s="2">
        <v>12234</v>
      </c>
      <c r="D388" s="8">
        <v>1.0560000000000001E-5</v>
      </c>
    </row>
    <row r="389" spans="1:4" x14ac:dyDescent="0.2">
      <c r="A389" s="1">
        <v>2020</v>
      </c>
      <c r="B389" s="1" t="s">
        <v>386</v>
      </c>
      <c r="C389" s="2">
        <v>6340139</v>
      </c>
      <c r="D389" s="8">
        <v>5.4721300000000004E-3</v>
      </c>
    </row>
    <row r="390" spans="1:4" x14ac:dyDescent="0.2">
      <c r="A390" s="1">
        <v>2020</v>
      </c>
      <c r="B390" s="1" t="s">
        <v>387</v>
      </c>
      <c r="C390" s="2">
        <v>138040</v>
      </c>
      <c r="D390" s="8">
        <v>1.1914E-4</v>
      </c>
    </row>
    <row r="391" spans="1:4" x14ac:dyDescent="0.2">
      <c r="A391" s="1">
        <v>2020</v>
      </c>
      <c r="B391" s="1" t="s">
        <v>388</v>
      </c>
      <c r="C391" s="2">
        <v>1243754</v>
      </c>
      <c r="D391" s="8">
        <v>1.07347E-3</v>
      </c>
    </row>
    <row r="392" spans="1:4" x14ac:dyDescent="0.2">
      <c r="A392" s="1">
        <v>2020</v>
      </c>
      <c r="B392" s="1" t="s">
        <v>389</v>
      </c>
      <c r="C392" s="2">
        <v>103190</v>
      </c>
      <c r="D392" s="8">
        <v>8.9060000000000005E-5</v>
      </c>
    </row>
    <row r="393" spans="1:4" x14ac:dyDescent="0.2">
      <c r="A393" s="1">
        <v>2020</v>
      </c>
      <c r="B393" s="1" t="s">
        <v>390</v>
      </c>
      <c r="C393" s="2">
        <v>295757</v>
      </c>
      <c r="D393" s="8">
        <v>2.5526999999999999E-4</v>
      </c>
    </row>
    <row r="394" spans="1:4" x14ac:dyDescent="0.2">
      <c r="A394" s="1">
        <v>2020</v>
      </c>
      <c r="B394" s="1" t="s">
        <v>391</v>
      </c>
      <c r="C394" s="2">
        <v>13967</v>
      </c>
      <c r="D394" s="8">
        <v>1.205E-5</v>
      </c>
    </row>
    <row r="395" spans="1:4" x14ac:dyDescent="0.2">
      <c r="A395" s="1">
        <v>2020</v>
      </c>
      <c r="B395" s="1" t="s">
        <v>392</v>
      </c>
      <c r="C395" s="2">
        <v>268583</v>
      </c>
      <c r="D395" s="8">
        <v>2.3180999999999999E-4</v>
      </c>
    </row>
    <row r="396" spans="1:4" x14ac:dyDescent="0.2">
      <c r="A396" s="1">
        <v>2020</v>
      </c>
      <c r="B396" s="1" t="s">
        <v>393</v>
      </c>
      <c r="C396" s="2">
        <v>895969</v>
      </c>
      <c r="D396" s="8">
        <v>7.7329999999999999E-4</v>
      </c>
    </row>
    <row r="397" spans="1:4" x14ac:dyDescent="0.2">
      <c r="A397" s="1">
        <v>2020</v>
      </c>
      <c r="B397" s="1" t="s">
        <v>394</v>
      </c>
      <c r="C397" s="2">
        <v>2143</v>
      </c>
      <c r="D397" s="8">
        <v>1.8500000000000001E-6</v>
      </c>
    </row>
    <row r="398" spans="1:4" x14ac:dyDescent="0.2">
      <c r="A398" s="1">
        <v>2020</v>
      </c>
      <c r="B398" s="1" t="s">
        <v>395</v>
      </c>
      <c r="C398" s="2">
        <v>221772</v>
      </c>
      <c r="D398" s="8">
        <v>1.9141000000000001E-4</v>
      </c>
    </row>
    <row r="399" spans="1:4" x14ac:dyDescent="0.2">
      <c r="A399" s="1">
        <v>2020</v>
      </c>
      <c r="B399" s="1" t="s">
        <v>396</v>
      </c>
      <c r="C399" s="2">
        <v>151660</v>
      </c>
      <c r="D399" s="8">
        <v>1.3090000000000001E-4</v>
      </c>
    </row>
    <row r="400" spans="1:4" x14ac:dyDescent="0.2">
      <c r="A400" s="1">
        <v>2020</v>
      </c>
      <c r="B400" s="1" t="s">
        <v>397</v>
      </c>
      <c r="C400" s="2">
        <v>101143</v>
      </c>
      <c r="D400" s="8">
        <v>8.7299999999999994E-5</v>
      </c>
    </row>
    <row r="401" spans="1:4" x14ac:dyDescent="0.2">
      <c r="A401" s="1">
        <v>2020</v>
      </c>
      <c r="B401" s="1" t="s">
        <v>398</v>
      </c>
      <c r="C401" s="2">
        <v>64265</v>
      </c>
      <c r="D401" s="8">
        <v>5.5470000000000003E-5</v>
      </c>
    </row>
    <row r="402" spans="1:4" x14ac:dyDescent="0.2">
      <c r="A402" s="1">
        <v>2020</v>
      </c>
      <c r="B402" s="1" t="s">
        <v>399</v>
      </c>
      <c r="C402" s="2">
        <v>2416344</v>
      </c>
      <c r="D402" s="8">
        <v>2.0855299999999999E-3</v>
      </c>
    </row>
    <row r="403" spans="1:4" x14ac:dyDescent="0.2">
      <c r="A403" s="1">
        <v>2020</v>
      </c>
      <c r="B403" s="1" t="s">
        <v>400</v>
      </c>
      <c r="C403" s="2">
        <v>958349</v>
      </c>
      <c r="D403" s="8">
        <v>8.2713999999999997E-4</v>
      </c>
    </row>
    <row r="404" spans="1:4" x14ac:dyDescent="0.2">
      <c r="A404" s="1">
        <v>2020</v>
      </c>
      <c r="B404" s="1" t="s">
        <v>401</v>
      </c>
      <c r="C404" s="2">
        <v>58407</v>
      </c>
      <c r="D404" s="8">
        <v>5.041E-5</v>
      </c>
    </row>
    <row r="405" spans="1:4" x14ac:dyDescent="0.2">
      <c r="A405" s="1">
        <v>2020</v>
      </c>
      <c r="B405" s="1" t="s">
        <v>402</v>
      </c>
      <c r="C405" s="2">
        <v>830007</v>
      </c>
      <c r="D405" s="8">
        <v>7.1637000000000003E-4</v>
      </c>
    </row>
    <row r="406" spans="1:4" x14ac:dyDescent="0.2">
      <c r="A406" s="1">
        <v>2020</v>
      </c>
      <c r="B406" s="1" t="s">
        <v>403</v>
      </c>
      <c r="C406" s="2">
        <v>2881243</v>
      </c>
      <c r="D406" s="8">
        <v>2.4867800000000001E-3</v>
      </c>
    </row>
    <row r="407" spans="1:4" x14ac:dyDescent="0.2">
      <c r="A407" s="1">
        <v>2020</v>
      </c>
      <c r="B407" s="1" t="s">
        <v>404</v>
      </c>
      <c r="C407" s="2">
        <v>7235</v>
      </c>
      <c r="D407" s="8">
        <v>6.2400000000000004E-6</v>
      </c>
    </row>
    <row r="408" spans="1:4" x14ac:dyDescent="0.2">
      <c r="A408" s="1">
        <v>2020</v>
      </c>
      <c r="B408" s="1" t="s">
        <v>405</v>
      </c>
      <c r="C408" s="2">
        <v>10094</v>
      </c>
      <c r="D408" s="8">
        <v>8.7099999999999996E-6</v>
      </c>
    </row>
    <row r="409" spans="1:4" x14ac:dyDescent="0.2">
      <c r="A409" s="1">
        <v>2020</v>
      </c>
      <c r="B409" s="1" t="s">
        <v>406</v>
      </c>
      <c r="C409" s="2">
        <v>425179</v>
      </c>
      <c r="D409" s="8">
        <v>3.6696999999999999E-4</v>
      </c>
    </row>
    <row r="410" spans="1:4" x14ac:dyDescent="0.2">
      <c r="A410" s="1">
        <v>2020</v>
      </c>
      <c r="B410" s="1" t="s">
        <v>407</v>
      </c>
      <c r="C410" s="2">
        <v>160159</v>
      </c>
      <c r="D410" s="8">
        <v>1.3823000000000001E-4</v>
      </c>
    </row>
    <row r="411" spans="1:4" x14ac:dyDescent="0.2">
      <c r="A411" s="1">
        <v>2020</v>
      </c>
      <c r="B411" s="1" t="s">
        <v>408</v>
      </c>
      <c r="C411" s="2">
        <v>41739</v>
      </c>
      <c r="D411" s="8">
        <v>3.6019999999999997E-5</v>
      </c>
    </row>
    <row r="412" spans="1:4" x14ac:dyDescent="0.2">
      <c r="A412" s="1">
        <v>2020</v>
      </c>
      <c r="B412" s="1" t="s">
        <v>409</v>
      </c>
      <c r="C412" s="2">
        <v>2673543</v>
      </c>
      <c r="D412" s="8">
        <v>2.30752E-3</v>
      </c>
    </row>
    <row r="413" spans="1:4" x14ac:dyDescent="0.2">
      <c r="A413" s="1">
        <v>2020</v>
      </c>
      <c r="B413" s="1" t="s">
        <v>410</v>
      </c>
      <c r="C413" s="2">
        <v>112873</v>
      </c>
      <c r="D413" s="8">
        <v>9.7419999999999999E-5</v>
      </c>
    </row>
    <row r="414" spans="1:4" x14ac:dyDescent="0.2">
      <c r="A414" s="1">
        <v>2020</v>
      </c>
      <c r="B414" s="1" t="s">
        <v>411</v>
      </c>
      <c r="C414" s="2">
        <v>5044230</v>
      </c>
      <c r="D414" s="8">
        <v>4.3536399999999998E-3</v>
      </c>
    </row>
    <row r="415" spans="1:4" x14ac:dyDescent="0.2">
      <c r="A415" s="1">
        <v>2020</v>
      </c>
      <c r="B415" s="1" t="s">
        <v>412</v>
      </c>
      <c r="C415" s="2">
        <v>2064442</v>
      </c>
      <c r="D415" s="8">
        <v>1.7818000000000001E-3</v>
      </c>
    </row>
    <row r="416" spans="1:4" x14ac:dyDescent="0.2">
      <c r="A416" s="1">
        <v>2020</v>
      </c>
      <c r="B416" s="1" t="s">
        <v>413</v>
      </c>
      <c r="C416" s="2">
        <v>304087</v>
      </c>
      <c r="D416" s="8">
        <v>2.6246E-4</v>
      </c>
    </row>
    <row r="417" spans="1:4" x14ac:dyDescent="0.2">
      <c r="A417" s="1">
        <v>2020</v>
      </c>
      <c r="B417" s="1" t="s">
        <v>414</v>
      </c>
      <c r="C417" s="2">
        <v>4475</v>
      </c>
      <c r="D417" s="8">
        <v>3.8600000000000003E-6</v>
      </c>
    </row>
    <row r="418" spans="1:4" x14ac:dyDescent="0.2">
      <c r="A418" s="1">
        <v>2020</v>
      </c>
      <c r="B418" s="1" t="s">
        <v>415</v>
      </c>
      <c r="C418" s="2">
        <v>79003</v>
      </c>
      <c r="D418" s="8">
        <v>6.8189999999999996E-5</v>
      </c>
    </row>
    <row r="419" spans="1:4" x14ac:dyDescent="0.2">
      <c r="A419" s="1">
        <v>2020</v>
      </c>
      <c r="B419" s="1" t="s">
        <v>416</v>
      </c>
      <c r="C419" s="2">
        <v>19723</v>
      </c>
      <c r="D419" s="8">
        <v>1.702E-5</v>
      </c>
    </row>
    <row r="420" spans="1:4" x14ac:dyDescent="0.2">
      <c r="A420" s="1">
        <v>2020</v>
      </c>
      <c r="B420" s="1" t="s">
        <v>417</v>
      </c>
      <c r="C420" s="2">
        <v>36583</v>
      </c>
      <c r="D420" s="8">
        <v>3.1569999999999998E-5</v>
      </c>
    </row>
    <row r="421" spans="1:4" x14ac:dyDescent="0.2">
      <c r="A421" s="1">
        <v>2020</v>
      </c>
      <c r="B421" s="1" t="s">
        <v>418</v>
      </c>
      <c r="C421" s="2">
        <v>157420</v>
      </c>
      <c r="D421" s="8">
        <v>1.3587000000000001E-4</v>
      </c>
    </row>
    <row r="422" spans="1:4" x14ac:dyDescent="0.2">
      <c r="A422" s="1">
        <v>2020</v>
      </c>
      <c r="B422" s="1" t="s">
        <v>419</v>
      </c>
      <c r="C422" s="2">
        <v>63532</v>
      </c>
      <c r="D422" s="8">
        <v>5.4830000000000002E-5</v>
      </c>
    </row>
    <row r="423" spans="1:4" x14ac:dyDescent="0.2">
      <c r="A423" s="1">
        <v>2020</v>
      </c>
      <c r="B423" s="1" t="s">
        <v>420</v>
      </c>
      <c r="C423" s="2">
        <v>1669279</v>
      </c>
      <c r="D423" s="8">
        <v>1.44074E-3</v>
      </c>
    </row>
    <row r="424" spans="1:4" x14ac:dyDescent="0.2">
      <c r="A424" s="1">
        <v>2020</v>
      </c>
      <c r="B424" s="1" t="s">
        <v>421</v>
      </c>
      <c r="C424" s="2">
        <v>204243</v>
      </c>
      <c r="D424" s="8">
        <v>1.7628000000000001E-4</v>
      </c>
    </row>
    <row r="425" spans="1:4" x14ac:dyDescent="0.2">
      <c r="A425" s="1">
        <v>2020</v>
      </c>
      <c r="B425" s="1" t="s">
        <v>422</v>
      </c>
      <c r="C425" s="2">
        <v>13641065</v>
      </c>
      <c r="D425" s="8">
        <v>1.1773499999999999E-2</v>
      </c>
    </row>
    <row r="426" spans="1:4" x14ac:dyDescent="0.2">
      <c r="A426" s="1">
        <v>2020</v>
      </c>
      <c r="B426" s="1" t="s">
        <v>423</v>
      </c>
      <c r="C426" s="2">
        <v>3204033</v>
      </c>
      <c r="D426" s="8">
        <v>2.76538E-3</v>
      </c>
    </row>
    <row r="427" spans="1:4" x14ac:dyDescent="0.2">
      <c r="A427" s="1">
        <v>2020</v>
      </c>
      <c r="B427" s="1" t="s">
        <v>424</v>
      </c>
      <c r="C427" s="2">
        <v>90185</v>
      </c>
      <c r="D427" s="8">
        <v>7.784E-5</v>
      </c>
    </row>
    <row r="428" spans="1:4" x14ac:dyDescent="0.2">
      <c r="A428" s="1">
        <v>2020</v>
      </c>
      <c r="B428" s="1" t="s">
        <v>425</v>
      </c>
      <c r="C428" s="2">
        <v>498246</v>
      </c>
      <c r="D428" s="8">
        <v>4.3002999999999997E-4</v>
      </c>
    </row>
    <row r="429" spans="1:4" x14ac:dyDescent="0.2">
      <c r="A429" s="1">
        <v>2020</v>
      </c>
      <c r="B429" s="1" t="s">
        <v>426</v>
      </c>
      <c r="C429" s="2">
        <v>8715</v>
      </c>
      <c r="D429" s="8">
        <v>7.52E-6</v>
      </c>
    </row>
    <row r="430" spans="1:4" x14ac:dyDescent="0.2">
      <c r="A430" s="1">
        <v>2020</v>
      </c>
      <c r="B430" s="1" t="s">
        <v>428</v>
      </c>
      <c r="C430" s="2">
        <v>360315</v>
      </c>
      <c r="D430" s="8">
        <v>3.1098999999999998E-4</v>
      </c>
    </row>
    <row r="431" spans="1:4" x14ac:dyDescent="0.2">
      <c r="A431" s="1">
        <v>2020</v>
      </c>
      <c r="B431" s="1" t="s">
        <v>429</v>
      </c>
      <c r="C431" s="2">
        <v>142810</v>
      </c>
      <c r="D431" s="8">
        <v>1.2326000000000001E-4</v>
      </c>
    </row>
    <row r="432" spans="1:4" x14ac:dyDescent="0.2">
      <c r="A432" s="1">
        <v>2020</v>
      </c>
      <c r="B432" s="1" t="s">
        <v>430</v>
      </c>
      <c r="C432" s="2">
        <v>7503465</v>
      </c>
      <c r="D432" s="8">
        <v>6.4761899999999997E-3</v>
      </c>
    </row>
    <row r="433" spans="1:4" x14ac:dyDescent="0.2">
      <c r="A433" s="1">
        <v>2020</v>
      </c>
      <c r="B433" s="1" t="s">
        <v>431</v>
      </c>
      <c r="C433" s="2">
        <v>38614</v>
      </c>
      <c r="D433" s="8">
        <v>3.3330000000000001E-5</v>
      </c>
    </row>
    <row r="434" spans="1:4" x14ac:dyDescent="0.2">
      <c r="A434" s="1">
        <v>2020</v>
      </c>
      <c r="B434" s="1" t="s">
        <v>432</v>
      </c>
      <c r="C434" s="2">
        <v>10723</v>
      </c>
      <c r="D434" s="8">
        <v>9.2499999999999995E-6</v>
      </c>
    </row>
    <row r="435" spans="1:4" x14ac:dyDescent="0.2">
      <c r="A435" s="1">
        <v>2020</v>
      </c>
      <c r="B435" s="1" t="s">
        <v>433</v>
      </c>
      <c r="C435" s="2">
        <v>2143572</v>
      </c>
      <c r="D435" s="8">
        <v>1.8500999999999999E-3</v>
      </c>
    </row>
    <row r="436" spans="1:4" x14ac:dyDescent="0.2">
      <c r="A436" s="1">
        <v>2020</v>
      </c>
      <c r="B436" s="1" t="s">
        <v>434</v>
      </c>
      <c r="C436" s="2">
        <v>1000337</v>
      </c>
      <c r="D436" s="8">
        <v>8.6337999999999996E-4</v>
      </c>
    </row>
    <row r="437" spans="1:4" x14ac:dyDescent="0.2">
      <c r="A437" s="1">
        <v>2020</v>
      </c>
      <c r="B437" s="1" t="s">
        <v>435</v>
      </c>
      <c r="C437" s="2">
        <v>7057</v>
      </c>
      <c r="D437" s="8">
        <v>6.0900000000000001E-6</v>
      </c>
    </row>
    <row r="438" spans="1:4" x14ac:dyDescent="0.2">
      <c r="A438" s="1">
        <v>2020</v>
      </c>
      <c r="B438" s="1" t="s">
        <v>436</v>
      </c>
      <c r="C438" s="2">
        <v>71757</v>
      </c>
      <c r="D438" s="8">
        <v>6.1929999999999998E-5</v>
      </c>
    </row>
    <row r="439" spans="1:4" x14ac:dyDescent="0.2">
      <c r="A439" s="1">
        <v>2020</v>
      </c>
      <c r="B439" s="1" t="s">
        <v>437</v>
      </c>
      <c r="C439" s="2">
        <v>80104</v>
      </c>
      <c r="D439" s="8">
        <v>6.9140000000000005E-5</v>
      </c>
    </row>
    <row r="440" spans="1:4" x14ac:dyDescent="0.2">
      <c r="A440" s="1">
        <v>2020</v>
      </c>
      <c r="B440" s="1" t="s">
        <v>438</v>
      </c>
      <c r="C440" s="2">
        <v>8474</v>
      </c>
      <c r="D440" s="8">
        <v>7.3100000000000003E-6</v>
      </c>
    </row>
    <row r="441" spans="1:4" x14ac:dyDescent="0.2">
      <c r="A441" s="1">
        <v>2020</v>
      </c>
      <c r="B441" s="1" t="s">
        <v>439</v>
      </c>
      <c r="C441" s="2">
        <v>2572631</v>
      </c>
      <c r="D441" s="8">
        <v>2.2204199999999999E-3</v>
      </c>
    </row>
    <row r="442" spans="1:4" x14ac:dyDescent="0.2">
      <c r="A442" s="1">
        <v>2020</v>
      </c>
      <c r="B442" s="1" t="s">
        <v>440</v>
      </c>
      <c r="C442" s="2">
        <v>1388717</v>
      </c>
      <c r="D442" s="8">
        <v>1.19859E-3</v>
      </c>
    </row>
    <row r="443" spans="1:4" x14ac:dyDescent="0.2">
      <c r="A443" s="1">
        <v>2020</v>
      </c>
      <c r="B443" s="1" t="s">
        <v>441</v>
      </c>
      <c r="C443" s="2">
        <v>20044</v>
      </c>
      <c r="D443" s="8">
        <v>1.73E-5</v>
      </c>
    </row>
    <row r="444" spans="1:4" x14ac:dyDescent="0.2">
      <c r="A444" s="1">
        <v>2020</v>
      </c>
      <c r="B444" s="1" t="s">
        <v>442</v>
      </c>
      <c r="C444" s="2">
        <v>44604</v>
      </c>
      <c r="D444" s="8">
        <v>3.8500000000000001E-5</v>
      </c>
    </row>
    <row r="445" spans="1:4" x14ac:dyDescent="0.2">
      <c r="A445" s="1">
        <v>2020</v>
      </c>
      <c r="B445" s="1" t="s">
        <v>443</v>
      </c>
      <c r="C445" s="2">
        <v>1059659</v>
      </c>
      <c r="D445" s="8">
        <v>9.1458000000000002E-4</v>
      </c>
    </row>
    <row r="446" spans="1:4" x14ac:dyDescent="0.2">
      <c r="A446" s="1">
        <v>2020</v>
      </c>
      <c r="B446" s="1" t="s">
        <v>444</v>
      </c>
      <c r="C446" s="2">
        <v>139373</v>
      </c>
      <c r="D446" s="8">
        <v>1.2029E-4</v>
      </c>
    </row>
    <row r="447" spans="1:4" x14ac:dyDescent="0.2">
      <c r="A447" s="1">
        <v>2020</v>
      </c>
      <c r="B447" s="1" t="s">
        <v>445</v>
      </c>
      <c r="C447" s="2">
        <v>2707013</v>
      </c>
      <c r="D447" s="8">
        <v>2.3364000000000002E-3</v>
      </c>
    </row>
    <row r="448" spans="1:4" x14ac:dyDescent="0.2">
      <c r="A448" s="1">
        <v>2020</v>
      </c>
      <c r="B448" s="1" t="s">
        <v>446</v>
      </c>
      <c r="C448" s="2">
        <v>14179</v>
      </c>
      <c r="D448" s="8">
        <v>1.224E-5</v>
      </c>
    </row>
    <row r="449" spans="1:4" x14ac:dyDescent="0.2">
      <c r="A449" s="1">
        <v>2020</v>
      </c>
      <c r="B449" s="1" t="s">
        <v>447</v>
      </c>
      <c r="C449" s="2">
        <v>29976</v>
      </c>
      <c r="D449" s="8">
        <v>2.5870000000000001E-5</v>
      </c>
    </row>
    <row r="450" spans="1:4" x14ac:dyDescent="0.2">
      <c r="A450" s="1">
        <v>2020</v>
      </c>
      <c r="B450" s="1" t="s">
        <v>448</v>
      </c>
      <c r="C450" s="2">
        <v>6706450</v>
      </c>
      <c r="D450" s="8">
        <v>5.7882899999999998E-3</v>
      </c>
    </row>
    <row r="451" spans="1:4" x14ac:dyDescent="0.2">
      <c r="A451" s="1">
        <v>2020</v>
      </c>
      <c r="B451" s="1" t="s">
        <v>449</v>
      </c>
      <c r="C451" s="2">
        <v>219973</v>
      </c>
      <c r="D451" s="8">
        <v>1.8986E-4</v>
      </c>
    </row>
    <row r="452" spans="1:4" x14ac:dyDescent="0.2">
      <c r="A452" s="1">
        <v>2020</v>
      </c>
      <c r="B452" s="1" t="s">
        <v>450</v>
      </c>
      <c r="C452" s="2">
        <v>138241</v>
      </c>
      <c r="D452" s="8">
        <v>1.1932E-4</v>
      </c>
    </row>
    <row r="453" spans="1:4" x14ac:dyDescent="0.2">
      <c r="A453" s="1">
        <v>2020</v>
      </c>
      <c r="B453" s="1" t="s">
        <v>905</v>
      </c>
      <c r="C453" s="2">
        <v>1876172</v>
      </c>
      <c r="D453" s="8">
        <v>1.6193100000000001E-3</v>
      </c>
    </row>
    <row r="454" spans="1:4" x14ac:dyDescent="0.2">
      <c r="A454" s="1">
        <v>2020</v>
      </c>
      <c r="B454" s="1" t="s">
        <v>905</v>
      </c>
      <c r="C454" s="2">
        <v>2581254</v>
      </c>
      <c r="D454" s="8">
        <v>2.2278599999999999E-3</v>
      </c>
    </row>
    <row r="455" spans="1:4" x14ac:dyDescent="0.2">
      <c r="A455" s="1">
        <v>2020</v>
      </c>
      <c r="B455" s="1" t="s">
        <v>905</v>
      </c>
      <c r="C455" s="2">
        <v>2585408</v>
      </c>
      <c r="D455" s="8">
        <v>2.2314499999999998E-3</v>
      </c>
    </row>
    <row r="456" spans="1:4" x14ac:dyDescent="0.2">
      <c r="A456" s="1">
        <v>2020</v>
      </c>
      <c r="B456" s="1" t="s">
        <v>454</v>
      </c>
      <c r="C456" s="2">
        <v>866027</v>
      </c>
      <c r="D456" s="8">
        <v>7.4746000000000003E-4</v>
      </c>
    </row>
    <row r="457" spans="1:4" x14ac:dyDescent="0.2">
      <c r="A457" s="1">
        <v>2020</v>
      </c>
      <c r="B457" s="1" t="s">
        <v>455</v>
      </c>
      <c r="C457" s="2">
        <v>516409</v>
      </c>
      <c r="D457" s="8">
        <v>4.4570999999999999E-4</v>
      </c>
    </row>
    <row r="458" spans="1:4" x14ac:dyDescent="0.2">
      <c r="A458" s="1">
        <v>2020</v>
      </c>
      <c r="B458" s="1" t="s">
        <v>456</v>
      </c>
      <c r="C458" s="2">
        <v>2773889</v>
      </c>
      <c r="D458" s="8">
        <v>2.39412E-3</v>
      </c>
    </row>
    <row r="459" spans="1:4" x14ac:dyDescent="0.2">
      <c r="A459" s="1">
        <v>2020</v>
      </c>
      <c r="B459" s="1" t="s">
        <v>457</v>
      </c>
      <c r="C459" s="2">
        <v>2813213</v>
      </c>
      <c r="D459" s="8">
        <v>2.4280600000000001E-3</v>
      </c>
    </row>
    <row r="460" spans="1:4" x14ac:dyDescent="0.2">
      <c r="A460" s="1">
        <v>2020</v>
      </c>
      <c r="B460" s="1" t="s">
        <v>458</v>
      </c>
      <c r="C460" s="2">
        <v>356165</v>
      </c>
      <c r="D460" s="8">
        <v>3.0739999999999999E-4</v>
      </c>
    </row>
    <row r="461" spans="1:4" x14ac:dyDescent="0.2">
      <c r="A461" s="1">
        <v>2020</v>
      </c>
      <c r="B461" s="1" t="s">
        <v>459</v>
      </c>
      <c r="C461" s="2">
        <v>5919868</v>
      </c>
      <c r="D461" s="8">
        <v>5.1093900000000001E-3</v>
      </c>
    </row>
    <row r="462" spans="1:4" x14ac:dyDescent="0.2">
      <c r="A462" s="1">
        <v>2020</v>
      </c>
      <c r="B462" s="1" t="s">
        <v>460</v>
      </c>
      <c r="C462" s="2">
        <v>81408</v>
      </c>
      <c r="D462" s="8">
        <v>7.0259999999999995E-5</v>
      </c>
    </row>
    <row r="463" spans="1:4" x14ac:dyDescent="0.2">
      <c r="A463" s="1">
        <v>2020</v>
      </c>
      <c r="B463" s="1" t="s">
        <v>461</v>
      </c>
      <c r="C463" s="2">
        <v>21640</v>
      </c>
      <c r="D463" s="8">
        <v>1.8680000000000001E-5</v>
      </c>
    </row>
    <row r="464" spans="1:4" x14ac:dyDescent="0.2">
      <c r="A464" s="1">
        <v>2020</v>
      </c>
      <c r="B464" s="1" t="s">
        <v>462</v>
      </c>
      <c r="C464" s="2">
        <v>181250</v>
      </c>
      <c r="D464" s="8">
        <v>1.5644000000000001E-4</v>
      </c>
    </row>
    <row r="465" spans="1:4" x14ac:dyDescent="0.2">
      <c r="A465" s="1">
        <v>2020</v>
      </c>
      <c r="B465" s="1" t="s">
        <v>463</v>
      </c>
      <c r="C465" s="2">
        <v>14268</v>
      </c>
      <c r="D465" s="8">
        <v>1.2310000000000001E-5</v>
      </c>
    </row>
    <row r="466" spans="1:4" x14ac:dyDescent="0.2">
      <c r="A466" s="1">
        <v>2020</v>
      </c>
      <c r="B466" s="1" t="s">
        <v>464</v>
      </c>
      <c r="C466" s="2">
        <v>269905</v>
      </c>
      <c r="D466" s="8">
        <v>2.3295E-4</v>
      </c>
    </row>
    <row r="467" spans="1:4" x14ac:dyDescent="0.2">
      <c r="A467" s="1">
        <v>2020</v>
      </c>
      <c r="B467" s="1" t="s">
        <v>465</v>
      </c>
      <c r="C467" s="2">
        <v>1605791</v>
      </c>
      <c r="D467" s="8">
        <v>1.3859499999999999E-3</v>
      </c>
    </row>
    <row r="468" spans="1:4" x14ac:dyDescent="0.2">
      <c r="A468" s="1">
        <v>2020</v>
      </c>
      <c r="B468" s="1" t="s">
        <v>466</v>
      </c>
      <c r="C468" s="2">
        <v>3113564</v>
      </c>
      <c r="D468" s="8">
        <v>2.6872900000000002E-3</v>
      </c>
    </row>
    <row r="469" spans="1:4" x14ac:dyDescent="0.2">
      <c r="A469" s="1">
        <v>2020</v>
      </c>
      <c r="B469" s="1" t="s">
        <v>467</v>
      </c>
      <c r="C469" s="2">
        <v>687321</v>
      </c>
      <c r="D469" s="8">
        <v>5.9321999999999999E-4</v>
      </c>
    </row>
    <row r="470" spans="1:4" x14ac:dyDescent="0.2">
      <c r="A470" s="1">
        <v>2020</v>
      </c>
      <c r="B470" s="1" t="s">
        <v>468</v>
      </c>
      <c r="C470" s="2">
        <v>960101</v>
      </c>
      <c r="D470" s="8">
        <v>8.2866000000000005E-4</v>
      </c>
    </row>
    <row r="471" spans="1:4" x14ac:dyDescent="0.2">
      <c r="A471" s="1">
        <v>2020</v>
      </c>
      <c r="B471" s="1" t="s">
        <v>469</v>
      </c>
      <c r="C471" s="2">
        <v>5168629</v>
      </c>
      <c r="D471" s="8">
        <v>4.4610099999999996E-3</v>
      </c>
    </row>
    <row r="472" spans="1:4" x14ac:dyDescent="0.2">
      <c r="A472" s="1">
        <v>2020</v>
      </c>
      <c r="B472" s="1" t="s">
        <v>470</v>
      </c>
      <c r="C472" s="2">
        <v>3233528</v>
      </c>
      <c r="D472" s="8">
        <v>2.7908299999999998E-3</v>
      </c>
    </row>
    <row r="473" spans="1:4" x14ac:dyDescent="0.2">
      <c r="A473" s="1">
        <v>2020</v>
      </c>
      <c r="B473" s="1" t="s">
        <v>471</v>
      </c>
      <c r="C473" s="2">
        <v>708860</v>
      </c>
      <c r="D473" s="8">
        <v>6.1180999999999996E-4</v>
      </c>
    </row>
    <row r="474" spans="1:4" x14ac:dyDescent="0.2">
      <c r="A474" s="1">
        <v>2020</v>
      </c>
      <c r="B474" s="1" t="s">
        <v>473</v>
      </c>
      <c r="C474" s="2">
        <v>273197</v>
      </c>
      <c r="D474" s="8">
        <v>2.3578999999999999E-4</v>
      </c>
    </row>
    <row r="475" spans="1:4" x14ac:dyDescent="0.2">
      <c r="A475" s="1">
        <v>2020</v>
      </c>
      <c r="B475" s="1" t="s">
        <v>474</v>
      </c>
      <c r="C475" s="2">
        <v>9393716</v>
      </c>
      <c r="D475" s="8">
        <v>8.1076499999999992E-3</v>
      </c>
    </row>
    <row r="476" spans="1:4" x14ac:dyDescent="0.2">
      <c r="A476" s="1">
        <v>2020</v>
      </c>
      <c r="B476" s="1" t="s">
        <v>475</v>
      </c>
      <c r="C476" s="2">
        <v>799786</v>
      </c>
      <c r="D476" s="8">
        <v>6.9028999999999998E-4</v>
      </c>
    </row>
    <row r="477" spans="1:4" x14ac:dyDescent="0.2">
      <c r="A477" s="1">
        <v>2020</v>
      </c>
      <c r="B477" s="1" t="s">
        <v>476</v>
      </c>
      <c r="C477" s="2">
        <v>37325436</v>
      </c>
      <c r="D477" s="8">
        <v>3.2215309999999997E-2</v>
      </c>
    </row>
    <row r="478" spans="1:4" x14ac:dyDescent="0.2">
      <c r="A478" s="1">
        <v>2020</v>
      </c>
      <c r="B478" s="1" t="s">
        <v>477</v>
      </c>
      <c r="C478" s="2">
        <v>12229</v>
      </c>
      <c r="D478" s="8">
        <v>1.0550000000000001E-5</v>
      </c>
    </row>
    <row r="479" spans="1:4" x14ac:dyDescent="0.2">
      <c r="A479" s="1">
        <v>2020</v>
      </c>
      <c r="B479" s="1" t="s">
        <v>478</v>
      </c>
      <c r="C479" s="2">
        <v>2027237</v>
      </c>
      <c r="D479" s="8">
        <v>1.7496899999999999E-3</v>
      </c>
    </row>
    <row r="480" spans="1:4" x14ac:dyDescent="0.2">
      <c r="A480" s="1">
        <v>2020</v>
      </c>
      <c r="B480" s="1" t="s">
        <v>479</v>
      </c>
      <c r="C480" s="2">
        <v>1298490</v>
      </c>
      <c r="D480" s="8">
        <v>1.12072E-3</v>
      </c>
    </row>
    <row r="481" spans="1:4" x14ac:dyDescent="0.2">
      <c r="A481" s="1">
        <v>2020</v>
      </c>
      <c r="B481" s="1" t="s">
        <v>480</v>
      </c>
      <c r="C481" s="2">
        <v>2260</v>
      </c>
      <c r="D481" s="8">
        <v>1.95E-6</v>
      </c>
    </row>
    <row r="482" spans="1:4" x14ac:dyDescent="0.2">
      <c r="A482" s="1">
        <v>2020</v>
      </c>
      <c r="B482" s="1" t="s">
        <v>481</v>
      </c>
      <c r="C482" s="2">
        <v>335245</v>
      </c>
      <c r="D482" s="8">
        <v>2.8935000000000001E-4</v>
      </c>
    </row>
    <row r="483" spans="1:4" x14ac:dyDescent="0.2">
      <c r="A483" s="1">
        <v>2020</v>
      </c>
      <c r="B483" s="1" t="s">
        <v>482</v>
      </c>
      <c r="C483" s="2">
        <v>135787</v>
      </c>
      <c r="D483" s="8">
        <v>1.172E-4</v>
      </c>
    </row>
    <row r="484" spans="1:4" x14ac:dyDescent="0.2">
      <c r="A484" s="1">
        <v>2020</v>
      </c>
      <c r="B484" s="1" t="s">
        <v>483</v>
      </c>
      <c r="C484" s="2">
        <v>79675</v>
      </c>
      <c r="D484" s="8">
        <v>6.8769999999999994E-5</v>
      </c>
    </row>
    <row r="485" spans="1:4" x14ac:dyDescent="0.2">
      <c r="A485" s="1">
        <v>2020</v>
      </c>
      <c r="B485" s="1" t="s">
        <v>484</v>
      </c>
      <c r="C485" s="2">
        <v>194578</v>
      </c>
      <c r="D485" s="8">
        <v>1.6793999999999999E-4</v>
      </c>
    </row>
    <row r="486" spans="1:4" x14ac:dyDescent="0.2">
      <c r="A486" s="1">
        <v>2020</v>
      </c>
      <c r="B486" s="1" t="s">
        <v>485</v>
      </c>
      <c r="C486" s="2">
        <v>605093</v>
      </c>
      <c r="D486" s="8">
        <v>5.2225000000000004E-4</v>
      </c>
    </row>
    <row r="487" spans="1:4" x14ac:dyDescent="0.2">
      <c r="A487" s="1">
        <v>2020</v>
      </c>
      <c r="B487" s="1" t="s">
        <v>486</v>
      </c>
      <c r="C487" s="2">
        <v>2437113</v>
      </c>
      <c r="D487" s="8">
        <v>2.1034500000000002E-3</v>
      </c>
    </row>
    <row r="488" spans="1:4" x14ac:dyDescent="0.2">
      <c r="A488" s="1">
        <v>2020</v>
      </c>
      <c r="B488" s="1" t="s">
        <v>487</v>
      </c>
      <c r="C488" s="2">
        <v>31123</v>
      </c>
      <c r="D488" s="8">
        <v>2.686E-5</v>
      </c>
    </row>
    <row r="489" spans="1:4" x14ac:dyDescent="0.2">
      <c r="A489" s="1">
        <v>2020</v>
      </c>
      <c r="B489" s="1" t="s">
        <v>488</v>
      </c>
      <c r="C489" s="2">
        <v>31544</v>
      </c>
      <c r="D489" s="8">
        <v>2.7229999999999998E-5</v>
      </c>
    </row>
    <row r="490" spans="1:4" x14ac:dyDescent="0.2">
      <c r="A490" s="1">
        <v>2020</v>
      </c>
      <c r="B490" s="1" t="s">
        <v>489</v>
      </c>
      <c r="C490" s="2">
        <v>12696</v>
      </c>
      <c r="D490" s="8">
        <v>1.096E-5</v>
      </c>
    </row>
    <row r="491" spans="1:4" x14ac:dyDescent="0.2">
      <c r="A491" s="1">
        <v>2020</v>
      </c>
      <c r="B491" s="1" t="s">
        <v>490</v>
      </c>
      <c r="C491" s="2">
        <v>1883</v>
      </c>
      <c r="D491" s="8">
        <v>1.6199999999999999E-6</v>
      </c>
    </row>
    <row r="492" spans="1:4" x14ac:dyDescent="0.2">
      <c r="A492" s="1">
        <v>2020</v>
      </c>
      <c r="B492" s="1" t="s">
        <v>491</v>
      </c>
      <c r="C492" s="2">
        <v>262226</v>
      </c>
      <c r="D492" s="8">
        <v>2.2633000000000001E-4</v>
      </c>
    </row>
    <row r="493" spans="1:4" x14ac:dyDescent="0.2">
      <c r="A493" s="1">
        <v>2020</v>
      </c>
      <c r="B493" s="1" t="s">
        <v>492</v>
      </c>
      <c r="C493" s="2">
        <v>86134</v>
      </c>
      <c r="D493" s="8">
        <v>7.4339999999999996E-5</v>
      </c>
    </row>
    <row r="494" spans="1:4" x14ac:dyDescent="0.2">
      <c r="A494" s="1">
        <v>2020</v>
      </c>
      <c r="B494" s="1" t="s">
        <v>493</v>
      </c>
      <c r="C494" s="2">
        <v>129005</v>
      </c>
      <c r="D494" s="8">
        <v>1.1134E-4</v>
      </c>
    </row>
    <row r="495" spans="1:4" x14ac:dyDescent="0.2">
      <c r="A495" s="1">
        <v>2020</v>
      </c>
      <c r="B495" s="1" t="s">
        <v>494</v>
      </c>
      <c r="C495" s="2">
        <v>39276</v>
      </c>
      <c r="D495" s="8">
        <v>3.3899999999999997E-5</v>
      </c>
    </row>
    <row r="496" spans="1:4" x14ac:dyDescent="0.2">
      <c r="A496" s="1">
        <v>2020</v>
      </c>
      <c r="B496" s="1" t="s">
        <v>495</v>
      </c>
      <c r="C496" s="2">
        <v>2222165</v>
      </c>
      <c r="D496" s="8">
        <v>1.91793E-3</v>
      </c>
    </row>
    <row r="497" spans="1:4" x14ac:dyDescent="0.2">
      <c r="A497" s="1">
        <v>2020</v>
      </c>
      <c r="B497" s="1" t="s">
        <v>497</v>
      </c>
      <c r="C497" s="2">
        <v>1244857</v>
      </c>
      <c r="D497" s="8">
        <v>1.0744299999999999E-3</v>
      </c>
    </row>
    <row r="498" spans="1:4" x14ac:dyDescent="0.2">
      <c r="A498" s="1">
        <v>2020</v>
      </c>
      <c r="B498" s="1" t="s">
        <v>498</v>
      </c>
      <c r="C498" s="2">
        <v>20669628</v>
      </c>
      <c r="D498" s="8">
        <v>1.7839799999999999E-2</v>
      </c>
    </row>
    <row r="499" spans="1:4" x14ac:dyDescent="0.2">
      <c r="A499" s="1">
        <v>2020</v>
      </c>
      <c r="B499" s="1" t="s">
        <v>499</v>
      </c>
      <c r="C499" s="2">
        <v>1970820</v>
      </c>
      <c r="D499" s="8">
        <v>1.701E-3</v>
      </c>
    </row>
    <row r="500" spans="1:4" x14ac:dyDescent="0.2">
      <c r="A500" s="1">
        <v>2020</v>
      </c>
      <c r="B500" s="1" t="s">
        <v>500</v>
      </c>
      <c r="C500" s="2">
        <v>986632</v>
      </c>
      <c r="D500" s="8">
        <v>8.5156000000000001E-4</v>
      </c>
    </row>
    <row r="501" spans="1:4" x14ac:dyDescent="0.2">
      <c r="A501" s="1">
        <v>2020</v>
      </c>
      <c r="B501" s="1" t="s">
        <v>501</v>
      </c>
      <c r="C501" s="2">
        <v>6780156</v>
      </c>
      <c r="D501" s="8">
        <v>5.8519000000000002E-3</v>
      </c>
    </row>
    <row r="502" spans="1:4" x14ac:dyDescent="0.2">
      <c r="A502" s="1">
        <v>2020</v>
      </c>
      <c r="B502" s="1" t="s">
        <v>502</v>
      </c>
      <c r="C502" s="2">
        <v>162598</v>
      </c>
      <c r="D502" s="8">
        <v>1.4034E-4</v>
      </c>
    </row>
    <row r="503" spans="1:4" x14ac:dyDescent="0.2">
      <c r="A503" s="1">
        <v>2020</v>
      </c>
      <c r="B503" s="1" t="s">
        <v>503</v>
      </c>
      <c r="C503" s="2">
        <v>4284817</v>
      </c>
      <c r="D503" s="8">
        <v>3.6981900000000001E-3</v>
      </c>
    </row>
    <row r="504" spans="1:4" x14ac:dyDescent="0.2">
      <c r="A504" s="1">
        <v>2020</v>
      </c>
      <c r="B504" s="1" t="s">
        <v>504</v>
      </c>
      <c r="C504" s="2">
        <v>289925</v>
      </c>
      <c r="D504" s="8">
        <v>2.5022999999999999E-4</v>
      </c>
    </row>
    <row r="505" spans="1:4" x14ac:dyDescent="0.2">
      <c r="A505" s="1">
        <v>2020</v>
      </c>
      <c r="B505" s="1" t="s">
        <v>505</v>
      </c>
      <c r="C505" s="2">
        <v>1330610</v>
      </c>
      <c r="D505" s="8">
        <v>1.1484399999999999E-3</v>
      </c>
    </row>
    <row r="506" spans="1:4" x14ac:dyDescent="0.2">
      <c r="A506" s="1">
        <v>2020</v>
      </c>
      <c r="B506" s="1" t="s">
        <v>911</v>
      </c>
      <c r="C506" s="2">
        <v>218247</v>
      </c>
      <c r="D506" s="8">
        <v>1.8836999999999999E-4</v>
      </c>
    </row>
    <row r="507" spans="1:4" x14ac:dyDescent="0.2">
      <c r="A507" s="1">
        <v>2020</v>
      </c>
      <c r="B507" s="1" t="s">
        <v>906</v>
      </c>
      <c r="C507" s="2">
        <v>25814</v>
      </c>
      <c r="D507" s="8">
        <v>2.228E-5</v>
      </c>
    </row>
    <row r="508" spans="1:4" x14ac:dyDescent="0.2">
      <c r="A508" s="1">
        <v>2020</v>
      </c>
      <c r="B508" s="1" t="s">
        <v>507</v>
      </c>
      <c r="C508" s="2">
        <v>152834</v>
      </c>
      <c r="D508" s="8">
        <v>1.3191E-4</v>
      </c>
    </row>
    <row r="509" spans="1:4" x14ac:dyDescent="0.2">
      <c r="A509" s="1">
        <v>2020</v>
      </c>
      <c r="B509" s="1" t="s">
        <v>508</v>
      </c>
      <c r="C509" s="2">
        <v>394367</v>
      </c>
      <c r="D509" s="8">
        <v>3.4037E-4</v>
      </c>
    </row>
    <row r="510" spans="1:4" x14ac:dyDescent="0.2">
      <c r="A510" s="1">
        <v>2020</v>
      </c>
      <c r="B510" s="1" t="s">
        <v>509</v>
      </c>
      <c r="C510" s="2">
        <v>204351</v>
      </c>
      <c r="D510" s="8">
        <v>1.7636999999999999E-4</v>
      </c>
    </row>
    <row r="511" spans="1:4" x14ac:dyDescent="0.2">
      <c r="A511" s="1">
        <v>2020</v>
      </c>
      <c r="B511" s="1" t="s">
        <v>510</v>
      </c>
      <c r="C511" s="2">
        <v>219232</v>
      </c>
      <c r="D511" s="8">
        <v>1.8922000000000001E-4</v>
      </c>
    </row>
    <row r="512" spans="1:4" x14ac:dyDescent="0.2">
      <c r="A512" s="1">
        <v>2020</v>
      </c>
      <c r="B512" s="1" t="s">
        <v>511</v>
      </c>
      <c r="C512" s="2">
        <v>585065</v>
      </c>
      <c r="D512" s="8">
        <v>5.0496999999999998E-4</v>
      </c>
    </row>
    <row r="513" spans="1:4" x14ac:dyDescent="0.2">
      <c r="A513" s="1">
        <v>2020</v>
      </c>
      <c r="B513" s="1" t="s">
        <v>513</v>
      </c>
      <c r="C513" s="2">
        <v>245737</v>
      </c>
      <c r="D513" s="8">
        <v>2.1209000000000001E-4</v>
      </c>
    </row>
    <row r="514" spans="1:4" x14ac:dyDescent="0.2">
      <c r="A514" s="1">
        <v>2020</v>
      </c>
      <c r="B514" s="1" t="s">
        <v>514</v>
      </c>
      <c r="C514" s="2">
        <v>128603</v>
      </c>
      <c r="D514" s="8">
        <v>1.11E-4</v>
      </c>
    </row>
    <row r="515" spans="1:4" x14ac:dyDescent="0.2">
      <c r="A515" s="1">
        <v>2020</v>
      </c>
      <c r="B515" s="1" t="s">
        <v>515</v>
      </c>
      <c r="C515" s="2">
        <v>427010</v>
      </c>
      <c r="D515" s="8">
        <v>3.6854999999999999E-4</v>
      </c>
    </row>
    <row r="516" spans="1:4" x14ac:dyDescent="0.2">
      <c r="A516" s="1">
        <v>2020</v>
      </c>
      <c r="B516" s="1" t="s">
        <v>516</v>
      </c>
      <c r="C516" s="2">
        <v>2633194</v>
      </c>
      <c r="D516" s="8">
        <v>2.27269E-3</v>
      </c>
    </row>
    <row r="517" spans="1:4" x14ac:dyDescent="0.2">
      <c r="A517" s="1">
        <v>2020</v>
      </c>
      <c r="B517" s="1" t="s">
        <v>517</v>
      </c>
      <c r="C517" s="2">
        <v>2854886</v>
      </c>
      <c r="D517" s="8">
        <v>2.4640299999999999E-3</v>
      </c>
    </row>
    <row r="518" spans="1:4" x14ac:dyDescent="0.2">
      <c r="A518" s="1">
        <v>2020</v>
      </c>
      <c r="B518" s="1" t="s">
        <v>518</v>
      </c>
      <c r="C518" s="2">
        <v>26429</v>
      </c>
      <c r="D518" s="8">
        <v>2.281E-5</v>
      </c>
    </row>
    <row r="519" spans="1:4" x14ac:dyDescent="0.2">
      <c r="A519" s="1">
        <v>2020</v>
      </c>
      <c r="B519" s="1" t="s">
        <v>519</v>
      </c>
      <c r="C519" s="2">
        <v>127215</v>
      </c>
      <c r="D519" s="8">
        <v>1.098E-4</v>
      </c>
    </row>
    <row r="520" spans="1:4" x14ac:dyDescent="0.2">
      <c r="A520" s="1">
        <v>2020</v>
      </c>
      <c r="B520" s="1" t="s">
        <v>520</v>
      </c>
      <c r="C520" s="2">
        <v>28102</v>
      </c>
      <c r="D520" s="8">
        <v>2.425E-5</v>
      </c>
    </row>
    <row r="521" spans="1:4" x14ac:dyDescent="0.2">
      <c r="A521" s="1">
        <v>2020</v>
      </c>
      <c r="B521" s="1" t="s">
        <v>521</v>
      </c>
      <c r="C521" s="2">
        <v>1143008</v>
      </c>
      <c r="D521" s="8">
        <v>9.8652000000000006E-4</v>
      </c>
    </row>
    <row r="522" spans="1:4" x14ac:dyDescent="0.2">
      <c r="A522" s="1">
        <v>2020</v>
      </c>
      <c r="B522" s="1" t="s">
        <v>523</v>
      </c>
      <c r="C522" s="2">
        <v>102731</v>
      </c>
      <c r="D522" s="8">
        <v>8.8670000000000003E-5</v>
      </c>
    </row>
    <row r="523" spans="1:4" x14ac:dyDescent="0.2">
      <c r="A523" s="1">
        <v>2020</v>
      </c>
      <c r="B523" s="1" t="s">
        <v>524</v>
      </c>
      <c r="C523" s="2">
        <v>354754</v>
      </c>
      <c r="D523" s="8">
        <v>3.0619000000000002E-4</v>
      </c>
    </row>
    <row r="524" spans="1:4" x14ac:dyDescent="0.2">
      <c r="A524" s="1">
        <v>2020</v>
      </c>
      <c r="B524" s="1" t="s">
        <v>525</v>
      </c>
      <c r="C524" s="2">
        <v>136364</v>
      </c>
      <c r="D524" s="8">
        <v>1.1769000000000001E-4</v>
      </c>
    </row>
    <row r="525" spans="1:4" x14ac:dyDescent="0.2">
      <c r="A525" s="1">
        <v>2020</v>
      </c>
      <c r="B525" s="1" t="s">
        <v>526</v>
      </c>
      <c r="C525" s="2">
        <v>3751998</v>
      </c>
      <c r="D525" s="8">
        <v>3.2383199999999998E-3</v>
      </c>
    </row>
    <row r="526" spans="1:4" x14ac:dyDescent="0.2">
      <c r="A526" s="1">
        <v>2020</v>
      </c>
      <c r="B526" s="1" t="s">
        <v>527</v>
      </c>
      <c r="C526" s="2">
        <v>11391</v>
      </c>
      <c r="D526" s="8">
        <v>9.8300000000000008E-6</v>
      </c>
    </row>
    <row r="527" spans="1:4" x14ac:dyDescent="0.2">
      <c r="A527" s="1">
        <v>2020</v>
      </c>
      <c r="B527" s="1" t="s">
        <v>528</v>
      </c>
      <c r="C527" s="2">
        <v>2600888</v>
      </c>
      <c r="D527" s="8">
        <v>2.2448099999999999E-3</v>
      </c>
    </row>
    <row r="528" spans="1:4" x14ac:dyDescent="0.2">
      <c r="A528" s="1">
        <v>2020</v>
      </c>
      <c r="B528" s="1" t="s">
        <v>529</v>
      </c>
      <c r="C528" s="2">
        <v>725837</v>
      </c>
      <c r="D528" s="8">
        <v>6.2646000000000002E-4</v>
      </c>
    </row>
    <row r="529" spans="1:4" x14ac:dyDescent="0.2">
      <c r="A529" s="1">
        <v>2020</v>
      </c>
      <c r="B529" s="1" t="s">
        <v>530</v>
      </c>
      <c r="C529" s="2">
        <v>27654</v>
      </c>
      <c r="D529" s="8">
        <v>2.387E-5</v>
      </c>
    </row>
    <row r="530" spans="1:4" x14ac:dyDescent="0.2">
      <c r="A530" s="1">
        <v>2020</v>
      </c>
      <c r="B530" s="1" t="s">
        <v>531</v>
      </c>
      <c r="C530" s="2">
        <v>5331</v>
      </c>
      <c r="D530" s="8">
        <v>4.6E-6</v>
      </c>
    </row>
    <row r="531" spans="1:4" x14ac:dyDescent="0.2">
      <c r="A531" s="1">
        <v>2020</v>
      </c>
      <c r="B531" s="1" t="s">
        <v>532</v>
      </c>
      <c r="C531" s="2">
        <v>1064061</v>
      </c>
      <c r="D531" s="8">
        <v>9.1838E-4</v>
      </c>
    </row>
    <row r="532" spans="1:4" x14ac:dyDescent="0.2">
      <c r="A532" s="1">
        <v>2020</v>
      </c>
      <c r="B532" s="1" t="s">
        <v>533</v>
      </c>
      <c r="C532" s="2">
        <v>93019</v>
      </c>
      <c r="D532" s="8">
        <v>8.0279999999999997E-5</v>
      </c>
    </row>
    <row r="533" spans="1:4" x14ac:dyDescent="0.2">
      <c r="A533" s="1">
        <v>2020</v>
      </c>
      <c r="B533" s="1" t="s">
        <v>534</v>
      </c>
      <c r="C533" s="2">
        <v>682040</v>
      </c>
      <c r="D533" s="8">
        <v>5.8865999999999996E-4</v>
      </c>
    </row>
    <row r="534" spans="1:4" x14ac:dyDescent="0.2">
      <c r="A534" s="1">
        <v>2020</v>
      </c>
      <c r="B534" s="1" t="s">
        <v>535</v>
      </c>
      <c r="C534" s="2">
        <v>672992</v>
      </c>
      <c r="D534" s="8">
        <v>5.8085000000000005E-4</v>
      </c>
    </row>
    <row r="535" spans="1:4" x14ac:dyDescent="0.2">
      <c r="A535" s="1">
        <v>2020</v>
      </c>
      <c r="B535" s="1" t="s">
        <v>536</v>
      </c>
      <c r="C535" s="2">
        <v>2059700</v>
      </c>
      <c r="D535" s="8">
        <v>1.7777100000000001E-3</v>
      </c>
    </row>
    <row r="536" spans="1:4" x14ac:dyDescent="0.2">
      <c r="A536" s="1">
        <v>2020</v>
      </c>
      <c r="B536" s="1" t="s">
        <v>537</v>
      </c>
      <c r="C536" s="2">
        <v>39258</v>
      </c>
      <c r="D536" s="8">
        <v>3.3880000000000001E-5</v>
      </c>
    </row>
    <row r="537" spans="1:4" x14ac:dyDescent="0.2">
      <c r="A537" s="1">
        <v>2020</v>
      </c>
      <c r="B537" s="1" t="s">
        <v>538</v>
      </c>
      <c r="C537" s="2">
        <v>27676</v>
      </c>
      <c r="D537" s="8">
        <v>2.389E-5</v>
      </c>
    </row>
    <row r="538" spans="1:4" x14ac:dyDescent="0.2">
      <c r="A538" s="1">
        <v>2020</v>
      </c>
      <c r="B538" s="1" t="s">
        <v>539</v>
      </c>
      <c r="C538" s="2">
        <v>238851</v>
      </c>
      <c r="D538" s="8">
        <v>2.0615E-4</v>
      </c>
    </row>
    <row r="539" spans="1:4" x14ac:dyDescent="0.2">
      <c r="A539" s="1">
        <v>2020</v>
      </c>
      <c r="B539" s="1" t="s">
        <v>540</v>
      </c>
      <c r="C539" s="2">
        <v>1737594</v>
      </c>
      <c r="D539" s="8">
        <v>1.4997000000000001E-3</v>
      </c>
    </row>
    <row r="540" spans="1:4" x14ac:dyDescent="0.2">
      <c r="A540" s="1">
        <v>2020</v>
      </c>
      <c r="B540" s="1" t="s">
        <v>541</v>
      </c>
      <c r="C540" s="2">
        <v>629921</v>
      </c>
      <c r="D540" s="8">
        <v>5.4368000000000005E-4</v>
      </c>
    </row>
    <row r="541" spans="1:4" x14ac:dyDescent="0.2">
      <c r="A541" s="1">
        <v>2020</v>
      </c>
      <c r="B541" s="1" t="s">
        <v>542</v>
      </c>
      <c r="C541" s="2">
        <v>2128</v>
      </c>
      <c r="D541" s="8">
        <v>1.84E-6</v>
      </c>
    </row>
    <row r="542" spans="1:4" x14ac:dyDescent="0.2">
      <c r="A542" s="1">
        <v>2020</v>
      </c>
      <c r="B542" s="1" t="s">
        <v>543</v>
      </c>
      <c r="C542" s="2">
        <v>977082</v>
      </c>
      <c r="D542" s="8">
        <v>8.4331E-4</v>
      </c>
    </row>
    <row r="543" spans="1:4" x14ac:dyDescent="0.2">
      <c r="A543" s="1">
        <v>2020</v>
      </c>
      <c r="B543" s="1" t="s">
        <v>544</v>
      </c>
      <c r="C543" s="2">
        <v>9252</v>
      </c>
      <c r="D543" s="8">
        <v>7.9899999999999997E-6</v>
      </c>
    </row>
    <row r="544" spans="1:4" x14ac:dyDescent="0.2">
      <c r="A544" s="1">
        <v>2020</v>
      </c>
      <c r="B544" s="1" t="s">
        <v>545</v>
      </c>
      <c r="C544" s="2">
        <v>982024</v>
      </c>
      <c r="D544" s="8">
        <v>8.4758000000000001E-4</v>
      </c>
    </row>
    <row r="545" spans="1:4" x14ac:dyDescent="0.2">
      <c r="A545" s="1">
        <v>2020</v>
      </c>
      <c r="B545" s="1" t="s">
        <v>546</v>
      </c>
      <c r="C545" s="2">
        <v>5441869</v>
      </c>
      <c r="D545" s="8">
        <v>4.6968399999999999E-3</v>
      </c>
    </row>
    <row r="546" spans="1:4" x14ac:dyDescent="0.2">
      <c r="A546" s="1">
        <v>2020</v>
      </c>
      <c r="B546" s="1" t="s">
        <v>547</v>
      </c>
      <c r="C546" s="2">
        <v>1467447</v>
      </c>
      <c r="D546" s="8">
        <v>1.26654E-3</v>
      </c>
    </row>
    <row r="547" spans="1:4" x14ac:dyDescent="0.2">
      <c r="A547" s="1">
        <v>2020</v>
      </c>
      <c r="B547" s="1" t="s">
        <v>548</v>
      </c>
      <c r="C547" s="2">
        <v>1974471</v>
      </c>
      <c r="D547" s="8">
        <v>1.70415E-3</v>
      </c>
    </row>
    <row r="548" spans="1:4" x14ac:dyDescent="0.2">
      <c r="A548" s="1">
        <v>2020</v>
      </c>
      <c r="B548" s="1" t="s">
        <v>549</v>
      </c>
      <c r="C548" s="2">
        <v>3972995</v>
      </c>
      <c r="D548" s="8">
        <v>3.4290599999999998E-3</v>
      </c>
    </row>
    <row r="549" spans="1:4" x14ac:dyDescent="0.2">
      <c r="A549" s="1">
        <v>2020</v>
      </c>
      <c r="B549" s="1" t="s">
        <v>550</v>
      </c>
      <c r="C549" s="2">
        <v>1121259</v>
      </c>
      <c r="D549" s="8">
        <v>9.6774999999999997E-4</v>
      </c>
    </row>
    <row r="550" spans="1:4" x14ac:dyDescent="0.2">
      <c r="A550" s="1">
        <v>2020</v>
      </c>
      <c r="B550" s="1" t="s">
        <v>551</v>
      </c>
      <c r="C550" s="2">
        <v>1679493</v>
      </c>
      <c r="D550" s="8">
        <v>1.4495599999999999E-3</v>
      </c>
    </row>
    <row r="551" spans="1:4" x14ac:dyDescent="0.2">
      <c r="A551" s="1">
        <v>2020</v>
      </c>
      <c r="B551" s="1" t="s">
        <v>552</v>
      </c>
      <c r="C551" s="2">
        <v>66194</v>
      </c>
      <c r="D551" s="8">
        <v>5.7129999999999997E-5</v>
      </c>
    </row>
    <row r="552" spans="1:4" x14ac:dyDescent="0.2">
      <c r="A552" s="1">
        <v>2020</v>
      </c>
      <c r="B552" s="1" t="s">
        <v>553</v>
      </c>
      <c r="C552" s="2">
        <v>2854717</v>
      </c>
      <c r="D552" s="8">
        <v>2.4638899999999998E-3</v>
      </c>
    </row>
    <row r="553" spans="1:4" x14ac:dyDescent="0.2">
      <c r="A553" s="1">
        <v>2020</v>
      </c>
      <c r="B553" s="1" t="s">
        <v>554</v>
      </c>
      <c r="C553" s="2">
        <v>66523</v>
      </c>
      <c r="D553" s="8">
        <v>5.7420000000000003E-5</v>
      </c>
    </row>
    <row r="554" spans="1:4" x14ac:dyDescent="0.2">
      <c r="A554" s="1">
        <v>2020</v>
      </c>
      <c r="B554" s="1" t="s">
        <v>555</v>
      </c>
      <c r="C554" s="2">
        <v>5111616</v>
      </c>
      <c r="D554" s="8">
        <v>4.4117999999999996E-3</v>
      </c>
    </row>
    <row r="555" spans="1:4" x14ac:dyDescent="0.2">
      <c r="A555" s="1">
        <v>2020</v>
      </c>
      <c r="B555" s="1" t="s">
        <v>556</v>
      </c>
      <c r="C555" s="2">
        <v>35282</v>
      </c>
      <c r="D555" s="8">
        <v>3.0450000000000002E-5</v>
      </c>
    </row>
    <row r="556" spans="1:4" x14ac:dyDescent="0.2">
      <c r="A556" s="1">
        <v>2020</v>
      </c>
      <c r="B556" s="1" t="s">
        <v>557</v>
      </c>
      <c r="C556" s="2">
        <v>1310745</v>
      </c>
      <c r="D556" s="8">
        <v>1.1312900000000001E-3</v>
      </c>
    </row>
    <row r="557" spans="1:4" x14ac:dyDescent="0.2">
      <c r="A557" s="1">
        <v>2020</v>
      </c>
      <c r="B557" s="1" t="s">
        <v>558</v>
      </c>
      <c r="C557" s="2">
        <v>396148</v>
      </c>
      <c r="D557" s="8">
        <v>3.4191000000000001E-4</v>
      </c>
    </row>
    <row r="558" spans="1:4" x14ac:dyDescent="0.2">
      <c r="A558" s="1">
        <v>2020</v>
      </c>
      <c r="B558" s="1" t="s">
        <v>559</v>
      </c>
      <c r="C558" s="2">
        <v>8468</v>
      </c>
      <c r="D558" s="8">
        <v>7.3100000000000003E-6</v>
      </c>
    </row>
    <row r="559" spans="1:4" x14ac:dyDescent="0.2">
      <c r="A559" s="1">
        <v>2020</v>
      </c>
      <c r="B559" s="1" t="s">
        <v>560</v>
      </c>
      <c r="C559" s="2">
        <v>51996</v>
      </c>
      <c r="D559" s="8">
        <v>4.4879999999999997E-5</v>
      </c>
    </row>
    <row r="560" spans="1:4" x14ac:dyDescent="0.2">
      <c r="A560" s="1">
        <v>2020</v>
      </c>
      <c r="B560" s="1" t="s">
        <v>561</v>
      </c>
      <c r="C560" s="2">
        <v>16117</v>
      </c>
      <c r="D560" s="8">
        <v>1.3910000000000001E-5</v>
      </c>
    </row>
    <row r="561" spans="1:4" x14ac:dyDescent="0.2">
      <c r="A561" s="1">
        <v>2020</v>
      </c>
      <c r="B561" s="1" t="s">
        <v>562</v>
      </c>
      <c r="C561" s="2">
        <v>1212159</v>
      </c>
      <c r="D561" s="8">
        <v>1.0462099999999999E-3</v>
      </c>
    </row>
    <row r="562" spans="1:4" x14ac:dyDescent="0.2">
      <c r="A562" s="1">
        <v>2020</v>
      </c>
      <c r="B562" s="1" t="s">
        <v>563</v>
      </c>
      <c r="C562" s="2">
        <v>5456941</v>
      </c>
      <c r="D562" s="8">
        <v>4.7098499999999998E-3</v>
      </c>
    </row>
    <row r="563" spans="1:4" x14ac:dyDescent="0.2">
      <c r="A563" s="1">
        <v>2020</v>
      </c>
      <c r="B563" s="1" t="s">
        <v>565</v>
      </c>
      <c r="C563" s="2">
        <v>323347</v>
      </c>
      <c r="D563" s="8">
        <v>2.7908000000000002E-4</v>
      </c>
    </row>
    <row r="564" spans="1:4" x14ac:dyDescent="0.2">
      <c r="A564" s="1">
        <v>2020</v>
      </c>
      <c r="B564" s="1" t="s">
        <v>566</v>
      </c>
      <c r="C564" s="2">
        <v>228375</v>
      </c>
      <c r="D564" s="8">
        <v>1.9710999999999999E-4</v>
      </c>
    </row>
    <row r="565" spans="1:4" x14ac:dyDescent="0.2">
      <c r="A565" s="1">
        <v>2020</v>
      </c>
      <c r="B565" s="1" t="s">
        <v>567</v>
      </c>
      <c r="C565" s="2">
        <v>166047</v>
      </c>
      <c r="D565" s="8">
        <v>1.4331000000000001E-4</v>
      </c>
    </row>
    <row r="566" spans="1:4" x14ac:dyDescent="0.2">
      <c r="A566" s="1">
        <v>2020</v>
      </c>
      <c r="B566" s="1" t="s">
        <v>568</v>
      </c>
      <c r="C566" s="2">
        <v>183845</v>
      </c>
      <c r="D566" s="8">
        <v>1.5867E-4</v>
      </c>
    </row>
    <row r="567" spans="1:4" x14ac:dyDescent="0.2">
      <c r="A567" s="1">
        <v>2020</v>
      </c>
      <c r="B567" s="1" t="s">
        <v>569</v>
      </c>
      <c r="C567" s="2">
        <v>618934</v>
      </c>
      <c r="D567" s="8">
        <v>5.3419999999999997E-4</v>
      </c>
    </row>
    <row r="568" spans="1:4" x14ac:dyDescent="0.2">
      <c r="A568" s="1">
        <v>2020</v>
      </c>
      <c r="B568" s="1" t="s">
        <v>570</v>
      </c>
      <c r="C568" s="2">
        <v>1224162</v>
      </c>
      <c r="D568" s="8">
        <v>1.0565699999999999E-3</v>
      </c>
    </row>
    <row r="569" spans="1:4" x14ac:dyDescent="0.2">
      <c r="A569" s="1">
        <v>2020</v>
      </c>
      <c r="B569" s="1" t="s">
        <v>571</v>
      </c>
      <c r="C569" s="2">
        <v>36470</v>
      </c>
      <c r="D569" s="8">
        <v>3.1479999999999997E-5</v>
      </c>
    </row>
    <row r="570" spans="1:4" x14ac:dyDescent="0.2">
      <c r="A570" s="1">
        <v>2020</v>
      </c>
      <c r="B570" s="1" t="s">
        <v>572</v>
      </c>
      <c r="C570" s="2">
        <v>3816108</v>
      </c>
      <c r="D570" s="8">
        <v>3.2936599999999999E-3</v>
      </c>
    </row>
    <row r="571" spans="1:4" x14ac:dyDescent="0.2">
      <c r="A571" s="1">
        <v>2020</v>
      </c>
      <c r="B571" s="1" t="s">
        <v>573</v>
      </c>
      <c r="C571" s="2">
        <v>31850</v>
      </c>
      <c r="D571" s="8">
        <v>2.7489999999999999E-5</v>
      </c>
    </row>
    <row r="572" spans="1:4" x14ac:dyDescent="0.2">
      <c r="A572" s="1">
        <v>2020</v>
      </c>
      <c r="B572" s="1" t="s">
        <v>574</v>
      </c>
      <c r="C572" s="2">
        <v>2795601</v>
      </c>
      <c r="D572" s="8">
        <v>2.4128600000000002E-3</v>
      </c>
    </row>
    <row r="573" spans="1:4" x14ac:dyDescent="0.2">
      <c r="A573" s="1">
        <v>2020</v>
      </c>
      <c r="B573" s="1" t="s">
        <v>887</v>
      </c>
      <c r="C573" s="2">
        <v>525454</v>
      </c>
      <c r="D573" s="8">
        <v>4.5352000000000001E-4</v>
      </c>
    </row>
    <row r="574" spans="1:4" x14ac:dyDescent="0.2">
      <c r="A574" s="1">
        <v>2020</v>
      </c>
      <c r="B574" s="1" t="s">
        <v>576</v>
      </c>
      <c r="C574" s="2">
        <v>91130</v>
      </c>
      <c r="D574" s="8">
        <v>7.8650000000000001E-5</v>
      </c>
    </row>
    <row r="575" spans="1:4" x14ac:dyDescent="0.2">
      <c r="A575" s="1">
        <v>2020</v>
      </c>
      <c r="B575" s="1" t="s">
        <v>577</v>
      </c>
      <c r="C575" s="2">
        <v>4360237</v>
      </c>
      <c r="D575" s="8">
        <v>3.7632899999999999E-3</v>
      </c>
    </row>
    <row r="576" spans="1:4" x14ac:dyDescent="0.2">
      <c r="A576" s="1">
        <v>2020</v>
      </c>
      <c r="B576" s="1" t="s">
        <v>578</v>
      </c>
      <c r="C576" s="2">
        <v>38590</v>
      </c>
      <c r="D576" s="8">
        <v>3.3309999999999998E-5</v>
      </c>
    </row>
    <row r="577" spans="1:4" x14ac:dyDescent="0.2">
      <c r="A577" s="1">
        <v>2020</v>
      </c>
      <c r="B577" s="1" t="s">
        <v>580</v>
      </c>
      <c r="C577" s="2">
        <v>1415567</v>
      </c>
      <c r="D577" s="8">
        <v>1.2217700000000001E-3</v>
      </c>
    </row>
    <row r="578" spans="1:4" x14ac:dyDescent="0.2">
      <c r="A578" s="1">
        <v>2020</v>
      </c>
      <c r="B578" s="1" t="s">
        <v>581</v>
      </c>
      <c r="C578" s="2">
        <v>4473</v>
      </c>
      <c r="D578" s="8">
        <v>3.8600000000000003E-6</v>
      </c>
    </row>
    <row r="579" spans="1:4" x14ac:dyDescent="0.2">
      <c r="A579" s="1">
        <v>2020</v>
      </c>
      <c r="B579" s="1" t="s">
        <v>582</v>
      </c>
      <c r="C579" s="2">
        <v>1535153</v>
      </c>
      <c r="D579" s="8">
        <v>1.3249799999999999E-3</v>
      </c>
    </row>
    <row r="580" spans="1:4" x14ac:dyDescent="0.2">
      <c r="A580" s="1">
        <v>2020</v>
      </c>
      <c r="B580" s="1" t="s">
        <v>583</v>
      </c>
      <c r="C580" s="2">
        <v>9104440</v>
      </c>
      <c r="D580" s="8">
        <v>7.8579800000000005E-3</v>
      </c>
    </row>
    <row r="581" spans="1:4" x14ac:dyDescent="0.2">
      <c r="A581" s="1">
        <v>2020</v>
      </c>
      <c r="B581" s="1" t="s">
        <v>584</v>
      </c>
      <c r="C581" s="2">
        <v>524436</v>
      </c>
      <c r="D581" s="8">
        <v>4.5263999999999998E-4</v>
      </c>
    </row>
    <row r="582" spans="1:4" x14ac:dyDescent="0.2">
      <c r="A582" s="1">
        <v>2020</v>
      </c>
      <c r="B582" s="1" t="s">
        <v>585</v>
      </c>
      <c r="C582" s="2">
        <v>2127347</v>
      </c>
      <c r="D582" s="8">
        <v>1.8361E-3</v>
      </c>
    </row>
    <row r="583" spans="1:4" x14ac:dyDescent="0.2">
      <c r="A583" s="1">
        <v>2020</v>
      </c>
      <c r="B583" s="1" t="s">
        <v>586</v>
      </c>
      <c r="C583" s="2">
        <v>197957</v>
      </c>
      <c r="D583" s="8">
        <v>1.7086E-4</v>
      </c>
    </row>
    <row r="584" spans="1:4" x14ac:dyDescent="0.2">
      <c r="A584" s="1">
        <v>2020</v>
      </c>
      <c r="B584" s="1" t="s">
        <v>587</v>
      </c>
      <c r="C584" s="2">
        <v>1658077</v>
      </c>
      <c r="D584" s="8">
        <v>1.43107E-3</v>
      </c>
    </row>
    <row r="585" spans="1:4" x14ac:dyDescent="0.2">
      <c r="A585" s="1">
        <v>2020</v>
      </c>
      <c r="B585" s="1" t="s">
        <v>588</v>
      </c>
      <c r="C585" s="2">
        <v>3737118</v>
      </c>
      <c r="D585" s="8">
        <v>3.2254800000000002E-3</v>
      </c>
    </row>
    <row r="586" spans="1:4" x14ac:dyDescent="0.2">
      <c r="A586" s="1">
        <v>2020</v>
      </c>
      <c r="B586" s="1" t="s">
        <v>589</v>
      </c>
      <c r="C586" s="2">
        <v>2716132</v>
      </c>
      <c r="D586" s="8">
        <v>2.3442699999999999E-3</v>
      </c>
    </row>
    <row r="587" spans="1:4" x14ac:dyDescent="0.2">
      <c r="A587" s="1">
        <v>2020</v>
      </c>
      <c r="B587" s="1" t="s">
        <v>590</v>
      </c>
      <c r="C587" s="2">
        <v>1723875</v>
      </c>
      <c r="D587" s="8">
        <v>1.4878599999999999E-3</v>
      </c>
    </row>
    <row r="588" spans="1:4" x14ac:dyDescent="0.2">
      <c r="A588" s="1">
        <v>2020</v>
      </c>
      <c r="B588" s="1" t="s">
        <v>591</v>
      </c>
      <c r="C588" s="2">
        <v>50130</v>
      </c>
      <c r="D588" s="8">
        <v>4.3269999999999997E-5</v>
      </c>
    </row>
    <row r="589" spans="1:4" x14ac:dyDescent="0.2">
      <c r="A589" s="1">
        <v>2020</v>
      </c>
      <c r="B589" s="1" t="s">
        <v>592</v>
      </c>
      <c r="C589" s="2">
        <v>3657590</v>
      </c>
      <c r="D589" s="8">
        <v>3.1568400000000002E-3</v>
      </c>
    </row>
    <row r="590" spans="1:4" x14ac:dyDescent="0.2">
      <c r="A590" s="1">
        <v>2020</v>
      </c>
      <c r="B590" s="1" t="s">
        <v>594</v>
      </c>
      <c r="C590" s="2">
        <v>666552</v>
      </c>
      <c r="D590" s="8">
        <v>5.7530000000000005E-4</v>
      </c>
    </row>
    <row r="591" spans="1:4" x14ac:dyDescent="0.2">
      <c r="A591" s="1">
        <v>2020</v>
      </c>
      <c r="B591" s="1" t="s">
        <v>595</v>
      </c>
      <c r="C591" s="2">
        <v>85396</v>
      </c>
      <c r="D591" s="8">
        <v>7.3700000000000002E-5</v>
      </c>
    </row>
    <row r="592" spans="1:4" x14ac:dyDescent="0.2">
      <c r="A592" s="1">
        <v>2020</v>
      </c>
      <c r="B592" s="1" t="s">
        <v>596</v>
      </c>
      <c r="C592" s="2">
        <v>1218456</v>
      </c>
      <c r="D592" s="8">
        <v>1.05164E-3</v>
      </c>
    </row>
    <row r="593" spans="1:4" x14ac:dyDescent="0.2">
      <c r="A593" s="1">
        <v>2020</v>
      </c>
      <c r="B593" s="1" t="s">
        <v>597</v>
      </c>
      <c r="C593" s="2">
        <v>445721</v>
      </c>
      <c r="D593" s="8">
        <v>3.8470000000000003E-4</v>
      </c>
    </row>
    <row r="594" spans="1:4" x14ac:dyDescent="0.2">
      <c r="A594" s="1">
        <v>2020</v>
      </c>
      <c r="B594" s="1" t="s">
        <v>598</v>
      </c>
      <c r="C594" s="2">
        <v>721682</v>
      </c>
      <c r="D594" s="8">
        <v>6.2288000000000003E-4</v>
      </c>
    </row>
    <row r="595" spans="1:4" x14ac:dyDescent="0.2">
      <c r="A595" s="1">
        <v>2020</v>
      </c>
      <c r="B595" s="1" t="s">
        <v>599</v>
      </c>
      <c r="C595" s="2">
        <v>3855470</v>
      </c>
      <c r="D595" s="8">
        <v>3.3276299999999998E-3</v>
      </c>
    </row>
    <row r="596" spans="1:4" x14ac:dyDescent="0.2">
      <c r="A596" s="1">
        <v>2020</v>
      </c>
      <c r="B596" s="1" t="s">
        <v>600</v>
      </c>
      <c r="C596" s="2">
        <v>585967</v>
      </c>
      <c r="D596" s="8">
        <v>5.0573999999999997E-4</v>
      </c>
    </row>
    <row r="597" spans="1:4" x14ac:dyDescent="0.2">
      <c r="A597" s="1">
        <v>2020</v>
      </c>
      <c r="B597" s="1" t="s">
        <v>601</v>
      </c>
      <c r="C597" s="2">
        <v>855259</v>
      </c>
      <c r="D597" s="8">
        <v>7.3817000000000002E-4</v>
      </c>
    </row>
    <row r="598" spans="1:4" x14ac:dyDescent="0.2">
      <c r="A598" s="1">
        <v>2020</v>
      </c>
      <c r="B598" s="1" t="s">
        <v>602</v>
      </c>
      <c r="C598" s="2">
        <v>29689</v>
      </c>
      <c r="D598" s="8">
        <v>2.5619999999999999E-5</v>
      </c>
    </row>
    <row r="599" spans="1:4" x14ac:dyDescent="0.2">
      <c r="A599" s="1">
        <v>2020</v>
      </c>
      <c r="B599" s="1" t="s">
        <v>603</v>
      </c>
      <c r="C599" s="2">
        <v>1084168</v>
      </c>
      <c r="D599" s="8">
        <v>9.3574000000000001E-4</v>
      </c>
    </row>
    <row r="600" spans="1:4" x14ac:dyDescent="0.2">
      <c r="A600" s="1">
        <v>2020</v>
      </c>
      <c r="B600" s="1" t="s">
        <v>604</v>
      </c>
      <c r="C600" s="2">
        <v>105616</v>
      </c>
      <c r="D600" s="8">
        <v>9.1160000000000001E-5</v>
      </c>
    </row>
    <row r="601" spans="1:4" x14ac:dyDescent="0.2">
      <c r="A601" s="1">
        <v>2020</v>
      </c>
      <c r="B601" s="1" t="s">
        <v>605</v>
      </c>
      <c r="C601" s="2">
        <v>3719643</v>
      </c>
      <c r="D601" s="8">
        <v>3.2104E-3</v>
      </c>
    </row>
    <row r="602" spans="1:4" x14ac:dyDescent="0.2">
      <c r="A602" s="1">
        <v>2020</v>
      </c>
      <c r="B602" s="1" t="s">
        <v>606</v>
      </c>
      <c r="C602" s="2">
        <v>1326579</v>
      </c>
      <c r="D602" s="8">
        <v>1.14496E-3</v>
      </c>
    </row>
    <row r="603" spans="1:4" x14ac:dyDescent="0.2">
      <c r="A603" s="1">
        <v>2020</v>
      </c>
      <c r="B603" s="1" t="s">
        <v>607</v>
      </c>
      <c r="C603" s="2">
        <v>2991</v>
      </c>
      <c r="D603" s="8">
        <v>2.5799999999999999E-6</v>
      </c>
    </row>
    <row r="604" spans="1:4" x14ac:dyDescent="0.2">
      <c r="A604" s="1">
        <v>2020</v>
      </c>
      <c r="B604" s="1" t="s">
        <v>608</v>
      </c>
      <c r="C604" s="2">
        <v>72783</v>
      </c>
      <c r="D604" s="8">
        <v>6.2819999999999998E-5</v>
      </c>
    </row>
    <row r="605" spans="1:4" x14ac:dyDescent="0.2">
      <c r="A605" s="1">
        <v>2020</v>
      </c>
      <c r="B605" s="1" t="s">
        <v>609</v>
      </c>
      <c r="C605" s="2">
        <v>21948</v>
      </c>
      <c r="D605" s="8">
        <v>1.8940000000000002E-5</v>
      </c>
    </row>
    <row r="606" spans="1:4" x14ac:dyDescent="0.2">
      <c r="A606" s="1">
        <v>2020</v>
      </c>
      <c r="B606" s="1" t="s">
        <v>610</v>
      </c>
      <c r="C606" s="2">
        <v>22976</v>
      </c>
      <c r="D606" s="8">
        <v>1.9830000000000002E-5</v>
      </c>
    </row>
    <row r="607" spans="1:4" x14ac:dyDescent="0.2">
      <c r="A607" s="1">
        <v>2020</v>
      </c>
      <c r="B607" s="1" t="s">
        <v>611</v>
      </c>
      <c r="C607" s="2">
        <v>39061</v>
      </c>
      <c r="D607" s="8">
        <v>3.3710000000000001E-5</v>
      </c>
    </row>
    <row r="608" spans="1:4" x14ac:dyDescent="0.2">
      <c r="A608" s="1">
        <v>2020</v>
      </c>
      <c r="B608" s="1" t="s">
        <v>612</v>
      </c>
      <c r="C608" s="2">
        <v>669975</v>
      </c>
      <c r="D608" s="8">
        <v>5.7824999999999999E-4</v>
      </c>
    </row>
    <row r="609" spans="1:4" x14ac:dyDescent="0.2">
      <c r="A609" s="1">
        <v>2020</v>
      </c>
      <c r="B609" s="1" t="s">
        <v>613</v>
      </c>
      <c r="C609" s="2">
        <v>3043539</v>
      </c>
      <c r="D609" s="8">
        <v>2.62686E-3</v>
      </c>
    </row>
    <row r="610" spans="1:4" x14ac:dyDescent="0.2">
      <c r="A610" s="1">
        <v>2020</v>
      </c>
      <c r="B610" s="1" t="s">
        <v>614</v>
      </c>
      <c r="C610" s="2">
        <v>837655</v>
      </c>
      <c r="D610" s="8">
        <v>7.2296999999999997E-4</v>
      </c>
    </row>
    <row r="611" spans="1:4" x14ac:dyDescent="0.2">
      <c r="A611" s="1">
        <v>2020</v>
      </c>
      <c r="B611" s="1" t="s">
        <v>890</v>
      </c>
      <c r="C611" s="2">
        <v>5262</v>
      </c>
      <c r="D611" s="8">
        <v>4.5399999999999997E-6</v>
      </c>
    </row>
    <row r="612" spans="1:4" x14ac:dyDescent="0.2">
      <c r="A612" s="1">
        <v>2020</v>
      </c>
      <c r="B612" s="1" t="s">
        <v>615</v>
      </c>
      <c r="C612" s="2">
        <v>24707</v>
      </c>
      <c r="D612" s="8">
        <v>2.1319999999999999E-5</v>
      </c>
    </row>
    <row r="613" spans="1:4" x14ac:dyDescent="0.2">
      <c r="A613" s="1">
        <v>2020</v>
      </c>
      <c r="B613" s="1" t="s">
        <v>616</v>
      </c>
      <c r="C613" s="2">
        <v>2208544</v>
      </c>
      <c r="D613" s="8">
        <v>1.9061799999999999E-3</v>
      </c>
    </row>
    <row r="614" spans="1:4" x14ac:dyDescent="0.2">
      <c r="A614" s="1">
        <v>2020</v>
      </c>
      <c r="B614" s="1" t="s">
        <v>617</v>
      </c>
      <c r="C614" s="2">
        <v>183387</v>
      </c>
      <c r="D614" s="8">
        <v>1.5828000000000001E-4</v>
      </c>
    </row>
    <row r="615" spans="1:4" x14ac:dyDescent="0.2">
      <c r="A615" s="1">
        <v>2020</v>
      </c>
      <c r="B615" s="1" t="s">
        <v>618</v>
      </c>
      <c r="C615" s="2">
        <v>1853209</v>
      </c>
      <c r="D615" s="8">
        <v>1.5994900000000001E-3</v>
      </c>
    </row>
    <row r="616" spans="1:4" x14ac:dyDescent="0.2">
      <c r="A616" s="1">
        <v>2020</v>
      </c>
      <c r="B616" s="1" t="s">
        <v>619</v>
      </c>
      <c r="C616" s="2">
        <v>503589</v>
      </c>
      <c r="D616" s="8">
        <v>4.3464000000000003E-4</v>
      </c>
    </row>
    <row r="617" spans="1:4" x14ac:dyDescent="0.2">
      <c r="A617" s="1">
        <v>2020</v>
      </c>
      <c r="B617" s="1" t="s">
        <v>620</v>
      </c>
      <c r="C617" s="2">
        <v>152795</v>
      </c>
      <c r="D617" s="8">
        <v>1.3187999999999999E-4</v>
      </c>
    </row>
    <row r="618" spans="1:4" x14ac:dyDescent="0.2">
      <c r="A618" s="1">
        <v>2020</v>
      </c>
      <c r="B618" s="1" t="s">
        <v>621</v>
      </c>
      <c r="C618" s="2">
        <v>15654</v>
      </c>
      <c r="D618" s="8">
        <v>1.3509999999999999E-5</v>
      </c>
    </row>
    <row r="619" spans="1:4" x14ac:dyDescent="0.2">
      <c r="A619" s="1">
        <v>2020</v>
      </c>
      <c r="B619" s="1" t="s">
        <v>622</v>
      </c>
      <c r="C619" s="2">
        <v>2134716</v>
      </c>
      <c r="D619" s="8">
        <v>1.84246E-3</v>
      </c>
    </row>
    <row r="620" spans="1:4" x14ac:dyDescent="0.2">
      <c r="A620" s="1">
        <v>2020</v>
      </c>
      <c r="B620" s="1" t="s">
        <v>623</v>
      </c>
      <c r="C620" s="2">
        <v>651850</v>
      </c>
      <c r="D620" s="8">
        <v>5.6260999999999995E-4</v>
      </c>
    </row>
    <row r="621" spans="1:4" x14ac:dyDescent="0.2">
      <c r="A621" s="1">
        <v>2020</v>
      </c>
      <c r="B621" s="1" t="s">
        <v>891</v>
      </c>
      <c r="C621" s="2">
        <v>2382</v>
      </c>
      <c r="D621" s="8">
        <v>2.0600000000000002E-6</v>
      </c>
    </row>
    <row r="622" spans="1:4" x14ac:dyDescent="0.2">
      <c r="A622" s="1">
        <v>2020</v>
      </c>
      <c r="B622" s="1" t="s">
        <v>624</v>
      </c>
      <c r="C622" s="2">
        <v>93756</v>
      </c>
      <c r="D622" s="8">
        <v>8.0920000000000005E-5</v>
      </c>
    </row>
    <row r="623" spans="1:4" x14ac:dyDescent="0.2">
      <c r="A623" s="1">
        <v>2020</v>
      </c>
      <c r="B623" s="1" t="s">
        <v>625</v>
      </c>
      <c r="C623" s="2">
        <v>41980</v>
      </c>
      <c r="D623" s="8">
        <v>3.6229999999999997E-5</v>
      </c>
    </row>
    <row r="624" spans="1:4" x14ac:dyDescent="0.2">
      <c r="A624" s="1">
        <v>2020</v>
      </c>
      <c r="B624" s="1" t="s">
        <v>626</v>
      </c>
      <c r="C624" s="2">
        <v>54380</v>
      </c>
      <c r="D624" s="8">
        <v>4.6940000000000001E-5</v>
      </c>
    </row>
    <row r="625" spans="1:4" x14ac:dyDescent="0.2">
      <c r="A625" s="1">
        <v>2020</v>
      </c>
      <c r="B625" s="1" t="s">
        <v>627</v>
      </c>
      <c r="C625" s="2">
        <v>1364149</v>
      </c>
      <c r="D625" s="8">
        <v>1.1773899999999999E-3</v>
      </c>
    </row>
    <row r="626" spans="1:4" x14ac:dyDescent="0.2">
      <c r="A626" s="1">
        <v>2020</v>
      </c>
      <c r="B626" s="1" t="s">
        <v>628</v>
      </c>
      <c r="C626" s="2">
        <v>761086</v>
      </c>
      <c r="D626" s="8">
        <v>6.5689000000000003E-4</v>
      </c>
    </row>
    <row r="627" spans="1:4" x14ac:dyDescent="0.2">
      <c r="A627" s="1">
        <v>2020</v>
      </c>
      <c r="B627" s="1" t="s">
        <v>629</v>
      </c>
      <c r="C627" s="2">
        <v>15831</v>
      </c>
      <c r="D627" s="8">
        <v>1.366E-5</v>
      </c>
    </row>
    <row r="628" spans="1:4" x14ac:dyDescent="0.2">
      <c r="A628" s="1">
        <v>2020</v>
      </c>
      <c r="B628" s="1" t="s">
        <v>630</v>
      </c>
      <c r="C628" s="2">
        <v>179805</v>
      </c>
      <c r="D628" s="8">
        <v>1.5519000000000001E-4</v>
      </c>
    </row>
    <row r="629" spans="1:4" x14ac:dyDescent="0.2">
      <c r="A629" s="1">
        <v>2020</v>
      </c>
      <c r="B629" s="1" t="s">
        <v>631</v>
      </c>
      <c r="C629" s="2">
        <v>1163086</v>
      </c>
      <c r="D629" s="8">
        <v>1.0038499999999999E-3</v>
      </c>
    </row>
    <row r="630" spans="1:4" x14ac:dyDescent="0.2">
      <c r="A630" s="1">
        <v>2020</v>
      </c>
      <c r="B630" s="1" t="s">
        <v>632</v>
      </c>
      <c r="C630" s="2">
        <v>501935</v>
      </c>
      <c r="D630" s="8">
        <v>4.3322E-4</v>
      </c>
    </row>
    <row r="631" spans="1:4" x14ac:dyDescent="0.2">
      <c r="A631" s="1">
        <v>2020</v>
      </c>
      <c r="B631" s="1" t="s">
        <v>633</v>
      </c>
      <c r="C631" s="2">
        <v>1758561</v>
      </c>
      <c r="D631" s="8">
        <v>1.5177999999999999E-3</v>
      </c>
    </row>
    <row r="632" spans="1:4" x14ac:dyDescent="0.2">
      <c r="A632" s="1">
        <v>2020</v>
      </c>
      <c r="B632" s="1" t="s">
        <v>634</v>
      </c>
      <c r="C632" s="2">
        <v>45133</v>
      </c>
      <c r="D632" s="8">
        <v>3.8949999999999998E-5</v>
      </c>
    </row>
    <row r="633" spans="1:4" x14ac:dyDescent="0.2">
      <c r="A633" s="1">
        <v>2020</v>
      </c>
      <c r="B633" s="1" t="s">
        <v>635</v>
      </c>
      <c r="C633" s="2">
        <v>18154807</v>
      </c>
      <c r="D633" s="8">
        <v>1.5669280000000001E-2</v>
      </c>
    </row>
    <row r="634" spans="1:4" x14ac:dyDescent="0.2">
      <c r="A634" s="1">
        <v>2020</v>
      </c>
      <c r="B634" s="1" t="s">
        <v>636</v>
      </c>
      <c r="C634" s="2">
        <v>3622143</v>
      </c>
      <c r="D634" s="8">
        <v>3.1262400000000002E-3</v>
      </c>
    </row>
    <row r="635" spans="1:4" x14ac:dyDescent="0.2">
      <c r="A635" s="1">
        <v>2020</v>
      </c>
      <c r="B635" s="1" t="s">
        <v>892</v>
      </c>
      <c r="C635" s="2">
        <v>73649</v>
      </c>
      <c r="D635" s="8">
        <v>6.3570000000000003E-5</v>
      </c>
    </row>
    <row r="636" spans="1:4" x14ac:dyDescent="0.2">
      <c r="A636" s="1">
        <v>2020</v>
      </c>
      <c r="B636" s="1" t="s">
        <v>637</v>
      </c>
      <c r="C636" s="2">
        <v>24719</v>
      </c>
      <c r="D636" s="8">
        <v>2.1330000000000001E-5</v>
      </c>
    </row>
    <row r="637" spans="1:4" x14ac:dyDescent="0.2">
      <c r="A637" s="1">
        <v>2020</v>
      </c>
      <c r="B637" s="1" t="s">
        <v>638</v>
      </c>
      <c r="C637" s="2">
        <v>106907</v>
      </c>
      <c r="D637" s="8">
        <v>9.2269999999999996E-5</v>
      </c>
    </row>
    <row r="638" spans="1:4" x14ac:dyDescent="0.2">
      <c r="A638" s="1">
        <v>2020</v>
      </c>
      <c r="B638" s="1" t="s">
        <v>639</v>
      </c>
      <c r="C638" s="2">
        <v>115711</v>
      </c>
      <c r="D638" s="8">
        <v>9.9870000000000004E-5</v>
      </c>
    </row>
    <row r="639" spans="1:4" x14ac:dyDescent="0.2">
      <c r="A639" s="1">
        <v>2020</v>
      </c>
      <c r="B639" s="1" t="s">
        <v>640</v>
      </c>
      <c r="C639" s="2">
        <v>6318738</v>
      </c>
      <c r="D639" s="8">
        <v>5.4536599999999999E-3</v>
      </c>
    </row>
    <row r="640" spans="1:4" x14ac:dyDescent="0.2">
      <c r="A640" s="1">
        <v>2020</v>
      </c>
      <c r="B640" s="1" t="s">
        <v>641</v>
      </c>
      <c r="C640" s="2">
        <v>209222</v>
      </c>
      <c r="D640" s="8">
        <v>1.8058000000000001E-4</v>
      </c>
    </row>
    <row r="641" spans="1:4" x14ac:dyDescent="0.2">
      <c r="A641" s="1">
        <v>2020</v>
      </c>
      <c r="B641" s="1" t="s">
        <v>642</v>
      </c>
      <c r="C641" s="2">
        <v>962947</v>
      </c>
      <c r="D641" s="8">
        <v>8.3111000000000003E-4</v>
      </c>
    </row>
    <row r="642" spans="1:4" x14ac:dyDescent="0.2">
      <c r="A642" s="1">
        <v>2020</v>
      </c>
      <c r="B642" s="1" t="s">
        <v>643</v>
      </c>
      <c r="C642" s="2">
        <v>557825</v>
      </c>
      <c r="D642" s="8">
        <v>4.8145000000000002E-4</v>
      </c>
    </row>
    <row r="643" spans="1:4" x14ac:dyDescent="0.2">
      <c r="A643" s="1">
        <v>2020</v>
      </c>
      <c r="B643" s="1" t="s">
        <v>644</v>
      </c>
      <c r="C643" s="2">
        <v>55596</v>
      </c>
      <c r="D643" s="8">
        <v>4.7979999999999998E-5</v>
      </c>
    </row>
    <row r="644" spans="1:4" x14ac:dyDescent="0.2">
      <c r="A644" s="1">
        <v>2020</v>
      </c>
      <c r="B644" s="1" t="s">
        <v>645</v>
      </c>
      <c r="C644" s="2">
        <v>2024002</v>
      </c>
      <c r="D644" s="8">
        <v>1.7469E-3</v>
      </c>
    </row>
    <row r="645" spans="1:4" x14ac:dyDescent="0.2">
      <c r="A645" s="1">
        <v>2020</v>
      </c>
      <c r="B645" s="1" t="s">
        <v>646</v>
      </c>
      <c r="C645" s="2">
        <v>62625</v>
      </c>
      <c r="D645" s="8">
        <v>5.4049999999999999E-5</v>
      </c>
    </row>
    <row r="646" spans="1:4" x14ac:dyDescent="0.2">
      <c r="A646" s="1">
        <v>2020</v>
      </c>
      <c r="B646" s="1" t="s">
        <v>647</v>
      </c>
      <c r="C646" s="2">
        <v>305992</v>
      </c>
      <c r="D646" s="8">
        <v>2.6410000000000002E-4</v>
      </c>
    </row>
    <row r="647" spans="1:4" x14ac:dyDescent="0.2">
      <c r="A647" s="1">
        <v>2020</v>
      </c>
      <c r="B647" s="1" t="s">
        <v>648</v>
      </c>
      <c r="C647" s="2">
        <v>151275</v>
      </c>
      <c r="D647" s="8">
        <v>1.3056E-4</v>
      </c>
    </row>
    <row r="648" spans="1:4" x14ac:dyDescent="0.2">
      <c r="A648" s="1">
        <v>2020</v>
      </c>
      <c r="B648" s="1" t="s">
        <v>649</v>
      </c>
      <c r="C648" s="2">
        <v>53088</v>
      </c>
      <c r="D648" s="8">
        <v>4.5819999999999998E-5</v>
      </c>
    </row>
    <row r="649" spans="1:4" x14ac:dyDescent="0.2">
      <c r="A649" s="1">
        <v>2020</v>
      </c>
      <c r="B649" s="1" t="s">
        <v>650</v>
      </c>
      <c r="C649" s="2">
        <v>56450</v>
      </c>
      <c r="D649" s="8">
        <v>4.8720000000000001E-5</v>
      </c>
    </row>
    <row r="650" spans="1:4" x14ac:dyDescent="0.2">
      <c r="A650" s="1">
        <v>2020</v>
      </c>
      <c r="B650" s="1" t="s">
        <v>651</v>
      </c>
      <c r="C650" s="2">
        <v>17688</v>
      </c>
      <c r="D650" s="8">
        <v>1.5270000000000001E-5</v>
      </c>
    </row>
    <row r="651" spans="1:4" x14ac:dyDescent="0.2">
      <c r="A651" s="1">
        <v>2020</v>
      </c>
      <c r="B651" s="1" t="s">
        <v>652</v>
      </c>
      <c r="C651" s="2">
        <v>128892</v>
      </c>
      <c r="D651" s="8">
        <v>1.1124999999999999E-4</v>
      </c>
    </row>
    <row r="652" spans="1:4" x14ac:dyDescent="0.2">
      <c r="A652" s="1">
        <v>2020</v>
      </c>
      <c r="B652" s="1" t="s">
        <v>653</v>
      </c>
      <c r="C652" s="2">
        <v>13311</v>
      </c>
      <c r="D652" s="8">
        <v>1.149E-5</v>
      </c>
    </row>
    <row r="653" spans="1:4" x14ac:dyDescent="0.2">
      <c r="A653" s="1">
        <v>2020</v>
      </c>
      <c r="B653" s="1" t="s">
        <v>654</v>
      </c>
      <c r="C653" s="2">
        <v>234898</v>
      </c>
      <c r="D653" s="8">
        <v>2.0274E-4</v>
      </c>
    </row>
    <row r="654" spans="1:4" x14ac:dyDescent="0.2">
      <c r="A654" s="1">
        <v>2020</v>
      </c>
      <c r="B654" s="1" t="s">
        <v>655</v>
      </c>
      <c r="C654" s="2">
        <v>105504</v>
      </c>
      <c r="D654" s="8">
        <v>9.1059999999999999E-5</v>
      </c>
    </row>
    <row r="655" spans="1:4" x14ac:dyDescent="0.2">
      <c r="A655" s="1">
        <v>2020</v>
      </c>
      <c r="B655" s="1" t="s">
        <v>656</v>
      </c>
      <c r="C655" s="2">
        <v>22996</v>
      </c>
      <c r="D655" s="8">
        <v>1.9850000000000001E-5</v>
      </c>
    </row>
    <row r="656" spans="1:4" x14ac:dyDescent="0.2">
      <c r="A656" s="1">
        <v>2020</v>
      </c>
      <c r="B656" s="1" t="s">
        <v>657</v>
      </c>
      <c r="C656" s="2">
        <v>50494</v>
      </c>
      <c r="D656" s="8">
        <v>4.3579999999999999E-5</v>
      </c>
    </row>
    <row r="657" spans="1:4" x14ac:dyDescent="0.2">
      <c r="A657" s="1">
        <v>2020</v>
      </c>
      <c r="B657" s="1" t="s">
        <v>658</v>
      </c>
      <c r="C657" s="2">
        <v>3544024</v>
      </c>
      <c r="D657" s="8">
        <v>3.0588199999999999E-3</v>
      </c>
    </row>
    <row r="658" spans="1:4" x14ac:dyDescent="0.2">
      <c r="A658" s="1">
        <v>2020</v>
      </c>
      <c r="B658" s="1" t="s">
        <v>659</v>
      </c>
      <c r="C658" s="2">
        <v>777972</v>
      </c>
      <c r="D658" s="8">
        <v>6.7146000000000003E-4</v>
      </c>
    </row>
    <row r="659" spans="1:4" x14ac:dyDescent="0.2">
      <c r="A659" s="1">
        <v>2020</v>
      </c>
      <c r="B659" s="1" t="s">
        <v>660</v>
      </c>
      <c r="C659" s="2">
        <v>15811</v>
      </c>
      <c r="D659" s="8">
        <v>1.365E-5</v>
      </c>
    </row>
    <row r="660" spans="1:4" x14ac:dyDescent="0.2">
      <c r="A660" s="1">
        <v>2020</v>
      </c>
      <c r="B660" s="1" t="s">
        <v>661</v>
      </c>
      <c r="C660" s="2">
        <v>18549</v>
      </c>
      <c r="D660" s="8">
        <v>1.6010000000000001E-5</v>
      </c>
    </row>
    <row r="661" spans="1:4" x14ac:dyDescent="0.2">
      <c r="A661" s="1">
        <v>2020</v>
      </c>
      <c r="B661" s="1" t="s">
        <v>662</v>
      </c>
      <c r="C661" s="2">
        <v>847635</v>
      </c>
      <c r="D661" s="8">
        <v>7.3158999999999995E-4</v>
      </c>
    </row>
    <row r="662" spans="1:4" x14ac:dyDescent="0.2">
      <c r="A662" s="1">
        <v>2020</v>
      </c>
      <c r="B662" s="1" t="s">
        <v>663</v>
      </c>
      <c r="C662" s="2">
        <v>13855</v>
      </c>
      <c r="D662" s="8">
        <v>1.1960000000000001E-5</v>
      </c>
    </row>
    <row r="663" spans="1:4" x14ac:dyDescent="0.2">
      <c r="A663" s="1">
        <v>2020</v>
      </c>
      <c r="B663" s="1" t="s">
        <v>664</v>
      </c>
      <c r="C663" s="2">
        <v>579260</v>
      </c>
      <c r="D663" s="8">
        <v>4.9996000000000003E-4</v>
      </c>
    </row>
    <row r="664" spans="1:4" x14ac:dyDescent="0.2">
      <c r="A664" s="1">
        <v>2020</v>
      </c>
      <c r="B664" s="1" t="s">
        <v>665</v>
      </c>
      <c r="C664" s="2">
        <v>40180</v>
      </c>
      <c r="D664" s="8">
        <v>3.468E-5</v>
      </c>
    </row>
    <row r="665" spans="1:4" x14ac:dyDescent="0.2">
      <c r="A665" s="1">
        <v>2020</v>
      </c>
      <c r="B665" s="1" t="s">
        <v>666</v>
      </c>
      <c r="C665" s="2">
        <v>1629979</v>
      </c>
      <c r="D665" s="8">
        <v>1.40682E-3</v>
      </c>
    </row>
    <row r="666" spans="1:4" x14ac:dyDescent="0.2">
      <c r="A666" s="1">
        <v>2020</v>
      </c>
      <c r="B666" s="1" t="s">
        <v>667</v>
      </c>
      <c r="C666" s="2">
        <v>69782</v>
      </c>
      <c r="D666" s="8">
        <v>6.0229999999999998E-5</v>
      </c>
    </row>
    <row r="667" spans="1:4" x14ac:dyDescent="0.2">
      <c r="A667" s="1">
        <v>2020</v>
      </c>
      <c r="B667" s="1" t="s">
        <v>668</v>
      </c>
      <c r="C667" s="2">
        <v>291125</v>
      </c>
      <c r="D667" s="8">
        <v>2.5127E-4</v>
      </c>
    </row>
    <row r="668" spans="1:4" x14ac:dyDescent="0.2">
      <c r="A668" s="1">
        <v>2020</v>
      </c>
      <c r="B668" s="1" t="s">
        <v>669</v>
      </c>
      <c r="C668" s="2">
        <v>15233</v>
      </c>
      <c r="D668" s="8">
        <v>1.3149999999999999E-5</v>
      </c>
    </row>
    <row r="669" spans="1:4" x14ac:dyDescent="0.2">
      <c r="A669" s="1">
        <v>2020</v>
      </c>
      <c r="B669" s="1" t="s">
        <v>670</v>
      </c>
      <c r="C669" s="2">
        <v>49614</v>
      </c>
      <c r="D669" s="8">
        <v>4.282E-5</v>
      </c>
    </row>
    <row r="670" spans="1:4" x14ac:dyDescent="0.2">
      <c r="A670" s="1">
        <v>2020</v>
      </c>
      <c r="B670" s="1" t="s">
        <v>671</v>
      </c>
      <c r="C670" s="2">
        <v>55673</v>
      </c>
      <c r="D670" s="8">
        <v>4.8050000000000002E-5</v>
      </c>
    </row>
    <row r="671" spans="1:4" x14ac:dyDescent="0.2">
      <c r="A671" s="1">
        <v>2020</v>
      </c>
      <c r="B671" s="1" t="s">
        <v>672</v>
      </c>
      <c r="C671" s="2">
        <v>7848</v>
      </c>
      <c r="D671" s="8">
        <v>6.7700000000000004E-6</v>
      </c>
    </row>
    <row r="672" spans="1:4" x14ac:dyDescent="0.2">
      <c r="A672" s="1">
        <v>2020</v>
      </c>
      <c r="B672" s="1" t="s">
        <v>673</v>
      </c>
      <c r="C672" s="2">
        <v>63959</v>
      </c>
      <c r="D672" s="8">
        <v>5.52E-5</v>
      </c>
    </row>
    <row r="673" spans="1:4" x14ac:dyDescent="0.2">
      <c r="A673" s="1">
        <v>2020</v>
      </c>
      <c r="B673" s="1" t="s">
        <v>674</v>
      </c>
      <c r="C673" s="2">
        <v>12968</v>
      </c>
      <c r="D673" s="8">
        <v>1.119E-5</v>
      </c>
    </row>
    <row r="674" spans="1:4" x14ac:dyDescent="0.2">
      <c r="A674" s="1">
        <v>2020</v>
      </c>
      <c r="B674" s="1" t="s">
        <v>675</v>
      </c>
      <c r="C674" s="2">
        <v>24000</v>
      </c>
      <c r="D674" s="8">
        <v>2.071E-5</v>
      </c>
    </row>
    <row r="675" spans="1:4" x14ac:dyDescent="0.2">
      <c r="A675" s="1">
        <v>2020</v>
      </c>
      <c r="B675" s="1" t="s">
        <v>676</v>
      </c>
      <c r="C675" s="2">
        <v>1201</v>
      </c>
      <c r="D675" s="8">
        <v>1.04E-6</v>
      </c>
    </row>
    <row r="676" spans="1:4" x14ac:dyDescent="0.2">
      <c r="A676" s="1">
        <v>2020</v>
      </c>
      <c r="B676" s="1" t="s">
        <v>677</v>
      </c>
      <c r="C676" s="2">
        <v>3259686</v>
      </c>
      <c r="D676" s="8">
        <v>2.8134100000000001E-3</v>
      </c>
    </row>
    <row r="677" spans="1:4" x14ac:dyDescent="0.2">
      <c r="A677" s="1">
        <v>2020</v>
      </c>
      <c r="B677" s="1" t="s">
        <v>678</v>
      </c>
      <c r="C677" s="2">
        <v>998494</v>
      </c>
      <c r="D677" s="8">
        <v>8.6178999999999997E-4</v>
      </c>
    </row>
    <row r="678" spans="1:4" x14ac:dyDescent="0.2">
      <c r="A678" s="1">
        <v>2020</v>
      </c>
      <c r="B678" s="1" t="s">
        <v>679</v>
      </c>
      <c r="C678" s="2">
        <v>5987</v>
      </c>
      <c r="D678" s="8">
        <v>5.1699999999999996E-6</v>
      </c>
    </row>
    <row r="679" spans="1:4" x14ac:dyDescent="0.2">
      <c r="A679" s="1">
        <v>2020</v>
      </c>
      <c r="B679" s="1" t="s">
        <v>680</v>
      </c>
      <c r="C679" s="2">
        <v>769433</v>
      </c>
      <c r="D679" s="8">
        <v>6.6408999999999999E-4</v>
      </c>
    </row>
    <row r="680" spans="1:4" x14ac:dyDescent="0.2">
      <c r="A680" s="1">
        <v>2020</v>
      </c>
      <c r="B680" s="1" t="s">
        <v>681</v>
      </c>
      <c r="C680" s="2">
        <v>4385</v>
      </c>
      <c r="D680" s="8">
        <v>3.7799999999999998E-6</v>
      </c>
    </row>
    <row r="681" spans="1:4" x14ac:dyDescent="0.2">
      <c r="A681" s="1">
        <v>2020</v>
      </c>
      <c r="B681" s="1" t="s">
        <v>682</v>
      </c>
      <c r="C681" s="2">
        <v>2257761</v>
      </c>
      <c r="D681" s="8">
        <v>1.9486600000000001E-3</v>
      </c>
    </row>
    <row r="682" spans="1:4" x14ac:dyDescent="0.2">
      <c r="A682" s="1">
        <v>2020</v>
      </c>
      <c r="B682" s="1" t="s">
        <v>683</v>
      </c>
      <c r="C682" s="2">
        <v>518561</v>
      </c>
      <c r="D682" s="8">
        <v>4.4757E-4</v>
      </c>
    </row>
    <row r="683" spans="1:4" x14ac:dyDescent="0.2">
      <c r="A683" s="1">
        <v>2020</v>
      </c>
      <c r="B683" s="1" t="s">
        <v>684</v>
      </c>
      <c r="C683" s="2">
        <v>38770</v>
      </c>
      <c r="D683" s="8">
        <v>3.3460000000000002E-5</v>
      </c>
    </row>
    <row r="684" spans="1:4" x14ac:dyDescent="0.2">
      <c r="A684" s="1">
        <v>2020</v>
      </c>
      <c r="B684" s="1" t="s">
        <v>685</v>
      </c>
      <c r="C684" s="2">
        <v>1481997</v>
      </c>
      <c r="D684" s="8">
        <v>1.2791E-3</v>
      </c>
    </row>
    <row r="685" spans="1:4" x14ac:dyDescent="0.2">
      <c r="A685" s="1">
        <v>2020</v>
      </c>
      <c r="B685" s="1" t="s">
        <v>686</v>
      </c>
      <c r="C685" s="2">
        <v>8289</v>
      </c>
      <c r="D685" s="8">
        <v>7.1500000000000002E-6</v>
      </c>
    </row>
    <row r="686" spans="1:4" x14ac:dyDescent="0.2">
      <c r="A686" s="1">
        <v>2020</v>
      </c>
      <c r="B686" s="1" t="s">
        <v>687</v>
      </c>
      <c r="C686" s="2">
        <v>183968</v>
      </c>
      <c r="D686" s="8">
        <v>1.5877999999999999E-4</v>
      </c>
    </row>
    <row r="687" spans="1:4" x14ac:dyDescent="0.2">
      <c r="A687" s="1">
        <v>2020</v>
      </c>
      <c r="B687" s="1" t="s">
        <v>688</v>
      </c>
      <c r="C687" s="2">
        <v>930268</v>
      </c>
      <c r="D687" s="8">
        <v>8.0291E-4</v>
      </c>
    </row>
    <row r="688" spans="1:4" x14ac:dyDescent="0.2">
      <c r="A688" s="1">
        <v>2020</v>
      </c>
      <c r="B688" s="1" t="s">
        <v>689</v>
      </c>
      <c r="C688" s="2">
        <v>187506</v>
      </c>
      <c r="D688" s="8">
        <v>1.6184000000000001E-4</v>
      </c>
    </row>
    <row r="689" spans="1:4" x14ac:dyDescent="0.2">
      <c r="A689" s="1">
        <v>2020</v>
      </c>
      <c r="B689" s="1" t="s">
        <v>690</v>
      </c>
      <c r="C689" s="2">
        <v>40023</v>
      </c>
      <c r="D689" s="8">
        <v>3.4539999999999998E-5</v>
      </c>
    </row>
    <row r="690" spans="1:4" x14ac:dyDescent="0.2">
      <c r="A690" s="1">
        <v>2020</v>
      </c>
      <c r="B690" s="1" t="s">
        <v>691</v>
      </c>
      <c r="C690" s="2">
        <v>37164</v>
      </c>
      <c r="D690" s="8">
        <v>3.2079999999999998E-5</v>
      </c>
    </row>
    <row r="691" spans="1:4" x14ac:dyDescent="0.2">
      <c r="A691" s="1">
        <v>2020</v>
      </c>
      <c r="B691" s="1" t="s">
        <v>692</v>
      </c>
      <c r="C691" s="2">
        <v>3941296</v>
      </c>
      <c r="D691" s="8">
        <v>3.4017000000000001E-3</v>
      </c>
    </row>
    <row r="692" spans="1:4" x14ac:dyDescent="0.2">
      <c r="A692" s="1">
        <v>2020</v>
      </c>
      <c r="B692" s="1" t="s">
        <v>693</v>
      </c>
      <c r="C692" s="2">
        <v>1730517</v>
      </c>
      <c r="D692" s="8">
        <v>1.4936000000000001E-3</v>
      </c>
    </row>
    <row r="693" spans="1:4" x14ac:dyDescent="0.2">
      <c r="A693" s="1">
        <v>2020</v>
      </c>
      <c r="B693" s="1" t="s">
        <v>694</v>
      </c>
      <c r="C693" s="2">
        <v>2643063</v>
      </c>
      <c r="D693" s="8">
        <v>2.2812100000000001E-3</v>
      </c>
    </row>
    <row r="694" spans="1:4" x14ac:dyDescent="0.2">
      <c r="A694" s="1">
        <v>2020</v>
      </c>
      <c r="B694" s="1" t="s">
        <v>695</v>
      </c>
      <c r="C694" s="2">
        <v>4105736</v>
      </c>
      <c r="D694" s="8">
        <v>3.5436299999999999E-3</v>
      </c>
    </row>
    <row r="695" spans="1:4" x14ac:dyDescent="0.2">
      <c r="A695" s="1">
        <v>2020</v>
      </c>
      <c r="B695" s="1" t="s">
        <v>696</v>
      </c>
      <c r="C695" s="2">
        <v>1685754</v>
      </c>
      <c r="D695" s="8">
        <v>1.4549599999999999E-3</v>
      </c>
    </row>
    <row r="696" spans="1:4" x14ac:dyDescent="0.2">
      <c r="A696" s="1">
        <v>2020</v>
      </c>
      <c r="B696" s="1" t="s">
        <v>697</v>
      </c>
      <c r="C696" s="2">
        <v>465230</v>
      </c>
      <c r="D696" s="8">
        <v>4.0153999999999998E-4</v>
      </c>
    </row>
    <row r="697" spans="1:4" x14ac:dyDescent="0.2">
      <c r="A697" s="1">
        <v>2020</v>
      </c>
      <c r="B697" s="1" t="s">
        <v>698</v>
      </c>
      <c r="C697" s="2">
        <v>54258</v>
      </c>
      <c r="D697" s="8">
        <v>4.6829999999999997E-5</v>
      </c>
    </row>
    <row r="698" spans="1:4" x14ac:dyDescent="0.2">
      <c r="A698" s="1">
        <v>2020</v>
      </c>
      <c r="B698" s="1" t="s">
        <v>699</v>
      </c>
      <c r="C698" s="2">
        <v>5484822</v>
      </c>
      <c r="D698" s="8">
        <v>4.73391E-3</v>
      </c>
    </row>
    <row r="699" spans="1:4" x14ac:dyDescent="0.2">
      <c r="A699" s="1">
        <v>2020</v>
      </c>
      <c r="B699" s="1" t="s">
        <v>700</v>
      </c>
      <c r="C699" s="2">
        <v>513922</v>
      </c>
      <c r="D699" s="8">
        <v>4.4356000000000002E-4</v>
      </c>
    </row>
    <row r="700" spans="1:4" x14ac:dyDescent="0.2">
      <c r="A700" s="1">
        <v>2020</v>
      </c>
      <c r="B700" s="1" t="s">
        <v>701</v>
      </c>
      <c r="C700" s="2">
        <v>20912</v>
      </c>
      <c r="D700" s="8">
        <v>1.8050000000000002E-5</v>
      </c>
    </row>
    <row r="701" spans="1:4" x14ac:dyDescent="0.2">
      <c r="A701" s="1">
        <v>2020</v>
      </c>
      <c r="B701" s="1" t="s">
        <v>702</v>
      </c>
      <c r="C701" s="2">
        <v>50166</v>
      </c>
      <c r="D701" s="8">
        <v>4.3300000000000002E-5</v>
      </c>
    </row>
    <row r="702" spans="1:4" x14ac:dyDescent="0.2">
      <c r="A702" s="1">
        <v>2020</v>
      </c>
      <c r="B702" s="1" t="s">
        <v>703</v>
      </c>
      <c r="C702" s="2">
        <v>13442202</v>
      </c>
      <c r="D702" s="8">
        <v>1.160187E-2</v>
      </c>
    </row>
    <row r="703" spans="1:4" x14ac:dyDescent="0.2">
      <c r="A703" s="1">
        <v>2020</v>
      </c>
      <c r="B703" s="1" t="s">
        <v>704</v>
      </c>
      <c r="C703" s="2">
        <v>502214</v>
      </c>
      <c r="D703" s="8">
        <v>4.3345999999999999E-4</v>
      </c>
    </row>
    <row r="704" spans="1:4" x14ac:dyDescent="0.2">
      <c r="A704" s="1">
        <v>2020</v>
      </c>
      <c r="B704" s="1" t="s">
        <v>705</v>
      </c>
      <c r="C704" s="2">
        <v>1198059</v>
      </c>
      <c r="D704" s="8">
        <v>1.03404E-3</v>
      </c>
    </row>
    <row r="705" spans="1:4" x14ac:dyDescent="0.2">
      <c r="A705" s="1">
        <v>2020</v>
      </c>
      <c r="B705" s="1" t="s">
        <v>706</v>
      </c>
      <c r="C705" s="2">
        <v>33277</v>
      </c>
      <c r="D705" s="8">
        <v>2.8719999999999999E-5</v>
      </c>
    </row>
    <row r="706" spans="1:4" x14ac:dyDescent="0.2">
      <c r="A706" s="1">
        <v>2020</v>
      </c>
      <c r="B706" s="1" t="s">
        <v>707</v>
      </c>
      <c r="C706" s="2">
        <v>107227</v>
      </c>
      <c r="D706" s="8">
        <v>9.255E-5</v>
      </c>
    </row>
    <row r="707" spans="1:4" x14ac:dyDescent="0.2">
      <c r="A707" s="1">
        <v>2020</v>
      </c>
      <c r="B707" s="1" t="s">
        <v>708</v>
      </c>
      <c r="C707" s="2">
        <v>3030780</v>
      </c>
      <c r="D707" s="8">
        <v>2.6158399999999999E-3</v>
      </c>
    </row>
    <row r="708" spans="1:4" x14ac:dyDescent="0.2">
      <c r="A708" s="1">
        <v>2020</v>
      </c>
      <c r="B708" s="1" t="s">
        <v>709</v>
      </c>
      <c r="C708" s="2">
        <v>2268481</v>
      </c>
      <c r="D708" s="8">
        <v>1.9579100000000002E-3</v>
      </c>
    </row>
    <row r="709" spans="1:4" x14ac:dyDescent="0.2">
      <c r="A709" s="1">
        <v>2020</v>
      </c>
      <c r="B709" s="1" t="s">
        <v>710</v>
      </c>
      <c r="C709" s="2">
        <v>17310</v>
      </c>
      <c r="D709" s="8">
        <v>1.4939999999999999E-5</v>
      </c>
    </row>
    <row r="710" spans="1:4" x14ac:dyDescent="0.2">
      <c r="A710" s="1">
        <v>2020</v>
      </c>
      <c r="B710" s="1" t="s">
        <v>711</v>
      </c>
      <c r="C710" s="2">
        <v>860756</v>
      </c>
      <c r="D710" s="8">
        <v>7.4290999999999995E-4</v>
      </c>
    </row>
    <row r="711" spans="1:4" x14ac:dyDescent="0.2">
      <c r="A711" s="1">
        <v>2020</v>
      </c>
      <c r="B711" s="1" t="s">
        <v>712</v>
      </c>
      <c r="C711" s="2">
        <v>2506</v>
      </c>
      <c r="D711" s="8">
        <v>2.1600000000000001E-6</v>
      </c>
    </row>
    <row r="712" spans="1:4" x14ac:dyDescent="0.2">
      <c r="A712" s="1">
        <v>2020</v>
      </c>
      <c r="B712" s="1" t="s">
        <v>713</v>
      </c>
      <c r="C712" s="2">
        <v>47070</v>
      </c>
      <c r="D712" s="8">
        <v>4.0630000000000002E-5</v>
      </c>
    </row>
    <row r="713" spans="1:4" x14ac:dyDescent="0.2">
      <c r="A713" s="1">
        <v>2020</v>
      </c>
      <c r="B713" s="1" t="s">
        <v>714</v>
      </c>
      <c r="C713" s="2">
        <v>14350</v>
      </c>
      <c r="D713" s="8">
        <v>1.239E-5</v>
      </c>
    </row>
    <row r="714" spans="1:4" x14ac:dyDescent="0.2">
      <c r="A714" s="1">
        <v>2020</v>
      </c>
      <c r="B714" s="1" t="s">
        <v>715</v>
      </c>
      <c r="C714" s="2">
        <v>2192</v>
      </c>
      <c r="D714" s="8">
        <v>1.8899999999999999E-6</v>
      </c>
    </row>
    <row r="715" spans="1:4" x14ac:dyDescent="0.2">
      <c r="A715" s="1">
        <v>2020</v>
      </c>
      <c r="B715" s="1" t="s">
        <v>716</v>
      </c>
      <c r="C715" s="2">
        <v>83148</v>
      </c>
      <c r="D715" s="8">
        <v>7.1760000000000004E-5</v>
      </c>
    </row>
    <row r="716" spans="1:4" x14ac:dyDescent="0.2">
      <c r="A716" s="1">
        <v>2020</v>
      </c>
      <c r="B716" s="1" t="s">
        <v>717</v>
      </c>
      <c r="C716" s="2">
        <v>33786</v>
      </c>
      <c r="D716" s="8">
        <v>2.9159999999999999E-5</v>
      </c>
    </row>
    <row r="717" spans="1:4" x14ac:dyDescent="0.2">
      <c r="A717" s="1">
        <v>2020</v>
      </c>
      <c r="B717" s="1" t="s">
        <v>718</v>
      </c>
      <c r="C717" s="2">
        <v>103567</v>
      </c>
      <c r="D717" s="8">
        <v>8.9389999999999996E-5</v>
      </c>
    </row>
    <row r="718" spans="1:4" x14ac:dyDescent="0.2">
      <c r="A718" s="1">
        <v>2020</v>
      </c>
      <c r="B718" s="1" t="s">
        <v>719</v>
      </c>
      <c r="C718" s="2">
        <v>30639</v>
      </c>
      <c r="D718" s="8">
        <v>2.6440000000000001E-5</v>
      </c>
    </row>
    <row r="719" spans="1:4" x14ac:dyDescent="0.2">
      <c r="A719" s="1">
        <v>2020</v>
      </c>
      <c r="B719" s="1" t="s">
        <v>720</v>
      </c>
      <c r="C719" s="2">
        <v>880256</v>
      </c>
      <c r="D719" s="8">
        <v>7.5973999999999996E-4</v>
      </c>
    </row>
    <row r="720" spans="1:4" x14ac:dyDescent="0.2">
      <c r="A720" s="1">
        <v>2020</v>
      </c>
      <c r="B720" s="1" t="s">
        <v>721</v>
      </c>
      <c r="C720" s="2">
        <v>50275</v>
      </c>
      <c r="D720" s="8">
        <v>4.3390000000000003E-5</v>
      </c>
    </row>
    <row r="721" spans="1:4" x14ac:dyDescent="0.2">
      <c r="A721" s="1">
        <v>2020</v>
      </c>
      <c r="B721" s="1" t="s">
        <v>722</v>
      </c>
      <c r="C721" s="2">
        <v>4009</v>
      </c>
      <c r="D721" s="8">
        <v>3.4599999999999999E-6</v>
      </c>
    </row>
    <row r="722" spans="1:4" x14ac:dyDescent="0.2">
      <c r="A722" s="1">
        <v>2020</v>
      </c>
      <c r="B722" s="1" t="s">
        <v>723</v>
      </c>
      <c r="C722" s="2">
        <v>3607387</v>
      </c>
      <c r="D722" s="8">
        <v>3.1135099999999999E-3</v>
      </c>
    </row>
    <row r="723" spans="1:4" x14ac:dyDescent="0.2">
      <c r="A723" s="1">
        <v>2020</v>
      </c>
      <c r="B723" s="1" t="s">
        <v>724</v>
      </c>
      <c r="C723" s="2">
        <v>2024119</v>
      </c>
      <c r="D723" s="8">
        <v>1.7470000000000001E-3</v>
      </c>
    </row>
    <row r="724" spans="1:4" x14ac:dyDescent="0.2">
      <c r="A724" s="1">
        <v>2020</v>
      </c>
      <c r="B724" s="1" t="s">
        <v>725</v>
      </c>
      <c r="C724" s="2">
        <v>1758006</v>
      </c>
      <c r="D724" s="8">
        <v>1.51732E-3</v>
      </c>
    </row>
    <row r="725" spans="1:4" x14ac:dyDescent="0.2">
      <c r="A725" s="1">
        <v>2020</v>
      </c>
      <c r="B725" s="1" t="s">
        <v>726</v>
      </c>
      <c r="C725" s="2">
        <v>325316</v>
      </c>
      <c r="D725" s="8">
        <v>2.8078000000000001E-4</v>
      </c>
    </row>
    <row r="726" spans="1:4" x14ac:dyDescent="0.2">
      <c r="A726" s="1">
        <v>2020</v>
      </c>
      <c r="B726" s="1" t="s">
        <v>727</v>
      </c>
      <c r="C726" s="2">
        <v>507457</v>
      </c>
      <c r="D726" s="8">
        <v>4.3797999999999998E-4</v>
      </c>
    </row>
    <row r="727" spans="1:4" x14ac:dyDescent="0.2">
      <c r="A727" s="1">
        <v>2020</v>
      </c>
      <c r="B727" s="1" t="s">
        <v>728</v>
      </c>
      <c r="C727" s="2">
        <v>17124</v>
      </c>
      <c r="D727" s="8">
        <v>1.4780000000000001E-5</v>
      </c>
    </row>
    <row r="728" spans="1:4" x14ac:dyDescent="0.2">
      <c r="A728" s="1">
        <v>2020</v>
      </c>
      <c r="B728" s="1" t="s">
        <v>729</v>
      </c>
      <c r="C728" s="2">
        <v>2952</v>
      </c>
      <c r="D728" s="8">
        <v>2.5500000000000001E-6</v>
      </c>
    </row>
    <row r="729" spans="1:4" x14ac:dyDescent="0.2">
      <c r="A729" s="1">
        <v>2020</v>
      </c>
      <c r="B729" s="1" t="s">
        <v>730</v>
      </c>
      <c r="C729" s="2">
        <v>1978290</v>
      </c>
      <c r="D729" s="8">
        <v>1.7074499999999999E-3</v>
      </c>
    </row>
    <row r="730" spans="1:4" x14ac:dyDescent="0.2">
      <c r="A730" s="1">
        <v>2020</v>
      </c>
      <c r="B730" s="1" t="s">
        <v>731</v>
      </c>
      <c r="C730" s="2">
        <v>922964</v>
      </c>
      <c r="D730" s="8">
        <v>7.9659999999999996E-4</v>
      </c>
    </row>
    <row r="731" spans="1:4" x14ac:dyDescent="0.2">
      <c r="A731" s="1">
        <v>2020</v>
      </c>
      <c r="B731" s="1" t="s">
        <v>732</v>
      </c>
      <c r="C731" s="2">
        <v>112777</v>
      </c>
      <c r="D731" s="8">
        <v>9.734E-5</v>
      </c>
    </row>
    <row r="732" spans="1:4" x14ac:dyDescent="0.2">
      <c r="A732" s="1">
        <v>2020</v>
      </c>
      <c r="B732" s="1" t="s">
        <v>733</v>
      </c>
      <c r="C732" s="2">
        <v>41716</v>
      </c>
      <c r="D732" s="8">
        <v>3.6010000000000003E-5</v>
      </c>
    </row>
    <row r="733" spans="1:4" x14ac:dyDescent="0.2">
      <c r="A733" s="1">
        <v>2020</v>
      </c>
      <c r="B733" s="1" t="s">
        <v>734</v>
      </c>
      <c r="C733" s="2">
        <v>20810</v>
      </c>
      <c r="D733" s="8">
        <v>1.7960000000000001E-5</v>
      </c>
    </row>
    <row r="734" spans="1:4" x14ac:dyDescent="0.2">
      <c r="A734" s="1">
        <v>2020</v>
      </c>
      <c r="B734" s="1" t="s">
        <v>735</v>
      </c>
      <c r="C734" s="2">
        <v>51799</v>
      </c>
      <c r="D734" s="8">
        <v>4.4709999999999997E-5</v>
      </c>
    </row>
    <row r="735" spans="1:4" x14ac:dyDescent="0.2">
      <c r="A735" s="1">
        <v>2020</v>
      </c>
      <c r="B735" s="1" t="s">
        <v>736</v>
      </c>
      <c r="C735" s="2">
        <v>583371</v>
      </c>
      <c r="D735" s="8">
        <v>5.0350000000000004E-4</v>
      </c>
    </row>
    <row r="736" spans="1:4" x14ac:dyDescent="0.2">
      <c r="A736" s="1">
        <v>2020</v>
      </c>
      <c r="B736" s="1" t="s">
        <v>737</v>
      </c>
      <c r="C736" s="2">
        <v>1017428</v>
      </c>
      <c r="D736" s="8">
        <v>8.7812999999999997E-4</v>
      </c>
    </row>
    <row r="737" spans="1:4" x14ac:dyDescent="0.2">
      <c r="A737" s="1">
        <v>2020</v>
      </c>
      <c r="B737" s="1" t="s">
        <v>738</v>
      </c>
      <c r="C737" s="2">
        <v>616368</v>
      </c>
      <c r="D737" s="8">
        <v>5.3198000000000004E-4</v>
      </c>
    </row>
    <row r="738" spans="1:4" x14ac:dyDescent="0.2">
      <c r="A738" s="1">
        <v>2020</v>
      </c>
      <c r="B738" s="1" t="s">
        <v>739</v>
      </c>
      <c r="C738" s="2">
        <v>2862791</v>
      </c>
      <c r="D738" s="8">
        <v>2.4708500000000001E-3</v>
      </c>
    </row>
    <row r="739" spans="1:4" x14ac:dyDescent="0.2">
      <c r="A739" s="1">
        <v>2020</v>
      </c>
      <c r="B739" s="1" t="s">
        <v>740</v>
      </c>
      <c r="C739" s="2">
        <v>39419</v>
      </c>
      <c r="D739" s="8">
        <v>3.4020000000000003E-5</v>
      </c>
    </row>
    <row r="740" spans="1:4" x14ac:dyDescent="0.2">
      <c r="A740" s="1">
        <v>2020</v>
      </c>
      <c r="B740" s="1" t="s">
        <v>741</v>
      </c>
      <c r="C740" s="2">
        <v>37960</v>
      </c>
      <c r="D740" s="8">
        <v>3.2759999999999998E-5</v>
      </c>
    </row>
    <row r="741" spans="1:4" x14ac:dyDescent="0.2">
      <c r="A741" s="1">
        <v>2020</v>
      </c>
      <c r="B741" s="1" t="s">
        <v>742</v>
      </c>
      <c r="C741" s="2">
        <v>131634</v>
      </c>
      <c r="D741" s="8">
        <v>1.1361E-4</v>
      </c>
    </row>
    <row r="742" spans="1:4" x14ac:dyDescent="0.2">
      <c r="A742" s="1">
        <v>2020</v>
      </c>
      <c r="B742" s="1" t="s">
        <v>743</v>
      </c>
      <c r="C742" s="2">
        <v>3777</v>
      </c>
      <c r="D742" s="8">
        <v>3.2600000000000001E-6</v>
      </c>
    </row>
    <row r="743" spans="1:4" x14ac:dyDescent="0.2">
      <c r="A743" s="1">
        <v>2020</v>
      </c>
      <c r="B743" s="1" t="s">
        <v>744</v>
      </c>
      <c r="C743" s="2">
        <v>39017</v>
      </c>
      <c r="D743" s="8">
        <v>3.3670000000000001E-5</v>
      </c>
    </row>
    <row r="744" spans="1:4" x14ac:dyDescent="0.2">
      <c r="A744" s="1">
        <v>2020</v>
      </c>
      <c r="B744" s="1" t="s">
        <v>745</v>
      </c>
      <c r="C744" s="2">
        <v>4447</v>
      </c>
      <c r="D744" s="8">
        <v>3.8399999999999997E-6</v>
      </c>
    </row>
    <row r="745" spans="1:4" x14ac:dyDescent="0.2">
      <c r="A745" s="1">
        <v>2020</v>
      </c>
      <c r="B745" s="1" t="s">
        <v>746</v>
      </c>
      <c r="C745" s="2">
        <v>11783</v>
      </c>
      <c r="D745" s="8">
        <v>1.0169999999999999E-5</v>
      </c>
    </row>
    <row r="746" spans="1:4" x14ac:dyDescent="0.2">
      <c r="A746" s="1">
        <v>2020</v>
      </c>
      <c r="B746" s="1" t="s">
        <v>747</v>
      </c>
      <c r="C746" s="2">
        <v>34955</v>
      </c>
      <c r="D746" s="8">
        <v>3.0170000000000001E-5</v>
      </c>
    </row>
    <row r="747" spans="1:4" x14ac:dyDescent="0.2">
      <c r="A747" s="1">
        <v>2020</v>
      </c>
      <c r="B747" s="1" t="s">
        <v>748</v>
      </c>
      <c r="C747" s="1">
        <v>960</v>
      </c>
      <c r="D747" s="8">
        <v>8.2999999999999999E-7</v>
      </c>
    </row>
    <row r="748" spans="1:4" x14ac:dyDescent="0.2">
      <c r="A748" s="1">
        <v>2020</v>
      </c>
      <c r="B748" s="1" t="s">
        <v>749</v>
      </c>
      <c r="C748" s="2">
        <v>20340</v>
      </c>
      <c r="D748" s="8">
        <v>1.7560000000000001E-5</v>
      </c>
    </row>
    <row r="749" spans="1:4" x14ac:dyDescent="0.2">
      <c r="A749" s="1">
        <v>2020</v>
      </c>
      <c r="B749" s="1" t="s">
        <v>750</v>
      </c>
      <c r="C749" s="2">
        <v>22309</v>
      </c>
      <c r="D749" s="8">
        <v>1.925E-5</v>
      </c>
    </row>
    <row r="750" spans="1:4" x14ac:dyDescent="0.2">
      <c r="A750" s="1">
        <v>2020</v>
      </c>
      <c r="B750" s="1" t="s">
        <v>751</v>
      </c>
      <c r="C750" s="2">
        <v>6055</v>
      </c>
      <c r="D750" s="8">
        <v>5.2299999999999999E-6</v>
      </c>
    </row>
    <row r="751" spans="1:4" x14ac:dyDescent="0.2">
      <c r="A751" s="1">
        <v>2020</v>
      </c>
      <c r="B751" s="1" t="s">
        <v>752</v>
      </c>
      <c r="C751" s="2">
        <v>22754</v>
      </c>
      <c r="D751" s="8">
        <v>1.9640000000000002E-5</v>
      </c>
    </row>
    <row r="752" spans="1:4" x14ac:dyDescent="0.2">
      <c r="A752" s="1">
        <v>2020</v>
      </c>
      <c r="B752" s="1" t="s">
        <v>753</v>
      </c>
      <c r="C752" s="2">
        <v>4454</v>
      </c>
      <c r="D752" s="8">
        <v>3.8399999999999997E-6</v>
      </c>
    </row>
    <row r="753" spans="1:4" x14ac:dyDescent="0.2">
      <c r="A753" s="1">
        <v>2020</v>
      </c>
      <c r="B753" s="1" t="s">
        <v>754</v>
      </c>
      <c r="C753" s="2">
        <v>13669</v>
      </c>
      <c r="D753" s="8">
        <v>1.1800000000000001E-5</v>
      </c>
    </row>
    <row r="754" spans="1:4" x14ac:dyDescent="0.2">
      <c r="A754" s="1">
        <v>2020</v>
      </c>
      <c r="B754" s="1" t="s">
        <v>755</v>
      </c>
      <c r="C754" s="2">
        <v>14150</v>
      </c>
      <c r="D754" s="8">
        <v>1.221E-5</v>
      </c>
    </row>
    <row r="755" spans="1:4" x14ac:dyDescent="0.2">
      <c r="A755" s="1">
        <v>2020</v>
      </c>
      <c r="B755" s="1" t="s">
        <v>756</v>
      </c>
      <c r="C755" s="2">
        <v>15442</v>
      </c>
      <c r="D755" s="8">
        <v>1.3329999999999999E-5</v>
      </c>
    </row>
    <row r="756" spans="1:4" x14ac:dyDescent="0.2">
      <c r="A756" s="1">
        <v>2020</v>
      </c>
      <c r="B756" s="1" t="s">
        <v>757</v>
      </c>
      <c r="C756" s="2">
        <v>55108</v>
      </c>
      <c r="D756" s="8">
        <v>4.7559999999999999E-5</v>
      </c>
    </row>
    <row r="757" spans="1:4" x14ac:dyDescent="0.2">
      <c r="A757" s="1">
        <v>2020</v>
      </c>
      <c r="B757" s="1" t="s">
        <v>758</v>
      </c>
      <c r="C757" s="2">
        <v>1079</v>
      </c>
      <c r="D757" s="8">
        <v>9.2999999999999999E-7</v>
      </c>
    </row>
    <row r="758" spans="1:4" x14ac:dyDescent="0.2">
      <c r="A758" s="1">
        <v>2020</v>
      </c>
      <c r="B758" s="1" t="s">
        <v>759</v>
      </c>
      <c r="C758" s="2">
        <v>326902</v>
      </c>
      <c r="D758" s="8">
        <v>2.8215E-4</v>
      </c>
    </row>
    <row r="759" spans="1:4" x14ac:dyDescent="0.2">
      <c r="A759" s="1">
        <v>2020</v>
      </c>
      <c r="B759" s="1" t="s">
        <v>760</v>
      </c>
      <c r="C759" s="2">
        <v>13371</v>
      </c>
      <c r="D759" s="8">
        <v>1.154E-5</v>
      </c>
    </row>
    <row r="760" spans="1:4" x14ac:dyDescent="0.2">
      <c r="A760" s="1">
        <v>2020</v>
      </c>
      <c r="B760" s="1" t="s">
        <v>761</v>
      </c>
      <c r="C760" s="2">
        <v>2666057</v>
      </c>
      <c r="D760" s="8">
        <v>2.3010499999999998E-3</v>
      </c>
    </row>
    <row r="761" spans="1:4" x14ac:dyDescent="0.2">
      <c r="A761" s="1">
        <v>2020</v>
      </c>
      <c r="B761" s="1" t="s">
        <v>762</v>
      </c>
      <c r="C761" s="2">
        <v>51771</v>
      </c>
      <c r="D761" s="8">
        <v>4.4679999999999999E-5</v>
      </c>
    </row>
    <row r="762" spans="1:4" x14ac:dyDescent="0.2">
      <c r="A762" s="1">
        <v>2020</v>
      </c>
      <c r="B762" s="1" t="s">
        <v>763</v>
      </c>
      <c r="C762" s="2">
        <v>2343767</v>
      </c>
      <c r="D762" s="8">
        <v>2.0228899999999998E-3</v>
      </c>
    </row>
    <row r="763" spans="1:4" x14ac:dyDescent="0.2">
      <c r="A763" s="1">
        <v>2020</v>
      </c>
      <c r="B763" s="1" t="s">
        <v>764</v>
      </c>
      <c r="C763" s="2">
        <v>1855984</v>
      </c>
      <c r="D763" s="8">
        <v>1.6018899999999999E-3</v>
      </c>
    </row>
    <row r="764" spans="1:4" x14ac:dyDescent="0.2">
      <c r="A764" s="1">
        <v>2020</v>
      </c>
      <c r="B764" s="1" t="s">
        <v>766</v>
      </c>
      <c r="C764" s="2">
        <v>100128</v>
      </c>
      <c r="D764" s="8">
        <v>8.6420000000000003E-5</v>
      </c>
    </row>
    <row r="765" spans="1:4" x14ac:dyDescent="0.2">
      <c r="A765" s="1">
        <v>2020</v>
      </c>
      <c r="B765" s="1" t="s">
        <v>767</v>
      </c>
      <c r="C765" s="2">
        <v>209486</v>
      </c>
      <c r="D765" s="8">
        <v>1.8081E-4</v>
      </c>
    </row>
    <row r="766" spans="1:4" x14ac:dyDescent="0.2">
      <c r="A766" s="1">
        <v>2020</v>
      </c>
      <c r="B766" s="1" t="s">
        <v>768</v>
      </c>
      <c r="C766" s="2">
        <v>61653</v>
      </c>
      <c r="D766" s="8">
        <v>5.321E-5</v>
      </c>
    </row>
    <row r="767" spans="1:4" x14ac:dyDescent="0.2">
      <c r="A767" s="1">
        <v>2020</v>
      </c>
      <c r="B767" s="1" t="s">
        <v>769</v>
      </c>
      <c r="C767" s="2">
        <v>3057812</v>
      </c>
      <c r="D767" s="8">
        <v>2.6391800000000001E-3</v>
      </c>
    </row>
    <row r="768" spans="1:4" x14ac:dyDescent="0.2">
      <c r="A768" s="1">
        <v>2020</v>
      </c>
      <c r="B768" s="1" t="s">
        <v>770</v>
      </c>
      <c r="C768" s="2">
        <v>148674</v>
      </c>
      <c r="D768" s="8">
        <v>1.2831999999999999E-4</v>
      </c>
    </row>
    <row r="769" spans="1:4" x14ac:dyDescent="0.2">
      <c r="A769" s="1">
        <v>2020</v>
      </c>
      <c r="B769" s="1" t="s">
        <v>771</v>
      </c>
      <c r="C769" s="2">
        <v>82014</v>
      </c>
      <c r="D769" s="8">
        <v>7.0790000000000005E-5</v>
      </c>
    </row>
    <row r="770" spans="1:4" x14ac:dyDescent="0.2">
      <c r="A770" s="1">
        <v>2020</v>
      </c>
      <c r="B770" s="1" t="s">
        <v>772</v>
      </c>
      <c r="C770" s="2">
        <v>7111192</v>
      </c>
      <c r="D770" s="8">
        <v>6.1376199999999999E-3</v>
      </c>
    </row>
    <row r="771" spans="1:4" x14ac:dyDescent="0.2">
      <c r="A771" s="1">
        <v>2020</v>
      </c>
      <c r="B771" s="1" t="s">
        <v>773</v>
      </c>
      <c r="C771" s="2">
        <v>624680</v>
      </c>
      <c r="D771" s="8">
        <v>5.3916000000000001E-4</v>
      </c>
    </row>
    <row r="772" spans="1:4" x14ac:dyDescent="0.2">
      <c r="A772" s="1">
        <v>2020</v>
      </c>
      <c r="B772" s="1" t="s">
        <v>774</v>
      </c>
      <c r="C772" s="2">
        <v>100773</v>
      </c>
      <c r="D772" s="8">
        <v>8.6979999999999997E-5</v>
      </c>
    </row>
    <row r="773" spans="1:4" x14ac:dyDescent="0.2">
      <c r="A773" s="1">
        <v>2020</v>
      </c>
      <c r="B773" s="1" t="s">
        <v>775</v>
      </c>
      <c r="C773" s="2">
        <v>128726</v>
      </c>
      <c r="D773" s="8">
        <v>1.111E-4</v>
      </c>
    </row>
    <row r="774" spans="1:4" x14ac:dyDescent="0.2">
      <c r="A774" s="1">
        <v>2020</v>
      </c>
      <c r="B774" s="1" t="s">
        <v>776</v>
      </c>
      <c r="C774" s="2">
        <v>94659</v>
      </c>
      <c r="D774" s="8">
        <v>8.1699999999999994E-5</v>
      </c>
    </row>
    <row r="775" spans="1:4" x14ac:dyDescent="0.2">
      <c r="A775" s="1">
        <v>2020</v>
      </c>
      <c r="B775" s="1" t="s">
        <v>777</v>
      </c>
      <c r="C775" s="2">
        <v>2558019</v>
      </c>
      <c r="D775" s="8">
        <v>2.2078100000000002E-3</v>
      </c>
    </row>
    <row r="776" spans="1:4" x14ac:dyDescent="0.2">
      <c r="A776" s="1">
        <v>2020</v>
      </c>
      <c r="B776" s="1" t="s">
        <v>778</v>
      </c>
      <c r="C776" s="2">
        <v>773162</v>
      </c>
      <c r="D776" s="8">
        <v>6.6730999999999995E-4</v>
      </c>
    </row>
    <row r="777" spans="1:4" x14ac:dyDescent="0.2">
      <c r="A777" s="1">
        <v>2020</v>
      </c>
      <c r="B777" s="1" t="s">
        <v>779</v>
      </c>
      <c r="C777" s="2">
        <v>2068</v>
      </c>
      <c r="D777" s="8">
        <v>1.7799999999999999E-6</v>
      </c>
    </row>
    <row r="778" spans="1:4" x14ac:dyDescent="0.2">
      <c r="A778" s="1">
        <v>2020</v>
      </c>
      <c r="B778" s="1" t="s">
        <v>780</v>
      </c>
      <c r="C778" s="2">
        <v>889078</v>
      </c>
      <c r="D778" s="8">
        <v>7.6736000000000003E-4</v>
      </c>
    </row>
    <row r="779" spans="1:4" x14ac:dyDescent="0.2">
      <c r="A779" s="1">
        <v>2020</v>
      </c>
      <c r="B779" s="1" t="s">
        <v>781</v>
      </c>
      <c r="C779" s="2">
        <v>89661218</v>
      </c>
      <c r="D779" s="8">
        <v>7.738594E-2</v>
      </c>
    </row>
    <row r="780" spans="1:4" x14ac:dyDescent="0.2">
      <c r="A780" s="1">
        <v>2020</v>
      </c>
      <c r="B780" s="1" t="s">
        <v>782</v>
      </c>
      <c r="C780" s="2">
        <v>22167806</v>
      </c>
      <c r="D780" s="8">
        <v>1.913287E-2</v>
      </c>
    </row>
    <row r="781" spans="1:4" x14ac:dyDescent="0.2">
      <c r="A781" s="1">
        <v>2020</v>
      </c>
      <c r="B781" s="1" t="s">
        <v>783</v>
      </c>
      <c r="C781" s="2">
        <v>15147280</v>
      </c>
      <c r="D781" s="8">
        <v>1.307351E-2</v>
      </c>
    </row>
    <row r="782" spans="1:4" x14ac:dyDescent="0.2">
      <c r="A782" s="1">
        <v>2020</v>
      </c>
      <c r="B782" s="1" t="s">
        <v>784</v>
      </c>
      <c r="C782" s="2">
        <v>162992</v>
      </c>
      <c r="D782" s="8">
        <v>1.4067999999999999E-4</v>
      </c>
    </row>
    <row r="783" spans="1:4" x14ac:dyDescent="0.2">
      <c r="A783" s="1">
        <v>2020</v>
      </c>
      <c r="B783" s="1" t="s">
        <v>785</v>
      </c>
      <c r="C783" s="2">
        <v>29642</v>
      </c>
      <c r="D783" s="8">
        <v>2.5579999999999999E-5</v>
      </c>
    </row>
    <row r="784" spans="1:4" x14ac:dyDescent="0.2">
      <c r="A784" s="1">
        <v>2020</v>
      </c>
      <c r="B784" s="1" t="s">
        <v>786</v>
      </c>
      <c r="C784" s="2">
        <v>44953</v>
      </c>
      <c r="D784" s="8">
        <v>3.8800000000000001E-5</v>
      </c>
    </row>
    <row r="785" spans="1:4" x14ac:dyDescent="0.2">
      <c r="A785" s="1">
        <v>2020</v>
      </c>
      <c r="B785" s="1" t="s">
        <v>787</v>
      </c>
      <c r="C785" s="2">
        <v>113476</v>
      </c>
      <c r="D785" s="8">
        <v>9.7940000000000001E-5</v>
      </c>
    </row>
    <row r="786" spans="1:4" x14ac:dyDescent="0.2">
      <c r="A786" s="1">
        <v>2020</v>
      </c>
      <c r="B786" s="1" t="s">
        <v>788</v>
      </c>
      <c r="C786" s="2">
        <v>161404</v>
      </c>
      <c r="D786" s="8">
        <v>1.3930999999999999E-4</v>
      </c>
    </row>
    <row r="787" spans="1:4" x14ac:dyDescent="0.2">
      <c r="A787" s="1">
        <v>2020</v>
      </c>
      <c r="B787" s="1" t="s">
        <v>789</v>
      </c>
      <c r="C787" s="2">
        <v>72382</v>
      </c>
      <c r="D787" s="8">
        <v>6.2470000000000003E-5</v>
      </c>
    </row>
    <row r="788" spans="1:4" x14ac:dyDescent="0.2">
      <c r="A788" s="1">
        <v>2020</v>
      </c>
      <c r="B788" s="1" t="s">
        <v>790</v>
      </c>
      <c r="C788" s="2">
        <v>2836357</v>
      </c>
      <c r="D788" s="8">
        <v>2.4480399999999999E-3</v>
      </c>
    </row>
    <row r="789" spans="1:4" x14ac:dyDescent="0.2">
      <c r="A789" s="1">
        <v>2020</v>
      </c>
      <c r="B789" s="1" t="s">
        <v>791</v>
      </c>
      <c r="C789" s="2">
        <v>44289</v>
      </c>
      <c r="D789" s="8">
        <v>3.8229999999999998E-5</v>
      </c>
    </row>
    <row r="790" spans="1:4" x14ac:dyDescent="0.2">
      <c r="A790" s="1">
        <v>2020</v>
      </c>
      <c r="B790" s="1" t="s">
        <v>792</v>
      </c>
      <c r="C790" s="2">
        <v>94296</v>
      </c>
      <c r="D790" s="8">
        <v>8.1390000000000005E-5</v>
      </c>
    </row>
    <row r="791" spans="1:4" x14ac:dyDescent="0.2">
      <c r="A791" s="1">
        <v>2020</v>
      </c>
      <c r="B791" s="1" t="s">
        <v>793</v>
      </c>
      <c r="C791" s="2">
        <v>7665669</v>
      </c>
      <c r="D791" s="8">
        <v>6.6161800000000002E-3</v>
      </c>
    </row>
    <row r="792" spans="1:4" x14ac:dyDescent="0.2">
      <c r="A792" s="1">
        <v>2020</v>
      </c>
      <c r="B792" s="1" t="s">
        <v>794</v>
      </c>
      <c r="C792" s="2">
        <v>57011</v>
      </c>
      <c r="D792" s="8">
        <v>4.9209999999999998E-5</v>
      </c>
    </row>
    <row r="793" spans="1:4" x14ac:dyDescent="0.2">
      <c r="A793" s="1">
        <v>2020</v>
      </c>
      <c r="B793" s="1" t="s">
        <v>795</v>
      </c>
      <c r="C793" s="2">
        <v>79691</v>
      </c>
      <c r="D793" s="8">
        <v>6.8780000000000002E-5</v>
      </c>
    </row>
    <row r="794" spans="1:4" x14ac:dyDescent="0.2">
      <c r="A794" s="1">
        <v>2020</v>
      </c>
      <c r="B794" s="1" t="s">
        <v>796</v>
      </c>
      <c r="C794" s="2">
        <v>460195</v>
      </c>
      <c r="D794" s="8">
        <v>3.9719000000000001E-4</v>
      </c>
    </row>
    <row r="795" spans="1:4" x14ac:dyDescent="0.2">
      <c r="A795" s="1">
        <v>2020</v>
      </c>
      <c r="B795" s="1" t="s">
        <v>797</v>
      </c>
      <c r="C795" s="2">
        <v>4061</v>
      </c>
      <c r="D795" s="8">
        <v>3.5099999999999999E-6</v>
      </c>
    </row>
    <row r="796" spans="1:4" x14ac:dyDescent="0.2">
      <c r="A796" s="1">
        <v>2020</v>
      </c>
      <c r="B796" s="1" t="s">
        <v>798</v>
      </c>
      <c r="C796" s="2">
        <v>1753580</v>
      </c>
      <c r="D796" s="8">
        <v>1.5135000000000001E-3</v>
      </c>
    </row>
    <row r="797" spans="1:4" x14ac:dyDescent="0.2">
      <c r="A797" s="1">
        <v>2020</v>
      </c>
      <c r="B797" s="1" t="s">
        <v>799</v>
      </c>
      <c r="C797" s="2">
        <v>1566</v>
      </c>
      <c r="D797" s="8">
        <v>1.35E-6</v>
      </c>
    </row>
    <row r="798" spans="1:4" x14ac:dyDescent="0.2">
      <c r="A798" s="1">
        <v>2020</v>
      </c>
      <c r="B798" s="1" t="s">
        <v>800</v>
      </c>
      <c r="C798" s="2">
        <v>1927095</v>
      </c>
      <c r="D798" s="8">
        <v>1.66326E-3</v>
      </c>
    </row>
    <row r="799" spans="1:4" x14ac:dyDescent="0.2">
      <c r="A799" s="1">
        <v>2020</v>
      </c>
      <c r="B799" s="1" t="s">
        <v>801</v>
      </c>
      <c r="C799" s="2">
        <v>9367</v>
      </c>
      <c r="D799" s="8">
        <v>8.0800000000000006E-6</v>
      </c>
    </row>
    <row r="800" spans="1:4" x14ac:dyDescent="0.2">
      <c r="A800" s="1">
        <v>2020</v>
      </c>
      <c r="B800" s="1" t="s">
        <v>802</v>
      </c>
      <c r="C800" s="2">
        <v>2073775</v>
      </c>
      <c r="D800" s="8">
        <v>1.7898600000000001E-3</v>
      </c>
    </row>
    <row r="801" spans="1:4" x14ac:dyDescent="0.2">
      <c r="A801" s="1">
        <v>2020</v>
      </c>
      <c r="B801" s="1" t="s">
        <v>803</v>
      </c>
      <c r="C801" s="2">
        <v>61806</v>
      </c>
      <c r="D801" s="8">
        <v>5.3340000000000001E-5</v>
      </c>
    </row>
    <row r="802" spans="1:4" x14ac:dyDescent="0.2">
      <c r="A802" s="1">
        <v>2020</v>
      </c>
      <c r="B802" s="1" t="s">
        <v>804</v>
      </c>
      <c r="C802" s="2">
        <v>306906</v>
      </c>
      <c r="D802" s="8">
        <v>2.6488999999999999E-4</v>
      </c>
    </row>
    <row r="803" spans="1:4" x14ac:dyDescent="0.2">
      <c r="A803" s="1">
        <v>2020</v>
      </c>
      <c r="B803" s="1" t="s">
        <v>805</v>
      </c>
      <c r="C803" s="2">
        <v>43728</v>
      </c>
      <c r="D803" s="8">
        <v>3.7740000000000001E-5</v>
      </c>
    </row>
    <row r="804" spans="1:4" x14ac:dyDescent="0.2">
      <c r="A804" s="1">
        <v>2020</v>
      </c>
      <c r="B804" s="1" t="s">
        <v>806</v>
      </c>
      <c r="C804" s="2">
        <v>1018280</v>
      </c>
      <c r="D804" s="8">
        <v>8.7887000000000002E-4</v>
      </c>
    </row>
    <row r="805" spans="1:4" x14ac:dyDescent="0.2">
      <c r="A805" s="1">
        <v>2020</v>
      </c>
      <c r="B805" s="1" t="s">
        <v>807</v>
      </c>
      <c r="C805" s="2">
        <v>516961</v>
      </c>
      <c r="D805" s="8">
        <v>4.4619000000000001E-4</v>
      </c>
    </row>
    <row r="806" spans="1:4" x14ac:dyDescent="0.2">
      <c r="A806" s="1">
        <v>2020</v>
      </c>
      <c r="B806" s="1" t="s">
        <v>808</v>
      </c>
      <c r="C806" s="2">
        <v>3483252</v>
      </c>
      <c r="D806" s="8">
        <v>3.00637E-3</v>
      </c>
    </row>
    <row r="807" spans="1:4" x14ac:dyDescent="0.2">
      <c r="A807" s="1">
        <v>2020</v>
      </c>
      <c r="B807" s="1" t="s">
        <v>809</v>
      </c>
      <c r="C807" s="2">
        <v>746004</v>
      </c>
      <c r="D807" s="8">
        <v>6.4386999999999995E-4</v>
      </c>
    </row>
    <row r="808" spans="1:4" x14ac:dyDescent="0.2">
      <c r="A808" s="1">
        <v>2020</v>
      </c>
      <c r="B808" s="1" t="s">
        <v>810</v>
      </c>
      <c r="C808" s="2">
        <v>10214</v>
      </c>
      <c r="D808" s="8">
        <v>8.8200000000000003E-6</v>
      </c>
    </row>
    <row r="809" spans="1:4" x14ac:dyDescent="0.2">
      <c r="A809" s="1">
        <v>2020</v>
      </c>
      <c r="B809" s="1" t="s">
        <v>811</v>
      </c>
      <c r="C809" s="2">
        <v>4143</v>
      </c>
      <c r="D809" s="8">
        <v>3.58E-6</v>
      </c>
    </row>
    <row r="810" spans="1:4" x14ac:dyDescent="0.2">
      <c r="A810" s="1">
        <v>2020</v>
      </c>
      <c r="B810" s="1" t="s">
        <v>812</v>
      </c>
      <c r="C810" s="2">
        <v>292350</v>
      </c>
      <c r="D810" s="8">
        <v>2.5232999999999999E-4</v>
      </c>
    </row>
    <row r="811" spans="1:4" x14ac:dyDescent="0.2">
      <c r="A811" s="1">
        <v>2020</v>
      </c>
      <c r="B811" s="1" t="s">
        <v>813</v>
      </c>
      <c r="C811" s="2">
        <v>9447</v>
      </c>
      <c r="D811" s="8">
        <v>8.1499999999999999E-6</v>
      </c>
    </row>
    <row r="812" spans="1:4" x14ac:dyDescent="0.2">
      <c r="A812" s="1">
        <v>2020</v>
      </c>
      <c r="B812" s="1" t="s">
        <v>814</v>
      </c>
      <c r="C812" s="2">
        <v>34134</v>
      </c>
      <c r="D812" s="8">
        <v>2.9459999999999999E-5</v>
      </c>
    </row>
    <row r="813" spans="1:4" x14ac:dyDescent="0.2">
      <c r="A813" s="1">
        <v>2020</v>
      </c>
      <c r="B813" s="1" t="s">
        <v>815</v>
      </c>
      <c r="C813" s="2">
        <v>298340</v>
      </c>
      <c r="D813" s="8">
        <v>2.5750000000000002E-4</v>
      </c>
    </row>
    <row r="814" spans="1:4" x14ac:dyDescent="0.2">
      <c r="A814" s="1">
        <v>2020</v>
      </c>
      <c r="B814" s="1" t="s">
        <v>816</v>
      </c>
      <c r="C814" s="2">
        <v>1611494</v>
      </c>
      <c r="D814" s="8">
        <v>1.39087E-3</v>
      </c>
    </row>
    <row r="815" spans="1:4" x14ac:dyDescent="0.2">
      <c r="A815" s="1">
        <v>2020</v>
      </c>
      <c r="B815" s="1" t="s">
        <v>817</v>
      </c>
      <c r="C815" s="2">
        <v>2232635</v>
      </c>
      <c r="D815" s="8">
        <v>1.9269700000000001E-3</v>
      </c>
    </row>
    <row r="816" spans="1:4" x14ac:dyDescent="0.2">
      <c r="A816" s="1">
        <v>2020</v>
      </c>
      <c r="B816" s="1" t="s">
        <v>818</v>
      </c>
      <c r="C816" s="2">
        <v>11703</v>
      </c>
      <c r="D816" s="8">
        <v>1.01E-5</v>
      </c>
    </row>
    <row r="817" spans="1:4" x14ac:dyDescent="0.2">
      <c r="A817" s="1">
        <v>2020</v>
      </c>
      <c r="B817" s="1" t="s">
        <v>819</v>
      </c>
      <c r="C817" s="2">
        <v>63471</v>
      </c>
      <c r="D817" s="8">
        <v>5.4780000000000001E-5</v>
      </c>
    </row>
    <row r="818" spans="1:4" x14ac:dyDescent="0.2">
      <c r="A818" s="1">
        <v>2020</v>
      </c>
      <c r="B818" s="1" t="s">
        <v>820</v>
      </c>
      <c r="C818" s="2">
        <v>1385876</v>
      </c>
      <c r="D818" s="8">
        <v>1.1961400000000001E-3</v>
      </c>
    </row>
    <row r="819" spans="1:4" x14ac:dyDescent="0.2">
      <c r="A819" s="1">
        <v>2020</v>
      </c>
      <c r="B819" s="1" t="s">
        <v>821</v>
      </c>
      <c r="C819" s="2">
        <v>229229</v>
      </c>
      <c r="D819" s="8">
        <v>1.9785000000000001E-4</v>
      </c>
    </row>
    <row r="820" spans="1:4" x14ac:dyDescent="0.2">
      <c r="A820" s="1">
        <v>2020</v>
      </c>
      <c r="B820" s="1" t="s">
        <v>822</v>
      </c>
      <c r="C820" s="2">
        <v>1440021</v>
      </c>
      <c r="D820" s="8">
        <v>1.2428700000000001E-3</v>
      </c>
    </row>
    <row r="821" spans="1:4" x14ac:dyDescent="0.2">
      <c r="A821" s="1">
        <v>2020</v>
      </c>
      <c r="B821" s="1" t="s">
        <v>823</v>
      </c>
      <c r="C821" s="2">
        <v>694106</v>
      </c>
      <c r="D821" s="8">
        <v>5.9907999999999999E-4</v>
      </c>
    </row>
    <row r="822" spans="1:4" x14ac:dyDescent="0.2">
      <c r="A822" s="1">
        <v>2020</v>
      </c>
      <c r="B822" s="1" t="s">
        <v>824</v>
      </c>
      <c r="C822" s="2">
        <v>2767394</v>
      </c>
      <c r="D822" s="8">
        <v>2.3885199999999999E-3</v>
      </c>
    </row>
    <row r="823" spans="1:4" x14ac:dyDescent="0.2">
      <c r="A823" s="1">
        <v>2020</v>
      </c>
      <c r="B823" s="1" t="s">
        <v>825</v>
      </c>
      <c r="C823" s="2">
        <v>187959</v>
      </c>
      <c r="D823" s="8">
        <v>1.6223E-4</v>
      </c>
    </row>
    <row r="824" spans="1:4" x14ac:dyDescent="0.2">
      <c r="A824" s="1">
        <v>2020</v>
      </c>
      <c r="B824" s="1" t="s">
        <v>826</v>
      </c>
      <c r="C824" s="2">
        <v>37798</v>
      </c>
      <c r="D824" s="8">
        <v>3.2620000000000003E-5</v>
      </c>
    </row>
    <row r="825" spans="1:4" x14ac:dyDescent="0.2">
      <c r="A825" s="1">
        <v>2020</v>
      </c>
      <c r="B825" s="1" t="s">
        <v>827</v>
      </c>
      <c r="C825" s="2">
        <v>128428</v>
      </c>
      <c r="D825" s="8">
        <v>1.1085E-4</v>
      </c>
    </row>
    <row r="826" spans="1:4" x14ac:dyDescent="0.2">
      <c r="A826" s="1">
        <v>2020</v>
      </c>
      <c r="B826" s="1" t="s">
        <v>828</v>
      </c>
      <c r="C826" s="2">
        <v>21577</v>
      </c>
      <c r="D826" s="8">
        <v>1.8620000000000001E-5</v>
      </c>
    </row>
    <row r="827" spans="1:4" x14ac:dyDescent="0.2">
      <c r="A827" s="1">
        <v>2020</v>
      </c>
      <c r="B827" s="1" t="s">
        <v>829</v>
      </c>
      <c r="C827" s="2">
        <v>851078</v>
      </c>
      <c r="D827" s="8">
        <v>7.3455999999999999E-4</v>
      </c>
    </row>
    <row r="828" spans="1:4" x14ac:dyDescent="0.2">
      <c r="A828" s="1">
        <v>2020</v>
      </c>
      <c r="B828" s="1" t="s">
        <v>830</v>
      </c>
      <c r="C828" s="2">
        <v>3309</v>
      </c>
      <c r="D828" s="8">
        <v>2.8600000000000001E-6</v>
      </c>
    </row>
    <row r="829" spans="1:4" x14ac:dyDescent="0.2">
      <c r="A829" s="1">
        <v>2020</v>
      </c>
      <c r="B829" s="1" t="s">
        <v>831</v>
      </c>
      <c r="C829" s="2">
        <v>2089286</v>
      </c>
      <c r="D829" s="8">
        <v>1.8032499999999999E-3</v>
      </c>
    </row>
    <row r="830" spans="1:4" x14ac:dyDescent="0.2">
      <c r="A830" s="1">
        <v>2020</v>
      </c>
      <c r="B830" s="1" t="s">
        <v>832</v>
      </c>
      <c r="C830" s="2">
        <v>321362</v>
      </c>
      <c r="D830" s="8">
        <v>2.7736999999999998E-4</v>
      </c>
    </row>
    <row r="831" spans="1:4" x14ac:dyDescent="0.2">
      <c r="A831" s="1">
        <v>2020</v>
      </c>
      <c r="B831" s="1" t="s">
        <v>833</v>
      </c>
      <c r="C831" s="2">
        <v>3553024</v>
      </c>
      <c r="D831" s="8">
        <v>3.0665900000000001E-3</v>
      </c>
    </row>
    <row r="832" spans="1:4" x14ac:dyDescent="0.2">
      <c r="A832" s="1">
        <v>2020</v>
      </c>
      <c r="B832" s="1" t="s">
        <v>834</v>
      </c>
      <c r="C832" s="2">
        <v>1274101</v>
      </c>
      <c r="D832" s="8">
        <v>1.0996700000000001E-3</v>
      </c>
    </row>
    <row r="833" spans="1:4" x14ac:dyDescent="0.2">
      <c r="A833" s="1">
        <v>2020</v>
      </c>
      <c r="B833" s="1" t="s">
        <v>835</v>
      </c>
      <c r="C833" s="2">
        <v>373738</v>
      </c>
      <c r="D833" s="8">
        <v>3.2257E-4</v>
      </c>
    </row>
    <row r="834" spans="1:4" x14ac:dyDescent="0.2">
      <c r="A834" s="1">
        <v>2020</v>
      </c>
      <c r="B834" s="1" t="s">
        <v>836</v>
      </c>
      <c r="C834" s="2">
        <v>9172</v>
      </c>
      <c r="D834" s="8">
        <v>7.9200000000000004E-6</v>
      </c>
    </row>
    <row r="835" spans="1:4" x14ac:dyDescent="0.2">
      <c r="A835" s="1">
        <v>2020</v>
      </c>
      <c r="B835" s="1" t="s">
        <v>837</v>
      </c>
      <c r="C835" s="2">
        <v>280584</v>
      </c>
      <c r="D835" s="8">
        <v>2.4216999999999999E-4</v>
      </c>
    </row>
    <row r="836" spans="1:4" x14ac:dyDescent="0.2">
      <c r="A836" s="1">
        <v>2020</v>
      </c>
      <c r="B836" s="1" t="s">
        <v>838</v>
      </c>
      <c r="C836" s="2">
        <v>51485</v>
      </c>
      <c r="D836" s="8">
        <v>4.4440000000000001E-5</v>
      </c>
    </row>
    <row r="837" spans="1:4" x14ac:dyDescent="0.2">
      <c r="A837" s="1">
        <v>2020</v>
      </c>
      <c r="B837" s="1" t="s">
        <v>839</v>
      </c>
      <c r="C837" s="2">
        <v>1262275</v>
      </c>
      <c r="D837" s="8">
        <v>1.08946E-3</v>
      </c>
    </row>
    <row r="838" spans="1:4" x14ac:dyDescent="0.2">
      <c r="A838" s="1">
        <v>2020</v>
      </c>
      <c r="B838" s="1" t="s">
        <v>840</v>
      </c>
      <c r="C838" s="2">
        <v>584948</v>
      </c>
      <c r="D838" s="8">
        <v>5.0485999999999999E-4</v>
      </c>
    </row>
    <row r="839" spans="1:4" x14ac:dyDescent="0.2">
      <c r="A839" s="1">
        <v>2020</v>
      </c>
      <c r="B839" s="1" t="s">
        <v>841</v>
      </c>
      <c r="C839" s="2">
        <v>27057</v>
      </c>
      <c r="D839" s="8">
        <v>2.3349999999999998E-5</v>
      </c>
    </row>
    <row r="840" spans="1:4" x14ac:dyDescent="0.2">
      <c r="A840" s="1">
        <v>2020</v>
      </c>
      <c r="B840" s="1" t="s">
        <v>842</v>
      </c>
      <c r="C840" s="2">
        <v>3932</v>
      </c>
      <c r="D840" s="8">
        <v>3.3900000000000002E-6</v>
      </c>
    </row>
    <row r="841" spans="1:4" x14ac:dyDescent="0.2">
      <c r="A841" s="1">
        <v>2020</v>
      </c>
      <c r="B841" s="1" t="s">
        <v>843</v>
      </c>
      <c r="C841" s="2">
        <v>135746</v>
      </c>
      <c r="D841" s="8">
        <v>1.1716E-4</v>
      </c>
    </row>
    <row r="842" spans="1:4" x14ac:dyDescent="0.2">
      <c r="A842" s="1">
        <v>2020</v>
      </c>
      <c r="B842" s="1" t="s">
        <v>844</v>
      </c>
      <c r="C842" s="2">
        <v>564760</v>
      </c>
      <c r="D842" s="8">
        <v>4.8744000000000001E-4</v>
      </c>
    </row>
    <row r="843" spans="1:4" x14ac:dyDescent="0.2">
      <c r="A843" s="1">
        <v>2020</v>
      </c>
      <c r="B843" s="1" t="s">
        <v>845</v>
      </c>
      <c r="C843" s="2">
        <v>429470</v>
      </c>
      <c r="D843" s="8">
        <v>3.7066999999999997E-4</v>
      </c>
    </row>
    <row r="844" spans="1:4" x14ac:dyDescent="0.2">
      <c r="A844" s="1">
        <v>2020</v>
      </c>
      <c r="B844" s="1" t="s">
        <v>846</v>
      </c>
      <c r="C844" s="2">
        <v>6790</v>
      </c>
      <c r="D844" s="8">
        <v>5.8599999999999998E-6</v>
      </c>
    </row>
    <row r="845" spans="1:4" x14ac:dyDescent="0.2">
      <c r="A845" s="1">
        <v>2020</v>
      </c>
      <c r="B845" s="1" t="s">
        <v>847</v>
      </c>
      <c r="C845" s="2">
        <v>18393</v>
      </c>
      <c r="D845" s="8">
        <v>1.588E-5</v>
      </c>
    </row>
    <row r="846" spans="1:4" x14ac:dyDescent="0.2">
      <c r="A846" s="1">
        <v>2020</v>
      </c>
      <c r="B846" s="1" t="s">
        <v>848</v>
      </c>
      <c r="C846" s="2">
        <v>518552</v>
      </c>
      <c r="D846" s="8">
        <v>4.4756E-4</v>
      </c>
    </row>
    <row r="847" spans="1:4" x14ac:dyDescent="0.2">
      <c r="A847" s="1">
        <v>2020</v>
      </c>
      <c r="B847" s="1" t="s">
        <v>849</v>
      </c>
      <c r="C847" s="2">
        <v>34070</v>
      </c>
      <c r="D847" s="8">
        <v>2.9410000000000001E-5</v>
      </c>
    </row>
    <row r="848" spans="1:4" x14ac:dyDescent="0.2">
      <c r="A848" s="1">
        <v>2020</v>
      </c>
      <c r="B848" s="1" t="s">
        <v>850</v>
      </c>
      <c r="C848" s="2">
        <v>2071438</v>
      </c>
      <c r="D848" s="8">
        <v>1.78784E-3</v>
      </c>
    </row>
    <row r="849" spans="1:4" x14ac:dyDescent="0.2">
      <c r="A849" s="1">
        <v>2020</v>
      </c>
      <c r="B849" s="1" t="s">
        <v>851</v>
      </c>
      <c r="C849" s="2">
        <v>526535</v>
      </c>
      <c r="D849" s="8">
        <v>4.5445000000000001E-4</v>
      </c>
    </row>
    <row r="850" spans="1:4" x14ac:dyDescent="0.2">
      <c r="A850" s="1">
        <v>2020</v>
      </c>
      <c r="B850" s="1" t="s">
        <v>852</v>
      </c>
      <c r="C850" s="2">
        <v>1433346</v>
      </c>
      <c r="D850" s="8">
        <v>1.23711E-3</v>
      </c>
    </row>
    <row r="851" spans="1:4" x14ac:dyDescent="0.2">
      <c r="A851" s="1">
        <v>2020</v>
      </c>
      <c r="B851" s="1" t="s">
        <v>853</v>
      </c>
      <c r="C851" s="2">
        <v>981384</v>
      </c>
      <c r="D851" s="8">
        <v>8.4703000000000003E-4</v>
      </c>
    </row>
    <row r="852" spans="1:4" x14ac:dyDescent="0.2">
      <c r="A852" s="1">
        <v>2020</v>
      </c>
      <c r="B852" s="1" t="s">
        <v>899</v>
      </c>
      <c r="C852" s="2">
        <v>14964</v>
      </c>
      <c r="D852" s="8">
        <v>1.292E-5</v>
      </c>
    </row>
    <row r="853" spans="1:4" x14ac:dyDescent="0.2">
      <c r="A853" s="1">
        <v>2020</v>
      </c>
      <c r="B853" s="1" t="s">
        <v>855</v>
      </c>
      <c r="C853" s="2">
        <v>6324</v>
      </c>
      <c r="D853" s="8">
        <v>5.4600000000000002E-6</v>
      </c>
    </row>
    <row r="854" spans="1:4" x14ac:dyDescent="0.2">
      <c r="A854" s="1">
        <v>2020</v>
      </c>
      <c r="B854" s="1" t="s">
        <v>856</v>
      </c>
      <c r="C854" s="2">
        <v>16690</v>
      </c>
      <c r="D854" s="8">
        <v>1.4399999999999999E-5</v>
      </c>
    </row>
    <row r="855" spans="1:4" x14ac:dyDescent="0.2">
      <c r="A855" s="1">
        <v>2020</v>
      </c>
      <c r="B855" s="1" t="s">
        <v>857</v>
      </c>
      <c r="C855" s="2">
        <v>7093</v>
      </c>
      <c r="D855" s="8">
        <v>6.1199999999999999E-6</v>
      </c>
    </row>
    <row r="856" spans="1:4" x14ac:dyDescent="0.2">
      <c r="A856" s="1">
        <v>2020</v>
      </c>
      <c r="B856" s="1" t="s">
        <v>858</v>
      </c>
      <c r="C856" s="2">
        <v>101276</v>
      </c>
      <c r="D856" s="8">
        <v>8.7410000000000005E-5</v>
      </c>
    </row>
    <row r="857" spans="1:4" x14ac:dyDescent="0.2">
      <c r="A857" s="1">
        <v>2020</v>
      </c>
      <c r="B857" s="1" t="s">
        <v>859</v>
      </c>
      <c r="C857" s="2">
        <v>103232</v>
      </c>
      <c r="D857" s="8">
        <v>8.9099999999999997E-5</v>
      </c>
    </row>
    <row r="859" spans="1:4" x14ac:dyDescent="0.2">
      <c r="B859" s="3" t="s">
        <v>861</v>
      </c>
      <c r="C859" s="2">
        <f>SUM(C2:C857)</f>
        <v>1158624121</v>
      </c>
    </row>
    <row r="860" spans="1:4" x14ac:dyDescent="0.2">
      <c r="B860" s="3"/>
    </row>
    <row r="861" spans="1:4" x14ac:dyDescent="0.2">
      <c r="B861" s="3" t="s">
        <v>860</v>
      </c>
      <c r="C861" s="2">
        <v>1158624120</v>
      </c>
    </row>
    <row r="863" spans="1:4" x14ac:dyDescent="0.2">
      <c r="B863" s="4" t="s">
        <v>862</v>
      </c>
      <c r="C863" s="5">
        <f>C859-C861</f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4095-F4BC-B946-B5F2-D784A773257C}">
  <sheetPr>
    <tabColor rgb="FFFFFF00"/>
  </sheetPr>
  <dimension ref="A1:D866"/>
  <sheetViews>
    <sheetView workbookViewId="0">
      <selection activeCell="A2" sqref="A2:D860"/>
    </sheetView>
  </sheetViews>
  <sheetFormatPr baseColWidth="10" defaultRowHeight="16" x14ac:dyDescent="0.2"/>
  <cols>
    <col min="1" max="1" width="10.83203125" style="1"/>
    <col min="2" max="2" width="38.1640625" style="1" bestFit="1" customWidth="1"/>
    <col min="3" max="3" width="19.6640625" style="1" bestFit="1" customWidth="1"/>
    <col min="4" max="4" width="10.83203125" style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2019</v>
      </c>
      <c r="B2" s="1" t="s">
        <v>0</v>
      </c>
      <c r="C2" s="2">
        <v>492583</v>
      </c>
      <c r="D2" s="8">
        <v>4.8021000000000001E-4</v>
      </c>
    </row>
    <row r="3" spans="1:4" x14ac:dyDescent="0.2">
      <c r="A3" s="1">
        <v>2019</v>
      </c>
      <c r="B3" s="1" t="s">
        <v>1</v>
      </c>
      <c r="C3" s="2">
        <v>1061590</v>
      </c>
      <c r="D3" s="8">
        <v>1.0349300000000001E-3</v>
      </c>
    </row>
    <row r="4" spans="1:4" x14ac:dyDescent="0.2">
      <c r="A4" s="1">
        <v>2019</v>
      </c>
      <c r="B4" s="1" t="s">
        <v>2</v>
      </c>
      <c r="C4" s="2">
        <v>92219</v>
      </c>
      <c r="D4" s="8">
        <v>8.9900000000000003E-5</v>
      </c>
    </row>
    <row r="5" spans="1:4" x14ac:dyDescent="0.2">
      <c r="A5" s="1">
        <v>2019</v>
      </c>
      <c r="B5" s="1" t="s">
        <v>3</v>
      </c>
      <c r="C5" s="2">
        <v>28154</v>
      </c>
      <c r="D5" s="8">
        <v>2.745E-5</v>
      </c>
    </row>
    <row r="6" spans="1:4" x14ac:dyDescent="0.2">
      <c r="A6" s="1">
        <v>2019</v>
      </c>
      <c r="B6" s="1" t="s">
        <v>912</v>
      </c>
      <c r="C6" s="2">
        <v>1296181</v>
      </c>
      <c r="D6" s="8">
        <v>1.26363E-3</v>
      </c>
    </row>
    <row r="7" spans="1:4" x14ac:dyDescent="0.2">
      <c r="A7" s="1">
        <v>2019</v>
      </c>
      <c r="B7" s="1" t="s">
        <v>5</v>
      </c>
      <c r="C7" s="2">
        <v>12275</v>
      </c>
      <c r="D7" s="8">
        <v>1.1970000000000001E-5</v>
      </c>
    </row>
    <row r="8" spans="1:4" x14ac:dyDescent="0.2">
      <c r="A8" s="1">
        <v>2019</v>
      </c>
      <c r="B8" s="1" t="s">
        <v>6</v>
      </c>
      <c r="C8" s="2">
        <v>2673191</v>
      </c>
      <c r="D8" s="8">
        <v>2.6060699999999998E-3</v>
      </c>
    </row>
    <row r="9" spans="1:4" x14ac:dyDescent="0.2">
      <c r="A9" s="1">
        <v>2019</v>
      </c>
      <c r="B9" s="1" t="s">
        <v>7</v>
      </c>
      <c r="C9" s="2">
        <v>1066422</v>
      </c>
      <c r="D9" s="8">
        <v>1.0396400000000001E-3</v>
      </c>
    </row>
    <row r="10" spans="1:4" x14ac:dyDescent="0.2">
      <c r="A10" s="1">
        <v>2019</v>
      </c>
      <c r="B10" s="1" t="s">
        <v>913</v>
      </c>
      <c r="C10" s="2">
        <v>2770724</v>
      </c>
      <c r="D10" s="8">
        <v>2.7011499999999998E-3</v>
      </c>
    </row>
    <row r="11" spans="1:4" x14ac:dyDescent="0.2">
      <c r="A11" s="1">
        <v>2019</v>
      </c>
      <c r="B11" s="1" t="s">
        <v>914</v>
      </c>
      <c r="C11" s="2">
        <v>915263</v>
      </c>
      <c r="D11" s="8">
        <v>8.9227999999999996E-4</v>
      </c>
    </row>
    <row r="12" spans="1:4" x14ac:dyDescent="0.2">
      <c r="A12" s="1">
        <v>2019</v>
      </c>
      <c r="B12" s="1" t="s">
        <v>915</v>
      </c>
      <c r="C12" s="2">
        <v>4419020</v>
      </c>
      <c r="D12" s="8">
        <v>4.3080599999999998E-3</v>
      </c>
    </row>
    <row r="13" spans="1:4" x14ac:dyDescent="0.2">
      <c r="A13" s="1">
        <v>2019</v>
      </c>
      <c r="B13" s="1" t="s">
        <v>916</v>
      </c>
      <c r="C13" s="2">
        <v>1073280</v>
      </c>
      <c r="D13" s="8">
        <v>1.04633E-3</v>
      </c>
    </row>
    <row r="14" spans="1:4" x14ac:dyDescent="0.2">
      <c r="A14" s="1">
        <v>2019</v>
      </c>
      <c r="B14" s="1" t="s">
        <v>917</v>
      </c>
      <c r="C14" s="2">
        <v>375186</v>
      </c>
      <c r="D14" s="8">
        <v>3.6576000000000002E-4</v>
      </c>
    </row>
    <row r="15" spans="1:4" x14ac:dyDescent="0.2">
      <c r="A15" s="1">
        <v>2019</v>
      </c>
      <c r="B15" s="1" t="s">
        <v>13</v>
      </c>
      <c r="C15" s="2">
        <v>745444</v>
      </c>
      <c r="D15" s="8">
        <v>7.2672999999999998E-4</v>
      </c>
    </row>
    <row r="16" spans="1:4" x14ac:dyDescent="0.2">
      <c r="A16" s="1">
        <v>2019</v>
      </c>
      <c r="B16" s="1" t="s">
        <v>15</v>
      </c>
      <c r="C16" s="2">
        <v>1275374</v>
      </c>
      <c r="D16" s="8">
        <v>1.2433500000000001E-3</v>
      </c>
    </row>
    <row r="17" spans="1:4" x14ac:dyDescent="0.2">
      <c r="A17" s="1">
        <v>2019</v>
      </c>
      <c r="B17" s="1" t="s">
        <v>16</v>
      </c>
      <c r="C17" s="2">
        <v>11958</v>
      </c>
      <c r="D17" s="8">
        <v>1.166E-5</v>
      </c>
    </row>
    <row r="18" spans="1:4" x14ac:dyDescent="0.2">
      <c r="A18" s="1">
        <v>2019</v>
      </c>
      <c r="B18" s="1" t="s">
        <v>17</v>
      </c>
      <c r="C18" s="2">
        <v>27899</v>
      </c>
      <c r="D18" s="8">
        <v>2.72E-5</v>
      </c>
    </row>
    <row r="19" spans="1:4" x14ac:dyDescent="0.2">
      <c r="A19" s="1">
        <v>2019</v>
      </c>
      <c r="B19" s="1" t="s">
        <v>18</v>
      </c>
      <c r="C19" s="2">
        <v>150791</v>
      </c>
      <c r="D19" s="8">
        <v>1.47E-4</v>
      </c>
    </row>
    <row r="20" spans="1:4" x14ac:dyDescent="0.2">
      <c r="A20" s="1">
        <v>2019</v>
      </c>
      <c r="B20" s="1" t="s">
        <v>19</v>
      </c>
      <c r="C20" s="2">
        <v>18212</v>
      </c>
      <c r="D20" s="8">
        <v>1.7750000000000001E-5</v>
      </c>
    </row>
    <row r="21" spans="1:4" x14ac:dyDescent="0.2">
      <c r="A21" s="1">
        <v>2019</v>
      </c>
      <c r="B21" s="1" t="s">
        <v>20</v>
      </c>
      <c r="C21" s="2">
        <v>973590</v>
      </c>
      <c r="D21" s="8">
        <v>9.4914000000000001E-4</v>
      </c>
    </row>
    <row r="22" spans="1:4" x14ac:dyDescent="0.2">
      <c r="A22" s="1">
        <v>2019</v>
      </c>
      <c r="B22" s="1" t="s">
        <v>21</v>
      </c>
      <c r="C22" s="2">
        <v>12402</v>
      </c>
      <c r="D22" s="8">
        <v>1.2089999999999999E-5</v>
      </c>
    </row>
    <row r="23" spans="1:4" x14ac:dyDescent="0.2">
      <c r="A23" s="1">
        <v>2019</v>
      </c>
      <c r="B23" s="1" t="s">
        <v>22</v>
      </c>
      <c r="C23" s="2">
        <v>9461</v>
      </c>
      <c r="D23" s="8">
        <v>9.2199999999999998E-6</v>
      </c>
    </row>
    <row r="24" spans="1:4" x14ac:dyDescent="0.2">
      <c r="A24" s="1">
        <v>2019</v>
      </c>
      <c r="B24" s="1" t="s">
        <v>23</v>
      </c>
      <c r="C24" s="2">
        <v>90857</v>
      </c>
      <c r="D24" s="8">
        <v>8.8579999999999996E-5</v>
      </c>
    </row>
    <row r="25" spans="1:4" x14ac:dyDescent="0.2">
      <c r="A25" s="1">
        <v>2019</v>
      </c>
      <c r="B25" s="1" t="s">
        <v>24</v>
      </c>
      <c r="C25" s="2">
        <v>35211</v>
      </c>
      <c r="D25" s="8">
        <v>3.4329999999999998E-5</v>
      </c>
    </row>
    <row r="26" spans="1:4" x14ac:dyDescent="0.2">
      <c r="A26" s="1">
        <v>2019</v>
      </c>
      <c r="B26" s="1" t="s">
        <v>918</v>
      </c>
      <c r="C26" s="2">
        <v>1077295</v>
      </c>
      <c r="D26" s="8">
        <v>1.05024E-3</v>
      </c>
    </row>
    <row r="27" spans="1:4" x14ac:dyDescent="0.2">
      <c r="A27" s="1">
        <v>2019</v>
      </c>
      <c r="B27" s="1" t="s">
        <v>919</v>
      </c>
      <c r="C27" s="2">
        <v>488779</v>
      </c>
      <c r="D27" s="8">
        <v>4.7650999999999998E-4</v>
      </c>
    </row>
    <row r="28" spans="1:4" x14ac:dyDescent="0.2">
      <c r="A28" s="1">
        <v>2019</v>
      </c>
      <c r="B28" s="1" t="s">
        <v>28</v>
      </c>
      <c r="C28" s="2">
        <v>15899</v>
      </c>
      <c r="D28" s="8">
        <v>1.5500000000000001E-5</v>
      </c>
    </row>
    <row r="29" spans="1:4" x14ac:dyDescent="0.2">
      <c r="A29" s="1">
        <v>2019</v>
      </c>
      <c r="B29" s="1" t="s">
        <v>29</v>
      </c>
      <c r="C29" s="2">
        <v>3006282</v>
      </c>
      <c r="D29" s="8">
        <v>2.93079E-3</v>
      </c>
    </row>
    <row r="30" spans="1:4" x14ac:dyDescent="0.2">
      <c r="A30" s="1">
        <v>2019</v>
      </c>
      <c r="B30" s="1" t="s">
        <v>30</v>
      </c>
      <c r="C30" s="2">
        <v>187504</v>
      </c>
      <c r="D30" s="8">
        <v>1.828E-4</v>
      </c>
    </row>
    <row r="31" spans="1:4" x14ac:dyDescent="0.2">
      <c r="A31" s="1">
        <v>2019</v>
      </c>
      <c r="B31" s="1" t="s">
        <v>31</v>
      </c>
      <c r="C31" s="2">
        <v>12004</v>
      </c>
      <c r="D31" s="8">
        <v>1.17E-5</v>
      </c>
    </row>
    <row r="32" spans="1:4" x14ac:dyDescent="0.2">
      <c r="A32" s="1">
        <v>2019</v>
      </c>
      <c r="B32" s="1" t="s">
        <v>32</v>
      </c>
      <c r="C32" s="2">
        <v>762487</v>
      </c>
      <c r="D32" s="8">
        <v>7.4333999999999999E-4</v>
      </c>
    </row>
    <row r="33" spans="1:4" x14ac:dyDescent="0.2">
      <c r="A33" s="1">
        <v>2019</v>
      </c>
      <c r="B33" s="1" t="s">
        <v>33</v>
      </c>
      <c r="C33" s="2">
        <v>879752</v>
      </c>
      <c r="D33" s="8">
        <v>8.5766E-4</v>
      </c>
    </row>
    <row r="34" spans="1:4" x14ac:dyDescent="0.2">
      <c r="A34" s="1">
        <v>2019</v>
      </c>
      <c r="B34" s="1" t="s">
        <v>34</v>
      </c>
      <c r="C34" s="2">
        <v>13222</v>
      </c>
      <c r="D34" s="8">
        <v>1.289E-5</v>
      </c>
    </row>
    <row r="35" spans="1:4" x14ac:dyDescent="0.2">
      <c r="A35" s="1">
        <v>2019</v>
      </c>
      <c r="B35" s="1" t="s">
        <v>35</v>
      </c>
      <c r="C35" s="2">
        <v>24743</v>
      </c>
      <c r="D35" s="8">
        <v>2.4119999999999999E-5</v>
      </c>
    </row>
    <row r="36" spans="1:4" x14ac:dyDescent="0.2">
      <c r="A36" s="1">
        <v>2019</v>
      </c>
      <c r="B36" s="1" t="s">
        <v>36</v>
      </c>
      <c r="C36" s="2">
        <v>1021679</v>
      </c>
      <c r="D36" s="8">
        <v>9.9602000000000002E-4</v>
      </c>
    </row>
    <row r="37" spans="1:4" x14ac:dyDescent="0.2">
      <c r="A37" s="1">
        <v>2019</v>
      </c>
      <c r="B37" s="1" t="s">
        <v>37</v>
      </c>
      <c r="C37" s="2">
        <v>175202</v>
      </c>
      <c r="D37" s="8">
        <v>1.708E-4</v>
      </c>
    </row>
    <row r="38" spans="1:4" x14ac:dyDescent="0.2">
      <c r="A38" s="1">
        <v>2019</v>
      </c>
      <c r="B38" s="1" t="s">
        <v>38</v>
      </c>
      <c r="C38" s="2">
        <v>627916</v>
      </c>
      <c r="D38" s="8">
        <v>6.1215E-4</v>
      </c>
    </row>
    <row r="39" spans="1:4" x14ac:dyDescent="0.2">
      <c r="A39" s="1">
        <v>2019</v>
      </c>
      <c r="B39" s="1" t="s">
        <v>920</v>
      </c>
      <c r="C39" s="2">
        <v>1684809</v>
      </c>
      <c r="D39" s="8">
        <v>1.6425000000000001E-3</v>
      </c>
    </row>
    <row r="40" spans="1:4" x14ac:dyDescent="0.2">
      <c r="A40" s="1">
        <v>2019</v>
      </c>
      <c r="B40" s="1" t="s">
        <v>40</v>
      </c>
      <c r="C40" s="2">
        <v>47808</v>
      </c>
      <c r="D40" s="8">
        <v>4.6610000000000003E-5</v>
      </c>
    </row>
    <row r="41" spans="1:4" x14ac:dyDescent="0.2">
      <c r="A41" s="1">
        <v>2019</v>
      </c>
      <c r="B41" s="1" t="s">
        <v>41</v>
      </c>
      <c r="C41" s="2">
        <v>18331</v>
      </c>
      <c r="D41" s="8">
        <v>1.787E-5</v>
      </c>
    </row>
    <row r="42" spans="1:4" x14ac:dyDescent="0.2">
      <c r="A42" s="1">
        <v>2019</v>
      </c>
      <c r="B42" s="1" t="s">
        <v>42</v>
      </c>
      <c r="C42" s="2">
        <v>41175</v>
      </c>
      <c r="D42" s="8">
        <v>4.0139999999999999E-5</v>
      </c>
    </row>
    <row r="43" spans="1:4" x14ac:dyDescent="0.2">
      <c r="A43" s="1">
        <v>2019</v>
      </c>
      <c r="B43" s="1" t="s">
        <v>43</v>
      </c>
      <c r="C43" s="2">
        <v>131948</v>
      </c>
      <c r="D43" s="8">
        <v>1.2863999999999999E-4</v>
      </c>
    </row>
    <row r="44" spans="1:4" x14ac:dyDescent="0.2">
      <c r="A44" s="1">
        <v>2019</v>
      </c>
      <c r="B44" s="1" t="s">
        <v>44</v>
      </c>
      <c r="C44" s="2">
        <v>166321</v>
      </c>
      <c r="D44" s="8">
        <v>1.6213999999999999E-4</v>
      </c>
    </row>
    <row r="45" spans="1:4" x14ac:dyDescent="0.2">
      <c r="A45" s="1">
        <v>2019</v>
      </c>
      <c r="B45" s="1" t="s">
        <v>45</v>
      </c>
      <c r="C45" s="2">
        <v>4309</v>
      </c>
      <c r="D45" s="8">
        <v>4.1999999999999996E-6</v>
      </c>
    </row>
    <row r="46" spans="1:4" x14ac:dyDescent="0.2">
      <c r="A46" s="1">
        <v>2019</v>
      </c>
      <c r="B46" s="1" t="s">
        <v>921</v>
      </c>
      <c r="C46" s="2">
        <v>977002</v>
      </c>
      <c r="D46" s="8">
        <v>9.5246999999999997E-4</v>
      </c>
    </row>
    <row r="47" spans="1:4" x14ac:dyDescent="0.2">
      <c r="A47" s="1">
        <v>2019</v>
      </c>
      <c r="B47" s="1" t="s">
        <v>922</v>
      </c>
      <c r="C47" s="2">
        <v>328487</v>
      </c>
      <c r="D47" s="8">
        <v>3.2024000000000001E-4</v>
      </c>
    </row>
    <row r="48" spans="1:4" x14ac:dyDescent="0.2">
      <c r="A48" s="1">
        <v>2019</v>
      </c>
      <c r="B48" s="1" t="s">
        <v>48</v>
      </c>
      <c r="C48" s="2">
        <v>12054</v>
      </c>
      <c r="D48" s="8">
        <v>1.1749999999999999E-5</v>
      </c>
    </row>
    <row r="49" spans="1:4" x14ac:dyDescent="0.2">
      <c r="A49" s="1">
        <v>2019</v>
      </c>
      <c r="B49" s="1" t="s">
        <v>49</v>
      </c>
      <c r="C49" s="2">
        <v>20114</v>
      </c>
      <c r="D49" s="8">
        <v>1.961E-5</v>
      </c>
    </row>
    <row r="50" spans="1:4" x14ac:dyDescent="0.2">
      <c r="A50" s="1">
        <v>2019</v>
      </c>
      <c r="B50" s="1" t="s">
        <v>50</v>
      </c>
      <c r="C50" s="2">
        <v>4716514</v>
      </c>
      <c r="D50" s="8">
        <v>4.59808E-3</v>
      </c>
    </row>
    <row r="51" spans="1:4" x14ac:dyDescent="0.2">
      <c r="A51" s="1">
        <v>2019</v>
      </c>
      <c r="B51" s="1" t="s">
        <v>51</v>
      </c>
      <c r="C51" s="2">
        <v>285940</v>
      </c>
      <c r="D51" s="8">
        <v>2.7876000000000002E-4</v>
      </c>
    </row>
    <row r="52" spans="1:4" x14ac:dyDescent="0.2">
      <c r="A52" s="1">
        <v>2019</v>
      </c>
      <c r="B52" s="1" t="s">
        <v>52</v>
      </c>
      <c r="C52" s="2">
        <v>5199389</v>
      </c>
      <c r="D52" s="8">
        <v>5.0688299999999999E-3</v>
      </c>
    </row>
    <row r="53" spans="1:4" x14ac:dyDescent="0.2">
      <c r="A53" s="1">
        <v>2019</v>
      </c>
      <c r="B53" s="1" t="s">
        <v>53</v>
      </c>
      <c r="C53" s="2">
        <v>10844</v>
      </c>
      <c r="D53" s="8">
        <v>1.057E-5</v>
      </c>
    </row>
    <row r="54" spans="1:4" x14ac:dyDescent="0.2">
      <c r="A54" s="1">
        <v>2019</v>
      </c>
      <c r="B54" s="1" t="s">
        <v>54</v>
      </c>
      <c r="C54" s="2">
        <v>7659</v>
      </c>
      <c r="D54" s="8">
        <v>7.4699999999999996E-6</v>
      </c>
    </row>
    <row r="55" spans="1:4" x14ac:dyDescent="0.2">
      <c r="A55" s="1">
        <v>2019</v>
      </c>
      <c r="B55" s="1" t="s">
        <v>55</v>
      </c>
      <c r="C55" s="2">
        <v>11025</v>
      </c>
      <c r="D55" s="8">
        <v>1.075E-5</v>
      </c>
    </row>
    <row r="56" spans="1:4" x14ac:dyDescent="0.2">
      <c r="A56" s="1">
        <v>2019</v>
      </c>
      <c r="B56" s="1" t="s">
        <v>56</v>
      </c>
      <c r="C56" s="2">
        <v>52711</v>
      </c>
      <c r="D56" s="8">
        <v>5.1390000000000001E-5</v>
      </c>
    </row>
    <row r="57" spans="1:4" x14ac:dyDescent="0.2">
      <c r="A57" s="1">
        <v>2019</v>
      </c>
      <c r="B57" s="1" t="s">
        <v>923</v>
      </c>
      <c r="C57" s="2">
        <v>51859</v>
      </c>
      <c r="D57" s="8">
        <v>5.0559999999999997E-5</v>
      </c>
    </row>
    <row r="58" spans="1:4" x14ac:dyDescent="0.2">
      <c r="A58" s="1">
        <v>2019</v>
      </c>
      <c r="B58" s="1" t="s">
        <v>924</v>
      </c>
      <c r="C58" s="2">
        <v>1223642</v>
      </c>
      <c r="D58" s="8">
        <v>1.1929200000000001E-3</v>
      </c>
    </row>
    <row r="59" spans="1:4" x14ac:dyDescent="0.2">
      <c r="A59" s="1">
        <v>2019</v>
      </c>
      <c r="B59" s="1" t="s">
        <v>925</v>
      </c>
      <c r="C59" s="2">
        <v>4102</v>
      </c>
      <c r="D59" s="8">
        <v>3.9999999999999998E-6</v>
      </c>
    </row>
    <row r="60" spans="1:4" x14ac:dyDescent="0.2">
      <c r="A60" s="1">
        <v>2019</v>
      </c>
      <c r="B60" s="1" t="s">
        <v>60</v>
      </c>
      <c r="C60" s="2">
        <v>51190</v>
      </c>
      <c r="D60" s="8">
        <v>4.99E-5</v>
      </c>
    </row>
    <row r="61" spans="1:4" x14ac:dyDescent="0.2">
      <c r="A61" s="1">
        <v>2019</v>
      </c>
      <c r="B61" s="1" t="s">
        <v>61</v>
      </c>
      <c r="C61" s="2">
        <v>454933</v>
      </c>
      <c r="D61" s="8">
        <v>4.4350999999999999E-4</v>
      </c>
    </row>
    <row r="62" spans="1:4" x14ac:dyDescent="0.2">
      <c r="A62" s="1">
        <v>2019</v>
      </c>
      <c r="B62" s="1" t="s">
        <v>62</v>
      </c>
      <c r="C62" s="2">
        <v>132656</v>
      </c>
      <c r="D62" s="8">
        <v>1.2931999999999999E-4</v>
      </c>
    </row>
    <row r="63" spans="1:4" x14ac:dyDescent="0.2">
      <c r="A63" s="1">
        <v>2019</v>
      </c>
      <c r="B63" s="1" t="s">
        <v>63</v>
      </c>
      <c r="C63" s="2">
        <v>47169</v>
      </c>
      <c r="D63" s="8">
        <v>4.5979999999999997E-5</v>
      </c>
    </row>
    <row r="64" spans="1:4" x14ac:dyDescent="0.2">
      <c r="A64" s="1">
        <v>2019</v>
      </c>
      <c r="B64" s="1" t="s">
        <v>64</v>
      </c>
      <c r="C64" s="2">
        <v>1022799</v>
      </c>
      <c r="D64" s="8">
        <v>9.9711999999999999E-4</v>
      </c>
    </row>
    <row r="65" spans="1:4" x14ac:dyDescent="0.2">
      <c r="A65" s="1">
        <v>2019</v>
      </c>
      <c r="B65" s="1" t="s">
        <v>65</v>
      </c>
      <c r="C65" s="2">
        <v>6388512</v>
      </c>
      <c r="D65" s="8">
        <v>6.2280900000000004E-3</v>
      </c>
    </row>
    <row r="66" spans="1:4" x14ac:dyDescent="0.2">
      <c r="A66" s="1">
        <v>2019</v>
      </c>
      <c r="B66" s="1" t="s">
        <v>66</v>
      </c>
      <c r="C66" s="2">
        <v>37221</v>
      </c>
      <c r="D66" s="8">
        <v>3.629E-5</v>
      </c>
    </row>
    <row r="67" spans="1:4" x14ac:dyDescent="0.2">
      <c r="A67" s="1">
        <v>2019</v>
      </c>
      <c r="B67" s="1" t="s">
        <v>67</v>
      </c>
      <c r="C67" s="2">
        <v>1058706</v>
      </c>
      <c r="D67" s="8">
        <v>1.0321200000000001E-3</v>
      </c>
    </row>
    <row r="68" spans="1:4" x14ac:dyDescent="0.2">
      <c r="A68" s="1">
        <v>2019</v>
      </c>
      <c r="B68" s="1" t="s">
        <v>68</v>
      </c>
      <c r="C68" s="2">
        <v>915330</v>
      </c>
      <c r="D68" s="8">
        <v>8.9234999999999998E-4</v>
      </c>
    </row>
    <row r="69" spans="1:4" x14ac:dyDescent="0.2">
      <c r="A69" s="1">
        <v>2019</v>
      </c>
      <c r="B69" s="1" t="s">
        <v>69</v>
      </c>
      <c r="C69" s="2">
        <v>2457322</v>
      </c>
      <c r="D69" s="8">
        <v>2.3956200000000002E-3</v>
      </c>
    </row>
    <row r="70" spans="1:4" x14ac:dyDescent="0.2">
      <c r="A70" s="1">
        <v>2019</v>
      </c>
      <c r="B70" s="1" t="s">
        <v>70</v>
      </c>
      <c r="C70" s="2">
        <v>50995</v>
      </c>
      <c r="D70" s="8">
        <v>4.9709999999999997E-5</v>
      </c>
    </row>
    <row r="71" spans="1:4" x14ac:dyDescent="0.2">
      <c r="A71" s="1">
        <v>2019</v>
      </c>
      <c r="B71" s="1" t="s">
        <v>71</v>
      </c>
      <c r="C71" s="2">
        <v>54639</v>
      </c>
      <c r="D71" s="8">
        <v>5.3270000000000003E-5</v>
      </c>
    </row>
    <row r="72" spans="1:4" x14ac:dyDescent="0.2">
      <c r="A72" s="1">
        <v>2019</v>
      </c>
      <c r="B72" s="1" t="s">
        <v>72</v>
      </c>
      <c r="C72" s="2">
        <v>113062</v>
      </c>
      <c r="D72" s="8">
        <v>1.1022E-4</v>
      </c>
    </row>
    <row r="73" spans="1:4" x14ac:dyDescent="0.2">
      <c r="A73" s="1">
        <v>2019</v>
      </c>
      <c r="B73" s="1" t="s">
        <v>73</v>
      </c>
      <c r="C73" s="2">
        <v>28556</v>
      </c>
      <c r="D73" s="8">
        <v>2.7840000000000001E-5</v>
      </c>
    </row>
    <row r="74" spans="1:4" x14ac:dyDescent="0.2">
      <c r="A74" s="1">
        <v>2019</v>
      </c>
      <c r="B74" s="1" t="s">
        <v>74</v>
      </c>
      <c r="C74" s="2">
        <v>1254078</v>
      </c>
      <c r="D74" s="8">
        <v>1.22259E-3</v>
      </c>
    </row>
    <row r="75" spans="1:4" x14ac:dyDescent="0.2">
      <c r="A75" s="1">
        <v>2019</v>
      </c>
      <c r="B75" s="1" t="s">
        <v>75</v>
      </c>
      <c r="C75" s="2">
        <v>28838</v>
      </c>
      <c r="D75" s="8">
        <v>2.811E-5</v>
      </c>
    </row>
    <row r="76" spans="1:4" x14ac:dyDescent="0.2">
      <c r="A76" s="1">
        <v>2019</v>
      </c>
      <c r="B76" s="1" t="s">
        <v>76</v>
      </c>
      <c r="C76" s="2">
        <v>200229</v>
      </c>
      <c r="D76" s="8">
        <v>1.952E-4</v>
      </c>
    </row>
    <row r="77" spans="1:4" x14ac:dyDescent="0.2">
      <c r="A77" s="1">
        <v>2019</v>
      </c>
      <c r="B77" s="1" t="s">
        <v>77</v>
      </c>
      <c r="C77" s="2">
        <v>56659</v>
      </c>
      <c r="D77" s="8">
        <v>5.524E-5</v>
      </c>
    </row>
    <row r="78" spans="1:4" x14ac:dyDescent="0.2">
      <c r="A78" s="1">
        <v>2019</v>
      </c>
      <c r="B78" s="1" t="s">
        <v>78</v>
      </c>
      <c r="C78" s="2">
        <v>63674</v>
      </c>
      <c r="D78" s="8">
        <v>6.2080000000000002E-5</v>
      </c>
    </row>
    <row r="79" spans="1:4" x14ac:dyDescent="0.2">
      <c r="A79" s="1">
        <v>2019</v>
      </c>
      <c r="B79" s="1" t="s">
        <v>79</v>
      </c>
      <c r="C79" s="2">
        <v>65139</v>
      </c>
      <c r="D79" s="8">
        <v>6.3499999999999999E-5</v>
      </c>
    </row>
    <row r="80" spans="1:4" x14ac:dyDescent="0.2">
      <c r="A80" s="1">
        <v>2019</v>
      </c>
      <c r="B80" s="1" t="s">
        <v>80</v>
      </c>
      <c r="C80" s="2">
        <v>1931108</v>
      </c>
      <c r="D80" s="8">
        <v>1.88262E-3</v>
      </c>
    </row>
    <row r="81" spans="1:4" x14ac:dyDescent="0.2">
      <c r="A81" s="1">
        <v>2019</v>
      </c>
      <c r="B81" s="1" t="s">
        <v>926</v>
      </c>
      <c r="C81" s="2">
        <v>361186</v>
      </c>
      <c r="D81" s="8">
        <v>3.5211999999999998E-4</v>
      </c>
    </row>
    <row r="82" spans="1:4" x14ac:dyDescent="0.2">
      <c r="A82" s="1">
        <v>2019</v>
      </c>
      <c r="B82" s="1" t="s">
        <v>82</v>
      </c>
      <c r="C82" s="2">
        <v>2739</v>
      </c>
      <c r="D82" s="8">
        <v>2.6699999999999998E-6</v>
      </c>
    </row>
    <row r="83" spans="1:4" x14ac:dyDescent="0.2">
      <c r="A83" s="1">
        <v>2019</v>
      </c>
      <c r="B83" s="1" t="s">
        <v>83</v>
      </c>
      <c r="C83" s="2">
        <v>692634</v>
      </c>
      <c r="D83" s="8">
        <v>6.7524000000000002E-4</v>
      </c>
    </row>
    <row r="84" spans="1:4" x14ac:dyDescent="0.2">
      <c r="A84" s="1">
        <v>2019</v>
      </c>
      <c r="B84" s="1" t="s">
        <v>84</v>
      </c>
      <c r="C84" s="2">
        <v>19847</v>
      </c>
      <c r="D84" s="8">
        <v>1.9349999999999999E-5</v>
      </c>
    </row>
    <row r="85" spans="1:4" x14ac:dyDescent="0.2">
      <c r="A85" s="1">
        <v>2019</v>
      </c>
      <c r="B85" s="1" t="s">
        <v>85</v>
      </c>
      <c r="C85" s="2">
        <v>43771</v>
      </c>
      <c r="D85" s="8">
        <v>4.2670000000000003E-5</v>
      </c>
    </row>
    <row r="86" spans="1:4" x14ac:dyDescent="0.2">
      <c r="A86" s="1">
        <v>2019</v>
      </c>
      <c r="B86" s="1" t="s">
        <v>86</v>
      </c>
      <c r="C86" s="2">
        <v>2512345</v>
      </c>
      <c r="D86" s="8">
        <v>2.44926E-3</v>
      </c>
    </row>
    <row r="87" spans="1:4" x14ac:dyDescent="0.2">
      <c r="A87" s="1">
        <v>2019</v>
      </c>
      <c r="B87" s="1" t="s">
        <v>87</v>
      </c>
      <c r="C87" s="2">
        <v>667700</v>
      </c>
      <c r="D87" s="8">
        <v>6.5092999999999998E-4</v>
      </c>
    </row>
    <row r="88" spans="1:4" x14ac:dyDescent="0.2">
      <c r="A88" s="1">
        <v>2019</v>
      </c>
      <c r="B88" s="1" t="s">
        <v>927</v>
      </c>
      <c r="C88" s="2">
        <v>5557</v>
      </c>
      <c r="D88" s="8">
        <v>5.4199999999999998E-6</v>
      </c>
    </row>
    <row r="89" spans="1:4" x14ac:dyDescent="0.2">
      <c r="A89" s="1">
        <v>2019</v>
      </c>
      <c r="B89" s="1" t="s">
        <v>88</v>
      </c>
      <c r="C89" s="2">
        <v>38840</v>
      </c>
      <c r="D89" s="8">
        <v>3.786E-5</v>
      </c>
    </row>
    <row r="90" spans="1:4" x14ac:dyDescent="0.2">
      <c r="A90" s="1">
        <v>2019</v>
      </c>
      <c r="B90" s="1" t="s">
        <v>928</v>
      </c>
      <c r="C90" s="2">
        <v>865947</v>
      </c>
      <c r="D90" s="8">
        <v>8.4420000000000003E-4</v>
      </c>
    </row>
    <row r="91" spans="1:4" x14ac:dyDescent="0.2">
      <c r="A91" s="1">
        <v>2019</v>
      </c>
      <c r="B91" s="1" t="s">
        <v>929</v>
      </c>
      <c r="C91" s="2">
        <v>568239</v>
      </c>
      <c r="D91" s="8">
        <v>5.5396999999999998E-4</v>
      </c>
    </row>
    <row r="92" spans="1:4" x14ac:dyDescent="0.2">
      <c r="A92" s="1">
        <v>2019</v>
      </c>
      <c r="B92" s="1" t="s">
        <v>91</v>
      </c>
      <c r="C92" s="2">
        <v>8858</v>
      </c>
      <c r="D92" s="8">
        <v>8.6400000000000003E-6</v>
      </c>
    </row>
    <row r="93" spans="1:4" x14ac:dyDescent="0.2">
      <c r="A93" s="1">
        <v>2019</v>
      </c>
      <c r="B93" s="1" t="s">
        <v>92</v>
      </c>
      <c r="C93" s="2">
        <v>299677</v>
      </c>
      <c r="D93" s="8">
        <v>2.9215000000000003E-4</v>
      </c>
    </row>
    <row r="94" spans="1:4" x14ac:dyDescent="0.2">
      <c r="A94" s="1">
        <v>2019</v>
      </c>
      <c r="B94" s="1" t="s">
        <v>93</v>
      </c>
      <c r="C94" s="2">
        <v>4961</v>
      </c>
      <c r="D94" s="8">
        <v>4.8400000000000002E-6</v>
      </c>
    </row>
    <row r="95" spans="1:4" x14ac:dyDescent="0.2">
      <c r="A95" s="1">
        <v>2019</v>
      </c>
      <c r="B95" s="1" t="s">
        <v>930</v>
      </c>
      <c r="C95" s="2">
        <v>251062</v>
      </c>
      <c r="D95" s="8">
        <v>2.4476000000000001E-4</v>
      </c>
    </row>
    <row r="96" spans="1:4" x14ac:dyDescent="0.2">
      <c r="A96" s="1">
        <v>2019</v>
      </c>
      <c r="B96" s="1" t="s">
        <v>95</v>
      </c>
      <c r="C96" s="2">
        <v>82701</v>
      </c>
      <c r="D96" s="8">
        <v>8.0619999999999997E-5</v>
      </c>
    </row>
    <row r="97" spans="1:4" x14ac:dyDescent="0.2">
      <c r="A97" s="1">
        <v>2019</v>
      </c>
      <c r="B97" s="1" t="s">
        <v>96</v>
      </c>
      <c r="C97" s="2">
        <v>128022</v>
      </c>
      <c r="D97" s="8">
        <v>1.2480999999999999E-4</v>
      </c>
    </row>
    <row r="98" spans="1:4" x14ac:dyDescent="0.2">
      <c r="A98" s="1">
        <v>2019</v>
      </c>
      <c r="B98" s="1" t="s">
        <v>931</v>
      </c>
      <c r="C98" s="2">
        <v>374131</v>
      </c>
      <c r="D98" s="8">
        <v>3.6474000000000001E-4</v>
      </c>
    </row>
    <row r="99" spans="1:4" x14ac:dyDescent="0.2">
      <c r="A99" s="1">
        <v>2019</v>
      </c>
      <c r="B99" s="1" t="s">
        <v>932</v>
      </c>
      <c r="C99" s="2">
        <v>612952</v>
      </c>
      <c r="D99" s="8">
        <v>5.9756000000000002E-4</v>
      </c>
    </row>
    <row r="100" spans="1:4" x14ac:dyDescent="0.2">
      <c r="A100" s="1">
        <v>2019</v>
      </c>
      <c r="B100" s="1" t="s">
        <v>933</v>
      </c>
      <c r="C100" s="2">
        <v>77724</v>
      </c>
      <c r="D100" s="8">
        <v>7.5770000000000001E-5</v>
      </c>
    </row>
    <row r="101" spans="1:4" x14ac:dyDescent="0.2">
      <c r="A101" s="1">
        <v>2019</v>
      </c>
      <c r="B101" s="1" t="s">
        <v>934</v>
      </c>
      <c r="C101" s="2">
        <v>1440655</v>
      </c>
      <c r="D101" s="8">
        <v>1.4044800000000001E-3</v>
      </c>
    </row>
    <row r="102" spans="1:4" x14ac:dyDescent="0.2">
      <c r="A102" s="1">
        <v>2019</v>
      </c>
      <c r="B102" s="1" t="s">
        <v>101</v>
      </c>
      <c r="C102" s="2">
        <v>367010</v>
      </c>
      <c r="D102" s="8">
        <v>3.5778999999999997E-4</v>
      </c>
    </row>
    <row r="103" spans="1:4" x14ac:dyDescent="0.2">
      <c r="A103" s="1">
        <v>2019</v>
      </c>
      <c r="B103" s="1" t="s">
        <v>935</v>
      </c>
      <c r="C103" s="2">
        <v>11651</v>
      </c>
      <c r="D103" s="8">
        <v>1.136E-5</v>
      </c>
    </row>
    <row r="104" spans="1:4" x14ac:dyDescent="0.2">
      <c r="A104" s="1">
        <v>2019</v>
      </c>
      <c r="B104" s="1" t="s">
        <v>103</v>
      </c>
      <c r="C104" s="2">
        <v>3968</v>
      </c>
      <c r="D104" s="8">
        <v>3.8700000000000002E-6</v>
      </c>
    </row>
    <row r="105" spans="1:4" x14ac:dyDescent="0.2">
      <c r="A105" s="1">
        <v>2019</v>
      </c>
      <c r="B105" s="1" t="s">
        <v>104</v>
      </c>
      <c r="C105" s="2">
        <v>583888</v>
      </c>
      <c r="D105" s="8">
        <v>5.6923E-4</v>
      </c>
    </row>
    <row r="106" spans="1:4" x14ac:dyDescent="0.2">
      <c r="A106" s="1">
        <v>2019</v>
      </c>
      <c r="B106" s="1" t="s">
        <v>106</v>
      </c>
      <c r="C106" s="2">
        <v>1535963</v>
      </c>
      <c r="D106" s="8">
        <v>1.4973899999999999E-3</v>
      </c>
    </row>
    <row r="107" spans="1:4" x14ac:dyDescent="0.2">
      <c r="A107" s="1">
        <v>2019</v>
      </c>
      <c r="B107" s="1" t="s">
        <v>107</v>
      </c>
      <c r="C107" s="2">
        <v>71233</v>
      </c>
      <c r="D107" s="8">
        <v>6.9439999999999999E-5</v>
      </c>
    </row>
    <row r="108" spans="1:4" x14ac:dyDescent="0.2">
      <c r="A108" s="1">
        <v>2019</v>
      </c>
      <c r="B108" s="1" t="s">
        <v>108</v>
      </c>
      <c r="C108" s="2">
        <v>129035</v>
      </c>
      <c r="D108" s="8">
        <v>1.2579999999999999E-4</v>
      </c>
    </row>
    <row r="109" spans="1:4" x14ac:dyDescent="0.2">
      <c r="A109" s="1">
        <v>2019</v>
      </c>
      <c r="B109" s="1" t="s">
        <v>936</v>
      </c>
      <c r="C109" s="2">
        <v>1297485</v>
      </c>
      <c r="D109" s="8">
        <v>1.2649099999999999E-3</v>
      </c>
    </row>
    <row r="110" spans="1:4" x14ac:dyDescent="0.2">
      <c r="A110" s="1">
        <v>2019</v>
      </c>
      <c r="B110" s="1" t="s">
        <v>937</v>
      </c>
      <c r="C110" s="2">
        <v>515364</v>
      </c>
      <c r="D110" s="8">
        <v>5.0241999999999995E-4</v>
      </c>
    </row>
    <row r="111" spans="1:4" x14ac:dyDescent="0.2">
      <c r="A111" s="1">
        <v>2019</v>
      </c>
      <c r="B111" s="1" t="s">
        <v>111</v>
      </c>
      <c r="C111" s="2">
        <v>513563</v>
      </c>
      <c r="D111" s="8">
        <v>5.0067000000000004E-4</v>
      </c>
    </row>
    <row r="112" spans="1:4" x14ac:dyDescent="0.2">
      <c r="A112" s="1">
        <v>2019</v>
      </c>
      <c r="B112" s="1" t="s">
        <v>938</v>
      </c>
      <c r="C112" s="2">
        <v>75551</v>
      </c>
      <c r="D112" s="8">
        <v>7.3650000000000001E-5</v>
      </c>
    </row>
    <row r="113" spans="1:4" x14ac:dyDescent="0.2">
      <c r="A113" s="1">
        <v>2019</v>
      </c>
      <c r="B113" s="1" t="s">
        <v>939</v>
      </c>
      <c r="C113" s="2">
        <v>602419</v>
      </c>
      <c r="D113" s="8">
        <v>5.8728999999999997E-4</v>
      </c>
    </row>
    <row r="114" spans="1:4" x14ac:dyDescent="0.2">
      <c r="A114" s="1">
        <v>2019</v>
      </c>
      <c r="B114" s="1" t="s">
        <v>114</v>
      </c>
      <c r="C114" s="2">
        <v>829995</v>
      </c>
      <c r="D114" s="8">
        <v>8.0915000000000002E-4</v>
      </c>
    </row>
    <row r="115" spans="1:4" x14ac:dyDescent="0.2">
      <c r="A115" s="1">
        <v>2019</v>
      </c>
      <c r="B115" s="1" t="s">
        <v>115</v>
      </c>
      <c r="C115" s="2">
        <v>83724</v>
      </c>
      <c r="D115" s="8">
        <v>8.1619999999999994E-5</v>
      </c>
    </row>
    <row r="116" spans="1:4" x14ac:dyDescent="0.2">
      <c r="A116" s="1">
        <v>2019</v>
      </c>
      <c r="B116" s="1" t="s">
        <v>116</v>
      </c>
      <c r="C116" s="2">
        <v>1975351</v>
      </c>
      <c r="D116" s="8">
        <v>1.9257499999999999E-3</v>
      </c>
    </row>
    <row r="117" spans="1:4" x14ac:dyDescent="0.2">
      <c r="A117" s="1">
        <v>2019</v>
      </c>
      <c r="B117" s="1" t="s">
        <v>117</v>
      </c>
      <c r="C117" s="2">
        <v>29850</v>
      </c>
      <c r="D117" s="8">
        <v>2.9099999999999999E-5</v>
      </c>
    </row>
    <row r="118" spans="1:4" x14ac:dyDescent="0.2">
      <c r="A118" s="1">
        <v>2019</v>
      </c>
      <c r="B118" s="1" t="s">
        <v>118</v>
      </c>
      <c r="C118" s="2">
        <v>702763</v>
      </c>
      <c r="D118" s="8">
        <v>6.8512E-4</v>
      </c>
    </row>
    <row r="119" spans="1:4" x14ac:dyDescent="0.2">
      <c r="A119" s="1">
        <v>2019</v>
      </c>
      <c r="B119" s="1" t="s">
        <v>940</v>
      </c>
      <c r="C119" s="2">
        <v>514800</v>
      </c>
      <c r="D119" s="8">
        <v>5.0186999999999996E-4</v>
      </c>
    </row>
    <row r="120" spans="1:4" x14ac:dyDescent="0.2">
      <c r="A120" s="1">
        <v>2019</v>
      </c>
      <c r="B120" s="1" t="s">
        <v>120</v>
      </c>
      <c r="C120" s="2">
        <v>30394</v>
      </c>
      <c r="D120" s="8">
        <v>2.9629999999999999E-5</v>
      </c>
    </row>
    <row r="121" spans="1:4" x14ac:dyDescent="0.2">
      <c r="A121" s="1">
        <v>2019</v>
      </c>
      <c r="B121" s="1" t="s">
        <v>121</v>
      </c>
      <c r="C121" s="2">
        <v>830332</v>
      </c>
      <c r="D121" s="8">
        <v>8.0948000000000001E-4</v>
      </c>
    </row>
    <row r="122" spans="1:4" x14ac:dyDescent="0.2">
      <c r="A122" s="1">
        <v>2019</v>
      </c>
      <c r="B122" s="1" t="s">
        <v>122</v>
      </c>
      <c r="C122" s="2">
        <v>2744372</v>
      </c>
      <c r="D122" s="8">
        <v>2.6754600000000002E-3</v>
      </c>
    </row>
    <row r="123" spans="1:4" x14ac:dyDescent="0.2">
      <c r="A123" s="1">
        <v>2019</v>
      </c>
      <c r="B123" s="1" t="s">
        <v>123</v>
      </c>
      <c r="C123" s="2">
        <v>1448648</v>
      </c>
      <c r="D123" s="8">
        <v>1.41227E-3</v>
      </c>
    </row>
    <row r="124" spans="1:4" x14ac:dyDescent="0.2">
      <c r="A124" s="1">
        <v>2019</v>
      </c>
      <c r="B124" s="1" t="s">
        <v>124</v>
      </c>
      <c r="C124" s="2">
        <v>3804016</v>
      </c>
      <c r="D124" s="8">
        <v>3.7085E-3</v>
      </c>
    </row>
    <row r="125" spans="1:4" x14ac:dyDescent="0.2">
      <c r="A125" s="1">
        <v>2019</v>
      </c>
      <c r="B125" s="1" t="s">
        <v>941</v>
      </c>
      <c r="C125" s="2">
        <v>1415111</v>
      </c>
      <c r="D125" s="8">
        <v>1.37958E-3</v>
      </c>
    </row>
    <row r="126" spans="1:4" x14ac:dyDescent="0.2">
      <c r="A126" s="1">
        <v>2019</v>
      </c>
      <c r="B126" s="1" t="s">
        <v>942</v>
      </c>
      <c r="C126" s="2">
        <v>858071</v>
      </c>
      <c r="D126" s="8">
        <v>8.3651999999999999E-4</v>
      </c>
    </row>
    <row r="127" spans="1:4" x14ac:dyDescent="0.2">
      <c r="A127" s="1">
        <v>2019</v>
      </c>
      <c r="B127" s="1" t="s">
        <v>127</v>
      </c>
      <c r="C127" s="2">
        <v>4607</v>
      </c>
      <c r="D127" s="8">
        <v>4.4900000000000002E-6</v>
      </c>
    </row>
    <row r="128" spans="1:4" x14ac:dyDescent="0.2">
      <c r="A128" s="1">
        <v>2019</v>
      </c>
      <c r="B128" s="1" t="s">
        <v>128</v>
      </c>
      <c r="C128" s="2">
        <v>1968735</v>
      </c>
      <c r="D128" s="8">
        <v>1.9193000000000001E-3</v>
      </c>
    </row>
    <row r="129" spans="1:4" x14ac:dyDescent="0.2">
      <c r="A129" s="1">
        <v>2019</v>
      </c>
      <c r="B129" s="1" t="s">
        <v>943</v>
      </c>
      <c r="C129" s="2">
        <v>201735</v>
      </c>
      <c r="D129" s="8">
        <v>1.9667E-4</v>
      </c>
    </row>
    <row r="130" spans="1:4" x14ac:dyDescent="0.2">
      <c r="A130" s="1">
        <v>2019</v>
      </c>
      <c r="B130" s="1" t="s">
        <v>130</v>
      </c>
      <c r="C130" s="2">
        <v>501767</v>
      </c>
      <c r="D130" s="8">
        <v>4.8917000000000003E-4</v>
      </c>
    </row>
    <row r="131" spans="1:4" x14ac:dyDescent="0.2">
      <c r="A131" s="1">
        <v>2019</v>
      </c>
      <c r="B131" s="1" t="s">
        <v>131</v>
      </c>
      <c r="C131" s="2">
        <v>40424</v>
      </c>
      <c r="D131" s="8">
        <v>3.9409999999999997E-5</v>
      </c>
    </row>
    <row r="132" spans="1:4" x14ac:dyDescent="0.2">
      <c r="A132" s="1">
        <v>2019</v>
      </c>
      <c r="B132" s="1" t="s">
        <v>132</v>
      </c>
      <c r="C132" s="2">
        <v>42222</v>
      </c>
      <c r="D132" s="8">
        <v>4.1159999999999999E-5</v>
      </c>
    </row>
    <row r="133" spans="1:4" x14ac:dyDescent="0.2">
      <c r="A133" s="1">
        <v>2019</v>
      </c>
      <c r="B133" s="1" t="s">
        <v>133</v>
      </c>
      <c r="C133" s="2">
        <v>306694</v>
      </c>
      <c r="D133" s="8">
        <v>2.9899000000000001E-4</v>
      </c>
    </row>
    <row r="134" spans="1:4" x14ac:dyDescent="0.2">
      <c r="A134" s="1">
        <v>2019</v>
      </c>
      <c r="B134" s="1" t="s">
        <v>134</v>
      </c>
      <c r="C134" s="2">
        <v>418906</v>
      </c>
      <c r="D134" s="8">
        <v>4.0839000000000001E-4</v>
      </c>
    </row>
    <row r="135" spans="1:4" x14ac:dyDescent="0.2">
      <c r="A135" s="1">
        <v>2019</v>
      </c>
      <c r="B135" s="1" t="s">
        <v>135</v>
      </c>
      <c r="C135" s="2">
        <v>1414616</v>
      </c>
      <c r="D135" s="8">
        <v>1.3790899999999999E-3</v>
      </c>
    </row>
    <row r="136" spans="1:4" x14ac:dyDescent="0.2">
      <c r="A136" s="1">
        <v>2019</v>
      </c>
      <c r="B136" s="1" t="s">
        <v>136</v>
      </c>
      <c r="C136" s="2">
        <v>1679907</v>
      </c>
      <c r="D136" s="8">
        <v>1.6377200000000001E-3</v>
      </c>
    </row>
    <row r="137" spans="1:4" x14ac:dyDescent="0.2">
      <c r="A137" s="1">
        <v>2019</v>
      </c>
      <c r="B137" s="1" t="s">
        <v>137</v>
      </c>
      <c r="C137" s="2">
        <v>92323</v>
      </c>
      <c r="D137" s="8">
        <v>9.0000000000000006E-5</v>
      </c>
    </row>
    <row r="138" spans="1:4" x14ac:dyDescent="0.2">
      <c r="A138" s="1">
        <v>2019</v>
      </c>
      <c r="B138" s="1" t="s">
        <v>944</v>
      </c>
      <c r="C138" s="2">
        <v>821358</v>
      </c>
      <c r="D138" s="8">
        <v>8.0073000000000004E-4</v>
      </c>
    </row>
    <row r="139" spans="1:4" x14ac:dyDescent="0.2">
      <c r="A139" s="1">
        <v>2019</v>
      </c>
      <c r="B139" s="1" t="s">
        <v>139</v>
      </c>
      <c r="C139" s="2">
        <v>3052878</v>
      </c>
      <c r="D139" s="8">
        <v>2.9762199999999999E-3</v>
      </c>
    </row>
    <row r="140" spans="1:4" x14ac:dyDescent="0.2">
      <c r="A140" s="1">
        <v>2019</v>
      </c>
      <c r="B140" s="1" t="s">
        <v>140</v>
      </c>
      <c r="C140" s="2">
        <v>60194</v>
      </c>
      <c r="D140" s="8">
        <v>5.8680000000000001E-5</v>
      </c>
    </row>
    <row r="141" spans="1:4" x14ac:dyDescent="0.2">
      <c r="A141" s="1">
        <v>2019</v>
      </c>
      <c r="B141" s="1" t="s">
        <v>141</v>
      </c>
      <c r="C141" s="2">
        <v>52835</v>
      </c>
      <c r="D141" s="8">
        <v>5.151E-5</v>
      </c>
    </row>
    <row r="142" spans="1:4" x14ac:dyDescent="0.2">
      <c r="A142" s="1">
        <v>2019</v>
      </c>
      <c r="B142" s="1" t="s">
        <v>945</v>
      </c>
      <c r="C142" s="2">
        <v>1924013</v>
      </c>
      <c r="D142" s="8">
        <v>1.8756999999999999E-3</v>
      </c>
    </row>
    <row r="143" spans="1:4" x14ac:dyDescent="0.2">
      <c r="A143" s="1">
        <v>2019</v>
      </c>
      <c r="B143" s="1" t="s">
        <v>143</v>
      </c>
      <c r="C143" s="2">
        <v>713149</v>
      </c>
      <c r="D143" s="8">
        <v>6.9523999999999996E-4</v>
      </c>
    </row>
    <row r="144" spans="1:4" x14ac:dyDescent="0.2">
      <c r="A144" s="1">
        <v>2019</v>
      </c>
      <c r="B144" s="1" t="s">
        <v>144</v>
      </c>
      <c r="C144" s="2">
        <v>48650</v>
      </c>
      <c r="D144" s="8">
        <v>4.7429999999999998E-5</v>
      </c>
    </row>
    <row r="145" spans="1:4" x14ac:dyDescent="0.2">
      <c r="A145" s="1">
        <v>2019</v>
      </c>
      <c r="B145" s="1" t="s">
        <v>145</v>
      </c>
      <c r="C145" s="2">
        <v>19462</v>
      </c>
      <c r="D145" s="8">
        <v>1.897E-5</v>
      </c>
    </row>
    <row r="146" spans="1:4" x14ac:dyDescent="0.2">
      <c r="A146" s="1">
        <v>2019</v>
      </c>
      <c r="B146" s="1" t="s">
        <v>146</v>
      </c>
      <c r="C146" s="2">
        <v>2316057</v>
      </c>
      <c r="D146" s="8">
        <v>2.2579000000000002E-3</v>
      </c>
    </row>
    <row r="147" spans="1:4" x14ac:dyDescent="0.2">
      <c r="A147" s="1">
        <v>2019</v>
      </c>
      <c r="B147" s="1" t="s">
        <v>147</v>
      </c>
      <c r="C147" s="2">
        <v>884409</v>
      </c>
      <c r="D147" s="8">
        <v>8.6220000000000003E-4</v>
      </c>
    </row>
    <row r="148" spans="1:4" x14ac:dyDescent="0.2">
      <c r="A148" s="1">
        <v>2019</v>
      </c>
      <c r="B148" s="1" t="s">
        <v>148</v>
      </c>
      <c r="C148" s="2">
        <v>342114</v>
      </c>
      <c r="D148" s="8">
        <v>3.3352000000000002E-4</v>
      </c>
    </row>
    <row r="149" spans="1:4" x14ac:dyDescent="0.2">
      <c r="A149" s="1">
        <v>2019</v>
      </c>
      <c r="B149" s="1" t="s">
        <v>149</v>
      </c>
      <c r="C149" s="2">
        <v>64099</v>
      </c>
      <c r="D149" s="8">
        <v>6.2490000000000006E-5</v>
      </c>
    </row>
    <row r="150" spans="1:4" x14ac:dyDescent="0.2">
      <c r="A150" s="1">
        <v>2019</v>
      </c>
      <c r="B150" s="1" t="s">
        <v>150</v>
      </c>
      <c r="C150" s="2">
        <v>1891213</v>
      </c>
      <c r="D150" s="8">
        <v>1.8437200000000001E-3</v>
      </c>
    </row>
    <row r="151" spans="1:4" x14ac:dyDescent="0.2">
      <c r="A151" s="1">
        <v>2019</v>
      </c>
      <c r="B151" s="1" t="s">
        <v>151</v>
      </c>
      <c r="C151" s="2">
        <v>19660</v>
      </c>
      <c r="D151" s="8">
        <v>1.9170000000000001E-5</v>
      </c>
    </row>
    <row r="152" spans="1:4" x14ac:dyDescent="0.2">
      <c r="A152" s="1">
        <v>2019</v>
      </c>
      <c r="B152" s="1" t="s">
        <v>152</v>
      </c>
      <c r="C152" s="2">
        <v>14840</v>
      </c>
      <c r="D152" s="8">
        <v>1.447E-5</v>
      </c>
    </row>
    <row r="153" spans="1:4" x14ac:dyDescent="0.2">
      <c r="A153" s="1">
        <v>2019</v>
      </c>
      <c r="B153" s="1" t="s">
        <v>946</v>
      </c>
      <c r="C153" s="2">
        <v>11333</v>
      </c>
      <c r="D153" s="8">
        <v>1.1049999999999999E-5</v>
      </c>
    </row>
    <row r="154" spans="1:4" x14ac:dyDescent="0.2">
      <c r="A154" s="1">
        <v>2019</v>
      </c>
      <c r="B154" s="1" t="s">
        <v>154</v>
      </c>
      <c r="C154" s="2">
        <v>11726811</v>
      </c>
      <c r="D154" s="8">
        <v>1.1432350000000001E-2</v>
      </c>
    </row>
    <row r="155" spans="1:4" x14ac:dyDescent="0.2">
      <c r="A155" s="1">
        <v>2019</v>
      </c>
      <c r="B155" s="1" t="s">
        <v>155</v>
      </c>
      <c r="C155" s="2">
        <v>40033</v>
      </c>
      <c r="D155" s="8">
        <v>3.9029999999999997E-5</v>
      </c>
    </row>
    <row r="156" spans="1:4" x14ac:dyDescent="0.2">
      <c r="A156" s="1">
        <v>2019</v>
      </c>
      <c r="B156" s="1" t="s">
        <v>947</v>
      </c>
      <c r="C156" s="2">
        <v>2409731</v>
      </c>
      <c r="D156" s="8">
        <v>2.34922E-3</v>
      </c>
    </row>
    <row r="157" spans="1:4" x14ac:dyDescent="0.2">
      <c r="A157" s="1">
        <v>2019</v>
      </c>
      <c r="B157" s="1" t="s">
        <v>157</v>
      </c>
      <c r="C157" s="2">
        <v>559726</v>
      </c>
      <c r="D157" s="8">
        <v>5.4567000000000005E-4</v>
      </c>
    </row>
    <row r="158" spans="1:4" x14ac:dyDescent="0.2">
      <c r="A158" s="1">
        <v>2019</v>
      </c>
      <c r="B158" s="1" t="s">
        <v>948</v>
      </c>
      <c r="C158" s="2">
        <v>19927</v>
      </c>
      <c r="D158" s="8">
        <v>1.9429999999999999E-5</v>
      </c>
    </row>
    <row r="159" spans="1:4" x14ac:dyDescent="0.2">
      <c r="A159" s="1">
        <v>2019</v>
      </c>
      <c r="B159" s="1" t="s">
        <v>159</v>
      </c>
      <c r="C159" s="2">
        <v>4013</v>
      </c>
      <c r="D159" s="8">
        <v>3.9099999999999998E-6</v>
      </c>
    </row>
    <row r="160" spans="1:4" x14ac:dyDescent="0.2">
      <c r="A160" s="1">
        <v>2019</v>
      </c>
      <c r="B160" s="1" t="s">
        <v>160</v>
      </c>
      <c r="C160" s="2">
        <v>6162</v>
      </c>
      <c r="D160" s="8">
        <v>6.0100000000000001E-6</v>
      </c>
    </row>
    <row r="161" spans="1:4" x14ac:dyDescent="0.2">
      <c r="A161" s="1">
        <v>2019</v>
      </c>
      <c r="B161" s="1" t="s">
        <v>161</v>
      </c>
      <c r="C161" s="2">
        <v>18372</v>
      </c>
      <c r="D161" s="8">
        <v>1.791E-5</v>
      </c>
    </row>
    <row r="162" spans="1:4" x14ac:dyDescent="0.2">
      <c r="A162" s="1">
        <v>2019</v>
      </c>
      <c r="B162" s="1" t="s">
        <v>162</v>
      </c>
      <c r="C162" s="2">
        <v>4662</v>
      </c>
      <c r="D162" s="8">
        <v>4.5399999999999997E-6</v>
      </c>
    </row>
    <row r="163" spans="1:4" x14ac:dyDescent="0.2">
      <c r="A163" s="1">
        <v>2019</v>
      </c>
      <c r="B163" s="1" t="s">
        <v>163</v>
      </c>
      <c r="C163" s="2">
        <v>220637</v>
      </c>
      <c r="D163" s="8">
        <v>2.151E-4</v>
      </c>
    </row>
    <row r="164" spans="1:4" x14ac:dyDescent="0.2">
      <c r="A164" s="1">
        <v>2019</v>
      </c>
      <c r="B164" s="1" t="s">
        <v>164</v>
      </c>
      <c r="C164" s="2">
        <v>84594</v>
      </c>
      <c r="D164" s="8">
        <v>8.2470000000000002E-5</v>
      </c>
    </row>
    <row r="165" spans="1:4" x14ac:dyDescent="0.2">
      <c r="A165" s="1">
        <v>2019</v>
      </c>
      <c r="B165" s="1" t="s">
        <v>165</v>
      </c>
      <c r="C165" s="2">
        <v>55946</v>
      </c>
      <c r="D165" s="8">
        <v>5.4540000000000003E-5</v>
      </c>
    </row>
    <row r="166" spans="1:4" x14ac:dyDescent="0.2">
      <c r="A166" s="1">
        <v>2019</v>
      </c>
      <c r="B166" s="1" t="s">
        <v>166</v>
      </c>
      <c r="C166" s="2">
        <v>42866</v>
      </c>
      <c r="D166" s="8">
        <v>4.1789999999999998E-5</v>
      </c>
    </row>
    <row r="167" spans="1:4" x14ac:dyDescent="0.2">
      <c r="A167" s="1">
        <v>2019</v>
      </c>
      <c r="B167" s="1" t="s">
        <v>167</v>
      </c>
      <c r="C167" s="2">
        <v>23077</v>
      </c>
      <c r="D167" s="8">
        <v>2.2500000000000001E-5</v>
      </c>
    </row>
    <row r="168" spans="1:4" x14ac:dyDescent="0.2">
      <c r="A168" s="1">
        <v>2019</v>
      </c>
      <c r="B168" s="1" t="s">
        <v>168</v>
      </c>
      <c r="C168" s="2">
        <v>2818411</v>
      </c>
      <c r="D168" s="8">
        <v>2.74764E-3</v>
      </c>
    </row>
    <row r="169" spans="1:4" x14ac:dyDescent="0.2">
      <c r="A169" s="1">
        <v>2019</v>
      </c>
      <c r="B169" s="1" t="s">
        <v>169</v>
      </c>
      <c r="C169" s="2">
        <v>4712371</v>
      </c>
      <c r="D169" s="8">
        <v>4.5940399999999998E-3</v>
      </c>
    </row>
    <row r="170" spans="1:4" x14ac:dyDescent="0.2">
      <c r="A170" s="1">
        <v>2019</v>
      </c>
      <c r="B170" s="1" t="s">
        <v>170</v>
      </c>
      <c r="C170" s="2">
        <v>3319770</v>
      </c>
      <c r="D170" s="8">
        <v>3.2364099999999999E-3</v>
      </c>
    </row>
    <row r="171" spans="1:4" x14ac:dyDescent="0.2">
      <c r="A171" s="1">
        <v>2019</v>
      </c>
      <c r="B171" s="1" t="s">
        <v>171</v>
      </c>
      <c r="C171" s="2">
        <v>16675751</v>
      </c>
      <c r="D171" s="8">
        <v>1.625702E-2</v>
      </c>
    </row>
    <row r="172" spans="1:4" x14ac:dyDescent="0.2">
      <c r="A172" s="1">
        <v>2019</v>
      </c>
      <c r="B172" s="1" t="s">
        <v>172</v>
      </c>
      <c r="C172" s="2">
        <v>24933</v>
      </c>
      <c r="D172" s="8">
        <v>2.4309999999999999E-5</v>
      </c>
    </row>
    <row r="173" spans="1:4" x14ac:dyDescent="0.2">
      <c r="A173" s="1">
        <v>2019</v>
      </c>
      <c r="B173" s="1" t="s">
        <v>949</v>
      </c>
      <c r="C173" s="2">
        <v>24934565</v>
      </c>
      <c r="D173" s="8">
        <v>2.4308449999999999E-2</v>
      </c>
    </row>
    <row r="174" spans="1:4" x14ac:dyDescent="0.2">
      <c r="A174" s="1">
        <v>2019</v>
      </c>
      <c r="B174" s="1" t="s">
        <v>950</v>
      </c>
      <c r="C174" s="2">
        <v>4469060</v>
      </c>
      <c r="D174" s="8">
        <v>4.3568399999999998E-3</v>
      </c>
    </row>
    <row r="175" spans="1:4" x14ac:dyDescent="0.2">
      <c r="A175" s="1">
        <v>2019</v>
      </c>
      <c r="B175" s="1" t="s">
        <v>951</v>
      </c>
      <c r="C175" s="2">
        <v>265374</v>
      </c>
      <c r="D175" s="8">
        <v>2.5870999999999999E-4</v>
      </c>
    </row>
    <row r="176" spans="1:4" x14ac:dyDescent="0.2">
      <c r="A176" s="1">
        <v>2019</v>
      </c>
      <c r="B176" s="1" t="s">
        <v>952</v>
      </c>
      <c r="C176" s="2">
        <v>11170</v>
      </c>
      <c r="D176" s="8">
        <v>1.0890000000000001E-5</v>
      </c>
    </row>
    <row r="177" spans="1:4" x14ac:dyDescent="0.2">
      <c r="A177" s="1">
        <v>2019</v>
      </c>
      <c r="B177" s="1" t="s">
        <v>953</v>
      </c>
      <c r="C177" s="2">
        <v>11461</v>
      </c>
      <c r="D177" s="8">
        <v>1.117E-5</v>
      </c>
    </row>
    <row r="178" spans="1:4" x14ac:dyDescent="0.2">
      <c r="A178" s="1">
        <v>2019</v>
      </c>
      <c r="B178" s="1" t="s">
        <v>178</v>
      </c>
      <c r="C178" s="2">
        <v>132997</v>
      </c>
      <c r="D178" s="8">
        <v>1.2966E-4</v>
      </c>
    </row>
    <row r="179" spans="1:4" x14ac:dyDescent="0.2">
      <c r="A179" s="1">
        <v>2019</v>
      </c>
      <c r="B179" s="1" t="s">
        <v>179</v>
      </c>
      <c r="C179" s="2">
        <v>974696</v>
      </c>
      <c r="D179" s="8">
        <v>9.5021999999999999E-4</v>
      </c>
    </row>
    <row r="180" spans="1:4" x14ac:dyDescent="0.2">
      <c r="A180" s="1">
        <v>2019</v>
      </c>
      <c r="B180" s="1" t="s">
        <v>180</v>
      </c>
      <c r="C180" s="2">
        <v>2957165</v>
      </c>
      <c r="D180" s="8">
        <v>2.8829099999999998E-3</v>
      </c>
    </row>
    <row r="181" spans="1:4" x14ac:dyDescent="0.2">
      <c r="A181" s="1">
        <v>2019</v>
      </c>
      <c r="B181" s="1" t="s">
        <v>181</v>
      </c>
      <c r="C181" s="2">
        <v>61947</v>
      </c>
      <c r="D181" s="8">
        <v>6.0390000000000003E-5</v>
      </c>
    </row>
    <row r="182" spans="1:4" x14ac:dyDescent="0.2">
      <c r="A182" s="1">
        <v>2019</v>
      </c>
      <c r="B182" s="1" t="s">
        <v>182</v>
      </c>
      <c r="C182" s="2">
        <v>63747</v>
      </c>
      <c r="D182" s="8">
        <v>6.2150000000000006E-5</v>
      </c>
    </row>
    <row r="183" spans="1:4" x14ac:dyDescent="0.2">
      <c r="A183" s="1">
        <v>2019</v>
      </c>
      <c r="B183" s="1" t="s">
        <v>183</v>
      </c>
      <c r="C183" s="2">
        <v>25660</v>
      </c>
      <c r="D183" s="8">
        <v>2.5020000000000001E-5</v>
      </c>
    </row>
    <row r="184" spans="1:4" x14ac:dyDescent="0.2">
      <c r="A184" s="1">
        <v>2019</v>
      </c>
      <c r="B184" s="1" t="s">
        <v>184</v>
      </c>
      <c r="C184" s="2">
        <v>130581</v>
      </c>
      <c r="D184" s="8">
        <v>1.273E-4</v>
      </c>
    </row>
    <row r="185" spans="1:4" x14ac:dyDescent="0.2">
      <c r="A185" s="1">
        <v>2019</v>
      </c>
      <c r="B185" s="1" t="s">
        <v>185</v>
      </c>
      <c r="C185" s="2">
        <v>1738657</v>
      </c>
      <c r="D185" s="8">
        <v>1.6949999999999999E-3</v>
      </c>
    </row>
    <row r="186" spans="1:4" x14ac:dyDescent="0.2">
      <c r="A186" s="1">
        <v>2019</v>
      </c>
      <c r="B186" s="1" t="s">
        <v>186</v>
      </c>
      <c r="C186" s="2">
        <v>901493</v>
      </c>
      <c r="D186" s="8">
        <v>8.7885999999999997E-4</v>
      </c>
    </row>
    <row r="187" spans="1:4" x14ac:dyDescent="0.2">
      <c r="A187" s="1">
        <v>2019</v>
      </c>
      <c r="B187" s="1" t="s">
        <v>187</v>
      </c>
      <c r="C187" s="2">
        <v>46933</v>
      </c>
      <c r="D187" s="8">
        <v>4.5750000000000001E-5</v>
      </c>
    </row>
    <row r="188" spans="1:4" x14ac:dyDescent="0.2">
      <c r="A188" s="1">
        <v>2019</v>
      </c>
      <c r="B188" s="1" t="s">
        <v>188</v>
      </c>
      <c r="C188" s="2">
        <v>2680589</v>
      </c>
      <c r="D188" s="8">
        <v>2.6132799999999999E-3</v>
      </c>
    </row>
    <row r="189" spans="1:4" x14ac:dyDescent="0.2">
      <c r="A189" s="1">
        <v>2019</v>
      </c>
      <c r="B189" s="1" t="s">
        <v>189</v>
      </c>
      <c r="C189" s="2">
        <v>32244</v>
      </c>
      <c r="D189" s="8">
        <v>3.1430000000000002E-5</v>
      </c>
    </row>
    <row r="190" spans="1:4" x14ac:dyDescent="0.2">
      <c r="A190" s="1">
        <v>2019</v>
      </c>
      <c r="B190" s="1" t="s">
        <v>190</v>
      </c>
      <c r="C190" s="2">
        <v>5326180</v>
      </c>
      <c r="D190" s="8">
        <v>5.1924400000000004E-3</v>
      </c>
    </row>
    <row r="191" spans="1:4" x14ac:dyDescent="0.2">
      <c r="A191" s="1">
        <v>2019</v>
      </c>
      <c r="B191" s="1" t="s">
        <v>954</v>
      </c>
      <c r="C191" s="2">
        <v>958985</v>
      </c>
      <c r="D191" s="8">
        <v>9.3490000000000001E-4</v>
      </c>
    </row>
    <row r="192" spans="1:4" x14ac:dyDescent="0.2">
      <c r="A192" s="1">
        <v>2019</v>
      </c>
      <c r="B192" s="1" t="s">
        <v>192</v>
      </c>
      <c r="C192" s="2">
        <v>51756</v>
      </c>
      <c r="D192" s="8">
        <v>5.0460000000000001E-5</v>
      </c>
    </row>
    <row r="193" spans="1:4" x14ac:dyDescent="0.2">
      <c r="A193" s="1">
        <v>2019</v>
      </c>
      <c r="B193" s="1" t="s">
        <v>193</v>
      </c>
      <c r="C193" s="2">
        <v>47866</v>
      </c>
      <c r="D193" s="8">
        <v>4.6659999999999997E-5</v>
      </c>
    </row>
    <row r="194" spans="1:4" x14ac:dyDescent="0.2">
      <c r="A194" s="1">
        <v>2019</v>
      </c>
      <c r="B194" s="1" t="s">
        <v>194</v>
      </c>
      <c r="C194" s="2">
        <v>608000</v>
      </c>
      <c r="D194" s="8">
        <v>5.9272999999999997E-4</v>
      </c>
    </row>
    <row r="195" spans="1:4" x14ac:dyDescent="0.2">
      <c r="A195" s="1">
        <v>2019</v>
      </c>
      <c r="B195" s="1" t="s">
        <v>195</v>
      </c>
      <c r="C195" s="2">
        <v>38295</v>
      </c>
      <c r="D195" s="8">
        <v>3.7329999999999997E-5</v>
      </c>
    </row>
    <row r="196" spans="1:4" x14ac:dyDescent="0.2">
      <c r="A196" s="1">
        <v>2019</v>
      </c>
      <c r="B196" s="1" t="s">
        <v>196</v>
      </c>
      <c r="C196" s="2">
        <v>22816</v>
      </c>
      <c r="D196" s="8">
        <v>2.2240000000000001E-5</v>
      </c>
    </row>
    <row r="197" spans="1:4" x14ac:dyDescent="0.2">
      <c r="A197" s="1">
        <v>2019</v>
      </c>
      <c r="B197" s="1" t="s">
        <v>197</v>
      </c>
      <c r="C197" s="2">
        <v>220237</v>
      </c>
      <c r="D197" s="8">
        <v>2.1471000000000001E-4</v>
      </c>
    </row>
    <row r="198" spans="1:4" x14ac:dyDescent="0.2">
      <c r="A198" s="1">
        <v>2019</v>
      </c>
      <c r="B198" s="1" t="s">
        <v>955</v>
      </c>
      <c r="C198" s="2">
        <v>7064159</v>
      </c>
      <c r="D198" s="8">
        <v>6.8867800000000003E-3</v>
      </c>
    </row>
    <row r="199" spans="1:4" x14ac:dyDescent="0.2">
      <c r="A199" s="1">
        <v>2019</v>
      </c>
      <c r="B199" s="1" t="s">
        <v>199</v>
      </c>
      <c r="C199" s="2">
        <v>911030</v>
      </c>
      <c r="D199" s="8">
        <v>8.8814999999999999E-4</v>
      </c>
    </row>
    <row r="200" spans="1:4" x14ac:dyDescent="0.2">
      <c r="A200" s="1">
        <v>2019</v>
      </c>
      <c r="B200" s="1" t="s">
        <v>200</v>
      </c>
      <c r="C200" s="2">
        <v>60985</v>
      </c>
      <c r="D200" s="8">
        <v>5.9450000000000002E-5</v>
      </c>
    </row>
    <row r="201" spans="1:4" x14ac:dyDescent="0.2">
      <c r="A201" s="1">
        <v>2019</v>
      </c>
      <c r="B201" s="1" t="s">
        <v>201</v>
      </c>
      <c r="C201" s="2">
        <v>761490</v>
      </c>
      <c r="D201" s="8">
        <v>7.4237000000000001E-4</v>
      </c>
    </row>
    <row r="202" spans="1:4" x14ac:dyDescent="0.2">
      <c r="A202" s="1">
        <v>2019</v>
      </c>
      <c r="B202" s="1" t="s">
        <v>202</v>
      </c>
      <c r="C202" s="2">
        <v>25933</v>
      </c>
      <c r="D202" s="8">
        <v>2.5279999999999999E-5</v>
      </c>
    </row>
    <row r="203" spans="1:4" x14ac:dyDescent="0.2">
      <c r="A203" s="1">
        <v>2019</v>
      </c>
      <c r="B203" s="1" t="s">
        <v>203</v>
      </c>
      <c r="C203" s="2">
        <v>6627</v>
      </c>
      <c r="D203" s="8">
        <v>6.46E-6</v>
      </c>
    </row>
    <row r="204" spans="1:4" x14ac:dyDescent="0.2">
      <c r="A204" s="1">
        <v>2019</v>
      </c>
      <c r="B204" s="1" t="s">
        <v>204</v>
      </c>
      <c r="C204" s="2">
        <v>61365</v>
      </c>
      <c r="D204" s="8">
        <v>5.982E-5</v>
      </c>
    </row>
    <row r="205" spans="1:4" x14ac:dyDescent="0.2">
      <c r="A205" s="1">
        <v>2019</v>
      </c>
      <c r="B205" s="1" t="s">
        <v>205</v>
      </c>
      <c r="C205" s="2">
        <v>107349</v>
      </c>
      <c r="D205" s="8">
        <v>1.0465E-4</v>
      </c>
    </row>
    <row r="206" spans="1:4" x14ac:dyDescent="0.2">
      <c r="A206" s="1">
        <v>2019</v>
      </c>
      <c r="B206" s="1" t="s">
        <v>206</v>
      </c>
      <c r="C206" s="2">
        <v>9108</v>
      </c>
      <c r="D206" s="8">
        <v>8.8799999999999997E-6</v>
      </c>
    </row>
    <row r="207" spans="1:4" x14ac:dyDescent="0.2">
      <c r="A207" s="1">
        <v>2019</v>
      </c>
      <c r="B207" s="1" t="s">
        <v>908</v>
      </c>
      <c r="C207" s="2">
        <v>134864</v>
      </c>
      <c r="D207" s="8">
        <v>1.3148000000000001E-4</v>
      </c>
    </row>
    <row r="208" spans="1:4" x14ac:dyDescent="0.2">
      <c r="A208" s="1">
        <v>2019</v>
      </c>
      <c r="B208" s="1" t="s">
        <v>207</v>
      </c>
      <c r="C208" s="2">
        <v>18851</v>
      </c>
      <c r="D208" s="8">
        <v>1.838E-5</v>
      </c>
    </row>
    <row r="209" spans="1:4" x14ac:dyDescent="0.2">
      <c r="A209" s="1">
        <v>2019</v>
      </c>
      <c r="B209" s="1" t="s">
        <v>956</v>
      </c>
      <c r="C209" s="2">
        <v>1267532</v>
      </c>
      <c r="D209" s="8">
        <v>1.2356999999999999E-3</v>
      </c>
    </row>
    <row r="210" spans="1:4" x14ac:dyDescent="0.2">
      <c r="A210" s="1">
        <v>2019</v>
      </c>
      <c r="B210" s="1" t="s">
        <v>209</v>
      </c>
      <c r="C210" s="2">
        <v>3141476</v>
      </c>
      <c r="D210" s="8">
        <v>3.06259E-3</v>
      </c>
    </row>
    <row r="211" spans="1:4" x14ac:dyDescent="0.2">
      <c r="A211" s="1">
        <v>2019</v>
      </c>
      <c r="B211" s="1" t="s">
        <v>210</v>
      </c>
      <c r="C211" s="2">
        <v>396448</v>
      </c>
      <c r="D211" s="8">
        <v>3.8649000000000002E-4</v>
      </c>
    </row>
    <row r="212" spans="1:4" x14ac:dyDescent="0.2">
      <c r="A212" s="1">
        <v>2019</v>
      </c>
      <c r="B212" s="1" t="s">
        <v>211</v>
      </c>
      <c r="C212" s="2">
        <v>90702</v>
      </c>
      <c r="D212" s="8">
        <v>8.8419999999999997E-5</v>
      </c>
    </row>
    <row r="213" spans="1:4" x14ac:dyDescent="0.2">
      <c r="A213" s="1">
        <v>2019</v>
      </c>
      <c r="B213" s="1" t="s">
        <v>212</v>
      </c>
      <c r="C213" s="2">
        <v>206918</v>
      </c>
      <c r="D213" s="8">
        <v>2.0172000000000001E-4</v>
      </c>
    </row>
    <row r="214" spans="1:4" x14ac:dyDescent="0.2">
      <c r="A214" s="1">
        <v>2019</v>
      </c>
      <c r="B214" s="1" t="s">
        <v>213</v>
      </c>
      <c r="C214" s="2">
        <v>1572330</v>
      </c>
      <c r="D214" s="8">
        <v>1.5328500000000001E-3</v>
      </c>
    </row>
    <row r="215" spans="1:4" x14ac:dyDescent="0.2">
      <c r="A215" s="1">
        <v>2019</v>
      </c>
      <c r="B215" s="1" t="s">
        <v>214</v>
      </c>
      <c r="C215" s="2">
        <v>465686</v>
      </c>
      <c r="D215" s="8">
        <v>4.5398999999999998E-4</v>
      </c>
    </row>
    <row r="216" spans="1:4" x14ac:dyDescent="0.2">
      <c r="A216" s="1">
        <v>2019</v>
      </c>
      <c r="B216" s="1" t="s">
        <v>215</v>
      </c>
      <c r="C216" s="2">
        <v>20903</v>
      </c>
      <c r="D216" s="8">
        <v>2.0380000000000001E-5</v>
      </c>
    </row>
    <row r="217" spans="1:4" x14ac:dyDescent="0.2">
      <c r="A217" s="1">
        <v>2019</v>
      </c>
      <c r="B217" s="1" t="s">
        <v>216</v>
      </c>
      <c r="C217" s="2">
        <v>1234457</v>
      </c>
      <c r="D217" s="8">
        <v>1.2034599999999999E-3</v>
      </c>
    </row>
    <row r="218" spans="1:4" x14ac:dyDescent="0.2">
      <c r="A218" s="1">
        <v>2019</v>
      </c>
      <c r="B218" s="1" t="s">
        <v>217</v>
      </c>
      <c r="C218" s="2">
        <v>1463399</v>
      </c>
      <c r="D218" s="8">
        <v>1.42665E-3</v>
      </c>
    </row>
    <row r="219" spans="1:4" x14ac:dyDescent="0.2">
      <c r="A219" s="1">
        <v>2019</v>
      </c>
      <c r="B219" s="1" t="s">
        <v>218</v>
      </c>
      <c r="C219" s="2">
        <v>529591</v>
      </c>
      <c r="D219" s="8">
        <v>5.1628999999999998E-4</v>
      </c>
    </row>
    <row r="220" spans="1:4" x14ac:dyDescent="0.2">
      <c r="A220" s="1">
        <v>2019</v>
      </c>
      <c r="B220" s="1" t="s">
        <v>957</v>
      </c>
      <c r="C220" s="2">
        <v>2386722</v>
      </c>
      <c r="D220" s="8">
        <v>2.32679E-3</v>
      </c>
    </row>
    <row r="221" spans="1:4" x14ac:dyDescent="0.2">
      <c r="A221" s="1">
        <v>2019</v>
      </c>
      <c r="B221" s="1" t="s">
        <v>958</v>
      </c>
      <c r="C221" s="2">
        <v>2278214</v>
      </c>
      <c r="D221" s="8">
        <v>2.2210099999999998E-3</v>
      </c>
    </row>
    <row r="222" spans="1:4" x14ac:dyDescent="0.2">
      <c r="A222" s="1">
        <v>2019</v>
      </c>
      <c r="B222" s="1" t="s">
        <v>221</v>
      </c>
      <c r="C222" s="2">
        <v>10816</v>
      </c>
      <c r="D222" s="8">
        <v>1.0540000000000001E-5</v>
      </c>
    </row>
    <row r="223" spans="1:4" x14ac:dyDescent="0.2">
      <c r="A223" s="1">
        <v>2019</v>
      </c>
      <c r="B223" s="1" t="s">
        <v>959</v>
      </c>
      <c r="C223" s="2">
        <v>1263941</v>
      </c>
      <c r="D223" s="8">
        <v>1.2321999999999999E-3</v>
      </c>
    </row>
    <row r="224" spans="1:4" x14ac:dyDescent="0.2">
      <c r="A224" s="1">
        <v>2019</v>
      </c>
      <c r="B224" s="1" t="s">
        <v>960</v>
      </c>
      <c r="C224" s="2">
        <v>291685</v>
      </c>
      <c r="D224" s="8">
        <v>2.8435999999999999E-4</v>
      </c>
    </row>
    <row r="225" spans="1:4" x14ac:dyDescent="0.2">
      <c r="A225" s="1">
        <v>2019</v>
      </c>
      <c r="B225" s="1" t="s">
        <v>224</v>
      </c>
      <c r="C225" s="2">
        <v>1346910</v>
      </c>
      <c r="D225" s="8">
        <v>1.31309E-3</v>
      </c>
    </row>
    <row r="226" spans="1:4" x14ac:dyDescent="0.2">
      <c r="A226" s="1">
        <v>2019</v>
      </c>
      <c r="B226" s="1" t="s">
        <v>225</v>
      </c>
      <c r="C226" s="2">
        <v>265781</v>
      </c>
      <c r="D226" s="8">
        <v>2.5911E-4</v>
      </c>
    </row>
    <row r="227" spans="1:4" x14ac:dyDescent="0.2">
      <c r="A227" s="1">
        <v>2019</v>
      </c>
      <c r="B227" s="1" t="s">
        <v>226</v>
      </c>
      <c r="C227" s="2">
        <v>736165</v>
      </c>
      <c r="D227" s="8">
        <v>7.1768000000000005E-4</v>
      </c>
    </row>
    <row r="228" spans="1:4" x14ac:dyDescent="0.2">
      <c r="A228" s="1">
        <v>2019</v>
      </c>
      <c r="B228" s="1" t="s">
        <v>961</v>
      </c>
      <c r="C228" s="2">
        <v>692192</v>
      </c>
      <c r="D228" s="8">
        <v>6.7480999999999997E-4</v>
      </c>
    </row>
    <row r="229" spans="1:4" x14ac:dyDescent="0.2">
      <c r="A229" s="1">
        <v>2019</v>
      </c>
      <c r="B229" s="1" t="s">
        <v>904</v>
      </c>
      <c r="C229" s="2">
        <v>1210</v>
      </c>
      <c r="D229" s="8">
        <v>1.1799999999999999E-6</v>
      </c>
    </row>
    <row r="230" spans="1:4" x14ac:dyDescent="0.2">
      <c r="A230" s="1">
        <v>2019</v>
      </c>
      <c r="B230" s="1" t="s">
        <v>962</v>
      </c>
      <c r="C230" s="2">
        <v>3409971</v>
      </c>
      <c r="D230" s="8">
        <v>3.3243499999999998E-3</v>
      </c>
    </row>
    <row r="231" spans="1:4" x14ac:dyDescent="0.2">
      <c r="A231" s="1">
        <v>2019</v>
      </c>
      <c r="B231" s="1" t="s">
        <v>229</v>
      </c>
      <c r="C231" s="2">
        <v>23206</v>
      </c>
      <c r="D231" s="8">
        <v>2.262E-5</v>
      </c>
    </row>
    <row r="232" spans="1:4" x14ac:dyDescent="0.2">
      <c r="A232" s="1">
        <v>2019</v>
      </c>
      <c r="B232" s="1" t="s">
        <v>230</v>
      </c>
      <c r="C232" s="2">
        <v>85404</v>
      </c>
      <c r="D232" s="8">
        <v>8.3259999999999999E-5</v>
      </c>
    </row>
    <row r="233" spans="1:4" x14ac:dyDescent="0.2">
      <c r="A233" s="1">
        <v>2019</v>
      </c>
      <c r="B233" s="1" t="s">
        <v>231</v>
      </c>
      <c r="C233" s="2">
        <v>131722</v>
      </c>
      <c r="D233" s="8">
        <v>1.2841E-4</v>
      </c>
    </row>
    <row r="234" spans="1:4" x14ac:dyDescent="0.2">
      <c r="A234" s="1">
        <v>2019</v>
      </c>
      <c r="B234" s="1" t="s">
        <v>232</v>
      </c>
      <c r="C234" s="2">
        <v>245221</v>
      </c>
      <c r="D234" s="8">
        <v>2.3906E-4</v>
      </c>
    </row>
    <row r="235" spans="1:4" x14ac:dyDescent="0.2">
      <c r="A235" s="1">
        <v>2019</v>
      </c>
      <c r="B235" s="1" t="s">
        <v>963</v>
      </c>
      <c r="C235" s="2">
        <v>92090</v>
      </c>
      <c r="D235" s="8">
        <v>8.9779999999999998E-5</v>
      </c>
    </row>
    <row r="236" spans="1:4" x14ac:dyDescent="0.2">
      <c r="A236" s="1">
        <v>2019</v>
      </c>
      <c r="B236" s="1" t="s">
        <v>234</v>
      </c>
      <c r="C236" s="2">
        <v>3901</v>
      </c>
      <c r="D236" s="8">
        <v>3.8E-6</v>
      </c>
    </row>
    <row r="237" spans="1:4" x14ac:dyDescent="0.2">
      <c r="A237" s="1">
        <v>2019</v>
      </c>
      <c r="B237" s="1" t="s">
        <v>235</v>
      </c>
      <c r="C237" s="2">
        <v>306136</v>
      </c>
      <c r="D237" s="8">
        <v>2.9845000000000002E-4</v>
      </c>
    </row>
    <row r="238" spans="1:4" x14ac:dyDescent="0.2">
      <c r="A238" s="1">
        <v>2019</v>
      </c>
      <c r="B238" s="1" t="s">
        <v>964</v>
      </c>
      <c r="C238" s="2">
        <v>20755</v>
      </c>
      <c r="D238" s="8">
        <v>2.0230000000000001E-5</v>
      </c>
    </row>
    <row r="239" spans="1:4" x14ac:dyDescent="0.2">
      <c r="A239" s="1">
        <v>2019</v>
      </c>
      <c r="B239" s="1" t="s">
        <v>965</v>
      </c>
      <c r="C239" s="2">
        <v>1685816</v>
      </c>
      <c r="D239" s="8">
        <v>1.6434799999999999E-3</v>
      </c>
    </row>
    <row r="240" spans="1:4" x14ac:dyDescent="0.2">
      <c r="A240" s="1">
        <v>2019</v>
      </c>
      <c r="B240" s="1" t="s">
        <v>966</v>
      </c>
      <c r="C240" s="2">
        <v>478855</v>
      </c>
      <c r="D240" s="8">
        <v>4.6683E-4</v>
      </c>
    </row>
    <row r="241" spans="1:4" x14ac:dyDescent="0.2">
      <c r="A241" s="1">
        <v>2019</v>
      </c>
      <c r="B241" s="1" t="s">
        <v>239</v>
      </c>
      <c r="C241" s="2">
        <v>73318</v>
      </c>
      <c r="D241" s="8">
        <v>7.148E-5</v>
      </c>
    </row>
    <row r="242" spans="1:4" x14ac:dyDescent="0.2">
      <c r="A242" s="1">
        <v>2019</v>
      </c>
      <c r="B242" s="1" t="s">
        <v>240</v>
      </c>
      <c r="C242" s="2">
        <v>4009398</v>
      </c>
      <c r="D242" s="8">
        <v>3.9087200000000001E-3</v>
      </c>
    </row>
    <row r="243" spans="1:4" x14ac:dyDescent="0.2">
      <c r="A243" s="1">
        <v>2019</v>
      </c>
      <c r="B243" s="1" t="s">
        <v>241</v>
      </c>
      <c r="C243" s="2">
        <v>1093094</v>
      </c>
      <c r="D243" s="8">
        <v>1.06565E-3</v>
      </c>
    </row>
    <row r="244" spans="1:4" x14ac:dyDescent="0.2">
      <c r="A244" s="1">
        <v>2019</v>
      </c>
      <c r="B244" s="1" t="s">
        <v>242</v>
      </c>
      <c r="C244" s="2">
        <v>85832</v>
      </c>
      <c r="D244" s="8">
        <v>8.3679999999999998E-5</v>
      </c>
    </row>
    <row r="245" spans="1:4" x14ac:dyDescent="0.2">
      <c r="A245" s="1">
        <v>2019</v>
      </c>
      <c r="B245" s="1" t="s">
        <v>967</v>
      </c>
      <c r="C245" s="2">
        <v>2538229</v>
      </c>
      <c r="D245" s="8">
        <v>2.4744900000000002E-3</v>
      </c>
    </row>
    <row r="246" spans="1:4" x14ac:dyDescent="0.2">
      <c r="A246" s="1">
        <v>2019</v>
      </c>
      <c r="B246" s="1" t="s">
        <v>243</v>
      </c>
      <c r="C246" s="2">
        <v>15598</v>
      </c>
      <c r="D246" s="8">
        <v>1.521E-5</v>
      </c>
    </row>
    <row r="247" spans="1:4" x14ac:dyDescent="0.2">
      <c r="A247" s="1">
        <v>2019</v>
      </c>
      <c r="B247" s="1" t="s">
        <v>244</v>
      </c>
      <c r="C247" s="2">
        <v>639593</v>
      </c>
      <c r="D247" s="8">
        <v>6.2352999999999996E-4</v>
      </c>
    </row>
    <row r="248" spans="1:4" x14ac:dyDescent="0.2">
      <c r="A248" s="1">
        <v>2019</v>
      </c>
      <c r="B248" s="1" t="s">
        <v>968</v>
      </c>
      <c r="C248" s="2">
        <v>42436</v>
      </c>
      <c r="D248" s="8">
        <v>4.1369999999999999E-5</v>
      </c>
    </row>
    <row r="249" spans="1:4" x14ac:dyDescent="0.2">
      <c r="A249" s="1">
        <v>2019</v>
      </c>
      <c r="B249" s="1" t="s">
        <v>247</v>
      </c>
      <c r="C249" s="2">
        <v>958010</v>
      </c>
      <c r="D249" s="8">
        <v>9.3395000000000001E-4</v>
      </c>
    </row>
    <row r="250" spans="1:4" x14ac:dyDescent="0.2">
      <c r="A250" s="1">
        <v>2019</v>
      </c>
      <c r="B250" s="1" t="s">
        <v>969</v>
      </c>
      <c r="C250" s="2">
        <v>592555</v>
      </c>
      <c r="D250" s="8">
        <v>5.7768000000000001E-4</v>
      </c>
    </row>
    <row r="251" spans="1:4" x14ac:dyDescent="0.2">
      <c r="A251" s="1">
        <v>2019</v>
      </c>
      <c r="B251" s="1" t="s">
        <v>970</v>
      </c>
      <c r="C251" s="2">
        <v>4177</v>
      </c>
      <c r="D251" s="8">
        <v>4.07E-6</v>
      </c>
    </row>
    <row r="252" spans="1:4" x14ac:dyDescent="0.2">
      <c r="A252" s="1">
        <v>2019</v>
      </c>
      <c r="B252" s="1" t="s">
        <v>250</v>
      </c>
      <c r="C252" s="2">
        <v>13490</v>
      </c>
      <c r="D252" s="8">
        <v>1.3149999999999999E-5</v>
      </c>
    </row>
    <row r="253" spans="1:4" x14ac:dyDescent="0.2">
      <c r="A253" s="1">
        <v>2019</v>
      </c>
      <c r="B253" s="1" t="s">
        <v>251</v>
      </c>
      <c r="C253" s="2">
        <v>3314822</v>
      </c>
      <c r="D253" s="8">
        <v>3.2315899999999999E-3</v>
      </c>
    </row>
    <row r="254" spans="1:4" x14ac:dyDescent="0.2">
      <c r="A254" s="1">
        <v>2019</v>
      </c>
      <c r="B254" s="1" t="s">
        <v>252</v>
      </c>
      <c r="C254" s="2">
        <v>3727</v>
      </c>
      <c r="D254" s="8">
        <v>3.63E-6</v>
      </c>
    </row>
    <row r="255" spans="1:4" x14ac:dyDescent="0.2">
      <c r="A255" s="1">
        <v>2019</v>
      </c>
      <c r="B255" s="1" t="s">
        <v>253</v>
      </c>
      <c r="C255" s="2">
        <v>111423</v>
      </c>
      <c r="D255" s="8">
        <v>1.0863E-4</v>
      </c>
    </row>
    <row r="256" spans="1:4" x14ac:dyDescent="0.2">
      <c r="A256" s="1">
        <v>2019</v>
      </c>
      <c r="B256" s="1" t="s">
        <v>254</v>
      </c>
      <c r="C256" s="2">
        <v>4288479</v>
      </c>
      <c r="D256" s="8">
        <v>4.1807900000000002E-3</v>
      </c>
    </row>
    <row r="257" spans="1:4" x14ac:dyDescent="0.2">
      <c r="A257" s="1">
        <v>2019</v>
      </c>
      <c r="B257" s="1" t="s">
        <v>255</v>
      </c>
      <c r="C257" s="2">
        <v>5703587</v>
      </c>
      <c r="D257" s="8">
        <v>5.5603700000000002E-3</v>
      </c>
    </row>
    <row r="258" spans="1:4" x14ac:dyDescent="0.2">
      <c r="A258" s="1">
        <v>2019</v>
      </c>
      <c r="B258" s="1" t="s">
        <v>971</v>
      </c>
      <c r="C258" s="2">
        <v>323123</v>
      </c>
      <c r="D258" s="8">
        <v>3.1501000000000001E-4</v>
      </c>
    </row>
    <row r="259" spans="1:4" x14ac:dyDescent="0.2">
      <c r="A259" s="1">
        <v>2019</v>
      </c>
      <c r="B259" s="1" t="s">
        <v>972</v>
      </c>
      <c r="C259" s="2">
        <v>3342597</v>
      </c>
      <c r="D259" s="8">
        <v>3.25866E-3</v>
      </c>
    </row>
    <row r="260" spans="1:4" x14ac:dyDescent="0.2">
      <c r="A260" s="1">
        <v>2019</v>
      </c>
      <c r="B260" s="1" t="s">
        <v>973</v>
      </c>
      <c r="C260" s="2">
        <v>1753104</v>
      </c>
      <c r="D260" s="8">
        <v>1.70908E-3</v>
      </c>
    </row>
    <row r="261" spans="1:4" x14ac:dyDescent="0.2">
      <c r="A261" s="1">
        <v>2019</v>
      </c>
      <c r="B261" s="1" t="s">
        <v>259</v>
      </c>
      <c r="C261" s="2">
        <v>194016</v>
      </c>
      <c r="D261" s="8">
        <v>1.8913999999999999E-4</v>
      </c>
    </row>
    <row r="262" spans="1:4" x14ac:dyDescent="0.2">
      <c r="A262" s="1">
        <v>2019</v>
      </c>
      <c r="B262" s="1" t="s">
        <v>260</v>
      </c>
      <c r="C262" s="2">
        <v>123252</v>
      </c>
      <c r="D262" s="8">
        <v>1.2016E-4</v>
      </c>
    </row>
    <row r="263" spans="1:4" x14ac:dyDescent="0.2">
      <c r="A263" s="1">
        <v>2019</v>
      </c>
      <c r="B263" s="1" t="s">
        <v>261</v>
      </c>
      <c r="C263" s="2">
        <v>30564</v>
      </c>
      <c r="D263" s="8">
        <v>2.9799999999999999E-5</v>
      </c>
    </row>
    <row r="264" spans="1:4" x14ac:dyDescent="0.2">
      <c r="A264" s="1">
        <v>2019</v>
      </c>
      <c r="B264" s="1" t="s">
        <v>262</v>
      </c>
      <c r="C264" s="2">
        <v>183119</v>
      </c>
      <c r="D264" s="8">
        <v>1.7851999999999999E-4</v>
      </c>
    </row>
    <row r="265" spans="1:4" x14ac:dyDescent="0.2">
      <c r="A265" s="1">
        <v>2019</v>
      </c>
      <c r="B265" s="1" t="s">
        <v>263</v>
      </c>
      <c r="C265" s="2">
        <v>11843</v>
      </c>
      <c r="D265" s="8">
        <v>1.155E-5</v>
      </c>
    </row>
    <row r="266" spans="1:4" x14ac:dyDescent="0.2">
      <c r="A266" s="1">
        <v>2019</v>
      </c>
      <c r="B266" s="1" t="s">
        <v>974</v>
      </c>
      <c r="C266" s="2">
        <v>92934</v>
      </c>
      <c r="D266" s="8">
        <v>9.0600000000000007E-5</v>
      </c>
    </row>
    <row r="267" spans="1:4" x14ac:dyDescent="0.2">
      <c r="A267" s="1">
        <v>2019</v>
      </c>
      <c r="B267" s="1" t="s">
        <v>265</v>
      </c>
      <c r="C267" s="2">
        <v>70486</v>
      </c>
      <c r="D267" s="8">
        <v>6.8720000000000006E-5</v>
      </c>
    </row>
    <row r="268" spans="1:4" x14ac:dyDescent="0.2">
      <c r="A268" s="1">
        <v>2019</v>
      </c>
      <c r="B268" s="1" t="s">
        <v>266</v>
      </c>
      <c r="C268" s="2">
        <v>8926</v>
      </c>
      <c r="D268" s="8">
        <v>8.6999999999999997E-6</v>
      </c>
    </row>
    <row r="269" spans="1:4" x14ac:dyDescent="0.2">
      <c r="A269" s="1">
        <v>2019</v>
      </c>
      <c r="B269" s="1" t="s">
        <v>975</v>
      </c>
      <c r="C269" s="2">
        <v>11966348</v>
      </c>
      <c r="D269" s="8">
        <v>1.166587E-2</v>
      </c>
    </row>
    <row r="270" spans="1:4" x14ac:dyDescent="0.2">
      <c r="A270" s="1">
        <v>2019</v>
      </c>
      <c r="B270" s="1" t="s">
        <v>976</v>
      </c>
      <c r="C270" s="2">
        <v>5153185</v>
      </c>
      <c r="D270" s="8">
        <v>5.0237900000000002E-3</v>
      </c>
    </row>
    <row r="271" spans="1:4" x14ac:dyDescent="0.2">
      <c r="A271" s="1">
        <v>2019</v>
      </c>
      <c r="B271" s="1" t="s">
        <v>269</v>
      </c>
      <c r="C271" s="2">
        <v>140491</v>
      </c>
      <c r="D271" s="8">
        <v>1.3695999999999999E-4</v>
      </c>
    </row>
    <row r="272" spans="1:4" x14ac:dyDescent="0.2">
      <c r="A272" s="1">
        <v>2019</v>
      </c>
      <c r="B272" s="1" t="s">
        <v>270</v>
      </c>
      <c r="C272" s="2">
        <v>82792</v>
      </c>
      <c r="D272" s="8">
        <v>8.0710000000000005E-5</v>
      </c>
    </row>
    <row r="273" spans="1:4" x14ac:dyDescent="0.2">
      <c r="A273" s="1">
        <v>2019</v>
      </c>
      <c r="B273" s="1" t="s">
        <v>271</v>
      </c>
      <c r="C273" s="2">
        <v>6847</v>
      </c>
      <c r="D273" s="8">
        <v>6.6699999999999997E-6</v>
      </c>
    </row>
    <row r="274" spans="1:4" x14ac:dyDescent="0.2">
      <c r="A274" s="1">
        <v>2019</v>
      </c>
      <c r="B274" s="1" t="s">
        <v>272</v>
      </c>
      <c r="C274" s="2">
        <v>178918</v>
      </c>
      <c r="D274" s="8">
        <v>1.7443E-4</v>
      </c>
    </row>
    <row r="275" spans="1:4" x14ac:dyDescent="0.2">
      <c r="A275" s="1">
        <v>2019</v>
      </c>
      <c r="B275" s="1" t="s">
        <v>273</v>
      </c>
      <c r="C275" s="2">
        <v>242164</v>
      </c>
      <c r="D275" s="8">
        <v>2.3608E-4</v>
      </c>
    </row>
    <row r="276" spans="1:4" x14ac:dyDescent="0.2">
      <c r="A276" s="1">
        <v>2019</v>
      </c>
      <c r="B276" s="1" t="s">
        <v>274</v>
      </c>
      <c r="C276" s="2">
        <v>151930</v>
      </c>
      <c r="D276" s="8">
        <v>1.4812000000000001E-4</v>
      </c>
    </row>
    <row r="277" spans="1:4" x14ac:dyDescent="0.2">
      <c r="A277" s="1">
        <v>2019</v>
      </c>
      <c r="B277" s="1" t="s">
        <v>275</v>
      </c>
      <c r="C277" s="2">
        <v>13894</v>
      </c>
      <c r="D277" s="8">
        <v>1.3550000000000001E-5</v>
      </c>
    </row>
    <row r="278" spans="1:4" x14ac:dyDescent="0.2">
      <c r="A278" s="1">
        <v>2019</v>
      </c>
      <c r="B278" s="1" t="s">
        <v>276</v>
      </c>
      <c r="C278" s="2">
        <v>3885942</v>
      </c>
      <c r="D278" s="8">
        <v>3.7883600000000002E-3</v>
      </c>
    </row>
    <row r="279" spans="1:4" x14ac:dyDescent="0.2">
      <c r="A279" s="1">
        <v>2019</v>
      </c>
      <c r="B279" s="1" t="s">
        <v>277</v>
      </c>
      <c r="C279" s="2">
        <v>64602</v>
      </c>
      <c r="D279" s="8">
        <v>6.2979999999999997E-5</v>
      </c>
    </row>
    <row r="280" spans="1:4" x14ac:dyDescent="0.2">
      <c r="A280" s="1">
        <v>2019</v>
      </c>
      <c r="B280" s="1" t="s">
        <v>977</v>
      </c>
      <c r="C280" s="2">
        <v>3685065</v>
      </c>
      <c r="D280" s="8">
        <v>3.59253E-3</v>
      </c>
    </row>
    <row r="281" spans="1:4" x14ac:dyDescent="0.2">
      <c r="A281" s="1">
        <v>2019</v>
      </c>
      <c r="B281" s="1" t="s">
        <v>279</v>
      </c>
      <c r="C281" s="2">
        <v>44663</v>
      </c>
      <c r="D281" s="8">
        <v>4.354E-5</v>
      </c>
    </row>
    <row r="282" spans="1:4" x14ac:dyDescent="0.2">
      <c r="A282" s="1">
        <v>2019</v>
      </c>
      <c r="B282" s="1" t="s">
        <v>978</v>
      </c>
      <c r="C282" s="2">
        <v>108585</v>
      </c>
      <c r="D282" s="8">
        <v>1.0586000000000001E-4</v>
      </c>
    </row>
    <row r="283" spans="1:4" x14ac:dyDescent="0.2">
      <c r="A283" s="1">
        <v>2019</v>
      </c>
      <c r="B283" s="1" t="s">
        <v>281</v>
      </c>
      <c r="C283" s="2">
        <v>268884</v>
      </c>
      <c r="D283" s="8">
        <v>2.6213000000000001E-4</v>
      </c>
    </row>
    <row r="284" spans="1:4" x14ac:dyDescent="0.2">
      <c r="A284" s="1">
        <v>2019</v>
      </c>
      <c r="B284" s="1" t="s">
        <v>282</v>
      </c>
      <c r="C284" s="2">
        <v>33789</v>
      </c>
      <c r="D284" s="8">
        <v>3.294E-5</v>
      </c>
    </row>
    <row r="285" spans="1:4" x14ac:dyDescent="0.2">
      <c r="A285" s="1">
        <v>2019</v>
      </c>
      <c r="B285" s="1" t="s">
        <v>283</v>
      </c>
      <c r="C285" s="2">
        <v>1156219</v>
      </c>
      <c r="D285" s="8">
        <v>1.1271899999999999E-3</v>
      </c>
    </row>
    <row r="286" spans="1:4" x14ac:dyDescent="0.2">
      <c r="A286" s="1">
        <v>2019</v>
      </c>
      <c r="B286" s="1" t="s">
        <v>284</v>
      </c>
      <c r="C286" s="2">
        <v>57794</v>
      </c>
      <c r="D286" s="8">
        <v>5.6339999999999999E-5</v>
      </c>
    </row>
    <row r="287" spans="1:4" x14ac:dyDescent="0.2">
      <c r="A287" s="1">
        <v>2019</v>
      </c>
      <c r="B287" s="1" t="s">
        <v>285</v>
      </c>
      <c r="C287" s="2">
        <v>1123676</v>
      </c>
      <c r="D287" s="8">
        <v>1.0954599999999999E-3</v>
      </c>
    </row>
    <row r="288" spans="1:4" x14ac:dyDescent="0.2">
      <c r="A288" s="1">
        <v>2019</v>
      </c>
      <c r="B288" s="1" t="s">
        <v>286</v>
      </c>
      <c r="C288" s="2">
        <v>25230</v>
      </c>
      <c r="D288" s="8">
        <v>2.4600000000000002E-5</v>
      </c>
    </row>
    <row r="289" spans="1:4" x14ac:dyDescent="0.2">
      <c r="A289" s="1">
        <v>2019</v>
      </c>
      <c r="B289" s="1" t="s">
        <v>287</v>
      </c>
      <c r="C289" s="2">
        <v>26440</v>
      </c>
      <c r="D289" s="8">
        <v>2.5780000000000001E-5</v>
      </c>
    </row>
    <row r="290" spans="1:4" x14ac:dyDescent="0.2">
      <c r="A290" s="1">
        <v>2019</v>
      </c>
      <c r="B290" s="1" t="s">
        <v>979</v>
      </c>
      <c r="C290" s="2">
        <v>3854438</v>
      </c>
      <c r="D290" s="8">
        <v>3.75765E-3</v>
      </c>
    </row>
    <row r="291" spans="1:4" x14ac:dyDescent="0.2">
      <c r="A291" s="1">
        <v>2019</v>
      </c>
      <c r="B291" s="1" t="s">
        <v>289</v>
      </c>
      <c r="C291" s="2">
        <v>4862508</v>
      </c>
      <c r="D291" s="8">
        <v>4.7404099999999996E-3</v>
      </c>
    </row>
    <row r="292" spans="1:4" x14ac:dyDescent="0.2">
      <c r="A292" s="1">
        <v>2019</v>
      </c>
      <c r="B292" s="1" t="s">
        <v>290</v>
      </c>
      <c r="C292" s="2">
        <v>112694</v>
      </c>
      <c r="D292" s="8">
        <v>1.0986E-4</v>
      </c>
    </row>
    <row r="293" spans="1:4" x14ac:dyDescent="0.2">
      <c r="A293" s="1">
        <v>2019</v>
      </c>
      <c r="B293" s="1" t="s">
        <v>291</v>
      </c>
      <c r="C293" s="2">
        <v>133905</v>
      </c>
      <c r="D293" s="8">
        <v>1.3054000000000001E-4</v>
      </c>
    </row>
    <row r="294" spans="1:4" x14ac:dyDescent="0.2">
      <c r="A294" s="1">
        <v>2019</v>
      </c>
      <c r="B294" s="1" t="s">
        <v>980</v>
      </c>
      <c r="C294" s="2">
        <v>13004</v>
      </c>
      <c r="D294" s="8">
        <v>1.2680000000000001E-5</v>
      </c>
    </row>
    <row r="295" spans="1:4" x14ac:dyDescent="0.2">
      <c r="A295" s="1">
        <v>2019</v>
      </c>
      <c r="B295" s="1" t="s">
        <v>293</v>
      </c>
      <c r="C295" s="2">
        <v>8663100</v>
      </c>
      <c r="D295" s="8">
        <v>8.4455699999999995E-3</v>
      </c>
    </row>
    <row r="296" spans="1:4" x14ac:dyDescent="0.2">
      <c r="A296" s="1">
        <v>2019</v>
      </c>
      <c r="B296" s="1" t="s">
        <v>294</v>
      </c>
      <c r="C296" s="2">
        <v>110409</v>
      </c>
      <c r="D296" s="8">
        <v>1.0764000000000001E-4</v>
      </c>
    </row>
    <row r="297" spans="1:4" x14ac:dyDescent="0.2">
      <c r="A297" s="1">
        <v>2019</v>
      </c>
      <c r="B297" s="1" t="s">
        <v>295</v>
      </c>
      <c r="C297" s="2">
        <v>629241</v>
      </c>
      <c r="D297" s="8">
        <v>6.1344000000000004E-4</v>
      </c>
    </row>
    <row r="298" spans="1:4" x14ac:dyDescent="0.2">
      <c r="A298" s="1">
        <v>2019</v>
      </c>
      <c r="B298" s="1" t="s">
        <v>981</v>
      </c>
      <c r="C298" s="2">
        <v>403998</v>
      </c>
      <c r="D298" s="8">
        <v>3.9385000000000001E-4</v>
      </c>
    </row>
    <row r="299" spans="1:4" x14ac:dyDescent="0.2">
      <c r="A299" s="1">
        <v>2019</v>
      </c>
      <c r="B299" s="1" t="s">
        <v>297</v>
      </c>
      <c r="C299" s="2">
        <v>15371</v>
      </c>
      <c r="D299" s="8">
        <v>1.499E-5</v>
      </c>
    </row>
    <row r="300" spans="1:4" x14ac:dyDescent="0.2">
      <c r="A300" s="1">
        <v>2019</v>
      </c>
      <c r="B300" s="1" t="s">
        <v>298</v>
      </c>
      <c r="C300" s="2">
        <v>1143809</v>
      </c>
      <c r="D300" s="8">
        <v>1.11509E-3</v>
      </c>
    </row>
    <row r="301" spans="1:4" x14ac:dyDescent="0.2">
      <c r="A301" s="1">
        <v>2019</v>
      </c>
      <c r="B301" s="1" t="s">
        <v>299</v>
      </c>
      <c r="C301" s="2">
        <v>472848</v>
      </c>
      <c r="D301" s="8">
        <v>4.6097E-4</v>
      </c>
    </row>
    <row r="302" spans="1:4" x14ac:dyDescent="0.2">
      <c r="A302" s="1">
        <v>2019</v>
      </c>
      <c r="B302" s="1" t="s">
        <v>982</v>
      </c>
      <c r="C302" s="2">
        <v>694871</v>
      </c>
      <c r="D302" s="8">
        <v>6.7741999999999998E-4</v>
      </c>
    </row>
    <row r="303" spans="1:4" x14ac:dyDescent="0.2">
      <c r="A303" s="1">
        <v>2019</v>
      </c>
      <c r="B303" s="1" t="s">
        <v>983</v>
      </c>
      <c r="C303" s="2">
        <v>3007</v>
      </c>
      <c r="D303" s="8">
        <v>2.9299999999999999E-6</v>
      </c>
    </row>
    <row r="304" spans="1:4" x14ac:dyDescent="0.2">
      <c r="A304" s="1">
        <v>2019</v>
      </c>
      <c r="B304" s="1" t="s">
        <v>301</v>
      </c>
      <c r="C304" s="2">
        <v>3255007</v>
      </c>
      <c r="D304" s="8">
        <v>3.1732700000000002E-3</v>
      </c>
    </row>
    <row r="305" spans="1:4" x14ac:dyDescent="0.2">
      <c r="A305" s="1">
        <v>2019</v>
      </c>
      <c r="B305" s="1" t="s">
        <v>984</v>
      </c>
      <c r="C305" s="2">
        <v>2311888</v>
      </c>
      <c r="D305" s="8">
        <v>2.25384E-3</v>
      </c>
    </row>
    <row r="306" spans="1:4" x14ac:dyDescent="0.2">
      <c r="A306" s="1">
        <v>2019</v>
      </c>
      <c r="B306" s="1" t="s">
        <v>303</v>
      </c>
      <c r="C306" s="2">
        <v>1277073</v>
      </c>
      <c r="D306" s="8">
        <v>1.24501E-3</v>
      </c>
    </row>
    <row r="307" spans="1:4" x14ac:dyDescent="0.2">
      <c r="A307" s="1">
        <v>2019</v>
      </c>
      <c r="B307" s="1" t="s">
        <v>304</v>
      </c>
      <c r="C307" s="2">
        <v>32375</v>
      </c>
      <c r="D307" s="8">
        <v>3.1560000000000003E-5</v>
      </c>
    </row>
    <row r="308" spans="1:4" x14ac:dyDescent="0.2">
      <c r="A308" s="1">
        <v>2019</v>
      </c>
      <c r="B308" s="1" t="s">
        <v>985</v>
      </c>
      <c r="C308" s="2">
        <v>1196792</v>
      </c>
      <c r="D308" s="8">
        <v>1.1667400000000001E-3</v>
      </c>
    </row>
    <row r="309" spans="1:4" x14ac:dyDescent="0.2">
      <c r="A309" s="1">
        <v>2019</v>
      </c>
      <c r="B309" s="1" t="s">
        <v>909</v>
      </c>
      <c r="C309" s="2">
        <v>1335347</v>
      </c>
      <c r="D309" s="8">
        <v>1.30182E-3</v>
      </c>
    </row>
    <row r="310" spans="1:4" x14ac:dyDescent="0.2">
      <c r="A310" s="1">
        <v>2019</v>
      </c>
      <c r="B310" s="1" t="s">
        <v>306</v>
      </c>
      <c r="C310" s="2">
        <v>178630</v>
      </c>
      <c r="D310" s="8">
        <v>1.7414000000000001E-4</v>
      </c>
    </row>
    <row r="311" spans="1:4" x14ac:dyDescent="0.2">
      <c r="A311" s="1">
        <v>2019</v>
      </c>
      <c r="B311" s="1" t="s">
        <v>307</v>
      </c>
      <c r="C311" s="2">
        <v>65585</v>
      </c>
      <c r="D311" s="8">
        <v>6.3940000000000001E-5</v>
      </c>
    </row>
    <row r="312" spans="1:4" x14ac:dyDescent="0.2">
      <c r="A312" s="1">
        <v>2019</v>
      </c>
      <c r="B312" s="1" t="s">
        <v>986</v>
      </c>
      <c r="C312" s="2">
        <v>1361586</v>
      </c>
      <c r="D312" s="8">
        <v>1.3274000000000001E-3</v>
      </c>
    </row>
    <row r="313" spans="1:4" x14ac:dyDescent="0.2">
      <c r="A313" s="1">
        <v>2019</v>
      </c>
      <c r="B313" s="1" t="s">
        <v>987</v>
      </c>
      <c r="C313" s="2">
        <v>425586</v>
      </c>
      <c r="D313" s="8">
        <v>4.149E-4</v>
      </c>
    </row>
    <row r="314" spans="1:4" x14ac:dyDescent="0.2">
      <c r="A314" s="1">
        <v>2019</v>
      </c>
      <c r="B314" s="1" t="s">
        <v>310</v>
      </c>
      <c r="C314" s="2">
        <v>8845</v>
      </c>
      <c r="D314" s="8">
        <v>8.6200000000000005E-6</v>
      </c>
    </row>
    <row r="315" spans="1:4" x14ac:dyDescent="0.2">
      <c r="A315" s="1">
        <v>2019</v>
      </c>
      <c r="B315" s="1" t="s">
        <v>311</v>
      </c>
      <c r="C315" s="2">
        <v>477756</v>
      </c>
      <c r="D315" s="8">
        <v>4.6576000000000001E-4</v>
      </c>
    </row>
    <row r="316" spans="1:4" x14ac:dyDescent="0.2">
      <c r="A316" s="1">
        <v>2019</v>
      </c>
      <c r="B316" s="1" t="s">
        <v>312</v>
      </c>
      <c r="C316" s="2">
        <v>421371</v>
      </c>
      <c r="D316" s="8">
        <v>4.1079000000000002E-4</v>
      </c>
    </row>
    <row r="317" spans="1:4" x14ac:dyDescent="0.2">
      <c r="A317" s="1">
        <v>2019</v>
      </c>
      <c r="B317" s="1" t="s">
        <v>313</v>
      </c>
      <c r="C317" s="2">
        <v>1199335</v>
      </c>
      <c r="D317" s="8">
        <v>1.1692199999999999E-3</v>
      </c>
    </row>
    <row r="318" spans="1:4" x14ac:dyDescent="0.2">
      <c r="A318" s="1">
        <v>2019</v>
      </c>
      <c r="B318" s="1" t="s">
        <v>314</v>
      </c>
      <c r="C318" s="2">
        <v>1047241</v>
      </c>
      <c r="D318" s="8">
        <v>1.0209399999999999E-3</v>
      </c>
    </row>
    <row r="319" spans="1:4" x14ac:dyDescent="0.2">
      <c r="A319" s="1">
        <v>2019</v>
      </c>
      <c r="B319" s="1" t="s">
        <v>315</v>
      </c>
      <c r="C319" s="2">
        <v>50880</v>
      </c>
      <c r="D319" s="8">
        <v>4.9599999999999999E-5</v>
      </c>
    </row>
    <row r="320" spans="1:4" x14ac:dyDescent="0.2">
      <c r="A320" s="1">
        <v>2019</v>
      </c>
      <c r="B320" s="1" t="s">
        <v>988</v>
      </c>
      <c r="C320" s="2">
        <v>325424</v>
      </c>
      <c r="D320" s="8">
        <v>3.1724999999999999E-4</v>
      </c>
    </row>
    <row r="321" spans="1:4" x14ac:dyDescent="0.2">
      <c r="A321" s="1">
        <v>2019</v>
      </c>
      <c r="B321" s="1" t="s">
        <v>989</v>
      </c>
      <c r="C321" s="2">
        <v>2922240</v>
      </c>
      <c r="D321" s="8">
        <v>2.8488599999999999E-3</v>
      </c>
    </row>
    <row r="322" spans="1:4" x14ac:dyDescent="0.2">
      <c r="A322" s="1">
        <v>2019</v>
      </c>
      <c r="B322" s="1" t="s">
        <v>990</v>
      </c>
      <c r="C322" s="2">
        <v>603446</v>
      </c>
      <c r="D322" s="8">
        <v>5.8828999999999999E-4</v>
      </c>
    </row>
    <row r="323" spans="1:4" x14ac:dyDescent="0.2">
      <c r="A323" s="1">
        <v>2019</v>
      </c>
      <c r="B323" s="1" t="s">
        <v>991</v>
      </c>
      <c r="C323" s="2">
        <v>3604</v>
      </c>
      <c r="D323" s="8">
        <v>3.5099999999999999E-6</v>
      </c>
    </row>
    <row r="324" spans="1:4" x14ac:dyDescent="0.2">
      <c r="A324" s="1">
        <v>2019</v>
      </c>
      <c r="B324" s="1" t="s">
        <v>320</v>
      </c>
      <c r="C324" s="2">
        <v>3674071</v>
      </c>
      <c r="D324" s="8">
        <v>3.5818099999999999E-3</v>
      </c>
    </row>
    <row r="325" spans="1:4" x14ac:dyDescent="0.2">
      <c r="A325" s="1">
        <v>2019</v>
      </c>
      <c r="B325" s="1" t="s">
        <v>321</v>
      </c>
      <c r="C325" s="2">
        <v>77800</v>
      </c>
      <c r="D325" s="8">
        <v>7.5850000000000001E-5</v>
      </c>
    </row>
    <row r="326" spans="1:4" x14ac:dyDescent="0.2">
      <c r="A326" s="1">
        <v>2019</v>
      </c>
      <c r="B326" s="1" t="s">
        <v>322</v>
      </c>
      <c r="C326" s="2">
        <v>15401</v>
      </c>
      <c r="D326" s="8">
        <v>1.501E-5</v>
      </c>
    </row>
    <row r="327" spans="1:4" x14ac:dyDescent="0.2">
      <c r="A327" s="1">
        <v>2019</v>
      </c>
      <c r="B327" s="1" t="s">
        <v>323</v>
      </c>
      <c r="C327" s="2">
        <v>207240</v>
      </c>
      <c r="D327" s="8">
        <v>2.0204000000000001E-4</v>
      </c>
    </row>
    <row r="328" spans="1:4" x14ac:dyDescent="0.2">
      <c r="A328" s="1">
        <v>2019</v>
      </c>
      <c r="B328" s="1" t="s">
        <v>324</v>
      </c>
      <c r="C328" s="2">
        <v>24116</v>
      </c>
      <c r="D328" s="8">
        <v>2.351E-5</v>
      </c>
    </row>
    <row r="329" spans="1:4" x14ac:dyDescent="0.2">
      <c r="A329" s="1">
        <v>2019</v>
      </c>
      <c r="B329" s="1" t="s">
        <v>325</v>
      </c>
      <c r="C329" s="2">
        <v>9498582</v>
      </c>
      <c r="D329" s="8">
        <v>9.2600700000000005E-3</v>
      </c>
    </row>
    <row r="330" spans="1:4" x14ac:dyDescent="0.2">
      <c r="A330" s="1">
        <v>2019</v>
      </c>
      <c r="B330" s="1" t="s">
        <v>326</v>
      </c>
      <c r="C330" s="2">
        <v>747068</v>
      </c>
      <c r="D330" s="8">
        <v>7.2831000000000003E-4</v>
      </c>
    </row>
    <row r="331" spans="1:4" x14ac:dyDescent="0.2">
      <c r="A331" s="1">
        <v>2019</v>
      </c>
      <c r="B331" s="1" t="s">
        <v>992</v>
      </c>
      <c r="C331" s="2">
        <v>7830105</v>
      </c>
      <c r="D331" s="8">
        <v>7.6334899999999997E-3</v>
      </c>
    </row>
    <row r="332" spans="1:4" x14ac:dyDescent="0.2">
      <c r="A332" s="1">
        <v>2019</v>
      </c>
      <c r="B332" s="1" t="s">
        <v>993</v>
      </c>
      <c r="C332" s="2">
        <v>5030252</v>
      </c>
      <c r="D332" s="8">
        <v>4.9039399999999999E-3</v>
      </c>
    </row>
    <row r="333" spans="1:4" x14ac:dyDescent="0.2">
      <c r="A333" s="1">
        <v>2019</v>
      </c>
      <c r="B333" s="1" t="s">
        <v>329</v>
      </c>
      <c r="C333" s="2">
        <v>62618</v>
      </c>
      <c r="D333" s="8">
        <v>6.1050000000000007E-5</v>
      </c>
    </row>
    <row r="334" spans="1:4" x14ac:dyDescent="0.2">
      <c r="A334" s="1">
        <v>2019</v>
      </c>
      <c r="B334" s="1" t="s">
        <v>330</v>
      </c>
      <c r="C334" s="2">
        <v>134215</v>
      </c>
      <c r="D334" s="8">
        <v>1.3085000000000001E-4</v>
      </c>
    </row>
    <row r="335" spans="1:4" x14ac:dyDescent="0.2">
      <c r="A335" s="1">
        <v>2019</v>
      </c>
      <c r="B335" s="1" t="s">
        <v>331</v>
      </c>
      <c r="C335" s="2">
        <v>24385</v>
      </c>
      <c r="D335" s="8">
        <v>2.3770000000000001E-5</v>
      </c>
    </row>
    <row r="336" spans="1:4" x14ac:dyDescent="0.2">
      <c r="A336" s="1">
        <v>2019</v>
      </c>
      <c r="B336" s="1" t="s">
        <v>333</v>
      </c>
      <c r="C336" s="2">
        <v>478791</v>
      </c>
      <c r="D336" s="8">
        <v>4.6676999999999998E-4</v>
      </c>
    </row>
    <row r="337" spans="1:4" x14ac:dyDescent="0.2">
      <c r="A337" s="1">
        <v>2019</v>
      </c>
      <c r="B337" s="1" t="s">
        <v>334</v>
      </c>
      <c r="C337" s="2">
        <v>74855</v>
      </c>
      <c r="D337" s="8">
        <v>7.2979999999999996E-5</v>
      </c>
    </row>
    <row r="338" spans="1:4" x14ac:dyDescent="0.2">
      <c r="A338" s="1">
        <v>2019</v>
      </c>
      <c r="B338" s="1" t="s">
        <v>335</v>
      </c>
      <c r="C338" s="2">
        <v>22159763</v>
      </c>
      <c r="D338" s="8">
        <v>2.1603319999999999E-2</v>
      </c>
    </row>
    <row r="339" spans="1:4" x14ac:dyDescent="0.2">
      <c r="A339" s="1">
        <v>2019</v>
      </c>
      <c r="B339" s="1" t="s">
        <v>994</v>
      </c>
      <c r="C339" s="2">
        <v>920925</v>
      </c>
      <c r="D339" s="8">
        <v>8.9780000000000003E-4</v>
      </c>
    </row>
    <row r="340" spans="1:4" x14ac:dyDescent="0.2">
      <c r="A340" s="1">
        <v>2019</v>
      </c>
      <c r="B340" s="1" t="s">
        <v>995</v>
      </c>
      <c r="C340" s="2">
        <v>7370233</v>
      </c>
      <c r="D340" s="8">
        <v>7.1851600000000003E-3</v>
      </c>
    </row>
    <row r="341" spans="1:4" x14ac:dyDescent="0.2">
      <c r="A341" s="1">
        <v>2019</v>
      </c>
      <c r="B341" s="1" t="s">
        <v>338</v>
      </c>
      <c r="C341" s="2">
        <v>330489</v>
      </c>
      <c r="D341" s="8">
        <v>3.2218999999999998E-4</v>
      </c>
    </row>
    <row r="342" spans="1:4" x14ac:dyDescent="0.2">
      <c r="A342" s="1">
        <v>2019</v>
      </c>
      <c r="B342" s="1" t="s">
        <v>339</v>
      </c>
      <c r="C342" s="2">
        <v>336524</v>
      </c>
      <c r="D342" s="8">
        <v>3.2807000000000002E-4</v>
      </c>
    </row>
    <row r="343" spans="1:4" x14ac:dyDescent="0.2">
      <c r="A343" s="1">
        <v>2019</v>
      </c>
      <c r="B343" s="1" t="s">
        <v>996</v>
      </c>
      <c r="C343" s="2">
        <v>751668</v>
      </c>
      <c r="D343" s="8">
        <v>7.3278999999999998E-4</v>
      </c>
    </row>
    <row r="344" spans="1:4" x14ac:dyDescent="0.2">
      <c r="A344" s="1">
        <v>2019</v>
      </c>
      <c r="B344" s="1" t="s">
        <v>997</v>
      </c>
      <c r="C344" s="2">
        <v>404516</v>
      </c>
      <c r="D344" s="8">
        <v>3.9436000000000001E-4</v>
      </c>
    </row>
    <row r="345" spans="1:4" x14ac:dyDescent="0.2">
      <c r="A345" s="1">
        <v>2019</v>
      </c>
      <c r="B345" s="1" t="s">
        <v>998</v>
      </c>
      <c r="C345" s="2">
        <v>1090314</v>
      </c>
      <c r="D345" s="8">
        <v>1.0629400000000001E-3</v>
      </c>
    </row>
    <row r="346" spans="1:4" x14ac:dyDescent="0.2">
      <c r="A346" s="1">
        <v>2019</v>
      </c>
      <c r="B346" s="1" t="s">
        <v>999</v>
      </c>
      <c r="C346" s="2">
        <v>517702</v>
      </c>
      <c r="D346" s="8">
        <v>5.0469999999999996E-4</v>
      </c>
    </row>
    <row r="347" spans="1:4" x14ac:dyDescent="0.2">
      <c r="A347" s="1">
        <v>2019</v>
      </c>
      <c r="B347" s="1" t="s">
        <v>344</v>
      </c>
      <c r="C347" s="2">
        <v>381397</v>
      </c>
      <c r="D347" s="8">
        <v>3.7181999999999997E-4</v>
      </c>
    </row>
    <row r="348" spans="1:4" x14ac:dyDescent="0.2">
      <c r="A348" s="1">
        <v>2019</v>
      </c>
      <c r="B348" s="1" t="s">
        <v>345</v>
      </c>
      <c r="C348" s="2">
        <v>1243153</v>
      </c>
      <c r="D348" s="8">
        <v>1.2119399999999999E-3</v>
      </c>
    </row>
    <row r="349" spans="1:4" x14ac:dyDescent="0.2">
      <c r="A349" s="1">
        <v>2019</v>
      </c>
      <c r="B349" s="1" t="s">
        <v>346</v>
      </c>
      <c r="C349" s="2">
        <v>22191</v>
      </c>
      <c r="D349" s="8">
        <v>2.1630000000000001E-5</v>
      </c>
    </row>
    <row r="350" spans="1:4" x14ac:dyDescent="0.2">
      <c r="A350" s="1">
        <v>2019</v>
      </c>
      <c r="B350" s="1" t="s">
        <v>1000</v>
      </c>
      <c r="C350" s="2">
        <v>320425</v>
      </c>
      <c r="D350" s="8">
        <v>3.1238000000000001E-4</v>
      </c>
    </row>
    <row r="351" spans="1:4" x14ac:dyDescent="0.2">
      <c r="A351" s="1">
        <v>2019</v>
      </c>
      <c r="B351" s="1" t="s">
        <v>348</v>
      </c>
      <c r="C351" s="2">
        <v>6277780</v>
      </c>
      <c r="D351" s="8">
        <v>6.1201399999999996E-3</v>
      </c>
    </row>
    <row r="352" spans="1:4" x14ac:dyDescent="0.2">
      <c r="A352" s="1">
        <v>2019</v>
      </c>
      <c r="B352" s="1" t="s">
        <v>1001</v>
      </c>
      <c r="C352" s="2">
        <v>2111091</v>
      </c>
      <c r="D352" s="8">
        <v>2.0580799999999999E-3</v>
      </c>
    </row>
    <row r="353" spans="1:4" x14ac:dyDescent="0.2">
      <c r="A353" s="1">
        <v>2019</v>
      </c>
      <c r="B353" s="1" t="s">
        <v>350</v>
      </c>
      <c r="C353" s="2">
        <v>3273066</v>
      </c>
      <c r="D353" s="8">
        <v>3.1908800000000001E-3</v>
      </c>
    </row>
    <row r="354" spans="1:4" x14ac:dyDescent="0.2">
      <c r="A354" s="1">
        <v>2019</v>
      </c>
      <c r="B354" s="1" t="s">
        <v>351</v>
      </c>
      <c r="C354" s="2">
        <v>33355</v>
      </c>
      <c r="D354" s="8">
        <v>3.252E-5</v>
      </c>
    </row>
    <row r="355" spans="1:4" x14ac:dyDescent="0.2">
      <c r="A355" s="1">
        <v>2019</v>
      </c>
      <c r="B355" s="1" t="s">
        <v>1002</v>
      </c>
      <c r="C355" s="2">
        <v>52729</v>
      </c>
      <c r="D355" s="8">
        <v>5.1409999999999997E-5</v>
      </c>
    </row>
    <row r="356" spans="1:4" x14ac:dyDescent="0.2">
      <c r="A356" s="1">
        <v>2019</v>
      </c>
      <c r="B356" s="1" t="s">
        <v>353</v>
      </c>
      <c r="C356" s="2">
        <v>5443</v>
      </c>
      <c r="D356" s="8">
        <v>5.31E-6</v>
      </c>
    </row>
    <row r="357" spans="1:4" x14ac:dyDescent="0.2">
      <c r="A357" s="1">
        <v>2019</v>
      </c>
      <c r="B357" s="1" t="s">
        <v>1003</v>
      </c>
      <c r="C357" s="2">
        <v>1148685</v>
      </c>
      <c r="D357" s="8">
        <v>1.11984E-3</v>
      </c>
    </row>
    <row r="358" spans="1:4" x14ac:dyDescent="0.2">
      <c r="A358" s="1">
        <v>2019</v>
      </c>
      <c r="B358" s="1" t="s">
        <v>1004</v>
      </c>
      <c r="C358" s="2">
        <v>643218</v>
      </c>
      <c r="D358" s="8">
        <v>6.2706999999999997E-4</v>
      </c>
    </row>
    <row r="359" spans="1:4" x14ac:dyDescent="0.2">
      <c r="A359" s="1">
        <v>2019</v>
      </c>
      <c r="B359" s="1" t="s">
        <v>356</v>
      </c>
      <c r="C359" s="2">
        <v>21276</v>
      </c>
      <c r="D359" s="8">
        <v>2.0740000000000001E-5</v>
      </c>
    </row>
    <row r="360" spans="1:4" x14ac:dyDescent="0.2">
      <c r="A360" s="1">
        <v>2019</v>
      </c>
      <c r="B360" s="1" t="s">
        <v>357</v>
      </c>
      <c r="C360" s="2">
        <v>28600</v>
      </c>
      <c r="D360" s="8">
        <v>2.7880000000000001E-5</v>
      </c>
    </row>
    <row r="361" spans="1:4" x14ac:dyDescent="0.2">
      <c r="A361" s="1">
        <v>2019</v>
      </c>
      <c r="B361" s="1" t="s">
        <v>358</v>
      </c>
      <c r="C361" s="2">
        <v>50769</v>
      </c>
      <c r="D361" s="8">
        <v>4.9490000000000002E-5</v>
      </c>
    </row>
    <row r="362" spans="1:4" x14ac:dyDescent="0.2">
      <c r="A362" s="1">
        <v>2019</v>
      </c>
      <c r="B362" s="1" t="s">
        <v>359</v>
      </c>
      <c r="C362" s="2">
        <v>408154</v>
      </c>
      <c r="D362" s="8">
        <v>3.9790000000000002E-4</v>
      </c>
    </row>
    <row r="363" spans="1:4" x14ac:dyDescent="0.2">
      <c r="A363" s="1">
        <v>2019</v>
      </c>
      <c r="B363" s="1" t="s">
        <v>360</v>
      </c>
      <c r="C363" s="2">
        <v>1872879</v>
      </c>
      <c r="D363" s="8">
        <v>1.82585E-3</v>
      </c>
    </row>
    <row r="364" spans="1:4" x14ac:dyDescent="0.2">
      <c r="A364" s="1">
        <v>2019</v>
      </c>
      <c r="B364" s="1" t="s">
        <v>1005</v>
      </c>
      <c r="C364" s="2">
        <v>230677</v>
      </c>
      <c r="D364" s="8">
        <v>2.2488E-4</v>
      </c>
    </row>
    <row r="365" spans="1:4" x14ac:dyDescent="0.2">
      <c r="A365" s="1">
        <v>2019</v>
      </c>
      <c r="B365" s="1" t="s">
        <v>1006</v>
      </c>
      <c r="C365" s="2">
        <v>2547118</v>
      </c>
      <c r="D365" s="8">
        <v>2.4831599999999999E-3</v>
      </c>
    </row>
    <row r="366" spans="1:4" x14ac:dyDescent="0.2">
      <c r="A366" s="1">
        <v>2019</v>
      </c>
      <c r="B366" s="1" t="s">
        <v>1007</v>
      </c>
      <c r="C366" s="2">
        <v>1588395</v>
      </c>
      <c r="D366" s="8">
        <v>1.5485099999999999E-3</v>
      </c>
    </row>
    <row r="367" spans="1:4" x14ac:dyDescent="0.2">
      <c r="A367" s="1">
        <v>2019</v>
      </c>
      <c r="B367" s="1" t="s">
        <v>364</v>
      </c>
      <c r="C367" s="2">
        <v>2615</v>
      </c>
      <c r="D367" s="8">
        <v>2.5500000000000001E-6</v>
      </c>
    </row>
    <row r="368" spans="1:4" x14ac:dyDescent="0.2">
      <c r="A368" s="1">
        <v>2019</v>
      </c>
      <c r="B368" s="1" t="s">
        <v>365</v>
      </c>
      <c r="C368" s="2">
        <v>24194</v>
      </c>
      <c r="D368" s="8">
        <v>2.3589999999999999E-5</v>
      </c>
    </row>
    <row r="369" spans="1:4" x14ac:dyDescent="0.2">
      <c r="A369" s="1">
        <v>2019</v>
      </c>
      <c r="B369" s="1" t="s">
        <v>1008</v>
      </c>
      <c r="C369" s="2">
        <v>8477929</v>
      </c>
      <c r="D369" s="8">
        <v>8.2650499999999995E-3</v>
      </c>
    </row>
    <row r="370" spans="1:4" x14ac:dyDescent="0.2">
      <c r="A370" s="1">
        <v>2019</v>
      </c>
      <c r="B370" s="1" t="s">
        <v>1009</v>
      </c>
      <c r="C370" s="2">
        <v>14305</v>
      </c>
      <c r="D370" s="8">
        <v>1.395E-5</v>
      </c>
    </row>
    <row r="371" spans="1:4" x14ac:dyDescent="0.2">
      <c r="A371" s="1">
        <v>2019</v>
      </c>
      <c r="B371" s="1" t="s">
        <v>1010</v>
      </c>
      <c r="C371" s="2">
        <v>2185476</v>
      </c>
      <c r="D371" s="8">
        <v>2.1305999999999999E-3</v>
      </c>
    </row>
    <row r="372" spans="1:4" x14ac:dyDescent="0.2">
      <c r="A372" s="1">
        <v>2019</v>
      </c>
      <c r="B372" s="1" t="s">
        <v>369</v>
      </c>
      <c r="C372" s="2">
        <v>77962</v>
      </c>
      <c r="D372" s="8">
        <v>7.6000000000000004E-5</v>
      </c>
    </row>
    <row r="373" spans="1:4" x14ac:dyDescent="0.2">
      <c r="A373" s="1">
        <v>2019</v>
      </c>
      <c r="B373" s="1" t="s">
        <v>370</v>
      </c>
      <c r="C373" s="2">
        <v>34598</v>
      </c>
      <c r="D373" s="8">
        <v>3.3729999999999997E-5</v>
      </c>
    </row>
    <row r="374" spans="1:4" x14ac:dyDescent="0.2">
      <c r="A374" s="1">
        <v>2019</v>
      </c>
      <c r="B374" s="1" t="s">
        <v>1011</v>
      </c>
      <c r="C374" s="2">
        <v>5467165</v>
      </c>
      <c r="D374" s="8">
        <v>5.3298800000000004E-3</v>
      </c>
    </row>
    <row r="375" spans="1:4" x14ac:dyDescent="0.2">
      <c r="A375" s="1">
        <v>2019</v>
      </c>
      <c r="B375" s="1" t="s">
        <v>1012</v>
      </c>
      <c r="C375" s="2">
        <v>1949517</v>
      </c>
      <c r="D375" s="8">
        <v>1.9005599999999999E-3</v>
      </c>
    </row>
    <row r="376" spans="1:4" x14ac:dyDescent="0.2">
      <c r="A376" s="1">
        <v>2019</v>
      </c>
      <c r="B376" s="1" t="s">
        <v>373</v>
      </c>
      <c r="C376" s="2">
        <v>405280</v>
      </c>
      <c r="D376" s="8">
        <v>3.9510000000000001E-4</v>
      </c>
    </row>
    <row r="377" spans="1:4" x14ac:dyDescent="0.2">
      <c r="A377" s="1">
        <v>2019</v>
      </c>
      <c r="B377" s="1" t="s">
        <v>910</v>
      </c>
      <c r="C377" s="2">
        <v>2176</v>
      </c>
      <c r="D377" s="8">
        <v>2.12E-6</v>
      </c>
    </row>
    <row r="378" spans="1:4" x14ac:dyDescent="0.2">
      <c r="A378" s="1">
        <v>2019</v>
      </c>
      <c r="B378" s="1" t="s">
        <v>374</v>
      </c>
      <c r="C378" s="2">
        <v>27554</v>
      </c>
      <c r="D378" s="8">
        <v>2.686E-5</v>
      </c>
    </row>
    <row r="379" spans="1:4" x14ac:dyDescent="0.2">
      <c r="A379" s="1">
        <v>2019</v>
      </c>
      <c r="B379" s="1" t="s">
        <v>375</v>
      </c>
      <c r="C379" s="2">
        <v>1474148</v>
      </c>
      <c r="D379" s="8">
        <v>1.43713E-3</v>
      </c>
    </row>
    <row r="380" spans="1:4" x14ac:dyDescent="0.2">
      <c r="A380" s="1">
        <v>2019</v>
      </c>
      <c r="B380" s="1" t="s">
        <v>376</v>
      </c>
      <c r="C380" s="2">
        <v>139902</v>
      </c>
      <c r="D380" s="8">
        <v>1.3638999999999999E-4</v>
      </c>
    </row>
    <row r="381" spans="1:4" x14ac:dyDescent="0.2">
      <c r="A381" s="1">
        <v>2019</v>
      </c>
      <c r="B381" s="1" t="s">
        <v>377</v>
      </c>
      <c r="C381" s="2">
        <v>2877815</v>
      </c>
      <c r="D381" s="8">
        <v>2.80555E-3</v>
      </c>
    </row>
    <row r="382" spans="1:4" x14ac:dyDescent="0.2">
      <c r="A382" s="1">
        <v>2019</v>
      </c>
      <c r="B382" s="1" t="s">
        <v>378</v>
      </c>
      <c r="C382" s="2">
        <v>50271</v>
      </c>
      <c r="D382" s="8">
        <v>4.901E-5</v>
      </c>
    </row>
    <row r="383" spans="1:4" x14ac:dyDescent="0.2">
      <c r="A383" s="1">
        <v>2019</v>
      </c>
      <c r="B383" s="1" t="s">
        <v>1013</v>
      </c>
      <c r="C383" s="2">
        <v>1626677</v>
      </c>
      <c r="D383" s="8">
        <v>1.5858300000000001E-3</v>
      </c>
    </row>
    <row r="384" spans="1:4" x14ac:dyDescent="0.2">
      <c r="A384" s="1">
        <v>2019</v>
      </c>
      <c r="B384" s="1" t="s">
        <v>1014</v>
      </c>
      <c r="C384" s="2">
        <v>508422</v>
      </c>
      <c r="D384" s="8">
        <v>4.9565999999999998E-4</v>
      </c>
    </row>
    <row r="385" spans="1:4" x14ac:dyDescent="0.2">
      <c r="A385" s="1">
        <v>2019</v>
      </c>
      <c r="B385" s="1" t="s">
        <v>1015</v>
      </c>
      <c r="C385" s="2">
        <v>2017467</v>
      </c>
      <c r="D385" s="8">
        <v>1.9668099999999998E-3</v>
      </c>
    </row>
    <row r="386" spans="1:4" x14ac:dyDescent="0.2">
      <c r="A386" s="1">
        <v>2019</v>
      </c>
      <c r="B386" s="1" t="s">
        <v>1016</v>
      </c>
      <c r="C386" s="2">
        <v>765662</v>
      </c>
      <c r="D386" s="8">
        <v>7.4644000000000002E-4</v>
      </c>
    </row>
    <row r="387" spans="1:4" x14ac:dyDescent="0.2">
      <c r="A387" s="1">
        <v>2019</v>
      </c>
      <c r="B387" s="1" t="s">
        <v>383</v>
      </c>
      <c r="C387" s="2">
        <v>53912</v>
      </c>
      <c r="D387" s="8">
        <v>5.2559999999999998E-5</v>
      </c>
    </row>
    <row r="388" spans="1:4" x14ac:dyDescent="0.2">
      <c r="A388" s="1">
        <v>2019</v>
      </c>
      <c r="B388" s="1" t="s">
        <v>384</v>
      </c>
      <c r="C388" s="2">
        <v>2015072</v>
      </c>
      <c r="D388" s="8">
        <v>1.9644699999999998E-3</v>
      </c>
    </row>
    <row r="389" spans="1:4" x14ac:dyDescent="0.2">
      <c r="A389" s="1">
        <v>2019</v>
      </c>
      <c r="B389" s="1" t="s">
        <v>385</v>
      </c>
      <c r="C389" s="2">
        <v>6495</v>
      </c>
      <c r="D389" s="8">
        <v>6.3300000000000004E-6</v>
      </c>
    </row>
    <row r="390" spans="1:4" x14ac:dyDescent="0.2">
      <c r="A390" s="1">
        <v>2019</v>
      </c>
      <c r="B390" s="1" t="s">
        <v>1017</v>
      </c>
      <c r="C390" s="2">
        <v>5589059</v>
      </c>
      <c r="D390" s="8">
        <v>5.4487199999999998E-3</v>
      </c>
    </row>
    <row r="391" spans="1:4" x14ac:dyDescent="0.2">
      <c r="A391" s="1">
        <v>2019</v>
      </c>
      <c r="B391" s="1" t="s">
        <v>387</v>
      </c>
      <c r="C391" s="2">
        <v>127287</v>
      </c>
      <c r="D391" s="8">
        <v>1.2409000000000001E-4</v>
      </c>
    </row>
    <row r="392" spans="1:4" x14ac:dyDescent="0.2">
      <c r="A392" s="1">
        <v>2019</v>
      </c>
      <c r="B392" s="1" t="s">
        <v>1018</v>
      </c>
      <c r="C392" s="2">
        <v>1965564</v>
      </c>
      <c r="D392" s="8">
        <v>1.91621E-3</v>
      </c>
    </row>
    <row r="393" spans="1:4" x14ac:dyDescent="0.2">
      <c r="A393" s="1">
        <v>2019</v>
      </c>
      <c r="B393" s="1" t="s">
        <v>1019</v>
      </c>
      <c r="C393" s="2">
        <v>1109531</v>
      </c>
      <c r="D393" s="8">
        <v>1.0816700000000001E-3</v>
      </c>
    </row>
    <row r="394" spans="1:4" x14ac:dyDescent="0.2">
      <c r="A394" s="1">
        <v>2019</v>
      </c>
      <c r="B394" s="1" t="s">
        <v>389</v>
      </c>
      <c r="C394" s="2">
        <v>70274</v>
      </c>
      <c r="D394" s="8">
        <v>6.8510000000000006E-5</v>
      </c>
    </row>
    <row r="395" spans="1:4" x14ac:dyDescent="0.2">
      <c r="A395" s="1">
        <v>2019</v>
      </c>
      <c r="B395" s="1" t="s">
        <v>390</v>
      </c>
      <c r="C395" s="2">
        <v>252855</v>
      </c>
      <c r="D395" s="8">
        <v>2.4651000000000002E-4</v>
      </c>
    </row>
    <row r="396" spans="1:4" x14ac:dyDescent="0.2">
      <c r="A396" s="1">
        <v>2019</v>
      </c>
      <c r="B396" s="1" t="s">
        <v>1020</v>
      </c>
      <c r="C396" s="2">
        <v>12274</v>
      </c>
      <c r="D396" s="8">
        <v>1.1970000000000001E-5</v>
      </c>
    </row>
    <row r="397" spans="1:4" x14ac:dyDescent="0.2">
      <c r="A397" s="1">
        <v>2019</v>
      </c>
      <c r="B397" s="1" t="s">
        <v>392</v>
      </c>
      <c r="C397" s="2">
        <v>235427</v>
      </c>
      <c r="D397" s="8">
        <v>2.2952000000000001E-4</v>
      </c>
    </row>
    <row r="398" spans="1:4" x14ac:dyDescent="0.2">
      <c r="A398" s="1">
        <v>2019</v>
      </c>
      <c r="B398" s="1" t="s">
        <v>1021</v>
      </c>
      <c r="C398" s="2">
        <v>796414</v>
      </c>
      <c r="D398" s="8">
        <v>7.7642E-4</v>
      </c>
    </row>
    <row r="399" spans="1:4" x14ac:dyDescent="0.2">
      <c r="A399" s="1">
        <v>2019</v>
      </c>
      <c r="B399" s="1" t="s">
        <v>394</v>
      </c>
      <c r="C399" s="2">
        <v>1158</v>
      </c>
      <c r="D399" s="8">
        <v>1.13E-6</v>
      </c>
    </row>
    <row r="400" spans="1:4" x14ac:dyDescent="0.2">
      <c r="A400" s="1">
        <v>2019</v>
      </c>
      <c r="B400" s="1" t="s">
        <v>395</v>
      </c>
      <c r="C400" s="2">
        <v>199534</v>
      </c>
      <c r="D400" s="8">
        <v>1.9452E-4</v>
      </c>
    </row>
    <row r="401" spans="1:4" x14ac:dyDescent="0.2">
      <c r="A401" s="1">
        <v>2019</v>
      </c>
      <c r="B401" s="1" t="s">
        <v>396</v>
      </c>
      <c r="C401" s="2">
        <v>129243</v>
      </c>
      <c r="D401" s="8">
        <v>1.26E-4</v>
      </c>
    </row>
    <row r="402" spans="1:4" x14ac:dyDescent="0.2">
      <c r="A402" s="1">
        <v>2019</v>
      </c>
      <c r="B402" s="1" t="s">
        <v>397</v>
      </c>
      <c r="C402" s="2">
        <v>97657</v>
      </c>
      <c r="D402" s="8">
        <v>9.5199999999999997E-5</v>
      </c>
    </row>
    <row r="403" spans="1:4" x14ac:dyDescent="0.2">
      <c r="A403" s="1">
        <v>2019</v>
      </c>
      <c r="B403" s="1" t="s">
        <v>398</v>
      </c>
      <c r="C403" s="2">
        <v>55708</v>
      </c>
      <c r="D403" s="8">
        <v>5.431E-5</v>
      </c>
    </row>
    <row r="404" spans="1:4" x14ac:dyDescent="0.2">
      <c r="A404" s="1">
        <v>2019</v>
      </c>
      <c r="B404" s="1" t="s">
        <v>1022</v>
      </c>
      <c r="C404" s="2">
        <v>2074013</v>
      </c>
      <c r="D404" s="8">
        <v>2.0219299999999999E-3</v>
      </c>
    </row>
    <row r="405" spans="1:4" x14ac:dyDescent="0.2">
      <c r="A405" s="1">
        <v>2019</v>
      </c>
      <c r="B405" s="1" t="s">
        <v>1023</v>
      </c>
      <c r="C405" s="2">
        <v>867810</v>
      </c>
      <c r="D405" s="8">
        <v>8.4601999999999995E-4</v>
      </c>
    </row>
    <row r="406" spans="1:4" x14ac:dyDescent="0.2">
      <c r="A406" s="1">
        <v>2019</v>
      </c>
      <c r="B406" s="1" t="s">
        <v>401</v>
      </c>
      <c r="C406" s="2">
        <v>64800</v>
      </c>
      <c r="D406" s="8">
        <v>6.3170000000000007E-5</v>
      </c>
    </row>
    <row r="407" spans="1:4" x14ac:dyDescent="0.2">
      <c r="A407" s="1">
        <v>2019</v>
      </c>
      <c r="B407" s="1" t="s">
        <v>402</v>
      </c>
      <c r="C407" s="2">
        <v>728858</v>
      </c>
      <c r="D407" s="8">
        <v>7.1055999999999995E-4</v>
      </c>
    </row>
    <row r="408" spans="1:4" x14ac:dyDescent="0.2">
      <c r="A408" s="1">
        <v>2019</v>
      </c>
      <c r="B408" s="1" t="s">
        <v>403</v>
      </c>
      <c r="C408" s="2">
        <v>2456767</v>
      </c>
      <c r="D408" s="8">
        <v>2.39508E-3</v>
      </c>
    </row>
    <row r="409" spans="1:4" x14ac:dyDescent="0.2">
      <c r="A409" s="1">
        <v>2019</v>
      </c>
      <c r="B409" s="1" t="s">
        <v>404</v>
      </c>
      <c r="C409" s="2">
        <v>6549</v>
      </c>
      <c r="D409" s="8">
        <v>6.3799999999999999E-6</v>
      </c>
    </row>
    <row r="410" spans="1:4" x14ac:dyDescent="0.2">
      <c r="A410" s="1">
        <v>2019</v>
      </c>
      <c r="B410" s="1" t="s">
        <v>405</v>
      </c>
      <c r="C410" s="2">
        <v>8738</v>
      </c>
      <c r="D410" s="8">
        <v>8.5199999999999997E-6</v>
      </c>
    </row>
    <row r="411" spans="1:4" x14ac:dyDescent="0.2">
      <c r="A411" s="1">
        <v>2019</v>
      </c>
      <c r="B411" s="1" t="s">
        <v>406</v>
      </c>
      <c r="C411" s="2">
        <v>378447</v>
      </c>
      <c r="D411" s="8">
        <v>3.6894E-4</v>
      </c>
    </row>
    <row r="412" spans="1:4" x14ac:dyDescent="0.2">
      <c r="A412" s="1">
        <v>2019</v>
      </c>
      <c r="B412" s="1" t="s">
        <v>407</v>
      </c>
      <c r="C412" s="2">
        <v>137308</v>
      </c>
      <c r="D412" s="8">
        <v>1.3386E-4</v>
      </c>
    </row>
    <row r="413" spans="1:4" x14ac:dyDescent="0.2">
      <c r="A413" s="1">
        <v>2019</v>
      </c>
      <c r="B413" s="1" t="s">
        <v>408</v>
      </c>
      <c r="C413" s="2">
        <v>40289</v>
      </c>
      <c r="D413" s="8">
        <v>3.9280000000000003E-5</v>
      </c>
    </row>
    <row r="414" spans="1:4" x14ac:dyDescent="0.2">
      <c r="A414" s="1">
        <v>2019</v>
      </c>
      <c r="B414" s="1" t="s">
        <v>409</v>
      </c>
      <c r="C414" s="2">
        <v>2528203</v>
      </c>
      <c r="D414" s="8">
        <v>2.4647200000000001E-3</v>
      </c>
    </row>
    <row r="415" spans="1:4" x14ac:dyDescent="0.2">
      <c r="A415" s="1">
        <v>2019</v>
      </c>
      <c r="B415" s="1" t="s">
        <v>410</v>
      </c>
      <c r="C415" s="2">
        <v>97993</v>
      </c>
      <c r="D415" s="8">
        <v>9.5530000000000002E-5</v>
      </c>
    </row>
    <row r="416" spans="1:4" x14ac:dyDescent="0.2">
      <c r="A416" s="1">
        <v>2019</v>
      </c>
      <c r="B416" s="1" t="s">
        <v>1024</v>
      </c>
      <c r="C416" s="2">
        <v>4574849</v>
      </c>
      <c r="D416" s="8">
        <v>4.4599699999999997E-3</v>
      </c>
    </row>
    <row r="417" spans="1:4" x14ac:dyDescent="0.2">
      <c r="A417" s="1">
        <v>2019</v>
      </c>
      <c r="B417" s="1" t="s">
        <v>1025</v>
      </c>
      <c r="C417" s="2">
        <v>1846553</v>
      </c>
      <c r="D417" s="8">
        <v>1.8001899999999999E-3</v>
      </c>
    </row>
    <row r="418" spans="1:4" x14ac:dyDescent="0.2">
      <c r="A418" s="1">
        <v>2019</v>
      </c>
      <c r="B418" s="1" t="s">
        <v>413</v>
      </c>
      <c r="C418" s="2">
        <v>248873</v>
      </c>
      <c r="D418" s="8">
        <v>2.4262E-4</v>
      </c>
    </row>
    <row r="419" spans="1:4" x14ac:dyDescent="0.2">
      <c r="A419" s="1">
        <v>2019</v>
      </c>
      <c r="B419" s="1" t="s">
        <v>414</v>
      </c>
      <c r="C419" s="2">
        <v>3900</v>
      </c>
      <c r="D419" s="8">
        <v>3.8E-6</v>
      </c>
    </row>
    <row r="420" spans="1:4" x14ac:dyDescent="0.2">
      <c r="A420" s="1">
        <v>2019</v>
      </c>
      <c r="B420" s="1" t="s">
        <v>415</v>
      </c>
      <c r="C420" s="2">
        <v>65272</v>
      </c>
      <c r="D420" s="8">
        <v>6.3629999999999999E-5</v>
      </c>
    </row>
    <row r="421" spans="1:4" x14ac:dyDescent="0.2">
      <c r="A421" s="1">
        <v>2019</v>
      </c>
      <c r="B421" s="1" t="s">
        <v>416</v>
      </c>
      <c r="C421" s="2">
        <v>17461</v>
      </c>
      <c r="D421" s="8">
        <v>1.702E-5</v>
      </c>
    </row>
    <row r="422" spans="1:4" x14ac:dyDescent="0.2">
      <c r="A422" s="1">
        <v>2019</v>
      </c>
      <c r="B422" s="1" t="s">
        <v>417</v>
      </c>
      <c r="C422" s="2">
        <v>29189</v>
      </c>
      <c r="D422" s="8">
        <v>2.8459999999999999E-5</v>
      </c>
    </row>
    <row r="423" spans="1:4" x14ac:dyDescent="0.2">
      <c r="A423" s="1">
        <v>2019</v>
      </c>
      <c r="B423" s="1" t="s">
        <v>418</v>
      </c>
      <c r="C423" s="2">
        <v>146714</v>
      </c>
      <c r="D423" s="8">
        <v>1.4302999999999999E-4</v>
      </c>
    </row>
    <row r="424" spans="1:4" x14ac:dyDescent="0.2">
      <c r="A424" s="1">
        <v>2019</v>
      </c>
      <c r="B424" s="1" t="s">
        <v>1026</v>
      </c>
      <c r="C424" s="2">
        <v>60330</v>
      </c>
      <c r="D424" s="8">
        <v>5.8810000000000001E-5</v>
      </c>
    </row>
    <row r="425" spans="1:4" x14ac:dyDescent="0.2">
      <c r="A425" s="1">
        <v>2019</v>
      </c>
      <c r="B425" s="1" t="s">
        <v>420</v>
      </c>
      <c r="C425" s="2">
        <v>1463848</v>
      </c>
      <c r="D425" s="8">
        <v>1.42709E-3</v>
      </c>
    </row>
    <row r="426" spans="1:4" x14ac:dyDescent="0.2">
      <c r="A426" s="1">
        <v>2019</v>
      </c>
      <c r="B426" s="1" t="s">
        <v>1027</v>
      </c>
      <c r="C426" s="2">
        <v>176839</v>
      </c>
      <c r="D426" s="8">
        <v>1.7239999999999999E-4</v>
      </c>
    </row>
    <row r="427" spans="1:4" x14ac:dyDescent="0.2">
      <c r="A427" s="1">
        <v>2019</v>
      </c>
      <c r="B427" s="1" t="s">
        <v>1028</v>
      </c>
      <c r="C427" s="2">
        <v>2715885</v>
      </c>
      <c r="D427" s="8">
        <v>2.6476899999999999E-3</v>
      </c>
    </row>
    <row r="428" spans="1:4" x14ac:dyDescent="0.2">
      <c r="A428" s="1">
        <v>2019</v>
      </c>
      <c r="B428" s="1" t="s">
        <v>1029</v>
      </c>
      <c r="C428" s="2">
        <v>11619311</v>
      </c>
      <c r="D428" s="8">
        <v>1.132755E-2</v>
      </c>
    </row>
    <row r="429" spans="1:4" x14ac:dyDescent="0.2">
      <c r="A429" s="1">
        <v>2019</v>
      </c>
      <c r="B429" s="1" t="s">
        <v>1030</v>
      </c>
      <c r="C429" s="2">
        <v>80152</v>
      </c>
      <c r="D429" s="8">
        <v>7.8139999999999994E-5</v>
      </c>
    </row>
    <row r="430" spans="1:4" x14ac:dyDescent="0.2">
      <c r="A430" s="1">
        <v>2019</v>
      </c>
      <c r="B430" s="1" t="s">
        <v>425</v>
      </c>
      <c r="C430" s="2">
        <v>429259</v>
      </c>
      <c r="D430" s="8">
        <v>4.1847999999999999E-4</v>
      </c>
    </row>
    <row r="431" spans="1:4" x14ac:dyDescent="0.2">
      <c r="A431" s="1">
        <v>2019</v>
      </c>
      <c r="B431" s="1" t="s">
        <v>1031</v>
      </c>
      <c r="C431" s="2">
        <v>7831</v>
      </c>
      <c r="D431" s="8">
        <v>7.6299999999999998E-6</v>
      </c>
    </row>
    <row r="432" spans="1:4" x14ac:dyDescent="0.2">
      <c r="A432" s="1">
        <v>2019</v>
      </c>
      <c r="B432" s="1" t="s">
        <v>428</v>
      </c>
      <c r="C432" s="2">
        <v>329718</v>
      </c>
      <c r="D432" s="8">
        <v>3.2143999999999999E-4</v>
      </c>
    </row>
    <row r="433" spans="1:4" x14ac:dyDescent="0.2">
      <c r="A433" s="1">
        <v>2019</v>
      </c>
      <c r="B433" s="1" t="s">
        <v>429</v>
      </c>
      <c r="C433" s="2">
        <v>125659</v>
      </c>
      <c r="D433" s="8">
        <v>1.225E-4</v>
      </c>
    </row>
    <row r="434" spans="1:4" x14ac:dyDescent="0.2">
      <c r="A434" s="1">
        <v>2019</v>
      </c>
      <c r="B434" s="1" t="s">
        <v>1032</v>
      </c>
      <c r="C434" s="2">
        <v>7484553</v>
      </c>
      <c r="D434" s="8">
        <v>7.2966100000000002E-3</v>
      </c>
    </row>
    <row r="435" spans="1:4" x14ac:dyDescent="0.2">
      <c r="A435" s="1">
        <v>2019</v>
      </c>
      <c r="B435" s="1" t="s">
        <v>431</v>
      </c>
      <c r="C435" s="2">
        <v>33600</v>
      </c>
      <c r="D435" s="8">
        <v>3.2759999999999998E-5</v>
      </c>
    </row>
    <row r="436" spans="1:4" x14ac:dyDescent="0.2">
      <c r="A436" s="1">
        <v>2019</v>
      </c>
      <c r="B436" s="1" t="s">
        <v>432</v>
      </c>
      <c r="C436" s="2">
        <v>9286</v>
      </c>
      <c r="D436" s="8">
        <v>9.0499999999999997E-6</v>
      </c>
    </row>
    <row r="437" spans="1:4" x14ac:dyDescent="0.2">
      <c r="A437" s="1">
        <v>2019</v>
      </c>
      <c r="B437" s="1" t="s">
        <v>1033</v>
      </c>
      <c r="C437" s="2">
        <v>1891850</v>
      </c>
      <c r="D437" s="8">
        <v>1.8443400000000001E-3</v>
      </c>
    </row>
    <row r="438" spans="1:4" x14ac:dyDescent="0.2">
      <c r="A438" s="1">
        <v>2019</v>
      </c>
      <c r="B438" s="1" t="s">
        <v>1034</v>
      </c>
      <c r="C438" s="2">
        <v>904890</v>
      </c>
      <c r="D438" s="8">
        <v>8.8217000000000005E-4</v>
      </c>
    </row>
    <row r="439" spans="1:4" x14ac:dyDescent="0.2">
      <c r="A439" s="1">
        <v>2019</v>
      </c>
      <c r="B439" s="1" t="s">
        <v>1035</v>
      </c>
      <c r="C439" s="2">
        <v>6388</v>
      </c>
      <c r="D439" s="8">
        <v>6.2299999999999996E-6</v>
      </c>
    </row>
    <row r="440" spans="1:4" x14ac:dyDescent="0.2">
      <c r="A440" s="1">
        <v>2019</v>
      </c>
      <c r="B440" s="1" t="s">
        <v>436</v>
      </c>
      <c r="C440" s="2">
        <v>62262</v>
      </c>
      <c r="D440" s="8">
        <v>6.0699999999999998E-5</v>
      </c>
    </row>
    <row r="441" spans="1:4" x14ac:dyDescent="0.2">
      <c r="A441" s="1">
        <v>2019</v>
      </c>
      <c r="B441" s="1" t="s">
        <v>437</v>
      </c>
      <c r="C441" s="2">
        <v>75164</v>
      </c>
      <c r="D441" s="8">
        <v>7.3280000000000003E-5</v>
      </c>
    </row>
    <row r="442" spans="1:4" x14ac:dyDescent="0.2">
      <c r="A442" s="1">
        <v>2019</v>
      </c>
      <c r="B442" s="1" t="s">
        <v>438</v>
      </c>
      <c r="C442" s="2">
        <v>7670</v>
      </c>
      <c r="D442" s="8">
        <v>7.4800000000000004E-6</v>
      </c>
    </row>
    <row r="443" spans="1:4" x14ac:dyDescent="0.2">
      <c r="A443" s="1">
        <v>2019</v>
      </c>
      <c r="B443" s="1" t="s">
        <v>1036</v>
      </c>
      <c r="C443" s="2">
        <v>2212721</v>
      </c>
      <c r="D443" s="8">
        <v>2.15716E-3</v>
      </c>
    </row>
    <row r="444" spans="1:4" x14ac:dyDescent="0.2">
      <c r="A444" s="1">
        <v>2019</v>
      </c>
      <c r="B444" s="1" t="s">
        <v>1037</v>
      </c>
      <c r="C444" s="2">
        <v>1211913</v>
      </c>
      <c r="D444" s="8">
        <v>1.1814799999999999E-3</v>
      </c>
    </row>
    <row r="445" spans="1:4" x14ac:dyDescent="0.2">
      <c r="A445" s="1">
        <v>2019</v>
      </c>
      <c r="B445" s="1" t="s">
        <v>441</v>
      </c>
      <c r="C445" s="2">
        <v>16840</v>
      </c>
      <c r="D445" s="8">
        <v>1.6419999999999999E-5</v>
      </c>
    </row>
    <row r="446" spans="1:4" x14ac:dyDescent="0.2">
      <c r="A446" s="1">
        <v>2019</v>
      </c>
      <c r="B446" s="1" t="s">
        <v>442</v>
      </c>
      <c r="C446" s="2">
        <v>40816</v>
      </c>
      <c r="D446" s="8">
        <v>3.9789999999999997E-5</v>
      </c>
    </row>
    <row r="447" spans="1:4" x14ac:dyDescent="0.2">
      <c r="A447" s="1">
        <v>2019</v>
      </c>
      <c r="B447" s="1" t="s">
        <v>443</v>
      </c>
      <c r="C447" s="2">
        <v>988031</v>
      </c>
      <c r="D447" s="8">
        <v>9.6321999999999998E-4</v>
      </c>
    </row>
    <row r="448" spans="1:4" x14ac:dyDescent="0.2">
      <c r="A448" s="1">
        <v>2019</v>
      </c>
      <c r="B448" s="1" t="s">
        <v>444</v>
      </c>
      <c r="C448" s="2">
        <v>130030</v>
      </c>
      <c r="D448" s="8">
        <v>1.2676000000000001E-4</v>
      </c>
    </row>
    <row r="449" spans="1:4" x14ac:dyDescent="0.2">
      <c r="A449" s="1">
        <v>2019</v>
      </c>
      <c r="B449" s="1" t="s">
        <v>445</v>
      </c>
      <c r="C449" s="2">
        <v>2412291</v>
      </c>
      <c r="D449" s="8">
        <v>2.3517199999999999E-3</v>
      </c>
    </row>
    <row r="450" spans="1:4" x14ac:dyDescent="0.2">
      <c r="A450" s="1">
        <v>2019</v>
      </c>
      <c r="B450" s="1" t="s">
        <v>446</v>
      </c>
      <c r="C450" s="2">
        <v>11903</v>
      </c>
      <c r="D450" s="8">
        <v>1.1600000000000001E-5</v>
      </c>
    </row>
    <row r="451" spans="1:4" x14ac:dyDescent="0.2">
      <c r="A451" s="1">
        <v>2019</v>
      </c>
      <c r="B451" s="1" t="s">
        <v>447</v>
      </c>
      <c r="C451" s="2">
        <v>27686</v>
      </c>
      <c r="D451" s="8">
        <v>2.6990000000000001E-5</v>
      </c>
    </row>
    <row r="452" spans="1:4" x14ac:dyDescent="0.2">
      <c r="A452" s="1">
        <v>2019</v>
      </c>
      <c r="B452" s="1" t="s">
        <v>1038</v>
      </c>
      <c r="C452" s="2">
        <v>5936912</v>
      </c>
      <c r="D452" s="8">
        <v>5.7878299999999999E-3</v>
      </c>
    </row>
    <row r="453" spans="1:4" x14ac:dyDescent="0.2">
      <c r="A453" s="1">
        <v>2019</v>
      </c>
      <c r="B453" s="1" t="s">
        <v>449</v>
      </c>
      <c r="C453" s="2">
        <v>207309</v>
      </c>
      <c r="D453" s="8">
        <v>2.0210000000000001E-4</v>
      </c>
    </row>
    <row r="454" spans="1:4" x14ac:dyDescent="0.2">
      <c r="A454" s="1">
        <v>2019</v>
      </c>
      <c r="B454" s="1" t="s">
        <v>450</v>
      </c>
      <c r="C454" s="2">
        <v>120646</v>
      </c>
      <c r="D454" s="8">
        <v>1.1762E-4</v>
      </c>
    </row>
    <row r="455" spans="1:4" x14ac:dyDescent="0.2">
      <c r="A455" s="1">
        <v>2019</v>
      </c>
      <c r="B455" s="1" t="s">
        <v>905</v>
      </c>
      <c r="C455" s="2">
        <v>1714889</v>
      </c>
      <c r="D455" s="8">
        <v>1.67183E-3</v>
      </c>
    </row>
    <row r="456" spans="1:4" x14ac:dyDescent="0.2">
      <c r="A456" s="1">
        <v>2019</v>
      </c>
      <c r="B456" s="1" t="s">
        <v>905</v>
      </c>
      <c r="C456" s="2">
        <v>2390927</v>
      </c>
      <c r="D456" s="8">
        <v>2.33089E-3</v>
      </c>
    </row>
    <row r="457" spans="1:4" x14ac:dyDescent="0.2">
      <c r="A457" s="1">
        <v>2019</v>
      </c>
      <c r="B457" s="1" t="s">
        <v>905</v>
      </c>
      <c r="C457" s="2">
        <v>2203710</v>
      </c>
      <c r="D457" s="8">
        <v>2.1483700000000001E-3</v>
      </c>
    </row>
    <row r="458" spans="1:4" x14ac:dyDescent="0.2">
      <c r="A458" s="1">
        <v>2019</v>
      </c>
      <c r="B458" s="1" t="s">
        <v>454</v>
      </c>
      <c r="C458" s="2">
        <v>783217</v>
      </c>
      <c r="D458" s="8">
        <v>7.6354999999999999E-4</v>
      </c>
    </row>
    <row r="459" spans="1:4" x14ac:dyDescent="0.2">
      <c r="A459" s="1">
        <v>2019</v>
      </c>
      <c r="B459" s="1" t="s">
        <v>455</v>
      </c>
      <c r="C459" s="2">
        <v>446140</v>
      </c>
      <c r="D459" s="8">
        <v>4.3493999999999998E-4</v>
      </c>
    </row>
    <row r="460" spans="1:4" x14ac:dyDescent="0.2">
      <c r="A460" s="1">
        <v>2019</v>
      </c>
      <c r="B460" s="1" t="s">
        <v>456</v>
      </c>
      <c r="C460" s="2">
        <v>2585945</v>
      </c>
      <c r="D460" s="8">
        <v>2.5210100000000002E-3</v>
      </c>
    </row>
    <row r="461" spans="1:4" x14ac:dyDescent="0.2">
      <c r="A461" s="1">
        <v>2019</v>
      </c>
      <c r="B461" s="1" t="s">
        <v>457</v>
      </c>
      <c r="C461" s="2">
        <v>2547574</v>
      </c>
      <c r="D461" s="8">
        <v>2.4835999999999999E-3</v>
      </c>
    </row>
    <row r="462" spans="1:4" x14ac:dyDescent="0.2">
      <c r="A462" s="1">
        <v>2019</v>
      </c>
      <c r="B462" s="1" t="s">
        <v>458</v>
      </c>
      <c r="C462" s="2">
        <v>317185</v>
      </c>
      <c r="D462" s="8">
        <v>3.0922000000000002E-4</v>
      </c>
    </row>
    <row r="463" spans="1:4" x14ac:dyDescent="0.2">
      <c r="A463" s="1">
        <v>2019</v>
      </c>
      <c r="B463" s="1" t="s">
        <v>459</v>
      </c>
      <c r="C463" s="2">
        <v>5116094</v>
      </c>
      <c r="D463" s="8">
        <v>4.9876299999999998E-3</v>
      </c>
    </row>
    <row r="464" spans="1:4" x14ac:dyDescent="0.2">
      <c r="A464" s="1">
        <v>2019</v>
      </c>
      <c r="B464" s="1" t="s">
        <v>460</v>
      </c>
      <c r="C464" s="2">
        <v>79044</v>
      </c>
      <c r="D464" s="8">
        <v>7.7059999999999997E-5</v>
      </c>
    </row>
    <row r="465" spans="1:4" x14ac:dyDescent="0.2">
      <c r="A465" s="1">
        <v>2019</v>
      </c>
      <c r="B465" s="1" t="s">
        <v>461</v>
      </c>
      <c r="C465" s="2">
        <v>19533</v>
      </c>
      <c r="D465" s="8">
        <v>1.9040000000000001E-5</v>
      </c>
    </row>
    <row r="466" spans="1:4" x14ac:dyDescent="0.2">
      <c r="A466" s="1">
        <v>2019</v>
      </c>
      <c r="B466" s="1" t="s">
        <v>462</v>
      </c>
      <c r="C466" s="2">
        <v>162115</v>
      </c>
      <c r="D466" s="8">
        <v>1.5804E-4</v>
      </c>
    </row>
    <row r="467" spans="1:4" x14ac:dyDescent="0.2">
      <c r="A467" s="1">
        <v>2019</v>
      </c>
      <c r="B467" s="1" t="s">
        <v>463</v>
      </c>
      <c r="C467" s="2">
        <v>12600</v>
      </c>
      <c r="D467" s="8">
        <v>1.2279999999999999E-5</v>
      </c>
    </row>
    <row r="468" spans="1:4" x14ac:dyDescent="0.2">
      <c r="A468" s="1">
        <v>2019</v>
      </c>
      <c r="B468" s="1" t="s">
        <v>464</v>
      </c>
      <c r="C468" s="2">
        <v>244855</v>
      </c>
      <c r="D468" s="8">
        <v>2.3871E-4</v>
      </c>
    </row>
    <row r="469" spans="1:4" x14ac:dyDescent="0.2">
      <c r="A469" s="1">
        <v>2019</v>
      </c>
      <c r="B469" s="1" t="s">
        <v>465</v>
      </c>
      <c r="C469" s="2">
        <v>1537911</v>
      </c>
      <c r="D469" s="8">
        <v>1.4992899999999999E-3</v>
      </c>
    </row>
    <row r="470" spans="1:4" x14ac:dyDescent="0.2">
      <c r="A470" s="1">
        <v>2019</v>
      </c>
      <c r="B470" s="1" t="s">
        <v>466</v>
      </c>
      <c r="C470" s="2">
        <v>2649061</v>
      </c>
      <c r="D470" s="8">
        <v>2.5825399999999999E-3</v>
      </c>
    </row>
    <row r="471" spans="1:4" x14ac:dyDescent="0.2">
      <c r="A471" s="1">
        <v>2019</v>
      </c>
      <c r="B471" s="1" t="s">
        <v>467</v>
      </c>
      <c r="C471" s="2">
        <v>591615</v>
      </c>
      <c r="D471" s="8">
        <v>5.7675999999999995E-4</v>
      </c>
    </row>
    <row r="472" spans="1:4" x14ac:dyDescent="0.2">
      <c r="A472" s="1">
        <v>2019</v>
      </c>
      <c r="B472" s="1" t="s">
        <v>1039</v>
      </c>
      <c r="C472" s="2">
        <v>763696</v>
      </c>
      <c r="D472" s="8">
        <v>7.4452000000000003E-4</v>
      </c>
    </row>
    <row r="473" spans="1:4" x14ac:dyDescent="0.2">
      <c r="A473" s="1">
        <v>2019</v>
      </c>
      <c r="B473" s="1" t="s">
        <v>469</v>
      </c>
      <c r="C473" s="2">
        <v>4504149</v>
      </c>
      <c r="D473" s="8">
        <v>4.3910499999999996E-3</v>
      </c>
    </row>
    <row r="474" spans="1:4" x14ac:dyDescent="0.2">
      <c r="A474" s="1">
        <v>2019</v>
      </c>
      <c r="B474" s="1" t="s">
        <v>470</v>
      </c>
      <c r="C474" s="2">
        <v>2662986</v>
      </c>
      <c r="D474" s="8">
        <v>2.5961199999999999E-3</v>
      </c>
    </row>
    <row r="475" spans="1:4" x14ac:dyDescent="0.2">
      <c r="A475" s="1">
        <v>2019</v>
      </c>
      <c r="B475" s="1" t="s">
        <v>471</v>
      </c>
      <c r="C475" s="2">
        <v>599151</v>
      </c>
      <c r="D475" s="8">
        <v>5.8410999999999999E-4</v>
      </c>
    </row>
    <row r="476" spans="1:4" x14ac:dyDescent="0.2">
      <c r="A476" s="1">
        <v>2019</v>
      </c>
      <c r="B476" s="1" t="s">
        <v>473</v>
      </c>
      <c r="C476" s="2">
        <v>260872</v>
      </c>
      <c r="D476" s="8">
        <v>2.5431999999999999E-4</v>
      </c>
    </row>
    <row r="477" spans="1:4" x14ac:dyDescent="0.2">
      <c r="A477" s="1">
        <v>2019</v>
      </c>
      <c r="B477" s="1" t="s">
        <v>474</v>
      </c>
      <c r="C477" s="2">
        <v>8780746</v>
      </c>
      <c r="D477" s="8">
        <v>8.5602600000000001E-3</v>
      </c>
    </row>
    <row r="478" spans="1:4" x14ac:dyDescent="0.2">
      <c r="A478" s="1">
        <v>2019</v>
      </c>
      <c r="B478" s="1" t="s">
        <v>475</v>
      </c>
      <c r="C478" s="2">
        <v>730235</v>
      </c>
      <c r="D478" s="8">
        <v>7.1190000000000001E-4</v>
      </c>
    </row>
    <row r="479" spans="1:4" x14ac:dyDescent="0.2">
      <c r="A479" s="1">
        <v>2019</v>
      </c>
      <c r="B479" s="1" t="s">
        <v>476</v>
      </c>
      <c r="C479" s="2">
        <v>32548449</v>
      </c>
      <c r="D479" s="8">
        <v>3.173115E-2</v>
      </c>
    </row>
    <row r="480" spans="1:4" x14ac:dyDescent="0.2">
      <c r="A480" s="1">
        <v>2019</v>
      </c>
      <c r="B480" s="1" t="s">
        <v>477</v>
      </c>
      <c r="C480" s="2">
        <v>15282</v>
      </c>
      <c r="D480" s="8">
        <v>1.49E-5</v>
      </c>
    </row>
    <row r="481" spans="1:4" x14ac:dyDescent="0.2">
      <c r="A481" s="1">
        <v>2019</v>
      </c>
      <c r="B481" s="1" t="s">
        <v>1040</v>
      </c>
      <c r="C481" s="2">
        <v>1762418</v>
      </c>
      <c r="D481" s="8">
        <v>1.71816E-3</v>
      </c>
    </row>
    <row r="482" spans="1:4" x14ac:dyDescent="0.2">
      <c r="A482" s="1">
        <v>2019</v>
      </c>
      <c r="B482" s="1" t="s">
        <v>1041</v>
      </c>
      <c r="C482" s="2">
        <v>1125177</v>
      </c>
      <c r="D482" s="8">
        <v>1.0969199999999999E-3</v>
      </c>
    </row>
    <row r="483" spans="1:4" x14ac:dyDescent="0.2">
      <c r="A483" s="1">
        <v>2019</v>
      </c>
      <c r="B483" s="1" t="s">
        <v>1042</v>
      </c>
      <c r="C483" s="2">
        <v>305233</v>
      </c>
      <c r="D483" s="8">
        <v>2.9756999999999999E-4</v>
      </c>
    </row>
    <row r="484" spans="1:4" x14ac:dyDescent="0.2">
      <c r="A484" s="1">
        <v>2019</v>
      </c>
      <c r="B484" s="1" t="s">
        <v>482</v>
      </c>
      <c r="C484" s="2">
        <v>116668</v>
      </c>
      <c r="D484" s="8">
        <v>1.1374000000000001E-4</v>
      </c>
    </row>
    <row r="485" spans="1:4" x14ac:dyDescent="0.2">
      <c r="A485" s="1">
        <v>2019</v>
      </c>
      <c r="B485" s="1" t="s">
        <v>483</v>
      </c>
      <c r="C485" s="2">
        <v>79032</v>
      </c>
      <c r="D485" s="8">
        <v>7.7050000000000003E-5</v>
      </c>
    </row>
    <row r="486" spans="1:4" x14ac:dyDescent="0.2">
      <c r="A486" s="1">
        <v>2019</v>
      </c>
      <c r="B486" s="1" t="s">
        <v>484</v>
      </c>
      <c r="C486" s="2">
        <v>186791</v>
      </c>
      <c r="D486" s="8">
        <v>1.8210000000000001E-4</v>
      </c>
    </row>
    <row r="487" spans="1:4" x14ac:dyDescent="0.2">
      <c r="A487" s="1">
        <v>2019</v>
      </c>
      <c r="B487" s="1" t="s">
        <v>485</v>
      </c>
      <c r="C487" s="2">
        <v>572742</v>
      </c>
      <c r="D487" s="8">
        <v>5.5836000000000004E-4</v>
      </c>
    </row>
    <row r="488" spans="1:4" x14ac:dyDescent="0.2">
      <c r="A488" s="1">
        <v>2019</v>
      </c>
      <c r="B488" s="1" t="s">
        <v>486</v>
      </c>
      <c r="C488" s="2">
        <v>2125826</v>
      </c>
      <c r="D488" s="8">
        <v>2.07245E-3</v>
      </c>
    </row>
    <row r="489" spans="1:4" x14ac:dyDescent="0.2">
      <c r="A489" s="1">
        <v>2019</v>
      </c>
      <c r="B489" s="1" t="s">
        <v>487</v>
      </c>
      <c r="C489" s="2">
        <v>31334</v>
      </c>
      <c r="D489" s="8">
        <v>3.0549999999999997E-5</v>
      </c>
    </row>
    <row r="490" spans="1:4" x14ac:dyDescent="0.2">
      <c r="A490" s="1">
        <v>2019</v>
      </c>
      <c r="B490" s="1" t="s">
        <v>488</v>
      </c>
      <c r="C490" s="2">
        <v>27727</v>
      </c>
      <c r="D490" s="8">
        <v>2.703E-5</v>
      </c>
    </row>
    <row r="491" spans="1:4" x14ac:dyDescent="0.2">
      <c r="A491" s="1">
        <v>2019</v>
      </c>
      <c r="B491" s="1" t="s">
        <v>1043</v>
      </c>
      <c r="C491" s="2">
        <v>10613</v>
      </c>
      <c r="D491" s="8">
        <v>1.0349999999999999E-5</v>
      </c>
    </row>
    <row r="492" spans="1:4" x14ac:dyDescent="0.2">
      <c r="A492" s="1">
        <v>2019</v>
      </c>
      <c r="B492" s="1" t="s">
        <v>490</v>
      </c>
      <c r="C492" s="2">
        <v>2944</v>
      </c>
      <c r="D492" s="8">
        <v>2.8700000000000001E-6</v>
      </c>
    </row>
    <row r="493" spans="1:4" x14ac:dyDescent="0.2">
      <c r="A493" s="1">
        <v>2019</v>
      </c>
      <c r="B493" s="1" t="s">
        <v>1044</v>
      </c>
      <c r="C493" s="2">
        <v>197097</v>
      </c>
      <c r="D493" s="8">
        <v>1.9215000000000001E-4</v>
      </c>
    </row>
    <row r="494" spans="1:4" x14ac:dyDescent="0.2">
      <c r="A494" s="1">
        <v>2019</v>
      </c>
      <c r="B494" s="1" t="s">
        <v>1045</v>
      </c>
      <c r="C494" s="2">
        <v>75764</v>
      </c>
      <c r="D494" s="8">
        <v>7.3860000000000001E-5</v>
      </c>
    </row>
    <row r="495" spans="1:4" x14ac:dyDescent="0.2">
      <c r="A495" s="1">
        <v>2019</v>
      </c>
      <c r="B495" s="1" t="s">
        <v>1046</v>
      </c>
      <c r="C495" s="2">
        <v>123949</v>
      </c>
      <c r="D495" s="8">
        <v>1.2084E-4</v>
      </c>
    </row>
    <row r="496" spans="1:4" x14ac:dyDescent="0.2">
      <c r="A496" s="1">
        <v>2019</v>
      </c>
      <c r="B496" s="1" t="s">
        <v>1047</v>
      </c>
      <c r="C496" s="2">
        <v>12496</v>
      </c>
      <c r="D496" s="8">
        <v>1.218E-5</v>
      </c>
    </row>
    <row r="497" spans="1:4" x14ac:dyDescent="0.2">
      <c r="A497" s="1">
        <v>2019</v>
      </c>
      <c r="B497" s="1" t="s">
        <v>1048</v>
      </c>
      <c r="C497" s="2">
        <v>1962434</v>
      </c>
      <c r="D497" s="8">
        <v>1.9131599999999999E-3</v>
      </c>
    </row>
    <row r="498" spans="1:4" x14ac:dyDescent="0.2">
      <c r="A498" s="1">
        <v>2019</v>
      </c>
      <c r="B498" s="1" t="s">
        <v>1049</v>
      </c>
      <c r="C498" s="2">
        <v>1082504</v>
      </c>
      <c r="D498" s="8">
        <v>1.05532E-3</v>
      </c>
    </row>
    <row r="499" spans="1:4" x14ac:dyDescent="0.2">
      <c r="A499" s="1">
        <v>2019</v>
      </c>
      <c r="B499" s="1" t="s">
        <v>1050</v>
      </c>
      <c r="C499" s="2">
        <v>18180160</v>
      </c>
      <c r="D499" s="8">
        <v>1.7723650000000001E-2</v>
      </c>
    </row>
    <row r="500" spans="1:4" x14ac:dyDescent="0.2">
      <c r="A500" s="1">
        <v>2019</v>
      </c>
      <c r="B500" s="1" t="s">
        <v>499</v>
      </c>
      <c r="C500" s="2">
        <v>1782933</v>
      </c>
      <c r="D500" s="8">
        <v>1.7381600000000001E-3</v>
      </c>
    </row>
    <row r="501" spans="1:4" x14ac:dyDescent="0.2">
      <c r="A501" s="1">
        <v>2019</v>
      </c>
      <c r="B501" s="1" t="s">
        <v>1051</v>
      </c>
      <c r="C501" s="2">
        <v>865252</v>
      </c>
      <c r="D501" s="8">
        <v>8.4353E-4</v>
      </c>
    </row>
    <row r="502" spans="1:4" x14ac:dyDescent="0.2">
      <c r="A502" s="1">
        <v>2019</v>
      </c>
      <c r="B502" s="1" t="s">
        <v>1052</v>
      </c>
      <c r="C502" s="2">
        <v>6023639</v>
      </c>
      <c r="D502" s="8">
        <v>5.87238E-3</v>
      </c>
    </row>
    <row r="503" spans="1:4" x14ac:dyDescent="0.2">
      <c r="A503" s="1">
        <v>2019</v>
      </c>
      <c r="B503" s="1" t="s">
        <v>502</v>
      </c>
      <c r="C503" s="2">
        <v>137109</v>
      </c>
      <c r="D503" s="8">
        <v>1.3367000000000001E-4</v>
      </c>
    </row>
    <row r="504" spans="1:4" x14ac:dyDescent="0.2">
      <c r="A504" s="1">
        <v>2019</v>
      </c>
      <c r="B504" s="1" t="s">
        <v>1053</v>
      </c>
      <c r="C504" s="2">
        <v>3662660</v>
      </c>
      <c r="D504" s="8">
        <v>3.5706900000000001E-3</v>
      </c>
    </row>
    <row r="505" spans="1:4" x14ac:dyDescent="0.2">
      <c r="A505" s="1">
        <v>2019</v>
      </c>
      <c r="B505" s="1" t="s">
        <v>1054</v>
      </c>
      <c r="C505" s="2">
        <v>252983</v>
      </c>
      <c r="D505" s="8">
        <v>2.4663000000000002E-4</v>
      </c>
    </row>
    <row r="506" spans="1:4" x14ac:dyDescent="0.2">
      <c r="A506" s="1">
        <v>2019</v>
      </c>
      <c r="B506" s="1" t="s">
        <v>1055</v>
      </c>
      <c r="C506" s="2">
        <v>1163542</v>
      </c>
      <c r="D506" s="8">
        <v>1.1343200000000001E-3</v>
      </c>
    </row>
    <row r="507" spans="1:4" x14ac:dyDescent="0.2">
      <c r="A507" s="1">
        <v>2019</v>
      </c>
      <c r="B507" s="1" t="s">
        <v>1056</v>
      </c>
      <c r="C507" s="2">
        <v>175468</v>
      </c>
      <c r="D507" s="8">
        <v>1.7106000000000001E-4</v>
      </c>
    </row>
    <row r="508" spans="1:4" x14ac:dyDescent="0.2">
      <c r="A508" s="1">
        <v>2019</v>
      </c>
      <c r="B508" s="1" t="s">
        <v>1057</v>
      </c>
      <c r="C508" s="2">
        <v>23681</v>
      </c>
      <c r="D508" s="8">
        <v>2.3090000000000001E-5</v>
      </c>
    </row>
    <row r="509" spans="1:4" x14ac:dyDescent="0.2">
      <c r="A509" s="1">
        <v>2019</v>
      </c>
      <c r="B509" s="1" t="s">
        <v>1058</v>
      </c>
      <c r="C509" s="2">
        <v>200331</v>
      </c>
      <c r="D509" s="8">
        <v>1.953E-4</v>
      </c>
    </row>
    <row r="510" spans="1:4" x14ac:dyDescent="0.2">
      <c r="A510" s="1">
        <v>2019</v>
      </c>
      <c r="B510" s="1" t="s">
        <v>1059</v>
      </c>
      <c r="C510" s="2">
        <v>350600</v>
      </c>
      <c r="D510" s="8">
        <v>3.4180000000000001E-4</v>
      </c>
    </row>
    <row r="511" spans="1:4" x14ac:dyDescent="0.2">
      <c r="A511" s="1">
        <v>2019</v>
      </c>
      <c r="B511" s="1" t="s">
        <v>1060</v>
      </c>
      <c r="C511" s="2">
        <v>114101</v>
      </c>
      <c r="D511" s="8">
        <v>1.1124E-4</v>
      </c>
    </row>
    <row r="512" spans="1:4" x14ac:dyDescent="0.2">
      <c r="A512" s="1">
        <v>2019</v>
      </c>
      <c r="B512" s="1" t="s">
        <v>1061</v>
      </c>
      <c r="C512" s="2">
        <v>510116</v>
      </c>
      <c r="D512" s="8">
        <v>4.9731000000000005E-4</v>
      </c>
    </row>
    <row r="513" spans="1:4" x14ac:dyDescent="0.2">
      <c r="A513" s="1">
        <v>2019</v>
      </c>
      <c r="B513" s="1" t="s">
        <v>1062</v>
      </c>
      <c r="C513" s="2">
        <v>184783</v>
      </c>
      <c r="D513" s="8">
        <v>1.8013999999999999E-4</v>
      </c>
    </row>
    <row r="514" spans="1:4" x14ac:dyDescent="0.2">
      <c r="A514" s="1">
        <v>2019</v>
      </c>
      <c r="B514" s="1" t="s">
        <v>1063</v>
      </c>
      <c r="C514" s="2">
        <v>201046</v>
      </c>
      <c r="D514" s="8">
        <v>1.9599999999999999E-4</v>
      </c>
    </row>
    <row r="515" spans="1:4" x14ac:dyDescent="0.2">
      <c r="A515" s="1">
        <v>2019</v>
      </c>
      <c r="B515" s="1" t="s">
        <v>1064</v>
      </c>
      <c r="C515" s="2">
        <v>115185</v>
      </c>
      <c r="D515" s="8">
        <v>1.1229E-4</v>
      </c>
    </row>
    <row r="516" spans="1:4" x14ac:dyDescent="0.2">
      <c r="A516" s="1">
        <v>2019</v>
      </c>
      <c r="B516" s="1" t="s">
        <v>1065</v>
      </c>
      <c r="C516" s="2">
        <v>382570</v>
      </c>
      <c r="D516" s="8">
        <v>3.7295999999999998E-4</v>
      </c>
    </row>
    <row r="517" spans="1:4" x14ac:dyDescent="0.2">
      <c r="A517" s="1">
        <v>2019</v>
      </c>
      <c r="B517" s="1" t="s">
        <v>1066</v>
      </c>
      <c r="C517" s="2">
        <v>2295807</v>
      </c>
      <c r="D517" s="8">
        <v>2.2381599999999999E-3</v>
      </c>
    </row>
    <row r="518" spans="1:4" x14ac:dyDescent="0.2">
      <c r="A518" s="1">
        <v>2019</v>
      </c>
      <c r="B518" s="1" t="s">
        <v>1067</v>
      </c>
      <c r="C518" s="2">
        <v>2577026</v>
      </c>
      <c r="D518" s="8">
        <v>2.5123200000000002E-3</v>
      </c>
    </row>
    <row r="519" spans="1:4" x14ac:dyDescent="0.2">
      <c r="A519" s="1">
        <v>2019</v>
      </c>
      <c r="B519" s="1" t="s">
        <v>518</v>
      </c>
      <c r="C519" s="2">
        <v>20783</v>
      </c>
      <c r="D519" s="8">
        <v>2.0259999999999999E-5</v>
      </c>
    </row>
    <row r="520" spans="1:4" x14ac:dyDescent="0.2">
      <c r="A520" s="1">
        <v>2019</v>
      </c>
      <c r="B520" s="1" t="s">
        <v>1068</v>
      </c>
      <c r="C520" s="2">
        <v>116961</v>
      </c>
      <c r="D520" s="8">
        <v>1.1402E-4</v>
      </c>
    </row>
    <row r="521" spans="1:4" x14ac:dyDescent="0.2">
      <c r="A521" s="1">
        <v>2019</v>
      </c>
      <c r="B521" s="1" t="s">
        <v>520</v>
      </c>
      <c r="C521" s="2">
        <v>23778</v>
      </c>
      <c r="D521" s="8">
        <v>2.3180000000000002E-5</v>
      </c>
    </row>
    <row r="522" spans="1:4" x14ac:dyDescent="0.2">
      <c r="A522" s="1">
        <v>2019</v>
      </c>
      <c r="B522" s="1" t="s">
        <v>521</v>
      </c>
      <c r="C522" s="2">
        <v>1092889</v>
      </c>
      <c r="D522" s="8">
        <v>1.0654499999999999E-3</v>
      </c>
    </row>
    <row r="523" spans="1:4" x14ac:dyDescent="0.2">
      <c r="A523" s="1">
        <v>2019</v>
      </c>
      <c r="B523" s="1" t="s">
        <v>523</v>
      </c>
      <c r="C523" s="2">
        <v>85222</v>
      </c>
      <c r="D523" s="8">
        <v>8.3079999999999997E-5</v>
      </c>
    </row>
    <row r="524" spans="1:4" x14ac:dyDescent="0.2">
      <c r="A524" s="1">
        <v>2019</v>
      </c>
      <c r="B524" s="1" t="s">
        <v>524</v>
      </c>
      <c r="C524" s="2">
        <v>316939</v>
      </c>
      <c r="D524" s="8">
        <v>3.0897999999999999E-4</v>
      </c>
    </row>
    <row r="525" spans="1:4" x14ac:dyDescent="0.2">
      <c r="A525" s="1">
        <v>2019</v>
      </c>
      <c r="B525" s="1" t="s">
        <v>525</v>
      </c>
      <c r="C525" s="2">
        <v>132024</v>
      </c>
      <c r="D525" s="8">
        <v>1.2871000000000001E-4</v>
      </c>
    </row>
    <row r="526" spans="1:4" x14ac:dyDescent="0.2">
      <c r="A526" s="1">
        <v>2019</v>
      </c>
      <c r="B526" s="1" t="s">
        <v>526</v>
      </c>
      <c r="C526" s="2">
        <v>3325674</v>
      </c>
      <c r="D526" s="8">
        <v>3.2421699999999999E-3</v>
      </c>
    </row>
    <row r="527" spans="1:4" x14ac:dyDescent="0.2">
      <c r="A527" s="1">
        <v>2019</v>
      </c>
      <c r="B527" s="1" t="s">
        <v>1069</v>
      </c>
      <c r="C527" s="2">
        <v>9993</v>
      </c>
      <c r="D527" s="8">
        <v>9.7399999999999999E-6</v>
      </c>
    </row>
    <row r="528" spans="1:4" x14ac:dyDescent="0.2">
      <c r="A528" s="1">
        <v>2019</v>
      </c>
      <c r="B528" s="1" t="s">
        <v>1070</v>
      </c>
      <c r="C528" s="2">
        <v>2288130</v>
      </c>
      <c r="D528" s="8">
        <v>2.2306700000000001E-3</v>
      </c>
    </row>
    <row r="529" spans="1:4" x14ac:dyDescent="0.2">
      <c r="A529" s="1">
        <v>2019</v>
      </c>
      <c r="B529" s="1" t="s">
        <v>529</v>
      </c>
      <c r="C529" s="2">
        <v>660359</v>
      </c>
      <c r="D529" s="8">
        <v>6.4378000000000005E-4</v>
      </c>
    </row>
    <row r="530" spans="1:4" x14ac:dyDescent="0.2">
      <c r="A530" s="1">
        <v>2019</v>
      </c>
      <c r="B530" s="1" t="s">
        <v>530</v>
      </c>
      <c r="C530" s="2">
        <v>30457</v>
      </c>
      <c r="D530" s="8">
        <v>2.9689999999999999E-5</v>
      </c>
    </row>
    <row r="531" spans="1:4" x14ac:dyDescent="0.2">
      <c r="A531" s="1">
        <v>2019</v>
      </c>
      <c r="B531" s="1" t="s">
        <v>1071</v>
      </c>
      <c r="C531" s="2">
        <v>4668</v>
      </c>
      <c r="D531" s="8">
        <v>4.5499999999999996E-6</v>
      </c>
    </row>
    <row r="532" spans="1:4" x14ac:dyDescent="0.2">
      <c r="A532" s="1">
        <v>2019</v>
      </c>
      <c r="B532" s="1" t="s">
        <v>532</v>
      </c>
      <c r="C532" s="2">
        <v>928595</v>
      </c>
      <c r="D532" s="8">
        <v>9.0527999999999995E-4</v>
      </c>
    </row>
    <row r="533" spans="1:4" x14ac:dyDescent="0.2">
      <c r="A533" s="1">
        <v>2019</v>
      </c>
      <c r="B533" s="1" t="s">
        <v>533</v>
      </c>
      <c r="C533" s="2">
        <v>77016</v>
      </c>
      <c r="D533" s="8">
        <v>7.5080000000000006E-5</v>
      </c>
    </row>
    <row r="534" spans="1:4" x14ac:dyDescent="0.2">
      <c r="A534" s="1">
        <v>2019</v>
      </c>
      <c r="B534" s="1" t="s">
        <v>534</v>
      </c>
      <c r="C534" s="2">
        <v>587901</v>
      </c>
      <c r="D534" s="8">
        <v>5.7313999999999998E-4</v>
      </c>
    </row>
    <row r="535" spans="1:4" x14ac:dyDescent="0.2">
      <c r="A535" s="1">
        <v>2019</v>
      </c>
      <c r="B535" s="1" t="s">
        <v>535</v>
      </c>
      <c r="C535" s="2">
        <v>556894</v>
      </c>
      <c r="D535" s="8">
        <v>5.4290999999999996E-4</v>
      </c>
    </row>
    <row r="536" spans="1:4" x14ac:dyDescent="0.2">
      <c r="A536" s="1">
        <v>2019</v>
      </c>
      <c r="B536" s="1" t="s">
        <v>536</v>
      </c>
      <c r="C536" s="2">
        <v>1917514</v>
      </c>
      <c r="D536" s="8">
        <v>1.86937E-3</v>
      </c>
    </row>
    <row r="537" spans="1:4" x14ac:dyDescent="0.2">
      <c r="A537" s="1">
        <v>2019</v>
      </c>
      <c r="B537" s="1" t="s">
        <v>537</v>
      </c>
      <c r="C537" s="2">
        <v>37479</v>
      </c>
      <c r="D537" s="8">
        <v>3.6539999999999999E-5</v>
      </c>
    </row>
    <row r="538" spans="1:4" x14ac:dyDescent="0.2">
      <c r="A538" s="1">
        <v>2019</v>
      </c>
      <c r="B538" s="1" t="s">
        <v>538</v>
      </c>
      <c r="C538" s="2">
        <v>24491</v>
      </c>
      <c r="D538" s="8">
        <v>2.3879999999999998E-5</v>
      </c>
    </row>
    <row r="539" spans="1:4" x14ac:dyDescent="0.2">
      <c r="A539" s="1">
        <v>2019</v>
      </c>
      <c r="B539" s="1" t="s">
        <v>539</v>
      </c>
      <c r="C539" s="2">
        <v>220636</v>
      </c>
      <c r="D539" s="8">
        <v>2.151E-4</v>
      </c>
    </row>
    <row r="540" spans="1:4" x14ac:dyDescent="0.2">
      <c r="A540" s="1">
        <v>2019</v>
      </c>
      <c r="B540" s="1" t="s">
        <v>1072</v>
      </c>
      <c r="C540" s="2">
        <v>1509917</v>
      </c>
      <c r="D540" s="8">
        <v>1.472E-3</v>
      </c>
    </row>
    <row r="541" spans="1:4" x14ac:dyDescent="0.2">
      <c r="A541" s="1">
        <v>2019</v>
      </c>
      <c r="B541" s="1" t="s">
        <v>1073</v>
      </c>
      <c r="C541" s="2">
        <v>539834</v>
      </c>
      <c r="D541" s="8">
        <v>5.2627999999999996E-4</v>
      </c>
    </row>
    <row r="542" spans="1:4" x14ac:dyDescent="0.2">
      <c r="A542" s="1">
        <v>2019</v>
      </c>
      <c r="B542" s="1" t="s">
        <v>542</v>
      </c>
      <c r="C542" s="2">
        <v>1953</v>
      </c>
      <c r="D542" s="8">
        <v>1.9E-6</v>
      </c>
    </row>
    <row r="543" spans="1:4" x14ac:dyDescent="0.2">
      <c r="A543" s="1">
        <v>2019</v>
      </c>
      <c r="B543" s="1" t="s">
        <v>543</v>
      </c>
      <c r="C543" s="2">
        <v>886295</v>
      </c>
      <c r="D543" s="8">
        <v>8.6403999999999995E-4</v>
      </c>
    </row>
    <row r="544" spans="1:4" x14ac:dyDescent="0.2">
      <c r="A544" s="1">
        <v>2019</v>
      </c>
      <c r="B544" s="1" t="s">
        <v>544</v>
      </c>
      <c r="C544" s="2">
        <v>8931</v>
      </c>
      <c r="D544" s="8">
        <v>8.7099999999999996E-6</v>
      </c>
    </row>
    <row r="545" spans="1:4" x14ac:dyDescent="0.2">
      <c r="A545" s="1">
        <v>2019</v>
      </c>
      <c r="B545" s="1" t="s">
        <v>545</v>
      </c>
      <c r="C545" s="2">
        <v>802303</v>
      </c>
      <c r="D545" s="8">
        <v>7.8215999999999995E-4</v>
      </c>
    </row>
    <row r="546" spans="1:4" x14ac:dyDescent="0.2">
      <c r="A546" s="1">
        <v>2019</v>
      </c>
      <c r="B546" s="1" t="s">
        <v>546</v>
      </c>
      <c r="C546" s="2">
        <v>4670540</v>
      </c>
      <c r="D546" s="8">
        <v>4.5532599999999999E-3</v>
      </c>
    </row>
    <row r="547" spans="1:4" x14ac:dyDescent="0.2">
      <c r="A547" s="1">
        <v>2019</v>
      </c>
      <c r="B547" s="1" t="s">
        <v>1074</v>
      </c>
      <c r="C547" s="2">
        <v>1408830</v>
      </c>
      <c r="D547" s="8">
        <v>1.37345E-3</v>
      </c>
    </row>
    <row r="548" spans="1:4" x14ac:dyDescent="0.2">
      <c r="A548" s="1">
        <v>2019</v>
      </c>
      <c r="B548" s="1" t="s">
        <v>1075</v>
      </c>
      <c r="C548" s="2">
        <v>1933879</v>
      </c>
      <c r="D548" s="8">
        <v>1.88532E-3</v>
      </c>
    </row>
    <row r="549" spans="1:4" x14ac:dyDescent="0.2">
      <c r="A549" s="1">
        <v>2019</v>
      </c>
      <c r="B549" s="1" t="s">
        <v>549</v>
      </c>
      <c r="C549" s="2">
        <v>3626943</v>
      </c>
      <c r="D549" s="8">
        <v>3.53587E-3</v>
      </c>
    </row>
    <row r="550" spans="1:4" x14ac:dyDescent="0.2">
      <c r="A550" s="1">
        <v>2019</v>
      </c>
      <c r="B550" s="1" t="s">
        <v>550</v>
      </c>
      <c r="C550" s="2">
        <v>1012118</v>
      </c>
      <c r="D550" s="8">
        <v>9.8670000000000008E-4</v>
      </c>
    </row>
    <row r="551" spans="1:4" x14ac:dyDescent="0.2">
      <c r="A551" s="1">
        <v>2019</v>
      </c>
      <c r="B551" s="1" t="s">
        <v>551</v>
      </c>
      <c r="C551" s="2">
        <v>1470336</v>
      </c>
      <c r="D551" s="8">
        <v>1.4334199999999999E-3</v>
      </c>
    </row>
    <row r="552" spans="1:4" x14ac:dyDescent="0.2">
      <c r="A552" s="1">
        <v>2019</v>
      </c>
      <c r="B552" s="1" t="s">
        <v>552</v>
      </c>
      <c r="C552" s="2">
        <v>59310</v>
      </c>
      <c r="D552" s="8">
        <v>5.7819999999999999E-5</v>
      </c>
    </row>
    <row r="553" spans="1:4" x14ac:dyDescent="0.2">
      <c r="A553" s="1">
        <v>2019</v>
      </c>
      <c r="B553" s="1" t="s">
        <v>553</v>
      </c>
      <c r="C553" s="2">
        <v>2516102</v>
      </c>
      <c r="D553" s="8">
        <v>2.4529199999999999E-3</v>
      </c>
    </row>
    <row r="554" spans="1:4" x14ac:dyDescent="0.2">
      <c r="A554" s="1">
        <v>2019</v>
      </c>
      <c r="B554" s="1" t="s">
        <v>554</v>
      </c>
      <c r="C554" s="2">
        <v>63446</v>
      </c>
      <c r="D554" s="8">
        <v>6.1849999999999999E-5</v>
      </c>
    </row>
    <row r="555" spans="1:4" x14ac:dyDescent="0.2">
      <c r="A555" s="1">
        <v>2019</v>
      </c>
      <c r="B555" s="1" t="s">
        <v>555</v>
      </c>
      <c r="C555" s="2">
        <v>4698531</v>
      </c>
      <c r="D555" s="8">
        <v>4.5805500000000001E-3</v>
      </c>
    </row>
    <row r="556" spans="1:4" x14ac:dyDescent="0.2">
      <c r="A556" s="1">
        <v>2019</v>
      </c>
      <c r="B556" s="1" t="s">
        <v>556</v>
      </c>
      <c r="C556" s="2">
        <v>30538</v>
      </c>
      <c r="D556" s="8">
        <v>2.9770000000000001E-5</v>
      </c>
    </row>
    <row r="557" spans="1:4" x14ac:dyDescent="0.2">
      <c r="A557" s="1">
        <v>2019</v>
      </c>
      <c r="B557" s="1" t="s">
        <v>1076</v>
      </c>
      <c r="C557" s="2">
        <v>1265467</v>
      </c>
      <c r="D557" s="8">
        <v>1.23369E-3</v>
      </c>
    </row>
    <row r="558" spans="1:4" x14ac:dyDescent="0.2">
      <c r="A558" s="1">
        <v>2019</v>
      </c>
      <c r="B558" s="1" t="s">
        <v>1077</v>
      </c>
      <c r="C558" s="2">
        <v>333159</v>
      </c>
      <c r="D558" s="8">
        <v>3.2478999999999999E-4</v>
      </c>
    </row>
    <row r="559" spans="1:4" x14ac:dyDescent="0.2">
      <c r="A559" s="1">
        <v>2019</v>
      </c>
      <c r="B559" s="1" t="s">
        <v>559</v>
      </c>
      <c r="C559" s="2">
        <v>8050</v>
      </c>
      <c r="D559" s="8">
        <v>7.8499999999999994E-6</v>
      </c>
    </row>
    <row r="560" spans="1:4" x14ac:dyDescent="0.2">
      <c r="A560" s="1">
        <v>2019</v>
      </c>
      <c r="B560" s="1" t="s">
        <v>560</v>
      </c>
      <c r="C560" s="2">
        <v>51103</v>
      </c>
      <c r="D560" s="8">
        <v>4.9820000000000001E-5</v>
      </c>
    </row>
    <row r="561" spans="1:4" x14ac:dyDescent="0.2">
      <c r="A561" s="1">
        <v>2019</v>
      </c>
      <c r="B561" s="1" t="s">
        <v>1078</v>
      </c>
      <c r="C561" s="2">
        <v>14441</v>
      </c>
      <c r="D561" s="8">
        <v>1.4080000000000001E-5</v>
      </c>
    </row>
    <row r="562" spans="1:4" x14ac:dyDescent="0.2">
      <c r="A562" s="1">
        <v>2019</v>
      </c>
      <c r="B562" s="1" t="s">
        <v>562</v>
      </c>
      <c r="C562" s="2">
        <v>1091945</v>
      </c>
      <c r="D562" s="8">
        <v>1.0645299999999999E-3</v>
      </c>
    </row>
    <row r="563" spans="1:4" x14ac:dyDescent="0.2">
      <c r="A563" s="1">
        <v>2019</v>
      </c>
      <c r="B563" s="1" t="s">
        <v>1079</v>
      </c>
      <c r="C563" s="2">
        <v>4714971</v>
      </c>
      <c r="D563" s="8">
        <v>4.5965800000000003E-3</v>
      </c>
    </row>
    <row r="564" spans="1:4" x14ac:dyDescent="0.2">
      <c r="A564" s="1">
        <v>2019</v>
      </c>
      <c r="B564" s="1" t="s">
        <v>565</v>
      </c>
      <c r="C564" s="2">
        <v>290986</v>
      </c>
      <c r="D564" s="8">
        <v>2.8368000000000002E-4</v>
      </c>
    </row>
    <row r="565" spans="1:4" x14ac:dyDescent="0.2">
      <c r="A565" s="1">
        <v>2019</v>
      </c>
      <c r="B565" s="1" t="s">
        <v>566</v>
      </c>
      <c r="C565" s="2">
        <v>178313</v>
      </c>
      <c r="D565" s="8">
        <v>1.7384E-4</v>
      </c>
    </row>
    <row r="566" spans="1:4" x14ac:dyDescent="0.2">
      <c r="A566" s="1">
        <v>2019</v>
      </c>
      <c r="B566" s="1" t="s">
        <v>567</v>
      </c>
      <c r="C566" s="2">
        <v>153540</v>
      </c>
      <c r="D566" s="8">
        <v>1.4967999999999999E-4</v>
      </c>
    </row>
    <row r="567" spans="1:4" x14ac:dyDescent="0.2">
      <c r="A567" s="1">
        <v>2019</v>
      </c>
      <c r="B567" s="1" t="s">
        <v>1080</v>
      </c>
      <c r="C567" s="2">
        <v>161839</v>
      </c>
      <c r="D567" s="8">
        <v>1.5777E-4</v>
      </c>
    </row>
    <row r="568" spans="1:4" x14ac:dyDescent="0.2">
      <c r="A568" s="1">
        <v>2019</v>
      </c>
      <c r="B568" s="1" t="s">
        <v>569</v>
      </c>
      <c r="C568" s="2">
        <v>548040</v>
      </c>
      <c r="D568" s="8">
        <v>5.3428000000000004E-4</v>
      </c>
    </row>
    <row r="569" spans="1:4" x14ac:dyDescent="0.2">
      <c r="A569" s="1">
        <v>2019</v>
      </c>
      <c r="B569" s="1" t="s">
        <v>570</v>
      </c>
      <c r="C569" s="2">
        <v>1104272</v>
      </c>
      <c r="D569" s="8">
        <v>1.07654E-3</v>
      </c>
    </row>
    <row r="570" spans="1:4" x14ac:dyDescent="0.2">
      <c r="A570" s="1">
        <v>2019</v>
      </c>
      <c r="B570" s="1" t="s">
        <v>1081</v>
      </c>
      <c r="C570" s="2">
        <v>33722</v>
      </c>
      <c r="D570" s="8">
        <v>3.2879999999999997E-5</v>
      </c>
    </row>
    <row r="571" spans="1:4" x14ac:dyDescent="0.2">
      <c r="A571" s="1">
        <v>2019</v>
      </c>
      <c r="B571" s="1" t="s">
        <v>572</v>
      </c>
      <c r="C571" s="2">
        <v>3314745</v>
      </c>
      <c r="D571" s="8">
        <v>3.2315099999999999E-3</v>
      </c>
    </row>
    <row r="572" spans="1:4" x14ac:dyDescent="0.2">
      <c r="A572" s="1">
        <v>2019</v>
      </c>
      <c r="B572" s="1" t="s">
        <v>573</v>
      </c>
      <c r="C572" s="2">
        <v>24561</v>
      </c>
      <c r="D572" s="8">
        <v>2.3940000000000001E-5</v>
      </c>
    </row>
    <row r="573" spans="1:4" x14ac:dyDescent="0.2">
      <c r="A573" s="1">
        <v>2019</v>
      </c>
      <c r="B573" s="1" t="s">
        <v>574</v>
      </c>
      <c r="C573" s="2">
        <v>2584445</v>
      </c>
      <c r="D573" s="8">
        <v>2.5195500000000002E-3</v>
      </c>
    </row>
    <row r="574" spans="1:4" x14ac:dyDescent="0.2">
      <c r="A574" s="1">
        <v>2019</v>
      </c>
      <c r="B574" s="1" t="s">
        <v>887</v>
      </c>
      <c r="C574" s="2">
        <v>378676</v>
      </c>
      <c r="D574" s="8">
        <v>3.6916999999999999E-4</v>
      </c>
    </row>
    <row r="575" spans="1:4" x14ac:dyDescent="0.2">
      <c r="A575" s="1">
        <v>2019</v>
      </c>
      <c r="B575" s="1" t="s">
        <v>576</v>
      </c>
      <c r="C575" s="2">
        <v>78900</v>
      </c>
      <c r="D575" s="8">
        <v>7.6920000000000002E-5</v>
      </c>
    </row>
    <row r="576" spans="1:4" x14ac:dyDescent="0.2">
      <c r="A576" s="1">
        <v>2019</v>
      </c>
      <c r="B576" s="1" t="s">
        <v>577</v>
      </c>
      <c r="C576" s="2">
        <v>3826815</v>
      </c>
      <c r="D576" s="8">
        <v>3.7307199999999999E-3</v>
      </c>
    </row>
    <row r="577" spans="1:4" x14ac:dyDescent="0.2">
      <c r="A577" s="1">
        <v>2019</v>
      </c>
      <c r="B577" s="1" t="s">
        <v>578</v>
      </c>
      <c r="C577" s="2">
        <v>36407</v>
      </c>
      <c r="D577" s="8">
        <v>3.5490000000000001E-5</v>
      </c>
    </row>
    <row r="578" spans="1:4" x14ac:dyDescent="0.2">
      <c r="A578" s="1">
        <v>2019</v>
      </c>
      <c r="B578" s="1" t="s">
        <v>1082</v>
      </c>
      <c r="C578" s="2">
        <v>1274592</v>
      </c>
      <c r="D578" s="8">
        <v>1.24259E-3</v>
      </c>
    </row>
    <row r="579" spans="1:4" x14ac:dyDescent="0.2">
      <c r="A579" s="1">
        <v>2019</v>
      </c>
      <c r="B579" s="1" t="s">
        <v>1083</v>
      </c>
      <c r="C579" s="2">
        <v>3948</v>
      </c>
      <c r="D579" s="8">
        <v>3.8500000000000004E-6</v>
      </c>
    </row>
    <row r="580" spans="1:4" x14ac:dyDescent="0.2">
      <c r="A580" s="1">
        <v>2019</v>
      </c>
      <c r="B580" s="1" t="s">
        <v>582</v>
      </c>
      <c r="C580" s="2">
        <v>1493290</v>
      </c>
      <c r="D580" s="8">
        <v>1.45579E-3</v>
      </c>
    </row>
    <row r="581" spans="1:4" x14ac:dyDescent="0.2">
      <c r="A581" s="1">
        <v>2019</v>
      </c>
      <c r="B581" s="1" t="s">
        <v>583</v>
      </c>
      <c r="C581" s="2">
        <v>8334197</v>
      </c>
      <c r="D581" s="8">
        <v>8.1249200000000008E-3</v>
      </c>
    </row>
    <row r="582" spans="1:4" x14ac:dyDescent="0.2">
      <c r="A582" s="1">
        <v>2019</v>
      </c>
      <c r="B582" s="1" t="s">
        <v>584</v>
      </c>
      <c r="C582" s="2">
        <v>463948</v>
      </c>
      <c r="D582" s="8">
        <v>4.5229999999999999E-4</v>
      </c>
    </row>
    <row r="583" spans="1:4" x14ac:dyDescent="0.2">
      <c r="A583" s="1">
        <v>2019</v>
      </c>
      <c r="B583" s="1" t="s">
        <v>585</v>
      </c>
      <c r="C583" s="2">
        <v>1945030</v>
      </c>
      <c r="D583" s="8">
        <v>1.8961900000000001E-3</v>
      </c>
    </row>
    <row r="584" spans="1:4" x14ac:dyDescent="0.2">
      <c r="A584" s="1">
        <v>2019</v>
      </c>
      <c r="B584" s="1" t="s">
        <v>1084</v>
      </c>
      <c r="C584" s="2">
        <v>176248</v>
      </c>
      <c r="D584" s="8">
        <v>1.7181999999999999E-4</v>
      </c>
    </row>
    <row r="585" spans="1:4" x14ac:dyDescent="0.2">
      <c r="A585" s="1">
        <v>2019</v>
      </c>
      <c r="B585" s="1" t="s">
        <v>587</v>
      </c>
      <c r="C585" s="2">
        <v>1366660</v>
      </c>
      <c r="D585" s="8">
        <v>1.33234E-3</v>
      </c>
    </row>
    <row r="586" spans="1:4" x14ac:dyDescent="0.2">
      <c r="A586" s="1">
        <v>2019</v>
      </c>
      <c r="B586" s="1" t="s">
        <v>588</v>
      </c>
      <c r="C586" s="2">
        <v>3201213</v>
      </c>
      <c r="D586" s="8">
        <v>3.1208299999999998E-3</v>
      </c>
    </row>
    <row r="587" spans="1:4" x14ac:dyDescent="0.2">
      <c r="A587" s="1">
        <v>2019</v>
      </c>
      <c r="B587" s="1" t="s">
        <v>1085</v>
      </c>
      <c r="C587" s="2">
        <v>2351618</v>
      </c>
      <c r="D587" s="8">
        <v>2.2925699999999999E-3</v>
      </c>
    </row>
    <row r="588" spans="1:4" x14ac:dyDescent="0.2">
      <c r="A588" s="1">
        <v>2019</v>
      </c>
      <c r="B588" s="1" t="s">
        <v>590</v>
      </c>
      <c r="C588" s="2">
        <v>1440552</v>
      </c>
      <c r="D588" s="8">
        <v>1.40438E-3</v>
      </c>
    </row>
    <row r="589" spans="1:4" x14ac:dyDescent="0.2">
      <c r="A589" s="1">
        <v>2019</v>
      </c>
      <c r="B589" s="1" t="s">
        <v>591</v>
      </c>
      <c r="C589" s="2">
        <v>43720</v>
      </c>
      <c r="D589" s="8">
        <v>4.2620000000000002E-5</v>
      </c>
    </row>
    <row r="590" spans="1:4" x14ac:dyDescent="0.2">
      <c r="A590" s="1">
        <v>2019</v>
      </c>
      <c r="B590" s="1" t="s">
        <v>592</v>
      </c>
      <c r="C590" s="2">
        <v>3122563</v>
      </c>
      <c r="D590" s="8">
        <v>3.0441499999999998E-3</v>
      </c>
    </row>
    <row r="591" spans="1:4" x14ac:dyDescent="0.2">
      <c r="A591" s="1">
        <v>2019</v>
      </c>
      <c r="B591" s="1" t="s">
        <v>594</v>
      </c>
      <c r="C591" s="2">
        <v>534297</v>
      </c>
      <c r="D591" s="8">
        <v>5.2088000000000004E-4</v>
      </c>
    </row>
    <row r="592" spans="1:4" x14ac:dyDescent="0.2">
      <c r="A592" s="1">
        <v>2019</v>
      </c>
      <c r="B592" s="1" t="s">
        <v>595</v>
      </c>
      <c r="C592" s="2">
        <v>75456</v>
      </c>
      <c r="D592" s="8">
        <v>7.3559999999999994E-5</v>
      </c>
    </row>
    <row r="593" spans="1:4" x14ac:dyDescent="0.2">
      <c r="A593" s="1">
        <v>2019</v>
      </c>
      <c r="B593" s="1" t="s">
        <v>1086</v>
      </c>
      <c r="C593" s="2">
        <v>1033662</v>
      </c>
      <c r="D593" s="8">
        <v>1.00771E-3</v>
      </c>
    </row>
    <row r="594" spans="1:4" x14ac:dyDescent="0.2">
      <c r="A594" s="1">
        <v>2019</v>
      </c>
      <c r="B594" s="1" t="s">
        <v>1087</v>
      </c>
      <c r="C594" s="2">
        <v>386217</v>
      </c>
      <c r="D594" s="8">
        <v>3.7651999999999998E-4</v>
      </c>
    </row>
    <row r="595" spans="1:4" x14ac:dyDescent="0.2">
      <c r="A595" s="1">
        <v>2019</v>
      </c>
      <c r="B595" s="1" t="s">
        <v>598</v>
      </c>
      <c r="C595" s="2">
        <v>677457</v>
      </c>
      <c r="D595" s="8">
        <v>6.6045000000000003E-4</v>
      </c>
    </row>
    <row r="596" spans="1:4" x14ac:dyDescent="0.2">
      <c r="A596" s="1">
        <v>2019</v>
      </c>
      <c r="B596" s="1" t="s">
        <v>599</v>
      </c>
      <c r="C596" s="2">
        <v>3349445</v>
      </c>
      <c r="D596" s="8">
        <v>3.2653399999999998E-3</v>
      </c>
    </row>
    <row r="597" spans="1:4" x14ac:dyDescent="0.2">
      <c r="A597" s="1">
        <v>2019</v>
      </c>
      <c r="B597" s="1" t="s">
        <v>600</v>
      </c>
      <c r="C597" s="2">
        <v>508362</v>
      </c>
      <c r="D597" s="8">
        <v>4.9560000000000001E-4</v>
      </c>
    </row>
    <row r="598" spans="1:4" x14ac:dyDescent="0.2">
      <c r="A598" s="1">
        <v>2019</v>
      </c>
      <c r="B598" s="1" t="s">
        <v>601</v>
      </c>
      <c r="C598" s="2">
        <v>774196</v>
      </c>
      <c r="D598" s="8">
        <v>7.5476000000000004E-4</v>
      </c>
    </row>
    <row r="599" spans="1:4" x14ac:dyDescent="0.2">
      <c r="A599" s="1">
        <v>2019</v>
      </c>
      <c r="B599" s="1" t="s">
        <v>602</v>
      </c>
      <c r="C599" s="2">
        <v>26574</v>
      </c>
      <c r="D599" s="8">
        <v>2.5910000000000001E-5</v>
      </c>
    </row>
    <row r="600" spans="1:4" x14ac:dyDescent="0.2">
      <c r="A600" s="1">
        <v>2019</v>
      </c>
      <c r="B600" s="1" t="s">
        <v>603</v>
      </c>
      <c r="C600" s="2">
        <v>956015</v>
      </c>
      <c r="D600" s="8">
        <v>9.3201000000000004E-4</v>
      </c>
    </row>
    <row r="601" spans="1:4" x14ac:dyDescent="0.2">
      <c r="A601" s="1">
        <v>2019</v>
      </c>
      <c r="B601" s="1" t="s">
        <v>604</v>
      </c>
      <c r="C601" s="2">
        <v>91391</v>
      </c>
      <c r="D601" s="8">
        <v>8.9099999999999997E-5</v>
      </c>
    </row>
    <row r="602" spans="1:4" x14ac:dyDescent="0.2">
      <c r="A602" s="1">
        <v>2019</v>
      </c>
      <c r="B602" s="1" t="s">
        <v>605</v>
      </c>
      <c r="C602" s="2">
        <v>3292770</v>
      </c>
      <c r="D602" s="8">
        <v>3.2100900000000001E-3</v>
      </c>
    </row>
    <row r="603" spans="1:4" x14ac:dyDescent="0.2">
      <c r="A603" s="1">
        <v>2019</v>
      </c>
      <c r="B603" s="1" t="s">
        <v>606</v>
      </c>
      <c r="C603" s="2">
        <v>1169015</v>
      </c>
      <c r="D603" s="8">
        <v>1.13966E-3</v>
      </c>
    </row>
    <row r="604" spans="1:4" x14ac:dyDescent="0.2">
      <c r="A604" s="1">
        <v>2019</v>
      </c>
      <c r="B604" s="1" t="s">
        <v>607</v>
      </c>
      <c r="C604" s="2">
        <v>2392</v>
      </c>
      <c r="D604" s="8">
        <v>2.3300000000000001E-6</v>
      </c>
    </row>
    <row r="605" spans="1:4" x14ac:dyDescent="0.2">
      <c r="A605" s="1">
        <v>2019</v>
      </c>
      <c r="B605" s="1" t="s">
        <v>608</v>
      </c>
      <c r="C605" s="2">
        <v>64856</v>
      </c>
      <c r="D605" s="8">
        <v>6.3230000000000003E-5</v>
      </c>
    </row>
    <row r="606" spans="1:4" x14ac:dyDescent="0.2">
      <c r="A606" s="1">
        <v>2019</v>
      </c>
      <c r="B606" s="1" t="s">
        <v>609</v>
      </c>
      <c r="C606" s="2">
        <v>18875</v>
      </c>
      <c r="D606" s="8">
        <v>1.84E-5</v>
      </c>
    </row>
    <row r="607" spans="1:4" x14ac:dyDescent="0.2">
      <c r="A607" s="1">
        <v>2019</v>
      </c>
      <c r="B607" s="1" t="s">
        <v>610</v>
      </c>
      <c r="C607" s="2">
        <v>22268</v>
      </c>
      <c r="D607" s="8">
        <v>2.1710000000000001E-5</v>
      </c>
    </row>
    <row r="608" spans="1:4" x14ac:dyDescent="0.2">
      <c r="A608" s="1">
        <v>2019</v>
      </c>
      <c r="B608" s="1" t="s">
        <v>611</v>
      </c>
      <c r="C608" s="2">
        <v>35914</v>
      </c>
      <c r="D608" s="8">
        <v>3.5009999999999999E-5</v>
      </c>
    </row>
    <row r="609" spans="1:4" x14ac:dyDescent="0.2">
      <c r="A609" s="1">
        <v>2019</v>
      </c>
      <c r="B609" s="1" t="s">
        <v>612</v>
      </c>
      <c r="C609" s="2">
        <v>582489</v>
      </c>
      <c r="D609" s="8">
        <v>5.6786E-4</v>
      </c>
    </row>
    <row r="610" spans="1:4" x14ac:dyDescent="0.2">
      <c r="A610" s="1">
        <v>2019</v>
      </c>
      <c r="B610" s="1" t="s">
        <v>1088</v>
      </c>
      <c r="C610" s="2">
        <v>2535992</v>
      </c>
      <c r="D610" s="8">
        <v>2.4723100000000001E-3</v>
      </c>
    </row>
    <row r="611" spans="1:4" x14ac:dyDescent="0.2">
      <c r="A611" s="1">
        <v>2019</v>
      </c>
      <c r="B611" s="1" t="s">
        <v>1089</v>
      </c>
      <c r="C611" s="2">
        <v>728098</v>
      </c>
      <c r="D611" s="8">
        <v>7.0982E-4</v>
      </c>
    </row>
    <row r="612" spans="1:4" x14ac:dyDescent="0.2">
      <c r="A612" s="1">
        <v>2019</v>
      </c>
      <c r="B612" s="1" t="s">
        <v>890</v>
      </c>
      <c r="C612" s="2">
        <v>4410</v>
      </c>
      <c r="D612" s="8">
        <v>4.3000000000000003E-6</v>
      </c>
    </row>
    <row r="613" spans="1:4" x14ac:dyDescent="0.2">
      <c r="A613" s="1">
        <v>2019</v>
      </c>
      <c r="B613" s="1" t="s">
        <v>615</v>
      </c>
      <c r="C613" s="2">
        <v>21712</v>
      </c>
      <c r="D613" s="8">
        <v>2.1169999999999999E-5</v>
      </c>
    </row>
    <row r="614" spans="1:4" x14ac:dyDescent="0.2">
      <c r="A614" s="1">
        <v>2019</v>
      </c>
      <c r="B614" s="1" t="s">
        <v>616</v>
      </c>
      <c r="C614" s="2">
        <v>1870095</v>
      </c>
      <c r="D614" s="8">
        <v>1.82314E-3</v>
      </c>
    </row>
    <row r="615" spans="1:4" x14ac:dyDescent="0.2">
      <c r="A615" s="1">
        <v>2019</v>
      </c>
      <c r="B615" s="1" t="s">
        <v>617</v>
      </c>
      <c r="C615" s="2">
        <v>176544</v>
      </c>
      <c r="D615" s="8">
        <v>1.7211E-4</v>
      </c>
    </row>
    <row r="616" spans="1:4" x14ac:dyDescent="0.2">
      <c r="A616" s="1">
        <v>2019</v>
      </c>
      <c r="B616" s="1" t="s">
        <v>618</v>
      </c>
      <c r="C616" s="2">
        <v>1672534</v>
      </c>
      <c r="D616" s="8">
        <v>1.63054E-3</v>
      </c>
    </row>
    <row r="617" spans="1:4" x14ac:dyDescent="0.2">
      <c r="A617" s="1">
        <v>2019</v>
      </c>
      <c r="B617" s="1" t="s">
        <v>1090</v>
      </c>
      <c r="C617" s="2">
        <v>449256</v>
      </c>
      <c r="D617" s="8">
        <v>4.3797999999999998E-4</v>
      </c>
    </row>
    <row r="618" spans="1:4" x14ac:dyDescent="0.2">
      <c r="A618" s="1">
        <v>2019</v>
      </c>
      <c r="B618" s="1" t="s">
        <v>620</v>
      </c>
      <c r="C618" s="2">
        <v>130466</v>
      </c>
      <c r="D618" s="8">
        <v>1.2719000000000001E-4</v>
      </c>
    </row>
    <row r="619" spans="1:4" x14ac:dyDescent="0.2">
      <c r="A619" s="1">
        <v>2019</v>
      </c>
      <c r="B619" s="1" t="s">
        <v>621</v>
      </c>
      <c r="C619" s="2">
        <v>13646</v>
      </c>
      <c r="D619" s="8">
        <v>1.33E-5</v>
      </c>
    </row>
    <row r="620" spans="1:4" x14ac:dyDescent="0.2">
      <c r="A620" s="1">
        <v>2019</v>
      </c>
      <c r="B620" s="1" t="s">
        <v>1091</v>
      </c>
      <c r="C620" s="2">
        <v>1970314</v>
      </c>
      <c r="D620" s="8">
        <v>1.92084E-3</v>
      </c>
    </row>
    <row r="621" spans="1:4" x14ac:dyDescent="0.2">
      <c r="A621" s="1">
        <v>2019</v>
      </c>
      <c r="B621" s="1" t="s">
        <v>1092</v>
      </c>
      <c r="C621" s="2">
        <v>596968</v>
      </c>
      <c r="D621" s="8">
        <v>5.8197999999999995E-4</v>
      </c>
    </row>
    <row r="622" spans="1:4" x14ac:dyDescent="0.2">
      <c r="A622" s="1">
        <v>2019</v>
      </c>
      <c r="B622" s="1" t="s">
        <v>891</v>
      </c>
      <c r="C622" s="2">
        <v>1455</v>
      </c>
      <c r="D622" s="8">
        <v>1.42E-6</v>
      </c>
    </row>
    <row r="623" spans="1:4" x14ac:dyDescent="0.2">
      <c r="A623" s="1">
        <v>2019</v>
      </c>
      <c r="B623" s="1" t="s">
        <v>624</v>
      </c>
      <c r="C623" s="2">
        <v>87613</v>
      </c>
      <c r="D623" s="8">
        <v>8.5409999999999997E-5</v>
      </c>
    </row>
    <row r="624" spans="1:4" x14ac:dyDescent="0.2">
      <c r="A624" s="1">
        <v>2019</v>
      </c>
      <c r="B624" s="1" t="s">
        <v>625</v>
      </c>
      <c r="C624" s="2">
        <v>42549</v>
      </c>
      <c r="D624" s="8">
        <v>4.1480000000000003E-5</v>
      </c>
    </row>
    <row r="625" spans="1:4" x14ac:dyDescent="0.2">
      <c r="A625" s="1">
        <v>2019</v>
      </c>
      <c r="B625" s="1" t="s">
        <v>626</v>
      </c>
      <c r="C625" s="2">
        <v>46768</v>
      </c>
      <c r="D625" s="8">
        <v>4.5590000000000002E-5</v>
      </c>
    </row>
    <row r="626" spans="1:4" x14ac:dyDescent="0.2">
      <c r="A626" s="1">
        <v>2019</v>
      </c>
      <c r="B626" s="1" t="s">
        <v>627</v>
      </c>
      <c r="C626" s="2">
        <v>1220255</v>
      </c>
      <c r="D626" s="8">
        <v>1.18961E-3</v>
      </c>
    </row>
    <row r="627" spans="1:4" x14ac:dyDescent="0.2">
      <c r="A627" s="1">
        <v>2019</v>
      </c>
      <c r="B627" s="1" t="s">
        <v>1093</v>
      </c>
      <c r="C627" s="2">
        <v>672226</v>
      </c>
      <c r="D627" s="8">
        <v>6.5534999999999996E-4</v>
      </c>
    </row>
    <row r="628" spans="1:4" x14ac:dyDescent="0.2">
      <c r="A628" s="1">
        <v>2019</v>
      </c>
      <c r="B628" s="1" t="s">
        <v>629</v>
      </c>
      <c r="C628" s="2">
        <v>15188</v>
      </c>
      <c r="D628" s="8">
        <v>1.4810000000000001E-5</v>
      </c>
    </row>
    <row r="629" spans="1:4" x14ac:dyDescent="0.2">
      <c r="A629" s="1">
        <v>2019</v>
      </c>
      <c r="B629" s="1" t="s">
        <v>630</v>
      </c>
      <c r="C629" s="2">
        <v>154877</v>
      </c>
      <c r="D629" s="8">
        <v>1.5098999999999999E-4</v>
      </c>
    </row>
    <row r="630" spans="1:4" x14ac:dyDescent="0.2">
      <c r="A630" s="1">
        <v>2019</v>
      </c>
      <c r="B630" s="1" t="s">
        <v>1094</v>
      </c>
      <c r="C630" s="2">
        <v>1090755</v>
      </c>
      <c r="D630" s="8">
        <v>1.0633699999999999E-3</v>
      </c>
    </row>
    <row r="631" spans="1:4" x14ac:dyDescent="0.2">
      <c r="A631" s="1">
        <v>2019</v>
      </c>
      <c r="B631" s="1" t="s">
        <v>1095</v>
      </c>
      <c r="C631" s="2">
        <v>433811</v>
      </c>
      <c r="D631" s="8">
        <v>4.2292000000000002E-4</v>
      </c>
    </row>
    <row r="632" spans="1:4" x14ac:dyDescent="0.2">
      <c r="A632" s="1">
        <v>2019</v>
      </c>
      <c r="B632" s="1" t="s">
        <v>633</v>
      </c>
      <c r="C632" s="2">
        <v>1507912</v>
      </c>
      <c r="D632" s="8">
        <v>1.4700500000000001E-3</v>
      </c>
    </row>
    <row r="633" spans="1:4" x14ac:dyDescent="0.2">
      <c r="A633" s="1">
        <v>2019</v>
      </c>
      <c r="B633" s="1" t="s">
        <v>634</v>
      </c>
      <c r="C633" s="2">
        <v>45817</v>
      </c>
      <c r="D633" s="8">
        <v>4.4669999999999998E-5</v>
      </c>
    </row>
    <row r="634" spans="1:4" x14ac:dyDescent="0.2">
      <c r="A634" s="1">
        <v>2019</v>
      </c>
      <c r="B634" s="1" t="s">
        <v>1096</v>
      </c>
      <c r="C634" s="2">
        <v>15542802</v>
      </c>
      <c r="D634" s="8">
        <v>1.5152519999999999E-2</v>
      </c>
    </row>
    <row r="635" spans="1:4" x14ac:dyDescent="0.2">
      <c r="A635" s="1">
        <v>2019</v>
      </c>
      <c r="B635" s="1" t="s">
        <v>1097</v>
      </c>
      <c r="C635" s="2">
        <v>3212758</v>
      </c>
      <c r="D635" s="8">
        <v>3.1320800000000002E-3</v>
      </c>
    </row>
    <row r="636" spans="1:4" x14ac:dyDescent="0.2">
      <c r="A636" s="1">
        <v>2019</v>
      </c>
      <c r="B636" s="1" t="s">
        <v>892</v>
      </c>
      <c r="C636" s="2">
        <v>66494</v>
      </c>
      <c r="D636" s="8">
        <v>6.4820000000000006E-5</v>
      </c>
    </row>
    <row r="637" spans="1:4" x14ac:dyDescent="0.2">
      <c r="A637" s="1">
        <v>2019</v>
      </c>
      <c r="B637" s="1" t="s">
        <v>637</v>
      </c>
      <c r="C637" s="2">
        <v>20600</v>
      </c>
      <c r="D637" s="8">
        <v>2.0080000000000001E-5</v>
      </c>
    </row>
    <row r="638" spans="1:4" x14ac:dyDescent="0.2">
      <c r="A638" s="1">
        <v>2019</v>
      </c>
      <c r="B638" s="1" t="s">
        <v>638</v>
      </c>
      <c r="C638" s="2">
        <v>102315</v>
      </c>
      <c r="D638" s="8">
        <v>9.9749999999999999E-5</v>
      </c>
    </row>
    <row r="639" spans="1:4" x14ac:dyDescent="0.2">
      <c r="A639" s="1">
        <v>2019</v>
      </c>
      <c r="B639" s="1" t="s">
        <v>639</v>
      </c>
      <c r="C639" s="2">
        <v>101930</v>
      </c>
      <c r="D639" s="8">
        <v>9.9370000000000006E-5</v>
      </c>
    </row>
    <row r="640" spans="1:4" x14ac:dyDescent="0.2">
      <c r="A640" s="1">
        <v>2019</v>
      </c>
      <c r="B640" s="1" t="s">
        <v>640</v>
      </c>
      <c r="C640" s="2">
        <v>5404862</v>
      </c>
      <c r="D640" s="8">
        <v>5.2691400000000003E-3</v>
      </c>
    </row>
    <row r="641" spans="1:4" x14ac:dyDescent="0.2">
      <c r="A641" s="1">
        <v>2019</v>
      </c>
      <c r="B641" s="1" t="s">
        <v>1098</v>
      </c>
      <c r="C641" s="2">
        <v>182103</v>
      </c>
      <c r="D641" s="8">
        <v>1.7752999999999999E-4</v>
      </c>
    </row>
    <row r="642" spans="1:4" x14ac:dyDescent="0.2">
      <c r="A642" s="1">
        <v>2019</v>
      </c>
      <c r="B642" s="1" t="s">
        <v>642</v>
      </c>
      <c r="C642" s="2">
        <v>858716</v>
      </c>
      <c r="D642" s="8">
        <v>8.3715000000000005E-4</v>
      </c>
    </row>
    <row r="643" spans="1:4" x14ac:dyDescent="0.2">
      <c r="A643" s="1">
        <v>2019</v>
      </c>
      <c r="B643" s="1" t="s">
        <v>643</v>
      </c>
      <c r="C643" s="2">
        <v>529235</v>
      </c>
      <c r="D643" s="8">
        <v>5.1595000000000005E-4</v>
      </c>
    </row>
    <row r="644" spans="1:4" x14ac:dyDescent="0.2">
      <c r="A644" s="1">
        <v>2019</v>
      </c>
      <c r="B644" s="1" t="s">
        <v>644</v>
      </c>
      <c r="C644" s="2">
        <v>53780</v>
      </c>
      <c r="D644" s="8">
        <v>5.2429999999999998E-5</v>
      </c>
    </row>
    <row r="645" spans="1:4" x14ac:dyDescent="0.2">
      <c r="A645" s="1">
        <v>2019</v>
      </c>
      <c r="B645" s="1" t="s">
        <v>645</v>
      </c>
      <c r="C645" s="2">
        <v>1808662</v>
      </c>
      <c r="D645" s="8">
        <v>1.7632500000000001E-3</v>
      </c>
    </row>
    <row r="646" spans="1:4" x14ac:dyDescent="0.2">
      <c r="A646" s="1">
        <v>2019</v>
      </c>
      <c r="B646" s="1" t="s">
        <v>646</v>
      </c>
      <c r="C646" s="2">
        <v>55361</v>
      </c>
      <c r="D646" s="8">
        <v>5.397E-5</v>
      </c>
    </row>
    <row r="647" spans="1:4" x14ac:dyDescent="0.2">
      <c r="A647" s="1">
        <v>2019</v>
      </c>
      <c r="B647" s="1" t="s">
        <v>647</v>
      </c>
      <c r="C647" s="2">
        <v>269760</v>
      </c>
      <c r="D647" s="8">
        <v>2.6299E-4</v>
      </c>
    </row>
    <row r="648" spans="1:4" x14ac:dyDescent="0.2">
      <c r="A648" s="1">
        <v>2019</v>
      </c>
      <c r="B648" s="1" t="s">
        <v>648</v>
      </c>
      <c r="C648" s="2">
        <v>130398</v>
      </c>
      <c r="D648" s="8">
        <v>1.2711999999999999E-4</v>
      </c>
    </row>
    <row r="649" spans="1:4" x14ac:dyDescent="0.2">
      <c r="A649" s="1">
        <v>2019</v>
      </c>
      <c r="B649" s="1" t="s">
        <v>649</v>
      </c>
      <c r="C649" s="2">
        <v>48405</v>
      </c>
      <c r="D649" s="8">
        <v>4.7190000000000001E-5</v>
      </c>
    </row>
    <row r="650" spans="1:4" x14ac:dyDescent="0.2">
      <c r="A650" s="1">
        <v>2019</v>
      </c>
      <c r="B650" s="1" t="s">
        <v>650</v>
      </c>
      <c r="C650" s="2">
        <v>50257</v>
      </c>
      <c r="D650" s="8">
        <v>4.8989999999999997E-5</v>
      </c>
    </row>
    <row r="651" spans="1:4" x14ac:dyDescent="0.2">
      <c r="A651" s="1">
        <v>2019</v>
      </c>
      <c r="B651" s="1" t="s">
        <v>651</v>
      </c>
      <c r="C651" s="2">
        <v>17048</v>
      </c>
      <c r="D651" s="8">
        <v>1.662E-5</v>
      </c>
    </row>
    <row r="652" spans="1:4" x14ac:dyDescent="0.2">
      <c r="A652" s="1">
        <v>2019</v>
      </c>
      <c r="B652" s="1" t="s">
        <v>652</v>
      </c>
      <c r="C652" s="2">
        <v>109513</v>
      </c>
      <c r="D652" s="8">
        <v>1.0676E-4</v>
      </c>
    </row>
    <row r="653" spans="1:4" x14ac:dyDescent="0.2">
      <c r="A653" s="1">
        <v>2019</v>
      </c>
      <c r="B653" s="1" t="s">
        <v>1099</v>
      </c>
      <c r="C653" s="2">
        <v>12075</v>
      </c>
      <c r="D653" s="8">
        <v>1.1770000000000001E-5</v>
      </c>
    </row>
    <row r="654" spans="1:4" x14ac:dyDescent="0.2">
      <c r="A654" s="1">
        <v>2019</v>
      </c>
      <c r="B654" s="1" t="s">
        <v>654</v>
      </c>
      <c r="C654" s="2">
        <v>212472</v>
      </c>
      <c r="D654" s="8">
        <v>2.0714E-4</v>
      </c>
    </row>
    <row r="655" spans="1:4" x14ac:dyDescent="0.2">
      <c r="A655" s="1">
        <v>2019</v>
      </c>
      <c r="B655" s="1" t="s">
        <v>655</v>
      </c>
      <c r="C655" s="2">
        <v>94214</v>
      </c>
      <c r="D655" s="8">
        <v>9.1849999999999996E-5</v>
      </c>
    </row>
    <row r="656" spans="1:4" x14ac:dyDescent="0.2">
      <c r="A656" s="1">
        <v>2019</v>
      </c>
      <c r="B656" s="1" t="s">
        <v>656</v>
      </c>
      <c r="C656" s="2">
        <v>18337</v>
      </c>
      <c r="D656" s="8">
        <v>1.7880000000000002E-5</v>
      </c>
    </row>
    <row r="657" spans="1:4" x14ac:dyDescent="0.2">
      <c r="A657" s="1">
        <v>2019</v>
      </c>
      <c r="B657" s="1" t="s">
        <v>657</v>
      </c>
      <c r="C657" s="2">
        <v>33456</v>
      </c>
      <c r="D657" s="8">
        <v>3.2620000000000003E-5</v>
      </c>
    </row>
    <row r="658" spans="1:4" x14ac:dyDescent="0.2">
      <c r="A658" s="1">
        <v>2019</v>
      </c>
      <c r="B658" s="1" t="s">
        <v>1100</v>
      </c>
      <c r="C658" s="2">
        <v>3009651</v>
      </c>
      <c r="D658" s="8">
        <v>2.9340799999999999E-3</v>
      </c>
    </row>
    <row r="659" spans="1:4" x14ac:dyDescent="0.2">
      <c r="A659" s="1">
        <v>2019</v>
      </c>
      <c r="B659" s="1" t="s">
        <v>1101</v>
      </c>
      <c r="C659" s="2">
        <v>700867</v>
      </c>
      <c r="D659" s="8">
        <v>6.8327000000000004E-4</v>
      </c>
    </row>
    <row r="660" spans="1:4" x14ac:dyDescent="0.2">
      <c r="A660" s="1">
        <v>2019</v>
      </c>
      <c r="B660" s="1" t="s">
        <v>660</v>
      </c>
      <c r="C660" s="2">
        <v>18834</v>
      </c>
      <c r="D660" s="8">
        <v>1.836E-5</v>
      </c>
    </row>
    <row r="661" spans="1:4" x14ac:dyDescent="0.2">
      <c r="A661" s="1">
        <v>2019</v>
      </c>
      <c r="B661" s="1" t="s">
        <v>661</v>
      </c>
      <c r="C661" s="2">
        <v>19492</v>
      </c>
      <c r="D661" s="8">
        <v>1.9000000000000001E-5</v>
      </c>
    </row>
    <row r="662" spans="1:4" x14ac:dyDescent="0.2">
      <c r="A662" s="1">
        <v>2019</v>
      </c>
      <c r="B662" s="1" t="s">
        <v>662</v>
      </c>
      <c r="C662" s="2">
        <v>765096</v>
      </c>
      <c r="D662" s="8">
        <v>7.4587999999999998E-4</v>
      </c>
    </row>
    <row r="663" spans="1:4" x14ac:dyDescent="0.2">
      <c r="A663" s="1">
        <v>2019</v>
      </c>
      <c r="B663" s="1" t="s">
        <v>663</v>
      </c>
      <c r="C663" s="2">
        <v>11578</v>
      </c>
      <c r="D663" s="8">
        <v>1.129E-5</v>
      </c>
    </row>
    <row r="664" spans="1:4" x14ac:dyDescent="0.2">
      <c r="A664" s="1">
        <v>2019</v>
      </c>
      <c r="B664" s="1" t="s">
        <v>664</v>
      </c>
      <c r="C664" s="2">
        <v>498313</v>
      </c>
      <c r="D664" s="8">
        <v>4.8579999999999999E-4</v>
      </c>
    </row>
    <row r="665" spans="1:4" x14ac:dyDescent="0.2">
      <c r="A665" s="1">
        <v>2019</v>
      </c>
      <c r="B665" s="1" t="s">
        <v>665</v>
      </c>
      <c r="C665" s="2">
        <v>36018</v>
      </c>
      <c r="D665" s="8">
        <v>3.5110000000000001E-5</v>
      </c>
    </row>
    <row r="666" spans="1:4" x14ac:dyDescent="0.2">
      <c r="A666" s="1">
        <v>2019</v>
      </c>
      <c r="B666" s="1" t="s">
        <v>666</v>
      </c>
      <c r="C666" s="2">
        <v>1399103</v>
      </c>
      <c r="D666" s="8">
        <v>1.3639699999999999E-3</v>
      </c>
    </row>
    <row r="667" spans="1:4" x14ac:dyDescent="0.2">
      <c r="A667" s="1">
        <v>2019</v>
      </c>
      <c r="B667" s="1" t="s">
        <v>667</v>
      </c>
      <c r="C667" s="2">
        <v>60206</v>
      </c>
      <c r="D667" s="8">
        <v>5.8690000000000002E-5</v>
      </c>
    </row>
    <row r="668" spans="1:4" x14ac:dyDescent="0.2">
      <c r="A668" s="1">
        <v>2019</v>
      </c>
      <c r="B668" s="1" t="s">
        <v>1102</v>
      </c>
      <c r="C668" s="2">
        <v>265072</v>
      </c>
      <c r="D668" s="8">
        <v>2.5841999999999998E-4</v>
      </c>
    </row>
    <row r="669" spans="1:4" x14ac:dyDescent="0.2">
      <c r="A669" s="1">
        <v>2019</v>
      </c>
      <c r="B669" s="1" t="s">
        <v>669</v>
      </c>
      <c r="C669" s="2">
        <v>13677</v>
      </c>
      <c r="D669" s="8">
        <v>1.3329999999999999E-5</v>
      </c>
    </row>
    <row r="670" spans="1:4" x14ac:dyDescent="0.2">
      <c r="A670" s="1">
        <v>2019</v>
      </c>
      <c r="B670" s="1" t="s">
        <v>670</v>
      </c>
      <c r="C670" s="2">
        <v>45823</v>
      </c>
      <c r="D670" s="8">
        <v>4.4669999999999998E-5</v>
      </c>
    </row>
    <row r="671" spans="1:4" x14ac:dyDescent="0.2">
      <c r="A671" s="1">
        <v>2019</v>
      </c>
      <c r="B671" s="1" t="s">
        <v>671</v>
      </c>
      <c r="C671" s="2">
        <v>55666</v>
      </c>
      <c r="D671" s="8">
        <v>5.427E-5</v>
      </c>
    </row>
    <row r="672" spans="1:4" x14ac:dyDescent="0.2">
      <c r="A672" s="1">
        <v>2019</v>
      </c>
      <c r="B672" s="1" t="s">
        <v>672</v>
      </c>
      <c r="C672" s="2">
        <v>6070</v>
      </c>
      <c r="D672" s="8">
        <v>5.9200000000000001E-6</v>
      </c>
    </row>
    <row r="673" spans="1:4" x14ac:dyDescent="0.2">
      <c r="A673" s="1">
        <v>2019</v>
      </c>
      <c r="B673" s="1" t="s">
        <v>673</v>
      </c>
      <c r="C673" s="2">
        <v>58099</v>
      </c>
      <c r="D673" s="8">
        <v>5.664E-5</v>
      </c>
    </row>
    <row r="674" spans="1:4" x14ac:dyDescent="0.2">
      <c r="A674" s="1">
        <v>2019</v>
      </c>
      <c r="B674" s="1" t="s">
        <v>674</v>
      </c>
      <c r="C674" s="2">
        <v>13233</v>
      </c>
      <c r="D674" s="8">
        <v>1.29E-5</v>
      </c>
    </row>
    <row r="675" spans="1:4" x14ac:dyDescent="0.2">
      <c r="A675" s="1">
        <v>2019</v>
      </c>
      <c r="B675" s="1" t="s">
        <v>675</v>
      </c>
      <c r="C675" s="2">
        <v>22450</v>
      </c>
      <c r="D675" s="8">
        <v>2.1889999999999999E-5</v>
      </c>
    </row>
    <row r="676" spans="1:4" x14ac:dyDescent="0.2">
      <c r="A676" s="1">
        <v>2019</v>
      </c>
      <c r="B676" s="1" t="s">
        <v>676</v>
      </c>
      <c r="C676" s="2">
        <v>1087</v>
      </c>
      <c r="D676" s="8">
        <v>1.06E-6</v>
      </c>
    </row>
    <row r="677" spans="1:4" x14ac:dyDescent="0.2">
      <c r="A677" s="1">
        <v>2019</v>
      </c>
      <c r="B677" s="1" t="s">
        <v>1103</v>
      </c>
      <c r="C677" s="2">
        <v>2814013</v>
      </c>
      <c r="D677" s="8">
        <v>2.7433499999999999E-3</v>
      </c>
    </row>
    <row r="678" spans="1:4" x14ac:dyDescent="0.2">
      <c r="A678" s="1">
        <v>2019</v>
      </c>
      <c r="B678" s="1" t="s">
        <v>1104</v>
      </c>
      <c r="C678" s="2">
        <v>849895</v>
      </c>
      <c r="D678" s="8">
        <v>8.2854999999999995E-4</v>
      </c>
    </row>
    <row r="679" spans="1:4" x14ac:dyDescent="0.2">
      <c r="A679" s="1">
        <v>2019</v>
      </c>
      <c r="B679" s="1" t="s">
        <v>679</v>
      </c>
      <c r="C679" s="2">
        <v>4386</v>
      </c>
      <c r="D679" s="8">
        <v>4.2799999999999997E-6</v>
      </c>
    </row>
    <row r="680" spans="1:4" x14ac:dyDescent="0.2">
      <c r="A680" s="1">
        <v>2019</v>
      </c>
      <c r="B680" s="1" t="s">
        <v>680</v>
      </c>
      <c r="C680" s="2">
        <v>661526</v>
      </c>
      <c r="D680" s="8">
        <v>6.4492E-4</v>
      </c>
    </row>
    <row r="681" spans="1:4" x14ac:dyDescent="0.2">
      <c r="A681" s="1">
        <v>2019</v>
      </c>
      <c r="B681" s="1" t="s">
        <v>681</v>
      </c>
      <c r="C681" s="2">
        <v>3969</v>
      </c>
      <c r="D681" s="8">
        <v>3.8700000000000002E-6</v>
      </c>
    </row>
    <row r="682" spans="1:4" x14ac:dyDescent="0.2">
      <c r="A682" s="1">
        <v>2019</v>
      </c>
      <c r="B682" s="1" t="s">
        <v>1105</v>
      </c>
      <c r="C682" s="2">
        <v>1984605</v>
      </c>
      <c r="D682" s="8">
        <v>1.9347699999999999E-3</v>
      </c>
    </row>
    <row r="683" spans="1:4" x14ac:dyDescent="0.2">
      <c r="A683" s="1">
        <v>2019</v>
      </c>
      <c r="B683" s="1" t="s">
        <v>1106</v>
      </c>
      <c r="C683" s="2">
        <v>454556</v>
      </c>
      <c r="D683" s="8">
        <v>4.4314000000000002E-4</v>
      </c>
    </row>
    <row r="684" spans="1:4" x14ac:dyDescent="0.2">
      <c r="A684" s="1">
        <v>2019</v>
      </c>
      <c r="B684" s="1" t="s">
        <v>684</v>
      </c>
      <c r="C684" s="2">
        <v>34156</v>
      </c>
      <c r="D684" s="8">
        <v>3.3300000000000003E-5</v>
      </c>
    </row>
    <row r="685" spans="1:4" x14ac:dyDescent="0.2">
      <c r="A685" s="1">
        <v>2019</v>
      </c>
      <c r="B685" s="1" t="s">
        <v>685</v>
      </c>
      <c r="C685" s="2">
        <v>1299960</v>
      </c>
      <c r="D685" s="8">
        <v>1.2673199999999999E-3</v>
      </c>
    </row>
    <row r="686" spans="1:4" x14ac:dyDescent="0.2">
      <c r="A686" s="1">
        <v>2019</v>
      </c>
      <c r="B686" s="1" t="s">
        <v>686</v>
      </c>
      <c r="C686" s="2">
        <v>8184</v>
      </c>
      <c r="D686" s="8">
        <v>7.9799999999999998E-6</v>
      </c>
    </row>
    <row r="687" spans="1:4" x14ac:dyDescent="0.2">
      <c r="A687" s="1">
        <v>2019</v>
      </c>
      <c r="B687" s="1" t="s">
        <v>687</v>
      </c>
      <c r="C687" s="2">
        <v>151909</v>
      </c>
      <c r="D687" s="8">
        <v>1.4809E-4</v>
      </c>
    </row>
    <row r="688" spans="1:4" x14ac:dyDescent="0.2">
      <c r="A688" s="1">
        <v>2019</v>
      </c>
      <c r="B688" s="1" t="s">
        <v>688</v>
      </c>
      <c r="C688" s="2">
        <v>820384</v>
      </c>
      <c r="D688" s="8">
        <v>7.9978000000000004E-4</v>
      </c>
    </row>
    <row r="689" spans="1:4" x14ac:dyDescent="0.2">
      <c r="A689" s="1">
        <v>2019</v>
      </c>
      <c r="B689" s="1" t="s">
        <v>1107</v>
      </c>
      <c r="C689" s="2">
        <v>139717</v>
      </c>
      <c r="D689" s="8">
        <v>1.3621E-4</v>
      </c>
    </row>
    <row r="690" spans="1:4" x14ac:dyDescent="0.2">
      <c r="A690" s="1">
        <v>2019</v>
      </c>
      <c r="B690" s="1" t="s">
        <v>690</v>
      </c>
      <c r="C690" s="2">
        <v>32208</v>
      </c>
      <c r="D690" s="8">
        <v>3.1399999999999998E-5</v>
      </c>
    </row>
    <row r="691" spans="1:4" x14ac:dyDescent="0.2">
      <c r="A691" s="1">
        <v>2019</v>
      </c>
      <c r="B691" s="1" t="s">
        <v>1108</v>
      </c>
      <c r="C691" s="2">
        <v>63456</v>
      </c>
      <c r="D691" s="8">
        <v>6.1859999999999994E-5</v>
      </c>
    </row>
    <row r="692" spans="1:4" x14ac:dyDescent="0.2">
      <c r="A692" s="1">
        <v>2019</v>
      </c>
      <c r="B692" s="1" t="s">
        <v>691</v>
      </c>
      <c r="C692" s="2">
        <v>35452</v>
      </c>
      <c r="D692" s="8">
        <v>3.4560000000000001E-5</v>
      </c>
    </row>
    <row r="693" spans="1:4" x14ac:dyDescent="0.2">
      <c r="A693" s="1">
        <v>2019</v>
      </c>
      <c r="B693" s="1" t="s">
        <v>1109</v>
      </c>
      <c r="C693" s="2">
        <v>3515531</v>
      </c>
      <c r="D693" s="8">
        <v>3.4272500000000002E-3</v>
      </c>
    </row>
    <row r="694" spans="1:4" x14ac:dyDescent="0.2">
      <c r="A694" s="1">
        <v>2019</v>
      </c>
      <c r="B694" s="1" t="s">
        <v>693</v>
      </c>
      <c r="C694" s="2">
        <v>1517251</v>
      </c>
      <c r="D694" s="8">
        <v>1.47915E-3</v>
      </c>
    </row>
    <row r="695" spans="1:4" x14ac:dyDescent="0.2">
      <c r="A695" s="1">
        <v>2019</v>
      </c>
      <c r="B695" s="1" t="s">
        <v>1110</v>
      </c>
      <c r="C695" s="2">
        <v>2281785</v>
      </c>
      <c r="D695" s="8">
        <v>2.22449E-3</v>
      </c>
    </row>
    <row r="696" spans="1:4" x14ac:dyDescent="0.2">
      <c r="A696" s="1">
        <v>2019</v>
      </c>
      <c r="B696" s="1" t="s">
        <v>695</v>
      </c>
      <c r="C696" s="2">
        <v>3538592</v>
      </c>
      <c r="D696" s="8">
        <v>3.4497400000000002E-3</v>
      </c>
    </row>
    <row r="697" spans="1:4" x14ac:dyDescent="0.2">
      <c r="A697" s="1">
        <v>2019</v>
      </c>
      <c r="B697" s="1" t="s">
        <v>696</v>
      </c>
      <c r="C697" s="2">
        <v>1499728</v>
      </c>
      <c r="D697" s="8">
        <v>1.46207E-3</v>
      </c>
    </row>
    <row r="698" spans="1:4" x14ac:dyDescent="0.2">
      <c r="A698" s="1">
        <v>2019</v>
      </c>
      <c r="B698" s="1" t="s">
        <v>697</v>
      </c>
      <c r="C698" s="2">
        <v>423546</v>
      </c>
      <c r="D698" s="8">
        <v>4.1291E-4</v>
      </c>
    </row>
    <row r="699" spans="1:4" x14ac:dyDescent="0.2">
      <c r="A699" s="1">
        <v>2019</v>
      </c>
      <c r="B699" s="1" t="s">
        <v>698</v>
      </c>
      <c r="C699" s="2">
        <v>51804</v>
      </c>
      <c r="D699" s="8">
        <v>5.0500000000000001E-5</v>
      </c>
    </row>
    <row r="700" spans="1:4" x14ac:dyDescent="0.2">
      <c r="A700" s="1">
        <v>2019</v>
      </c>
      <c r="B700" s="1" t="s">
        <v>1111</v>
      </c>
      <c r="C700" s="2">
        <v>4745738</v>
      </c>
      <c r="D700" s="8">
        <v>4.62657E-3</v>
      </c>
    </row>
    <row r="701" spans="1:4" x14ac:dyDescent="0.2">
      <c r="A701" s="1">
        <v>2019</v>
      </c>
      <c r="B701" s="1" t="s">
        <v>700</v>
      </c>
      <c r="C701" s="2">
        <v>423763</v>
      </c>
      <c r="D701" s="8">
        <v>4.1312E-4</v>
      </c>
    </row>
    <row r="702" spans="1:4" x14ac:dyDescent="0.2">
      <c r="A702" s="1">
        <v>2019</v>
      </c>
      <c r="B702" s="1" t="s">
        <v>701</v>
      </c>
      <c r="C702" s="2">
        <v>18445</v>
      </c>
      <c r="D702" s="8">
        <v>1.7980000000000001E-5</v>
      </c>
    </row>
    <row r="703" spans="1:4" x14ac:dyDescent="0.2">
      <c r="A703" s="1">
        <v>2019</v>
      </c>
      <c r="B703" s="1" t="s">
        <v>702</v>
      </c>
      <c r="C703" s="2">
        <v>41200</v>
      </c>
      <c r="D703" s="8">
        <v>4.0170000000000003E-5</v>
      </c>
    </row>
    <row r="704" spans="1:4" x14ac:dyDescent="0.2">
      <c r="A704" s="1">
        <v>2019</v>
      </c>
      <c r="B704" s="1" t="s">
        <v>703</v>
      </c>
      <c r="C704" s="2">
        <v>11112563</v>
      </c>
      <c r="D704" s="8">
        <v>1.0833519999999999E-2</v>
      </c>
    </row>
    <row r="705" spans="1:4" x14ac:dyDescent="0.2">
      <c r="A705" s="1">
        <v>2019</v>
      </c>
      <c r="B705" s="1" t="s">
        <v>704</v>
      </c>
      <c r="C705" s="2">
        <v>435977</v>
      </c>
      <c r="D705" s="8">
        <v>4.2503000000000001E-4</v>
      </c>
    </row>
    <row r="706" spans="1:4" x14ac:dyDescent="0.2">
      <c r="A706" s="1">
        <v>2019</v>
      </c>
      <c r="B706" s="1" t="s">
        <v>705</v>
      </c>
      <c r="C706" s="2">
        <v>1054717</v>
      </c>
      <c r="D706" s="8">
        <v>1.02823E-3</v>
      </c>
    </row>
    <row r="707" spans="1:4" x14ac:dyDescent="0.2">
      <c r="A707" s="1">
        <v>2019</v>
      </c>
      <c r="B707" s="1" t="s">
        <v>706</v>
      </c>
      <c r="C707" s="2">
        <v>36709</v>
      </c>
      <c r="D707" s="8">
        <v>3.5790000000000001E-5</v>
      </c>
    </row>
    <row r="708" spans="1:4" x14ac:dyDescent="0.2">
      <c r="A708" s="1">
        <v>2019</v>
      </c>
      <c r="B708" s="1" t="s">
        <v>707</v>
      </c>
      <c r="C708" s="2">
        <v>96922</v>
      </c>
      <c r="D708" s="8">
        <v>9.4489999999999998E-5</v>
      </c>
    </row>
    <row r="709" spans="1:4" x14ac:dyDescent="0.2">
      <c r="A709" s="1">
        <v>2019</v>
      </c>
      <c r="B709" s="1" t="s">
        <v>708</v>
      </c>
      <c r="C709" s="2">
        <v>2673863</v>
      </c>
      <c r="D709" s="8">
        <v>2.6067199999999999E-3</v>
      </c>
    </row>
    <row r="710" spans="1:4" x14ac:dyDescent="0.2">
      <c r="A710" s="1">
        <v>2019</v>
      </c>
      <c r="B710" s="1" t="s">
        <v>1112</v>
      </c>
      <c r="C710" s="2">
        <v>2029797</v>
      </c>
      <c r="D710" s="8">
        <v>1.97883E-3</v>
      </c>
    </row>
    <row r="711" spans="1:4" x14ac:dyDescent="0.2">
      <c r="A711" s="1">
        <v>2019</v>
      </c>
      <c r="B711" s="1" t="s">
        <v>710</v>
      </c>
      <c r="C711" s="2">
        <v>14541</v>
      </c>
      <c r="D711" s="8">
        <v>1.418E-5</v>
      </c>
    </row>
    <row r="712" spans="1:4" x14ac:dyDescent="0.2">
      <c r="A712" s="1">
        <v>2019</v>
      </c>
      <c r="B712" s="1" t="s">
        <v>1113</v>
      </c>
      <c r="C712" s="2">
        <v>739967</v>
      </c>
      <c r="D712" s="8">
        <v>7.2139000000000003E-4</v>
      </c>
    </row>
    <row r="713" spans="1:4" x14ac:dyDescent="0.2">
      <c r="A713" s="1">
        <v>2019</v>
      </c>
      <c r="B713" s="1" t="s">
        <v>712</v>
      </c>
      <c r="C713" s="2">
        <v>2722</v>
      </c>
      <c r="D713" s="8">
        <v>2.65E-6</v>
      </c>
    </row>
    <row r="714" spans="1:4" x14ac:dyDescent="0.2">
      <c r="A714" s="1">
        <v>2019</v>
      </c>
      <c r="B714" s="1" t="s">
        <v>713</v>
      </c>
      <c r="C714" s="2">
        <v>42112</v>
      </c>
      <c r="D714" s="8">
        <v>4.1050000000000002E-5</v>
      </c>
    </row>
    <row r="715" spans="1:4" x14ac:dyDescent="0.2">
      <c r="A715" s="1">
        <v>2019</v>
      </c>
      <c r="B715" s="1" t="s">
        <v>714</v>
      </c>
      <c r="C715" s="2">
        <v>12360</v>
      </c>
      <c r="D715" s="8">
        <v>1.205E-5</v>
      </c>
    </row>
    <row r="716" spans="1:4" x14ac:dyDescent="0.2">
      <c r="A716" s="1">
        <v>2019</v>
      </c>
      <c r="B716" s="1" t="s">
        <v>715</v>
      </c>
      <c r="C716" s="2">
        <v>1985</v>
      </c>
      <c r="D716" s="8">
        <v>1.9300000000000002E-6</v>
      </c>
    </row>
    <row r="717" spans="1:4" x14ac:dyDescent="0.2">
      <c r="A717" s="1">
        <v>2019</v>
      </c>
      <c r="B717" s="1" t="s">
        <v>716</v>
      </c>
      <c r="C717" s="2">
        <v>73415</v>
      </c>
      <c r="D717" s="8">
        <v>7.1569999999999994E-5</v>
      </c>
    </row>
    <row r="718" spans="1:4" x14ac:dyDescent="0.2">
      <c r="A718" s="1">
        <v>2019</v>
      </c>
      <c r="B718" s="1" t="s">
        <v>717</v>
      </c>
      <c r="C718" s="2">
        <v>30674</v>
      </c>
      <c r="D718" s="8">
        <v>2.9899999999999998E-5</v>
      </c>
    </row>
    <row r="719" spans="1:4" x14ac:dyDescent="0.2">
      <c r="A719" s="1">
        <v>2019</v>
      </c>
      <c r="B719" s="1" t="s">
        <v>718</v>
      </c>
      <c r="C719" s="2">
        <v>82819</v>
      </c>
      <c r="D719" s="8">
        <v>8.0740000000000003E-5</v>
      </c>
    </row>
    <row r="720" spans="1:4" x14ac:dyDescent="0.2">
      <c r="A720" s="1">
        <v>2019</v>
      </c>
      <c r="B720" s="1" t="s">
        <v>719</v>
      </c>
      <c r="C720" s="2">
        <v>25663</v>
      </c>
      <c r="D720" s="8">
        <v>2.5020000000000001E-5</v>
      </c>
    </row>
    <row r="721" spans="1:4" x14ac:dyDescent="0.2">
      <c r="A721" s="1">
        <v>2019</v>
      </c>
      <c r="B721" s="1" t="s">
        <v>1114</v>
      </c>
      <c r="C721" s="2">
        <v>768211</v>
      </c>
      <c r="D721" s="8">
        <v>7.4892000000000003E-4</v>
      </c>
    </row>
    <row r="722" spans="1:4" x14ac:dyDescent="0.2">
      <c r="A722" s="1">
        <v>2019</v>
      </c>
      <c r="B722" s="1" t="s">
        <v>721</v>
      </c>
      <c r="C722" s="2">
        <v>42594</v>
      </c>
      <c r="D722" s="8">
        <v>4.1520000000000002E-5</v>
      </c>
    </row>
    <row r="723" spans="1:4" x14ac:dyDescent="0.2">
      <c r="A723" s="1">
        <v>2019</v>
      </c>
      <c r="B723" s="1" t="s">
        <v>722</v>
      </c>
      <c r="C723" s="2">
        <v>3629</v>
      </c>
      <c r="D723" s="8">
        <v>3.54E-6</v>
      </c>
    </row>
    <row r="724" spans="1:4" x14ac:dyDescent="0.2">
      <c r="A724" s="1">
        <v>2019</v>
      </c>
      <c r="B724" s="1" t="s">
        <v>723</v>
      </c>
      <c r="C724" s="2">
        <v>3184813</v>
      </c>
      <c r="D724" s="8">
        <v>3.1048400000000002E-3</v>
      </c>
    </row>
    <row r="725" spans="1:4" x14ac:dyDescent="0.2">
      <c r="A725" s="1">
        <v>2019</v>
      </c>
      <c r="B725" s="1" t="s">
        <v>724</v>
      </c>
      <c r="C725" s="2">
        <v>1785538</v>
      </c>
      <c r="D725" s="8">
        <v>1.7407E-3</v>
      </c>
    </row>
    <row r="726" spans="1:4" x14ac:dyDescent="0.2">
      <c r="A726" s="1">
        <v>2019</v>
      </c>
      <c r="B726" s="1" t="s">
        <v>1115</v>
      </c>
      <c r="C726" s="2">
        <v>1568448</v>
      </c>
      <c r="D726" s="8">
        <v>1.5290600000000001E-3</v>
      </c>
    </row>
    <row r="727" spans="1:4" x14ac:dyDescent="0.2">
      <c r="A727" s="1">
        <v>2019</v>
      </c>
      <c r="B727" s="1" t="s">
        <v>1116</v>
      </c>
      <c r="C727" s="2">
        <v>323880</v>
      </c>
      <c r="D727" s="8">
        <v>3.1575E-4</v>
      </c>
    </row>
    <row r="728" spans="1:4" x14ac:dyDescent="0.2">
      <c r="A728" s="1">
        <v>2019</v>
      </c>
      <c r="B728" s="1" t="s">
        <v>1117</v>
      </c>
      <c r="C728" s="2">
        <v>454317</v>
      </c>
      <c r="D728" s="8">
        <v>4.4291000000000003E-4</v>
      </c>
    </row>
    <row r="729" spans="1:4" x14ac:dyDescent="0.2">
      <c r="A729" s="1">
        <v>2019</v>
      </c>
      <c r="B729" s="1" t="s">
        <v>728</v>
      </c>
      <c r="C729" s="2">
        <v>9043</v>
      </c>
      <c r="D729" s="8">
        <v>8.8200000000000003E-6</v>
      </c>
    </row>
    <row r="730" spans="1:4" x14ac:dyDescent="0.2">
      <c r="A730" s="1">
        <v>2019</v>
      </c>
      <c r="B730" s="1" t="s">
        <v>729</v>
      </c>
      <c r="C730" s="2">
        <v>2595</v>
      </c>
      <c r="D730" s="8">
        <v>2.5299999999999999E-6</v>
      </c>
    </row>
    <row r="731" spans="1:4" x14ac:dyDescent="0.2">
      <c r="A731" s="1">
        <v>2019</v>
      </c>
      <c r="B731" s="1" t="s">
        <v>1118</v>
      </c>
      <c r="C731" s="2">
        <v>1722936</v>
      </c>
      <c r="D731" s="8">
        <v>1.6796700000000001E-3</v>
      </c>
    </row>
    <row r="732" spans="1:4" x14ac:dyDescent="0.2">
      <c r="A732" s="1">
        <v>2019</v>
      </c>
      <c r="B732" s="1" t="s">
        <v>731</v>
      </c>
      <c r="C732" s="2">
        <v>876103</v>
      </c>
      <c r="D732" s="8">
        <v>8.541E-4</v>
      </c>
    </row>
    <row r="733" spans="1:4" x14ac:dyDescent="0.2">
      <c r="A733" s="1">
        <v>2019</v>
      </c>
      <c r="B733" s="1" t="s">
        <v>732</v>
      </c>
      <c r="C733" s="2">
        <v>108455</v>
      </c>
      <c r="D733" s="8">
        <v>1.0573000000000001E-4</v>
      </c>
    </row>
    <row r="734" spans="1:4" x14ac:dyDescent="0.2">
      <c r="A734" s="1">
        <v>2019</v>
      </c>
      <c r="B734" s="1" t="s">
        <v>733</v>
      </c>
      <c r="C734" s="2">
        <v>34105</v>
      </c>
      <c r="D734" s="8">
        <v>3.3250000000000002E-5</v>
      </c>
    </row>
    <row r="735" spans="1:4" x14ac:dyDescent="0.2">
      <c r="A735" s="1">
        <v>2019</v>
      </c>
      <c r="B735" s="1" t="s">
        <v>734</v>
      </c>
      <c r="C735" s="2">
        <v>21073</v>
      </c>
      <c r="D735" s="8">
        <v>2.054E-5</v>
      </c>
    </row>
    <row r="736" spans="1:4" x14ac:dyDescent="0.2">
      <c r="A736" s="1">
        <v>2019</v>
      </c>
      <c r="B736" s="1" t="s">
        <v>735</v>
      </c>
      <c r="C736" s="2">
        <v>39374</v>
      </c>
      <c r="D736" s="8">
        <v>3.8389999999999997E-5</v>
      </c>
    </row>
    <row r="737" spans="1:4" x14ac:dyDescent="0.2">
      <c r="A737" s="1">
        <v>2019</v>
      </c>
      <c r="B737" s="1" t="s">
        <v>736</v>
      </c>
      <c r="C737" s="2">
        <v>508895</v>
      </c>
      <c r="D737" s="8">
        <v>4.9611999999999996E-4</v>
      </c>
    </row>
    <row r="738" spans="1:4" x14ac:dyDescent="0.2">
      <c r="A738" s="1">
        <v>2019</v>
      </c>
      <c r="B738" s="1" t="s">
        <v>737</v>
      </c>
      <c r="C738" s="2">
        <v>840831</v>
      </c>
      <c r="D738" s="8">
        <v>8.1972000000000002E-4</v>
      </c>
    </row>
    <row r="739" spans="1:4" x14ac:dyDescent="0.2">
      <c r="A739" s="1">
        <v>2019</v>
      </c>
      <c r="B739" s="1" t="s">
        <v>1119</v>
      </c>
      <c r="C739" s="2">
        <v>543982</v>
      </c>
      <c r="D739" s="8">
        <v>5.3032000000000003E-4</v>
      </c>
    </row>
    <row r="740" spans="1:4" x14ac:dyDescent="0.2">
      <c r="A740" s="1">
        <v>2019</v>
      </c>
      <c r="B740" s="1" t="s">
        <v>739</v>
      </c>
      <c r="C740" s="2">
        <v>2841286</v>
      </c>
      <c r="D740" s="8">
        <v>2.7699399999999998E-3</v>
      </c>
    </row>
    <row r="741" spans="1:4" x14ac:dyDescent="0.2">
      <c r="A741" s="1">
        <v>2019</v>
      </c>
      <c r="B741" s="1" t="s">
        <v>740</v>
      </c>
      <c r="C741" s="2">
        <v>31373</v>
      </c>
      <c r="D741" s="8">
        <v>3.0589999999999997E-5</v>
      </c>
    </row>
    <row r="742" spans="1:4" x14ac:dyDescent="0.2">
      <c r="A742" s="1">
        <v>2019</v>
      </c>
      <c r="B742" s="1" t="s">
        <v>741</v>
      </c>
      <c r="C742" s="2">
        <v>30895</v>
      </c>
      <c r="D742" s="8">
        <v>3.012E-5</v>
      </c>
    </row>
    <row r="743" spans="1:4" x14ac:dyDescent="0.2">
      <c r="A743" s="1">
        <v>2019</v>
      </c>
      <c r="B743" s="1" t="s">
        <v>742</v>
      </c>
      <c r="C743" s="2">
        <v>112883</v>
      </c>
      <c r="D743" s="8">
        <v>1.1005000000000001E-4</v>
      </c>
    </row>
    <row r="744" spans="1:4" x14ac:dyDescent="0.2">
      <c r="A744" s="1">
        <v>2019</v>
      </c>
      <c r="B744" s="1" t="s">
        <v>743</v>
      </c>
      <c r="C744" s="2">
        <v>3372</v>
      </c>
      <c r="D744" s="8">
        <v>3.2899999999999998E-6</v>
      </c>
    </row>
    <row r="745" spans="1:4" x14ac:dyDescent="0.2">
      <c r="A745" s="1">
        <v>2019</v>
      </c>
      <c r="B745" s="1" t="s">
        <v>744</v>
      </c>
      <c r="C745" s="2">
        <v>37024</v>
      </c>
      <c r="D745" s="8">
        <v>3.6090000000000002E-5</v>
      </c>
    </row>
    <row r="746" spans="1:4" x14ac:dyDescent="0.2">
      <c r="A746" s="1">
        <v>2019</v>
      </c>
      <c r="B746" s="1" t="s">
        <v>745</v>
      </c>
      <c r="C746" s="2">
        <v>4026</v>
      </c>
      <c r="D746" s="8">
        <v>3.9199999999999997E-6</v>
      </c>
    </row>
    <row r="747" spans="1:4" x14ac:dyDescent="0.2">
      <c r="A747" s="1">
        <v>2019</v>
      </c>
      <c r="B747" s="1" t="s">
        <v>746</v>
      </c>
      <c r="C747" s="2">
        <v>8914</v>
      </c>
      <c r="D747" s="8">
        <v>8.6899999999999998E-6</v>
      </c>
    </row>
    <row r="748" spans="1:4" x14ac:dyDescent="0.2">
      <c r="A748" s="1">
        <v>2019</v>
      </c>
      <c r="B748" s="1" t="s">
        <v>747</v>
      </c>
      <c r="C748" s="2">
        <v>24860</v>
      </c>
      <c r="D748" s="8">
        <v>2.4239999999999998E-5</v>
      </c>
    </row>
    <row r="749" spans="1:4" x14ac:dyDescent="0.2">
      <c r="A749" s="1">
        <v>2019</v>
      </c>
      <c r="B749" s="1" t="s">
        <v>748</v>
      </c>
      <c r="C749" s="1">
        <v>869</v>
      </c>
      <c r="D749" s="8">
        <v>8.5000000000000001E-7</v>
      </c>
    </row>
    <row r="750" spans="1:4" x14ac:dyDescent="0.2">
      <c r="A750" s="1">
        <v>2019</v>
      </c>
      <c r="B750" s="1" t="s">
        <v>749</v>
      </c>
      <c r="C750" s="2">
        <v>18754</v>
      </c>
      <c r="D750" s="8">
        <v>1.8280000000000001E-5</v>
      </c>
    </row>
    <row r="751" spans="1:4" x14ac:dyDescent="0.2">
      <c r="A751" s="1">
        <v>2019</v>
      </c>
      <c r="B751" s="1" t="s">
        <v>750</v>
      </c>
      <c r="C751" s="2">
        <v>21160</v>
      </c>
      <c r="D751" s="8">
        <v>2.0630000000000001E-5</v>
      </c>
    </row>
    <row r="752" spans="1:4" x14ac:dyDescent="0.2">
      <c r="A752" s="1">
        <v>2019</v>
      </c>
      <c r="B752" s="1" t="s">
        <v>751</v>
      </c>
      <c r="C752" s="2">
        <v>5481</v>
      </c>
      <c r="D752" s="8">
        <v>5.3399999999999997E-6</v>
      </c>
    </row>
    <row r="753" spans="1:4" x14ac:dyDescent="0.2">
      <c r="A753" s="1">
        <v>2019</v>
      </c>
      <c r="B753" s="1" t="s">
        <v>752</v>
      </c>
      <c r="C753" s="2">
        <v>29463</v>
      </c>
      <c r="D753" s="8">
        <v>2.8719999999999999E-5</v>
      </c>
    </row>
    <row r="754" spans="1:4" x14ac:dyDescent="0.2">
      <c r="A754" s="1">
        <v>2019</v>
      </c>
      <c r="B754" s="1" t="s">
        <v>753</v>
      </c>
      <c r="C754" s="2">
        <v>3825</v>
      </c>
      <c r="D754" s="8">
        <v>3.7299999999999999E-6</v>
      </c>
    </row>
    <row r="755" spans="1:4" x14ac:dyDescent="0.2">
      <c r="A755" s="1">
        <v>2019</v>
      </c>
      <c r="B755" s="1" t="s">
        <v>754</v>
      </c>
      <c r="C755" s="2">
        <v>13069</v>
      </c>
      <c r="D755" s="8">
        <v>1.274E-5</v>
      </c>
    </row>
    <row r="756" spans="1:4" x14ac:dyDescent="0.2">
      <c r="A756" s="1">
        <v>2019</v>
      </c>
      <c r="B756" s="1" t="s">
        <v>755</v>
      </c>
      <c r="C756" s="2">
        <v>11359</v>
      </c>
      <c r="D756" s="8">
        <v>1.1070000000000001E-5</v>
      </c>
    </row>
    <row r="757" spans="1:4" x14ac:dyDescent="0.2">
      <c r="A757" s="1">
        <v>2019</v>
      </c>
      <c r="B757" s="1" t="s">
        <v>756</v>
      </c>
      <c r="C757" s="2">
        <v>13445</v>
      </c>
      <c r="D757" s="8">
        <v>1.311E-5</v>
      </c>
    </row>
    <row r="758" spans="1:4" x14ac:dyDescent="0.2">
      <c r="A758" s="1">
        <v>2019</v>
      </c>
      <c r="B758" s="1" t="s">
        <v>757</v>
      </c>
      <c r="C758" s="2">
        <v>46852</v>
      </c>
      <c r="D758" s="8">
        <v>4.5680000000000003E-5</v>
      </c>
    </row>
    <row r="759" spans="1:4" x14ac:dyDescent="0.2">
      <c r="A759" s="1">
        <v>2019</v>
      </c>
      <c r="B759" s="1" t="s">
        <v>758</v>
      </c>
      <c r="C759" s="1">
        <v>756</v>
      </c>
      <c r="D759" s="8">
        <v>7.4000000000000001E-7</v>
      </c>
    </row>
    <row r="760" spans="1:4" x14ac:dyDescent="0.2">
      <c r="A760" s="1">
        <v>2019</v>
      </c>
      <c r="B760" s="1" t="s">
        <v>759</v>
      </c>
      <c r="C760" s="2">
        <v>312047</v>
      </c>
      <c r="D760" s="8">
        <v>3.0421000000000002E-4</v>
      </c>
    </row>
    <row r="761" spans="1:4" x14ac:dyDescent="0.2">
      <c r="A761" s="1">
        <v>2019</v>
      </c>
      <c r="B761" s="1" t="s">
        <v>760</v>
      </c>
      <c r="C761" s="2">
        <v>11337</v>
      </c>
      <c r="D761" s="8">
        <v>1.1049999999999999E-5</v>
      </c>
    </row>
    <row r="762" spans="1:4" x14ac:dyDescent="0.2">
      <c r="A762" s="1">
        <v>2019</v>
      </c>
      <c r="B762" s="1" t="s">
        <v>761</v>
      </c>
      <c r="C762" s="2">
        <v>2398473</v>
      </c>
      <c r="D762" s="8">
        <v>2.3382500000000001E-3</v>
      </c>
    </row>
    <row r="763" spans="1:4" x14ac:dyDescent="0.2">
      <c r="A763" s="1">
        <v>2019</v>
      </c>
      <c r="B763" s="1" t="s">
        <v>1120</v>
      </c>
      <c r="C763" s="2">
        <v>52189</v>
      </c>
      <c r="D763" s="8">
        <v>5.0880000000000001E-5</v>
      </c>
    </row>
    <row r="764" spans="1:4" x14ac:dyDescent="0.2">
      <c r="A764" s="1">
        <v>2019</v>
      </c>
      <c r="B764" s="1" t="s">
        <v>1121</v>
      </c>
      <c r="C764" s="2">
        <v>2104263</v>
      </c>
      <c r="D764" s="8">
        <v>2.05142E-3</v>
      </c>
    </row>
    <row r="765" spans="1:4" x14ac:dyDescent="0.2">
      <c r="A765" s="1">
        <v>2019</v>
      </c>
      <c r="B765" s="1" t="s">
        <v>764</v>
      </c>
      <c r="C765" s="2">
        <v>1756652</v>
      </c>
      <c r="D765" s="8">
        <v>1.71254E-3</v>
      </c>
    </row>
    <row r="766" spans="1:4" x14ac:dyDescent="0.2">
      <c r="A766" s="1">
        <v>2019</v>
      </c>
      <c r="B766" s="1" t="s">
        <v>1122</v>
      </c>
      <c r="C766" s="2">
        <v>89182</v>
      </c>
      <c r="D766" s="8">
        <v>8.6940000000000004E-5</v>
      </c>
    </row>
    <row r="767" spans="1:4" x14ac:dyDescent="0.2">
      <c r="A767" s="1">
        <v>2019</v>
      </c>
      <c r="B767" s="1" t="s">
        <v>767</v>
      </c>
      <c r="C767" s="2">
        <v>194528</v>
      </c>
      <c r="D767" s="8">
        <v>1.8964000000000001E-4</v>
      </c>
    </row>
    <row r="768" spans="1:4" x14ac:dyDescent="0.2">
      <c r="A768" s="1">
        <v>2019</v>
      </c>
      <c r="B768" s="1" t="s">
        <v>768</v>
      </c>
      <c r="C768" s="2">
        <v>57100</v>
      </c>
      <c r="D768" s="8">
        <v>5.5670000000000001E-5</v>
      </c>
    </row>
    <row r="769" spans="1:4" x14ac:dyDescent="0.2">
      <c r="A769" s="1">
        <v>2019</v>
      </c>
      <c r="B769" s="1" t="s">
        <v>769</v>
      </c>
      <c r="C769" s="2">
        <v>2648091</v>
      </c>
      <c r="D769" s="8">
        <v>2.5815999999999999E-3</v>
      </c>
    </row>
    <row r="770" spans="1:4" x14ac:dyDescent="0.2">
      <c r="A770" s="1">
        <v>2019</v>
      </c>
      <c r="B770" s="1" t="s">
        <v>770</v>
      </c>
      <c r="C770" s="2">
        <v>144614</v>
      </c>
      <c r="D770" s="8">
        <v>1.4098E-4</v>
      </c>
    </row>
    <row r="771" spans="1:4" x14ac:dyDescent="0.2">
      <c r="A771" s="1">
        <v>2019</v>
      </c>
      <c r="B771" s="1" t="s">
        <v>771</v>
      </c>
      <c r="C771" s="2">
        <v>77947</v>
      </c>
      <c r="D771" s="8">
        <v>7.5989999999999996E-5</v>
      </c>
    </row>
    <row r="772" spans="1:4" x14ac:dyDescent="0.2">
      <c r="A772" s="1">
        <v>2019</v>
      </c>
      <c r="B772" s="1" t="s">
        <v>1123</v>
      </c>
      <c r="C772" s="2">
        <v>6138793</v>
      </c>
      <c r="D772" s="8">
        <v>5.9846500000000002E-3</v>
      </c>
    </row>
    <row r="773" spans="1:4" x14ac:dyDescent="0.2">
      <c r="A773" s="1">
        <v>2019</v>
      </c>
      <c r="B773" s="1" t="s">
        <v>1124</v>
      </c>
      <c r="C773" s="2">
        <v>569922</v>
      </c>
      <c r="D773" s="8">
        <v>5.5561E-4</v>
      </c>
    </row>
    <row r="774" spans="1:4" x14ac:dyDescent="0.2">
      <c r="A774" s="1">
        <v>2019</v>
      </c>
      <c r="B774" s="1" t="s">
        <v>774</v>
      </c>
      <c r="C774" s="2">
        <v>98944</v>
      </c>
      <c r="D774" s="8">
        <v>9.6459999999999995E-5</v>
      </c>
    </row>
    <row r="775" spans="1:4" x14ac:dyDescent="0.2">
      <c r="A775" s="1">
        <v>2019</v>
      </c>
      <c r="B775" s="1" t="s">
        <v>775</v>
      </c>
      <c r="C775" s="2">
        <v>118391</v>
      </c>
      <c r="D775" s="8">
        <v>1.1542E-4</v>
      </c>
    </row>
    <row r="776" spans="1:4" x14ac:dyDescent="0.2">
      <c r="A776" s="1">
        <v>2019</v>
      </c>
      <c r="B776" s="1" t="s">
        <v>776</v>
      </c>
      <c r="C776" s="2">
        <v>79553</v>
      </c>
      <c r="D776" s="8">
        <v>7.7559999999999996E-5</v>
      </c>
    </row>
    <row r="777" spans="1:4" x14ac:dyDescent="0.2">
      <c r="A777" s="1">
        <v>2019</v>
      </c>
      <c r="B777" s="1" t="s">
        <v>1125</v>
      </c>
      <c r="C777" s="2">
        <v>2222298</v>
      </c>
      <c r="D777" s="8">
        <v>2.1665E-3</v>
      </c>
    </row>
    <row r="778" spans="1:4" x14ac:dyDescent="0.2">
      <c r="A778" s="1">
        <v>2019</v>
      </c>
      <c r="B778" s="1" t="s">
        <v>1126</v>
      </c>
      <c r="C778" s="2">
        <v>685680</v>
      </c>
      <c r="D778" s="8">
        <v>6.6845999999999995E-4</v>
      </c>
    </row>
    <row r="779" spans="1:4" x14ac:dyDescent="0.2">
      <c r="A779" s="1">
        <v>2019</v>
      </c>
      <c r="B779" s="1" t="s">
        <v>1127</v>
      </c>
      <c r="C779" s="2">
        <v>1848</v>
      </c>
      <c r="D779" s="8">
        <v>1.7999999999999999E-6</v>
      </c>
    </row>
    <row r="780" spans="1:4" x14ac:dyDescent="0.2">
      <c r="A780" s="1">
        <v>2019</v>
      </c>
      <c r="B780" s="1" t="s">
        <v>780</v>
      </c>
      <c r="C780" s="2">
        <v>728462</v>
      </c>
      <c r="D780" s="8">
        <v>7.1016999999999999E-4</v>
      </c>
    </row>
    <row r="781" spans="1:4" x14ac:dyDescent="0.2">
      <c r="A781" s="1">
        <v>2019</v>
      </c>
      <c r="B781" s="1" t="s">
        <v>781</v>
      </c>
      <c r="C781" s="2">
        <v>79308734</v>
      </c>
      <c r="D781" s="8">
        <v>7.7317269999999994E-2</v>
      </c>
    </row>
    <row r="782" spans="1:4" x14ac:dyDescent="0.2">
      <c r="A782" s="1">
        <v>2019</v>
      </c>
      <c r="B782" s="1" t="s">
        <v>782</v>
      </c>
      <c r="C782" s="2">
        <v>19780775</v>
      </c>
      <c r="D782" s="8">
        <v>1.928407E-2</v>
      </c>
    </row>
    <row r="783" spans="1:4" x14ac:dyDescent="0.2">
      <c r="A783" s="1">
        <v>2019</v>
      </c>
      <c r="B783" s="1" t="s">
        <v>783</v>
      </c>
      <c r="C783" s="2">
        <v>13488454</v>
      </c>
      <c r="D783" s="8">
        <v>1.314975E-2</v>
      </c>
    </row>
    <row r="784" spans="1:4" x14ac:dyDescent="0.2">
      <c r="A784" s="1">
        <v>2019</v>
      </c>
      <c r="B784" s="1" t="s">
        <v>784</v>
      </c>
      <c r="C784" s="2">
        <v>146224</v>
      </c>
      <c r="D784" s="8">
        <v>1.4255E-4</v>
      </c>
    </row>
    <row r="785" spans="1:4" x14ac:dyDescent="0.2">
      <c r="A785" s="1">
        <v>2019</v>
      </c>
      <c r="B785" s="1" t="s">
        <v>785</v>
      </c>
      <c r="C785" s="2">
        <v>22461</v>
      </c>
      <c r="D785" s="8">
        <v>2.19E-5</v>
      </c>
    </row>
    <row r="786" spans="1:4" x14ac:dyDescent="0.2">
      <c r="A786" s="1">
        <v>2019</v>
      </c>
      <c r="B786" s="1" t="s">
        <v>786</v>
      </c>
      <c r="C786" s="2">
        <v>43131</v>
      </c>
      <c r="D786" s="8">
        <v>4.2049999999999999E-5</v>
      </c>
    </row>
    <row r="787" spans="1:4" x14ac:dyDescent="0.2">
      <c r="A787" s="1">
        <v>2019</v>
      </c>
      <c r="B787" s="1" t="s">
        <v>787</v>
      </c>
      <c r="C787" s="2">
        <v>103702</v>
      </c>
      <c r="D787" s="8">
        <v>1.011E-4</v>
      </c>
    </row>
    <row r="788" spans="1:4" x14ac:dyDescent="0.2">
      <c r="A788" s="1">
        <v>2019</v>
      </c>
      <c r="B788" s="1" t="s">
        <v>788</v>
      </c>
      <c r="C788" s="2">
        <v>133485</v>
      </c>
      <c r="D788" s="8">
        <v>1.3013E-4</v>
      </c>
    </row>
    <row r="789" spans="1:4" x14ac:dyDescent="0.2">
      <c r="A789" s="1">
        <v>2019</v>
      </c>
      <c r="B789" s="1" t="s">
        <v>789</v>
      </c>
      <c r="C789" s="2">
        <v>65649</v>
      </c>
      <c r="D789" s="8">
        <v>6.3999999999999997E-5</v>
      </c>
    </row>
    <row r="790" spans="1:4" x14ac:dyDescent="0.2">
      <c r="A790" s="1">
        <v>2019</v>
      </c>
      <c r="B790" s="1" t="s">
        <v>790</v>
      </c>
      <c r="C790" s="2">
        <v>2592368</v>
      </c>
      <c r="D790" s="8">
        <v>2.5272699999999999E-3</v>
      </c>
    </row>
    <row r="791" spans="1:4" x14ac:dyDescent="0.2">
      <c r="A791" s="1">
        <v>2019</v>
      </c>
      <c r="B791" s="1" t="s">
        <v>791</v>
      </c>
      <c r="C791" s="2">
        <v>56600</v>
      </c>
      <c r="D791" s="8">
        <v>5.5179999999999997E-5</v>
      </c>
    </row>
    <row r="792" spans="1:4" x14ac:dyDescent="0.2">
      <c r="A792" s="1">
        <v>2019</v>
      </c>
      <c r="B792" s="1" t="s">
        <v>792</v>
      </c>
      <c r="C792" s="2">
        <v>83968</v>
      </c>
      <c r="D792" s="8">
        <v>8.1860000000000006E-5</v>
      </c>
    </row>
    <row r="793" spans="1:4" x14ac:dyDescent="0.2">
      <c r="A793" s="1">
        <v>2019</v>
      </c>
      <c r="B793" s="1" t="s">
        <v>1128</v>
      </c>
      <c r="C793" s="2">
        <v>6576542</v>
      </c>
      <c r="D793" s="8">
        <v>6.4114000000000003E-3</v>
      </c>
    </row>
    <row r="794" spans="1:4" x14ac:dyDescent="0.2">
      <c r="A794" s="1">
        <v>2019</v>
      </c>
      <c r="B794" s="1" t="s">
        <v>794</v>
      </c>
      <c r="C794" s="2">
        <v>51716</v>
      </c>
      <c r="D794" s="8">
        <v>5.0420000000000002E-5</v>
      </c>
    </row>
    <row r="795" spans="1:4" x14ac:dyDescent="0.2">
      <c r="A795" s="1">
        <v>2019</v>
      </c>
      <c r="B795" s="1" t="s">
        <v>795</v>
      </c>
      <c r="C795" s="2">
        <v>48705</v>
      </c>
      <c r="D795" s="8">
        <v>4.7479999999999999E-5</v>
      </c>
    </row>
    <row r="796" spans="1:4" x14ac:dyDescent="0.2">
      <c r="A796" s="1">
        <v>2019</v>
      </c>
      <c r="B796" s="1" t="s">
        <v>1129</v>
      </c>
      <c r="C796" s="2">
        <v>399444</v>
      </c>
      <c r="D796" s="8">
        <v>3.8940999999999997E-4</v>
      </c>
    </row>
    <row r="797" spans="1:4" x14ac:dyDescent="0.2">
      <c r="A797" s="1">
        <v>2019</v>
      </c>
      <c r="B797" s="1" t="s">
        <v>797</v>
      </c>
      <c r="C797" s="2">
        <v>3676</v>
      </c>
      <c r="D797" s="8">
        <v>3.58E-6</v>
      </c>
    </row>
    <row r="798" spans="1:4" x14ac:dyDescent="0.2">
      <c r="A798" s="1">
        <v>2019</v>
      </c>
      <c r="B798" s="1" t="s">
        <v>798</v>
      </c>
      <c r="C798" s="2">
        <v>1489911</v>
      </c>
      <c r="D798" s="8">
        <v>1.4525E-3</v>
      </c>
    </row>
    <row r="799" spans="1:4" x14ac:dyDescent="0.2">
      <c r="A799" s="1">
        <v>2019</v>
      </c>
      <c r="B799" s="1" t="s">
        <v>799</v>
      </c>
      <c r="C799" s="2">
        <v>1228</v>
      </c>
      <c r="D799" s="8">
        <v>1.1999999999999999E-6</v>
      </c>
    </row>
    <row r="800" spans="1:4" x14ac:dyDescent="0.2">
      <c r="A800" s="1">
        <v>2019</v>
      </c>
      <c r="B800" s="1" t="s">
        <v>800</v>
      </c>
      <c r="C800" s="2">
        <v>1660558</v>
      </c>
      <c r="D800" s="8">
        <v>1.61886E-3</v>
      </c>
    </row>
    <row r="801" spans="1:4" x14ac:dyDescent="0.2">
      <c r="A801" s="1">
        <v>2019</v>
      </c>
      <c r="B801" s="1" t="s">
        <v>1130</v>
      </c>
      <c r="C801" s="2">
        <v>12671</v>
      </c>
      <c r="D801" s="8">
        <v>1.235E-5</v>
      </c>
    </row>
    <row r="802" spans="1:4" x14ac:dyDescent="0.2">
      <c r="A802" s="1">
        <v>2019</v>
      </c>
      <c r="B802" s="1" t="s">
        <v>1131</v>
      </c>
      <c r="C802" s="2">
        <v>20083</v>
      </c>
      <c r="D802" s="8">
        <v>1.9579999999999999E-5</v>
      </c>
    </row>
    <row r="803" spans="1:4" x14ac:dyDescent="0.2">
      <c r="A803" s="1">
        <v>2019</v>
      </c>
      <c r="B803" s="1" t="s">
        <v>1132</v>
      </c>
      <c r="C803" s="2">
        <v>1835995</v>
      </c>
      <c r="D803" s="8">
        <v>1.7898899999999999E-3</v>
      </c>
    </row>
    <row r="804" spans="1:4" x14ac:dyDescent="0.2">
      <c r="A804" s="1">
        <v>2019</v>
      </c>
      <c r="B804" s="1" t="s">
        <v>803</v>
      </c>
      <c r="C804" s="2">
        <v>64404</v>
      </c>
      <c r="D804" s="8">
        <v>6.279E-5</v>
      </c>
    </row>
    <row r="805" spans="1:4" x14ac:dyDescent="0.2">
      <c r="A805" s="1">
        <v>2019</v>
      </c>
      <c r="B805" s="1" t="s">
        <v>804</v>
      </c>
      <c r="C805" s="2">
        <v>261840</v>
      </c>
      <c r="D805" s="8">
        <v>2.5526999999999999E-4</v>
      </c>
    </row>
    <row r="806" spans="1:4" x14ac:dyDescent="0.2">
      <c r="A806" s="1">
        <v>2019</v>
      </c>
      <c r="B806" s="1" t="s">
        <v>805</v>
      </c>
      <c r="C806" s="2">
        <v>45792</v>
      </c>
      <c r="D806" s="8">
        <v>4.464E-5</v>
      </c>
    </row>
    <row r="807" spans="1:4" x14ac:dyDescent="0.2">
      <c r="A807" s="1">
        <v>2019</v>
      </c>
      <c r="B807" s="1" t="s">
        <v>806</v>
      </c>
      <c r="C807" s="2">
        <v>883768</v>
      </c>
      <c r="D807" s="8">
        <v>8.6158000000000003E-4</v>
      </c>
    </row>
    <row r="808" spans="1:4" x14ac:dyDescent="0.2">
      <c r="A808" s="1">
        <v>2019</v>
      </c>
      <c r="B808" s="1" t="s">
        <v>807</v>
      </c>
      <c r="C808" s="2">
        <v>449302</v>
      </c>
      <c r="D808" s="8">
        <v>4.3802000000000001E-4</v>
      </c>
    </row>
    <row r="809" spans="1:4" x14ac:dyDescent="0.2">
      <c r="A809" s="1">
        <v>2019</v>
      </c>
      <c r="B809" s="1" t="s">
        <v>1133</v>
      </c>
      <c r="C809" s="2">
        <v>3177734</v>
      </c>
      <c r="D809" s="8">
        <v>3.09794E-3</v>
      </c>
    </row>
    <row r="810" spans="1:4" x14ac:dyDescent="0.2">
      <c r="A810" s="1">
        <v>2019</v>
      </c>
      <c r="B810" s="1" t="s">
        <v>1134</v>
      </c>
      <c r="C810" s="2">
        <v>650162</v>
      </c>
      <c r="D810" s="8">
        <v>6.3383999999999999E-4</v>
      </c>
    </row>
    <row r="811" spans="1:4" x14ac:dyDescent="0.2">
      <c r="A811" s="1">
        <v>2019</v>
      </c>
      <c r="B811" s="1" t="s">
        <v>1135</v>
      </c>
      <c r="C811" s="2">
        <v>13577</v>
      </c>
      <c r="D811" s="8">
        <v>1.324E-5</v>
      </c>
    </row>
    <row r="812" spans="1:4" x14ac:dyDescent="0.2">
      <c r="A812" s="1">
        <v>2019</v>
      </c>
      <c r="B812" s="1" t="s">
        <v>1136</v>
      </c>
      <c r="C812" s="2">
        <v>3416</v>
      </c>
      <c r="D812" s="8">
        <v>3.3299999999999999E-6</v>
      </c>
    </row>
    <row r="813" spans="1:4" x14ac:dyDescent="0.2">
      <c r="A813" s="1">
        <v>2019</v>
      </c>
      <c r="B813" s="1" t="s">
        <v>812</v>
      </c>
      <c r="C813" s="2">
        <v>267437</v>
      </c>
      <c r="D813" s="8">
        <v>2.6071999999999998E-4</v>
      </c>
    </row>
    <row r="814" spans="1:4" x14ac:dyDescent="0.2">
      <c r="A814" s="1">
        <v>2019</v>
      </c>
      <c r="B814" s="1" t="s">
        <v>813</v>
      </c>
      <c r="C814" s="2">
        <v>8727</v>
      </c>
      <c r="D814" s="8">
        <v>8.5099999999999998E-6</v>
      </c>
    </row>
    <row r="815" spans="1:4" x14ac:dyDescent="0.2">
      <c r="A815" s="1">
        <v>2019</v>
      </c>
      <c r="B815" s="1" t="s">
        <v>814</v>
      </c>
      <c r="C815" s="2">
        <v>30266</v>
      </c>
      <c r="D815" s="8">
        <v>2.951E-5</v>
      </c>
    </row>
    <row r="816" spans="1:4" x14ac:dyDescent="0.2">
      <c r="A816" s="1">
        <v>2019</v>
      </c>
      <c r="B816" s="1" t="s">
        <v>1137</v>
      </c>
      <c r="C816" s="2">
        <v>267604</v>
      </c>
      <c r="D816" s="8">
        <v>2.6088000000000001E-4</v>
      </c>
    </row>
    <row r="817" spans="1:4" x14ac:dyDescent="0.2">
      <c r="A817" s="1">
        <v>2019</v>
      </c>
      <c r="B817" s="1" t="s">
        <v>1138</v>
      </c>
      <c r="C817" s="2">
        <v>1396650</v>
      </c>
      <c r="D817" s="8">
        <v>1.36158E-3</v>
      </c>
    </row>
    <row r="818" spans="1:4" x14ac:dyDescent="0.2">
      <c r="A818" s="1">
        <v>2019</v>
      </c>
      <c r="B818" s="1" t="s">
        <v>817</v>
      </c>
      <c r="C818" s="2">
        <v>2073528</v>
      </c>
      <c r="D818" s="8">
        <v>2.0214600000000001E-3</v>
      </c>
    </row>
    <row r="819" spans="1:4" x14ac:dyDescent="0.2">
      <c r="A819" s="1">
        <v>2019</v>
      </c>
      <c r="B819" s="1" t="s">
        <v>818</v>
      </c>
      <c r="C819" s="2">
        <v>11363</v>
      </c>
      <c r="D819" s="8">
        <v>1.1080000000000001E-5</v>
      </c>
    </row>
    <row r="820" spans="1:4" x14ac:dyDescent="0.2">
      <c r="A820" s="1">
        <v>2019</v>
      </c>
      <c r="B820" s="1" t="s">
        <v>819</v>
      </c>
      <c r="C820" s="2">
        <v>59770</v>
      </c>
      <c r="D820" s="8">
        <v>5.8270000000000003E-5</v>
      </c>
    </row>
    <row r="821" spans="1:4" x14ac:dyDescent="0.2">
      <c r="A821" s="1">
        <v>2019</v>
      </c>
      <c r="B821" s="1" t="s">
        <v>1139</v>
      </c>
      <c r="C821" s="2">
        <v>1222439</v>
      </c>
      <c r="D821" s="8">
        <v>1.1917399999999999E-3</v>
      </c>
    </row>
    <row r="822" spans="1:4" x14ac:dyDescent="0.2">
      <c r="A822" s="1">
        <v>2019</v>
      </c>
      <c r="B822" s="1" t="s">
        <v>1140</v>
      </c>
      <c r="C822" s="2">
        <v>199588</v>
      </c>
      <c r="D822" s="8">
        <v>1.9458E-4</v>
      </c>
    </row>
    <row r="823" spans="1:4" x14ac:dyDescent="0.2">
      <c r="A823" s="1">
        <v>2019</v>
      </c>
      <c r="B823" s="1" t="s">
        <v>1141</v>
      </c>
      <c r="C823" s="2">
        <v>1288838</v>
      </c>
      <c r="D823" s="8">
        <v>1.25647E-3</v>
      </c>
    </row>
    <row r="824" spans="1:4" x14ac:dyDescent="0.2">
      <c r="A824" s="1">
        <v>2019</v>
      </c>
      <c r="B824" s="1" t="s">
        <v>823</v>
      </c>
      <c r="C824" s="2">
        <v>616550</v>
      </c>
      <c r="D824" s="8">
        <v>6.0106999999999999E-4</v>
      </c>
    </row>
    <row r="825" spans="1:4" x14ac:dyDescent="0.2">
      <c r="A825" s="1">
        <v>2019</v>
      </c>
      <c r="B825" s="1" t="s">
        <v>824</v>
      </c>
      <c r="C825" s="2">
        <v>2309448</v>
      </c>
      <c r="D825" s="8">
        <v>2.2514599999999998E-3</v>
      </c>
    </row>
    <row r="826" spans="1:4" x14ac:dyDescent="0.2">
      <c r="A826" s="1">
        <v>2019</v>
      </c>
      <c r="B826" s="1" t="s">
        <v>825</v>
      </c>
      <c r="C826" s="2">
        <v>164496</v>
      </c>
      <c r="D826" s="8">
        <v>1.6037000000000001E-4</v>
      </c>
    </row>
    <row r="827" spans="1:4" x14ac:dyDescent="0.2">
      <c r="A827" s="1">
        <v>2019</v>
      </c>
      <c r="B827" s="1" t="s">
        <v>826</v>
      </c>
      <c r="C827" s="2">
        <v>33284</v>
      </c>
      <c r="D827" s="8">
        <v>3.2450000000000003E-5</v>
      </c>
    </row>
    <row r="828" spans="1:4" x14ac:dyDescent="0.2">
      <c r="A828" s="1">
        <v>2019</v>
      </c>
      <c r="B828" s="1" t="s">
        <v>827</v>
      </c>
      <c r="C828" s="2">
        <v>104881</v>
      </c>
      <c r="D828" s="8">
        <v>1.0225000000000001E-4</v>
      </c>
    </row>
    <row r="829" spans="1:4" x14ac:dyDescent="0.2">
      <c r="A829" s="1">
        <v>2019</v>
      </c>
      <c r="B829" s="1" t="s">
        <v>828</v>
      </c>
      <c r="C829" s="2">
        <v>16566</v>
      </c>
      <c r="D829" s="8">
        <v>1.615E-5</v>
      </c>
    </row>
    <row r="830" spans="1:4" x14ac:dyDescent="0.2">
      <c r="A830" s="1">
        <v>2019</v>
      </c>
      <c r="B830" s="1" t="s">
        <v>1142</v>
      </c>
      <c r="C830" s="2">
        <v>773890</v>
      </c>
      <c r="D830" s="8">
        <v>7.5445999999999998E-4</v>
      </c>
    </row>
    <row r="831" spans="1:4" x14ac:dyDescent="0.2">
      <c r="A831" s="1">
        <v>2019</v>
      </c>
      <c r="B831" s="1" t="s">
        <v>830</v>
      </c>
      <c r="C831" s="2">
        <v>3792</v>
      </c>
      <c r="D831" s="8">
        <v>3.7000000000000002E-6</v>
      </c>
    </row>
    <row r="832" spans="1:4" x14ac:dyDescent="0.2">
      <c r="A832" s="1">
        <v>2019</v>
      </c>
      <c r="B832" s="1" t="s">
        <v>1143</v>
      </c>
      <c r="C832" s="2">
        <v>1721142</v>
      </c>
      <c r="D832" s="8">
        <v>1.6779200000000001E-3</v>
      </c>
    </row>
    <row r="833" spans="1:4" x14ac:dyDescent="0.2">
      <c r="A833" s="1">
        <v>2019</v>
      </c>
      <c r="B833" s="1" t="s">
        <v>832</v>
      </c>
      <c r="C833" s="2">
        <v>285106</v>
      </c>
      <c r="D833" s="8">
        <v>2.7795000000000001E-4</v>
      </c>
    </row>
    <row r="834" spans="1:4" x14ac:dyDescent="0.2">
      <c r="A834" s="1">
        <v>2019</v>
      </c>
      <c r="B834" s="1" t="s">
        <v>833</v>
      </c>
      <c r="C834" s="2">
        <v>3389495</v>
      </c>
      <c r="D834" s="8">
        <v>3.30438E-3</v>
      </c>
    </row>
    <row r="835" spans="1:4" x14ac:dyDescent="0.2">
      <c r="A835" s="1">
        <v>2019</v>
      </c>
      <c r="B835" s="1" t="s">
        <v>1144</v>
      </c>
      <c r="C835" s="2">
        <v>934598</v>
      </c>
      <c r="D835" s="8">
        <v>9.1113000000000001E-4</v>
      </c>
    </row>
    <row r="836" spans="1:4" x14ac:dyDescent="0.2">
      <c r="A836" s="1">
        <v>2019</v>
      </c>
      <c r="B836" s="1" t="s">
        <v>1145</v>
      </c>
      <c r="C836" s="2">
        <v>322607</v>
      </c>
      <c r="D836" s="8">
        <v>3.1451E-4</v>
      </c>
    </row>
    <row r="837" spans="1:4" x14ac:dyDescent="0.2">
      <c r="A837" s="1">
        <v>2019</v>
      </c>
      <c r="B837" s="1" t="s">
        <v>836</v>
      </c>
      <c r="C837" s="2">
        <v>5874</v>
      </c>
      <c r="D837" s="8">
        <v>5.7300000000000002E-6</v>
      </c>
    </row>
    <row r="838" spans="1:4" x14ac:dyDescent="0.2">
      <c r="A838" s="1">
        <v>2019</v>
      </c>
      <c r="B838" s="1" t="s">
        <v>837</v>
      </c>
      <c r="C838" s="2">
        <v>253979</v>
      </c>
      <c r="D838" s="8">
        <v>2.476E-4</v>
      </c>
    </row>
    <row r="839" spans="1:4" x14ac:dyDescent="0.2">
      <c r="A839" s="1">
        <v>2019</v>
      </c>
      <c r="B839" s="1" t="s">
        <v>838</v>
      </c>
      <c r="C839" s="2">
        <v>44263</v>
      </c>
      <c r="D839" s="8">
        <v>4.3149999999999999E-5</v>
      </c>
    </row>
    <row r="840" spans="1:4" x14ac:dyDescent="0.2">
      <c r="A840" s="1">
        <v>2019</v>
      </c>
      <c r="B840" s="1" t="s">
        <v>839</v>
      </c>
      <c r="C840" s="2">
        <v>1047657</v>
      </c>
      <c r="D840" s="8">
        <v>1.0213500000000001E-3</v>
      </c>
    </row>
    <row r="841" spans="1:4" x14ac:dyDescent="0.2">
      <c r="A841" s="1">
        <v>2019</v>
      </c>
      <c r="B841" s="1" t="s">
        <v>1146</v>
      </c>
      <c r="C841" s="2">
        <v>523686</v>
      </c>
      <c r="D841" s="8">
        <v>5.1053999999999997E-4</v>
      </c>
    </row>
    <row r="842" spans="1:4" x14ac:dyDescent="0.2">
      <c r="A842" s="1">
        <v>2019</v>
      </c>
      <c r="B842" s="1" t="s">
        <v>1147</v>
      </c>
      <c r="C842" s="2">
        <v>24294</v>
      </c>
      <c r="D842" s="8">
        <v>2.368E-5</v>
      </c>
    </row>
    <row r="843" spans="1:4" x14ac:dyDescent="0.2">
      <c r="A843" s="1">
        <v>2019</v>
      </c>
      <c r="B843" s="1" t="s">
        <v>1148</v>
      </c>
      <c r="C843" s="2">
        <v>3559</v>
      </c>
      <c r="D843" s="8">
        <v>3.4699999999999998E-6</v>
      </c>
    </row>
    <row r="844" spans="1:4" x14ac:dyDescent="0.2">
      <c r="A844" s="1">
        <v>2019</v>
      </c>
      <c r="B844" s="1" t="s">
        <v>843</v>
      </c>
      <c r="C844" s="2">
        <v>127858</v>
      </c>
      <c r="D844" s="8">
        <v>1.2464999999999999E-4</v>
      </c>
    </row>
    <row r="845" spans="1:4" x14ac:dyDescent="0.2">
      <c r="A845" s="1">
        <v>2019</v>
      </c>
      <c r="B845" s="1" t="s">
        <v>844</v>
      </c>
      <c r="C845" s="2">
        <v>508835</v>
      </c>
      <c r="D845" s="8">
        <v>4.9605999999999999E-4</v>
      </c>
    </row>
    <row r="846" spans="1:4" x14ac:dyDescent="0.2">
      <c r="A846" s="1">
        <v>2019</v>
      </c>
      <c r="B846" s="1" t="s">
        <v>1149</v>
      </c>
      <c r="C846" s="2">
        <v>378386</v>
      </c>
      <c r="D846" s="8">
        <v>3.6887999999999998E-4</v>
      </c>
    </row>
    <row r="847" spans="1:4" x14ac:dyDescent="0.2">
      <c r="A847" s="1">
        <v>2019</v>
      </c>
      <c r="B847" s="1" t="s">
        <v>846</v>
      </c>
      <c r="C847" s="2">
        <v>6472</v>
      </c>
      <c r="D847" s="8">
        <v>6.3099999999999997E-6</v>
      </c>
    </row>
    <row r="848" spans="1:4" x14ac:dyDescent="0.2">
      <c r="A848" s="1">
        <v>2019</v>
      </c>
      <c r="B848" s="1" t="s">
        <v>847</v>
      </c>
      <c r="C848" s="2">
        <v>14737</v>
      </c>
      <c r="D848" s="8">
        <v>1.437E-5</v>
      </c>
    </row>
    <row r="849" spans="1:4" x14ac:dyDescent="0.2">
      <c r="A849" s="1">
        <v>2019</v>
      </c>
      <c r="B849" s="1" t="s">
        <v>848</v>
      </c>
      <c r="C849" s="2">
        <v>466137</v>
      </c>
      <c r="D849" s="8">
        <v>4.5443000000000002E-4</v>
      </c>
    </row>
    <row r="850" spans="1:4" x14ac:dyDescent="0.2">
      <c r="A850" s="1">
        <v>2019</v>
      </c>
      <c r="B850" s="1" t="s">
        <v>849</v>
      </c>
      <c r="C850" s="2">
        <v>42702</v>
      </c>
      <c r="D850" s="8">
        <v>4.163E-5</v>
      </c>
    </row>
    <row r="851" spans="1:4" x14ac:dyDescent="0.2">
      <c r="A851" s="1">
        <v>2019</v>
      </c>
      <c r="B851" s="1" t="s">
        <v>850</v>
      </c>
      <c r="C851" s="2">
        <v>1864748</v>
      </c>
      <c r="D851" s="8">
        <v>1.81792E-3</v>
      </c>
    </row>
    <row r="852" spans="1:4" x14ac:dyDescent="0.2">
      <c r="A852" s="1">
        <v>2019</v>
      </c>
      <c r="B852" s="1" t="s">
        <v>1150</v>
      </c>
      <c r="C852" s="2">
        <v>499791</v>
      </c>
      <c r="D852" s="8">
        <v>4.8724E-4</v>
      </c>
    </row>
    <row r="853" spans="1:4" x14ac:dyDescent="0.2">
      <c r="A853" s="1">
        <v>2019</v>
      </c>
      <c r="B853" s="1" t="s">
        <v>852</v>
      </c>
      <c r="C853" s="2">
        <v>1278246</v>
      </c>
      <c r="D853" s="8">
        <v>1.2461499999999999E-3</v>
      </c>
    </row>
    <row r="854" spans="1:4" x14ac:dyDescent="0.2">
      <c r="A854" s="1">
        <v>2019</v>
      </c>
      <c r="B854" s="1" t="s">
        <v>853</v>
      </c>
      <c r="C854" s="2">
        <v>893342</v>
      </c>
      <c r="D854" s="8">
        <v>8.7091000000000002E-4</v>
      </c>
    </row>
    <row r="855" spans="1:4" x14ac:dyDescent="0.2">
      <c r="A855" s="1">
        <v>2019</v>
      </c>
      <c r="B855" s="1" t="s">
        <v>899</v>
      </c>
      <c r="C855" s="2">
        <v>13545</v>
      </c>
      <c r="D855" s="8">
        <v>1.3200000000000001E-5</v>
      </c>
    </row>
    <row r="856" spans="1:4" x14ac:dyDescent="0.2">
      <c r="A856" s="1">
        <v>2019</v>
      </c>
      <c r="B856" s="1" t="s">
        <v>855</v>
      </c>
      <c r="C856" s="2">
        <v>9085</v>
      </c>
      <c r="D856" s="8">
        <v>8.8599999999999999E-6</v>
      </c>
    </row>
    <row r="857" spans="1:4" x14ac:dyDescent="0.2">
      <c r="A857" s="1">
        <v>2019</v>
      </c>
      <c r="B857" s="1" t="s">
        <v>856</v>
      </c>
      <c r="C857" s="2">
        <v>15361</v>
      </c>
      <c r="D857" s="8">
        <v>1.4970000000000001E-5</v>
      </c>
    </row>
    <row r="858" spans="1:4" x14ac:dyDescent="0.2">
      <c r="A858" s="1">
        <v>2019</v>
      </c>
      <c r="B858" s="1" t="s">
        <v>857</v>
      </c>
      <c r="C858" s="2">
        <v>12635</v>
      </c>
      <c r="D858" s="8">
        <v>1.2320000000000001E-5</v>
      </c>
    </row>
    <row r="859" spans="1:4" x14ac:dyDescent="0.2">
      <c r="A859" s="1">
        <v>2019</v>
      </c>
      <c r="B859" s="1" t="s">
        <v>858</v>
      </c>
      <c r="C859" s="2">
        <v>77504</v>
      </c>
      <c r="D859" s="8">
        <v>7.5560000000000002E-5</v>
      </c>
    </row>
    <row r="860" spans="1:4" x14ac:dyDescent="0.2">
      <c r="A860" s="1">
        <v>2019</v>
      </c>
      <c r="B860" s="1" t="s">
        <v>859</v>
      </c>
      <c r="C860" s="2">
        <v>85580</v>
      </c>
      <c r="D860" s="8">
        <v>8.3430000000000006E-5</v>
      </c>
    </row>
    <row r="862" spans="1:4" x14ac:dyDescent="0.2">
      <c r="B862" s="3" t="s">
        <v>861</v>
      </c>
      <c r="C862" s="2">
        <f>SUM(C2:C860)</f>
        <v>1025757103</v>
      </c>
    </row>
    <row r="863" spans="1:4" x14ac:dyDescent="0.2">
      <c r="B863" s="3"/>
    </row>
    <row r="864" spans="1:4" x14ac:dyDescent="0.2">
      <c r="B864" s="3" t="s">
        <v>860</v>
      </c>
      <c r="C864" s="2">
        <v>1025757093</v>
      </c>
    </row>
    <row r="866" spans="2:3" x14ac:dyDescent="0.2">
      <c r="B866" s="4" t="s">
        <v>862</v>
      </c>
      <c r="C866" s="5">
        <f>C862-C864</f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680F-CAFB-2145-910F-4BF2B143FADB}">
  <sheetPr>
    <tabColor rgb="FFFFFF00"/>
  </sheetPr>
  <dimension ref="A1:D872"/>
  <sheetViews>
    <sheetView workbookViewId="0">
      <selection activeCell="A2" sqref="A2:D866"/>
    </sheetView>
  </sheetViews>
  <sheetFormatPr baseColWidth="10" defaultRowHeight="16" x14ac:dyDescent="0.2"/>
  <cols>
    <col min="1" max="1" width="10.83203125" style="1"/>
    <col min="2" max="2" width="52.5" style="1" bestFit="1" customWidth="1"/>
    <col min="3" max="3" width="20.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2018</v>
      </c>
      <c r="B2" s="1" t="s">
        <v>1154</v>
      </c>
      <c r="C2" s="2">
        <v>482544</v>
      </c>
      <c r="D2" s="8">
        <v>4.7977000000000002E-4</v>
      </c>
    </row>
    <row r="3" spans="1:4" x14ac:dyDescent="0.2">
      <c r="A3" s="1">
        <v>2018</v>
      </c>
      <c r="B3" s="1" t="s">
        <v>1155</v>
      </c>
      <c r="C3" s="2">
        <v>1045955</v>
      </c>
      <c r="D3" s="8">
        <v>1.03994E-3</v>
      </c>
    </row>
    <row r="4" spans="1:4" x14ac:dyDescent="0.2">
      <c r="A4" s="1">
        <v>2018</v>
      </c>
      <c r="B4" s="1" t="s">
        <v>1156</v>
      </c>
      <c r="C4" s="2">
        <v>89941</v>
      </c>
      <c r="D4" s="8">
        <v>8.9419999999999994E-5</v>
      </c>
    </row>
    <row r="5" spans="1:4" x14ac:dyDescent="0.2">
      <c r="A5" s="1">
        <v>2018</v>
      </c>
      <c r="B5" s="1" t="s">
        <v>1157</v>
      </c>
      <c r="C5" s="2">
        <v>26640</v>
      </c>
      <c r="D5" s="8">
        <v>2.6489999999999999E-5</v>
      </c>
    </row>
    <row r="6" spans="1:4" x14ac:dyDescent="0.2">
      <c r="A6" s="1">
        <v>2018</v>
      </c>
      <c r="B6" s="1" t="s">
        <v>1158</v>
      </c>
      <c r="C6" s="2">
        <v>1301215</v>
      </c>
      <c r="D6" s="8">
        <v>1.2937300000000001E-3</v>
      </c>
    </row>
    <row r="7" spans="1:4" x14ac:dyDescent="0.2">
      <c r="A7" s="1">
        <v>2018</v>
      </c>
      <c r="B7" s="1" t="s">
        <v>1159</v>
      </c>
      <c r="C7" s="2">
        <v>11632</v>
      </c>
      <c r="D7" s="8">
        <v>1.1569999999999999E-5</v>
      </c>
    </row>
    <row r="8" spans="1:4" x14ac:dyDescent="0.2">
      <c r="A8" s="1">
        <v>2018</v>
      </c>
      <c r="B8" s="1" t="s">
        <v>1160</v>
      </c>
      <c r="C8" s="2">
        <v>2679148</v>
      </c>
      <c r="D8" s="8">
        <v>2.66373E-3</v>
      </c>
    </row>
    <row r="9" spans="1:4" x14ac:dyDescent="0.2">
      <c r="A9" s="1">
        <v>2018</v>
      </c>
      <c r="B9" s="1" t="s">
        <v>1161</v>
      </c>
      <c r="C9" s="2">
        <v>1033708</v>
      </c>
      <c r="D9" s="8">
        <v>1.02776E-3</v>
      </c>
    </row>
    <row r="10" spans="1:4" x14ac:dyDescent="0.2">
      <c r="A10" s="1">
        <v>2018</v>
      </c>
      <c r="B10" s="1" t="s">
        <v>1162</v>
      </c>
      <c r="C10" s="2">
        <v>2661788</v>
      </c>
      <c r="D10" s="8">
        <v>2.6464700000000002E-3</v>
      </c>
    </row>
    <row r="11" spans="1:4" x14ac:dyDescent="0.2">
      <c r="A11" s="1">
        <v>2018</v>
      </c>
      <c r="B11" s="1" t="s">
        <v>1163</v>
      </c>
      <c r="C11" s="2">
        <v>839012</v>
      </c>
      <c r="D11" s="8">
        <v>8.3418000000000001E-4</v>
      </c>
    </row>
    <row r="12" spans="1:4" x14ac:dyDescent="0.2">
      <c r="A12" s="1">
        <v>2018</v>
      </c>
      <c r="B12" s="1" t="s">
        <v>1164</v>
      </c>
      <c r="C12" s="2">
        <v>4544686</v>
      </c>
      <c r="D12" s="8">
        <v>4.5185299999999998E-3</v>
      </c>
    </row>
    <row r="13" spans="1:4" x14ac:dyDescent="0.2">
      <c r="A13" s="1">
        <v>2018</v>
      </c>
      <c r="B13" s="1" t="s">
        <v>1165</v>
      </c>
      <c r="C13" s="2">
        <v>1055164</v>
      </c>
      <c r="D13" s="8">
        <v>1.0490899999999999E-3</v>
      </c>
    </row>
    <row r="14" spans="1:4" x14ac:dyDescent="0.2">
      <c r="A14" s="1">
        <v>2018</v>
      </c>
      <c r="B14" s="1" t="s">
        <v>1166</v>
      </c>
      <c r="C14" s="2">
        <v>364163</v>
      </c>
      <c r="D14" s="8">
        <v>3.6206999999999998E-4</v>
      </c>
    </row>
    <row r="15" spans="1:4" x14ac:dyDescent="0.2">
      <c r="A15" s="1">
        <v>2018</v>
      </c>
      <c r="B15" s="1" t="s">
        <v>1167</v>
      </c>
      <c r="C15" s="2">
        <v>700268</v>
      </c>
      <c r="D15" s="8">
        <v>6.9623999999999999E-4</v>
      </c>
    </row>
    <row r="16" spans="1:4" x14ac:dyDescent="0.2">
      <c r="A16" s="1">
        <v>2018</v>
      </c>
      <c r="B16" s="1" t="s">
        <v>1168</v>
      </c>
      <c r="C16" s="2">
        <v>1247202</v>
      </c>
      <c r="D16" s="8">
        <v>1.2400200000000001E-3</v>
      </c>
    </row>
    <row r="17" spans="1:4" x14ac:dyDescent="0.2">
      <c r="A17" s="1">
        <v>2018</v>
      </c>
      <c r="B17" s="1" t="s">
        <v>1169</v>
      </c>
      <c r="C17" s="2">
        <v>17673</v>
      </c>
      <c r="D17" s="8">
        <v>1.7569999999999999E-5</v>
      </c>
    </row>
    <row r="18" spans="1:4" x14ac:dyDescent="0.2">
      <c r="A18" s="1">
        <v>2018</v>
      </c>
      <c r="B18" s="1" t="s">
        <v>1170</v>
      </c>
      <c r="C18" s="2">
        <v>28779</v>
      </c>
      <c r="D18" s="8">
        <v>2.8609999999999999E-5</v>
      </c>
    </row>
    <row r="19" spans="1:4" x14ac:dyDescent="0.2">
      <c r="A19" s="1">
        <v>2018</v>
      </c>
      <c r="B19" s="1" t="s">
        <v>1171</v>
      </c>
      <c r="C19" s="2">
        <v>162406</v>
      </c>
      <c r="D19" s="8">
        <v>1.6147000000000001E-4</v>
      </c>
    </row>
    <row r="20" spans="1:4" x14ac:dyDescent="0.2">
      <c r="A20" s="1">
        <v>2018</v>
      </c>
      <c r="B20" s="1" t="s">
        <v>1172</v>
      </c>
      <c r="C20" s="2">
        <v>20537</v>
      </c>
      <c r="D20" s="8">
        <v>2.0420000000000001E-5</v>
      </c>
    </row>
    <row r="21" spans="1:4" x14ac:dyDescent="0.2">
      <c r="A21" s="1">
        <v>2018</v>
      </c>
      <c r="B21" s="1" t="s">
        <v>1173</v>
      </c>
      <c r="C21" s="2">
        <v>921437</v>
      </c>
      <c r="D21" s="8">
        <v>9.1613000000000003E-4</v>
      </c>
    </row>
    <row r="22" spans="1:4" x14ac:dyDescent="0.2">
      <c r="A22" s="1">
        <v>2018</v>
      </c>
      <c r="B22" s="1" t="s">
        <v>1174</v>
      </c>
      <c r="C22" s="2">
        <v>11450</v>
      </c>
      <c r="D22" s="8">
        <v>1.1379999999999999E-5</v>
      </c>
    </row>
    <row r="23" spans="1:4" x14ac:dyDescent="0.2">
      <c r="A23" s="1">
        <v>2018</v>
      </c>
      <c r="B23" s="1" t="s">
        <v>1175</v>
      </c>
      <c r="C23" s="2">
        <v>12125</v>
      </c>
      <c r="D23" s="8">
        <v>1.205E-5</v>
      </c>
    </row>
    <row r="24" spans="1:4" x14ac:dyDescent="0.2">
      <c r="A24" s="1">
        <v>2018</v>
      </c>
      <c r="B24" s="1" t="s">
        <v>1176</v>
      </c>
      <c r="C24" s="2">
        <v>85735</v>
      </c>
      <c r="D24" s="8">
        <v>8.5240000000000004E-5</v>
      </c>
    </row>
    <row r="25" spans="1:4" x14ac:dyDescent="0.2">
      <c r="A25" s="1">
        <v>2018</v>
      </c>
      <c r="B25" s="1" t="s">
        <v>1177</v>
      </c>
      <c r="C25" s="2">
        <v>33721</v>
      </c>
      <c r="D25" s="8">
        <v>3.3529999999999999E-5</v>
      </c>
    </row>
    <row r="26" spans="1:4" x14ac:dyDescent="0.2">
      <c r="A26" s="1">
        <v>2018</v>
      </c>
      <c r="B26" s="1" t="s">
        <v>1178</v>
      </c>
      <c r="C26" s="2">
        <v>1053499</v>
      </c>
      <c r="D26" s="8">
        <v>1.04744E-3</v>
      </c>
    </row>
    <row r="27" spans="1:4" x14ac:dyDescent="0.2">
      <c r="A27" s="1">
        <v>2018</v>
      </c>
      <c r="B27" s="1" t="s">
        <v>1179</v>
      </c>
      <c r="C27" s="2">
        <v>502173</v>
      </c>
      <c r="D27" s="8">
        <v>4.9927999999999995E-4</v>
      </c>
    </row>
    <row r="28" spans="1:4" x14ac:dyDescent="0.2">
      <c r="A28" s="1">
        <v>2018</v>
      </c>
      <c r="B28" s="1" t="s">
        <v>1180</v>
      </c>
      <c r="C28" s="2">
        <v>17369</v>
      </c>
      <c r="D28" s="8">
        <v>1.7269999999999999E-5</v>
      </c>
    </row>
    <row r="29" spans="1:4" x14ac:dyDescent="0.2">
      <c r="A29" s="1">
        <v>2018</v>
      </c>
      <c r="B29" s="1" t="s">
        <v>1181</v>
      </c>
      <c r="C29" s="2">
        <v>2940954</v>
      </c>
      <c r="D29" s="8">
        <v>2.9240300000000002E-3</v>
      </c>
    </row>
    <row r="30" spans="1:4" x14ac:dyDescent="0.2">
      <c r="A30" s="1">
        <v>2018</v>
      </c>
      <c r="B30" s="1" t="s">
        <v>1182</v>
      </c>
      <c r="C30" s="2">
        <v>198156</v>
      </c>
      <c r="D30" s="8">
        <v>1.9702000000000001E-4</v>
      </c>
    </row>
    <row r="31" spans="1:4" x14ac:dyDescent="0.2">
      <c r="A31" s="1">
        <v>2018</v>
      </c>
      <c r="B31" s="1" t="s">
        <v>1183</v>
      </c>
      <c r="C31" s="2">
        <v>13049</v>
      </c>
      <c r="D31" s="8">
        <v>1.2969999999999999E-5</v>
      </c>
    </row>
    <row r="32" spans="1:4" x14ac:dyDescent="0.2">
      <c r="A32" s="1">
        <v>2018</v>
      </c>
      <c r="B32" s="1" t="s">
        <v>1184</v>
      </c>
      <c r="C32" s="2">
        <v>713423</v>
      </c>
      <c r="D32" s="8">
        <v>7.0932000000000005E-4</v>
      </c>
    </row>
    <row r="33" spans="1:4" x14ac:dyDescent="0.2">
      <c r="A33" s="1">
        <v>2018</v>
      </c>
      <c r="B33" s="1" t="s">
        <v>1185</v>
      </c>
      <c r="C33" s="2">
        <v>864825</v>
      </c>
      <c r="D33" s="8">
        <v>8.5985E-4</v>
      </c>
    </row>
    <row r="34" spans="1:4" x14ac:dyDescent="0.2">
      <c r="A34" s="1">
        <v>2018</v>
      </c>
      <c r="B34" s="1" t="s">
        <v>1186</v>
      </c>
      <c r="C34" s="2">
        <v>13222</v>
      </c>
      <c r="D34" s="8">
        <v>1.3149999999999999E-5</v>
      </c>
    </row>
    <row r="35" spans="1:4" x14ac:dyDescent="0.2">
      <c r="A35" s="1">
        <v>2018</v>
      </c>
      <c r="B35" s="1" t="s">
        <v>1187</v>
      </c>
      <c r="C35" s="2">
        <v>23912</v>
      </c>
      <c r="D35" s="8">
        <v>2.3770000000000001E-5</v>
      </c>
    </row>
    <row r="36" spans="1:4" x14ac:dyDescent="0.2">
      <c r="A36" s="1">
        <v>2018</v>
      </c>
      <c r="B36" s="1" t="s">
        <v>1188</v>
      </c>
      <c r="C36" s="2">
        <v>981041</v>
      </c>
      <c r="D36" s="8">
        <v>9.7539999999999996E-4</v>
      </c>
    </row>
    <row r="37" spans="1:4" x14ac:dyDescent="0.2">
      <c r="A37" s="1">
        <v>2018</v>
      </c>
      <c r="B37" s="1" t="s">
        <v>1189</v>
      </c>
      <c r="C37" s="2">
        <v>180320</v>
      </c>
      <c r="D37" s="8">
        <v>1.7928E-4</v>
      </c>
    </row>
    <row r="38" spans="1:4" x14ac:dyDescent="0.2">
      <c r="A38" s="1">
        <v>2018</v>
      </c>
      <c r="B38" s="1" t="s">
        <v>1190</v>
      </c>
      <c r="C38" s="2">
        <v>628296</v>
      </c>
      <c r="D38" s="8">
        <v>6.2467999999999996E-4</v>
      </c>
    </row>
    <row r="39" spans="1:4" x14ac:dyDescent="0.2">
      <c r="A39" s="1">
        <v>2018</v>
      </c>
      <c r="B39" s="1" t="s">
        <v>1191</v>
      </c>
      <c r="C39" s="2">
        <v>1621401</v>
      </c>
      <c r="D39" s="8">
        <v>1.61207E-3</v>
      </c>
    </row>
    <row r="40" spans="1:4" x14ac:dyDescent="0.2">
      <c r="A40" s="1">
        <v>2018</v>
      </c>
      <c r="B40" s="1" t="s">
        <v>1192</v>
      </c>
      <c r="C40" s="2">
        <v>41589</v>
      </c>
      <c r="D40" s="8">
        <v>4.1350000000000002E-5</v>
      </c>
    </row>
    <row r="41" spans="1:4" x14ac:dyDescent="0.2">
      <c r="A41" s="1">
        <v>2018</v>
      </c>
      <c r="B41" s="1" t="s">
        <v>1193</v>
      </c>
      <c r="C41" s="2">
        <v>18331</v>
      </c>
      <c r="D41" s="8">
        <v>1.823E-5</v>
      </c>
    </row>
    <row r="42" spans="1:4" x14ac:dyDescent="0.2">
      <c r="A42" s="1">
        <v>2018</v>
      </c>
      <c r="B42" s="1" t="s">
        <v>1194</v>
      </c>
      <c r="C42" s="2">
        <v>32489</v>
      </c>
      <c r="D42" s="8">
        <v>3.2299999999999999E-5</v>
      </c>
    </row>
    <row r="43" spans="1:4" x14ac:dyDescent="0.2">
      <c r="A43" s="1">
        <v>2018</v>
      </c>
      <c r="B43" s="1" t="s">
        <v>1195</v>
      </c>
      <c r="C43" s="2">
        <v>123218</v>
      </c>
      <c r="D43" s="8">
        <v>1.2250999999999999E-4</v>
      </c>
    </row>
    <row r="44" spans="1:4" x14ac:dyDescent="0.2">
      <c r="A44" s="1">
        <v>2018</v>
      </c>
      <c r="B44" s="1" t="s">
        <v>1196</v>
      </c>
      <c r="C44" s="2">
        <v>163462</v>
      </c>
      <c r="D44" s="8">
        <v>1.6252000000000001E-4</v>
      </c>
    </row>
    <row r="45" spans="1:4" x14ac:dyDescent="0.2">
      <c r="A45" s="1">
        <v>2018</v>
      </c>
      <c r="B45" s="1" t="s">
        <v>1197</v>
      </c>
      <c r="C45" s="2">
        <v>5817</v>
      </c>
      <c r="D45" s="8">
        <v>5.7799999999999997E-6</v>
      </c>
    </row>
    <row r="46" spans="1:4" x14ac:dyDescent="0.2">
      <c r="A46" s="1">
        <v>2018</v>
      </c>
      <c r="B46" s="1" t="s">
        <v>1198</v>
      </c>
      <c r="C46" s="2">
        <v>951657</v>
      </c>
      <c r="D46" s="8">
        <v>9.4618000000000002E-4</v>
      </c>
    </row>
    <row r="47" spans="1:4" x14ac:dyDescent="0.2">
      <c r="A47" s="1">
        <v>2018</v>
      </c>
      <c r="B47" s="1" t="s">
        <v>1199</v>
      </c>
      <c r="C47" s="2">
        <v>315359</v>
      </c>
      <c r="D47" s="8">
        <v>3.1354000000000001E-4</v>
      </c>
    </row>
    <row r="48" spans="1:4" x14ac:dyDescent="0.2">
      <c r="A48" s="1">
        <v>2018</v>
      </c>
      <c r="B48" s="1" t="s">
        <v>1200</v>
      </c>
      <c r="C48" s="2">
        <v>11650</v>
      </c>
      <c r="D48" s="8">
        <v>1.1579999999999999E-5</v>
      </c>
    </row>
    <row r="49" spans="1:4" x14ac:dyDescent="0.2">
      <c r="A49" s="1">
        <v>2018</v>
      </c>
      <c r="B49" s="1" t="s">
        <v>1201</v>
      </c>
      <c r="C49" s="2">
        <v>21144</v>
      </c>
      <c r="D49" s="8">
        <v>2.1019999999999999E-5</v>
      </c>
    </row>
    <row r="50" spans="1:4" x14ac:dyDescent="0.2">
      <c r="A50" s="1">
        <v>2018</v>
      </c>
      <c r="B50" s="1" t="s">
        <v>1202</v>
      </c>
      <c r="C50" s="2">
        <v>4636963</v>
      </c>
      <c r="D50" s="8">
        <v>4.6102799999999996E-3</v>
      </c>
    </row>
    <row r="51" spans="1:4" x14ac:dyDescent="0.2">
      <c r="A51" s="1">
        <v>2018</v>
      </c>
      <c r="B51" s="1" t="s">
        <v>1203</v>
      </c>
      <c r="C51" s="2">
        <v>287275</v>
      </c>
      <c r="D51" s="8">
        <v>2.8561999999999999E-4</v>
      </c>
    </row>
    <row r="52" spans="1:4" x14ac:dyDescent="0.2">
      <c r="A52" s="1">
        <v>2018</v>
      </c>
      <c r="B52" s="1" t="s">
        <v>1204</v>
      </c>
      <c r="C52" s="2">
        <v>5039879</v>
      </c>
      <c r="D52" s="8">
        <v>5.0108799999999997E-3</v>
      </c>
    </row>
    <row r="53" spans="1:4" x14ac:dyDescent="0.2">
      <c r="A53" s="1">
        <v>2018</v>
      </c>
      <c r="B53" s="1" t="s">
        <v>1205</v>
      </c>
      <c r="C53" s="2">
        <v>10556</v>
      </c>
      <c r="D53" s="8">
        <v>1.0499999999999999E-5</v>
      </c>
    </row>
    <row r="54" spans="1:4" x14ac:dyDescent="0.2">
      <c r="A54" s="1">
        <v>2018</v>
      </c>
      <c r="B54" s="1" t="s">
        <v>1206</v>
      </c>
      <c r="C54" s="2">
        <v>7324</v>
      </c>
      <c r="D54" s="8">
        <v>7.2799999999999998E-6</v>
      </c>
    </row>
    <row r="55" spans="1:4" x14ac:dyDescent="0.2">
      <c r="A55" s="1">
        <v>2018</v>
      </c>
      <c r="B55" s="1" t="s">
        <v>1207</v>
      </c>
      <c r="C55" s="2">
        <v>11025</v>
      </c>
      <c r="D55" s="8">
        <v>1.096E-5</v>
      </c>
    </row>
    <row r="56" spans="1:4" x14ac:dyDescent="0.2">
      <c r="A56" s="1">
        <v>2018</v>
      </c>
      <c r="B56" s="1" t="s">
        <v>1208</v>
      </c>
      <c r="C56" s="2">
        <v>51159</v>
      </c>
      <c r="D56" s="8">
        <v>5.0859999999999998E-5</v>
      </c>
    </row>
    <row r="57" spans="1:4" x14ac:dyDescent="0.2">
      <c r="A57" s="1">
        <v>2018</v>
      </c>
      <c r="B57" s="1" t="s">
        <v>1209</v>
      </c>
      <c r="C57" s="2">
        <v>55076</v>
      </c>
      <c r="D57" s="8">
        <v>5.4759999999999997E-5</v>
      </c>
    </row>
    <row r="58" spans="1:4" x14ac:dyDescent="0.2">
      <c r="A58" s="1">
        <v>2018</v>
      </c>
      <c r="B58" s="1" t="s">
        <v>1210</v>
      </c>
      <c r="C58" s="2">
        <v>1223530</v>
      </c>
      <c r="D58" s="8">
        <v>1.21649E-3</v>
      </c>
    </row>
    <row r="59" spans="1:4" x14ac:dyDescent="0.2">
      <c r="A59" s="1">
        <v>2018</v>
      </c>
      <c r="B59" s="1" t="s">
        <v>1211</v>
      </c>
      <c r="C59" s="2">
        <v>4203</v>
      </c>
      <c r="D59" s="8">
        <v>4.1799999999999998E-6</v>
      </c>
    </row>
    <row r="60" spans="1:4" x14ac:dyDescent="0.2">
      <c r="A60" s="1">
        <v>2018</v>
      </c>
      <c r="B60" s="1" t="s">
        <v>1212</v>
      </c>
      <c r="C60" s="2">
        <v>55401</v>
      </c>
      <c r="D60" s="8">
        <v>5.5080000000000001E-5</v>
      </c>
    </row>
    <row r="61" spans="1:4" x14ac:dyDescent="0.2">
      <c r="A61" s="1">
        <v>2018</v>
      </c>
      <c r="B61" s="1" t="s">
        <v>1213</v>
      </c>
      <c r="C61" s="2">
        <v>433771</v>
      </c>
      <c r="D61" s="8">
        <v>4.3126999999999998E-4</v>
      </c>
    </row>
    <row r="62" spans="1:4" x14ac:dyDescent="0.2">
      <c r="A62" s="1">
        <v>2018</v>
      </c>
      <c r="B62" s="1" t="s">
        <v>1214</v>
      </c>
      <c r="C62" s="2">
        <v>134676</v>
      </c>
      <c r="D62" s="8">
        <v>1.339E-4</v>
      </c>
    </row>
    <row r="63" spans="1:4" x14ac:dyDescent="0.2">
      <c r="A63" s="1">
        <v>2018</v>
      </c>
      <c r="B63" s="1" t="s">
        <v>1215</v>
      </c>
      <c r="C63" s="2">
        <v>44182</v>
      </c>
      <c r="D63" s="8">
        <v>4.3930000000000001E-5</v>
      </c>
    </row>
    <row r="64" spans="1:4" x14ac:dyDescent="0.2">
      <c r="A64" s="1">
        <v>2018</v>
      </c>
      <c r="B64" s="1" t="s">
        <v>1216</v>
      </c>
      <c r="C64" s="2">
        <v>1004763</v>
      </c>
      <c r="D64" s="8">
        <v>9.9898000000000001E-4</v>
      </c>
    </row>
    <row r="65" spans="1:4" x14ac:dyDescent="0.2">
      <c r="A65" s="1">
        <v>2018</v>
      </c>
      <c r="B65" s="1" t="s">
        <v>1217</v>
      </c>
      <c r="C65" s="2">
        <v>2656984</v>
      </c>
      <c r="D65" s="8">
        <v>2.6416899999999999E-3</v>
      </c>
    </row>
    <row r="66" spans="1:4" x14ac:dyDescent="0.2">
      <c r="A66" s="1">
        <v>2018</v>
      </c>
      <c r="B66" s="1" t="s">
        <v>1218</v>
      </c>
      <c r="C66" s="2">
        <v>27303</v>
      </c>
      <c r="D66" s="8">
        <v>2.7149999999999999E-5</v>
      </c>
    </row>
    <row r="67" spans="1:4" x14ac:dyDescent="0.2">
      <c r="A67" s="1">
        <v>2018</v>
      </c>
      <c r="B67" s="1" t="s">
        <v>1219</v>
      </c>
      <c r="C67" s="2">
        <v>1058877</v>
      </c>
      <c r="D67" s="8">
        <v>1.0527799999999999E-3</v>
      </c>
    </row>
    <row r="68" spans="1:4" x14ac:dyDescent="0.2">
      <c r="A68" s="1">
        <v>2018</v>
      </c>
      <c r="B68" s="1" t="s">
        <v>1220</v>
      </c>
      <c r="C68" s="2">
        <v>875189</v>
      </c>
      <c r="D68" s="8">
        <v>8.7014999999999998E-4</v>
      </c>
    </row>
    <row r="69" spans="1:4" x14ac:dyDescent="0.2">
      <c r="A69" s="1">
        <v>2018</v>
      </c>
      <c r="B69" s="1" t="s">
        <v>1221</v>
      </c>
      <c r="C69" s="2">
        <v>2676668</v>
      </c>
      <c r="D69" s="8">
        <v>2.6612599999999999E-3</v>
      </c>
    </row>
    <row r="70" spans="1:4" x14ac:dyDescent="0.2">
      <c r="A70" s="1">
        <v>2018</v>
      </c>
      <c r="B70" s="1" t="s">
        <v>1222</v>
      </c>
      <c r="C70" s="2">
        <v>48913</v>
      </c>
      <c r="D70" s="8">
        <v>4.863E-5</v>
      </c>
    </row>
    <row r="71" spans="1:4" x14ac:dyDescent="0.2">
      <c r="A71" s="1">
        <v>2018</v>
      </c>
      <c r="B71" s="1" t="s">
        <v>1223</v>
      </c>
      <c r="C71" s="2">
        <v>51996</v>
      </c>
      <c r="D71" s="8">
        <v>5.1700000000000003E-5</v>
      </c>
    </row>
    <row r="72" spans="1:4" x14ac:dyDescent="0.2">
      <c r="A72" s="1">
        <v>2018</v>
      </c>
      <c r="B72" s="1" t="s">
        <v>1224</v>
      </c>
      <c r="C72" s="2">
        <v>111034</v>
      </c>
      <c r="D72" s="8">
        <v>1.104E-4</v>
      </c>
    </row>
    <row r="73" spans="1:4" x14ac:dyDescent="0.2">
      <c r="A73" s="1">
        <v>2018</v>
      </c>
      <c r="B73" s="1" t="s">
        <v>1225</v>
      </c>
      <c r="C73" s="2">
        <v>31435</v>
      </c>
      <c r="D73" s="8">
        <v>3.1250000000000001E-5</v>
      </c>
    </row>
    <row r="74" spans="1:4" x14ac:dyDescent="0.2">
      <c r="A74" s="1">
        <v>2018</v>
      </c>
      <c r="B74" s="1" t="s">
        <v>1226</v>
      </c>
      <c r="C74" s="2">
        <v>1256622</v>
      </c>
      <c r="D74" s="8">
        <v>1.24939E-3</v>
      </c>
    </row>
    <row r="75" spans="1:4" x14ac:dyDescent="0.2">
      <c r="A75" s="1">
        <v>2018</v>
      </c>
      <c r="B75" s="1" t="s">
        <v>1227</v>
      </c>
      <c r="C75" s="2">
        <v>28523</v>
      </c>
      <c r="D75" s="8">
        <v>2.836E-5</v>
      </c>
    </row>
    <row r="76" spans="1:4" x14ac:dyDescent="0.2">
      <c r="A76" s="1">
        <v>2018</v>
      </c>
      <c r="B76" s="1" t="s">
        <v>1228</v>
      </c>
      <c r="C76" s="2">
        <v>191157</v>
      </c>
      <c r="D76" s="8">
        <v>1.9006000000000001E-4</v>
      </c>
    </row>
    <row r="77" spans="1:4" x14ac:dyDescent="0.2">
      <c r="A77" s="1">
        <v>2018</v>
      </c>
      <c r="B77" s="1" t="s">
        <v>1229</v>
      </c>
      <c r="C77" s="2">
        <v>56334</v>
      </c>
      <c r="D77" s="8">
        <v>5.6010000000000001E-5</v>
      </c>
    </row>
    <row r="78" spans="1:4" x14ac:dyDescent="0.2">
      <c r="A78" s="1">
        <v>2018</v>
      </c>
      <c r="B78" s="1" t="s">
        <v>1230</v>
      </c>
      <c r="C78" s="2">
        <v>60499</v>
      </c>
      <c r="D78" s="8">
        <v>6.0149999999999998E-5</v>
      </c>
    </row>
    <row r="79" spans="1:4" x14ac:dyDescent="0.2">
      <c r="A79" s="1">
        <v>2018</v>
      </c>
      <c r="B79" s="1" t="s">
        <v>1231</v>
      </c>
      <c r="C79" s="2">
        <v>66475</v>
      </c>
      <c r="D79" s="8">
        <v>6.6089999999999999E-5</v>
      </c>
    </row>
    <row r="80" spans="1:4" x14ac:dyDescent="0.2">
      <c r="A80" s="1">
        <v>2018</v>
      </c>
      <c r="B80" s="1" t="s">
        <v>1232</v>
      </c>
      <c r="C80" s="2">
        <v>1877459</v>
      </c>
      <c r="D80" s="8">
        <v>1.8666500000000001E-3</v>
      </c>
    </row>
    <row r="81" spans="1:4" x14ac:dyDescent="0.2">
      <c r="A81" s="1">
        <v>2018</v>
      </c>
      <c r="B81" s="1" t="s">
        <v>1233</v>
      </c>
      <c r="C81" s="2">
        <v>346801</v>
      </c>
      <c r="D81" s="8">
        <v>3.4480999999999997E-4</v>
      </c>
    </row>
    <row r="82" spans="1:4" x14ac:dyDescent="0.2">
      <c r="A82" s="1">
        <v>2018</v>
      </c>
      <c r="B82" s="1" t="s">
        <v>1234</v>
      </c>
      <c r="C82" s="2">
        <v>2434</v>
      </c>
      <c r="D82" s="8">
        <v>2.4200000000000001E-6</v>
      </c>
    </row>
    <row r="83" spans="1:4" x14ac:dyDescent="0.2">
      <c r="A83" s="1">
        <v>2018</v>
      </c>
      <c r="B83" s="1" t="s">
        <v>1235</v>
      </c>
      <c r="C83" s="2">
        <v>634207</v>
      </c>
      <c r="D83" s="8">
        <v>6.3055999999999995E-4</v>
      </c>
    </row>
    <row r="84" spans="1:4" x14ac:dyDescent="0.2">
      <c r="A84" s="1">
        <v>2018</v>
      </c>
      <c r="B84" s="1" t="s">
        <v>1236</v>
      </c>
      <c r="C84" s="2">
        <v>17760</v>
      </c>
      <c r="D84" s="8">
        <v>1.766E-5</v>
      </c>
    </row>
    <row r="85" spans="1:4" x14ac:dyDescent="0.2">
      <c r="A85" s="1">
        <v>2018</v>
      </c>
      <c r="B85" s="1" t="s">
        <v>1237</v>
      </c>
      <c r="C85" s="2">
        <v>48420</v>
      </c>
      <c r="D85" s="8">
        <v>4.8140000000000003E-5</v>
      </c>
    </row>
    <row r="86" spans="1:4" x14ac:dyDescent="0.2">
      <c r="A86" s="1">
        <v>2018</v>
      </c>
      <c r="B86" s="1" t="s">
        <v>1238</v>
      </c>
      <c r="C86" s="2">
        <v>2576105</v>
      </c>
      <c r="D86" s="8">
        <v>2.56128E-3</v>
      </c>
    </row>
    <row r="87" spans="1:4" x14ac:dyDescent="0.2">
      <c r="A87" s="1">
        <v>2018</v>
      </c>
      <c r="B87" s="1" t="s">
        <v>1239</v>
      </c>
      <c r="C87" s="2">
        <v>615564</v>
      </c>
      <c r="D87" s="8">
        <v>6.1202000000000001E-4</v>
      </c>
    </row>
    <row r="88" spans="1:4" x14ac:dyDescent="0.2">
      <c r="A88" s="1">
        <v>2018</v>
      </c>
      <c r="B88" s="1" t="s">
        <v>1240</v>
      </c>
      <c r="C88" s="2">
        <v>8449</v>
      </c>
      <c r="D88" s="8">
        <v>8.3999999999999992E-6</v>
      </c>
    </row>
    <row r="89" spans="1:4" x14ac:dyDescent="0.2">
      <c r="A89" s="1">
        <v>2018</v>
      </c>
      <c r="B89" s="1" t="s">
        <v>1241</v>
      </c>
      <c r="C89" s="2">
        <v>40492</v>
      </c>
      <c r="D89" s="8">
        <v>4.0259999999999997E-5</v>
      </c>
    </row>
    <row r="90" spans="1:4" x14ac:dyDescent="0.2">
      <c r="A90" s="1">
        <v>2018</v>
      </c>
      <c r="B90" s="1" t="s">
        <v>1242</v>
      </c>
      <c r="C90" s="2">
        <v>917169</v>
      </c>
      <c r="D90" s="8">
        <v>9.1189000000000005E-4</v>
      </c>
    </row>
    <row r="91" spans="1:4" x14ac:dyDescent="0.2">
      <c r="A91" s="1">
        <v>2018</v>
      </c>
      <c r="B91" s="1" t="s">
        <v>1243</v>
      </c>
      <c r="C91" s="2">
        <v>543839</v>
      </c>
      <c r="D91" s="8">
        <v>5.4071000000000002E-4</v>
      </c>
    </row>
    <row r="92" spans="1:4" x14ac:dyDescent="0.2">
      <c r="A92" s="1">
        <v>2018</v>
      </c>
      <c r="B92" s="1" t="s">
        <v>1244</v>
      </c>
      <c r="C92" s="2">
        <v>9295</v>
      </c>
      <c r="D92" s="8">
        <v>9.2399999999999996E-6</v>
      </c>
    </row>
    <row r="93" spans="1:4" x14ac:dyDescent="0.2">
      <c r="A93" s="1">
        <v>2018</v>
      </c>
      <c r="B93" s="1" t="s">
        <v>1245</v>
      </c>
      <c r="C93" s="2">
        <v>291856</v>
      </c>
      <c r="D93" s="8">
        <v>2.9018000000000002E-4</v>
      </c>
    </row>
    <row r="94" spans="1:4" x14ac:dyDescent="0.2">
      <c r="A94" s="1">
        <v>2018</v>
      </c>
      <c r="B94" s="1" t="s">
        <v>1246</v>
      </c>
      <c r="C94" s="2">
        <v>6375</v>
      </c>
      <c r="D94" s="8">
        <v>6.3400000000000003E-6</v>
      </c>
    </row>
    <row r="95" spans="1:4" x14ac:dyDescent="0.2">
      <c r="A95" s="1">
        <v>2018</v>
      </c>
      <c r="B95" s="1" t="s">
        <v>1247</v>
      </c>
      <c r="C95" s="2">
        <v>240868</v>
      </c>
      <c r="D95" s="8">
        <v>2.3948E-4</v>
      </c>
    </row>
    <row r="96" spans="1:4" x14ac:dyDescent="0.2">
      <c r="A96" s="1">
        <v>2018</v>
      </c>
      <c r="B96" s="1" t="s">
        <v>1248</v>
      </c>
      <c r="C96" s="2">
        <v>51297</v>
      </c>
      <c r="D96" s="8">
        <v>5.1E-5</v>
      </c>
    </row>
    <row r="97" spans="1:4" x14ac:dyDescent="0.2">
      <c r="A97" s="1">
        <v>2018</v>
      </c>
      <c r="B97" s="1" t="s">
        <v>1249</v>
      </c>
      <c r="C97" s="2">
        <v>80665</v>
      </c>
      <c r="D97" s="8">
        <v>8.0199999999999998E-5</v>
      </c>
    </row>
    <row r="98" spans="1:4" x14ac:dyDescent="0.2">
      <c r="A98" s="1">
        <v>2018</v>
      </c>
      <c r="B98" s="1" t="s">
        <v>1250</v>
      </c>
      <c r="C98" s="2">
        <v>112594</v>
      </c>
      <c r="D98" s="8">
        <v>1.1195E-4</v>
      </c>
    </row>
    <row r="99" spans="1:4" x14ac:dyDescent="0.2">
      <c r="A99" s="1">
        <v>2018</v>
      </c>
      <c r="B99" s="1" t="s">
        <v>1251</v>
      </c>
      <c r="C99" s="2">
        <v>332729</v>
      </c>
      <c r="D99" s="8">
        <v>3.3081000000000001E-4</v>
      </c>
    </row>
    <row r="100" spans="1:4" x14ac:dyDescent="0.2">
      <c r="A100" s="1">
        <v>2018</v>
      </c>
      <c r="B100" s="1" t="s">
        <v>1252</v>
      </c>
      <c r="C100" s="2">
        <v>608631</v>
      </c>
      <c r="D100" s="8">
        <v>6.0512999999999995E-4</v>
      </c>
    </row>
    <row r="101" spans="1:4" x14ac:dyDescent="0.2">
      <c r="A101" s="1">
        <v>2018</v>
      </c>
      <c r="B101" s="1" t="s">
        <v>1253</v>
      </c>
      <c r="C101" s="2">
        <v>76269</v>
      </c>
      <c r="D101" s="8">
        <v>7.5829999999999997E-5</v>
      </c>
    </row>
    <row r="102" spans="1:4" x14ac:dyDescent="0.2">
      <c r="A102" s="1">
        <v>2018</v>
      </c>
      <c r="B102" s="1" t="s">
        <v>1254</v>
      </c>
      <c r="C102" s="2">
        <v>1364143</v>
      </c>
      <c r="D102" s="8">
        <v>1.35629E-3</v>
      </c>
    </row>
    <row r="103" spans="1:4" x14ac:dyDescent="0.2">
      <c r="A103" s="1">
        <v>2018</v>
      </c>
      <c r="B103" s="1" t="s">
        <v>1255</v>
      </c>
      <c r="C103" s="2">
        <v>364821</v>
      </c>
      <c r="D103" s="8">
        <v>3.6272000000000002E-4</v>
      </c>
    </row>
    <row r="104" spans="1:4" x14ac:dyDescent="0.2">
      <c r="A104" s="1">
        <v>2018</v>
      </c>
      <c r="B104" s="1" t="s">
        <v>1256</v>
      </c>
      <c r="C104" s="2">
        <v>11571</v>
      </c>
      <c r="D104" s="8">
        <v>1.15E-5</v>
      </c>
    </row>
    <row r="105" spans="1:4" x14ac:dyDescent="0.2">
      <c r="A105" s="1">
        <v>2018</v>
      </c>
      <c r="B105" s="1" t="s">
        <v>1257</v>
      </c>
      <c r="C105" s="2">
        <v>527858</v>
      </c>
      <c r="D105" s="8">
        <v>5.2481999999999995E-4</v>
      </c>
    </row>
    <row r="106" spans="1:4" x14ac:dyDescent="0.2">
      <c r="A106" s="1">
        <v>2018</v>
      </c>
      <c r="B106" s="1" t="s">
        <v>1258</v>
      </c>
      <c r="C106" s="2">
        <v>1429740</v>
      </c>
      <c r="D106" s="8">
        <v>1.42151E-3</v>
      </c>
    </row>
    <row r="107" spans="1:4" x14ac:dyDescent="0.2">
      <c r="A107" s="1">
        <v>2018</v>
      </c>
      <c r="B107" s="1" t="s">
        <v>1259</v>
      </c>
      <c r="C107" s="2">
        <v>66436</v>
      </c>
      <c r="D107" s="8">
        <v>6.6050000000000006E-5</v>
      </c>
    </row>
    <row r="108" spans="1:4" x14ac:dyDescent="0.2">
      <c r="A108" s="1">
        <v>2018</v>
      </c>
      <c r="B108" s="1" t="s">
        <v>1260</v>
      </c>
      <c r="C108" s="2">
        <v>127439</v>
      </c>
      <c r="D108" s="8">
        <v>1.2671000000000001E-4</v>
      </c>
    </row>
    <row r="109" spans="1:4" x14ac:dyDescent="0.2">
      <c r="A109" s="1">
        <v>2018</v>
      </c>
      <c r="B109" s="1" t="s">
        <v>1261</v>
      </c>
      <c r="C109" s="2">
        <v>1344961</v>
      </c>
      <c r="D109" s="8">
        <v>1.3372200000000001E-3</v>
      </c>
    </row>
    <row r="110" spans="1:4" x14ac:dyDescent="0.2">
      <c r="A110" s="1">
        <v>2018</v>
      </c>
      <c r="B110" s="1" t="s">
        <v>1262</v>
      </c>
      <c r="C110" s="2">
        <v>518203</v>
      </c>
      <c r="D110" s="8">
        <v>5.1522000000000004E-4</v>
      </c>
    </row>
    <row r="111" spans="1:4" x14ac:dyDescent="0.2">
      <c r="A111" s="1">
        <v>2018</v>
      </c>
      <c r="B111" s="1" t="s">
        <v>1263</v>
      </c>
      <c r="C111" s="2">
        <v>479974</v>
      </c>
      <c r="D111" s="8">
        <v>4.7720999999999999E-4</v>
      </c>
    </row>
    <row r="112" spans="1:4" x14ac:dyDescent="0.2">
      <c r="A112" s="1">
        <v>2018</v>
      </c>
      <c r="B112" s="1" t="s">
        <v>1264</v>
      </c>
      <c r="C112" s="2">
        <v>70347</v>
      </c>
      <c r="D112" s="8">
        <v>6.9939999999999998E-5</v>
      </c>
    </row>
    <row r="113" spans="1:4" x14ac:dyDescent="0.2">
      <c r="A113" s="1">
        <v>2018</v>
      </c>
      <c r="B113" s="1" t="s">
        <v>1265</v>
      </c>
      <c r="C113" s="2">
        <v>610486</v>
      </c>
      <c r="D113" s="8">
        <v>6.0696999999999997E-4</v>
      </c>
    </row>
    <row r="114" spans="1:4" x14ac:dyDescent="0.2">
      <c r="A114" s="1">
        <v>2018</v>
      </c>
      <c r="B114" s="1" t="s">
        <v>1266</v>
      </c>
      <c r="C114" s="2">
        <v>879946</v>
      </c>
      <c r="D114" s="8">
        <v>8.7487999999999997E-4</v>
      </c>
    </row>
    <row r="115" spans="1:4" x14ac:dyDescent="0.2">
      <c r="A115" s="1">
        <v>2018</v>
      </c>
      <c r="B115" s="1" t="s">
        <v>1267</v>
      </c>
      <c r="C115" s="2">
        <v>82610</v>
      </c>
      <c r="D115" s="8">
        <v>8.2130000000000001E-5</v>
      </c>
    </row>
    <row r="116" spans="1:4" x14ac:dyDescent="0.2">
      <c r="A116" s="1">
        <v>2018</v>
      </c>
      <c r="B116" s="1" t="s">
        <v>1268</v>
      </c>
      <c r="C116" s="2">
        <v>1980967</v>
      </c>
      <c r="D116" s="8">
        <v>1.9695699999999999E-3</v>
      </c>
    </row>
    <row r="117" spans="1:4" x14ac:dyDescent="0.2">
      <c r="A117" s="1">
        <v>2018</v>
      </c>
      <c r="B117" s="1" t="s">
        <v>1269</v>
      </c>
      <c r="C117" s="2">
        <v>28651</v>
      </c>
      <c r="D117" s="8">
        <v>2.849E-5</v>
      </c>
    </row>
    <row r="118" spans="1:4" x14ac:dyDescent="0.2">
      <c r="A118" s="1">
        <v>2018</v>
      </c>
      <c r="B118" s="1" t="s">
        <v>1270</v>
      </c>
      <c r="C118" s="2">
        <v>648566</v>
      </c>
      <c r="D118" s="8">
        <v>6.4482999999999999E-4</v>
      </c>
    </row>
    <row r="119" spans="1:4" x14ac:dyDescent="0.2">
      <c r="A119" s="1">
        <v>2018</v>
      </c>
      <c r="B119" s="1" t="s">
        <v>1271</v>
      </c>
      <c r="C119" s="2">
        <v>509981</v>
      </c>
      <c r="D119" s="8">
        <v>5.0704999999999999E-4</v>
      </c>
    </row>
    <row r="120" spans="1:4" x14ac:dyDescent="0.2">
      <c r="A120" s="1">
        <v>2018</v>
      </c>
      <c r="B120" s="1" t="s">
        <v>1272</v>
      </c>
      <c r="C120" s="2">
        <v>27102</v>
      </c>
      <c r="D120" s="8">
        <v>2.6950000000000001E-5</v>
      </c>
    </row>
    <row r="121" spans="1:4" x14ac:dyDescent="0.2">
      <c r="A121" s="1">
        <v>2018</v>
      </c>
      <c r="B121" s="1" t="s">
        <v>1273</v>
      </c>
      <c r="C121" s="2">
        <v>798036</v>
      </c>
      <c r="D121" s="8">
        <v>7.9343999999999997E-4</v>
      </c>
    </row>
    <row r="122" spans="1:4" x14ac:dyDescent="0.2">
      <c r="A122" s="1">
        <v>2018</v>
      </c>
      <c r="B122" s="1" t="s">
        <v>1274</v>
      </c>
      <c r="C122" s="2">
        <v>2815358</v>
      </c>
      <c r="D122" s="8">
        <v>2.7991600000000002E-3</v>
      </c>
    </row>
    <row r="123" spans="1:4" x14ac:dyDescent="0.2">
      <c r="A123" s="1">
        <v>2018</v>
      </c>
      <c r="B123" s="1" t="s">
        <v>1275</v>
      </c>
      <c r="C123" s="2">
        <v>1349508</v>
      </c>
      <c r="D123" s="8">
        <v>1.3417399999999999E-3</v>
      </c>
    </row>
    <row r="124" spans="1:4" x14ac:dyDescent="0.2">
      <c r="A124" s="1">
        <v>2018</v>
      </c>
      <c r="B124" s="1" t="s">
        <v>1276</v>
      </c>
      <c r="C124" s="2">
        <v>3658985</v>
      </c>
      <c r="D124" s="8">
        <v>3.6379300000000002E-3</v>
      </c>
    </row>
    <row r="125" spans="1:4" x14ac:dyDescent="0.2">
      <c r="A125" s="1">
        <v>2018</v>
      </c>
      <c r="B125" s="1" t="s">
        <v>1277</v>
      </c>
      <c r="C125" s="2">
        <v>1190588</v>
      </c>
      <c r="D125" s="8">
        <v>1.18374E-3</v>
      </c>
    </row>
    <row r="126" spans="1:4" x14ac:dyDescent="0.2">
      <c r="A126" s="1">
        <v>2018</v>
      </c>
      <c r="B126" s="1" t="s">
        <v>1278</v>
      </c>
      <c r="C126" s="2">
        <v>816984</v>
      </c>
      <c r="D126" s="8">
        <v>8.1227999999999997E-4</v>
      </c>
    </row>
    <row r="127" spans="1:4" x14ac:dyDescent="0.2">
      <c r="A127" s="1">
        <v>2018</v>
      </c>
      <c r="B127" s="1" t="s">
        <v>1279</v>
      </c>
      <c r="C127" s="2">
        <v>4450</v>
      </c>
      <c r="D127" s="8">
        <v>4.42E-6</v>
      </c>
    </row>
    <row r="128" spans="1:4" x14ac:dyDescent="0.2">
      <c r="A128" s="1">
        <v>2018</v>
      </c>
      <c r="B128" s="1" t="s">
        <v>1280</v>
      </c>
      <c r="C128" s="2">
        <v>1925445</v>
      </c>
      <c r="D128" s="8">
        <v>1.9143599999999999E-3</v>
      </c>
    </row>
    <row r="129" spans="1:4" x14ac:dyDescent="0.2">
      <c r="A129" s="1">
        <v>2018</v>
      </c>
      <c r="B129" s="1" t="s">
        <v>1281</v>
      </c>
      <c r="C129" s="2">
        <v>189153</v>
      </c>
      <c r="D129" s="8">
        <v>1.8806000000000001E-4</v>
      </c>
    </row>
    <row r="130" spans="1:4" x14ac:dyDescent="0.2">
      <c r="A130" s="1">
        <v>2018</v>
      </c>
      <c r="B130" s="1" t="s">
        <v>1282</v>
      </c>
      <c r="C130" s="2">
        <v>523267</v>
      </c>
      <c r="D130" s="8">
        <v>5.2026000000000004E-4</v>
      </c>
    </row>
    <row r="131" spans="1:4" x14ac:dyDescent="0.2">
      <c r="A131" s="1">
        <v>2018</v>
      </c>
      <c r="B131" s="1" t="s">
        <v>1283</v>
      </c>
      <c r="C131" s="2">
        <v>41379</v>
      </c>
      <c r="D131" s="8">
        <v>4.1140000000000003E-5</v>
      </c>
    </row>
    <row r="132" spans="1:4" x14ac:dyDescent="0.2">
      <c r="A132" s="1">
        <v>2018</v>
      </c>
      <c r="B132" s="1" t="s">
        <v>1284</v>
      </c>
      <c r="C132" s="2">
        <v>41011</v>
      </c>
      <c r="D132" s="8">
        <v>4.0769999999999998E-5</v>
      </c>
    </row>
    <row r="133" spans="1:4" x14ac:dyDescent="0.2">
      <c r="A133" s="1">
        <v>2018</v>
      </c>
      <c r="B133" s="1" t="s">
        <v>1285</v>
      </c>
      <c r="C133" s="2">
        <v>299070</v>
      </c>
      <c r="D133" s="8">
        <v>2.9734999999999999E-4</v>
      </c>
    </row>
    <row r="134" spans="1:4" x14ac:dyDescent="0.2">
      <c r="A134" s="1">
        <v>2018</v>
      </c>
      <c r="B134" s="1" t="s">
        <v>1286</v>
      </c>
      <c r="C134" s="2">
        <v>399221</v>
      </c>
      <c r="D134" s="8">
        <v>3.9691999999999999E-4</v>
      </c>
    </row>
    <row r="135" spans="1:4" x14ac:dyDescent="0.2">
      <c r="A135" s="1">
        <v>2018</v>
      </c>
      <c r="B135" s="1" t="s">
        <v>1287</v>
      </c>
      <c r="C135" s="2">
        <v>1356776</v>
      </c>
      <c r="D135" s="8">
        <v>1.3489699999999999E-3</v>
      </c>
    </row>
    <row r="136" spans="1:4" x14ac:dyDescent="0.2">
      <c r="A136" s="1">
        <v>2018</v>
      </c>
      <c r="B136" s="1" t="s">
        <v>1288</v>
      </c>
      <c r="C136" s="2">
        <v>1681634</v>
      </c>
      <c r="D136" s="8">
        <v>1.6719599999999999E-3</v>
      </c>
    </row>
    <row r="137" spans="1:4" x14ac:dyDescent="0.2">
      <c r="A137" s="1">
        <v>2018</v>
      </c>
      <c r="B137" s="1" t="s">
        <v>1289</v>
      </c>
      <c r="C137" s="2">
        <v>94853</v>
      </c>
      <c r="D137" s="8">
        <v>9.4309999999999997E-5</v>
      </c>
    </row>
    <row r="138" spans="1:4" x14ac:dyDescent="0.2">
      <c r="A138" s="1">
        <v>2018</v>
      </c>
      <c r="B138" s="1" t="s">
        <v>1290</v>
      </c>
      <c r="C138" s="2">
        <v>772280</v>
      </c>
      <c r="D138" s="8">
        <v>7.6783999999999999E-4</v>
      </c>
    </row>
    <row r="139" spans="1:4" x14ac:dyDescent="0.2">
      <c r="A139" s="1">
        <v>2018</v>
      </c>
      <c r="B139" s="1" t="s">
        <v>1291</v>
      </c>
      <c r="C139" s="2">
        <v>2912437</v>
      </c>
      <c r="D139" s="8">
        <v>2.8956799999999999E-3</v>
      </c>
    </row>
    <row r="140" spans="1:4" x14ac:dyDescent="0.2">
      <c r="A140" s="1">
        <v>2018</v>
      </c>
      <c r="B140" s="1" t="s">
        <v>1292</v>
      </c>
      <c r="C140" s="2">
        <v>16736</v>
      </c>
      <c r="D140" s="8">
        <v>1.664E-5</v>
      </c>
    </row>
    <row r="141" spans="1:4" x14ac:dyDescent="0.2">
      <c r="A141" s="1">
        <v>2018</v>
      </c>
      <c r="B141" s="1" t="s">
        <v>1293</v>
      </c>
      <c r="C141" s="2">
        <v>59157</v>
      </c>
      <c r="D141" s="8">
        <v>5.8820000000000003E-5</v>
      </c>
    </row>
    <row r="142" spans="1:4" x14ac:dyDescent="0.2">
      <c r="A142" s="1">
        <v>2018</v>
      </c>
      <c r="B142" s="1" t="s">
        <v>1294</v>
      </c>
      <c r="C142" s="2">
        <v>48311</v>
      </c>
      <c r="D142" s="8">
        <v>4.8029999999999999E-5</v>
      </c>
    </row>
    <row r="143" spans="1:4" x14ac:dyDescent="0.2">
      <c r="A143" s="1">
        <v>2018</v>
      </c>
      <c r="B143" s="1" t="s">
        <v>1295</v>
      </c>
      <c r="C143" s="2">
        <v>1908315</v>
      </c>
      <c r="D143" s="8">
        <v>1.89733E-3</v>
      </c>
    </row>
    <row r="144" spans="1:4" x14ac:dyDescent="0.2">
      <c r="A144" s="1">
        <v>2018</v>
      </c>
      <c r="B144" s="1" t="s">
        <v>1296</v>
      </c>
      <c r="C144" s="2">
        <v>698162</v>
      </c>
      <c r="D144" s="8">
        <v>6.9413999999999999E-4</v>
      </c>
    </row>
    <row r="145" spans="1:4" x14ac:dyDescent="0.2">
      <c r="A145" s="1">
        <v>2018</v>
      </c>
      <c r="B145" s="1" t="s">
        <v>1297</v>
      </c>
      <c r="C145" s="2">
        <v>47194</v>
      </c>
      <c r="D145" s="8">
        <v>4.6919999999999998E-5</v>
      </c>
    </row>
    <row r="146" spans="1:4" x14ac:dyDescent="0.2">
      <c r="A146" s="1">
        <v>2018</v>
      </c>
      <c r="B146" s="1" t="s">
        <v>1298</v>
      </c>
      <c r="C146" s="2">
        <v>22928</v>
      </c>
      <c r="D146" s="8">
        <v>2.2799999999999999E-5</v>
      </c>
    </row>
    <row r="147" spans="1:4" x14ac:dyDescent="0.2">
      <c r="A147" s="1">
        <v>2018</v>
      </c>
      <c r="B147" s="1" t="s">
        <v>1299</v>
      </c>
      <c r="C147" s="2">
        <v>2236068</v>
      </c>
      <c r="D147" s="8">
        <v>2.2231999999999998E-3</v>
      </c>
    </row>
    <row r="148" spans="1:4" x14ac:dyDescent="0.2">
      <c r="A148" s="1">
        <v>2018</v>
      </c>
      <c r="B148" s="1" t="s">
        <v>1300</v>
      </c>
      <c r="C148" s="2">
        <v>942844</v>
      </c>
      <c r="D148" s="8">
        <v>9.3742000000000001E-4</v>
      </c>
    </row>
    <row r="149" spans="1:4" x14ac:dyDescent="0.2">
      <c r="A149" s="1">
        <v>2018</v>
      </c>
      <c r="B149" s="1" t="s">
        <v>1301</v>
      </c>
      <c r="C149" s="2">
        <v>318464</v>
      </c>
      <c r="D149" s="8">
        <v>3.1662999999999998E-4</v>
      </c>
    </row>
    <row r="150" spans="1:4" x14ac:dyDescent="0.2">
      <c r="A150" s="1">
        <v>2018</v>
      </c>
      <c r="B150" s="1" t="s">
        <v>1302</v>
      </c>
      <c r="C150" s="2">
        <v>62025</v>
      </c>
      <c r="D150" s="8">
        <v>6.1669999999999997E-5</v>
      </c>
    </row>
    <row r="151" spans="1:4" x14ac:dyDescent="0.2">
      <c r="A151" s="1">
        <v>2018</v>
      </c>
      <c r="B151" s="1" t="s">
        <v>1303</v>
      </c>
      <c r="C151" s="2">
        <v>1836404</v>
      </c>
      <c r="D151" s="8">
        <v>1.82584E-3</v>
      </c>
    </row>
    <row r="152" spans="1:4" x14ac:dyDescent="0.2">
      <c r="A152" s="1">
        <v>2018</v>
      </c>
      <c r="B152" s="1" t="s">
        <v>1304</v>
      </c>
      <c r="C152" s="2">
        <v>18337</v>
      </c>
      <c r="D152" s="8">
        <v>1.823E-5</v>
      </c>
    </row>
    <row r="153" spans="1:4" x14ac:dyDescent="0.2">
      <c r="A153" s="1">
        <v>2018</v>
      </c>
      <c r="B153" s="1" t="s">
        <v>1305</v>
      </c>
      <c r="C153" s="2">
        <v>8184</v>
      </c>
      <c r="D153" s="8">
        <v>8.14E-6</v>
      </c>
    </row>
    <row r="154" spans="1:4" x14ac:dyDescent="0.2">
      <c r="A154" s="1">
        <v>2018</v>
      </c>
      <c r="B154" s="1" t="s">
        <v>1306</v>
      </c>
      <c r="C154" s="2">
        <v>12343071</v>
      </c>
      <c r="D154" s="8">
        <v>1.227204E-2</v>
      </c>
    </row>
    <row r="155" spans="1:4" x14ac:dyDescent="0.2">
      <c r="A155" s="1">
        <v>2018</v>
      </c>
      <c r="B155" s="1" t="s">
        <v>1307</v>
      </c>
      <c r="C155" s="2">
        <v>39632</v>
      </c>
      <c r="D155" s="8">
        <v>3.9400000000000002E-5</v>
      </c>
    </row>
    <row r="156" spans="1:4" x14ac:dyDescent="0.2">
      <c r="A156" s="1">
        <v>2018</v>
      </c>
      <c r="B156" s="1" t="s">
        <v>1308</v>
      </c>
      <c r="C156" s="2">
        <v>2395374</v>
      </c>
      <c r="D156" s="8">
        <v>2.3815899999999998E-3</v>
      </c>
    </row>
    <row r="157" spans="1:4" x14ac:dyDescent="0.2">
      <c r="A157" s="1">
        <v>2018</v>
      </c>
      <c r="B157" s="1" t="s">
        <v>1309</v>
      </c>
      <c r="C157" s="2">
        <v>537628</v>
      </c>
      <c r="D157" s="8">
        <v>5.3452999999999997E-4</v>
      </c>
    </row>
    <row r="158" spans="1:4" x14ac:dyDescent="0.2">
      <c r="A158" s="1">
        <v>2018</v>
      </c>
      <c r="B158" s="1" t="s">
        <v>1310</v>
      </c>
      <c r="C158" s="2">
        <v>20094</v>
      </c>
      <c r="D158" s="8">
        <v>1.9979999999999998E-5</v>
      </c>
    </row>
    <row r="159" spans="1:4" x14ac:dyDescent="0.2">
      <c r="A159" s="1">
        <v>2018</v>
      </c>
      <c r="B159" s="1" t="s">
        <v>1311</v>
      </c>
      <c r="C159" s="2">
        <v>3616</v>
      </c>
      <c r="D159" s="8">
        <v>3.5999999999999998E-6</v>
      </c>
    </row>
    <row r="160" spans="1:4" x14ac:dyDescent="0.2">
      <c r="A160" s="1">
        <v>2018</v>
      </c>
      <c r="B160" s="1" t="s">
        <v>1312</v>
      </c>
      <c r="C160" s="2">
        <v>6190</v>
      </c>
      <c r="D160" s="8">
        <v>6.1500000000000004E-6</v>
      </c>
    </row>
    <row r="161" spans="1:4" x14ac:dyDescent="0.2">
      <c r="A161" s="1">
        <v>2018</v>
      </c>
      <c r="B161" s="1" t="s">
        <v>1313</v>
      </c>
      <c r="C161" s="2">
        <v>19193</v>
      </c>
      <c r="D161" s="8">
        <v>1.908E-5</v>
      </c>
    </row>
    <row r="162" spans="1:4" x14ac:dyDescent="0.2">
      <c r="A162" s="1">
        <v>2018</v>
      </c>
      <c r="B162" s="1" t="s">
        <v>1314</v>
      </c>
      <c r="C162" s="2">
        <v>1584</v>
      </c>
      <c r="D162" s="8">
        <v>1.5799999999999999E-6</v>
      </c>
    </row>
    <row r="163" spans="1:4" x14ac:dyDescent="0.2">
      <c r="A163" s="1">
        <v>2018</v>
      </c>
      <c r="B163" s="1" t="s">
        <v>1315</v>
      </c>
      <c r="C163" s="2">
        <v>228136</v>
      </c>
      <c r="D163" s="8">
        <v>2.2682E-4</v>
      </c>
    </row>
    <row r="164" spans="1:4" x14ac:dyDescent="0.2">
      <c r="A164" s="1">
        <v>2018</v>
      </c>
      <c r="B164" s="1" t="s">
        <v>1316</v>
      </c>
      <c r="C164" s="2">
        <v>83170</v>
      </c>
      <c r="D164" s="8">
        <v>8.2689999999999996E-5</v>
      </c>
    </row>
    <row r="165" spans="1:4" x14ac:dyDescent="0.2">
      <c r="A165" s="1">
        <v>2018</v>
      </c>
      <c r="B165" s="1" t="s">
        <v>1317</v>
      </c>
      <c r="C165" s="2">
        <v>54770</v>
      </c>
      <c r="D165" s="8">
        <v>5.4450000000000002E-5</v>
      </c>
    </row>
    <row r="166" spans="1:4" x14ac:dyDescent="0.2">
      <c r="A166" s="1">
        <v>2018</v>
      </c>
      <c r="B166" s="1" t="s">
        <v>1318</v>
      </c>
      <c r="C166" s="2">
        <v>43647</v>
      </c>
      <c r="D166" s="8">
        <v>4.3399999999999998E-5</v>
      </c>
    </row>
    <row r="167" spans="1:4" x14ac:dyDescent="0.2">
      <c r="A167" s="1">
        <v>2018</v>
      </c>
      <c r="B167" s="1" t="s">
        <v>1319</v>
      </c>
      <c r="C167" s="2">
        <v>23879</v>
      </c>
      <c r="D167" s="8">
        <v>2.374E-5</v>
      </c>
    </row>
    <row r="168" spans="1:4" x14ac:dyDescent="0.2">
      <c r="A168" s="1">
        <v>2018</v>
      </c>
      <c r="B168" s="1" t="s">
        <v>1320</v>
      </c>
      <c r="C168" s="2">
        <v>2713417</v>
      </c>
      <c r="D168" s="8">
        <v>2.6978000000000002E-3</v>
      </c>
    </row>
    <row r="169" spans="1:4" x14ac:dyDescent="0.2">
      <c r="A169" s="1">
        <v>2018</v>
      </c>
      <c r="B169" s="1" t="s">
        <v>1321</v>
      </c>
      <c r="C169" s="2">
        <v>4777990</v>
      </c>
      <c r="D169" s="8">
        <v>4.7504899999999996E-3</v>
      </c>
    </row>
    <row r="170" spans="1:4" x14ac:dyDescent="0.2">
      <c r="A170" s="1">
        <v>2018</v>
      </c>
      <c r="B170" s="1" t="s">
        <v>1322</v>
      </c>
      <c r="C170" s="2">
        <v>3291028</v>
      </c>
      <c r="D170" s="8">
        <v>3.2720900000000001E-3</v>
      </c>
    </row>
    <row r="171" spans="1:4" x14ac:dyDescent="0.2">
      <c r="A171" s="1">
        <v>2018</v>
      </c>
      <c r="B171" s="1" t="s">
        <v>1323</v>
      </c>
      <c r="C171" s="2">
        <v>17231709</v>
      </c>
      <c r="D171" s="8">
        <v>1.7132540000000002E-2</v>
      </c>
    </row>
    <row r="172" spans="1:4" x14ac:dyDescent="0.2">
      <c r="A172" s="1">
        <v>2018</v>
      </c>
      <c r="B172" s="1" t="s">
        <v>1324</v>
      </c>
      <c r="C172" s="2">
        <v>24339</v>
      </c>
      <c r="D172" s="8">
        <v>2.4199999999999999E-5</v>
      </c>
    </row>
    <row r="173" spans="1:4" x14ac:dyDescent="0.2">
      <c r="A173" s="1">
        <v>2018</v>
      </c>
      <c r="B173" s="1" t="s">
        <v>1325</v>
      </c>
      <c r="C173" s="2">
        <v>23927870</v>
      </c>
      <c r="D173" s="8">
        <v>2.3790169999999999E-2</v>
      </c>
    </row>
    <row r="174" spans="1:4" x14ac:dyDescent="0.2">
      <c r="A174" s="1">
        <v>2018</v>
      </c>
      <c r="B174" s="1" t="s">
        <v>1326</v>
      </c>
      <c r="C174" s="2">
        <v>4282884</v>
      </c>
      <c r="D174" s="8">
        <v>4.2582399999999999E-3</v>
      </c>
    </row>
    <row r="175" spans="1:4" x14ac:dyDescent="0.2">
      <c r="A175" s="1">
        <v>2018</v>
      </c>
      <c r="B175" s="1" t="s">
        <v>1327</v>
      </c>
      <c r="C175" s="2">
        <v>232052</v>
      </c>
      <c r="D175" s="8">
        <v>2.3071999999999999E-4</v>
      </c>
    </row>
    <row r="176" spans="1:4" x14ac:dyDescent="0.2">
      <c r="A176" s="1">
        <v>2018</v>
      </c>
      <c r="B176" s="1" t="s">
        <v>1328</v>
      </c>
      <c r="C176" s="2">
        <v>10951</v>
      </c>
      <c r="D176" s="8">
        <v>1.0890000000000001E-5</v>
      </c>
    </row>
    <row r="177" spans="1:4" x14ac:dyDescent="0.2">
      <c r="A177" s="1">
        <v>2018</v>
      </c>
      <c r="B177" s="1" t="s">
        <v>1329</v>
      </c>
      <c r="C177" s="2">
        <v>11236</v>
      </c>
      <c r="D177" s="8">
        <v>1.117E-5</v>
      </c>
    </row>
    <row r="178" spans="1:4" x14ac:dyDescent="0.2">
      <c r="A178" s="1">
        <v>2018</v>
      </c>
      <c r="B178" s="1" t="s">
        <v>1330</v>
      </c>
      <c r="C178" s="2">
        <v>129417</v>
      </c>
      <c r="D178" s="8">
        <v>1.2867E-4</v>
      </c>
    </row>
    <row r="179" spans="1:4" x14ac:dyDescent="0.2">
      <c r="A179" s="1">
        <v>2018</v>
      </c>
      <c r="B179" s="1" t="s">
        <v>1331</v>
      </c>
      <c r="C179" s="2">
        <v>961932</v>
      </c>
      <c r="D179" s="8">
        <v>9.5640000000000005E-4</v>
      </c>
    </row>
    <row r="180" spans="1:4" x14ac:dyDescent="0.2">
      <c r="A180" s="1">
        <v>2018</v>
      </c>
      <c r="B180" s="1" t="s">
        <v>1332</v>
      </c>
      <c r="C180" s="2">
        <v>2959100</v>
      </c>
      <c r="D180" s="8">
        <v>2.9420700000000002E-3</v>
      </c>
    </row>
    <row r="181" spans="1:4" x14ac:dyDescent="0.2">
      <c r="A181" s="1">
        <v>2018</v>
      </c>
      <c r="B181" s="1" t="s">
        <v>1333</v>
      </c>
      <c r="C181" s="2">
        <v>61226</v>
      </c>
      <c r="D181" s="8">
        <v>6.0869999999999998E-5</v>
      </c>
    </row>
    <row r="182" spans="1:4" x14ac:dyDescent="0.2">
      <c r="A182" s="1">
        <v>2018</v>
      </c>
      <c r="B182" s="1" t="s">
        <v>1334</v>
      </c>
      <c r="C182" s="2">
        <v>70264</v>
      </c>
      <c r="D182" s="8">
        <v>6.9859999999999999E-5</v>
      </c>
    </row>
    <row r="183" spans="1:4" x14ac:dyDescent="0.2">
      <c r="A183" s="1">
        <v>2018</v>
      </c>
      <c r="B183" s="1" t="s">
        <v>1335</v>
      </c>
      <c r="C183" s="2">
        <v>25575</v>
      </c>
      <c r="D183" s="8">
        <v>2.5429999999999999E-5</v>
      </c>
    </row>
    <row r="184" spans="1:4" x14ac:dyDescent="0.2">
      <c r="A184" s="1">
        <v>2018</v>
      </c>
      <c r="B184" s="1" t="s">
        <v>1336</v>
      </c>
      <c r="C184" s="2">
        <v>138816</v>
      </c>
      <c r="D184" s="8">
        <v>1.3802000000000001E-4</v>
      </c>
    </row>
    <row r="185" spans="1:4" x14ac:dyDescent="0.2">
      <c r="A185" s="1">
        <v>2018</v>
      </c>
      <c r="B185" s="1" t="s">
        <v>1337</v>
      </c>
      <c r="C185" s="2">
        <v>344102</v>
      </c>
      <c r="D185" s="8">
        <v>3.4212000000000001E-4</v>
      </c>
    </row>
    <row r="186" spans="1:4" x14ac:dyDescent="0.2">
      <c r="A186" s="1">
        <v>2018</v>
      </c>
      <c r="B186" s="1" t="s">
        <v>1338</v>
      </c>
      <c r="C186" s="2">
        <v>1692159</v>
      </c>
      <c r="D186" s="8">
        <v>1.68242E-3</v>
      </c>
    </row>
    <row r="187" spans="1:4" x14ac:dyDescent="0.2">
      <c r="A187" s="1">
        <v>2018</v>
      </c>
      <c r="B187" s="1" t="s">
        <v>1339</v>
      </c>
      <c r="C187" s="2">
        <v>793584</v>
      </c>
      <c r="D187" s="8">
        <v>7.8901999999999998E-4</v>
      </c>
    </row>
    <row r="188" spans="1:4" x14ac:dyDescent="0.2">
      <c r="A188" s="1">
        <v>2018</v>
      </c>
      <c r="B188" s="1" t="s">
        <v>1340</v>
      </c>
      <c r="C188" s="2">
        <v>52146</v>
      </c>
      <c r="D188" s="8">
        <v>5.185E-5</v>
      </c>
    </row>
    <row r="189" spans="1:4" x14ac:dyDescent="0.2">
      <c r="A189" s="1">
        <v>2018</v>
      </c>
      <c r="B189" s="1" t="s">
        <v>1341</v>
      </c>
      <c r="C189" s="2">
        <v>2720510</v>
      </c>
      <c r="D189" s="8">
        <v>2.70485E-3</v>
      </c>
    </row>
    <row r="190" spans="1:4" x14ac:dyDescent="0.2">
      <c r="A190" s="1">
        <v>2018</v>
      </c>
      <c r="B190" s="1" t="s">
        <v>1342</v>
      </c>
      <c r="C190" s="2">
        <v>32571</v>
      </c>
      <c r="D190" s="8">
        <v>3.2379999999999998E-5</v>
      </c>
    </row>
    <row r="191" spans="1:4" x14ac:dyDescent="0.2">
      <c r="A191" s="1">
        <v>2018</v>
      </c>
      <c r="B191" s="1" t="s">
        <v>1343</v>
      </c>
      <c r="C191" s="2">
        <v>5273809</v>
      </c>
      <c r="D191" s="8">
        <v>5.2434600000000001E-3</v>
      </c>
    </row>
    <row r="192" spans="1:4" x14ac:dyDescent="0.2">
      <c r="A192" s="1">
        <v>2018</v>
      </c>
      <c r="B192" s="1" t="s">
        <v>1344</v>
      </c>
      <c r="C192" s="2">
        <v>954686</v>
      </c>
      <c r="D192" s="8">
        <v>9.4919000000000004E-4</v>
      </c>
    </row>
    <row r="193" spans="1:4" x14ac:dyDescent="0.2">
      <c r="A193" s="1">
        <v>2018</v>
      </c>
      <c r="B193" s="1" t="s">
        <v>1345</v>
      </c>
      <c r="C193" s="2">
        <v>50317</v>
      </c>
      <c r="D193" s="8">
        <v>5.003E-5</v>
      </c>
    </row>
    <row r="194" spans="1:4" x14ac:dyDescent="0.2">
      <c r="A194" s="1">
        <v>2018</v>
      </c>
      <c r="B194" s="1" t="s">
        <v>1346</v>
      </c>
      <c r="C194" s="2">
        <v>45237</v>
      </c>
      <c r="D194" s="8">
        <v>4.498E-5</v>
      </c>
    </row>
    <row r="195" spans="1:4" x14ac:dyDescent="0.2">
      <c r="A195" s="1">
        <v>2018</v>
      </c>
      <c r="B195" s="1" t="s">
        <v>1347</v>
      </c>
      <c r="C195" s="2">
        <v>603706</v>
      </c>
      <c r="D195" s="8">
        <v>6.0022999999999999E-4</v>
      </c>
    </row>
    <row r="196" spans="1:4" x14ac:dyDescent="0.2">
      <c r="A196" s="1">
        <v>2018</v>
      </c>
      <c r="B196" s="1" t="s">
        <v>1348</v>
      </c>
      <c r="C196" s="2">
        <v>36925</v>
      </c>
      <c r="D196" s="8">
        <v>3.6709999999999999E-5</v>
      </c>
    </row>
    <row r="197" spans="1:4" x14ac:dyDescent="0.2">
      <c r="A197" s="1">
        <v>2018</v>
      </c>
      <c r="B197" s="1" t="s">
        <v>1349</v>
      </c>
      <c r="C197" s="2">
        <v>22764</v>
      </c>
      <c r="D197" s="8">
        <v>2.2629999999999998E-5</v>
      </c>
    </row>
    <row r="198" spans="1:4" x14ac:dyDescent="0.2">
      <c r="A198" s="1">
        <v>2018</v>
      </c>
      <c r="B198" s="1" t="s">
        <v>1350</v>
      </c>
      <c r="C198" s="2">
        <v>249784</v>
      </c>
      <c r="D198" s="8">
        <v>2.4834999999999999E-4</v>
      </c>
    </row>
    <row r="199" spans="1:4" x14ac:dyDescent="0.2">
      <c r="A199" s="1">
        <v>2018</v>
      </c>
      <c r="B199" s="1" t="s">
        <v>1351</v>
      </c>
      <c r="C199" s="2">
        <v>5258287</v>
      </c>
      <c r="D199" s="8">
        <v>5.2280299999999998E-3</v>
      </c>
    </row>
    <row r="200" spans="1:4" x14ac:dyDescent="0.2">
      <c r="A200" s="1">
        <v>2018</v>
      </c>
      <c r="B200" s="1" t="s">
        <v>1352</v>
      </c>
      <c r="C200" s="2">
        <v>888212</v>
      </c>
      <c r="D200" s="8">
        <v>8.8310000000000005E-4</v>
      </c>
    </row>
    <row r="201" spans="1:4" x14ac:dyDescent="0.2">
      <c r="A201" s="1">
        <v>2018</v>
      </c>
      <c r="B201" s="1" t="s">
        <v>1353</v>
      </c>
      <c r="C201" s="2">
        <v>59220</v>
      </c>
      <c r="D201" s="8">
        <v>5.8879999999999999E-5</v>
      </c>
    </row>
    <row r="202" spans="1:4" x14ac:dyDescent="0.2">
      <c r="A202" s="1">
        <v>2018</v>
      </c>
      <c r="B202" s="1" t="s">
        <v>1354</v>
      </c>
      <c r="C202" s="2">
        <v>757058</v>
      </c>
      <c r="D202" s="8">
        <v>7.5270000000000003E-4</v>
      </c>
    </row>
    <row r="203" spans="1:4" x14ac:dyDescent="0.2">
      <c r="A203" s="1">
        <v>2018</v>
      </c>
      <c r="B203" s="1" t="s">
        <v>1355</v>
      </c>
      <c r="C203" s="2">
        <v>28459</v>
      </c>
      <c r="D203" s="8">
        <v>2.83E-5</v>
      </c>
    </row>
    <row r="204" spans="1:4" x14ac:dyDescent="0.2">
      <c r="A204" s="1">
        <v>2018</v>
      </c>
      <c r="B204" s="1" t="s">
        <v>1356</v>
      </c>
      <c r="C204" s="2">
        <v>7684</v>
      </c>
      <c r="D204" s="8">
        <v>7.6399999999999997E-6</v>
      </c>
    </row>
    <row r="205" spans="1:4" x14ac:dyDescent="0.2">
      <c r="A205" s="1">
        <v>2018</v>
      </c>
      <c r="B205" s="1" t="s">
        <v>1357</v>
      </c>
      <c r="C205" s="2">
        <v>52171</v>
      </c>
      <c r="D205" s="8">
        <v>5.1870000000000003E-5</v>
      </c>
    </row>
    <row r="206" spans="1:4" x14ac:dyDescent="0.2">
      <c r="A206" s="1">
        <v>2018</v>
      </c>
      <c r="B206" s="1" t="s">
        <v>1358</v>
      </c>
      <c r="C206" s="2">
        <v>101559</v>
      </c>
      <c r="D206" s="8">
        <v>1.0097E-4</v>
      </c>
    </row>
    <row r="207" spans="1:4" x14ac:dyDescent="0.2">
      <c r="A207" s="1">
        <v>2018</v>
      </c>
      <c r="B207" s="1" t="s">
        <v>1359</v>
      </c>
      <c r="C207" s="2">
        <v>9136</v>
      </c>
      <c r="D207" s="8">
        <v>9.0799999999999995E-6</v>
      </c>
    </row>
    <row r="208" spans="1:4" x14ac:dyDescent="0.2">
      <c r="A208" s="1">
        <v>2018</v>
      </c>
      <c r="B208" s="1" t="s">
        <v>1360</v>
      </c>
      <c r="C208" s="2">
        <v>111608</v>
      </c>
      <c r="D208" s="8">
        <v>1.1097E-4</v>
      </c>
    </row>
    <row r="209" spans="1:4" x14ac:dyDescent="0.2">
      <c r="A209" s="1">
        <v>2018</v>
      </c>
      <c r="B209" s="1" t="s">
        <v>1361</v>
      </c>
      <c r="C209" s="2">
        <v>16969</v>
      </c>
      <c r="D209" s="8">
        <v>1.6869999999999999E-5</v>
      </c>
    </row>
    <row r="210" spans="1:4" x14ac:dyDescent="0.2">
      <c r="A210" s="1">
        <v>2018</v>
      </c>
      <c r="B210" s="1" t="s">
        <v>1362</v>
      </c>
      <c r="C210" s="2">
        <v>1260215</v>
      </c>
      <c r="D210" s="8">
        <v>1.25296E-3</v>
      </c>
    </row>
    <row r="211" spans="1:4" x14ac:dyDescent="0.2">
      <c r="A211" s="1">
        <v>2018</v>
      </c>
      <c r="B211" s="1" t="s">
        <v>1363</v>
      </c>
      <c r="C211" s="2">
        <v>3085352</v>
      </c>
      <c r="D211" s="8">
        <v>3.0676000000000002E-3</v>
      </c>
    </row>
    <row r="212" spans="1:4" x14ac:dyDescent="0.2">
      <c r="A212" s="1">
        <v>2018</v>
      </c>
      <c r="B212" s="1" t="s">
        <v>1364</v>
      </c>
      <c r="C212" s="2">
        <v>410721</v>
      </c>
      <c r="D212" s="8">
        <v>4.0835999999999997E-4</v>
      </c>
    </row>
    <row r="213" spans="1:4" x14ac:dyDescent="0.2">
      <c r="A213" s="1">
        <v>2018</v>
      </c>
      <c r="B213" s="1" t="s">
        <v>1365</v>
      </c>
      <c r="C213" s="2">
        <v>87275</v>
      </c>
      <c r="D213" s="8">
        <v>8.6769999999999998E-5</v>
      </c>
    </row>
    <row r="214" spans="1:4" x14ac:dyDescent="0.2">
      <c r="A214" s="1">
        <v>2018</v>
      </c>
      <c r="B214" s="1" t="s">
        <v>1366</v>
      </c>
      <c r="C214" s="2">
        <v>191961</v>
      </c>
      <c r="D214" s="8">
        <v>1.9086E-4</v>
      </c>
    </row>
    <row r="215" spans="1:4" x14ac:dyDescent="0.2">
      <c r="A215" s="1">
        <v>2018</v>
      </c>
      <c r="B215" s="1" t="s">
        <v>1367</v>
      </c>
      <c r="C215" s="2">
        <v>1589434</v>
      </c>
      <c r="D215" s="8">
        <v>1.58029E-3</v>
      </c>
    </row>
    <row r="216" spans="1:4" x14ac:dyDescent="0.2">
      <c r="A216" s="1">
        <v>2018</v>
      </c>
      <c r="B216" s="1" t="s">
        <v>1368</v>
      </c>
      <c r="C216" s="2">
        <v>452661</v>
      </c>
      <c r="D216" s="8">
        <v>4.5006000000000001E-4</v>
      </c>
    </row>
    <row r="217" spans="1:4" x14ac:dyDescent="0.2">
      <c r="A217" s="1">
        <v>2018</v>
      </c>
      <c r="B217" s="1" t="s">
        <v>1369</v>
      </c>
      <c r="C217" s="2">
        <v>24176</v>
      </c>
      <c r="D217" s="8">
        <v>2.404E-5</v>
      </c>
    </row>
    <row r="218" spans="1:4" x14ac:dyDescent="0.2">
      <c r="A218" s="1">
        <v>2018</v>
      </c>
      <c r="B218" s="1" t="s">
        <v>1370</v>
      </c>
      <c r="C218" s="2">
        <v>1136321</v>
      </c>
      <c r="D218" s="8">
        <v>1.1297799999999999E-3</v>
      </c>
    </row>
    <row r="219" spans="1:4" x14ac:dyDescent="0.2">
      <c r="A219" s="1">
        <v>2018</v>
      </c>
      <c r="B219" s="1" t="s">
        <v>1371</v>
      </c>
      <c r="C219" s="2">
        <v>1389855</v>
      </c>
      <c r="D219" s="8">
        <v>1.3818599999999999E-3</v>
      </c>
    </row>
    <row r="220" spans="1:4" x14ac:dyDescent="0.2">
      <c r="A220" s="1">
        <v>2018</v>
      </c>
      <c r="B220" s="1" t="s">
        <v>1372</v>
      </c>
      <c r="C220" s="2">
        <v>543302</v>
      </c>
      <c r="D220" s="8">
        <v>5.4018000000000002E-4</v>
      </c>
    </row>
    <row r="221" spans="1:4" x14ac:dyDescent="0.2">
      <c r="A221" s="1">
        <v>2018</v>
      </c>
      <c r="B221" s="1" t="s">
        <v>1373</v>
      </c>
      <c r="C221" s="2">
        <v>2189370</v>
      </c>
      <c r="D221" s="8">
        <v>2.1767700000000002E-3</v>
      </c>
    </row>
    <row r="222" spans="1:4" x14ac:dyDescent="0.2">
      <c r="A222" s="1">
        <v>2018</v>
      </c>
      <c r="B222" s="1" t="s">
        <v>1374</v>
      </c>
      <c r="C222" s="2">
        <v>2199673</v>
      </c>
      <c r="D222" s="8">
        <v>2.1870100000000001E-3</v>
      </c>
    </row>
    <row r="223" spans="1:4" x14ac:dyDescent="0.2">
      <c r="A223" s="1">
        <v>2018</v>
      </c>
      <c r="B223" s="1" t="s">
        <v>1375</v>
      </c>
      <c r="C223" s="2">
        <v>11440</v>
      </c>
      <c r="D223" s="8">
        <v>1.137E-5</v>
      </c>
    </row>
    <row r="224" spans="1:4" x14ac:dyDescent="0.2">
      <c r="A224" s="1">
        <v>2018</v>
      </c>
      <c r="B224" s="1" t="s">
        <v>1376</v>
      </c>
      <c r="C224" s="2">
        <v>1241589</v>
      </c>
      <c r="D224" s="8">
        <v>1.2344400000000001E-3</v>
      </c>
    </row>
    <row r="225" spans="1:4" x14ac:dyDescent="0.2">
      <c r="A225" s="1">
        <v>2018</v>
      </c>
      <c r="B225" s="1" t="s">
        <v>1377</v>
      </c>
      <c r="C225" s="2">
        <v>303479</v>
      </c>
      <c r="D225" s="8">
        <v>3.0173E-4</v>
      </c>
    </row>
    <row r="226" spans="1:4" x14ac:dyDescent="0.2">
      <c r="A226" s="1">
        <v>2018</v>
      </c>
      <c r="B226" s="1" t="s">
        <v>1378</v>
      </c>
      <c r="C226" s="2">
        <v>1384172</v>
      </c>
      <c r="D226" s="8">
        <v>1.3762100000000001E-3</v>
      </c>
    </row>
    <row r="227" spans="1:4" x14ac:dyDescent="0.2">
      <c r="A227" s="1">
        <v>2018</v>
      </c>
      <c r="B227" s="1" t="s">
        <v>1379</v>
      </c>
      <c r="C227" s="2">
        <v>267854</v>
      </c>
      <c r="D227" s="8">
        <v>2.6631000000000002E-4</v>
      </c>
    </row>
    <row r="228" spans="1:4" x14ac:dyDescent="0.2">
      <c r="A228" s="1">
        <v>2018</v>
      </c>
      <c r="B228" s="1" t="s">
        <v>1380</v>
      </c>
      <c r="C228" s="2">
        <v>711370</v>
      </c>
      <c r="D228" s="8">
        <v>7.0728000000000002E-4</v>
      </c>
    </row>
    <row r="229" spans="1:4" x14ac:dyDescent="0.2">
      <c r="A229" s="1">
        <v>2018</v>
      </c>
      <c r="B229" s="1" t="s">
        <v>1381</v>
      </c>
      <c r="C229" s="2">
        <v>706143</v>
      </c>
      <c r="D229" s="8">
        <v>7.0208E-4</v>
      </c>
    </row>
    <row r="230" spans="1:4" x14ac:dyDescent="0.2">
      <c r="A230" s="1">
        <v>2018</v>
      </c>
      <c r="B230" s="1" t="s">
        <v>1382</v>
      </c>
      <c r="C230" s="2">
        <v>1210</v>
      </c>
      <c r="D230" s="8">
        <v>1.1999999999999999E-6</v>
      </c>
    </row>
    <row r="231" spans="1:4" x14ac:dyDescent="0.2">
      <c r="A231" s="1">
        <v>2018</v>
      </c>
      <c r="B231" s="1" t="s">
        <v>1383</v>
      </c>
      <c r="C231" s="2">
        <v>3093850</v>
      </c>
      <c r="D231" s="8">
        <v>3.0760499999999999E-3</v>
      </c>
    </row>
    <row r="232" spans="1:4" x14ac:dyDescent="0.2">
      <c r="A232" s="1">
        <v>2018</v>
      </c>
      <c r="B232" s="1" t="s">
        <v>1384</v>
      </c>
      <c r="C232" s="2">
        <v>12096</v>
      </c>
      <c r="D232" s="8">
        <v>1.203E-5</v>
      </c>
    </row>
    <row r="233" spans="1:4" x14ac:dyDescent="0.2">
      <c r="A233" s="1">
        <v>2018</v>
      </c>
      <c r="B233" s="1" t="s">
        <v>1385</v>
      </c>
      <c r="C233" s="2">
        <v>74852</v>
      </c>
      <c r="D233" s="8">
        <v>7.4419999999999996E-5</v>
      </c>
    </row>
    <row r="234" spans="1:4" x14ac:dyDescent="0.2">
      <c r="A234" s="1">
        <v>2018</v>
      </c>
      <c r="B234" s="1" t="s">
        <v>1386</v>
      </c>
      <c r="C234" s="2">
        <v>125268</v>
      </c>
      <c r="D234" s="8">
        <v>1.2454999999999999E-4</v>
      </c>
    </row>
    <row r="235" spans="1:4" x14ac:dyDescent="0.2">
      <c r="A235" s="1">
        <v>2018</v>
      </c>
      <c r="B235" s="1" t="s">
        <v>1387</v>
      </c>
      <c r="C235" s="2">
        <v>239960</v>
      </c>
      <c r="D235" s="8">
        <v>2.3858000000000001E-4</v>
      </c>
    </row>
    <row r="236" spans="1:4" x14ac:dyDescent="0.2">
      <c r="A236" s="1">
        <v>2018</v>
      </c>
      <c r="B236" s="1" t="s">
        <v>1388</v>
      </c>
      <c r="C236" s="2">
        <v>91189</v>
      </c>
      <c r="D236" s="8">
        <v>9.0660000000000003E-5</v>
      </c>
    </row>
    <row r="237" spans="1:4" x14ac:dyDescent="0.2">
      <c r="A237" s="1">
        <v>2018</v>
      </c>
      <c r="B237" s="1" t="s">
        <v>1389</v>
      </c>
      <c r="C237" s="2">
        <v>5296</v>
      </c>
      <c r="D237" s="8">
        <v>5.2700000000000004E-6</v>
      </c>
    </row>
    <row r="238" spans="1:4" x14ac:dyDescent="0.2">
      <c r="A238" s="1">
        <v>2018</v>
      </c>
      <c r="B238" s="1" t="s">
        <v>1390</v>
      </c>
      <c r="C238" s="2">
        <v>255952</v>
      </c>
      <c r="D238" s="8">
        <v>2.5448000000000002E-4</v>
      </c>
    </row>
    <row r="239" spans="1:4" x14ac:dyDescent="0.2">
      <c r="A239" s="1">
        <v>2018</v>
      </c>
      <c r="B239" s="1" t="s">
        <v>1391</v>
      </c>
      <c r="C239" s="2">
        <v>20927</v>
      </c>
      <c r="D239" s="8">
        <v>2.0809999999999999E-5</v>
      </c>
    </row>
    <row r="240" spans="1:4" x14ac:dyDescent="0.2">
      <c r="A240" s="1">
        <v>2018</v>
      </c>
      <c r="B240" s="1" t="s">
        <v>1392</v>
      </c>
      <c r="C240" s="2">
        <v>1503406</v>
      </c>
      <c r="D240" s="8">
        <v>1.49475E-3</v>
      </c>
    </row>
    <row r="241" spans="1:4" x14ac:dyDescent="0.2">
      <c r="A241" s="1">
        <v>2018</v>
      </c>
      <c r="B241" s="1" t="s">
        <v>1393</v>
      </c>
      <c r="C241" s="2">
        <v>460360</v>
      </c>
      <c r="D241" s="8">
        <v>4.5771000000000001E-4</v>
      </c>
    </row>
    <row r="242" spans="1:4" x14ac:dyDescent="0.2">
      <c r="A242" s="1">
        <v>2018</v>
      </c>
      <c r="B242" s="1" t="s">
        <v>1394</v>
      </c>
      <c r="C242" s="2">
        <v>72007</v>
      </c>
      <c r="D242" s="8">
        <v>7.1589999999999997E-5</v>
      </c>
    </row>
    <row r="243" spans="1:4" x14ac:dyDescent="0.2">
      <c r="A243" s="1">
        <v>2018</v>
      </c>
      <c r="B243" s="1" t="s">
        <v>1395</v>
      </c>
      <c r="C243" s="2">
        <v>4071912</v>
      </c>
      <c r="D243" s="8">
        <v>4.0484800000000001E-3</v>
      </c>
    </row>
    <row r="244" spans="1:4" x14ac:dyDescent="0.2">
      <c r="A244" s="1">
        <v>2018</v>
      </c>
      <c r="B244" s="1" t="s">
        <v>1396</v>
      </c>
      <c r="C244" s="2">
        <v>1099198</v>
      </c>
      <c r="D244" s="8">
        <v>1.0928699999999999E-3</v>
      </c>
    </row>
    <row r="245" spans="1:4" x14ac:dyDescent="0.2">
      <c r="A245" s="1">
        <v>2018</v>
      </c>
      <c r="B245" s="1" t="s">
        <v>1397</v>
      </c>
      <c r="C245" s="2">
        <v>82749</v>
      </c>
      <c r="D245" s="8">
        <v>8.2269999999999997E-5</v>
      </c>
    </row>
    <row r="246" spans="1:4" x14ac:dyDescent="0.2">
      <c r="A246" s="1">
        <v>2018</v>
      </c>
      <c r="B246" s="1" t="s">
        <v>1398</v>
      </c>
      <c r="C246" s="2">
        <v>2268736</v>
      </c>
      <c r="D246" s="8">
        <v>2.2556799999999999E-3</v>
      </c>
    </row>
    <row r="247" spans="1:4" x14ac:dyDescent="0.2">
      <c r="A247" s="1">
        <v>2018</v>
      </c>
      <c r="B247" s="1" t="s">
        <v>1399</v>
      </c>
      <c r="C247" s="2">
        <v>13866</v>
      </c>
      <c r="D247" s="8">
        <v>1.379E-5</v>
      </c>
    </row>
    <row r="248" spans="1:4" x14ac:dyDescent="0.2">
      <c r="A248" s="1">
        <v>2018</v>
      </c>
      <c r="B248" s="1" t="s">
        <v>1400</v>
      </c>
      <c r="C248" s="2">
        <v>673006</v>
      </c>
      <c r="D248" s="8">
        <v>6.6912999999999999E-4</v>
      </c>
    </row>
    <row r="249" spans="1:4" x14ac:dyDescent="0.2">
      <c r="A249" s="1">
        <v>2018</v>
      </c>
      <c r="B249" s="1" t="s">
        <v>1401</v>
      </c>
      <c r="C249" s="2">
        <v>42545</v>
      </c>
      <c r="D249" s="8">
        <v>4.2299999999999998E-5</v>
      </c>
    </row>
    <row r="250" spans="1:4" x14ac:dyDescent="0.2">
      <c r="A250" s="1">
        <v>2018</v>
      </c>
      <c r="B250" s="1" t="s">
        <v>1402</v>
      </c>
      <c r="C250" s="2">
        <v>961139</v>
      </c>
      <c r="D250" s="8">
        <v>9.5560999999999997E-4</v>
      </c>
    </row>
    <row r="251" spans="1:4" x14ac:dyDescent="0.2">
      <c r="A251" s="1">
        <v>2018</v>
      </c>
      <c r="B251" s="1" t="s">
        <v>1403</v>
      </c>
      <c r="C251" s="2">
        <v>575837</v>
      </c>
      <c r="D251" s="8">
        <v>5.7251999999999997E-4</v>
      </c>
    </row>
    <row r="252" spans="1:4" x14ac:dyDescent="0.2">
      <c r="A252" s="1">
        <v>2018</v>
      </c>
      <c r="B252" s="1" t="s">
        <v>1404</v>
      </c>
      <c r="C252" s="2">
        <v>4259</v>
      </c>
      <c r="D252" s="8">
        <v>4.2300000000000002E-6</v>
      </c>
    </row>
    <row r="253" spans="1:4" x14ac:dyDescent="0.2">
      <c r="A253" s="1">
        <v>2018</v>
      </c>
      <c r="B253" s="1" t="s">
        <v>1405</v>
      </c>
      <c r="C253" s="2">
        <v>13179</v>
      </c>
      <c r="D253" s="8">
        <v>1.31E-5</v>
      </c>
    </row>
    <row r="254" spans="1:4" x14ac:dyDescent="0.2">
      <c r="A254" s="1">
        <v>2018</v>
      </c>
      <c r="B254" s="1" t="s">
        <v>1406</v>
      </c>
      <c r="C254" s="2">
        <v>3246708</v>
      </c>
      <c r="D254" s="8">
        <v>3.2280199999999998E-3</v>
      </c>
    </row>
    <row r="255" spans="1:4" x14ac:dyDescent="0.2">
      <c r="A255" s="1">
        <v>2018</v>
      </c>
      <c r="B255" s="1" t="s">
        <v>1407</v>
      </c>
      <c r="C255" s="2">
        <v>113554</v>
      </c>
      <c r="D255" s="8">
        <v>1.1290000000000001E-4</v>
      </c>
    </row>
    <row r="256" spans="1:4" x14ac:dyDescent="0.2">
      <c r="A256" s="1">
        <v>2018</v>
      </c>
      <c r="B256" s="1" t="s">
        <v>1408</v>
      </c>
      <c r="C256" s="2">
        <v>4292050</v>
      </c>
      <c r="D256" s="8">
        <v>4.2673499999999996E-3</v>
      </c>
    </row>
    <row r="257" spans="1:4" x14ac:dyDescent="0.2">
      <c r="A257" s="1">
        <v>2018</v>
      </c>
      <c r="B257" s="1" t="s">
        <v>1409</v>
      </c>
      <c r="C257" s="2">
        <v>5283817</v>
      </c>
      <c r="D257" s="8">
        <v>5.25341E-3</v>
      </c>
    </row>
    <row r="258" spans="1:4" x14ac:dyDescent="0.2">
      <c r="A258" s="1">
        <v>2018</v>
      </c>
      <c r="B258" s="1" t="s">
        <v>1410</v>
      </c>
      <c r="C258" s="2">
        <v>338131</v>
      </c>
      <c r="D258" s="8">
        <v>3.3618999999999999E-4</v>
      </c>
    </row>
    <row r="259" spans="1:4" x14ac:dyDescent="0.2">
      <c r="A259" s="1">
        <v>2018</v>
      </c>
      <c r="B259" s="1" t="s">
        <v>1411</v>
      </c>
      <c r="C259" s="2">
        <v>3286895</v>
      </c>
      <c r="D259" s="8">
        <v>3.2679800000000002E-3</v>
      </c>
    </row>
    <row r="260" spans="1:4" x14ac:dyDescent="0.2">
      <c r="A260" s="1">
        <v>2018</v>
      </c>
      <c r="B260" s="1" t="s">
        <v>1412</v>
      </c>
      <c r="C260" s="2">
        <v>1664640</v>
      </c>
      <c r="D260" s="8">
        <v>1.6550600000000001E-3</v>
      </c>
    </row>
    <row r="261" spans="1:4" x14ac:dyDescent="0.2">
      <c r="A261" s="1">
        <v>2018</v>
      </c>
      <c r="B261" s="1" t="s">
        <v>1413</v>
      </c>
      <c r="C261" s="2">
        <v>202572</v>
      </c>
      <c r="D261" s="8">
        <v>2.0141000000000001E-4</v>
      </c>
    </row>
    <row r="262" spans="1:4" x14ac:dyDescent="0.2">
      <c r="A262" s="1">
        <v>2018</v>
      </c>
      <c r="B262" s="1" t="s">
        <v>1414</v>
      </c>
      <c r="C262" s="2">
        <v>124290</v>
      </c>
      <c r="D262" s="8">
        <v>1.2357000000000001E-4</v>
      </c>
    </row>
    <row r="263" spans="1:4" x14ac:dyDescent="0.2">
      <c r="A263" s="1">
        <v>2018</v>
      </c>
      <c r="B263" s="1" t="s">
        <v>1415</v>
      </c>
      <c r="C263" s="2">
        <v>29674</v>
      </c>
      <c r="D263" s="8">
        <v>2.9499999999999999E-5</v>
      </c>
    </row>
    <row r="264" spans="1:4" x14ac:dyDescent="0.2">
      <c r="A264" s="1">
        <v>2018</v>
      </c>
      <c r="B264" s="1" t="s">
        <v>1416</v>
      </c>
      <c r="C264" s="2">
        <v>184096</v>
      </c>
      <c r="D264" s="8">
        <v>1.8304000000000001E-4</v>
      </c>
    </row>
    <row r="265" spans="1:4" x14ac:dyDescent="0.2">
      <c r="A265" s="1">
        <v>2018</v>
      </c>
      <c r="B265" s="1" t="s">
        <v>1417</v>
      </c>
      <c r="C265" s="2">
        <v>11857</v>
      </c>
      <c r="D265" s="8">
        <v>1.1790000000000001E-5</v>
      </c>
    </row>
    <row r="266" spans="1:4" x14ac:dyDescent="0.2">
      <c r="A266" s="1">
        <v>2018</v>
      </c>
      <c r="B266" s="1" t="s">
        <v>1418</v>
      </c>
      <c r="C266" s="2">
        <v>84558</v>
      </c>
      <c r="D266" s="8">
        <v>8.407E-5</v>
      </c>
    </row>
    <row r="267" spans="1:4" x14ac:dyDescent="0.2">
      <c r="A267" s="1">
        <v>2018</v>
      </c>
      <c r="B267" s="1" t="s">
        <v>1419</v>
      </c>
      <c r="C267" s="2">
        <v>81105</v>
      </c>
      <c r="D267" s="8">
        <v>8.064E-5</v>
      </c>
    </row>
    <row r="268" spans="1:4" x14ac:dyDescent="0.2">
      <c r="A268" s="1">
        <v>2018</v>
      </c>
      <c r="B268" s="1" t="s">
        <v>1420</v>
      </c>
      <c r="C268" s="2">
        <v>1468361</v>
      </c>
      <c r="D268" s="8">
        <v>1.45991E-3</v>
      </c>
    </row>
    <row r="269" spans="1:4" x14ac:dyDescent="0.2">
      <c r="A269" s="1">
        <v>2018</v>
      </c>
      <c r="B269" s="1" t="s">
        <v>1421</v>
      </c>
      <c r="C269" s="2">
        <v>8926</v>
      </c>
      <c r="D269" s="8">
        <v>8.8699999999999998E-6</v>
      </c>
    </row>
    <row r="270" spans="1:4" x14ac:dyDescent="0.2">
      <c r="A270" s="1">
        <v>2018</v>
      </c>
      <c r="B270" s="1" t="s">
        <v>1422</v>
      </c>
      <c r="C270" s="2">
        <v>11648555</v>
      </c>
      <c r="D270" s="8">
        <v>1.158152E-2</v>
      </c>
    </row>
    <row r="271" spans="1:4" x14ac:dyDescent="0.2">
      <c r="A271" s="1">
        <v>2018</v>
      </c>
      <c r="B271" s="1" t="s">
        <v>1423</v>
      </c>
      <c r="C271" s="2">
        <v>4941018</v>
      </c>
      <c r="D271" s="8">
        <v>4.9125799999999997E-3</v>
      </c>
    </row>
    <row r="272" spans="1:4" x14ac:dyDescent="0.2">
      <c r="A272" s="1">
        <v>2018</v>
      </c>
      <c r="B272" s="1" t="s">
        <v>1424</v>
      </c>
      <c r="C272" s="2">
        <v>133984</v>
      </c>
      <c r="D272" s="8">
        <v>1.3321000000000001E-4</v>
      </c>
    </row>
    <row r="273" spans="1:4" x14ac:dyDescent="0.2">
      <c r="A273" s="1">
        <v>2018</v>
      </c>
      <c r="B273" s="1" t="s">
        <v>1425</v>
      </c>
      <c r="C273" s="2">
        <v>89716</v>
      </c>
      <c r="D273" s="8">
        <v>8.92E-5</v>
      </c>
    </row>
    <row r="274" spans="1:4" x14ac:dyDescent="0.2">
      <c r="A274" s="1">
        <v>2018</v>
      </c>
      <c r="B274" s="1" t="s">
        <v>1426</v>
      </c>
      <c r="C274" s="2">
        <v>6847</v>
      </c>
      <c r="D274" s="8">
        <v>6.81E-6</v>
      </c>
    </row>
    <row r="275" spans="1:4" x14ac:dyDescent="0.2">
      <c r="A275" s="1">
        <v>2018</v>
      </c>
      <c r="B275" s="1" t="s">
        <v>1427</v>
      </c>
      <c r="C275" s="2">
        <v>178691</v>
      </c>
      <c r="D275" s="8">
        <v>1.7766E-4</v>
      </c>
    </row>
    <row r="276" spans="1:4" x14ac:dyDescent="0.2">
      <c r="A276" s="1">
        <v>2018</v>
      </c>
      <c r="B276" s="1" t="s">
        <v>1428</v>
      </c>
      <c r="C276" s="2">
        <v>243488</v>
      </c>
      <c r="D276" s="8">
        <v>2.4209000000000001E-4</v>
      </c>
    </row>
    <row r="277" spans="1:4" x14ac:dyDescent="0.2">
      <c r="A277" s="1">
        <v>2018</v>
      </c>
      <c r="B277" s="1" t="s">
        <v>1429</v>
      </c>
      <c r="C277" s="2">
        <v>147303</v>
      </c>
      <c r="D277" s="8">
        <v>1.4646E-4</v>
      </c>
    </row>
    <row r="278" spans="1:4" x14ac:dyDescent="0.2">
      <c r="A278" s="1">
        <v>2018</v>
      </c>
      <c r="B278" s="1" t="s">
        <v>1430</v>
      </c>
      <c r="C278" s="2">
        <v>10817</v>
      </c>
      <c r="D278" s="8">
        <v>1.075E-5</v>
      </c>
    </row>
    <row r="279" spans="1:4" x14ac:dyDescent="0.2">
      <c r="A279" s="1">
        <v>2018</v>
      </c>
      <c r="B279" s="1" t="s">
        <v>1431</v>
      </c>
      <c r="C279" s="2">
        <v>3681588</v>
      </c>
      <c r="D279" s="8">
        <v>3.6603999999999999E-3</v>
      </c>
    </row>
    <row r="280" spans="1:4" x14ac:dyDescent="0.2">
      <c r="A280" s="1">
        <v>2018</v>
      </c>
      <c r="B280" s="1" t="s">
        <v>1432</v>
      </c>
      <c r="C280" s="2">
        <v>68629</v>
      </c>
      <c r="D280" s="8">
        <v>6.8230000000000002E-5</v>
      </c>
    </row>
    <row r="281" spans="1:4" x14ac:dyDescent="0.2">
      <c r="A281" s="1">
        <v>2018</v>
      </c>
      <c r="B281" s="1" t="s">
        <v>1433</v>
      </c>
      <c r="C281" s="2">
        <v>3712754</v>
      </c>
      <c r="D281" s="8">
        <v>3.6913900000000001E-3</v>
      </c>
    </row>
    <row r="282" spans="1:4" x14ac:dyDescent="0.2">
      <c r="A282" s="1">
        <v>2018</v>
      </c>
      <c r="B282" s="1" t="s">
        <v>1434</v>
      </c>
      <c r="C282" s="2">
        <v>30450</v>
      </c>
      <c r="D282" s="8">
        <v>3.027E-5</v>
      </c>
    </row>
    <row r="283" spans="1:4" x14ac:dyDescent="0.2">
      <c r="A283" s="1">
        <v>2018</v>
      </c>
      <c r="B283" s="1" t="s">
        <v>1435</v>
      </c>
      <c r="C283" s="2">
        <v>103747</v>
      </c>
      <c r="D283" s="8">
        <v>1.0315E-4</v>
      </c>
    </row>
    <row r="284" spans="1:4" x14ac:dyDescent="0.2">
      <c r="A284" s="1">
        <v>2018</v>
      </c>
      <c r="B284" s="1" t="s">
        <v>1436</v>
      </c>
      <c r="C284" s="2">
        <v>282942</v>
      </c>
      <c r="D284" s="8">
        <v>2.8131E-4</v>
      </c>
    </row>
    <row r="285" spans="1:4" x14ac:dyDescent="0.2">
      <c r="A285" s="1">
        <v>2018</v>
      </c>
      <c r="B285" s="1" t="s">
        <v>1437</v>
      </c>
      <c r="C285" s="2">
        <v>15656</v>
      </c>
      <c r="D285" s="8">
        <v>1.5569999999999998E-5</v>
      </c>
    </row>
    <row r="286" spans="1:4" x14ac:dyDescent="0.2">
      <c r="A286" s="1">
        <v>2018</v>
      </c>
      <c r="B286" s="1" t="s">
        <v>1438</v>
      </c>
      <c r="C286" s="2">
        <v>1194797</v>
      </c>
      <c r="D286" s="8">
        <v>1.1879200000000001E-3</v>
      </c>
    </row>
    <row r="287" spans="1:4" x14ac:dyDescent="0.2">
      <c r="A287" s="1">
        <v>2018</v>
      </c>
      <c r="B287" s="1" t="s">
        <v>1439</v>
      </c>
      <c r="C287" s="2">
        <v>54636</v>
      </c>
      <c r="D287" s="8">
        <v>5.4320000000000002E-5</v>
      </c>
    </row>
    <row r="288" spans="1:4" x14ac:dyDescent="0.2">
      <c r="A288" s="1">
        <v>2018</v>
      </c>
      <c r="B288" s="1" t="s">
        <v>1440</v>
      </c>
      <c r="C288" s="2">
        <v>1048257</v>
      </c>
      <c r="D288" s="8">
        <v>1.04222E-3</v>
      </c>
    </row>
    <row r="289" spans="1:4" x14ac:dyDescent="0.2">
      <c r="A289" s="1">
        <v>2018</v>
      </c>
      <c r="B289" s="1" t="s">
        <v>1441</v>
      </c>
      <c r="C289" s="2">
        <v>24087</v>
      </c>
      <c r="D289" s="8">
        <v>2.3949999999999999E-5</v>
      </c>
    </row>
    <row r="290" spans="1:4" x14ac:dyDescent="0.2">
      <c r="A290" s="1">
        <v>2018</v>
      </c>
      <c r="B290" s="1" t="s">
        <v>1442</v>
      </c>
      <c r="C290" s="2">
        <v>25675</v>
      </c>
      <c r="D290" s="8">
        <v>2.5530000000000001E-5</v>
      </c>
    </row>
    <row r="291" spans="1:4" x14ac:dyDescent="0.2">
      <c r="A291" s="1">
        <v>2018</v>
      </c>
      <c r="B291" s="1" t="s">
        <v>1443</v>
      </c>
      <c r="C291" s="2">
        <v>4008519</v>
      </c>
      <c r="D291" s="8">
        <v>3.9854499999999998E-3</v>
      </c>
    </row>
    <row r="292" spans="1:4" x14ac:dyDescent="0.2">
      <c r="A292" s="1">
        <v>2018</v>
      </c>
      <c r="B292" s="1" t="s">
        <v>1444</v>
      </c>
      <c r="C292" s="2">
        <v>4674521</v>
      </c>
      <c r="D292" s="8">
        <v>4.6476199999999999E-3</v>
      </c>
    </row>
    <row r="293" spans="1:4" x14ac:dyDescent="0.2">
      <c r="A293" s="1">
        <v>2018</v>
      </c>
      <c r="B293" s="1" t="s">
        <v>1445</v>
      </c>
      <c r="C293" s="2">
        <v>107151</v>
      </c>
      <c r="D293" s="8">
        <v>1.0653E-4</v>
      </c>
    </row>
    <row r="294" spans="1:4" x14ac:dyDescent="0.2">
      <c r="A294" s="1">
        <v>2018</v>
      </c>
      <c r="B294" s="1" t="s">
        <v>1446</v>
      </c>
      <c r="C294" s="2">
        <v>140846</v>
      </c>
      <c r="D294" s="8">
        <v>1.4003999999999999E-4</v>
      </c>
    </row>
    <row r="295" spans="1:4" x14ac:dyDescent="0.2">
      <c r="A295" s="1">
        <v>2018</v>
      </c>
      <c r="B295" s="1" t="s">
        <v>1447</v>
      </c>
      <c r="C295" s="2">
        <v>8545</v>
      </c>
      <c r="D295" s="8">
        <v>8.4999999999999999E-6</v>
      </c>
    </row>
    <row r="296" spans="1:4" x14ac:dyDescent="0.2">
      <c r="A296" s="1">
        <v>2018</v>
      </c>
      <c r="B296" s="1" t="s">
        <v>1448</v>
      </c>
      <c r="C296" s="2">
        <v>8421005</v>
      </c>
      <c r="D296" s="8">
        <v>8.3725399999999995E-3</v>
      </c>
    </row>
    <row r="297" spans="1:4" x14ac:dyDescent="0.2">
      <c r="A297" s="1">
        <v>2018</v>
      </c>
      <c r="B297" s="1" t="s">
        <v>1449</v>
      </c>
      <c r="C297" s="2">
        <v>105425</v>
      </c>
      <c r="D297" s="8">
        <v>1.0482E-4</v>
      </c>
    </row>
    <row r="298" spans="1:4" x14ac:dyDescent="0.2">
      <c r="A298" s="1">
        <v>2018</v>
      </c>
      <c r="B298" s="1" t="s">
        <v>1450</v>
      </c>
      <c r="C298" s="2">
        <v>551085</v>
      </c>
      <c r="D298" s="8">
        <v>5.4790999999999998E-4</v>
      </c>
    </row>
    <row r="299" spans="1:4" x14ac:dyDescent="0.2">
      <c r="A299" s="1">
        <v>2018</v>
      </c>
      <c r="B299" s="1" t="s">
        <v>1451</v>
      </c>
      <c r="C299" s="2">
        <v>394729</v>
      </c>
      <c r="D299" s="8">
        <v>3.9246000000000002E-4</v>
      </c>
    </row>
    <row r="300" spans="1:4" x14ac:dyDescent="0.2">
      <c r="A300" s="1">
        <v>2018</v>
      </c>
      <c r="B300" s="1" t="s">
        <v>1452</v>
      </c>
      <c r="C300" s="2">
        <v>15487</v>
      </c>
      <c r="D300" s="8">
        <v>1.5400000000000002E-5</v>
      </c>
    </row>
    <row r="301" spans="1:4" x14ac:dyDescent="0.2">
      <c r="A301" s="1">
        <v>2018</v>
      </c>
      <c r="B301" s="1" t="s">
        <v>1453</v>
      </c>
      <c r="C301" s="2">
        <v>1064884</v>
      </c>
      <c r="D301" s="8">
        <v>1.05876E-3</v>
      </c>
    </row>
    <row r="302" spans="1:4" x14ac:dyDescent="0.2">
      <c r="A302" s="1">
        <v>2018</v>
      </c>
      <c r="B302" s="1" t="s">
        <v>1454</v>
      </c>
      <c r="C302" s="2">
        <v>468339</v>
      </c>
      <c r="D302" s="8">
        <v>4.6564000000000002E-4</v>
      </c>
    </row>
    <row r="303" spans="1:4" x14ac:dyDescent="0.2">
      <c r="A303" s="1">
        <v>2018</v>
      </c>
      <c r="B303" s="1" t="s">
        <v>1455</v>
      </c>
      <c r="C303" s="2">
        <v>2144973</v>
      </c>
      <c r="D303" s="8">
        <v>2.1326299999999999E-3</v>
      </c>
    </row>
    <row r="304" spans="1:4" x14ac:dyDescent="0.2">
      <c r="A304" s="1">
        <v>2018</v>
      </c>
      <c r="B304" s="1" t="s">
        <v>1456</v>
      </c>
      <c r="C304" s="2">
        <v>697101</v>
      </c>
      <c r="D304" s="8">
        <v>6.9309000000000005E-4</v>
      </c>
    </row>
    <row r="305" spans="1:4" x14ac:dyDescent="0.2">
      <c r="A305" s="1">
        <v>2018</v>
      </c>
      <c r="B305" s="1" t="s">
        <v>1457</v>
      </c>
      <c r="C305" s="2">
        <v>2702</v>
      </c>
      <c r="D305" s="8">
        <v>2.6900000000000001E-6</v>
      </c>
    </row>
    <row r="306" spans="1:4" x14ac:dyDescent="0.2">
      <c r="A306" s="1">
        <v>2018</v>
      </c>
      <c r="B306" s="1" t="s">
        <v>1458</v>
      </c>
      <c r="C306" s="2">
        <v>3227981</v>
      </c>
      <c r="D306" s="8">
        <v>3.2093999999999998E-3</v>
      </c>
    </row>
    <row r="307" spans="1:4" x14ac:dyDescent="0.2">
      <c r="A307" s="1">
        <v>2018</v>
      </c>
      <c r="B307" s="1" t="s">
        <v>1459</v>
      </c>
      <c r="C307" s="2">
        <v>1257882</v>
      </c>
      <c r="D307" s="8">
        <v>1.2506399999999999E-3</v>
      </c>
    </row>
    <row r="308" spans="1:4" x14ac:dyDescent="0.2">
      <c r="A308" s="1">
        <v>2018</v>
      </c>
      <c r="B308" s="1" t="s">
        <v>1460</v>
      </c>
      <c r="C308" s="2">
        <v>33159</v>
      </c>
      <c r="D308" s="8">
        <v>3.2969999999999998E-5</v>
      </c>
    </row>
    <row r="309" spans="1:4" x14ac:dyDescent="0.2">
      <c r="A309" s="1">
        <v>2018</v>
      </c>
      <c r="B309" s="1" t="s">
        <v>1461</v>
      </c>
      <c r="C309" s="2">
        <v>1147210</v>
      </c>
      <c r="D309" s="8">
        <v>1.14061E-3</v>
      </c>
    </row>
    <row r="310" spans="1:4" x14ac:dyDescent="0.2">
      <c r="A310" s="1">
        <v>2018</v>
      </c>
      <c r="B310" s="1" t="s">
        <v>1462</v>
      </c>
      <c r="C310" s="2">
        <v>1256299</v>
      </c>
      <c r="D310" s="8">
        <v>1.2490699999999999E-3</v>
      </c>
    </row>
    <row r="311" spans="1:4" x14ac:dyDescent="0.2">
      <c r="A311" s="1">
        <v>2018</v>
      </c>
      <c r="B311" s="1" t="s">
        <v>1463</v>
      </c>
      <c r="C311" s="2">
        <v>174254</v>
      </c>
      <c r="D311" s="8">
        <v>1.7325000000000001E-4</v>
      </c>
    </row>
    <row r="312" spans="1:4" x14ac:dyDescent="0.2">
      <c r="A312" s="1">
        <v>2018</v>
      </c>
      <c r="B312" s="1" t="s">
        <v>1464</v>
      </c>
      <c r="C312" s="2">
        <v>3366146</v>
      </c>
      <c r="D312" s="8">
        <v>3.3467700000000002E-3</v>
      </c>
    </row>
    <row r="313" spans="1:4" x14ac:dyDescent="0.2">
      <c r="A313" s="1">
        <v>2018</v>
      </c>
      <c r="B313" s="1" t="s">
        <v>1465</v>
      </c>
      <c r="C313" s="2">
        <v>1263549</v>
      </c>
      <c r="D313" s="8">
        <v>1.25628E-3</v>
      </c>
    </row>
    <row r="314" spans="1:4" x14ac:dyDescent="0.2">
      <c r="A314" s="1">
        <v>2018</v>
      </c>
      <c r="B314" s="1" t="s">
        <v>1466</v>
      </c>
      <c r="C314" s="2">
        <v>397906</v>
      </c>
      <c r="D314" s="8">
        <v>3.9562000000000001E-4</v>
      </c>
    </row>
    <row r="315" spans="1:4" x14ac:dyDescent="0.2">
      <c r="A315" s="1">
        <v>2018</v>
      </c>
      <c r="B315" s="1" t="s">
        <v>1467</v>
      </c>
      <c r="C315" s="2">
        <v>7456</v>
      </c>
      <c r="D315" s="8">
        <v>7.4100000000000002E-6</v>
      </c>
    </row>
    <row r="316" spans="1:4" x14ac:dyDescent="0.2">
      <c r="A316" s="1">
        <v>2018</v>
      </c>
      <c r="B316" s="1" t="s">
        <v>1468</v>
      </c>
      <c r="C316" s="2">
        <v>471038</v>
      </c>
      <c r="D316" s="8">
        <v>4.6832999999999998E-4</v>
      </c>
    </row>
    <row r="317" spans="1:4" x14ac:dyDescent="0.2">
      <c r="A317" s="1">
        <v>2018</v>
      </c>
      <c r="B317" s="1" t="s">
        <v>1469</v>
      </c>
      <c r="C317" s="2">
        <v>352203</v>
      </c>
      <c r="D317" s="8">
        <v>3.5018000000000001E-4</v>
      </c>
    </row>
    <row r="318" spans="1:4" x14ac:dyDescent="0.2">
      <c r="A318" s="1">
        <v>2018</v>
      </c>
      <c r="B318" s="1" t="s">
        <v>1470</v>
      </c>
      <c r="C318" s="2">
        <v>1266187</v>
      </c>
      <c r="D318" s="8">
        <v>1.2589000000000001E-3</v>
      </c>
    </row>
    <row r="319" spans="1:4" x14ac:dyDescent="0.2">
      <c r="A319" s="1">
        <v>2018</v>
      </c>
      <c r="B319" s="1" t="s">
        <v>1471</v>
      </c>
      <c r="C319" s="2">
        <v>1034679</v>
      </c>
      <c r="D319" s="8">
        <v>1.0287199999999999E-3</v>
      </c>
    </row>
    <row r="320" spans="1:4" x14ac:dyDescent="0.2">
      <c r="A320" s="1">
        <v>2018</v>
      </c>
      <c r="B320" s="1" t="s">
        <v>1472</v>
      </c>
      <c r="C320" s="2">
        <v>49530</v>
      </c>
      <c r="D320" s="8">
        <v>4.9240000000000003E-5</v>
      </c>
    </row>
    <row r="321" spans="1:4" x14ac:dyDescent="0.2">
      <c r="A321" s="1">
        <v>2018</v>
      </c>
      <c r="B321" s="1" t="s">
        <v>1473</v>
      </c>
      <c r="C321" s="2">
        <v>340343</v>
      </c>
      <c r="D321" s="8">
        <v>3.3838E-4</v>
      </c>
    </row>
    <row r="322" spans="1:4" x14ac:dyDescent="0.2">
      <c r="A322" s="1">
        <v>2018</v>
      </c>
      <c r="B322" s="1" t="s">
        <v>1474</v>
      </c>
      <c r="C322" s="2">
        <v>2769444</v>
      </c>
      <c r="D322" s="8">
        <v>2.7535099999999998E-3</v>
      </c>
    </row>
    <row r="323" spans="1:4" x14ac:dyDescent="0.2">
      <c r="A323" s="1">
        <v>2018</v>
      </c>
      <c r="B323" s="1" t="s">
        <v>1475</v>
      </c>
      <c r="C323" s="2">
        <v>565029</v>
      </c>
      <c r="D323" s="8">
        <v>5.6178000000000001E-4</v>
      </c>
    </row>
    <row r="324" spans="1:4" x14ac:dyDescent="0.2">
      <c r="A324" s="1">
        <v>2018</v>
      </c>
      <c r="B324" s="1" t="s">
        <v>1476</v>
      </c>
      <c r="C324" s="2">
        <v>3037</v>
      </c>
      <c r="D324" s="8">
        <v>3.0199999999999999E-6</v>
      </c>
    </row>
    <row r="325" spans="1:4" x14ac:dyDescent="0.2">
      <c r="A325" s="1">
        <v>2018</v>
      </c>
      <c r="B325" s="1" t="s">
        <v>1477</v>
      </c>
      <c r="C325" s="2">
        <v>3665132</v>
      </c>
      <c r="D325" s="8">
        <v>3.6440399999999999E-3</v>
      </c>
    </row>
    <row r="326" spans="1:4" x14ac:dyDescent="0.2">
      <c r="A326" s="1">
        <v>2018</v>
      </c>
      <c r="B326" s="1" t="s">
        <v>1478</v>
      </c>
      <c r="C326" s="2">
        <v>75020</v>
      </c>
      <c r="D326" s="8">
        <v>7.4590000000000002E-5</v>
      </c>
    </row>
    <row r="327" spans="1:4" x14ac:dyDescent="0.2">
      <c r="A327" s="1">
        <v>2018</v>
      </c>
      <c r="B327" s="1" t="s">
        <v>1479</v>
      </c>
      <c r="C327" s="2">
        <v>14845</v>
      </c>
      <c r="D327" s="8">
        <v>1.4759999999999999E-5</v>
      </c>
    </row>
    <row r="328" spans="1:4" x14ac:dyDescent="0.2">
      <c r="A328" s="1">
        <v>2018</v>
      </c>
      <c r="B328" s="1" t="s">
        <v>1480</v>
      </c>
      <c r="C328" s="2">
        <v>201667</v>
      </c>
      <c r="D328" s="8">
        <v>2.0050999999999999E-4</v>
      </c>
    </row>
    <row r="329" spans="1:4" x14ac:dyDescent="0.2">
      <c r="A329" s="1">
        <v>2018</v>
      </c>
      <c r="B329" s="1" t="s">
        <v>1481</v>
      </c>
      <c r="C329" s="2">
        <v>23415</v>
      </c>
      <c r="D329" s="8">
        <v>2.3280000000000001E-5</v>
      </c>
    </row>
    <row r="330" spans="1:4" x14ac:dyDescent="0.2">
      <c r="A330" s="1">
        <v>2018</v>
      </c>
      <c r="B330" s="1" t="s">
        <v>1482</v>
      </c>
      <c r="C330" s="2">
        <v>9327313</v>
      </c>
      <c r="D330" s="8">
        <v>9.2736399999999997E-3</v>
      </c>
    </row>
    <row r="331" spans="1:4" x14ac:dyDescent="0.2">
      <c r="A331" s="1">
        <v>2018</v>
      </c>
      <c r="B331" s="1" t="s">
        <v>1483</v>
      </c>
      <c r="C331" s="2">
        <v>738689</v>
      </c>
      <c r="D331" s="8">
        <v>7.3444000000000005E-4</v>
      </c>
    </row>
    <row r="332" spans="1:4" x14ac:dyDescent="0.2">
      <c r="A332" s="1">
        <v>2018</v>
      </c>
      <c r="B332" s="1" t="s">
        <v>1484</v>
      </c>
      <c r="C332" s="2">
        <v>7194503</v>
      </c>
      <c r="D332" s="8">
        <v>7.1530999999999999E-3</v>
      </c>
    </row>
    <row r="333" spans="1:4" x14ac:dyDescent="0.2">
      <c r="A333" s="1">
        <v>2018</v>
      </c>
      <c r="B333" s="1" t="s">
        <v>1485</v>
      </c>
      <c r="C333" s="2">
        <v>4844931</v>
      </c>
      <c r="D333" s="8">
        <v>4.8170499999999998E-3</v>
      </c>
    </row>
    <row r="334" spans="1:4" x14ac:dyDescent="0.2">
      <c r="A334" s="1">
        <v>2018</v>
      </c>
      <c r="B334" s="1" t="s">
        <v>1486</v>
      </c>
      <c r="C334" s="2">
        <v>64382</v>
      </c>
      <c r="D334" s="8">
        <v>6.4010000000000005E-5</v>
      </c>
    </row>
    <row r="335" spans="1:4" x14ac:dyDescent="0.2">
      <c r="A335" s="1">
        <v>2018</v>
      </c>
      <c r="B335" s="1" t="s">
        <v>1487</v>
      </c>
      <c r="C335" s="2">
        <v>135844</v>
      </c>
      <c r="D335" s="8">
        <v>1.3506E-4</v>
      </c>
    </row>
    <row r="336" spans="1:4" x14ac:dyDescent="0.2">
      <c r="A336" s="1">
        <v>2018</v>
      </c>
      <c r="B336" s="1" t="s">
        <v>1488</v>
      </c>
      <c r="C336" s="2">
        <v>22558</v>
      </c>
      <c r="D336" s="8">
        <v>2.243E-5</v>
      </c>
    </row>
    <row r="337" spans="1:4" x14ac:dyDescent="0.2">
      <c r="A337" s="1">
        <v>2018</v>
      </c>
      <c r="B337" s="1" t="s">
        <v>1489</v>
      </c>
      <c r="C337" s="2">
        <v>462223</v>
      </c>
      <c r="D337" s="8">
        <v>4.5956000000000002E-4</v>
      </c>
    </row>
    <row r="338" spans="1:4" x14ac:dyDescent="0.2">
      <c r="A338" s="1">
        <v>2018</v>
      </c>
      <c r="B338" s="1" t="s">
        <v>1490</v>
      </c>
      <c r="C338" s="2">
        <v>86387</v>
      </c>
      <c r="D338" s="8">
        <v>8.5890000000000006E-5</v>
      </c>
    </row>
    <row r="339" spans="1:4" x14ac:dyDescent="0.2">
      <c r="A339" s="1">
        <v>2018</v>
      </c>
      <c r="B339" s="1" t="s">
        <v>1491</v>
      </c>
      <c r="C339" s="2">
        <v>22263234</v>
      </c>
      <c r="D339" s="8">
        <v>2.213511E-2</v>
      </c>
    </row>
    <row r="340" spans="1:4" x14ac:dyDescent="0.2">
      <c r="A340" s="1">
        <v>2018</v>
      </c>
      <c r="B340" s="1" t="s">
        <v>1492</v>
      </c>
      <c r="C340" s="2">
        <v>944615</v>
      </c>
      <c r="D340" s="8">
        <v>9.3917999999999996E-4</v>
      </c>
    </row>
    <row r="341" spans="1:4" x14ac:dyDescent="0.2">
      <c r="A341" s="1">
        <v>2018</v>
      </c>
      <c r="B341" s="1" t="s">
        <v>1493</v>
      </c>
      <c r="C341" s="2">
        <v>7792091</v>
      </c>
      <c r="D341" s="8">
        <v>7.7472499999999998E-3</v>
      </c>
    </row>
    <row r="342" spans="1:4" x14ac:dyDescent="0.2">
      <c r="A342" s="1">
        <v>2018</v>
      </c>
      <c r="B342" s="1" t="s">
        <v>1494</v>
      </c>
      <c r="C342" s="2">
        <v>342641</v>
      </c>
      <c r="D342" s="8">
        <v>3.4067E-4</v>
      </c>
    </row>
    <row r="343" spans="1:4" x14ac:dyDescent="0.2">
      <c r="A343" s="1">
        <v>2018</v>
      </c>
      <c r="B343" s="1" t="s">
        <v>1495</v>
      </c>
      <c r="C343" s="2">
        <v>332719</v>
      </c>
      <c r="D343" s="8">
        <v>3.3080000000000002E-4</v>
      </c>
    </row>
    <row r="344" spans="1:4" x14ac:dyDescent="0.2">
      <c r="A344" s="1">
        <v>2018</v>
      </c>
      <c r="B344" s="1" t="s">
        <v>1496</v>
      </c>
      <c r="C344" s="2">
        <v>737171</v>
      </c>
      <c r="D344" s="8">
        <v>7.3293000000000002E-4</v>
      </c>
    </row>
    <row r="345" spans="1:4" x14ac:dyDescent="0.2">
      <c r="A345" s="1">
        <v>2018</v>
      </c>
      <c r="B345" s="1" t="s">
        <v>1497</v>
      </c>
      <c r="C345" s="2">
        <v>388436</v>
      </c>
      <c r="D345" s="8">
        <v>3.8620000000000001E-4</v>
      </c>
    </row>
    <row r="346" spans="1:4" x14ac:dyDescent="0.2">
      <c r="A346" s="1">
        <v>2018</v>
      </c>
      <c r="B346" s="1" t="s">
        <v>1498</v>
      </c>
      <c r="C346" s="2">
        <v>1035857</v>
      </c>
      <c r="D346" s="8">
        <v>1.0299E-3</v>
      </c>
    </row>
    <row r="347" spans="1:4" x14ac:dyDescent="0.2">
      <c r="A347" s="1">
        <v>2018</v>
      </c>
      <c r="B347" s="1" t="s">
        <v>1499</v>
      </c>
      <c r="C347" s="2">
        <v>507032</v>
      </c>
      <c r="D347" s="8">
        <v>5.0411E-4</v>
      </c>
    </row>
    <row r="348" spans="1:4" x14ac:dyDescent="0.2">
      <c r="A348" s="1">
        <v>2018</v>
      </c>
      <c r="B348" s="1" t="s">
        <v>1500</v>
      </c>
      <c r="C348" s="2">
        <v>437013</v>
      </c>
      <c r="D348" s="8">
        <v>4.3449999999999999E-4</v>
      </c>
    </row>
    <row r="349" spans="1:4" x14ac:dyDescent="0.2">
      <c r="A349" s="1">
        <v>2018</v>
      </c>
      <c r="B349" s="1" t="s">
        <v>1501</v>
      </c>
      <c r="C349" s="2">
        <v>1221637</v>
      </c>
      <c r="D349" s="8">
        <v>1.2146100000000001E-3</v>
      </c>
    </row>
    <row r="350" spans="1:4" x14ac:dyDescent="0.2">
      <c r="A350" s="1">
        <v>2018</v>
      </c>
      <c r="B350" s="1" t="s">
        <v>1502</v>
      </c>
      <c r="C350" s="2">
        <v>21716</v>
      </c>
      <c r="D350" s="8">
        <v>2.1590000000000002E-5</v>
      </c>
    </row>
    <row r="351" spans="1:4" x14ac:dyDescent="0.2">
      <c r="A351" s="1">
        <v>2018</v>
      </c>
      <c r="B351" s="1" t="s">
        <v>1503</v>
      </c>
      <c r="C351" s="2">
        <v>297312</v>
      </c>
      <c r="D351" s="8">
        <v>2.9559999999999998E-4</v>
      </c>
    </row>
    <row r="352" spans="1:4" x14ac:dyDescent="0.2">
      <c r="A352" s="1">
        <v>2018</v>
      </c>
      <c r="B352" s="1" t="s">
        <v>1504</v>
      </c>
      <c r="C352" s="2">
        <v>6147718</v>
      </c>
      <c r="D352" s="8">
        <v>6.11234E-3</v>
      </c>
    </row>
    <row r="353" spans="1:4" x14ac:dyDescent="0.2">
      <c r="A353" s="1">
        <v>2018</v>
      </c>
      <c r="B353" s="1" t="s">
        <v>1505</v>
      </c>
      <c r="C353" s="2">
        <v>2202082</v>
      </c>
      <c r="D353" s="8">
        <v>2.1894100000000001E-3</v>
      </c>
    </row>
    <row r="354" spans="1:4" x14ac:dyDescent="0.2">
      <c r="A354" s="1">
        <v>2018</v>
      </c>
      <c r="B354" s="1" t="s">
        <v>1506</v>
      </c>
      <c r="C354" s="2">
        <v>3111327</v>
      </c>
      <c r="D354" s="8">
        <v>3.0934199999999999E-3</v>
      </c>
    </row>
    <row r="355" spans="1:4" x14ac:dyDescent="0.2">
      <c r="A355" s="1">
        <v>2018</v>
      </c>
      <c r="B355" s="1" t="s">
        <v>1507</v>
      </c>
      <c r="C355" s="2">
        <v>31336</v>
      </c>
      <c r="D355" s="8">
        <v>3.116E-5</v>
      </c>
    </row>
    <row r="356" spans="1:4" x14ac:dyDescent="0.2">
      <c r="A356" s="1">
        <v>2018</v>
      </c>
      <c r="B356" s="1" t="s">
        <v>1508</v>
      </c>
      <c r="C356" s="2">
        <v>46409</v>
      </c>
      <c r="D356" s="8">
        <v>4.6140000000000002E-5</v>
      </c>
    </row>
    <row r="357" spans="1:4" x14ac:dyDescent="0.2">
      <c r="A357" s="1">
        <v>2018</v>
      </c>
      <c r="B357" s="1" t="s">
        <v>1509</v>
      </c>
      <c r="C357" s="2">
        <v>5714</v>
      </c>
      <c r="D357" s="8">
        <v>5.6799999999999998E-6</v>
      </c>
    </row>
    <row r="358" spans="1:4" x14ac:dyDescent="0.2">
      <c r="A358" s="1">
        <v>2018</v>
      </c>
      <c r="B358" s="1" t="s">
        <v>1510</v>
      </c>
      <c r="C358" s="2">
        <v>1215927</v>
      </c>
      <c r="D358" s="8">
        <v>1.20893E-3</v>
      </c>
    </row>
    <row r="359" spans="1:4" x14ac:dyDescent="0.2">
      <c r="A359" s="1">
        <v>2018</v>
      </c>
      <c r="B359" s="1" t="s">
        <v>1511</v>
      </c>
      <c r="C359" s="2">
        <v>609533</v>
      </c>
      <c r="D359" s="8">
        <v>6.0603000000000002E-4</v>
      </c>
    </row>
    <row r="360" spans="1:4" x14ac:dyDescent="0.2">
      <c r="A360" s="1">
        <v>2018</v>
      </c>
      <c r="B360" s="1" t="s">
        <v>1512</v>
      </c>
      <c r="C360" s="2">
        <v>21608</v>
      </c>
      <c r="D360" s="8">
        <v>2.1480000000000001E-5</v>
      </c>
    </row>
    <row r="361" spans="1:4" x14ac:dyDescent="0.2">
      <c r="A361" s="1">
        <v>2018</v>
      </c>
      <c r="B361" s="1" t="s">
        <v>1513</v>
      </c>
      <c r="C361" s="2">
        <v>28119</v>
      </c>
      <c r="D361" s="8">
        <v>2.796E-5</v>
      </c>
    </row>
    <row r="362" spans="1:4" x14ac:dyDescent="0.2">
      <c r="A362" s="1">
        <v>2018</v>
      </c>
      <c r="B362" s="1" t="s">
        <v>1514</v>
      </c>
      <c r="C362" s="2">
        <v>40721</v>
      </c>
      <c r="D362" s="8">
        <v>4.049E-5</v>
      </c>
    </row>
    <row r="363" spans="1:4" x14ac:dyDescent="0.2">
      <c r="A363" s="1">
        <v>2018</v>
      </c>
      <c r="B363" s="1" t="s">
        <v>1515</v>
      </c>
      <c r="C363" s="2">
        <v>412077</v>
      </c>
      <c r="D363" s="8">
        <v>4.0970999999999998E-4</v>
      </c>
    </row>
    <row r="364" spans="1:4" x14ac:dyDescent="0.2">
      <c r="A364" s="1">
        <v>2018</v>
      </c>
      <c r="B364" s="1" t="s">
        <v>1516</v>
      </c>
      <c r="C364" s="2">
        <v>1600233</v>
      </c>
      <c r="D364" s="8">
        <v>1.5910200000000001E-3</v>
      </c>
    </row>
    <row r="365" spans="1:4" x14ac:dyDescent="0.2">
      <c r="A365" s="1">
        <v>2018</v>
      </c>
      <c r="B365" s="1" t="s">
        <v>1517</v>
      </c>
      <c r="C365" s="2">
        <v>211629</v>
      </c>
      <c r="D365" s="8">
        <v>2.1041000000000001E-4</v>
      </c>
    </row>
    <row r="366" spans="1:4" x14ac:dyDescent="0.2">
      <c r="A366" s="1">
        <v>2018</v>
      </c>
      <c r="B366" s="1" t="s">
        <v>1518</v>
      </c>
      <c r="C366" s="2">
        <v>2451683</v>
      </c>
      <c r="D366" s="8">
        <v>2.43757E-3</v>
      </c>
    </row>
    <row r="367" spans="1:4" x14ac:dyDescent="0.2">
      <c r="A367" s="1">
        <v>2018</v>
      </c>
      <c r="B367" s="1" t="s">
        <v>1519</v>
      </c>
      <c r="C367" s="2">
        <v>1448754</v>
      </c>
      <c r="D367" s="8">
        <v>1.44042E-3</v>
      </c>
    </row>
    <row r="368" spans="1:4" x14ac:dyDescent="0.2">
      <c r="A368" s="1">
        <v>2018</v>
      </c>
      <c r="B368" s="1" t="s">
        <v>1520</v>
      </c>
      <c r="C368" s="2">
        <v>2500</v>
      </c>
      <c r="D368" s="8">
        <v>2.4899999999999999E-6</v>
      </c>
    </row>
    <row r="369" spans="1:4" x14ac:dyDescent="0.2">
      <c r="A369" s="1">
        <v>2018</v>
      </c>
      <c r="B369" s="1" t="s">
        <v>1521</v>
      </c>
      <c r="C369" s="2">
        <v>24274</v>
      </c>
      <c r="D369" s="8">
        <v>2.4130000000000001E-5</v>
      </c>
    </row>
    <row r="370" spans="1:4" x14ac:dyDescent="0.2">
      <c r="A370" s="1">
        <v>2018</v>
      </c>
      <c r="B370" s="1" t="s">
        <v>1522</v>
      </c>
      <c r="C370" s="2">
        <v>7820748</v>
      </c>
      <c r="D370" s="8">
        <v>7.7757399999999997E-3</v>
      </c>
    </row>
    <row r="371" spans="1:4" x14ac:dyDescent="0.2">
      <c r="A371" s="1">
        <v>2018</v>
      </c>
      <c r="B371" s="1" t="s">
        <v>1523</v>
      </c>
      <c r="C371" s="2">
        <v>13769</v>
      </c>
      <c r="D371" s="8">
        <v>1.3689999999999999E-5</v>
      </c>
    </row>
    <row r="372" spans="1:4" x14ac:dyDescent="0.2">
      <c r="A372" s="1">
        <v>2018</v>
      </c>
      <c r="B372" s="1" t="s">
        <v>1524</v>
      </c>
      <c r="C372" s="2">
        <v>2115179</v>
      </c>
      <c r="D372" s="8">
        <v>2.1030100000000002E-3</v>
      </c>
    </row>
    <row r="373" spans="1:4" x14ac:dyDescent="0.2">
      <c r="A373" s="1">
        <v>2018</v>
      </c>
      <c r="B373" s="1" t="s">
        <v>1525</v>
      </c>
      <c r="C373" s="2">
        <v>79042</v>
      </c>
      <c r="D373" s="8">
        <v>7.8590000000000005E-5</v>
      </c>
    </row>
    <row r="374" spans="1:4" x14ac:dyDescent="0.2">
      <c r="A374" s="1">
        <v>2018</v>
      </c>
      <c r="B374" s="1" t="s">
        <v>1526</v>
      </c>
      <c r="C374" s="2">
        <v>27567</v>
      </c>
      <c r="D374" s="8">
        <v>2.741E-5</v>
      </c>
    </row>
    <row r="375" spans="1:4" x14ac:dyDescent="0.2">
      <c r="A375" s="1">
        <v>2018</v>
      </c>
      <c r="B375" s="1" t="s">
        <v>1527</v>
      </c>
      <c r="C375" s="2">
        <v>4846445</v>
      </c>
      <c r="D375" s="8">
        <v>4.8185499999999996E-3</v>
      </c>
    </row>
    <row r="376" spans="1:4" x14ac:dyDescent="0.2">
      <c r="A376" s="1">
        <v>2018</v>
      </c>
      <c r="B376" s="1" t="s">
        <v>1528</v>
      </c>
      <c r="C376" s="2">
        <v>1956297</v>
      </c>
      <c r="D376" s="8">
        <v>1.9450400000000001E-3</v>
      </c>
    </row>
    <row r="377" spans="1:4" x14ac:dyDescent="0.2">
      <c r="A377" s="1">
        <v>2018</v>
      </c>
      <c r="B377" s="1" t="s">
        <v>1529</v>
      </c>
      <c r="C377" s="2">
        <v>409180</v>
      </c>
      <c r="D377" s="8">
        <v>4.0683000000000001E-4</v>
      </c>
    </row>
    <row r="378" spans="1:4" x14ac:dyDescent="0.2">
      <c r="A378" s="1">
        <v>2018</v>
      </c>
      <c r="B378" s="1" t="s">
        <v>1530</v>
      </c>
      <c r="C378" s="2">
        <v>2148</v>
      </c>
      <c r="D378" s="8">
        <v>2.1399999999999998E-6</v>
      </c>
    </row>
    <row r="379" spans="1:4" x14ac:dyDescent="0.2">
      <c r="A379" s="1">
        <v>2018</v>
      </c>
      <c r="B379" s="1" t="s">
        <v>1531</v>
      </c>
      <c r="C379" s="2">
        <v>27600</v>
      </c>
      <c r="D379" s="8">
        <v>2.7440000000000002E-5</v>
      </c>
    </row>
    <row r="380" spans="1:4" x14ac:dyDescent="0.2">
      <c r="A380" s="1">
        <v>2018</v>
      </c>
      <c r="B380" s="1" t="s">
        <v>1532</v>
      </c>
      <c r="C380" s="2">
        <v>1431254</v>
      </c>
      <c r="D380" s="8">
        <v>1.4230200000000001E-3</v>
      </c>
    </row>
    <row r="381" spans="1:4" x14ac:dyDescent="0.2">
      <c r="A381" s="1">
        <v>2018</v>
      </c>
      <c r="B381" s="1" t="s">
        <v>1533</v>
      </c>
      <c r="C381" s="2">
        <v>132830</v>
      </c>
      <c r="D381" s="8">
        <v>1.3207E-4</v>
      </c>
    </row>
    <row r="382" spans="1:4" x14ac:dyDescent="0.2">
      <c r="A382" s="1">
        <v>2018</v>
      </c>
      <c r="B382" s="1" t="s">
        <v>1534</v>
      </c>
      <c r="C382" s="2">
        <v>2912214</v>
      </c>
      <c r="D382" s="8">
        <v>2.8954499999999999E-3</v>
      </c>
    </row>
    <row r="383" spans="1:4" x14ac:dyDescent="0.2">
      <c r="A383" s="1">
        <v>2018</v>
      </c>
      <c r="B383" s="1" t="s">
        <v>1535</v>
      </c>
      <c r="C383" s="2">
        <v>53010</v>
      </c>
      <c r="D383" s="8">
        <v>5.2710000000000002E-5</v>
      </c>
    </row>
    <row r="384" spans="1:4" x14ac:dyDescent="0.2">
      <c r="A384" s="1">
        <v>2018</v>
      </c>
      <c r="B384" s="1" t="s">
        <v>1536</v>
      </c>
      <c r="C384" s="2">
        <v>1544304</v>
      </c>
      <c r="D384" s="8">
        <v>1.53542E-3</v>
      </c>
    </row>
    <row r="385" spans="1:4" x14ac:dyDescent="0.2">
      <c r="A385" s="1">
        <v>2018</v>
      </c>
      <c r="B385" s="1" t="s">
        <v>1537</v>
      </c>
      <c r="C385" s="2">
        <v>435854</v>
      </c>
      <c r="D385" s="8">
        <v>4.3334999999999999E-4</v>
      </c>
    </row>
    <row r="386" spans="1:4" x14ac:dyDescent="0.2">
      <c r="A386" s="1">
        <v>2018</v>
      </c>
      <c r="B386" s="1" t="s">
        <v>1538</v>
      </c>
      <c r="C386" s="2">
        <v>2054713</v>
      </c>
      <c r="D386" s="8">
        <v>2.0428899999999999E-3</v>
      </c>
    </row>
    <row r="387" spans="1:4" x14ac:dyDescent="0.2">
      <c r="A387" s="1">
        <v>2018</v>
      </c>
      <c r="B387" s="1" t="s">
        <v>1539</v>
      </c>
      <c r="C387" s="2">
        <v>729115</v>
      </c>
      <c r="D387" s="8">
        <v>7.2491999999999999E-4</v>
      </c>
    </row>
    <row r="388" spans="1:4" x14ac:dyDescent="0.2">
      <c r="A388" s="1">
        <v>2018</v>
      </c>
      <c r="B388" s="1" t="s">
        <v>1540</v>
      </c>
      <c r="C388" s="2">
        <v>57334</v>
      </c>
      <c r="D388" s="8">
        <v>5.7000000000000003E-5</v>
      </c>
    </row>
    <row r="389" spans="1:4" x14ac:dyDescent="0.2">
      <c r="A389" s="1">
        <v>2018</v>
      </c>
      <c r="B389" s="1" t="s">
        <v>1541</v>
      </c>
      <c r="C389" s="2">
        <v>1965187</v>
      </c>
      <c r="D389" s="8">
        <v>1.9538799999999999E-3</v>
      </c>
    </row>
    <row r="390" spans="1:4" x14ac:dyDescent="0.2">
      <c r="A390" s="1">
        <v>2018</v>
      </c>
      <c r="B390" s="1" t="s">
        <v>1542</v>
      </c>
      <c r="C390" s="2">
        <v>4772</v>
      </c>
      <c r="D390" s="8">
        <v>4.7400000000000004E-6</v>
      </c>
    </row>
    <row r="391" spans="1:4" x14ac:dyDescent="0.2">
      <c r="A391" s="1">
        <v>2018</v>
      </c>
      <c r="B391" s="1" t="s">
        <v>1543</v>
      </c>
      <c r="C391" s="2">
        <v>5472661</v>
      </c>
      <c r="D391" s="8">
        <v>5.4411700000000004E-3</v>
      </c>
    </row>
    <row r="392" spans="1:4" x14ac:dyDescent="0.2">
      <c r="A392" s="1">
        <v>2018</v>
      </c>
      <c r="B392" s="1" t="s">
        <v>1544</v>
      </c>
      <c r="C392" s="2">
        <v>122037</v>
      </c>
      <c r="D392" s="8">
        <v>1.2133000000000001E-4</v>
      </c>
    </row>
    <row r="393" spans="1:4" x14ac:dyDescent="0.2">
      <c r="A393" s="1">
        <v>2018</v>
      </c>
      <c r="B393" s="1" t="s">
        <v>1545</v>
      </c>
      <c r="C393" s="2">
        <v>1930272</v>
      </c>
      <c r="D393" s="8">
        <v>1.91916E-3</v>
      </c>
    </row>
    <row r="394" spans="1:4" x14ac:dyDescent="0.2">
      <c r="A394" s="1">
        <v>2018</v>
      </c>
      <c r="B394" s="1" t="s">
        <v>1546</v>
      </c>
      <c r="C394" s="2">
        <v>1101066</v>
      </c>
      <c r="D394" s="8">
        <v>1.0947299999999999E-3</v>
      </c>
    </row>
    <row r="395" spans="1:4" x14ac:dyDescent="0.2">
      <c r="A395" s="1">
        <v>2018</v>
      </c>
      <c r="B395" s="1" t="s">
        <v>1547</v>
      </c>
      <c r="C395" s="2">
        <v>71092</v>
      </c>
      <c r="D395" s="8">
        <v>7.0679999999999994E-5</v>
      </c>
    </row>
    <row r="396" spans="1:4" x14ac:dyDescent="0.2">
      <c r="A396" s="1">
        <v>2018</v>
      </c>
      <c r="B396" s="1" t="s">
        <v>1548</v>
      </c>
      <c r="C396" s="2">
        <v>226615</v>
      </c>
      <c r="D396" s="8">
        <v>2.2531E-4</v>
      </c>
    </row>
    <row r="397" spans="1:4" x14ac:dyDescent="0.2">
      <c r="A397" s="1">
        <v>2018</v>
      </c>
      <c r="B397" s="1" t="s">
        <v>1549</v>
      </c>
      <c r="C397" s="2">
        <v>12274</v>
      </c>
      <c r="D397" s="8">
        <v>1.22E-5</v>
      </c>
    </row>
    <row r="398" spans="1:4" x14ac:dyDescent="0.2">
      <c r="A398" s="1">
        <v>2018</v>
      </c>
      <c r="B398" s="1" t="s">
        <v>1550</v>
      </c>
      <c r="C398" s="2">
        <v>235963</v>
      </c>
      <c r="D398" s="8">
        <v>2.3461000000000001E-4</v>
      </c>
    </row>
    <row r="399" spans="1:4" x14ac:dyDescent="0.2">
      <c r="A399" s="1">
        <v>2018</v>
      </c>
      <c r="B399" s="1" t="s">
        <v>1551</v>
      </c>
      <c r="C399" s="2">
        <v>823262</v>
      </c>
      <c r="D399" s="8">
        <v>8.1851999999999999E-4</v>
      </c>
    </row>
    <row r="400" spans="1:4" x14ac:dyDescent="0.2">
      <c r="A400" s="1">
        <v>2018</v>
      </c>
      <c r="B400" s="1" t="s">
        <v>1552</v>
      </c>
      <c r="C400" s="2">
        <v>1181</v>
      </c>
      <c r="D400" s="8">
        <v>1.17E-6</v>
      </c>
    </row>
    <row r="401" spans="1:4" x14ac:dyDescent="0.2">
      <c r="A401" s="1">
        <v>2018</v>
      </c>
      <c r="B401" s="1" t="s">
        <v>1553</v>
      </c>
      <c r="C401" s="2">
        <v>204986</v>
      </c>
      <c r="D401" s="8">
        <v>2.0380999999999999E-4</v>
      </c>
    </row>
    <row r="402" spans="1:4" x14ac:dyDescent="0.2">
      <c r="A402" s="1">
        <v>2018</v>
      </c>
      <c r="B402" s="1" t="s">
        <v>1554</v>
      </c>
      <c r="C402" s="2">
        <v>117394</v>
      </c>
      <c r="D402" s="8">
        <v>1.1671999999999999E-4</v>
      </c>
    </row>
    <row r="403" spans="1:4" x14ac:dyDescent="0.2">
      <c r="A403" s="1">
        <v>2018</v>
      </c>
      <c r="B403" s="1" t="s">
        <v>1555</v>
      </c>
      <c r="C403" s="2">
        <v>92049</v>
      </c>
      <c r="D403" s="8">
        <v>9.1520000000000005E-5</v>
      </c>
    </row>
    <row r="404" spans="1:4" x14ac:dyDescent="0.2">
      <c r="A404" s="1">
        <v>2018</v>
      </c>
      <c r="B404" s="1" t="s">
        <v>1556</v>
      </c>
      <c r="C404" s="2">
        <v>59661</v>
      </c>
      <c r="D404" s="8">
        <v>5.9320000000000001E-5</v>
      </c>
    </row>
    <row r="405" spans="1:4" x14ac:dyDescent="0.2">
      <c r="A405" s="1">
        <v>2018</v>
      </c>
      <c r="B405" s="1" t="s">
        <v>1557</v>
      </c>
      <c r="C405" s="2">
        <v>2037424</v>
      </c>
      <c r="D405" s="8">
        <v>2.0257000000000001E-3</v>
      </c>
    </row>
    <row r="406" spans="1:4" x14ac:dyDescent="0.2">
      <c r="A406" s="1">
        <v>2018</v>
      </c>
      <c r="B406" s="1" t="s">
        <v>1558</v>
      </c>
      <c r="C406" s="2">
        <v>858858</v>
      </c>
      <c r="D406" s="8">
        <v>8.5391999999999998E-4</v>
      </c>
    </row>
    <row r="407" spans="1:4" x14ac:dyDescent="0.2">
      <c r="A407" s="1">
        <v>2018</v>
      </c>
      <c r="B407" s="1" t="s">
        <v>1559</v>
      </c>
      <c r="C407" s="2">
        <v>64962</v>
      </c>
      <c r="D407" s="8">
        <v>6.4590000000000003E-5</v>
      </c>
    </row>
    <row r="408" spans="1:4" x14ac:dyDescent="0.2">
      <c r="A408" s="1">
        <v>2018</v>
      </c>
      <c r="B408" s="1" t="s">
        <v>1560</v>
      </c>
      <c r="C408" s="2">
        <v>737400</v>
      </c>
      <c r="D408" s="8">
        <v>7.3315999999999995E-4</v>
      </c>
    </row>
    <row r="409" spans="1:4" x14ac:dyDescent="0.2">
      <c r="A409" s="1">
        <v>2018</v>
      </c>
      <c r="B409" s="1" t="s">
        <v>1561</v>
      </c>
      <c r="C409" s="2">
        <v>2607848</v>
      </c>
      <c r="D409" s="8">
        <v>2.5928399999999999E-3</v>
      </c>
    </row>
    <row r="410" spans="1:4" x14ac:dyDescent="0.2">
      <c r="A410" s="1">
        <v>2018</v>
      </c>
      <c r="B410" s="1" t="s">
        <v>1562</v>
      </c>
      <c r="C410" s="2">
        <v>6549</v>
      </c>
      <c r="D410" s="8">
        <v>6.5100000000000004E-6</v>
      </c>
    </row>
    <row r="411" spans="1:4" x14ac:dyDescent="0.2">
      <c r="A411" s="1">
        <v>2018</v>
      </c>
      <c r="B411" s="1" t="s">
        <v>1563</v>
      </c>
      <c r="C411" s="2">
        <v>8555</v>
      </c>
      <c r="D411" s="8">
        <v>8.5099999999999998E-6</v>
      </c>
    </row>
    <row r="412" spans="1:4" x14ac:dyDescent="0.2">
      <c r="A412" s="1">
        <v>2018</v>
      </c>
      <c r="B412" s="1" t="s">
        <v>1564</v>
      </c>
      <c r="C412" s="2">
        <v>371813</v>
      </c>
      <c r="D412" s="8">
        <v>3.6967E-4</v>
      </c>
    </row>
    <row r="413" spans="1:4" x14ac:dyDescent="0.2">
      <c r="A413" s="1">
        <v>2018</v>
      </c>
      <c r="B413" s="1" t="s">
        <v>1565</v>
      </c>
      <c r="C413" s="2">
        <v>127619</v>
      </c>
      <c r="D413" s="8">
        <v>1.2688E-4</v>
      </c>
    </row>
    <row r="414" spans="1:4" x14ac:dyDescent="0.2">
      <c r="A414" s="1">
        <v>2018</v>
      </c>
      <c r="B414" s="1" t="s">
        <v>1566</v>
      </c>
      <c r="C414" s="2">
        <v>40443</v>
      </c>
      <c r="D414" s="8">
        <v>4.0210000000000003E-5</v>
      </c>
    </row>
    <row r="415" spans="1:4" x14ac:dyDescent="0.2">
      <c r="A415" s="1">
        <v>2018</v>
      </c>
      <c r="B415" s="1" t="s">
        <v>1567</v>
      </c>
      <c r="C415" s="2">
        <v>2166175</v>
      </c>
      <c r="D415" s="8">
        <v>2.1537100000000001E-3</v>
      </c>
    </row>
    <row r="416" spans="1:4" x14ac:dyDescent="0.2">
      <c r="A416" s="1">
        <v>2018</v>
      </c>
      <c r="B416" s="1" t="s">
        <v>1568</v>
      </c>
      <c r="C416" s="2">
        <v>98037</v>
      </c>
      <c r="D416" s="8">
        <v>9.747E-5</v>
      </c>
    </row>
    <row r="417" spans="1:4" x14ac:dyDescent="0.2">
      <c r="A417" s="1">
        <v>2018</v>
      </c>
      <c r="B417" s="1" t="s">
        <v>1569</v>
      </c>
      <c r="C417" s="2">
        <v>4435211</v>
      </c>
      <c r="D417" s="8">
        <v>4.40969E-3</v>
      </c>
    </row>
    <row r="418" spans="1:4" x14ac:dyDescent="0.2">
      <c r="A418" s="1">
        <v>2018</v>
      </c>
      <c r="B418" s="1" t="s">
        <v>1570</v>
      </c>
      <c r="C418" s="2">
        <v>1855479</v>
      </c>
      <c r="D418" s="8">
        <v>1.8448E-3</v>
      </c>
    </row>
    <row r="419" spans="1:4" x14ac:dyDescent="0.2">
      <c r="A419" s="1">
        <v>2018</v>
      </c>
      <c r="B419" s="1" t="s">
        <v>1571</v>
      </c>
      <c r="C419" s="2">
        <v>245329</v>
      </c>
      <c r="D419" s="8">
        <v>2.4392000000000001E-4</v>
      </c>
    </row>
    <row r="420" spans="1:4" x14ac:dyDescent="0.2">
      <c r="A420" s="1">
        <v>2018</v>
      </c>
      <c r="B420" s="1" t="s">
        <v>1572</v>
      </c>
      <c r="C420" s="2">
        <v>4051</v>
      </c>
      <c r="D420" s="8">
        <v>4.0300000000000004E-6</v>
      </c>
    </row>
    <row r="421" spans="1:4" x14ac:dyDescent="0.2">
      <c r="A421" s="1">
        <v>2018</v>
      </c>
      <c r="B421" s="1" t="s">
        <v>1573</v>
      </c>
      <c r="C421" s="2">
        <v>51508</v>
      </c>
      <c r="D421" s="8">
        <v>5.1209999999999999E-5</v>
      </c>
    </row>
    <row r="422" spans="1:4" x14ac:dyDescent="0.2">
      <c r="A422" s="1">
        <v>2018</v>
      </c>
      <c r="B422" s="1" t="s">
        <v>1574</v>
      </c>
      <c r="C422" s="2">
        <v>618620</v>
      </c>
      <c r="D422" s="8">
        <v>6.1505999999999996E-4</v>
      </c>
    </row>
    <row r="423" spans="1:4" x14ac:dyDescent="0.2">
      <c r="A423" s="1">
        <v>2018</v>
      </c>
      <c r="B423" s="1" t="s">
        <v>1575</v>
      </c>
      <c r="C423" s="2">
        <v>17104</v>
      </c>
      <c r="D423" s="8">
        <v>1.7010000000000001E-5</v>
      </c>
    </row>
    <row r="424" spans="1:4" x14ac:dyDescent="0.2">
      <c r="A424" s="1">
        <v>2018</v>
      </c>
      <c r="B424" s="1" t="s">
        <v>1576</v>
      </c>
      <c r="C424" s="2">
        <v>32650</v>
      </c>
      <c r="D424" s="8">
        <v>3.2459999999999998E-5</v>
      </c>
    </row>
    <row r="425" spans="1:4" x14ac:dyDescent="0.2">
      <c r="A425" s="1">
        <v>2018</v>
      </c>
      <c r="B425" s="1" t="s">
        <v>1577</v>
      </c>
      <c r="C425" s="2">
        <v>152120</v>
      </c>
      <c r="D425" s="8">
        <v>1.5124E-4</v>
      </c>
    </row>
    <row r="426" spans="1:4" x14ac:dyDescent="0.2">
      <c r="A426" s="1">
        <v>2018</v>
      </c>
      <c r="B426" s="1" t="s">
        <v>1578</v>
      </c>
      <c r="C426" s="2">
        <v>58078</v>
      </c>
      <c r="D426" s="8">
        <v>5.7739999999999999E-5</v>
      </c>
    </row>
    <row r="427" spans="1:4" x14ac:dyDescent="0.2">
      <c r="A427" s="1">
        <v>2018</v>
      </c>
      <c r="B427" s="1" t="s">
        <v>1579</v>
      </c>
      <c r="C427" s="2">
        <v>1476562</v>
      </c>
      <c r="D427" s="8">
        <v>1.46806E-3</v>
      </c>
    </row>
    <row r="428" spans="1:4" x14ac:dyDescent="0.2">
      <c r="A428" s="1">
        <v>2018</v>
      </c>
      <c r="B428" s="1" t="s">
        <v>1580</v>
      </c>
      <c r="C428" s="2">
        <v>166921</v>
      </c>
      <c r="D428" s="8">
        <v>1.6595999999999999E-4</v>
      </c>
    </row>
    <row r="429" spans="1:4" x14ac:dyDescent="0.2">
      <c r="A429" s="1">
        <v>2018</v>
      </c>
      <c r="B429" s="1" t="s">
        <v>1581</v>
      </c>
      <c r="C429" s="2">
        <v>11083362</v>
      </c>
      <c r="D429" s="8">
        <v>1.1019579999999999E-2</v>
      </c>
    </row>
    <row r="430" spans="1:4" x14ac:dyDescent="0.2">
      <c r="A430" s="1">
        <v>2018</v>
      </c>
      <c r="B430" s="1" t="s">
        <v>1582</v>
      </c>
      <c r="C430" s="2">
        <v>2615239</v>
      </c>
      <c r="D430" s="8">
        <v>2.6001900000000001E-3</v>
      </c>
    </row>
    <row r="431" spans="1:4" x14ac:dyDescent="0.2">
      <c r="A431" s="1">
        <v>2018</v>
      </c>
      <c r="B431" s="1" t="s">
        <v>1583</v>
      </c>
      <c r="C431" s="2">
        <v>63029</v>
      </c>
      <c r="D431" s="8">
        <v>6.2669999999999995E-5</v>
      </c>
    </row>
    <row r="432" spans="1:4" x14ac:dyDescent="0.2">
      <c r="A432" s="1">
        <v>2018</v>
      </c>
      <c r="B432" s="1" t="s">
        <v>1584</v>
      </c>
      <c r="C432" s="2">
        <v>395972</v>
      </c>
      <c r="D432" s="8">
        <v>3.9368999999999998E-4</v>
      </c>
    </row>
    <row r="433" spans="1:4" x14ac:dyDescent="0.2">
      <c r="A433" s="1">
        <v>2018</v>
      </c>
      <c r="B433" s="1" t="s">
        <v>1585</v>
      </c>
      <c r="C433" s="2">
        <v>7585</v>
      </c>
      <c r="D433" s="8">
        <v>7.5399999999999998E-6</v>
      </c>
    </row>
    <row r="434" spans="1:4" x14ac:dyDescent="0.2">
      <c r="A434" s="1">
        <v>2018</v>
      </c>
      <c r="B434" s="1" t="s">
        <v>1586</v>
      </c>
      <c r="C434" s="2">
        <v>326130</v>
      </c>
      <c r="D434" s="8">
        <v>3.2424999999999999E-4</v>
      </c>
    </row>
    <row r="435" spans="1:4" x14ac:dyDescent="0.2">
      <c r="A435" s="1">
        <v>2018</v>
      </c>
      <c r="B435" s="1" t="s">
        <v>1587</v>
      </c>
      <c r="C435" s="2">
        <v>115643</v>
      </c>
      <c r="D435" s="8">
        <v>1.1498E-4</v>
      </c>
    </row>
    <row r="436" spans="1:4" x14ac:dyDescent="0.2">
      <c r="A436" s="1">
        <v>2018</v>
      </c>
      <c r="B436" s="1" t="s">
        <v>1588</v>
      </c>
      <c r="C436" s="2">
        <v>7492326</v>
      </c>
      <c r="D436" s="8">
        <v>7.4492100000000004E-3</v>
      </c>
    </row>
    <row r="437" spans="1:4" x14ac:dyDescent="0.2">
      <c r="A437" s="1">
        <v>2018</v>
      </c>
      <c r="B437" s="1" t="s">
        <v>1589</v>
      </c>
      <c r="C437" s="2">
        <v>33483</v>
      </c>
      <c r="D437" s="8">
        <v>3.3290000000000001E-5</v>
      </c>
    </row>
    <row r="438" spans="1:4" x14ac:dyDescent="0.2">
      <c r="A438" s="1">
        <v>2018</v>
      </c>
      <c r="B438" s="1" t="s">
        <v>1590</v>
      </c>
      <c r="C438" s="2">
        <v>9098</v>
      </c>
      <c r="D438" s="8">
        <v>9.0499999999999997E-6</v>
      </c>
    </row>
    <row r="439" spans="1:4" x14ac:dyDescent="0.2">
      <c r="A439" s="1">
        <v>2018</v>
      </c>
      <c r="B439" s="1" t="s">
        <v>1591</v>
      </c>
      <c r="C439" s="2">
        <v>1820299</v>
      </c>
      <c r="D439" s="8">
        <v>1.80982E-3</v>
      </c>
    </row>
    <row r="440" spans="1:4" x14ac:dyDescent="0.2">
      <c r="A440" s="1">
        <v>2018</v>
      </c>
      <c r="B440" s="1" t="s">
        <v>1592</v>
      </c>
      <c r="C440" s="2">
        <v>828697</v>
      </c>
      <c r="D440" s="8">
        <v>8.2392999999999995E-4</v>
      </c>
    </row>
    <row r="441" spans="1:4" x14ac:dyDescent="0.2">
      <c r="A441" s="1">
        <v>2018</v>
      </c>
      <c r="B441" s="1" t="s">
        <v>1593</v>
      </c>
      <c r="C441" s="2">
        <v>5594</v>
      </c>
      <c r="D441" s="8">
        <v>5.5600000000000001E-6</v>
      </c>
    </row>
    <row r="442" spans="1:4" x14ac:dyDescent="0.2">
      <c r="A442" s="1">
        <v>2018</v>
      </c>
      <c r="B442" s="1" t="s">
        <v>1594</v>
      </c>
      <c r="C442" s="2">
        <v>62384</v>
      </c>
      <c r="D442" s="8">
        <v>6.2020000000000006E-5</v>
      </c>
    </row>
    <row r="443" spans="1:4" x14ac:dyDescent="0.2">
      <c r="A443" s="1">
        <v>2018</v>
      </c>
      <c r="B443" s="1" t="s">
        <v>1595</v>
      </c>
      <c r="C443" s="2">
        <v>70231</v>
      </c>
      <c r="D443" s="8">
        <v>6.9830000000000001E-5</v>
      </c>
    </row>
    <row r="444" spans="1:4" x14ac:dyDescent="0.2">
      <c r="A444" s="1">
        <v>2018</v>
      </c>
      <c r="B444" s="1" t="s">
        <v>1596</v>
      </c>
      <c r="C444" s="2">
        <v>6871</v>
      </c>
      <c r="D444" s="8">
        <v>6.8299999999999998E-6</v>
      </c>
    </row>
    <row r="445" spans="1:4" x14ac:dyDescent="0.2">
      <c r="A445" s="1">
        <v>2018</v>
      </c>
      <c r="B445" s="1" t="s">
        <v>1597</v>
      </c>
      <c r="C445" s="2">
        <v>2202469</v>
      </c>
      <c r="D445" s="8">
        <v>2.1897900000000001E-3</v>
      </c>
    </row>
    <row r="446" spans="1:4" x14ac:dyDescent="0.2">
      <c r="A446" s="1">
        <v>2018</v>
      </c>
      <c r="B446" s="1" t="s">
        <v>1598</v>
      </c>
      <c r="C446" s="2">
        <v>1142322</v>
      </c>
      <c r="D446" s="8">
        <v>1.13575E-3</v>
      </c>
    </row>
    <row r="447" spans="1:4" x14ac:dyDescent="0.2">
      <c r="A447" s="1">
        <v>2018</v>
      </c>
      <c r="B447" s="1" t="s">
        <v>1599</v>
      </c>
      <c r="C447" s="2">
        <v>14597</v>
      </c>
      <c r="D447" s="8">
        <v>1.451E-5</v>
      </c>
    </row>
    <row r="448" spans="1:4" x14ac:dyDescent="0.2">
      <c r="A448" s="1">
        <v>2018</v>
      </c>
      <c r="B448" s="1" t="s">
        <v>1600</v>
      </c>
      <c r="C448" s="2">
        <v>41446</v>
      </c>
      <c r="D448" s="8">
        <v>4.121E-5</v>
      </c>
    </row>
    <row r="449" spans="1:4" x14ac:dyDescent="0.2">
      <c r="A449" s="1">
        <v>2018</v>
      </c>
      <c r="B449" s="1" t="s">
        <v>1601</v>
      </c>
      <c r="C449" s="2">
        <v>1008649</v>
      </c>
      <c r="D449" s="8">
        <v>1.0028400000000001E-3</v>
      </c>
    </row>
    <row r="450" spans="1:4" x14ac:dyDescent="0.2">
      <c r="A450" s="1">
        <v>2018</v>
      </c>
      <c r="B450" s="1" t="s">
        <v>1602</v>
      </c>
      <c r="C450" s="2">
        <v>133781</v>
      </c>
      <c r="D450" s="8">
        <v>1.3301E-4</v>
      </c>
    </row>
    <row r="451" spans="1:4" x14ac:dyDescent="0.2">
      <c r="A451" s="1">
        <v>2018</v>
      </c>
      <c r="B451" s="1" t="s">
        <v>1603</v>
      </c>
      <c r="C451" s="2">
        <v>2076627</v>
      </c>
      <c r="D451" s="8">
        <v>2.0646800000000002E-3</v>
      </c>
    </row>
    <row r="452" spans="1:4" x14ac:dyDescent="0.2">
      <c r="A452" s="1">
        <v>2018</v>
      </c>
      <c r="B452" s="1" t="s">
        <v>1604</v>
      </c>
      <c r="C452" s="2">
        <v>10536</v>
      </c>
      <c r="D452" s="8">
        <v>1.047E-5</v>
      </c>
    </row>
    <row r="453" spans="1:4" x14ac:dyDescent="0.2">
      <c r="A453" s="1">
        <v>2018</v>
      </c>
      <c r="B453" s="1" t="s">
        <v>1605</v>
      </c>
      <c r="C453" s="2">
        <v>25415</v>
      </c>
      <c r="D453" s="8">
        <v>2.527E-5</v>
      </c>
    </row>
    <row r="454" spans="1:4" x14ac:dyDescent="0.2">
      <c r="A454" s="1">
        <v>2018</v>
      </c>
      <c r="B454" s="1" t="s">
        <v>1606</v>
      </c>
      <c r="C454" s="2">
        <v>6130000</v>
      </c>
      <c r="D454" s="8">
        <v>6.0947199999999997E-3</v>
      </c>
    </row>
    <row r="455" spans="1:4" x14ac:dyDescent="0.2">
      <c r="A455" s="1">
        <v>2018</v>
      </c>
      <c r="B455" s="1" t="s">
        <v>1607</v>
      </c>
      <c r="C455" s="2">
        <v>145148</v>
      </c>
      <c r="D455" s="8">
        <v>1.4431000000000001E-4</v>
      </c>
    </row>
    <row r="456" spans="1:4" x14ac:dyDescent="0.2">
      <c r="A456" s="1">
        <v>2018</v>
      </c>
      <c r="B456" s="1" t="s">
        <v>1608</v>
      </c>
      <c r="C456" s="2">
        <v>108865</v>
      </c>
      <c r="D456" s="8">
        <v>1.0823999999999999E-4</v>
      </c>
    </row>
    <row r="457" spans="1:4" x14ac:dyDescent="0.2">
      <c r="A457" s="1">
        <v>2018</v>
      </c>
      <c r="B457" s="1" t="s">
        <v>1609</v>
      </c>
      <c r="C457" s="2">
        <v>1622466</v>
      </c>
      <c r="D457" s="8">
        <v>1.6131299999999999E-3</v>
      </c>
    </row>
    <row r="458" spans="1:4" x14ac:dyDescent="0.2">
      <c r="A458" s="1">
        <v>2018</v>
      </c>
      <c r="B458" s="1" t="s">
        <v>1610</v>
      </c>
      <c r="C458" s="2">
        <v>2377331</v>
      </c>
      <c r="D458" s="8">
        <v>2.3636500000000001E-3</v>
      </c>
    </row>
    <row r="459" spans="1:4" x14ac:dyDescent="0.2">
      <c r="A459" s="1">
        <v>2018</v>
      </c>
      <c r="B459" s="1" t="s">
        <v>1611</v>
      </c>
      <c r="C459" s="2">
        <v>2067612</v>
      </c>
      <c r="D459" s="8">
        <v>2.0557100000000001E-3</v>
      </c>
    </row>
    <row r="460" spans="1:4" x14ac:dyDescent="0.2">
      <c r="A460" s="1">
        <v>2018</v>
      </c>
      <c r="B460" s="1" t="s">
        <v>1612</v>
      </c>
      <c r="C460" s="2">
        <v>772603</v>
      </c>
      <c r="D460" s="8">
        <v>7.6816000000000005E-4</v>
      </c>
    </row>
    <row r="461" spans="1:4" x14ac:dyDescent="0.2">
      <c r="A461" s="1">
        <v>2018</v>
      </c>
      <c r="B461" s="1" t="s">
        <v>1613</v>
      </c>
      <c r="C461" s="2">
        <v>382219</v>
      </c>
      <c r="D461" s="8">
        <v>3.8002000000000001E-4</v>
      </c>
    </row>
    <row r="462" spans="1:4" x14ac:dyDescent="0.2">
      <c r="A462" s="1">
        <v>2018</v>
      </c>
      <c r="B462" s="1" t="s">
        <v>1614</v>
      </c>
      <c r="C462" s="2">
        <v>2946301</v>
      </c>
      <c r="D462" s="8">
        <v>2.9293499999999998E-3</v>
      </c>
    </row>
    <row r="463" spans="1:4" x14ac:dyDescent="0.2">
      <c r="A463" s="1">
        <v>2018</v>
      </c>
      <c r="B463" s="1" t="s">
        <v>1615</v>
      </c>
      <c r="C463" s="2">
        <v>2498417</v>
      </c>
      <c r="D463" s="8">
        <v>2.4840399999999999E-3</v>
      </c>
    </row>
    <row r="464" spans="1:4" x14ac:dyDescent="0.2">
      <c r="A464" s="1">
        <v>2018</v>
      </c>
      <c r="B464" s="1" t="s">
        <v>1616</v>
      </c>
      <c r="C464" s="2">
        <v>310756</v>
      </c>
      <c r="D464" s="8">
        <v>3.0896999999999999E-4</v>
      </c>
    </row>
    <row r="465" spans="1:4" x14ac:dyDescent="0.2">
      <c r="A465" s="1">
        <v>2018</v>
      </c>
      <c r="B465" s="1" t="s">
        <v>1617</v>
      </c>
      <c r="C465" s="2">
        <v>5036170</v>
      </c>
      <c r="D465" s="8">
        <v>5.0071899999999999E-3</v>
      </c>
    </row>
    <row r="466" spans="1:4" x14ac:dyDescent="0.2">
      <c r="A466" s="1">
        <v>2018</v>
      </c>
      <c r="B466" s="1" t="s">
        <v>1618</v>
      </c>
      <c r="C466" s="2">
        <v>84631</v>
      </c>
      <c r="D466" s="8">
        <v>8.4140000000000004E-5</v>
      </c>
    </row>
    <row r="467" spans="1:4" x14ac:dyDescent="0.2">
      <c r="A467" s="1">
        <v>2018</v>
      </c>
      <c r="B467" s="1" t="s">
        <v>1619</v>
      </c>
      <c r="C467" s="2">
        <v>19419</v>
      </c>
      <c r="D467" s="8">
        <v>1.931E-5</v>
      </c>
    </row>
    <row r="468" spans="1:4" x14ac:dyDescent="0.2">
      <c r="A468" s="1">
        <v>2018</v>
      </c>
      <c r="B468" s="1" t="s">
        <v>1620</v>
      </c>
      <c r="C468" s="2">
        <v>173469</v>
      </c>
      <c r="D468" s="8">
        <v>1.7247000000000001E-4</v>
      </c>
    </row>
    <row r="469" spans="1:4" x14ac:dyDescent="0.2">
      <c r="A469" s="1">
        <v>2018</v>
      </c>
      <c r="B469" s="1" t="s">
        <v>1621</v>
      </c>
      <c r="C469" s="2">
        <v>12600</v>
      </c>
      <c r="D469" s="8">
        <v>1.253E-5</v>
      </c>
    </row>
    <row r="470" spans="1:4" x14ac:dyDescent="0.2">
      <c r="A470" s="1">
        <v>2018</v>
      </c>
      <c r="B470" s="1" t="s">
        <v>1622</v>
      </c>
      <c r="C470" s="2">
        <v>259165</v>
      </c>
      <c r="D470" s="8">
        <v>2.5766999999999999E-4</v>
      </c>
    </row>
    <row r="471" spans="1:4" x14ac:dyDescent="0.2">
      <c r="A471" s="1">
        <v>2018</v>
      </c>
      <c r="B471" s="1" t="s">
        <v>1623</v>
      </c>
      <c r="C471" s="2">
        <v>1505781</v>
      </c>
      <c r="D471" s="8">
        <v>1.49712E-3</v>
      </c>
    </row>
    <row r="472" spans="1:4" x14ac:dyDescent="0.2">
      <c r="A472" s="1">
        <v>2018</v>
      </c>
      <c r="B472" s="1" t="s">
        <v>1624</v>
      </c>
      <c r="C472" s="2">
        <v>2581652</v>
      </c>
      <c r="D472" s="8">
        <v>2.5668000000000002E-3</v>
      </c>
    </row>
    <row r="473" spans="1:4" x14ac:dyDescent="0.2">
      <c r="A473" s="1">
        <v>2018</v>
      </c>
      <c r="B473" s="1" t="s">
        <v>1625</v>
      </c>
      <c r="C473" s="2">
        <v>581399</v>
      </c>
      <c r="D473" s="8">
        <v>5.7804999999999998E-4</v>
      </c>
    </row>
    <row r="474" spans="1:4" x14ac:dyDescent="0.2">
      <c r="A474" s="1">
        <v>2018</v>
      </c>
      <c r="B474" s="1" t="s">
        <v>1626</v>
      </c>
      <c r="C474" s="2">
        <v>572510</v>
      </c>
      <c r="D474" s="8">
        <v>5.6921999999999995E-4</v>
      </c>
    </row>
    <row r="475" spans="1:4" x14ac:dyDescent="0.2">
      <c r="A475" s="1">
        <v>2018</v>
      </c>
      <c r="B475" s="1" t="s">
        <v>1627</v>
      </c>
      <c r="C475" s="2">
        <v>4227</v>
      </c>
      <c r="D475" s="8">
        <v>4.1999999999999996E-6</v>
      </c>
    </row>
    <row r="476" spans="1:4" x14ac:dyDescent="0.2">
      <c r="A476" s="1">
        <v>2018</v>
      </c>
      <c r="B476" s="1" t="s">
        <v>1628</v>
      </c>
      <c r="C476" s="2">
        <v>4701588</v>
      </c>
      <c r="D476" s="8">
        <v>4.6745299999999997E-3</v>
      </c>
    </row>
    <row r="477" spans="1:4" x14ac:dyDescent="0.2">
      <c r="A477" s="1">
        <v>2018</v>
      </c>
      <c r="B477" s="1" t="s">
        <v>1629</v>
      </c>
      <c r="C477" s="2">
        <v>2761817</v>
      </c>
      <c r="D477" s="8">
        <v>2.7459199999999998E-3</v>
      </c>
    </row>
    <row r="478" spans="1:4" x14ac:dyDescent="0.2">
      <c r="A478" s="1">
        <v>2018</v>
      </c>
      <c r="B478" s="1" t="s">
        <v>1630</v>
      </c>
      <c r="C478" s="2">
        <v>561233</v>
      </c>
      <c r="D478" s="8">
        <v>5.5800000000000001E-4</v>
      </c>
    </row>
    <row r="479" spans="1:4" x14ac:dyDescent="0.2">
      <c r="A479" s="1">
        <v>2018</v>
      </c>
      <c r="B479" s="1" t="s">
        <v>1631</v>
      </c>
      <c r="C479" s="2">
        <v>257597</v>
      </c>
      <c r="D479" s="8">
        <v>2.5610999999999999E-4</v>
      </c>
    </row>
    <row r="480" spans="1:4" x14ac:dyDescent="0.2">
      <c r="A480" s="1">
        <v>2018</v>
      </c>
      <c r="B480" s="1" t="s">
        <v>1632</v>
      </c>
      <c r="C480" s="2">
        <v>8590126</v>
      </c>
      <c r="D480" s="8">
        <v>8.5406900000000001E-3</v>
      </c>
    </row>
    <row r="481" spans="1:4" x14ac:dyDescent="0.2">
      <c r="A481" s="1">
        <v>2018</v>
      </c>
      <c r="B481" s="1" t="s">
        <v>1633</v>
      </c>
      <c r="C481" s="2">
        <v>721892</v>
      </c>
      <c r="D481" s="8">
        <v>7.1774000000000002E-4</v>
      </c>
    </row>
    <row r="482" spans="1:4" x14ac:dyDescent="0.2">
      <c r="A482" s="1">
        <v>2018</v>
      </c>
      <c r="B482" s="1" t="s">
        <v>1634</v>
      </c>
      <c r="C482" s="2">
        <v>31320854</v>
      </c>
      <c r="D482" s="8">
        <v>3.1140609999999999E-2</v>
      </c>
    </row>
    <row r="483" spans="1:4" x14ac:dyDescent="0.2">
      <c r="A483" s="1">
        <v>2018</v>
      </c>
      <c r="B483" s="1" t="s">
        <v>1635</v>
      </c>
      <c r="C483" s="2">
        <v>9101</v>
      </c>
      <c r="D483" s="8">
        <v>9.0499999999999997E-6</v>
      </c>
    </row>
    <row r="484" spans="1:4" x14ac:dyDescent="0.2">
      <c r="A484" s="1">
        <v>2018</v>
      </c>
      <c r="B484" s="1" t="s">
        <v>1636</v>
      </c>
      <c r="C484" s="2">
        <v>1600382</v>
      </c>
      <c r="D484" s="8">
        <v>1.59117E-3</v>
      </c>
    </row>
    <row r="485" spans="1:4" x14ac:dyDescent="0.2">
      <c r="A485" s="1">
        <v>2018</v>
      </c>
      <c r="B485" s="1" t="s">
        <v>1637</v>
      </c>
      <c r="C485" s="2">
        <v>1108186</v>
      </c>
      <c r="D485" s="8">
        <v>1.1018099999999999E-3</v>
      </c>
    </row>
    <row r="486" spans="1:4" x14ac:dyDescent="0.2">
      <c r="A486" s="1">
        <v>2018</v>
      </c>
      <c r="B486" s="1" t="s">
        <v>1638</v>
      </c>
      <c r="C486" s="2">
        <v>358301</v>
      </c>
      <c r="D486" s="8">
        <v>3.5624000000000002E-4</v>
      </c>
    </row>
    <row r="487" spans="1:4" x14ac:dyDescent="0.2">
      <c r="A487" s="1">
        <v>2018</v>
      </c>
      <c r="B487" s="1" t="s">
        <v>1639</v>
      </c>
      <c r="C487" s="2">
        <v>283302</v>
      </c>
      <c r="D487" s="8">
        <v>2.8166999999999998E-4</v>
      </c>
    </row>
    <row r="488" spans="1:4" x14ac:dyDescent="0.2">
      <c r="A488" s="1">
        <v>2018</v>
      </c>
      <c r="B488" s="1" t="s">
        <v>1640</v>
      </c>
      <c r="C488" s="2">
        <v>121875</v>
      </c>
      <c r="D488" s="8">
        <v>1.2116999999999999E-4</v>
      </c>
    </row>
    <row r="489" spans="1:4" x14ac:dyDescent="0.2">
      <c r="A489" s="1">
        <v>2018</v>
      </c>
      <c r="B489" s="1" t="s">
        <v>1641</v>
      </c>
      <c r="C489" s="2">
        <v>69796</v>
      </c>
      <c r="D489" s="8">
        <v>6.9389999999999998E-5</v>
      </c>
    </row>
    <row r="490" spans="1:4" x14ac:dyDescent="0.2">
      <c r="A490" s="1">
        <v>2018</v>
      </c>
      <c r="B490" s="1" t="s">
        <v>1642</v>
      </c>
      <c r="C490" s="2">
        <v>189769</v>
      </c>
      <c r="D490" s="8">
        <v>1.8867999999999999E-4</v>
      </c>
    </row>
    <row r="491" spans="1:4" x14ac:dyDescent="0.2">
      <c r="A491" s="1">
        <v>2018</v>
      </c>
      <c r="B491" s="1" t="s">
        <v>1643</v>
      </c>
      <c r="C491" s="2">
        <v>663589</v>
      </c>
      <c r="D491" s="8">
        <v>6.5976999999999995E-4</v>
      </c>
    </row>
    <row r="492" spans="1:4" x14ac:dyDescent="0.2">
      <c r="A492" s="1">
        <v>2018</v>
      </c>
      <c r="B492" s="1" t="s">
        <v>1644</v>
      </c>
      <c r="C492" s="2">
        <v>2019884</v>
      </c>
      <c r="D492" s="8">
        <v>2.00826E-3</v>
      </c>
    </row>
    <row r="493" spans="1:4" x14ac:dyDescent="0.2">
      <c r="A493" s="1">
        <v>2018</v>
      </c>
      <c r="B493" s="1" t="s">
        <v>1645</v>
      </c>
      <c r="C493" s="2">
        <v>29274</v>
      </c>
      <c r="D493" s="8">
        <v>2.9110000000000001E-5</v>
      </c>
    </row>
    <row r="494" spans="1:4" x14ac:dyDescent="0.2">
      <c r="A494" s="1">
        <v>2018</v>
      </c>
      <c r="B494" s="1" t="s">
        <v>1646</v>
      </c>
      <c r="C494" s="2">
        <v>24721</v>
      </c>
      <c r="D494" s="8">
        <v>2.4579999999999998E-5</v>
      </c>
    </row>
    <row r="495" spans="1:4" x14ac:dyDescent="0.2">
      <c r="A495" s="1">
        <v>2018</v>
      </c>
      <c r="B495" s="1" t="s">
        <v>1647</v>
      </c>
      <c r="C495" s="2">
        <v>10613</v>
      </c>
      <c r="D495" s="8">
        <v>1.0550000000000001E-5</v>
      </c>
    </row>
    <row r="496" spans="1:4" x14ac:dyDescent="0.2">
      <c r="A496" s="1">
        <v>2018</v>
      </c>
      <c r="B496" s="1" t="s">
        <v>1648</v>
      </c>
      <c r="C496" s="2">
        <v>203507</v>
      </c>
      <c r="D496" s="8">
        <v>2.0233999999999999E-4</v>
      </c>
    </row>
    <row r="497" spans="1:4" x14ac:dyDescent="0.2">
      <c r="A497" s="1">
        <v>2018</v>
      </c>
      <c r="B497" s="1" t="s">
        <v>1649</v>
      </c>
      <c r="C497" s="2">
        <v>75988</v>
      </c>
      <c r="D497" s="8">
        <v>7.5549999999999993E-5</v>
      </c>
    </row>
    <row r="498" spans="1:4" x14ac:dyDescent="0.2">
      <c r="A498" s="1">
        <v>2018</v>
      </c>
      <c r="B498" s="1" t="s">
        <v>1650</v>
      </c>
      <c r="C498" s="2">
        <v>116951</v>
      </c>
      <c r="D498" s="8">
        <v>1.1628E-4</v>
      </c>
    </row>
    <row r="499" spans="1:4" x14ac:dyDescent="0.2">
      <c r="A499" s="1">
        <v>2018</v>
      </c>
      <c r="B499" s="1" t="s">
        <v>1651</v>
      </c>
      <c r="C499" s="2">
        <v>27093</v>
      </c>
      <c r="D499" s="8">
        <v>2.694E-5</v>
      </c>
    </row>
    <row r="500" spans="1:4" x14ac:dyDescent="0.2">
      <c r="A500" s="1">
        <v>2018</v>
      </c>
      <c r="B500" s="1" t="s">
        <v>1652</v>
      </c>
      <c r="C500" s="2">
        <v>1935101</v>
      </c>
      <c r="D500" s="8">
        <v>1.9239700000000001E-3</v>
      </c>
    </row>
    <row r="501" spans="1:4" x14ac:dyDescent="0.2">
      <c r="A501" s="1">
        <v>2018</v>
      </c>
      <c r="B501" s="1" t="s">
        <v>1653</v>
      </c>
      <c r="C501" s="2">
        <v>1073638</v>
      </c>
      <c r="D501" s="8">
        <v>1.0674599999999999E-3</v>
      </c>
    </row>
    <row r="502" spans="1:4" x14ac:dyDescent="0.2">
      <c r="A502" s="1">
        <v>2018</v>
      </c>
      <c r="B502" s="1" t="s">
        <v>1654</v>
      </c>
      <c r="C502" s="2">
        <v>18013934</v>
      </c>
      <c r="D502" s="8">
        <v>1.7910269999999999E-2</v>
      </c>
    </row>
    <row r="503" spans="1:4" x14ac:dyDescent="0.2">
      <c r="A503" s="1">
        <v>2018</v>
      </c>
      <c r="B503" s="1" t="s">
        <v>1655</v>
      </c>
      <c r="C503" s="2">
        <v>1817089</v>
      </c>
      <c r="D503" s="8">
        <v>1.80663E-3</v>
      </c>
    </row>
    <row r="504" spans="1:4" x14ac:dyDescent="0.2">
      <c r="A504" s="1">
        <v>2018</v>
      </c>
      <c r="B504" s="1" t="s">
        <v>1656</v>
      </c>
      <c r="C504" s="2">
        <v>861307</v>
      </c>
      <c r="D504" s="8">
        <v>8.5634999999999997E-4</v>
      </c>
    </row>
    <row r="505" spans="1:4" x14ac:dyDescent="0.2">
      <c r="A505" s="1">
        <v>2018</v>
      </c>
      <c r="B505" s="1" t="s">
        <v>1657</v>
      </c>
      <c r="C505" s="2">
        <v>5884912</v>
      </c>
      <c r="D505" s="8">
        <v>5.85105E-3</v>
      </c>
    </row>
    <row r="506" spans="1:4" x14ac:dyDescent="0.2">
      <c r="A506" s="1">
        <v>2018</v>
      </c>
      <c r="B506" s="1" t="s">
        <v>1658</v>
      </c>
      <c r="C506" s="2">
        <v>109389</v>
      </c>
      <c r="D506" s="8">
        <v>1.0876E-4</v>
      </c>
    </row>
    <row r="507" spans="1:4" x14ac:dyDescent="0.2">
      <c r="A507" s="1">
        <v>2018</v>
      </c>
      <c r="B507" s="1" t="s">
        <v>1659</v>
      </c>
      <c r="C507" s="2">
        <v>3747722</v>
      </c>
      <c r="D507" s="8">
        <v>3.7261500000000001E-3</v>
      </c>
    </row>
    <row r="508" spans="1:4" x14ac:dyDescent="0.2">
      <c r="A508" s="1">
        <v>2018</v>
      </c>
      <c r="B508" s="1" t="s">
        <v>1660</v>
      </c>
      <c r="C508" s="2">
        <v>245189</v>
      </c>
      <c r="D508" s="8">
        <v>2.4378E-4</v>
      </c>
    </row>
    <row r="509" spans="1:4" x14ac:dyDescent="0.2">
      <c r="A509" s="1">
        <v>2018</v>
      </c>
      <c r="B509" s="1" t="s">
        <v>1661</v>
      </c>
      <c r="C509" s="2">
        <v>1113962</v>
      </c>
      <c r="D509" s="8">
        <v>1.1075499999999999E-3</v>
      </c>
    </row>
    <row r="510" spans="1:4" x14ac:dyDescent="0.2">
      <c r="A510" s="1">
        <v>2018</v>
      </c>
      <c r="B510" s="1" t="s">
        <v>1662</v>
      </c>
      <c r="C510" s="2">
        <v>245924</v>
      </c>
      <c r="D510" s="8">
        <v>2.4450999999999997E-4</v>
      </c>
    </row>
    <row r="511" spans="1:4" x14ac:dyDescent="0.2">
      <c r="A511" s="1">
        <v>2018</v>
      </c>
      <c r="B511" s="1" t="s">
        <v>1663</v>
      </c>
      <c r="C511" s="2">
        <v>24547</v>
      </c>
      <c r="D511" s="8">
        <v>2.4409999999999998E-5</v>
      </c>
    </row>
    <row r="512" spans="1:4" x14ac:dyDescent="0.2">
      <c r="A512" s="1">
        <v>2018</v>
      </c>
      <c r="B512" s="1" t="s">
        <v>1664</v>
      </c>
      <c r="C512" s="2">
        <v>108666</v>
      </c>
      <c r="D512" s="8">
        <v>1.0804E-4</v>
      </c>
    </row>
    <row r="513" spans="1:4" x14ac:dyDescent="0.2">
      <c r="A513" s="1">
        <v>2018</v>
      </c>
      <c r="B513" s="1" t="s">
        <v>1665</v>
      </c>
      <c r="C513" s="2">
        <v>330021</v>
      </c>
      <c r="D513" s="8">
        <v>3.2812E-4</v>
      </c>
    </row>
    <row r="514" spans="1:4" x14ac:dyDescent="0.2">
      <c r="A514" s="1">
        <v>2018</v>
      </c>
      <c r="B514" s="1" t="s">
        <v>1666</v>
      </c>
      <c r="C514" s="2">
        <v>194049</v>
      </c>
      <c r="D514" s="8">
        <v>1.9293000000000001E-4</v>
      </c>
    </row>
    <row r="515" spans="1:4" x14ac:dyDescent="0.2">
      <c r="A515" s="1">
        <v>2018</v>
      </c>
      <c r="B515" s="1" t="s">
        <v>1667</v>
      </c>
      <c r="C515" s="2">
        <v>195926</v>
      </c>
      <c r="D515" s="8">
        <v>1.9479999999999999E-4</v>
      </c>
    </row>
    <row r="516" spans="1:4" x14ac:dyDescent="0.2">
      <c r="A516" s="1">
        <v>2018</v>
      </c>
      <c r="B516" s="1" t="s">
        <v>1668</v>
      </c>
      <c r="C516" s="2">
        <v>506461</v>
      </c>
      <c r="D516" s="8">
        <v>5.0354999999999996E-4</v>
      </c>
    </row>
    <row r="517" spans="1:4" x14ac:dyDescent="0.2">
      <c r="A517" s="1">
        <v>2018</v>
      </c>
      <c r="B517" s="1" t="s">
        <v>1669</v>
      </c>
      <c r="C517" s="2">
        <v>212957</v>
      </c>
      <c r="D517" s="8">
        <v>2.1173000000000001E-4</v>
      </c>
    </row>
    <row r="518" spans="1:4" x14ac:dyDescent="0.2">
      <c r="A518" s="1">
        <v>2018</v>
      </c>
      <c r="B518" s="1" t="s">
        <v>1670</v>
      </c>
      <c r="C518" s="2">
        <v>114936</v>
      </c>
      <c r="D518" s="8">
        <v>1.1427E-4</v>
      </c>
    </row>
    <row r="519" spans="1:4" x14ac:dyDescent="0.2">
      <c r="A519" s="1">
        <v>2018</v>
      </c>
      <c r="B519" s="1" t="s">
        <v>1671</v>
      </c>
      <c r="C519" s="2">
        <v>406666</v>
      </c>
      <c r="D519" s="8">
        <v>4.0433E-4</v>
      </c>
    </row>
    <row r="520" spans="1:4" x14ac:dyDescent="0.2">
      <c r="A520" s="1">
        <v>2018</v>
      </c>
      <c r="B520" s="1" t="s">
        <v>1672</v>
      </c>
      <c r="C520" s="2">
        <v>2332090</v>
      </c>
      <c r="D520" s="8">
        <v>2.3186700000000001E-3</v>
      </c>
    </row>
    <row r="521" spans="1:4" x14ac:dyDescent="0.2">
      <c r="A521" s="1">
        <v>2018</v>
      </c>
      <c r="B521" s="1" t="s">
        <v>1673</v>
      </c>
      <c r="C521" s="2">
        <v>2558051</v>
      </c>
      <c r="D521" s="8">
        <v>2.5433299999999999E-3</v>
      </c>
    </row>
    <row r="522" spans="1:4" x14ac:dyDescent="0.2">
      <c r="A522" s="1">
        <v>2018</v>
      </c>
      <c r="B522" s="1" t="s">
        <v>1674</v>
      </c>
      <c r="C522" s="2">
        <v>16833</v>
      </c>
      <c r="D522" s="8">
        <v>1.6739999999999999E-5</v>
      </c>
    </row>
    <row r="523" spans="1:4" x14ac:dyDescent="0.2">
      <c r="A523" s="1">
        <v>2018</v>
      </c>
      <c r="B523" s="1" t="s">
        <v>1675</v>
      </c>
      <c r="C523" s="2">
        <v>113677</v>
      </c>
      <c r="D523" s="8">
        <v>1.1302E-4</v>
      </c>
    </row>
    <row r="524" spans="1:4" x14ac:dyDescent="0.2">
      <c r="A524" s="1">
        <v>2018</v>
      </c>
      <c r="B524" s="1" t="s">
        <v>1676</v>
      </c>
      <c r="C524" s="2">
        <v>26148</v>
      </c>
      <c r="D524" s="8">
        <v>2.5999999999999998E-5</v>
      </c>
    </row>
    <row r="525" spans="1:4" x14ac:dyDescent="0.2">
      <c r="A525" s="1">
        <v>2018</v>
      </c>
      <c r="B525" s="1" t="s">
        <v>1677</v>
      </c>
      <c r="C525" s="2">
        <v>1108856</v>
      </c>
      <c r="D525" s="8">
        <v>1.1024800000000001E-3</v>
      </c>
    </row>
    <row r="526" spans="1:4" x14ac:dyDescent="0.2">
      <c r="A526" s="1">
        <v>2018</v>
      </c>
      <c r="B526" s="1" t="s">
        <v>1678</v>
      </c>
      <c r="C526" s="2">
        <v>80765</v>
      </c>
      <c r="D526" s="8">
        <v>8.03E-5</v>
      </c>
    </row>
    <row r="527" spans="1:4" x14ac:dyDescent="0.2">
      <c r="A527" s="1">
        <v>2018</v>
      </c>
      <c r="B527" s="1" t="s">
        <v>1679</v>
      </c>
      <c r="C527" s="2">
        <v>319286</v>
      </c>
      <c r="D527" s="8">
        <v>3.1744999999999999E-4</v>
      </c>
    </row>
    <row r="528" spans="1:4" x14ac:dyDescent="0.2">
      <c r="A528" s="1">
        <v>2018</v>
      </c>
      <c r="B528" s="1" t="s">
        <v>1680</v>
      </c>
      <c r="C528" s="2">
        <v>126336</v>
      </c>
      <c r="D528" s="8">
        <v>1.2561000000000001E-4</v>
      </c>
    </row>
    <row r="529" spans="1:4" x14ac:dyDescent="0.2">
      <c r="A529" s="1">
        <v>2018</v>
      </c>
      <c r="B529" s="1" t="s">
        <v>1681</v>
      </c>
      <c r="C529" s="2">
        <v>3250129</v>
      </c>
      <c r="D529" s="8">
        <v>3.23143E-3</v>
      </c>
    </row>
    <row r="530" spans="1:4" x14ac:dyDescent="0.2">
      <c r="A530" s="1">
        <v>2018</v>
      </c>
      <c r="B530" s="1" t="s">
        <v>1682</v>
      </c>
      <c r="C530" s="2">
        <v>9683</v>
      </c>
      <c r="D530" s="8">
        <v>9.6299999999999993E-6</v>
      </c>
    </row>
    <row r="531" spans="1:4" x14ac:dyDescent="0.2">
      <c r="A531" s="1">
        <v>2018</v>
      </c>
      <c r="B531" s="1" t="s">
        <v>1683</v>
      </c>
      <c r="C531" s="2">
        <v>2242665</v>
      </c>
      <c r="D531" s="8">
        <v>2.2297599999999999E-3</v>
      </c>
    </row>
    <row r="532" spans="1:4" x14ac:dyDescent="0.2">
      <c r="A532" s="1">
        <v>2018</v>
      </c>
      <c r="B532" s="1" t="s">
        <v>1684</v>
      </c>
      <c r="C532" s="2">
        <v>645115</v>
      </c>
      <c r="D532" s="8">
        <v>6.4139999999999998E-4</v>
      </c>
    </row>
    <row r="533" spans="1:4" x14ac:dyDescent="0.2">
      <c r="A533" s="1">
        <v>2018</v>
      </c>
      <c r="B533" s="1" t="s">
        <v>1685</v>
      </c>
      <c r="C533" s="2">
        <v>27604</v>
      </c>
      <c r="D533" s="8">
        <v>2.745E-5</v>
      </c>
    </row>
    <row r="534" spans="1:4" x14ac:dyDescent="0.2">
      <c r="A534" s="1">
        <v>2018</v>
      </c>
      <c r="B534" s="1" t="s">
        <v>1686</v>
      </c>
      <c r="C534" s="2">
        <v>4668</v>
      </c>
      <c r="D534" s="8">
        <v>4.6399999999999996E-6</v>
      </c>
    </row>
    <row r="535" spans="1:4" x14ac:dyDescent="0.2">
      <c r="A535" s="1">
        <v>2018</v>
      </c>
      <c r="B535" s="1" t="s">
        <v>1687</v>
      </c>
      <c r="C535" s="2">
        <v>863242</v>
      </c>
      <c r="D535" s="8">
        <v>8.5826999999999995E-4</v>
      </c>
    </row>
    <row r="536" spans="1:4" x14ac:dyDescent="0.2">
      <c r="A536" s="1">
        <v>2018</v>
      </c>
      <c r="B536" s="1" t="s">
        <v>1688</v>
      </c>
      <c r="C536" s="2">
        <v>74610</v>
      </c>
      <c r="D536" s="8">
        <v>7.4179999999999998E-5</v>
      </c>
    </row>
    <row r="537" spans="1:4" x14ac:dyDescent="0.2">
      <c r="A537" s="1">
        <v>2018</v>
      </c>
      <c r="B537" s="1" t="s">
        <v>1689</v>
      </c>
      <c r="C537" s="2">
        <v>565141</v>
      </c>
      <c r="D537" s="8">
        <v>5.6189E-4</v>
      </c>
    </row>
    <row r="538" spans="1:4" x14ac:dyDescent="0.2">
      <c r="A538" s="1">
        <v>2018</v>
      </c>
      <c r="B538" s="1" t="s">
        <v>1690</v>
      </c>
      <c r="C538" s="2">
        <v>535021</v>
      </c>
      <c r="D538" s="8">
        <v>5.3193999999999995E-4</v>
      </c>
    </row>
    <row r="539" spans="1:4" x14ac:dyDescent="0.2">
      <c r="A539" s="1">
        <v>2018</v>
      </c>
      <c r="B539" s="1" t="s">
        <v>1691</v>
      </c>
      <c r="C539" s="2">
        <v>1766290</v>
      </c>
      <c r="D539" s="8">
        <v>1.7561199999999999E-3</v>
      </c>
    </row>
    <row r="540" spans="1:4" x14ac:dyDescent="0.2">
      <c r="A540" s="1">
        <v>2018</v>
      </c>
      <c r="B540" s="1" t="s">
        <v>1692</v>
      </c>
      <c r="C540" s="2">
        <v>34584</v>
      </c>
      <c r="D540" s="8">
        <v>3.4390000000000001E-5</v>
      </c>
    </row>
    <row r="541" spans="1:4" x14ac:dyDescent="0.2">
      <c r="A541" s="1">
        <v>2018</v>
      </c>
      <c r="B541" s="1" t="s">
        <v>1693</v>
      </c>
      <c r="C541" s="2">
        <v>24683</v>
      </c>
      <c r="D541" s="8">
        <v>2.4539999999999999E-5</v>
      </c>
    </row>
    <row r="542" spans="1:4" x14ac:dyDescent="0.2">
      <c r="A542" s="1">
        <v>2018</v>
      </c>
      <c r="B542" s="1" t="s">
        <v>1694</v>
      </c>
      <c r="C542" s="2">
        <v>221892</v>
      </c>
      <c r="D542" s="8">
        <v>2.2060999999999999E-4</v>
      </c>
    </row>
    <row r="543" spans="1:4" x14ac:dyDescent="0.2">
      <c r="A543" s="1">
        <v>2018</v>
      </c>
      <c r="B543" s="1" t="s">
        <v>1695</v>
      </c>
      <c r="C543" s="2">
        <v>1526713</v>
      </c>
      <c r="D543" s="8">
        <v>1.51793E-3</v>
      </c>
    </row>
    <row r="544" spans="1:4" x14ac:dyDescent="0.2">
      <c r="A544" s="1">
        <v>2018</v>
      </c>
      <c r="B544" s="1" t="s">
        <v>1696</v>
      </c>
      <c r="C544" s="2">
        <v>530712</v>
      </c>
      <c r="D544" s="8">
        <v>5.2766E-4</v>
      </c>
    </row>
    <row r="545" spans="1:4" x14ac:dyDescent="0.2">
      <c r="A545" s="1">
        <v>2018</v>
      </c>
      <c r="B545" s="1" t="s">
        <v>1697</v>
      </c>
      <c r="C545" s="2">
        <v>2622</v>
      </c>
      <c r="D545" s="8">
        <v>2.61E-6</v>
      </c>
    </row>
    <row r="546" spans="1:4" x14ac:dyDescent="0.2">
      <c r="A546" s="1">
        <v>2018</v>
      </c>
      <c r="B546" s="1" t="s">
        <v>1698</v>
      </c>
      <c r="C546" s="2">
        <v>821486</v>
      </c>
      <c r="D546" s="8">
        <v>8.1676000000000003E-4</v>
      </c>
    </row>
    <row r="547" spans="1:4" x14ac:dyDescent="0.2">
      <c r="A547" s="1">
        <v>2018</v>
      </c>
      <c r="B547" s="1" t="s">
        <v>1699</v>
      </c>
      <c r="C547" s="2">
        <v>7953</v>
      </c>
      <c r="D547" s="8">
        <v>7.9100000000000005E-6</v>
      </c>
    </row>
    <row r="548" spans="1:4" x14ac:dyDescent="0.2">
      <c r="A548" s="1">
        <v>2018</v>
      </c>
      <c r="B548" s="1" t="s">
        <v>1700</v>
      </c>
      <c r="C548" s="2">
        <v>865736</v>
      </c>
      <c r="D548" s="8">
        <v>8.6074999999999997E-4</v>
      </c>
    </row>
    <row r="549" spans="1:4" x14ac:dyDescent="0.2">
      <c r="A549" s="1">
        <v>2018</v>
      </c>
      <c r="B549" s="1" t="s">
        <v>1701</v>
      </c>
      <c r="C549" s="2">
        <v>27405</v>
      </c>
      <c r="D549" s="8">
        <v>2.7250000000000002E-5</v>
      </c>
    </row>
    <row r="550" spans="1:4" x14ac:dyDescent="0.2">
      <c r="A550" s="1">
        <v>2018</v>
      </c>
      <c r="B550" s="1" t="s">
        <v>1702</v>
      </c>
      <c r="C550" s="2">
        <v>4051024</v>
      </c>
      <c r="D550" s="8">
        <v>4.0277100000000003E-3</v>
      </c>
    </row>
    <row r="551" spans="1:4" x14ac:dyDescent="0.2">
      <c r="A551" s="1">
        <v>2018</v>
      </c>
      <c r="B551" s="1" t="s">
        <v>1703</v>
      </c>
      <c r="C551" s="2">
        <v>1345907</v>
      </c>
      <c r="D551" s="8">
        <v>1.3381599999999999E-3</v>
      </c>
    </row>
    <row r="552" spans="1:4" x14ac:dyDescent="0.2">
      <c r="A552" s="1">
        <v>2018</v>
      </c>
      <c r="B552" s="1" t="s">
        <v>1704</v>
      </c>
      <c r="C552" s="2">
        <v>1788505</v>
      </c>
      <c r="D552" s="8">
        <v>1.7782099999999999E-3</v>
      </c>
    </row>
    <row r="553" spans="1:4" x14ac:dyDescent="0.2">
      <c r="A553" s="1">
        <v>2018</v>
      </c>
      <c r="B553" s="1" t="s">
        <v>1705</v>
      </c>
      <c r="C553" s="2">
        <v>3787367</v>
      </c>
      <c r="D553" s="8">
        <v>3.7655700000000002E-3</v>
      </c>
    </row>
    <row r="554" spans="1:4" x14ac:dyDescent="0.2">
      <c r="A554" s="1">
        <v>2018</v>
      </c>
      <c r="B554" s="1" t="s">
        <v>1706</v>
      </c>
      <c r="C554" s="2">
        <v>935461</v>
      </c>
      <c r="D554" s="8">
        <v>9.3008000000000001E-4</v>
      </c>
    </row>
    <row r="555" spans="1:4" x14ac:dyDescent="0.2">
      <c r="A555" s="1">
        <v>2018</v>
      </c>
      <c r="B555" s="1" t="s">
        <v>1707</v>
      </c>
      <c r="C555" s="2">
        <v>1447274</v>
      </c>
      <c r="D555" s="8">
        <v>1.43895E-3</v>
      </c>
    </row>
    <row r="556" spans="1:4" x14ac:dyDescent="0.2">
      <c r="A556" s="1">
        <v>2018</v>
      </c>
      <c r="B556" s="1" t="s">
        <v>1708</v>
      </c>
      <c r="C556" s="2">
        <v>49353</v>
      </c>
      <c r="D556" s="8">
        <v>4.9070000000000003E-5</v>
      </c>
    </row>
    <row r="557" spans="1:4" x14ac:dyDescent="0.2">
      <c r="A557" s="1">
        <v>2018</v>
      </c>
      <c r="B557" s="1" t="s">
        <v>1709</v>
      </c>
      <c r="C557" s="2">
        <v>2401029</v>
      </c>
      <c r="D557" s="8">
        <v>2.3872099999999999E-3</v>
      </c>
    </row>
    <row r="558" spans="1:4" x14ac:dyDescent="0.2">
      <c r="A558" s="1">
        <v>2018</v>
      </c>
      <c r="B558" s="1" t="s">
        <v>1710</v>
      </c>
      <c r="C558" s="2">
        <v>61513</v>
      </c>
      <c r="D558" s="8">
        <v>6.1160000000000004E-5</v>
      </c>
    </row>
    <row r="559" spans="1:4" x14ac:dyDescent="0.2">
      <c r="A559" s="1">
        <v>2018</v>
      </c>
      <c r="B559" s="1" t="s">
        <v>1711</v>
      </c>
      <c r="C559" s="2">
        <v>4761198</v>
      </c>
      <c r="D559" s="8">
        <v>4.7337999999999998E-3</v>
      </c>
    </row>
    <row r="560" spans="1:4" x14ac:dyDescent="0.2">
      <c r="A560" s="1">
        <v>2018</v>
      </c>
      <c r="B560" s="1" t="s">
        <v>1712</v>
      </c>
      <c r="C560" s="2">
        <v>28668</v>
      </c>
      <c r="D560" s="8">
        <v>2.8500000000000002E-5</v>
      </c>
    </row>
    <row r="561" spans="1:4" x14ac:dyDescent="0.2">
      <c r="A561" s="1">
        <v>2018</v>
      </c>
      <c r="B561" s="1" t="s">
        <v>1713</v>
      </c>
      <c r="C561" s="2">
        <v>1417119</v>
      </c>
      <c r="D561" s="8">
        <v>1.4089599999999999E-3</v>
      </c>
    </row>
    <row r="562" spans="1:4" x14ac:dyDescent="0.2">
      <c r="A562" s="1">
        <v>2018</v>
      </c>
      <c r="B562" s="1" t="s">
        <v>1714</v>
      </c>
      <c r="C562" s="2">
        <v>350418</v>
      </c>
      <c r="D562" s="8">
        <v>3.4840000000000001E-4</v>
      </c>
    </row>
    <row r="563" spans="1:4" x14ac:dyDescent="0.2">
      <c r="A563" s="1">
        <v>2018</v>
      </c>
      <c r="B563" s="1" t="s">
        <v>1715</v>
      </c>
      <c r="C563" s="2">
        <v>9106</v>
      </c>
      <c r="D563" s="8">
        <v>9.0499999999999997E-6</v>
      </c>
    </row>
    <row r="564" spans="1:4" x14ac:dyDescent="0.2">
      <c r="A564" s="1">
        <v>2018</v>
      </c>
      <c r="B564" s="1" t="s">
        <v>1716</v>
      </c>
      <c r="C564" s="2">
        <v>42343</v>
      </c>
      <c r="D564" s="8">
        <v>4.21E-5</v>
      </c>
    </row>
    <row r="565" spans="1:4" x14ac:dyDescent="0.2">
      <c r="A565" s="1">
        <v>2018</v>
      </c>
      <c r="B565" s="1" t="s">
        <v>1717</v>
      </c>
      <c r="C565" s="2">
        <v>13602</v>
      </c>
      <c r="D565" s="8">
        <v>1.3519999999999999E-5</v>
      </c>
    </row>
    <row r="566" spans="1:4" x14ac:dyDescent="0.2">
      <c r="A566" s="1">
        <v>2018</v>
      </c>
      <c r="B566" s="1" t="s">
        <v>1718</v>
      </c>
      <c r="C566" s="2">
        <v>1122863</v>
      </c>
      <c r="D566" s="8">
        <v>1.1164E-3</v>
      </c>
    </row>
    <row r="567" spans="1:4" x14ac:dyDescent="0.2">
      <c r="A567" s="1">
        <v>2018</v>
      </c>
      <c r="B567" s="1" t="s">
        <v>1719</v>
      </c>
      <c r="C567" s="2">
        <v>4590567</v>
      </c>
      <c r="D567" s="8">
        <v>4.5641500000000003E-3</v>
      </c>
    </row>
    <row r="568" spans="1:4" x14ac:dyDescent="0.2">
      <c r="A568" s="1">
        <v>2018</v>
      </c>
      <c r="B568" s="1" t="s">
        <v>1720</v>
      </c>
      <c r="C568" s="2">
        <v>287999</v>
      </c>
      <c r="D568" s="8">
        <v>2.8634E-4</v>
      </c>
    </row>
    <row r="569" spans="1:4" x14ac:dyDescent="0.2">
      <c r="A569" s="1">
        <v>2018</v>
      </c>
      <c r="B569" s="1" t="s">
        <v>1721</v>
      </c>
      <c r="C569" s="2">
        <v>180608</v>
      </c>
      <c r="D569" s="8">
        <v>1.7956999999999999E-4</v>
      </c>
    </row>
    <row r="570" spans="1:4" x14ac:dyDescent="0.2">
      <c r="A570" s="1">
        <v>2018</v>
      </c>
      <c r="B570" s="1" t="s">
        <v>1722</v>
      </c>
      <c r="C570" s="2">
        <v>164078</v>
      </c>
      <c r="D570" s="8">
        <v>1.6312999999999999E-4</v>
      </c>
    </row>
    <row r="571" spans="1:4" x14ac:dyDescent="0.2">
      <c r="A571" s="1">
        <v>2018</v>
      </c>
      <c r="B571" s="1" t="s">
        <v>1723</v>
      </c>
      <c r="C571" s="2">
        <v>153592</v>
      </c>
      <c r="D571" s="8">
        <v>1.5270999999999999E-4</v>
      </c>
    </row>
    <row r="572" spans="1:4" x14ac:dyDescent="0.2">
      <c r="A572" s="1">
        <v>2018</v>
      </c>
      <c r="B572" s="1" t="s">
        <v>1724</v>
      </c>
      <c r="C572" s="2">
        <v>547208</v>
      </c>
      <c r="D572" s="8">
        <v>5.4405999999999996E-4</v>
      </c>
    </row>
    <row r="573" spans="1:4" x14ac:dyDescent="0.2">
      <c r="A573" s="1">
        <v>2018</v>
      </c>
      <c r="B573" s="1" t="s">
        <v>1725</v>
      </c>
      <c r="C573" s="2">
        <v>1052430</v>
      </c>
      <c r="D573" s="8">
        <v>1.04637E-3</v>
      </c>
    </row>
    <row r="574" spans="1:4" x14ac:dyDescent="0.2">
      <c r="A574" s="1">
        <v>2018</v>
      </c>
      <c r="B574" s="1" t="s">
        <v>1726</v>
      </c>
      <c r="C574" s="2">
        <v>32854</v>
      </c>
      <c r="D574" s="8">
        <v>3.2660000000000002E-5</v>
      </c>
    </row>
    <row r="575" spans="1:4" x14ac:dyDescent="0.2">
      <c r="A575" s="1">
        <v>2018</v>
      </c>
      <c r="B575" s="1" t="s">
        <v>1727</v>
      </c>
      <c r="C575" s="2">
        <v>3251844</v>
      </c>
      <c r="D575" s="8">
        <v>3.2331299999999999E-3</v>
      </c>
    </row>
    <row r="576" spans="1:4" x14ac:dyDescent="0.2">
      <c r="A576" s="1">
        <v>2018</v>
      </c>
      <c r="B576" s="1" t="s">
        <v>1728</v>
      </c>
      <c r="C576" s="2">
        <v>25863</v>
      </c>
      <c r="D576" s="8">
        <v>2.5709999999999999E-5</v>
      </c>
    </row>
    <row r="577" spans="1:4" x14ac:dyDescent="0.2">
      <c r="A577" s="1">
        <v>2018</v>
      </c>
      <c r="B577" s="1" t="s">
        <v>1729</v>
      </c>
      <c r="C577" s="2">
        <v>2603285</v>
      </c>
      <c r="D577" s="8">
        <v>2.5883E-3</v>
      </c>
    </row>
    <row r="578" spans="1:4" x14ac:dyDescent="0.2">
      <c r="A578" s="1">
        <v>2018</v>
      </c>
      <c r="B578" s="1" t="s">
        <v>1730</v>
      </c>
      <c r="C578" s="2">
        <v>257369</v>
      </c>
      <c r="D578" s="8">
        <v>2.5588999999999999E-4</v>
      </c>
    </row>
    <row r="579" spans="1:4" x14ac:dyDescent="0.2">
      <c r="A579" s="1">
        <v>2018</v>
      </c>
      <c r="B579" s="1" t="s">
        <v>1731</v>
      </c>
      <c r="C579" s="2">
        <v>89369</v>
      </c>
      <c r="D579" s="8">
        <v>8.8850000000000005E-5</v>
      </c>
    </row>
    <row r="580" spans="1:4" x14ac:dyDescent="0.2">
      <c r="A580" s="1">
        <v>2018</v>
      </c>
      <c r="B580" s="1" t="s">
        <v>1732</v>
      </c>
      <c r="C580" s="2">
        <v>3754686</v>
      </c>
      <c r="D580" s="8">
        <v>3.7330800000000002E-3</v>
      </c>
    </row>
    <row r="581" spans="1:4" x14ac:dyDescent="0.2">
      <c r="A581" s="1">
        <v>2018</v>
      </c>
      <c r="B581" s="1" t="s">
        <v>1733</v>
      </c>
      <c r="C581" s="2">
        <v>32905</v>
      </c>
      <c r="D581" s="8">
        <v>3.2719999999999998E-5</v>
      </c>
    </row>
    <row r="582" spans="1:4" x14ac:dyDescent="0.2">
      <c r="A582" s="1">
        <v>2018</v>
      </c>
      <c r="B582" s="1" t="s">
        <v>1734</v>
      </c>
      <c r="C582" s="2">
        <v>1231490</v>
      </c>
      <c r="D582" s="8">
        <v>1.2244000000000001E-3</v>
      </c>
    </row>
    <row r="583" spans="1:4" x14ac:dyDescent="0.2">
      <c r="A583" s="1">
        <v>2018</v>
      </c>
      <c r="B583" s="1" t="s">
        <v>1735</v>
      </c>
      <c r="C583" s="2">
        <v>4296</v>
      </c>
      <c r="D583" s="8">
        <v>4.2699999999999998E-6</v>
      </c>
    </row>
    <row r="584" spans="1:4" x14ac:dyDescent="0.2">
      <c r="A584" s="1">
        <v>2018</v>
      </c>
      <c r="B584" s="1" t="s">
        <v>1736</v>
      </c>
      <c r="C584" s="2">
        <v>1662075</v>
      </c>
      <c r="D584" s="8">
        <v>1.65251E-3</v>
      </c>
    </row>
    <row r="585" spans="1:4" x14ac:dyDescent="0.2">
      <c r="A585" s="1">
        <v>2018</v>
      </c>
      <c r="B585" s="1" t="s">
        <v>1737</v>
      </c>
      <c r="C585" s="2">
        <v>8738321</v>
      </c>
      <c r="D585" s="8">
        <v>8.6880299999999994E-3</v>
      </c>
    </row>
    <row r="586" spans="1:4" x14ac:dyDescent="0.2">
      <c r="A586" s="1">
        <v>2018</v>
      </c>
      <c r="B586" s="1" t="s">
        <v>1738</v>
      </c>
      <c r="C586" s="2">
        <v>458913</v>
      </c>
      <c r="D586" s="8">
        <v>4.5626999999999999E-4</v>
      </c>
    </row>
    <row r="587" spans="1:4" x14ac:dyDescent="0.2">
      <c r="A587" s="1">
        <v>2018</v>
      </c>
      <c r="B587" s="1" t="s">
        <v>1739</v>
      </c>
      <c r="C587" s="2">
        <v>1707767</v>
      </c>
      <c r="D587" s="8">
        <v>1.69794E-3</v>
      </c>
    </row>
    <row r="588" spans="1:4" x14ac:dyDescent="0.2">
      <c r="A588" s="1">
        <v>2018</v>
      </c>
      <c r="B588" s="1" t="s">
        <v>1740</v>
      </c>
      <c r="C588" s="2">
        <v>188734</v>
      </c>
      <c r="D588" s="8">
        <v>1.8765000000000001E-4</v>
      </c>
    </row>
    <row r="589" spans="1:4" x14ac:dyDescent="0.2">
      <c r="A589" s="1">
        <v>2018</v>
      </c>
      <c r="B589" s="1" t="s">
        <v>1741</v>
      </c>
      <c r="C589" s="2">
        <v>1439908</v>
      </c>
      <c r="D589" s="8">
        <v>1.43162E-3</v>
      </c>
    </row>
    <row r="590" spans="1:4" x14ac:dyDescent="0.2">
      <c r="A590" s="1">
        <v>2018</v>
      </c>
      <c r="B590" s="1" t="s">
        <v>1742</v>
      </c>
      <c r="C590" s="2">
        <v>3153251</v>
      </c>
      <c r="D590" s="8">
        <v>3.1351E-3</v>
      </c>
    </row>
    <row r="591" spans="1:4" x14ac:dyDescent="0.2">
      <c r="A591" s="1">
        <v>2018</v>
      </c>
      <c r="B591" s="1" t="s">
        <v>1743</v>
      </c>
      <c r="C591" s="2">
        <v>26378</v>
      </c>
      <c r="D591" s="8">
        <v>2.6230000000000001E-5</v>
      </c>
    </row>
    <row r="592" spans="1:4" x14ac:dyDescent="0.2">
      <c r="A592" s="1">
        <v>2018</v>
      </c>
      <c r="B592" s="1" t="s">
        <v>1744</v>
      </c>
      <c r="C592" s="2">
        <v>2325690</v>
      </c>
      <c r="D592" s="8">
        <v>2.3123100000000001E-3</v>
      </c>
    </row>
    <row r="593" spans="1:4" x14ac:dyDescent="0.2">
      <c r="A593" s="1">
        <v>2018</v>
      </c>
      <c r="B593" s="1" t="s">
        <v>1745</v>
      </c>
      <c r="C593" s="2">
        <v>1399562</v>
      </c>
      <c r="D593" s="8">
        <v>1.3915100000000001E-3</v>
      </c>
    </row>
    <row r="594" spans="1:4" x14ac:dyDescent="0.2">
      <c r="A594" s="1">
        <v>2018</v>
      </c>
      <c r="B594" s="1" t="s">
        <v>1746</v>
      </c>
      <c r="C594" s="2">
        <v>45049</v>
      </c>
      <c r="D594" s="8">
        <v>4.4790000000000003E-5</v>
      </c>
    </row>
    <row r="595" spans="1:4" x14ac:dyDescent="0.2">
      <c r="A595" s="1">
        <v>2018</v>
      </c>
      <c r="B595" s="1" t="s">
        <v>1747</v>
      </c>
      <c r="C595" s="2">
        <v>2945225</v>
      </c>
      <c r="D595" s="8">
        <v>2.9282800000000001E-3</v>
      </c>
    </row>
    <row r="596" spans="1:4" x14ac:dyDescent="0.2">
      <c r="A596" s="1">
        <v>2018</v>
      </c>
      <c r="B596" s="1" t="s">
        <v>1748</v>
      </c>
      <c r="C596" s="2">
        <v>531808</v>
      </c>
      <c r="D596" s="8">
        <v>5.2875000000000003E-4</v>
      </c>
    </row>
    <row r="597" spans="1:4" x14ac:dyDescent="0.2">
      <c r="A597" s="1">
        <v>2018</v>
      </c>
      <c r="B597" s="1" t="s">
        <v>1749</v>
      </c>
      <c r="C597" s="2">
        <v>101401</v>
      </c>
      <c r="D597" s="8">
        <v>1.0082E-4</v>
      </c>
    </row>
    <row r="598" spans="1:4" x14ac:dyDescent="0.2">
      <c r="A598" s="1">
        <v>2018</v>
      </c>
      <c r="B598" s="1" t="s">
        <v>1750</v>
      </c>
      <c r="C598" s="2">
        <v>1014477</v>
      </c>
      <c r="D598" s="8">
        <v>1.0086400000000001E-3</v>
      </c>
    </row>
    <row r="599" spans="1:4" x14ac:dyDescent="0.2">
      <c r="A599" s="1">
        <v>2018</v>
      </c>
      <c r="B599" s="1" t="s">
        <v>1751</v>
      </c>
      <c r="C599" s="2">
        <v>366345</v>
      </c>
      <c r="D599" s="8">
        <v>3.6424E-4</v>
      </c>
    </row>
    <row r="600" spans="1:4" x14ac:dyDescent="0.2">
      <c r="A600" s="1">
        <v>2018</v>
      </c>
      <c r="B600" s="1" t="s">
        <v>1752</v>
      </c>
      <c r="C600" s="2">
        <v>629703</v>
      </c>
      <c r="D600" s="8">
        <v>6.2608E-4</v>
      </c>
    </row>
    <row r="601" spans="1:4" x14ac:dyDescent="0.2">
      <c r="A601" s="1">
        <v>2018</v>
      </c>
      <c r="B601" s="1" t="s">
        <v>1753</v>
      </c>
      <c r="C601" s="2">
        <v>3302262</v>
      </c>
      <c r="D601" s="8">
        <v>3.2832600000000001E-3</v>
      </c>
    </row>
    <row r="602" spans="1:4" x14ac:dyDescent="0.2">
      <c r="A602" s="1">
        <v>2018</v>
      </c>
      <c r="B602" s="1" t="s">
        <v>1754</v>
      </c>
      <c r="C602" s="2">
        <v>497777</v>
      </c>
      <c r="D602" s="8">
        <v>4.9490999999999999E-4</v>
      </c>
    </row>
    <row r="603" spans="1:4" x14ac:dyDescent="0.2">
      <c r="A603" s="1">
        <v>2018</v>
      </c>
      <c r="B603" s="1" t="s">
        <v>1755</v>
      </c>
      <c r="C603" s="2">
        <v>763700</v>
      </c>
      <c r="D603" s="8">
        <v>7.5931000000000002E-4</v>
      </c>
    </row>
    <row r="604" spans="1:4" x14ac:dyDescent="0.2">
      <c r="A604" s="1">
        <v>2018</v>
      </c>
      <c r="B604" s="1" t="s">
        <v>1756</v>
      </c>
      <c r="C604" s="2">
        <v>24076</v>
      </c>
      <c r="D604" s="8">
        <v>2.3940000000000001E-5</v>
      </c>
    </row>
    <row r="605" spans="1:4" x14ac:dyDescent="0.2">
      <c r="A605" s="1">
        <v>2018</v>
      </c>
      <c r="B605" s="1" t="s">
        <v>1757</v>
      </c>
      <c r="C605" s="2">
        <v>896305</v>
      </c>
      <c r="D605" s="8">
        <v>8.9114999999999995E-4</v>
      </c>
    </row>
    <row r="606" spans="1:4" x14ac:dyDescent="0.2">
      <c r="A606" s="1">
        <v>2018</v>
      </c>
      <c r="B606" s="1" t="s">
        <v>1758</v>
      </c>
      <c r="C606" s="2">
        <v>91639</v>
      </c>
      <c r="D606" s="8">
        <v>9.111E-5</v>
      </c>
    </row>
    <row r="607" spans="1:4" x14ac:dyDescent="0.2">
      <c r="A607" s="1">
        <v>2018</v>
      </c>
      <c r="B607" s="1" t="s">
        <v>1759</v>
      </c>
      <c r="C607" s="2">
        <v>3243486</v>
      </c>
      <c r="D607" s="8">
        <v>3.2248200000000002E-3</v>
      </c>
    </row>
    <row r="608" spans="1:4" x14ac:dyDescent="0.2">
      <c r="A608" s="1">
        <v>2018</v>
      </c>
      <c r="B608" s="1" t="s">
        <v>1760</v>
      </c>
      <c r="C608" s="2">
        <v>1193545</v>
      </c>
      <c r="D608" s="8">
        <v>1.1866800000000001E-3</v>
      </c>
    </row>
    <row r="609" spans="1:4" x14ac:dyDescent="0.2">
      <c r="A609" s="1">
        <v>2018</v>
      </c>
      <c r="B609" s="1" t="s">
        <v>1761</v>
      </c>
      <c r="C609" s="2">
        <v>2035</v>
      </c>
      <c r="D609" s="8">
        <v>2.0200000000000001E-6</v>
      </c>
    </row>
    <row r="610" spans="1:4" x14ac:dyDescent="0.2">
      <c r="A610" s="1">
        <v>2018</v>
      </c>
      <c r="B610" s="1" t="s">
        <v>1762</v>
      </c>
      <c r="C610" s="2">
        <v>67445</v>
      </c>
      <c r="D610" s="8">
        <v>6.7059999999999998E-5</v>
      </c>
    </row>
    <row r="611" spans="1:4" x14ac:dyDescent="0.2">
      <c r="A611" s="1">
        <v>2018</v>
      </c>
      <c r="B611" s="1" t="s">
        <v>1763</v>
      </c>
      <c r="C611" s="2">
        <v>18286</v>
      </c>
      <c r="D611" s="8">
        <v>1.8179999999999999E-5</v>
      </c>
    </row>
    <row r="612" spans="1:4" x14ac:dyDescent="0.2">
      <c r="A612" s="1">
        <v>2018</v>
      </c>
      <c r="B612" s="1" t="s">
        <v>1764</v>
      </c>
      <c r="C612" s="2">
        <v>24200</v>
      </c>
      <c r="D612" s="8">
        <v>2.406E-5</v>
      </c>
    </row>
    <row r="613" spans="1:4" x14ac:dyDescent="0.2">
      <c r="A613" s="1">
        <v>2018</v>
      </c>
      <c r="B613" s="1" t="s">
        <v>1765</v>
      </c>
      <c r="C613" s="2">
        <v>34136</v>
      </c>
      <c r="D613" s="8">
        <v>3.3939999999999997E-5</v>
      </c>
    </row>
    <row r="614" spans="1:4" x14ac:dyDescent="0.2">
      <c r="A614" s="1">
        <v>2018</v>
      </c>
      <c r="B614" s="1" t="s">
        <v>1766</v>
      </c>
      <c r="C614" s="2">
        <v>532684</v>
      </c>
      <c r="D614" s="8">
        <v>5.2961999999999996E-4</v>
      </c>
    </row>
    <row r="615" spans="1:4" x14ac:dyDescent="0.2">
      <c r="A615" s="1">
        <v>2018</v>
      </c>
      <c r="B615" s="1" t="s">
        <v>1767</v>
      </c>
      <c r="C615" s="2">
        <v>2504979</v>
      </c>
      <c r="D615" s="8">
        <v>2.4905600000000002E-3</v>
      </c>
    </row>
    <row r="616" spans="1:4" x14ac:dyDescent="0.2">
      <c r="A616" s="1">
        <v>2018</v>
      </c>
      <c r="B616" s="1" t="s">
        <v>1768</v>
      </c>
      <c r="C616" s="2">
        <v>697254</v>
      </c>
      <c r="D616" s="8">
        <v>6.9324000000000002E-4</v>
      </c>
    </row>
    <row r="617" spans="1:4" x14ac:dyDescent="0.2">
      <c r="A617" s="1">
        <v>2018</v>
      </c>
      <c r="B617" s="1" t="s">
        <v>1769</v>
      </c>
      <c r="C617" s="2">
        <v>4712</v>
      </c>
      <c r="D617" s="8">
        <v>4.69E-6</v>
      </c>
    </row>
    <row r="618" spans="1:4" x14ac:dyDescent="0.2">
      <c r="A618" s="1">
        <v>2018</v>
      </c>
      <c r="B618" s="1" t="s">
        <v>1770</v>
      </c>
      <c r="C618" s="2">
        <v>21080</v>
      </c>
      <c r="D618" s="8">
        <v>2.0959999999999999E-5</v>
      </c>
    </row>
    <row r="619" spans="1:4" x14ac:dyDescent="0.2">
      <c r="A619" s="1">
        <v>2018</v>
      </c>
      <c r="B619" s="1" t="s">
        <v>1771</v>
      </c>
      <c r="C619" s="2">
        <v>1678838</v>
      </c>
      <c r="D619" s="8">
        <v>1.6691799999999999E-3</v>
      </c>
    </row>
    <row r="620" spans="1:4" x14ac:dyDescent="0.2">
      <c r="A620" s="1">
        <v>2018</v>
      </c>
      <c r="B620" s="1" t="s">
        <v>1772</v>
      </c>
      <c r="C620" s="2">
        <v>176443</v>
      </c>
      <c r="D620" s="8">
        <v>1.7542999999999999E-4</v>
      </c>
    </row>
    <row r="621" spans="1:4" x14ac:dyDescent="0.2">
      <c r="A621" s="1">
        <v>2018</v>
      </c>
      <c r="B621" s="1" t="s">
        <v>1773</v>
      </c>
      <c r="C621" s="2">
        <v>1580463</v>
      </c>
      <c r="D621" s="8">
        <v>1.5713700000000001E-3</v>
      </c>
    </row>
    <row r="622" spans="1:4" x14ac:dyDescent="0.2">
      <c r="A622" s="1">
        <v>2018</v>
      </c>
      <c r="B622" s="1" t="s">
        <v>1774</v>
      </c>
      <c r="C622" s="2">
        <v>414205</v>
      </c>
      <c r="D622" s="8">
        <v>4.1182000000000002E-4</v>
      </c>
    </row>
    <row r="623" spans="1:4" x14ac:dyDescent="0.2">
      <c r="A623" s="1">
        <v>2018</v>
      </c>
      <c r="B623" s="1" t="s">
        <v>1775</v>
      </c>
      <c r="C623" s="2">
        <v>121855</v>
      </c>
      <c r="D623" s="8">
        <v>1.2115E-4</v>
      </c>
    </row>
    <row r="624" spans="1:4" x14ac:dyDescent="0.2">
      <c r="A624" s="1">
        <v>2018</v>
      </c>
      <c r="B624" s="1" t="s">
        <v>1776</v>
      </c>
      <c r="C624" s="2">
        <v>7597</v>
      </c>
      <c r="D624" s="8">
        <v>7.5499999999999997E-6</v>
      </c>
    </row>
    <row r="625" spans="1:4" x14ac:dyDescent="0.2">
      <c r="A625" s="1">
        <v>2018</v>
      </c>
      <c r="B625" s="1" t="s">
        <v>1777</v>
      </c>
      <c r="C625" s="2">
        <v>1998123</v>
      </c>
      <c r="D625" s="8">
        <v>1.9866200000000001E-3</v>
      </c>
    </row>
    <row r="626" spans="1:4" x14ac:dyDescent="0.2">
      <c r="A626" s="1">
        <v>2018</v>
      </c>
      <c r="B626" s="1" t="s">
        <v>1778</v>
      </c>
      <c r="C626" s="2">
        <v>584147</v>
      </c>
      <c r="D626" s="8">
        <v>5.8078999999999997E-4</v>
      </c>
    </row>
    <row r="627" spans="1:4" x14ac:dyDescent="0.2">
      <c r="A627" s="1">
        <v>2018</v>
      </c>
      <c r="B627" s="1" t="s">
        <v>1779</v>
      </c>
      <c r="C627" s="2">
        <v>1871</v>
      </c>
      <c r="D627" s="8">
        <v>1.86E-6</v>
      </c>
    </row>
    <row r="628" spans="1:4" x14ac:dyDescent="0.2">
      <c r="A628" s="1">
        <v>2018</v>
      </c>
      <c r="B628" s="1" t="s">
        <v>1780</v>
      </c>
      <c r="C628" s="2">
        <v>90480</v>
      </c>
      <c r="D628" s="8">
        <v>8.9959999999999999E-5</v>
      </c>
    </row>
    <row r="629" spans="1:4" x14ac:dyDescent="0.2">
      <c r="A629" s="1">
        <v>2018</v>
      </c>
      <c r="B629" s="1" t="s">
        <v>1781</v>
      </c>
      <c r="C629" s="2">
        <v>43910</v>
      </c>
      <c r="D629" s="8">
        <v>4.3659999999999999E-5</v>
      </c>
    </row>
    <row r="630" spans="1:4" x14ac:dyDescent="0.2">
      <c r="A630" s="1">
        <v>2018</v>
      </c>
      <c r="B630" s="1" t="s">
        <v>1782</v>
      </c>
      <c r="C630" s="2">
        <v>45442</v>
      </c>
      <c r="D630" s="8">
        <v>4.5179999999999998E-5</v>
      </c>
    </row>
    <row r="631" spans="1:4" x14ac:dyDescent="0.2">
      <c r="A631" s="1">
        <v>2018</v>
      </c>
      <c r="B631" s="1" t="s">
        <v>1783</v>
      </c>
      <c r="C631" s="2">
        <v>1168670</v>
      </c>
      <c r="D631" s="8">
        <v>1.16194E-3</v>
      </c>
    </row>
    <row r="632" spans="1:4" x14ac:dyDescent="0.2">
      <c r="A632" s="1">
        <v>2018</v>
      </c>
      <c r="B632" s="1" t="s">
        <v>1784</v>
      </c>
      <c r="C632" s="2">
        <v>694998</v>
      </c>
      <c r="D632" s="8">
        <v>6.9099999999999999E-4</v>
      </c>
    </row>
    <row r="633" spans="1:4" x14ac:dyDescent="0.2">
      <c r="A633" s="1">
        <v>2018</v>
      </c>
      <c r="B633" s="1" t="s">
        <v>1785</v>
      </c>
      <c r="C633" s="2">
        <v>13642</v>
      </c>
      <c r="D633" s="8">
        <v>1.3560000000000001E-5</v>
      </c>
    </row>
    <row r="634" spans="1:4" x14ac:dyDescent="0.2">
      <c r="A634" s="1">
        <v>2018</v>
      </c>
      <c r="B634" s="1" t="s">
        <v>1786</v>
      </c>
      <c r="C634" s="2">
        <v>160698</v>
      </c>
      <c r="D634" s="8">
        <v>1.5977E-4</v>
      </c>
    </row>
    <row r="635" spans="1:4" x14ac:dyDescent="0.2">
      <c r="A635" s="1">
        <v>2018</v>
      </c>
      <c r="B635" s="1" t="s">
        <v>1787</v>
      </c>
      <c r="C635" s="2">
        <v>1085415</v>
      </c>
      <c r="D635" s="8">
        <v>1.07917E-3</v>
      </c>
    </row>
    <row r="636" spans="1:4" x14ac:dyDescent="0.2">
      <c r="A636" s="1">
        <v>2018</v>
      </c>
      <c r="B636" s="1" t="s">
        <v>1788</v>
      </c>
      <c r="C636" s="2">
        <v>417574</v>
      </c>
      <c r="D636" s="8">
        <v>4.1517000000000002E-4</v>
      </c>
    </row>
    <row r="637" spans="1:4" x14ac:dyDescent="0.2">
      <c r="A637" s="1">
        <v>2018</v>
      </c>
      <c r="B637" s="1" t="s">
        <v>1789</v>
      </c>
      <c r="C637" s="2">
        <v>1486189</v>
      </c>
      <c r="D637" s="8">
        <v>1.4776399999999999E-3</v>
      </c>
    </row>
    <row r="638" spans="1:4" x14ac:dyDescent="0.2">
      <c r="A638" s="1">
        <v>2018</v>
      </c>
      <c r="B638" s="1" t="s">
        <v>1790</v>
      </c>
      <c r="C638" s="2">
        <v>50371</v>
      </c>
      <c r="D638" s="8">
        <v>5.0080000000000002E-5</v>
      </c>
    </row>
    <row r="639" spans="1:4" x14ac:dyDescent="0.2">
      <c r="A639" s="1">
        <v>2018</v>
      </c>
      <c r="B639" s="1" t="s">
        <v>1791</v>
      </c>
      <c r="C639" s="2">
        <v>15066378</v>
      </c>
      <c r="D639" s="8">
        <v>1.497967E-2</v>
      </c>
    </row>
    <row r="640" spans="1:4" x14ac:dyDescent="0.2">
      <c r="A640" s="1">
        <v>2018</v>
      </c>
      <c r="B640" s="1" t="s">
        <v>1792</v>
      </c>
      <c r="C640" s="2">
        <v>3108445</v>
      </c>
      <c r="D640" s="8">
        <v>3.09056E-3</v>
      </c>
    </row>
    <row r="641" spans="1:4" x14ac:dyDescent="0.2">
      <c r="A641" s="1">
        <v>2018</v>
      </c>
      <c r="B641" s="1" t="s">
        <v>1793</v>
      </c>
      <c r="C641" s="2">
        <v>65204</v>
      </c>
      <c r="D641" s="8">
        <v>6.4830000000000001E-5</v>
      </c>
    </row>
    <row r="642" spans="1:4" x14ac:dyDescent="0.2">
      <c r="A642" s="1">
        <v>2018</v>
      </c>
      <c r="B642" s="1" t="s">
        <v>1794</v>
      </c>
      <c r="C642" s="2">
        <v>19302</v>
      </c>
      <c r="D642" s="8">
        <v>1.9190000000000001E-5</v>
      </c>
    </row>
    <row r="643" spans="1:4" x14ac:dyDescent="0.2">
      <c r="A643" s="1">
        <v>2018</v>
      </c>
      <c r="B643" s="1" t="s">
        <v>1795</v>
      </c>
      <c r="C643" s="2">
        <v>101933</v>
      </c>
      <c r="D643" s="8">
        <v>1.0135E-4</v>
      </c>
    </row>
    <row r="644" spans="1:4" x14ac:dyDescent="0.2">
      <c r="A644" s="1">
        <v>2018</v>
      </c>
      <c r="B644" s="1" t="s">
        <v>1796</v>
      </c>
      <c r="C644" s="2">
        <v>98809</v>
      </c>
      <c r="D644" s="8">
        <v>9.8239999999999995E-5</v>
      </c>
    </row>
    <row r="645" spans="1:4" x14ac:dyDescent="0.2">
      <c r="A645" s="1">
        <v>2018</v>
      </c>
      <c r="B645" s="1" t="s">
        <v>1797</v>
      </c>
      <c r="C645" s="2">
        <v>5413191</v>
      </c>
      <c r="D645" s="8">
        <v>5.3820400000000003E-3</v>
      </c>
    </row>
    <row r="646" spans="1:4" x14ac:dyDescent="0.2">
      <c r="A646" s="1">
        <v>2018</v>
      </c>
      <c r="B646" s="1" t="s">
        <v>1798</v>
      </c>
      <c r="C646" s="2">
        <v>179912</v>
      </c>
      <c r="D646" s="8">
        <v>1.7887999999999999E-4</v>
      </c>
    </row>
    <row r="647" spans="1:4" x14ac:dyDescent="0.2">
      <c r="A647" s="1">
        <v>2018</v>
      </c>
      <c r="B647" s="1" t="s">
        <v>1799</v>
      </c>
      <c r="C647" s="2">
        <v>855010</v>
      </c>
      <c r="D647" s="8">
        <v>8.5008999999999996E-4</v>
      </c>
    </row>
    <row r="648" spans="1:4" x14ac:dyDescent="0.2">
      <c r="A648" s="1">
        <v>2018</v>
      </c>
      <c r="B648" s="1" t="s">
        <v>1800</v>
      </c>
      <c r="C648" s="2">
        <v>467513</v>
      </c>
      <c r="D648" s="8">
        <v>4.6482000000000001E-4</v>
      </c>
    </row>
    <row r="649" spans="1:4" x14ac:dyDescent="0.2">
      <c r="A649" s="1">
        <v>2018</v>
      </c>
      <c r="B649" s="1" t="s">
        <v>1801</v>
      </c>
      <c r="C649" s="2">
        <v>52712</v>
      </c>
      <c r="D649" s="8">
        <v>5.2410000000000001E-5</v>
      </c>
    </row>
    <row r="650" spans="1:4" x14ac:dyDescent="0.2">
      <c r="A650" s="1">
        <v>2018</v>
      </c>
      <c r="B650" s="1" t="s">
        <v>1802</v>
      </c>
      <c r="C650" s="2">
        <v>1798483</v>
      </c>
      <c r="D650" s="8">
        <v>1.78813E-3</v>
      </c>
    </row>
    <row r="651" spans="1:4" x14ac:dyDescent="0.2">
      <c r="A651" s="1">
        <v>2018</v>
      </c>
      <c r="B651" s="1" t="s">
        <v>1803</v>
      </c>
      <c r="C651" s="2">
        <v>53980</v>
      </c>
      <c r="D651" s="8">
        <v>5.3669999999999999E-5</v>
      </c>
    </row>
    <row r="652" spans="1:4" x14ac:dyDescent="0.2">
      <c r="A652" s="1">
        <v>2018</v>
      </c>
      <c r="B652" s="1" t="s">
        <v>1804</v>
      </c>
      <c r="C652" s="2">
        <v>251870</v>
      </c>
      <c r="D652" s="8">
        <v>2.5042E-4</v>
      </c>
    </row>
    <row r="653" spans="1:4" x14ac:dyDescent="0.2">
      <c r="A653" s="1">
        <v>2018</v>
      </c>
      <c r="B653" s="1" t="s">
        <v>1805</v>
      </c>
      <c r="C653" s="2">
        <v>118594</v>
      </c>
      <c r="D653" s="8">
        <v>1.1791E-4</v>
      </c>
    </row>
    <row r="654" spans="1:4" x14ac:dyDescent="0.2">
      <c r="A654" s="1">
        <v>2018</v>
      </c>
      <c r="B654" s="1" t="s">
        <v>1806</v>
      </c>
      <c r="C654" s="2">
        <v>49060</v>
      </c>
      <c r="D654" s="8">
        <v>4.8779999999999997E-5</v>
      </c>
    </row>
    <row r="655" spans="1:4" x14ac:dyDescent="0.2">
      <c r="A655" s="1">
        <v>2018</v>
      </c>
      <c r="B655" s="1" t="s">
        <v>1807</v>
      </c>
      <c r="C655" s="2">
        <v>49529</v>
      </c>
      <c r="D655" s="8">
        <v>4.9240000000000003E-5</v>
      </c>
    </row>
    <row r="656" spans="1:4" x14ac:dyDescent="0.2">
      <c r="A656" s="1">
        <v>2018</v>
      </c>
      <c r="B656" s="1" t="s">
        <v>1808</v>
      </c>
      <c r="C656" s="2">
        <v>17839</v>
      </c>
      <c r="D656" s="8">
        <v>1.774E-5</v>
      </c>
    </row>
    <row r="657" spans="1:4" x14ac:dyDescent="0.2">
      <c r="A657" s="1">
        <v>2018</v>
      </c>
      <c r="B657" s="1" t="s">
        <v>1809</v>
      </c>
      <c r="C657" s="2">
        <v>113500</v>
      </c>
      <c r="D657" s="8">
        <v>1.1285000000000001E-4</v>
      </c>
    </row>
    <row r="658" spans="1:4" x14ac:dyDescent="0.2">
      <c r="A658" s="1">
        <v>2018</v>
      </c>
      <c r="B658" s="1" t="s">
        <v>1810</v>
      </c>
      <c r="C658" s="2">
        <v>11297</v>
      </c>
      <c r="D658" s="8">
        <v>1.1229999999999999E-5</v>
      </c>
    </row>
    <row r="659" spans="1:4" x14ac:dyDescent="0.2">
      <c r="A659" s="1">
        <v>2018</v>
      </c>
      <c r="B659" s="1" t="s">
        <v>1811</v>
      </c>
      <c r="C659" s="2">
        <v>211523</v>
      </c>
      <c r="D659" s="8">
        <v>2.1031000000000001E-4</v>
      </c>
    </row>
    <row r="660" spans="1:4" x14ac:dyDescent="0.2">
      <c r="A660" s="1">
        <v>2018</v>
      </c>
      <c r="B660" s="1" t="s">
        <v>1812</v>
      </c>
      <c r="C660" s="2">
        <v>84369</v>
      </c>
      <c r="D660" s="8">
        <v>8.3880000000000003E-5</v>
      </c>
    </row>
    <row r="661" spans="1:4" x14ac:dyDescent="0.2">
      <c r="A661" s="1">
        <v>2018</v>
      </c>
      <c r="B661" s="1" t="s">
        <v>1813</v>
      </c>
      <c r="C661" s="2">
        <v>17412</v>
      </c>
      <c r="D661" s="8">
        <v>1.7309999999999999E-5</v>
      </c>
    </row>
    <row r="662" spans="1:4" x14ac:dyDescent="0.2">
      <c r="A662" s="1">
        <v>2018</v>
      </c>
      <c r="B662" s="1" t="s">
        <v>1814</v>
      </c>
      <c r="C662" s="2">
        <v>2941248</v>
      </c>
      <c r="D662" s="8">
        <v>2.9243199999999998E-3</v>
      </c>
    </row>
    <row r="663" spans="1:4" x14ac:dyDescent="0.2">
      <c r="A663" s="1">
        <v>2018</v>
      </c>
      <c r="B663" s="1" t="s">
        <v>1815</v>
      </c>
      <c r="C663" s="2">
        <v>705538</v>
      </c>
      <c r="D663" s="8">
        <v>7.0147999999999999E-4</v>
      </c>
    </row>
    <row r="664" spans="1:4" x14ac:dyDescent="0.2">
      <c r="A664" s="1">
        <v>2018</v>
      </c>
      <c r="B664" s="1" t="s">
        <v>1816</v>
      </c>
      <c r="C664" s="2">
        <v>25185</v>
      </c>
      <c r="D664" s="8">
        <v>2.5040000000000001E-5</v>
      </c>
    </row>
    <row r="665" spans="1:4" x14ac:dyDescent="0.2">
      <c r="A665" s="1">
        <v>2018</v>
      </c>
      <c r="B665" s="1" t="s">
        <v>1817</v>
      </c>
      <c r="C665" s="2">
        <v>21164</v>
      </c>
      <c r="D665" s="8">
        <v>2.1039999999999998E-5</v>
      </c>
    </row>
    <row r="666" spans="1:4" x14ac:dyDescent="0.2">
      <c r="A666" s="1">
        <v>2018</v>
      </c>
      <c r="B666" s="1" t="s">
        <v>1818</v>
      </c>
      <c r="C666" s="2">
        <v>795594</v>
      </c>
      <c r="D666" s="8">
        <v>7.9102000000000003E-4</v>
      </c>
    </row>
    <row r="667" spans="1:4" x14ac:dyDescent="0.2">
      <c r="A667" s="1">
        <v>2018</v>
      </c>
      <c r="B667" s="1" t="s">
        <v>1819</v>
      </c>
      <c r="C667" s="2">
        <v>8822</v>
      </c>
      <c r="D667" s="8">
        <v>8.7700000000000007E-6</v>
      </c>
    </row>
    <row r="668" spans="1:4" x14ac:dyDescent="0.2">
      <c r="A668" s="1">
        <v>2018</v>
      </c>
      <c r="B668" s="1" t="s">
        <v>1820</v>
      </c>
      <c r="C668" s="2">
        <v>464799</v>
      </c>
      <c r="D668" s="8">
        <v>4.6212E-4</v>
      </c>
    </row>
    <row r="669" spans="1:4" x14ac:dyDescent="0.2">
      <c r="A669" s="1">
        <v>2018</v>
      </c>
      <c r="B669" s="1" t="s">
        <v>1821</v>
      </c>
      <c r="C669" s="2">
        <v>35907</v>
      </c>
      <c r="D669" s="8">
        <v>3.57E-5</v>
      </c>
    </row>
    <row r="670" spans="1:4" x14ac:dyDescent="0.2">
      <c r="A670" s="1">
        <v>2018</v>
      </c>
      <c r="B670" s="1" t="s">
        <v>1822</v>
      </c>
      <c r="C670" s="2">
        <v>1367111</v>
      </c>
      <c r="D670" s="8">
        <v>1.3592400000000001E-3</v>
      </c>
    </row>
    <row r="671" spans="1:4" x14ac:dyDescent="0.2">
      <c r="A671" s="1">
        <v>2018</v>
      </c>
      <c r="B671" s="1" t="s">
        <v>1823</v>
      </c>
      <c r="C671" s="2">
        <v>57499</v>
      </c>
      <c r="D671" s="8">
        <v>5.7170000000000003E-5</v>
      </c>
    </row>
    <row r="672" spans="1:4" x14ac:dyDescent="0.2">
      <c r="A672" s="1">
        <v>2018</v>
      </c>
      <c r="B672" s="1" t="s">
        <v>1824</v>
      </c>
      <c r="C672" s="2">
        <v>256823</v>
      </c>
      <c r="D672" s="8">
        <v>2.5534E-4</v>
      </c>
    </row>
    <row r="673" spans="1:4" x14ac:dyDescent="0.2">
      <c r="A673" s="1">
        <v>2018</v>
      </c>
      <c r="B673" s="1" t="s">
        <v>1825</v>
      </c>
      <c r="C673" s="2">
        <v>13318</v>
      </c>
      <c r="D673" s="8">
        <v>1.324E-5</v>
      </c>
    </row>
    <row r="674" spans="1:4" x14ac:dyDescent="0.2">
      <c r="A674" s="1">
        <v>2018</v>
      </c>
      <c r="B674" s="1" t="s">
        <v>1826</v>
      </c>
      <c r="C674" s="2">
        <v>45306</v>
      </c>
      <c r="D674" s="8">
        <v>4.5049999999999997E-5</v>
      </c>
    </row>
    <row r="675" spans="1:4" x14ac:dyDescent="0.2">
      <c r="A675" s="1">
        <v>2018</v>
      </c>
      <c r="B675" s="1" t="s">
        <v>1827</v>
      </c>
      <c r="C675" s="2">
        <v>61262</v>
      </c>
      <c r="D675" s="8">
        <v>6.0909999999999998E-5</v>
      </c>
    </row>
    <row r="676" spans="1:4" x14ac:dyDescent="0.2">
      <c r="A676" s="1">
        <v>2018</v>
      </c>
      <c r="B676" s="1" t="s">
        <v>1828</v>
      </c>
      <c r="C676" s="2">
        <v>5698</v>
      </c>
      <c r="D676" s="8">
        <v>5.66E-6</v>
      </c>
    </row>
    <row r="677" spans="1:4" x14ac:dyDescent="0.2">
      <c r="A677" s="1">
        <v>2018</v>
      </c>
      <c r="B677" s="1" t="s">
        <v>1829</v>
      </c>
      <c r="C677" s="2">
        <v>55628</v>
      </c>
      <c r="D677" s="8">
        <v>5.5309999999999997E-5</v>
      </c>
    </row>
    <row r="678" spans="1:4" x14ac:dyDescent="0.2">
      <c r="A678" s="1">
        <v>2018</v>
      </c>
      <c r="B678" s="1" t="s">
        <v>1830</v>
      </c>
      <c r="C678" s="2">
        <v>15301</v>
      </c>
      <c r="D678" s="8">
        <v>1.521E-5</v>
      </c>
    </row>
    <row r="679" spans="1:4" x14ac:dyDescent="0.2">
      <c r="A679" s="1">
        <v>2018</v>
      </c>
      <c r="B679" s="1" t="s">
        <v>1831</v>
      </c>
      <c r="C679" s="2">
        <v>22878</v>
      </c>
      <c r="D679" s="8">
        <v>2.2750000000000001E-5</v>
      </c>
    </row>
    <row r="680" spans="1:4" x14ac:dyDescent="0.2">
      <c r="A680" s="1">
        <v>2018</v>
      </c>
      <c r="B680" s="1" t="s">
        <v>1832</v>
      </c>
      <c r="C680" s="2">
        <v>1087</v>
      </c>
      <c r="D680" s="8">
        <v>1.08E-6</v>
      </c>
    </row>
    <row r="681" spans="1:4" x14ac:dyDescent="0.2">
      <c r="A681" s="1">
        <v>2018</v>
      </c>
      <c r="B681" s="1" t="s">
        <v>1833</v>
      </c>
      <c r="C681" s="2">
        <v>2812280</v>
      </c>
      <c r="D681" s="8">
        <v>2.7961000000000001E-3</v>
      </c>
    </row>
    <row r="682" spans="1:4" x14ac:dyDescent="0.2">
      <c r="A682" s="1">
        <v>2018</v>
      </c>
      <c r="B682" s="1" t="s">
        <v>1834</v>
      </c>
      <c r="C682" s="2">
        <v>789384</v>
      </c>
      <c r="D682" s="8">
        <v>7.8483999999999997E-4</v>
      </c>
    </row>
    <row r="683" spans="1:4" x14ac:dyDescent="0.2">
      <c r="A683" s="1">
        <v>2018</v>
      </c>
      <c r="B683" s="1" t="s">
        <v>1835</v>
      </c>
      <c r="C683" s="2">
        <v>4032</v>
      </c>
      <c r="D683" s="8">
        <v>4.0099999999999997E-6</v>
      </c>
    </row>
    <row r="684" spans="1:4" x14ac:dyDescent="0.2">
      <c r="A684" s="1">
        <v>2018</v>
      </c>
      <c r="B684" s="1" t="s">
        <v>1836</v>
      </c>
      <c r="C684" s="2">
        <v>640690</v>
      </c>
      <c r="D684" s="8">
        <v>6.3699999999999998E-4</v>
      </c>
    </row>
    <row r="685" spans="1:4" x14ac:dyDescent="0.2">
      <c r="A685" s="1">
        <v>2018</v>
      </c>
      <c r="B685" s="1" t="s">
        <v>1837</v>
      </c>
      <c r="C685" s="2">
        <v>3969</v>
      </c>
      <c r="D685" s="8">
        <v>3.9500000000000003E-6</v>
      </c>
    </row>
    <row r="686" spans="1:4" x14ac:dyDescent="0.2">
      <c r="A686" s="1">
        <v>2018</v>
      </c>
      <c r="B686" s="1" t="s">
        <v>1838</v>
      </c>
      <c r="C686" s="2">
        <v>2048900</v>
      </c>
      <c r="D686" s="8">
        <v>2.03711E-3</v>
      </c>
    </row>
    <row r="687" spans="1:4" x14ac:dyDescent="0.2">
      <c r="A687" s="1">
        <v>2018</v>
      </c>
      <c r="B687" s="1" t="s">
        <v>1839</v>
      </c>
      <c r="C687" s="2">
        <v>454810</v>
      </c>
      <c r="D687" s="8">
        <v>4.5218999999999999E-4</v>
      </c>
    </row>
    <row r="688" spans="1:4" x14ac:dyDescent="0.2">
      <c r="A688" s="1">
        <v>2018</v>
      </c>
      <c r="B688" s="1" t="s">
        <v>1840</v>
      </c>
      <c r="C688" s="2">
        <v>34812</v>
      </c>
      <c r="D688" s="8">
        <v>3.4610000000000002E-5</v>
      </c>
    </row>
    <row r="689" spans="1:4" x14ac:dyDescent="0.2">
      <c r="A689" s="1">
        <v>2018</v>
      </c>
      <c r="B689" s="1" t="s">
        <v>1841</v>
      </c>
      <c r="C689" s="2">
        <v>1259445</v>
      </c>
      <c r="D689" s="8">
        <v>1.2522E-3</v>
      </c>
    </row>
    <row r="690" spans="1:4" x14ac:dyDescent="0.2">
      <c r="A690" s="1">
        <v>2018</v>
      </c>
      <c r="B690" s="1" t="s">
        <v>1842</v>
      </c>
      <c r="C690" s="2">
        <v>8244</v>
      </c>
      <c r="D690" s="8">
        <v>8.1999999999999994E-6</v>
      </c>
    </row>
    <row r="691" spans="1:4" x14ac:dyDescent="0.2">
      <c r="A691" s="1">
        <v>2018</v>
      </c>
      <c r="B691" s="1" t="s">
        <v>1843</v>
      </c>
      <c r="C691" s="2">
        <v>169172</v>
      </c>
      <c r="D691" s="8">
        <v>1.682E-4</v>
      </c>
    </row>
    <row r="692" spans="1:4" x14ac:dyDescent="0.2">
      <c r="A692" s="1">
        <v>2018</v>
      </c>
      <c r="B692" s="1" t="s">
        <v>1844</v>
      </c>
      <c r="C692" s="2">
        <v>810997</v>
      </c>
      <c r="D692" s="8">
        <v>8.0632999999999996E-4</v>
      </c>
    </row>
    <row r="693" spans="1:4" x14ac:dyDescent="0.2">
      <c r="A693" s="1">
        <v>2018</v>
      </c>
      <c r="B693" s="1" t="s">
        <v>1845</v>
      </c>
      <c r="C693" s="2">
        <v>29301</v>
      </c>
      <c r="D693" s="8">
        <v>2.9130000000000001E-5</v>
      </c>
    </row>
    <row r="694" spans="1:4" x14ac:dyDescent="0.2">
      <c r="A694" s="1">
        <v>2018</v>
      </c>
      <c r="B694" s="1" t="s">
        <v>1846</v>
      </c>
      <c r="C694" s="2">
        <v>29686</v>
      </c>
      <c r="D694" s="8">
        <v>2.9519999999999999E-5</v>
      </c>
    </row>
    <row r="695" spans="1:4" x14ac:dyDescent="0.2">
      <c r="A695" s="1">
        <v>2018</v>
      </c>
      <c r="B695" s="1" t="s">
        <v>1847</v>
      </c>
      <c r="C695" s="2">
        <v>2086569</v>
      </c>
      <c r="D695" s="8">
        <v>2.07456E-3</v>
      </c>
    </row>
    <row r="696" spans="1:4" x14ac:dyDescent="0.2">
      <c r="A696" s="1">
        <v>2018</v>
      </c>
      <c r="B696" s="1" t="s">
        <v>1848</v>
      </c>
      <c r="C696" s="2">
        <v>33442</v>
      </c>
      <c r="D696" s="8">
        <v>3.3250000000000002E-5</v>
      </c>
    </row>
    <row r="697" spans="1:4" x14ac:dyDescent="0.2">
      <c r="A697" s="1">
        <v>2018</v>
      </c>
      <c r="B697" s="1" t="s">
        <v>1849</v>
      </c>
      <c r="C697" s="2">
        <v>25247</v>
      </c>
      <c r="D697" s="8">
        <v>2.51E-5</v>
      </c>
    </row>
    <row r="698" spans="1:4" x14ac:dyDescent="0.2">
      <c r="A698" s="1">
        <v>2018</v>
      </c>
      <c r="B698" s="1" t="s">
        <v>1850</v>
      </c>
      <c r="C698" s="2">
        <v>3494889</v>
      </c>
      <c r="D698" s="8">
        <v>3.4747799999999998E-3</v>
      </c>
    </row>
    <row r="699" spans="1:4" x14ac:dyDescent="0.2">
      <c r="A699" s="1">
        <v>2018</v>
      </c>
      <c r="B699" s="1" t="s">
        <v>1851</v>
      </c>
      <c r="C699" s="2">
        <v>1467503</v>
      </c>
      <c r="D699" s="8">
        <v>1.4590600000000001E-3</v>
      </c>
    </row>
    <row r="700" spans="1:4" x14ac:dyDescent="0.2">
      <c r="A700" s="1">
        <v>2018</v>
      </c>
      <c r="B700" s="1" t="s">
        <v>1852</v>
      </c>
      <c r="C700" s="2">
        <v>2199740</v>
      </c>
      <c r="D700" s="8">
        <v>2.1870800000000001E-3</v>
      </c>
    </row>
    <row r="701" spans="1:4" x14ac:dyDescent="0.2">
      <c r="A701" s="1">
        <v>2018</v>
      </c>
      <c r="B701" s="1" t="s">
        <v>1853</v>
      </c>
      <c r="C701" s="2">
        <v>3380885</v>
      </c>
      <c r="D701" s="8">
        <v>3.3614299999999999E-3</v>
      </c>
    </row>
    <row r="702" spans="1:4" x14ac:dyDescent="0.2">
      <c r="A702" s="1">
        <v>2018</v>
      </c>
      <c r="B702" s="1" t="s">
        <v>1854</v>
      </c>
      <c r="C702" s="2">
        <v>23846</v>
      </c>
      <c r="D702" s="8">
        <v>2.3710000000000002E-5</v>
      </c>
    </row>
    <row r="703" spans="1:4" x14ac:dyDescent="0.2">
      <c r="A703" s="1">
        <v>2018</v>
      </c>
      <c r="B703" s="1" t="s">
        <v>1855</v>
      </c>
      <c r="C703" s="2">
        <v>1469109</v>
      </c>
      <c r="D703" s="8">
        <v>1.46065E-3</v>
      </c>
    </row>
    <row r="704" spans="1:4" x14ac:dyDescent="0.2">
      <c r="A704" s="1">
        <v>2018</v>
      </c>
      <c r="B704" s="1" t="s">
        <v>1856</v>
      </c>
      <c r="C704" s="2">
        <v>394094</v>
      </c>
      <c r="D704" s="8">
        <v>3.9183000000000002E-4</v>
      </c>
    </row>
    <row r="705" spans="1:4" x14ac:dyDescent="0.2">
      <c r="A705" s="1">
        <v>2018</v>
      </c>
      <c r="B705" s="1" t="s">
        <v>1857</v>
      </c>
      <c r="C705" s="2">
        <v>50104</v>
      </c>
      <c r="D705" s="8">
        <v>4.9820000000000001E-5</v>
      </c>
    </row>
    <row r="706" spans="1:4" x14ac:dyDescent="0.2">
      <c r="A706" s="1">
        <v>2018</v>
      </c>
      <c r="B706" s="1" t="s">
        <v>1858</v>
      </c>
      <c r="C706" s="2">
        <v>4663688</v>
      </c>
      <c r="D706" s="8">
        <v>4.6368499999999997E-3</v>
      </c>
    </row>
    <row r="707" spans="1:4" x14ac:dyDescent="0.2">
      <c r="A707" s="1">
        <v>2018</v>
      </c>
      <c r="B707" s="1" t="s">
        <v>1859</v>
      </c>
      <c r="C707" s="2">
        <v>417367</v>
      </c>
      <c r="D707" s="8">
        <v>4.1497000000000002E-4</v>
      </c>
    </row>
    <row r="708" spans="1:4" x14ac:dyDescent="0.2">
      <c r="A708" s="1">
        <v>2018</v>
      </c>
      <c r="B708" s="1" t="s">
        <v>1860</v>
      </c>
      <c r="C708" s="2">
        <v>20476</v>
      </c>
      <c r="D708" s="8">
        <v>2.0360000000000002E-5</v>
      </c>
    </row>
    <row r="709" spans="1:4" x14ac:dyDescent="0.2">
      <c r="A709" s="1">
        <v>2018</v>
      </c>
      <c r="B709" s="1" t="s">
        <v>1861</v>
      </c>
      <c r="C709" s="2">
        <v>55737</v>
      </c>
      <c r="D709" s="8">
        <v>5.5420000000000001E-5</v>
      </c>
    </row>
    <row r="710" spans="1:4" x14ac:dyDescent="0.2">
      <c r="A710" s="1">
        <v>2018</v>
      </c>
      <c r="B710" s="1" t="s">
        <v>1862</v>
      </c>
      <c r="C710" s="2">
        <v>10928433</v>
      </c>
      <c r="D710" s="8">
        <v>1.086554E-2</v>
      </c>
    </row>
    <row r="711" spans="1:4" x14ac:dyDescent="0.2">
      <c r="A711" s="1">
        <v>2018</v>
      </c>
      <c r="B711" s="1" t="s">
        <v>1863</v>
      </c>
      <c r="C711" s="2">
        <v>428296</v>
      </c>
      <c r="D711" s="8">
        <v>4.2582999999999998E-4</v>
      </c>
    </row>
    <row r="712" spans="1:4" x14ac:dyDescent="0.2">
      <c r="A712" s="1">
        <v>2018</v>
      </c>
      <c r="B712" s="1" t="s">
        <v>1864</v>
      </c>
      <c r="C712" s="2">
        <v>1098848</v>
      </c>
      <c r="D712" s="8">
        <v>1.09252E-3</v>
      </c>
    </row>
    <row r="713" spans="1:4" x14ac:dyDescent="0.2">
      <c r="A713" s="1">
        <v>2018</v>
      </c>
      <c r="B713" s="1" t="s">
        <v>1865</v>
      </c>
      <c r="C713" s="2">
        <v>37386</v>
      </c>
      <c r="D713" s="8">
        <v>3.7169999999999998E-5</v>
      </c>
    </row>
    <row r="714" spans="1:4" x14ac:dyDescent="0.2">
      <c r="A714" s="1">
        <v>2018</v>
      </c>
      <c r="B714" s="1" t="s">
        <v>1866</v>
      </c>
      <c r="C714" s="2">
        <v>89040</v>
      </c>
      <c r="D714" s="8">
        <v>8.8529999999999994E-5</v>
      </c>
    </row>
    <row r="715" spans="1:4" x14ac:dyDescent="0.2">
      <c r="A715" s="1">
        <v>2018</v>
      </c>
      <c r="B715" s="1" t="s">
        <v>1867</v>
      </c>
      <c r="C715" s="2">
        <v>2548206</v>
      </c>
      <c r="D715" s="8">
        <v>2.5335399999999999E-3</v>
      </c>
    </row>
    <row r="716" spans="1:4" x14ac:dyDescent="0.2">
      <c r="A716" s="1">
        <v>2018</v>
      </c>
      <c r="B716" s="1" t="s">
        <v>1868</v>
      </c>
      <c r="C716" s="2">
        <v>2046592</v>
      </c>
      <c r="D716" s="8">
        <v>2.0348100000000002E-3</v>
      </c>
    </row>
    <row r="717" spans="1:4" x14ac:dyDescent="0.2">
      <c r="A717" s="1">
        <v>2018</v>
      </c>
      <c r="B717" s="1" t="s">
        <v>1869</v>
      </c>
      <c r="C717" s="2">
        <v>12321</v>
      </c>
      <c r="D717" s="8">
        <v>1.225E-5</v>
      </c>
    </row>
    <row r="718" spans="1:4" x14ac:dyDescent="0.2">
      <c r="A718" s="1">
        <v>2018</v>
      </c>
      <c r="B718" s="1" t="s">
        <v>1870</v>
      </c>
      <c r="C718" s="2">
        <v>744947</v>
      </c>
      <c r="D718" s="8">
        <v>7.4065999999999997E-4</v>
      </c>
    </row>
    <row r="719" spans="1:4" x14ac:dyDescent="0.2">
      <c r="A719" s="1">
        <v>2018</v>
      </c>
      <c r="B719" s="1" t="s">
        <v>1871</v>
      </c>
      <c r="C719" s="2">
        <v>2835</v>
      </c>
      <c r="D719" s="8">
        <v>2.8200000000000001E-6</v>
      </c>
    </row>
    <row r="720" spans="1:4" x14ac:dyDescent="0.2">
      <c r="A720" s="1">
        <v>2018</v>
      </c>
      <c r="B720" s="1" t="s">
        <v>1872</v>
      </c>
      <c r="C720" s="2">
        <v>42594</v>
      </c>
      <c r="D720" s="8">
        <v>4.2349999999999999E-5</v>
      </c>
    </row>
    <row r="721" spans="1:4" x14ac:dyDescent="0.2">
      <c r="A721" s="1">
        <v>2018</v>
      </c>
      <c r="B721" s="1" t="s">
        <v>1873</v>
      </c>
      <c r="C721" s="2">
        <v>13777</v>
      </c>
      <c r="D721" s="8">
        <v>1.3699999999999999E-5</v>
      </c>
    </row>
    <row r="722" spans="1:4" x14ac:dyDescent="0.2">
      <c r="A722" s="1">
        <v>2018</v>
      </c>
      <c r="B722" s="1" t="s">
        <v>1874</v>
      </c>
      <c r="C722" s="2">
        <v>1985</v>
      </c>
      <c r="D722" s="8">
        <v>1.9700000000000002E-6</v>
      </c>
    </row>
    <row r="723" spans="1:4" x14ac:dyDescent="0.2">
      <c r="A723" s="1">
        <v>2018</v>
      </c>
      <c r="B723" s="1" t="s">
        <v>1875</v>
      </c>
      <c r="C723" s="2">
        <v>66351</v>
      </c>
      <c r="D723" s="8">
        <v>6.5969999999999993E-5</v>
      </c>
    </row>
    <row r="724" spans="1:4" x14ac:dyDescent="0.2">
      <c r="A724" s="1">
        <v>2018</v>
      </c>
      <c r="B724" s="1" t="s">
        <v>1876</v>
      </c>
      <c r="C724" s="2">
        <v>28715</v>
      </c>
      <c r="D724" s="8">
        <v>2.8549999999999999E-5</v>
      </c>
    </row>
    <row r="725" spans="1:4" x14ac:dyDescent="0.2">
      <c r="A725" s="1">
        <v>2018</v>
      </c>
      <c r="B725" s="1" t="s">
        <v>1877</v>
      </c>
      <c r="C725" s="2">
        <v>70000</v>
      </c>
      <c r="D725" s="8">
        <v>6.9599999999999998E-5</v>
      </c>
    </row>
    <row r="726" spans="1:4" x14ac:dyDescent="0.2">
      <c r="A726" s="1">
        <v>2018</v>
      </c>
      <c r="B726" s="1" t="s">
        <v>1878</v>
      </c>
      <c r="C726" s="2">
        <v>26051</v>
      </c>
      <c r="D726" s="8">
        <v>2.5899999999999999E-5</v>
      </c>
    </row>
    <row r="727" spans="1:4" x14ac:dyDescent="0.2">
      <c r="A727" s="1">
        <v>2018</v>
      </c>
      <c r="B727" s="1" t="s">
        <v>1879</v>
      </c>
      <c r="C727" s="2">
        <v>728603</v>
      </c>
      <c r="D727" s="8">
        <v>7.2440999999999998E-4</v>
      </c>
    </row>
    <row r="728" spans="1:4" x14ac:dyDescent="0.2">
      <c r="A728" s="1">
        <v>2018</v>
      </c>
      <c r="B728" s="1" t="s">
        <v>1880</v>
      </c>
      <c r="C728" s="2">
        <v>3288324</v>
      </c>
      <c r="D728" s="8">
        <v>3.2694E-3</v>
      </c>
    </row>
    <row r="729" spans="1:4" x14ac:dyDescent="0.2">
      <c r="A729" s="1">
        <v>2018</v>
      </c>
      <c r="B729" s="1" t="s">
        <v>1881</v>
      </c>
      <c r="C729" s="2">
        <v>46733</v>
      </c>
      <c r="D729" s="8">
        <v>4.6459999999999999E-5</v>
      </c>
    </row>
    <row r="730" spans="1:4" x14ac:dyDescent="0.2">
      <c r="A730" s="1">
        <v>2018</v>
      </c>
      <c r="B730" s="1" t="s">
        <v>1882</v>
      </c>
      <c r="C730" s="2">
        <v>3629</v>
      </c>
      <c r="D730" s="8">
        <v>3.6100000000000002E-6</v>
      </c>
    </row>
    <row r="731" spans="1:4" x14ac:dyDescent="0.2">
      <c r="A731" s="1">
        <v>2018</v>
      </c>
      <c r="B731" s="1" t="s">
        <v>1883</v>
      </c>
      <c r="C731" s="2">
        <v>1761984</v>
      </c>
      <c r="D731" s="8">
        <v>1.75184E-3</v>
      </c>
    </row>
    <row r="732" spans="1:4" x14ac:dyDescent="0.2">
      <c r="A732" s="1">
        <v>2018</v>
      </c>
      <c r="B732" s="1" t="s">
        <v>1884</v>
      </c>
      <c r="C732" s="2">
        <v>1499956</v>
      </c>
      <c r="D732" s="8">
        <v>1.49132E-3</v>
      </c>
    </row>
    <row r="733" spans="1:4" x14ac:dyDescent="0.2">
      <c r="A733" s="1">
        <v>2018</v>
      </c>
      <c r="B733" s="1" t="s">
        <v>1885</v>
      </c>
      <c r="C733" s="2">
        <v>375565</v>
      </c>
      <c r="D733" s="8">
        <v>3.7340000000000002E-4</v>
      </c>
    </row>
    <row r="734" spans="1:4" x14ac:dyDescent="0.2">
      <c r="A734" s="1">
        <v>2018</v>
      </c>
      <c r="B734" s="1" t="s">
        <v>1886</v>
      </c>
      <c r="C734" s="2">
        <v>455113</v>
      </c>
      <c r="D734" s="8">
        <v>4.5249E-4</v>
      </c>
    </row>
    <row r="735" spans="1:4" x14ac:dyDescent="0.2">
      <c r="A735" s="1">
        <v>2018</v>
      </c>
      <c r="B735" s="1" t="s">
        <v>1887</v>
      </c>
      <c r="C735" s="2">
        <v>8218</v>
      </c>
      <c r="D735" s="8">
        <v>8.1699999999999997E-6</v>
      </c>
    </row>
    <row r="736" spans="1:4" x14ac:dyDescent="0.2">
      <c r="A736" s="1">
        <v>2018</v>
      </c>
      <c r="B736" s="1" t="s">
        <v>1888</v>
      </c>
      <c r="C736" s="2">
        <v>2557</v>
      </c>
      <c r="D736" s="8">
        <v>2.5399999999999998E-6</v>
      </c>
    </row>
    <row r="737" spans="1:4" x14ac:dyDescent="0.2">
      <c r="A737" s="1">
        <v>2018</v>
      </c>
      <c r="B737" s="1" t="s">
        <v>1889</v>
      </c>
      <c r="C737" s="2">
        <v>1653738</v>
      </c>
      <c r="D737" s="8">
        <v>1.6442200000000001E-3</v>
      </c>
    </row>
    <row r="738" spans="1:4" x14ac:dyDescent="0.2">
      <c r="A738" s="1">
        <v>2018</v>
      </c>
      <c r="B738" s="1" t="s">
        <v>1890</v>
      </c>
      <c r="C738" s="2">
        <v>897662</v>
      </c>
      <c r="D738" s="8">
        <v>8.9249999999999996E-4</v>
      </c>
    </row>
    <row r="739" spans="1:4" x14ac:dyDescent="0.2">
      <c r="A739" s="1">
        <v>2018</v>
      </c>
      <c r="B739" s="1" t="s">
        <v>1891</v>
      </c>
      <c r="C739" s="2">
        <v>104196</v>
      </c>
      <c r="D739" s="8">
        <v>1.036E-4</v>
      </c>
    </row>
    <row r="740" spans="1:4" x14ac:dyDescent="0.2">
      <c r="A740" s="1">
        <v>2018</v>
      </c>
      <c r="B740" s="1" t="s">
        <v>1892</v>
      </c>
      <c r="C740" s="2">
        <v>56371</v>
      </c>
      <c r="D740" s="8">
        <v>5.605E-5</v>
      </c>
    </row>
    <row r="741" spans="1:4" x14ac:dyDescent="0.2">
      <c r="A741" s="1">
        <v>2018</v>
      </c>
      <c r="B741" s="1" t="s">
        <v>1893</v>
      </c>
      <c r="C741" s="2">
        <v>20428</v>
      </c>
      <c r="D741" s="8">
        <v>2.031E-5</v>
      </c>
    </row>
    <row r="742" spans="1:4" x14ac:dyDescent="0.2">
      <c r="A742" s="1">
        <v>2018</v>
      </c>
      <c r="B742" s="1" t="s">
        <v>1894</v>
      </c>
      <c r="C742" s="2">
        <v>37644</v>
      </c>
      <c r="D742" s="8">
        <v>3.7429999999999999E-5</v>
      </c>
    </row>
    <row r="743" spans="1:4" x14ac:dyDescent="0.2">
      <c r="A743" s="1">
        <v>2018</v>
      </c>
      <c r="B743" s="1" t="s">
        <v>1895</v>
      </c>
      <c r="C743" s="2">
        <v>493798</v>
      </c>
      <c r="D743" s="8">
        <v>4.9096000000000003E-4</v>
      </c>
    </row>
    <row r="744" spans="1:4" x14ac:dyDescent="0.2">
      <c r="A744" s="1">
        <v>2018</v>
      </c>
      <c r="B744" s="1" t="s">
        <v>1896</v>
      </c>
      <c r="C744" s="2">
        <v>900456</v>
      </c>
      <c r="D744" s="8">
        <v>8.9526999999999999E-4</v>
      </c>
    </row>
    <row r="745" spans="1:4" x14ac:dyDescent="0.2">
      <c r="A745" s="1">
        <v>2018</v>
      </c>
      <c r="B745" s="1" t="s">
        <v>1897</v>
      </c>
      <c r="C745" s="2">
        <v>516379</v>
      </c>
      <c r="D745" s="8">
        <v>5.1340999999999995E-4</v>
      </c>
    </row>
    <row r="746" spans="1:4" x14ac:dyDescent="0.2">
      <c r="A746" s="1">
        <v>2018</v>
      </c>
      <c r="B746" s="1" t="s">
        <v>1898</v>
      </c>
      <c r="C746" s="2">
        <v>2468961</v>
      </c>
      <c r="D746" s="8">
        <v>2.4547499999999999E-3</v>
      </c>
    </row>
    <row r="747" spans="1:4" x14ac:dyDescent="0.2">
      <c r="A747" s="1">
        <v>2018</v>
      </c>
      <c r="B747" s="1" t="s">
        <v>1899</v>
      </c>
      <c r="C747" s="2">
        <v>31607</v>
      </c>
      <c r="D747" s="8">
        <v>3.1420000000000001E-5</v>
      </c>
    </row>
    <row r="748" spans="1:4" x14ac:dyDescent="0.2">
      <c r="A748" s="1">
        <v>2018</v>
      </c>
      <c r="B748" s="1" t="s">
        <v>1900</v>
      </c>
      <c r="C748" s="2">
        <v>32853</v>
      </c>
      <c r="D748" s="8">
        <v>3.2660000000000002E-5</v>
      </c>
    </row>
    <row r="749" spans="1:4" x14ac:dyDescent="0.2">
      <c r="A749" s="1">
        <v>2018</v>
      </c>
      <c r="B749" s="1" t="s">
        <v>1901</v>
      </c>
      <c r="C749" s="2">
        <v>96823</v>
      </c>
      <c r="D749" s="8">
        <v>9.6269999999999998E-5</v>
      </c>
    </row>
    <row r="750" spans="1:4" x14ac:dyDescent="0.2">
      <c r="A750" s="1">
        <v>2018</v>
      </c>
      <c r="B750" s="1" t="s">
        <v>1902</v>
      </c>
      <c r="C750" s="2">
        <v>3223</v>
      </c>
      <c r="D750" s="8">
        <v>3.1999999999999999E-6</v>
      </c>
    </row>
    <row r="751" spans="1:4" x14ac:dyDescent="0.2">
      <c r="A751" s="1">
        <v>2018</v>
      </c>
      <c r="B751" s="1" t="s">
        <v>1903</v>
      </c>
      <c r="C751" s="2">
        <v>27322</v>
      </c>
      <c r="D751" s="8">
        <v>2.7160000000000001E-5</v>
      </c>
    </row>
    <row r="752" spans="1:4" x14ac:dyDescent="0.2">
      <c r="A752" s="1">
        <v>2018</v>
      </c>
      <c r="B752" s="1" t="s">
        <v>1904</v>
      </c>
      <c r="C752" s="2">
        <v>4038</v>
      </c>
      <c r="D752" s="8">
        <v>4.0199999999999996E-6</v>
      </c>
    </row>
    <row r="753" spans="1:4" x14ac:dyDescent="0.2">
      <c r="A753" s="1">
        <v>2018</v>
      </c>
      <c r="B753" s="1" t="s">
        <v>1905</v>
      </c>
      <c r="C753" s="2">
        <v>10827</v>
      </c>
      <c r="D753" s="8">
        <v>1.076E-5</v>
      </c>
    </row>
    <row r="754" spans="1:4" x14ac:dyDescent="0.2">
      <c r="A754" s="1">
        <v>2018</v>
      </c>
      <c r="B754" s="1" t="s">
        <v>1906</v>
      </c>
      <c r="C754" s="2">
        <v>25271</v>
      </c>
      <c r="D754" s="8">
        <v>2.5130000000000002E-5</v>
      </c>
    </row>
    <row r="755" spans="1:4" x14ac:dyDescent="0.2">
      <c r="A755" s="1">
        <v>2018</v>
      </c>
      <c r="B755" s="1" t="s">
        <v>1907</v>
      </c>
      <c r="C755" s="1">
        <v>926</v>
      </c>
      <c r="D755" s="8">
        <v>9.1999999999999998E-7</v>
      </c>
    </row>
    <row r="756" spans="1:4" x14ac:dyDescent="0.2">
      <c r="A756" s="1">
        <v>2018</v>
      </c>
      <c r="B756" s="1" t="s">
        <v>1908</v>
      </c>
      <c r="C756" s="2">
        <v>19035</v>
      </c>
      <c r="D756" s="8">
        <v>1.893E-5</v>
      </c>
    </row>
    <row r="757" spans="1:4" x14ac:dyDescent="0.2">
      <c r="A757" s="1">
        <v>2018</v>
      </c>
      <c r="B757" s="1" t="s">
        <v>1909</v>
      </c>
      <c r="C757" s="2">
        <v>25346</v>
      </c>
      <c r="D757" s="8">
        <v>2.5199999999999999E-5</v>
      </c>
    </row>
    <row r="758" spans="1:4" x14ac:dyDescent="0.2">
      <c r="A758" s="1">
        <v>2018</v>
      </c>
      <c r="B758" s="1" t="s">
        <v>1910</v>
      </c>
      <c r="C758" s="2">
        <v>5150</v>
      </c>
      <c r="D758" s="8">
        <v>5.1200000000000001E-6</v>
      </c>
    </row>
    <row r="759" spans="1:4" x14ac:dyDescent="0.2">
      <c r="A759" s="1">
        <v>2018</v>
      </c>
      <c r="B759" s="1" t="s">
        <v>1911</v>
      </c>
      <c r="C759" s="2">
        <v>20334</v>
      </c>
      <c r="D759" s="8">
        <v>2.022E-5</v>
      </c>
    </row>
    <row r="760" spans="1:4" x14ac:dyDescent="0.2">
      <c r="A760" s="1">
        <v>2018</v>
      </c>
      <c r="B760" s="1" t="s">
        <v>1912</v>
      </c>
      <c r="C760" s="2">
        <v>3642</v>
      </c>
      <c r="D760" s="8">
        <v>3.6200000000000001E-6</v>
      </c>
    </row>
    <row r="761" spans="1:4" x14ac:dyDescent="0.2">
      <c r="A761" s="1">
        <v>2018</v>
      </c>
      <c r="B761" s="1" t="s">
        <v>1913</v>
      </c>
      <c r="C761" s="2">
        <v>14714</v>
      </c>
      <c r="D761" s="8">
        <v>1.4630000000000001E-5</v>
      </c>
    </row>
    <row r="762" spans="1:4" x14ac:dyDescent="0.2">
      <c r="A762" s="1">
        <v>2018</v>
      </c>
      <c r="B762" s="1" t="s">
        <v>1914</v>
      </c>
      <c r="C762" s="2">
        <v>10578</v>
      </c>
      <c r="D762" s="8">
        <v>1.0519999999999999E-5</v>
      </c>
    </row>
    <row r="763" spans="1:4" x14ac:dyDescent="0.2">
      <c r="A763" s="1">
        <v>2018</v>
      </c>
      <c r="B763" s="1" t="s">
        <v>1915</v>
      </c>
      <c r="C763" s="2">
        <v>13152</v>
      </c>
      <c r="D763" s="8">
        <v>1.308E-5</v>
      </c>
    </row>
    <row r="764" spans="1:4" x14ac:dyDescent="0.2">
      <c r="A764" s="1">
        <v>2018</v>
      </c>
      <c r="B764" s="1" t="s">
        <v>1916</v>
      </c>
      <c r="C764" s="2">
        <v>52546</v>
      </c>
      <c r="D764" s="8">
        <v>5.2240000000000001E-5</v>
      </c>
    </row>
    <row r="765" spans="1:4" x14ac:dyDescent="0.2">
      <c r="A765" s="1">
        <v>2018</v>
      </c>
      <c r="B765" s="1" t="s">
        <v>1917</v>
      </c>
      <c r="C765" s="1">
        <v>386</v>
      </c>
      <c r="D765" s="8">
        <v>3.8000000000000001E-7</v>
      </c>
    </row>
    <row r="766" spans="1:4" x14ac:dyDescent="0.2">
      <c r="A766" s="1">
        <v>2018</v>
      </c>
      <c r="B766" s="1" t="s">
        <v>1918</v>
      </c>
      <c r="C766" s="2">
        <v>294098</v>
      </c>
      <c r="D766" s="8">
        <v>2.9241E-4</v>
      </c>
    </row>
    <row r="767" spans="1:4" x14ac:dyDescent="0.2">
      <c r="A767" s="1">
        <v>2018</v>
      </c>
      <c r="B767" s="1" t="s">
        <v>1919</v>
      </c>
      <c r="C767" s="2">
        <v>11145</v>
      </c>
      <c r="D767" s="8">
        <v>1.1080000000000001E-5</v>
      </c>
    </row>
    <row r="768" spans="1:4" x14ac:dyDescent="0.2">
      <c r="A768" s="1">
        <v>2018</v>
      </c>
      <c r="B768" s="1" t="s">
        <v>1920</v>
      </c>
      <c r="C768" s="2">
        <v>2399457</v>
      </c>
      <c r="D768" s="8">
        <v>2.38565E-3</v>
      </c>
    </row>
    <row r="769" spans="1:4" x14ac:dyDescent="0.2">
      <c r="A769" s="1">
        <v>2018</v>
      </c>
      <c r="B769" s="1" t="s">
        <v>1921</v>
      </c>
      <c r="C769" s="2">
        <v>55229</v>
      </c>
      <c r="D769" s="8">
        <v>5.4910000000000001E-5</v>
      </c>
    </row>
    <row r="770" spans="1:4" x14ac:dyDescent="0.2">
      <c r="A770" s="1">
        <v>2018</v>
      </c>
      <c r="B770" s="1" t="s">
        <v>1922</v>
      </c>
      <c r="C770" s="2">
        <v>2162858</v>
      </c>
      <c r="D770" s="8">
        <v>2.1504100000000002E-3</v>
      </c>
    </row>
    <row r="771" spans="1:4" x14ac:dyDescent="0.2">
      <c r="A771" s="1">
        <v>2018</v>
      </c>
      <c r="B771" s="1" t="s">
        <v>1923</v>
      </c>
      <c r="C771" s="2">
        <v>1731508</v>
      </c>
      <c r="D771" s="8">
        <v>1.7215399999999999E-3</v>
      </c>
    </row>
    <row r="772" spans="1:4" x14ac:dyDescent="0.2">
      <c r="A772" s="1">
        <v>2018</v>
      </c>
      <c r="B772" s="1" t="s">
        <v>1924</v>
      </c>
      <c r="C772" s="2">
        <v>101266</v>
      </c>
      <c r="D772" s="8">
        <v>1.0068000000000001E-4</v>
      </c>
    </row>
    <row r="773" spans="1:4" x14ac:dyDescent="0.2">
      <c r="A773" s="1">
        <v>2018</v>
      </c>
      <c r="B773" s="1" t="s">
        <v>1925</v>
      </c>
      <c r="C773" s="2">
        <v>184325</v>
      </c>
      <c r="D773" s="8">
        <v>1.8326E-4</v>
      </c>
    </row>
    <row r="774" spans="1:4" x14ac:dyDescent="0.2">
      <c r="A774" s="1">
        <v>2018</v>
      </c>
      <c r="B774" s="1" t="s">
        <v>1926</v>
      </c>
      <c r="C774" s="2">
        <v>54159</v>
      </c>
      <c r="D774" s="8">
        <v>5.3850000000000001E-5</v>
      </c>
    </row>
    <row r="775" spans="1:4" x14ac:dyDescent="0.2">
      <c r="A775" s="1">
        <v>2018</v>
      </c>
      <c r="B775" s="1" t="s">
        <v>1927</v>
      </c>
      <c r="C775" s="2">
        <v>2620532</v>
      </c>
      <c r="D775" s="8">
        <v>2.60545E-3</v>
      </c>
    </row>
    <row r="776" spans="1:4" x14ac:dyDescent="0.2">
      <c r="A776" s="1">
        <v>2018</v>
      </c>
      <c r="B776" s="1" t="s">
        <v>1928</v>
      </c>
      <c r="C776" s="2">
        <v>134657</v>
      </c>
      <c r="D776" s="8">
        <v>1.3388000000000001E-4</v>
      </c>
    </row>
    <row r="777" spans="1:4" x14ac:dyDescent="0.2">
      <c r="A777" s="1">
        <v>2018</v>
      </c>
      <c r="B777" s="1" t="s">
        <v>1929</v>
      </c>
      <c r="C777" s="2">
        <v>83396</v>
      </c>
      <c r="D777" s="8">
        <v>8.2919999999999999E-5</v>
      </c>
    </row>
    <row r="778" spans="1:4" x14ac:dyDescent="0.2">
      <c r="A778" s="1">
        <v>2018</v>
      </c>
      <c r="B778" s="1" t="s">
        <v>1930</v>
      </c>
      <c r="C778" s="2">
        <v>6104085</v>
      </c>
      <c r="D778" s="8">
        <v>6.06896E-3</v>
      </c>
    </row>
    <row r="779" spans="1:4" x14ac:dyDescent="0.2">
      <c r="A779" s="1">
        <v>2018</v>
      </c>
      <c r="B779" s="1" t="s">
        <v>1931</v>
      </c>
      <c r="C779" s="2">
        <v>556463</v>
      </c>
      <c r="D779" s="8">
        <v>5.5325999999999997E-4</v>
      </c>
    </row>
    <row r="780" spans="1:4" x14ac:dyDescent="0.2">
      <c r="A780" s="1">
        <v>2018</v>
      </c>
      <c r="B780" s="1" t="s">
        <v>1932</v>
      </c>
      <c r="C780" s="2">
        <v>77292</v>
      </c>
      <c r="D780" s="8">
        <v>7.6849999999999998E-5</v>
      </c>
    </row>
    <row r="781" spans="1:4" x14ac:dyDescent="0.2">
      <c r="A781" s="1">
        <v>2018</v>
      </c>
      <c r="B781" s="1" t="s">
        <v>1933</v>
      </c>
      <c r="C781" s="2">
        <v>97230</v>
      </c>
      <c r="D781" s="8">
        <v>9.6669999999999994E-5</v>
      </c>
    </row>
    <row r="782" spans="1:4" x14ac:dyDescent="0.2">
      <c r="A782" s="1">
        <v>2018</v>
      </c>
      <c r="B782" s="1" t="s">
        <v>1934</v>
      </c>
      <c r="C782" s="2">
        <v>85662</v>
      </c>
      <c r="D782" s="8">
        <v>8.5169999999999999E-5</v>
      </c>
    </row>
    <row r="783" spans="1:4" x14ac:dyDescent="0.2">
      <c r="A783" s="1">
        <v>2018</v>
      </c>
      <c r="B783" s="1" t="s">
        <v>1935</v>
      </c>
      <c r="C783" s="2">
        <v>2150815</v>
      </c>
      <c r="D783" s="8">
        <v>2.1384400000000001E-3</v>
      </c>
    </row>
    <row r="784" spans="1:4" x14ac:dyDescent="0.2">
      <c r="A784" s="1">
        <v>2018</v>
      </c>
      <c r="B784" s="1" t="s">
        <v>1936</v>
      </c>
      <c r="C784" s="2">
        <v>649998</v>
      </c>
      <c r="D784" s="8">
        <v>6.4625999999999996E-4</v>
      </c>
    </row>
    <row r="785" spans="1:4" x14ac:dyDescent="0.2">
      <c r="A785" s="1">
        <v>2018</v>
      </c>
      <c r="B785" s="1" t="s">
        <v>1937</v>
      </c>
      <c r="C785" s="2">
        <v>1831</v>
      </c>
      <c r="D785" s="8">
        <v>1.8199999999999999E-6</v>
      </c>
    </row>
    <row r="786" spans="1:4" x14ac:dyDescent="0.2">
      <c r="A786" s="1">
        <v>2018</v>
      </c>
      <c r="B786" s="1" t="s">
        <v>1938</v>
      </c>
      <c r="C786" s="2">
        <v>711285</v>
      </c>
      <c r="D786" s="8">
        <v>7.0719000000000001E-4</v>
      </c>
    </row>
    <row r="787" spans="1:4" x14ac:dyDescent="0.2">
      <c r="A787" s="1">
        <v>2018</v>
      </c>
      <c r="B787" s="1" t="s">
        <v>1939</v>
      </c>
      <c r="C787" s="2">
        <v>74520454</v>
      </c>
      <c r="D787" s="8">
        <v>7.4091599999999994E-2</v>
      </c>
    </row>
    <row r="788" spans="1:4" x14ac:dyDescent="0.2">
      <c r="A788" s="1">
        <v>2018</v>
      </c>
      <c r="B788" s="1" t="s">
        <v>1940</v>
      </c>
      <c r="C788" s="2">
        <v>19671339</v>
      </c>
      <c r="D788" s="8">
        <v>1.955813E-2</v>
      </c>
    </row>
    <row r="789" spans="1:4" x14ac:dyDescent="0.2">
      <c r="A789" s="1">
        <v>2018</v>
      </c>
      <c r="B789" s="1" t="s">
        <v>1941</v>
      </c>
      <c r="C789" s="2">
        <v>13572610</v>
      </c>
      <c r="D789" s="8">
        <v>1.34945E-2</v>
      </c>
    </row>
    <row r="790" spans="1:4" x14ac:dyDescent="0.2">
      <c r="A790" s="1">
        <v>2018</v>
      </c>
      <c r="B790" s="1" t="s">
        <v>1942</v>
      </c>
      <c r="C790" s="2">
        <v>142774</v>
      </c>
      <c r="D790" s="8">
        <v>1.4195000000000001E-4</v>
      </c>
    </row>
    <row r="791" spans="1:4" x14ac:dyDescent="0.2">
      <c r="A791" s="1">
        <v>2018</v>
      </c>
      <c r="B791" s="1" t="s">
        <v>1943</v>
      </c>
      <c r="C791" s="2">
        <v>33695</v>
      </c>
      <c r="D791" s="8">
        <v>3.3500000000000001E-5</v>
      </c>
    </row>
    <row r="792" spans="1:4" x14ac:dyDescent="0.2">
      <c r="A792" s="1">
        <v>2018</v>
      </c>
      <c r="B792" s="1" t="s">
        <v>1944</v>
      </c>
      <c r="C792" s="2">
        <v>43487</v>
      </c>
      <c r="D792" s="8">
        <v>4.3239999999999999E-5</v>
      </c>
    </row>
    <row r="793" spans="1:4" x14ac:dyDescent="0.2">
      <c r="A793" s="1">
        <v>2018</v>
      </c>
      <c r="B793" s="1" t="s">
        <v>1945</v>
      </c>
      <c r="C793" s="2">
        <v>102265</v>
      </c>
      <c r="D793" s="8">
        <v>1.0168E-4</v>
      </c>
    </row>
    <row r="794" spans="1:4" x14ac:dyDescent="0.2">
      <c r="A794" s="1">
        <v>2018</v>
      </c>
      <c r="B794" s="1" t="s">
        <v>1946</v>
      </c>
      <c r="C794" s="2">
        <v>137883</v>
      </c>
      <c r="D794" s="8">
        <v>1.3709E-4</v>
      </c>
    </row>
    <row r="795" spans="1:4" x14ac:dyDescent="0.2">
      <c r="A795" s="1">
        <v>2018</v>
      </c>
      <c r="B795" s="1" t="s">
        <v>1947</v>
      </c>
      <c r="C795" s="2">
        <v>60746</v>
      </c>
      <c r="D795" s="8">
        <v>6.0399999999999998E-5</v>
      </c>
    </row>
    <row r="796" spans="1:4" x14ac:dyDescent="0.2">
      <c r="A796" s="1">
        <v>2018</v>
      </c>
      <c r="B796" s="1" t="s">
        <v>1948</v>
      </c>
      <c r="C796" s="2">
        <v>2550296</v>
      </c>
      <c r="D796" s="8">
        <v>2.5356200000000001E-3</v>
      </c>
    </row>
    <row r="797" spans="1:4" x14ac:dyDescent="0.2">
      <c r="A797" s="1">
        <v>2018</v>
      </c>
      <c r="B797" s="1" t="s">
        <v>1949</v>
      </c>
      <c r="C797" s="2">
        <v>53935</v>
      </c>
      <c r="D797" s="8">
        <v>5.3619999999999998E-5</v>
      </c>
    </row>
    <row r="798" spans="1:4" x14ac:dyDescent="0.2">
      <c r="A798" s="1">
        <v>2018</v>
      </c>
      <c r="B798" s="1" t="s">
        <v>1950</v>
      </c>
      <c r="C798" s="2">
        <v>84327</v>
      </c>
      <c r="D798" s="8">
        <v>8.3839999999999997E-5</v>
      </c>
    </row>
    <row r="799" spans="1:4" x14ac:dyDescent="0.2">
      <c r="A799" s="1">
        <v>2018</v>
      </c>
      <c r="B799" s="1" t="s">
        <v>1951</v>
      </c>
      <c r="C799" s="2">
        <v>6591304</v>
      </c>
      <c r="D799" s="8">
        <v>6.5533700000000002E-3</v>
      </c>
    </row>
    <row r="800" spans="1:4" x14ac:dyDescent="0.2">
      <c r="A800" s="1">
        <v>2018</v>
      </c>
      <c r="B800" s="1" t="s">
        <v>1952</v>
      </c>
      <c r="C800" s="2">
        <v>51044</v>
      </c>
      <c r="D800" s="8">
        <v>5.075E-5</v>
      </c>
    </row>
    <row r="801" spans="1:4" x14ac:dyDescent="0.2">
      <c r="A801" s="1">
        <v>2018</v>
      </c>
      <c r="B801" s="1" t="s">
        <v>1953</v>
      </c>
      <c r="C801" s="2">
        <v>46400</v>
      </c>
      <c r="D801" s="8">
        <v>4.613E-5</v>
      </c>
    </row>
    <row r="802" spans="1:4" x14ac:dyDescent="0.2">
      <c r="A802" s="1">
        <v>2018</v>
      </c>
      <c r="B802" s="1" t="s">
        <v>1954</v>
      </c>
      <c r="C802" s="2">
        <v>393182</v>
      </c>
      <c r="D802" s="8">
        <v>3.9092E-4</v>
      </c>
    </row>
    <row r="803" spans="1:4" x14ac:dyDescent="0.2">
      <c r="A803" s="1">
        <v>2018</v>
      </c>
      <c r="B803" s="1" t="s">
        <v>1955</v>
      </c>
      <c r="C803" s="2">
        <v>3676</v>
      </c>
      <c r="D803" s="8">
        <v>3.6500000000000002E-6</v>
      </c>
    </row>
    <row r="804" spans="1:4" x14ac:dyDescent="0.2">
      <c r="A804" s="1">
        <v>2018</v>
      </c>
      <c r="B804" s="1" t="s">
        <v>1956</v>
      </c>
      <c r="C804" s="2">
        <v>1509484</v>
      </c>
      <c r="D804" s="8">
        <v>1.5008000000000001E-3</v>
      </c>
    </row>
    <row r="805" spans="1:4" x14ac:dyDescent="0.2">
      <c r="A805" s="1">
        <v>2018</v>
      </c>
      <c r="B805" s="1" t="s">
        <v>1957</v>
      </c>
      <c r="C805" s="2">
        <v>1118</v>
      </c>
      <c r="D805" s="8">
        <v>1.11E-6</v>
      </c>
    </row>
    <row r="806" spans="1:4" x14ac:dyDescent="0.2">
      <c r="A806" s="1">
        <v>2018</v>
      </c>
      <c r="B806" s="1" t="s">
        <v>1958</v>
      </c>
      <c r="C806" s="2">
        <v>1585352</v>
      </c>
      <c r="D806" s="8">
        <v>1.5762300000000001E-3</v>
      </c>
    </row>
    <row r="807" spans="1:4" x14ac:dyDescent="0.2">
      <c r="A807" s="1">
        <v>2018</v>
      </c>
      <c r="B807" s="1" t="s">
        <v>1959</v>
      </c>
      <c r="C807" s="2">
        <v>12423</v>
      </c>
      <c r="D807" s="8">
        <v>1.235E-5</v>
      </c>
    </row>
    <row r="808" spans="1:4" x14ac:dyDescent="0.2">
      <c r="A808" s="1">
        <v>2018</v>
      </c>
      <c r="B808" s="1" t="s">
        <v>1960</v>
      </c>
      <c r="C808" s="2">
        <v>37468</v>
      </c>
      <c r="D808" s="8">
        <v>3.7249999999999997E-5</v>
      </c>
    </row>
    <row r="809" spans="1:4" x14ac:dyDescent="0.2">
      <c r="A809" s="1">
        <v>2018</v>
      </c>
      <c r="B809" s="1" t="s">
        <v>1961</v>
      </c>
      <c r="C809" s="2">
        <v>1726991</v>
      </c>
      <c r="D809" s="8">
        <v>1.7170499999999999E-3</v>
      </c>
    </row>
    <row r="810" spans="1:4" x14ac:dyDescent="0.2">
      <c r="A810" s="1">
        <v>2018</v>
      </c>
      <c r="B810" s="1" t="s">
        <v>1962</v>
      </c>
      <c r="C810" s="2">
        <v>63629</v>
      </c>
      <c r="D810" s="8">
        <v>6.3260000000000001E-5</v>
      </c>
    </row>
    <row r="811" spans="1:4" x14ac:dyDescent="0.2">
      <c r="A811" s="1">
        <v>2018</v>
      </c>
      <c r="B811" s="1" t="s">
        <v>1963</v>
      </c>
      <c r="C811" s="2">
        <v>258943</v>
      </c>
      <c r="D811" s="8">
        <v>2.5745E-4</v>
      </c>
    </row>
    <row r="812" spans="1:4" x14ac:dyDescent="0.2">
      <c r="A812" s="1">
        <v>2018</v>
      </c>
      <c r="B812" s="1" t="s">
        <v>1964</v>
      </c>
      <c r="C812" s="2">
        <v>46448</v>
      </c>
      <c r="D812" s="8">
        <v>4.6180000000000002E-5</v>
      </c>
    </row>
    <row r="813" spans="1:4" x14ac:dyDescent="0.2">
      <c r="A813" s="1">
        <v>2018</v>
      </c>
      <c r="B813" s="1" t="s">
        <v>1965</v>
      </c>
      <c r="C813" s="2">
        <v>877346</v>
      </c>
      <c r="D813" s="8">
        <v>8.7230000000000001E-4</v>
      </c>
    </row>
    <row r="814" spans="1:4" x14ac:dyDescent="0.2">
      <c r="A814" s="1">
        <v>2018</v>
      </c>
      <c r="B814" s="1" t="s">
        <v>1966</v>
      </c>
      <c r="C814" s="2">
        <v>430404</v>
      </c>
      <c r="D814" s="8">
        <v>4.2792999999999998E-4</v>
      </c>
    </row>
    <row r="815" spans="1:4" x14ac:dyDescent="0.2">
      <c r="A815" s="1">
        <v>2018</v>
      </c>
      <c r="B815" s="1" t="s">
        <v>1967</v>
      </c>
      <c r="C815" s="2">
        <v>2955135</v>
      </c>
      <c r="D815" s="8">
        <v>2.9381300000000002E-3</v>
      </c>
    </row>
    <row r="816" spans="1:4" x14ac:dyDescent="0.2">
      <c r="A816" s="1">
        <v>2018</v>
      </c>
      <c r="B816" s="1" t="s">
        <v>1968</v>
      </c>
      <c r="C816" s="2">
        <v>672551</v>
      </c>
      <c r="D816" s="8">
        <v>6.6867999999999995E-4</v>
      </c>
    </row>
    <row r="817" spans="1:4" x14ac:dyDescent="0.2">
      <c r="A817" s="1">
        <v>2018</v>
      </c>
      <c r="B817" s="1" t="s">
        <v>1969</v>
      </c>
      <c r="C817" s="2">
        <v>13577</v>
      </c>
      <c r="D817" s="8">
        <v>1.3499999999999999E-5</v>
      </c>
    </row>
    <row r="818" spans="1:4" x14ac:dyDescent="0.2">
      <c r="A818" s="1">
        <v>2018</v>
      </c>
      <c r="B818" s="1" t="s">
        <v>1970</v>
      </c>
      <c r="C818" s="2">
        <v>3171</v>
      </c>
      <c r="D818" s="8">
        <v>3.1499999999999999E-6</v>
      </c>
    </row>
    <row r="819" spans="1:4" x14ac:dyDescent="0.2">
      <c r="A819" s="1">
        <v>2018</v>
      </c>
      <c r="B819" s="1" t="s">
        <v>1971</v>
      </c>
      <c r="C819" s="2">
        <v>277287</v>
      </c>
      <c r="D819" s="8">
        <v>2.7568999999999998E-4</v>
      </c>
    </row>
    <row r="820" spans="1:4" x14ac:dyDescent="0.2">
      <c r="A820" s="1">
        <v>2018</v>
      </c>
      <c r="B820" s="1" t="s">
        <v>1972</v>
      </c>
      <c r="C820" s="2">
        <v>14264</v>
      </c>
      <c r="D820" s="8">
        <v>1.418E-5</v>
      </c>
    </row>
    <row r="821" spans="1:4" x14ac:dyDescent="0.2">
      <c r="A821" s="1">
        <v>2018</v>
      </c>
      <c r="B821" s="1" t="s">
        <v>1973</v>
      </c>
      <c r="C821" s="2">
        <v>29536</v>
      </c>
      <c r="D821" s="8">
        <v>2.9369999999999998E-5</v>
      </c>
    </row>
    <row r="822" spans="1:4" x14ac:dyDescent="0.2">
      <c r="A822" s="1">
        <v>2018</v>
      </c>
      <c r="B822" s="1" t="s">
        <v>1974</v>
      </c>
      <c r="C822" s="2">
        <v>256628</v>
      </c>
      <c r="D822" s="8">
        <v>2.5514999999999999E-4</v>
      </c>
    </row>
    <row r="823" spans="1:4" x14ac:dyDescent="0.2">
      <c r="A823" s="1">
        <v>2018</v>
      </c>
      <c r="B823" s="1" t="s">
        <v>1975</v>
      </c>
      <c r="C823" s="2">
        <v>1241367</v>
      </c>
      <c r="D823" s="8">
        <v>1.2342200000000001E-3</v>
      </c>
    </row>
    <row r="824" spans="1:4" x14ac:dyDescent="0.2">
      <c r="A824" s="1">
        <v>2018</v>
      </c>
      <c r="B824" s="1" t="s">
        <v>1976</v>
      </c>
      <c r="C824" s="2">
        <v>1938346</v>
      </c>
      <c r="D824" s="8">
        <v>1.9271900000000001E-3</v>
      </c>
    </row>
    <row r="825" spans="1:4" x14ac:dyDescent="0.2">
      <c r="A825" s="1">
        <v>2018</v>
      </c>
      <c r="B825" s="1" t="s">
        <v>1977</v>
      </c>
      <c r="C825" s="2">
        <v>12764</v>
      </c>
      <c r="D825" s="8">
        <v>1.269E-5</v>
      </c>
    </row>
    <row r="826" spans="1:4" x14ac:dyDescent="0.2">
      <c r="A826" s="1">
        <v>2018</v>
      </c>
      <c r="B826" s="1" t="s">
        <v>1978</v>
      </c>
      <c r="C826" s="2">
        <v>63110</v>
      </c>
      <c r="D826" s="8">
        <v>6.2749999999999994E-5</v>
      </c>
    </row>
    <row r="827" spans="1:4" x14ac:dyDescent="0.2">
      <c r="A827" s="1">
        <v>2018</v>
      </c>
      <c r="B827" s="1" t="s">
        <v>1979</v>
      </c>
      <c r="C827" s="2">
        <v>1249479</v>
      </c>
      <c r="D827" s="8">
        <v>1.2422900000000001E-3</v>
      </c>
    </row>
    <row r="828" spans="1:4" x14ac:dyDescent="0.2">
      <c r="A828" s="1">
        <v>2018</v>
      </c>
      <c r="B828" s="1" t="s">
        <v>1980</v>
      </c>
      <c r="C828" s="2">
        <v>194367</v>
      </c>
      <c r="D828" s="8">
        <v>1.9325000000000001E-4</v>
      </c>
    </row>
    <row r="829" spans="1:4" x14ac:dyDescent="0.2">
      <c r="A829" s="1">
        <v>2018</v>
      </c>
      <c r="B829" s="1" t="s">
        <v>1981</v>
      </c>
      <c r="C829" s="2">
        <v>1265782</v>
      </c>
      <c r="D829" s="8">
        <v>1.2585000000000001E-3</v>
      </c>
    </row>
    <row r="830" spans="1:4" x14ac:dyDescent="0.2">
      <c r="A830" s="1">
        <v>2018</v>
      </c>
      <c r="B830" s="1" t="s">
        <v>1982</v>
      </c>
      <c r="C830" s="2">
        <v>577537</v>
      </c>
      <c r="D830" s="8">
        <v>5.7421000000000002E-4</v>
      </c>
    </row>
    <row r="831" spans="1:4" x14ac:dyDescent="0.2">
      <c r="A831" s="1">
        <v>2018</v>
      </c>
      <c r="B831" s="1" t="s">
        <v>1983</v>
      </c>
      <c r="C831" s="2">
        <v>2548442</v>
      </c>
      <c r="D831" s="8">
        <v>2.5337799999999998E-3</v>
      </c>
    </row>
    <row r="832" spans="1:4" x14ac:dyDescent="0.2">
      <c r="A832" s="1">
        <v>2018</v>
      </c>
      <c r="B832" s="1" t="s">
        <v>1984</v>
      </c>
      <c r="C832" s="2">
        <v>156835</v>
      </c>
      <c r="D832" s="8">
        <v>1.5593000000000001E-4</v>
      </c>
    </row>
    <row r="833" spans="1:4" x14ac:dyDescent="0.2">
      <c r="A833" s="1">
        <v>2018</v>
      </c>
      <c r="B833" s="1" t="s">
        <v>1985</v>
      </c>
      <c r="C833" s="2">
        <v>48610</v>
      </c>
      <c r="D833" s="8">
        <v>4.833E-5</v>
      </c>
    </row>
    <row r="834" spans="1:4" x14ac:dyDescent="0.2">
      <c r="A834" s="1">
        <v>2018</v>
      </c>
      <c r="B834" s="1" t="s">
        <v>1986</v>
      </c>
      <c r="C834" s="2">
        <v>96326</v>
      </c>
      <c r="D834" s="8">
        <v>9.577E-5</v>
      </c>
    </row>
    <row r="835" spans="1:4" x14ac:dyDescent="0.2">
      <c r="A835" s="1">
        <v>2018</v>
      </c>
      <c r="B835" s="1" t="s">
        <v>1987</v>
      </c>
      <c r="C835" s="2">
        <v>15807</v>
      </c>
      <c r="D835" s="8">
        <v>1.5719999999999999E-5</v>
      </c>
    </row>
    <row r="836" spans="1:4" x14ac:dyDescent="0.2">
      <c r="A836" s="1">
        <v>2018</v>
      </c>
      <c r="B836" s="1" t="s">
        <v>1988</v>
      </c>
      <c r="C836" s="2">
        <v>767241</v>
      </c>
      <c r="D836" s="8">
        <v>7.6283000000000004E-4</v>
      </c>
    </row>
    <row r="837" spans="1:4" x14ac:dyDescent="0.2">
      <c r="A837" s="1">
        <v>2018</v>
      </c>
      <c r="B837" s="1" t="s">
        <v>1989</v>
      </c>
      <c r="C837" s="2">
        <v>3964</v>
      </c>
      <c r="D837" s="8">
        <v>3.9400000000000004E-6</v>
      </c>
    </row>
    <row r="838" spans="1:4" x14ac:dyDescent="0.2">
      <c r="A838" s="1">
        <v>2018</v>
      </c>
      <c r="B838" s="1" t="s">
        <v>1990</v>
      </c>
      <c r="C838" s="2">
        <v>1605121</v>
      </c>
      <c r="D838" s="8">
        <v>1.59588E-3</v>
      </c>
    </row>
    <row r="839" spans="1:4" x14ac:dyDescent="0.2">
      <c r="A839" s="1">
        <v>2018</v>
      </c>
      <c r="B839" s="1" t="s">
        <v>1991</v>
      </c>
      <c r="C839" s="2">
        <v>277027</v>
      </c>
      <c r="D839" s="8">
        <v>2.7543000000000001E-4</v>
      </c>
    </row>
    <row r="840" spans="1:4" x14ac:dyDescent="0.2">
      <c r="A840" s="1">
        <v>2018</v>
      </c>
      <c r="B840" s="1" t="s">
        <v>1992</v>
      </c>
      <c r="C840" s="2">
        <v>3464237</v>
      </c>
      <c r="D840" s="8">
        <v>3.4443E-3</v>
      </c>
    </row>
    <row r="841" spans="1:4" x14ac:dyDescent="0.2">
      <c r="A841" s="1">
        <v>2018</v>
      </c>
      <c r="B841" s="1" t="s">
        <v>1993</v>
      </c>
      <c r="C841" s="2">
        <v>989991</v>
      </c>
      <c r="D841" s="8">
        <v>9.8429000000000008E-4</v>
      </c>
    </row>
    <row r="842" spans="1:4" x14ac:dyDescent="0.2">
      <c r="A842" s="1">
        <v>2018</v>
      </c>
      <c r="B842" s="1" t="s">
        <v>1994</v>
      </c>
      <c r="C842" s="2">
        <v>321522</v>
      </c>
      <c r="D842" s="8">
        <v>3.1966999999999998E-4</v>
      </c>
    </row>
    <row r="843" spans="1:4" x14ac:dyDescent="0.2">
      <c r="A843" s="1">
        <v>2018</v>
      </c>
      <c r="B843" s="1" t="s">
        <v>1995</v>
      </c>
      <c r="C843" s="2">
        <v>8751</v>
      </c>
      <c r="D843" s="8">
        <v>8.6999999999999997E-6</v>
      </c>
    </row>
    <row r="844" spans="1:4" x14ac:dyDescent="0.2">
      <c r="A844" s="1">
        <v>2018</v>
      </c>
      <c r="B844" s="1" t="s">
        <v>1996</v>
      </c>
      <c r="C844" s="2">
        <v>260061</v>
      </c>
      <c r="D844" s="8">
        <v>2.5856000000000002E-4</v>
      </c>
    </row>
    <row r="845" spans="1:4" x14ac:dyDescent="0.2">
      <c r="A845" s="1">
        <v>2018</v>
      </c>
      <c r="B845" s="1" t="s">
        <v>1997</v>
      </c>
      <c r="C845" s="2">
        <v>45313</v>
      </c>
      <c r="D845" s="8">
        <v>4.5049999999999997E-5</v>
      </c>
    </row>
    <row r="846" spans="1:4" x14ac:dyDescent="0.2">
      <c r="A846" s="1">
        <v>2018</v>
      </c>
      <c r="B846" s="1" t="s">
        <v>1998</v>
      </c>
      <c r="C846" s="2">
        <v>916857</v>
      </c>
      <c r="D846" s="8">
        <v>9.1158000000000005E-4</v>
      </c>
    </row>
    <row r="847" spans="1:4" x14ac:dyDescent="0.2">
      <c r="A847" s="1">
        <v>2018</v>
      </c>
      <c r="B847" s="1" t="s">
        <v>1999</v>
      </c>
      <c r="C847" s="2">
        <v>502904</v>
      </c>
      <c r="D847" s="8">
        <v>5.0000999999999995E-4</v>
      </c>
    </row>
    <row r="848" spans="1:4" x14ac:dyDescent="0.2">
      <c r="A848" s="1">
        <v>2018</v>
      </c>
      <c r="B848" s="1" t="s">
        <v>2000</v>
      </c>
      <c r="C848" s="2">
        <v>23763</v>
      </c>
      <c r="D848" s="8">
        <v>2.3629999999999999E-5</v>
      </c>
    </row>
    <row r="849" spans="1:4" x14ac:dyDescent="0.2">
      <c r="A849" s="1">
        <v>2018</v>
      </c>
      <c r="B849" s="1" t="s">
        <v>2001</v>
      </c>
      <c r="C849" s="2">
        <v>3559</v>
      </c>
      <c r="D849" s="8">
        <v>3.54E-6</v>
      </c>
    </row>
    <row r="850" spans="1:4" x14ac:dyDescent="0.2">
      <c r="A850" s="1">
        <v>2018</v>
      </c>
      <c r="B850" s="1" t="s">
        <v>2002</v>
      </c>
      <c r="C850" s="2">
        <v>126523</v>
      </c>
      <c r="D850" s="8">
        <v>1.2579E-4</v>
      </c>
    </row>
    <row r="851" spans="1:4" x14ac:dyDescent="0.2">
      <c r="A851" s="1">
        <v>2018</v>
      </c>
      <c r="B851" s="1" t="s">
        <v>2003</v>
      </c>
      <c r="C851" s="2">
        <v>508118</v>
      </c>
      <c r="D851" s="8">
        <v>5.0518999999999998E-4</v>
      </c>
    </row>
    <row r="852" spans="1:4" x14ac:dyDescent="0.2">
      <c r="A852" s="1">
        <v>2018</v>
      </c>
      <c r="B852" s="1" t="s">
        <v>2004</v>
      </c>
      <c r="C852" s="2">
        <v>358233</v>
      </c>
      <c r="D852" s="8">
        <v>3.5617E-4</v>
      </c>
    </row>
    <row r="853" spans="1:4" x14ac:dyDescent="0.2">
      <c r="A853" s="1">
        <v>2018</v>
      </c>
      <c r="B853" s="1" t="s">
        <v>2005</v>
      </c>
      <c r="C853" s="2">
        <v>6433</v>
      </c>
      <c r="D853" s="8">
        <v>6.3999999999999997E-6</v>
      </c>
    </row>
    <row r="854" spans="1:4" x14ac:dyDescent="0.2">
      <c r="A854" s="1">
        <v>2018</v>
      </c>
      <c r="B854" s="1" t="s">
        <v>2006</v>
      </c>
      <c r="C854" s="2">
        <v>10322</v>
      </c>
      <c r="D854" s="8">
        <v>1.026E-5</v>
      </c>
    </row>
    <row r="855" spans="1:4" x14ac:dyDescent="0.2">
      <c r="A855" s="1">
        <v>2018</v>
      </c>
      <c r="B855" s="1" t="s">
        <v>2007</v>
      </c>
      <c r="C855" s="2">
        <v>492454</v>
      </c>
      <c r="D855" s="8">
        <v>4.8961999999999996E-4</v>
      </c>
    </row>
    <row r="856" spans="1:4" x14ac:dyDescent="0.2">
      <c r="A856" s="1">
        <v>2018</v>
      </c>
      <c r="B856" s="1" t="s">
        <v>2008</v>
      </c>
      <c r="C856" s="2">
        <v>63224</v>
      </c>
      <c r="D856" s="8">
        <v>6.2860000000000005E-5</v>
      </c>
    </row>
    <row r="857" spans="1:4" x14ac:dyDescent="0.2">
      <c r="A857" s="1">
        <v>2018</v>
      </c>
      <c r="B857" s="1" t="s">
        <v>2009</v>
      </c>
      <c r="C857" s="2">
        <v>1512561</v>
      </c>
      <c r="D857" s="8">
        <v>1.5038600000000001E-3</v>
      </c>
    </row>
    <row r="858" spans="1:4" x14ac:dyDescent="0.2">
      <c r="A858" s="1">
        <v>2018</v>
      </c>
      <c r="B858" s="1" t="s">
        <v>2010</v>
      </c>
      <c r="C858" s="2">
        <v>523027</v>
      </c>
      <c r="D858" s="8">
        <v>5.2002000000000005E-4</v>
      </c>
    </row>
    <row r="859" spans="1:4" x14ac:dyDescent="0.2">
      <c r="A859" s="1">
        <v>2018</v>
      </c>
      <c r="B859" s="1" t="s">
        <v>2011</v>
      </c>
      <c r="C859" s="2">
        <v>1328704</v>
      </c>
      <c r="D859" s="8">
        <v>1.32106E-3</v>
      </c>
    </row>
    <row r="860" spans="1:4" x14ac:dyDescent="0.2">
      <c r="A860" s="1">
        <v>2018</v>
      </c>
      <c r="B860" s="1" t="s">
        <v>2012</v>
      </c>
      <c r="C860" s="2">
        <v>867532</v>
      </c>
      <c r="D860" s="8">
        <v>8.6253999999999996E-4</v>
      </c>
    </row>
    <row r="861" spans="1:4" x14ac:dyDescent="0.2">
      <c r="A861" s="1">
        <v>2018</v>
      </c>
      <c r="B861" s="1" t="s">
        <v>2013</v>
      </c>
      <c r="C861" s="2">
        <v>13099</v>
      </c>
      <c r="D861" s="8">
        <v>1.3020000000000001E-5</v>
      </c>
    </row>
    <row r="862" spans="1:4" x14ac:dyDescent="0.2">
      <c r="A862" s="1">
        <v>2018</v>
      </c>
      <c r="B862" s="1" t="s">
        <v>2014</v>
      </c>
      <c r="C862" s="2">
        <v>8312</v>
      </c>
      <c r="D862" s="8">
        <v>8.2600000000000005E-6</v>
      </c>
    </row>
    <row r="863" spans="1:4" x14ac:dyDescent="0.2">
      <c r="A863" s="1">
        <v>2018</v>
      </c>
      <c r="B863" s="1" t="s">
        <v>2015</v>
      </c>
      <c r="C863" s="2">
        <v>18227</v>
      </c>
      <c r="D863" s="8">
        <v>1.8119999999999999E-5</v>
      </c>
    </row>
    <row r="864" spans="1:4" x14ac:dyDescent="0.2">
      <c r="A864" s="1">
        <v>2018</v>
      </c>
      <c r="B864" s="1" t="s">
        <v>2016</v>
      </c>
      <c r="C864" s="2">
        <v>9942</v>
      </c>
      <c r="D864" s="8">
        <v>9.8800000000000003E-6</v>
      </c>
    </row>
    <row r="865" spans="1:4" x14ac:dyDescent="0.2">
      <c r="A865" s="1">
        <v>2018</v>
      </c>
      <c r="B865" s="1" t="s">
        <v>2017</v>
      </c>
      <c r="C865" s="2">
        <v>89030</v>
      </c>
      <c r="D865" s="8">
        <v>8.852E-5</v>
      </c>
    </row>
    <row r="866" spans="1:4" x14ac:dyDescent="0.2">
      <c r="A866" s="1">
        <v>2018</v>
      </c>
      <c r="B866" s="1" t="s">
        <v>2018</v>
      </c>
      <c r="C866" s="2">
        <v>81943</v>
      </c>
      <c r="D866" s="8">
        <v>8.1470000000000004E-5</v>
      </c>
    </row>
    <row r="868" spans="1:4" x14ac:dyDescent="0.2">
      <c r="B868" s="3" t="s">
        <v>861</v>
      </c>
      <c r="C868" s="6">
        <f>SUM(C2:C866)</f>
        <v>1005788104</v>
      </c>
    </row>
    <row r="869" spans="1:4" x14ac:dyDescent="0.2">
      <c r="B869" s="3"/>
    </row>
    <row r="870" spans="1:4" x14ac:dyDescent="0.2">
      <c r="B870" s="3" t="s">
        <v>860</v>
      </c>
      <c r="C870" s="6">
        <v>1005788098</v>
      </c>
    </row>
    <row r="872" spans="1:4" x14ac:dyDescent="0.2">
      <c r="B872" s="4" t="s">
        <v>862</v>
      </c>
      <c r="C872" s="7">
        <f>C868-C870</f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1321-66C2-914C-ABE6-8E9A5D565611}">
  <sheetPr>
    <tabColor rgb="FFFFFF00"/>
  </sheetPr>
  <dimension ref="A1:D870"/>
  <sheetViews>
    <sheetView workbookViewId="0">
      <selection activeCell="A2" sqref="A2:D864"/>
    </sheetView>
  </sheetViews>
  <sheetFormatPr baseColWidth="10" defaultRowHeight="16" x14ac:dyDescent="0.2"/>
  <cols>
    <col min="1" max="1" width="10.83203125" style="1"/>
    <col min="2" max="2" width="45.1640625" style="1" bestFit="1" customWidth="1"/>
    <col min="3" max="3" width="20.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2017</v>
      </c>
      <c r="B2" s="37" t="s">
        <v>1154</v>
      </c>
      <c r="C2" s="38">
        <v>469758</v>
      </c>
      <c r="D2" s="39">
        <v>4.6494E-4</v>
      </c>
    </row>
    <row r="3" spans="1:4" x14ac:dyDescent="0.2">
      <c r="A3" s="1">
        <v>2017</v>
      </c>
      <c r="B3" s="37" t="s">
        <v>1155</v>
      </c>
      <c r="C3" s="38">
        <v>1085421</v>
      </c>
      <c r="D3" s="39">
        <v>1.0742799999999999E-3</v>
      </c>
    </row>
    <row r="4" spans="1:4" x14ac:dyDescent="0.2">
      <c r="A4" s="1">
        <v>2017</v>
      </c>
      <c r="B4" s="37" t="s">
        <v>1156</v>
      </c>
      <c r="C4" s="38">
        <v>89391</v>
      </c>
      <c r="D4" s="39">
        <v>8.8469999999999998E-5</v>
      </c>
    </row>
    <row r="5" spans="1:4" x14ac:dyDescent="0.2">
      <c r="A5" s="1">
        <v>2017</v>
      </c>
      <c r="B5" s="37" t="s">
        <v>1157</v>
      </c>
      <c r="C5" s="38">
        <v>26329</v>
      </c>
      <c r="D5" s="39">
        <v>2.6060000000000001E-5</v>
      </c>
    </row>
    <row r="6" spans="1:4" x14ac:dyDescent="0.2">
      <c r="A6" s="1">
        <v>2017</v>
      </c>
      <c r="B6" s="37" t="s">
        <v>1158</v>
      </c>
      <c r="C6" s="38">
        <v>1199053</v>
      </c>
      <c r="D6" s="39">
        <v>1.1867500000000001E-3</v>
      </c>
    </row>
    <row r="7" spans="1:4" x14ac:dyDescent="0.2">
      <c r="A7" s="1">
        <v>2017</v>
      </c>
      <c r="B7" s="37" t="s">
        <v>1159</v>
      </c>
      <c r="C7" s="38">
        <v>10883</v>
      </c>
      <c r="D7" s="39">
        <v>1.077E-5</v>
      </c>
    </row>
    <row r="8" spans="1:4" x14ac:dyDescent="0.2">
      <c r="A8" s="1">
        <v>2017</v>
      </c>
      <c r="B8" s="37" t="s">
        <v>1160</v>
      </c>
      <c r="C8" s="38">
        <v>2588779</v>
      </c>
      <c r="D8" s="39">
        <v>2.5622100000000001E-3</v>
      </c>
    </row>
    <row r="9" spans="1:4" x14ac:dyDescent="0.2">
      <c r="A9" s="1">
        <v>2017</v>
      </c>
      <c r="B9" s="37" t="s">
        <v>1161</v>
      </c>
      <c r="C9" s="38">
        <v>1069438</v>
      </c>
      <c r="D9" s="39">
        <v>1.05846E-3</v>
      </c>
    </row>
    <row r="10" spans="1:4" x14ac:dyDescent="0.2">
      <c r="A10" s="1">
        <v>2017</v>
      </c>
      <c r="B10" s="37" t="s">
        <v>1162</v>
      </c>
      <c r="C10" s="38">
        <v>2483551</v>
      </c>
      <c r="D10" s="39">
        <v>2.4580600000000002E-3</v>
      </c>
    </row>
    <row r="11" spans="1:4" x14ac:dyDescent="0.2">
      <c r="A11" s="1">
        <v>2017</v>
      </c>
      <c r="B11" s="37" t="s">
        <v>1163</v>
      </c>
      <c r="C11" s="38">
        <v>820649</v>
      </c>
      <c r="D11" s="39">
        <v>8.1223000000000005E-4</v>
      </c>
    </row>
    <row r="12" spans="1:4" x14ac:dyDescent="0.2">
      <c r="A12" s="1">
        <v>2017</v>
      </c>
      <c r="B12" s="37" t="s">
        <v>1164</v>
      </c>
      <c r="C12" s="38">
        <v>4615287</v>
      </c>
      <c r="D12" s="39">
        <v>4.5679099999999997E-3</v>
      </c>
    </row>
    <row r="13" spans="1:4" x14ac:dyDescent="0.2">
      <c r="A13" s="1">
        <v>2017</v>
      </c>
      <c r="B13" s="37" t="s">
        <v>1165</v>
      </c>
      <c r="C13" s="38">
        <v>1010235</v>
      </c>
      <c r="D13" s="39">
        <v>9.9985999999999998E-4</v>
      </c>
    </row>
    <row r="14" spans="1:4" x14ac:dyDescent="0.2">
      <c r="A14" s="1">
        <v>2017</v>
      </c>
      <c r="B14" s="37" t="s">
        <v>1166</v>
      </c>
      <c r="C14" s="38">
        <v>359011</v>
      </c>
      <c r="D14" s="39">
        <v>3.5533E-4</v>
      </c>
    </row>
    <row r="15" spans="1:4" x14ac:dyDescent="0.2">
      <c r="A15" s="1">
        <v>2017</v>
      </c>
      <c r="B15" s="37" t="s">
        <v>1167</v>
      </c>
      <c r="C15" s="38">
        <v>691049</v>
      </c>
      <c r="D15" s="39">
        <v>6.8395999999999995E-4</v>
      </c>
    </row>
    <row r="16" spans="1:4" x14ac:dyDescent="0.2">
      <c r="A16" s="1">
        <v>2017</v>
      </c>
      <c r="B16" s="37" t="s">
        <v>1168</v>
      </c>
      <c r="C16" s="38">
        <v>1252589</v>
      </c>
      <c r="D16" s="39">
        <v>1.2397300000000001E-3</v>
      </c>
    </row>
    <row r="17" spans="1:4" x14ac:dyDescent="0.2">
      <c r="A17" s="1">
        <v>2017</v>
      </c>
      <c r="B17" s="37" t="s">
        <v>1169</v>
      </c>
      <c r="C17" s="38">
        <v>21010</v>
      </c>
      <c r="D17" s="39">
        <v>2.0789999999999999E-5</v>
      </c>
    </row>
    <row r="18" spans="1:4" x14ac:dyDescent="0.2">
      <c r="A18" s="1">
        <v>2017</v>
      </c>
      <c r="B18" s="37" t="s">
        <v>1170</v>
      </c>
      <c r="C18" s="38">
        <v>25007</v>
      </c>
      <c r="D18" s="39">
        <v>2.4749999999999999E-5</v>
      </c>
    </row>
    <row r="19" spans="1:4" x14ac:dyDescent="0.2">
      <c r="A19" s="1">
        <v>2017</v>
      </c>
      <c r="B19" s="37" t="s">
        <v>1171</v>
      </c>
      <c r="C19" s="38">
        <v>164750</v>
      </c>
      <c r="D19" s="39">
        <v>1.6306E-4</v>
      </c>
    </row>
    <row r="20" spans="1:4" x14ac:dyDescent="0.2">
      <c r="A20" s="1">
        <v>2017</v>
      </c>
      <c r="B20" s="37" t="s">
        <v>1172</v>
      </c>
      <c r="C20" s="38">
        <v>18023</v>
      </c>
      <c r="D20" s="39">
        <v>1.7839999999999999E-5</v>
      </c>
    </row>
    <row r="21" spans="1:4" x14ac:dyDescent="0.2">
      <c r="A21" s="1">
        <v>2017</v>
      </c>
      <c r="B21" s="37" t="s">
        <v>1173</v>
      </c>
      <c r="C21" s="38">
        <v>838993</v>
      </c>
      <c r="D21" s="39">
        <v>8.3038000000000003E-4</v>
      </c>
    </row>
    <row r="22" spans="1:4" x14ac:dyDescent="0.2">
      <c r="A22" s="1">
        <v>2017</v>
      </c>
      <c r="B22" s="37" t="s">
        <v>1174</v>
      </c>
      <c r="C22" s="38">
        <v>14834</v>
      </c>
      <c r="D22" s="39">
        <v>1.468E-5</v>
      </c>
    </row>
    <row r="23" spans="1:4" x14ac:dyDescent="0.2">
      <c r="A23" s="1">
        <v>2017</v>
      </c>
      <c r="B23" s="37" t="s">
        <v>1175</v>
      </c>
      <c r="C23" s="38">
        <v>11951</v>
      </c>
      <c r="D23" s="39">
        <v>1.183E-5</v>
      </c>
    </row>
    <row r="24" spans="1:4" x14ac:dyDescent="0.2">
      <c r="A24" s="1">
        <v>2017</v>
      </c>
      <c r="B24" s="37" t="s">
        <v>1176</v>
      </c>
      <c r="C24" s="38">
        <v>89465</v>
      </c>
      <c r="D24" s="39">
        <v>8.8549999999999998E-5</v>
      </c>
    </row>
    <row r="25" spans="1:4" x14ac:dyDescent="0.2">
      <c r="A25" s="1">
        <v>2017</v>
      </c>
      <c r="B25" s="37" t="s">
        <v>1177</v>
      </c>
      <c r="C25" s="38">
        <v>39784</v>
      </c>
      <c r="D25" s="39">
        <v>3.9379999999999999E-5</v>
      </c>
    </row>
    <row r="26" spans="1:4" x14ac:dyDescent="0.2">
      <c r="A26" s="1">
        <v>2017</v>
      </c>
      <c r="B26" s="37" t="s">
        <v>1178</v>
      </c>
      <c r="C26" s="38">
        <v>1036455</v>
      </c>
      <c r="D26" s="39">
        <v>1.02582E-3</v>
      </c>
    </row>
    <row r="27" spans="1:4" x14ac:dyDescent="0.2">
      <c r="A27" s="1">
        <v>2017</v>
      </c>
      <c r="B27" s="37" t="s">
        <v>1179</v>
      </c>
      <c r="C27" s="38">
        <v>494931</v>
      </c>
      <c r="D27" s="39">
        <v>4.8985000000000001E-4</v>
      </c>
    </row>
    <row r="28" spans="1:4" x14ac:dyDescent="0.2">
      <c r="A28" s="1">
        <v>2017</v>
      </c>
      <c r="B28" s="37" t="s">
        <v>1180</v>
      </c>
      <c r="C28" s="38">
        <v>16939</v>
      </c>
      <c r="D28" s="39">
        <v>1.677E-5</v>
      </c>
    </row>
    <row r="29" spans="1:4" x14ac:dyDescent="0.2">
      <c r="A29" s="1">
        <v>2017</v>
      </c>
      <c r="B29" s="37" t="s">
        <v>1181</v>
      </c>
      <c r="C29" s="38">
        <v>3004026</v>
      </c>
      <c r="D29" s="39">
        <v>2.9731900000000001E-3</v>
      </c>
    </row>
    <row r="30" spans="1:4" x14ac:dyDescent="0.2">
      <c r="A30" s="1">
        <v>2017</v>
      </c>
      <c r="B30" s="37" t="s">
        <v>1182</v>
      </c>
      <c r="C30" s="38">
        <v>204245</v>
      </c>
      <c r="D30" s="39">
        <v>2.0215000000000001E-4</v>
      </c>
    </row>
    <row r="31" spans="1:4" x14ac:dyDescent="0.2">
      <c r="A31" s="1">
        <v>2017</v>
      </c>
      <c r="B31" s="37" t="s">
        <v>1183</v>
      </c>
      <c r="C31" s="38">
        <v>13280</v>
      </c>
      <c r="D31" s="39">
        <v>1.314E-5</v>
      </c>
    </row>
    <row r="32" spans="1:4" x14ac:dyDescent="0.2">
      <c r="A32" s="1">
        <v>2017</v>
      </c>
      <c r="B32" s="37" t="s">
        <v>1184</v>
      </c>
      <c r="C32" s="38">
        <v>739320</v>
      </c>
      <c r="D32" s="39">
        <v>7.3172999999999999E-4</v>
      </c>
    </row>
    <row r="33" spans="1:4" x14ac:dyDescent="0.2">
      <c r="A33" s="1">
        <v>2017</v>
      </c>
      <c r="B33" s="37" t="s">
        <v>1185</v>
      </c>
      <c r="C33" s="38">
        <v>731832</v>
      </c>
      <c r="D33" s="39">
        <v>7.2431999999999998E-4</v>
      </c>
    </row>
    <row r="34" spans="1:4" x14ac:dyDescent="0.2">
      <c r="A34" s="1">
        <v>2017</v>
      </c>
      <c r="B34" s="37" t="s">
        <v>1186</v>
      </c>
      <c r="C34" s="38">
        <v>13222</v>
      </c>
      <c r="D34" s="39">
        <v>1.309E-5</v>
      </c>
    </row>
    <row r="35" spans="1:4" x14ac:dyDescent="0.2">
      <c r="A35" s="1">
        <v>2017</v>
      </c>
      <c r="B35" s="37" t="s">
        <v>1187</v>
      </c>
      <c r="C35" s="38">
        <v>23314</v>
      </c>
      <c r="D35" s="39">
        <v>2.3070000000000001E-5</v>
      </c>
    </row>
    <row r="36" spans="1:4" x14ac:dyDescent="0.2">
      <c r="A36" s="1">
        <v>2017</v>
      </c>
      <c r="B36" s="37" t="s">
        <v>1188</v>
      </c>
      <c r="C36" s="38">
        <v>1044528</v>
      </c>
      <c r="D36" s="39">
        <v>1.03381E-3</v>
      </c>
    </row>
    <row r="37" spans="1:4" x14ac:dyDescent="0.2">
      <c r="A37" s="1">
        <v>2017</v>
      </c>
      <c r="B37" s="37" t="s">
        <v>1189</v>
      </c>
      <c r="C37" s="38">
        <v>177650</v>
      </c>
      <c r="D37" s="39">
        <v>1.7583E-4</v>
      </c>
    </row>
    <row r="38" spans="1:4" x14ac:dyDescent="0.2">
      <c r="A38" s="1">
        <v>2017</v>
      </c>
      <c r="B38" s="37" t="s">
        <v>1190</v>
      </c>
      <c r="C38" s="38">
        <v>607943</v>
      </c>
      <c r="D38" s="39">
        <v>6.0170000000000004E-4</v>
      </c>
    </row>
    <row r="39" spans="1:4" x14ac:dyDescent="0.2">
      <c r="A39" s="1">
        <v>2017</v>
      </c>
      <c r="B39" s="37" t="s">
        <v>2020</v>
      </c>
      <c r="C39" s="38">
        <v>1665640</v>
      </c>
      <c r="D39" s="39">
        <v>1.64854E-3</v>
      </c>
    </row>
    <row r="40" spans="1:4" x14ac:dyDescent="0.2">
      <c r="A40" s="1">
        <v>2017</v>
      </c>
      <c r="B40" s="14" t="s">
        <v>1192</v>
      </c>
      <c r="C40" s="15">
        <v>37987</v>
      </c>
      <c r="D40" s="16">
        <v>3.7599999999999999E-5</v>
      </c>
    </row>
    <row r="41" spans="1:4" x14ac:dyDescent="0.2">
      <c r="A41" s="1">
        <v>2017</v>
      </c>
      <c r="B41" s="14" t="s">
        <v>1193</v>
      </c>
      <c r="C41" s="15">
        <v>18331</v>
      </c>
      <c r="D41" s="16">
        <v>1.8139999999999999E-5</v>
      </c>
    </row>
    <row r="42" spans="1:4" x14ac:dyDescent="0.2">
      <c r="A42" s="1">
        <v>2017</v>
      </c>
      <c r="B42" s="14" t="s">
        <v>1194</v>
      </c>
      <c r="C42" s="15">
        <v>31309</v>
      </c>
      <c r="D42" s="16">
        <v>3.099E-5</v>
      </c>
    </row>
    <row r="43" spans="1:4" x14ac:dyDescent="0.2">
      <c r="A43" s="1">
        <v>2017</v>
      </c>
      <c r="B43" s="14" t="s">
        <v>1195</v>
      </c>
      <c r="C43" s="15">
        <v>121291</v>
      </c>
      <c r="D43" s="16">
        <v>1.2005E-4</v>
      </c>
    </row>
    <row r="44" spans="1:4" x14ac:dyDescent="0.2">
      <c r="A44" s="1">
        <v>2017</v>
      </c>
      <c r="B44" s="14" t="s">
        <v>1196</v>
      </c>
      <c r="C44" s="15">
        <v>172081</v>
      </c>
      <c r="D44" s="16">
        <v>1.7030999999999999E-4</v>
      </c>
    </row>
    <row r="45" spans="1:4" x14ac:dyDescent="0.2">
      <c r="A45" s="1">
        <v>2017</v>
      </c>
      <c r="B45" s="14" t="s">
        <v>1197</v>
      </c>
      <c r="C45" s="15">
        <v>10393</v>
      </c>
      <c r="D45" s="16">
        <v>1.029E-5</v>
      </c>
    </row>
    <row r="46" spans="1:4" x14ac:dyDescent="0.2">
      <c r="A46" s="1">
        <v>2017</v>
      </c>
      <c r="B46" s="14" t="s">
        <v>1198</v>
      </c>
      <c r="C46" s="15">
        <v>1034478</v>
      </c>
      <c r="D46" s="16">
        <v>1.0238599999999999E-3</v>
      </c>
    </row>
    <row r="47" spans="1:4" x14ac:dyDescent="0.2">
      <c r="A47" s="1">
        <v>2017</v>
      </c>
      <c r="B47" s="14" t="s">
        <v>1199</v>
      </c>
      <c r="C47" s="15">
        <v>296419</v>
      </c>
      <c r="D47" s="16">
        <v>2.9337999999999999E-4</v>
      </c>
    </row>
    <row r="48" spans="1:4" x14ac:dyDescent="0.2">
      <c r="A48" s="1">
        <v>2017</v>
      </c>
      <c r="B48" s="14" t="s">
        <v>1200</v>
      </c>
      <c r="C48" s="15">
        <v>10711</v>
      </c>
      <c r="D48" s="16">
        <v>1.06E-5</v>
      </c>
    </row>
    <row r="49" spans="1:4" x14ac:dyDescent="0.2">
      <c r="A49" s="1">
        <v>2017</v>
      </c>
      <c r="B49" s="14" t="s">
        <v>1201</v>
      </c>
      <c r="C49" s="15">
        <v>16964</v>
      </c>
      <c r="D49" s="16">
        <v>1.679E-5</v>
      </c>
    </row>
    <row r="50" spans="1:4" x14ac:dyDescent="0.2">
      <c r="A50" s="1">
        <v>2017</v>
      </c>
      <c r="B50" s="14" t="s">
        <v>1202</v>
      </c>
      <c r="C50" s="15">
        <v>4791851</v>
      </c>
      <c r="D50" s="16">
        <v>4.7426600000000001E-3</v>
      </c>
    </row>
    <row r="51" spans="1:4" x14ac:dyDescent="0.2">
      <c r="A51" s="1">
        <v>2017</v>
      </c>
      <c r="B51" s="14" t="s">
        <v>1203</v>
      </c>
      <c r="C51" s="15">
        <v>273386</v>
      </c>
      <c r="D51" s="16">
        <v>2.7057999999999997E-4</v>
      </c>
    </row>
    <row r="52" spans="1:4" x14ac:dyDescent="0.2">
      <c r="A52" s="1">
        <v>2017</v>
      </c>
      <c r="B52" s="14" t="s">
        <v>1204</v>
      </c>
      <c r="C52" s="15">
        <v>4925267</v>
      </c>
      <c r="D52" s="16">
        <v>4.87471E-3</v>
      </c>
    </row>
    <row r="53" spans="1:4" x14ac:dyDescent="0.2">
      <c r="A53" s="1">
        <v>2017</v>
      </c>
      <c r="B53" s="14" t="s">
        <v>1206</v>
      </c>
      <c r="C53" s="15">
        <v>8021</v>
      </c>
      <c r="D53" s="16">
        <v>7.9400000000000002E-6</v>
      </c>
    </row>
    <row r="54" spans="1:4" x14ac:dyDescent="0.2">
      <c r="A54" s="1">
        <v>2017</v>
      </c>
      <c r="B54" s="14" t="s">
        <v>1207</v>
      </c>
      <c r="C54" s="15">
        <v>11025</v>
      </c>
      <c r="D54" s="16">
        <v>1.0910000000000001E-5</v>
      </c>
    </row>
    <row r="55" spans="1:4" x14ac:dyDescent="0.2">
      <c r="A55" s="1">
        <v>2017</v>
      </c>
      <c r="B55" s="14" t="s">
        <v>1208</v>
      </c>
      <c r="C55" s="15">
        <v>50560</v>
      </c>
      <c r="D55" s="16">
        <v>5.0040000000000002E-5</v>
      </c>
    </row>
    <row r="56" spans="1:4" x14ac:dyDescent="0.2">
      <c r="A56" s="1">
        <v>2017</v>
      </c>
      <c r="B56" s="14" t="s">
        <v>1209</v>
      </c>
      <c r="C56" s="15">
        <v>54539</v>
      </c>
      <c r="D56" s="16">
        <v>5.3980000000000002E-5</v>
      </c>
    </row>
    <row r="57" spans="1:4" x14ac:dyDescent="0.2">
      <c r="A57" s="1">
        <v>2017</v>
      </c>
      <c r="B57" s="14" t="s">
        <v>1210</v>
      </c>
      <c r="C57" s="15">
        <v>1164692</v>
      </c>
      <c r="D57" s="16">
        <v>1.15274E-3</v>
      </c>
    </row>
    <row r="58" spans="1:4" x14ac:dyDescent="0.2">
      <c r="A58" s="1">
        <v>2017</v>
      </c>
      <c r="B58" s="14" t="s">
        <v>1211</v>
      </c>
      <c r="C58" s="15">
        <v>4149</v>
      </c>
      <c r="D58" s="16">
        <v>4.1099999999999996E-6</v>
      </c>
    </row>
    <row r="59" spans="1:4" x14ac:dyDescent="0.2">
      <c r="A59" s="1">
        <v>2017</v>
      </c>
      <c r="B59" s="14" t="s">
        <v>1212</v>
      </c>
      <c r="C59" s="15">
        <v>50871</v>
      </c>
      <c r="D59" s="16">
        <v>5.0349999999999997E-5</v>
      </c>
    </row>
    <row r="60" spans="1:4" x14ac:dyDescent="0.2">
      <c r="A60" s="1">
        <v>2017</v>
      </c>
      <c r="B60" s="14" t="s">
        <v>1213</v>
      </c>
      <c r="C60" s="15">
        <v>423250</v>
      </c>
      <c r="D60" s="16">
        <v>4.1890999999999999E-4</v>
      </c>
    </row>
    <row r="61" spans="1:4" x14ac:dyDescent="0.2">
      <c r="A61" s="1">
        <v>2017</v>
      </c>
      <c r="B61" s="14" t="s">
        <v>1214</v>
      </c>
      <c r="C61" s="15">
        <v>140429</v>
      </c>
      <c r="D61" s="16">
        <v>1.3899E-4</v>
      </c>
    </row>
    <row r="62" spans="1:4" x14ac:dyDescent="0.2">
      <c r="A62" s="1">
        <v>2017</v>
      </c>
      <c r="B62" s="14" t="s">
        <v>1215</v>
      </c>
      <c r="C62" s="15">
        <v>42583</v>
      </c>
      <c r="D62" s="16">
        <v>4.2150000000000001E-5</v>
      </c>
    </row>
    <row r="63" spans="1:4" x14ac:dyDescent="0.2">
      <c r="A63" s="1">
        <v>2017</v>
      </c>
      <c r="B63" s="14" t="s">
        <v>1216</v>
      </c>
      <c r="C63" s="15">
        <v>1019318</v>
      </c>
      <c r="D63" s="16">
        <v>1.0088600000000001E-3</v>
      </c>
    </row>
    <row r="64" spans="1:4" x14ac:dyDescent="0.2">
      <c r="A64" s="1">
        <v>2017</v>
      </c>
      <c r="B64" s="14" t="s">
        <v>1217</v>
      </c>
      <c r="C64" s="15">
        <v>2768407</v>
      </c>
      <c r="D64" s="16">
        <v>2.7399899999999999E-3</v>
      </c>
    </row>
    <row r="65" spans="1:4" x14ac:dyDescent="0.2">
      <c r="A65" s="1">
        <v>2017</v>
      </c>
      <c r="B65" s="14" t="s">
        <v>1218</v>
      </c>
      <c r="C65" s="15">
        <v>22966</v>
      </c>
      <c r="D65" s="16">
        <v>2.2730000000000001E-5</v>
      </c>
    </row>
    <row r="66" spans="1:4" x14ac:dyDescent="0.2">
      <c r="A66" s="1">
        <v>2017</v>
      </c>
      <c r="B66" s="14" t="s">
        <v>1219</v>
      </c>
      <c r="C66" s="15">
        <v>1036863</v>
      </c>
      <c r="D66" s="16">
        <v>1.02622E-3</v>
      </c>
    </row>
    <row r="67" spans="1:4" x14ac:dyDescent="0.2">
      <c r="A67" s="1">
        <v>2017</v>
      </c>
      <c r="B67" s="14" t="s">
        <v>2055</v>
      </c>
      <c r="C67" s="15">
        <v>835878</v>
      </c>
      <c r="D67" s="16">
        <v>8.273E-4</v>
      </c>
    </row>
    <row r="68" spans="1:4" x14ac:dyDescent="0.2">
      <c r="A68" s="1">
        <v>2017</v>
      </c>
      <c r="B68" s="14" t="s">
        <v>1221</v>
      </c>
      <c r="C68" s="15">
        <v>2566755</v>
      </c>
      <c r="D68" s="16">
        <v>2.5404099999999999E-3</v>
      </c>
    </row>
    <row r="69" spans="1:4" x14ac:dyDescent="0.2">
      <c r="A69" s="1">
        <v>2017</v>
      </c>
      <c r="B69" s="14" t="s">
        <v>2022</v>
      </c>
      <c r="C69" s="15">
        <v>47720</v>
      </c>
      <c r="D69" s="16">
        <v>4.723E-5</v>
      </c>
    </row>
    <row r="70" spans="1:4" x14ac:dyDescent="0.2">
      <c r="A70" s="1">
        <v>2017</v>
      </c>
      <c r="B70" s="14" t="s">
        <v>1223</v>
      </c>
      <c r="C70" s="15">
        <v>49061</v>
      </c>
      <c r="D70" s="16">
        <v>4.8560000000000003E-5</v>
      </c>
    </row>
    <row r="71" spans="1:4" x14ac:dyDescent="0.2">
      <c r="A71" s="1">
        <v>2017</v>
      </c>
      <c r="B71" s="14" t="s">
        <v>1224</v>
      </c>
      <c r="C71" s="15">
        <v>107784</v>
      </c>
      <c r="D71" s="16">
        <v>1.0668E-4</v>
      </c>
    </row>
    <row r="72" spans="1:4" x14ac:dyDescent="0.2">
      <c r="A72" s="1">
        <v>2017</v>
      </c>
      <c r="B72" s="14" t="s">
        <v>1225</v>
      </c>
      <c r="C72" s="15">
        <v>50581</v>
      </c>
      <c r="D72" s="16">
        <v>5.0059999999999998E-5</v>
      </c>
    </row>
    <row r="73" spans="1:4" x14ac:dyDescent="0.2">
      <c r="A73" s="1">
        <v>2017</v>
      </c>
      <c r="B73" s="14" t="s">
        <v>1226</v>
      </c>
      <c r="C73" s="15">
        <v>1379611</v>
      </c>
      <c r="D73" s="16">
        <v>1.36545E-3</v>
      </c>
    </row>
    <row r="74" spans="1:4" x14ac:dyDescent="0.2">
      <c r="A74" s="1">
        <v>2017</v>
      </c>
      <c r="B74" s="14" t="s">
        <v>1227</v>
      </c>
      <c r="C74" s="15">
        <v>28521</v>
      </c>
      <c r="D74" s="16">
        <v>2.8229999999999999E-5</v>
      </c>
    </row>
    <row r="75" spans="1:4" x14ac:dyDescent="0.2">
      <c r="A75" s="1">
        <v>2017</v>
      </c>
      <c r="B75" s="14" t="s">
        <v>1228</v>
      </c>
      <c r="C75" s="15">
        <v>194799</v>
      </c>
      <c r="D75" s="16">
        <v>1.928E-4</v>
      </c>
    </row>
    <row r="76" spans="1:4" x14ac:dyDescent="0.2">
      <c r="A76" s="1">
        <v>2017</v>
      </c>
      <c r="B76" s="14" t="s">
        <v>1229</v>
      </c>
      <c r="C76" s="15">
        <v>56234</v>
      </c>
      <c r="D76" s="16">
        <v>5.5659999999999999E-5</v>
      </c>
    </row>
    <row r="77" spans="1:4" x14ac:dyDescent="0.2">
      <c r="A77" s="1">
        <v>2017</v>
      </c>
      <c r="B77" s="14" t="s">
        <v>1230</v>
      </c>
      <c r="C77" s="15">
        <v>58263</v>
      </c>
      <c r="D77" s="16">
        <v>5.766E-5</v>
      </c>
    </row>
    <row r="78" spans="1:4" x14ac:dyDescent="0.2">
      <c r="A78" s="1">
        <v>2017</v>
      </c>
      <c r="B78" s="37" t="s">
        <v>1231</v>
      </c>
      <c r="C78" s="38">
        <v>67077</v>
      </c>
      <c r="D78" s="39">
        <v>6.6390000000000006E-5</v>
      </c>
    </row>
    <row r="79" spans="1:4" x14ac:dyDescent="0.2">
      <c r="A79" s="1">
        <v>2017</v>
      </c>
      <c r="B79" s="37" t="s">
        <v>1232</v>
      </c>
      <c r="C79" s="38">
        <v>1884944</v>
      </c>
      <c r="D79" s="39">
        <v>1.8656E-3</v>
      </c>
    </row>
    <row r="80" spans="1:4" x14ac:dyDescent="0.2">
      <c r="A80" s="1">
        <v>2017</v>
      </c>
      <c r="B80" s="37" t="s">
        <v>1233</v>
      </c>
      <c r="C80" s="38">
        <v>343474</v>
      </c>
      <c r="D80" s="39">
        <v>3.3995E-4</v>
      </c>
    </row>
    <row r="81" spans="1:4" x14ac:dyDescent="0.2">
      <c r="A81" s="1">
        <v>2017</v>
      </c>
      <c r="B81" s="37" t="s">
        <v>1234</v>
      </c>
      <c r="C81" s="38">
        <v>2058</v>
      </c>
      <c r="D81" s="39">
        <v>2.04E-6</v>
      </c>
    </row>
    <row r="82" spans="1:4" x14ac:dyDescent="0.2">
      <c r="A82" s="1">
        <v>2017</v>
      </c>
      <c r="B82" s="37" t="s">
        <v>1235</v>
      </c>
      <c r="C82" s="38">
        <v>699558</v>
      </c>
      <c r="D82" s="39">
        <v>6.9238000000000004E-4</v>
      </c>
    </row>
    <row r="83" spans="1:4" x14ac:dyDescent="0.2">
      <c r="A83" s="1">
        <v>2017</v>
      </c>
      <c r="B83" s="37" t="s">
        <v>1236</v>
      </c>
      <c r="C83" s="38">
        <v>16229</v>
      </c>
      <c r="D83" s="39">
        <v>1.6059999999999999E-5</v>
      </c>
    </row>
    <row r="84" spans="1:4" x14ac:dyDescent="0.2">
      <c r="A84" s="1">
        <v>2017</v>
      </c>
      <c r="B84" s="37" t="s">
        <v>1237</v>
      </c>
      <c r="C84" s="38">
        <v>45615</v>
      </c>
      <c r="D84" s="39">
        <v>4.515E-5</v>
      </c>
    </row>
    <row r="85" spans="1:4" x14ac:dyDescent="0.2">
      <c r="A85" s="1">
        <v>2017</v>
      </c>
      <c r="B85" s="37" t="s">
        <v>1238</v>
      </c>
      <c r="C85" s="38">
        <v>2600903</v>
      </c>
      <c r="D85" s="39">
        <v>2.5742E-3</v>
      </c>
    </row>
    <row r="86" spans="1:4" x14ac:dyDescent="0.2">
      <c r="A86" s="1">
        <v>2017</v>
      </c>
      <c r="B86" s="37" t="s">
        <v>1239</v>
      </c>
      <c r="C86" s="38">
        <v>578763</v>
      </c>
      <c r="D86" s="39">
        <v>5.7282000000000003E-4</v>
      </c>
    </row>
    <row r="87" spans="1:4" x14ac:dyDescent="0.2">
      <c r="A87" s="1">
        <v>2017</v>
      </c>
      <c r="B87" s="37" t="s">
        <v>1240</v>
      </c>
      <c r="C87" s="38">
        <v>19561</v>
      </c>
      <c r="D87" s="39">
        <v>1.9360000000000001E-5</v>
      </c>
    </row>
    <row r="88" spans="1:4" x14ac:dyDescent="0.2">
      <c r="A88" s="1">
        <v>2017</v>
      </c>
      <c r="B88" s="37" t="s">
        <v>1241</v>
      </c>
      <c r="C88" s="38">
        <v>39236</v>
      </c>
      <c r="D88" s="39">
        <v>3.8829999999999999E-5</v>
      </c>
    </row>
    <row r="89" spans="1:4" x14ac:dyDescent="0.2">
      <c r="A89" s="1">
        <v>2017</v>
      </c>
      <c r="B89" s="37" t="s">
        <v>1242</v>
      </c>
      <c r="C89" s="38">
        <v>873123</v>
      </c>
      <c r="D89" s="39">
        <v>8.6415999999999999E-4</v>
      </c>
    </row>
    <row r="90" spans="1:4" x14ac:dyDescent="0.2">
      <c r="A90" s="1">
        <v>2017</v>
      </c>
      <c r="B90" s="37" t="s">
        <v>1243</v>
      </c>
      <c r="C90" s="38">
        <v>551675</v>
      </c>
      <c r="D90" s="39">
        <v>5.4600999999999998E-4</v>
      </c>
    </row>
    <row r="91" spans="1:4" x14ac:dyDescent="0.2">
      <c r="A91" s="1">
        <v>2017</v>
      </c>
      <c r="B91" s="37" t="s">
        <v>1244</v>
      </c>
      <c r="C91" s="38">
        <v>9255</v>
      </c>
      <c r="D91" s="39">
        <v>9.1600000000000004E-6</v>
      </c>
    </row>
    <row r="92" spans="1:4" x14ac:dyDescent="0.2">
      <c r="A92" s="1">
        <v>2017</v>
      </c>
      <c r="B92" s="37" t="s">
        <v>1245</v>
      </c>
      <c r="C92" s="38">
        <v>309152</v>
      </c>
      <c r="D92" s="39">
        <v>3.0598000000000002E-4</v>
      </c>
    </row>
    <row r="93" spans="1:4" x14ac:dyDescent="0.2">
      <c r="A93" s="1">
        <v>2017</v>
      </c>
      <c r="B93" s="37" t="s">
        <v>2024</v>
      </c>
      <c r="C93" s="38">
        <v>6451</v>
      </c>
      <c r="D93" s="39">
        <v>6.3799999999999999E-6</v>
      </c>
    </row>
    <row r="94" spans="1:4" x14ac:dyDescent="0.2">
      <c r="A94" s="1">
        <v>2017</v>
      </c>
      <c r="B94" s="37" t="s">
        <v>1247</v>
      </c>
      <c r="C94" s="38">
        <v>247622</v>
      </c>
      <c r="D94" s="39">
        <v>2.4508E-4</v>
      </c>
    </row>
    <row r="95" spans="1:4" x14ac:dyDescent="0.2">
      <c r="A95" s="1">
        <v>2017</v>
      </c>
      <c r="B95" s="37" t="s">
        <v>1248</v>
      </c>
      <c r="C95" s="38">
        <v>580575</v>
      </c>
      <c r="D95" s="39">
        <v>5.7461999999999997E-4</v>
      </c>
    </row>
    <row r="96" spans="1:4" x14ac:dyDescent="0.2">
      <c r="A96" s="1">
        <v>2017</v>
      </c>
      <c r="B96" s="37" t="s">
        <v>1249</v>
      </c>
      <c r="C96" s="38">
        <v>85202</v>
      </c>
      <c r="D96" s="39">
        <v>8.4330000000000001E-5</v>
      </c>
    </row>
    <row r="97" spans="1:4" x14ac:dyDescent="0.2">
      <c r="A97" s="1">
        <v>2017</v>
      </c>
      <c r="B97" s="37" t="s">
        <v>1250</v>
      </c>
      <c r="C97" s="38">
        <v>110034</v>
      </c>
      <c r="D97" s="39">
        <v>1.089E-4</v>
      </c>
    </row>
    <row r="98" spans="1:4" x14ac:dyDescent="0.2">
      <c r="A98" s="1">
        <v>2017</v>
      </c>
      <c r="B98" s="37" t="s">
        <v>1251</v>
      </c>
      <c r="C98" s="38">
        <v>349631</v>
      </c>
      <c r="D98" s="39">
        <v>3.4603999999999999E-4</v>
      </c>
    </row>
    <row r="99" spans="1:4" x14ac:dyDescent="0.2">
      <c r="A99" s="1">
        <v>2017</v>
      </c>
      <c r="B99" s="37" t="s">
        <v>1252</v>
      </c>
      <c r="C99" s="38">
        <v>604526</v>
      </c>
      <c r="D99" s="39">
        <v>5.9831999999999995E-4</v>
      </c>
    </row>
    <row r="100" spans="1:4" x14ac:dyDescent="0.2">
      <c r="A100" s="1">
        <v>2017</v>
      </c>
      <c r="B100" s="37" t="s">
        <v>2056</v>
      </c>
      <c r="C100" s="38">
        <v>87352</v>
      </c>
      <c r="D100" s="39">
        <v>8.6459999999999996E-5</v>
      </c>
    </row>
    <row r="101" spans="1:4" x14ac:dyDescent="0.2">
      <c r="A101" s="1">
        <v>2017</v>
      </c>
      <c r="B101" s="37" t="s">
        <v>1254</v>
      </c>
      <c r="C101" s="38">
        <v>1399380</v>
      </c>
      <c r="D101" s="39">
        <v>1.38502E-3</v>
      </c>
    </row>
    <row r="102" spans="1:4" x14ac:dyDescent="0.2">
      <c r="A102" s="1">
        <v>2017</v>
      </c>
      <c r="B102" s="37" t="s">
        <v>1255</v>
      </c>
      <c r="C102" s="38">
        <v>340498</v>
      </c>
      <c r="D102" s="39">
        <v>3.3700000000000001E-4</v>
      </c>
    </row>
    <row r="103" spans="1:4" x14ac:dyDescent="0.2">
      <c r="A103" s="1">
        <v>2017</v>
      </c>
      <c r="B103" s="37" t="s">
        <v>1256</v>
      </c>
      <c r="C103" s="38">
        <v>12999</v>
      </c>
      <c r="D103" s="39">
        <v>1.287E-5</v>
      </c>
    </row>
    <row r="104" spans="1:4" x14ac:dyDescent="0.2">
      <c r="A104" s="1">
        <v>2017</v>
      </c>
      <c r="B104" s="37" t="s">
        <v>1257</v>
      </c>
      <c r="C104" s="38">
        <v>503343</v>
      </c>
      <c r="D104" s="39">
        <v>4.9817999999999998E-4</v>
      </c>
    </row>
    <row r="105" spans="1:4" x14ac:dyDescent="0.2">
      <c r="A105" s="1">
        <v>2017</v>
      </c>
      <c r="B105" s="37" t="s">
        <v>1258</v>
      </c>
      <c r="C105" s="38">
        <v>1553974</v>
      </c>
      <c r="D105" s="39">
        <v>1.53802E-3</v>
      </c>
    </row>
    <row r="106" spans="1:4" x14ac:dyDescent="0.2">
      <c r="A106" s="1">
        <v>2017</v>
      </c>
      <c r="B106" s="37" t="s">
        <v>1260</v>
      </c>
      <c r="C106" s="38">
        <v>121393</v>
      </c>
      <c r="D106" s="39">
        <v>1.2015000000000001E-4</v>
      </c>
    </row>
    <row r="107" spans="1:4" x14ac:dyDescent="0.2">
      <c r="A107" s="1">
        <v>2017</v>
      </c>
      <c r="B107" s="37" t="s">
        <v>1261</v>
      </c>
      <c r="C107" s="38">
        <v>1340777</v>
      </c>
      <c r="D107" s="39">
        <v>1.32701E-3</v>
      </c>
    </row>
    <row r="108" spans="1:4" x14ac:dyDescent="0.2">
      <c r="A108" s="1">
        <v>2017</v>
      </c>
      <c r="B108" s="37" t="s">
        <v>1262</v>
      </c>
      <c r="C108" s="38">
        <v>492873</v>
      </c>
      <c r="D108" s="39">
        <v>4.8780999999999998E-4</v>
      </c>
    </row>
    <row r="109" spans="1:4" x14ac:dyDescent="0.2">
      <c r="A109" s="1">
        <v>2017</v>
      </c>
      <c r="B109" s="37" t="s">
        <v>1263</v>
      </c>
      <c r="C109" s="38">
        <v>645408</v>
      </c>
      <c r="D109" s="39">
        <v>6.3878000000000003E-4</v>
      </c>
    </row>
    <row r="110" spans="1:4" x14ac:dyDescent="0.2">
      <c r="A110" s="1">
        <v>2017</v>
      </c>
      <c r="B110" s="37" t="s">
        <v>1264</v>
      </c>
      <c r="C110" s="38">
        <v>71628</v>
      </c>
      <c r="D110" s="39">
        <v>7.0889999999999994E-5</v>
      </c>
    </row>
    <row r="111" spans="1:4" x14ac:dyDescent="0.2">
      <c r="A111" s="1">
        <v>2017</v>
      </c>
      <c r="B111" s="37" t="s">
        <v>1265</v>
      </c>
      <c r="C111" s="38">
        <v>596510</v>
      </c>
      <c r="D111" s="39">
        <v>5.9038999999999999E-4</v>
      </c>
    </row>
    <row r="112" spans="1:4" x14ac:dyDescent="0.2">
      <c r="A112" s="1">
        <v>2017</v>
      </c>
      <c r="B112" s="37" t="s">
        <v>1266</v>
      </c>
      <c r="C112" s="38">
        <v>877684</v>
      </c>
      <c r="D112" s="39">
        <v>8.6868000000000004E-4</v>
      </c>
    </row>
    <row r="113" spans="1:4" x14ac:dyDescent="0.2">
      <c r="A113" s="1">
        <v>2017</v>
      </c>
      <c r="B113" s="37" t="s">
        <v>1267</v>
      </c>
      <c r="C113" s="38">
        <v>74881</v>
      </c>
      <c r="D113" s="39">
        <v>7.4109999999999993E-5</v>
      </c>
    </row>
    <row r="114" spans="1:4" x14ac:dyDescent="0.2">
      <c r="A114" s="1">
        <v>2017</v>
      </c>
      <c r="B114" s="37" t="s">
        <v>1268</v>
      </c>
      <c r="C114" s="38">
        <v>2280051</v>
      </c>
      <c r="D114" s="39">
        <v>2.2566499999999998E-3</v>
      </c>
    </row>
    <row r="115" spans="1:4" x14ac:dyDescent="0.2">
      <c r="A115" s="1">
        <v>2017</v>
      </c>
      <c r="B115" s="37" t="s">
        <v>1269</v>
      </c>
      <c r="C115" s="38">
        <v>24961</v>
      </c>
      <c r="D115" s="39">
        <v>2.4700000000000001E-5</v>
      </c>
    </row>
    <row r="116" spans="1:4" x14ac:dyDescent="0.2">
      <c r="A116" s="1">
        <v>2017</v>
      </c>
      <c r="B116" s="37" t="s">
        <v>1270</v>
      </c>
      <c r="C116" s="38">
        <v>594777</v>
      </c>
      <c r="D116" s="39">
        <v>5.8867000000000001E-4</v>
      </c>
    </row>
    <row r="117" spans="1:4" x14ac:dyDescent="0.2">
      <c r="A117" s="1">
        <v>2017</v>
      </c>
      <c r="B117" s="37" t="s">
        <v>1271</v>
      </c>
      <c r="C117" s="38">
        <v>502737</v>
      </c>
      <c r="D117" s="39">
        <v>4.9757999999999996E-4</v>
      </c>
    </row>
    <row r="118" spans="1:4" x14ac:dyDescent="0.2">
      <c r="A118" s="1">
        <v>2017</v>
      </c>
      <c r="B118" s="37" t="s">
        <v>1272</v>
      </c>
      <c r="C118" s="38">
        <v>29749</v>
      </c>
      <c r="D118" s="39">
        <v>2.9439999999999999E-5</v>
      </c>
    </row>
    <row r="119" spans="1:4" x14ac:dyDescent="0.2">
      <c r="A119" s="1">
        <v>2017</v>
      </c>
      <c r="B119" s="37" t="s">
        <v>1273</v>
      </c>
      <c r="C119" s="38">
        <v>766814</v>
      </c>
      <c r="D119" s="39">
        <v>7.5894000000000005E-4</v>
      </c>
    </row>
    <row r="120" spans="1:4" x14ac:dyDescent="0.2">
      <c r="A120" s="1">
        <v>2017</v>
      </c>
      <c r="B120" s="37" t="s">
        <v>1274</v>
      </c>
      <c r="C120" s="38">
        <v>2854663</v>
      </c>
      <c r="D120" s="39">
        <v>2.8253599999999999E-3</v>
      </c>
    </row>
    <row r="121" spans="1:4" x14ac:dyDescent="0.2">
      <c r="A121" s="1">
        <v>2017</v>
      </c>
      <c r="B121" s="37" t="s">
        <v>1275</v>
      </c>
      <c r="C121" s="38">
        <v>1263011</v>
      </c>
      <c r="D121" s="39">
        <v>1.2500499999999999E-3</v>
      </c>
    </row>
    <row r="122" spans="1:4" x14ac:dyDescent="0.2">
      <c r="A122" s="1">
        <v>2017</v>
      </c>
      <c r="B122" s="37" t="s">
        <v>1276</v>
      </c>
      <c r="C122" s="38">
        <v>3615383</v>
      </c>
      <c r="D122" s="39">
        <v>3.5782700000000001E-3</v>
      </c>
    </row>
    <row r="123" spans="1:4" x14ac:dyDescent="0.2">
      <c r="A123" s="1">
        <v>2017</v>
      </c>
      <c r="B123" s="37" t="s">
        <v>1277</v>
      </c>
      <c r="C123" s="38">
        <v>1374870</v>
      </c>
      <c r="D123" s="39">
        <v>1.3607599999999999E-3</v>
      </c>
    </row>
    <row r="124" spans="1:4" x14ac:dyDescent="0.2">
      <c r="A124" s="1">
        <v>2017</v>
      </c>
      <c r="B124" s="37" t="s">
        <v>1278</v>
      </c>
      <c r="C124" s="38">
        <v>791690</v>
      </c>
      <c r="D124" s="39">
        <v>7.8355999999999999E-4</v>
      </c>
    </row>
    <row r="125" spans="1:4" x14ac:dyDescent="0.2">
      <c r="A125" s="1">
        <v>2017</v>
      </c>
      <c r="B125" s="37" t="s">
        <v>1279</v>
      </c>
      <c r="C125" s="38">
        <v>4817</v>
      </c>
      <c r="D125" s="39">
        <v>4.7700000000000001E-6</v>
      </c>
    </row>
    <row r="126" spans="1:4" x14ac:dyDescent="0.2">
      <c r="A126" s="1">
        <v>2017</v>
      </c>
      <c r="B126" s="37" t="s">
        <v>1280</v>
      </c>
      <c r="C126" s="38">
        <v>1902427</v>
      </c>
      <c r="D126" s="39">
        <v>1.8829000000000001E-3</v>
      </c>
    </row>
    <row r="127" spans="1:4" x14ac:dyDescent="0.2">
      <c r="A127" s="1">
        <v>2017</v>
      </c>
      <c r="B127" s="37" t="s">
        <v>1281</v>
      </c>
      <c r="C127" s="38">
        <v>193249</v>
      </c>
      <c r="D127" s="39">
        <v>1.9127E-4</v>
      </c>
    </row>
    <row r="128" spans="1:4" x14ac:dyDescent="0.2">
      <c r="A128" s="1">
        <v>2017</v>
      </c>
      <c r="B128" s="37" t="s">
        <v>1282</v>
      </c>
      <c r="C128" s="38">
        <v>503396</v>
      </c>
      <c r="D128" s="39">
        <v>4.9823000000000001E-4</v>
      </c>
    </row>
    <row r="129" spans="1:4" x14ac:dyDescent="0.2">
      <c r="A129" s="1">
        <v>2017</v>
      </c>
      <c r="B129" s="37" t="s">
        <v>1283</v>
      </c>
      <c r="C129" s="38">
        <v>37466</v>
      </c>
      <c r="D129" s="39">
        <v>3.7079999999999997E-5</v>
      </c>
    </row>
    <row r="130" spans="1:4" x14ac:dyDescent="0.2">
      <c r="A130" s="1">
        <v>2017</v>
      </c>
      <c r="B130" s="37" t="s">
        <v>1284</v>
      </c>
      <c r="C130" s="38">
        <v>36413</v>
      </c>
      <c r="D130" s="39">
        <v>3.6040000000000001E-5</v>
      </c>
    </row>
    <row r="131" spans="1:4" x14ac:dyDescent="0.2">
      <c r="A131" s="1">
        <v>2017</v>
      </c>
      <c r="B131" s="37" t="s">
        <v>1285</v>
      </c>
      <c r="C131" s="38">
        <v>278245</v>
      </c>
      <c r="D131" s="39">
        <v>2.7538999999999998E-4</v>
      </c>
    </row>
    <row r="132" spans="1:4" x14ac:dyDescent="0.2">
      <c r="A132" s="1">
        <v>2017</v>
      </c>
      <c r="B132" s="37" t="s">
        <v>1286</v>
      </c>
      <c r="C132" s="38">
        <v>433181</v>
      </c>
      <c r="D132" s="39">
        <v>4.2873E-4</v>
      </c>
    </row>
    <row r="133" spans="1:4" x14ac:dyDescent="0.2">
      <c r="A133" s="1">
        <v>2017</v>
      </c>
      <c r="B133" s="37" t="s">
        <v>1287</v>
      </c>
      <c r="C133" s="38">
        <v>1424893</v>
      </c>
      <c r="D133" s="39">
        <v>1.4102699999999999E-3</v>
      </c>
    </row>
    <row r="134" spans="1:4" x14ac:dyDescent="0.2">
      <c r="A134" s="1">
        <v>2017</v>
      </c>
      <c r="B134" s="37" t="s">
        <v>1288</v>
      </c>
      <c r="C134" s="38">
        <v>1537301</v>
      </c>
      <c r="D134" s="39">
        <v>1.5215199999999999E-3</v>
      </c>
    </row>
    <row r="135" spans="1:4" x14ac:dyDescent="0.2">
      <c r="A135" s="1">
        <v>2017</v>
      </c>
      <c r="B135" s="37" t="s">
        <v>1289</v>
      </c>
      <c r="C135" s="38">
        <v>107573</v>
      </c>
      <c r="D135" s="39">
        <v>1.0647E-4</v>
      </c>
    </row>
    <row r="136" spans="1:4" x14ac:dyDescent="0.2">
      <c r="A136" s="1">
        <v>2017</v>
      </c>
      <c r="B136" s="37" t="s">
        <v>1290</v>
      </c>
      <c r="C136" s="38">
        <v>709824</v>
      </c>
      <c r="D136" s="39">
        <v>7.0253999999999998E-4</v>
      </c>
    </row>
    <row r="137" spans="1:4" x14ac:dyDescent="0.2">
      <c r="A137" s="1">
        <v>2017</v>
      </c>
      <c r="B137" s="37" t="s">
        <v>1291</v>
      </c>
      <c r="C137" s="38">
        <v>3310506</v>
      </c>
      <c r="D137" s="39">
        <v>3.2765200000000002E-3</v>
      </c>
    </row>
    <row r="138" spans="1:4" x14ac:dyDescent="0.2">
      <c r="A138" s="1">
        <v>2017</v>
      </c>
      <c r="B138" s="37" t="s">
        <v>1292</v>
      </c>
      <c r="C138" s="38">
        <v>66681</v>
      </c>
      <c r="D138" s="39">
        <v>6.6000000000000005E-5</v>
      </c>
    </row>
    <row r="139" spans="1:4" x14ac:dyDescent="0.2">
      <c r="A139" s="1">
        <v>2017</v>
      </c>
      <c r="B139" s="37" t="s">
        <v>1293</v>
      </c>
      <c r="C139" s="38">
        <v>59764</v>
      </c>
      <c r="D139" s="39">
        <v>5.9150000000000001E-5</v>
      </c>
    </row>
    <row r="140" spans="1:4" x14ac:dyDescent="0.2">
      <c r="A140" s="1">
        <v>2017</v>
      </c>
      <c r="B140" s="37" t="s">
        <v>1294</v>
      </c>
      <c r="C140" s="38">
        <v>39314</v>
      </c>
      <c r="D140" s="39">
        <v>3.8909999999999998E-5</v>
      </c>
    </row>
    <row r="141" spans="1:4" x14ac:dyDescent="0.2">
      <c r="A141" s="1">
        <v>2017</v>
      </c>
      <c r="B141" s="37" t="s">
        <v>1295</v>
      </c>
      <c r="C141" s="38">
        <v>1899555</v>
      </c>
      <c r="D141" s="39">
        <v>1.88006E-3</v>
      </c>
    </row>
    <row r="142" spans="1:4" x14ac:dyDescent="0.2">
      <c r="A142" s="1">
        <v>2017</v>
      </c>
      <c r="B142" s="37" t="s">
        <v>1296</v>
      </c>
      <c r="C142" s="38">
        <v>693597</v>
      </c>
      <c r="D142" s="39">
        <v>6.8647999999999995E-4</v>
      </c>
    </row>
    <row r="143" spans="1:4" x14ac:dyDescent="0.2">
      <c r="A143" s="1">
        <v>2017</v>
      </c>
      <c r="B143" s="37" t="s">
        <v>1297</v>
      </c>
      <c r="C143" s="38">
        <v>46872</v>
      </c>
      <c r="D143" s="39">
        <v>4.6390000000000001E-5</v>
      </c>
    </row>
    <row r="144" spans="1:4" x14ac:dyDescent="0.2">
      <c r="A144" s="1">
        <v>2017</v>
      </c>
      <c r="B144" s="37" t="s">
        <v>1298</v>
      </c>
      <c r="C144" s="38">
        <v>26998</v>
      </c>
      <c r="D144" s="39">
        <v>2.6720000000000002E-5</v>
      </c>
    </row>
    <row r="145" spans="1:4" x14ac:dyDescent="0.2">
      <c r="A145" s="1">
        <v>2017</v>
      </c>
      <c r="B145" s="37" t="s">
        <v>1299</v>
      </c>
      <c r="C145" s="38">
        <v>2263970</v>
      </c>
      <c r="D145" s="39">
        <v>2.2407299999999998E-3</v>
      </c>
    </row>
    <row r="146" spans="1:4" x14ac:dyDescent="0.2">
      <c r="A146" s="1">
        <v>2017</v>
      </c>
      <c r="B146" s="37" t="s">
        <v>1300</v>
      </c>
      <c r="C146" s="38">
        <v>916380</v>
      </c>
      <c r="D146" s="39">
        <v>9.0697E-4</v>
      </c>
    </row>
    <row r="147" spans="1:4" x14ac:dyDescent="0.2">
      <c r="A147" s="1">
        <v>2017</v>
      </c>
      <c r="B147" s="37" t="s">
        <v>1301</v>
      </c>
      <c r="C147" s="38">
        <v>322687</v>
      </c>
      <c r="D147" s="39">
        <v>3.1936999999999997E-4</v>
      </c>
    </row>
    <row r="148" spans="1:4" x14ac:dyDescent="0.2">
      <c r="A148" s="1">
        <v>2017</v>
      </c>
      <c r="B148" s="37" t="s">
        <v>1302</v>
      </c>
      <c r="C148" s="38">
        <v>70676</v>
      </c>
      <c r="D148" s="39">
        <v>6.9950000000000006E-5</v>
      </c>
    </row>
    <row r="149" spans="1:4" x14ac:dyDescent="0.2">
      <c r="A149" s="1">
        <v>2017</v>
      </c>
      <c r="B149" s="37" t="s">
        <v>1303</v>
      </c>
      <c r="C149" s="38">
        <v>1784264</v>
      </c>
      <c r="D149" s="39">
        <v>1.7659500000000001E-3</v>
      </c>
    </row>
    <row r="150" spans="1:4" x14ac:dyDescent="0.2">
      <c r="A150" s="1">
        <v>2017</v>
      </c>
      <c r="B150" s="37" t="s">
        <v>1304</v>
      </c>
      <c r="C150" s="38">
        <v>20332</v>
      </c>
      <c r="D150" s="39">
        <v>2.012E-5</v>
      </c>
    </row>
    <row r="151" spans="1:4" x14ac:dyDescent="0.2">
      <c r="A151" s="1">
        <v>2017</v>
      </c>
      <c r="B151" s="37" t="s">
        <v>1305</v>
      </c>
      <c r="C151" s="38">
        <v>12239</v>
      </c>
      <c r="D151" s="39">
        <v>1.2109999999999999E-5</v>
      </c>
    </row>
    <row r="152" spans="1:4" x14ac:dyDescent="0.2">
      <c r="A152" s="1">
        <v>2017</v>
      </c>
      <c r="B152" s="37" t="s">
        <v>1306</v>
      </c>
      <c r="C152" s="38">
        <v>12547033</v>
      </c>
      <c r="D152" s="39">
        <v>1.2418240000000001E-2</v>
      </c>
    </row>
    <row r="153" spans="1:4" x14ac:dyDescent="0.2">
      <c r="A153" s="1">
        <v>2017</v>
      </c>
      <c r="B153" s="37" t="s">
        <v>1307</v>
      </c>
      <c r="C153" s="38">
        <v>42474</v>
      </c>
      <c r="D153" s="39">
        <v>4.2039999999999997E-5</v>
      </c>
    </row>
    <row r="154" spans="1:4" x14ac:dyDescent="0.2">
      <c r="A154" s="1">
        <v>2017</v>
      </c>
      <c r="B154" s="17" t="s">
        <v>1308</v>
      </c>
      <c r="C154" s="18">
        <v>2395106</v>
      </c>
      <c r="D154" s="19">
        <v>2.3705200000000001E-3</v>
      </c>
    </row>
    <row r="155" spans="1:4" x14ac:dyDescent="0.2">
      <c r="A155" s="1">
        <v>2017</v>
      </c>
      <c r="B155" s="17" t="s">
        <v>1309</v>
      </c>
      <c r="C155" s="18">
        <v>511191</v>
      </c>
      <c r="D155" s="19">
        <v>5.0593999999999997E-4</v>
      </c>
    </row>
    <row r="156" spans="1:4" x14ac:dyDescent="0.2">
      <c r="A156" s="1">
        <v>2017</v>
      </c>
      <c r="B156" s="17" t="s">
        <v>1310</v>
      </c>
      <c r="C156" s="18">
        <v>19003</v>
      </c>
      <c r="D156" s="19">
        <v>1.8810000000000001E-5</v>
      </c>
    </row>
    <row r="157" spans="1:4" x14ac:dyDescent="0.2">
      <c r="A157" s="1">
        <v>2017</v>
      </c>
      <c r="B157" s="17" t="s">
        <v>1311</v>
      </c>
      <c r="C157" s="18">
        <v>3484</v>
      </c>
      <c r="D157" s="19">
        <v>3.45E-6</v>
      </c>
    </row>
    <row r="158" spans="1:4" x14ac:dyDescent="0.2">
      <c r="A158" s="1">
        <v>2017</v>
      </c>
      <c r="B158" s="17" t="s">
        <v>1312</v>
      </c>
      <c r="C158" s="18">
        <v>4158</v>
      </c>
      <c r="D158" s="19">
        <v>4.1200000000000004E-6</v>
      </c>
    </row>
    <row r="159" spans="1:4" x14ac:dyDescent="0.2">
      <c r="A159" s="1">
        <v>2017</v>
      </c>
      <c r="B159" s="17" t="s">
        <v>1313</v>
      </c>
      <c r="C159" s="18">
        <v>22180</v>
      </c>
      <c r="D159" s="19">
        <v>2.1950000000000002E-5</v>
      </c>
    </row>
    <row r="160" spans="1:4" x14ac:dyDescent="0.2">
      <c r="A160" s="1">
        <v>2017</v>
      </c>
      <c r="B160" s="17" t="s">
        <v>1314</v>
      </c>
      <c r="C160" s="17">
        <v>869</v>
      </c>
      <c r="D160" s="19">
        <v>8.6000000000000002E-7</v>
      </c>
    </row>
    <row r="161" spans="1:4" x14ac:dyDescent="0.2">
      <c r="A161" s="1">
        <v>2017</v>
      </c>
      <c r="B161" s="17" t="s">
        <v>1315</v>
      </c>
      <c r="C161" s="18">
        <v>228127</v>
      </c>
      <c r="D161" s="19">
        <v>2.2578999999999999E-4</v>
      </c>
    </row>
    <row r="162" spans="1:4" x14ac:dyDescent="0.2">
      <c r="A162" s="1">
        <v>2017</v>
      </c>
      <c r="B162" s="17" t="s">
        <v>1316</v>
      </c>
      <c r="C162" s="18">
        <v>82276</v>
      </c>
      <c r="D162" s="19">
        <v>8.1429999999999998E-5</v>
      </c>
    </row>
    <row r="163" spans="1:4" x14ac:dyDescent="0.2">
      <c r="A163" s="1">
        <v>2017</v>
      </c>
      <c r="B163" s="17" t="s">
        <v>1317</v>
      </c>
      <c r="C163" s="18">
        <v>57215</v>
      </c>
      <c r="D163" s="19">
        <v>5.6629999999999998E-5</v>
      </c>
    </row>
    <row r="164" spans="1:4" x14ac:dyDescent="0.2">
      <c r="A164" s="1">
        <v>2017</v>
      </c>
      <c r="B164" s="17" t="s">
        <v>1318</v>
      </c>
      <c r="C164" s="18">
        <v>42000</v>
      </c>
      <c r="D164" s="19">
        <v>4.1569999999999997E-5</v>
      </c>
    </row>
    <row r="165" spans="1:4" x14ac:dyDescent="0.2">
      <c r="A165" s="1">
        <v>2017</v>
      </c>
      <c r="B165" s="17" t="s">
        <v>1319</v>
      </c>
      <c r="C165" s="18">
        <v>22049</v>
      </c>
      <c r="D165" s="19">
        <v>2.1820000000000001E-5</v>
      </c>
    </row>
    <row r="166" spans="1:4" x14ac:dyDescent="0.2">
      <c r="A166" s="1">
        <v>2017</v>
      </c>
      <c r="B166" s="17" t="s">
        <v>1320</v>
      </c>
      <c r="C166" s="18">
        <v>2694921</v>
      </c>
      <c r="D166" s="19">
        <v>2.6672599999999999E-3</v>
      </c>
    </row>
    <row r="167" spans="1:4" x14ac:dyDescent="0.2">
      <c r="A167" s="1">
        <v>2017</v>
      </c>
      <c r="B167" s="17" t="s">
        <v>1321</v>
      </c>
      <c r="C167" s="18">
        <v>4830283</v>
      </c>
      <c r="D167" s="19">
        <v>4.7806999999999997E-3</v>
      </c>
    </row>
    <row r="168" spans="1:4" x14ac:dyDescent="0.2">
      <c r="A168" s="1">
        <v>2017</v>
      </c>
      <c r="B168" s="17" t="s">
        <v>1322</v>
      </c>
      <c r="C168" s="18">
        <v>3344667</v>
      </c>
      <c r="D168" s="19">
        <v>3.3103300000000002E-3</v>
      </c>
    </row>
    <row r="169" spans="1:4" x14ac:dyDescent="0.2">
      <c r="A169" s="1">
        <v>2017</v>
      </c>
      <c r="B169" s="17" t="s">
        <v>1323</v>
      </c>
      <c r="C169" s="18">
        <v>17333264</v>
      </c>
      <c r="D169" s="19">
        <v>1.7155340000000002E-2</v>
      </c>
    </row>
    <row r="170" spans="1:4" x14ac:dyDescent="0.2">
      <c r="A170" s="1">
        <v>2017</v>
      </c>
      <c r="B170" s="17" t="s">
        <v>1324</v>
      </c>
      <c r="C170" s="18">
        <v>25404</v>
      </c>
      <c r="D170" s="19">
        <v>2.514E-5</v>
      </c>
    </row>
    <row r="171" spans="1:4" x14ac:dyDescent="0.2">
      <c r="A171" s="1">
        <v>2017</v>
      </c>
      <c r="B171" s="17" t="s">
        <v>1325</v>
      </c>
      <c r="C171" s="18">
        <v>23627831</v>
      </c>
      <c r="D171" s="19">
        <v>2.338529E-2</v>
      </c>
    </row>
    <row r="172" spans="1:4" x14ac:dyDescent="0.2">
      <c r="A172" s="1">
        <v>2017</v>
      </c>
      <c r="B172" s="17" t="s">
        <v>1326</v>
      </c>
      <c r="C172" s="18">
        <v>4309756</v>
      </c>
      <c r="D172" s="19">
        <v>4.2655200000000001E-3</v>
      </c>
    </row>
    <row r="173" spans="1:4" x14ac:dyDescent="0.2">
      <c r="A173" s="1">
        <v>2017</v>
      </c>
      <c r="B173" s="17" t="s">
        <v>1327</v>
      </c>
      <c r="C173" s="18">
        <v>218557</v>
      </c>
      <c r="D173" s="19">
        <v>2.1630999999999999E-4</v>
      </c>
    </row>
    <row r="174" spans="1:4" x14ac:dyDescent="0.2">
      <c r="A174" s="1">
        <v>2017</v>
      </c>
      <c r="B174" s="17" t="s">
        <v>1328</v>
      </c>
      <c r="C174" s="18">
        <v>10685</v>
      </c>
      <c r="D174" s="19">
        <v>1.058E-5</v>
      </c>
    </row>
    <row r="175" spans="1:4" x14ac:dyDescent="0.2">
      <c r="A175" s="1">
        <v>2017</v>
      </c>
      <c r="B175" s="17" t="s">
        <v>2057</v>
      </c>
      <c r="C175" s="18">
        <v>10985</v>
      </c>
      <c r="D175" s="19">
        <v>1.0869999999999999E-5</v>
      </c>
    </row>
    <row r="176" spans="1:4" x14ac:dyDescent="0.2">
      <c r="A176" s="1">
        <v>2017</v>
      </c>
      <c r="B176" s="17" t="s">
        <v>1330</v>
      </c>
      <c r="C176" s="18">
        <v>132002</v>
      </c>
      <c r="D176" s="19">
        <v>1.3065E-4</v>
      </c>
    </row>
    <row r="177" spans="1:4" x14ac:dyDescent="0.2">
      <c r="A177" s="1">
        <v>2017</v>
      </c>
      <c r="B177" s="17" t="s">
        <v>1331</v>
      </c>
      <c r="C177" s="18">
        <v>924055</v>
      </c>
      <c r="D177" s="19">
        <v>9.1456999999999997E-4</v>
      </c>
    </row>
    <row r="178" spans="1:4" x14ac:dyDescent="0.2">
      <c r="A178" s="1">
        <v>2017</v>
      </c>
      <c r="B178" s="17" t="s">
        <v>1332</v>
      </c>
      <c r="C178" s="18">
        <v>2954844</v>
      </c>
      <c r="D178" s="19">
        <v>2.92451E-3</v>
      </c>
    </row>
    <row r="179" spans="1:4" x14ac:dyDescent="0.2">
      <c r="A179" s="1">
        <v>2017</v>
      </c>
      <c r="B179" s="17" t="s">
        <v>1333</v>
      </c>
      <c r="C179" s="18">
        <v>60896</v>
      </c>
      <c r="D179" s="19">
        <v>6.0269999999999997E-5</v>
      </c>
    </row>
    <row r="180" spans="1:4" x14ac:dyDescent="0.2">
      <c r="A180" s="1">
        <v>2017</v>
      </c>
      <c r="B180" s="17" t="s">
        <v>1334</v>
      </c>
      <c r="C180" s="18">
        <v>78067</v>
      </c>
      <c r="D180" s="19">
        <v>7.7269999999999997E-5</v>
      </c>
    </row>
    <row r="181" spans="1:4" x14ac:dyDescent="0.2">
      <c r="A181" s="1">
        <v>2017</v>
      </c>
      <c r="B181" s="17" t="s">
        <v>2058</v>
      </c>
      <c r="C181" s="18">
        <v>26831</v>
      </c>
      <c r="D181" s="19">
        <v>2.656E-5</v>
      </c>
    </row>
    <row r="182" spans="1:4" x14ac:dyDescent="0.2">
      <c r="A182" s="1">
        <v>2017</v>
      </c>
      <c r="B182" s="17" t="s">
        <v>1336</v>
      </c>
      <c r="C182" s="18">
        <v>122535</v>
      </c>
      <c r="D182" s="19">
        <v>1.2128E-4</v>
      </c>
    </row>
    <row r="183" spans="1:4" x14ac:dyDescent="0.2">
      <c r="A183" s="1">
        <v>2017</v>
      </c>
      <c r="B183" s="17" t="s">
        <v>1337</v>
      </c>
      <c r="C183" s="18">
        <v>343386</v>
      </c>
      <c r="D183" s="19">
        <v>3.3985999999999999E-4</v>
      </c>
    </row>
    <row r="184" spans="1:4" x14ac:dyDescent="0.2">
      <c r="A184" s="1">
        <v>2017</v>
      </c>
      <c r="B184" s="17" t="s">
        <v>1338</v>
      </c>
      <c r="C184" s="18">
        <v>1799171</v>
      </c>
      <c r="D184" s="19">
        <v>1.7807000000000001E-3</v>
      </c>
    </row>
    <row r="185" spans="1:4" x14ac:dyDescent="0.2">
      <c r="A185" s="1">
        <v>2017</v>
      </c>
      <c r="B185" s="17" t="s">
        <v>1339</v>
      </c>
      <c r="C185" s="18">
        <v>795389</v>
      </c>
      <c r="D185" s="19">
        <v>7.8722000000000004E-4</v>
      </c>
    </row>
    <row r="186" spans="1:4" x14ac:dyDescent="0.2">
      <c r="A186" s="1">
        <v>2017</v>
      </c>
      <c r="B186" s="17" t="s">
        <v>1340</v>
      </c>
      <c r="C186" s="18">
        <v>51831</v>
      </c>
      <c r="D186" s="19">
        <v>5.13E-5</v>
      </c>
    </row>
    <row r="187" spans="1:4" x14ac:dyDescent="0.2">
      <c r="A187" s="1">
        <v>2017</v>
      </c>
      <c r="B187" s="17" t="s">
        <v>1341</v>
      </c>
      <c r="C187" s="18">
        <v>2845330</v>
      </c>
      <c r="D187" s="19">
        <v>2.8161200000000001E-3</v>
      </c>
    </row>
    <row r="188" spans="1:4" x14ac:dyDescent="0.2">
      <c r="A188" s="1">
        <v>2017</v>
      </c>
      <c r="B188" s="17" t="s">
        <v>1342</v>
      </c>
      <c r="C188" s="18">
        <v>32625</v>
      </c>
      <c r="D188" s="19">
        <v>3.2289999999999997E-5</v>
      </c>
    </row>
    <row r="189" spans="1:4" x14ac:dyDescent="0.2">
      <c r="A189" s="1">
        <v>2017</v>
      </c>
      <c r="B189" s="17" t="s">
        <v>1343</v>
      </c>
      <c r="C189" s="18">
        <v>4384350</v>
      </c>
      <c r="D189" s="19">
        <v>4.3393499999999996E-3</v>
      </c>
    </row>
    <row r="190" spans="1:4" x14ac:dyDescent="0.2">
      <c r="A190" s="1">
        <v>2017</v>
      </c>
      <c r="B190" s="17" t="s">
        <v>1344</v>
      </c>
      <c r="C190" s="18">
        <v>935835</v>
      </c>
      <c r="D190" s="19">
        <v>9.2623E-4</v>
      </c>
    </row>
    <row r="191" spans="1:4" x14ac:dyDescent="0.2">
      <c r="A191" s="1">
        <v>2017</v>
      </c>
      <c r="B191" s="17" t="s">
        <v>1345</v>
      </c>
      <c r="C191" s="18">
        <v>57867</v>
      </c>
      <c r="D191" s="19">
        <v>5.7269999999999999E-5</v>
      </c>
    </row>
    <row r="192" spans="1:4" x14ac:dyDescent="0.2">
      <c r="A192" s="1">
        <v>2017</v>
      </c>
      <c r="B192" s="37" t="s">
        <v>1346</v>
      </c>
      <c r="C192" s="38">
        <v>35699</v>
      </c>
      <c r="D192" s="39">
        <v>3.5330000000000002E-5</v>
      </c>
    </row>
    <row r="193" spans="1:4" x14ac:dyDescent="0.2">
      <c r="A193" s="1">
        <v>2017</v>
      </c>
      <c r="B193" s="37" t="s">
        <v>1347</v>
      </c>
      <c r="C193" s="38">
        <v>649030</v>
      </c>
      <c r="D193" s="39">
        <v>6.4236999999999996E-4</v>
      </c>
    </row>
    <row r="194" spans="1:4" x14ac:dyDescent="0.2">
      <c r="A194" s="1">
        <v>2017</v>
      </c>
      <c r="B194" s="37" t="s">
        <v>1348</v>
      </c>
      <c r="C194" s="38">
        <v>35389</v>
      </c>
      <c r="D194" s="39">
        <v>3.5030000000000002E-5</v>
      </c>
    </row>
    <row r="195" spans="1:4" x14ac:dyDescent="0.2">
      <c r="A195" s="1">
        <v>2017</v>
      </c>
      <c r="B195" s="37" t="s">
        <v>1349</v>
      </c>
      <c r="C195" s="38">
        <v>26189</v>
      </c>
      <c r="D195" s="39">
        <v>2.5919999999999999E-5</v>
      </c>
    </row>
    <row r="196" spans="1:4" x14ac:dyDescent="0.2">
      <c r="A196" s="1">
        <v>2017</v>
      </c>
      <c r="B196" s="37" t="s">
        <v>1350</v>
      </c>
      <c r="C196" s="38">
        <v>263587</v>
      </c>
      <c r="D196" s="39">
        <v>2.6088000000000001E-4</v>
      </c>
    </row>
    <row r="197" spans="1:4" x14ac:dyDescent="0.2">
      <c r="A197" s="1">
        <v>2017</v>
      </c>
      <c r="B197" s="37" t="s">
        <v>1351</v>
      </c>
      <c r="C197" s="38">
        <v>5688738</v>
      </c>
      <c r="D197" s="39">
        <v>5.6303400000000002E-3</v>
      </c>
    </row>
    <row r="198" spans="1:4" x14ac:dyDescent="0.2">
      <c r="A198" s="1">
        <v>2017</v>
      </c>
      <c r="B198" s="37" t="s">
        <v>1352</v>
      </c>
      <c r="C198" s="38">
        <v>900064</v>
      </c>
      <c r="D198" s="39">
        <v>8.9083000000000001E-4</v>
      </c>
    </row>
    <row r="199" spans="1:4" x14ac:dyDescent="0.2">
      <c r="A199" s="1">
        <v>2017</v>
      </c>
      <c r="B199" s="37" t="s">
        <v>1353</v>
      </c>
      <c r="C199" s="38">
        <v>62470</v>
      </c>
      <c r="D199" s="39">
        <v>6.1829999999999996E-5</v>
      </c>
    </row>
    <row r="200" spans="1:4" x14ac:dyDescent="0.2">
      <c r="A200" s="1">
        <v>2017</v>
      </c>
      <c r="B200" s="37" t="s">
        <v>1354</v>
      </c>
      <c r="C200" s="38">
        <v>772433</v>
      </c>
      <c r="D200" s="39">
        <v>7.6449999999999999E-4</v>
      </c>
    </row>
    <row r="201" spans="1:4" x14ac:dyDescent="0.2">
      <c r="A201" s="1">
        <v>2017</v>
      </c>
      <c r="B201" s="37" t="s">
        <v>1355</v>
      </c>
      <c r="C201" s="38">
        <v>30179</v>
      </c>
      <c r="D201" s="39">
        <v>2.987E-5</v>
      </c>
    </row>
    <row r="202" spans="1:4" x14ac:dyDescent="0.2">
      <c r="A202" s="1">
        <v>2017</v>
      </c>
      <c r="B202" s="37" t="s">
        <v>1356</v>
      </c>
      <c r="C202" s="38">
        <v>7221</v>
      </c>
      <c r="D202" s="39">
        <v>7.1500000000000002E-6</v>
      </c>
    </row>
    <row r="203" spans="1:4" x14ac:dyDescent="0.2">
      <c r="A203" s="1">
        <v>2017</v>
      </c>
      <c r="B203" s="37" t="s">
        <v>1357</v>
      </c>
      <c r="C203" s="38">
        <v>61474</v>
      </c>
      <c r="D203" s="39">
        <v>6.084E-5</v>
      </c>
    </row>
    <row r="204" spans="1:4" x14ac:dyDescent="0.2">
      <c r="A204" s="1">
        <v>2017</v>
      </c>
      <c r="B204" s="37" t="s">
        <v>1358</v>
      </c>
      <c r="C204" s="38">
        <v>90507</v>
      </c>
      <c r="D204" s="39">
        <v>8.9580000000000006E-5</v>
      </c>
    </row>
    <row r="205" spans="1:4" x14ac:dyDescent="0.2">
      <c r="A205" s="1">
        <v>2017</v>
      </c>
      <c r="B205" s="37" t="s">
        <v>1359</v>
      </c>
      <c r="C205" s="38">
        <v>8225</v>
      </c>
      <c r="D205" s="39">
        <v>8.14E-6</v>
      </c>
    </row>
    <row r="206" spans="1:4" x14ac:dyDescent="0.2">
      <c r="A206" s="1">
        <v>2017</v>
      </c>
      <c r="B206" s="37" t="s">
        <v>1360</v>
      </c>
      <c r="C206" s="38">
        <v>122130</v>
      </c>
      <c r="D206" s="39">
        <v>1.2087999999999999E-4</v>
      </c>
    </row>
    <row r="207" spans="1:4" x14ac:dyDescent="0.2">
      <c r="A207" s="1">
        <v>2017</v>
      </c>
      <c r="B207" s="37" t="s">
        <v>1361</v>
      </c>
      <c r="C207" s="38">
        <v>17271</v>
      </c>
      <c r="D207" s="39">
        <v>1.7090000000000001E-5</v>
      </c>
    </row>
    <row r="208" spans="1:4" x14ac:dyDescent="0.2">
      <c r="A208" s="1">
        <v>2017</v>
      </c>
      <c r="B208" s="37" t="s">
        <v>1362</v>
      </c>
      <c r="C208" s="38">
        <v>1215721</v>
      </c>
      <c r="D208" s="39">
        <v>1.20324E-3</v>
      </c>
    </row>
    <row r="209" spans="1:4" x14ac:dyDescent="0.2">
      <c r="A209" s="1">
        <v>2017</v>
      </c>
      <c r="B209" s="37" t="s">
        <v>1363</v>
      </c>
      <c r="C209" s="38">
        <v>3046576</v>
      </c>
      <c r="D209" s="39">
        <v>3.0152999999999998E-3</v>
      </c>
    </row>
    <row r="210" spans="1:4" x14ac:dyDescent="0.2">
      <c r="A210" s="1">
        <v>2017</v>
      </c>
      <c r="B210" s="37" t="s">
        <v>1364</v>
      </c>
      <c r="C210" s="38">
        <v>417950</v>
      </c>
      <c r="D210" s="39">
        <v>4.1365999999999999E-4</v>
      </c>
    </row>
    <row r="211" spans="1:4" x14ac:dyDescent="0.2">
      <c r="A211" s="1">
        <v>2017</v>
      </c>
      <c r="B211" s="37" t="s">
        <v>1365</v>
      </c>
      <c r="C211" s="38">
        <v>81066</v>
      </c>
      <c r="D211" s="39">
        <v>8.0229999999999996E-5</v>
      </c>
    </row>
    <row r="212" spans="1:4" x14ac:dyDescent="0.2">
      <c r="A212" s="1">
        <v>2017</v>
      </c>
      <c r="B212" s="37" t="s">
        <v>1366</v>
      </c>
      <c r="C212" s="38">
        <v>206296</v>
      </c>
      <c r="D212" s="39">
        <v>2.0417999999999999E-4</v>
      </c>
    </row>
    <row r="213" spans="1:4" x14ac:dyDescent="0.2">
      <c r="A213" s="1">
        <v>2017</v>
      </c>
      <c r="B213" s="37" t="s">
        <v>1367</v>
      </c>
      <c r="C213" s="38">
        <v>1540679</v>
      </c>
      <c r="D213" s="39">
        <v>1.5248600000000001E-3</v>
      </c>
    </row>
    <row r="214" spans="1:4" x14ac:dyDescent="0.2">
      <c r="A214" s="1">
        <v>2017</v>
      </c>
      <c r="B214" s="37" t="s">
        <v>1368</v>
      </c>
      <c r="C214" s="38">
        <v>450894</v>
      </c>
      <c r="D214" s="39">
        <v>4.4627000000000002E-4</v>
      </c>
    </row>
    <row r="215" spans="1:4" x14ac:dyDescent="0.2">
      <c r="A215" s="1">
        <v>2017</v>
      </c>
      <c r="B215" s="37" t="s">
        <v>1369</v>
      </c>
      <c r="C215" s="38">
        <v>23505</v>
      </c>
      <c r="D215" s="39">
        <v>2.3260000000000001E-5</v>
      </c>
    </row>
    <row r="216" spans="1:4" x14ac:dyDescent="0.2">
      <c r="A216" s="1">
        <v>2017</v>
      </c>
      <c r="B216" s="37" t="s">
        <v>1370</v>
      </c>
      <c r="C216" s="38">
        <v>1189896</v>
      </c>
      <c r="D216" s="39">
        <v>1.17768E-3</v>
      </c>
    </row>
    <row r="217" spans="1:4" x14ac:dyDescent="0.2">
      <c r="A217" s="1">
        <v>2017</v>
      </c>
      <c r="B217" s="37" t="s">
        <v>1371</v>
      </c>
      <c r="C217" s="38">
        <v>1828715</v>
      </c>
      <c r="D217" s="39">
        <v>1.8099399999999999E-3</v>
      </c>
    </row>
    <row r="218" spans="1:4" x14ac:dyDescent="0.2">
      <c r="A218" s="1">
        <v>2017</v>
      </c>
      <c r="B218" s="37" t="s">
        <v>1372</v>
      </c>
      <c r="C218" s="38">
        <v>533422</v>
      </c>
      <c r="D218" s="39">
        <v>5.2795000000000001E-4</v>
      </c>
    </row>
    <row r="219" spans="1:4" x14ac:dyDescent="0.2">
      <c r="A219" s="1">
        <v>2017</v>
      </c>
      <c r="B219" s="37" t="s">
        <v>1373</v>
      </c>
      <c r="C219" s="38">
        <v>2067932</v>
      </c>
      <c r="D219" s="39">
        <v>2.0466999999999998E-3</v>
      </c>
    </row>
    <row r="220" spans="1:4" x14ac:dyDescent="0.2">
      <c r="A220" s="1">
        <v>2017</v>
      </c>
      <c r="B220" s="37" t="s">
        <v>1374</v>
      </c>
      <c r="C220" s="38">
        <v>2181134</v>
      </c>
      <c r="D220" s="39">
        <v>2.1587400000000001E-3</v>
      </c>
    </row>
    <row r="221" spans="1:4" x14ac:dyDescent="0.2">
      <c r="A221" s="1">
        <v>2017</v>
      </c>
      <c r="B221" s="37" t="s">
        <v>1375</v>
      </c>
      <c r="C221" s="38">
        <v>10938</v>
      </c>
      <c r="D221" s="39">
        <v>1.083E-5</v>
      </c>
    </row>
    <row r="222" spans="1:4" x14ac:dyDescent="0.2">
      <c r="A222" s="1">
        <v>2017</v>
      </c>
      <c r="B222" s="37" t="s">
        <v>1376</v>
      </c>
      <c r="C222" s="38">
        <v>1246966</v>
      </c>
      <c r="D222" s="39">
        <v>1.2341699999999999E-3</v>
      </c>
    </row>
    <row r="223" spans="1:4" x14ac:dyDescent="0.2">
      <c r="A223" s="1">
        <v>2017</v>
      </c>
      <c r="B223" s="37" t="s">
        <v>1377</v>
      </c>
      <c r="C223" s="38">
        <v>304209</v>
      </c>
      <c r="D223" s="39">
        <v>3.0109000000000001E-4</v>
      </c>
    </row>
    <row r="224" spans="1:4" x14ac:dyDescent="0.2">
      <c r="A224" s="1">
        <v>2017</v>
      </c>
      <c r="B224" s="37" t="s">
        <v>1378</v>
      </c>
      <c r="C224" s="38">
        <v>1456160</v>
      </c>
      <c r="D224" s="39">
        <v>1.4412100000000001E-3</v>
      </c>
    </row>
    <row r="225" spans="1:4" x14ac:dyDescent="0.2">
      <c r="A225" s="1">
        <v>2017</v>
      </c>
      <c r="B225" s="37" t="s">
        <v>1379</v>
      </c>
      <c r="C225" s="38">
        <v>270026</v>
      </c>
      <c r="D225" s="39">
        <v>2.6725000000000002E-4</v>
      </c>
    </row>
    <row r="226" spans="1:4" x14ac:dyDescent="0.2">
      <c r="A226" s="1">
        <v>2017</v>
      </c>
      <c r="B226" s="37" t="s">
        <v>1380</v>
      </c>
      <c r="C226" s="38">
        <v>709100</v>
      </c>
      <c r="D226" s="39">
        <v>7.0182000000000003E-4</v>
      </c>
    </row>
    <row r="227" spans="1:4" x14ac:dyDescent="0.2">
      <c r="A227" s="1">
        <v>2017</v>
      </c>
      <c r="B227" s="37" t="s">
        <v>1381</v>
      </c>
      <c r="C227" s="38">
        <v>724593</v>
      </c>
      <c r="D227" s="39">
        <v>7.1714999999999995E-4</v>
      </c>
    </row>
    <row r="228" spans="1:4" x14ac:dyDescent="0.2">
      <c r="A228" s="1">
        <v>2017</v>
      </c>
      <c r="B228" s="37" t="s">
        <v>1382</v>
      </c>
      <c r="C228" s="38">
        <v>1210</v>
      </c>
      <c r="D228" s="39">
        <v>1.1999999999999999E-6</v>
      </c>
    </row>
    <row r="229" spans="1:4" x14ac:dyDescent="0.2">
      <c r="A229" s="1">
        <v>2017</v>
      </c>
      <c r="B229" s="37" t="s">
        <v>1383</v>
      </c>
      <c r="C229" s="38">
        <v>3046009</v>
      </c>
      <c r="D229" s="39">
        <v>3.0147400000000001E-3</v>
      </c>
    </row>
    <row r="230" spans="1:4" x14ac:dyDescent="0.2">
      <c r="A230" s="1">
        <v>2017</v>
      </c>
      <c r="B230" s="37" t="s">
        <v>1384</v>
      </c>
      <c r="C230" s="38">
        <v>16909</v>
      </c>
      <c r="D230" s="39">
        <v>1.6739999999999999E-5</v>
      </c>
    </row>
    <row r="231" spans="1:4" x14ac:dyDescent="0.2">
      <c r="A231" s="1">
        <v>2017</v>
      </c>
      <c r="B231" s="37" t="s">
        <v>1385</v>
      </c>
      <c r="C231" s="38">
        <v>76944</v>
      </c>
      <c r="D231" s="39">
        <v>7.6149999999999994E-5</v>
      </c>
    </row>
    <row r="232" spans="1:4" x14ac:dyDescent="0.2">
      <c r="A232" s="1">
        <v>2017</v>
      </c>
      <c r="B232" s="37" t="s">
        <v>1386</v>
      </c>
      <c r="C232" s="38">
        <v>127237</v>
      </c>
      <c r="D232" s="39">
        <v>1.2593000000000001E-4</v>
      </c>
    </row>
    <row r="233" spans="1:4" x14ac:dyDescent="0.2">
      <c r="A233" s="1">
        <v>2017</v>
      </c>
      <c r="B233" s="37" t="s">
        <v>1387</v>
      </c>
      <c r="C233" s="38">
        <v>232466</v>
      </c>
      <c r="D233" s="39">
        <v>2.3007999999999999E-4</v>
      </c>
    </row>
    <row r="234" spans="1:4" x14ac:dyDescent="0.2">
      <c r="A234" s="1">
        <v>2017</v>
      </c>
      <c r="B234" s="37" t="s">
        <v>1388</v>
      </c>
      <c r="C234" s="38">
        <v>89061</v>
      </c>
      <c r="D234" s="39">
        <v>8.8150000000000001E-5</v>
      </c>
    </row>
    <row r="235" spans="1:4" x14ac:dyDescent="0.2">
      <c r="A235" s="1">
        <v>2017</v>
      </c>
      <c r="B235" s="37" t="s">
        <v>1389</v>
      </c>
      <c r="C235" s="38">
        <v>6616</v>
      </c>
      <c r="D235" s="39">
        <v>6.55E-6</v>
      </c>
    </row>
    <row r="236" spans="1:4" x14ac:dyDescent="0.2">
      <c r="A236" s="1">
        <v>2017</v>
      </c>
      <c r="B236" s="37" t="s">
        <v>1390</v>
      </c>
      <c r="C236" s="38">
        <v>251931</v>
      </c>
      <c r="D236" s="39">
        <v>2.4935000000000002E-4</v>
      </c>
    </row>
    <row r="237" spans="1:4" x14ac:dyDescent="0.2">
      <c r="A237" s="1">
        <v>2017</v>
      </c>
      <c r="B237" s="37" t="s">
        <v>1391</v>
      </c>
      <c r="C237" s="38">
        <v>24357</v>
      </c>
      <c r="D237" s="39">
        <v>2.4110000000000001E-5</v>
      </c>
    </row>
    <row r="238" spans="1:4" x14ac:dyDescent="0.2">
      <c r="A238" s="1">
        <v>2017</v>
      </c>
      <c r="B238" s="37" t="s">
        <v>1392</v>
      </c>
      <c r="C238" s="38">
        <v>1620396</v>
      </c>
      <c r="D238" s="39">
        <v>1.6037600000000001E-3</v>
      </c>
    </row>
    <row r="239" spans="1:4" x14ac:dyDescent="0.2">
      <c r="A239" s="1">
        <v>2017</v>
      </c>
      <c r="B239" s="37" t="s">
        <v>1393</v>
      </c>
      <c r="C239" s="38">
        <v>452221</v>
      </c>
      <c r="D239" s="39">
        <v>4.4757999999999999E-4</v>
      </c>
    </row>
    <row r="240" spans="1:4" x14ac:dyDescent="0.2">
      <c r="A240" s="1">
        <v>2017</v>
      </c>
      <c r="B240" s="37" t="s">
        <v>1394</v>
      </c>
      <c r="C240" s="38">
        <v>75519</v>
      </c>
      <c r="D240" s="39">
        <v>7.4740000000000006E-5</v>
      </c>
    </row>
    <row r="241" spans="1:4" x14ac:dyDescent="0.2">
      <c r="A241" s="1">
        <v>2017</v>
      </c>
      <c r="B241" s="37" t="s">
        <v>1395</v>
      </c>
      <c r="C241" s="38">
        <v>3991469</v>
      </c>
      <c r="D241" s="39">
        <v>3.9505E-3</v>
      </c>
    </row>
    <row r="242" spans="1:4" x14ac:dyDescent="0.2">
      <c r="A242" s="1">
        <v>2017</v>
      </c>
      <c r="B242" s="37" t="s">
        <v>1396</v>
      </c>
      <c r="C242" s="38">
        <v>1114224</v>
      </c>
      <c r="D242" s="39">
        <v>1.10279E-3</v>
      </c>
    </row>
    <row r="243" spans="1:4" x14ac:dyDescent="0.2">
      <c r="A243" s="1">
        <v>2017</v>
      </c>
      <c r="B243" s="37" t="s">
        <v>1397</v>
      </c>
      <c r="C243" s="38">
        <v>92489</v>
      </c>
      <c r="D243" s="39">
        <v>9.1539999999999994E-5</v>
      </c>
    </row>
    <row r="244" spans="1:4" x14ac:dyDescent="0.2">
      <c r="A244" s="1">
        <v>2017</v>
      </c>
      <c r="B244" s="37" t="s">
        <v>1398</v>
      </c>
      <c r="C244" s="38">
        <v>2113769</v>
      </c>
      <c r="D244" s="39">
        <v>2.0920700000000001E-3</v>
      </c>
    </row>
    <row r="245" spans="1:4" x14ac:dyDescent="0.2">
      <c r="A245" s="1">
        <v>2017</v>
      </c>
      <c r="B245" s="37" t="s">
        <v>1399</v>
      </c>
      <c r="C245" s="38">
        <v>10254</v>
      </c>
      <c r="D245" s="39">
        <v>1.0149999999999999E-5</v>
      </c>
    </row>
    <row r="246" spans="1:4" x14ac:dyDescent="0.2">
      <c r="A246" s="1">
        <v>2017</v>
      </c>
      <c r="B246" s="37" t="s">
        <v>1400</v>
      </c>
      <c r="C246" s="38">
        <v>652174</v>
      </c>
      <c r="D246" s="39">
        <v>6.4548000000000003E-4</v>
      </c>
    </row>
    <row r="247" spans="1:4" x14ac:dyDescent="0.2">
      <c r="A247" s="1">
        <v>2017</v>
      </c>
      <c r="B247" s="37" t="s">
        <v>1401</v>
      </c>
      <c r="C247" s="38">
        <v>41184</v>
      </c>
      <c r="D247" s="39">
        <v>4.0760000000000003E-5</v>
      </c>
    </row>
    <row r="248" spans="1:4" x14ac:dyDescent="0.2">
      <c r="A248" s="1">
        <v>2017</v>
      </c>
      <c r="B248" s="37" t="s">
        <v>1402</v>
      </c>
      <c r="C248" s="38">
        <v>968448</v>
      </c>
      <c r="D248" s="39">
        <v>9.5850999999999998E-4</v>
      </c>
    </row>
    <row r="249" spans="1:4" x14ac:dyDescent="0.2">
      <c r="A249" s="1">
        <v>2017</v>
      </c>
      <c r="B249" s="37" t="s">
        <v>1403</v>
      </c>
      <c r="C249" s="38">
        <v>655957</v>
      </c>
      <c r="D249" s="39">
        <v>6.4922000000000005E-4</v>
      </c>
    </row>
    <row r="250" spans="1:4" x14ac:dyDescent="0.2">
      <c r="A250" s="1">
        <v>2017</v>
      </c>
      <c r="B250" s="37" t="s">
        <v>1404</v>
      </c>
      <c r="C250" s="38">
        <v>4192</v>
      </c>
      <c r="D250" s="39">
        <v>4.1500000000000001E-6</v>
      </c>
    </row>
    <row r="251" spans="1:4" x14ac:dyDescent="0.2">
      <c r="A251" s="1">
        <v>2017</v>
      </c>
      <c r="B251" s="37" t="s">
        <v>1405</v>
      </c>
      <c r="C251" s="38">
        <v>14017</v>
      </c>
      <c r="D251" s="39">
        <v>1.3869999999999999E-5</v>
      </c>
    </row>
    <row r="252" spans="1:4" x14ac:dyDescent="0.2">
      <c r="A252" s="1">
        <v>2017</v>
      </c>
      <c r="B252" s="37" t="s">
        <v>1406</v>
      </c>
      <c r="C252" s="38">
        <v>3265613</v>
      </c>
      <c r="D252" s="39">
        <v>3.23209E-3</v>
      </c>
    </row>
    <row r="253" spans="1:4" x14ac:dyDescent="0.2">
      <c r="A253" s="1">
        <v>2017</v>
      </c>
      <c r="B253" s="37" t="s">
        <v>1407</v>
      </c>
      <c r="C253" s="38">
        <v>120200</v>
      </c>
      <c r="D253" s="39">
        <v>1.1896999999999999E-4</v>
      </c>
    </row>
    <row r="254" spans="1:4" x14ac:dyDescent="0.2">
      <c r="A254" s="1">
        <v>2017</v>
      </c>
      <c r="B254" s="37" t="s">
        <v>1408</v>
      </c>
      <c r="C254" s="38">
        <v>4281907</v>
      </c>
      <c r="D254" s="39">
        <v>4.2379499999999999E-3</v>
      </c>
    </row>
    <row r="255" spans="1:4" x14ac:dyDescent="0.2">
      <c r="A255" s="1">
        <v>2017</v>
      </c>
      <c r="B255" s="37" t="s">
        <v>1409</v>
      </c>
      <c r="C255" s="38">
        <v>5255932</v>
      </c>
      <c r="D255" s="39">
        <v>5.2019800000000001E-3</v>
      </c>
    </row>
    <row r="256" spans="1:4" x14ac:dyDescent="0.2">
      <c r="A256" s="1">
        <v>2017</v>
      </c>
      <c r="B256" s="37" t="s">
        <v>1410</v>
      </c>
      <c r="C256" s="38">
        <v>343049</v>
      </c>
      <c r="D256" s="39">
        <v>3.3953E-4</v>
      </c>
    </row>
    <row r="257" spans="1:4" x14ac:dyDescent="0.2">
      <c r="A257" s="1">
        <v>2017</v>
      </c>
      <c r="B257" s="37" t="s">
        <v>2029</v>
      </c>
      <c r="C257" s="38">
        <v>64464</v>
      </c>
      <c r="D257" s="39">
        <v>6.3800000000000006E-5</v>
      </c>
    </row>
    <row r="258" spans="1:4" x14ac:dyDescent="0.2">
      <c r="A258" s="1">
        <v>2017</v>
      </c>
      <c r="B258" s="37" t="s">
        <v>1411</v>
      </c>
      <c r="C258" s="38">
        <v>3238889</v>
      </c>
      <c r="D258" s="39">
        <v>3.2056400000000001E-3</v>
      </c>
    </row>
    <row r="259" spans="1:4" x14ac:dyDescent="0.2">
      <c r="A259" s="1">
        <v>2017</v>
      </c>
      <c r="B259" s="37" t="s">
        <v>1412</v>
      </c>
      <c r="C259" s="38">
        <v>1637280</v>
      </c>
      <c r="D259" s="39">
        <v>1.6204699999999999E-3</v>
      </c>
    </row>
    <row r="260" spans="1:4" x14ac:dyDescent="0.2">
      <c r="A260" s="1">
        <v>2017</v>
      </c>
      <c r="B260" s="37" t="s">
        <v>1413</v>
      </c>
      <c r="C260" s="38">
        <v>210383</v>
      </c>
      <c r="D260" s="39">
        <v>2.0822000000000001E-4</v>
      </c>
    </row>
    <row r="261" spans="1:4" x14ac:dyDescent="0.2">
      <c r="A261" s="1">
        <v>2017</v>
      </c>
      <c r="B261" s="37" t="s">
        <v>1414</v>
      </c>
      <c r="C261" s="38">
        <v>135953</v>
      </c>
      <c r="D261" s="39">
        <v>1.3456000000000001E-4</v>
      </c>
    </row>
    <row r="262" spans="1:4" x14ac:dyDescent="0.2">
      <c r="A262" s="1">
        <v>2017</v>
      </c>
      <c r="B262" s="37" t="s">
        <v>1415</v>
      </c>
      <c r="C262" s="38">
        <v>29482</v>
      </c>
      <c r="D262" s="39">
        <v>2.9179999999999998E-5</v>
      </c>
    </row>
    <row r="263" spans="1:4" x14ac:dyDescent="0.2">
      <c r="A263" s="1">
        <v>2017</v>
      </c>
      <c r="B263" s="37" t="s">
        <v>1416</v>
      </c>
      <c r="C263" s="38">
        <v>185719</v>
      </c>
      <c r="D263" s="39">
        <v>1.8380999999999999E-4</v>
      </c>
    </row>
    <row r="264" spans="1:4" x14ac:dyDescent="0.2">
      <c r="A264" s="1">
        <v>2017</v>
      </c>
      <c r="B264" s="37" t="s">
        <v>1417</v>
      </c>
      <c r="C264" s="38">
        <v>11719</v>
      </c>
      <c r="D264" s="39">
        <v>1.1600000000000001E-5</v>
      </c>
    </row>
    <row r="265" spans="1:4" x14ac:dyDescent="0.2">
      <c r="A265" s="1">
        <v>2017</v>
      </c>
      <c r="B265" s="37" t="s">
        <v>1418</v>
      </c>
      <c r="C265" s="38">
        <v>82344</v>
      </c>
      <c r="D265" s="39">
        <v>8.1500000000000002E-5</v>
      </c>
    </row>
    <row r="266" spans="1:4" x14ac:dyDescent="0.2">
      <c r="A266" s="1">
        <v>2017</v>
      </c>
      <c r="B266" s="37" t="s">
        <v>1419</v>
      </c>
      <c r="C266" s="38">
        <v>78164</v>
      </c>
      <c r="D266" s="39">
        <v>7.7360000000000005E-5</v>
      </c>
    </row>
    <row r="267" spans="1:4" x14ac:dyDescent="0.2">
      <c r="A267" s="1">
        <v>2017</v>
      </c>
      <c r="B267" s="37" t="s">
        <v>1420</v>
      </c>
      <c r="C267" s="38">
        <v>1903812</v>
      </c>
      <c r="D267" s="39">
        <v>1.88427E-3</v>
      </c>
    </row>
    <row r="268" spans="1:4" x14ac:dyDescent="0.2">
      <c r="A268" s="1">
        <v>2017</v>
      </c>
      <c r="B268" s="40" t="s">
        <v>1421</v>
      </c>
      <c r="C268" s="41">
        <v>8926</v>
      </c>
      <c r="D268" s="42">
        <v>8.8300000000000002E-6</v>
      </c>
    </row>
    <row r="269" spans="1:4" x14ac:dyDescent="0.2">
      <c r="A269" s="1">
        <v>2017</v>
      </c>
      <c r="B269" s="40" t="s">
        <v>1422</v>
      </c>
      <c r="C269" s="41">
        <v>11558370</v>
      </c>
      <c r="D269" s="42">
        <v>1.143972E-2</v>
      </c>
    </row>
    <row r="270" spans="1:4" x14ac:dyDescent="0.2">
      <c r="A270" s="1">
        <v>2017</v>
      </c>
      <c r="B270" s="40" t="s">
        <v>1423</v>
      </c>
      <c r="C270" s="41">
        <v>4853426</v>
      </c>
      <c r="D270" s="42">
        <v>4.8036099999999998E-3</v>
      </c>
    </row>
    <row r="271" spans="1:4" x14ac:dyDescent="0.2">
      <c r="A271" s="1">
        <v>2017</v>
      </c>
      <c r="B271" s="40" t="s">
        <v>1424</v>
      </c>
      <c r="C271" s="41">
        <v>125935</v>
      </c>
      <c r="D271" s="42">
        <v>1.2464E-4</v>
      </c>
    </row>
    <row r="272" spans="1:4" x14ac:dyDescent="0.2">
      <c r="A272" s="1">
        <v>2017</v>
      </c>
      <c r="B272" s="40" t="s">
        <v>1425</v>
      </c>
      <c r="C272" s="41">
        <v>72717</v>
      </c>
      <c r="D272" s="42">
        <v>7.1970000000000004E-5</v>
      </c>
    </row>
    <row r="273" spans="1:4" x14ac:dyDescent="0.2">
      <c r="A273" s="1">
        <v>2017</v>
      </c>
      <c r="B273" s="40" t="s">
        <v>1426</v>
      </c>
      <c r="C273" s="41">
        <v>6793</v>
      </c>
      <c r="D273" s="42">
        <v>6.72E-6</v>
      </c>
    </row>
    <row r="274" spans="1:4" x14ac:dyDescent="0.2">
      <c r="A274" s="1">
        <v>2017</v>
      </c>
      <c r="B274" s="40" t="s">
        <v>1427</v>
      </c>
      <c r="C274" s="41">
        <v>169137</v>
      </c>
      <c r="D274" s="42">
        <v>1.674E-4</v>
      </c>
    </row>
    <row r="275" spans="1:4" x14ac:dyDescent="0.2">
      <c r="A275" s="1">
        <v>2017</v>
      </c>
      <c r="B275" s="40" t="s">
        <v>1428</v>
      </c>
      <c r="C275" s="41">
        <v>238957</v>
      </c>
      <c r="D275" s="42">
        <v>2.365E-4</v>
      </c>
    </row>
    <row r="276" spans="1:4" x14ac:dyDescent="0.2">
      <c r="A276" s="1">
        <v>2017</v>
      </c>
      <c r="B276" s="40" t="s">
        <v>1429</v>
      </c>
      <c r="C276" s="41">
        <v>145105</v>
      </c>
      <c r="D276" s="42">
        <v>1.4362000000000001E-4</v>
      </c>
    </row>
    <row r="277" spans="1:4" x14ac:dyDescent="0.2">
      <c r="A277" s="1">
        <v>2017</v>
      </c>
      <c r="B277" s="40" t="s">
        <v>1430</v>
      </c>
      <c r="C277" s="41">
        <v>9973</v>
      </c>
      <c r="D277" s="42">
        <v>9.8700000000000004E-6</v>
      </c>
    </row>
    <row r="278" spans="1:4" x14ac:dyDescent="0.2">
      <c r="A278" s="1">
        <v>2017</v>
      </c>
      <c r="B278" s="40" t="s">
        <v>1431</v>
      </c>
      <c r="C278" s="41">
        <v>3693764</v>
      </c>
      <c r="D278" s="42">
        <v>3.65585E-3</v>
      </c>
    </row>
    <row r="279" spans="1:4" x14ac:dyDescent="0.2">
      <c r="A279" s="1">
        <v>2017</v>
      </c>
      <c r="B279" s="40" t="s">
        <v>1432</v>
      </c>
      <c r="C279" s="41">
        <v>67756</v>
      </c>
      <c r="D279" s="42">
        <v>6.7059999999999998E-5</v>
      </c>
    </row>
    <row r="280" spans="1:4" x14ac:dyDescent="0.2">
      <c r="A280" s="1">
        <v>2017</v>
      </c>
      <c r="B280" s="40" t="s">
        <v>1433</v>
      </c>
      <c r="C280" s="41">
        <v>3716759</v>
      </c>
      <c r="D280" s="42">
        <v>3.6786100000000001E-3</v>
      </c>
    </row>
    <row r="281" spans="1:4" x14ac:dyDescent="0.2">
      <c r="A281" s="1">
        <v>2017</v>
      </c>
      <c r="B281" s="40" t="s">
        <v>1434</v>
      </c>
      <c r="C281" s="41">
        <v>43869</v>
      </c>
      <c r="D281" s="42">
        <v>4.3420000000000001E-5</v>
      </c>
    </row>
    <row r="282" spans="1:4" x14ac:dyDescent="0.2">
      <c r="A282" s="1">
        <v>2017</v>
      </c>
      <c r="B282" s="40" t="s">
        <v>1435</v>
      </c>
      <c r="C282" s="41">
        <v>100126</v>
      </c>
      <c r="D282" s="42">
        <v>9.9099999999999996E-5</v>
      </c>
    </row>
    <row r="283" spans="1:4" x14ac:dyDescent="0.2">
      <c r="A283" s="1">
        <v>2017</v>
      </c>
      <c r="B283" s="40" t="s">
        <v>1436</v>
      </c>
      <c r="C283" s="41">
        <v>266379</v>
      </c>
      <c r="D283" s="42">
        <v>2.6363999999999999E-4</v>
      </c>
    </row>
    <row r="284" spans="1:4" x14ac:dyDescent="0.2">
      <c r="A284" s="1">
        <v>2017</v>
      </c>
      <c r="B284" s="40" t="s">
        <v>1437</v>
      </c>
      <c r="C284" s="41">
        <v>16749</v>
      </c>
      <c r="D284" s="42">
        <v>1.658E-5</v>
      </c>
    </row>
    <row r="285" spans="1:4" x14ac:dyDescent="0.2">
      <c r="A285" s="1">
        <v>2017</v>
      </c>
      <c r="B285" s="40" t="s">
        <v>1438</v>
      </c>
      <c r="C285" s="41">
        <v>1206827</v>
      </c>
      <c r="D285" s="42">
        <v>1.19444E-3</v>
      </c>
    </row>
    <row r="286" spans="1:4" x14ac:dyDescent="0.2">
      <c r="A286" s="1">
        <v>2017</v>
      </c>
      <c r="B286" s="40" t="s">
        <v>1439</v>
      </c>
      <c r="C286" s="41">
        <v>56217</v>
      </c>
      <c r="D286" s="42">
        <v>5.5640000000000003E-5</v>
      </c>
    </row>
    <row r="287" spans="1:4" x14ac:dyDescent="0.2">
      <c r="A287" s="1">
        <v>2017</v>
      </c>
      <c r="B287" s="40" t="s">
        <v>1440</v>
      </c>
      <c r="C287" s="41">
        <v>972910</v>
      </c>
      <c r="D287" s="42">
        <v>9.6292000000000003E-4</v>
      </c>
    </row>
    <row r="288" spans="1:4" x14ac:dyDescent="0.2">
      <c r="A288" s="1">
        <v>2017</v>
      </c>
      <c r="B288" s="40" t="s">
        <v>1441</v>
      </c>
      <c r="C288" s="41">
        <v>19605</v>
      </c>
      <c r="D288" s="42">
        <v>1.9400000000000001E-5</v>
      </c>
    </row>
    <row r="289" spans="1:4" x14ac:dyDescent="0.2">
      <c r="A289" s="1">
        <v>2017</v>
      </c>
      <c r="B289" s="40" t="s">
        <v>1442</v>
      </c>
      <c r="C289" s="41">
        <v>28539</v>
      </c>
      <c r="D289" s="42">
        <v>2.8249999999999999E-5</v>
      </c>
    </row>
    <row r="290" spans="1:4" x14ac:dyDescent="0.2">
      <c r="A290" s="1">
        <v>2017</v>
      </c>
      <c r="B290" s="40" t="s">
        <v>1443</v>
      </c>
      <c r="C290" s="41">
        <v>4259847</v>
      </c>
      <c r="D290" s="42">
        <v>4.2161200000000003E-3</v>
      </c>
    </row>
    <row r="291" spans="1:4" x14ac:dyDescent="0.2">
      <c r="A291" s="1">
        <v>2017</v>
      </c>
      <c r="B291" s="40" t="s">
        <v>1444</v>
      </c>
      <c r="C291" s="41">
        <v>4569681</v>
      </c>
      <c r="D291" s="42">
        <v>4.5227699999999997E-3</v>
      </c>
    </row>
    <row r="292" spans="1:4" x14ac:dyDescent="0.2">
      <c r="A292" s="1">
        <v>2017</v>
      </c>
      <c r="B292" s="40" t="s">
        <v>1445</v>
      </c>
      <c r="C292" s="41">
        <v>101238</v>
      </c>
      <c r="D292" s="42">
        <v>1.002E-4</v>
      </c>
    </row>
    <row r="293" spans="1:4" x14ac:dyDescent="0.2">
      <c r="A293" s="1">
        <v>2017</v>
      </c>
      <c r="B293" s="40" t="s">
        <v>1446</v>
      </c>
      <c r="C293" s="41">
        <v>140704</v>
      </c>
      <c r="D293" s="42">
        <v>1.3925999999999999E-4</v>
      </c>
    </row>
    <row r="294" spans="1:4" x14ac:dyDescent="0.2">
      <c r="A294" s="1">
        <v>2017</v>
      </c>
      <c r="B294" s="40" t="s">
        <v>1447</v>
      </c>
      <c r="C294" s="41">
        <v>13572</v>
      </c>
      <c r="D294" s="42">
        <v>1.343E-5</v>
      </c>
    </row>
    <row r="295" spans="1:4" x14ac:dyDescent="0.2">
      <c r="A295" s="1">
        <v>2017</v>
      </c>
      <c r="B295" s="40" t="s">
        <v>1448</v>
      </c>
      <c r="C295" s="41">
        <v>8398784</v>
      </c>
      <c r="D295" s="42">
        <v>8.31257E-3</v>
      </c>
    </row>
    <row r="296" spans="1:4" x14ac:dyDescent="0.2">
      <c r="A296" s="1">
        <v>2017</v>
      </c>
      <c r="B296" s="40" t="s">
        <v>1449</v>
      </c>
      <c r="C296" s="41">
        <v>109672</v>
      </c>
      <c r="D296" s="42">
        <v>1.0855E-4</v>
      </c>
    </row>
    <row r="297" spans="1:4" x14ac:dyDescent="0.2">
      <c r="A297" s="1">
        <v>2017</v>
      </c>
      <c r="B297" s="40" t="s">
        <v>1450</v>
      </c>
      <c r="C297" s="41">
        <v>576733</v>
      </c>
      <c r="D297" s="42">
        <v>5.7081000000000005E-4</v>
      </c>
    </row>
    <row r="298" spans="1:4" x14ac:dyDescent="0.2">
      <c r="A298" s="1">
        <v>2017</v>
      </c>
      <c r="B298" s="40" t="s">
        <v>1451</v>
      </c>
      <c r="C298" s="41">
        <v>399842</v>
      </c>
      <c r="D298" s="42">
        <v>3.9574E-4</v>
      </c>
    </row>
    <row r="299" spans="1:4" x14ac:dyDescent="0.2">
      <c r="A299" s="1">
        <v>2017</v>
      </c>
      <c r="B299" s="40" t="s">
        <v>1452</v>
      </c>
      <c r="C299" s="41">
        <v>20104</v>
      </c>
      <c r="D299" s="42">
        <v>1.9899999999999999E-5</v>
      </c>
    </row>
    <row r="300" spans="1:4" x14ac:dyDescent="0.2">
      <c r="A300" s="1">
        <v>2017</v>
      </c>
      <c r="B300" s="40" t="s">
        <v>1453</v>
      </c>
      <c r="C300" s="41">
        <v>1101057</v>
      </c>
      <c r="D300" s="42">
        <v>1.08975E-3</v>
      </c>
    </row>
    <row r="301" spans="1:4" x14ac:dyDescent="0.2">
      <c r="A301" s="1">
        <v>2017</v>
      </c>
      <c r="B301" s="40" t="s">
        <v>1454</v>
      </c>
      <c r="C301" s="41">
        <v>410435</v>
      </c>
      <c r="D301" s="42">
        <v>4.0622E-4</v>
      </c>
    </row>
    <row r="302" spans="1:4" x14ac:dyDescent="0.2">
      <c r="A302" s="1">
        <v>2017</v>
      </c>
      <c r="B302" s="40" t="s">
        <v>1455</v>
      </c>
      <c r="C302" s="41">
        <v>1937081</v>
      </c>
      <c r="D302" s="42">
        <v>1.9172E-3</v>
      </c>
    </row>
    <row r="303" spans="1:4" x14ac:dyDescent="0.2">
      <c r="A303" s="1">
        <v>2017</v>
      </c>
      <c r="B303" s="40" t="s">
        <v>1456</v>
      </c>
      <c r="C303" s="41">
        <v>644031</v>
      </c>
      <c r="D303" s="42">
        <v>6.3741999999999998E-4</v>
      </c>
    </row>
    <row r="304" spans="1:4" x14ac:dyDescent="0.2">
      <c r="A304" s="1">
        <v>2017</v>
      </c>
      <c r="B304" s="40" t="s">
        <v>1457</v>
      </c>
      <c r="C304" s="41">
        <v>3922</v>
      </c>
      <c r="D304" s="42">
        <v>3.8800000000000001E-6</v>
      </c>
    </row>
    <row r="305" spans="1:4" x14ac:dyDescent="0.2">
      <c r="A305" s="1">
        <v>2017</v>
      </c>
      <c r="B305" s="40" t="s">
        <v>1458</v>
      </c>
      <c r="C305" s="41">
        <v>3345566</v>
      </c>
      <c r="D305" s="42">
        <v>3.3112200000000001E-3</v>
      </c>
    </row>
    <row r="306" spans="1:4" x14ac:dyDescent="0.2">
      <c r="A306" s="1">
        <v>2017</v>
      </c>
      <c r="B306" s="17" t="s">
        <v>1459</v>
      </c>
      <c r="C306" s="18">
        <v>1213519</v>
      </c>
      <c r="D306" s="19">
        <v>1.2010600000000001E-3</v>
      </c>
    </row>
    <row r="307" spans="1:4" x14ac:dyDescent="0.2">
      <c r="A307" s="1">
        <v>2017</v>
      </c>
      <c r="B307" s="17" t="s">
        <v>1460</v>
      </c>
      <c r="C307" s="18">
        <v>37813</v>
      </c>
      <c r="D307" s="19">
        <v>3.7429999999999999E-5</v>
      </c>
    </row>
    <row r="308" spans="1:4" x14ac:dyDescent="0.2">
      <c r="A308" s="1">
        <v>2017</v>
      </c>
      <c r="B308" s="17" t="s">
        <v>1461</v>
      </c>
      <c r="C308" s="18">
        <v>1185470</v>
      </c>
      <c r="D308" s="19">
        <v>1.1733E-3</v>
      </c>
    </row>
    <row r="309" spans="1:4" x14ac:dyDescent="0.2">
      <c r="A309" s="1">
        <v>2017</v>
      </c>
      <c r="B309" s="17" t="s">
        <v>1462</v>
      </c>
      <c r="C309" s="18">
        <v>1372479</v>
      </c>
      <c r="D309" s="19">
        <v>1.3583899999999999E-3</v>
      </c>
    </row>
    <row r="310" spans="1:4" x14ac:dyDescent="0.2">
      <c r="A310" s="1">
        <v>2017</v>
      </c>
      <c r="B310" s="17" t="s">
        <v>1463</v>
      </c>
      <c r="C310" s="18">
        <v>170615</v>
      </c>
      <c r="D310" s="19">
        <v>1.6886000000000001E-4</v>
      </c>
    </row>
    <row r="311" spans="1:4" x14ac:dyDescent="0.2">
      <c r="A311" s="1">
        <v>2017</v>
      </c>
      <c r="B311" s="17" t="s">
        <v>1464</v>
      </c>
      <c r="C311" s="18">
        <v>3646783</v>
      </c>
      <c r="D311" s="19">
        <v>3.6093499999999999E-3</v>
      </c>
    </row>
    <row r="312" spans="1:4" x14ac:dyDescent="0.2">
      <c r="A312" s="1">
        <v>2017</v>
      </c>
      <c r="B312" s="17" t="s">
        <v>2059</v>
      </c>
      <c r="C312" s="18">
        <v>1309848</v>
      </c>
      <c r="D312" s="19">
        <v>1.2964000000000001E-3</v>
      </c>
    </row>
    <row r="313" spans="1:4" x14ac:dyDescent="0.2">
      <c r="A313" s="1">
        <v>2017</v>
      </c>
      <c r="B313" s="17" t="s">
        <v>1466</v>
      </c>
      <c r="C313" s="18">
        <v>379438</v>
      </c>
      <c r="D313" s="19">
        <v>3.7554E-4</v>
      </c>
    </row>
    <row r="314" spans="1:4" x14ac:dyDescent="0.2">
      <c r="A314" s="1">
        <v>2017</v>
      </c>
      <c r="B314" s="17" t="s">
        <v>1467</v>
      </c>
      <c r="C314" s="18">
        <v>10159</v>
      </c>
      <c r="D314" s="19">
        <v>1.005E-5</v>
      </c>
    </row>
    <row r="315" spans="1:4" x14ac:dyDescent="0.2">
      <c r="A315" s="1">
        <v>2017</v>
      </c>
      <c r="B315" s="17" t="s">
        <v>1468</v>
      </c>
      <c r="C315" s="18">
        <v>471395</v>
      </c>
      <c r="D315" s="19">
        <v>4.6655999999999998E-4</v>
      </c>
    </row>
    <row r="316" spans="1:4" x14ac:dyDescent="0.2">
      <c r="A316" s="1">
        <v>2017</v>
      </c>
      <c r="B316" s="17" t="s">
        <v>1469</v>
      </c>
      <c r="C316" s="18">
        <v>333303</v>
      </c>
      <c r="D316" s="19">
        <v>3.2988000000000001E-4</v>
      </c>
    </row>
    <row r="317" spans="1:4" x14ac:dyDescent="0.2">
      <c r="A317" s="1">
        <v>2017</v>
      </c>
      <c r="B317" s="17" t="s">
        <v>1470</v>
      </c>
      <c r="C317" s="18">
        <v>1276822</v>
      </c>
      <c r="D317" s="19">
        <v>1.2637200000000001E-3</v>
      </c>
    </row>
    <row r="318" spans="1:4" x14ac:dyDescent="0.2">
      <c r="A318" s="1">
        <v>2017</v>
      </c>
      <c r="B318" s="17" t="s">
        <v>1471</v>
      </c>
      <c r="C318" s="18">
        <v>1058263</v>
      </c>
      <c r="D318" s="19">
        <v>1.0474E-3</v>
      </c>
    </row>
    <row r="319" spans="1:4" x14ac:dyDescent="0.2">
      <c r="A319" s="1">
        <v>2017</v>
      </c>
      <c r="B319" s="17" t="s">
        <v>1472</v>
      </c>
      <c r="C319" s="18">
        <v>48194</v>
      </c>
      <c r="D319" s="19">
        <v>4.7700000000000001E-5</v>
      </c>
    </row>
    <row r="320" spans="1:4" x14ac:dyDescent="0.2">
      <c r="A320" s="1">
        <v>2017</v>
      </c>
      <c r="B320" s="17" t="s">
        <v>1473</v>
      </c>
      <c r="C320" s="18">
        <v>343067</v>
      </c>
      <c r="D320" s="19">
        <v>3.3954999999999999E-4</v>
      </c>
    </row>
    <row r="321" spans="1:4" x14ac:dyDescent="0.2">
      <c r="A321" s="1">
        <v>2017</v>
      </c>
      <c r="B321" s="17" t="s">
        <v>2060</v>
      </c>
      <c r="C321" s="18">
        <v>2584501</v>
      </c>
      <c r="D321" s="19">
        <v>2.5579700000000001E-3</v>
      </c>
    </row>
    <row r="322" spans="1:4" x14ac:dyDescent="0.2">
      <c r="A322" s="1">
        <v>2017</v>
      </c>
      <c r="B322" s="17" t="s">
        <v>1475</v>
      </c>
      <c r="C322" s="18">
        <v>537338</v>
      </c>
      <c r="D322" s="19">
        <v>5.3182000000000001E-4</v>
      </c>
    </row>
    <row r="323" spans="1:4" x14ac:dyDescent="0.2">
      <c r="A323" s="1">
        <v>2017</v>
      </c>
      <c r="B323" s="17" t="s">
        <v>1476</v>
      </c>
      <c r="C323" s="18">
        <v>2785</v>
      </c>
      <c r="D323" s="19">
        <v>2.7599999999999998E-6</v>
      </c>
    </row>
    <row r="324" spans="1:4" x14ac:dyDescent="0.2">
      <c r="A324" s="1">
        <v>2017</v>
      </c>
      <c r="B324" s="17" t="s">
        <v>1477</v>
      </c>
      <c r="C324" s="18">
        <v>3849222</v>
      </c>
      <c r="D324" s="19">
        <v>3.80971E-3</v>
      </c>
    </row>
    <row r="325" spans="1:4" x14ac:dyDescent="0.2">
      <c r="A325" s="1">
        <v>2017</v>
      </c>
      <c r="B325" s="17" t="s">
        <v>1478</v>
      </c>
      <c r="C325" s="18">
        <v>71488</v>
      </c>
      <c r="D325" s="19">
        <v>7.0749999999999999E-5</v>
      </c>
    </row>
    <row r="326" spans="1:4" x14ac:dyDescent="0.2">
      <c r="A326" s="1">
        <v>2017</v>
      </c>
      <c r="B326" s="17" t="s">
        <v>1479</v>
      </c>
      <c r="C326" s="18">
        <v>14845</v>
      </c>
      <c r="D326" s="19">
        <v>1.469E-5</v>
      </c>
    </row>
    <row r="327" spans="1:4" x14ac:dyDescent="0.2">
      <c r="A327" s="1">
        <v>2017</v>
      </c>
      <c r="B327" s="17" t="s">
        <v>1480</v>
      </c>
      <c r="C327" s="18">
        <v>190727</v>
      </c>
      <c r="D327" s="19">
        <v>1.8877E-4</v>
      </c>
    </row>
    <row r="328" spans="1:4" x14ac:dyDescent="0.2">
      <c r="A328" s="1">
        <v>2017</v>
      </c>
      <c r="B328" s="17" t="s">
        <v>1481</v>
      </c>
      <c r="C328" s="18">
        <v>22709</v>
      </c>
      <c r="D328" s="19">
        <v>2.2480000000000002E-5</v>
      </c>
    </row>
    <row r="329" spans="1:4" x14ac:dyDescent="0.2">
      <c r="A329" s="1">
        <v>2017</v>
      </c>
      <c r="B329" s="17" t="s">
        <v>1482</v>
      </c>
      <c r="C329" s="18">
        <v>9542936</v>
      </c>
      <c r="D329" s="19">
        <v>9.4449800000000004E-3</v>
      </c>
    </row>
    <row r="330" spans="1:4" x14ac:dyDescent="0.2">
      <c r="A330" s="1">
        <v>2017</v>
      </c>
      <c r="B330" s="17" t="s">
        <v>1483</v>
      </c>
      <c r="C330" s="18">
        <v>707009</v>
      </c>
      <c r="D330" s="19">
        <v>6.9974999999999996E-4</v>
      </c>
    </row>
    <row r="331" spans="1:4" x14ac:dyDescent="0.2">
      <c r="A331" s="1">
        <v>2017</v>
      </c>
      <c r="B331" s="17" t="s">
        <v>1484</v>
      </c>
      <c r="C331" s="18">
        <v>6519966</v>
      </c>
      <c r="D331" s="19">
        <v>6.4530400000000002E-3</v>
      </c>
    </row>
    <row r="332" spans="1:4" x14ac:dyDescent="0.2">
      <c r="A332" s="1">
        <v>2017</v>
      </c>
      <c r="B332" s="17" t="s">
        <v>1485</v>
      </c>
      <c r="C332" s="18">
        <v>4729690</v>
      </c>
      <c r="D332" s="19">
        <v>4.6811400000000003E-3</v>
      </c>
    </row>
    <row r="333" spans="1:4" x14ac:dyDescent="0.2">
      <c r="A333" s="1">
        <v>2017</v>
      </c>
      <c r="B333" s="17" t="s">
        <v>1486</v>
      </c>
      <c r="C333" s="18">
        <v>71640</v>
      </c>
      <c r="D333" s="19">
        <v>7.0900000000000002E-5</v>
      </c>
    </row>
    <row r="334" spans="1:4" x14ac:dyDescent="0.2">
      <c r="A334" s="1">
        <v>2017</v>
      </c>
      <c r="B334" s="17" t="s">
        <v>1487</v>
      </c>
      <c r="C334" s="18">
        <v>148003</v>
      </c>
      <c r="D334" s="19">
        <v>1.4647999999999999E-4</v>
      </c>
    </row>
    <row r="335" spans="1:4" x14ac:dyDescent="0.2">
      <c r="A335" s="1">
        <v>2017</v>
      </c>
      <c r="B335" s="17" t="s">
        <v>1488</v>
      </c>
      <c r="C335" s="18">
        <v>21059</v>
      </c>
      <c r="D335" s="19">
        <v>2.084E-5</v>
      </c>
    </row>
    <row r="336" spans="1:4" x14ac:dyDescent="0.2">
      <c r="A336" s="1">
        <v>2017</v>
      </c>
      <c r="B336" s="17" t="s">
        <v>1489</v>
      </c>
      <c r="C336" s="18">
        <v>479586</v>
      </c>
      <c r="D336" s="19">
        <v>4.7466000000000001E-4</v>
      </c>
    </row>
    <row r="337" spans="1:4" x14ac:dyDescent="0.2">
      <c r="A337" s="1">
        <v>2017</v>
      </c>
      <c r="B337" s="17" t="s">
        <v>1490</v>
      </c>
      <c r="C337" s="18">
        <v>100373</v>
      </c>
      <c r="D337" s="19">
        <v>9.9339999999999994E-5</v>
      </c>
    </row>
    <row r="338" spans="1:4" x14ac:dyDescent="0.2">
      <c r="A338" s="1">
        <v>2017</v>
      </c>
      <c r="B338" s="17" t="s">
        <v>1491</v>
      </c>
      <c r="C338" s="18">
        <v>23030463</v>
      </c>
      <c r="D338" s="19">
        <v>2.2794060000000001E-2</v>
      </c>
    </row>
    <row r="339" spans="1:4" x14ac:dyDescent="0.2">
      <c r="A339" s="1">
        <v>2017</v>
      </c>
      <c r="B339" s="17" t="s">
        <v>1492</v>
      </c>
      <c r="C339" s="18">
        <v>892402</v>
      </c>
      <c r="D339" s="19">
        <v>8.8323999999999998E-4</v>
      </c>
    </row>
    <row r="340" spans="1:4" x14ac:dyDescent="0.2">
      <c r="A340" s="1">
        <v>2017</v>
      </c>
      <c r="B340" s="17" t="s">
        <v>1493</v>
      </c>
      <c r="C340" s="18">
        <v>9243079</v>
      </c>
      <c r="D340" s="19">
        <v>9.1482000000000004E-3</v>
      </c>
    </row>
    <row r="341" spans="1:4" x14ac:dyDescent="0.2">
      <c r="A341" s="1">
        <v>2017</v>
      </c>
      <c r="B341" s="17" t="s">
        <v>1494</v>
      </c>
      <c r="C341" s="18">
        <v>337666</v>
      </c>
      <c r="D341" s="19">
        <v>3.3419999999999999E-4</v>
      </c>
    </row>
    <row r="342" spans="1:4" x14ac:dyDescent="0.2">
      <c r="A342" s="1">
        <v>2017</v>
      </c>
      <c r="B342" s="17" t="s">
        <v>1495</v>
      </c>
      <c r="C342" s="18">
        <v>326522</v>
      </c>
      <c r="D342" s="19">
        <v>3.2317000000000001E-4</v>
      </c>
    </row>
    <row r="343" spans="1:4" x14ac:dyDescent="0.2">
      <c r="A343" s="1">
        <v>2017</v>
      </c>
      <c r="B343" s="17" t="s">
        <v>1496</v>
      </c>
      <c r="C343" s="18">
        <v>732140</v>
      </c>
      <c r="D343" s="19">
        <v>7.2462000000000004E-4</v>
      </c>
    </row>
    <row r="344" spans="1:4" x14ac:dyDescent="0.2">
      <c r="A344" s="1">
        <v>2017</v>
      </c>
      <c r="B344" s="37" t="s">
        <v>1497</v>
      </c>
      <c r="C344" s="38">
        <v>387198</v>
      </c>
      <c r="D344" s="39">
        <v>3.8321999999999998E-4</v>
      </c>
    </row>
    <row r="345" spans="1:4" x14ac:dyDescent="0.2">
      <c r="A345" s="1">
        <v>2017</v>
      </c>
      <c r="B345" s="37" t="s">
        <v>1498</v>
      </c>
      <c r="C345" s="38">
        <v>1121453</v>
      </c>
      <c r="D345" s="39">
        <v>1.10994E-3</v>
      </c>
    </row>
    <row r="346" spans="1:4" x14ac:dyDescent="0.2">
      <c r="A346" s="1">
        <v>2017</v>
      </c>
      <c r="B346" s="37" t="s">
        <v>1499</v>
      </c>
      <c r="C346" s="38">
        <v>516060</v>
      </c>
      <c r="D346" s="39">
        <v>5.1075999999999997E-4</v>
      </c>
    </row>
    <row r="347" spans="1:4" x14ac:dyDescent="0.2">
      <c r="A347" s="1">
        <v>2017</v>
      </c>
      <c r="B347" s="37" t="s">
        <v>1500</v>
      </c>
      <c r="C347" s="38">
        <v>530036</v>
      </c>
      <c r="D347" s="39">
        <v>5.2459999999999996E-4</v>
      </c>
    </row>
    <row r="348" spans="1:4" x14ac:dyDescent="0.2">
      <c r="A348" s="1">
        <v>2017</v>
      </c>
      <c r="B348" s="37" t="s">
        <v>1501</v>
      </c>
      <c r="C348" s="38">
        <v>1273554</v>
      </c>
      <c r="D348" s="39">
        <v>1.26048E-3</v>
      </c>
    </row>
    <row r="349" spans="1:4" x14ac:dyDescent="0.2">
      <c r="A349" s="1">
        <v>2017</v>
      </c>
      <c r="B349" s="37" t="s">
        <v>1502</v>
      </c>
      <c r="C349" s="38">
        <v>20289</v>
      </c>
      <c r="D349" s="39">
        <v>2.0080000000000001E-5</v>
      </c>
    </row>
    <row r="350" spans="1:4" x14ac:dyDescent="0.2">
      <c r="A350" s="1">
        <v>2017</v>
      </c>
      <c r="B350" s="37" t="s">
        <v>1503</v>
      </c>
      <c r="C350" s="38">
        <v>274370</v>
      </c>
      <c r="D350" s="39">
        <v>2.7155000000000001E-4</v>
      </c>
    </row>
    <row r="351" spans="1:4" x14ac:dyDescent="0.2">
      <c r="A351" s="1">
        <v>2017</v>
      </c>
      <c r="B351" s="37" t="s">
        <v>1504</v>
      </c>
      <c r="C351" s="38">
        <v>6225217</v>
      </c>
      <c r="D351" s="39">
        <v>6.1613199999999996E-3</v>
      </c>
    </row>
    <row r="352" spans="1:4" x14ac:dyDescent="0.2">
      <c r="A352" s="1">
        <v>2017</v>
      </c>
      <c r="B352" s="37" t="s">
        <v>1505</v>
      </c>
      <c r="C352" s="38">
        <v>2230720</v>
      </c>
      <c r="D352" s="39">
        <v>2.2078200000000001E-3</v>
      </c>
    </row>
    <row r="353" spans="1:4" x14ac:dyDescent="0.2">
      <c r="A353" s="1">
        <v>2017</v>
      </c>
      <c r="B353" s="37" t="s">
        <v>1506</v>
      </c>
      <c r="C353" s="38">
        <v>3116491</v>
      </c>
      <c r="D353" s="39">
        <v>3.0845E-3</v>
      </c>
    </row>
    <row r="354" spans="1:4" x14ac:dyDescent="0.2">
      <c r="A354" s="1">
        <v>2017</v>
      </c>
      <c r="B354" s="37" t="s">
        <v>1507</v>
      </c>
      <c r="C354" s="38">
        <v>35297</v>
      </c>
      <c r="D354" s="39">
        <v>3.4929999999999999E-5</v>
      </c>
    </row>
    <row r="355" spans="1:4" x14ac:dyDescent="0.2">
      <c r="A355" s="1">
        <v>2017</v>
      </c>
      <c r="B355" s="37" t="s">
        <v>1508</v>
      </c>
      <c r="C355" s="38">
        <v>50308</v>
      </c>
      <c r="D355" s="39">
        <v>4.9790000000000003E-5</v>
      </c>
    </row>
    <row r="356" spans="1:4" x14ac:dyDescent="0.2">
      <c r="A356" s="1">
        <v>2017</v>
      </c>
      <c r="B356" s="37" t="s">
        <v>1509</v>
      </c>
      <c r="C356" s="38">
        <v>4944</v>
      </c>
      <c r="D356" s="39">
        <v>4.8899999999999998E-6</v>
      </c>
    </row>
    <row r="357" spans="1:4" x14ac:dyDescent="0.2">
      <c r="A357" s="1">
        <v>2017</v>
      </c>
      <c r="B357" s="37" t="s">
        <v>2031</v>
      </c>
      <c r="C357" s="38">
        <v>9049</v>
      </c>
      <c r="D357" s="39">
        <v>8.9600000000000006E-6</v>
      </c>
    </row>
    <row r="358" spans="1:4" x14ac:dyDescent="0.2">
      <c r="A358" s="1">
        <v>2017</v>
      </c>
      <c r="B358" s="37" t="s">
        <v>1510</v>
      </c>
      <c r="C358" s="38">
        <v>1063015</v>
      </c>
      <c r="D358" s="39">
        <v>1.0521E-3</v>
      </c>
    </row>
    <row r="359" spans="1:4" x14ac:dyDescent="0.2">
      <c r="A359" s="1">
        <v>2017</v>
      </c>
      <c r="B359" s="37" t="s">
        <v>1511</v>
      </c>
      <c r="C359" s="38">
        <v>683045</v>
      </c>
      <c r="D359" s="39">
        <v>6.7602999999999999E-4</v>
      </c>
    </row>
    <row r="360" spans="1:4" x14ac:dyDescent="0.2">
      <c r="A360" s="1">
        <v>2017</v>
      </c>
      <c r="B360" s="37" t="s">
        <v>1512</v>
      </c>
      <c r="C360" s="38">
        <v>18071</v>
      </c>
      <c r="D360" s="39">
        <v>1.789E-5</v>
      </c>
    </row>
    <row r="361" spans="1:4" x14ac:dyDescent="0.2">
      <c r="A361" s="1">
        <v>2017</v>
      </c>
      <c r="B361" s="37" t="s">
        <v>1513</v>
      </c>
      <c r="C361" s="38">
        <v>30667</v>
      </c>
      <c r="D361" s="39">
        <v>3.0349999999999999E-5</v>
      </c>
    </row>
    <row r="362" spans="1:4" x14ac:dyDescent="0.2">
      <c r="A362" s="1">
        <v>2017</v>
      </c>
      <c r="B362" s="37" t="s">
        <v>1514</v>
      </c>
      <c r="C362" s="38">
        <v>39151</v>
      </c>
      <c r="D362" s="39">
        <v>3.875E-5</v>
      </c>
    </row>
    <row r="363" spans="1:4" x14ac:dyDescent="0.2">
      <c r="A363" s="1">
        <v>2017</v>
      </c>
      <c r="B363" s="37" t="s">
        <v>1515</v>
      </c>
      <c r="C363" s="38">
        <v>403521</v>
      </c>
      <c r="D363" s="39">
        <v>3.9938000000000001E-4</v>
      </c>
    </row>
    <row r="364" spans="1:4" x14ac:dyDescent="0.2">
      <c r="A364" s="1">
        <v>2017</v>
      </c>
      <c r="B364" s="37" t="s">
        <v>1516</v>
      </c>
      <c r="C364" s="38">
        <v>1679361</v>
      </c>
      <c r="D364" s="39">
        <v>1.66212E-3</v>
      </c>
    </row>
    <row r="365" spans="1:4" x14ac:dyDescent="0.2">
      <c r="A365" s="1">
        <v>2017</v>
      </c>
      <c r="B365" s="37" t="s">
        <v>1517</v>
      </c>
      <c r="C365" s="38">
        <v>200900</v>
      </c>
      <c r="D365" s="39">
        <v>1.9883999999999999E-4</v>
      </c>
    </row>
    <row r="366" spans="1:4" x14ac:dyDescent="0.2">
      <c r="A366" s="1">
        <v>2017</v>
      </c>
      <c r="B366" s="37" t="s">
        <v>1518</v>
      </c>
      <c r="C366" s="38">
        <v>2188431</v>
      </c>
      <c r="D366" s="39">
        <v>2.1659700000000001E-3</v>
      </c>
    </row>
    <row r="367" spans="1:4" x14ac:dyDescent="0.2">
      <c r="A367" s="1">
        <v>2017</v>
      </c>
      <c r="B367" s="37" t="s">
        <v>1519</v>
      </c>
      <c r="C367" s="38">
        <v>1351749</v>
      </c>
      <c r="D367" s="39">
        <v>1.3378699999999999E-3</v>
      </c>
    </row>
    <row r="368" spans="1:4" x14ac:dyDescent="0.2">
      <c r="A368" s="1">
        <v>2017</v>
      </c>
      <c r="B368" s="37" t="s">
        <v>1520</v>
      </c>
      <c r="C368" s="38">
        <v>2953</v>
      </c>
      <c r="D368" s="39">
        <v>2.92E-6</v>
      </c>
    </row>
    <row r="369" spans="1:4" x14ac:dyDescent="0.2">
      <c r="A369" s="1">
        <v>2017</v>
      </c>
      <c r="B369" s="37" t="s">
        <v>2061</v>
      </c>
      <c r="C369" s="38">
        <v>21534</v>
      </c>
      <c r="D369" s="39">
        <v>2.1310000000000001E-5</v>
      </c>
    </row>
    <row r="370" spans="1:4" x14ac:dyDescent="0.2">
      <c r="A370" s="1">
        <v>2017</v>
      </c>
      <c r="B370" s="37" t="s">
        <v>1522</v>
      </c>
      <c r="C370" s="38">
        <v>7818616</v>
      </c>
      <c r="D370" s="39">
        <v>7.7383599999999997E-3</v>
      </c>
    </row>
    <row r="371" spans="1:4" x14ac:dyDescent="0.2">
      <c r="A371" s="1">
        <v>2017</v>
      </c>
      <c r="B371" s="37" t="s">
        <v>1523</v>
      </c>
      <c r="C371" s="38">
        <v>8091</v>
      </c>
      <c r="D371" s="39">
        <v>8.0099999999999995E-6</v>
      </c>
    </row>
    <row r="372" spans="1:4" x14ac:dyDescent="0.2">
      <c r="A372" s="1">
        <v>2017</v>
      </c>
      <c r="B372" s="37" t="s">
        <v>1524</v>
      </c>
      <c r="C372" s="38">
        <v>2013089</v>
      </c>
      <c r="D372" s="39">
        <v>1.9924299999999999E-3</v>
      </c>
    </row>
    <row r="373" spans="1:4" x14ac:dyDescent="0.2">
      <c r="A373" s="1">
        <v>2017</v>
      </c>
      <c r="B373" s="37" t="s">
        <v>1525</v>
      </c>
      <c r="C373" s="38">
        <v>76764</v>
      </c>
      <c r="D373" s="39">
        <v>7.5980000000000001E-5</v>
      </c>
    </row>
    <row r="374" spans="1:4" x14ac:dyDescent="0.2">
      <c r="A374" s="1">
        <v>2017</v>
      </c>
      <c r="B374" s="37" t="s">
        <v>1526</v>
      </c>
      <c r="C374" s="38">
        <v>24723</v>
      </c>
      <c r="D374" s="39">
        <v>2.4470000000000001E-5</v>
      </c>
    </row>
    <row r="375" spans="1:4" x14ac:dyDescent="0.2">
      <c r="A375" s="1">
        <v>2017</v>
      </c>
      <c r="B375" s="37" t="s">
        <v>1527</v>
      </c>
      <c r="C375" s="38">
        <v>5209942</v>
      </c>
      <c r="D375" s="39">
        <v>5.1564599999999999E-3</v>
      </c>
    </row>
    <row r="376" spans="1:4" x14ac:dyDescent="0.2">
      <c r="A376" s="1">
        <v>2017</v>
      </c>
      <c r="B376" s="37" t="s">
        <v>1528</v>
      </c>
      <c r="C376" s="38">
        <v>1861727</v>
      </c>
      <c r="D376" s="39">
        <v>1.8426199999999999E-3</v>
      </c>
    </row>
    <row r="377" spans="1:4" x14ac:dyDescent="0.2">
      <c r="A377" s="1">
        <v>2017</v>
      </c>
      <c r="B377" s="37" t="s">
        <v>1529</v>
      </c>
      <c r="C377" s="38">
        <v>409368</v>
      </c>
      <c r="D377" s="39">
        <v>4.0517E-4</v>
      </c>
    </row>
    <row r="378" spans="1:4" x14ac:dyDescent="0.2">
      <c r="A378" s="1">
        <v>2017</v>
      </c>
      <c r="B378" s="37" t="s">
        <v>1530</v>
      </c>
      <c r="C378" s="38">
        <v>1871</v>
      </c>
      <c r="D378" s="39">
        <v>1.8500000000000001E-6</v>
      </c>
    </row>
    <row r="379" spans="1:4" x14ac:dyDescent="0.2">
      <c r="A379" s="1">
        <v>2017</v>
      </c>
      <c r="B379" s="37" t="s">
        <v>1531</v>
      </c>
      <c r="C379" s="38">
        <v>27718</v>
      </c>
      <c r="D379" s="39">
        <v>2.743E-5</v>
      </c>
    </row>
    <row r="380" spans="1:4" x14ac:dyDescent="0.2">
      <c r="A380" s="1">
        <v>2017</v>
      </c>
      <c r="B380" s="37" t="s">
        <v>1532</v>
      </c>
      <c r="C380" s="38">
        <v>1449535</v>
      </c>
      <c r="D380" s="39">
        <v>1.4346599999999999E-3</v>
      </c>
    </row>
    <row r="381" spans="1:4" x14ac:dyDescent="0.2">
      <c r="A381" s="1">
        <v>2017</v>
      </c>
      <c r="B381" s="37" t="s">
        <v>1533</v>
      </c>
      <c r="C381" s="38">
        <v>136095</v>
      </c>
      <c r="D381" s="39">
        <v>1.3469999999999999E-4</v>
      </c>
    </row>
    <row r="382" spans="1:4" x14ac:dyDescent="0.2">
      <c r="A382" s="1">
        <v>2017</v>
      </c>
      <c r="B382" s="37" t="s">
        <v>1534</v>
      </c>
      <c r="C382" s="38">
        <v>2984989</v>
      </c>
      <c r="D382" s="39">
        <v>2.9543500000000001E-3</v>
      </c>
    </row>
    <row r="383" spans="1:4" x14ac:dyDescent="0.2">
      <c r="A383" s="1">
        <v>2017</v>
      </c>
      <c r="B383" s="37" t="s">
        <v>1535</v>
      </c>
      <c r="C383" s="38">
        <v>54674</v>
      </c>
      <c r="D383" s="39">
        <v>5.4110000000000002E-5</v>
      </c>
    </row>
    <row r="384" spans="1:4" x14ac:dyDescent="0.2">
      <c r="A384" s="1">
        <v>2017</v>
      </c>
      <c r="B384" s="37" t="s">
        <v>1536</v>
      </c>
      <c r="C384" s="38">
        <v>1675884</v>
      </c>
      <c r="D384" s="39">
        <v>1.6586800000000001E-3</v>
      </c>
    </row>
    <row r="385" spans="1:4" x14ac:dyDescent="0.2">
      <c r="A385" s="1">
        <v>2017</v>
      </c>
      <c r="B385" s="37" t="s">
        <v>1537</v>
      </c>
      <c r="C385" s="38">
        <v>426350</v>
      </c>
      <c r="D385" s="39">
        <v>4.2196999999999997E-4</v>
      </c>
    </row>
    <row r="386" spans="1:4" x14ac:dyDescent="0.2">
      <c r="A386" s="1">
        <v>2017</v>
      </c>
      <c r="B386" s="37" t="s">
        <v>1538</v>
      </c>
      <c r="C386" s="38">
        <v>2070417</v>
      </c>
      <c r="D386" s="39">
        <v>2.04916E-3</v>
      </c>
    </row>
    <row r="387" spans="1:4" x14ac:dyDescent="0.2">
      <c r="A387" s="1">
        <v>2017</v>
      </c>
      <c r="B387" s="37" t="s">
        <v>1539</v>
      </c>
      <c r="C387" s="38">
        <v>705362</v>
      </c>
      <c r="D387" s="39">
        <v>6.9811999999999999E-4</v>
      </c>
    </row>
    <row r="388" spans="1:4" x14ac:dyDescent="0.2">
      <c r="A388" s="1">
        <v>2017</v>
      </c>
      <c r="B388" s="37" t="s">
        <v>1540</v>
      </c>
      <c r="C388" s="38">
        <v>58168</v>
      </c>
      <c r="D388" s="39">
        <v>5.7569999999999999E-5</v>
      </c>
    </row>
    <row r="389" spans="1:4" x14ac:dyDescent="0.2">
      <c r="A389" s="1">
        <v>2017</v>
      </c>
      <c r="B389" s="37" t="s">
        <v>1541</v>
      </c>
      <c r="C389" s="38">
        <v>1976931</v>
      </c>
      <c r="D389" s="39">
        <v>1.9566399999999999E-3</v>
      </c>
    </row>
    <row r="390" spans="1:4" x14ac:dyDescent="0.2">
      <c r="A390" s="1">
        <v>2017</v>
      </c>
      <c r="B390" s="37" t="s">
        <v>1542</v>
      </c>
      <c r="C390" s="38">
        <v>4039</v>
      </c>
      <c r="D390" s="39">
        <v>3.9999999999999998E-6</v>
      </c>
    </row>
    <row r="391" spans="1:4" x14ac:dyDescent="0.2">
      <c r="A391" s="1">
        <v>2017</v>
      </c>
      <c r="B391" s="37" t="s">
        <v>1543</v>
      </c>
      <c r="C391" s="38">
        <v>5476818</v>
      </c>
      <c r="D391" s="39">
        <v>5.4206000000000002E-3</v>
      </c>
    </row>
    <row r="392" spans="1:4" x14ac:dyDescent="0.2">
      <c r="A392" s="1">
        <v>2017</v>
      </c>
      <c r="B392" s="37" t="s">
        <v>1544</v>
      </c>
      <c r="C392" s="38">
        <v>120246</v>
      </c>
      <c r="D392" s="39">
        <v>1.1901E-4</v>
      </c>
    </row>
    <row r="393" spans="1:4" x14ac:dyDescent="0.2">
      <c r="A393" s="1">
        <v>2017</v>
      </c>
      <c r="B393" s="37" t="s">
        <v>1545</v>
      </c>
      <c r="C393" s="38">
        <v>1938598</v>
      </c>
      <c r="D393" s="39">
        <v>1.9187E-3</v>
      </c>
    </row>
    <row r="394" spans="1:4" x14ac:dyDescent="0.2">
      <c r="A394" s="1">
        <v>2017</v>
      </c>
      <c r="B394" s="37" t="s">
        <v>1546</v>
      </c>
      <c r="C394" s="38">
        <v>1058253</v>
      </c>
      <c r="D394" s="39">
        <v>1.04739E-3</v>
      </c>
    </row>
    <row r="395" spans="1:4" x14ac:dyDescent="0.2">
      <c r="A395" s="1">
        <v>2017</v>
      </c>
      <c r="B395" s="37" t="s">
        <v>1547</v>
      </c>
      <c r="C395" s="38">
        <v>71872</v>
      </c>
      <c r="D395" s="39">
        <v>7.1130000000000005E-5</v>
      </c>
    </row>
    <row r="396" spans="1:4" x14ac:dyDescent="0.2">
      <c r="A396" s="1">
        <v>2017</v>
      </c>
      <c r="B396" s="37" t="s">
        <v>1548</v>
      </c>
      <c r="C396" s="38">
        <v>234497</v>
      </c>
      <c r="D396" s="39">
        <v>2.3209000000000001E-4</v>
      </c>
    </row>
    <row r="397" spans="1:4" x14ac:dyDescent="0.2">
      <c r="A397" s="1">
        <v>2017</v>
      </c>
      <c r="B397" s="37" t="s">
        <v>1549</v>
      </c>
      <c r="C397" s="38">
        <v>11917</v>
      </c>
      <c r="D397" s="39">
        <v>1.1790000000000001E-5</v>
      </c>
    </row>
    <row r="398" spans="1:4" x14ac:dyDescent="0.2">
      <c r="A398" s="1">
        <v>2017</v>
      </c>
      <c r="B398" s="37" t="s">
        <v>1550</v>
      </c>
      <c r="C398" s="38">
        <v>259137</v>
      </c>
      <c r="D398" s="39">
        <v>2.5648000000000001E-4</v>
      </c>
    </row>
    <row r="399" spans="1:4" x14ac:dyDescent="0.2">
      <c r="A399" s="1">
        <v>2017</v>
      </c>
      <c r="B399" s="37" t="s">
        <v>1551</v>
      </c>
      <c r="C399" s="38">
        <v>758549</v>
      </c>
      <c r="D399" s="39">
        <v>7.5075999999999995E-4</v>
      </c>
    </row>
    <row r="400" spans="1:4" x14ac:dyDescent="0.2">
      <c r="A400" s="1">
        <v>2017</v>
      </c>
      <c r="B400" s="37" t="s">
        <v>1552</v>
      </c>
      <c r="C400" s="38">
        <v>1252</v>
      </c>
      <c r="D400" s="39">
        <v>1.24E-6</v>
      </c>
    </row>
    <row r="401" spans="1:4" x14ac:dyDescent="0.2">
      <c r="A401" s="1">
        <v>2017</v>
      </c>
      <c r="B401" s="37" t="s">
        <v>1553</v>
      </c>
      <c r="C401" s="38">
        <v>202888</v>
      </c>
      <c r="D401" s="39">
        <v>2.0081E-4</v>
      </c>
    </row>
    <row r="402" spans="1:4" x14ac:dyDescent="0.2">
      <c r="A402" s="1">
        <v>2017</v>
      </c>
      <c r="B402" s="37" t="s">
        <v>1554</v>
      </c>
      <c r="C402" s="38">
        <v>118765</v>
      </c>
      <c r="D402" s="39">
        <v>1.1755E-4</v>
      </c>
    </row>
    <row r="403" spans="1:4" x14ac:dyDescent="0.2">
      <c r="A403" s="1">
        <v>2017</v>
      </c>
      <c r="B403" s="37" t="s">
        <v>1555</v>
      </c>
      <c r="C403" s="38">
        <v>90890</v>
      </c>
      <c r="D403" s="39">
        <v>8.9959999999999999E-5</v>
      </c>
    </row>
    <row r="404" spans="1:4" x14ac:dyDescent="0.2">
      <c r="A404" s="1">
        <v>2017</v>
      </c>
      <c r="B404" s="37" t="s">
        <v>1556</v>
      </c>
      <c r="C404" s="38">
        <v>61605</v>
      </c>
      <c r="D404" s="39">
        <v>6.0970000000000001E-5</v>
      </c>
    </row>
    <row r="405" spans="1:4" x14ac:dyDescent="0.2">
      <c r="A405" s="1">
        <v>2017</v>
      </c>
      <c r="B405" s="37" t="s">
        <v>1557</v>
      </c>
      <c r="C405" s="38">
        <v>1963938</v>
      </c>
      <c r="D405" s="39">
        <v>1.94378E-3</v>
      </c>
    </row>
    <row r="406" spans="1:4" x14ac:dyDescent="0.2">
      <c r="A406" s="1">
        <v>2017</v>
      </c>
      <c r="B406" s="37" t="s">
        <v>1558</v>
      </c>
      <c r="C406" s="38">
        <v>817791</v>
      </c>
      <c r="D406" s="39">
        <v>8.0940000000000005E-4</v>
      </c>
    </row>
    <row r="407" spans="1:4" x14ac:dyDescent="0.2">
      <c r="A407" s="1">
        <v>2017</v>
      </c>
      <c r="B407" s="37" t="s">
        <v>1559</v>
      </c>
      <c r="C407" s="38">
        <v>67924</v>
      </c>
      <c r="D407" s="39">
        <v>6.7230000000000005E-5</v>
      </c>
    </row>
    <row r="408" spans="1:4" x14ac:dyDescent="0.2">
      <c r="A408" s="1">
        <v>2017</v>
      </c>
      <c r="B408" s="37" t="s">
        <v>1560</v>
      </c>
      <c r="C408" s="38">
        <v>727028</v>
      </c>
      <c r="D408" s="39">
        <v>7.1955999999999995E-4</v>
      </c>
    </row>
    <row r="409" spans="1:4" x14ac:dyDescent="0.2">
      <c r="A409" s="1">
        <v>2017</v>
      </c>
      <c r="B409" s="37" t="s">
        <v>1561</v>
      </c>
      <c r="C409" s="38">
        <v>2475920</v>
      </c>
      <c r="D409" s="39">
        <v>2.4505099999999999E-3</v>
      </c>
    </row>
    <row r="410" spans="1:4" x14ac:dyDescent="0.2">
      <c r="A410" s="1">
        <v>2017</v>
      </c>
      <c r="B410" s="37" t="s">
        <v>1562</v>
      </c>
      <c r="C410" s="38">
        <v>6549</v>
      </c>
      <c r="D410" s="39">
        <v>6.4799999999999998E-6</v>
      </c>
    </row>
    <row r="411" spans="1:4" x14ac:dyDescent="0.2">
      <c r="A411" s="1">
        <v>2017</v>
      </c>
      <c r="B411" s="37" t="s">
        <v>1563</v>
      </c>
      <c r="C411" s="38">
        <v>8581</v>
      </c>
      <c r="D411" s="39">
        <v>8.49E-6</v>
      </c>
    </row>
    <row r="412" spans="1:4" x14ac:dyDescent="0.2">
      <c r="A412" s="1">
        <v>2017</v>
      </c>
      <c r="B412" s="37" t="s">
        <v>1564</v>
      </c>
      <c r="C412" s="38">
        <v>354507</v>
      </c>
      <c r="D412" s="39">
        <v>3.5086999999999998E-4</v>
      </c>
    </row>
    <row r="413" spans="1:4" x14ac:dyDescent="0.2">
      <c r="A413" s="1">
        <v>2017</v>
      </c>
      <c r="B413" s="37" t="s">
        <v>1565</v>
      </c>
      <c r="C413" s="38">
        <v>124748</v>
      </c>
      <c r="D413" s="39">
        <v>1.2347000000000001E-4</v>
      </c>
    </row>
    <row r="414" spans="1:4" x14ac:dyDescent="0.2">
      <c r="A414" s="1">
        <v>2017</v>
      </c>
      <c r="B414" s="37" t="s">
        <v>1566</v>
      </c>
      <c r="C414" s="38">
        <v>45554</v>
      </c>
      <c r="D414" s="39">
        <v>4.5089999999999997E-5</v>
      </c>
    </row>
    <row r="415" spans="1:4" x14ac:dyDescent="0.2">
      <c r="A415" s="1">
        <v>2017</v>
      </c>
      <c r="B415" s="37" t="s">
        <v>1567</v>
      </c>
      <c r="C415" s="38">
        <v>2335528</v>
      </c>
      <c r="D415" s="39">
        <v>2.3115499999999999E-3</v>
      </c>
    </row>
    <row r="416" spans="1:4" x14ac:dyDescent="0.2">
      <c r="A416" s="1">
        <v>2017</v>
      </c>
      <c r="B416" s="37" t="s">
        <v>1568</v>
      </c>
      <c r="C416" s="38">
        <v>105105</v>
      </c>
      <c r="D416" s="39">
        <v>1.0403000000000001E-4</v>
      </c>
    </row>
    <row r="417" spans="1:4" x14ac:dyDescent="0.2">
      <c r="A417" s="1">
        <v>2017</v>
      </c>
      <c r="B417" s="37" t="s">
        <v>1569</v>
      </c>
      <c r="C417" s="38">
        <v>4066929</v>
      </c>
      <c r="D417" s="39">
        <v>4.0251799999999997E-3</v>
      </c>
    </row>
    <row r="418" spans="1:4" x14ac:dyDescent="0.2">
      <c r="A418" s="1">
        <v>2017</v>
      </c>
      <c r="B418" s="37" t="s">
        <v>1570</v>
      </c>
      <c r="C418" s="38">
        <v>1737050</v>
      </c>
      <c r="D418" s="39">
        <v>1.71922E-3</v>
      </c>
    </row>
    <row r="419" spans="1:4" x14ac:dyDescent="0.2">
      <c r="A419" s="1">
        <v>2017</v>
      </c>
      <c r="B419" s="37" t="s">
        <v>1571</v>
      </c>
      <c r="C419" s="38">
        <v>230189</v>
      </c>
      <c r="D419" s="39">
        <v>2.2782999999999999E-4</v>
      </c>
    </row>
    <row r="420" spans="1:4" x14ac:dyDescent="0.2">
      <c r="A420" s="1">
        <v>2017</v>
      </c>
      <c r="B420" s="17" t="s">
        <v>1572</v>
      </c>
      <c r="C420" s="18">
        <v>4202</v>
      </c>
      <c r="D420" s="19">
        <v>4.16E-6</v>
      </c>
    </row>
    <row r="421" spans="1:4" x14ac:dyDescent="0.2">
      <c r="A421" s="1">
        <v>2017</v>
      </c>
      <c r="B421" s="17" t="s">
        <v>1573</v>
      </c>
      <c r="C421" s="18">
        <v>60426</v>
      </c>
      <c r="D421" s="19">
        <v>5.9809999999999998E-5</v>
      </c>
    </row>
    <row r="422" spans="1:4" x14ac:dyDescent="0.2">
      <c r="A422" s="1">
        <v>2017</v>
      </c>
      <c r="B422" s="17" t="s">
        <v>1574</v>
      </c>
      <c r="C422" s="18">
        <v>565044</v>
      </c>
      <c r="D422" s="19">
        <v>5.5924000000000002E-4</v>
      </c>
    </row>
    <row r="423" spans="1:4" x14ac:dyDescent="0.2">
      <c r="A423" s="1">
        <v>2017</v>
      </c>
      <c r="B423" s="17" t="s">
        <v>1575</v>
      </c>
      <c r="C423" s="18">
        <v>16903</v>
      </c>
      <c r="D423" s="19">
        <v>1.6730000000000001E-5</v>
      </c>
    </row>
    <row r="424" spans="1:4" x14ac:dyDescent="0.2">
      <c r="A424" s="1">
        <v>2017</v>
      </c>
      <c r="B424" s="17" t="s">
        <v>1576</v>
      </c>
      <c r="C424" s="18">
        <v>30069</v>
      </c>
      <c r="D424" s="19">
        <v>2.976E-5</v>
      </c>
    </row>
    <row r="425" spans="1:4" x14ac:dyDescent="0.2">
      <c r="A425" s="1">
        <v>2017</v>
      </c>
      <c r="B425" s="17" t="s">
        <v>1577</v>
      </c>
      <c r="C425" s="18">
        <v>161247</v>
      </c>
      <c r="D425" s="19">
        <v>1.5959000000000001E-4</v>
      </c>
    </row>
    <row r="426" spans="1:4" x14ac:dyDescent="0.2">
      <c r="A426" s="1">
        <v>2017</v>
      </c>
      <c r="B426" s="17" t="s">
        <v>1578</v>
      </c>
      <c r="C426" s="18">
        <v>69161</v>
      </c>
      <c r="D426" s="19">
        <v>6.8449999999999997E-5</v>
      </c>
    </row>
    <row r="427" spans="1:4" x14ac:dyDescent="0.2">
      <c r="A427" s="1">
        <v>2017</v>
      </c>
      <c r="B427" s="17" t="s">
        <v>1579</v>
      </c>
      <c r="C427" s="18">
        <v>1479393</v>
      </c>
      <c r="D427" s="19">
        <v>1.4642100000000001E-3</v>
      </c>
    </row>
    <row r="428" spans="1:4" x14ac:dyDescent="0.2">
      <c r="A428" s="1">
        <v>2017</v>
      </c>
      <c r="B428" s="17" t="s">
        <v>1580</v>
      </c>
      <c r="C428" s="18">
        <v>162163</v>
      </c>
      <c r="D428" s="19">
        <v>1.605E-4</v>
      </c>
    </row>
    <row r="429" spans="1:4" x14ac:dyDescent="0.2">
      <c r="A429" s="1">
        <v>2017</v>
      </c>
      <c r="B429" s="17" t="s">
        <v>1581</v>
      </c>
      <c r="C429" s="18">
        <v>10837891</v>
      </c>
      <c r="D429" s="19">
        <v>1.0726640000000001E-2</v>
      </c>
    </row>
    <row r="430" spans="1:4" x14ac:dyDescent="0.2">
      <c r="A430" s="1">
        <v>2017</v>
      </c>
      <c r="B430" s="17" t="s">
        <v>1582</v>
      </c>
      <c r="C430" s="18">
        <v>2604094</v>
      </c>
      <c r="D430" s="19">
        <v>2.5773599999999999E-3</v>
      </c>
    </row>
    <row r="431" spans="1:4" x14ac:dyDescent="0.2">
      <c r="A431" s="1">
        <v>2017</v>
      </c>
      <c r="B431" s="17" t="s">
        <v>1583</v>
      </c>
      <c r="C431" s="18">
        <v>17100</v>
      </c>
      <c r="D431" s="19">
        <v>1.6920000000000001E-5</v>
      </c>
    </row>
    <row r="432" spans="1:4" x14ac:dyDescent="0.2">
      <c r="A432" s="1">
        <v>2017</v>
      </c>
      <c r="B432" s="17" t="s">
        <v>1584</v>
      </c>
      <c r="C432" s="18">
        <v>384954</v>
      </c>
      <c r="D432" s="19">
        <v>3.8099999999999999E-4</v>
      </c>
    </row>
    <row r="433" spans="1:4" x14ac:dyDescent="0.2">
      <c r="A433" s="1">
        <v>2017</v>
      </c>
      <c r="B433" s="17" t="s">
        <v>1585</v>
      </c>
      <c r="C433" s="18">
        <v>10783</v>
      </c>
      <c r="D433" s="19">
        <v>1.0669999999999999E-5</v>
      </c>
    </row>
    <row r="434" spans="1:4" x14ac:dyDescent="0.2">
      <c r="A434" s="1">
        <v>2017</v>
      </c>
      <c r="B434" s="17" t="s">
        <v>1586</v>
      </c>
      <c r="C434" s="18">
        <v>320666</v>
      </c>
      <c r="D434" s="19">
        <v>3.1736999999999998E-4</v>
      </c>
    </row>
    <row r="435" spans="1:4" x14ac:dyDescent="0.2">
      <c r="A435" s="1">
        <v>2017</v>
      </c>
      <c r="B435" s="17" t="s">
        <v>1587</v>
      </c>
      <c r="C435" s="18">
        <v>97691</v>
      </c>
      <c r="D435" s="19">
        <v>9.6689999999999998E-5</v>
      </c>
    </row>
    <row r="436" spans="1:4" x14ac:dyDescent="0.2">
      <c r="A436" s="1">
        <v>2017</v>
      </c>
      <c r="B436" s="17" t="s">
        <v>1588</v>
      </c>
      <c r="C436" s="18">
        <v>7721641</v>
      </c>
      <c r="D436" s="19">
        <v>7.6423799999999998E-3</v>
      </c>
    </row>
    <row r="437" spans="1:4" x14ac:dyDescent="0.2">
      <c r="A437" s="1">
        <v>2017</v>
      </c>
      <c r="B437" s="17" t="s">
        <v>1589</v>
      </c>
      <c r="C437" s="18">
        <v>31760</v>
      </c>
      <c r="D437" s="19">
        <v>3.1430000000000002E-5</v>
      </c>
    </row>
    <row r="438" spans="1:4" x14ac:dyDescent="0.2">
      <c r="A438" s="1">
        <v>2017</v>
      </c>
      <c r="B438" s="17" t="s">
        <v>1590</v>
      </c>
      <c r="C438" s="18">
        <v>10230</v>
      </c>
      <c r="D438" s="19">
        <v>1.013E-5</v>
      </c>
    </row>
    <row r="439" spans="1:4" x14ac:dyDescent="0.2">
      <c r="A439" s="1">
        <v>2017</v>
      </c>
      <c r="B439" s="17" t="s">
        <v>1591</v>
      </c>
      <c r="C439" s="18">
        <v>1869588</v>
      </c>
      <c r="D439" s="19">
        <v>1.8504000000000001E-3</v>
      </c>
    </row>
    <row r="440" spans="1:4" x14ac:dyDescent="0.2">
      <c r="A440" s="1">
        <v>2017</v>
      </c>
      <c r="B440" s="17" t="s">
        <v>1592</v>
      </c>
      <c r="C440" s="18">
        <v>806689</v>
      </c>
      <c r="D440" s="19">
        <v>7.9841000000000005E-4</v>
      </c>
    </row>
    <row r="441" spans="1:4" x14ac:dyDescent="0.2">
      <c r="A441" s="1">
        <v>2017</v>
      </c>
      <c r="B441" s="17" t="s">
        <v>1593</v>
      </c>
      <c r="C441" s="18">
        <v>5393</v>
      </c>
      <c r="D441" s="19">
        <v>5.3399999999999997E-6</v>
      </c>
    </row>
    <row r="442" spans="1:4" x14ac:dyDescent="0.2">
      <c r="A442" s="1">
        <v>2017</v>
      </c>
      <c r="B442" s="17" t="s">
        <v>1594</v>
      </c>
      <c r="C442" s="18">
        <v>57691</v>
      </c>
      <c r="D442" s="19">
        <v>5.7099999999999999E-5</v>
      </c>
    </row>
    <row r="443" spans="1:4" x14ac:dyDescent="0.2">
      <c r="A443" s="1">
        <v>2017</v>
      </c>
      <c r="B443" s="17" t="s">
        <v>1595</v>
      </c>
      <c r="C443" s="18">
        <v>68778</v>
      </c>
      <c r="D443" s="19">
        <v>6.8070000000000004E-5</v>
      </c>
    </row>
    <row r="444" spans="1:4" x14ac:dyDescent="0.2">
      <c r="A444" s="1">
        <v>2017</v>
      </c>
      <c r="B444" s="17" t="s">
        <v>1596</v>
      </c>
      <c r="C444" s="18">
        <v>6300</v>
      </c>
      <c r="D444" s="19">
        <v>6.2400000000000004E-6</v>
      </c>
    </row>
    <row r="445" spans="1:4" x14ac:dyDescent="0.2">
      <c r="A445" s="1">
        <v>2017</v>
      </c>
      <c r="B445" s="17" t="s">
        <v>1597</v>
      </c>
      <c r="C445" s="18">
        <v>2301333</v>
      </c>
      <c r="D445" s="19">
        <v>2.2777100000000001E-3</v>
      </c>
    </row>
    <row r="446" spans="1:4" x14ac:dyDescent="0.2">
      <c r="A446" s="1">
        <v>2017</v>
      </c>
      <c r="B446" s="17" t="s">
        <v>1598</v>
      </c>
      <c r="C446" s="18">
        <v>1090756</v>
      </c>
      <c r="D446" s="19">
        <v>1.07956E-3</v>
      </c>
    </row>
    <row r="447" spans="1:4" x14ac:dyDescent="0.2">
      <c r="A447" s="1">
        <v>2017</v>
      </c>
      <c r="B447" s="17" t="s">
        <v>1599</v>
      </c>
      <c r="C447" s="18">
        <v>17686</v>
      </c>
      <c r="D447" s="19">
        <v>1.7499999999999998E-5</v>
      </c>
    </row>
    <row r="448" spans="1:4" x14ac:dyDescent="0.2">
      <c r="A448" s="1">
        <v>2017</v>
      </c>
      <c r="B448" s="17" t="s">
        <v>1600</v>
      </c>
      <c r="C448" s="18">
        <v>33948</v>
      </c>
      <c r="D448" s="19">
        <v>3.3599999999999997E-5</v>
      </c>
    </row>
    <row r="449" spans="1:4" x14ac:dyDescent="0.2">
      <c r="A449" s="1">
        <v>2017</v>
      </c>
      <c r="B449" s="17" t="s">
        <v>1601</v>
      </c>
      <c r="C449" s="18">
        <v>1016869</v>
      </c>
      <c r="D449" s="19">
        <v>1.00643E-3</v>
      </c>
    </row>
    <row r="450" spans="1:4" x14ac:dyDescent="0.2">
      <c r="A450" s="1">
        <v>2017</v>
      </c>
      <c r="B450" s="17" t="s">
        <v>1602</v>
      </c>
      <c r="C450" s="18">
        <v>134596</v>
      </c>
      <c r="D450" s="19">
        <v>1.3321000000000001E-4</v>
      </c>
    </row>
    <row r="451" spans="1:4" x14ac:dyDescent="0.2">
      <c r="A451" s="1">
        <v>2017</v>
      </c>
      <c r="B451" s="17" t="s">
        <v>1603</v>
      </c>
      <c r="C451" s="18">
        <v>2348468</v>
      </c>
      <c r="D451" s="19">
        <v>2.3243600000000001E-3</v>
      </c>
    </row>
    <row r="452" spans="1:4" x14ac:dyDescent="0.2">
      <c r="A452" s="1">
        <v>2017</v>
      </c>
      <c r="B452" s="17" t="s">
        <v>1604</v>
      </c>
      <c r="C452" s="18">
        <v>5820</v>
      </c>
      <c r="D452" s="19">
        <v>5.7599999999999999E-6</v>
      </c>
    </row>
    <row r="453" spans="1:4" x14ac:dyDescent="0.2">
      <c r="A453" s="1">
        <v>2017</v>
      </c>
      <c r="B453" s="17" t="s">
        <v>1605</v>
      </c>
      <c r="C453" s="18">
        <v>25527</v>
      </c>
      <c r="D453" s="19">
        <v>2.527E-5</v>
      </c>
    </row>
    <row r="454" spans="1:4" x14ac:dyDescent="0.2">
      <c r="A454" s="1">
        <v>2017</v>
      </c>
      <c r="B454" s="17" t="s">
        <v>1606</v>
      </c>
      <c r="C454" s="18">
        <v>6094311</v>
      </c>
      <c r="D454" s="19">
        <v>6.0317499999999998E-3</v>
      </c>
    </row>
    <row r="455" spans="1:4" x14ac:dyDescent="0.2">
      <c r="A455" s="1">
        <v>2017</v>
      </c>
      <c r="B455" s="17" t="s">
        <v>1607</v>
      </c>
      <c r="C455" s="18">
        <v>157260</v>
      </c>
      <c r="D455" s="19">
        <v>1.5564999999999999E-4</v>
      </c>
    </row>
    <row r="456" spans="1:4" x14ac:dyDescent="0.2">
      <c r="A456" s="1">
        <v>2017</v>
      </c>
      <c r="B456" s="17" t="s">
        <v>1608</v>
      </c>
      <c r="C456" s="18">
        <v>99463</v>
      </c>
      <c r="D456" s="19">
        <v>9.8439999999999999E-5</v>
      </c>
    </row>
    <row r="457" spans="1:4" x14ac:dyDescent="0.2">
      <c r="A457" s="1">
        <v>2017</v>
      </c>
      <c r="B457" s="17" t="s">
        <v>1609</v>
      </c>
      <c r="C457" s="18">
        <v>1655714</v>
      </c>
      <c r="D457" s="19">
        <v>1.63872E-3</v>
      </c>
    </row>
    <row r="458" spans="1:4" x14ac:dyDescent="0.2">
      <c r="A458" s="1">
        <v>2017</v>
      </c>
      <c r="B458" s="37" t="s">
        <v>1610</v>
      </c>
      <c r="C458" s="38">
        <v>2287258</v>
      </c>
      <c r="D458" s="39">
        <v>2.26378E-3</v>
      </c>
    </row>
    <row r="459" spans="1:4" x14ac:dyDescent="0.2">
      <c r="A459" s="1">
        <v>2017</v>
      </c>
      <c r="B459" s="37" t="s">
        <v>1611</v>
      </c>
      <c r="C459" s="38">
        <v>2071792</v>
      </c>
      <c r="D459" s="39">
        <v>2.0505300000000001E-3</v>
      </c>
    </row>
    <row r="460" spans="1:4" x14ac:dyDescent="0.2">
      <c r="A460" s="1">
        <v>2017</v>
      </c>
      <c r="B460" s="37" t="s">
        <v>1612</v>
      </c>
      <c r="C460" s="38">
        <v>851779</v>
      </c>
      <c r="D460" s="39">
        <v>8.4303999999999998E-4</v>
      </c>
    </row>
    <row r="461" spans="1:4" x14ac:dyDescent="0.2">
      <c r="A461" s="1">
        <v>2017</v>
      </c>
      <c r="B461" s="37" t="s">
        <v>1613</v>
      </c>
      <c r="C461" s="38">
        <v>364800</v>
      </c>
      <c r="D461" s="39">
        <v>3.6106000000000002E-4</v>
      </c>
    </row>
    <row r="462" spans="1:4" x14ac:dyDescent="0.2">
      <c r="A462" s="1">
        <v>2017</v>
      </c>
      <c r="B462" s="37" t="s">
        <v>1614</v>
      </c>
      <c r="C462" s="38">
        <v>2837848</v>
      </c>
      <c r="D462" s="39">
        <v>2.8087199999999998E-3</v>
      </c>
    </row>
    <row r="463" spans="1:4" x14ac:dyDescent="0.2">
      <c r="A463" s="1">
        <v>2017</v>
      </c>
      <c r="B463" s="37" t="s">
        <v>1615</v>
      </c>
      <c r="C463" s="38">
        <v>2520652</v>
      </c>
      <c r="D463" s="39">
        <v>2.4947799999999998E-3</v>
      </c>
    </row>
    <row r="464" spans="1:4" x14ac:dyDescent="0.2">
      <c r="A464" s="1">
        <v>2017</v>
      </c>
      <c r="B464" s="37" t="s">
        <v>1616</v>
      </c>
      <c r="C464" s="38">
        <v>300807</v>
      </c>
      <c r="D464" s="39">
        <v>2.9772000000000002E-4</v>
      </c>
    </row>
    <row r="465" spans="1:4" x14ac:dyDescent="0.2">
      <c r="A465" s="1">
        <v>2017</v>
      </c>
      <c r="B465" s="37" t="s">
        <v>1617</v>
      </c>
      <c r="C465" s="38">
        <v>4848069</v>
      </c>
      <c r="D465" s="39">
        <v>4.7983000000000001E-3</v>
      </c>
    </row>
    <row r="466" spans="1:4" x14ac:dyDescent="0.2">
      <c r="A466" s="1">
        <v>2017</v>
      </c>
      <c r="B466" s="37" t="s">
        <v>1618</v>
      </c>
      <c r="C466" s="38">
        <v>85979</v>
      </c>
      <c r="D466" s="39">
        <v>8.5099999999999995E-5</v>
      </c>
    </row>
    <row r="467" spans="1:4" x14ac:dyDescent="0.2">
      <c r="A467" s="1">
        <v>2017</v>
      </c>
      <c r="B467" s="37" t="s">
        <v>1619</v>
      </c>
      <c r="C467" s="38">
        <v>19405</v>
      </c>
      <c r="D467" s="39">
        <v>1.9210000000000001E-5</v>
      </c>
    </row>
    <row r="468" spans="1:4" x14ac:dyDescent="0.2">
      <c r="A468" s="1">
        <v>2017</v>
      </c>
      <c r="B468" s="37" t="s">
        <v>1620</v>
      </c>
      <c r="C468" s="38">
        <v>169429</v>
      </c>
      <c r="D468" s="39">
        <v>1.6768999999999999E-4</v>
      </c>
    </row>
    <row r="469" spans="1:4" x14ac:dyDescent="0.2">
      <c r="A469" s="1">
        <v>2017</v>
      </c>
      <c r="B469" s="37" t="s">
        <v>1621</v>
      </c>
      <c r="C469" s="38">
        <v>16882</v>
      </c>
      <c r="D469" s="39">
        <v>1.6710000000000001E-5</v>
      </c>
    </row>
    <row r="470" spans="1:4" x14ac:dyDescent="0.2">
      <c r="A470" s="1">
        <v>2017</v>
      </c>
      <c r="B470" s="37" t="s">
        <v>1622</v>
      </c>
      <c r="C470" s="38">
        <v>265298</v>
      </c>
      <c r="D470" s="39">
        <v>2.6258E-4</v>
      </c>
    </row>
    <row r="471" spans="1:4" x14ac:dyDescent="0.2">
      <c r="A471" s="1">
        <v>2017</v>
      </c>
      <c r="B471" s="37" t="s">
        <v>1623</v>
      </c>
      <c r="C471" s="38">
        <v>1459477</v>
      </c>
      <c r="D471" s="39">
        <v>1.4445E-3</v>
      </c>
    </row>
    <row r="472" spans="1:4" x14ac:dyDescent="0.2">
      <c r="A472" s="1">
        <v>2017</v>
      </c>
      <c r="B472" s="37" t="s">
        <v>1624</v>
      </c>
      <c r="C472" s="38">
        <v>2505116</v>
      </c>
      <c r="D472" s="39">
        <v>2.4794000000000001E-3</v>
      </c>
    </row>
    <row r="473" spans="1:4" x14ac:dyDescent="0.2">
      <c r="A473" s="1">
        <v>2017</v>
      </c>
      <c r="B473" s="37" t="s">
        <v>1625</v>
      </c>
      <c r="C473" s="38">
        <v>587580</v>
      </c>
      <c r="D473" s="39">
        <v>5.8155000000000001E-4</v>
      </c>
    </row>
    <row r="474" spans="1:4" x14ac:dyDescent="0.2">
      <c r="A474" s="1">
        <v>2017</v>
      </c>
      <c r="B474" s="37" t="s">
        <v>1626</v>
      </c>
      <c r="C474" s="38">
        <v>520760</v>
      </c>
      <c r="D474" s="39">
        <v>5.1541E-4</v>
      </c>
    </row>
    <row r="475" spans="1:4" x14ac:dyDescent="0.2">
      <c r="A475" s="1">
        <v>2017</v>
      </c>
      <c r="B475" s="37" t="s">
        <v>1627</v>
      </c>
      <c r="C475" s="38">
        <v>8455</v>
      </c>
      <c r="D475" s="39">
        <v>8.3699999999999995E-6</v>
      </c>
    </row>
    <row r="476" spans="1:4" x14ac:dyDescent="0.2">
      <c r="A476" s="1">
        <v>2017</v>
      </c>
      <c r="B476" s="37" t="s">
        <v>1628</v>
      </c>
      <c r="C476" s="38">
        <v>4757976</v>
      </c>
      <c r="D476" s="39">
        <v>4.7091399999999997E-3</v>
      </c>
    </row>
    <row r="477" spans="1:4" x14ac:dyDescent="0.2">
      <c r="A477" s="1">
        <v>2017</v>
      </c>
      <c r="B477" s="37" t="s">
        <v>1629</v>
      </c>
      <c r="C477" s="38">
        <v>2805407</v>
      </c>
      <c r="D477" s="39">
        <v>2.7766100000000001E-3</v>
      </c>
    </row>
    <row r="478" spans="1:4" x14ac:dyDescent="0.2">
      <c r="A478" s="1">
        <v>2017</v>
      </c>
      <c r="B478" s="37" t="s">
        <v>2062</v>
      </c>
      <c r="C478" s="38">
        <v>61620</v>
      </c>
      <c r="D478" s="39">
        <v>6.0989999999999997E-5</v>
      </c>
    </row>
    <row r="479" spans="1:4" x14ac:dyDescent="0.2">
      <c r="A479" s="1">
        <v>2017</v>
      </c>
      <c r="B479" s="37" t="s">
        <v>1630</v>
      </c>
      <c r="C479" s="38">
        <v>569264</v>
      </c>
      <c r="D479" s="39">
        <v>5.6342000000000002E-4</v>
      </c>
    </row>
    <row r="480" spans="1:4" x14ac:dyDescent="0.2">
      <c r="A480" s="1">
        <v>2017</v>
      </c>
      <c r="B480" s="37" t="s">
        <v>1631</v>
      </c>
      <c r="C480" s="38">
        <v>263062</v>
      </c>
      <c r="D480" s="39">
        <v>2.6036000000000001E-4</v>
      </c>
    </row>
    <row r="481" spans="1:4" x14ac:dyDescent="0.2">
      <c r="A481" s="1">
        <v>2017</v>
      </c>
      <c r="B481" s="37" t="s">
        <v>1632</v>
      </c>
      <c r="C481" s="38">
        <v>8854718</v>
      </c>
      <c r="D481" s="39">
        <v>8.7638200000000003E-3</v>
      </c>
    </row>
    <row r="482" spans="1:4" x14ac:dyDescent="0.2">
      <c r="A482" s="1">
        <v>2017</v>
      </c>
      <c r="B482" s="37" t="s">
        <v>1633</v>
      </c>
      <c r="C482" s="38">
        <v>752942</v>
      </c>
      <c r="D482" s="39">
        <v>7.4520999999999995E-4</v>
      </c>
    </row>
    <row r="483" spans="1:4" x14ac:dyDescent="0.2">
      <c r="A483" s="1">
        <v>2017</v>
      </c>
      <c r="B483" s="37" t="s">
        <v>1634</v>
      </c>
      <c r="C483" s="38">
        <v>31949171</v>
      </c>
      <c r="D483" s="39">
        <v>3.1621219999999998E-2</v>
      </c>
    </row>
    <row r="484" spans="1:4" x14ac:dyDescent="0.2">
      <c r="A484" s="1">
        <v>2017</v>
      </c>
      <c r="B484" s="37" t="s">
        <v>1635</v>
      </c>
      <c r="C484" s="38">
        <v>8032</v>
      </c>
      <c r="D484" s="39">
        <v>7.9500000000000001E-6</v>
      </c>
    </row>
    <row r="485" spans="1:4" x14ac:dyDescent="0.2">
      <c r="A485" s="1">
        <v>2017</v>
      </c>
      <c r="B485" s="37" t="s">
        <v>1636</v>
      </c>
      <c r="C485" s="38">
        <v>1811070</v>
      </c>
      <c r="D485" s="39">
        <v>1.7924799999999999E-3</v>
      </c>
    </row>
    <row r="486" spans="1:4" x14ac:dyDescent="0.2">
      <c r="A486" s="1">
        <v>2017</v>
      </c>
      <c r="B486" s="37" t="s">
        <v>1637</v>
      </c>
      <c r="C486" s="38">
        <v>1090784</v>
      </c>
      <c r="D486" s="39">
        <v>1.0795900000000001E-3</v>
      </c>
    </row>
    <row r="487" spans="1:4" x14ac:dyDescent="0.2">
      <c r="A487" s="1">
        <v>2017</v>
      </c>
      <c r="B487" s="37" t="s">
        <v>1638</v>
      </c>
      <c r="C487" s="38">
        <v>373661</v>
      </c>
      <c r="D487" s="39">
        <v>3.6982999999999997E-4</v>
      </c>
    </row>
    <row r="488" spans="1:4" x14ac:dyDescent="0.2">
      <c r="A488" s="1">
        <v>2017</v>
      </c>
      <c r="B488" s="37" t="s">
        <v>1639</v>
      </c>
      <c r="C488" s="38">
        <v>287057</v>
      </c>
      <c r="D488" s="39">
        <v>2.8411000000000002E-4</v>
      </c>
    </row>
    <row r="489" spans="1:4" x14ac:dyDescent="0.2">
      <c r="A489" s="1">
        <v>2017</v>
      </c>
      <c r="B489" s="37" t="s">
        <v>1640</v>
      </c>
      <c r="C489" s="38">
        <v>111827</v>
      </c>
      <c r="D489" s="39">
        <v>1.1068E-4</v>
      </c>
    </row>
    <row r="490" spans="1:4" x14ac:dyDescent="0.2">
      <c r="A490" s="1">
        <v>2017</v>
      </c>
      <c r="B490" s="37" t="s">
        <v>1641</v>
      </c>
      <c r="C490" s="38">
        <v>65397</v>
      </c>
      <c r="D490" s="39">
        <v>6.4729999999999999E-5</v>
      </c>
    </row>
    <row r="491" spans="1:4" x14ac:dyDescent="0.2">
      <c r="A491" s="1">
        <v>2017</v>
      </c>
      <c r="B491" s="37" t="s">
        <v>1642</v>
      </c>
      <c r="C491" s="38">
        <v>219681</v>
      </c>
      <c r="D491" s="39">
        <v>2.1743000000000001E-4</v>
      </c>
    </row>
    <row r="492" spans="1:4" x14ac:dyDescent="0.2">
      <c r="A492" s="1">
        <v>2017</v>
      </c>
      <c r="B492" s="37" t="s">
        <v>1643</v>
      </c>
      <c r="C492" s="38">
        <v>726431</v>
      </c>
      <c r="D492" s="39">
        <v>7.1896999999999998E-4</v>
      </c>
    </row>
    <row r="493" spans="1:4" x14ac:dyDescent="0.2">
      <c r="A493" s="1">
        <v>2017</v>
      </c>
      <c r="B493" s="37" t="s">
        <v>1644</v>
      </c>
      <c r="C493" s="38">
        <v>2077947</v>
      </c>
      <c r="D493" s="39">
        <v>2.0566199999999999E-3</v>
      </c>
    </row>
    <row r="494" spans="1:4" x14ac:dyDescent="0.2">
      <c r="A494" s="1">
        <v>2017</v>
      </c>
      <c r="B494" s="37" t="s">
        <v>1645</v>
      </c>
      <c r="C494" s="38">
        <v>27766</v>
      </c>
      <c r="D494" s="39">
        <v>2.7480000000000001E-5</v>
      </c>
    </row>
    <row r="495" spans="1:4" x14ac:dyDescent="0.2">
      <c r="A495" s="1">
        <v>2017</v>
      </c>
      <c r="B495" s="37" t="s">
        <v>1646</v>
      </c>
      <c r="C495" s="38">
        <v>20256</v>
      </c>
      <c r="D495" s="39">
        <v>2.0049999999999999E-5</v>
      </c>
    </row>
    <row r="496" spans="1:4" x14ac:dyDescent="0.2">
      <c r="A496" s="1">
        <v>2017</v>
      </c>
      <c r="B496" s="17" t="s">
        <v>1647</v>
      </c>
      <c r="C496" s="32">
        <v>11091</v>
      </c>
      <c r="D496" s="19">
        <v>1.098E-5</v>
      </c>
    </row>
    <row r="497" spans="1:4" x14ac:dyDescent="0.2">
      <c r="A497" s="1">
        <v>2017</v>
      </c>
      <c r="B497" s="17" t="s">
        <v>1648</v>
      </c>
      <c r="C497" s="18">
        <v>196170</v>
      </c>
      <c r="D497" s="19">
        <v>1.9416E-4</v>
      </c>
    </row>
    <row r="498" spans="1:4" x14ac:dyDescent="0.2">
      <c r="A498" s="1">
        <v>2017</v>
      </c>
      <c r="B498" s="17" t="s">
        <v>1649</v>
      </c>
      <c r="C498" s="18">
        <v>77147</v>
      </c>
      <c r="D498" s="19">
        <v>7.6349999999999999E-5</v>
      </c>
    </row>
    <row r="499" spans="1:4" x14ac:dyDescent="0.2">
      <c r="A499" s="1">
        <v>2017</v>
      </c>
      <c r="B499" s="17" t="s">
        <v>1650</v>
      </c>
      <c r="C499" s="18">
        <v>109372</v>
      </c>
      <c r="D499" s="19">
        <v>1.0825E-4</v>
      </c>
    </row>
    <row r="500" spans="1:4" x14ac:dyDescent="0.2">
      <c r="A500" s="1">
        <v>2017</v>
      </c>
      <c r="B500" s="17" t="s">
        <v>1651</v>
      </c>
      <c r="C500" s="18">
        <v>16144</v>
      </c>
      <c r="D500" s="19">
        <v>1.5979999999999999E-5</v>
      </c>
    </row>
    <row r="501" spans="1:4" x14ac:dyDescent="0.2">
      <c r="A501" s="1">
        <v>2017</v>
      </c>
      <c r="B501" s="17" t="s">
        <v>2063</v>
      </c>
      <c r="C501" s="18">
        <v>1993119</v>
      </c>
      <c r="D501" s="19">
        <v>1.9726600000000002E-3</v>
      </c>
    </row>
    <row r="502" spans="1:4" x14ac:dyDescent="0.2">
      <c r="A502" s="1">
        <v>2017</v>
      </c>
      <c r="B502" s="17" t="s">
        <v>1653</v>
      </c>
      <c r="C502" s="18">
        <v>1063728</v>
      </c>
      <c r="D502" s="19">
        <v>1.0528099999999999E-3</v>
      </c>
    </row>
    <row r="503" spans="1:4" x14ac:dyDescent="0.2">
      <c r="A503" s="1">
        <v>2017</v>
      </c>
      <c r="B503" s="17" t="s">
        <v>1654</v>
      </c>
      <c r="C503" s="18">
        <v>18240607</v>
      </c>
      <c r="D503" s="19">
        <v>1.8053369999999999E-2</v>
      </c>
    </row>
    <row r="504" spans="1:4" x14ac:dyDescent="0.2">
      <c r="A504" s="1">
        <v>2017</v>
      </c>
      <c r="B504" s="17" t="s">
        <v>1655</v>
      </c>
      <c r="C504" s="18">
        <v>1848745</v>
      </c>
      <c r="D504" s="19">
        <v>1.8297700000000001E-3</v>
      </c>
    </row>
    <row r="505" spans="1:4" x14ac:dyDescent="0.2">
      <c r="A505" s="1">
        <v>2017</v>
      </c>
      <c r="B505" s="17" t="s">
        <v>1656</v>
      </c>
      <c r="C505" s="18">
        <v>903416</v>
      </c>
      <c r="D505" s="19">
        <v>8.9413999999999997E-4</v>
      </c>
    </row>
    <row r="506" spans="1:4" x14ac:dyDescent="0.2">
      <c r="A506" s="1">
        <v>2017</v>
      </c>
      <c r="B506" s="17" t="s">
        <v>1657</v>
      </c>
      <c r="C506" s="18">
        <v>5906466</v>
      </c>
      <c r="D506" s="19">
        <v>5.8458399999999997E-3</v>
      </c>
    </row>
    <row r="507" spans="1:4" x14ac:dyDescent="0.2">
      <c r="A507" s="1">
        <v>2017</v>
      </c>
      <c r="B507" s="17" t="s">
        <v>1659</v>
      </c>
      <c r="C507" s="18">
        <v>3608281</v>
      </c>
      <c r="D507" s="19">
        <v>3.5712399999999998E-3</v>
      </c>
    </row>
    <row r="508" spans="1:4" x14ac:dyDescent="0.2">
      <c r="A508" s="1">
        <v>2017</v>
      </c>
      <c r="B508" s="17" t="s">
        <v>1660</v>
      </c>
      <c r="C508" s="18">
        <v>242762</v>
      </c>
      <c r="D508" s="19">
        <v>2.4027E-4</v>
      </c>
    </row>
    <row r="509" spans="1:4" x14ac:dyDescent="0.2">
      <c r="A509" s="1">
        <v>2017</v>
      </c>
      <c r="B509" s="17" t="s">
        <v>1661</v>
      </c>
      <c r="C509" s="18">
        <v>960553</v>
      </c>
      <c r="D509" s="19">
        <v>9.5069000000000002E-4</v>
      </c>
    </row>
    <row r="510" spans="1:4" x14ac:dyDescent="0.2">
      <c r="A510" s="1">
        <v>2017</v>
      </c>
      <c r="B510" s="17" t="s">
        <v>1662</v>
      </c>
      <c r="C510" s="18">
        <v>276057</v>
      </c>
      <c r="D510" s="19">
        <v>2.7322000000000002E-4</v>
      </c>
    </row>
    <row r="511" spans="1:4" x14ac:dyDescent="0.2">
      <c r="A511" s="1">
        <v>2017</v>
      </c>
      <c r="B511" s="17" t="s">
        <v>1663</v>
      </c>
      <c r="C511" s="18">
        <v>25017</v>
      </c>
      <c r="D511" s="19">
        <v>2.476E-5</v>
      </c>
    </row>
    <row r="512" spans="1:4" x14ac:dyDescent="0.2">
      <c r="A512" s="1">
        <v>2017</v>
      </c>
      <c r="B512" s="17" t="s">
        <v>1665</v>
      </c>
      <c r="C512" s="18">
        <v>334424</v>
      </c>
      <c r="D512" s="19">
        <v>3.3098999999999997E-4</v>
      </c>
    </row>
    <row r="513" spans="1:4" x14ac:dyDescent="0.2">
      <c r="A513" s="1">
        <v>2017</v>
      </c>
      <c r="B513" s="17" t="s">
        <v>1666</v>
      </c>
      <c r="C513" s="18">
        <v>201804</v>
      </c>
      <c r="D513" s="19">
        <v>1.9972999999999999E-4</v>
      </c>
    </row>
    <row r="514" spans="1:4" x14ac:dyDescent="0.2">
      <c r="A514" s="1">
        <v>2017</v>
      </c>
      <c r="B514" s="17" t="s">
        <v>2036</v>
      </c>
      <c r="C514" s="18">
        <v>210013</v>
      </c>
      <c r="D514" s="19">
        <v>2.0786000000000001E-4</v>
      </c>
    </row>
    <row r="515" spans="1:4" x14ac:dyDescent="0.2">
      <c r="A515" s="1">
        <v>2017</v>
      </c>
      <c r="B515" s="17" t="s">
        <v>2037</v>
      </c>
      <c r="C515" s="18">
        <v>470767</v>
      </c>
      <c r="D515" s="19">
        <v>4.6592999999999998E-4</v>
      </c>
    </row>
    <row r="516" spans="1:4" x14ac:dyDescent="0.2">
      <c r="A516" s="1">
        <v>2017</v>
      </c>
      <c r="B516" s="17" t="s">
        <v>2038</v>
      </c>
      <c r="C516" s="18">
        <v>91416</v>
      </c>
      <c r="D516" s="19">
        <v>9.0480000000000001E-5</v>
      </c>
    </row>
    <row r="517" spans="1:4" x14ac:dyDescent="0.2">
      <c r="A517" s="1">
        <v>2017</v>
      </c>
      <c r="B517" s="17" t="s">
        <v>1669</v>
      </c>
      <c r="C517" s="18">
        <v>208685</v>
      </c>
      <c r="D517" s="19">
        <v>2.0654000000000001E-4</v>
      </c>
    </row>
    <row r="518" spans="1:4" x14ac:dyDescent="0.2">
      <c r="A518" s="1">
        <v>2017</v>
      </c>
      <c r="B518" s="17" t="s">
        <v>1670</v>
      </c>
      <c r="C518" s="18">
        <v>104552</v>
      </c>
      <c r="D518" s="19">
        <v>1.0348000000000001E-4</v>
      </c>
    </row>
    <row r="519" spans="1:4" x14ac:dyDescent="0.2">
      <c r="A519" s="1">
        <v>2017</v>
      </c>
      <c r="B519" s="17" t="s">
        <v>1671</v>
      </c>
      <c r="C519" s="18">
        <v>446225</v>
      </c>
      <c r="D519" s="19">
        <v>4.4163999999999998E-4</v>
      </c>
    </row>
    <row r="520" spans="1:4" x14ac:dyDescent="0.2">
      <c r="A520" s="1">
        <v>2017</v>
      </c>
      <c r="B520" s="17" t="s">
        <v>1672</v>
      </c>
      <c r="C520" s="18">
        <v>2387085</v>
      </c>
      <c r="D520" s="19">
        <v>2.36258E-3</v>
      </c>
    </row>
    <row r="521" spans="1:4" x14ac:dyDescent="0.2">
      <c r="A521" s="1">
        <v>2017</v>
      </c>
      <c r="B521" s="17" t="s">
        <v>1673</v>
      </c>
      <c r="C521" s="18">
        <v>2552721</v>
      </c>
      <c r="D521" s="19">
        <v>2.52652E-3</v>
      </c>
    </row>
    <row r="522" spans="1:4" x14ac:dyDescent="0.2">
      <c r="A522" s="1">
        <v>2017</v>
      </c>
      <c r="B522" s="17" t="s">
        <v>1674</v>
      </c>
      <c r="C522" s="18">
        <v>11512</v>
      </c>
      <c r="D522" s="19">
        <v>1.1389999999999999E-5</v>
      </c>
    </row>
    <row r="523" spans="1:4" x14ac:dyDescent="0.2">
      <c r="A523" s="1">
        <v>2017</v>
      </c>
      <c r="B523" s="17" t="s">
        <v>1675</v>
      </c>
      <c r="C523" s="18">
        <v>103879</v>
      </c>
      <c r="D523" s="19">
        <v>1.0281E-4</v>
      </c>
    </row>
    <row r="524" spans="1:4" x14ac:dyDescent="0.2">
      <c r="A524" s="1">
        <v>2017</v>
      </c>
      <c r="B524" s="17" t="s">
        <v>1676</v>
      </c>
      <c r="C524" s="18">
        <v>24109</v>
      </c>
      <c r="D524" s="19">
        <v>2.3859999999999999E-5</v>
      </c>
    </row>
    <row r="525" spans="1:4" x14ac:dyDescent="0.2">
      <c r="A525" s="1">
        <v>2017</v>
      </c>
      <c r="B525" s="17" t="s">
        <v>1677</v>
      </c>
      <c r="C525" s="18">
        <v>1137307</v>
      </c>
      <c r="D525" s="19">
        <v>1.1256300000000001E-3</v>
      </c>
    </row>
    <row r="526" spans="1:4" x14ac:dyDescent="0.2">
      <c r="A526" s="1">
        <v>2017</v>
      </c>
      <c r="B526" s="17" t="s">
        <v>1678</v>
      </c>
      <c r="C526" s="18">
        <v>78094</v>
      </c>
      <c r="D526" s="19">
        <v>7.729E-5</v>
      </c>
    </row>
    <row r="527" spans="1:4" x14ac:dyDescent="0.2">
      <c r="A527" s="1">
        <v>2017</v>
      </c>
      <c r="B527" s="17" t="s">
        <v>1679</v>
      </c>
      <c r="C527" s="18">
        <v>296785</v>
      </c>
      <c r="D527" s="19">
        <v>2.9374000000000002E-4</v>
      </c>
    </row>
    <row r="528" spans="1:4" x14ac:dyDescent="0.2">
      <c r="A528" s="1">
        <v>2017</v>
      </c>
      <c r="B528" s="17" t="s">
        <v>1680</v>
      </c>
      <c r="C528" s="18">
        <v>110091</v>
      </c>
      <c r="D528" s="19">
        <v>1.0896E-4</v>
      </c>
    </row>
    <row r="529" spans="1:4" x14ac:dyDescent="0.2">
      <c r="A529" s="1">
        <v>2017</v>
      </c>
      <c r="B529" s="17" t="s">
        <v>1681</v>
      </c>
      <c r="C529" s="18">
        <v>3285458</v>
      </c>
      <c r="D529" s="19">
        <v>3.25173E-3</v>
      </c>
    </row>
    <row r="530" spans="1:4" x14ac:dyDescent="0.2">
      <c r="A530" s="1">
        <v>2017</v>
      </c>
      <c r="B530" s="17" t="s">
        <v>1682</v>
      </c>
      <c r="C530" s="18">
        <v>9482</v>
      </c>
      <c r="D530" s="19">
        <v>9.38E-6</v>
      </c>
    </row>
    <row r="531" spans="1:4" x14ac:dyDescent="0.2">
      <c r="A531" s="1">
        <v>2017</v>
      </c>
      <c r="B531" s="17" t="s">
        <v>1683</v>
      </c>
      <c r="C531" s="18">
        <v>2294128</v>
      </c>
      <c r="D531" s="19">
        <v>2.2705799999999999E-3</v>
      </c>
    </row>
    <row r="532" spans="1:4" x14ac:dyDescent="0.2">
      <c r="A532" s="1">
        <v>2017</v>
      </c>
      <c r="B532" s="17" t="s">
        <v>1684</v>
      </c>
      <c r="C532" s="18">
        <v>610712</v>
      </c>
      <c r="D532" s="19">
        <v>6.0444000000000003E-4</v>
      </c>
    </row>
    <row r="533" spans="1:4" x14ac:dyDescent="0.2">
      <c r="A533" s="1">
        <v>2017</v>
      </c>
      <c r="B533" s="17" t="s">
        <v>1685</v>
      </c>
      <c r="C533" s="18">
        <v>24596</v>
      </c>
      <c r="D533" s="19">
        <v>2.4340000000000001E-5</v>
      </c>
    </row>
    <row r="534" spans="1:4" x14ac:dyDescent="0.2">
      <c r="A534" s="1">
        <v>2017</v>
      </c>
      <c r="B534" s="14" t="s">
        <v>1686</v>
      </c>
      <c r="C534" s="15">
        <v>4505</v>
      </c>
      <c r="D534" s="16">
        <v>4.4599999999999996E-6</v>
      </c>
    </row>
    <row r="535" spans="1:4" x14ac:dyDescent="0.2">
      <c r="A535" s="1">
        <v>2017</v>
      </c>
      <c r="B535" s="14" t="s">
        <v>1687</v>
      </c>
      <c r="C535" s="15">
        <v>968395</v>
      </c>
      <c r="D535" s="16">
        <v>9.5845000000000001E-4</v>
      </c>
    </row>
    <row r="536" spans="1:4" x14ac:dyDescent="0.2">
      <c r="A536" s="1">
        <v>2017</v>
      </c>
      <c r="B536" s="14" t="s">
        <v>1688</v>
      </c>
      <c r="C536" s="15">
        <v>73713</v>
      </c>
      <c r="D536" s="16">
        <v>7.2960000000000006E-5</v>
      </c>
    </row>
    <row r="537" spans="1:4" x14ac:dyDescent="0.2">
      <c r="A537" s="1">
        <v>2017</v>
      </c>
      <c r="B537" s="14" t="s">
        <v>1689</v>
      </c>
      <c r="C537" s="15">
        <v>572791</v>
      </c>
      <c r="D537" s="16">
        <v>5.6691000000000001E-4</v>
      </c>
    </row>
    <row r="538" spans="1:4" x14ac:dyDescent="0.2">
      <c r="A538" s="1">
        <v>2017</v>
      </c>
      <c r="B538" s="14" t="s">
        <v>1690</v>
      </c>
      <c r="C538" s="15">
        <v>528660</v>
      </c>
      <c r="D538" s="16">
        <v>5.2322999999999996E-4</v>
      </c>
    </row>
    <row r="539" spans="1:4" x14ac:dyDescent="0.2">
      <c r="A539" s="1">
        <v>2017</v>
      </c>
      <c r="B539" s="14" t="s">
        <v>1691</v>
      </c>
      <c r="C539" s="15">
        <v>1640641</v>
      </c>
      <c r="D539" s="16">
        <v>1.6237999999999999E-3</v>
      </c>
    </row>
    <row r="540" spans="1:4" x14ac:dyDescent="0.2">
      <c r="A540" s="1">
        <v>2017</v>
      </c>
      <c r="B540" s="14" t="s">
        <v>1692</v>
      </c>
      <c r="C540" s="15">
        <v>37645</v>
      </c>
      <c r="D540" s="16">
        <v>3.7259999999999999E-5</v>
      </c>
    </row>
    <row r="541" spans="1:4" x14ac:dyDescent="0.2">
      <c r="A541" s="1">
        <v>2017</v>
      </c>
      <c r="B541" s="14" t="s">
        <v>1693</v>
      </c>
      <c r="C541" s="15">
        <v>21953</v>
      </c>
      <c r="D541" s="16">
        <v>2.173E-5</v>
      </c>
    </row>
    <row r="542" spans="1:4" x14ac:dyDescent="0.2">
      <c r="A542" s="1">
        <v>2017</v>
      </c>
      <c r="B542" s="14" t="s">
        <v>1694</v>
      </c>
      <c r="C542" s="15">
        <v>222108</v>
      </c>
      <c r="D542" s="16">
        <v>2.1982999999999999E-4</v>
      </c>
    </row>
    <row r="543" spans="1:4" x14ac:dyDescent="0.2">
      <c r="A543" s="1">
        <v>2017</v>
      </c>
      <c r="B543" s="14" t="s">
        <v>1695</v>
      </c>
      <c r="C543" s="15">
        <v>1528193</v>
      </c>
      <c r="D543" s="16">
        <v>1.5125099999999999E-3</v>
      </c>
    </row>
    <row r="544" spans="1:4" x14ac:dyDescent="0.2">
      <c r="A544" s="1">
        <v>2017</v>
      </c>
      <c r="B544" s="14" t="s">
        <v>1696</v>
      </c>
      <c r="C544" s="15">
        <v>510333</v>
      </c>
      <c r="D544" s="16">
        <v>5.0509000000000003E-4</v>
      </c>
    </row>
    <row r="545" spans="1:4" x14ac:dyDescent="0.2">
      <c r="A545" s="1">
        <v>2017</v>
      </c>
      <c r="B545" s="14" t="s">
        <v>1697</v>
      </c>
      <c r="C545" s="15">
        <v>2522</v>
      </c>
      <c r="D545" s="16">
        <v>2.5000000000000002E-6</v>
      </c>
    </row>
    <row r="546" spans="1:4" x14ac:dyDescent="0.2">
      <c r="A546" s="1">
        <v>2017</v>
      </c>
      <c r="B546" s="14" t="s">
        <v>1698</v>
      </c>
      <c r="C546" s="15">
        <v>933323</v>
      </c>
      <c r="D546" s="16">
        <v>9.2374000000000004E-4</v>
      </c>
    </row>
    <row r="547" spans="1:4" x14ac:dyDescent="0.2">
      <c r="A547" s="1">
        <v>2017</v>
      </c>
      <c r="B547" s="14" t="s">
        <v>1699</v>
      </c>
      <c r="C547" s="15">
        <v>8147</v>
      </c>
      <c r="D547" s="16">
        <v>8.0600000000000008E-6</v>
      </c>
    </row>
    <row r="548" spans="1:4" x14ac:dyDescent="0.2">
      <c r="A548" s="1">
        <v>2017</v>
      </c>
      <c r="B548" s="14" t="s">
        <v>1700</v>
      </c>
      <c r="C548" s="15">
        <v>1056668</v>
      </c>
      <c r="D548" s="16">
        <v>1.04582E-3</v>
      </c>
    </row>
    <row r="549" spans="1:4" x14ac:dyDescent="0.2">
      <c r="A549" s="1">
        <v>2017</v>
      </c>
      <c r="B549" s="14" t="s">
        <v>1701</v>
      </c>
      <c r="C549" s="15">
        <v>654712</v>
      </c>
      <c r="D549" s="16">
        <v>6.4798999999999998E-4</v>
      </c>
    </row>
    <row r="550" spans="1:4" x14ac:dyDescent="0.2">
      <c r="A550" s="1">
        <v>2017</v>
      </c>
      <c r="B550" s="14" t="s">
        <v>1702</v>
      </c>
      <c r="C550" s="15">
        <v>4521786</v>
      </c>
      <c r="D550" s="16">
        <v>4.4753700000000002E-3</v>
      </c>
    </row>
    <row r="551" spans="1:4" x14ac:dyDescent="0.2">
      <c r="A551" s="1">
        <v>2017</v>
      </c>
      <c r="B551" s="14" t="s">
        <v>1703</v>
      </c>
      <c r="C551" s="15">
        <v>1329780</v>
      </c>
      <c r="D551" s="16">
        <v>1.31613E-3</v>
      </c>
    </row>
    <row r="552" spans="1:4" x14ac:dyDescent="0.2">
      <c r="A552" s="1">
        <v>2017</v>
      </c>
      <c r="B552" s="14" t="s">
        <v>1704</v>
      </c>
      <c r="C552" s="15">
        <v>1769996</v>
      </c>
      <c r="D552" s="16">
        <v>1.75183E-3</v>
      </c>
    </row>
    <row r="553" spans="1:4" x14ac:dyDescent="0.2">
      <c r="A553" s="1">
        <v>2017</v>
      </c>
      <c r="B553" s="14" t="s">
        <v>1705</v>
      </c>
      <c r="C553" s="15">
        <v>3957458</v>
      </c>
      <c r="D553" s="16">
        <v>3.9168299999999996E-3</v>
      </c>
    </row>
    <row r="554" spans="1:4" x14ac:dyDescent="0.2">
      <c r="A554" s="1">
        <v>2017</v>
      </c>
      <c r="B554" s="14" t="s">
        <v>1706</v>
      </c>
      <c r="C554" s="15">
        <v>1030246</v>
      </c>
      <c r="D554" s="16">
        <v>1.0196700000000001E-3</v>
      </c>
    </row>
    <row r="555" spans="1:4" x14ac:dyDescent="0.2">
      <c r="A555" s="1">
        <v>2017</v>
      </c>
      <c r="B555" s="14" t="s">
        <v>1707</v>
      </c>
      <c r="C555" s="15">
        <v>1471667</v>
      </c>
      <c r="D555" s="16">
        <v>1.45656E-3</v>
      </c>
    </row>
    <row r="556" spans="1:4" x14ac:dyDescent="0.2">
      <c r="A556" s="1">
        <v>2017</v>
      </c>
      <c r="B556" s="14" t="s">
        <v>1708</v>
      </c>
      <c r="C556" s="15">
        <v>50761</v>
      </c>
      <c r="D556" s="16">
        <v>5.024E-5</v>
      </c>
    </row>
    <row r="557" spans="1:4" x14ac:dyDescent="0.2">
      <c r="A557" s="1">
        <v>2017</v>
      </c>
      <c r="B557" s="14" t="s">
        <v>1709</v>
      </c>
      <c r="C557" s="15">
        <v>2348955</v>
      </c>
      <c r="D557" s="16">
        <v>2.3248399999999999E-3</v>
      </c>
    </row>
    <row r="558" spans="1:4" x14ac:dyDescent="0.2">
      <c r="A558" s="1">
        <v>2017</v>
      </c>
      <c r="B558" s="14" t="s">
        <v>1710</v>
      </c>
      <c r="C558" s="15">
        <v>64020</v>
      </c>
      <c r="D558" s="16">
        <v>6.3360000000000003E-5</v>
      </c>
    </row>
    <row r="559" spans="1:4" x14ac:dyDescent="0.2">
      <c r="A559" s="1">
        <v>2017</v>
      </c>
      <c r="B559" s="14" t="s">
        <v>1711</v>
      </c>
      <c r="C559" s="15">
        <v>4840039</v>
      </c>
      <c r="D559" s="16">
        <v>4.7903599999999996E-3</v>
      </c>
    </row>
    <row r="560" spans="1:4" x14ac:dyDescent="0.2">
      <c r="A560" s="1">
        <v>2017</v>
      </c>
      <c r="B560" s="14" t="s">
        <v>1712</v>
      </c>
      <c r="C560" s="15">
        <v>32845</v>
      </c>
      <c r="D560" s="16">
        <v>3.2509999999999999E-5</v>
      </c>
    </row>
    <row r="561" spans="1:4" x14ac:dyDescent="0.2">
      <c r="A561" s="1">
        <v>2017</v>
      </c>
      <c r="B561" s="14" t="s">
        <v>1713</v>
      </c>
      <c r="C561" s="15">
        <v>1290087</v>
      </c>
      <c r="D561" s="16">
        <v>1.27684E-3</v>
      </c>
    </row>
    <row r="562" spans="1:4" x14ac:dyDescent="0.2">
      <c r="A562" s="1">
        <v>2017</v>
      </c>
      <c r="B562" s="14" t="s">
        <v>1714</v>
      </c>
      <c r="C562" s="15">
        <v>346717</v>
      </c>
      <c r="D562" s="16">
        <v>3.4316000000000001E-4</v>
      </c>
    </row>
    <row r="563" spans="1:4" x14ac:dyDescent="0.2">
      <c r="A563" s="1">
        <v>2017</v>
      </c>
      <c r="B563" s="14" t="s">
        <v>1715</v>
      </c>
      <c r="C563" s="15">
        <v>8340</v>
      </c>
      <c r="D563" s="16">
        <v>8.2500000000000006E-6</v>
      </c>
    </row>
    <row r="564" spans="1:4" x14ac:dyDescent="0.2">
      <c r="A564" s="1">
        <v>2017</v>
      </c>
      <c r="B564" s="14" t="s">
        <v>1716</v>
      </c>
      <c r="C564" s="15">
        <v>41471</v>
      </c>
      <c r="D564" s="16">
        <v>4.1050000000000002E-5</v>
      </c>
    </row>
    <row r="565" spans="1:4" x14ac:dyDescent="0.2">
      <c r="A565" s="1">
        <v>2017</v>
      </c>
      <c r="B565" s="14" t="s">
        <v>1717</v>
      </c>
      <c r="C565" s="15">
        <v>12763</v>
      </c>
      <c r="D565" s="16">
        <v>1.2629999999999999E-5</v>
      </c>
    </row>
    <row r="566" spans="1:4" x14ac:dyDescent="0.2">
      <c r="A566" s="1">
        <v>2017</v>
      </c>
      <c r="B566" s="14" t="s">
        <v>1718</v>
      </c>
      <c r="C566" s="15">
        <v>1106563</v>
      </c>
      <c r="D566" s="16">
        <v>1.0951999999999999E-3</v>
      </c>
    </row>
    <row r="567" spans="1:4" x14ac:dyDescent="0.2">
      <c r="A567" s="1">
        <v>2017</v>
      </c>
      <c r="B567" s="14" t="s">
        <v>1719</v>
      </c>
      <c r="C567" s="15">
        <v>4499972</v>
      </c>
      <c r="D567" s="16">
        <v>4.4537800000000001E-3</v>
      </c>
    </row>
    <row r="568" spans="1:4" x14ac:dyDescent="0.2">
      <c r="A568" s="1">
        <v>2017</v>
      </c>
      <c r="B568" s="14" t="s">
        <v>1720</v>
      </c>
      <c r="C568" s="15">
        <v>307421</v>
      </c>
      <c r="D568" s="16">
        <v>3.0425999999999999E-4</v>
      </c>
    </row>
    <row r="569" spans="1:4" x14ac:dyDescent="0.2">
      <c r="A569" s="1">
        <v>2017</v>
      </c>
      <c r="B569" s="14" t="s">
        <v>1721</v>
      </c>
      <c r="C569" s="15">
        <v>191486</v>
      </c>
      <c r="D569" s="16">
        <v>1.8951999999999999E-4</v>
      </c>
    </row>
    <row r="570" spans="1:4" x14ac:dyDescent="0.2">
      <c r="A570" s="1">
        <v>2017</v>
      </c>
      <c r="B570" s="14" t="s">
        <v>1722</v>
      </c>
      <c r="C570" s="15">
        <v>153344</v>
      </c>
      <c r="D570" s="16">
        <v>1.5176999999999999E-4</v>
      </c>
    </row>
    <row r="571" spans="1:4" x14ac:dyDescent="0.2">
      <c r="A571" s="1">
        <v>2017</v>
      </c>
      <c r="B571" s="14" t="s">
        <v>1723</v>
      </c>
      <c r="C571" s="15">
        <v>144908</v>
      </c>
      <c r="D571" s="16">
        <v>1.4342000000000001E-4</v>
      </c>
    </row>
    <row r="572" spans="1:4" x14ac:dyDescent="0.2">
      <c r="A572" s="1">
        <v>2017</v>
      </c>
      <c r="B572" s="37" t="s">
        <v>1724</v>
      </c>
      <c r="C572" s="38">
        <v>544271</v>
      </c>
      <c r="D572" s="39">
        <v>5.3868000000000004E-4</v>
      </c>
    </row>
    <row r="573" spans="1:4" x14ac:dyDescent="0.2">
      <c r="A573" s="1">
        <v>2017</v>
      </c>
      <c r="B573" s="37" t="s">
        <v>1725</v>
      </c>
      <c r="C573" s="38">
        <v>1020643</v>
      </c>
      <c r="D573" s="39">
        <v>1.0101699999999999E-3</v>
      </c>
    </row>
    <row r="574" spans="1:4" x14ac:dyDescent="0.2">
      <c r="A574" s="1">
        <v>2017</v>
      </c>
      <c r="B574" s="37" t="s">
        <v>1726</v>
      </c>
      <c r="C574" s="38">
        <v>37016</v>
      </c>
      <c r="D574" s="39">
        <v>3.6640000000000002E-5</v>
      </c>
    </row>
    <row r="575" spans="1:4" x14ac:dyDescent="0.2">
      <c r="A575" s="1">
        <v>2017</v>
      </c>
      <c r="B575" s="37" t="s">
        <v>1727</v>
      </c>
      <c r="C575" s="38">
        <v>3061626</v>
      </c>
      <c r="D575" s="39">
        <v>3.0301999999999998E-3</v>
      </c>
    </row>
    <row r="576" spans="1:4" x14ac:dyDescent="0.2">
      <c r="A576" s="1">
        <v>2017</v>
      </c>
      <c r="B576" s="37" t="s">
        <v>1728</v>
      </c>
      <c r="C576" s="38">
        <v>26269</v>
      </c>
      <c r="D576" s="39">
        <v>2.5999999999999998E-5</v>
      </c>
    </row>
    <row r="577" spans="1:4" x14ac:dyDescent="0.2">
      <c r="A577" s="1">
        <v>2017</v>
      </c>
      <c r="B577" s="37" t="s">
        <v>1729</v>
      </c>
      <c r="C577" s="38">
        <v>2450662</v>
      </c>
      <c r="D577" s="39">
        <v>2.4255100000000001E-3</v>
      </c>
    </row>
    <row r="578" spans="1:4" x14ac:dyDescent="0.2">
      <c r="A578" s="1">
        <v>2017</v>
      </c>
      <c r="B578" s="37" t="s">
        <v>1730</v>
      </c>
      <c r="C578" s="38">
        <v>259162</v>
      </c>
      <c r="D578" s="39">
        <v>2.565E-4</v>
      </c>
    </row>
    <row r="579" spans="1:4" x14ac:dyDescent="0.2">
      <c r="A579" s="1">
        <v>2017</v>
      </c>
      <c r="B579" s="37" t="s">
        <v>1731</v>
      </c>
      <c r="C579" s="38">
        <v>86918</v>
      </c>
      <c r="D579" s="39">
        <v>8.6030000000000001E-5</v>
      </c>
    </row>
    <row r="580" spans="1:4" x14ac:dyDescent="0.2">
      <c r="A580" s="1">
        <v>2017</v>
      </c>
      <c r="B580" s="37" t="s">
        <v>1732</v>
      </c>
      <c r="C580" s="38">
        <v>3719014</v>
      </c>
      <c r="D580" s="39">
        <v>3.6808399999999999E-3</v>
      </c>
    </row>
    <row r="581" spans="1:4" x14ac:dyDescent="0.2">
      <c r="A581" s="1">
        <v>2017</v>
      </c>
      <c r="B581" s="37" t="s">
        <v>1733</v>
      </c>
      <c r="C581" s="38">
        <v>28235</v>
      </c>
      <c r="D581" s="39">
        <v>2.7949999999999998E-5</v>
      </c>
    </row>
    <row r="582" spans="1:4" x14ac:dyDescent="0.2">
      <c r="A582" s="1">
        <v>2017</v>
      </c>
      <c r="B582" s="37" t="s">
        <v>1734</v>
      </c>
      <c r="C582" s="38">
        <v>1140795</v>
      </c>
      <c r="D582" s="39">
        <v>1.1290899999999999E-3</v>
      </c>
    </row>
    <row r="583" spans="1:4" x14ac:dyDescent="0.2">
      <c r="A583" s="1">
        <v>2017</v>
      </c>
      <c r="B583" s="37" t="s">
        <v>1735</v>
      </c>
      <c r="C583" s="38">
        <v>4126</v>
      </c>
      <c r="D583" s="39">
        <v>4.0799999999999999E-6</v>
      </c>
    </row>
    <row r="584" spans="1:4" x14ac:dyDescent="0.2">
      <c r="A584" s="1">
        <v>2017</v>
      </c>
      <c r="B584" s="37" t="s">
        <v>1736</v>
      </c>
      <c r="C584" s="38">
        <v>1708243</v>
      </c>
      <c r="D584" s="39">
        <v>1.69071E-3</v>
      </c>
    </row>
    <row r="585" spans="1:4" x14ac:dyDescent="0.2">
      <c r="A585" s="1">
        <v>2017</v>
      </c>
      <c r="B585" s="37" t="s">
        <v>1737</v>
      </c>
      <c r="C585" s="38">
        <v>8345961</v>
      </c>
      <c r="D585" s="39">
        <v>8.26029E-3</v>
      </c>
    </row>
    <row r="586" spans="1:4" x14ac:dyDescent="0.2">
      <c r="A586" s="1">
        <v>2017</v>
      </c>
      <c r="B586" s="37" t="s">
        <v>1738</v>
      </c>
      <c r="C586" s="38">
        <v>411805</v>
      </c>
      <c r="D586" s="39">
        <v>4.0758E-4</v>
      </c>
    </row>
    <row r="587" spans="1:4" x14ac:dyDescent="0.2">
      <c r="A587" s="1">
        <v>2017</v>
      </c>
      <c r="B587" s="37" t="s">
        <v>1739</v>
      </c>
      <c r="C587" s="38">
        <v>1796606</v>
      </c>
      <c r="D587" s="39">
        <v>1.77816E-3</v>
      </c>
    </row>
    <row r="588" spans="1:4" x14ac:dyDescent="0.2">
      <c r="A588" s="1">
        <v>2017</v>
      </c>
      <c r="B588" s="37" t="s">
        <v>1740</v>
      </c>
      <c r="C588" s="38">
        <v>195707</v>
      </c>
      <c r="D588" s="39">
        <v>1.9369999999999999E-4</v>
      </c>
    </row>
    <row r="589" spans="1:4" x14ac:dyDescent="0.2">
      <c r="A589" s="1">
        <v>2017</v>
      </c>
      <c r="B589" s="37" t="s">
        <v>1741</v>
      </c>
      <c r="C589" s="38">
        <v>1531996</v>
      </c>
      <c r="D589" s="39">
        <v>1.5162699999999999E-3</v>
      </c>
    </row>
    <row r="590" spans="1:4" x14ac:dyDescent="0.2">
      <c r="A590" s="1">
        <v>2017</v>
      </c>
      <c r="B590" s="37" t="s">
        <v>1742</v>
      </c>
      <c r="C590" s="38">
        <v>3123097</v>
      </c>
      <c r="D590" s="39">
        <v>3.0910400000000002E-3</v>
      </c>
    </row>
    <row r="591" spans="1:4" x14ac:dyDescent="0.2">
      <c r="A591" s="1">
        <v>2017</v>
      </c>
      <c r="B591" s="37" t="s">
        <v>1743</v>
      </c>
      <c r="C591" s="38">
        <v>27002</v>
      </c>
      <c r="D591" s="39">
        <v>2.6720000000000002E-5</v>
      </c>
    </row>
    <row r="592" spans="1:4" x14ac:dyDescent="0.2">
      <c r="A592" s="1">
        <v>2017</v>
      </c>
      <c r="B592" s="37" t="s">
        <v>1744</v>
      </c>
      <c r="C592" s="38">
        <v>2178331</v>
      </c>
      <c r="D592" s="39">
        <v>2.1559700000000001E-3</v>
      </c>
    </row>
    <row r="593" spans="1:4" x14ac:dyDescent="0.2">
      <c r="A593" s="1">
        <v>2017</v>
      </c>
      <c r="B593" s="37" t="s">
        <v>1745</v>
      </c>
      <c r="C593" s="38">
        <v>1363088</v>
      </c>
      <c r="D593" s="39">
        <v>1.3491E-3</v>
      </c>
    </row>
    <row r="594" spans="1:4" x14ac:dyDescent="0.2">
      <c r="A594" s="1">
        <v>2017</v>
      </c>
      <c r="B594" s="37" t="s">
        <v>1746</v>
      </c>
      <c r="C594" s="38">
        <v>42274</v>
      </c>
      <c r="D594" s="39">
        <v>4.1839999999999999E-5</v>
      </c>
    </row>
    <row r="595" spans="1:4" x14ac:dyDescent="0.2">
      <c r="A595" s="1">
        <v>2017</v>
      </c>
      <c r="B595" s="37" t="s">
        <v>1747</v>
      </c>
      <c r="C595" s="38">
        <v>3005997</v>
      </c>
      <c r="D595" s="39">
        <v>2.9751399999999998E-3</v>
      </c>
    </row>
    <row r="596" spans="1:4" x14ac:dyDescent="0.2">
      <c r="A596" s="1">
        <v>2017</v>
      </c>
      <c r="B596" s="37" t="s">
        <v>1748</v>
      </c>
      <c r="C596" s="38">
        <v>526338</v>
      </c>
      <c r="D596" s="39">
        <v>5.2094000000000001E-4</v>
      </c>
    </row>
    <row r="597" spans="1:4" x14ac:dyDescent="0.2">
      <c r="A597" s="1">
        <v>2017</v>
      </c>
      <c r="B597" s="37" t="s">
        <v>1749</v>
      </c>
      <c r="C597" s="38">
        <v>124294</v>
      </c>
      <c r="D597" s="39">
        <v>1.2302E-4</v>
      </c>
    </row>
    <row r="598" spans="1:4" x14ac:dyDescent="0.2">
      <c r="A598" s="1">
        <v>2017</v>
      </c>
      <c r="B598" s="37" t="s">
        <v>1750</v>
      </c>
      <c r="C598" s="38">
        <v>1041709</v>
      </c>
      <c r="D598" s="39">
        <v>1.0310199999999999E-3</v>
      </c>
    </row>
    <row r="599" spans="1:4" x14ac:dyDescent="0.2">
      <c r="A599" s="1">
        <v>2017</v>
      </c>
      <c r="B599" s="37" t="s">
        <v>1751</v>
      </c>
      <c r="C599" s="38">
        <v>362212</v>
      </c>
      <c r="D599" s="39">
        <v>3.5848999999999999E-4</v>
      </c>
    </row>
    <row r="600" spans="1:4" x14ac:dyDescent="0.2">
      <c r="A600" s="1">
        <v>2017</v>
      </c>
      <c r="B600" s="37" t="s">
        <v>1752</v>
      </c>
      <c r="C600" s="38">
        <v>564628</v>
      </c>
      <c r="D600" s="39">
        <v>5.5882999999999996E-4</v>
      </c>
    </row>
    <row r="601" spans="1:4" x14ac:dyDescent="0.2">
      <c r="A601" s="1">
        <v>2017</v>
      </c>
      <c r="B601" s="37" t="s">
        <v>1753</v>
      </c>
      <c r="C601" s="38">
        <v>3283721</v>
      </c>
      <c r="D601" s="39">
        <v>3.2500099999999998E-3</v>
      </c>
    </row>
    <row r="602" spans="1:4" x14ac:dyDescent="0.2">
      <c r="A602" s="1">
        <v>2017</v>
      </c>
      <c r="B602" s="37" t="s">
        <v>1754</v>
      </c>
      <c r="C602" s="38">
        <v>508438</v>
      </c>
      <c r="D602" s="39">
        <v>5.0321999999999997E-4</v>
      </c>
    </row>
    <row r="603" spans="1:4" x14ac:dyDescent="0.2">
      <c r="A603" s="1">
        <v>2017</v>
      </c>
      <c r="B603" s="37" t="s">
        <v>1755</v>
      </c>
      <c r="C603" s="38">
        <v>840389</v>
      </c>
      <c r="D603" s="39">
        <v>8.3175999999999996E-4</v>
      </c>
    </row>
    <row r="604" spans="1:4" x14ac:dyDescent="0.2">
      <c r="A604" s="1">
        <v>2017</v>
      </c>
      <c r="B604" s="37" t="s">
        <v>1756</v>
      </c>
      <c r="C604" s="38">
        <v>24276</v>
      </c>
      <c r="D604" s="39">
        <v>2.4029999999999999E-5</v>
      </c>
    </row>
    <row r="605" spans="1:4" x14ac:dyDescent="0.2">
      <c r="A605" s="1">
        <v>2017</v>
      </c>
      <c r="B605" s="37" t="s">
        <v>1757</v>
      </c>
      <c r="C605" s="38">
        <v>886292</v>
      </c>
      <c r="D605" s="39">
        <v>8.7719000000000002E-4</v>
      </c>
    </row>
    <row r="606" spans="1:4" x14ac:dyDescent="0.2">
      <c r="A606" s="1">
        <v>2017</v>
      </c>
      <c r="B606" s="37" t="s">
        <v>1758</v>
      </c>
      <c r="C606" s="38">
        <v>93108</v>
      </c>
      <c r="D606" s="39">
        <v>9.2150000000000004E-5</v>
      </c>
    </row>
    <row r="607" spans="1:4" x14ac:dyDescent="0.2">
      <c r="A607" s="1">
        <v>2017</v>
      </c>
      <c r="B607" s="37" t="s">
        <v>1759</v>
      </c>
      <c r="C607" s="38">
        <v>3212963</v>
      </c>
      <c r="D607" s="39">
        <v>3.1799799999999998E-3</v>
      </c>
    </row>
    <row r="608" spans="1:4" x14ac:dyDescent="0.2">
      <c r="A608" s="1">
        <v>2017</v>
      </c>
      <c r="B608" s="37" t="s">
        <v>1760</v>
      </c>
      <c r="C608" s="38">
        <v>1152960</v>
      </c>
      <c r="D608" s="39">
        <v>1.14113E-3</v>
      </c>
    </row>
    <row r="609" spans="1:4" x14ac:dyDescent="0.2">
      <c r="A609" s="1">
        <v>2017</v>
      </c>
      <c r="B609" s="37" t="s">
        <v>1761</v>
      </c>
      <c r="C609" s="38">
        <v>2686</v>
      </c>
      <c r="D609" s="39">
        <v>2.6599999999999999E-6</v>
      </c>
    </row>
    <row r="610" spans="1:4" x14ac:dyDescent="0.2">
      <c r="A610" s="1">
        <v>2017</v>
      </c>
      <c r="B610" s="37" t="s">
        <v>1762</v>
      </c>
      <c r="C610" s="38">
        <v>64754</v>
      </c>
      <c r="D610" s="39">
        <v>6.4090000000000005E-5</v>
      </c>
    </row>
    <row r="611" spans="1:4" x14ac:dyDescent="0.2">
      <c r="A611" s="1">
        <v>2017</v>
      </c>
      <c r="B611" s="37" t="s">
        <v>1763</v>
      </c>
      <c r="C611" s="38">
        <v>17838</v>
      </c>
      <c r="D611" s="39">
        <v>1.766E-5</v>
      </c>
    </row>
    <row r="612" spans="1:4" x14ac:dyDescent="0.2">
      <c r="A612" s="1">
        <v>2017</v>
      </c>
      <c r="B612" s="37" t="s">
        <v>1764</v>
      </c>
      <c r="C612" s="38">
        <v>27301</v>
      </c>
      <c r="D612" s="39">
        <v>2.7019999999999999E-5</v>
      </c>
    </row>
    <row r="613" spans="1:4" x14ac:dyDescent="0.2">
      <c r="A613" s="1">
        <v>2017</v>
      </c>
      <c r="B613" s="37" t="s">
        <v>1765</v>
      </c>
      <c r="C613" s="38">
        <v>36317</v>
      </c>
      <c r="D613" s="39">
        <v>3.5939999999999998E-5</v>
      </c>
    </row>
    <row r="614" spans="1:4" x14ac:dyDescent="0.2">
      <c r="A614" s="1">
        <v>2017</v>
      </c>
      <c r="B614" s="37" t="s">
        <v>1766</v>
      </c>
      <c r="C614" s="38">
        <v>531061</v>
      </c>
      <c r="D614" s="39">
        <v>5.2561000000000003E-4</v>
      </c>
    </row>
    <row r="615" spans="1:4" x14ac:dyDescent="0.2">
      <c r="A615" s="1">
        <v>2017</v>
      </c>
      <c r="B615" s="37" t="s">
        <v>1767</v>
      </c>
      <c r="C615" s="38">
        <v>2505065</v>
      </c>
      <c r="D615" s="39">
        <v>2.47935E-3</v>
      </c>
    </row>
    <row r="616" spans="1:4" x14ac:dyDescent="0.2">
      <c r="A616" s="1">
        <v>2017</v>
      </c>
      <c r="B616" s="37" t="s">
        <v>1768</v>
      </c>
      <c r="C616" s="38">
        <v>670498</v>
      </c>
      <c r="D616" s="39">
        <v>6.6361999999999997E-4</v>
      </c>
    </row>
    <row r="617" spans="1:4" x14ac:dyDescent="0.2">
      <c r="A617" s="1">
        <v>2017</v>
      </c>
      <c r="B617" s="37" t="s">
        <v>1769</v>
      </c>
      <c r="C617" s="38">
        <v>4259</v>
      </c>
      <c r="D617" s="39">
        <v>4.2200000000000003E-6</v>
      </c>
    </row>
    <row r="618" spans="1:4" x14ac:dyDescent="0.2">
      <c r="A618" s="1">
        <v>2017</v>
      </c>
      <c r="B618" s="37" t="s">
        <v>1770</v>
      </c>
      <c r="C618" s="38">
        <v>20467</v>
      </c>
      <c r="D618" s="39">
        <v>2.0259999999999999E-5</v>
      </c>
    </row>
    <row r="619" spans="1:4" x14ac:dyDescent="0.2">
      <c r="A619" s="1">
        <v>2017</v>
      </c>
      <c r="B619" s="37" t="s">
        <v>1771</v>
      </c>
      <c r="C619" s="38">
        <v>1843991</v>
      </c>
      <c r="D619" s="39">
        <v>1.8250600000000001E-3</v>
      </c>
    </row>
    <row r="620" spans="1:4" x14ac:dyDescent="0.2">
      <c r="A620" s="1">
        <v>2017</v>
      </c>
      <c r="B620" s="37" t="s">
        <v>1772</v>
      </c>
      <c r="C620" s="38">
        <v>174138</v>
      </c>
      <c r="D620" s="39">
        <v>1.7234999999999999E-4</v>
      </c>
    </row>
    <row r="621" spans="1:4" x14ac:dyDescent="0.2">
      <c r="A621" s="1">
        <v>2017</v>
      </c>
      <c r="B621" s="37" t="s">
        <v>1773</v>
      </c>
      <c r="C621" s="38">
        <v>1665133</v>
      </c>
      <c r="D621" s="39">
        <v>1.6480399999999999E-3</v>
      </c>
    </row>
    <row r="622" spans="1:4" x14ac:dyDescent="0.2">
      <c r="A622" s="1">
        <v>2017</v>
      </c>
      <c r="B622" s="37" t="s">
        <v>1774</v>
      </c>
      <c r="C622" s="38">
        <v>412157</v>
      </c>
      <c r="D622" s="39">
        <v>4.0792999999999998E-4</v>
      </c>
    </row>
    <row r="623" spans="1:4" x14ac:dyDescent="0.2">
      <c r="A623" s="1">
        <v>2017</v>
      </c>
      <c r="B623" s="37" t="s">
        <v>1775</v>
      </c>
      <c r="C623" s="38">
        <v>122121</v>
      </c>
      <c r="D623" s="39">
        <v>1.2087E-4</v>
      </c>
    </row>
    <row r="624" spans="1:4" x14ac:dyDescent="0.2">
      <c r="A624" s="1">
        <v>2017</v>
      </c>
      <c r="B624" s="37" t="s">
        <v>1776</v>
      </c>
      <c r="C624" s="38">
        <v>7097</v>
      </c>
      <c r="D624" s="39">
        <v>7.0199999999999997E-6</v>
      </c>
    </row>
    <row r="625" spans="1:4" x14ac:dyDescent="0.2">
      <c r="A625" s="1">
        <v>2017</v>
      </c>
      <c r="B625" s="37" t="s">
        <v>1777</v>
      </c>
      <c r="C625" s="38">
        <v>1964423</v>
      </c>
      <c r="D625" s="39">
        <v>1.94426E-3</v>
      </c>
    </row>
    <row r="626" spans="1:4" x14ac:dyDescent="0.2">
      <c r="A626" s="1">
        <v>2017</v>
      </c>
      <c r="B626" s="37" t="s">
        <v>1778</v>
      </c>
      <c r="C626" s="38">
        <v>572441</v>
      </c>
      <c r="D626" s="39">
        <v>5.6656999999999996E-4</v>
      </c>
    </row>
    <row r="627" spans="1:4" x14ac:dyDescent="0.2">
      <c r="A627" s="1">
        <v>2017</v>
      </c>
      <c r="B627" s="37" t="s">
        <v>1779</v>
      </c>
      <c r="C627" s="38">
        <v>1733</v>
      </c>
      <c r="D627" s="39">
        <v>1.7099999999999999E-6</v>
      </c>
    </row>
    <row r="628" spans="1:4" x14ac:dyDescent="0.2">
      <c r="A628" s="1">
        <v>2017</v>
      </c>
      <c r="B628" s="37" t="s">
        <v>1780</v>
      </c>
      <c r="C628" s="38">
        <v>93668</v>
      </c>
      <c r="D628" s="39">
        <v>9.2709999999999998E-5</v>
      </c>
    </row>
    <row r="629" spans="1:4" x14ac:dyDescent="0.2">
      <c r="A629" s="1">
        <v>2017</v>
      </c>
      <c r="B629" s="37" t="s">
        <v>1781</v>
      </c>
      <c r="C629" s="38">
        <v>42417</v>
      </c>
      <c r="D629" s="39">
        <v>4.1980000000000001E-5</v>
      </c>
    </row>
    <row r="630" spans="1:4" x14ac:dyDescent="0.2">
      <c r="A630" s="1">
        <v>2017</v>
      </c>
      <c r="B630" s="37" t="s">
        <v>1782</v>
      </c>
      <c r="C630" s="38">
        <v>41028</v>
      </c>
      <c r="D630" s="39">
        <v>4.0609999999999999E-5</v>
      </c>
    </row>
    <row r="631" spans="1:4" x14ac:dyDescent="0.2">
      <c r="A631" s="1">
        <v>2017</v>
      </c>
      <c r="B631" s="37" t="s">
        <v>1783</v>
      </c>
      <c r="C631" s="38">
        <v>1151362</v>
      </c>
      <c r="D631" s="39">
        <v>1.1395400000000001E-3</v>
      </c>
    </row>
    <row r="632" spans="1:4" x14ac:dyDescent="0.2">
      <c r="A632" s="1">
        <v>2017</v>
      </c>
      <c r="B632" s="37" t="s">
        <v>1784</v>
      </c>
      <c r="C632" s="38">
        <v>738219</v>
      </c>
      <c r="D632" s="39">
        <v>7.3063999999999996E-4</v>
      </c>
    </row>
    <row r="633" spans="1:4" x14ac:dyDescent="0.2">
      <c r="A633" s="1">
        <v>2017</v>
      </c>
      <c r="B633" s="37" t="s">
        <v>1785</v>
      </c>
      <c r="C633" s="38">
        <v>15129</v>
      </c>
      <c r="D633" s="39">
        <v>1.4970000000000001E-5</v>
      </c>
    </row>
    <row r="634" spans="1:4" x14ac:dyDescent="0.2">
      <c r="A634" s="1">
        <v>2017</v>
      </c>
      <c r="B634" s="37" t="s">
        <v>1786</v>
      </c>
      <c r="C634" s="38">
        <v>155340</v>
      </c>
      <c r="D634" s="39">
        <v>1.5375E-4</v>
      </c>
    </row>
    <row r="635" spans="1:4" x14ac:dyDescent="0.2">
      <c r="A635" s="1">
        <v>2017</v>
      </c>
      <c r="B635" s="37" t="s">
        <v>1787</v>
      </c>
      <c r="C635" s="38">
        <v>978363</v>
      </c>
      <c r="D635" s="39">
        <v>9.6832000000000005E-4</v>
      </c>
    </row>
    <row r="636" spans="1:4" x14ac:dyDescent="0.2">
      <c r="A636" s="1">
        <v>2017</v>
      </c>
      <c r="B636" s="37" t="s">
        <v>1788</v>
      </c>
      <c r="C636" s="38">
        <v>401233</v>
      </c>
      <c r="D636" s="39">
        <v>3.9711E-4</v>
      </c>
    </row>
    <row r="637" spans="1:4" x14ac:dyDescent="0.2">
      <c r="A637" s="1">
        <v>2017</v>
      </c>
      <c r="B637" s="37" t="s">
        <v>1789</v>
      </c>
      <c r="C637" s="38">
        <v>1519834</v>
      </c>
      <c r="D637" s="39">
        <v>1.5042300000000001E-3</v>
      </c>
    </row>
    <row r="638" spans="1:4" x14ac:dyDescent="0.2">
      <c r="A638" s="1">
        <v>2017</v>
      </c>
      <c r="B638" s="37" t="s">
        <v>1790</v>
      </c>
      <c r="C638" s="38">
        <v>52463</v>
      </c>
      <c r="D638" s="39">
        <v>5.1919999999999998E-5</v>
      </c>
    </row>
    <row r="639" spans="1:4" x14ac:dyDescent="0.2">
      <c r="A639" s="1">
        <v>2017</v>
      </c>
      <c r="B639" s="37" t="s">
        <v>1791</v>
      </c>
      <c r="C639" s="38">
        <v>14970737</v>
      </c>
      <c r="D639" s="39">
        <v>1.481706E-2</v>
      </c>
    </row>
    <row r="640" spans="1:4" x14ac:dyDescent="0.2">
      <c r="A640" s="1">
        <v>2017</v>
      </c>
      <c r="B640" s="37" t="s">
        <v>1792</v>
      </c>
      <c r="C640" s="38">
        <v>3079882</v>
      </c>
      <c r="D640" s="39">
        <v>3.0482700000000001E-3</v>
      </c>
    </row>
    <row r="641" spans="1:4" x14ac:dyDescent="0.2">
      <c r="A641" s="1">
        <v>2017</v>
      </c>
      <c r="B641" s="37" t="s">
        <v>1793</v>
      </c>
      <c r="C641" s="38">
        <v>62885</v>
      </c>
      <c r="D641" s="39">
        <v>6.224E-5</v>
      </c>
    </row>
    <row r="642" spans="1:4" x14ac:dyDescent="0.2">
      <c r="A642" s="1">
        <v>2017</v>
      </c>
      <c r="B642" s="37" t="s">
        <v>1794</v>
      </c>
      <c r="C642" s="38">
        <v>16483</v>
      </c>
      <c r="D642" s="39">
        <v>1.6310000000000001E-5</v>
      </c>
    </row>
    <row r="643" spans="1:4" x14ac:dyDescent="0.2">
      <c r="A643" s="1">
        <v>2017</v>
      </c>
      <c r="B643" s="37" t="s">
        <v>1795</v>
      </c>
      <c r="C643" s="38">
        <v>102470</v>
      </c>
      <c r="D643" s="39">
        <v>1.0142E-4</v>
      </c>
    </row>
    <row r="644" spans="1:4" x14ac:dyDescent="0.2">
      <c r="A644" s="1">
        <v>2017</v>
      </c>
      <c r="B644" s="37" t="s">
        <v>1796</v>
      </c>
      <c r="C644" s="38">
        <v>88747</v>
      </c>
      <c r="D644" s="39">
        <v>8.7839999999999999E-5</v>
      </c>
    </row>
    <row r="645" spans="1:4" x14ac:dyDescent="0.2">
      <c r="A645" s="1">
        <v>2017</v>
      </c>
      <c r="B645" s="37" t="s">
        <v>1797</v>
      </c>
      <c r="C645" s="38">
        <v>5705516</v>
      </c>
      <c r="D645" s="39">
        <v>5.6469500000000004E-3</v>
      </c>
    </row>
    <row r="646" spans="1:4" x14ac:dyDescent="0.2">
      <c r="A646" s="1">
        <v>2017</v>
      </c>
      <c r="B646" s="37" t="s">
        <v>1798</v>
      </c>
      <c r="C646" s="38">
        <v>170063</v>
      </c>
      <c r="D646" s="39">
        <v>1.6831999999999999E-4</v>
      </c>
    </row>
    <row r="647" spans="1:4" x14ac:dyDescent="0.2">
      <c r="A647" s="1">
        <v>2017</v>
      </c>
      <c r="B647" s="37" t="s">
        <v>1799</v>
      </c>
      <c r="C647" s="38">
        <v>806961</v>
      </c>
      <c r="D647" s="39">
        <v>7.9867999999999996E-4</v>
      </c>
    </row>
    <row r="648" spans="1:4" x14ac:dyDescent="0.2">
      <c r="A648" s="1">
        <v>2017</v>
      </c>
      <c r="B648" s="40" t="s">
        <v>1800</v>
      </c>
      <c r="C648" s="41">
        <v>508571</v>
      </c>
      <c r="D648" s="42">
        <v>5.0334999999999996E-4</v>
      </c>
    </row>
    <row r="649" spans="1:4" x14ac:dyDescent="0.2">
      <c r="A649" s="1">
        <v>2017</v>
      </c>
      <c r="B649" s="40" t="s">
        <v>1801</v>
      </c>
      <c r="C649" s="41">
        <v>49121</v>
      </c>
      <c r="D649" s="42">
        <v>4.8619999999999999E-5</v>
      </c>
    </row>
    <row r="650" spans="1:4" x14ac:dyDescent="0.2">
      <c r="A650" s="1">
        <v>2017</v>
      </c>
      <c r="B650" s="40" t="s">
        <v>1802</v>
      </c>
      <c r="C650" s="41">
        <v>1804988</v>
      </c>
      <c r="D650" s="42">
        <v>1.7864599999999999E-3</v>
      </c>
    </row>
    <row r="651" spans="1:4" x14ac:dyDescent="0.2">
      <c r="A651" s="1">
        <v>2017</v>
      </c>
      <c r="B651" s="40" t="s">
        <v>1803</v>
      </c>
      <c r="C651" s="41">
        <v>48704</v>
      </c>
      <c r="D651" s="42">
        <v>4.8199999999999999E-5</v>
      </c>
    </row>
    <row r="652" spans="1:4" x14ac:dyDescent="0.2">
      <c r="A652" s="1">
        <v>2017</v>
      </c>
      <c r="B652" s="40" t="s">
        <v>1804</v>
      </c>
      <c r="C652" s="41">
        <v>243277</v>
      </c>
      <c r="D652" s="42">
        <v>2.4078000000000001E-4</v>
      </c>
    </row>
    <row r="653" spans="1:4" x14ac:dyDescent="0.2">
      <c r="A653" s="1">
        <v>2017</v>
      </c>
      <c r="B653" s="40" t="s">
        <v>1805</v>
      </c>
      <c r="C653" s="41">
        <v>104683</v>
      </c>
      <c r="D653" s="42">
        <v>1.0361000000000001E-4</v>
      </c>
    </row>
    <row r="654" spans="1:4" x14ac:dyDescent="0.2">
      <c r="A654" s="1">
        <v>2017</v>
      </c>
      <c r="B654" s="40" t="s">
        <v>1806</v>
      </c>
      <c r="C654" s="41">
        <v>49067</v>
      </c>
      <c r="D654" s="42">
        <v>4.8560000000000003E-5</v>
      </c>
    </row>
    <row r="655" spans="1:4" x14ac:dyDescent="0.2">
      <c r="A655" s="1">
        <v>2017</v>
      </c>
      <c r="B655" s="40" t="s">
        <v>1807</v>
      </c>
      <c r="C655" s="41">
        <v>46949</v>
      </c>
      <c r="D655" s="42">
        <v>4.6470000000000001E-5</v>
      </c>
    </row>
    <row r="656" spans="1:4" x14ac:dyDescent="0.2">
      <c r="A656" s="1">
        <v>2017</v>
      </c>
      <c r="B656" s="40" t="s">
        <v>1808</v>
      </c>
      <c r="C656" s="41">
        <v>17445</v>
      </c>
      <c r="D656" s="42">
        <v>1.7269999999999999E-5</v>
      </c>
    </row>
    <row r="657" spans="1:4" x14ac:dyDescent="0.2">
      <c r="A657" s="1">
        <v>2017</v>
      </c>
      <c r="B657" s="40" t="s">
        <v>1809</v>
      </c>
      <c r="C657" s="41">
        <v>93883</v>
      </c>
      <c r="D657" s="42">
        <v>9.2919999999999998E-5</v>
      </c>
    </row>
    <row r="658" spans="1:4" x14ac:dyDescent="0.2">
      <c r="A658" s="1">
        <v>2017</v>
      </c>
      <c r="B658" s="40" t="s">
        <v>1810</v>
      </c>
      <c r="C658" s="41">
        <v>16755</v>
      </c>
      <c r="D658" s="42">
        <v>1.658E-5</v>
      </c>
    </row>
    <row r="659" spans="1:4" x14ac:dyDescent="0.2">
      <c r="A659" s="1">
        <v>2017</v>
      </c>
      <c r="B659" s="40" t="s">
        <v>1811</v>
      </c>
      <c r="C659" s="41">
        <v>218806</v>
      </c>
      <c r="D659" s="42">
        <v>2.1656E-4</v>
      </c>
    </row>
    <row r="660" spans="1:4" x14ac:dyDescent="0.2">
      <c r="A660" s="1">
        <v>2017</v>
      </c>
      <c r="B660" s="40" t="s">
        <v>1812</v>
      </c>
      <c r="C660" s="41">
        <v>94509</v>
      </c>
      <c r="D660" s="42">
        <v>9.3540000000000002E-5</v>
      </c>
    </row>
    <row r="661" spans="1:4" x14ac:dyDescent="0.2">
      <c r="A661" s="1">
        <v>2017</v>
      </c>
      <c r="B661" s="40" t="s">
        <v>1813</v>
      </c>
      <c r="C661" s="41">
        <v>19760</v>
      </c>
      <c r="D661" s="42">
        <v>1.9559999999999999E-5</v>
      </c>
    </row>
    <row r="662" spans="1:4" x14ac:dyDescent="0.2">
      <c r="A662" s="1">
        <v>2017</v>
      </c>
      <c r="B662" s="40" t="s">
        <v>2064</v>
      </c>
      <c r="C662" s="41">
        <v>2958433</v>
      </c>
      <c r="D662" s="42">
        <v>2.9280600000000001E-3</v>
      </c>
    </row>
    <row r="663" spans="1:4" x14ac:dyDescent="0.2">
      <c r="A663" s="1">
        <v>2017</v>
      </c>
      <c r="B663" s="40" t="s">
        <v>1815</v>
      </c>
      <c r="C663" s="41">
        <v>713838</v>
      </c>
      <c r="D663" s="42">
        <v>7.0651000000000004E-4</v>
      </c>
    </row>
    <row r="664" spans="1:4" x14ac:dyDescent="0.2">
      <c r="A664" s="1">
        <v>2017</v>
      </c>
      <c r="B664" s="40" t="s">
        <v>1816</v>
      </c>
      <c r="C664" s="41">
        <v>30962</v>
      </c>
      <c r="D664" s="42">
        <v>3.0639999999999998E-5</v>
      </c>
    </row>
    <row r="665" spans="1:4" x14ac:dyDescent="0.2">
      <c r="A665" s="1">
        <v>2017</v>
      </c>
      <c r="B665" s="40" t="s">
        <v>1817</v>
      </c>
      <c r="C665" s="41">
        <v>22884</v>
      </c>
      <c r="D665" s="42">
        <v>2.2650000000000002E-5</v>
      </c>
    </row>
    <row r="666" spans="1:4" x14ac:dyDescent="0.2">
      <c r="A666" s="1">
        <v>2017</v>
      </c>
      <c r="B666" s="40" t="s">
        <v>1818</v>
      </c>
      <c r="C666" s="41">
        <v>800007</v>
      </c>
      <c r="D666" s="42">
        <v>7.9179000000000001E-4</v>
      </c>
    </row>
    <row r="667" spans="1:4" x14ac:dyDescent="0.2">
      <c r="A667" s="1">
        <v>2017</v>
      </c>
      <c r="B667" s="40" t="s">
        <v>1819</v>
      </c>
      <c r="C667" s="41">
        <v>8154</v>
      </c>
      <c r="D667" s="42">
        <v>8.0700000000000007E-6</v>
      </c>
    </row>
    <row r="668" spans="1:4" x14ac:dyDescent="0.2">
      <c r="A668" s="1">
        <v>2017</v>
      </c>
      <c r="B668" s="40" t="s">
        <v>1820</v>
      </c>
      <c r="C668" s="41">
        <v>471650</v>
      </c>
      <c r="D668" s="42">
        <v>4.6681000000000001E-4</v>
      </c>
    </row>
    <row r="669" spans="1:4" x14ac:dyDescent="0.2">
      <c r="A669" s="1">
        <v>2017</v>
      </c>
      <c r="B669" s="40" t="s">
        <v>1821</v>
      </c>
      <c r="C669" s="41">
        <v>39067</v>
      </c>
      <c r="D669" s="42">
        <v>3.8670000000000001E-5</v>
      </c>
    </row>
    <row r="670" spans="1:4" x14ac:dyDescent="0.2">
      <c r="A670" s="1">
        <v>2017</v>
      </c>
      <c r="B670" s="40" t="s">
        <v>1822</v>
      </c>
      <c r="C670" s="41">
        <v>1353456</v>
      </c>
      <c r="D670" s="42">
        <v>1.3395600000000001E-3</v>
      </c>
    </row>
    <row r="671" spans="1:4" x14ac:dyDescent="0.2">
      <c r="A671" s="1">
        <v>2017</v>
      </c>
      <c r="B671" s="40" t="s">
        <v>1823</v>
      </c>
      <c r="C671" s="41">
        <v>58288</v>
      </c>
      <c r="D671" s="42">
        <v>5.7689999999999998E-5</v>
      </c>
    </row>
    <row r="672" spans="1:4" x14ac:dyDescent="0.2">
      <c r="A672" s="1">
        <v>2017</v>
      </c>
      <c r="B672" s="40" t="s">
        <v>1824</v>
      </c>
      <c r="C672" s="41">
        <v>243867</v>
      </c>
      <c r="D672" s="42">
        <v>2.4136000000000001E-4</v>
      </c>
    </row>
    <row r="673" spans="1:4" x14ac:dyDescent="0.2">
      <c r="A673" s="1">
        <v>2017</v>
      </c>
      <c r="B673" s="40" t="s">
        <v>1825</v>
      </c>
      <c r="C673" s="41">
        <v>12850</v>
      </c>
      <c r="D673" s="42">
        <v>1.272E-5</v>
      </c>
    </row>
    <row r="674" spans="1:4" x14ac:dyDescent="0.2">
      <c r="A674" s="1">
        <v>2017</v>
      </c>
      <c r="B674" s="40" t="s">
        <v>1826</v>
      </c>
      <c r="C674" s="41">
        <v>40793</v>
      </c>
      <c r="D674" s="42">
        <v>4.0370000000000001E-5</v>
      </c>
    </row>
    <row r="675" spans="1:4" x14ac:dyDescent="0.2">
      <c r="A675" s="1">
        <v>2017</v>
      </c>
      <c r="B675" s="40" t="s">
        <v>1827</v>
      </c>
      <c r="C675" s="41">
        <v>61963</v>
      </c>
      <c r="D675" s="42">
        <v>6.1329999999999997E-5</v>
      </c>
    </row>
    <row r="676" spans="1:4" x14ac:dyDescent="0.2">
      <c r="A676" s="1">
        <v>2017</v>
      </c>
      <c r="B676" s="40" t="s">
        <v>1828</v>
      </c>
      <c r="C676" s="41">
        <v>5663</v>
      </c>
      <c r="D676" s="42">
        <v>5.5999999999999997E-6</v>
      </c>
    </row>
    <row r="677" spans="1:4" x14ac:dyDescent="0.2">
      <c r="A677" s="1">
        <v>2017</v>
      </c>
      <c r="B677" s="40" t="s">
        <v>1829</v>
      </c>
      <c r="C677" s="41">
        <v>52683</v>
      </c>
      <c r="D677" s="42">
        <v>5.2139999999999999E-5</v>
      </c>
    </row>
    <row r="678" spans="1:4" x14ac:dyDescent="0.2">
      <c r="A678" s="1">
        <v>2017</v>
      </c>
      <c r="B678" s="40" t="s">
        <v>1830</v>
      </c>
      <c r="C678" s="41">
        <v>14788</v>
      </c>
      <c r="D678" s="42">
        <v>1.464E-5</v>
      </c>
    </row>
    <row r="679" spans="1:4" x14ac:dyDescent="0.2">
      <c r="A679" s="1">
        <v>2017</v>
      </c>
      <c r="B679" s="40" t="s">
        <v>1831</v>
      </c>
      <c r="C679" s="41">
        <v>24072</v>
      </c>
      <c r="D679" s="42">
        <v>2.3819999999999999E-5</v>
      </c>
    </row>
    <row r="680" spans="1:4" x14ac:dyDescent="0.2">
      <c r="A680" s="1">
        <v>2017</v>
      </c>
      <c r="B680" s="40" t="s">
        <v>1832</v>
      </c>
      <c r="C680" s="41">
        <v>1063</v>
      </c>
      <c r="D680" s="42">
        <v>1.0499999999999999E-6</v>
      </c>
    </row>
    <row r="681" spans="1:4" x14ac:dyDescent="0.2">
      <c r="A681" s="1">
        <v>2017</v>
      </c>
      <c r="B681" s="40" t="s">
        <v>1833</v>
      </c>
      <c r="C681" s="41">
        <v>2942072</v>
      </c>
      <c r="D681" s="42">
        <v>2.91187E-3</v>
      </c>
    </row>
    <row r="682" spans="1:4" x14ac:dyDescent="0.2">
      <c r="A682" s="1">
        <v>2017</v>
      </c>
      <c r="B682" s="40" t="s">
        <v>2065</v>
      </c>
      <c r="C682" s="41">
        <v>755753</v>
      </c>
      <c r="D682" s="42">
        <v>7.4799999999999997E-4</v>
      </c>
    </row>
    <row r="683" spans="1:4" x14ac:dyDescent="0.2">
      <c r="A683" s="1">
        <v>2017</v>
      </c>
      <c r="B683" s="40" t="s">
        <v>2066</v>
      </c>
      <c r="C683" s="41">
        <v>4032</v>
      </c>
      <c r="D683" s="42">
        <v>3.9899999999999999E-6</v>
      </c>
    </row>
    <row r="684" spans="1:4" x14ac:dyDescent="0.2">
      <c r="A684" s="1">
        <v>2017</v>
      </c>
      <c r="B684" s="40" t="s">
        <v>1836</v>
      </c>
      <c r="C684" s="41">
        <v>644025</v>
      </c>
      <c r="D684" s="42">
        <v>6.3741000000000004E-4</v>
      </c>
    </row>
    <row r="685" spans="1:4" x14ac:dyDescent="0.2">
      <c r="A685" s="1">
        <v>2017</v>
      </c>
      <c r="B685" s="40" t="s">
        <v>1837</v>
      </c>
      <c r="C685" s="41">
        <v>3969</v>
      </c>
      <c r="D685" s="42">
        <v>3.9299999999999996E-6</v>
      </c>
    </row>
    <row r="686" spans="1:4" x14ac:dyDescent="0.2">
      <c r="A686" s="1">
        <v>2017</v>
      </c>
      <c r="B686" s="37" t="s">
        <v>1838</v>
      </c>
      <c r="C686" s="38">
        <v>2073512</v>
      </c>
      <c r="D686" s="39">
        <v>2.0522299999999999E-3</v>
      </c>
    </row>
    <row r="687" spans="1:4" x14ac:dyDescent="0.2">
      <c r="A687" s="1">
        <v>2017</v>
      </c>
      <c r="B687" s="37" t="s">
        <v>1839</v>
      </c>
      <c r="C687" s="38">
        <v>471782</v>
      </c>
      <c r="D687" s="39">
        <v>4.6694E-4</v>
      </c>
    </row>
    <row r="688" spans="1:4" x14ac:dyDescent="0.2">
      <c r="A688" s="1">
        <v>2017</v>
      </c>
      <c r="B688" s="37" t="s">
        <v>1840</v>
      </c>
      <c r="C688" s="38">
        <v>33666</v>
      </c>
      <c r="D688" s="39">
        <v>3.3319999999999999E-5</v>
      </c>
    </row>
    <row r="689" spans="1:4" x14ac:dyDescent="0.2">
      <c r="A689" s="1">
        <v>2017</v>
      </c>
      <c r="B689" s="37" t="s">
        <v>1841</v>
      </c>
      <c r="C689" s="38">
        <v>1199475</v>
      </c>
      <c r="D689" s="39">
        <v>1.18716E-3</v>
      </c>
    </row>
    <row r="690" spans="1:4" x14ac:dyDescent="0.2">
      <c r="A690" s="1">
        <v>2017</v>
      </c>
      <c r="B690" s="37" t="s">
        <v>1842</v>
      </c>
      <c r="C690" s="38">
        <v>8703</v>
      </c>
      <c r="D690" s="39">
        <v>8.6100000000000006E-6</v>
      </c>
    </row>
    <row r="691" spans="1:4" x14ac:dyDescent="0.2">
      <c r="A691" s="1">
        <v>2017</v>
      </c>
      <c r="B691" s="37" t="s">
        <v>2067</v>
      </c>
      <c r="C691" s="38">
        <v>169841</v>
      </c>
      <c r="D691" s="39">
        <v>1.6809999999999999E-4</v>
      </c>
    </row>
    <row r="692" spans="1:4" x14ac:dyDescent="0.2">
      <c r="A692" s="1">
        <v>2017</v>
      </c>
      <c r="B692" s="37" t="s">
        <v>1844</v>
      </c>
      <c r="C692" s="38">
        <v>765074</v>
      </c>
      <c r="D692" s="39">
        <v>7.5721999999999996E-4</v>
      </c>
    </row>
    <row r="693" spans="1:4" x14ac:dyDescent="0.2">
      <c r="A693" s="1">
        <v>2017</v>
      </c>
      <c r="B693" s="37" t="s">
        <v>1846</v>
      </c>
      <c r="C693" s="38">
        <v>28801</v>
      </c>
      <c r="D693" s="39">
        <v>2.851E-5</v>
      </c>
    </row>
    <row r="694" spans="1:4" x14ac:dyDescent="0.2">
      <c r="A694" s="1">
        <v>2017</v>
      </c>
      <c r="B694" s="37" t="s">
        <v>1847</v>
      </c>
      <c r="C694" s="38">
        <v>38968</v>
      </c>
      <c r="D694" s="39">
        <v>3.8569999999999998E-5</v>
      </c>
    </row>
    <row r="695" spans="1:4" x14ac:dyDescent="0.2">
      <c r="A695" s="1">
        <v>2017</v>
      </c>
      <c r="B695" s="37" t="s">
        <v>1848</v>
      </c>
      <c r="C695" s="38">
        <v>2188833</v>
      </c>
      <c r="D695" s="39">
        <v>2.16636E-3</v>
      </c>
    </row>
    <row r="696" spans="1:4" x14ac:dyDescent="0.2">
      <c r="A696" s="1">
        <v>2017</v>
      </c>
      <c r="B696" s="37" t="s">
        <v>1849</v>
      </c>
      <c r="C696" s="38">
        <v>577786</v>
      </c>
      <c r="D696" s="39">
        <v>5.7185000000000005E-4</v>
      </c>
    </row>
    <row r="697" spans="1:4" x14ac:dyDescent="0.2">
      <c r="A697" s="1">
        <v>2017</v>
      </c>
      <c r="B697" s="37" t="s">
        <v>1850</v>
      </c>
      <c r="C697" s="38">
        <v>3505760</v>
      </c>
      <c r="D697" s="39">
        <v>3.4697700000000001E-3</v>
      </c>
    </row>
    <row r="698" spans="1:4" x14ac:dyDescent="0.2">
      <c r="A698" s="1">
        <v>2017</v>
      </c>
      <c r="B698" s="37" t="s">
        <v>1851</v>
      </c>
      <c r="C698" s="38">
        <v>1384735</v>
      </c>
      <c r="D698" s="39">
        <v>1.3705200000000001E-3</v>
      </c>
    </row>
    <row r="699" spans="1:4" x14ac:dyDescent="0.2">
      <c r="A699" s="1">
        <v>2017</v>
      </c>
      <c r="B699" s="37" t="s">
        <v>1852</v>
      </c>
      <c r="C699" s="38">
        <v>2188450</v>
      </c>
      <c r="D699" s="39">
        <v>2.16599E-3</v>
      </c>
    </row>
    <row r="700" spans="1:4" x14ac:dyDescent="0.2">
      <c r="A700" s="1">
        <v>2017</v>
      </c>
      <c r="B700" s="37" t="s">
        <v>1853</v>
      </c>
      <c r="C700" s="38">
        <v>3372158</v>
      </c>
      <c r="D700" s="39">
        <v>3.33754E-3</v>
      </c>
    </row>
    <row r="701" spans="1:4" x14ac:dyDescent="0.2">
      <c r="A701" s="1">
        <v>2017</v>
      </c>
      <c r="B701" s="37" t="s">
        <v>1854</v>
      </c>
      <c r="C701" s="38">
        <v>650345</v>
      </c>
      <c r="D701" s="39">
        <v>6.4367000000000005E-4</v>
      </c>
    </row>
    <row r="702" spans="1:4" x14ac:dyDescent="0.2">
      <c r="A702" s="1">
        <v>2017</v>
      </c>
      <c r="B702" s="37" t="s">
        <v>2041</v>
      </c>
      <c r="C702" s="38">
        <v>1396564</v>
      </c>
      <c r="D702" s="39">
        <v>1.3822299999999999E-3</v>
      </c>
    </row>
    <row r="703" spans="1:4" x14ac:dyDescent="0.2">
      <c r="A703" s="1">
        <v>2017</v>
      </c>
      <c r="B703" s="37" t="s">
        <v>2042</v>
      </c>
      <c r="C703" s="38">
        <v>340097</v>
      </c>
      <c r="D703" s="39">
        <v>3.3660999999999999E-4</v>
      </c>
    </row>
    <row r="704" spans="1:4" x14ac:dyDescent="0.2">
      <c r="A704" s="1">
        <v>2017</v>
      </c>
      <c r="B704" s="37" t="s">
        <v>1857</v>
      </c>
      <c r="C704" s="38">
        <v>44134</v>
      </c>
      <c r="D704" s="39">
        <v>4.3680000000000002E-5</v>
      </c>
    </row>
    <row r="705" spans="1:4" x14ac:dyDescent="0.2">
      <c r="A705" s="1">
        <v>2017</v>
      </c>
      <c r="B705" s="37" t="s">
        <v>1858</v>
      </c>
      <c r="C705" s="38">
        <v>4246433</v>
      </c>
      <c r="D705" s="39">
        <v>4.2028400000000002E-3</v>
      </c>
    </row>
    <row r="706" spans="1:4" x14ac:dyDescent="0.2">
      <c r="A706" s="1">
        <v>2017</v>
      </c>
      <c r="B706" s="37" t="s">
        <v>1859</v>
      </c>
      <c r="C706" s="38">
        <v>433447</v>
      </c>
      <c r="D706" s="39">
        <v>4.2900000000000002E-4</v>
      </c>
    </row>
    <row r="707" spans="1:4" x14ac:dyDescent="0.2">
      <c r="A707" s="1">
        <v>2017</v>
      </c>
      <c r="B707" s="37" t="s">
        <v>1860</v>
      </c>
      <c r="C707" s="38">
        <v>18182</v>
      </c>
      <c r="D707" s="39">
        <v>1.8E-5</v>
      </c>
    </row>
    <row r="708" spans="1:4" x14ac:dyDescent="0.2">
      <c r="A708" s="1">
        <v>2017</v>
      </c>
      <c r="B708" s="37" t="s">
        <v>1861</v>
      </c>
      <c r="C708" s="38">
        <v>45927</v>
      </c>
      <c r="D708" s="39">
        <v>4.5460000000000002E-5</v>
      </c>
    </row>
    <row r="709" spans="1:4" x14ac:dyDescent="0.2">
      <c r="A709" s="1">
        <v>2017</v>
      </c>
      <c r="B709" s="37" t="s">
        <v>1862</v>
      </c>
      <c r="C709" s="38">
        <v>11703769</v>
      </c>
      <c r="D709" s="39">
        <v>1.1583629999999999E-2</v>
      </c>
    </row>
    <row r="710" spans="1:4" x14ac:dyDescent="0.2">
      <c r="A710" s="1">
        <v>2017</v>
      </c>
      <c r="B710" s="37" t="s">
        <v>1863</v>
      </c>
      <c r="C710" s="38">
        <v>452406</v>
      </c>
      <c r="D710" s="39">
        <v>4.4776000000000001E-4</v>
      </c>
    </row>
    <row r="711" spans="1:4" x14ac:dyDescent="0.2">
      <c r="A711" s="1">
        <v>2017</v>
      </c>
      <c r="B711" s="37" t="s">
        <v>1864</v>
      </c>
      <c r="C711" s="38">
        <v>1073439</v>
      </c>
      <c r="D711" s="39">
        <v>1.0624199999999999E-3</v>
      </c>
    </row>
    <row r="712" spans="1:4" x14ac:dyDescent="0.2">
      <c r="A712" s="1">
        <v>2017</v>
      </c>
      <c r="B712" s="37" t="s">
        <v>1865</v>
      </c>
      <c r="C712" s="38">
        <v>32802</v>
      </c>
      <c r="D712" s="39">
        <v>3.2469999999999999E-5</v>
      </c>
    </row>
    <row r="713" spans="1:4" x14ac:dyDescent="0.2">
      <c r="A713" s="1">
        <v>2017</v>
      </c>
      <c r="B713" s="37" t="s">
        <v>1866</v>
      </c>
      <c r="C713" s="38">
        <v>92308</v>
      </c>
      <c r="D713" s="39">
        <v>9.1360000000000006E-5</v>
      </c>
    </row>
    <row r="714" spans="1:4" x14ac:dyDescent="0.2">
      <c r="A714" s="1">
        <v>2017</v>
      </c>
      <c r="B714" s="37" t="s">
        <v>1867</v>
      </c>
      <c r="C714" s="38">
        <v>2604187</v>
      </c>
      <c r="D714" s="39">
        <v>2.5774499999999998E-3</v>
      </c>
    </row>
    <row r="715" spans="1:4" x14ac:dyDescent="0.2">
      <c r="A715" s="1">
        <v>2017</v>
      </c>
      <c r="B715" s="37" t="s">
        <v>1868</v>
      </c>
      <c r="C715" s="38">
        <v>2082525</v>
      </c>
      <c r="D715" s="39">
        <v>2.0611499999999999E-3</v>
      </c>
    </row>
    <row r="716" spans="1:4" x14ac:dyDescent="0.2">
      <c r="A716" s="1">
        <v>2017</v>
      </c>
      <c r="B716" s="37" t="s">
        <v>1869</v>
      </c>
      <c r="C716" s="38">
        <v>10801</v>
      </c>
      <c r="D716" s="39">
        <v>1.0689999999999999E-5</v>
      </c>
    </row>
    <row r="717" spans="1:4" x14ac:dyDescent="0.2">
      <c r="A717" s="1">
        <v>2017</v>
      </c>
      <c r="B717" s="37" t="s">
        <v>1870</v>
      </c>
      <c r="C717" s="38">
        <v>714640</v>
      </c>
      <c r="D717" s="39">
        <v>7.0730000000000001E-4</v>
      </c>
    </row>
    <row r="718" spans="1:4" x14ac:dyDescent="0.2">
      <c r="A718" s="1">
        <v>2017</v>
      </c>
      <c r="B718" s="37" t="s">
        <v>1871</v>
      </c>
      <c r="C718" s="38">
        <v>2722</v>
      </c>
      <c r="D718" s="39">
        <v>2.6900000000000001E-6</v>
      </c>
    </row>
    <row r="719" spans="1:4" x14ac:dyDescent="0.2">
      <c r="A719" s="1">
        <v>2017</v>
      </c>
      <c r="B719" s="37" t="s">
        <v>1872</v>
      </c>
      <c r="C719" s="38">
        <v>45353</v>
      </c>
      <c r="D719" s="39">
        <v>4.4889999999999999E-5</v>
      </c>
    </row>
    <row r="720" spans="1:4" x14ac:dyDescent="0.2">
      <c r="A720" s="1">
        <v>2017</v>
      </c>
      <c r="B720" s="37" t="s">
        <v>1873</v>
      </c>
      <c r="C720" s="38">
        <v>14560</v>
      </c>
      <c r="D720" s="39">
        <v>1.4409999999999999E-5</v>
      </c>
    </row>
    <row r="721" spans="1:4" x14ac:dyDescent="0.2">
      <c r="A721" s="1">
        <v>2017</v>
      </c>
      <c r="B721" s="37" t="s">
        <v>1874</v>
      </c>
      <c r="C721" s="38">
        <v>1985</v>
      </c>
      <c r="D721" s="39">
        <v>1.9599999999999999E-6</v>
      </c>
    </row>
    <row r="722" spans="1:4" x14ac:dyDescent="0.2">
      <c r="A722" s="1">
        <v>2017</v>
      </c>
      <c r="B722" s="37" t="s">
        <v>1875</v>
      </c>
      <c r="C722" s="38">
        <v>71422</v>
      </c>
      <c r="D722" s="39">
        <v>7.0690000000000003E-5</v>
      </c>
    </row>
    <row r="723" spans="1:4" x14ac:dyDescent="0.2">
      <c r="A723" s="1">
        <v>2017</v>
      </c>
      <c r="B723" s="37" t="s">
        <v>1876</v>
      </c>
      <c r="C723" s="38">
        <v>29204</v>
      </c>
      <c r="D723" s="39">
        <v>2.8900000000000001E-5</v>
      </c>
    </row>
    <row r="724" spans="1:4" x14ac:dyDescent="0.2">
      <c r="A724" s="1">
        <v>2017</v>
      </c>
      <c r="B724" s="14" t="s">
        <v>1877</v>
      </c>
      <c r="C724" s="15">
        <v>69374</v>
      </c>
      <c r="D724" s="16">
        <v>6.8659999999999997E-5</v>
      </c>
    </row>
    <row r="725" spans="1:4" x14ac:dyDescent="0.2">
      <c r="A725" s="1">
        <v>2017</v>
      </c>
      <c r="B725" s="14" t="s">
        <v>1878</v>
      </c>
      <c r="C725" s="15">
        <v>21711</v>
      </c>
      <c r="D725" s="16">
        <v>2.1489999999999999E-5</v>
      </c>
    </row>
    <row r="726" spans="1:4" x14ac:dyDescent="0.2">
      <c r="A726" s="1">
        <v>2017</v>
      </c>
      <c r="B726" s="14" t="s">
        <v>1879</v>
      </c>
      <c r="C726" s="15">
        <v>708626</v>
      </c>
      <c r="D726" s="16">
        <v>7.0135E-4</v>
      </c>
    </row>
    <row r="727" spans="1:4" x14ac:dyDescent="0.2">
      <c r="A727" s="1">
        <v>2017</v>
      </c>
      <c r="B727" s="14" t="s">
        <v>1880</v>
      </c>
      <c r="C727" s="15">
        <v>3211268</v>
      </c>
      <c r="D727" s="16">
        <v>3.1783100000000002E-3</v>
      </c>
    </row>
    <row r="728" spans="1:4" x14ac:dyDescent="0.2">
      <c r="A728" s="1">
        <v>2017</v>
      </c>
      <c r="B728" s="14" t="s">
        <v>1881</v>
      </c>
      <c r="C728" s="15">
        <v>47920</v>
      </c>
      <c r="D728" s="16">
        <v>4.7429999999999998E-5</v>
      </c>
    </row>
    <row r="729" spans="1:4" x14ac:dyDescent="0.2">
      <c r="A729" s="1">
        <v>2017</v>
      </c>
      <c r="B729" s="14" t="s">
        <v>1882</v>
      </c>
      <c r="C729" s="15">
        <v>3629</v>
      </c>
      <c r="D729" s="16">
        <v>3.5899999999999999E-6</v>
      </c>
    </row>
    <row r="730" spans="1:4" x14ac:dyDescent="0.2">
      <c r="A730" s="1">
        <v>2017</v>
      </c>
      <c r="B730" s="14" t="s">
        <v>1883</v>
      </c>
      <c r="C730" s="15">
        <v>1786162</v>
      </c>
      <c r="D730" s="16">
        <v>1.76783E-3</v>
      </c>
    </row>
    <row r="731" spans="1:4" x14ac:dyDescent="0.2">
      <c r="A731" s="1">
        <v>2017</v>
      </c>
      <c r="B731" s="14" t="s">
        <v>1884</v>
      </c>
      <c r="C731" s="15">
        <v>1540432</v>
      </c>
      <c r="D731" s="16">
        <v>1.52462E-3</v>
      </c>
    </row>
    <row r="732" spans="1:4" x14ac:dyDescent="0.2">
      <c r="A732" s="1">
        <v>2017</v>
      </c>
      <c r="B732" s="14" t="s">
        <v>2068</v>
      </c>
      <c r="C732" s="15">
        <v>404438</v>
      </c>
      <c r="D732" s="16">
        <v>4.0028999999999998E-4</v>
      </c>
    </row>
    <row r="733" spans="1:4" x14ac:dyDescent="0.2">
      <c r="A733" s="1">
        <v>2017</v>
      </c>
      <c r="B733" s="14" t="s">
        <v>2069</v>
      </c>
      <c r="C733" s="15">
        <v>464709</v>
      </c>
      <c r="D733" s="16">
        <v>4.5993999999999999E-4</v>
      </c>
    </row>
    <row r="734" spans="1:4" x14ac:dyDescent="0.2">
      <c r="A734" s="1">
        <v>2017</v>
      </c>
      <c r="B734" s="14" t="s">
        <v>2070</v>
      </c>
      <c r="C734" s="15">
        <v>13912</v>
      </c>
      <c r="D734" s="16">
        <v>1.377E-5</v>
      </c>
    </row>
    <row r="735" spans="1:4" x14ac:dyDescent="0.2">
      <c r="A735" s="1">
        <v>2017</v>
      </c>
      <c r="B735" s="14" t="s">
        <v>1888</v>
      </c>
      <c r="C735" s="15">
        <v>2540</v>
      </c>
      <c r="D735" s="16">
        <v>2.5100000000000001E-6</v>
      </c>
    </row>
    <row r="736" spans="1:4" x14ac:dyDescent="0.2">
      <c r="A736" s="1">
        <v>2017</v>
      </c>
      <c r="B736" s="14" t="s">
        <v>1889</v>
      </c>
      <c r="C736" s="15">
        <v>1717365</v>
      </c>
      <c r="D736" s="16">
        <v>1.6997399999999999E-3</v>
      </c>
    </row>
    <row r="737" spans="1:4" x14ac:dyDescent="0.2">
      <c r="A737" s="1">
        <v>2017</v>
      </c>
      <c r="B737" s="14" t="s">
        <v>1890</v>
      </c>
      <c r="C737" s="15">
        <v>847385</v>
      </c>
      <c r="D737" s="16">
        <v>8.3869000000000001E-4</v>
      </c>
    </row>
    <row r="738" spans="1:4" x14ac:dyDescent="0.2">
      <c r="A738" s="1">
        <v>2017</v>
      </c>
      <c r="B738" s="14" t="s">
        <v>1891</v>
      </c>
      <c r="C738" s="15">
        <v>96005</v>
      </c>
      <c r="D738" s="16">
        <v>9.5019999999999995E-5</v>
      </c>
    </row>
    <row r="739" spans="1:4" x14ac:dyDescent="0.2">
      <c r="A739" s="1">
        <v>2017</v>
      </c>
      <c r="B739" s="14" t="s">
        <v>1892</v>
      </c>
      <c r="C739" s="15">
        <v>54770</v>
      </c>
      <c r="D739" s="16">
        <v>5.4209999999999998E-5</v>
      </c>
    </row>
    <row r="740" spans="1:4" x14ac:dyDescent="0.2">
      <c r="A740" s="1">
        <v>2017</v>
      </c>
      <c r="B740" s="14" t="s">
        <v>1893</v>
      </c>
      <c r="C740" s="15">
        <v>20034</v>
      </c>
      <c r="D740" s="16">
        <v>1.9830000000000002E-5</v>
      </c>
    </row>
    <row r="741" spans="1:4" x14ac:dyDescent="0.2">
      <c r="A741" s="1">
        <v>2017</v>
      </c>
      <c r="B741" s="14" t="s">
        <v>1895</v>
      </c>
      <c r="C741" s="43">
        <v>490318</v>
      </c>
      <c r="D741" s="16">
        <v>4.8527999999999999E-4</v>
      </c>
    </row>
    <row r="742" spans="1:4" x14ac:dyDescent="0.2">
      <c r="A742" s="1">
        <v>2017</v>
      </c>
      <c r="B742" s="14" t="s">
        <v>1896</v>
      </c>
      <c r="C742" s="15">
        <v>850010</v>
      </c>
      <c r="D742" s="16">
        <v>8.4128999999999996E-4</v>
      </c>
    </row>
    <row r="743" spans="1:4" x14ac:dyDescent="0.2">
      <c r="A743" s="1">
        <v>2017</v>
      </c>
      <c r="B743" s="14" t="s">
        <v>1897</v>
      </c>
      <c r="C743" s="15">
        <v>499883</v>
      </c>
      <c r="D743" s="16">
        <v>4.9474999999999996E-4</v>
      </c>
    </row>
    <row r="744" spans="1:4" x14ac:dyDescent="0.2">
      <c r="A744" s="1">
        <v>2017</v>
      </c>
      <c r="B744" s="14" t="s">
        <v>1898</v>
      </c>
      <c r="C744" s="15">
        <v>2594703</v>
      </c>
      <c r="D744" s="16">
        <v>2.56807E-3</v>
      </c>
    </row>
    <row r="745" spans="1:4" x14ac:dyDescent="0.2">
      <c r="A745" s="1">
        <v>2017</v>
      </c>
      <c r="B745" s="14" t="s">
        <v>1899</v>
      </c>
      <c r="C745" s="15">
        <v>35400</v>
      </c>
      <c r="D745" s="16">
        <v>3.5040000000000003E-5</v>
      </c>
    </row>
    <row r="746" spans="1:4" x14ac:dyDescent="0.2">
      <c r="A746" s="1">
        <v>2017</v>
      </c>
      <c r="B746" s="14" t="s">
        <v>1900</v>
      </c>
      <c r="C746" s="15">
        <v>36648</v>
      </c>
      <c r="D746" s="16">
        <v>3.6269999999999997E-5</v>
      </c>
    </row>
    <row r="747" spans="1:4" x14ac:dyDescent="0.2">
      <c r="A747" s="1">
        <v>2017</v>
      </c>
      <c r="B747" s="14" t="s">
        <v>1901</v>
      </c>
      <c r="C747" s="15">
        <v>102773</v>
      </c>
      <c r="D747" s="16">
        <v>1.0172E-4</v>
      </c>
    </row>
    <row r="748" spans="1:4" x14ac:dyDescent="0.2">
      <c r="A748" s="1">
        <v>2017</v>
      </c>
      <c r="B748" s="14" t="s">
        <v>1902</v>
      </c>
      <c r="C748" s="15">
        <v>3126</v>
      </c>
      <c r="D748" s="16">
        <v>3.0900000000000001E-6</v>
      </c>
    </row>
    <row r="749" spans="1:4" x14ac:dyDescent="0.2">
      <c r="A749" s="1">
        <v>2017</v>
      </c>
      <c r="B749" s="14" t="s">
        <v>1903</v>
      </c>
      <c r="C749" s="15">
        <v>26163</v>
      </c>
      <c r="D749" s="16">
        <v>2.5890000000000001E-5</v>
      </c>
    </row>
    <row r="750" spans="1:4" x14ac:dyDescent="0.2">
      <c r="A750" s="1">
        <v>2017</v>
      </c>
      <c r="B750" s="14" t="s">
        <v>1904</v>
      </c>
      <c r="C750" s="15">
        <v>3971</v>
      </c>
      <c r="D750" s="16">
        <v>3.9299999999999996E-6</v>
      </c>
    </row>
    <row r="751" spans="1:4" x14ac:dyDescent="0.2">
      <c r="A751" s="1">
        <v>2017</v>
      </c>
      <c r="B751" s="14" t="s">
        <v>2046</v>
      </c>
      <c r="C751" s="15">
        <v>9750</v>
      </c>
      <c r="D751" s="16">
        <v>9.6500000000000008E-6</v>
      </c>
    </row>
    <row r="752" spans="1:4" x14ac:dyDescent="0.2">
      <c r="A752" s="1">
        <v>2017</v>
      </c>
      <c r="B752" s="14" t="s">
        <v>2047</v>
      </c>
      <c r="C752" s="15">
        <v>23953</v>
      </c>
      <c r="D752" s="16">
        <v>2.3710000000000002E-5</v>
      </c>
    </row>
    <row r="753" spans="1:4" x14ac:dyDescent="0.2">
      <c r="A753" s="1">
        <v>2017</v>
      </c>
      <c r="B753" s="14" t="s">
        <v>1907</v>
      </c>
      <c r="C753" s="14">
        <v>968</v>
      </c>
      <c r="D753" s="16">
        <v>9.5999999999999991E-7</v>
      </c>
    </row>
    <row r="754" spans="1:4" x14ac:dyDescent="0.2">
      <c r="A754" s="1">
        <v>2017</v>
      </c>
      <c r="B754" s="14" t="s">
        <v>1908</v>
      </c>
      <c r="C754" s="43">
        <v>17899</v>
      </c>
      <c r="D754" s="16">
        <v>1.772E-5</v>
      </c>
    </row>
    <row r="755" spans="1:4" x14ac:dyDescent="0.2">
      <c r="A755" s="1">
        <v>2017</v>
      </c>
      <c r="B755" s="14" t="s">
        <v>1909</v>
      </c>
      <c r="C755" s="15">
        <v>33346</v>
      </c>
      <c r="D755" s="16">
        <v>3.3000000000000003E-5</v>
      </c>
    </row>
    <row r="756" spans="1:4" x14ac:dyDescent="0.2">
      <c r="A756" s="1">
        <v>2017</v>
      </c>
      <c r="B756" s="14" t="s">
        <v>1910</v>
      </c>
      <c r="C756" s="15">
        <v>4158</v>
      </c>
      <c r="D756" s="16">
        <v>4.1200000000000004E-6</v>
      </c>
    </row>
    <row r="757" spans="1:4" x14ac:dyDescent="0.2">
      <c r="A757" s="1">
        <v>2017</v>
      </c>
      <c r="B757" s="14" t="s">
        <v>2071</v>
      </c>
      <c r="C757" s="15">
        <v>17288</v>
      </c>
      <c r="D757" s="16">
        <v>1.7110000000000001E-5</v>
      </c>
    </row>
    <row r="758" spans="1:4" x14ac:dyDescent="0.2">
      <c r="A758" s="1">
        <v>2017</v>
      </c>
      <c r="B758" s="14" t="s">
        <v>1912</v>
      </c>
      <c r="C758" s="15">
        <v>3596</v>
      </c>
      <c r="D758" s="16">
        <v>3.5599999999999998E-6</v>
      </c>
    </row>
    <row r="759" spans="1:4" x14ac:dyDescent="0.2">
      <c r="A759" s="1">
        <v>2017</v>
      </c>
      <c r="B759" s="14" t="s">
        <v>1913</v>
      </c>
      <c r="C759" s="15">
        <v>15037</v>
      </c>
      <c r="D759" s="16">
        <v>1.488E-5</v>
      </c>
    </row>
    <row r="760" spans="1:4" x14ac:dyDescent="0.2">
      <c r="A760" s="1">
        <v>2017</v>
      </c>
      <c r="B760" s="14" t="s">
        <v>1914</v>
      </c>
      <c r="C760" s="15">
        <v>9138</v>
      </c>
      <c r="D760" s="16">
        <v>9.0399999999999998E-6</v>
      </c>
    </row>
    <row r="761" spans="1:4" x14ac:dyDescent="0.2">
      <c r="A761" s="1">
        <v>2017</v>
      </c>
      <c r="B761" s="14" t="s">
        <v>1915</v>
      </c>
      <c r="C761" s="15">
        <v>12861</v>
      </c>
      <c r="D761" s="16">
        <v>1.273E-5</v>
      </c>
    </row>
    <row r="762" spans="1:4" x14ac:dyDescent="0.2">
      <c r="A762" s="1">
        <v>2017</v>
      </c>
      <c r="B762" s="37" t="s">
        <v>1916</v>
      </c>
      <c r="C762" s="38">
        <v>54140</v>
      </c>
      <c r="D762" s="39">
        <v>5.3579999999999999E-5</v>
      </c>
    </row>
    <row r="763" spans="1:4" x14ac:dyDescent="0.2">
      <c r="A763" s="1">
        <v>2017</v>
      </c>
      <c r="B763" s="37" t="s">
        <v>1917</v>
      </c>
      <c r="C763" s="37">
        <v>614</v>
      </c>
      <c r="D763" s="39">
        <v>6.0999999999999998E-7</v>
      </c>
    </row>
    <row r="764" spans="1:4" x14ac:dyDescent="0.2">
      <c r="A764" s="1">
        <v>2017</v>
      </c>
      <c r="B764" s="37" t="s">
        <v>1918</v>
      </c>
      <c r="C764" s="38">
        <v>290243</v>
      </c>
      <c r="D764" s="39">
        <v>2.8726000000000001E-4</v>
      </c>
    </row>
    <row r="765" spans="1:4" x14ac:dyDescent="0.2">
      <c r="A765" s="1">
        <v>2017</v>
      </c>
      <c r="B765" s="37" t="s">
        <v>1919</v>
      </c>
      <c r="C765" s="38">
        <v>13155</v>
      </c>
      <c r="D765" s="39">
        <v>1.3020000000000001E-5</v>
      </c>
    </row>
    <row r="766" spans="1:4" x14ac:dyDescent="0.2">
      <c r="A766" s="1">
        <v>2017</v>
      </c>
      <c r="B766" s="37" t="s">
        <v>1920</v>
      </c>
      <c r="C766" s="38">
        <v>2408026</v>
      </c>
      <c r="D766" s="39">
        <v>2.38331E-3</v>
      </c>
    </row>
    <row r="767" spans="1:4" x14ac:dyDescent="0.2">
      <c r="A767" s="1">
        <v>2017</v>
      </c>
      <c r="B767" s="37" t="s">
        <v>1921</v>
      </c>
      <c r="C767" s="38">
        <v>59181</v>
      </c>
      <c r="D767" s="39">
        <v>5.8570000000000003E-5</v>
      </c>
    </row>
    <row r="768" spans="1:4" x14ac:dyDescent="0.2">
      <c r="A768" s="1">
        <v>2017</v>
      </c>
      <c r="B768" s="37" t="s">
        <v>1922</v>
      </c>
      <c r="C768" s="38">
        <v>2063253</v>
      </c>
      <c r="D768" s="39">
        <v>2.04207E-3</v>
      </c>
    </row>
    <row r="769" spans="1:4" x14ac:dyDescent="0.2">
      <c r="A769" s="1">
        <v>2017</v>
      </c>
      <c r="B769" s="37" t="s">
        <v>1923</v>
      </c>
      <c r="C769" s="38">
        <v>1718626</v>
      </c>
      <c r="D769" s="39">
        <v>1.7009799999999999E-3</v>
      </c>
    </row>
    <row r="770" spans="1:4" x14ac:dyDescent="0.2">
      <c r="A770" s="1">
        <v>2017</v>
      </c>
      <c r="B770" s="37" t="s">
        <v>1924</v>
      </c>
      <c r="C770" s="38">
        <v>104288</v>
      </c>
      <c r="D770" s="39">
        <v>1.0322E-4</v>
      </c>
    </row>
    <row r="771" spans="1:4" x14ac:dyDescent="0.2">
      <c r="A771" s="1">
        <v>2017</v>
      </c>
      <c r="B771" s="37" t="s">
        <v>1925</v>
      </c>
      <c r="C771" s="38">
        <v>179409</v>
      </c>
      <c r="D771" s="39">
        <v>1.7757E-4</v>
      </c>
    </row>
    <row r="772" spans="1:4" x14ac:dyDescent="0.2">
      <c r="A772" s="1">
        <v>2017</v>
      </c>
      <c r="B772" s="37" t="s">
        <v>1926</v>
      </c>
      <c r="C772" s="38">
        <v>57049</v>
      </c>
      <c r="D772" s="39">
        <v>5.6459999999999998E-5</v>
      </c>
    </row>
    <row r="773" spans="1:4" x14ac:dyDescent="0.2">
      <c r="A773" s="1">
        <v>2017</v>
      </c>
      <c r="B773" s="37" t="s">
        <v>1927</v>
      </c>
      <c r="C773" s="38">
        <v>2542399</v>
      </c>
      <c r="D773" s="39">
        <v>2.5163E-3</v>
      </c>
    </row>
    <row r="774" spans="1:4" x14ac:dyDescent="0.2">
      <c r="A774" s="1">
        <v>2017</v>
      </c>
      <c r="B774" s="37" t="s">
        <v>1928</v>
      </c>
      <c r="C774" s="38">
        <v>121363</v>
      </c>
      <c r="D774" s="39">
        <v>1.2012E-4</v>
      </c>
    </row>
    <row r="775" spans="1:4" x14ac:dyDescent="0.2">
      <c r="A775" s="1">
        <v>2017</v>
      </c>
      <c r="B775" s="37" t="s">
        <v>1929</v>
      </c>
      <c r="C775" s="38">
        <v>89033</v>
      </c>
      <c r="D775" s="39">
        <v>8.8120000000000003E-5</v>
      </c>
    </row>
    <row r="776" spans="1:4" x14ac:dyDescent="0.2">
      <c r="A776" s="1">
        <v>2017</v>
      </c>
      <c r="B776" s="37" t="s">
        <v>1930</v>
      </c>
      <c r="C776" s="38">
        <v>6042050</v>
      </c>
      <c r="D776" s="39">
        <v>5.9800299999999999E-3</v>
      </c>
    </row>
    <row r="777" spans="1:4" x14ac:dyDescent="0.2">
      <c r="A777" s="1">
        <v>2017</v>
      </c>
      <c r="B777" s="37" t="s">
        <v>1931</v>
      </c>
      <c r="C777" s="38">
        <v>542979</v>
      </c>
      <c r="D777" s="39">
        <v>5.3740999999999999E-4</v>
      </c>
    </row>
    <row r="778" spans="1:4" x14ac:dyDescent="0.2">
      <c r="A778" s="1">
        <v>2017</v>
      </c>
      <c r="B778" s="37" t="s">
        <v>1932</v>
      </c>
      <c r="C778" s="38">
        <v>80052</v>
      </c>
      <c r="D778" s="39">
        <v>7.9229999999999999E-5</v>
      </c>
    </row>
    <row r="779" spans="1:4" x14ac:dyDescent="0.2">
      <c r="A779" s="1">
        <v>2017</v>
      </c>
      <c r="B779" s="37" t="s">
        <v>1933</v>
      </c>
      <c r="C779" s="38">
        <v>95437</v>
      </c>
      <c r="D779" s="39">
        <v>9.446E-5</v>
      </c>
    </row>
    <row r="780" spans="1:4" x14ac:dyDescent="0.2">
      <c r="A780" s="1">
        <v>2017</v>
      </c>
      <c r="B780" s="37" t="s">
        <v>1934</v>
      </c>
      <c r="C780" s="38">
        <v>85747</v>
      </c>
      <c r="D780" s="39">
        <v>8.4870000000000006E-5</v>
      </c>
    </row>
    <row r="781" spans="1:4" x14ac:dyDescent="0.2">
      <c r="A781" s="1">
        <v>2017</v>
      </c>
      <c r="B781" s="37" t="s">
        <v>1935</v>
      </c>
      <c r="C781" s="38">
        <v>2124791</v>
      </c>
      <c r="D781" s="39">
        <v>2.10298E-3</v>
      </c>
    </row>
    <row r="782" spans="1:4" x14ac:dyDescent="0.2">
      <c r="A782" s="1">
        <v>2017</v>
      </c>
      <c r="B782" s="37" t="s">
        <v>1936</v>
      </c>
      <c r="C782" s="38">
        <v>635890</v>
      </c>
      <c r="D782" s="39">
        <v>6.2936000000000003E-4</v>
      </c>
    </row>
    <row r="783" spans="1:4" x14ac:dyDescent="0.2">
      <c r="A783" s="1">
        <v>2017</v>
      </c>
      <c r="B783" s="37" t="s">
        <v>1937</v>
      </c>
      <c r="C783" s="38">
        <v>1781</v>
      </c>
      <c r="D783" s="39">
        <v>1.7600000000000001E-6</v>
      </c>
    </row>
    <row r="784" spans="1:4" x14ac:dyDescent="0.2">
      <c r="A784" s="1">
        <v>2017</v>
      </c>
      <c r="B784" s="37" t="s">
        <v>1938</v>
      </c>
      <c r="C784" s="38">
        <v>716363</v>
      </c>
      <c r="D784" s="39">
        <v>7.0901000000000004E-4</v>
      </c>
    </row>
    <row r="785" spans="1:4" x14ac:dyDescent="0.2">
      <c r="A785" s="1">
        <v>2017</v>
      </c>
      <c r="B785" s="37" t="s">
        <v>1939</v>
      </c>
      <c r="C785" s="38">
        <v>73724479</v>
      </c>
      <c r="D785" s="39">
        <v>7.2967710000000005E-2</v>
      </c>
    </row>
    <row r="786" spans="1:4" x14ac:dyDescent="0.2">
      <c r="A786" s="1">
        <v>2017</v>
      </c>
      <c r="B786" s="37" t="s">
        <v>1940</v>
      </c>
      <c r="C786" s="38">
        <v>19396594</v>
      </c>
      <c r="D786" s="39">
        <v>1.9197490000000001E-2</v>
      </c>
    </row>
    <row r="787" spans="1:4" x14ac:dyDescent="0.2">
      <c r="A787" s="1">
        <v>2017</v>
      </c>
      <c r="B787" s="37" t="s">
        <v>1941</v>
      </c>
      <c r="C787" s="38">
        <v>13496839</v>
      </c>
      <c r="D787" s="39">
        <v>1.33583E-2</v>
      </c>
    </row>
    <row r="788" spans="1:4" x14ac:dyDescent="0.2">
      <c r="A788" s="1">
        <v>2017</v>
      </c>
      <c r="B788" s="37" t="s">
        <v>1942</v>
      </c>
      <c r="C788" s="38">
        <v>140993</v>
      </c>
      <c r="D788" s="39">
        <v>1.3955E-4</v>
      </c>
    </row>
    <row r="789" spans="1:4" x14ac:dyDescent="0.2">
      <c r="A789" s="1">
        <v>2017</v>
      </c>
      <c r="B789" s="37" t="s">
        <v>1943</v>
      </c>
      <c r="C789" s="38">
        <v>33839</v>
      </c>
      <c r="D789" s="39">
        <v>3.349E-5</v>
      </c>
    </row>
    <row r="790" spans="1:4" x14ac:dyDescent="0.2">
      <c r="A790" s="1">
        <v>2017</v>
      </c>
      <c r="B790" s="37" t="s">
        <v>1944</v>
      </c>
      <c r="C790" s="38">
        <v>46082</v>
      </c>
      <c r="D790" s="39">
        <v>4.5609999999999999E-5</v>
      </c>
    </row>
    <row r="791" spans="1:4" x14ac:dyDescent="0.2">
      <c r="A791" s="1">
        <v>2017</v>
      </c>
      <c r="B791" s="37" t="s">
        <v>1945</v>
      </c>
      <c r="C791" s="38">
        <v>94754</v>
      </c>
      <c r="D791" s="39">
        <v>9.378E-5</v>
      </c>
    </row>
    <row r="792" spans="1:4" x14ac:dyDescent="0.2">
      <c r="A792" s="1">
        <v>2017</v>
      </c>
      <c r="B792" s="37" t="s">
        <v>1946</v>
      </c>
      <c r="C792" s="38">
        <v>126726</v>
      </c>
      <c r="D792" s="39">
        <v>1.2543E-4</v>
      </c>
    </row>
    <row r="793" spans="1:4" x14ac:dyDescent="0.2">
      <c r="A793" s="1">
        <v>2017</v>
      </c>
      <c r="B793" s="37" t="s">
        <v>1947</v>
      </c>
      <c r="C793" s="38">
        <v>57318</v>
      </c>
      <c r="D793" s="39">
        <v>5.6730000000000001E-5</v>
      </c>
    </row>
    <row r="794" spans="1:4" x14ac:dyDescent="0.2">
      <c r="A794" s="1">
        <v>2017</v>
      </c>
      <c r="B794" s="37" t="s">
        <v>1948</v>
      </c>
      <c r="C794" s="38">
        <v>2629671</v>
      </c>
      <c r="D794" s="39">
        <v>2.60268E-3</v>
      </c>
    </row>
    <row r="795" spans="1:4" x14ac:dyDescent="0.2">
      <c r="A795" s="1">
        <v>2017</v>
      </c>
      <c r="B795" s="37" t="s">
        <v>1949</v>
      </c>
      <c r="C795" s="38">
        <v>52372</v>
      </c>
      <c r="D795" s="39">
        <v>5.1829999999999997E-5</v>
      </c>
    </row>
    <row r="796" spans="1:4" x14ac:dyDescent="0.2">
      <c r="A796" s="1">
        <v>2017</v>
      </c>
      <c r="B796" s="37" t="s">
        <v>1950</v>
      </c>
      <c r="C796" s="38">
        <v>77997</v>
      </c>
      <c r="D796" s="39">
        <v>7.7200000000000006E-5</v>
      </c>
    </row>
    <row r="797" spans="1:4" x14ac:dyDescent="0.2">
      <c r="A797" s="1">
        <v>2017</v>
      </c>
      <c r="B797" s="37" t="s">
        <v>1951</v>
      </c>
      <c r="C797" s="38">
        <v>6584681</v>
      </c>
      <c r="D797" s="39">
        <v>6.5170899999999997E-3</v>
      </c>
    </row>
    <row r="798" spans="1:4" x14ac:dyDescent="0.2">
      <c r="A798" s="1">
        <v>2017</v>
      </c>
      <c r="B798" s="37" t="s">
        <v>1952</v>
      </c>
      <c r="C798" s="38">
        <v>60951</v>
      </c>
      <c r="D798" s="39">
        <v>6.033E-5</v>
      </c>
    </row>
    <row r="799" spans="1:4" x14ac:dyDescent="0.2">
      <c r="A799" s="1">
        <v>2017</v>
      </c>
      <c r="B799" s="37" t="s">
        <v>1953</v>
      </c>
      <c r="C799" s="38">
        <v>44584</v>
      </c>
      <c r="D799" s="39">
        <v>4.4129999999999999E-5</v>
      </c>
    </row>
    <row r="800" spans="1:4" x14ac:dyDescent="0.2">
      <c r="A800" s="1">
        <v>2017</v>
      </c>
      <c r="B800" s="37" t="s">
        <v>1954</v>
      </c>
      <c r="C800" s="38">
        <v>389132</v>
      </c>
      <c r="D800" s="39">
        <v>3.8514000000000002E-4</v>
      </c>
    </row>
    <row r="801" spans="1:4" x14ac:dyDescent="0.2">
      <c r="A801" s="1">
        <v>2017</v>
      </c>
      <c r="B801" s="37" t="s">
        <v>1955</v>
      </c>
      <c r="C801" s="38">
        <v>3676</v>
      </c>
      <c r="D801" s="39">
        <v>3.6399999999999999E-6</v>
      </c>
    </row>
    <row r="802" spans="1:4" x14ac:dyDescent="0.2">
      <c r="A802" s="1">
        <v>2017</v>
      </c>
      <c r="B802" s="37" t="s">
        <v>1956</v>
      </c>
      <c r="C802" s="38">
        <v>1537187</v>
      </c>
      <c r="D802" s="39">
        <v>1.5214099999999999E-3</v>
      </c>
    </row>
    <row r="803" spans="1:4" x14ac:dyDescent="0.2">
      <c r="A803" s="1">
        <v>2017</v>
      </c>
      <c r="B803" s="37" t="s">
        <v>1957</v>
      </c>
      <c r="C803" s="38">
        <v>1039</v>
      </c>
      <c r="D803" s="39">
        <v>1.0300000000000001E-6</v>
      </c>
    </row>
    <row r="804" spans="1:4" x14ac:dyDescent="0.2">
      <c r="A804" s="1">
        <v>2017</v>
      </c>
      <c r="B804" s="37" t="s">
        <v>1958</v>
      </c>
      <c r="C804" s="38">
        <v>1545814</v>
      </c>
      <c r="D804" s="39">
        <v>1.52995E-3</v>
      </c>
    </row>
    <row r="805" spans="1:4" x14ac:dyDescent="0.2">
      <c r="A805" s="1">
        <v>2017</v>
      </c>
      <c r="B805" s="37" t="s">
        <v>1959</v>
      </c>
      <c r="C805" s="38">
        <v>11650</v>
      </c>
      <c r="D805" s="39">
        <v>1.153E-5</v>
      </c>
    </row>
    <row r="806" spans="1:4" x14ac:dyDescent="0.2">
      <c r="A806" s="1">
        <v>2017</v>
      </c>
      <c r="B806" s="37" t="s">
        <v>1960</v>
      </c>
      <c r="C806" s="38">
        <v>42198</v>
      </c>
      <c r="D806" s="39">
        <v>4.176E-5</v>
      </c>
    </row>
    <row r="807" spans="1:4" x14ac:dyDescent="0.2">
      <c r="A807" s="1">
        <v>2017</v>
      </c>
      <c r="B807" s="37" t="s">
        <v>1961</v>
      </c>
      <c r="C807" s="38">
        <v>1670078</v>
      </c>
      <c r="D807" s="39">
        <v>1.6529299999999999E-3</v>
      </c>
    </row>
    <row r="808" spans="1:4" x14ac:dyDescent="0.2">
      <c r="A808" s="1">
        <v>2017</v>
      </c>
      <c r="B808" s="37" t="s">
        <v>1962</v>
      </c>
      <c r="C808" s="38">
        <v>66569</v>
      </c>
      <c r="D808" s="39">
        <v>6.5889999999999994E-5</v>
      </c>
    </row>
    <row r="809" spans="1:4" x14ac:dyDescent="0.2">
      <c r="A809" s="1">
        <v>2017</v>
      </c>
      <c r="B809" s="37" t="s">
        <v>1963</v>
      </c>
      <c r="C809" s="38">
        <v>241756</v>
      </c>
      <c r="D809" s="39">
        <v>2.3927E-4</v>
      </c>
    </row>
    <row r="810" spans="1:4" x14ac:dyDescent="0.2">
      <c r="A810" s="1">
        <v>2017</v>
      </c>
      <c r="B810" s="37" t="s">
        <v>1964</v>
      </c>
      <c r="C810" s="38">
        <v>34818</v>
      </c>
      <c r="D810" s="39">
        <v>3.4459999999999999E-5</v>
      </c>
    </row>
    <row r="811" spans="1:4" x14ac:dyDescent="0.2">
      <c r="A811" s="1">
        <v>2017</v>
      </c>
      <c r="B811" s="37" t="s">
        <v>1965</v>
      </c>
      <c r="C811" s="38">
        <v>922626</v>
      </c>
      <c r="D811" s="39">
        <v>9.1315999999999999E-4</v>
      </c>
    </row>
    <row r="812" spans="1:4" x14ac:dyDescent="0.2">
      <c r="A812" s="1">
        <v>2017</v>
      </c>
      <c r="B812" s="37" t="s">
        <v>1966</v>
      </c>
      <c r="C812" s="38">
        <v>407661</v>
      </c>
      <c r="D812" s="39">
        <v>4.0348000000000001E-4</v>
      </c>
    </row>
    <row r="813" spans="1:4" x14ac:dyDescent="0.2">
      <c r="A813" s="1">
        <v>2017</v>
      </c>
      <c r="B813" s="37" t="s">
        <v>1967</v>
      </c>
      <c r="C813" s="38">
        <v>3003253</v>
      </c>
      <c r="D813" s="39">
        <v>2.9724199999999999E-3</v>
      </c>
    </row>
    <row r="814" spans="1:4" x14ac:dyDescent="0.2">
      <c r="A814" s="1">
        <v>2017</v>
      </c>
      <c r="B814" s="37" t="s">
        <v>1968</v>
      </c>
      <c r="C814" s="38">
        <v>622497</v>
      </c>
      <c r="D814" s="39">
        <v>6.1611000000000001E-4</v>
      </c>
    </row>
    <row r="815" spans="1:4" x14ac:dyDescent="0.2">
      <c r="A815" s="1">
        <v>2017</v>
      </c>
      <c r="B815" s="37" t="s">
        <v>1969</v>
      </c>
      <c r="C815" s="38">
        <v>13219</v>
      </c>
      <c r="D815" s="39">
        <v>1.308E-5</v>
      </c>
    </row>
    <row r="816" spans="1:4" x14ac:dyDescent="0.2">
      <c r="A816" s="1">
        <v>2017</v>
      </c>
      <c r="B816" s="37" t="s">
        <v>1970</v>
      </c>
      <c r="C816" s="38">
        <v>3593</v>
      </c>
      <c r="D816" s="39">
        <v>3.5599999999999998E-6</v>
      </c>
    </row>
    <row r="817" spans="1:4" x14ac:dyDescent="0.2">
      <c r="A817" s="1">
        <v>2017</v>
      </c>
      <c r="B817" s="37" t="s">
        <v>1971</v>
      </c>
      <c r="C817" s="38">
        <v>310391</v>
      </c>
      <c r="D817" s="39">
        <v>3.0720999999999998E-4</v>
      </c>
    </row>
    <row r="818" spans="1:4" x14ac:dyDescent="0.2">
      <c r="A818" s="1">
        <v>2017</v>
      </c>
      <c r="B818" s="37" t="s">
        <v>1972</v>
      </c>
      <c r="C818" s="38">
        <v>13387</v>
      </c>
      <c r="D818" s="39">
        <v>1.325E-5</v>
      </c>
    </row>
    <row r="819" spans="1:4" x14ac:dyDescent="0.2">
      <c r="A819" s="1">
        <v>2017</v>
      </c>
      <c r="B819" s="37" t="s">
        <v>1973</v>
      </c>
      <c r="C819" s="38">
        <v>29480</v>
      </c>
      <c r="D819" s="39">
        <v>2.9179999999999998E-5</v>
      </c>
    </row>
    <row r="820" spans="1:4" x14ac:dyDescent="0.2">
      <c r="A820" s="1">
        <v>2017</v>
      </c>
      <c r="B820" s="37" t="s">
        <v>1974</v>
      </c>
      <c r="C820" s="38">
        <v>264805</v>
      </c>
      <c r="D820" s="39">
        <v>2.6208999999999998E-4</v>
      </c>
    </row>
    <row r="821" spans="1:4" x14ac:dyDescent="0.2">
      <c r="A821" s="1">
        <v>2017</v>
      </c>
      <c r="B821" s="37" t="s">
        <v>1975</v>
      </c>
      <c r="C821" s="38">
        <v>1358747</v>
      </c>
      <c r="D821" s="39">
        <v>1.3447999999999999E-3</v>
      </c>
    </row>
    <row r="822" spans="1:4" x14ac:dyDescent="0.2">
      <c r="A822" s="1">
        <v>2017</v>
      </c>
      <c r="B822" s="37" t="s">
        <v>1976</v>
      </c>
      <c r="C822" s="38">
        <v>1651627</v>
      </c>
      <c r="D822" s="39">
        <v>1.63467E-3</v>
      </c>
    </row>
    <row r="823" spans="1:4" x14ac:dyDescent="0.2">
      <c r="A823" s="1">
        <v>2017</v>
      </c>
      <c r="B823" s="37" t="s">
        <v>1977</v>
      </c>
      <c r="C823" s="38">
        <v>14545</v>
      </c>
      <c r="D823" s="39">
        <v>1.4399999999999999E-5</v>
      </c>
    </row>
    <row r="824" spans="1:4" x14ac:dyDescent="0.2">
      <c r="A824" s="1">
        <v>2017</v>
      </c>
      <c r="B824" s="37" t="s">
        <v>1978</v>
      </c>
      <c r="C824" s="38">
        <v>59408</v>
      </c>
      <c r="D824" s="39">
        <v>5.8799999999999999E-5</v>
      </c>
    </row>
    <row r="825" spans="1:4" x14ac:dyDescent="0.2">
      <c r="A825" s="1">
        <v>2017</v>
      </c>
      <c r="B825" s="37" t="s">
        <v>1979</v>
      </c>
      <c r="C825" s="38">
        <v>1197809</v>
      </c>
      <c r="D825" s="39">
        <v>1.1855100000000001E-3</v>
      </c>
    </row>
    <row r="826" spans="1:4" x14ac:dyDescent="0.2">
      <c r="A826" s="1">
        <v>2017</v>
      </c>
      <c r="B826" s="37" t="s">
        <v>1980</v>
      </c>
      <c r="C826" s="38">
        <v>188956</v>
      </c>
      <c r="D826" s="39">
        <v>1.8702000000000001E-4</v>
      </c>
    </row>
    <row r="827" spans="1:4" x14ac:dyDescent="0.2">
      <c r="A827" s="1">
        <v>2017</v>
      </c>
      <c r="B827" s="37" t="s">
        <v>1981</v>
      </c>
      <c r="C827" s="38">
        <v>1261774</v>
      </c>
      <c r="D827" s="39">
        <v>1.2488200000000001E-3</v>
      </c>
    </row>
    <row r="828" spans="1:4" x14ac:dyDescent="0.2">
      <c r="A828" s="1">
        <v>2017</v>
      </c>
      <c r="B828" s="37" t="s">
        <v>1982</v>
      </c>
      <c r="C828" s="38">
        <v>585273</v>
      </c>
      <c r="D828" s="39">
        <v>5.7927E-4</v>
      </c>
    </row>
    <row r="829" spans="1:4" x14ac:dyDescent="0.2">
      <c r="A829" s="1">
        <v>2017</v>
      </c>
      <c r="B829" s="37" t="s">
        <v>1983</v>
      </c>
      <c r="C829" s="38">
        <v>2550066</v>
      </c>
      <c r="D829" s="39">
        <v>2.52389E-3</v>
      </c>
    </row>
    <row r="830" spans="1:4" x14ac:dyDescent="0.2">
      <c r="A830" s="1">
        <v>2017</v>
      </c>
      <c r="B830" s="37" t="s">
        <v>1984</v>
      </c>
      <c r="C830" s="38">
        <v>157552</v>
      </c>
      <c r="D830" s="39">
        <v>1.5593000000000001E-4</v>
      </c>
    </row>
    <row r="831" spans="1:4" x14ac:dyDescent="0.2">
      <c r="A831" s="1">
        <v>2017</v>
      </c>
      <c r="B831" s="37" t="s">
        <v>1985</v>
      </c>
      <c r="C831" s="38">
        <v>51894</v>
      </c>
      <c r="D831" s="39">
        <v>5.1360000000000003E-5</v>
      </c>
    </row>
    <row r="832" spans="1:4" x14ac:dyDescent="0.2">
      <c r="A832" s="1">
        <v>2017</v>
      </c>
      <c r="B832" s="37" t="s">
        <v>1986</v>
      </c>
      <c r="C832" s="38">
        <v>93086</v>
      </c>
      <c r="D832" s="39">
        <v>9.2130000000000001E-5</v>
      </c>
    </row>
    <row r="833" spans="1:4" x14ac:dyDescent="0.2">
      <c r="A833" s="1">
        <v>2017</v>
      </c>
      <c r="B833" s="37" t="s">
        <v>1987</v>
      </c>
      <c r="C833" s="38">
        <v>15279</v>
      </c>
      <c r="D833" s="39">
        <v>1.5119999999999999E-5</v>
      </c>
    </row>
    <row r="834" spans="1:4" x14ac:dyDescent="0.2">
      <c r="A834" s="1">
        <v>2017</v>
      </c>
      <c r="B834" s="37" t="s">
        <v>1988</v>
      </c>
      <c r="C834" s="38">
        <v>702979</v>
      </c>
      <c r="D834" s="39">
        <v>6.9576000000000002E-4</v>
      </c>
    </row>
    <row r="835" spans="1:4" x14ac:dyDescent="0.2">
      <c r="A835" s="1">
        <v>2017</v>
      </c>
      <c r="B835" s="37" t="s">
        <v>2072</v>
      </c>
      <c r="C835" s="38">
        <v>3964</v>
      </c>
      <c r="D835" s="39">
        <v>3.9199999999999997E-6</v>
      </c>
    </row>
    <row r="836" spans="1:4" x14ac:dyDescent="0.2">
      <c r="A836" s="1">
        <v>2017</v>
      </c>
      <c r="B836" s="37" t="s">
        <v>1990</v>
      </c>
      <c r="C836" s="38">
        <v>1550140</v>
      </c>
      <c r="D836" s="39">
        <v>1.5342299999999999E-3</v>
      </c>
    </row>
    <row r="837" spans="1:4" x14ac:dyDescent="0.2">
      <c r="A837" s="1">
        <v>2017</v>
      </c>
      <c r="B837" s="37" t="s">
        <v>1991</v>
      </c>
      <c r="C837" s="38">
        <v>295279</v>
      </c>
      <c r="D837" s="39">
        <v>2.9224999999999998E-4</v>
      </c>
    </row>
    <row r="838" spans="1:4" x14ac:dyDescent="0.2">
      <c r="A838" s="1">
        <v>2017</v>
      </c>
      <c r="B838" s="37" t="s">
        <v>1992</v>
      </c>
      <c r="C838" s="38">
        <v>3298217</v>
      </c>
      <c r="D838" s="39">
        <v>3.26436E-3</v>
      </c>
    </row>
    <row r="839" spans="1:4" x14ac:dyDescent="0.2">
      <c r="A839" s="1">
        <v>2017</v>
      </c>
      <c r="B839" s="37" t="s">
        <v>1993</v>
      </c>
      <c r="C839" s="38">
        <v>1025404</v>
      </c>
      <c r="D839" s="39">
        <v>1.0148799999999999E-3</v>
      </c>
    </row>
    <row r="840" spans="1:4" x14ac:dyDescent="0.2">
      <c r="A840" s="1">
        <v>2017</v>
      </c>
      <c r="B840" s="37" t="s">
        <v>1994</v>
      </c>
      <c r="C840" s="38">
        <v>366320</v>
      </c>
      <c r="D840" s="39">
        <v>3.6256E-4</v>
      </c>
    </row>
    <row r="841" spans="1:4" x14ac:dyDescent="0.2">
      <c r="A841" s="1">
        <v>2017</v>
      </c>
      <c r="B841" s="37" t="s">
        <v>1995</v>
      </c>
      <c r="C841" s="38">
        <v>7750</v>
      </c>
      <c r="D841" s="39">
        <v>7.6699999999999994E-6</v>
      </c>
    </row>
    <row r="842" spans="1:4" x14ac:dyDescent="0.2">
      <c r="A842" s="1">
        <v>2017</v>
      </c>
      <c r="B842" s="37" t="s">
        <v>1996</v>
      </c>
      <c r="C842" s="38">
        <v>242453</v>
      </c>
      <c r="D842" s="39">
        <v>2.3996E-4</v>
      </c>
    </row>
    <row r="843" spans="1:4" x14ac:dyDescent="0.2">
      <c r="A843" s="1">
        <v>2017</v>
      </c>
      <c r="B843" s="37" t="s">
        <v>1997</v>
      </c>
      <c r="C843" s="38">
        <v>44346</v>
      </c>
      <c r="D843" s="39">
        <v>4.3890000000000002E-5</v>
      </c>
    </row>
    <row r="844" spans="1:4" x14ac:dyDescent="0.2">
      <c r="A844" s="1">
        <v>2017</v>
      </c>
      <c r="B844" s="37" t="s">
        <v>1998</v>
      </c>
      <c r="C844" s="38">
        <v>913586</v>
      </c>
      <c r="D844" s="39">
        <v>9.0421000000000002E-4</v>
      </c>
    </row>
    <row r="845" spans="1:4" x14ac:dyDescent="0.2">
      <c r="A845" s="1">
        <v>2017</v>
      </c>
      <c r="B845" s="37" t="s">
        <v>1999</v>
      </c>
      <c r="C845" s="38">
        <v>513068</v>
      </c>
      <c r="D845" s="39">
        <v>5.0779999999999998E-4</v>
      </c>
    </row>
    <row r="846" spans="1:4" x14ac:dyDescent="0.2">
      <c r="A846" s="1">
        <v>2017</v>
      </c>
      <c r="B846" s="37" t="s">
        <v>2000</v>
      </c>
      <c r="C846" s="38">
        <v>20540</v>
      </c>
      <c r="D846" s="39">
        <v>2.033E-5</v>
      </c>
    </row>
    <row r="847" spans="1:4" x14ac:dyDescent="0.2">
      <c r="A847" s="1">
        <v>2017</v>
      </c>
      <c r="B847" s="37" t="s">
        <v>2001</v>
      </c>
      <c r="C847" s="38">
        <v>3623</v>
      </c>
      <c r="D847" s="39">
        <v>3.5899999999999999E-6</v>
      </c>
    </row>
    <row r="848" spans="1:4" x14ac:dyDescent="0.2">
      <c r="A848" s="1">
        <v>2017</v>
      </c>
      <c r="B848" s="37" t="s">
        <v>2002</v>
      </c>
      <c r="C848" s="38">
        <v>125298</v>
      </c>
      <c r="D848" s="39">
        <v>1.2401E-4</v>
      </c>
    </row>
    <row r="849" spans="1:4" x14ac:dyDescent="0.2">
      <c r="A849" s="1">
        <v>2017</v>
      </c>
      <c r="B849" s="37" t="s">
        <v>2003</v>
      </c>
      <c r="C849" s="38">
        <v>520922</v>
      </c>
      <c r="D849" s="39">
        <v>5.1557000000000003E-4</v>
      </c>
    </row>
    <row r="850" spans="1:4" x14ac:dyDescent="0.2">
      <c r="A850" s="1">
        <v>2017</v>
      </c>
      <c r="B850" s="37" t="s">
        <v>2004</v>
      </c>
      <c r="C850" s="38">
        <v>347318</v>
      </c>
      <c r="D850" s="39">
        <v>3.4374999999999998E-4</v>
      </c>
    </row>
    <row r="851" spans="1:4" x14ac:dyDescent="0.2">
      <c r="A851" s="1">
        <v>2017</v>
      </c>
      <c r="B851" s="37" t="s">
        <v>2005</v>
      </c>
      <c r="C851" s="38">
        <v>7965</v>
      </c>
      <c r="D851" s="39">
        <v>7.8800000000000008E-6</v>
      </c>
    </row>
    <row r="852" spans="1:4" x14ac:dyDescent="0.2">
      <c r="A852" s="1">
        <v>2017</v>
      </c>
      <c r="B852" s="37" t="s">
        <v>2006</v>
      </c>
      <c r="C852" s="38">
        <v>11253</v>
      </c>
      <c r="D852" s="39">
        <v>1.114E-5</v>
      </c>
    </row>
    <row r="853" spans="1:4" x14ac:dyDescent="0.2">
      <c r="A853" s="1">
        <v>2017</v>
      </c>
      <c r="B853" s="37" t="s">
        <v>2007</v>
      </c>
      <c r="C853" s="38">
        <v>502606</v>
      </c>
      <c r="D853" s="39">
        <v>4.9744999999999998E-4</v>
      </c>
    </row>
    <row r="854" spans="1:4" x14ac:dyDescent="0.2">
      <c r="A854" s="1">
        <v>2017</v>
      </c>
      <c r="B854" s="37" t="s">
        <v>2008</v>
      </c>
      <c r="C854" s="38">
        <v>62362</v>
      </c>
      <c r="D854" s="39">
        <v>6.1719999999999999E-5</v>
      </c>
    </row>
    <row r="855" spans="1:4" x14ac:dyDescent="0.2">
      <c r="A855" s="1">
        <v>2017</v>
      </c>
      <c r="B855" s="37" t="s">
        <v>2009</v>
      </c>
      <c r="C855" s="38">
        <v>1538798</v>
      </c>
      <c r="D855" s="39">
        <v>1.523E-3</v>
      </c>
    </row>
    <row r="856" spans="1:4" x14ac:dyDescent="0.2">
      <c r="A856" s="1">
        <v>2017</v>
      </c>
      <c r="B856" s="37" t="s">
        <v>2010</v>
      </c>
      <c r="C856" s="38">
        <v>480126</v>
      </c>
      <c r="D856" s="39">
        <v>4.752E-4</v>
      </c>
    </row>
    <row r="857" spans="1:4" x14ac:dyDescent="0.2">
      <c r="A857" s="1">
        <v>2017</v>
      </c>
      <c r="B857" s="37" t="s">
        <v>2011</v>
      </c>
      <c r="C857" s="38">
        <v>1287946</v>
      </c>
      <c r="D857" s="39">
        <v>1.27473E-3</v>
      </c>
    </row>
    <row r="858" spans="1:4" x14ac:dyDescent="0.2">
      <c r="A858" s="1">
        <v>2017</v>
      </c>
      <c r="B858" s="37" t="s">
        <v>2012</v>
      </c>
      <c r="C858" s="38">
        <v>896324</v>
      </c>
      <c r="D858" s="39">
        <v>8.8712000000000003E-4</v>
      </c>
    </row>
    <row r="859" spans="1:4" x14ac:dyDescent="0.2">
      <c r="A859" s="1">
        <v>2017</v>
      </c>
      <c r="B859" s="37" t="s">
        <v>2013</v>
      </c>
      <c r="C859" s="38">
        <v>12206</v>
      </c>
      <c r="D859" s="39">
        <v>1.208E-5</v>
      </c>
    </row>
    <row r="860" spans="1:4" x14ac:dyDescent="0.2">
      <c r="A860" s="1">
        <v>2017</v>
      </c>
      <c r="B860" s="37" t="s">
        <v>2014</v>
      </c>
      <c r="C860" s="38">
        <v>8308</v>
      </c>
      <c r="D860" s="39">
        <v>8.2199999999999992E-6</v>
      </c>
    </row>
    <row r="861" spans="1:4" x14ac:dyDescent="0.2">
      <c r="A861" s="1">
        <v>2017</v>
      </c>
      <c r="B861" s="37" t="s">
        <v>2015</v>
      </c>
      <c r="C861" s="38">
        <v>17603</v>
      </c>
      <c r="D861" s="39">
        <v>1.7419999999999999E-5</v>
      </c>
    </row>
    <row r="862" spans="1:4" x14ac:dyDescent="0.2">
      <c r="A862" s="1">
        <v>2017</v>
      </c>
      <c r="B862" s="37" t="s">
        <v>2016</v>
      </c>
      <c r="C862" s="38">
        <v>9271</v>
      </c>
      <c r="D862" s="39">
        <v>9.1800000000000002E-6</v>
      </c>
    </row>
    <row r="863" spans="1:4" x14ac:dyDescent="0.2">
      <c r="A863" s="1">
        <v>2017</v>
      </c>
      <c r="B863" s="37" t="s">
        <v>2017</v>
      </c>
      <c r="C863" s="38">
        <v>81280</v>
      </c>
      <c r="D863" s="39">
        <v>8.0450000000000004E-5</v>
      </c>
    </row>
    <row r="864" spans="1:4" x14ac:dyDescent="0.2">
      <c r="A864" s="1">
        <v>2017</v>
      </c>
      <c r="B864" s="40" t="s">
        <v>2018</v>
      </c>
      <c r="C864" s="38">
        <v>77357</v>
      </c>
      <c r="D864" s="8">
        <v>7.6559999999999999E-5</v>
      </c>
    </row>
    <row r="866" spans="2:3" x14ac:dyDescent="0.2">
      <c r="B866" s="3" t="s">
        <v>861</v>
      </c>
      <c r="C866" s="2">
        <f>SUM(C2:C864)</f>
        <v>1010371362</v>
      </c>
    </row>
    <row r="867" spans="2:3" x14ac:dyDescent="0.2">
      <c r="B867" s="3"/>
    </row>
    <row r="868" spans="2:3" x14ac:dyDescent="0.2">
      <c r="B868" s="3" t="s">
        <v>860</v>
      </c>
      <c r="C868" s="2">
        <v>1010371350</v>
      </c>
    </row>
    <row r="870" spans="2:3" x14ac:dyDescent="0.2">
      <c r="B870" s="4" t="s">
        <v>862</v>
      </c>
      <c r="C870" s="5">
        <f>C866-C868</f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8BDC-585F-0840-9F67-5C38BB6DD9B1}">
  <sheetPr>
    <tabColor rgb="FFFFFF00"/>
  </sheetPr>
  <dimension ref="A1:D872"/>
  <sheetViews>
    <sheetView workbookViewId="0">
      <selection activeCell="A2" sqref="A2:D866"/>
    </sheetView>
  </sheetViews>
  <sheetFormatPr baseColWidth="10" defaultRowHeight="16" x14ac:dyDescent="0.2"/>
  <cols>
    <col min="1" max="1" width="10.83203125" style="1"/>
    <col min="2" max="2" width="41.33203125" style="1" bestFit="1" customWidth="1"/>
    <col min="3" max="3" width="20.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2016</v>
      </c>
      <c r="B2" s="14" t="s">
        <v>1154</v>
      </c>
      <c r="C2" s="15">
        <v>435766</v>
      </c>
      <c r="D2" s="16">
        <v>4.3249E-4</v>
      </c>
    </row>
    <row r="3" spans="1:4" x14ac:dyDescent="0.2">
      <c r="A3" s="1">
        <v>2016</v>
      </c>
      <c r="B3" s="14" t="s">
        <v>1155</v>
      </c>
      <c r="C3" s="15">
        <v>1143889</v>
      </c>
      <c r="D3" s="16">
        <v>1.1352999999999999E-3</v>
      </c>
    </row>
    <row r="4" spans="1:4" x14ac:dyDescent="0.2">
      <c r="A4" s="1">
        <v>2016</v>
      </c>
      <c r="B4" s="14" t="s">
        <v>1156</v>
      </c>
      <c r="C4" s="15">
        <v>89945</v>
      </c>
      <c r="D4" s="16">
        <v>8.9270000000000004E-5</v>
      </c>
    </row>
    <row r="5" spans="1:4" x14ac:dyDescent="0.2">
      <c r="A5" s="1">
        <v>2016</v>
      </c>
      <c r="B5" s="14" t="s">
        <v>1157</v>
      </c>
      <c r="C5" s="15">
        <v>25765</v>
      </c>
      <c r="D5" s="16">
        <v>2.5570000000000001E-5</v>
      </c>
    </row>
    <row r="6" spans="1:4" x14ac:dyDescent="0.2">
      <c r="A6" s="1">
        <v>2016</v>
      </c>
      <c r="B6" s="14" t="s">
        <v>1158</v>
      </c>
      <c r="C6" s="15">
        <v>1145625</v>
      </c>
      <c r="D6" s="16">
        <v>1.1370200000000001E-3</v>
      </c>
    </row>
    <row r="7" spans="1:4" x14ac:dyDescent="0.2">
      <c r="A7" s="1">
        <v>2016</v>
      </c>
      <c r="B7" s="14" t="s">
        <v>1159</v>
      </c>
      <c r="C7" s="15">
        <v>10785</v>
      </c>
      <c r="D7" s="16">
        <v>1.0699999999999999E-5</v>
      </c>
    </row>
    <row r="8" spans="1:4" x14ac:dyDescent="0.2">
      <c r="A8" s="1">
        <v>2016</v>
      </c>
      <c r="B8" s="14" t="s">
        <v>1160</v>
      </c>
      <c r="C8" s="15">
        <v>2372527</v>
      </c>
      <c r="D8" s="16">
        <v>2.3547099999999999E-3</v>
      </c>
    </row>
    <row r="9" spans="1:4" x14ac:dyDescent="0.2">
      <c r="A9" s="1">
        <v>2016</v>
      </c>
      <c r="B9" s="14" t="s">
        <v>1161</v>
      </c>
      <c r="C9" s="15">
        <v>1092803</v>
      </c>
      <c r="D9" s="16">
        <v>1.0846E-3</v>
      </c>
    </row>
    <row r="10" spans="1:4" x14ac:dyDescent="0.2">
      <c r="A10" s="1">
        <v>2016</v>
      </c>
      <c r="B10" s="14" t="s">
        <v>1162</v>
      </c>
      <c r="C10" s="15">
        <v>2708379</v>
      </c>
      <c r="D10" s="16">
        <v>2.68804E-3</v>
      </c>
    </row>
    <row r="11" spans="1:4" x14ac:dyDescent="0.2">
      <c r="A11" s="1">
        <v>2016</v>
      </c>
      <c r="B11" s="14" t="s">
        <v>1163</v>
      </c>
      <c r="C11" s="15">
        <v>770723</v>
      </c>
      <c r="D11" s="16">
        <v>7.6493999999999998E-4</v>
      </c>
    </row>
    <row r="12" spans="1:4" x14ac:dyDescent="0.2">
      <c r="A12" s="1">
        <v>2016</v>
      </c>
      <c r="B12" s="14" t="s">
        <v>1164</v>
      </c>
      <c r="C12" s="15">
        <v>4636447</v>
      </c>
      <c r="D12" s="16">
        <v>4.6016299999999998E-3</v>
      </c>
    </row>
    <row r="13" spans="1:4" x14ac:dyDescent="0.2">
      <c r="A13" s="1">
        <v>2016</v>
      </c>
      <c r="B13" s="14" t="s">
        <v>1165</v>
      </c>
      <c r="C13" s="15">
        <v>1069753</v>
      </c>
      <c r="D13" s="16">
        <v>1.0617199999999999E-3</v>
      </c>
    </row>
    <row r="14" spans="1:4" x14ac:dyDescent="0.2">
      <c r="A14" s="1">
        <v>2016</v>
      </c>
      <c r="B14" s="14" t="s">
        <v>1166</v>
      </c>
      <c r="C14" s="15">
        <v>340000</v>
      </c>
      <c r="D14" s="16">
        <v>3.3744999999999999E-4</v>
      </c>
    </row>
    <row r="15" spans="1:4" x14ac:dyDescent="0.2">
      <c r="A15" s="1">
        <v>2016</v>
      </c>
      <c r="B15" s="14" t="s">
        <v>1167</v>
      </c>
      <c r="C15" s="15">
        <v>691653</v>
      </c>
      <c r="D15" s="16">
        <v>6.8645999999999996E-4</v>
      </c>
    </row>
    <row r="16" spans="1:4" x14ac:dyDescent="0.2">
      <c r="A16" s="1">
        <v>2016</v>
      </c>
      <c r="B16" s="14" t="s">
        <v>1168</v>
      </c>
      <c r="C16" s="15">
        <v>1243538</v>
      </c>
      <c r="D16" s="16">
        <v>1.2342E-3</v>
      </c>
    </row>
    <row r="17" spans="1:4" x14ac:dyDescent="0.2">
      <c r="A17" s="1">
        <v>2016</v>
      </c>
      <c r="B17" s="14" t="s">
        <v>1169</v>
      </c>
      <c r="C17" s="15">
        <v>20895</v>
      </c>
      <c r="D17" s="16">
        <v>2.0740000000000001E-5</v>
      </c>
    </row>
    <row r="18" spans="1:4" x14ac:dyDescent="0.2">
      <c r="A18" s="1">
        <v>2016</v>
      </c>
      <c r="B18" s="14" t="s">
        <v>1170</v>
      </c>
      <c r="C18" s="15">
        <v>24589</v>
      </c>
      <c r="D18" s="16">
        <v>2.44E-5</v>
      </c>
    </row>
    <row r="19" spans="1:4" x14ac:dyDescent="0.2">
      <c r="A19" s="1">
        <v>2016</v>
      </c>
      <c r="B19" s="14" t="s">
        <v>1171</v>
      </c>
      <c r="C19" s="15">
        <v>167886</v>
      </c>
      <c r="D19" s="16">
        <v>1.6663E-4</v>
      </c>
    </row>
    <row r="20" spans="1:4" x14ac:dyDescent="0.2">
      <c r="A20" s="1">
        <v>2016</v>
      </c>
      <c r="B20" s="14" t="s">
        <v>1172</v>
      </c>
      <c r="C20" s="15">
        <v>18023</v>
      </c>
      <c r="D20" s="16">
        <v>1.789E-5</v>
      </c>
    </row>
    <row r="21" spans="1:4" x14ac:dyDescent="0.2">
      <c r="A21" s="1">
        <v>2016</v>
      </c>
      <c r="B21" s="14" t="s">
        <v>1173</v>
      </c>
      <c r="C21" s="15">
        <v>853068</v>
      </c>
      <c r="D21" s="16">
        <v>8.4665999999999995E-4</v>
      </c>
    </row>
    <row r="22" spans="1:4" x14ac:dyDescent="0.2">
      <c r="A22" s="1">
        <v>2016</v>
      </c>
      <c r="B22" s="14" t="s">
        <v>1174</v>
      </c>
      <c r="C22" s="15">
        <v>14425</v>
      </c>
      <c r="D22" s="16">
        <v>1.432E-5</v>
      </c>
    </row>
    <row r="23" spans="1:4" x14ac:dyDescent="0.2">
      <c r="A23" s="1">
        <v>2016</v>
      </c>
      <c r="B23" s="14" t="s">
        <v>1175</v>
      </c>
      <c r="C23" s="15">
        <v>11806</v>
      </c>
      <c r="D23" s="16">
        <v>1.172E-5</v>
      </c>
    </row>
    <row r="24" spans="1:4" x14ac:dyDescent="0.2">
      <c r="A24" s="1">
        <v>2016</v>
      </c>
      <c r="B24" s="14" t="s">
        <v>1176</v>
      </c>
      <c r="C24" s="15">
        <v>86972</v>
      </c>
      <c r="D24" s="16">
        <v>8.632E-5</v>
      </c>
    </row>
    <row r="25" spans="1:4" x14ac:dyDescent="0.2">
      <c r="A25" s="1">
        <v>2016</v>
      </c>
      <c r="B25" s="14" t="s">
        <v>1177</v>
      </c>
      <c r="C25" s="15">
        <v>41365</v>
      </c>
      <c r="D25" s="16">
        <v>4.1050000000000002E-5</v>
      </c>
    </row>
    <row r="26" spans="1:4" x14ac:dyDescent="0.2">
      <c r="A26" s="1">
        <v>2016</v>
      </c>
      <c r="B26" s="14" t="s">
        <v>1178</v>
      </c>
      <c r="C26" s="15">
        <v>1044670</v>
      </c>
      <c r="D26" s="16">
        <v>1.0368300000000001E-3</v>
      </c>
    </row>
    <row r="27" spans="1:4" x14ac:dyDescent="0.2">
      <c r="A27" s="1">
        <v>2016</v>
      </c>
      <c r="B27" s="14" t="s">
        <v>1179</v>
      </c>
      <c r="C27" s="15">
        <v>500043</v>
      </c>
      <c r="D27" s="16">
        <v>4.9629000000000003E-4</v>
      </c>
    </row>
    <row r="28" spans="1:4" x14ac:dyDescent="0.2">
      <c r="A28" s="1">
        <v>2016</v>
      </c>
      <c r="B28" s="14" t="s">
        <v>1180</v>
      </c>
      <c r="C28" s="15">
        <v>18166</v>
      </c>
      <c r="D28" s="16">
        <v>1.8029999999999998E-5</v>
      </c>
    </row>
    <row r="29" spans="1:4" x14ac:dyDescent="0.2">
      <c r="A29" s="1">
        <v>2016</v>
      </c>
      <c r="B29" s="14" t="s">
        <v>1181</v>
      </c>
      <c r="C29" s="15">
        <v>3053280</v>
      </c>
      <c r="D29" s="16">
        <v>3.0303499999999998E-3</v>
      </c>
    </row>
    <row r="30" spans="1:4" x14ac:dyDescent="0.2">
      <c r="A30" s="1">
        <v>2016</v>
      </c>
      <c r="B30" s="14" t="s">
        <v>1182</v>
      </c>
      <c r="C30" s="15">
        <v>186247</v>
      </c>
      <c r="D30" s="16">
        <v>1.8484999999999999E-4</v>
      </c>
    </row>
    <row r="31" spans="1:4" x14ac:dyDescent="0.2">
      <c r="A31" s="1">
        <v>2016</v>
      </c>
      <c r="B31" s="14" t="s">
        <v>1183</v>
      </c>
      <c r="C31" s="15">
        <v>11873</v>
      </c>
      <c r="D31" s="16">
        <v>1.1780000000000001E-5</v>
      </c>
    </row>
    <row r="32" spans="1:4" x14ac:dyDescent="0.2">
      <c r="A32" s="1">
        <v>2016</v>
      </c>
      <c r="B32" s="14" t="s">
        <v>1184</v>
      </c>
      <c r="C32" s="15">
        <v>724461</v>
      </c>
      <c r="D32" s="16">
        <v>7.1902000000000001E-4</v>
      </c>
    </row>
    <row r="33" spans="1:4" x14ac:dyDescent="0.2">
      <c r="A33" s="1">
        <v>2016</v>
      </c>
      <c r="B33" s="14" t="s">
        <v>1185</v>
      </c>
      <c r="C33" s="15">
        <v>681410</v>
      </c>
      <c r="D33" s="16">
        <v>6.7628999999999996E-4</v>
      </c>
    </row>
    <row r="34" spans="1:4" x14ac:dyDescent="0.2">
      <c r="A34" s="1">
        <v>2016</v>
      </c>
      <c r="B34" s="14" t="s">
        <v>1186</v>
      </c>
      <c r="C34" s="15">
        <v>14297</v>
      </c>
      <c r="D34" s="16">
        <v>1.419E-5</v>
      </c>
    </row>
    <row r="35" spans="1:4" x14ac:dyDescent="0.2">
      <c r="A35" s="1">
        <v>2016</v>
      </c>
      <c r="B35" s="14" t="s">
        <v>1187</v>
      </c>
      <c r="C35" s="15">
        <v>22183</v>
      </c>
      <c r="D35" s="16">
        <v>2.2019999999999999E-5</v>
      </c>
    </row>
    <row r="36" spans="1:4" x14ac:dyDescent="0.2">
      <c r="A36" s="1">
        <v>2016</v>
      </c>
      <c r="B36" s="14" t="s">
        <v>1188</v>
      </c>
      <c r="C36" s="15">
        <v>963530</v>
      </c>
      <c r="D36" s="16">
        <v>9.5629999999999999E-4</v>
      </c>
    </row>
    <row r="37" spans="1:4" x14ac:dyDescent="0.2">
      <c r="A37" s="1">
        <v>2016</v>
      </c>
      <c r="B37" s="14" t="s">
        <v>1189</v>
      </c>
      <c r="C37" s="15">
        <v>177716</v>
      </c>
      <c r="D37" s="16">
        <v>1.7637999999999999E-4</v>
      </c>
    </row>
    <row r="38" spans="1:4" x14ac:dyDescent="0.2">
      <c r="A38" s="1">
        <v>2016</v>
      </c>
      <c r="B38" s="14" t="s">
        <v>1190</v>
      </c>
      <c r="C38" s="15">
        <v>618526</v>
      </c>
      <c r="D38" s="16">
        <v>6.1388000000000002E-4</v>
      </c>
    </row>
    <row r="39" spans="1:4" x14ac:dyDescent="0.2">
      <c r="A39" s="1">
        <v>2016</v>
      </c>
      <c r="B39" s="14" t="s">
        <v>2020</v>
      </c>
      <c r="C39" s="15">
        <v>1651368</v>
      </c>
      <c r="D39" s="16">
        <v>1.63897E-3</v>
      </c>
    </row>
    <row r="40" spans="1:4" x14ac:dyDescent="0.2">
      <c r="A40" s="1">
        <v>2016</v>
      </c>
      <c r="B40" s="17" t="s">
        <v>1192</v>
      </c>
      <c r="C40" s="18">
        <v>35815</v>
      </c>
      <c r="D40" s="19">
        <v>3.5549999999999997E-5</v>
      </c>
    </row>
    <row r="41" spans="1:4" x14ac:dyDescent="0.2">
      <c r="A41" s="1">
        <v>2016</v>
      </c>
      <c r="B41" s="17" t="s">
        <v>1193</v>
      </c>
      <c r="C41" s="18">
        <v>17620</v>
      </c>
      <c r="D41" s="19">
        <v>1.749E-5</v>
      </c>
    </row>
    <row r="42" spans="1:4" x14ac:dyDescent="0.2">
      <c r="A42" s="1">
        <v>2016</v>
      </c>
      <c r="B42" s="17" t="s">
        <v>1194</v>
      </c>
      <c r="C42" s="18">
        <v>30527</v>
      </c>
      <c r="D42" s="19">
        <v>3.0300000000000001E-5</v>
      </c>
    </row>
    <row r="43" spans="1:4" x14ac:dyDescent="0.2">
      <c r="A43" s="1">
        <v>2016</v>
      </c>
      <c r="B43" s="17" t="s">
        <v>1195</v>
      </c>
      <c r="C43" s="18">
        <v>116377</v>
      </c>
      <c r="D43" s="19">
        <v>1.155E-4</v>
      </c>
    </row>
    <row r="44" spans="1:4" x14ac:dyDescent="0.2">
      <c r="A44" s="1">
        <v>2016</v>
      </c>
      <c r="B44" s="17" t="s">
        <v>1196</v>
      </c>
      <c r="C44" s="18">
        <v>178208</v>
      </c>
      <c r="D44" s="19">
        <v>1.7687000000000001E-4</v>
      </c>
    </row>
    <row r="45" spans="1:4" x14ac:dyDescent="0.2">
      <c r="A45" s="1">
        <v>2016</v>
      </c>
      <c r="B45" s="17" t="s">
        <v>1197</v>
      </c>
      <c r="C45" s="18">
        <v>8824</v>
      </c>
      <c r="D45" s="19">
        <v>8.7600000000000008E-6</v>
      </c>
    </row>
    <row r="46" spans="1:4" x14ac:dyDescent="0.2">
      <c r="A46" s="1">
        <v>2016</v>
      </c>
      <c r="B46" s="17" t="s">
        <v>1198</v>
      </c>
      <c r="C46" s="18">
        <v>1009924</v>
      </c>
      <c r="D46" s="19">
        <v>1.00234E-3</v>
      </c>
    </row>
    <row r="47" spans="1:4" x14ac:dyDescent="0.2">
      <c r="A47" s="1">
        <v>2016</v>
      </c>
      <c r="B47" s="17" t="s">
        <v>1199</v>
      </c>
      <c r="C47" s="18">
        <v>256632</v>
      </c>
      <c r="D47" s="19">
        <v>2.5471000000000001E-4</v>
      </c>
    </row>
    <row r="48" spans="1:4" x14ac:dyDescent="0.2">
      <c r="A48" s="1">
        <v>2016</v>
      </c>
      <c r="B48" s="17" t="s">
        <v>1200</v>
      </c>
      <c r="C48" s="18">
        <v>11660</v>
      </c>
      <c r="D48" s="19">
        <v>1.1569999999999999E-5</v>
      </c>
    </row>
    <row r="49" spans="1:4" x14ac:dyDescent="0.2">
      <c r="A49" s="1">
        <v>2016</v>
      </c>
      <c r="B49" s="17" t="s">
        <v>1201</v>
      </c>
      <c r="C49" s="18">
        <v>18423</v>
      </c>
      <c r="D49" s="19">
        <v>1.8280000000000001E-5</v>
      </c>
    </row>
    <row r="50" spans="1:4" x14ac:dyDescent="0.2">
      <c r="A50" s="1">
        <v>2016</v>
      </c>
      <c r="B50" s="17" t="s">
        <v>1202</v>
      </c>
      <c r="C50" s="18">
        <v>4349855</v>
      </c>
      <c r="D50" s="19">
        <v>4.3171900000000003E-3</v>
      </c>
    </row>
    <row r="51" spans="1:4" x14ac:dyDescent="0.2">
      <c r="A51" s="1">
        <v>2016</v>
      </c>
      <c r="B51" s="17" t="s">
        <v>1203</v>
      </c>
      <c r="C51" s="18">
        <v>307956</v>
      </c>
      <c r="D51" s="19">
        <v>3.0563999999999998E-4</v>
      </c>
    </row>
    <row r="52" spans="1:4" x14ac:dyDescent="0.2">
      <c r="A52" s="1">
        <v>2016</v>
      </c>
      <c r="B52" s="17" t="s">
        <v>1204</v>
      </c>
      <c r="C52" s="18">
        <v>4760960</v>
      </c>
      <c r="D52" s="19">
        <v>4.7252099999999997E-3</v>
      </c>
    </row>
    <row r="53" spans="1:4" x14ac:dyDescent="0.2">
      <c r="A53" s="1">
        <v>2016</v>
      </c>
      <c r="B53" s="17" t="s">
        <v>1206</v>
      </c>
      <c r="C53" s="18">
        <v>11371</v>
      </c>
      <c r="D53" s="19">
        <v>1.129E-5</v>
      </c>
    </row>
    <row r="54" spans="1:4" x14ac:dyDescent="0.2">
      <c r="A54" s="1">
        <v>2016</v>
      </c>
      <c r="B54" s="17" t="s">
        <v>1208</v>
      </c>
      <c r="C54" s="18">
        <v>54512</v>
      </c>
      <c r="D54" s="19">
        <v>5.41E-5</v>
      </c>
    </row>
    <row r="55" spans="1:4" x14ac:dyDescent="0.2">
      <c r="A55" s="1">
        <v>2016</v>
      </c>
      <c r="B55" s="17" t="s">
        <v>1209</v>
      </c>
      <c r="C55" s="18">
        <v>55075</v>
      </c>
      <c r="D55" s="19">
        <v>5.4660000000000002E-5</v>
      </c>
    </row>
    <row r="56" spans="1:4" x14ac:dyDescent="0.2">
      <c r="A56" s="1">
        <v>2016</v>
      </c>
      <c r="B56" s="17" t="s">
        <v>1210</v>
      </c>
      <c r="C56" s="18">
        <v>1178919</v>
      </c>
      <c r="D56" s="19">
        <v>1.1700700000000001E-3</v>
      </c>
    </row>
    <row r="57" spans="1:4" x14ac:dyDescent="0.2">
      <c r="A57" s="1">
        <v>2016</v>
      </c>
      <c r="B57" s="17" t="s">
        <v>1211</v>
      </c>
      <c r="C57" s="18">
        <v>4003</v>
      </c>
      <c r="D57" s="19">
        <v>3.9700000000000001E-6</v>
      </c>
    </row>
    <row r="58" spans="1:4" x14ac:dyDescent="0.2">
      <c r="A58" s="1">
        <v>2016</v>
      </c>
      <c r="B58" s="17" t="s">
        <v>1212</v>
      </c>
      <c r="C58" s="18">
        <v>43362</v>
      </c>
      <c r="D58" s="19">
        <v>4.3040000000000001E-5</v>
      </c>
    </row>
    <row r="59" spans="1:4" x14ac:dyDescent="0.2">
      <c r="A59" s="1">
        <v>2016</v>
      </c>
      <c r="B59" s="17" t="s">
        <v>1213</v>
      </c>
      <c r="C59" s="18">
        <v>438060</v>
      </c>
      <c r="D59" s="19">
        <v>4.3477000000000001E-4</v>
      </c>
    </row>
    <row r="60" spans="1:4" x14ac:dyDescent="0.2">
      <c r="A60" s="1">
        <v>2016</v>
      </c>
      <c r="B60" s="17" t="s">
        <v>1214</v>
      </c>
      <c r="C60" s="18">
        <v>137541</v>
      </c>
      <c r="D60" s="19">
        <v>1.3651000000000001E-4</v>
      </c>
    </row>
    <row r="61" spans="1:4" x14ac:dyDescent="0.2">
      <c r="A61" s="1">
        <v>2016</v>
      </c>
      <c r="B61" s="17" t="s">
        <v>1215</v>
      </c>
      <c r="C61" s="18">
        <v>42645</v>
      </c>
      <c r="D61" s="19">
        <v>4.2320000000000001E-5</v>
      </c>
    </row>
    <row r="62" spans="1:4" x14ac:dyDescent="0.2">
      <c r="A62" s="1">
        <v>2016</v>
      </c>
      <c r="B62" s="17" t="s">
        <v>1216</v>
      </c>
      <c r="C62" s="18">
        <v>1011609</v>
      </c>
      <c r="D62" s="19">
        <v>1.0040100000000001E-3</v>
      </c>
    </row>
    <row r="63" spans="1:4" x14ac:dyDescent="0.2">
      <c r="A63" s="1">
        <v>2016</v>
      </c>
      <c r="B63" s="17" t="s">
        <v>1217</v>
      </c>
      <c r="C63" s="18">
        <v>2428129</v>
      </c>
      <c r="D63" s="19">
        <v>2.4099E-3</v>
      </c>
    </row>
    <row r="64" spans="1:4" x14ac:dyDescent="0.2">
      <c r="A64" s="1">
        <v>2016</v>
      </c>
      <c r="B64" s="17" t="s">
        <v>1218</v>
      </c>
      <c r="C64" s="18">
        <v>23591</v>
      </c>
      <c r="D64" s="19">
        <v>2.3410000000000001E-5</v>
      </c>
    </row>
    <row r="65" spans="1:4" x14ac:dyDescent="0.2">
      <c r="A65" s="1">
        <v>2016</v>
      </c>
      <c r="B65" s="17" t="s">
        <v>1219</v>
      </c>
      <c r="C65" s="18">
        <v>999693</v>
      </c>
      <c r="D65" s="19">
        <v>9.9219E-4</v>
      </c>
    </row>
    <row r="66" spans="1:4" x14ac:dyDescent="0.2">
      <c r="A66" s="1">
        <v>2016</v>
      </c>
      <c r="B66" s="17" t="s">
        <v>2021</v>
      </c>
      <c r="C66" s="18">
        <v>794765</v>
      </c>
      <c r="D66" s="19">
        <v>7.8879999999999998E-4</v>
      </c>
    </row>
    <row r="67" spans="1:4" x14ac:dyDescent="0.2">
      <c r="A67" s="1">
        <v>2016</v>
      </c>
      <c r="B67" s="17" t="s">
        <v>1221</v>
      </c>
      <c r="C67" s="18">
        <v>2506880</v>
      </c>
      <c r="D67" s="19">
        <v>2.4880599999999998E-3</v>
      </c>
    </row>
    <row r="68" spans="1:4" x14ac:dyDescent="0.2">
      <c r="A68" s="1">
        <v>2016</v>
      </c>
      <c r="B68" s="17" t="s">
        <v>2022</v>
      </c>
      <c r="C68" s="18">
        <v>50090</v>
      </c>
      <c r="D68" s="19">
        <v>4.9709999999999997E-5</v>
      </c>
    </row>
    <row r="69" spans="1:4" x14ac:dyDescent="0.2">
      <c r="A69" s="1">
        <v>2016</v>
      </c>
      <c r="B69" s="17" t="s">
        <v>1223</v>
      </c>
      <c r="C69" s="18">
        <v>48281</v>
      </c>
      <c r="D69" s="19">
        <v>4.7920000000000002E-5</v>
      </c>
    </row>
    <row r="70" spans="1:4" x14ac:dyDescent="0.2">
      <c r="A70" s="1">
        <v>2016</v>
      </c>
      <c r="B70" s="17" t="s">
        <v>1224</v>
      </c>
      <c r="C70" s="18">
        <v>94650</v>
      </c>
      <c r="D70" s="19">
        <v>9.3939999999999998E-5</v>
      </c>
    </row>
    <row r="71" spans="1:4" x14ac:dyDescent="0.2">
      <c r="A71" s="1">
        <v>2016</v>
      </c>
      <c r="B71" s="17" t="s">
        <v>1225</v>
      </c>
      <c r="C71" s="18">
        <v>43495</v>
      </c>
      <c r="D71" s="19">
        <v>4.3170000000000002E-5</v>
      </c>
    </row>
    <row r="72" spans="1:4" x14ac:dyDescent="0.2">
      <c r="A72" s="1">
        <v>2016</v>
      </c>
      <c r="B72" s="17" t="s">
        <v>1226</v>
      </c>
      <c r="C72" s="18">
        <v>1365781</v>
      </c>
      <c r="D72" s="19">
        <v>1.35553E-3</v>
      </c>
    </row>
    <row r="73" spans="1:4" x14ac:dyDescent="0.2">
      <c r="A73" s="1">
        <v>2016</v>
      </c>
      <c r="B73" s="17" t="s">
        <v>1227</v>
      </c>
      <c r="C73" s="18">
        <v>25297</v>
      </c>
      <c r="D73" s="19">
        <v>2.5109999999999998E-5</v>
      </c>
    </row>
    <row r="74" spans="1:4" x14ac:dyDescent="0.2">
      <c r="A74" s="1">
        <v>2016</v>
      </c>
      <c r="B74" s="17" t="s">
        <v>1228</v>
      </c>
      <c r="C74" s="18">
        <v>162987</v>
      </c>
      <c r="D74" s="19">
        <v>1.6176E-4</v>
      </c>
    </row>
    <row r="75" spans="1:4" x14ac:dyDescent="0.2">
      <c r="A75" s="1">
        <v>2016</v>
      </c>
      <c r="B75" s="17" t="s">
        <v>1229</v>
      </c>
      <c r="C75" s="18">
        <v>53409</v>
      </c>
      <c r="D75" s="19">
        <v>5.3010000000000002E-5</v>
      </c>
    </row>
    <row r="76" spans="1:4" x14ac:dyDescent="0.2">
      <c r="A76" s="1">
        <v>2016</v>
      </c>
      <c r="B76" s="17" t="s">
        <v>1230</v>
      </c>
      <c r="C76" s="18">
        <v>51036</v>
      </c>
      <c r="D76" s="19">
        <v>5.0649999999999998E-5</v>
      </c>
    </row>
    <row r="77" spans="1:4" x14ac:dyDescent="0.2">
      <c r="A77" s="1">
        <v>2016</v>
      </c>
      <c r="B77" s="17" t="s">
        <v>2023</v>
      </c>
      <c r="C77" s="18">
        <v>66011</v>
      </c>
      <c r="D77" s="19">
        <v>6.5519999999999996E-5</v>
      </c>
    </row>
    <row r="78" spans="1:4" x14ac:dyDescent="0.2">
      <c r="A78" s="1">
        <v>2016</v>
      </c>
      <c r="B78" s="17" t="s">
        <v>1232</v>
      </c>
      <c r="C78" s="18">
        <v>1868590</v>
      </c>
      <c r="D78" s="19">
        <v>1.8545600000000001E-3</v>
      </c>
    </row>
    <row r="79" spans="1:4" x14ac:dyDescent="0.2">
      <c r="A79" s="1">
        <v>2016</v>
      </c>
      <c r="B79" s="17" t="s">
        <v>1233</v>
      </c>
      <c r="C79" s="18">
        <v>345417</v>
      </c>
      <c r="D79" s="19">
        <v>3.4281999999999997E-4</v>
      </c>
    </row>
    <row r="80" spans="1:4" x14ac:dyDescent="0.2">
      <c r="A80" s="1">
        <v>2016</v>
      </c>
      <c r="B80" s="17" t="s">
        <v>1234</v>
      </c>
      <c r="C80" s="18">
        <v>2099</v>
      </c>
      <c r="D80" s="19">
        <v>2.08E-6</v>
      </c>
    </row>
    <row r="81" spans="1:4" x14ac:dyDescent="0.2">
      <c r="A81" s="1">
        <v>2016</v>
      </c>
      <c r="B81" s="17" t="s">
        <v>1235</v>
      </c>
      <c r="C81" s="18">
        <v>722809</v>
      </c>
      <c r="D81" s="19">
        <v>7.1737999999999999E-4</v>
      </c>
    </row>
    <row r="82" spans="1:4" x14ac:dyDescent="0.2">
      <c r="A82" s="1">
        <v>2016</v>
      </c>
      <c r="B82" s="17" t="s">
        <v>1236</v>
      </c>
      <c r="C82" s="18">
        <v>14102</v>
      </c>
      <c r="D82" s="19">
        <v>1.4E-5</v>
      </c>
    </row>
    <row r="83" spans="1:4" x14ac:dyDescent="0.2">
      <c r="A83" s="1">
        <v>2016</v>
      </c>
      <c r="B83" s="17" t="s">
        <v>1237</v>
      </c>
      <c r="C83" s="18">
        <v>45293</v>
      </c>
      <c r="D83" s="19">
        <v>4.4950000000000002E-5</v>
      </c>
    </row>
    <row r="84" spans="1:4" x14ac:dyDescent="0.2">
      <c r="A84" s="1">
        <v>2016</v>
      </c>
      <c r="B84" s="17" t="s">
        <v>1238</v>
      </c>
      <c r="C84" s="18">
        <v>2563124</v>
      </c>
      <c r="D84" s="19">
        <v>2.5438800000000001E-3</v>
      </c>
    </row>
    <row r="85" spans="1:4" x14ac:dyDescent="0.2">
      <c r="A85" s="1">
        <v>2016</v>
      </c>
      <c r="B85" s="17" t="s">
        <v>1239</v>
      </c>
      <c r="C85" s="18">
        <v>491096</v>
      </c>
      <c r="D85" s="19">
        <v>4.8741000000000002E-4</v>
      </c>
    </row>
    <row r="86" spans="1:4" x14ac:dyDescent="0.2">
      <c r="A86" s="1">
        <v>2016</v>
      </c>
      <c r="B86" s="17" t="s">
        <v>1240</v>
      </c>
      <c r="C86" s="18">
        <v>22432</v>
      </c>
      <c r="D86" s="19">
        <v>2.226E-5</v>
      </c>
    </row>
    <row r="87" spans="1:4" x14ac:dyDescent="0.2">
      <c r="A87" s="1">
        <v>2016</v>
      </c>
      <c r="B87" s="17" t="s">
        <v>1241</v>
      </c>
      <c r="C87" s="18">
        <v>40049</v>
      </c>
      <c r="D87" s="19">
        <v>3.9749999999999997E-5</v>
      </c>
    </row>
    <row r="88" spans="1:4" x14ac:dyDescent="0.2">
      <c r="A88" s="1">
        <v>2016</v>
      </c>
      <c r="B88" s="17" t="s">
        <v>1242</v>
      </c>
      <c r="C88" s="18">
        <v>839508</v>
      </c>
      <c r="D88" s="19">
        <v>8.3319999999999998E-4</v>
      </c>
    </row>
    <row r="89" spans="1:4" x14ac:dyDescent="0.2">
      <c r="A89" s="1">
        <v>2016</v>
      </c>
      <c r="B89" s="17" t="s">
        <v>1243</v>
      </c>
      <c r="C89" s="18">
        <v>509107</v>
      </c>
      <c r="D89" s="19">
        <v>5.0527999999999999E-4</v>
      </c>
    </row>
    <row r="90" spans="1:4" x14ac:dyDescent="0.2">
      <c r="A90" s="1">
        <v>2016</v>
      </c>
      <c r="B90" s="17" t="s">
        <v>1244</v>
      </c>
      <c r="C90" s="18">
        <v>8425</v>
      </c>
      <c r="D90" s="19">
        <v>8.3599999999999996E-6</v>
      </c>
    </row>
    <row r="91" spans="1:4" x14ac:dyDescent="0.2">
      <c r="A91" s="1">
        <v>2016</v>
      </c>
      <c r="B91" s="17" t="s">
        <v>1245</v>
      </c>
      <c r="C91" s="18">
        <v>273923</v>
      </c>
      <c r="D91" s="19">
        <v>2.7187000000000001E-4</v>
      </c>
    </row>
    <row r="92" spans="1:4" x14ac:dyDescent="0.2">
      <c r="A92" s="1">
        <v>2016</v>
      </c>
      <c r="B92" s="17" t="s">
        <v>2024</v>
      </c>
      <c r="C92" s="18">
        <v>6615</v>
      </c>
      <c r="D92" s="19">
        <v>6.5699999999999998E-6</v>
      </c>
    </row>
    <row r="93" spans="1:4" x14ac:dyDescent="0.2">
      <c r="A93" s="1">
        <v>2016</v>
      </c>
      <c r="B93" s="17" t="s">
        <v>1247</v>
      </c>
      <c r="C93" s="18">
        <v>244841</v>
      </c>
      <c r="D93" s="19">
        <v>2.43E-4</v>
      </c>
    </row>
    <row r="94" spans="1:4" x14ac:dyDescent="0.2">
      <c r="A94" s="1">
        <v>2016</v>
      </c>
      <c r="B94" s="17" t="s">
        <v>1248</v>
      </c>
      <c r="C94" s="18">
        <v>564302</v>
      </c>
      <c r="D94" s="19">
        <v>5.6006000000000003E-4</v>
      </c>
    </row>
    <row r="95" spans="1:4" x14ac:dyDescent="0.2">
      <c r="A95" s="1">
        <v>2016</v>
      </c>
      <c r="B95" s="17" t="s">
        <v>1249</v>
      </c>
      <c r="C95" s="18">
        <v>80970</v>
      </c>
      <c r="D95" s="19">
        <v>8.0359999999999996E-5</v>
      </c>
    </row>
    <row r="96" spans="1:4" x14ac:dyDescent="0.2">
      <c r="A96" s="1">
        <v>2016</v>
      </c>
      <c r="B96" s="17" t="s">
        <v>1250</v>
      </c>
      <c r="C96" s="18">
        <v>101916</v>
      </c>
      <c r="D96" s="19">
        <v>1.0115000000000001E-4</v>
      </c>
    </row>
    <row r="97" spans="1:4" x14ac:dyDescent="0.2">
      <c r="A97" s="1">
        <v>2016</v>
      </c>
      <c r="B97" s="17" t="s">
        <v>1251</v>
      </c>
      <c r="C97" s="18">
        <v>354904</v>
      </c>
      <c r="D97" s="19">
        <v>3.5223999999999997E-4</v>
      </c>
    </row>
    <row r="98" spans="1:4" x14ac:dyDescent="0.2">
      <c r="A98" s="1">
        <v>2016</v>
      </c>
      <c r="B98" s="17" t="s">
        <v>1252</v>
      </c>
      <c r="C98" s="18">
        <v>609645</v>
      </c>
      <c r="D98" s="19">
        <v>6.0506999999999998E-4</v>
      </c>
    </row>
    <row r="99" spans="1:4" x14ac:dyDescent="0.2">
      <c r="A99" s="1">
        <v>2016</v>
      </c>
      <c r="B99" s="17" t="s">
        <v>1253</v>
      </c>
      <c r="C99" s="18">
        <v>78862</v>
      </c>
      <c r="D99" s="19">
        <v>7.8269999999999994E-5</v>
      </c>
    </row>
    <row r="100" spans="1:4" x14ac:dyDescent="0.2">
      <c r="A100" s="1">
        <v>2016</v>
      </c>
      <c r="B100" s="17" t="s">
        <v>1254</v>
      </c>
      <c r="C100" s="18">
        <v>1385045</v>
      </c>
      <c r="D100" s="19">
        <v>1.37465E-3</v>
      </c>
    </row>
    <row r="101" spans="1:4" x14ac:dyDescent="0.2">
      <c r="A101" s="1">
        <v>2016</v>
      </c>
      <c r="B101" s="17" t="s">
        <v>1255</v>
      </c>
      <c r="C101" s="18">
        <v>325666</v>
      </c>
      <c r="D101" s="19">
        <v>3.2321999999999999E-4</v>
      </c>
    </row>
    <row r="102" spans="1:4" x14ac:dyDescent="0.2">
      <c r="A102" s="1">
        <v>2016</v>
      </c>
      <c r="B102" s="17" t="s">
        <v>1256</v>
      </c>
      <c r="C102" s="18">
        <v>12728</v>
      </c>
      <c r="D102" s="19">
        <v>1.2629999999999999E-5</v>
      </c>
    </row>
    <row r="103" spans="1:4" x14ac:dyDescent="0.2">
      <c r="A103" s="1">
        <v>2016</v>
      </c>
      <c r="B103" s="17" t="s">
        <v>1257</v>
      </c>
      <c r="C103" s="18">
        <v>462955</v>
      </c>
      <c r="D103" s="19">
        <v>4.5948000000000001E-4</v>
      </c>
    </row>
    <row r="104" spans="1:4" x14ac:dyDescent="0.2">
      <c r="A104" s="1">
        <v>2016</v>
      </c>
      <c r="B104" s="17" t="s">
        <v>1258</v>
      </c>
      <c r="C104" s="18">
        <v>1792550</v>
      </c>
      <c r="D104" s="19">
        <v>1.7790900000000001E-3</v>
      </c>
    </row>
    <row r="105" spans="1:4" x14ac:dyDescent="0.2">
      <c r="A105" s="1">
        <v>2016</v>
      </c>
      <c r="B105" s="17" t="s">
        <v>1260</v>
      </c>
      <c r="C105" s="18">
        <v>106941</v>
      </c>
      <c r="D105" s="19">
        <v>1.0614E-4</v>
      </c>
    </row>
    <row r="106" spans="1:4" x14ac:dyDescent="0.2">
      <c r="A106" s="1">
        <v>2016</v>
      </c>
      <c r="B106" s="17" t="s">
        <v>1261</v>
      </c>
      <c r="C106" s="18">
        <v>1350102</v>
      </c>
      <c r="D106" s="19">
        <v>1.3399600000000001E-3</v>
      </c>
    </row>
    <row r="107" spans="1:4" x14ac:dyDescent="0.2">
      <c r="A107" s="1">
        <v>2016</v>
      </c>
      <c r="B107" s="17" t="s">
        <v>1262</v>
      </c>
      <c r="C107" s="18">
        <v>507090</v>
      </c>
      <c r="D107" s="19">
        <v>5.0328000000000005E-4</v>
      </c>
    </row>
    <row r="108" spans="1:4" x14ac:dyDescent="0.2">
      <c r="A108" s="1">
        <v>2016</v>
      </c>
      <c r="B108" s="17" t="s">
        <v>1263</v>
      </c>
      <c r="C108" s="18">
        <v>668005</v>
      </c>
      <c r="D108" s="19">
        <v>6.6299000000000002E-4</v>
      </c>
    </row>
    <row r="109" spans="1:4" x14ac:dyDescent="0.2">
      <c r="A109" s="1">
        <v>2016</v>
      </c>
      <c r="B109" s="17" t="s">
        <v>1264</v>
      </c>
      <c r="C109" s="18">
        <v>67636</v>
      </c>
      <c r="D109" s="19">
        <v>6.7130000000000003E-5</v>
      </c>
    </row>
    <row r="110" spans="1:4" x14ac:dyDescent="0.2">
      <c r="A110" s="1">
        <v>2016</v>
      </c>
      <c r="B110" s="17" t="s">
        <v>1265</v>
      </c>
      <c r="C110" s="18">
        <v>587779</v>
      </c>
      <c r="D110" s="19">
        <v>5.8337000000000005E-4</v>
      </c>
    </row>
    <row r="111" spans="1:4" x14ac:dyDescent="0.2">
      <c r="A111" s="1">
        <v>2016</v>
      </c>
      <c r="B111" s="17" t="s">
        <v>1266</v>
      </c>
      <c r="C111" s="18">
        <v>840779</v>
      </c>
      <c r="D111" s="19">
        <v>8.3447000000000003E-4</v>
      </c>
    </row>
    <row r="112" spans="1:4" x14ac:dyDescent="0.2">
      <c r="A112" s="1">
        <v>2016</v>
      </c>
      <c r="B112" s="17" t="s">
        <v>1267</v>
      </c>
      <c r="C112" s="18">
        <v>66474</v>
      </c>
      <c r="D112" s="19">
        <v>6.5969999999999993E-5</v>
      </c>
    </row>
    <row r="113" spans="1:4" x14ac:dyDescent="0.2">
      <c r="A113" s="1">
        <v>2016</v>
      </c>
      <c r="B113" s="17" t="s">
        <v>1268</v>
      </c>
      <c r="C113" s="18">
        <v>2487571</v>
      </c>
      <c r="D113" s="19">
        <v>2.4688900000000001E-3</v>
      </c>
    </row>
    <row r="114" spans="1:4" x14ac:dyDescent="0.2">
      <c r="A114" s="1">
        <v>2016</v>
      </c>
      <c r="B114" s="17" t="s">
        <v>1269</v>
      </c>
      <c r="C114" s="18">
        <v>25647</v>
      </c>
      <c r="D114" s="19">
        <v>2.5449999999999999E-5</v>
      </c>
    </row>
    <row r="115" spans="1:4" x14ac:dyDescent="0.2">
      <c r="A115" s="1">
        <v>2016</v>
      </c>
      <c r="B115" s="17" t="s">
        <v>1270</v>
      </c>
      <c r="C115" s="18">
        <v>613539</v>
      </c>
      <c r="D115" s="19">
        <v>6.0893000000000004E-4</v>
      </c>
    </row>
    <row r="116" spans="1:4" x14ac:dyDescent="0.2">
      <c r="A116" s="1">
        <v>2016</v>
      </c>
      <c r="B116" s="20" t="s">
        <v>1271</v>
      </c>
      <c r="C116" s="21">
        <v>494699</v>
      </c>
      <c r="D116" s="22">
        <v>4.9098000000000002E-4</v>
      </c>
    </row>
    <row r="117" spans="1:4" x14ac:dyDescent="0.2">
      <c r="A117" s="1">
        <v>2016</v>
      </c>
      <c r="B117" s="20" t="s">
        <v>2025</v>
      </c>
      <c r="C117" s="23">
        <v>26236</v>
      </c>
      <c r="D117" s="22">
        <v>2.6040000000000001E-5</v>
      </c>
    </row>
    <row r="118" spans="1:4" x14ac:dyDescent="0.2">
      <c r="A118" s="1">
        <v>2016</v>
      </c>
      <c r="B118" s="20" t="s">
        <v>1273</v>
      </c>
      <c r="C118" s="23">
        <v>732699</v>
      </c>
      <c r="D118" s="22">
        <v>7.272E-4</v>
      </c>
    </row>
    <row r="119" spans="1:4" x14ac:dyDescent="0.2">
      <c r="A119" s="1">
        <v>2016</v>
      </c>
      <c r="B119" s="20" t="s">
        <v>1274</v>
      </c>
      <c r="C119" s="23">
        <v>2888150</v>
      </c>
      <c r="D119" s="22">
        <v>2.8664599999999999E-3</v>
      </c>
    </row>
    <row r="120" spans="1:4" x14ac:dyDescent="0.2">
      <c r="A120" s="1">
        <v>2016</v>
      </c>
      <c r="B120" s="20" t="s">
        <v>1275</v>
      </c>
      <c r="C120" s="23">
        <v>1187622</v>
      </c>
      <c r="D120" s="22">
        <v>1.1787E-3</v>
      </c>
    </row>
    <row r="121" spans="1:4" x14ac:dyDescent="0.2">
      <c r="A121" s="1">
        <v>2016</v>
      </c>
      <c r="B121" s="20" t="s">
        <v>1276</v>
      </c>
      <c r="C121" s="23">
        <v>3563916</v>
      </c>
      <c r="D121" s="22">
        <v>3.5371600000000001E-3</v>
      </c>
    </row>
    <row r="122" spans="1:4" x14ac:dyDescent="0.2">
      <c r="A122" s="1">
        <v>2016</v>
      </c>
      <c r="B122" s="20" t="s">
        <v>1277</v>
      </c>
      <c r="C122" s="23">
        <v>1424783</v>
      </c>
      <c r="D122" s="22">
        <v>1.4140800000000001E-3</v>
      </c>
    </row>
    <row r="123" spans="1:4" x14ac:dyDescent="0.2">
      <c r="A123" s="1">
        <v>2016</v>
      </c>
      <c r="B123" s="20" t="s">
        <v>1278</v>
      </c>
      <c r="C123" s="23">
        <v>800281</v>
      </c>
      <c r="D123" s="22">
        <v>7.9427000000000002E-4</v>
      </c>
    </row>
    <row r="124" spans="1:4" x14ac:dyDescent="0.2">
      <c r="A124" s="1">
        <v>2016</v>
      </c>
      <c r="B124" s="20" t="s">
        <v>1279</v>
      </c>
      <c r="C124" s="23">
        <v>4537</v>
      </c>
      <c r="D124" s="22">
        <v>4.5000000000000001E-6</v>
      </c>
    </row>
    <row r="125" spans="1:4" x14ac:dyDescent="0.2">
      <c r="A125" s="1">
        <v>2016</v>
      </c>
      <c r="B125" s="20" t="s">
        <v>1280</v>
      </c>
      <c r="C125" s="23">
        <v>2012389</v>
      </c>
      <c r="D125" s="22">
        <v>1.9972800000000001E-3</v>
      </c>
    </row>
    <row r="126" spans="1:4" x14ac:dyDescent="0.2">
      <c r="A126" s="1">
        <v>2016</v>
      </c>
      <c r="B126" s="20" t="s">
        <v>1281</v>
      </c>
      <c r="C126" s="23">
        <v>192595</v>
      </c>
      <c r="D126" s="22">
        <v>1.9115000000000001E-4</v>
      </c>
    </row>
    <row r="127" spans="1:4" x14ac:dyDescent="0.2">
      <c r="A127" s="1">
        <v>2016</v>
      </c>
      <c r="B127" s="20" t="s">
        <v>1282</v>
      </c>
      <c r="C127" s="23">
        <v>538678</v>
      </c>
      <c r="D127" s="22">
        <v>5.3463000000000002E-4</v>
      </c>
    </row>
    <row r="128" spans="1:4" x14ac:dyDescent="0.2">
      <c r="A128" s="1">
        <v>2016</v>
      </c>
      <c r="B128" s="20" t="s">
        <v>1283</v>
      </c>
      <c r="C128" s="23">
        <v>40979</v>
      </c>
      <c r="D128" s="22">
        <v>4.0670000000000002E-5</v>
      </c>
    </row>
    <row r="129" spans="1:4" x14ac:dyDescent="0.2">
      <c r="A129" s="1">
        <v>2016</v>
      </c>
      <c r="B129" s="20" t="s">
        <v>1284</v>
      </c>
      <c r="C129" s="23">
        <v>36289</v>
      </c>
      <c r="D129" s="22">
        <v>3.6019999999999997E-5</v>
      </c>
    </row>
    <row r="130" spans="1:4" x14ac:dyDescent="0.2">
      <c r="A130" s="1">
        <v>2016</v>
      </c>
      <c r="B130" s="20" t="s">
        <v>1285</v>
      </c>
      <c r="C130" s="23">
        <v>289852</v>
      </c>
      <c r="D130" s="22">
        <v>2.8768000000000001E-4</v>
      </c>
    </row>
    <row r="131" spans="1:4" x14ac:dyDescent="0.2">
      <c r="A131" s="1">
        <v>2016</v>
      </c>
      <c r="B131" s="20" t="s">
        <v>1286</v>
      </c>
      <c r="C131" s="23">
        <v>431997</v>
      </c>
      <c r="D131" s="22">
        <v>4.2874999999999999E-4</v>
      </c>
    </row>
    <row r="132" spans="1:4" x14ac:dyDescent="0.2">
      <c r="A132" s="1">
        <v>2016</v>
      </c>
      <c r="B132" s="20" t="s">
        <v>1287</v>
      </c>
      <c r="C132" s="23">
        <v>1430617</v>
      </c>
      <c r="D132" s="22">
        <v>1.4198699999999999E-3</v>
      </c>
    </row>
    <row r="133" spans="1:4" x14ac:dyDescent="0.2">
      <c r="A133" s="1">
        <v>2016</v>
      </c>
      <c r="B133" s="20" t="s">
        <v>1288</v>
      </c>
      <c r="C133" s="23">
        <v>1492367</v>
      </c>
      <c r="D133" s="22">
        <v>1.48116E-3</v>
      </c>
    </row>
    <row r="134" spans="1:4" x14ac:dyDescent="0.2">
      <c r="A134" s="1">
        <v>2016</v>
      </c>
      <c r="B134" s="20" t="s">
        <v>1289</v>
      </c>
      <c r="C134" s="23">
        <v>110793</v>
      </c>
      <c r="D134" s="22">
        <v>1.0996E-4</v>
      </c>
    </row>
    <row r="135" spans="1:4" x14ac:dyDescent="0.2">
      <c r="A135" s="1">
        <v>2016</v>
      </c>
      <c r="B135" s="20" t="s">
        <v>1290</v>
      </c>
      <c r="C135" s="23">
        <v>726030</v>
      </c>
      <c r="D135" s="22">
        <v>7.2057999999999996E-4</v>
      </c>
    </row>
    <row r="136" spans="1:4" x14ac:dyDescent="0.2">
      <c r="A136" s="1">
        <v>2016</v>
      </c>
      <c r="B136" s="20" t="s">
        <v>1291</v>
      </c>
      <c r="C136" s="23">
        <v>3362290</v>
      </c>
      <c r="D136" s="22">
        <v>3.3370399999999999E-3</v>
      </c>
    </row>
    <row r="137" spans="1:4" x14ac:dyDescent="0.2">
      <c r="A137" s="1">
        <v>2016</v>
      </c>
      <c r="B137" s="20" t="s">
        <v>1292</v>
      </c>
      <c r="C137" s="23">
        <v>64875</v>
      </c>
      <c r="D137" s="22">
        <v>6.4389999999999998E-5</v>
      </c>
    </row>
    <row r="138" spans="1:4" x14ac:dyDescent="0.2">
      <c r="A138" s="1">
        <v>2016</v>
      </c>
      <c r="B138" s="20" t="s">
        <v>1293</v>
      </c>
      <c r="C138" s="23">
        <v>58669</v>
      </c>
      <c r="D138" s="22">
        <v>5.8230000000000003E-5</v>
      </c>
    </row>
    <row r="139" spans="1:4" x14ac:dyDescent="0.2">
      <c r="A139" s="1">
        <v>2016</v>
      </c>
      <c r="B139" s="20" t="s">
        <v>1294</v>
      </c>
      <c r="C139" s="23">
        <v>32756</v>
      </c>
      <c r="D139" s="22">
        <v>3.2509999999999999E-5</v>
      </c>
    </row>
    <row r="140" spans="1:4" x14ac:dyDescent="0.2">
      <c r="A140" s="1">
        <v>2016</v>
      </c>
      <c r="B140" s="20" t="s">
        <v>1295</v>
      </c>
      <c r="C140" s="23">
        <v>1873918</v>
      </c>
      <c r="D140" s="22">
        <v>1.8598499999999999E-3</v>
      </c>
    </row>
    <row r="141" spans="1:4" x14ac:dyDescent="0.2">
      <c r="A141" s="1">
        <v>2016</v>
      </c>
      <c r="B141" s="20" t="s">
        <v>1296</v>
      </c>
      <c r="C141" s="23">
        <v>676776</v>
      </c>
      <c r="D141" s="22">
        <v>6.7168999999999996E-4</v>
      </c>
    </row>
    <row r="142" spans="1:4" x14ac:dyDescent="0.2">
      <c r="A142" s="1">
        <v>2016</v>
      </c>
      <c r="B142" s="20" t="s">
        <v>1297</v>
      </c>
      <c r="C142" s="23">
        <v>46165</v>
      </c>
      <c r="D142" s="22">
        <v>4.5819999999999998E-5</v>
      </c>
    </row>
    <row r="143" spans="1:4" x14ac:dyDescent="0.2">
      <c r="A143" s="1">
        <v>2016</v>
      </c>
      <c r="B143" s="20" t="s">
        <v>1298</v>
      </c>
      <c r="C143" s="23">
        <v>25315</v>
      </c>
      <c r="D143" s="22">
        <v>2.512E-5</v>
      </c>
    </row>
    <row r="144" spans="1:4" x14ac:dyDescent="0.2">
      <c r="A144" s="1">
        <v>2016</v>
      </c>
      <c r="B144" s="20" t="s">
        <v>1299</v>
      </c>
      <c r="C144" s="23">
        <v>2264674</v>
      </c>
      <c r="D144" s="22">
        <v>2.2476699999999998E-3</v>
      </c>
    </row>
    <row r="145" spans="1:4" x14ac:dyDescent="0.2">
      <c r="A145" s="1">
        <v>2016</v>
      </c>
      <c r="B145" s="20" t="s">
        <v>1300</v>
      </c>
      <c r="C145" s="23">
        <v>925183</v>
      </c>
      <c r="D145" s="22">
        <v>9.1823999999999996E-4</v>
      </c>
    </row>
    <row r="146" spans="1:4" x14ac:dyDescent="0.2">
      <c r="A146" s="1">
        <v>2016</v>
      </c>
      <c r="B146" s="20" t="s">
        <v>1301</v>
      </c>
      <c r="C146" s="23">
        <v>297893</v>
      </c>
      <c r="D146" s="22">
        <v>2.9566E-4</v>
      </c>
    </row>
    <row r="147" spans="1:4" x14ac:dyDescent="0.2">
      <c r="A147" s="1">
        <v>2016</v>
      </c>
      <c r="B147" s="20" t="s">
        <v>1302</v>
      </c>
      <c r="C147" s="23">
        <v>75617</v>
      </c>
      <c r="D147" s="22">
        <v>7.5049999999999995E-5</v>
      </c>
    </row>
    <row r="148" spans="1:4" x14ac:dyDescent="0.2">
      <c r="A148" s="1">
        <v>2016</v>
      </c>
      <c r="B148" s="20" t="s">
        <v>1303</v>
      </c>
      <c r="C148" s="23">
        <v>1823774</v>
      </c>
      <c r="D148" s="22">
        <v>1.8100799999999999E-3</v>
      </c>
    </row>
    <row r="149" spans="1:4" x14ac:dyDescent="0.2">
      <c r="A149" s="1">
        <v>2016</v>
      </c>
      <c r="B149" s="20" t="s">
        <v>1304</v>
      </c>
      <c r="C149" s="23">
        <v>15090</v>
      </c>
      <c r="D149" s="22">
        <v>1.4980000000000001E-5</v>
      </c>
    </row>
    <row r="150" spans="1:4" x14ac:dyDescent="0.2">
      <c r="A150" s="1">
        <v>2016</v>
      </c>
      <c r="B150" s="20" t="s">
        <v>1305</v>
      </c>
      <c r="C150" s="23">
        <v>8934</v>
      </c>
      <c r="D150" s="22">
        <v>8.8699999999999998E-6</v>
      </c>
    </row>
    <row r="151" spans="1:4" x14ac:dyDescent="0.2">
      <c r="A151" s="1">
        <v>2016</v>
      </c>
      <c r="B151" s="20" t="s">
        <v>1306</v>
      </c>
      <c r="C151" s="23">
        <v>13277970</v>
      </c>
      <c r="D151" s="22">
        <v>1.3178270000000001E-2</v>
      </c>
    </row>
    <row r="152" spans="1:4" x14ac:dyDescent="0.2">
      <c r="A152" s="1">
        <v>2016</v>
      </c>
      <c r="B152" s="20" t="s">
        <v>1307</v>
      </c>
      <c r="C152" s="23">
        <v>40477</v>
      </c>
      <c r="D152" s="22">
        <v>4.0170000000000003E-5</v>
      </c>
    </row>
    <row r="153" spans="1:4" x14ac:dyDescent="0.2">
      <c r="A153" s="1">
        <v>2016</v>
      </c>
      <c r="B153" s="20" t="s">
        <v>1308</v>
      </c>
      <c r="C153" s="23">
        <v>2403271</v>
      </c>
      <c r="D153" s="22">
        <v>2.3852299999999999E-3</v>
      </c>
    </row>
    <row r="154" spans="1:4" x14ac:dyDescent="0.2">
      <c r="A154" s="1">
        <v>2016</v>
      </c>
      <c r="B154" s="24" t="s">
        <v>1309</v>
      </c>
      <c r="C154" s="25">
        <v>496394</v>
      </c>
      <c r="D154" s="26">
        <v>4.9266999999999996E-4</v>
      </c>
    </row>
    <row r="155" spans="1:4" x14ac:dyDescent="0.2">
      <c r="A155" s="1">
        <v>2016</v>
      </c>
      <c r="B155" s="24" t="s">
        <v>1310</v>
      </c>
      <c r="C155" s="24">
        <v>17200</v>
      </c>
      <c r="D155" s="26">
        <v>1.7070000000000001E-5</v>
      </c>
    </row>
    <row r="156" spans="1:4" x14ac:dyDescent="0.2">
      <c r="A156" s="1">
        <v>2016</v>
      </c>
      <c r="B156" s="24" t="s">
        <v>1311</v>
      </c>
      <c r="C156" s="27">
        <v>3297</v>
      </c>
      <c r="D156" s="26">
        <v>3.27E-6</v>
      </c>
    </row>
    <row r="157" spans="1:4" x14ac:dyDescent="0.2">
      <c r="A157" s="1">
        <v>2016</v>
      </c>
      <c r="B157" s="24" t="s">
        <v>1312</v>
      </c>
      <c r="C157" s="27">
        <v>4300</v>
      </c>
      <c r="D157" s="26">
        <v>4.2699999999999998E-6</v>
      </c>
    </row>
    <row r="158" spans="1:4" x14ac:dyDescent="0.2">
      <c r="A158" s="1">
        <v>2016</v>
      </c>
      <c r="B158" s="24" t="s">
        <v>1313</v>
      </c>
      <c r="C158" s="27">
        <v>21344</v>
      </c>
      <c r="D158" s="26">
        <v>2.1180000000000001E-5</v>
      </c>
    </row>
    <row r="159" spans="1:4" x14ac:dyDescent="0.2">
      <c r="A159" s="1">
        <v>2016</v>
      </c>
      <c r="B159" s="24" t="s">
        <v>1314</v>
      </c>
      <c r="C159" s="24">
        <v>869</v>
      </c>
      <c r="D159" s="26">
        <v>8.6000000000000002E-7</v>
      </c>
    </row>
    <row r="160" spans="1:4" x14ac:dyDescent="0.2">
      <c r="A160" s="1">
        <v>2016</v>
      </c>
      <c r="B160" s="24" t="s">
        <v>1315</v>
      </c>
      <c r="C160" s="27">
        <v>206976</v>
      </c>
      <c r="D160" s="26">
        <v>2.0541999999999999E-4</v>
      </c>
    </row>
    <row r="161" spans="1:4" x14ac:dyDescent="0.2">
      <c r="A161" s="1">
        <v>2016</v>
      </c>
      <c r="B161" s="24" t="s">
        <v>2026</v>
      </c>
      <c r="C161" s="27">
        <v>79671</v>
      </c>
      <c r="D161" s="26">
        <v>7.907E-5</v>
      </c>
    </row>
    <row r="162" spans="1:4" x14ac:dyDescent="0.2">
      <c r="A162" s="1">
        <v>2016</v>
      </c>
      <c r="B162" s="24" t="s">
        <v>1317</v>
      </c>
      <c r="C162" s="27">
        <v>57932</v>
      </c>
      <c r="D162" s="26">
        <v>5.7500000000000002E-5</v>
      </c>
    </row>
    <row r="163" spans="1:4" x14ac:dyDescent="0.2">
      <c r="A163" s="1">
        <v>2016</v>
      </c>
      <c r="B163" s="24" t="s">
        <v>1318</v>
      </c>
      <c r="C163" s="27">
        <v>51626</v>
      </c>
      <c r="D163" s="26">
        <v>5.1239999999999997E-5</v>
      </c>
    </row>
    <row r="164" spans="1:4" x14ac:dyDescent="0.2">
      <c r="A164" s="1">
        <v>2016</v>
      </c>
      <c r="B164" s="24" t="s">
        <v>1319</v>
      </c>
      <c r="C164" s="27">
        <v>18388</v>
      </c>
      <c r="D164" s="26">
        <v>1.825E-5</v>
      </c>
    </row>
    <row r="165" spans="1:4" x14ac:dyDescent="0.2">
      <c r="A165" s="1">
        <v>2016</v>
      </c>
      <c r="B165" s="24" t="s">
        <v>1320</v>
      </c>
      <c r="C165" s="27">
        <v>2664039</v>
      </c>
      <c r="D165" s="26">
        <v>2.6440399999999998E-3</v>
      </c>
    </row>
    <row r="166" spans="1:4" x14ac:dyDescent="0.2">
      <c r="A166" s="1">
        <v>2016</v>
      </c>
      <c r="B166" s="24" t="s">
        <v>1321</v>
      </c>
      <c r="C166" s="27">
        <v>4761918</v>
      </c>
      <c r="D166" s="26">
        <v>4.7261600000000001E-3</v>
      </c>
    </row>
    <row r="167" spans="1:4" x14ac:dyDescent="0.2">
      <c r="A167" s="1">
        <v>2016</v>
      </c>
      <c r="B167" s="24" t="s">
        <v>1322</v>
      </c>
      <c r="C167" s="27">
        <v>3431616</v>
      </c>
      <c r="D167" s="26">
        <v>3.4058500000000002E-3</v>
      </c>
    </row>
    <row r="168" spans="1:4" x14ac:dyDescent="0.2">
      <c r="A168" s="1">
        <v>2016</v>
      </c>
      <c r="B168" s="24" t="s">
        <v>1323</v>
      </c>
      <c r="C168" s="27">
        <v>16669454</v>
      </c>
      <c r="D168" s="26">
        <v>1.654429E-2</v>
      </c>
    </row>
    <row r="169" spans="1:4" x14ac:dyDescent="0.2">
      <c r="A169" s="1">
        <v>2016</v>
      </c>
      <c r="B169" s="24" t="s">
        <v>1324</v>
      </c>
      <c r="C169" s="27">
        <v>23703</v>
      </c>
      <c r="D169" s="26">
        <v>2.353E-5</v>
      </c>
    </row>
    <row r="170" spans="1:4" x14ac:dyDescent="0.2">
      <c r="A170" s="1">
        <v>2016</v>
      </c>
      <c r="B170" s="24" t="s">
        <v>1325</v>
      </c>
      <c r="C170" s="27">
        <v>23463829</v>
      </c>
      <c r="D170" s="26">
        <v>2.328765E-2</v>
      </c>
    </row>
    <row r="171" spans="1:4" x14ac:dyDescent="0.2">
      <c r="A171" s="1">
        <v>2016</v>
      </c>
      <c r="B171" s="24" t="s">
        <v>1326</v>
      </c>
      <c r="C171" s="27">
        <v>3891124</v>
      </c>
      <c r="D171" s="26">
        <v>3.8619100000000001E-3</v>
      </c>
    </row>
    <row r="172" spans="1:4" x14ac:dyDescent="0.2">
      <c r="A172" s="1">
        <v>2016</v>
      </c>
      <c r="B172" s="24" t="s">
        <v>1327</v>
      </c>
      <c r="C172" s="27">
        <v>202526</v>
      </c>
      <c r="D172" s="26">
        <v>2.0101E-4</v>
      </c>
    </row>
    <row r="173" spans="1:4" x14ac:dyDescent="0.2">
      <c r="A173" s="1">
        <v>2016</v>
      </c>
      <c r="B173" s="24" t="s">
        <v>1328</v>
      </c>
      <c r="C173" s="27">
        <v>10527</v>
      </c>
      <c r="D173" s="26">
        <v>1.045E-5</v>
      </c>
    </row>
    <row r="174" spans="1:4" x14ac:dyDescent="0.2">
      <c r="A174" s="1">
        <v>2016</v>
      </c>
      <c r="B174" s="24" t="s">
        <v>1329</v>
      </c>
      <c r="C174" s="27">
        <v>11067</v>
      </c>
      <c r="D174" s="26">
        <v>1.098E-5</v>
      </c>
    </row>
    <row r="175" spans="1:4" x14ac:dyDescent="0.2">
      <c r="A175" s="1">
        <v>2016</v>
      </c>
      <c r="B175" s="24" t="s">
        <v>1330</v>
      </c>
      <c r="C175" s="27">
        <v>121361</v>
      </c>
      <c r="D175" s="26">
        <v>1.2045E-4</v>
      </c>
    </row>
    <row r="176" spans="1:4" x14ac:dyDescent="0.2">
      <c r="A176" s="1">
        <v>2016</v>
      </c>
      <c r="B176" s="24" t="s">
        <v>1331</v>
      </c>
      <c r="C176" s="27">
        <v>829616</v>
      </c>
      <c r="D176" s="26">
        <v>8.2339000000000002E-4</v>
      </c>
    </row>
    <row r="177" spans="1:4" x14ac:dyDescent="0.2">
      <c r="A177" s="1">
        <v>2016</v>
      </c>
      <c r="B177" s="24" t="s">
        <v>2027</v>
      </c>
      <c r="C177" s="27">
        <v>2868367</v>
      </c>
      <c r="D177" s="26">
        <v>2.8468299999999998E-3</v>
      </c>
    </row>
    <row r="178" spans="1:4" x14ac:dyDescent="0.2">
      <c r="A178" s="1">
        <v>2016</v>
      </c>
      <c r="B178" s="24" t="s">
        <v>1333</v>
      </c>
      <c r="C178" s="27">
        <v>59673</v>
      </c>
      <c r="D178" s="26">
        <v>5.9219999999999999E-5</v>
      </c>
    </row>
    <row r="179" spans="1:4" x14ac:dyDescent="0.2">
      <c r="A179" s="1">
        <v>2016</v>
      </c>
      <c r="B179" s="24" t="s">
        <v>1334</v>
      </c>
      <c r="C179" s="27">
        <v>80471</v>
      </c>
      <c r="D179" s="26">
        <v>7.9870000000000006E-5</v>
      </c>
    </row>
    <row r="180" spans="1:4" x14ac:dyDescent="0.2">
      <c r="A180" s="1">
        <v>2016</v>
      </c>
      <c r="B180" s="24" t="s">
        <v>1335</v>
      </c>
      <c r="C180" s="27">
        <v>25985</v>
      </c>
      <c r="D180" s="26">
        <v>2.5789999999999999E-5</v>
      </c>
    </row>
    <row r="181" spans="1:4" x14ac:dyDescent="0.2">
      <c r="A181" s="1">
        <v>2016</v>
      </c>
      <c r="B181" s="24" t="s">
        <v>1336</v>
      </c>
      <c r="C181" s="27">
        <v>111334</v>
      </c>
      <c r="D181" s="26">
        <v>1.105E-4</v>
      </c>
    </row>
    <row r="182" spans="1:4" x14ac:dyDescent="0.2">
      <c r="A182" s="1">
        <v>2016</v>
      </c>
      <c r="B182" s="24" t="s">
        <v>1337</v>
      </c>
      <c r="C182" s="27">
        <v>378684</v>
      </c>
      <c r="D182" s="26">
        <v>3.7584000000000001E-4</v>
      </c>
    </row>
    <row r="183" spans="1:4" x14ac:dyDescent="0.2">
      <c r="A183" s="1">
        <v>2016</v>
      </c>
      <c r="B183" s="24" t="s">
        <v>1338</v>
      </c>
      <c r="C183" s="27">
        <v>1757602</v>
      </c>
      <c r="D183" s="26">
        <v>1.7443999999999999E-3</v>
      </c>
    </row>
    <row r="184" spans="1:4" x14ac:dyDescent="0.2">
      <c r="A184" s="1">
        <v>2016</v>
      </c>
      <c r="B184" s="24" t="s">
        <v>1339</v>
      </c>
      <c r="C184" s="27">
        <v>817227</v>
      </c>
      <c r="D184" s="26">
        <v>8.1108999999999999E-4</v>
      </c>
    </row>
    <row r="185" spans="1:4" x14ac:dyDescent="0.2">
      <c r="A185" s="1">
        <v>2016</v>
      </c>
      <c r="B185" s="24" t="s">
        <v>1340</v>
      </c>
      <c r="C185" s="27">
        <v>47851</v>
      </c>
      <c r="D185" s="26">
        <v>4.7490000000000001E-5</v>
      </c>
    </row>
    <row r="186" spans="1:4" x14ac:dyDescent="0.2">
      <c r="A186" s="1">
        <v>2016</v>
      </c>
      <c r="B186" s="24" t="s">
        <v>1341</v>
      </c>
      <c r="C186" s="27">
        <v>2735392</v>
      </c>
      <c r="D186" s="26">
        <v>2.71485E-3</v>
      </c>
    </row>
    <row r="187" spans="1:4" x14ac:dyDescent="0.2">
      <c r="A187" s="1">
        <v>2016</v>
      </c>
      <c r="B187" s="24" t="s">
        <v>1342</v>
      </c>
      <c r="C187" s="27">
        <v>32595</v>
      </c>
      <c r="D187" s="26">
        <v>3.235E-5</v>
      </c>
    </row>
    <row r="188" spans="1:4" x14ac:dyDescent="0.2">
      <c r="A188" s="1">
        <v>2016</v>
      </c>
      <c r="B188" s="24" t="s">
        <v>1343</v>
      </c>
      <c r="C188" s="27">
        <v>4620034</v>
      </c>
      <c r="D188" s="26">
        <v>4.5853400000000002E-3</v>
      </c>
    </row>
    <row r="189" spans="1:4" x14ac:dyDescent="0.2">
      <c r="A189" s="1">
        <v>2016</v>
      </c>
      <c r="B189" s="24" t="s">
        <v>1344</v>
      </c>
      <c r="C189" s="27">
        <v>945083</v>
      </c>
      <c r="D189" s="26">
        <v>9.3798999999999998E-4</v>
      </c>
    </row>
    <row r="190" spans="1:4" x14ac:dyDescent="0.2">
      <c r="A190" s="1">
        <v>2016</v>
      </c>
      <c r="B190" s="24" t="s">
        <v>1345</v>
      </c>
      <c r="C190" s="27">
        <v>56661</v>
      </c>
      <c r="D190" s="26">
        <v>5.6239999999999997E-5</v>
      </c>
    </row>
    <row r="191" spans="1:4" x14ac:dyDescent="0.2">
      <c r="A191" s="1">
        <v>2016</v>
      </c>
      <c r="B191" s="24" t="s">
        <v>1346</v>
      </c>
      <c r="C191" s="27">
        <v>49004</v>
      </c>
      <c r="D191" s="26">
        <v>4.8640000000000002E-5</v>
      </c>
    </row>
    <row r="192" spans="1:4" x14ac:dyDescent="0.2">
      <c r="A192" s="1">
        <v>2016</v>
      </c>
      <c r="B192" s="28" t="s">
        <v>1347</v>
      </c>
      <c r="C192" s="29">
        <v>699593</v>
      </c>
      <c r="D192" s="30">
        <v>6.9434E-4</v>
      </c>
    </row>
    <row r="193" spans="1:4" x14ac:dyDescent="0.2">
      <c r="A193" s="1">
        <v>2016</v>
      </c>
      <c r="B193" s="28" t="s">
        <v>1348</v>
      </c>
      <c r="C193" s="29">
        <v>15899</v>
      </c>
      <c r="D193" s="30">
        <v>1.5780000000000001E-5</v>
      </c>
    </row>
    <row r="194" spans="1:4" x14ac:dyDescent="0.2">
      <c r="A194" s="1">
        <v>2016</v>
      </c>
      <c r="B194" s="28" t="s">
        <v>1349</v>
      </c>
      <c r="C194" s="29">
        <v>27447</v>
      </c>
      <c r="D194" s="30">
        <v>2.724E-5</v>
      </c>
    </row>
    <row r="195" spans="1:4" x14ac:dyDescent="0.2">
      <c r="A195" s="1">
        <v>2016</v>
      </c>
      <c r="B195" s="28" t="s">
        <v>1350</v>
      </c>
      <c r="C195" s="29">
        <v>242611</v>
      </c>
      <c r="D195" s="30">
        <v>2.4079E-4</v>
      </c>
    </row>
    <row r="196" spans="1:4" x14ac:dyDescent="0.2">
      <c r="A196" s="1">
        <v>2016</v>
      </c>
      <c r="B196" s="28" t="s">
        <v>1351</v>
      </c>
      <c r="C196" s="29">
        <v>5814139</v>
      </c>
      <c r="D196" s="30">
        <v>5.7704799999999997E-3</v>
      </c>
    </row>
    <row r="197" spans="1:4" x14ac:dyDescent="0.2">
      <c r="A197" s="1">
        <v>2016</v>
      </c>
      <c r="B197" s="28" t="s">
        <v>1352</v>
      </c>
      <c r="C197" s="29">
        <v>885744</v>
      </c>
      <c r="D197" s="30">
        <v>8.7909000000000001E-4</v>
      </c>
    </row>
    <row r="198" spans="1:4" x14ac:dyDescent="0.2">
      <c r="A198" s="1">
        <v>2016</v>
      </c>
      <c r="B198" s="28" t="s">
        <v>1353</v>
      </c>
      <c r="C198" s="29">
        <v>60726</v>
      </c>
      <c r="D198" s="30">
        <v>6.0269999999999997E-5</v>
      </c>
    </row>
    <row r="199" spans="1:4" x14ac:dyDescent="0.2">
      <c r="A199" s="1">
        <v>2016</v>
      </c>
      <c r="B199" s="28" t="s">
        <v>1354</v>
      </c>
      <c r="C199" s="29">
        <v>733577</v>
      </c>
      <c r="D199" s="30">
        <v>7.2807000000000004E-4</v>
      </c>
    </row>
    <row r="200" spans="1:4" x14ac:dyDescent="0.2">
      <c r="A200" s="1">
        <v>2016</v>
      </c>
      <c r="B200" s="28" t="s">
        <v>1355</v>
      </c>
      <c r="C200" s="29">
        <v>27071</v>
      </c>
      <c r="D200" s="30">
        <v>2.6869999999999999E-5</v>
      </c>
    </row>
    <row r="201" spans="1:4" x14ac:dyDescent="0.2">
      <c r="A201" s="1">
        <v>2016</v>
      </c>
      <c r="B201" s="28" t="s">
        <v>1356</v>
      </c>
      <c r="C201" s="29">
        <v>6157</v>
      </c>
      <c r="D201" s="30">
        <v>6.1099999999999999E-6</v>
      </c>
    </row>
    <row r="202" spans="1:4" x14ac:dyDescent="0.2">
      <c r="A202" s="1">
        <v>2016</v>
      </c>
      <c r="B202" s="28" t="s">
        <v>1357</v>
      </c>
      <c r="C202" s="29">
        <v>61049</v>
      </c>
      <c r="D202" s="30">
        <v>6.0590000000000001E-5</v>
      </c>
    </row>
    <row r="203" spans="1:4" x14ac:dyDescent="0.2">
      <c r="A203" s="1">
        <v>2016</v>
      </c>
      <c r="B203" s="28" t="s">
        <v>1358</v>
      </c>
      <c r="C203" s="29">
        <v>98536</v>
      </c>
      <c r="D203" s="30">
        <v>9.7800000000000006E-5</v>
      </c>
    </row>
    <row r="204" spans="1:4" x14ac:dyDescent="0.2">
      <c r="A204" s="1">
        <v>2016</v>
      </c>
      <c r="B204" s="28" t="s">
        <v>1359</v>
      </c>
      <c r="C204" s="29">
        <v>8901</v>
      </c>
      <c r="D204" s="30">
        <v>8.8300000000000002E-6</v>
      </c>
    </row>
    <row r="205" spans="1:4" x14ac:dyDescent="0.2">
      <c r="A205" s="1">
        <v>2016</v>
      </c>
      <c r="B205" s="28" t="s">
        <v>1360</v>
      </c>
      <c r="C205" s="29">
        <v>114890</v>
      </c>
      <c r="D205" s="30">
        <v>1.1403E-4</v>
      </c>
    </row>
    <row r="206" spans="1:4" x14ac:dyDescent="0.2">
      <c r="A206" s="1">
        <v>2016</v>
      </c>
      <c r="B206" s="28" t="s">
        <v>1361</v>
      </c>
      <c r="C206" s="29">
        <v>16515</v>
      </c>
      <c r="D206" s="30">
        <v>1.6390000000000001E-5</v>
      </c>
    </row>
    <row r="207" spans="1:4" x14ac:dyDescent="0.2">
      <c r="A207" s="1">
        <v>2016</v>
      </c>
      <c r="B207" s="28" t="s">
        <v>1362</v>
      </c>
      <c r="C207" s="29">
        <v>1105392</v>
      </c>
      <c r="D207" s="30">
        <v>1.09709E-3</v>
      </c>
    </row>
    <row r="208" spans="1:4" x14ac:dyDescent="0.2">
      <c r="A208" s="1">
        <v>2016</v>
      </c>
      <c r="B208" s="28" t="s">
        <v>1363</v>
      </c>
      <c r="C208" s="29">
        <v>3083398</v>
      </c>
      <c r="D208" s="30">
        <v>3.06025E-3</v>
      </c>
    </row>
    <row r="209" spans="1:4" x14ac:dyDescent="0.2">
      <c r="A209" s="1">
        <v>2016</v>
      </c>
      <c r="B209" s="28" t="s">
        <v>1364</v>
      </c>
      <c r="C209" s="29">
        <v>422966</v>
      </c>
      <c r="D209" s="30">
        <v>4.1979000000000002E-4</v>
      </c>
    </row>
    <row r="210" spans="1:4" x14ac:dyDescent="0.2">
      <c r="A210" s="1">
        <v>2016</v>
      </c>
      <c r="B210" s="28" t="s">
        <v>1365</v>
      </c>
      <c r="C210" s="29">
        <v>84558</v>
      </c>
      <c r="D210" s="30">
        <v>8.3919999999999996E-5</v>
      </c>
    </row>
    <row r="211" spans="1:4" x14ac:dyDescent="0.2">
      <c r="A211" s="1">
        <v>2016</v>
      </c>
      <c r="B211" s="28" t="s">
        <v>1366</v>
      </c>
      <c r="C211" s="29">
        <v>188780</v>
      </c>
      <c r="D211" s="30">
        <v>1.8736E-4</v>
      </c>
    </row>
    <row r="212" spans="1:4" x14ac:dyDescent="0.2">
      <c r="A212" s="1">
        <v>2016</v>
      </c>
      <c r="B212" s="28" t="s">
        <v>1367</v>
      </c>
      <c r="C212" s="29">
        <v>1505795</v>
      </c>
      <c r="D212" s="30">
        <v>1.49449E-3</v>
      </c>
    </row>
    <row r="213" spans="1:4" x14ac:dyDescent="0.2">
      <c r="A213" s="1">
        <v>2016</v>
      </c>
      <c r="B213" s="28" t="s">
        <v>1368</v>
      </c>
      <c r="C213" s="29">
        <v>438383</v>
      </c>
      <c r="D213" s="30">
        <v>4.3509000000000001E-4</v>
      </c>
    </row>
    <row r="214" spans="1:4" x14ac:dyDescent="0.2">
      <c r="A214" s="1">
        <v>2016</v>
      </c>
      <c r="B214" s="28" t="s">
        <v>1369</v>
      </c>
      <c r="C214" s="29">
        <v>26658</v>
      </c>
      <c r="D214" s="30">
        <v>2.6460000000000001E-5</v>
      </c>
    </row>
    <row r="215" spans="1:4" x14ac:dyDescent="0.2">
      <c r="A215" s="1">
        <v>2016</v>
      </c>
      <c r="B215" s="28" t="s">
        <v>1370</v>
      </c>
      <c r="C215" s="29">
        <v>1144508</v>
      </c>
      <c r="D215" s="30">
        <v>1.13591E-3</v>
      </c>
    </row>
    <row r="216" spans="1:4" x14ac:dyDescent="0.2">
      <c r="A216" s="1">
        <v>2016</v>
      </c>
      <c r="B216" s="28" t="s">
        <v>1371</v>
      </c>
      <c r="C216" s="29">
        <v>2025473</v>
      </c>
      <c r="D216" s="30">
        <v>2.0102599999999998E-3</v>
      </c>
    </row>
    <row r="217" spans="1:4" x14ac:dyDescent="0.2">
      <c r="A217" s="1">
        <v>2016</v>
      </c>
      <c r="B217" s="28" t="s">
        <v>1372</v>
      </c>
      <c r="C217" s="29">
        <v>521465</v>
      </c>
      <c r="D217" s="30">
        <v>5.1754999999999998E-4</v>
      </c>
    </row>
    <row r="218" spans="1:4" x14ac:dyDescent="0.2">
      <c r="A218" s="1">
        <v>2016</v>
      </c>
      <c r="B218" s="28" t="s">
        <v>1373</v>
      </c>
      <c r="C218" s="29">
        <v>2077547</v>
      </c>
      <c r="D218" s="30">
        <v>2.0619499999999999E-3</v>
      </c>
    </row>
    <row r="219" spans="1:4" x14ac:dyDescent="0.2">
      <c r="A219" s="1">
        <v>2016</v>
      </c>
      <c r="B219" s="28" t="s">
        <v>1374</v>
      </c>
      <c r="C219" s="29">
        <v>2140319</v>
      </c>
      <c r="D219" s="30">
        <v>2.1242499999999998E-3</v>
      </c>
    </row>
    <row r="220" spans="1:4" x14ac:dyDescent="0.2">
      <c r="A220" s="1">
        <v>2016</v>
      </c>
      <c r="B220" s="28" t="s">
        <v>1375</v>
      </c>
      <c r="C220" s="29">
        <v>10580</v>
      </c>
      <c r="D220" s="30">
        <v>1.0499999999999999E-5</v>
      </c>
    </row>
    <row r="221" spans="1:4" x14ac:dyDescent="0.2">
      <c r="A221" s="1">
        <v>2016</v>
      </c>
      <c r="B221" s="28" t="s">
        <v>1376</v>
      </c>
      <c r="C221" s="29">
        <v>1279278</v>
      </c>
      <c r="D221" s="30">
        <v>1.2696700000000001E-3</v>
      </c>
    </row>
    <row r="222" spans="1:4" x14ac:dyDescent="0.2">
      <c r="A222" s="1">
        <v>2016</v>
      </c>
      <c r="B222" s="28" t="s">
        <v>1377</v>
      </c>
      <c r="C222" s="29">
        <v>298469</v>
      </c>
      <c r="D222" s="30">
        <v>2.9622999999999997E-4</v>
      </c>
    </row>
    <row r="223" spans="1:4" x14ac:dyDescent="0.2">
      <c r="A223" s="1">
        <v>2016</v>
      </c>
      <c r="B223" s="28" t="s">
        <v>1378</v>
      </c>
      <c r="C223" s="29">
        <v>1338176</v>
      </c>
      <c r="D223" s="30">
        <v>1.3281300000000001E-3</v>
      </c>
    </row>
    <row r="224" spans="1:4" x14ac:dyDescent="0.2">
      <c r="A224" s="1">
        <v>2016</v>
      </c>
      <c r="B224" s="28" t="s">
        <v>1379</v>
      </c>
      <c r="C224" s="29">
        <v>263563</v>
      </c>
      <c r="D224" s="30">
        <v>2.6158000000000003E-4</v>
      </c>
    </row>
    <row r="225" spans="1:4" x14ac:dyDescent="0.2">
      <c r="A225" s="1">
        <v>2016</v>
      </c>
      <c r="B225" s="28" t="s">
        <v>1380</v>
      </c>
      <c r="C225" s="29">
        <v>672412</v>
      </c>
      <c r="D225" s="30">
        <v>6.6735999999999998E-4</v>
      </c>
    </row>
    <row r="226" spans="1:4" x14ac:dyDescent="0.2">
      <c r="A226" s="1">
        <v>2016</v>
      </c>
      <c r="B226" s="28" t="s">
        <v>1381</v>
      </c>
      <c r="C226" s="29">
        <v>695661</v>
      </c>
      <c r="D226" s="30">
        <v>6.9043999999999996E-4</v>
      </c>
    </row>
    <row r="227" spans="1:4" x14ac:dyDescent="0.2">
      <c r="A227" s="1">
        <v>2016</v>
      </c>
      <c r="B227" s="28" t="s">
        <v>1382</v>
      </c>
      <c r="C227" s="29">
        <v>1210</v>
      </c>
      <c r="D227" s="30">
        <v>1.1999999999999999E-6</v>
      </c>
    </row>
    <row r="228" spans="1:4" x14ac:dyDescent="0.2">
      <c r="A228" s="1">
        <v>2016</v>
      </c>
      <c r="B228" s="28" t="s">
        <v>1383</v>
      </c>
      <c r="C228" s="29">
        <v>2999749</v>
      </c>
      <c r="D228" s="30">
        <v>2.97722E-3</v>
      </c>
    </row>
    <row r="229" spans="1:4" x14ac:dyDescent="0.2">
      <c r="A229" s="1">
        <v>2016</v>
      </c>
      <c r="B229" s="28" t="s">
        <v>1384</v>
      </c>
      <c r="C229" s="29">
        <v>21131</v>
      </c>
      <c r="D229" s="30">
        <v>2.0970000000000001E-5</v>
      </c>
    </row>
    <row r="230" spans="1:4" x14ac:dyDescent="0.2">
      <c r="A230" s="1">
        <v>2016</v>
      </c>
      <c r="B230" s="20" t="s">
        <v>1385</v>
      </c>
      <c r="C230" s="31">
        <v>68425</v>
      </c>
      <c r="D230" s="22">
        <v>6.7910000000000005E-5</v>
      </c>
    </row>
    <row r="231" spans="1:4" x14ac:dyDescent="0.2">
      <c r="A231" s="1">
        <v>2016</v>
      </c>
      <c r="B231" s="20" t="s">
        <v>1386</v>
      </c>
      <c r="C231" s="23">
        <v>125971</v>
      </c>
      <c r="D231" s="22">
        <v>1.2502999999999999E-4</v>
      </c>
    </row>
    <row r="232" spans="1:4" x14ac:dyDescent="0.2">
      <c r="A232" s="1">
        <v>2016</v>
      </c>
      <c r="B232" s="20" t="s">
        <v>1387</v>
      </c>
      <c r="C232" s="23">
        <v>228075</v>
      </c>
      <c r="D232" s="22">
        <v>2.2635999999999999E-4</v>
      </c>
    </row>
    <row r="233" spans="1:4" x14ac:dyDescent="0.2">
      <c r="A233" s="1">
        <v>2016</v>
      </c>
      <c r="B233" s="20" t="s">
        <v>1388</v>
      </c>
      <c r="C233" s="23">
        <v>80609</v>
      </c>
      <c r="D233" s="22">
        <v>8.0000000000000007E-5</v>
      </c>
    </row>
    <row r="234" spans="1:4" x14ac:dyDescent="0.2">
      <c r="A234" s="1">
        <v>2016</v>
      </c>
      <c r="B234" s="20" t="s">
        <v>1389</v>
      </c>
      <c r="C234" s="23">
        <v>8245</v>
      </c>
      <c r="D234" s="22">
        <v>8.1799999999999996E-6</v>
      </c>
    </row>
    <row r="235" spans="1:4" x14ac:dyDescent="0.2">
      <c r="A235" s="1">
        <v>2016</v>
      </c>
      <c r="B235" s="20" t="s">
        <v>2028</v>
      </c>
      <c r="C235" s="23">
        <v>33863</v>
      </c>
      <c r="D235" s="22">
        <v>3.3609999999999998E-5</v>
      </c>
    </row>
    <row r="236" spans="1:4" x14ac:dyDescent="0.2">
      <c r="A236" s="1">
        <v>2016</v>
      </c>
      <c r="B236" s="20" t="s">
        <v>1390</v>
      </c>
      <c r="C236" s="23">
        <v>240059</v>
      </c>
      <c r="D236" s="22">
        <v>2.3826000000000001E-4</v>
      </c>
    </row>
    <row r="237" spans="1:4" x14ac:dyDescent="0.2">
      <c r="A237" s="1">
        <v>2016</v>
      </c>
      <c r="B237" s="20" t="s">
        <v>1391</v>
      </c>
      <c r="C237" s="23">
        <v>26753</v>
      </c>
      <c r="D237" s="22">
        <v>2.6550000000000002E-5</v>
      </c>
    </row>
    <row r="238" spans="1:4" x14ac:dyDescent="0.2">
      <c r="A238" s="1">
        <v>2016</v>
      </c>
      <c r="B238" s="20" t="s">
        <v>1392</v>
      </c>
      <c r="C238" s="23">
        <v>1671828</v>
      </c>
      <c r="D238" s="22">
        <v>1.65927E-3</v>
      </c>
    </row>
    <row r="239" spans="1:4" x14ac:dyDescent="0.2">
      <c r="A239" s="1">
        <v>2016</v>
      </c>
      <c r="B239" s="20" t="s">
        <v>1393</v>
      </c>
      <c r="C239" s="23">
        <v>437294</v>
      </c>
      <c r="D239" s="22">
        <v>4.3400999999999997E-4</v>
      </c>
    </row>
    <row r="240" spans="1:4" x14ac:dyDescent="0.2">
      <c r="A240" s="1">
        <v>2016</v>
      </c>
      <c r="B240" s="20" t="s">
        <v>1394</v>
      </c>
      <c r="C240" s="23">
        <v>72606</v>
      </c>
      <c r="D240" s="22">
        <v>7.2059999999999998E-5</v>
      </c>
    </row>
    <row r="241" spans="1:4" x14ac:dyDescent="0.2">
      <c r="A241" s="1">
        <v>2016</v>
      </c>
      <c r="B241" s="20" t="s">
        <v>1395</v>
      </c>
      <c r="C241" s="23">
        <v>4420898</v>
      </c>
      <c r="D241" s="22">
        <v>4.3876999999999996E-3</v>
      </c>
    </row>
    <row r="242" spans="1:4" x14ac:dyDescent="0.2">
      <c r="A242" s="1">
        <v>2016</v>
      </c>
      <c r="B242" s="20" t="s">
        <v>1396</v>
      </c>
      <c r="C242" s="23">
        <v>1100571</v>
      </c>
      <c r="D242" s="22">
        <v>1.09231E-3</v>
      </c>
    </row>
    <row r="243" spans="1:4" x14ac:dyDescent="0.2">
      <c r="A243" s="1">
        <v>2016</v>
      </c>
      <c r="B243" s="20" t="s">
        <v>1397</v>
      </c>
      <c r="C243" s="23">
        <v>85171</v>
      </c>
      <c r="D243" s="22">
        <v>8.4530000000000006E-5</v>
      </c>
    </row>
    <row r="244" spans="1:4" x14ac:dyDescent="0.2">
      <c r="A244" s="1">
        <v>2016</v>
      </c>
      <c r="B244" s="20" t="s">
        <v>1398</v>
      </c>
      <c r="C244" s="23">
        <v>2325378</v>
      </c>
      <c r="D244" s="22">
        <v>2.3079200000000002E-3</v>
      </c>
    </row>
    <row r="245" spans="1:4" x14ac:dyDescent="0.2">
      <c r="A245" s="1">
        <v>2016</v>
      </c>
      <c r="B245" s="20" t="s">
        <v>1399</v>
      </c>
      <c r="C245" s="23">
        <v>14878</v>
      </c>
      <c r="D245" s="22">
        <v>1.4769999999999999E-5</v>
      </c>
    </row>
    <row r="246" spans="1:4" x14ac:dyDescent="0.2">
      <c r="A246" s="1">
        <v>2016</v>
      </c>
      <c r="B246" s="20" t="s">
        <v>1400</v>
      </c>
      <c r="C246" s="23">
        <v>619523</v>
      </c>
      <c r="D246" s="22">
        <v>6.1487E-4</v>
      </c>
    </row>
    <row r="247" spans="1:4" x14ac:dyDescent="0.2">
      <c r="A247" s="1">
        <v>2016</v>
      </c>
      <c r="B247" s="20" t="s">
        <v>1401</v>
      </c>
      <c r="C247" s="23">
        <v>41350</v>
      </c>
      <c r="D247" s="22">
        <v>4.104E-5</v>
      </c>
    </row>
    <row r="248" spans="1:4" x14ac:dyDescent="0.2">
      <c r="A248" s="1">
        <v>2016</v>
      </c>
      <c r="B248" s="20" t="s">
        <v>1402</v>
      </c>
      <c r="C248" s="23">
        <v>925696</v>
      </c>
      <c r="D248" s="22">
        <v>9.1874999999999997E-4</v>
      </c>
    </row>
    <row r="249" spans="1:4" x14ac:dyDescent="0.2">
      <c r="A249" s="1">
        <v>2016</v>
      </c>
      <c r="B249" s="20" t="s">
        <v>1403</v>
      </c>
      <c r="C249" s="23">
        <v>599075</v>
      </c>
      <c r="D249" s="22">
        <v>5.9458000000000004E-4</v>
      </c>
    </row>
    <row r="250" spans="1:4" x14ac:dyDescent="0.2">
      <c r="A250" s="1">
        <v>2016</v>
      </c>
      <c r="B250" s="20" t="s">
        <v>1404</v>
      </c>
      <c r="C250" s="23">
        <v>3961</v>
      </c>
      <c r="D250" s="22">
        <v>3.9299999999999996E-6</v>
      </c>
    </row>
    <row r="251" spans="1:4" x14ac:dyDescent="0.2">
      <c r="A251" s="1">
        <v>2016</v>
      </c>
      <c r="B251" s="20" t="s">
        <v>1405</v>
      </c>
      <c r="C251" s="23">
        <v>13978</v>
      </c>
      <c r="D251" s="22">
        <v>1.3869999999999999E-5</v>
      </c>
    </row>
    <row r="252" spans="1:4" x14ac:dyDescent="0.2">
      <c r="A252" s="1">
        <v>2016</v>
      </c>
      <c r="B252" s="20" t="s">
        <v>1406</v>
      </c>
      <c r="C252" s="23">
        <v>3192400</v>
      </c>
      <c r="D252" s="22">
        <v>3.1684299999999999E-3</v>
      </c>
    </row>
    <row r="253" spans="1:4" x14ac:dyDescent="0.2">
      <c r="A253" s="1">
        <v>2016</v>
      </c>
      <c r="B253" s="20" t="s">
        <v>1407</v>
      </c>
      <c r="C253" s="23">
        <v>116536</v>
      </c>
      <c r="D253" s="22">
        <v>1.1566E-4</v>
      </c>
    </row>
    <row r="254" spans="1:4" x14ac:dyDescent="0.2">
      <c r="A254" s="1">
        <v>2016</v>
      </c>
      <c r="B254" s="20" t="s">
        <v>1408</v>
      </c>
      <c r="C254" s="23">
        <v>4183706</v>
      </c>
      <c r="D254" s="22">
        <v>4.1522900000000003E-3</v>
      </c>
    </row>
    <row r="255" spans="1:4" x14ac:dyDescent="0.2">
      <c r="A255" s="1">
        <v>2016</v>
      </c>
      <c r="B255" s="20" t="s">
        <v>1409</v>
      </c>
      <c r="C255" s="23">
        <v>5223475</v>
      </c>
      <c r="D255" s="22">
        <v>5.1842499999999996E-3</v>
      </c>
    </row>
    <row r="256" spans="1:4" x14ac:dyDescent="0.2">
      <c r="A256" s="1">
        <v>2016</v>
      </c>
      <c r="B256" s="20" t="s">
        <v>1410</v>
      </c>
      <c r="C256" s="23">
        <v>334049</v>
      </c>
      <c r="D256" s="22">
        <v>3.3154000000000001E-4</v>
      </c>
    </row>
    <row r="257" spans="1:4" x14ac:dyDescent="0.2">
      <c r="A257" s="1">
        <v>2016</v>
      </c>
      <c r="B257" s="20" t="s">
        <v>2029</v>
      </c>
      <c r="C257" s="23">
        <v>63212</v>
      </c>
      <c r="D257" s="22">
        <v>6.2739999999999999E-5</v>
      </c>
    </row>
    <row r="258" spans="1:4" x14ac:dyDescent="0.2">
      <c r="A258" s="1">
        <v>2016</v>
      </c>
      <c r="B258" s="20" t="s">
        <v>1411</v>
      </c>
      <c r="C258" s="23">
        <v>3178632</v>
      </c>
      <c r="D258" s="22">
        <v>3.1547599999999999E-3</v>
      </c>
    </row>
    <row r="259" spans="1:4" x14ac:dyDescent="0.2">
      <c r="A259" s="1">
        <v>2016</v>
      </c>
      <c r="B259" s="20" t="s">
        <v>1412</v>
      </c>
      <c r="C259" s="23">
        <v>1549313</v>
      </c>
      <c r="D259" s="22">
        <v>1.53768E-3</v>
      </c>
    </row>
    <row r="260" spans="1:4" x14ac:dyDescent="0.2">
      <c r="A260" s="1">
        <v>2016</v>
      </c>
      <c r="B260" s="20" t="s">
        <v>1413</v>
      </c>
      <c r="C260" s="23">
        <v>168236</v>
      </c>
      <c r="D260" s="22">
        <v>1.6697000000000001E-4</v>
      </c>
    </row>
    <row r="261" spans="1:4" x14ac:dyDescent="0.2">
      <c r="A261" s="1">
        <v>2016</v>
      </c>
      <c r="B261" s="20" t="s">
        <v>1414</v>
      </c>
      <c r="C261" s="23">
        <v>139193</v>
      </c>
      <c r="D261" s="22">
        <v>1.3815E-4</v>
      </c>
    </row>
    <row r="262" spans="1:4" x14ac:dyDescent="0.2">
      <c r="A262" s="1">
        <v>2016</v>
      </c>
      <c r="B262" s="20" t="s">
        <v>1415</v>
      </c>
      <c r="C262" s="23">
        <v>25711</v>
      </c>
      <c r="D262" s="22">
        <v>2.552E-5</v>
      </c>
    </row>
    <row r="263" spans="1:4" x14ac:dyDescent="0.2">
      <c r="A263" s="1">
        <v>2016</v>
      </c>
      <c r="B263" s="20" t="s">
        <v>1416</v>
      </c>
      <c r="C263" s="23">
        <v>192896</v>
      </c>
      <c r="D263" s="22">
        <v>1.9144999999999999E-4</v>
      </c>
    </row>
    <row r="264" spans="1:4" x14ac:dyDescent="0.2">
      <c r="A264" s="1">
        <v>2016</v>
      </c>
      <c r="B264" s="20" t="s">
        <v>1417</v>
      </c>
      <c r="C264" s="23">
        <v>11766</v>
      </c>
      <c r="D264" s="22">
        <v>1.168E-5</v>
      </c>
    </row>
    <row r="265" spans="1:4" x14ac:dyDescent="0.2">
      <c r="A265" s="1">
        <v>2016</v>
      </c>
      <c r="B265" s="20" t="s">
        <v>1418</v>
      </c>
      <c r="C265" s="23">
        <v>77448</v>
      </c>
      <c r="D265" s="22">
        <v>7.6870000000000001E-5</v>
      </c>
    </row>
    <row r="266" spans="1:4" x14ac:dyDescent="0.2">
      <c r="A266" s="1">
        <v>2016</v>
      </c>
      <c r="B266" s="20" t="s">
        <v>1419</v>
      </c>
      <c r="C266" s="23">
        <v>80898</v>
      </c>
      <c r="D266" s="22">
        <v>8.0290000000000005E-5</v>
      </c>
    </row>
    <row r="267" spans="1:4" x14ac:dyDescent="0.2">
      <c r="A267" s="1">
        <v>2016</v>
      </c>
      <c r="B267" s="20" t="s">
        <v>1420</v>
      </c>
      <c r="C267" s="23">
        <v>1874092</v>
      </c>
      <c r="D267" s="22">
        <v>1.86002E-3</v>
      </c>
    </row>
    <row r="268" spans="1:4" x14ac:dyDescent="0.2">
      <c r="A268" s="1">
        <v>2016</v>
      </c>
      <c r="B268" s="17" t="s">
        <v>1421</v>
      </c>
      <c r="C268" s="18">
        <v>8633</v>
      </c>
      <c r="D268" s="19">
        <v>8.5699999999999993E-6</v>
      </c>
    </row>
    <row r="269" spans="1:4" x14ac:dyDescent="0.2">
      <c r="A269" s="1">
        <v>2016</v>
      </c>
      <c r="B269" s="17" t="s">
        <v>1422</v>
      </c>
      <c r="C269" s="18">
        <v>11543238</v>
      </c>
      <c r="D269" s="19">
        <v>1.1456559999999999E-2</v>
      </c>
    </row>
    <row r="270" spans="1:4" x14ac:dyDescent="0.2">
      <c r="A270" s="1">
        <v>2016</v>
      </c>
      <c r="B270" s="17" t="s">
        <v>1423</v>
      </c>
      <c r="C270" s="18">
        <v>4779395</v>
      </c>
      <c r="D270" s="19">
        <v>4.7435100000000003E-3</v>
      </c>
    </row>
    <row r="271" spans="1:4" x14ac:dyDescent="0.2">
      <c r="A271" s="1">
        <v>2016</v>
      </c>
      <c r="B271" s="17" t="s">
        <v>1424</v>
      </c>
      <c r="C271" s="18">
        <v>130581</v>
      </c>
      <c r="D271" s="19">
        <v>1.2960000000000001E-4</v>
      </c>
    </row>
    <row r="272" spans="1:4" x14ac:dyDescent="0.2">
      <c r="A272" s="1">
        <v>2016</v>
      </c>
      <c r="B272" s="17" t="s">
        <v>1425</v>
      </c>
      <c r="C272" s="18">
        <v>67593</v>
      </c>
      <c r="D272" s="19">
        <v>6.7089999999999996E-5</v>
      </c>
    </row>
    <row r="273" spans="1:4" x14ac:dyDescent="0.2">
      <c r="A273" s="1">
        <v>2016</v>
      </c>
      <c r="B273" s="17" t="s">
        <v>1426</v>
      </c>
      <c r="C273" s="18">
        <v>6647</v>
      </c>
      <c r="D273" s="19">
        <v>6.6000000000000003E-6</v>
      </c>
    </row>
    <row r="274" spans="1:4" x14ac:dyDescent="0.2">
      <c r="A274" s="1">
        <v>2016</v>
      </c>
      <c r="B274" s="17" t="s">
        <v>1427</v>
      </c>
      <c r="C274" s="18">
        <v>184832</v>
      </c>
      <c r="D274" s="19">
        <v>1.8343999999999999E-4</v>
      </c>
    </row>
    <row r="275" spans="1:4" x14ac:dyDescent="0.2">
      <c r="A275" s="1">
        <v>2016</v>
      </c>
      <c r="B275" s="17" t="s">
        <v>1428</v>
      </c>
      <c r="C275" s="18">
        <v>256231</v>
      </c>
      <c r="D275" s="19">
        <v>2.5431E-4</v>
      </c>
    </row>
    <row r="276" spans="1:4" x14ac:dyDescent="0.2">
      <c r="A276" s="1">
        <v>2016</v>
      </c>
      <c r="B276" s="17" t="s">
        <v>1429</v>
      </c>
      <c r="C276" s="18">
        <v>119253</v>
      </c>
      <c r="D276" s="19">
        <v>1.1836E-4</v>
      </c>
    </row>
    <row r="277" spans="1:4" x14ac:dyDescent="0.2">
      <c r="A277" s="1">
        <v>2016</v>
      </c>
      <c r="B277" s="17" t="s">
        <v>1430</v>
      </c>
      <c r="C277" s="18">
        <v>9887</v>
      </c>
      <c r="D277" s="19">
        <v>9.8099999999999992E-6</v>
      </c>
    </row>
    <row r="278" spans="1:4" x14ac:dyDescent="0.2">
      <c r="A278" s="1">
        <v>2016</v>
      </c>
      <c r="B278" s="17" t="s">
        <v>1431</v>
      </c>
      <c r="C278" s="18">
        <v>3588537</v>
      </c>
      <c r="D278" s="19">
        <v>3.5615899999999999E-3</v>
      </c>
    </row>
    <row r="279" spans="1:4" x14ac:dyDescent="0.2">
      <c r="A279" s="1">
        <v>2016</v>
      </c>
      <c r="B279" s="17" t="s">
        <v>1432</v>
      </c>
      <c r="C279" s="18">
        <v>63449</v>
      </c>
      <c r="D279" s="19">
        <v>6.2970000000000002E-5</v>
      </c>
    </row>
    <row r="280" spans="1:4" x14ac:dyDescent="0.2">
      <c r="A280" s="1">
        <v>2016</v>
      </c>
      <c r="B280" s="17" t="s">
        <v>1433</v>
      </c>
      <c r="C280" s="18">
        <v>4320459</v>
      </c>
      <c r="D280" s="19">
        <v>4.28802E-3</v>
      </c>
    </row>
    <row r="281" spans="1:4" x14ac:dyDescent="0.2">
      <c r="A281" s="1">
        <v>2016</v>
      </c>
      <c r="B281" s="17" t="s">
        <v>1434</v>
      </c>
      <c r="C281" s="18">
        <v>37501</v>
      </c>
      <c r="D281" s="19">
        <v>3.7219999999999999E-5</v>
      </c>
    </row>
    <row r="282" spans="1:4" x14ac:dyDescent="0.2">
      <c r="A282" s="1">
        <v>2016</v>
      </c>
      <c r="B282" s="17" t="s">
        <v>1435</v>
      </c>
      <c r="C282" s="18">
        <v>117225</v>
      </c>
      <c r="D282" s="19">
        <v>1.1634E-4</v>
      </c>
    </row>
    <row r="283" spans="1:4" x14ac:dyDescent="0.2">
      <c r="A283" s="1">
        <v>2016</v>
      </c>
      <c r="B283" s="17" t="s">
        <v>1436</v>
      </c>
      <c r="C283" s="18">
        <v>262297</v>
      </c>
      <c r="D283" s="19">
        <v>2.6033000000000002E-4</v>
      </c>
    </row>
    <row r="284" spans="1:4" x14ac:dyDescent="0.2">
      <c r="A284" s="1">
        <v>2016</v>
      </c>
      <c r="B284" s="17" t="s">
        <v>1437</v>
      </c>
      <c r="C284" s="18">
        <v>17781</v>
      </c>
      <c r="D284" s="19">
        <v>1.7649999999999999E-5</v>
      </c>
    </row>
    <row r="285" spans="1:4" x14ac:dyDescent="0.2">
      <c r="A285" s="1">
        <v>2016</v>
      </c>
      <c r="B285" s="17" t="s">
        <v>1438</v>
      </c>
      <c r="C285" s="18">
        <v>1041363</v>
      </c>
      <c r="D285" s="19">
        <v>1.0335399999999999E-3</v>
      </c>
    </row>
    <row r="286" spans="1:4" x14ac:dyDescent="0.2">
      <c r="A286" s="1">
        <v>2016</v>
      </c>
      <c r="B286" s="17" t="s">
        <v>1439</v>
      </c>
      <c r="C286" s="18">
        <v>53834</v>
      </c>
      <c r="D286" s="19">
        <v>5.3430000000000002E-5</v>
      </c>
    </row>
    <row r="287" spans="1:4" x14ac:dyDescent="0.2">
      <c r="A287" s="1">
        <v>2016</v>
      </c>
      <c r="B287" s="17" t="s">
        <v>1440</v>
      </c>
      <c r="C287" s="18">
        <v>870278</v>
      </c>
      <c r="D287" s="19">
        <v>8.6373999999999999E-4</v>
      </c>
    </row>
    <row r="288" spans="1:4" x14ac:dyDescent="0.2">
      <c r="A288" s="1">
        <v>2016</v>
      </c>
      <c r="B288" s="17" t="s">
        <v>1441</v>
      </c>
      <c r="C288" s="18">
        <v>18666</v>
      </c>
      <c r="D288" s="19">
        <v>1.853E-5</v>
      </c>
    </row>
    <row r="289" spans="1:4" x14ac:dyDescent="0.2">
      <c r="A289" s="1">
        <v>2016</v>
      </c>
      <c r="B289" s="17" t="s">
        <v>1442</v>
      </c>
      <c r="C289" s="18">
        <v>28074</v>
      </c>
      <c r="D289" s="19">
        <v>2.7860000000000001E-5</v>
      </c>
    </row>
    <row r="290" spans="1:4" x14ac:dyDescent="0.2">
      <c r="A290" s="1">
        <v>2016</v>
      </c>
      <c r="B290" s="17" t="s">
        <v>1443</v>
      </c>
      <c r="C290" s="18">
        <v>4360771</v>
      </c>
      <c r="D290" s="19">
        <v>4.3280300000000001E-3</v>
      </c>
    </row>
    <row r="291" spans="1:4" x14ac:dyDescent="0.2">
      <c r="A291" s="1">
        <v>2016</v>
      </c>
      <c r="B291" s="17" t="s">
        <v>1444</v>
      </c>
      <c r="C291" s="18">
        <v>4797488</v>
      </c>
      <c r="D291" s="19">
        <v>4.7614600000000003E-3</v>
      </c>
    </row>
    <row r="292" spans="1:4" x14ac:dyDescent="0.2">
      <c r="A292" s="1">
        <v>2016</v>
      </c>
      <c r="B292" s="17" t="s">
        <v>1445</v>
      </c>
      <c r="C292" s="18">
        <v>103223</v>
      </c>
      <c r="D292" s="19">
        <v>1.0245E-4</v>
      </c>
    </row>
    <row r="293" spans="1:4" x14ac:dyDescent="0.2">
      <c r="A293" s="1">
        <v>2016</v>
      </c>
      <c r="B293" s="17" t="s">
        <v>1446</v>
      </c>
      <c r="C293" s="18">
        <v>138244</v>
      </c>
      <c r="D293" s="19">
        <v>1.3721E-4</v>
      </c>
    </row>
    <row r="294" spans="1:4" x14ac:dyDescent="0.2">
      <c r="A294" s="1">
        <v>2016</v>
      </c>
      <c r="B294" s="17" t="s">
        <v>1447</v>
      </c>
      <c r="C294" s="18">
        <v>14175</v>
      </c>
      <c r="D294" s="19">
        <v>1.4070000000000001E-5</v>
      </c>
    </row>
    <row r="295" spans="1:4" x14ac:dyDescent="0.2">
      <c r="A295" s="1">
        <v>2016</v>
      </c>
      <c r="B295" s="17" t="s">
        <v>1448</v>
      </c>
      <c r="C295" s="18">
        <v>8321482</v>
      </c>
      <c r="D295" s="19">
        <v>8.2590000000000007E-3</v>
      </c>
    </row>
    <row r="296" spans="1:4" x14ac:dyDescent="0.2">
      <c r="A296" s="1">
        <v>2016</v>
      </c>
      <c r="B296" s="17" t="s">
        <v>1449</v>
      </c>
      <c r="C296" s="18">
        <v>100787</v>
      </c>
      <c r="D296" s="19">
        <v>1.0003E-4</v>
      </c>
    </row>
    <row r="297" spans="1:4" x14ac:dyDescent="0.2">
      <c r="A297" s="1">
        <v>2016</v>
      </c>
      <c r="B297" s="17" t="s">
        <v>1450</v>
      </c>
      <c r="C297" s="18">
        <v>617712</v>
      </c>
      <c r="D297" s="19">
        <v>6.1306999999999996E-4</v>
      </c>
    </row>
    <row r="298" spans="1:4" x14ac:dyDescent="0.2">
      <c r="A298" s="1">
        <v>2016</v>
      </c>
      <c r="B298" s="17" t="s">
        <v>1451</v>
      </c>
      <c r="C298" s="18">
        <v>418071</v>
      </c>
      <c r="D298" s="19">
        <v>4.1492999999999999E-4</v>
      </c>
    </row>
    <row r="299" spans="1:4" x14ac:dyDescent="0.2">
      <c r="A299" s="1">
        <v>2016</v>
      </c>
      <c r="B299" s="17" t="s">
        <v>1452</v>
      </c>
      <c r="C299" s="18">
        <v>20192</v>
      </c>
      <c r="D299" s="19">
        <v>2.0040000000000001E-5</v>
      </c>
    </row>
    <row r="300" spans="1:4" x14ac:dyDescent="0.2">
      <c r="A300" s="1">
        <v>2016</v>
      </c>
      <c r="B300" s="17" t="s">
        <v>1453</v>
      </c>
      <c r="C300" s="18">
        <v>1120334</v>
      </c>
      <c r="D300" s="19">
        <v>1.11192E-3</v>
      </c>
    </row>
    <row r="301" spans="1:4" x14ac:dyDescent="0.2">
      <c r="A301" s="1">
        <v>2016</v>
      </c>
      <c r="B301" s="17" t="s">
        <v>1454</v>
      </c>
      <c r="C301" s="18">
        <v>449989</v>
      </c>
      <c r="D301" s="19">
        <v>4.4661000000000001E-4</v>
      </c>
    </row>
    <row r="302" spans="1:4" x14ac:dyDescent="0.2">
      <c r="A302" s="1">
        <v>2016</v>
      </c>
      <c r="B302" s="17" t="s">
        <v>1455</v>
      </c>
      <c r="C302" s="18">
        <v>2173228</v>
      </c>
      <c r="D302" s="19">
        <v>2.1569100000000002E-3</v>
      </c>
    </row>
    <row r="303" spans="1:4" x14ac:dyDescent="0.2">
      <c r="A303" s="1">
        <v>2016</v>
      </c>
      <c r="B303" s="17" t="s">
        <v>1456</v>
      </c>
      <c r="C303" s="18">
        <v>624970</v>
      </c>
      <c r="D303" s="19">
        <v>6.2027999999999996E-4</v>
      </c>
    </row>
    <row r="304" spans="1:4" x14ac:dyDescent="0.2">
      <c r="A304" s="1">
        <v>2016</v>
      </c>
      <c r="B304" s="17" t="s">
        <v>1457</v>
      </c>
      <c r="C304" s="18">
        <v>4356</v>
      </c>
      <c r="D304" s="19">
        <v>4.3200000000000001E-6</v>
      </c>
    </row>
    <row r="305" spans="1:4" x14ac:dyDescent="0.2">
      <c r="A305" s="1">
        <v>2016</v>
      </c>
      <c r="B305" s="17" t="s">
        <v>1458</v>
      </c>
      <c r="C305" s="18">
        <v>3353895</v>
      </c>
      <c r="D305" s="19">
        <v>3.3287099999999999E-3</v>
      </c>
    </row>
    <row r="306" spans="1:4" x14ac:dyDescent="0.2">
      <c r="A306" s="1">
        <v>2016</v>
      </c>
      <c r="B306" s="17" t="s">
        <v>1459</v>
      </c>
      <c r="C306" s="18">
        <v>1207567</v>
      </c>
      <c r="D306" s="19">
        <v>1.1984999999999999E-3</v>
      </c>
    </row>
    <row r="307" spans="1:4" x14ac:dyDescent="0.2">
      <c r="A307" s="1">
        <v>2016</v>
      </c>
      <c r="B307" s="17" t="s">
        <v>1460</v>
      </c>
      <c r="C307" s="18">
        <v>32899</v>
      </c>
      <c r="D307" s="19">
        <v>3.2650000000000001E-5</v>
      </c>
    </row>
    <row r="308" spans="1:4" x14ac:dyDescent="0.2">
      <c r="A308" s="1">
        <v>2016</v>
      </c>
      <c r="B308" s="17" t="s">
        <v>1461</v>
      </c>
      <c r="C308" s="18">
        <v>1167954</v>
      </c>
      <c r="D308" s="19">
        <v>1.1591800000000001E-3</v>
      </c>
    </row>
    <row r="309" spans="1:4" x14ac:dyDescent="0.2">
      <c r="A309" s="1">
        <v>2016</v>
      </c>
      <c r="B309" s="17" t="s">
        <v>1462</v>
      </c>
      <c r="C309" s="18">
        <v>1378860</v>
      </c>
      <c r="D309" s="19">
        <v>1.3685100000000001E-3</v>
      </c>
    </row>
    <row r="310" spans="1:4" x14ac:dyDescent="0.2">
      <c r="A310" s="1">
        <v>2016</v>
      </c>
      <c r="B310" s="17" t="s">
        <v>1463</v>
      </c>
      <c r="C310" s="18">
        <v>174069</v>
      </c>
      <c r="D310" s="19">
        <v>1.7275999999999999E-4</v>
      </c>
    </row>
    <row r="311" spans="1:4" x14ac:dyDescent="0.2">
      <c r="A311" s="1">
        <v>2016</v>
      </c>
      <c r="B311" s="17" t="s">
        <v>1464</v>
      </c>
      <c r="C311" s="18">
        <v>3810176</v>
      </c>
      <c r="D311" s="19">
        <v>3.7815700000000002E-3</v>
      </c>
    </row>
    <row r="312" spans="1:4" x14ac:dyDescent="0.2">
      <c r="A312" s="1">
        <v>2016</v>
      </c>
      <c r="B312" s="17" t="s">
        <v>1465</v>
      </c>
      <c r="C312" s="18">
        <v>1360090</v>
      </c>
      <c r="D312" s="19">
        <v>1.3498799999999999E-3</v>
      </c>
    </row>
    <row r="313" spans="1:4" x14ac:dyDescent="0.2">
      <c r="A313" s="1">
        <v>2016</v>
      </c>
      <c r="B313" s="17" t="s">
        <v>1466</v>
      </c>
      <c r="C313" s="18">
        <v>355241</v>
      </c>
      <c r="D313" s="19">
        <v>3.5257000000000002E-4</v>
      </c>
    </row>
    <row r="314" spans="1:4" x14ac:dyDescent="0.2">
      <c r="A314" s="1">
        <v>2016</v>
      </c>
      <c r="B314" s="17" t="s">
        <v>1467</v>
      </c>
      <c r="C314" s="18">
        <v>9184</v>
      </c>
      <c r="D314" s="19">
        <v>9.1200000000000008E-6</v>
      </c>
    </row>
    <row r="315" spans="1:4" x14ac:dyDescent="0.2">
      <c r="A315" s="1">
        <v>2016</v>
      </c>
      <c r="B315" s="17" t="s">
        <v>1468</v>
      </c>
      <c r="C315" s="18">
        <v>422362</v>
      </c>
      <c r="D315" s="19">
        <v>4.1919E-4</v>
      </c>
    </row>
    <row r="316" spans="1:4" x14ac:dyDescent="0.2">
      <c r="A316" s="1">
        <v>2016</v>
      </c>
      <c r="B316" s="17" t="s">
        <v>2030</v>
      </c>
      <c r="C316" s="18">
        <v>325092</v>
      </c>
      <c r="D316" s="19">
        <v>3.2265000000000001E-4</v>
      </c>
    </row>
    <row r="317" spans="1:4" x14ac:dyDescent="0.2">
      <c r="A317" s="1">
        <v>2016</v>
      </c>
      <c r="B317" s="17" t="s">
        <v>1470</v>
      </c>
      <c r="C317" s="18">
        <v>1376565</v>
      </c>
      <c r="D317" s="19">
        <v>1.36623E-3</v>
      </c>
    </row>
    <row r="318" spans="1:4" x14ac:dyDescent="0.2">
      <c r="A318" s="1">
        <v>2016</v>
      </c>
      <c r="B318" s="17" t="s">
        <v>1471</v>
      </c>
      <c r="C318" s="18">
        <v>1062714</v>
      </c>
      <c r="D318" s="19">
        <v>1.05473E-3</v>
      </c>
    </row>
    <row r="319" spans="1:4" x14ac:dyDescent="0.2">
      <c r="A319" s="1">
        <v>2016</v>
      </c>
      <c r="B319" s="17" t="s">
        <v>1472</v>
      </c>
      <c r="C319" s="18">
        <v>46466</v>
      </c>
      <c r="D319" s="19">
        <v>4.6119999999999999E-5</v>
      </c>
    </row>
    <row r="320" spans="1:4" x14ac:dyDescent="0.2">
      <c r="A320" s="1">
        <v>2016</v>
      </c>
      <c r="B320" s="17" t="s">
        <v>1473</v>
      </c>
      <c r="C320" s="18">
        <v>323325</v>
      </c>
      <c r="D320" s="19">
        <v>3.2089999999999999E-4</v>
      </c>
    </row>
    <row r="321" spans="1:4" x14ac:dyDescent="0.2">
      <c r="A321" s="1">
        <v>2016</v>
      </c>
      <c r="B321" s="17" t="s">
        <v>1474</v>
      </c>
      <c r="C321" s="18">
        <v>2719061</v>
      </c>
      <c r="D321" s="19">
        <v>2.69864E-3</v>
      </c>
    </row>
    <row r="322" spans="1:4" x14ac:dyDescent="0.2">
      <c r="A322" s="1">
        <v>2016</v>
      </c>
      <c r="B322" s="17" t="s">
        <v>1475</v>
      </c>
      <c r="C322" s="18">
        <v>512763</v>
      </c>
      <c r="D322" s="19">
        <v>5.0891E-4</v>
      </c>
    </row>
    <row r="323" spans="1:4" x14ac:dyDescent="0.2">
      <c r="A323" s="1">
        <v>2016</v>
      </c>
      <c r="B323" s="17" t="s">
        <v>1476</v>
      </c>
      <c r="C323" s="18">
        <v>2809</v>
      </c>
      <c r="D323" s="19">
        <v>2.79E-6</v>
      </c>
    </row>
    <row r="324" spans="1:4" x14ac:dyDescent="0.2">
      <c r="A324" s="1">
        <v>2016</v>
      </c>
      <c r="B324" s="17" t="s">
        <v>1477</v>
      </c>
      <c r="C324" s="18">
        <v>3916723</v>
      </c>
      <c r="D324" s="19">
        <v>3.8873100000000002E-3</v>
      </c>
    </row>
    <row r="325" spans="1:4" x14ac:dyDescent="0.2">
      <c r="A325" s="1">
        <v>2016</v>
      </c>
      <c r="B325" s="17" t="s">
        <v>1478</v>
      </c>
      <c r="C325" s="18">
        <v>60694</v>
      </c>
      <c r="D325" s="19">
        <v>6.0239999999999999E-5</v>
      </c>
    </row>
    <row r="326" spans="1:4" x14ac:dyDescent="0.2">
      <c r="A326" s="1">
        <v>2016</v>
      </c>
      <c r="B326" s="17" t="s">
        <v>1479</v>
      </c>
      <c r="C326" s="18">
        <v>13161</v>
      </c>
      <c r="D326" s="19">
        <v>1.306E-5</v>
      </c>
    </row>
    <row r="327" spans="1:4" x14ac:dyDescent="0.2">
      <c r="A327" s="1">
        <v>2016</v>
      </c>
      <c r="B327" s="17" t="s">
        <v>1480</v>
      </c>
      <c r="C327" s="18">
        <v>180182</v>
      </c>
      <c r="D327" s="19">
        <v>1.7882999999999999E-4</v>
      </c>
    </row>
    <row r="328" spans="1:4" x14ac:dyDescent="0.2">
      <c r="A328" s="1">
        <v>2016</v>
      </c>
      <c r="B328" s="17" t="s">
        <v>1481</v>
      </c>
      <c r="C328" s="18">
        <v>21937</v>
      </c>
      <c r="D328" s="19">
        <v>2.177E-5</v>
      </c>
    </row>
    <row r="329" spans="1:4" x14ac:dyDescent="0.2">
      <c r="A329" s="1">
        <v>2016</v>
      </c>
      <c r="B329" s="17" t="s">
        <v>1482</v>
      </c>
      <c r="C329" s="18">
        <v>10818390</v>
      </c>
      <c r="D329" s="19">
        <v>1.0737160000000001E-2</v>
      </c>
    </row>
    <row r="330" spans="1:4" x14ac:dyDescent="0.2">
      <c r="A330" s="1">
        <v>2016</v>
      </c>
      <c r="B330" s="17" t="s">
        <v>1483</v>
      </c>
      <c r="C330" s="18">
        <v>691701</v>
      </c>
      <c r="D330" s="19">
        <v>6.8650999999999998E-4</v>
      </c>
    </row>
    <row r="331" spans="1:4" x14ac:dyDescent="0.2">
      <c r="A331" s="1">
        <v>2016</v>
      </c>
      <c r="B331" s="17" t="s">
        <v>1484</v>
      </c>
      <c r="C331" s="18">
        <v>6933735</v>
      </c>
      <c r="D331" s="19">
        <v>6.8816700000000003E-3</v>
      </c>
    </row>
    <row r="332" spans="1:4" x14ac:dyDescent="0.2">
      <c r="A332" s="1">
        <v>2016</v>
      </c>
      <c r="B332" s="17" t="s">
        <v>1485</v>
      </c>
      <c r="C332" s="18">
        <v>4562764</v>
      </c>
      <c r="D332" s="19">
        <v>4.5285000000000004E-3</v>
      </c>
    </row>
    <row r="333" spans="1:4" x14ac:dyDescent="0.2">
      <c r="A333" s="1">
        <v>2016</v>
      </c>
      <c r="B333" s="17" t="s">
        <v>1486</v>
      </c>
      <c r="C333" s="18">
        <v>61635</v>
      </c>
      <c r="D333" s="19">
        <v>6.1169999999999999E-5</v>
      </c>
    </row>
    <row r="334" spans="1:4" x14ac:dyDescent="0.2">
      <c r="A334" s="1">
        <v>2016</v>
      </c>
      <c r="B334" s="17" t="s">
        <v>1487</v>
      </c>
      <c r="C334" s="18">
        <v>147849</v>
      </c>
      <c r="D334" s="19">
        <v>1.4673999999999999E-4</v>
      </c>
    </row>
    <row r="335" spans="1:4" x14ac:dyDescent="0.2">
      <c r="A335" s="1">
        <v>2016</v>
      </c>
      <c r="B335" s="17" t="s">
        <v>1488</v>
      </c>
      <c r="C335" s="18">
        <v>19780</v>
      </c>
      <c r="D335" s="19">
        <v>1.963E-5</v>
      </c>
    </row>
    <row r="336" spans="1:4" x14ac:dyDescent="0.2">
      <c r="A336" s="1">
        <v>2016</v>
      </c>
      <c r="B336" s="17" t="s">
        <v>1489</v>
      </c>
      <c r="C336" s="18">
        <v>462240</v>
      </c>
      <c r="D336" s="19">
        <v>4.5877E-4</v>
      </c>
    </row>
    <row r="337" spans="1:4" x14ac:dyDescent="0.2">
      <c r="A337" s="1">
        <v>2016</v>
      </c>
      <c r="B337" s="17" t="s">
        <v>1490</v>
      </c>
      <c r="C337" s="18">
        <v>98038</v>
      </c>
      <c r="D337" s="19">
        <v>9.7299999999999993E-5</v>
      </c>
    </row>
    <row r="338" spans="1:4" x14ac:dyDescent="0.2">
      <c r="A338" s="1">
        <v>2016</v>
      </c>
      <c r="B338" s="17" t="s">
        <v>1491</v>
      </c>
      <c r="C338" s="18">
        <v>23757819</v>
      </c>
      <c r="D338" s="19">
        <v>2.3579429999999998E-2</v>
      </c>
    </row>
    <row r="339" spans="1:4" x14ac:dyDescent="0.2">
      <c r="A339" s="1">
        <v>2016</v>
      </c>
      <c r="B339" s="17" t="s">
        <v>1492</v>
      </c>
      <c r="C339" s="18">
        <v>789503</v>
      </c>
      <c r="D339" s="19">
        <v>7.8357000000000003E-4</v>
      </c>
    </row>
    <row r="340" spans="1:4" x14ac:dyDescent="0.2">
      <c r="A340" s="1">
        <v>2016</v>
      </c>
      <c r="B340" s="17" t="s">
        <v>1493</v>
      </c>
      <c r="C340" s="18">
        <v>8759100</v>
      </c>
      <c r="D340" s="19">
        <v>8.6933300000000008E-3</v>
      </c>
    </row>
    <row r="341" spans="1:4" x14ac:dyDescent="0.2">
      <c r="A341" s="1">
        <v>2016</v>
      </c>
      <c r="B341" s="17" t="s">
        <v>1494</v>
      </c>
      <c r="C341" s="18">
        <v>319945</v>
      </c>
      <c r="D341" s="19">
        <v>3.1754E-4</v>
      </c>
    </row>
    <row r="342" spans="1:4" x14ac:dyDescent="0.2">
      <c r="A342" s="1">
        <v>2016</v>
      </c>
      <c r="B342" s="17" t="s">
        <v>1495</v>
      </c>
      <c r="C342" s="18">
        <v>323200</v>
      </c>
      <c r="D342" s="19">
        <v>3.2077000000000001E-4</v>
      </c>
    </row>
    <row r="343" spans="1:4" x14ac:dyDescent="0.2">
      <c r="A343" s="1">
        <v>2016</v>
      </c>
      <c r="B343" s="17" t="s">
        <v>1496</v>
      </c>
      <c r="C343" s="18">
        <v>702579</v>
      </c>
      <c r="D343" s="19">
        <v>6.9729999999999998E-4</v>
      </c>
    </row>
    <row r="344" spans="1:4" x14ac:dyDescent="0.2">
      <c r="A344" s="1">
        <v>2016</v>
      </c>
      <c r="B344" s="17" t="s">
        <v>1497</v>
      </c>
      <c r="C344" s="32">
        <v>383351</v>
      </c>
      <c r="D344" s="19">
        <v>3.8046999999999999E-4</v>
      </c>
    </row>
    <row r="345" spans="1:4" x14ac:dyDescent="0.2">
      <c r="A345" s="1">
        <v>2016</v>
      </c>
      <c r="B345" s="17" t="s">
        <v>1498</v>
      </c>
      <c r="C345" s="18">
        <v>1159678</v>
      </c>
      <c r="D345" s="19">
        <v>1.1509700000000001E-3</v>
      </c>
    </row>
    <row r="346" spans="1:4" x14ac:dyDescent="0.2">
      <c r="A346" s="1">
        <v>2016</v>
      </c>
      <c r="B346" s="17" t="s">
        <v>1499</v>
      </c>
      <c r="C346" s="18">
        <v>508912</v>
      </c>
      <c r="D346" s="19">
        <v>5.0509000000000003E-4</v>
      </c>
    </row>
    <row r="347" spans="1:4" x14ac:dyDescent="0.2">
      <c r="A347" s="1">
        <v>2016</v>
      </c>
      <c r="B347" s="17" t="s">
        <v>1500</v>
      </c>
      <c r="C347" s="18">
        <v>621967</v>
      </c>
      <c r="D347" s="19">
        <v>6.1729999999999999E-4</v>
      </c>
    </row>
    <row r="348" spans="1:4" x14ac:dyDescent="0.2">
      <c r="A348" s="1">
        <v>2016</v>
      </c>
      <c r="B348" s="17" t="s">
        <v>1501</v>
      </c>
      <c r="C348" s="18">
        <v>1357600</v>
      </c>
      <c r="D348" s="19">
        <v>1.3474100000000001E-3</v>
      </c>
    </row>
    <row r="349" spans="1:4" x14ac:dyDescent="0.2">
      <c r="A349" s="1">
        <v>2016</v>
      </c>
      <c r="B349" s="17" t="s">
        <v>1502</v>
      </c>
      <c r="C349" s="18">
        <v>20534</v>
      </c>
      <c r="D349" s="19">
        <v>2.0380000000000001E-5</v>
      </c>
    </row>
    <row r="350" spans="1:4" x14ac:dyDescent="0.2">
      <c r="A350" s="1">
        <v>2016</v>
      </c>
      <c r="B350" s="17" t="s">
        <v>1503</v>
      </c>
      <c r="C350" s="18">
        <v>241682</v>
      </c>
      <c r="D350" s="19">
        <v>2.3986999999999999E-4</v>
      </c>
    </row>
    <row r="351" spans="1:4" x14ac:dyDescent="0.2">
      <c r="A351" s="1">
        <v>2016</v>
      </c>
      <c r="B351" s="17" t="s">
        <v>1504</v>
      </c>
      <c r="C351" s="18">
        <v>6167095</v>
      </c>
      <c r="D351" s="19">
        <v>6.1207900000000001E-3</v>
      </c>
    </row>
    <row r="352" spans="1:4" x14ac:dyDescent="0.2">
      <c r="A352" s="1">
        <v>2016</v>
      </c>
      <c r="B352" s="17" t="s">
        <v>1505</v>
      </c>
      <c r="C352" s="18">
        <v>2137519</v>
      </c>
      <c r="D352" s="19">
        <v>2.1214699999999999E-3</v>
      </c>
    </row>
    <row r="353" spans="1:4" x14ac:dyDescent="0.2">
      <c r="A353" s="1">
        <v>2016</v>
      </c>
      <c r="B353" s="17" t="s">
        <v>1506</v>
      </c>
      <c r="C353" s="18">
        <v>3021340</v>
      </c>
      <c r="D353" s="19">
        <v>2.9986499999999998E-3</v>
      </c>
    </row>
    <row r="354" spans="1:4" x14ac:dyDescent="0.2">
      <c r="A354" s="1">
        <v>2016</v>
      </c>
      <c r="B354" s="17" t="s">
        <v>1507</v>
      </c>
      <c r="C354" s="18">
        <v>35970</v>
      </c>
      <c r="D354" s="19">
        <v>3.57E-5</v>
      </c>
    </row>
    <row r="355" spans="1:4" x14ac:dyDescent="0.2">
      <c r="A355" s="1">
        <v>2016</v>
      </c>
      <c r="B355" s="17" t="s">
        <v>1508</v>
      </c>
      <c r="C355" s="18">
        <v>46029</v>
      </c>
      <c r="D355" s="19">
        <v>4.5680000000000003E-5</v>
      </c>
    </row>
    <row r="356" spans="1:4" x14ac:dyDescent="0.2">
      <c r="A356" s="1">
        <v>2016</v>
      </c>
      <c r="B356" s="17" t="s">
        <v>1509</v>
      </c>
      <c r="C356" s="18">
        <v>4763</v>
      </c>
      <c r="D356" s="19">
        <v>4.7299999999999996E-6</v>
      </c>
    </row>
    <row r="357" spans="1:4" x14ac:dyDescent="0.2">
      <c r="A357" s="1">
        <v>2016</v>
      </c>
      <c r="B357" s="17" t="s">
        <v>2031</v>
      </c>
      <c r="C357" s="18">
        <v>332626</v>
      </c>
      <c r="D357" s="19">
        <v>3.3012999999999999E-4</v>
      </c>
    </row>
    <row r="358" spans="1:4" x14ac:dyDescent="0.2">
      <c r="A358" s="1">
        <v>2016</v>
      </c>
      <c r="B358" s="17" t="s">
        <v>1510</v>
      </c>
      <c r="C358" s="18">
        <v>1120115</v>
      </c>
      <c r="D358" s="19">
        <v>1.1117E-3</v>
      </c>
    </row>
    <row r="359" spans="1:4" x14ac:dyDescent="0.2">
      <c r="A359" s="1">
        <v>2016</v>
      </c>
      <c r="B359" s="17" t="s">
        <v>1511</v>
      </c>
      <c r="C359" s="18">
        <v>646063</v>
      </c>
      <c r="D359" s="19">
        <v>6.4121000000000002E-4</v>
      </c>
    </row>
    <row r="360" spans="1:4" x14ac:dyDescent="0.2">
      <c r="A360" s="1">
        <v>2016</v>
      </c>
      <c r="B360" s="17" t="s">
        <v>1512</v>
      </c>
      <c r="C360" s="18">
        <v>20679</v>
      </c>
      <c r="D360" s="19">
        <v>2.052E-5</v>
      </c>
    </row>
    <row r="361" spans="1:4" x14ac:dyDescent="0.2">
      <c r="A361" s="1">
        <v>2016</v>
      </c>
      <c r="B361" s="17" t="s">
        <v>1513</v>
      </c>
      <c r="C361" s="18">
        <v>30463</v>
      </c>
      <c r="D361" s="19">
        <v>3.023E-5</v>
      </c>
    </row>
    <row r="362" spans="1:4" x14ac:dyDescent="0.2">
      <c r="A362" s="1">
        <v>2016</v>
      </c>
      <c r="B362" s="17" t="s">
        <v>1514</v>
      </c>
      <c r="C362" s="18">
        <v>40446</v>
      </c>
      <c r="D362" s="19">
        <v>4.0139999999999999E-5</v>
      </c>
    </row>
    <row r="363" spans="1:4" x14ac:dyDescent="0.2">
      <c r="A363" s="1">
        <v>2016</v>
      </c>
      <c r="B363" s="17" t="s">
        <v>1515</v>
      </c>
      <c r="C363" s="18">
        <v>405980</v>
      </c>
      <c r="D363" s="19">
        <v>4.0293000000000002E-4</v>
      </c>
    </row>
    <row r="364" spans="1:4" x14ac:dyDescent="0.2">
      <c r="A364" s="1">
        <v>2016</v>
      </c>
      <c r="B364" s="17" t="s">
        <v>1516</v>
      </c>
      <c r="C364" s="18">
        <v>1750746</v>
      </c>
      <c r="D364" s="19">
        <v>1.7376E-3</v>
      </c>
    </row>
    <row r="365" spans="1:4" x14ac:dyDescent="0.2">
      <c r="A365" s="1">
        <v>2016</v>
      </c>
      <c r="B365" s="17" t="s">
        <v>1517</v>
      </c>
      <c r="C365" s="18">
        <v>188623</v>
      </c>
      <c r="D365" s="19">
        <v>1.8720999999999999E-4</v>
      </c>
    </row>
    <row r="366" spans="1:4" x14ac:dyDescent="0.2">
      <c r="A366" s="1">
        <v>2016</v>
      </c>
      <c r="B366" s="17" t="s">
        <v>1518</v>
      </c>
      <c r="C366" s="18">
        <v>2269997</v>
      </c>
      <c r="D366" s="19">
        <v>2.2529500000000001E-3</v>
      </c>
    </row>
    <row r="367" spans="1:4" x14ac:dyDescent="0.2">
      <c r="A367" s="1">
        <v>2016</v>
      </c>
      <c r="B367" s="17" t="s">
        <v>1519</v>
      </c>
      <c r="C367" s="18">
        <v>1279269</v>
      </c>
      <c r="D367" s="19">
        <v>1.2696599999999999E-3</v>
      </c>
    </row>
    <row r="368" spans="1:4" x14ac:dyDescent="0.2">
      <c r="A368" s="1">
        <v>2016</v>
      </c>
      <c r="B368" s="17" t="s">
        <v>1520</v>
      </c>
      <c r="C368" s="18">
        <v>3577</v>
      </c>
      <c r="D368" s="19">
        <v>3.5499999999999999E-6</v>
      </c>
    </row>
    <row r="369" spans="1:4" x14ac:dyDescent="0.2">
      <c r="A369" s="1">
        <v>2016</v>
      </c>
      <c r="B369" s="17" t="s">
        <v>2032</v>
      </c>
      <c r="C369" s="18">
        <v>18622</v>
      </c>
      <c r="D369" s="19">
        <v>1.8479999999999999E-5</v>
      </c>
    </row>
    <row r="370" spans="1:4" x14ac:dyDescent="0.2">
      <c r="A370" s="1">
        <v>2016</v>
      </c>
      <c r="B370" s="17" t="s">
        <v>1522</v>
      </c>
      <c r="C370" s="18">
        <v>7538475</v>
      </c>
      <c r="D370" s="19">
        <v>7.4818699999999998E-3</v>
      </c>
    </row>
    <row r="371" spans="1:4" x14ac:dyDescent="0.2">
      <c r="A371" s="1">
        <v>2016</v>
      </c>
      <c r="B371" s="17" t="s">
        <v>1523</v>
      </c>
      <c r="C371" s="18">
        <v>7264</v>
      </c>
      <c r="D371" s="19">
        <v>7.2099999999999996E-6</v>
      </c>
    </row>
    <row r="372" spans="1:4" x14ac:dyDescent="0.2">
      <c r="A372" s="1">
        <v>2016</v>
      </c>
      <c r="B372" s="17" t="s">
        <v>1524</v>
      </c>
      <c r="C372" s="18">
        <v>1906488</v>
      </c>
      <c r="D372" s="19">
        <v>1.8921700000000001E-3</v>
      </c>
    </row>
    <row r="373" spans="1:4" x14ac:dyDescent="0.2">
      <c r="A373" s="1">
        <v>2016</v>
      </c>
      <c r="B373" s="17" t="s">
        <v>1525</v>
      </c>
      <c r="C373" s="18">
        <v>76012</v>
      </c>
      <c r="D373" s="19">
        <v>7.5439999999999996E-5</v>
      </c>
    </row>
    <row r="374" spans="1:4" x14ac:dyDescent="0.2">
      <c r="A374" s="1">
        <v>2016</v>
      </c>
      <c r="B374" s="17" t="s">
        <v>1526</v>
      </c>
      <c r="C374" s="18">
        <v>20557</v>
      </c>
      <c r="D374" s="19">
        <v>2.0400000000000001E-5</v>
      </c>
    </row>
    <row r="375" spans="1:4" x14ac:dyDescent="0.2">
      <c r="A375" s="1">
        <v>2016</v>
      </c>
      <c r="B375" s="17" t="s">
        <v>1527</v>
      </c>
      <c r="C375" s="18">
        <v>5259854</v>
      </c>
      <c r="D375" s="19">
        <v>5.2203600000000003E-3</v>
      </c>
    </row>
    <row r="376" spans="1:4" x14ac:dyDescent="0.2">
      <c r="A376" s="1">
        <v>2016</v>
      </c>
      <c r="B376" s="17" t="s">
        <v>1528</v>
      </c>
      <c r="C376" s="18">
        <v>1766716</v>
      </c>
      <c r="D376" s="19">
        <v>1.7534499999999999E-3</v>
      </c>
    </row>
    <row r="377" spans="1:4" x14ac:dyDescent="0.2">
      <c r="A377" s="1">
        <v>2016</v>
      </c>
      <c r="B377" s="17" t="s">
        <v>1529</v>
      </c>
      <c r="C377" s="18">
        <v>415184</v>
      </c>
      <c r="D377" s="19">
        <v>4.1207E-4</v>
      </c>
    </row>
    <row r="378" spans="1:4" x14ac:dyDescent="0.2">
      <c r="A378" s="1">
        <v>2016</v>
      </c>
      <c r="B378" s="17" t="s">
        <v>1530</v>
      </c>
      <c r="C378" s="18">
        <v>1481</v>
      </c>
      <c r="D378" s="19">
        <v>1.4699999999999999E-6</v>
      </c>
    </row>
    <row r="379" spans="1:4" x14ac:dyDescent="0.2">
      <c r="A379" s="1">
        <v>2016</v>
      </c>
      <c r="B379" s="17" t="s">
        <v>1531</v>
      </c>
      <c r="C379" s="18">
        <v>28020</v>
      </c>
      <c r="D379" s="19">
        <v>2.781E-5</v>
      </c>
    </row>
    <row r="380" spans="1:4" x14ac:dyDescent="0.2">
      <c r="A380" s="1">
        <v>2016</v>
      </c>
      <c r="B380" s="17" t="s">
        <v>1532</v>
      </c>
      <c r="C380" s="18">
        <v>1450192</v>
      </c>
      <c r="D380" s="19">
        <v>1.4392999999999999E-3</v>
      </c>
    </row>
    <row r="381" spans="1:4" x14ac:dyDescent="0.2">
      <c r="A381" s="1">
        <v>2016</v>
      </c>
      <c r="B381" s="17" t="s">
        <v>1533</v>
      </c>
      <c r="C381" s="18">
        <v>140264</v>
      </c>
      <c r="D381" s="19">
        <v>1.3920999999999999E-4</v>
      </c>
    </row>
    <row r="382" spans="1:4" x14ac:dyDescent="0.2">
      <c r="A382" s="1">
        <v>2016</v>
      </c>
      <c r="B382" s="17" t="s">
        <v>1534</v>
      </c>
      <c r="C382" s="18">
        <v>2986740</v>
      </c>
      <c r="D382" s="19">
        <v>2.9643099999999999E-3</v>
      </c>
    </row>
    <row r="383" spans="1:4" x14ac:dyDescent="0.2">
      <c r="A383" s="1">
        <v>2016</v>
      </c>
      <c r="B383" s="17" t="s">
        <v>1535</v>
      </c>
      <c r="C383" s="18">
        <v>52746</v>
      </c>
      <c r="D383" s="19">
        <v>5.2349999999999999E-5</v>
      </c>
    </row>
    <row r="384" spans="1:4" x14ac:dyDescent="0.2">
      <c r="A384" s="1">
        <v>2016</v>
      </c>
      <c r="B384" s="17" t="s">
        <v>1536</v>
      </c>
      <c r="C384" s="18">
        <v>1676099</v>
      </c>
      <c r="D384" s="19">
        <v>1.66351E-3</v>
      </c>
    </row>
    <row r="385" spans="1:4" x14ac:dyDescent="0.2">
      <c r="A385" s="1">
        <v>2016</v>
      </c>
      <c r="B385" s="17" t="s">
        <v>1537</v>
      </c>
      <c r="C385" s="18">
        <v>436437</v>
      </c>
      <c r="D385" s="19">
        <v>4.3315999999999998E-4</v>
      </c>
    </row>
    <row r="386" spans="1:4" x14ac:dyDescent="0.2">
      <c r="A386" s="1">
        <v>2016</v>
      </c>
      <c r="B386" s="17" t="s">
        <v>1538</v>
      </c>
      <c r="C386" s="18">
        <v>2181040</v>
      </c>
      <c r="D386" s="19">
        <v>2.1646600000000001E-3</v>
      </c>
    </row>
    <row r="387" spans="1:4" x14ac:dyDescent="0.2">
      <c r="A387" s="1">
        <v>2016</v>
      </c>
      <c r="B387" s="17" t="s">
        <v>1539</v>
      </c>
      <c r="C387" s="18">
        <v>702375</v>
      </c>
      <c r="D387" s="19">
        <v>6.9709999999999998E-4</v>
      </c>
    </row>
    <row r="388" spans="1:4" x14ac:dyDescent="0.2">
      <c r="A388" s="1">
        <v>2016</v>
      </c>
      <c r="B388" s="17" t="s">
        <v>1540</v>
      </c>
      <c r="C388" s="18">
        <v>52210</v>
      </c>
      <c r="D388" s="19">
        <v>5.1820000000000002E-5</v>
      </c>
    </row>
    <row r="389" spans="1:4" x14ac:dyDescent="0.2">
      <c r="A389" s="1">
        <v>2016</v>
      </c>
      <c r="B389" s="17" t="s">
        <v>1541</v>
      </c>
      <c r="C389" s="18">
        <v>1866262</v>
      </c>
      <c r="D389" s="19">
        <v>1.8522499999999999E-3</v>
      </c>
    </row>
    <row r="390" spans="1:4" x14ac:dyDescent="0.2">
      <c r="A390" s="1">
        <v>2016</v>
      </c>
      <c r="B390" s="17" t="s">
        <v>1542</v>
      </c>
      <c r="C390" s="18">
        <v>3916</v>
      </c>
      <c r="D390" s="19">
        <v>3.89E-6</v>
      </c>
    </row>
    <row r="391" spans="1:4" x14ac:dyDescent="0.2">
      <c r="A391" s="1">
        <v>2016</v>
      </c>
      <c r="B391" s="17" t="s">
        <v>1543</v>
      </c>
      <c r="C391" s="18">
        <v>5452179</v>
      </c>
      <c r="D391" s="19">
        <v>5.4112400000000003E-3</v>
      </c>
    </row>
    <row r="392" spans="1:4" x14ac:dyDescent="0.2">
      <c r="A392" s="1">
        <v>2016</v>
      </c>
      <c r="B392" s="17" t="s">
        <v>1544</v>
      </c>
      <c r="C392" s="18">
        <v>119265</v>
      </c>
      <c r="D392" s="19">
        <v>1.1836999999999999E-4</v>
      </c>
    </row>
    <row r="393" spans="1:4" x14ac:dyDescent="0.2">
      <c r="A393" s="1">
        <v>2016</v>
      </c>
      <c r="B393" s="17" t="s">
        <v>1545</v>
      </c>
      <c r="C393" s="18">
        <v>2021936</v>
      </c>
      <c r="D393" s="19">
        <v>2.0067499999999999E-3</v>
      </c>
    </row>
    <row r="394" spans="1:4" x14ac:dyDescent="0.2">
      <c r="A394" s="1">
        <v>2016</v>
      </c>
      <c r="B394" s="17" t="s">
        <v>1546</v>
      </c>
      <c r="C394" s="18">
        <v>1070008</v>
      </c>
      <c r="D394" s="19">
        <v>1.06197E-3</v>
      </c>
    </row>
    <row r="395" spans="1:4" x14ac:dyDescent="0.2">
      <c r="A395" s="1">
        <v>2016</v>
      </c>
      <c r="B395" s="17" t="s">
        <v>1547</v>
      </c>
      <c r="C395" s="18">
        <v>73795</v>
      </c>
      <c r="D395" s="19">
        <v>7.3239999999999997E-5</v>
      </c>
    </row>
    <row r="396" spans="1:4" x14ac:dyDescent="0.2">
      <c r="A396" s="1">
        <v>2016</v>
      </c>
      <c r="B396" s="17" t="s">
        <v>2053</v>
      </c>
      <c r="C396" s="18">
        <v>280775</v>
      </c>
      <c r="D396" s="19">
        <v>2.7867000000000001E-4</v>
      </c>
    </row>
    <row r="397" spans="1:4" x14ac:dyDescent="0.2">
      <c r="A397" s="1">
        <v>2016</v>
      </c>
      <c r="B397" s="17" t="s">
        <v>2054</v>
      </c>
      <c r="C397" s="18">
        <v>11917</v>
      </c>
      <c r="D397" s="19">
        <v>1.183E-5</v>
      </c>
    </row>
    <row r="398" spans="1:4" x14ac:dyDescent="0.2">
      <c r="A398" s="1">
        <v>2016</v>
      </c>
      <c r="B398" s="17" t="s">
        <v>1550</v>
      </c>
      <c r="C398" s="18">
        <v>245336</v>
      </c>
      <c r="D398" s="19">
        <v>2.4348999999999999E-4</v>
      </c>
    </row>
    <row r="399" spans="1:4" x14ac:dyDescent="0.2">
      <c r="A399" s="1">
        <v>2016</v>
      </c>
      <c r="B399" s="17" t="s">
        <v>1551</v>
      </c>
      <c r="C399" s="18">
        <v>798481</v>
      </c>
      <c r="D399" s="19">
        <v>7.9248999999999997E-4</v>
      </c>
    </row>
    <row r="400" spans="1:4" x14ac:dyDescent="0.2">
      <c r="A400" s="1">
        <v>2016</v>
      </c>
      <c r="B400" s="17" t="s">
        <v>1552</v>
      </c>
      <c r="C400" s="18">
        <v>1712</v>
      </c>
      <c r="D400" s="19">
        <v>1.7E-6</v>
      </c>
    </row>
    <row r="401" spans="1:4" x14ac:dyDescent="0.2">
      <c r="A401" s="1">
        <v>2016</v>
      </c>
      <c r="B401" s="17" t="s">
        <v>1553</v>
      </c>
      <c r="C401" s="18">
        <v>195167</v>
      </c>
      <c r="D401" s="19">
        <v>1.9369999999999999E-4</v>
      </c>
    </row>
    <row r="402" spans="1:4" x14ac:dyDescent="0.2">
      <c r="A402" s="1">
        <v>2016</v>
      </c>
      <c r="B402" s="17" t="s">
        <v>1554</v>
      </c>
      <c r="C402" s="18">
        <v>112269</v>
      </c>
      <c r="D402" s="19">
        <v>1.1143E-4</v>
      </c>
    </row>
    <row r="403" spans="1:4" x14ac:dyDescent="0.2">
      <c r="A403" s="1">
        <v>2016</v>
      </c>
      <c r="B403" s="17" t="s">
        <v>1555</v>
      </c>
      <c r="C403" s="18">
        <v>85208</v>
      </c>
      <c r="D403" s="19">
        <v>8.4569999999999998E-5</v>
      </c>
    </row>
    <row r="404" spans="1:4" x14ac:dyDescent="0.2">
      <c r="A404" s="1">
        <v>2016</v>
      </c>
      <c r="B404" s="17" t="s">
        <v>1556</v>
      </c>
      <c r="C404" s="18">
        <v>56889</v>
      </c>
      <c r="D404" s="19">
        <v>5.6459999999999998E-5</v>
      </c>
    </row>
    <row r="405" spans="1:4" x14ac:dyDescent="0.2">
      <c r="A405" s="1">
        <v>2016</v>
      </c>
      <c r="B405" s="17" t="s">
        <v>1557</v>
      </c>
      <c r="C405" s="18">
        <v>1976620</v>
      </c>
      <c r="D405" s="19">
        <v>1.9617800000000002E-3</v>
      </c>
    </row>
    <row r="406" spans="1:4" x14ac:dyDescent="0.2">
      <c r="A406" s="1">
        <v>2016</v>
      </c>
      <c r="B406" s="17" t="s">
        <v>1558</v>
      </c>
      <c r="C406" s="18">
        <v>837854</v>
      </c>
      <c r="D406" s="19">
        <v>8.3155999999999996E-4</v>
      </c>
    </row>
    <row r="407" spans="1:4" x14ac:dyDescent="0.2">
      <c r="A407" s="1">
        <v>2016</v>
      </c>
      <c r="B407" s="17" t="s">
        <v>1559</v>
      </c>
      <c r="C407" s="18">
        <v>64362</v>
      </c>
      <c r="D407" s="19">
        <v>6.3880000000000005E-5</v>
      </c>
    </row>
    <row r="408" spans="1:4" x14ac:dyDescent="0.2">
      <c r="A408" s="1">
        <v>2016</v>
      </c>
      <c r="B408" s="17" t="s">
        <v>1560</v>
      </c>
      <c r="C408" s="18">
        <v>708040</v>
      </c>
      <c r="D408" s="19">
        <v>7.0271999999999999E-4</v>
      </c>
    </row>
    <row r="409" spans="1:4" x14ac:dyDescent="0.2">
      <c r="A409" s="1">
        <v>2016</v>
      </c>
      <c r="B409" s="17" t="s">
        <v>1561</v>
      </c>
      <c r="C409" s="18">
        <v>2394314</v>
      </c>
      <c r="D409" s="19">
        <v>2.3763399999999998E-3</v>
      </c>
    </row>
    <row r="410" spans="1:4" x14ac:dyDescent="0.2">
      <c r="A410" s="1">
        <v>2016</v>
      </c>
      <c r="B410" s="17" t="s">
        <v>1562</v>
      </c>
      <c r="C410" s="18">
        <v>6549</v>
      </c>
      <c r="D410" s="19">
        <v>6.4999999999999996E-6</v>
      </c>
    </row>
    <row r="411" spans="1:4" x14ac:dyDescent="0.2">
      <c r="A411" s="1">
        <v>2016</v>
      </c>
      <c r="B411" s="17" t="s">
        <v>1563</v>
      </c>
      <c r="C411" s="18">
        <v>8578</v>
      </c>
      <c r="D411" s="19">
        <v>8.5099999999999998E-6</v>
      </c>
    </row>
    <row r="412" spans="1:4" x14ac:dyDescent="0.2">
      <c r="A412" s="1">
        <v>2016</v>
      </c>
      <c r="B412" s="17" t="s">
        <v>1564</v>
      </c>
      <c r="C412" s="18">
        <v>362911</v>
      </c>
      <c r="D412" s="19">
        <v>3.6018999999999998E-4</v>
      </c>
    </row>
    <row r="413" spans="1:4" x14ac:dyDescent="0.2">
      <c r="A413" s="1">
        <v>2016</v>
      </c>
      <c r="B413" s="17" t="s">
        <v>1565</v>
      </c>
      <c r="C413" s="18">
        <v>125364</v>
      </c>
      <c r="D413" s="19">
        <v>1.2442E-4</v>
      </c>
    </row>
    <row r="414" spans="1:4" x14ac:dyDescent="0.2">
      <c r="A414" s="1">
        <v>2016</v>
      </c>
      <c r="B414" s="17" t="s">
        <v>1566</v>
      </c>
      <c r="C414" s="18">
        <v>45690</v>
      </c>
      <c r="D414" s="19">
        <v>4.5349999999999998E-5</v>
      </c>
    </row>
    <row r="415" spans="1:4" x14ac:dyDescent="0.2">
      <c r="A415" s="1">
        <v>2016</v>
      </c>
      <c r="B415" s="17" t="s">
        <v>1567</v>
      </c>
      <c r="C415" s="18">
        <v>2325588</v>
      </c>
      <c r="D415" s="19">
        <v>2.3081299999999998E-3</v>
      </c>
    </row>
    <row r="416" spans="1:4" x14ac:dyDescent="0.2">
      <c r="A416" s="1">
        <v>2016</v>
      </c>
      <c r="B416" s="17" t="s">
        <v>1568</v>
      </c>
      <c r="C416" s="18">
        <v>101924</v>
      </c>
      <c r="D416" s="19">
        <v>1.0116E-4</v>
      </c>
    </row>
    <row r="417" spans="1:4" x14ac:dyDescent="0.2">
      <c r="A417" s="1">
        <v>2016</v>
      </c>
      <c r="B417" s="17" t="s">
        <v>1569</v>
      </c>
      <c r="C417" s="18">
        <v>4410660</v>
      </c>
      <c r="D417" s="19">
        <v>4.3775400000000001E-3</v>
      </c>
    </row>
    <row r="418" spans="1:4" x14ac:dyDescent="0.2">
      <c r="A418" s="1">
        <v>2016</v>
      </c>
      <c r="B418" s="17" t="s">
        <v>1570</v>
      </c>
      <c r="C418" s="18">
        <v>1773053</v>
      </c>
      <c r="D418" s="19">
        <v>1.7597400000000001E-3</v>
      </c>
    </row>
    <row r="419" spans="1:4" x14ac:dyDescent="0.2">
      <c r="A419" s="1">
        <v>2016</v>
      </c>
      <c r="B419" s="17" t="s">
        <v>1571</v>
      </c>
      <c r="C419" s="18">
        <v>227053</v>
      </c>
      <c r="D419" s="19">
        <v>2.2535E-4</v>
      </c>
    </row>
    <row r="420" spans="1:4" x14ac:dyDescent="0.2">
      <c r="A420" s="1">
        <v>2016</v>
      </c>
      <c r="B420" s="17" t="s">
        <v>1572</v>
      </c>
      <c r="C420" s="18">
        <v>3900</v>
      </c>
      <c r="D420" s="19">
        <v>3.8700000000000002E-6</v>
      </c>
    </row>
    <row r="421" spans="1:4" x14ac:dyDescent="0.2">
      <c r="A421" s="1">
        <v>2016</v>
      </c>
      <c r="B421" s="17" t="s">
        <v>1573</v>
      </c>
      <c r="C421" s="18">
        <v>59515</v>
      </c>
      <c r="D421" s="19">
        <v>5.9070000000000002E-5</v>
      </c>
    </row>
    <row r="422" spans="1:4" x14ac:dyDescent="0.2">
      <c r="A422" s="1">
        <v>2016</v>
      </c>
      <c r="B422" s="17" t="s">
        <v>1574</v>
      </c>
      <c r="C422" s="18">
        <v>539737</v>
      </c>
      <c r="D422" s="19">
        <v>5.3567999999999997E-4</v>
      </c>
    </row>
    <row r="423" spans="1:4" x14ac:dyDescent="0.2">
      <c r="A423" s="1">
        <v>2016</v>
      </c>
      <c r="B423" s="17" t="s">
        <v>1575</v>
      </c>
      <c r="C423" s="18">
        <v>16985</v>
      </c>
      <c r="D423" s="19">
        <v>1.6860000000000001E-5</v>
      </c>
    </row>
    <row r="424" spans="1:4" x14ac:dyDescent="0.2">
      <c r="A424" s="1">
        <v>2016</v>
      </c>
      <c r="B424" s="17" t="s">
        <v>1576</v>
      </c>
      <c r="C424" s="18">
        <v>29669</v>
      </c>
      <c r="D424" s="19">
        <v>2.9450000000000001E-5</v>
      </c>
    </row>
    <row r="425" spans="1:4" x14ac:dyDescent="0.2">
      <c r="A425" s="1">
        <v>2016</v>
      </c>
      <c r="B425" s="17" t="s">
        <v>1577</v>
      </c>
      <c r="C425" s="18">
        <v>148567</v>
      </c>
      <c r="D425" s="19">
        <v>1.4745000000000001E-4</v>
      </c>
    </row>
    <row r="426" spans="1:4" x14ac:dyDescent="0.2">
      <c r="A426" s="1">
        <v>2016</v>
      </c>
      <c r="B426" s="17" t="s">
        <v>1578</v>
      </c>
      <c r="C426" s="18">
        <v>73869</v>
      </c>
      <c r="D426" s="19">
        <v>7.3310000000000001E-5</v>
      </c>
    </row>
    <row r="427" spans="1:4" x14ac:dyDescent="0.2">
      <c r="A427" s="1">
        <v>2016</v>
      </c>
      <c r="B427" s="17" t="s">
        <v>1579</v>
      </c>
      <c r="C427" s="18">
        <v>1469571</v>
      </c>
      <c r="D427" s="19">
        <v>1.4585399999999999E-3</v>
      </c>
    </row>
    <row r="428" spans="1:4" x14ac:dyDescent="0.2">
      <c r="A428" s="1">
        <v>2016</v>
      </c>
      <c r="B428" s="17" t="s">
        <v>1580</v>
      </c>
      <c r="C428" s="18">
        <v>170855</v>
      </c>
      <c r="D428" s="19">
        <v>1.6956999999999999E-4</v>
      </c>
    </row>
    <row r="429" spans="1:4" x14ac:dyDescent="0.2">
      <c r="A429" s="1">
        <v>2016</v>
      </c>
      <c r="B429" s="17" t="s">
        <v>1581</v>
      </c>
      <c r="C429" s="18">
        <v>10240838</v>
      </c>
      <c r="D429" s="19">
        <v>1.016394E-2</v>
      </c>
    </row>
    <row r="430" spans="1:4" x14ac:dyDescent="0.2">
      <c r="A430" s="1">
        <v>2016</v>
      </c>
      <c r="B430" s="17" t="s">
        <v>1582</v>
      </c>
      <c r="C430" s="18">
        <v>2585210</v>
      </c>
      <c r="D430" s="19">
        <v>2.5658E-3</v>
      </c>
    </row>
    <row r="431" spans="1:4" x14ac:dyDescent="0.2">
      <c r="A431" s="1">
        <v>2016</v>
      </c>
      <c r="B431" s="17" t="s">
        <v>1583</v>
      </c>
      <c r="C431" s="18">
        <v>38620</v>
      </c>
      <c r="D431" s="19">
        <v>3.8330000000000001E-5</v>
      </c>
    </row>
    <row r="432" spans="1:4" x14ac:dyDescent="0.2">
      <c r="A432" s="1">
        <v>2016</v>
      </c>
      <c r="B432" s="17" t="s">
        <v>1584</v>
      </c>
      <c r="C432" s="18">
        <v>327840</v>
      </c>
      <c r="D432" s="19">
        <v>3.2538000000000001E-4</v>
      </c>
    </row>
    <row r="433" spans="1:4" x14ac:dyDescent="0.2">
      <c r="A433" s="1">
        <v>2016</v>
      </c>
      <c r="B433" s="17" t="s">
        <v>1585</v>
      </c>
      <c r="C433" s="18">
        <v>9083</v>
      </c>
      <c r="D433" s="19">
        <v>9.0100000000000001E-6</v>
      </c>
    </row>
    <row r="434" spans="1:4" x14ac:dyDescent="0.2">
      <c r="A434" s="1">
        <v>2016</v>
      </c>
      <c r="B434" s="17" t="s">
        <v>1586</v>
      </c>
      <c r="C434" s="18">
        <v>294217</v>
      </c>
      <c r="D434" s="19">
        <v>2.9200999999999999E-4</v>
      </c>
    </row>
    <row r="435" spans="1:4" x14ac:dyDescent="0.2">
      <c r="A435" s="1">
        <v>2016</v>
      </c>
      <c r="B435" s="17" t="s">
        <v>1587</v>
      </c>
      <c r="C435" s="18">
        <v>94835</v>
      </c>
      <c r="D435" s="19">
        <v>9.412E-5</v>
      </c>
    </row>
    <row r="436" spans="1:4" x14ac:dyDescent="0.2">
      <c r="A436" s="1">
        <v>2016</v>
      </c>
      <c r="B436" s="17" t="s">
        <v>1588</v>
      </c>
      <c r="C436" s="18">
        <v>7655345</v>
      </c>
      <c r="D436" s="19">
        <v>7.5978599999999997E-3</v>
      </c>
    </row>
    <row r="437" spans="1:4" x14ac:dyDescent="0.2">
      <c r="A437" s="1">
        <v>2016</v>
      </c>
      <c r="B437" s="17" t="s">
        <v>1589</v>
      </c>
      <c r="C437" s="18">
        <v>31502</v>
      </c>
      <c r="D437" s="19">
        <v>3.1269999999999997E-5</v>
      </c>
    </row>
    <row r="438" spans="1:4" x14ac:dyDescent="0.2">
      <c r="A438" s="1">
        <v>2016</v>
      </c>
      <c r="B438" s="17" t="s">
        <v>1590</v>
      </c>
      <c r="C438" s="18">
        <v>11855</v>
      </c>
      <c r="D438" s="19">
        <v>1.1770000000000001E-5</v>
      </c>
    </row>
    <row r="439" spans="1:4" x14ac:dyDescent="0.2">
      <c r="A439" s="1">
        <v>2016</v>
      </c>
      <c r="B439" s="17" t="s">
        <v>1591</v>
      </c>
      <c r="C439" s="18">
        <v>1856683</v>
      </c>
      <c r="D439" s="19">
        <v>1.84274E-3</v>
      </c>
    </row>
    <row r="440" spans="1:4" x14ac:dyDescent="0.2">
      <c r="A440" s="1">
        <v>2016</v>
      </c>
      <c r="B440" s="17" t="s">
        <v>1592</v>
      </c>
      <c r="C440" s="18">
        <v>830423</v>
      </c>
      <c r="D440" s="19">
        <v>8.2419000000000004E-4</v>
      </c>
    </row>
    <row r="441" spans="1:4" x14ac:dyDescent="0.2">
      <c r="A441" s="1">
        <v>2016</v>
      </c>
      <c r="B441" s="17" t="s">
        <v>1593</v>
      </c>
      <c r="C441" s="18">
        <v>5135</v>
      </c>
      <c r="D441" s="19">
        <v>5.1000000000000003E-6</v>
      </c>
    </row>
    <row r="442" spans="1:4" x14ac:dyDescent="0.2">
      <c r="A442" s="1">
        <v>2016</v>
      </c>
      <c r="B442" s="17" t="s">
        <v>1594</v>
      </c>
      <c r="C442" s="18">
        <v>54141</v>
      </c>
      <c r="D442" s="19">
        <v>5.3730000000000002E-5</v>
      </c>
    </row>
    <row r="443" spans="1:4" x14ac:dyDescent="0.2">
      <c r="A443" s="1">
        <v>2016</v>
      </c>
      <c r="B443" s="17" t="s">
        <v>1595</v>
      </c>
      <c r="C443" s="18">
        <v>69118</v>
      </c>
      <c r="D443" s="19">
        <v>6.86E-5</v>
      </c>
    </row>
    <row r="444" spans="1:4" x14ac:dyDescent="0.2">
      <c r="A444" s="1">
        <v>2016</v>
      </c>
      <c r="B444" s="17" t="s">
        <v>1596</v>
      </c>
      <c r="C444" s="18">
        <v>6300</v>
      </c>
      <c r="D444" s="19">
        <v>6.2500000000000003E-6</v>
      </c>
    </row>
    <row r="445" spans="1:4" x14ac:dyDescent="0.2">
      <c r="A445" s="1">
        <v>2016</v>
      </c>
      <c r="B445" s="17" t="s">
        <v>1597</v>
      </c>
      <c r="C445" s="18">
        <v>2322219</v>
      </c>
      <c r="D445" s="19">
        <v>2.3047800000000002E-3</v>
      </c>
    </row>
    <row r="446" spans="1:4" x14ac:dyDescent="0.2">
      <c r="A446" s="1">
        <v>2016</v>
      </c>
      <c r="B446" s="17" t="s">
        <v>1598</v>
      </c>
      <c r="C446" s="18">
        <v>1043632</v>
      </c>
      <c r="D446" s="19">
        <v>1.0357999999999999E-3</v>
      </c>
    </row>
    <row r="447" spans="1:4" x14ac:dyDescent="0.2">
      <c r="A447" s="1">
        <v>2016</v>
      </c>
      <c r="B447" s="17" t="s">
        <v>1599</v>
      </c>
      <c r="C447" s="18">
        <v>17336</v>
      </c>
      <c r="D447" s="19">
        <v>1.721E-5</v>
      </c>
    </row>
    <row r="448" spans="1:4" x14ac:dyDescent="0.2">
      <c r="A448" s="1">
        <v>2016</v>
      </c>
      <c r="B448" s="17" t="s">
        <v>1600</v>
      </c>
      <c r="C448" s="18">
        <v>30372</v>
      </c>
      <c r="D448" s="19">
        <v>3.0139999999999999E-5</v>
      </c>
    </row>
    <row r="449" spans="1:4" x14ac:dyDescent="0.2">
      <c r="A449" s="1">
        <v>2016</v>
      </c>
      <c r="B449" s="17" t="s">
        <v>1601</v>
      </c>
      <c r="C449" s="18">
        <v>973474</v>
      </c>
      <c r="D449" s="19">
        <v>9.6615999999999998E-4</v>
      </c>
    </row>
    <row r="450" spans="1:4" x14ac:dyDescent="0.2">
      <c r="A450" s="1">
        <v>2016</v>
      </c>
      <c r="B450" s="17" t="s">
        <v>1602</v>
      </c>
      <c r="C450" s="18">
        <v>145726</v>
      </c>
      <c r="D450" s="19">
        <v>1.4463E-4</v>
      </c>
    </row>
    <row r="451" spans="1:4" x14ac:dyDescent="0.2">
      <c r="A451" s="1">
        <v>2016</v>
      </c>
      <c r="B451" s="17" t="s">
        <v>1603</v>
      </c>
      <c r="C451" s="18">
        <v>2300074</v>
      </c>
      <c r="D451" s="19">
        <v>2.2828000000000002E-3</v>
      </c>
    </row>
    <row r="452" spans="1:4" x14ac:dyDescent="0.2">
      <c r="A452" s="1">
        <v>2016</v>
      </c>
      <c r="B452" s="17" t="s">
        <v>1604</v>
      </c>
      <c r="C452" s="18">
        <v>7609</v>
      </c>
      <c r="D452" s="19">
        <v>7.5499999999999997E-6</v>
      </c>
    </row>
    <row r="453" spans="1:4" x14ac:dyDescent="0.2">
      <c r="A453" s="1">
        <v>2016</v>
      </c>
      <c r="B453" s="17" t="s">
        <v>1605</v>
      </c>
      <c r="C453" s="18">
        <v>25253</v>
      </c>
      <c r="D453" s="19">
        <v>2.5060000000000001E-5</v>
      </c>
    </row>
    <row r="454" spans="1:4" x14ac:dyDescent="0.2">
      <c r="A454" s="1">
        <v>2016</v>
      </c>
      <c r="B454" s="17" t="s">
        <v>1606</v>
      </c>
      <c r="C454" s="18">
        <v>5783279</v>
      </c>
      <c r="D454" s="19">
        <v>5.7398500000000003E-3</v>
      </c>
    </row>
    <row r="455" spans="1:4" x14ac:dyDescent="0.2">
      <c r="A455" s="1">
        <v>2016</v>
      </c>
      <c r="B455" s="17" t="s">
        <v>1607</v>
      </c>
      <c r="C455" s="18">
        <v>150638</v>
      </c>
      <c r="D455" s="19">
        <v>1.4951E-4</v>
      </c>
    </row>
    <row r="456" spans="1:4" x14ac:dyDescent="0.2">
      <c r="A456" s="1">
        <v>2016</v>
      </c>
      <c r="B456" s="17" t="s">
        <v>1608</v>
      </c>
      <c r="C456" s="18">
        <v>107348</v>
      </c>
      <c r="D456" s="19">
        <v>1.0654000000000001E-4</v>
      </c>
    </row>
    <row r="457" spans="1:4" x14ac:dyDescent="0.2">
      <c r="A457" s="1">
        <v>2016</v>
      </c>
      <c r="B457" s="17" t="s">
        <v>1609</v>
      </c>
      <c r="C457" s="18">
        <v>1725857</v>
      </c>
      <c r="D457" s="19">
        <v>1.7129000000000001E-3</v>
      </c>
    </row>
    <row r="458" spans="1:4" x14ac:dyDescent="0.2">
      <c r="A458" s="1">
        <v>2016</v>
      </c>
      <c r="B458" s="14" t="s">
        <v>1610</v>
      </c>
      <c r="C458" s="15">
        <v>2197300</v>
      </c>
      <c r="D458" s="16">
        <v>2.1808000000000001E-3</v>
      </c>
    </row>
    <row r="459" spans="1:4" x14ac:dyDescent="0.2">
      <c r="A459" s="1">
        <v>2016</v>
      </c>
      <c r="B459" s="14" t="s">
        <v>1611</v>
      </c>
      <c r="C459" s="15">
        <v>2096515</v>
      </c>
      <c r="D459" s="16">
        <v>2.08077E-3</v>
      </c>
    </row>
    <row r="460" spans="1:4" x14ac:dyDescent="0.2">
      <c r="A460" s="1">
        <v>2016</v>
      </c>
      <c r="B460" s="14" t="s">
        <v>1612</v>
      </c>
      <c r="C460" s="15">
        <v>920074</v>
      </c>
      <c r="D460" s="16">
        <v>9.1317000000000004E-4</v>
      </c>
    </row>
    <row r="461" spans="1:4" x14ac:dyDescent="0.2">
      <c r="A461" s="1">
        <v>2016</v>
      </c>
      <c r="B461" s="14" t="s">
        <v>1613</v>
      </c>
      <c r="C461" s="15">
        <v>341721</v>
      </c>
      <c r="D461" s="16">
        <v>3.3916000000000003E-4</v>
      </c>
    </row>
    <row r="462" spans="1:4" x14ac:dyDescent="0.2">
      <c r="A462" s="1">
        <v>2016</v>
      </c>
      <c r="B462" s="14" t="s">
        <v>1614</v>
      </c>
      <c r="C462" s="15">
        <v>2621756</v>
      </c>
      <c r="D462" s="16">
        <v>2.6020700000000002E-3</v>
      </c>
    </row>
    <row r="463" spans="1:4" x14ac:dyDescent="0.2">
      <c r="A463" s="1">
        <v>2016</v>
      </c>
      <c r="B463" s="14" t="s">
        <v>1615</v>
      </c>
      <c r="C463" s="15">
        <v>2486179</v>
      </c>
      <c r="D463" s="16">
        <v>2.46751E-3</v>
      </c>
    </row>
    <row r="464" spans="1:4" x14ac:dyDescent="0.2">
      <c r="A464" s="1">
        <v>2016</v>
      </c>
      <c r="B464" s="14" t="s">
        <v>1616</v>
      </c>
      <c r="C464" s="15">
        <v>293152</v>
      </c>
      <c r="D464" s="16">
        <v>2.9095E-4</v>
      </c>
    </row>
    <row r="465" spans="1:4" x14ac:dyDescent="0.2">
      <c r="A465" s="1">
        <v>2016</v>
      </c>
      <c r="B465" s="14" t="s">
        <v>1617</v>
      </c>
      <c r="C465" s="15">
        <v>5213407</v>
      </c>
      <c r="D465" s="16">
        <v>5.17426E-3</v>
      </c>
    </row>
    <row r="466" spans="1:4" x14ac:dyDescent="0.2">
      <c r="A466" s="1">
        <v>2016</v>
      </c>
      <c r="B466" s="14" t="s">
        <v>1618</v>
      </c>
      <c r="C466" s="15">
        <v>69098</v>
      </c>
      <c r="D466" s="16">
        <v>6.8579999999999997E-5</v>
      </c>
    </row>
    <row r="467" spans="1:4" x14ac:dyDescent="0.2">
      <c r="A467" s="1">
        <v>2016</v>
      </c>
      <c r="B467" s="14" t="s">
        <v>1619</v>
      </c>
      <c r="C467" s="15">
        <v>19736</v>
      </c>
      <c r="D467" s="16">
        <v>1.959E-5</v>
      </c>
    </row>
    <row r="468" spans="1:4" x14ac:dyDescent="0.2">
      <c r="A468" s="1">
        <v>2016</v>
      </c>
      <c r="B468" s="14" t="s">
        <v>1620</v>
      </c>
      <c r="C468" s="15">
        <v>173098</v>
      </c>
      <c r="D468" s="16">
        <v>1.718E-4</v>
      </c>
    </row>
    <row r="469" spans="1:4" x14ac:dyDescent="0.2">
      <c r="A469" s="1">
        <v>2016</v>
      </c>
      <c r="B469" s="14" t="s">
        <v>1621</v>
      </c>
      <c r="C469" s="15">
        <v>23540</v>
      </c>
      <c r="D469" s="16">
        <v>2.336E-5</v>
      </c>
    </row>
    <row r="470" spans="1:4" x14ac:dyDescent="0.2">
      <c r="A470" s="1">
        <v>2016</v>
      </c>
      <c r="B470" s="14" t="s">
        <v>1622</v>
      </c>
      <c r="C470" s="15">
        <v>273115</v>
      </c>
      <c r="D470" s="16">
        <v>2.7106E-4</v>
      </c>
    </row>
    <row r="471" spans="1:4" x14ac:dyDescent="0.2">
      <c r="A471" s="1">
        <v>2016</v>
      </c>
      <c r="B471" s="14" t="s">
        <v>1623</v>
      </c>
      <c r="C471" s="15">
        <v>1432963</v>
      </c>
      <c r="D471" s="16">
        <v>1.4222E-3</v>
      </c>
    </row>
    <row r="472" spans="1:4" x14ac:dyDescent="0.2">
      <c r="A472" s="1">
        <v>2016</v>
      </c>
      <c r="B472" s="14" t="s">
        <v>1624</v>
      </c>
      <c r="C472" s="15">
        <v>2590395</v>
      </c>
      <c r="D472" s="16">
        <v>2.5709399999999999E-3</v>
      </c>
    </row>
    <row r="473" spans="1:4" x14ac:dyDescent="0.2">
      <c r="A473" s="1">
        <v>2016</v>
      </c>
      <c r="B473" s="14" t="s">
        <v>1625</v>
      </c>
      <c r="C473" s="15">
        <v>585610</v>
      </c>
      <c r="D473" s="16">
        <v>5.8120999999999997E-4</v>
      </c>
    </row>
    <row r="474" spans="1:4" x14ac:dyDescent="0.2">
      <c r="A474" s="1">
        <v>2016</v>
      </c>
      <c r="B474" s="14" t="s">
        <v>1626</v>
      </c>
      <c r="C474" s="15">
        <v>477078</v>
      </c>
      <c r="D474" s="16">
        <v>4.7350000000000002E-4</v>
      </c>
    </row>
    <row r="475" spans="1:4" x14ac:dyDescent="0.2">
      <c r="A475" s="1">
        <v>2016</v>
      </c>
      <c r="B475" s="14" t="s">
        <v>1627</v>
      </c>
      <c r="C475" s="15">
        <v>8455</v>
      </c>
      <c r="D475" s="16">
        <v>8.3899999999999993E-6</v>
      </c>
    </row>
    <row r="476" spans="1:4" x14ac:dyDescent="0.2">
      <c r="A476" s="1">
        <v>2016</v>
      </c>
      <c r="B476" s="14" t="s">
        <v>1628</v>
      </c>
      <c r="C476" s="15">
        <v>4963158</v>
      </c>
      <c r="D476" s="16">
        <v>4.9258899999999996E-3</v>
      </c>
    </row>
    <row r="477" spans="1:4" x14ac:dyDescent="0.2">
      <c r="A477" s="1">
        <v>2016</v>
      </c>
      <c r="B477" s="14" t="s">
        <v>1629</v>
      </c>
      <c r="C477" s="15">
        <v>2916151</v>
      </c>
      <c r="D477" s="16">
        <v>2.8942500000000001E-3</v>
      </c>
    </row>
    <row r="478" spans="1:4" x14ac:dyDescent="0.2">
      <c r="A478" s="1">
        <v>2016</v>
      </c>
      <c r="B478" s="14" t="s">
        <v>1630</v>
      </c>
      <c r="C478" s="15">
        <v>555561</v>
      </c>
      <c r="D478" s="16">
        <v>5.5139000000000002E-4</v>
      </c>
    </row>
    <row r="479" spans="1:4" x14ac:dyDescent="0.2">
      <c r="A479" s="1">
        <v>2016</v>
      </c>
      <c r="B479" s="14" t="s">
        <v>1631</v>
      </c>
      <c r="C479" s="15">
        <v>251358</v>
      </c>
      <c r="D479" s="16">
        <v>2.4947000000000001E-4</v>
      </c>
    </row>
    <row r="480" spans="1:4" x14ac:dyDescent="0.2">
      <c r="A480" s="1">
        <v>2016</v>
      </c>
      <c r="B480" s="14" t="s">
        <v>1632</v>
      </c>
      <c r="C480" s="15">
        <v>9760692</v>
      </c>
      <c r="D480" s="16">
        <v>9.6874000000000005E-3</v>
      </c>
    </row>
    <row r="481" spans="1:4" x14ac:dyDescent="0.2">
      <c r="A481" s="1">
        <v>2016</v>
      </c>
      <c r="B481" s="14" t="s">
        <v>1633</v>
      </c>
      <c r="C481" s="15">
        <v>747113</v>
      </c>
      <c r="D481" s="16">
        <v>7.4149999999999997E-4</v>
      </c>
    </row>
    <row r="482" spans="1:4" x14ac:dyDescent="0.2">
      <c r="A482" s="1">
        <v>2016</v>
      </c>
      <c r="B482" s="14" t="s">
        <v>1634</v>
      </c>
      <c r="C482" s="15">
        <v>32477321</v>
      </c>
      <c r="D482" s="16">
        <v>3.2233459999999999E-2</v>
      </c>
    </row>
    <row r="483" spans="1:4" x14ac:dyDescent="0.2">
      <c r="A483" s="1">
        <v>2016</v>
      </c>
      <c r="B483" s="14" t="s">
        <v>1635</v>
      </c>
      <c r="C483" s="15">
        <v>7913</v>
      </c>
      <c r="D483" s="16">
        <v>7.8499999999999994E-6</v>
      </c>
    </row>
    <row r="484" spans="1:4" x14ac:dyDescent="0.2">
      <c r="A484" s="1">
        <v>2016</v>
      </c>
      <c r="B484" s="14" t="s">
        <v>1636</v>
      </c>
      <c r="C484" s="15">
        <v>1783049</v>
      </c>
      <c r="D484" s="16">
        <v>1.7696599999999999E-3</v>
      </c>
    </row>
    <row r="485" spans="1:4" x14ac:dyDescent="0.2">
      <c r="A485" s="1">
        <v>2016</v>
      </c>
      <c r="B485" s="14" t="s">
        <v>1637</v>
      </c>
      <c r="C485" s="15">
        <v>1058405</v>
      </c>
      <c r="D485" s="16">
        <v>1.05046E-3</v>
      </c>
    </row>
    <row r="486" spans="1:4" x14ac:dyDescent="0.2">
      <c r="A486" s="1">
        <v>2016</v>
      </c>
      <c r="B486" s="14" t="s">
        <v>2033</v>
      </c>
      <c r="C486" s="15">
        <v>380692</v>
      </c>
      <c r="D486" s="16">
        <v>3.7783000000000001E-4</v>
      </c>
    </row>
    <row r="487" spans="1:4" x14ac:dyDescent="0.2">
      <c r="A487" s="1">
        <v>2016</v>
      </c>
      <c r="B487" s="14" t="s">
        <v>2034</v>
      </c>
      <c r="C487" s="15">
        <v>277154</v>
      </c>
      <c r="D487" s="16">
        <v>2.7506999999999998E-4</v>
      </c>
    </row>
    <row r="488" spans="1:4" x14ac:dyDescent="0.2">
      <c r="A488" s="1">
        <v>2016</v>
      </c>
      <c r="B488" s="14" t="s">
        <v>1640</v>
      </c>
      <c r="C488" s="15">
        <v>111758</v>
      </c>
      <c r="D488" s="16">
        <v>1.1092E-4</v>
      </c>
    </row>
    <row r="489" spans="1:4" x14ac:dyDescent="0.2">
      <c r="A489" s="1">
        <v>2016</v>
      </c>
      <c r="B489" s="14" t="s">
        <v>1641</v>
      </c>
      <c r="C489" s="15">
        <v>66453</v>
      </c>
      <c r="D489" s="16">
        <v>6.5950000000000004E-5</v>
      </c>
    </row>
    <row r="490" spans="1:4" x14ac:dyDescent="0.2">
      <c r="A490" s="1">
        <v>2016</v>
      </c>
      <c r="B490" s="14" t="s">
        <v>1642</v>
      </c>
      <c r="C490" s="15">
        <v>209681</v>
      </c>
      <c r="D490" s="16">
        <v>2.0811000000000001E-4</v>
      </c>
    </row>
    <row r="491" spans="1:4" x14ac:dyDescent="0.2">
      <c r="A491" s="1">
        <v>2016</v>
      </c>
      <c r="B491" s="14" t="s">
        <v>1643</v>
      </c>
      <c r="C491" s="15">
        <v>820192</v>
      </c>
      <c r="D491" s="16">
        <v>8.1402999999999998E-4</v>
      </c>
    </row>
    <row r="492" spans="1:4" x14ac:dyDescent="0.2">
      <c r="A492" s="1">
        <v>2016</v>
      </c>
      <c r="B492" s="14" t="s">
        <v>1644</v>
      </c>
      <c r="C492" s="15">
        <v>2035428</v>
      </c>
      <c r="D492" s="16">
        <v>2.0201400000000001E-3</v>
      </c>
    </row>
    <row r="493" spans="1:4" x14ac:dyDescent="0.2">
      <c r="A493" s="1">
        <v>2016</v>
      </c>
      <c r="B493" s="14" t="s">
        <v>1645</v>
      </c>
      <c r="C493" s="15">
        <v>27279</v>
      </c>
      <c r="D493" s="16">
        <v>2.707E-5</v>
      </c>
    </row>
    <row r="494" spans="1:4" x14ac:dyDescent="0.2">
      <c r="A494" s="1">
        <v>2016</v>
      </c>
      <c r="B494" s="14" t="s">
        <v>1646</v>
      </c>
      <c r="C494" s="15">
        <v>13989</v>
      </c>
      <c r="D494" s="16">
        <v>1.3879999999999999E-5</v>
      </c>
    </row>
    <row r="495" spans="1:4" x14ac:dyDescent="0.2">
      <c r="A495" s="1">
        <v>2016</v>
      </c>
      <c r="B495" s="14" t="s">
        <v>2035</v>
      </c>
      <c r="C495" s="15">
        <v>13868</v>
      </c>
      <c r="D495" s="16">
        <v>1.376E-5</v>
      </c>
    </row>
    <row r="496" spans="1:4" x14ac:dyDescent="0.2">
      <c r="A496" s="1">
        <v>2016</v>
      </c>
      <c r="B496" s="17" t="s">
        <v>1648</v>
      </c>
      <c r="C496" s="18">
        <v>186943</v>
      </c>
      <c r="D496" s="19">
        <v>1.8553999999999999E-4</v>
      </c>
    </row>
    <row r="497" spans="1:4" x14ac:dyDescent="0.2">
      <c r="A497" s="1">
        <v>2016</v>
      </c>
      <c r="B497" s="17" t="s">
        <v>1649</v>
      </c>
      <c r="C497" s="18">
        <v>71427</v>
      </c>
      <c r="D497" s="19">
        <v>7.0889999999999994E-5</v>
      </c>
    </row>
    <row r="498" spans="1:4" x14ac:dyDescent="0.2">
      <c r="A498" s="1">
        <v>2016</v>
      </c>
      <c r="B498" s="17" t="s">
        <v>1650</v>
      </c>
      <c r="C498" s="18">
        <v>95239</v>
      </c>
      <c r="D498" s="19">
        <v>9.4519999999999996E-5</v>
      </c>
    </row>
    <row r="499" spans="1:4" x14ac:dyDescent="0.2">
      <c r="A499" s="1">
        <v>2016</v>
      </c>
      <c r="B499" s="17" t="s">
        <v>1651</v>
      </c>
      <c r="C499" s="18">
        <v>15356</v>
      </c>
      <c r="D499" s="19">
        <v>1.524E-5</v>
      </c>
    </row>
    <row r="500" spans="1:4" x14ac:dyDescent="0.2">
      <c r="A500" s="1">
        <v>2016</v>
      </c>
      <c r="B500" s="17" t="s">
        <v>1652</v>
      </c>
      <c r="C500" s="18">
        <v>1952308</v>
      </c>
      <c r="D500" s="19">
        <v>1.93765E-3</v>
      </c>
    </row>
    <row r="501" spans="1:4" x14ac:dyDescent="0.2">
      <c r="A501" s="1">
        <v>2016</v>
      </c>
      <c r="B501" s="17" t="s">
        <v>1653</v>
      </c>
      <c r="C501" s="18">
        <v>987622</v>
      </c>
      <c r="D501" s="19">
        <v>9.8021000000000002E-4</v>
      </c>
    </row>
    <row r="502" spans="1:4" x14ac:dyDescent="0.2">
      <c r="A502" s="1">
        <v>2016</v>
      </c>
      <c r="B502" s="17" t="s">
        <v>1654</v>
      </c>
      <c r="C502" s="18">
        <v>18002751</v>
      </c>
      <c r="D502" s="19">
        <v>1.7867569999999999E-2</v>
      </c>
    </row>
    <row r="503" spans="1:4" x14ac:dyDescent="0.2">
      <c r="A503" s="1">
        <v>2016</v>
      </c>
      <c r="B503" s="17" t="s">
        <v>1655</v>
      </c>
      <c r="C503" s="18">
        <v>1908596</v>
      </c>
      <c r="D503" s="19">
        <v>1.89426E-3</v>
      </c>
    </row>
    <row r="504" spans="1:4" x14ac:dyDescent="0.2">
      <c r="A504" s="1">
        <v>2016</v>
      </c>
      <c r="B504" s="17" t="s">
        <v>1656</v>
      </c>
      <c r="C504" s="18">
        <v>916841</v>
      </c>
      <c r="D504" s="19">
        <v>9.0996000000000002E-4</v>
      </c>
    </row>
    <row r="505" spans="1:4" x14ac:dyDescent="0.2">
      <c r="A505" s="1">
        <v>2016</v>
      </c>
      <c r="B505" s="17" t="s">
        <v>1657</v>
      </c>
      <c r="C505" s="18">
        <v>5873719</v>
      </c>
      <c r="D505" s="19">
        <v>5.8296099999999998E-3</v>
      </c>
    </row>
    <row r="506" spans="1:4" x14ac:dyDescent="0.2">
      <c r="A506" s="1">
        <v>2016</v>
      </c>
      <c r="B506" s="17" t="s">
        <v>1659</v>
      </c>
      <c r="C506" s="18">
        <v>3469512</v>
      </c>
      <c r="D506" s="19">
        <v>3.4434600000000002E-3</v>
      </c>
    </row>
    <row r="507" spans="1:4" x14ac:dyDescent="0.2">
      <c r="A507" s="1">
        <v>2016</v>
      </c>
      <c r="B507" s="17" t="s">
        <v>1660</v>
      </c>
      <c r="C507" s="18">
        <v>239593</v>
      </c>
      <c r="D507" s="19">
        <v>2.3779000000000001E-4</v>
      </c>
    </row>
    <row r="508" spans="1:4" x14ac:dyDescent="0.2">
      <c r="A508" s="1">
        <v>2016</v>
      </c>
      <c r="B508" s="17" t="s">
        <v>1661</v>
      </c>
      <c r="C508" s="18">
        <v>953652</v>
      </c>
      <c r="D508" s="19">
        <v>9.4649000000000003E-4</v>
      </c>
    </row>
    <row r="509" spans="1:4" x14ac:dyDescent="0.2">
      <c r="A509" s="1">
        <v>2016</v>
      </c>
      <c r="B509" s="17" t="s">
        <v>1662</v>
      </c>
      <c r="C509" s="18">
        <v>237016</v>
      </c>
      <c r="D509" s="19">
        <v>2.3524E-4</v>
      </c>
    </row>
    <row r="510" spans="1:4" x14ac:dyDescent="0.2">
      <c r="A510" s="1">
        <v>2016</v>
      </c>
      <c r="B510" s="17" t="s">
        <v>1663</v>
      </c>
      <c r="C510" s="18">
        <v>25028</v>
      </c>
      <c r="D510" s="19">
        <v>2.4839999999999999E-5</v>
      </c>
    </row>
    <row r="511" spans="1:4" x14ac:dyDescent="0.2">
      <c r="A511" s="1">
        <v>2016</v>
      </c>
      <c r="B511" s="17" t="s">
        <v>1665</v>
      </c>
      <c r="C511" s="18">
        <v>308714</v>
      </c>
      <c r="D511" s="19">
        <v>3.0640000000000002E-4</v>
      </c>
    </row>
    <row r="512" spans="1:4" x14ac:dyDescent="0.2">
      <c r="A512" s="1">
        <v>2016</v>
      </c>
      <c r="B512" s="17" t="s">
        <v>1666</v>
      </c>
      <c r="C512" s="18">
        <v>193552</v>
      </c>
      <c r="D512" s="19">
        <v>1.9210000000000001E-4</v>
      </c>
    </row>
    <row r="513" spans="1:4" x14ac:dyDescent="0.2">
      <c r="A513" s="1">
        <v>2016</v>
      </c>
      <c r="B513" s="17" t="s">
        <v>2036</v>
      </c>
      <c r="C513" s="18">
        <v>222706</v>
      </c>
      <c r="D513" s="19">
        <v>2.2102999999999999E-4</v>
      </c>
    </row>
    <row r="514" spans="1:4" x14ac:dyDescent="0.2">
      <c r="A514" s="1">
        <v>2016</v>
      </c>
      <c r="B514" s="17" t="s">
        <v>2037</v>
      </c>
      <c r="C514" s="18">
        <v>468794</v>
      </c>
      <c r="D514" s="19">
        <v>4.6527E-4</v>
      </c>
    </row>
    <row r="515" spans="1:4" x14ac:dyDescent="0.2">
      <c r="A515" s="1">
        <v>2016</v>
      </c>
      <c r="B515" s="17" t="s">
        <v>2038</v>
      </c>
      <c r="C515" s="18">
        <v>82549</v>
      </c>
      <c r="D515" s="19">
        <v>8.1929999999999997E-5</v>
      </c>
    </row>
    <row r="516" spans="1:4" x14ac:dyDescent="0.2">
      <c r="A516" s="1">
        <v>2016</v>
      </c>
      <c r="B516" s="17" t="s">
        <v>1669</v>
      </c>
      <c r="C516" s="18">
        <v>186615</v>
      </c>
      <c r="D516" s="19">
        <v>1.8521E-4</v>
      </c>
    </row>
    <row r="517" spans="1:4" x14ac:dyDescent="0.2">
      <c r="A517" s="1">
        <v>2016</v>
      </c>
      <c r="B517" s="17" t="s">
        <v>1670</v>
      </c>
      <c r="C517" s="18">
        <v>109452</v>
      </c>
      <c r="D517" s="19">
        <v>1.0863E-4</v>
      </c>
    </row>
    <row r="518" spans="1:4" x14ac:dyDescent="0.2">
      <c r="A518" s="1">
        <v>2016</v>
      </c>
      <c r="B518" s="17" t="s">
        <v>1671</v>
      </c>
      <c r="C518" s="18">
        <v>445922</v>
      </c>
      <c r="D518" s="19">
        <v>4.4256999999999999E-4</v>
      </c>
    </row>
    <row r="519" spans="1:4" x14ac:dyDescent="0.2">
      <c r="A519" s="1">
        <v>2016</v>
      </c>
      <c r="B519" s="17" t="s">
        <v>1672</v>
      </c>
      <c r="C519" s="18">
        <v>2345662</v>
      </c>
      <c r="D519" s="19">
        <v>2.3280499999999999E-3</v>
      </c>
    </row>
    <row r="520" spans="1:4" x14ac:dyDescent="0.2">
      <c r="A520" s="1">
        <v>2016</v>
      </c>
      <c r="B520" s="17" t="s">
        <v>1673</v>
      </c>
      <c r="C520" s="18">
        <v>2522492</v>
      </c>
      <c r="D520" s="19">
        <v>2.5035499999999998E-3</v>
      </c>
    </row>
    <row r="521" spans="1:4" x14ac:dyDescent="0.2">
      <c r="A521" s="1">
        <v>2016</v>
      </c>
      <c r="B521" s="17" t="s">
        <v>1674</v>
      </c>
      <c r="C521" s="18">
        <v>16249</v>
      </c>
      <c r="D521" s="19">
        <v>1.613E-5</v>
      </c>
    </row>
    <row r="522" spans="1:4" x14ac:dyDescent="0.2">
      <c r="A522" s="1">
        <v>2016</v>
      </c>
      <c r="B522" s="17" t="s">
        <v>1675</v>
      </c>
      <c r="C522" s="18">
        <v>95922</v>
      </c>
      <c r="D522" s="19">
        <v>9.5199999999999997E-5</v>
      </c>
    </row>
    <row r="523" spans="1:4" x14ac:dyDescent="0.2">
      <c r="A523" s="1">
        <v>2016</v>
      </c>
      <c r="B523" s="17" t="s">
        <v>1676</v>
      </c>
      <c r="C523" s="18">
        <v>23371</v>
      </c>
      <c r="D523" s="19">
        <v>2.3200000000000001E-5</v>
      </c>
    </row>
    <row r="524" spans="1:4" x14ac:dyDescent="0.2">
      <c r="A524" s="1">
        <v>2016</v>
      </c>
      <c r="B524" s="17" t="s">
        <v>1677</v>
      </c>
      <c r="C524" s="18">
        <v>1170886</v>
      </c>
      <c r="D524" s="19">
        <v>1.16209E-3</v>
      </c>
    </row>
    <row r="525" spans="1:4" x14ac:dyDescent="0.2">
      <c r="A525" s="1">
        <v>2016</v>
      </c>
      <c r="B525" s="17" t="s">
        <v>1678</v>
      </c>
      <c r="C525" s="18">
        <v>74010</v>
      </c>
      <c r="D525" s="19">
        <v>7.3449999999999996E-5</v>
      </c>
    </row>
    <row r="526" spans="1:4" x14ac:dyDescent="0.2">
      <c r="A526" s="1">
        <v>2016</v>
      </c>
      <c r="B526" s="17" t="s">
        <v>1679</v>
      </c>
      <c r="C526" s="18">
        <v>299262</v>
      </c>
      <c r="D526" s="19">
        <v>2.9701E-4</v>
      </c>
    </row>
    <row r="527" spans="1:4" x14ac:dyDescent="0.2">
      <c r="A527" s="1">
        <v>2016</v>
      </c>
      <c r="B527" s="17" t="s">
        <v>1680</v>
      </c>
      <c r="C527" s="18">
        <v>114347</v>
      </c>
      <c r="D527" s="19">
        <v>1.1349E-4</v>
      </c>
    </row>
    <row r="528" spans="1:4" x14ac:dyDescent="0.2">
      <c r="A528" s="1">
        <v>2016</v>
      </c>
      <c r="B528" s="17" t="s">
        <v>1681</v>
      </c>
      <c r="C528" s="18">
        <v>3073348</v>
      </c>
      <c r="D528" s="19">
        <v>3.0502699999999999E-3</v>
      </c>
    </row>
    <row r="529" spans="1:4" x14ac:dyDescent="0.2">
      <c r="A529" s="1">
        <v>2016</v>
      </c>
      <c r="B529" s="17" t="s">
        <v>1682</v>
      </c>
      <c r="C529" s="18">
        <v>9112</v>
      </c>
      <c r="D529" s="19">
        <v>9.0399999999999998E-6</v>
      </c>
    </row>
    <row r="530" spans="1:4" x14ac:dyDescent="0.2">
      <c r="A530" s="1">
        <v>2016</v>
      </c>
      <c r="B530" s="17" t="s">
        <v>1683</v>
      </c>
      <c r="C530" s="18">
        <v>2333869</v>
      </c>
      <c r="D530" s="19">
        <v>2.3163400000000001E-3</v>
      </c>
    </row>
    <row r="531" spans="1:4" x14ac:dyDescent="0.2">
      <c r="A531" s="1">
        <v>2016</v>
      </c>
      <c r="B531" s="17" t="s">
        <v>1684</v>
      </c>
      <c r="C531" s="18">
        <v>599510</v>
      </c>
      <c r="D531" s="19">
        <v>5.9500999999999998E-4</v>
      </c>
    </row>
    <row r="532" spans="1:4" x14ac:dyDescent="0.2">
      <c r="A532" s="1">
        <v>2016</v>
      </c>
      <c r="B532" s="17" t="s">
        <v>1685</v>
      </c>
      <c r="C532" s="18">
        <v>27657</v>
      </c>
      <c r="D532" s="19">
        <v>2.745E-5</v>
      </c>
    </row>
    <row r="533" spans="1:4" x14ac:dyDescent="0.2">
      <c r="A533" s="1">
        <v>2016</v>
      </c>
      <c r="B533" s="17" t="s">
        <v>1686</v>
      </c>
      <c r="C533" s="18">
        <v>4341</v>
      </c>
      <c r="D533" s="19">
        <v>4.3100000000000002E-6</v>
      </c>
    </row>
    <row r="534" spans="1:4" x14ac:dyDescent="0.2">
      <c r="A534" s="1">
        <v>2016</v>
      </c>
      <c r="B534" s="17" t="s">
        <v>1687</v>
      </c>
      <c r="C534" s="18">
        <v>988961</v>
      </c>
      <c r="D534" s="19">
        <v>9.8153999999999993E-4</v>
      </c>
    </row>
    <row r="535" spans="1:4" x14ac:dyDescent="0.2">
      <c r="A535" s="1">
        <v>2016</v>
      </c>
      <c r="B535" s="17" t="s">
        <v>1688</v>
      </c>
      <c r="C535" s="18">
        <v>76812</v>
      </c>
      <c r="D535" s="19">
        <v>7.6240000000000002E-5</v>
      </c>
    </row>
    <row r="536" spans="1:4" x14ac:dyDescent="0.2">
      <c r="A536" s="1">
        <v>2016</v>
      </c>
      <c r="B536" s="17" t="s">
        <v>1689</v>
      </c>
      <c r="C536" s="18">
        <v>536839</v>
      </c>
      <c r="D536" s="19">
        <v>5.3280999999999999E-4</v>
      </c>
    </row>
    <row r="537" spans="1:4" x14ac:dyDescent="0.2">
      <c r="A537" s="1">
        <v>2016</v>
      </c>
      <c r="B537" s="17" t="s">
        <v>1690</v>
      </c>
      <c r="C537" s="18">
        <v>503806</v>
      </c>
      <c r="D537" s="19">
        <v>5.0002E-4</v>
      </c>
    </row>
    <row r="538" spans="1:4" x14ac:dyDescent="0.2">
      <c r="A538" s="1">
        <v>2016</v>
      </c>
      <c r="B538" s="17" t="s">
        <v>1691</v>
      </c>
      <c r="C538" s="18">
        <v>1769429</v>
      </c>
      <c r="D538" s="19">
        <v>1.75614E-3</v>
      </c>
    </row>
    <row r="539" spans="1:4" x14ac:dyDescent="0.2">
      <c r="A539" s="1">
        <v>2016</v>
      </c>
      <c r="B539" s="17" t="s">
        <v>1692</v>
      </c>
      <c r="C539" s="18">
        <v>40866</v>
      </c>
      <c r="D539" s="19">
        <v>4.0559999999999998E-5</v>
      </c>
    </row>
    <row r="540" spans="1:4" x14ac:dyDescent="0.2">
      <c r="A540" s="1">
        <v>2016</v>
      </c>
      <c r="B540" s="17" t="s">
        <v>1693</v>
      </c>
      <c r="C540" s="18">
        <v>21670</v>
      </c>
      <c r="D540" s="19">
        <v>2.1509999999999999E-5</v>
      </c>
    </row>
    <row r="541" spans="1:4" x14ac:dyDescent="0.2">
      <c r="A541" s="1">
        <v>2016</v>
      </c>
      <c r="B541" s="17" t="s">
        <v>1694</v>
      </c>
      <c r="C541" s="18">
        <v>220277</v>
      </c>
      <c r="D541" s="19">
        <v>2.1861999999999999E-4</v>
      </c>
    </row>
    <row r="542" spans="1:4" x14ac:dyDescent="0.2">
      <c r="A542" s="1">
        <v>2016</v>
      </c>
      <c r="B542" s="17" t="s">
        <v>1695</v>
      </c>
      <c r="C542" s="18">
        <v>1513999</v>
      </c>
      <c r="D542" s="19">
        <v>1.50263E-3</v>
      </c>
    </row>
    <row r="543" spans="1:4" x14ac:dyDescent="0.2">
      <c r="A543" s="1">
        <v>2016</v>
      </c>
      <c r="B543" s="17" t="s">
        <v>1696</v>
      </c>
      <c r="C543" s="18">
        <v>480758</v>
      </c>
      <c r="D543" s="19">
        <v>4.7715000000000002E-4</v>
      </c>
    </row>
    <row r="544" spans="1:4" x14ac:dyDescent="0.2">
      <c r="A544" s="1">
        <v>2016</v>
      </c>
      <c r="B544" s="17" t="s">
        <v>1697</v>
      </c>
      <c r="C544" s="18">
        <v>2421</v>
      </c>
      <c r="D544" s="19">
        <v>2.3999999999999999E-6</v>
      </c>
    </row>
    <row r="545" spans="1:4" x14ac:dyDescent="0.2">
      <c r="A545" s="1">
        <v>2016</v>
      </c>
      <c r="B545" s="17" t="s">
        <v>1698</v>
      </c>
      <c r="C545" s="18">
        <v>859333</v>
      </c>
      <c r="D545" s="19">
        <v>8.5287999999999998E-4</v>
      </c>
    </row>
    <row r="546" spans="1:4" x14ac:dyDescent="0.2">
      <c r="A546" s="1">
        <v>2016</v>
      </c>
      <c r="B546" s="17" t="s">
        <v>1699</v>
      </c>
      <c r="C546" s="18">
        <v>8581</v>
      </c>
      <c r="D546" s="19">
        <v>8.5199999999999997E-6</v>
      </c>
    </row>
    <row r="547" spans="1:4" x14ac:dyDescent="0.2">
      <c r="A547" s="1">
        <v>2016</v>
      </c>
      <c r="B547" s="17" t="s">
        <v>1700</v>
      </c>
      <c r="C547" s="18">
        <v>1123555</v>
      </c>
      <c r="D547" s="19">
        <v>1.11512E-3</v>
      </c>
    </row>
    <row r="548" spans="1:4" x14ac:dyDescent="0.2">
      <c r="A548" s="1">
        <v>2016</v>
      </c>
      <c r="B548" s="17" t="s">
        <v>1701</v>
      </c>
      <c r="C548" s="18">
        <v>717979</v>
      </c>
      <c r="D548" s="19">
        <v>7.1259000000000003E-4</v>
      </c>
    </row>
    <row r="549" spans="1:4" x14ac:dyDescent="0.2">
      <c r="A549" s="1">
        <v>2016</v>
      </c>
      <c r="B549" s="17" t="s">
        <v>1702</v>
      </c>
      <c r="C549" s="18">
        <v>4704074</v>
      </c>
      <c r="D549" s="19">
        <v>4.6687500000000002E-3</v>
      </c>
    </row>
    <row r="550" spans="1:4" x14ac:dyDescent="0.2">
      <c r="A550" s="1">
        <v>2016</v>
      </c>
      <c r="B550" s="17" t="s">
        <v>1703</v>
      </c>
      <c r="C550" s="18">
        <v>1370570</v>
      </c>
      <c r="D550" s="19">
        <v>1.36028E-3</v>
      </c>
    </row>
    <row r="551" spans="1:4" x14ac:dyDescent="0.2">
      <c r="A551" s="1">
        <v>2016</v>
      </c>
      <c r="B551" s="17" t="s">
        <v>1704</v>
      </c>
      <c r="C551" s="18">
        <v>1721415</v>
      </c>
      <c r="D551" s="19">
        <v>1.70849E-3</v>
      </c>
    </row>
    <row r="552" spans="1:4" x14ac:dyDescent="0.2">
      <c r="A552" s="1">
        <v>2016</v>
      </c>
      <c r="B552" s="17" t="s">
        <v>1705</v>
      </c>
      <c r="C552" s="18">
        <v>3365806</v>
      </c>
      <c r="D552" s="19">
        <v>3.34053E-3</v>
      </c>
    </row>
    <row r="553" spans="1:4" x14ac:dyDescent="0.2">
      <c r="A553" s="1">
        <v>2016</v>
      </c>
      <c r="B553" s="17" t="s">
        <v>1706</v>
      </c>
      <c r="C553" s="18">
        <v>1027724</v>
      </c>
      <c r="D553" s="19">
        <v>1.02001E-3</v>
      </c>
    </row>
    <row r="554" spans="1:4" x14ac:dyDescent="0.2">
      <c r="A554" s="1">
        <v>2016</v>
      </c>
      <c r="B554" s="17" t="s">
        <v>1707</v>
      </c>
      <c r="C554" s="18">
        <v>1356467</v>
      </c>
      <c r="D554" s="19">
        <v>1.34628E-3</v>
      </c>
    </row>
    <row r="555" spans="1:4" x14ac:dyDescent="0.2">
      <c r="A555" s="1">
        <v>2016</v>
      </c>
      <c r="B555" s="17" t="s">
        <v>1708</v>
      </c>
      <c r="C555" s="18">
        <v>45531</v>
      </c>
      <c r="D555" s="19">
        <v>4.5189999999999999E-5</v>
      </c>
    </row>
    <row r="556" spans="1:4" x14ac:dyDescent="0.2">
      <c r="A556" s="1">
        <v>2016</v>
      </c>
      <c r="B556" s="17" t="s">
        <v>1709</v>
      </c>
      <c r="C556" s="18">
        <v>2315002</v>
      </c>
      <c r="D556" s="19">
        <v>2.2976199999999998E-3</v>
      </c>
    </row>
    <row r="557" spans="1:4" x14ac:dyDescent="0.2">
      <c r="A557" s="1">
        <v>2016</v>
      </c>
      <c r="B557" s="17" t="s">
        <v>1710</v>
      </c>
      <c r="C557" s="18">
        <v>65403</v>
      </c>
      <c r="D557" s="19">
        <v>6.491E-5</v>
      </c>
    </row>
    <row r="558" spans="1:4" x14ac:dyDescent="0.2">
      <c r="A558" s="1">
        <v>2016</v>
      </c>
      <c r="B558" s="17" t="s">
        <v>1711</v>
      </c>
      <c r="C558" s="18">
        <v>4781675</v>
      </c>
      <c r="D558" s="19">
        <v>4.7457699999999998E-3</v>
      </c>
    </row>
    <row r="559" spans="1:4" x14ac:dyDescent="0.2">
      <c r="A559" s="1">
        <v>2016</v>
      </c>
      <c r="B559" s="17" t="s">
        <v>1712</v>
      </c>
      <c r="C559" s="18">
        <v>31705</v>
      </c>
      <c r="D559" s="19">
        <v>3.1470000000000002E-5</v>
      </c>
    </row>
    <row r="560" spans="1:4" x14ac:dyDescent="0.2">
      <c r="A560" s="1">
        <v>2016</v>
      </c>
      <c r="B560" s="17" t="s">
        <v>1713</v>
      </c>
      <c r="C560" s="18">
        <v>1437331</v>
      </c>
      <c r="D560" s="19">
        <v>1.42654E-3</v>
      </c>
    </row>
    <row r="561" spans="1:4" x14ac:dyDescent="0.2">
      <c r="A561" s="1">
        <v>2016</v>
      </c>
      <c r="B561" s="17" t="s">
        <v>1714</v>
      </c>
      <c r="C561" s="18">
        <v>332140</v>
      </c>
      <c r="D561" s="19">
        <v>3.2965000000000002E-4</v>
      </c>
    </row>
    <row r="562" spans="1:4" x14ac:dyDescent="0.2">
      <c r="A562" s="1">
        <v>2016</v>
      </c>
      <c r="B562" s="17" t="s">
        <v>2039</v>
      </c>
      <c r="C562" s="18">
        <v>1212</v>
      </c>
      <c r="D562" s="19">
        <v>1.1999999999999999E-6</v>
      </c>
    </row>
    <row r="563" spans="1:4" x14ac:dyDescent="0.2">
      <c r="A563" s="1">
        <v>2016</v>
      </c>
      <c r="B563" s="17" t="s">
        <v>1715</v>
      </c>
      <c r="C563" s="18">
        <v>7329</v>
      </c>
      <c r="D563" s="19">
        <v>7.2699999999999999E-6</v>
      </c>
    </row>
    <row r="564" spans="1:4" x14ac:dyDescent="0.2">
      <c r="A564" s="1">
        <v>2016</v>
      </c>
      <c r="B564" s="17" t="s">
        <v>1716</v>
      </c>
      <c r="C564" s="18">
        <v>38101</v>
      </c>
      <c r="D564" s="19">
        <v>3.7809999999999999E-5</v>
      </c>
    </row>
    <row r="565" spans="1:4" x14ac:dyDescent="0.2">
      <c r="A565" s="1">
        <v>2016</v>
      </c>
      <c r="B565" s="17" t="s">
        <v>1717</v>
      </c>
      <c r="C565" s="18">
        <v>12346</v>
      </c>
      <c r="D565" s="19">
        <v>1.225E-5</v>
      </c>
    </row>
    <row r="566" spans="1:4" x14ac:dyDescent="0.2">
      <c r="A566" s="1">
        <v>2016</v>
      </c>
      <c r="B566" s="17" t="s">
        <v>1718</v>
      </c>
      <c r="C566" s="18">
        <v>1100006</v>
      </c>
      <c r="D566" s="19">
        <v>1.0917500000000001E-3</v>
      </c>
    </row>
    <row r="567" spans="1:4" x14ac:dyDescent="0.2">
      <c r="A567" s="1">
        <v>2016</v>
      </c>
      <c r="B567" s="17" t="s">
        <v>1719</v>
      </c>
      <c r="C567" s="18">
        <v>4450614</v>
      </c>
      <c r="D567" s="19">
        <v>4.4171999999999996E-3</v>
      </c>
    </row>
    <row r="568" spans="1:4" x14ac:dyDescent="0.2">
      <c r="A568" s="1">
        <v>2016</v>
      </c>
      <c r="B568" s="17" t="s">
        <v>1720</v>
      </c>
      <c r="C568" s="18">
        <v>303243</v>
      </c>
      <c r="D568" s="19">
        <v>3.0097000000000001E-4</v>
      </c>
    </row>
    <row r="569" spans="1:4" x14ac:dyDescent="0.2">
      <c r="A569" s="1">
        <v>2016</v>
      </c>
      <c r="B569" s="17" t="s">
        <v>1721</v>
      </c>
      <c r="C569" s="18">
        <v>195323</v>
      </c>
      <c r="D569" s="19">
        <v>1.9385999999999999E-4</v>
      </c>
    </row>
    <row r="570" spans="1:4" x14ac:dyDescent="0.2">
      <c r="A570" s="1">
        <v>2016</v>
      </c>
      <c r="B570" s="17" t="s">
        <v>1722</v>
      </c>
      <c r="C570" s="18">
        <v>169174</v>
      </c>
      <c r="D570" s="19">
        <v>1.6789999999999999E-4</v>
      </c>
    </row>
    <row r="571" spans="1:4" x14ac:dyDescent="0.2">
      <c r="A571" s="1">
        <v>2016</v>
      </c>
      <c r="B571" s="17" t="s">
        <v>1723</v>
      </c>
      <c r="C571" s="18">
        <v>166982</v>
      </c>
      <c r="D571" s="19">
        <v>1.6573E-4</v>
      </c>
    </row>
    <row r="572" spans="1:4" x14ac:dyDescent="0.2">
      <c r="A572" s="1">
        <v>2016</v>
      </c>
      <c r="B572" s="17" t="s">
        <v>1724</v>
      </c>
      <c r="C572" s="18">
        <v>565531</v>
      </c>
      <c r="D572" s="19">
        <v>5.6128000000000005E-4</v>
      </c>
    </row>
    <row r="573" spans="1:4" x14ac:dyDescent="0.2">
      <c r="A573" s="1">
        <v>2016</v>
      </c>
      <c r="B573" s="17" t="s">
        <v>1725</v>
      </c>
      <c r="C573" s="18">
        <v>999334</v>
      </c>
      <c r="D573" s="19">
        <v>9.9182999999999997E-4</v>
      </c>
    </row>
    <row r="574" spans="1:4" x14ac:dyDescent="0.2">
      <c r="A574" s="1">
        <v>2016</v>
      </c>
      <c r="B574" s="17" t="s">
        <v>1726</v>
      </c>
      <c r="C574" s="18">
        <v>34238</v>
      </c>
      <c r="D574" s="19">
        <v>3.3980000000000003E-5</v>
      </c>
    </row>
    <row r="575" spans="1:4" x14ac:dyDescent="0.2">
      <c r="A575" s="1">
        <v>2016</v>
      </c>
      <c r="B575" s="17" t="s">
        <v>1727</v>
      </c>
      <c r="C575" s="18">
        <v>2882644</v>
      </c>
      <c r="D575" s="19">
        <v>2.8609999999999998E-3</v>
      </c>
    </row>
    <row r="576" spans="1:4" x14ac:dyDescent="0.2">
      <c r="A576" s="1">
        <v>2016</v>
      </c>
      <c r="B576" s="17" t="s">
        <v>1728</v>
      </c>
      <c r="C576" s="18">
        <v>25571</v>
      </c>
      <c r="D576" s="19">
        <v>2.5380000000000001E-5</v>
      </c>
    </row>
    <row r="577" spans="1:4" x14ac:dyDescent="0.2">
      <c r="A577" s="1">
        <v>2016</v>
      </c>
      <c r="B577" s="17" t="s">
        <v>1729</v>
      </c>
      <c r="C577" s="18">
        <v>2304776</v>
      </c>
      <c r="D577" s="19">
        <v>2.2874700000000002E-3</v>
      </c>
    </row>
    <row r="578" spans="1:4" x14ac:dyDescent="0.2">
      <c r="A578" s="1">
        <v>2016</v>
      </c>
      <c r="B578" s="17" t="s">
        <v>1730</v>
      </c>
      <c r="C578" s="18">
        <v>254674</v>
      </c>
      <c r="D578" s="19">
        <v>2.5275999999999999E-4</v>
      </c>
    </row>
    <row r="579" spans="1:4" x14ac:dyDescent="0.2">
      <c r="A579" s="1">
        <v>2016</v>
      </c>
      <c r="B579" s="17" t="s">
        <v>1731</v>
      </c>
      <c r="C579" s="18">
        <v>89033</v>
      </c>
      <c r="D579" s="19">
        <v>8.8360000000000001E-5</v>
      </c>
    </row>
    <row r="580" spans="1:4" x14ac:dyDescent="0.2">
      <c r="A580" s="1">
        <v>2016</v>
      </c>
      <c r="B580" s="17" t="s">
        <v>1732</v>
      </c>
      <c r="C580" s="18">
        <v>3594298</v>
      </c>
      <c r="D580" s="19">
        <v>3.5673100000000002E-3</v>
      </c>
    </row>
    <row r="581" spans="1:4" x14ac:dyDescent="0.2">
      <c r="A581" s="1">
        <v>2016</v>
      </c>
      <c r="B581" s="17" t="s">
        <v>1733</v>
      </c>
      <c r="C581" s="18">
        <v>27682</v>
      </c>
      <c r="D581" s="19">
        <v>2.747E-5</v>
      </c>
    </row>
    <row r="582" spans="1:4" x14ac:dyDescent="0.2">
      <c r="A582" s="1">
        <v>2016</v>
      </c>
      <c r="B582" s="17" t="s">
        <v>1734</v>
      </c>
      <c r="C582" s="18">
        <v>1085429</v>
      </c>
      <c r="D582" s="19">
        <v>1.0772799999999999E-3</v>
      </c>
    </row>
    <row r="583" spans="1:4" x14ac:dyDescent="0.2">
      <c r="A583" s="1">
        <v>2016</v>
      </c>
      <c r="B583" s="17" t="s">
        <v>1735</v>
      </c>
      <c r="C583" s="18">
        <v>3931</v>
      </c>
      <c r="D583" s="19">
        <v>3.8999999999999999E-6</v>
      </c>
    </row>
    <row r="584" spans="1:4" x14ac:dyDescent="0.2">
      <c r="A584" s="1">
        <v>2016</v>
      </c>
      <c r="B584" s="17" t="s">
        <v>1736</v>
      </c>
      <c r="C584" s="18">
        <v>1636510</v>
      </c>
      <c r="D584" s="19">
        <v>1.62422E-3</v>
      </c>
    </row>
    <row r="585" spans="1:4" x14ac:dyDescent="0.2">
      <c r="A585" s="1">
        <v>2016</v>
      </c>
      <c r="B585" s="17" t="s">
        <v>1737</v>
      </c>
      <c r="C585" s="18">
        <v>8295836</v>
      </c>
      <c r="D585" s="19">
        <v>8.2335399999999993E-3</v>
      </c>
    </row>
    <row r="586" spans="1:4" x14ac:dyDescent="0.2">
      <c r="A586" s="1">
        <v>2016</v>
      </c>
      <c r="B586" s="17" t="s">
        <v>1738</v>
      </c>
      <c r="C586" s="18">
        <v>384207</v>
      </c>
      <c r="D586" s="19">
        <v>3.8131999999999999E-4</v>
      </c>
    </row>
    <row r="587" spans="1:4" x14ac:dyDescent="0.2">
      <c r="A587" s="1">
        <v>2016</v>
      </c>
      <c r="B587" s="17" t="s">
        <v>1739</v>
      </c>
      <c r="C587" s="18">
        <v>1747600</v>
      </c>
      <c r="D587" s="19">
        <v>1.73448E-3</v>
      </c>
    </row>
    <row r="588" spans="1:4" x14ac:dyDescent="0.2">
      <c r="A588" s="1">
        <v>2016</v>
      </c>
      <c r="B588" s="17" t="s">
        <v>1740</v>
      </c>
      <c r="C588" s="18">
        <v>201515</v>
      </c>
      <c r="D588" s="19">
        <v>2.0000000000000001E-4</v>
      </c>
    </row>
    <row r="589" spans="1:4" x14ac:dyDescent="0.2">
      <c r="A589" s="1">
        <v>2016</v>
      </c>
      <c r="B589" s="17" t="s">
        <v>1741</v>
      </c>
      <c r="C589" s="18">
        <v>1465628</v>
      </c>
      <c r="D589" s="19">
        <v>1.45462E-3</v>
      </c>
    </row>
    <row r="590" spans="1:4" x14ac:dyDescent="0.2">
      <c r="A590" s="1">
        <v>2016</v>
      </c>
      <c r="B590" s="17" t="s">
        <v>1742</v>
      </c>
      <c r="C590" s="18">
        <v>3136067</v>
      </c>
      <c r="D590" s="19">
        <v>3.1125200000000001E-3</v>
      </c>
    </row>
    <row r="591" spans="1:4" x14ac:dyDescent="0.2">
      <c r="A591" s="1">
        <v>2016</v>
      </c>
      <c r="B591" s="17" t="s">
        <v>1743</v>
      </c>
      <c r="C591" s="18">
        <v>26903</v>
      </c>
      <c r="D591" s="19">
        <v>2.6699999999999998E-5</v>
      </c>
    </row>
    <row r="592" spans="1:4" x14ac:dyDescent="0.2">
      <c r="A592" s="1">
        <v>2016</v>
      </c>
      <c r="B592" s="17" t="s">
        <v>1744</v>
      </c>
      <c r="C592" s="18">
        <v>2165755</v>
      </c>
      <c r="D592" s="19">
        <v>2.14949E-3</v>
      </c>
    </row>
    <row r="593" spans="1:4" x14ac:dyDescent="0.2">
      <c r="A593" s="1">
        <v>2016</v>
      </c>
      <c r="B593" s="17" t="s">
        <v>1745</v>
      </c>
      <c r="C593" s="18">
        <v>1331592</v>
      </c>
      <c r="D593" s="19">
        <v>1.3215900000000001E-3</v>
      </c>
    </row>
    <row r="594" spans="1:4" x14ac:dyDescent="0.2">
      <c r="A594" s="1">
        <v>2016</v>
      </c>
      <c r="B594" s="17" t="s">
        <v>1746</v>
      </c>
      <c r="C594" s="18">
        <v>43524</v>
      </c>
      <c r="D594" s="19">
        <v>4.32E-5</v>
      </c>
    </row>
    <row r="595" spans="1:4" x14ac:dyDescent="0.2">
      <c r="A595" s="1">
        <v>2016</v>
      </c>
      <c r="B595" s="17" t="s">
        <v>1747</v>
      </c>
      <c r="C595" s="18">
        <v>3025045</v>
      </c>
      <c r="D595" s="19">
        <v>3.0023300000000001E-3</v>
      </c>
    </row>
    <row r="596" spans="1:4" x14ac:dyDescent="0.2">
      <c r="A596" s="1">
        <v>2016</v>
      </c>
      <c r="B596" s="17" t="s">
        <v>1748</v>
      </c>
      <c r="C596" s="18">
        <v>532924</v>
      </c>
      <c r="D596" s="19">
        <v>5.2892E-4</v>
      </c>
    </row>
    <row r="597" spans="1:4" x14ac:dyDescent="0.2">
      <c r="A597" s="1">
        <v>2016</v>
      </c>
      <c r="B597" s="17" t="s">
        <v>1749</v>
      </c>
      <c r="C597" s="18">
        <v>95002</v>
      </c>
      <c r="D597" s="19">
        <v>9.4289999999999993E-5</v>
      </c>
    </row>
    <row r="598" spans="1:4" x14ac:dyDescent="0.2">
      <c r="A598" s="1">
        <v>2016</v>
      </c>
      <c r="B598" s="17" t="s">
        <v>1750</v>
      </c>
      <c r="C598" s="18">
        <v>1037951</v>
      </c>
      <c r="D598" s="19">
        <v>1.03016E-3</v>
      </c>
    </row>
    <row r="599" spans="1:4" x14ac:dyDescent="0.2">
      <c r="A599" s="1">
        <v>2016</v>
      </c>
      <c r="B599" s="17" t="s">
        <v>1751</v>
      </c>
      <c r="C599" s="18">
        <v>374059</v>
      </c>
      <c r="D599" s="19">
        <v>3.7125E-4</v>
      </c>
    </row>
    <row r="600" spans="1:4" x14ac:dyDescent="0.2">
      <c r="A600" s="1">
        <v>2016</v>
      </c>
      <c r="B600" s="17" t="s">
        <v>1752</v>
      </c>
      <c r="C600" s="18">
        <v>556748</v>
      </c>
      <c r="D600" s="19">
        <v>5.5256999999999995E-4</v>
      </c>
    </row>
    <row r="601" spans="1:4" x14ac:dyDescent="0.2">
      <c r="A601" s="1">
        <v>2016</v>
      </c>
      <c r="B601" s="17" t="s">
        <v>1753</v>
      </c>
      <c r="C601" s="18">
        <v>3302635</v>
      </c>
      <c r="D601" s="19">
        <v>3.2778400000000002E-3</v>
      </c>
    </row>
    <row r="602" spans="1:4" x14ac:dyDescent="0.2">
      <c r="A602" s="1">
        <v>2016</v>
      </c>
      <c r="B602" s="17" t="s">
        <v>1754</v>
      </c>
      <c r="C602" s="18">
        <v>470941</v>
      </c>
      <c r="D602" s="19">
        <v>4.6739999999999998E-4</v>
      </c>
    </row>
    <row r="603" spans="1:4" x14ac:dyDescent="0.2">
      <c r="A603" s="1">
        <v>2016</v>
      </c>
      <c r="B603" s="17" t="s">
        <v>1755</v>
      </c>
      <c r="C603" s="18">
        <v>794661</v>
      </c>
      <c r="D603" s="19">
        <v>7.8868999999999999E-4</v>
      </c>
    </row>
    <row r="604" spans="1:4" x14ac:dyDescent="0.2">
      <c r="A604" s="1">
        <v>2016</v>
      </c>
      <c r="B604" s="17" t="s">
        <v>1756</v>
      </c>
      <c r="C604" s="18">
        <v>22740</v>
      </c>
      <c r="D604" s="19">
        <v>2.2569999999999999E-5</v>
      </c>
    </row>
    <row r="605" spans="1:4" x14ac:dyDescent="0.2">
      <c r="A605" s="1">
        <v>2016</v>
      </c>
      <c r="B605" s="17" t="s">
        <v>1757</v>
      </c>
      <c r="C605" s="18">
        <v>874553</v>
      </c>
      <c r="D605" s="19">
        <v>8.6799000000000002E-4</v>
      </c>
    </row>
    <row r="606" spans="1:4" x14ac:dyDescent="0.2">
      <c r="A606" s="1">
        <v>2016</v>
      </c>
      <c r="B606" s="17" t="s">
        <v>1758</v>
      </c>
      <c r="C606" s="18">
        <v>89021</v>
      </c>
      <c r="D606" s="19">
        <v>8.8350000000000006E-5</v>
      </c>
    </row>
    <row r="607" spans="1:4" x14ac:dyDescent="0.2">
      <c r="A607" s="1">
        <v>2016</v>
      </c>
      <c r="B607" s="17" t="s">
        <v>1759</v>
      </c>
      <c r="C607" s="18">
        <v>3155370</v>
      </c>
      <c r="D607" s="19">
        <v>3.13168E-3</v>
      </c>
    </row>
    <row r="608" spans="1:4" x14ac:dyDescent="0.2">
      <c r="A608" s="1">
        <v>2016</v>
      </c>
      <c r="B608" s="17" t="s">
        <v>1760</v>
      </c>
      <c r="C608" s="18">
        <v>1141745</v>
      </c>
      <c r="D608" s="19">
        <v>1.13317E-3</v>
      </c>
    </row>
    <row r="609" spans="1:4" x14ac:dyDescent="0.2">
      <c r="A609" s="1">
        <v>2016</v>
      </c>
      <c r="B609" s="17" t="s">
        <v>1761</v>
      </c>
      <c r="C609" s="18">
        <v>3693</v>
      </c>
      <c r="D609" s="19">
        <v>3.67E-6</v>
      </c>
    </row>
    <row r="610" spans="1:4" x14ac:dyDescent="0.2">
      <c r="A610" s="1">
        <v>2016</v>
      </c>
      <c r="B610" s="17" t="s">
        <v>1762</v>
      </c>
      <c r="C610" s="18">
        <v>63436</v>
      </c>
      <c r="D610" s="19">
        <v>6.2959999999999994E-5</v>
      </c>
    </row>
    <row r="611" spans="1:4" x14ac:dyDescent="0.2">
      <c r="A611" s="1">
        <v>2016</v>
      </c>
      <c r="B611" s="17" t="s">
        <v>1763</v>
      </c>
      <c r="C611" s="18">
        <v>22061</v>
      </c>
      <c r="D611" s="19">
        <v>2.19E-5</v>
      </c>
    </row>
    <row r="612" spans="1:4" x14ac:dyDescent="0.2">
      <c r="A612" s="1">
        <v>2016</v>
      </c>
      <c r="B612" s="17" t="s">
        <v>1764</v>
      </c>
      <c r="C612" s="18">
        <v>32796</v>
      </c>
      <c r="D612" s="19">
        <v>3.2549999999999998E-5</v>
      </c>
    </row>
    <row r="613" spans="1:4" x14ac:dyDescent="0.2">
      <c r="A613" s="1">
        <v>2016</v>
      </c>
      <c r="B613" s="17" t="s">
        <v>1765</v>
      </c>
      <c r="C613" s="18">
        <v>34964</v>
      </c>
      <c r="D613" s="19">
        <v>3.4700000000000003E-5</v>
      </c>
    </row>
    <row r="614" spans="1:4" x14ac:dyDescent="0.2">
      <c r="A614" s="1">
        <v>2016</v>
      </c>
      <c r="B614" s="17" t="s">
        <v>1766</v>
      </c>
      <c r="C614" s="18">
        <v>503430</v>
      </c>
      <c r="D614" s="19">
        <v>4.9965000000000003E-4</v>
      </c>
    </row>
    <row r="615" spans="1:4" x14ac:dyDescent="0.2">
      <c r="A615" s="1">
        <v>2016</v>
      </c>
      <c r="B615" s="17" t="s">
        <v>1767</v>
      </c>
      <c r="C615" s="18">
        <v>2544720</v>
      </c>
      <c r="D615" s="19">
        <v>2.5256100000000002E-3</v>
      </c>
    </row>
    <row r="616" spans="1:4" x14ac:dyDescent="0.2">
      <c r="A616" s="1">
        <v>2016</v>
      </c>
      <c r="B616" s="17" t="s">
        <v>1768</v>
      </c>
      <c r="C616" s="18">
        <v>664732</v>
      </c>
      <c r="D616" s="19">
        <v>6.5974000000000002E-4</v>
      </c>
    </row>
    <row r="617" spans="1:4" x14ac:dyDescent="0.2">
      <c r="A617" s="1">
        <v>2016</v>
      </c>
      <c r="B617" s="17" t="s">
        <v>1769</v>
      </c>
      <c r="C617" s="18">
        <v>4095</v>
      </c>
      <c r="D617" s="19">
        <v>4.0600000000000001E-6</v>
      </c>
    </row>
    <row r="618" spans="1:4" x14ac:dyDescent="0.2">
      <c r="A618" s="1">
        <v>2016</v>
      </c>
      <c r="B618" s="17" t="s">
        <v>1770</v>
      </c>
      <c r="C618" s="18">
        <v>19869</v>
      </c>
      <c r="D618" s="19">
        <v>1.9720000000000001E-5</v>
      </c>
    </row>
    <row r="619" spans="1:4" x14ac:dyDescent="0.2">
      <c r="A619" s="1">
        <v>2016</v>
      </c>
      <c r="B619" s="17" t="s">
        <v>1771</v>
      </c>
      <c r="C619" s="18">
        <v>1813380</v>
      </c>
      <c r="D619" s="19">
        <v>1.7997600000000001E-3</v>
      </c>
    </row>
    <row r="620" spans="1:4" x14ac:dyDescent="0.2">
      <c r="A620" s="1">
        <v>2016</v>
      </c>
      <c r="B620" s="17" t="s">
        <v>1772</v>
      </c>
      <c r="C620" s="18">
        <v>165405</v>
      </c>
      <c r="D620" s="19">
        <v>1.6416E-4</v>
      </c>
    </row>
    <row r="621" spans="1:4" x14ac:dyDescent="0.2">
      <c r="A621" s="1">
        <v>2016</v>
      </c>
      <c r="B621" s="17" t="s">
        <v>1773</v>
      </c>
      <c r="C621" s="18">
        <v>1676742</v>
      </c>
      <c r="D621" s="19">
        <v>1.6641500000000001E-3</v>
      </c>
    </row>
    <row r="622" spans="1:4" x14ac:dyDescent="0.2">
      <c r="A622" s="1">
        <v>2016</v>
      </c>
      <c r="B622" s="17" t="s">
        <v>1774</v>
      </c>
      <c r="C622" s="18">
        <v>384089</v>
      </c>
      <c r="D622" s="19">
        <v>3.812E-4</v>
      </c>
    </row>
    <row r="623" spans="1:4" x14ac:dyDescent="0.2">
      <c r="A623" s="1">
        <v>2016</v>
      </c>
      <c r="B623" s="17" t="s">
        <v>1775</v>
      </c>
      <c r="C623" s="18">
        <v>119233</v>
      </c>
      <c r="D623" s="19">
        <v>1.1834E-4</v>
      </c>
    </row>
    <row r="624" spans="1:4" x14ac:dyDescent="0.2">
      <c r="A624" s="1">
        <v>2016</v>
      </c>
      <c r="B624" s="17" t="s">
        <v>1776</v>
      </c>
      <c r="C624" s="18">
        <v>13775</v>
      </c>
      <c r="D624" s="19">
        <v>1.367E-5</v>
      </c>
    </row>
    <row r="625" spans="1:4" x14ac:dyDescent="0.2">
      <c r="A625" s="1">
        <v>2016</v>
      </c>
      <c r="B625" s="17" t="s">
        <v>1777</v>
      </c>
      <c r="C625" s="18">
        <v>1943795</v>
      </c>
      <c r="D625" s="19">
        <v>1.9292000000000001E-3</v>
      </c>
    </row>
    <row r="626" spans="1:4" x14ac:dyDescent="0.2">
      <c r="A626" s="1">
        <v>2016</v>
      </c>
      <c r="B626" s="17" t="s">
        <v>1778</v>
      </c>
      <c r="C626" s="18">
        <v>566521</v>
      </c>
      <c r="D626" s="19">
        <v>5.6227000000000002E-4</v>
      </c>
    </row>
    <row r="627" spans="1:4" x14ac:dyDescent="0.2">
      <c r="A627" s="1">
        <v>2016</v>
      </c>
      <c r="B627" s="17" t="s">
        <v>1779</v>
      </c>
      <c r="C627" s="18">
        <v>1871</v>
      </c>
      <c r="D627" s="19">
        <v>1.86E-6</v>
      </c>
    </row>
    <row r="628" spans="1:4" x14ac:dyDescent="0.2">
      <c r="A628" s="1">
        <v>2016</v>
      </c>
      <c r="B628" s="17" t="s">
        <v>1780</v>
      </c>
      <c r="C628" s="18">
        <v>92742</v>
      </c>
      <c r="D628" s="19">
        <v>9.2050000000000001E-5</v>
      </c>
    </row>
    <row r="629" spans="1:4" x14ac:dyDescent="0.2">
      <c r="A629" s="1">
        <v>2016</v>
      </c>
      <c r="B629" s="17" t="s">
        <v>1781</v>
      </c>
      <c r="C629" s="18">
        <v>40768</v>
      </c>
      <c r="D629" s="19">
        <v>4.0460000000000002E-5</v>
      </c>
    </row>
    <row r="630" spans="1:4" x14ac:dyDescent="0.2">
      <c r="A630" s="1">
        <v>2016</v>
      </c>
      <c r="B630" s="17" t="s">
        <v>1782</v>
      </c>
      <c r="C630" s="18">
        <v>44751</v>
      </c>
      <c r="D630" s="19">
        <v>4.4409999999999997E-5</v>
      </c>
    </row>
    <row r="631" spans="1:4" x14ac:dyDescent="0.2">
      <c r="A631" s="1">
        <v>2016</v>
      </c>
      <c r="B631" s="17" t="s">
        <v>1783</v>
      </c>
      <c r="C631" s="18">
        <v>1127291</v>
      </c>
      <c r="D631" s="19">
        <v>1.1188299999999999E-3</v>
      </c>
    </row>
    <row r="632" spans="1:4" x14ac:dyDescent="0.2">
      <c r="A632" s="1">
        <v>2016</v>
      </c>
      <c r="B632" s="17" t="s">
        <v>1784</v>
      </c>
      <c r="C632" s="18">
        <v>719475</v>
      </c>
      <c r="D632" s="19">
        <v>7.1407000000000003E-4</v>
      </c>
    </row>
    <row r="633" spans="1:4" x14ac:dyDescent="0.2">
      <c r="A633" s="1">
        <v>2016</v>
      </c>
      <c r="B633" s="17" t="s">
        <v>1785</v>
      </c>
      <c r="C633" s="18">
        <v>15797</v>
      </c>
      <c r="D633" s="19">
        <v>1.5679999999999999E-5</v>
      </c>
    </row>
    <row r="634" spans="1:4" x14ac:dyDescent="0.2">
      <c r="A634" s="1">
        <v>2016</v>
      </c>
      <c r="B634" s="17" t="s">
        <v>1786</v>
      </c>
      <c r="C634" s="18">
        <v>152308</v>
      </c>
      <c r="D634" s="19">
        <v>1.5116000000000001E-4</v>
      </c>
    </row>
    <row r="635" spans="1:4" x14ac:dyDescent="0.2">
      <c r="A635" s="1">
        <v>2016</v>
      </c>
      <c r="B635" s="17" t="s">
        <v>1787</v>
      </c>
      <c r="C635" s="18">
        <v>979796</v>
      </c>
      <c r="D635" s="19">
        <v>9.7243999999999998E-4</v>
      </c>
    </row>
    <row r="636" spans="1:4" x14ac:dyDescent="0.2">
      <c r="A636" s="1">
        <v>2016</v>
      </c>
      <c r="B636" s="17" t="s">
        <v>1788</v>
      </c>
      <c r="C636" s="18">
        <v>400741</v>
      </c>
      <c r="D636" s="19">
        <v>3.9773E-4</v>
      </c>
    </row>
    <row r="637" spans="1:4" x14ac:dyDescent="0.2">
      <c r="A637" s="1">
        <v>2016</v>
      </c>
      <c r="B637" s="17" t="s">
        <v>1789</v>
      </c>
      <c r="C637" s="18">
        <v>1626294</v>
      </c>
      <c r="D637" s="19">
        <v>1.6140799999999999E-3</v>
      </c>
    </row>
    <row r="638" spans="1:4" x14ac:dyDescent="0.2">
      <c r="A638" s="1">
        <v>2016</v>
      </c>
      <c r="B638" s="17" t="s">
        <v>1790</v>
      </c>
      <c r="C638" s="18">
        <v>52754</v>
      </c>
      <c r="D638" s="19">
        <v>5.236E-5</v>
      </c>
    </row>
    <row r="639" spans="1:4" x14ac:dyDescent="0.2">
      <c r="A639" s="1">
        <v>2016</v>
      </c>
      <c r="B639" s="17" t="s">
        <v>1791</v>
      </c>
      <c r="C639" s="18">
        <v>14776908</v>
      </c>
      <c r="D639" s="19">
        <v>1.4665950000000001E-2</v>
      </c>
    </row>
    <row r="640" spans="1:4" x14ac:dyDescent="0.2">
      <c r="A640" s="1">
        <v>2016</v>
      </c>
      <c r="B640" s="17" t="s">
        <v>1792</v>
      </c>
      <c r="C640" s="18">
        <v>2851629</v>
      </c>
      <c r="D640" s="19">
        <v>2.83022E-3</v>
      </c>
    </row>
    <row r="641" spans="1:4" x14ac:dyDescent="0.2">
      <c r="A641" s="1">
        <v>2016</v>
      </c>
      <c r="B641" s="17" t="s">
        <v>1793</v>
      </c>
      <c r="C641" s="18">
        <v>61232</v>
      </c>
      <c r="D641" s="19">
        <v>6.0770000000000003E-5</v>
      </c>
    </row>
    <row r="642" spans="1:4" x14ac:dyDescent="0.2">
      <c r="A642" s="1">
        <v>2016</v>
      </c>
      <c r="B642" s="17" t="s">
        <v>1794</v>
      </c>
      <c r="C642" s="18">
        <v>14341</v>
      </c>
      <c r="D642" s="19">
        <v>1.4229999999999999E-5</v>
      </c>
    </row>
    <row r="643" spans="1:4" x14ac:dyDescent="0.2">
      <c r="A643" s="1">
        <v>2016</v>
      </c>
      <c r="B643" s="17" t="s">
        <v>1795</v>
      </c>
      <c r="C643" s="18">
        <v>106031</v>
      </c>
      <c r="D643" s="19">
        <v>1.0522999999999999E-4</v>
      </c>
    </row>
    <row r="644" spans="1:4" x14ac:dyDescent="0.2">
      <c r="A644" s="1">
        <v>2016</v>
      </c>
      <c r="B644" s="17" t="s">
        <v>1796</v>
      </c>
      <c r="C644" s="18">
        <v>85747</v>
      </c>
      <c r="D644" s="19">
        <v>8.5099999999999995E-5</v>
      </c>
    </row>
    <row r="645" spans="1:4" x14ac:dyDescent="0.2">
      <c r="A645" s="1">
        <v>2016</v>
      </c>
      <c r="B645" s="17" t="s">
        <v>1797</v>
      </c>
      <c r="C645" s="18">
        <v>5528538</v>
      </c>
      <c r="D645" s="19">
        <v>5.4870300000000004E-3</v>
      </c>
    </row>
    <row r="646" spans="1:4" x14ac:dyDescent="0.2">
      <c r="A646" s="1">
        <v>2016</v>
      </c>
      <c r="B646" s="17" t="s">
        <v>1798</v>
      </c>
      <c r="C646" s="18">
        <v>157793</v>
      </c>
      <c r="D646" s="19">
        <v>1.5661000000000001E-4</v>
      </c>
    </row>
    <row r="647" spans="1:4" x14ac:dyDescent="0.2">
      <c r="A647" s="1">
        <v>2016</v>
      </c>
      <c r="B647" s="17" t="s">
        <v>1799</v>
      </c>
      <c r="C647" s="18">
        <v>751500</v>
      </c>
      <c r="D647" s="19">
        <v>7.4585999999999999E-4</v>
      </c>
    </row>
    <row r="648" spans="1:4" x14ac:dyDescent="0.2">
      <c r="A648" s="1">
        <v>2016</v>
      </c>
      <c r="B648" s="14" t="s">
        <v>1800</v>
      </c>
      <c r="C648" s="15">
        <v>550059</v>
      </c>
      <c r="D648" s="16">
        <v>5.4593000000000003E-4</v>
      </c>
    </row>
    <row r="649" spans="1:4" x14ac:dyDescent="0.2">
      <c r="A649" s="1">
        <v>2016</v>
      </c>
      <c r="B649" s="14" t="s">
        <v>1801</v>
      </c>
      <c r="C649" s="15">
        <v>47377</v>
      </c>
      <c r="D649" s="16">
        <v>4.702E-5</v>
      </c>
    </row>
    <row r="650" spans="1:4" x14ac:dyDescent="0.2">
      <c r="A650" s="1">
        <v>2016</v>
      </c>
      <c r="B650" s="14" t="s">
        <v>1802</v>
      </c>
      <c r="C650" s="15">
        <v>1772690</v>
      </c>
      <c r="D650" s="16">
        <v>1.7593800000000001E-3</v>
      </c>
    </row>
    <row r="651" spans="1:4" x14ac:dyDescent="0.2">
      <c r="A651" s="1">
        <v>2016</v>
      </c>
      <c r="B651" s="14" t="s">
        <v>1803</v>
      </c>
      <c r="C651" s="15">
        <v>49810</v>
      </c>
      <c r="D651" s="16">
        <v>4.9440000000000001E-5</v>
      </c>
    </row>
    <row r="652" spans="1:4" x14ac:dyDescent="0.2">
      <c r="A652" s="1">
        <v>2016</v>
      </c>
      <c r="B652" s="14" t="s">
        <v>1804</v>
      </c>
      <c r="C652" s="15">
        <v>249642</v>
      </c>
      <c r="D652" s="16">
        <v>2.4777000000000002E-4</v>
      </c>
    </row>
    <row r="653" spans="1:4" x14ac:dyDescent="0.2">
      <c r="A653" s="1">
        <v>2016</v>
      </c>
      <c r="B653" s="14" t="s">
        <v>1805</v>
      </c>
      <c r="C653" s="15">
        <v>96632</v>
      </c>
      <c r="D653" s="16">
        <v>9.5909999999999995E-5</v>
      </c>
    </row>
    <row r="654" spans="1:4" x14ac:dyDescent="0.2">
      <c r="A654" s="1">
        <v>2016</v>
      </c>
      <c r="B654" s="14" t="s">
        <v>1806</v>
      </c>
      <c r="C654" s="15">
        <v>46178</v>
      </c>
      <c r="D654" s="16">
        <v>4.583E-5</v>
      </c>
    </row>
    <row r="655" spans="1:4" x14ac:dyDescent="0.2">
      <c r="A655" s="1">
        <v>2016</v>
      </c>
      <c r="B655" s="14" t="s">
        <v>1807</v>
      </c>
      <c r="C655" s="15">
        <v>50028</v>
      </c>
      <c r="D655" s="16">
        <v>4.9650000000000001E-5</v>
      </c>
    </row>
    <row r="656" spans="1:4" x14ac:dyDescent="0.2">
      <c r="A656" s="1">
        <v>2016</v>
      </c>
      <c r="B656" s="14" t="s">
        <v>1808</v>
      </c>
      <c r="C656" s="15">
        <v>15906</v>
      </c>
      <c r="D656" s="16">
        <v>1.579E-5</v>
      </c>
    </row>
    <row r="657" spans="1:4" x14ac:dyDescent="0.2">
      <c r="A657" s="1">
        <v>2016</v>
      </c>
      <c r="B657" s="14" t="s">
        <v>1809</v>
      </c>
      <c r="C657" s="15">
        <v>103519</v>
      </c>
      <c r="D657" s="16">
        <v>1.0274E-4</v>
      </c>
    </row>
    <row r="658" spans="1:4" x14ac:dyDescent="0.2">
      <c r="A658" s="1">
        <v>2016</v>
      </c>
      <c r="B658" s="14" t="s">
        <v>1810</v>
      </c>
      <c r="C658" s="15">
        <v>16434</v>
      </c>
      <c r="D658" s="16">
        <v>1.6310000000000001E-5</v>
      </c>
    </row>
    <row r="659" spans="1:4" x14ac:dyDescent="0.2">
      <c r="A659" s="1">
        <v>2016</v>
      </c>
      <c r="B659" s="14" t="s">
        <v>1811</v>
      </c>
      <c r="C659" s="15">
        <v>200196</v>
      </c>
      <c r="D659" s="16">
        <v>1.9869000000000001E-4</v>
      </c>
    </row>
    <row r="660" spans="1:4" x14ac:dyDescent="0.2">
      <c r="A660" s="1">
        <v>2016</v>
      </c>
      <c r="B660" s="14" t="s">
        <v>1812</v>
      </c>
      <c r="C660" s="15">
        <v>92450</v>
      </c>
      <c r="D660" s="16">
        <v>9.1760000000000002E-5</v>
      </c>
    </row>
    <row r="661" spans="1:4" x14ac:dyDescent="0.2">
      <c r="A661" s="1">
        <v>2016</v>
      </c>
      <c r="B661" s="14" t="s">
        <v>1813</v>
      </c>
      <c r="C661" s="15">
        <v>19623</v>
      </c>
      <c r="D661" s="16">
        <v>1.948E-5</v>
      </c>
    </row>
    <row r="662" spans="1:4" x14ac:dyDescent="0.2">
      <c r="A662" s="1">
        <v>2016</v>
      </c>
      <c r="B662" s="14" t="s">
        <v>1814</v>
      </c>
      <c r="C662" s="15">
        <v>2809770</v>
      </c>
      <c r="D662" s="16">
        <v>2.78867E-3</v>
      </c>
    </row>
    <row r="663" spans="1:4" x14ac:dyDescent="0.2">
      <c r="A663" s="1">
        <v>2016</v>
      </c>
      <c r="B663" s="14" t="s">
        <v>1815</v>
      </c>
      <c r="C663" s="15">
        <v>712407</v>
      </c>
      <c r="D663" s="16">
        <v>7.0706000000000002E-4</v>
      </c>
    </row>
    <row r="664" spans="1:4" x14ac:dyDescent="0.2">
      <c r="A664" s="1">
        <v>2016</v>
      </c>
      <c r="B664" s="14" t="s">
        <v>1816</v>
      </c>
      <c r="C664" s="15">
        <v>26087</v>
      </c>
      <c r="D664" s="16">
        <v>2.5890000000000001E-5</v>
      </c>
    </row>
    <row r="665" spans="1:4" x14ac:dyDescent="0.2">
      <c r="A665" s="1">
        <v>2016</v>
      </c>
      <c r="B665" s="14" t="s">
        <v>1817</v>
      </c>
      <c r="C665" s="15">
        <v>21702</v>
      </c>
      <c r="D665" s="16">
        <v>2.154E-5</v>
      </c>
    </row>
    <row r="666" spans="1:4" x14ac:dyDescent="0.2">
      <c r="A666" s="1">
        <v>2016</v>
      </c>
      <c r="B666" s="14" t="s">
        <v>1818</v>
      </c>
      <c r="C666" s="15">
        <v>803035</v>
      </c>
      <c r="D666" s="16">
        <v>7.9701000000000001E-4</v>
      </c>
    </row>
    <row r="667" spans="1:4" x14ac:dyDescent="0.2">
      <c r="A667" s="1">
        <v>2016</v>
      </c>
      <c r="B667" s="14" t="s">
        <v>1819</v>
      </c>
      <c r="C667" s="15">
        <v>9856</v>
      </c>
      <c r="D667" s="16">
        <v>9.7799999999999995E-6</v>
      </c>
    </row>
    <row r="668" spans="1:4" x14ac:dyDescent="0.2">
      <c r="A668" s="1">
        <v>2016</v>
      </c>
      <c r="B668" s="14" t="s">
        <v>1820</v>
      </c>
      <c r="C668" s="15">
        <v>456189</v>
      </c>
      <c r="D668" s="16">
        <v>4.5276000000000002E-4</v>
      </c>
    </row>
    <row r="669" spans="1:4" x14ac:dyDescent="0.2">
      <c r="A669" s="1">
        <v>2016</v>
      </c>
      <c r="B669" s="14" t="s">
        <v>1821</v>
      </c>
      <c r="C669" s="15">
        <v>36076</v>
      </c>
      <c r="D669" s="16">
        <v>3.5809999999999998E-5</v>
      </c>
    </row>
    <row r="670" spans="1:4" x14ac:dyDescent="0.2">
      <c r="A670" s="1">
        <v>2016</v>
      </c>
      <c r="B670" s="14" t="s">
        <v>1822</v>
      </c>
      <c r="C670" s="15">
        <v>1368032</v>
      </c>
      <c r="D670" s="16">
        <v>1.35776E-3</v>
      </c>
    </row>
    <row r="671" spans="1:4" x14ac:dyDescent="0.2">
      <c r="A671" s="1">
        <v>2016</v>
      </c>
      <c r="B671" s="14" t="s">
        <v>1823</v>
      </c>
      <c r="C671" s="15">
        <v>60025</v>
      </c>
      <c r="D671" s="16">
        <v>5.9570000000000001E-5</v>
      </c>
    </row>
    <row r="672" spans="1:4" x14ac:dyDescent="0.2">
      <c r="A672" s="1">
        <v>2016</v>
      </c>
      <c r="B672" s="14" t="s">
        <v>1824</v>
      </c>
      <c r="C672" s="15">
        <v>235005</v>
      </c>
      <c r="D672" s="16">
        <v>2.3324000000000001E-4</v>
      </c>
    </row>
    <row r="673" spans="1:4" x14ac:dyDescent="0.2">
      <c r="A673" s="1">
        <v>2016</v>
      </c>
      <c r="B673" s="14" t="s">
        <v>1825</v>
      </c>
      <c r="C673" s="15">
        <v>12850</v>
      </c>
      <c r="D673" s="16">
        <v>1.275E-5</v>
      </c>
    </row>
    <row r="674" spans="1:4" x14ac:dyDescent="0.2">
      <c r="A674" s="1">
        <v>2016</v>
      </c>
      <c r="B674" s="14" t="s">
        <v>1826</v>
      </c>
      <c r="C674" s="15">
        <v>40823</v>
      </c>
      <c r="D674" s="16">
        <v>4.0519999999999998E-5</v>
      </c>
    </row>
    <row r="675" spans="1:4" x14ac:dyDescent="0.2">
      <c r="A675" s="1">
        <v>2016</v>
      </c>
      <c r="B675" s="14" t="s">
        <v>1827</v>
      </c>
      <c r="C675" s="15">
        <v>64735</v>
      </c>
      <c r="D675" s="16">
        <v>6.4250000000000003E-5</v>
      </c>
    </row>
    <row r="676" spans="1:4" x14ac:dyDescent="0.2">
      <c r="A676" s="1">
        <v>2016</v>
      </c>
      <c r="B676" s="14" t="s">
        <v>1828</v>
      </c>
      <c r="C676" s="15">
        <v>5168</v>
      </c>
      <c r="D676" s="16">
        <v>5.13E-6</v>
      </c>
    </row>
    <row r="677" spans="1:4" x14ac:dyDescent="0.2">
      <c r="A677" s="1">
        <v>2016</v>
      </c>
      <c r="B677" s="14" t="s">
        <v>1829</v>
      </c>
      <c r="C677" s="15">
        <v>53450</v>
      </c>
      <c r="D677" s="16">
        <v>5.3050000000000002E-5</v>
      </c>
    </row>
    <row r="678" spans="1:4" x14ac:dyDescent="0.2">
      <c r="A678" s="1">
        <v>2016</v>
      </c>
      <c r="B678" s="14" t="s">
        <v>1830</v>
      </c>
      <c r="C678" s="15">
        <v>17990</v>
      </c>
      <c r="D678" s="16">
        <v>1.785E-5</v>
      </c>
    </row>
    <row r="679" spans="1:4" x14ac:dyDescent="0.2">
      <c r="A679" s="1">
        <v>2016</v>
      </c>
      <c r="B679" s="14" t="s">
        <v>1831</v>
      </c>
      <c r="C679" s="15">
        <v>24689</v>
      </c>
      <c r="D679" s="16">
        <v>2.4499999999999999E-5</v>
      </c>
    </row>
    <row r="680" spans="1:4" x14ac:dyDescent="0.2">
      <c r="A680" s="1">
        <v>2016</v>
      </c>
      <c r="B680" s="14" t="s">
        <v>1832</v>
      </c>
      <c r="C680" s="14">
        <v>910</v>
      </c>
      <c r="D680" s="16">
        <v>8.9999999999999996E-7</v>
      </c>
    </row>
    <row r="681" spans="1:4" x14ac:dyDescent="0.2">
      <c r="A681" s="1">
        <v>2016</v>
      </c>
      <c r="B681" s="14" t="s">
        <v>1833</v>
      </c>
      <c r="C681" s="15">
        <v>2903223</v>
      </c>
      <c r="D681" s="16">
        <v>2.88142E-3</v>
      </c>
    </row>
    <row r="682" spans="1:4" x14ac:dyDescent="0.2">
      <c r="A682" s="1">
        <v>2016</v>
      </c>
      <c r="B682" s="14" t="s">
        <v>1834</v>
      </c>
      <c r="C682" s="15">
        <v>748245</v>
      </c>
      <c r="D682" s="16">
        <v>7.4262999999999998E-4</v>
      </c>
    </row>
    <row r="683" spans="1:4" x14ac:dyDescent="0.2">
      <c r="A683" s="1">
        <v>2016</v>
      </c>
      <c r="B683" s="14" t="s">
        <v>2040</v>
      </c>
      <c r="C683" s="15">
        <v>4032</v>
      </c>
      <c r="D683" s="16">
        <v>3.9999999999999998E-6</v>
      </c>
    </row>
    <row r="684" spans="1:4" x14ac:dyDescent="0.2">
      <c r="A684" s="1">
        <v>2016</v>
      </c>
      <c r="B684" s="14" t="s">
        <v>1836</v>
      </c>
      <c r="C684" s="15">
        <v>596256</v>
      </c>
      <c r="D684" s="16">
        <v>5.9177999999999998E-4</v>
      </c>
    </row>
    <row r="685" spans="1:4" x14ac:dyDescent="0.2">
      <c r="A685" s="1">
        <v>2016</v>
      </c>
      <c r="B685" s="14" t="s">
        <v>1837</v>
      </c>
      <c r="C685" s="15">
        <v>3969</v>
      </c>
      <c r="D685" s="16">
        <v>3.9400000000000004E-6</v>
      </c>
    </row>
    <row r="686" spans="1:4" x14ac:dyDescent="0.2">
      <c r="A686" s="1">
        <v>2016</v>
      </c>
      <c r="B686" s="17" t="s">
        <v>1838</v>
      </c>
      <c r="C686" s="18">
        <v>2090251</v>
      </c>
      <c r="D686" s="19">
        <v>2.07456E-3</v>
      </c>
    </row>
    <row r="687" spans="1:4" x14ac:dyDescent="0.2">
      <c r="A687" s="1">
        <v>2016</v>
      </c>
      <c r="B687" s="17" t="s">
        <v>1839</v>
      </c>
      <c r="C687" s="18">
        <v>484772</v>
      </c>
      <c r="D687" s="19">
        <v>4.8113000000000002E-4</v>
      </c>
    </row>
    <row r="688" spans="1:4" x14ac:dyDescent="0.2">
      <c r="A688" s="1">
        <v>2016</v>
      </c>
      <c r="B688" s="17" t="s">
        <v>1840</v>
      </c>
      <c r="C688" s="18">
        <v>36166</v>
      </c>
      <c r="D688" s="19">
        <v>3.5889999999999997E-5</v>
      </c>
    </row>
    <row r="689" spans="1:4" x14ac:dyDescent="0.2">
      <c r="A689" s="1">
        <v>2016</v>
      </c>
      <c r="B689" s="17" t="s">
        <v>1841</v>
      </c>
      <c r="C689" s="18">
        <v>1192819</v>
      </c>
      <c r="D689" s="19">
        <v>1.1838599999999999E-3</v>
      </c>
    </row>
    <row r="690" spans="1:4" x14ac:dyDescent="0.2">
      <c r="A690" s="1">
        <v>2016</v>
      </c>
      <c r="B690" s="17" t="s">
        <v>1842</v>
      </c>
      <c r="C690" s="18">
        <v>12873</v>
      </c>
      <c r="D690" s="19">
        <v>1.278E-5</v>
      </c>
    </row>
    <row r="691" spans="1:4" x14ac:dyDescent="0.2">
      <c r="A691" s="1">
        <v>2016</v>
      </c>
      <c r="B691" s="17" t="s">
        <v>1843</v>
      </c>
      <c r="C691" s="18">
        <v>168906</v>
      </c>
      <c r="D691" s="19">
        <v>1.6763999999999999E-4</v>
      </c>
    </row>
    <row r="692" spans="1:4" x14ac:dyDescent="0.2">
      <c r="A692" s="1">
        <v>2016</v>
      </c>
      <c r="B692" s="17" t="s">
        <v>1844</v>
      </c>
      <c r="C692" s="18">
        <v>842334</v>
      </c>
      <c r="D692" s="19">
        <v>8.3600999999999999E-4</v>
      </c>
    </row>
    <row r="693" spans="1:4" x14ac:dyDescent="0.2">
      <c r="A693" s="1">
        <v>2016</v>
      </c>
      <c r="B693" s="17" t="s">
        <v>1846</v>
      </c>
      <c r="C693" s="18">
        <v>27092</v>
      </c>
      <c r="D693" s="19">
        <v>2.6889999999999998E-5</v>
      </c>
    </row>
    <row r="694" spans="1:4" x14ac:dyDescent="0.2">
      <c r="A694" s="1">
        <v>2016</v>
      </c>
      <c r="B694" s="17" t="s">
        <v>1847</v>
      </c>
      <c r="C694" s="18">
        <v>40144</v>
      </c>
      <c r="D694" s="19">
        <v>3.9839999999999998E-5</v>
      </c>
    </row>
    <row r="695" spans="1:4" x14ac:dyDescent="0.2">
      <c r="A695" s="1">
        <v>2016</v>
      </c>
      <c r="B695" s="17" t="s">
        <v>1848</v>
      </c>
      <c r="C695" s="18">
        <v>2273408</v>
      </c>
      <c r="D695" s="19">
        <v>2.2563399999999999E-3</v>
      </c>
    </row>
    <row r="696" spans="1:4" x14ac:dyDescent="0.2">
      <c r="A696" s="1">
        <v>2016</v>
      </c>
      <c r="B696" s="17" t="s">
        <v>1849</v>
      </c>
      <c r="C696" s="18">
        <v>627119</v>
      </c>
      <c r="D696" s="19">
        <v>6.2241E-4</v>
      </c>
    </row>
    <row r="697" spans="1:4" x14ac:dyDescent="0.2">
      <c r="A697" s="1">
        <v>2016</v>
      </c>
      <c r="B697" s="17" t="s">
        <v>1850</v>
      </c>
      <c r="C697" s="18">
        <v>3465967</v>
      </c>
      <c r="D697" s="19">
        <v>3.4399399999999998E-3</v>
      </c>
    </row>
    <row r="698" spans="1:4" x14ac:dyDescent="0.2">
      <c r="A698" s="1">
        <v>2016</v>
      </c>
      <c r="B698" s="17" t="s">
        <v>1851</v>
      </c>
      <c r="C698" s="18">
        <v>1364359</v>
      </c>
      <c r="D698" s="19">
        <v>1.3541099999999999E-3</v>
      </c>
    </row>
    <row r="699" spans="1:4" x14ac:dyDescent="0.2">
      <c r="A699" s="1">
        <v>2016</v>
      </c>
      <c r="B699" s="17" t="s">
        <v>1852</v>
      </c>
      <c r="C699" s="18">
        <v>2179536</v>
      </c>
      <c r="D699" s="19">
        <v>2.1631699999999998E-3</v>
      </c>
    </row>
    <row r="700" spans="1:4" x14ac:dyDescent="0.2">
      <c r="A700" s="1">
        <v>2016</v>
      </c>
      <c r="B700" s="17" t="s">
        <v>1853</v>
      </c>
      <c r="C700" s="18">
        <v>3119041</v>
      </c>
      <c r="D700" s="19">
        <v>3.0956199999999999E-3</v>
      </c>
    </row>
    <row r="701" spans="1:4" x14ac:dyDescent="0.2">
      <c r="A701" s="1">
        <v>2016</v>
      </c>
      <c r="B701" s="17" t="s">
        <v>1854</v>
      </c>
      <c r="C701" s="18">
        <v>688677</v>
      </c>
      <c r="D701" s="19">
        <v>6.8351000000000002E-4</v>
      </c>
    </row>
    <row r="702" spans="1:4" x14ac:dyDescent="0.2">
      <c r="A702" s="1">
        <v>2016</v>
      </c>
      <c r="B702" s="17" t="s">
        <v>2041</v>
      </c>
      <c r="C702" s="18">
        <v>1442653</v>
      </c>
      <c r="D702" s="19">
        <v>1.4318200000000001E-3</v>
      </c>
    </row>
    <row r="703" spans="1:4" x14ac:dyDescent="0.2">
      <c r="A703" s="1">
        <v>2016</v>
      </c>
      <c r="B703" s="17" t="s">
        <v>2042</v>
      </c>
      <c r="C703" s="18">
        <v>239969</v>
      </c>
      <c r="D703" s="19">
        <v>2.3817E-4</v>
      </c>
    </row>
    <row r="704" spans="1:4" x14ac:dyDescent="0.2">
      <c r="A704" s="1">
        <v>2016</v>
      </c>
      <c r="B704" s="17" t="s">
        <v>1857</v>
      </c>
      <c r="C704" s="18">
        <v>57215</v>
      </c>
      <c r="D704" s="19">
        <v>5.6789999999999997E-5</v>
      </c>
    </row>
    <row r="705" spans="1:4" x14ac:dyDescent="0.2">
      <c r="A705" s="1">
        <v>2016</v>
      </c>
      <c r="B705" s="17" t="s">
        <v>1858</v>
      </c>
      <c r="C705" s="18">
        <v>4441235</v>
      </c>
      <c r="D705" s="19">
        <v>4.4078900000000002E-3</v>
      </c>
    </row>
    <row r="706" spans="1:4" x14ac:dyDescent="0.2">
      <c r="A706" s="1">
        <v>2016</v>
      </c>
      <c r="B706" s="17" t="s">
        <v>2043</v>
      </c>
      <c r="C706" s="18">
        <v>23044</v>
      </c>
      <c r="D706" s="19">
        <v>2.287E-5</v>
      </c>
    </row>
    <row r="707" spans="1:4" x14ac:dyDescent="0.2">
      <c r="A707" s="1">
        <v>2016</v>
      </c>
      <c r="B707" s="17" t="s">
        <v>1859</v>
      </c>
      <c r="C707" s="18">
        <v>413076</v>
      </c>
      <c r="D707" s="19">
        <v>4.0997000000000001E-4</v>
      </c>
    </row>
    <row r="708" spans="1:4" x14ac:dyDescent="0.2">
      <c r="A708" s="1">
        <v>2016</v>
      </c>
      <c r="B708" s="17" t="s">
        <v>1860</v>
      </c>
      <c r="C708" s="18">
        <v>18182</v>
      </c>
      <c r="D708" s="19">
        <v>1.8050000000000002E-5</v>
      </c>
    </row>
    <row r="709" spans="1:4" x14ac:dyDescent="0.2">
      <c r="A709" s="1">
        <v>2016</v>
      </c>
      <c r="B709" s="17" t="s">
        <v>1861</v>
      </c>
      <c r="C709" s="18">
        <v>46328</v>
      </c>
      <c r="D709" s="19">
        <v>4.5979999999999997E-5</v>
      </c>
    </row>
    <row r="710" spans="1:4" x14ac:dyDescent="0.2">
      <c r="A710" s="1">
        <v>2016</v>
      </c>
      <c r="B710" s="17" t="s">
        <v>1862</v>
      </c>
      <c r="C710" s="18">
        <v>12720245</v>
      </c>
      <c r="D710" s="19">
        <v>1.2624730000000001E-2</v>
      </c>
    </row>
    <row r="711" spans="1:4" x14ac:dyDescent="0.2">
      <c r="A711" s="1">
        <v>2016</v>
      </c>
      <c r="B711" s="17" t="s">
        <v>1863</v>
      </c>
      <c r="C711" s="18">
        <v>465398</v>
      </c>
      <c r="D711" s="19">
        <v>4.6190000000000001E-4</v>
      </c>
    </row>
    <row r="712" spans="1:4" x14ac:dyDescent="0.2">
      <c r="A712" s="1">
        <v>2016</v>
      </c>
      <c r="B712" s="17" t="s">
        <v>1864</v>
      </c>
      <c r="C712" s="18">
        <v>1063224</v>
      </c>
      <c r="D712" s="19">
        <v>1.05524E-3</v>
      </c>
    </row>
    <row r="713" spans="1:4" x14ac:dyDescent="0.2">
      <c r="A713" s="1">
        <v>2016</v>
      </c>
      <c r="B713" s="17" t="s">
        <v>1865</v>
      </c>
      <c r="C713" s="18">
        <v>34542</v>
      </c>
      <c r="D713" s="19">
        <v>3.4279999999999997E-5</v>
      </c>
    </row>
    <row r="714" spans="1:4" x14ac:dyDescent="0.2">
      <c r="A714" s="1">
        <v>2016</v>
      </c>
      <c r="B714" s="17" t="s">
        <v>2044</v>
      </c>
      <c r="C714" s="18">
        <v>93011</v>
      </c>
      <c r="D714" s="19">
        <v>9.2310000000000002E-5</v>
      </c>
    </row>
    <row r="715" spans="1:4" x14ac:dyDescent="0.2">
      <c r="A715" s="1">
        <v>2016</v>
      </c>
      <c r="B715" s="17" t="s">
        <v>1867</v>
      </c>
      <c r="C715" s="18">
        <v>2551914</v>
      </c>
      <c r="D715" s="19">
        <v>2.5327499999999998E-3</v>
      </c>
    </row>
    <row r="716" spans="1:4" x14ac:dyDescent="0.2">
      <c r="A716" s="1">
        <v>2016</v>
      </c>
      <c r="B716" s="17" t="s">
        <v>1868</v>
      </c>
      <c r="C716" s="18">
        <v>2156012</v>
      </c>
      <c r="D716" s="19">
        <v>2.1398200000000002E-3</v>
      </c>
    </row>
    <row r="717" spans="1:4" x14ac:dyDescent="0.2">
      <c r="A717" s="1">
        <v>2016</v>
      </c>
      <c r="B717" s="17" t="s">
        <v>1869</v>
      </c>
      <c r="C717" s="18">
        <v>7723</v>
      </c>
      <c r="D717" s="19">
        <v>7.6699999999999994E-6</v>
      </c>
    </row>
    <row r="718" spans="1:4" x14ac:dyDescent="0.2">
      <c r="A718" s="1">
        <v>2016</v>
      </c>
      <c r="B718" s="17" t="s">
        <v>1870</v>
      </c>
      <c r="C718" s="18">
        <v>724859</v>
      </c>
      <c r="D718" s="19">
        <v>7.1942000000000002E-4</v>
      </c>
    </row>
    <row r="719" spans="1:4" x14ac:dyDescent="0.2">
      <c r="A719" s="1">
        <v>2016</v>
      </c>
      <c r="B719" s="17" t="s">
        <v>1871</v>
      </c>
      <c r="C719" s="18">
        <v>3402</v>
      </c>
      <c r="D719" s="19">
        <v>3.3799999999999998E-6</v>
      </c>
    </row>
    <row r="720" spans="1:4" x14ac:dyDescent="0.2">
      <c r="A720" s="1">
        <v>2016</v>
      </c>
      <c r="B720" s="17" t="s">
        <v>1872</v>
      </c>
      <c r="C720" s="18">
        <v>39823</v>
      </c>
      <c r="D720" s="19">
        <v>3.9520000000000001E-5</v>
      </c>
    </row>
    <row r="721" spans="1:4" x14ac:dyDescent="0.2">
      <c r="A721" s="1">
        <v>2016</v>
      </c>
      <c r="B721" s="17" t="s">
        <v>1873</v>
      </c>
      <c r="C721" s="18">
        <v>13382</v>
      </c>
      <c r="D721" s="19">
        <v>1.328E-5</v>
      </c>
    </row>
    <row r="722" spans="1:4" x14ac:dyDescent="0.2">
      <c r="A722" s="1">
        <v>2016</v>
      </c>
      <c r="B722" s="17" t="s">
        <v>1874</v>
      </c>
      <c r="C722" s="18">
        <v>1985</v>
      </c>
      <c r="D722" s="19">
        <v>1.9700000000000002E-6</v>
      </c>
    </row>
    <row r="723" spans="1:4" x14ac:dyDescent="0.2">
      <c r="A723" s="1">
        <v>2016</v>
      </c>
      <c r="B723" s="17" t="s">
        <v>1875</v>
      </c>
      <c r="C723" s="18">
        <v>73913</v>
      </c>
      <c r="D723" s="19">
        <v>7.3360000000000002E-5</v>
      </c>
    </row>
    <row r="724" spans="1:4" x14ac:dyDescent="0.2">
      <c r="A724" s="1">
        <v>2016</v>
      </c>
      <c r="B724" s="33" t="s">
        <v>1876</v>
      </c>
      <c r="C724" s="34">
        <v>28613</v>
      </c>
      <c r="D724" s="35">
        <v>2.8399999999999999E-5</v>
      </c>
    </row>
    <row r="725" spans="1:4" x14ac:dyDescent="0.2">
      <c r="A725" s="1">
        <v>2016</v>
      </c>
      <c r="B725" s="33" t="s">
        <v>1877</v>
      </c>
      <c r="C725" s="34">
        <v>76091</v>
      </c>
      <c r="D725" s="35">
        <v>7.5519999999999995E-5</v>
      </c>
    </row>
    <row r="726" spans="1:4" x14ac:dyDescent="0.2">
      <c r="A726" s="1">
        <v>2016</v>
      </c>
      <c r="B726" s="33" t="s">
        <v>1878</v>
      </c>
      <c r="C726" s="34">
        <v>21650</v>
      </c>
      <c r="D726" s="35">
        <v>2.1489999999999999E-5</v>
      </c>
    </row>
    <row r="727" spans="1:4" x14ac:dyDescent="0.2">
      <c r="A727" s="1">
        <v>2016</v>
      </c>
      <c r="B727" s="33" t="s">
        <v>1879</v>
      </c>
      <c r="C727" s="34">
        <v>659411</v>
      </c>
      <c r="D727" s="35">
        <v>6.5446000000000005E-4</v>
      </c>
    </row>
    <row r="728" spans="1:4" x14ac:dyDescent="0.2">
      <c r="A728" s="1">
        <v>2016</v>
      </c>
      <c r="B728" s="33" t="s">
        <v>1880</v>
      </c>
      <c r="C728" s="34">
        <v>3291619</v>
      </c>
      <c r="D728" s="35">
        <v>3.2669000000000001E-3</v>
      </c>
    </row>
    <row r="729" spans="1:4" x14ac:dyDescent="0.2">
      <c r="A729" s="1">
        <v>2016</v>
      </c>
      <c r="B729" s="33" t="s">
        <v>1881</v>
      </c>
      <c r="C729" s="34">
        <v>46114</v>
      </c>
      <c r="D729" s="35">
        <v>4.5769999999999997E-5</v>
      </c>
    </row>
    <row r="730" spans="1:4" x14ac:dyDescent="0.2">
      <c r="A730" s="1">
        <v>2016</v>
      </c>
      <c r="B730" s="33" t="s">
        <v>1882</v>
      </c>
      <c r="C730" s="34">
        <v>3629</v>
      </c>
      <c r="D730" s="35">
        <v>3.5999999999999998E-6</v>
      </c>
    </row>
    <row r="731" spans="1:4" x14ac:dyDescent="0.2">
      <c r="A731" s="1">
        <v>2016</v>
      </c>
      <c r="B731" s="33" t="s">
        <v>1883</v>
      </c>
      <c r="C731" s="34">
        <v>1698245</v>
      </c>
      <c r="D731" s="35">
        <v>1.68549E-3</v>
      </c>
    </row>
    <row r="732" spans="1:4" x14ac:dyDescent="0.2">
      <c r="A732" s="1">
        <v>2016</v>
      </c>
      <c r="B732" s="33" t="s">
        <v>1884</v>
      </c>
      <c r="C732" s="34">
        <v>1535088</v>
      </c>
      <c r="D732" s="35">
        <v>1.52356E-3</v>
      </c>
    </row>
    <row r="733" spans="1:4" x14ac:dyDescent="0.2">
      <c r="A733" s="1">
        <v>2016</v>
      </c>
      <c r="B733" s="33" t="s">
        <v>1885</v>
      </c>
      <c r="C733" s="34">
        <v>428418</v>
      </c>
      <c r="D733" s="35">
        <v>4.2519999999999998E-4</v>
      </c>
    </row>
    <row r="734" spans="1:4" x14ac:dyDescent="0.2">
      <c r="A734" s="1">
        <v>2016</v>
      </c>
      <c r="B734" s="33" t="s">
        <v>1886</v>
      </c>
      <c r="C734" s="34">
        <v>446673</v>
      </c>
      <c r="D734" s="35">
        <v>4.4331999999999998E-4</v>
      </c>
    </row>
    <row r="735" spans="1:4" x14ac:dyDescent="0.2">
      <c r="A735" s="1">
        <v>2016</v>
      </c>
      <c r="B735" s="33" t="s">
        <v>1887</v>
      </c>
      <c r="C735" s="34">
        <v>14884</v>
      </c>
      <c r="D735" s="35">
        <v>1.4769999999999999E-5</v>
      </c>
    </row>
    <row r="736" spans="1:4" x14ac:dyDescent="0.2">
      <c r="A736" s="1">
        <v>2016</v>
      </c>
      <c r="B736" s="33" t="s">
        <v>1888</v>
      </c>
      <c r="C736" s="34">
        <v>2480</v>
      </c>
      <c r="D736" s="35">
        <v>2.4600000000000002E-6</v>
      </c>
    </row>
    <row r="737" spans="1:4" x14ac:dyDescent="0.2">
      <c r="A737" s="1">
        <v>2016</v>
      </c>
      <c r="B737" s="33" t="s">
        <v>1889</v>
      </c>
      <c r="C737" s="34">
        <v>1674004</v>
      </c>
      <c r="D737" s="35">
        <v>1.66143E-3</v>
      </c>
    </row>
    <row r="738" spans="1:4" x14ac:dyDescent="0.2">
      <c r="A738" s="1">
        <v>2016</v>
      </c>
      <c r="B738" s="33" t="s">
        <v>1890</v>
      </c>
      <c r="C738" s="34">
        <v>835600</v>
      </c>
      <c r="D738" s="35">
        <v>8.2932999999999998E-4</v>
      </c>
    </row>
    <row r="739" spans="1:4" x14ac:dyDescent="0.2">
      <c r="A739" s="1">
        <v>2016</v>
      </c>
      <c r="B739" s="33" t="s">
        <v>1891</v>
      </c>
      <c r="C739" s="34">
        <v>92403</v>
      </c>
      <c r="D739" s="35">
        <v>9.1710000000000001E-5</v>
      </c>
    </row>
    <row r="740" spans="1:4" x14ac:dyDescent="0.2">
      <c r="A740" s="1">
        <v>2016</v>
      </c>
      <c r="B740" s="33" t="s">
        <v>1892</v>
      </c>
      <c r="C740" s="34">
        <v>47445</v>
      </c>
      <c r="D740" s="35">
        <v>4.7089999999999998E-5</v>
      </c>
    </row>
    <row r="741" spans="1:4" x14ac:dyDescent="0.2">
      <c r="A741" s="1">
        <v>2016</v>
      </c>
      <c r="B741" s="33" t="s">
        <v>1893</v>
      </c>
      <c r="C741" s="34">
        <v>5135</v>
      </c>
      <c r="D741" s="35">
        <v>5.1000000000000003E-6</v>
      </c>
    </row>
    <row r="742" spans="1:4" x14ac:dyDescent="0.2">
      <c r="A742" s="1">
        <v>2016</v>
      </c>
      <c r="B742" s="33" t="s">
        <v>1895</v>
      </c>
      <c r="C742" s="34">
        <v>471150</v>
      </c>
      <c r="D742" s="35">
        <v>4.6760999999999998E-4</v>
      </c>
    </row>
    <row r="743" spans="1:4" x14ac:dyDescent="0.2">
      <c r="A743" s="1">
        <v>2016</v>
      </c>
      <c r="B743" s="33" t="s">
        <v>1896</v>
      </c>
      <c r="C743" s="34">
        <v>769551</v>
      </c>
      <c r="D743" s="35">
        <v>7.6376999999999999E-4</v>
      </c>
    </row>
    <row r="744" spans="1:4" x14ac:dyDescent="0.2">
      <c r="A744" s="1">
        <v>2016</v>
      </c>
      <c r="B744" s="33" t="s">
        <v>1897</v>
      </c>
      <c r="C744" s="34">
        <v>487510</v>
      </c>
      <c r="D744" s="35">
        <v>4.8385000000000002E-4</v>
      </c>
    </row>
    <row r="745" spans="1:4" x14ac:dyDescent="0.2">
      <c r="A745" s="1">
        <v>2016</v>
      </c>
      <c r="B745" s="33" t="s">
        <v>1898</v>
      </c>
      <c r="C745" s="34">
        <v>2568435</v>
      </c>
      <c r="D745" s="35">
        <v>2.54915E-3</v>
      </c>
    </row>
    <row r="746" spans="1:4" x14ac:dyDescent="0.2">
      <c r="A746" s="1">
        <v>2016</v>
      </c>
      <c r="B746" s="33" t="s">
        <v>1899</v>
      </c>
      <c r="C746" s="34">
        <v>34885</v>
      </c>
      <c r="D746" s="35">
        <v>3.4619999999999997E-5</v>
      </c>
    </row>
    <row r="747" spans="1:4" x14ac:dyDescent="0.2">
      <c r="A747" s="1">
        <v>2016</v>
      </c>
      <c r="B747" s="33" t="s">
        <v>1900</v>
      </c>
      <c r="C747" s="34">
        <v>37773</v>
      </c>
      <c r="D747" s="35">
        <v>3.7490000000000002E-5</v>
      </c>
    </row>
    <row r="748" spans="1:4" x14ac:dyDescent="0.2">
      <c r="A748" s="1">
        <v>2016</v>
      </c>
      <c r="B748" s="33" t="s">
        <v>1901</v>
      </c>
      <c r="C748" s="34">
        <v>96242</v>
      </c>
      <c r="D748" s="35">
        <v>9.5519999999999993E-5</v>
      </c>
    </row>
    <row r="749" spans="1:4" x14ac:dyDescent="0.2">
      <c r="A749" s="1">
        <v>2016</v>
      </c>
      <c r="B749" s="33" t="s">
        <v>2045</v>
      </c>
      <c r="C749" s="34">
        <v>2859</v>
      </c>
      <c r="D749" s="35">
        <v>2.8399999999999999E-6</v>
      </c>
    </row>
    <row r="750" spans="1:4" x14ac:dyDescent="0.2">
      <c r="A750" s="1">
        <v>2016</v>
      </c>
      <c r="B750" s="33" t="s">
        <v>1903</v>
      </c>
      <c r="C750" s="34">
        <v>25026</v>
      </c>
      <c r="D750" s="35">
        <v>2.4839999999999999E-5</v>
      </c>
    </row>
    <row r="751" spans="1:4" x14ac:dyDescent="0.2">
      <c r="A751" s="1">
        <v>2016</v>
      </c>
      <c r="B751" s="33" t="s">
        <v>1904</v>
      </c>
      <c r="C751" s="34">
        <v>3589</v>
      </c>
      <c r="D751" s="35">
        <v>3.5599999999999998E-6</v>
      </c>
    </row>
    <row r="752" spans="1:4" x14ac:dyDescent="0.2">
      <c r="A752" s="1">
        <v>2016</v>
      </c>
      <c r="B752" s="33" t="s">
        <v>2046</v>
      </c>
      <c r="C752" s="34">
        <v>6890</v>
      </c>
      <c r="D752" s="35">
        <v>6.8399999999999997E-6</v>
      </c>
    </row>
    <row r="753" spans="1:4" x14ac:dyDescent="0.2">
      <c r="A753" s="1">
        <v>2016</v>
      </c>
      <c r="B753" s="33" t="s">
        <v>2047</v>
      </c>
      <c r="C753" s="34">
        <v>23319</v>
      </c>
      <c r="D753" s="35">
        <v>2.3139999999999999E-5</v>
      </c>
    </row>
    <row r="754" spans="1:4" x14ac:dyDescent="0.2">
      <c r="A754" s="1">
        <v>2016</v>
      </c>
      <c r="B754" s="33" t="s">
        <v>1907</v>
      </c>
      <c r="C754" s="34">
        <v>1018</v>
      </c>
      <c r="D754" s="35">
        <v>1.0100000000000001E-6</v>
      </c>
    </row>
    <row r="755" spans="1:4" x14ac:dyDescent="0.2">
      <c r="A755" s="1">
        <v>2016</v>
      </c>
      <c r="B755" s="33" t="s">
        <v>1908</v>
      </c>
      <c r="C755" s="34">
        <v>15439</v>
      </c>
      <c r="D755" s="35">
        <v>1.5319999999999999E-5</v>
      </c>
    </row>
    <row r="756" spans="1:4" x14ac:dyDescent="0.2">
      <c r="A756" s="1">
        <v>2016</v>
      </c>
      <c r="B756" s="33" t="s">
        <v>1909</v>
      </c>
      <c r="C756" s="34">
        <v>26738</v>
      </c>
      <c r="D756" s="35">
        <v>2.654E-5</v>
      </c>
    </row>
    <row r="757" spans="1:4" x14ac:dyDescent="0.2">
      <c r="A757" s="1">
        <v>2016</v>
      </c>
      <c r="B757" s="33" t="s">
        <v>1910</v>
      </c>
      <c r="C757" s="34">
        <v>4158</v>
      </c>
      <c r="D757" s="35">
        <v>4.1300000000000003E-6</v>
      </c>
    </row>
    <row r="758" spans="1:4" x14ac:dyDescent="0.2">
      <c r="A758" s="1">
        <v>2016</v>
      </c>
      <c r="B758" s="33" t="s">
        <v>1911</v>
      </c>
      <c r="C758" s="34">
        <v>18889</v>
      </c>
      <c r="D758" s="35">
        <v>1.8749999999999998E-5</v>
      </c>
    </row>
    <row r="759" spans="1:4" x14ac:dyDescent="0.2">
      <c r="A759" s="1">
        <v>2016</v>
      </c>
      <c r="B759" s="33" t="s">
        <v>1912</v>
      </c>
      <c r="C759" s="34">
        <v>3596</v>
      </c>
      <c r="D759" s="35">
        <v>3.5700000000000001E-6</v>
      </c>
    </row>
    <row r="760" spans="1:4" x14ac:dyDescent="0.2">
      <c r="A760" s="1">
        <v>2016</v>
      </c>
      <c r="B760" s="33" t="s">
        <v>1913</v>
      </c>
      <c r="C760" s="34">
        <v>16502</v>
      </c>
      <c r="D760" s="35">
        <v>1.6379999999999999E-5</v>
      </c>
    </row>
    <row r="761" spans="1:4" x14ac:dyDescent="0.2">
      <c r="A761" s="1">
        <v>2016</v>
      </c>
      <c r="B761" s="33" t="s">
        <v>1914</v>
      </c>
      <c r="C761" s="34">
        <v>11034</v>
      </c>
      <c r="D761" s="35">
        <v>1.095E-5</v>
      </c>
    </row>
    <row r="762" spans="1:4" x14ac:dyDescent="0.2">
      <c r="A762" s="1">
        <v>2016</v>
      </c>
      <c r="B762" s="17" t="s">
        <v>1915</v>
      </c>
      <c r="C762" s="18">
        <v>12374</v>
      </c>
      <c r="D762" s="19">
        <v>1.2279999999999999E-5</v>
      </c>
    </row>
    <row r="763" spans="1:4" x14ac:dyDescent="0.2">
      <c r="A763" s="1">
        <v>2016</v>
      </c>
      <c r="B763" s="17" t="s">
        <v>1916</v>
      </c>
      <c r="C763" s="18">
        <v>56826</v>
      </c>
      <c r="D763" s="19">
        <v>5.6400000000000002E-5</v>
      </c>
    </row>
    <row r="764" spans="1:4" x14ac:dyDescent="0.2">
      <c r="A764" s="1">
        <v>2016</v>
      </c>
      <c r="B764" s="17" t="s">
        <v>1917</v>
      </c>
      <c r="C764" s="17">
        <v>740</v>
      </c>
      <c r="D764" s="19">
        <v>7.3E-7</v>
      </c>
    </row>
    <row r="765" spans="1:4" x14ac:dyDescent="0.2">
      <c r="A765" s="1">
        <v>2016</v>
      </c>
      <c r="B765" s="17" t="s">
        <v>1918</v>
      </c>
      <c r="C765" s="18">
        <v>320915</v>
      </c>
      <c r="D765" s="19">
        <v>3.1850999999999998E-4</v>
      </c>
    </row>
    <row r="766" spans="1:4" x14ac:dyDescent="0.2">
      <c r="A766" s="1">
        <v>2016</v>
      </c>
      <c r="B766" s="17" t="s">
        <v>1919</v>
      </c>
      <c r="C766" s="18">
        <v>16384</v>
      </c>
      <c r="D766" s="19">
        <v>1.626E-5</v>
      </c>
    </row>
    <row r="767" spans="1:4" x14ac:dyDescent="0.2">
      <c r="A767" s="1">
        <v>2016</v>
      </c>
      <c r="B767" s="17" t="s">
        <v>1920</v>
      </c>
      <c r="C767" s="18">
        <v>2254087</v>
      </c>
      <c r="D767" s="19">
        <v>2.2371600000000002E-3</v>
      </c>
    </row>
    <row r="768" spans="1:4" x14ac:dyDescent="0.2">
      <c r="A768" s="1">
        <v>2016</v>
      </c>
      <c r="B768" s="17" t="s">
        <v>1921</v>
      </c>
      <c r="C768" s="18">
        <v>60385</v>
      </c>
      <c r="D768" s="19">
        <v>5.9929999999999997E-5</v>
      </c>
    </row>
    <row r="769" spans="1:4" x14ac:dyDescent="0.2">
      <c r="A769" s="1">
        <v>2016</v>
      </c>
      <c r="B769" s="17" t="s">
        <v>1922</v>
      </c>
      <c r="C769" s="18">
        <v>2187616</v>
      </c>
      <c r="D769" s="19">
        <v>2.1711899999999999E-3</v>
      </c>
    </row>
    <row r="770" spans="1:4" x14ac:dyDescent="0.2">
      <c r="A770" s="1">
        <v>2016</v>
      </c>
      <c r="B770" s="17" t="s">
        <v>1923</v>
      </c>
      <c r="C770" s="18">
        <v>1645783</v>
      </c>
      <c r="D770" s="19">
        <v>1.63343E-3</v>
      </c>
    </row>
    <row r="771" spans="1:4" x14ac:dyDescent="0.2">
      <c r="A771" s="1">
        <v>2016</v>
      </c>
      <c r="B771" s="17" t="s">
        <v>1924</v>
      </c>
      <c r="C771" s="18">
        <v>99907</v>
      </c>
      <c r="D771" s="19">
        <v>9.9160000000000006E-5</v>
      </c>
    </row>
    <row r="772" spans="1:4" x14ac:dyDescent="0.2">
      <c r="A772" s="1">
        <v>2016</v>
      </c>
      <c r="B772" s="17" t="s">
        <v>1925</v>
      </c>
      <c r="C772" s="18">
        <v>187428</v>
      </c>
      <c r="D772" s="19">
        <v>1.8602000000000001E-4</v>
      </c>
    </row>
    <row r="773" spans="1:4" x14ac:dyDescent="0.2">
      <c r="A773" s="1">
        <v>2016</v>
      </c>
      <c r="B773" s="17" t="s">
        <v>1926</v>
      </c>
      <c r="C773" s="18">
        <v>46169</v>
      </c>
      <c r="D773" s="19">
        <v>4.5819999999999998E-5</v>
      </c>
    </row>
    <row r="774" spans="1:4" x14ac:dyDescent="0.2">
      <c r="A774" s="1">
        <v>2016</v>
      </c>
      <c r="B774" s="17" t="s">
        <v>1927</v>
      </c>
      <c r="C774" s="18">
        <v>2487498</v>
      </c>
      <c r="D774" s="19">
        <v>2.46882E-3</v>
      </c>
    </row>
    <row r="775" spans="1:4" x14ac:dyDescent="0.2">
      <c r="A775" s="1">
        <v>2016</v>
      </c>
      <c r="B775" s="17" t="s">
        <v>1928</v>
      </c>
      <c r="C775" s="18">
        <v>119276</v>
      </c>
      <c r="D775" s="19">
        <v>1.1838E-4</v>
      </c>
    </row>
    <row r="776" spans="1:4" x14ac:dyDescent="0.2">
      <c r="A776" s="1">
        <v>2016</v>
      </c>
      <c r="B776" s="17" t="s">
        <v>1929</v>
      </c>
      <c r="C776" s="18">
        <v>85273</v>
      </c>
      <c r="D776" s="19">
        <v>8.4629999999999994E-5</v>
      </c>
    </row>
    <row r="777" spans="1:4" x14ac:dyDescent="0.2">
      <c r="A777" s="1">
        <v>2016</v>
      </c>
      <c r="B777" s="17" t="s">
        <v>1930</v>
      </c>
      <c r="C777" s="18">
        <v>6132438</v>
      </c>
      <c r="D777" s="19">
        <v>6.0863899999999997E-3</v>
      </c>
    </row>
    <row r="778" spans="1:4" x14ac:dyDescent="0.2">
      <c r="A778" s="1">
        <v>2016</v>
      </c>
      <c r="B778" s="17" t="s">
        <v>1931</v>
      </c>
      <c r="C778" s="18">
        <v>520710</v>
      </c>
      <c r="D778" s="19">
        <v>5.1679999999999999E-4</v>
      </c>
    </row>
    <row r="779" spans="1:4" x14ac:dyDescent="0.2">
      <c r="A779" s="1">
        <v>2016</v>
      </c>
      <c r="B779" s="17" t="s">
        <v>1932</v>
      </c>
      <c r="C779" s="18">
        <v>72801</v>
      </c>
      <c r="D779" s="19">
        <v>7.2249999999999994E-5</v>
      </c>
    </row>
    <row r="780" spans="1:4" x14ac:dyDescent="0.2">
      <c r="A780" s="1">
        <v>2016</v>
      </c>
      <c r="B780" s="17" t="s">
        <v>1933</v>
      </c>
      <c r="C780" s="18">
        <v>86921</v>
      </c>
      <c r="D780" s="19">
        <v>8.6269999999999999E-5</v>
      </c>
    </row>
    <row r="781" spans="1:4" x14ac:dyDescent="0.2">
      <c r="A781" s="1">
        <v>2016</v>
      </c>
      <c r="B781" s="17" t="s">
        <v>1934</v>
      </c>
      <c r="C781" s="18">
        <v>83312</v>
      </c>
      <c r="D781" s="19">
        <v>8.2689999999999996E-5</v>
      </c>
    </row>
    <row r="782" spans="1:4" x14ac:dyDescent="0.2">
      <c r="A782" s="1">
        <v>2016</v>
      </c>
      <c r="B782" s="17" t="s">
        <v>1935</v>
      </c>
      <c r="C782" s="18">
        <v>2073393</v>
      </c>
      <c r="D782" s="19">
        <v>2.0578200000000001E-3</v>
      </c>
    </row>
    <row r="783" spans="1:4" x14ac:dyDescent="0.2">
      <c r="A783" s="1">
        <v>2016</v>
      </c>
      <c r="B783" s="17" t="s">
        <v>1936</v>
      </c>
      <c r="C783" s="18">
        <v>641208</v>
      </c>
      <c r="D783" s="19">
        <v>6.3639000000000002E-4</v>
      </c>
    </row>
    <row r="784" spans="1:4" x14ac:dyDescent="0.2">
      <c r="A784" s="1">
        <v>2016</v>
      </c>
      <c r="B784" s="17" t="s">
        <v>1937</v>
      </c>
      <c r="C784" s="18">
        <v>1733</v>
      </c>
      <c r="D784" s="19">
        <v>1.72E-6</v>
      </c>
    </row>
    <row r="785" spans="1:4" x14ac:dyDescent="0.2">
      <c r="A785" s="1">
        <v>2016</v>
      </c>
      <c r="B785" s="17" t="s">
        <v>1938</v>
      </c>
      <c r="C785" s="18">
        <v>716206</v>
      </c>
      <c r="D785" s="19">
        <v>7.1082999999999997E-4</v>
      </c>
    </row>
    <row r="786" spans="1:4" x14ac:dyDescent="0.2">
      <c r="A786" s="1">
        <v>2016</v>
      </c>
      <c r="B786" s="17" t="s">
        <v>1939</v>
      </c>
      <c r="C786" s="18">
        <v>72698781</v>
      </c>
      <c r="D786" s="19">
        <v>7.2152910000000001E-2</v>
      </c>
    </row>
    <row r="787" spans="1:4" x14ac:dyDescent="0.2">
      <c r="A787" s="1">
        <v>2016</v>
      </c>
      <c r="B787" s="17" t="s">
        <v>1940</v>
      </c>
      <c r="C787" s="18">
        <v>18815408</v>
      </c>
      <c r="D787" s="19">
        <v>1.8674130000000001E-2</v>
      </c>
    </row>
    <row r="788" spans="1:4" x14ac:dyDescent="0.2">
      <c r="A788" s="1">
        <v>2016</v>
      </c>
      <c r="B788" s="17" t="s">
        <v>1941</v>
      </c>
      <c r="C788" s="18">
        <v>13185913</v>
      </c>
      <c r="D788" s="19">
        <v>1.30869E-2</v>
      </c>
    </row>
    <row r="789" spans="1:4" x14ac:dyDescent="0.2">
      <c r="A789" s="1">
        <v>2016</v>
      </c>
      <c r="B789" s="17" t="s">
        <v>1942</v>
      </c>
      <c r="C789" s="18">
        <v>155957</v>
      </c>
      <c r="D789" s="19">
        <v>1.5479E-4</v>
      </c>
    </row>
    <row r="790" spans="1:4" x14ac:dyDescent="0.2">
      <c r="A790" s="1">
        <v>2016</v>
      </c>
      <c r="B790" s="17" t="s">
        <v>1943</v>
      </c>
      <c r="C790" s="18">
        <v>25395</v>
      </c>
      <c r="D790" s="19">
        <v>2.5199999999999999E-5</v>
      </c>
    </row>
    <row r="791" spans="1:4" x14ac:dyDescent="0.2">
      <c r="A791" s="1">
        <v>2016</v>
      </c>
      <c r="B791" s="17" t="s">
        <v>1944</v>
      </c>
      <c r="C791" s="18">
        <v>43163</v>
      </c>
      <c r="D791" s="19">
        <v>4.2840000000000003E-5</v>
      </c>
    </row>
    <row r="792" spans="1:4" x14ac:dyDescent="0.2">
      <c r="A792" s="1">
        <v>2016</v>
      </c>
      <c r="B792" s="17" t="s">
        <v>1945</v>
      </c>
      <c r="C792" s="18">
        <v>93105</v>
      </c>
      <c r="D792" s="19">
        <v>9.2410000000000005E-5</v>
      </c>
    </row>
    <row r="793" spans="1:4" x14ac:dyDescent="0.2">
      <c r="A793" s="1">
        <v>2016</v>
      </c>
      <c r="B793" s="17" t="s">
        <v>1946</v>
      </c>
      <c r="C793" s="18">
        <v>121280</v>
      </c>
      <c r="D793" s="19">
        <v>1.2037E-4</v>
      </c>
    </row>
    <row r="794" spans="1:4" x14ac:dyDescent="0.2">
      <c r="A794" s="1">
        <v>2016</v>
      </c>
      <c r="B794" s="17" t="s">
        <v>1947</v>
      </c>
      <c r="C794" s="18">
        <v>56832</v>
      </c>
      <c r="D794" s="19">
        <v>5.6409999999999997E-5</v>
      </c>
    </row>
    <row r="795" spans="1:4" x14ac:dyDescent="0.2">
      <c r="A795" s="1">
        <v>2016</v>
      </c>
      <c r="B795" s="17" t="s">
        <v>1948</v>
      </c>
      <c r="C795" s="18">
        <v>2562542</v>
      </c>
      <c r="D795" s="19">
        <v>2.5433000000000001E-3</v>
      </c>
    </row>
    <row r="796" spans="1:4" x14ac:dyDescent="0.2">
      <c r="A796" s="1">
        <v>2016</v>
      </c>
      <c r="B796" s="17" t="s">
        <v>1949</v>
      </c>
      <c r="C796" s="18">
        <v>51303</v>
      </c>
      <c r="D796" s="19">
        <v>5.092E-5</v>
      </c>
    </row>
    <row r="797" spans="1:4" x14ac:dyDescent="0.2">
      <c r="A797" s="1">
        <v>2016</v>
      </c>
      <c r="B797" s="17" t="s">
        <v>1950</v>
      </c>
      <c r="C797" s="18">
        <v>72268</v>
      </c>
      <c r="D797" s="19">
        <v>7.1730000000000006E-5</v>
      </c>
    </row>
    <row r="798" spans="1:4" x14ac:dyDescent="0.2">
      <c r="A798" s="1">
        <v>2016</v>
      </c>
      <c r="B798" s="17" t="s">
        <v>1951</v>
      </c>
      <c r="C798" s="18">
        <v>6603658</v>
      </c>
      <c r="D798" s="19">
        <v>6.5540700000000004E-3</v>
      </c>
    </row>
    <row r="799" spans="1:4" x14ac:dyDescent="0.2">
      <c r="A799" s="1">
        <v>2016</v>
      </c>
      <c r="B799" s="17" t="s">
        <v>1952</v>
      </c>
      <c r="C799" s="18">
        <v>77916</v>
      </c>
      <c r="D799" s="19">
        <v>7.7330000000000007E-5</v>
      </c>
    </row>
    <row r="800" spans="1:4" x14ac:dyDescent="0.2">
      <c r="A800" s="1">
        <v>2016</v>
      </c>
      <c r="B800" s="33" t="s">
        <v>1953</v>
      </c>
      <c r="C800" s="36">
        <v>47451</v>
      </c>
      <c r="D800" s="35">
        <v>4.7089999999999998E-5</v>
      </c>
    </row>
    <row r="801" spans="1:4" x14ac:dyDescent="0.2">
      <c r="A801" s="1">
        <v>2016</v>
      </c>
      <c r="B801" s="33" t="s">
        <v>1954</v>
      </c>
      <c r="C801" s="34">
        <v>347392</v>
      </c>
      <c r="D801" s="35">
        <v>3.4477999999999999E-4</v>
      </c>
    </row>
    <row r="802" spans="1:4" x14ac:dyDescent="0.2">
      <c r="A802" s="1">
        <v>2016</v>
      </c>
      <c r="B802" s="33" t="s">
        <v>2048</v>
      </c>
      <c r="C802" s="34">
        <v>3648</v>
      </c>
      <c r="D802" s="35">
        <v>3.6200000000000001E-6</v>
      </c>
    </row>
    <row r="803" spans="1:4" x14ac:dyDescent="0.2">
      <c r="A803" s="1">
        <v>2016</v>
      </c>
      <c r="B803" s="33" t="s">
        <v>1956</v>
      </c>
      <c r="C803" s="34">
        <v>1589055</v>
      </c>
      <c r="D803" s="35">
        <v>1.57712E-3</v>
      </c>
    </row>
    <row r="804" spans="1:4" x14ac:dyDescent="0.2">
      <c r="A804" s="1">
        <v>2016</v>
      </c>
      <c r="B804" s="33" t="s">
        <v>1957</v>
      </c>
      <c r="C804" s="34">
        <v>1027</v>
      </c>
      <c r="D804" s="35">
        <v>1.02E-6</v>
      </c>
    </row>
    <row r="805" spans="1:4" x14ac:dyDescent="0.2">
      <c r="A805" s="1">
        <v>2016</v>
      </c>
      <c r="B805" s="33" t="s">
        <v>1958</v>
      </c>
      <c r="C805" s="34">
        <v>1509255</v>
      </c>
      <c r="D805" s="35">
        <v>1.49792E-3</v>
      </c>
    </row>
    <row r="806" spans="1:4" x14ac:dyDescent="0.2">
      <c r="A806" s="1">
        <v>2016</v>
      </c>
      <c r="B806" s="33" t="s">
        <v>1959</v>
      </c>
      <c r="C806" s="34">
        <v>12229</v>
      </c>
      <c r="D806" s="35">
        <v>1.2140000000000001E-5</v>
      </c>
    </row>
    <row r="807" spans="1:4" x14ac:dyDescent="0.2">
      <c r="A807" s="1">
        <v>2016</v>
      </c>
      <c r="B807" s="33" t="s">
        <v>1960</v>
      </c>
      <c r="C807" s="34">
        <v>41250</v>
      </c>
      <c r="D807" s="35">
        <v>4.0939999999999998E-5</v>
      </c>
    </row>
    <row r="808" spans="1:4" x14ac:dyDescent="0.2">
      <c r="A808" s="1">
        <v>2016</v>
      </c>
      <c r="B808" s="33" t="s">
        <v>1961</v>
      </c>
      <c r="C808" s="34">
        <v>1681363</v>
      </c>
      <c r="D808" s="35">
        <v>1.6687399999999999E-3</v>
      </c>
    </row>
    <row r="809" spans="1:4" x14ac:dyDescent="0.2">
      <c r="A809" s="1">
        <v>2016</v>
      </c>
      <c r="B809" s="33" t="s">
        <v>1962</v>
      </c>
      <c r="C809" s="34">
        <v>66821</v>
      </c>
      <c r="D809" s="35">
        <v>6.6320000000000002E-5</v>
      </c>
    </row>
    <row r="810" spans="1:4" x14ac:dyDescent="0.2">
      <c r="A810" s="1">
        <v>2016</v>
      </c>
      <c r="B810" s="33" t="s">
        <v>1963</v>
      </c>
      <c r="C810" s="34">
        <v>242035</v>
      </c>
      <c r="D810" s="35">
        <v>2.4022E-4</v>
      </c>
    </row>
    <row r="811" spans="1:4" x14ac:dyDescent="0.2">
      <c r="A811" s="1">
        <v>2016</v>
      </c>
      <c r="B811" s="33" t="s">
        <v>1964</v>
      </c>
      <c r="C811" s="34">
        <v>37049</v>
      </c>
      <c r="D811" s="35">
        <v>3.6770000000000002E-5</v>
      </c>
    </row>
    <row r="812" spans="1:4" x14ac:dyDescent="0.2">
      <c r="A812" s="1">
        <v>2016</v>
      </c>
      <c r="B812" s="33" t="s">
        <v>1965</v>
      </c>
      <c r="C812" s="34">
        <v>922636</v>
      </c>
      <c r="D812" s="35">
        <v>9.1571000000000003E-4</v>
      </c>
    </row>
    <row r="813" spans="1:4" x14ac:dyDescent="0.2">
      <c r="A813" s="1">
        <v>2016</v>
      </c>
      <c r="B813" s="33" t="s">
        <v>1966</v>
      </c>
      <c r="C813" s="34">
        <v>404258</v>
      </c>
      <c r="D813" s="35">
        <v>4.0121999999999998E-4</v>
      </c>
    </row>
    <row r="814" spans="1:4" x14ac:dyDescent="0.2">
      <c r="A814" s="1">
        <v>2016</v>
      </c>
      <c r="B814" s="33" t="s">
        <v>1967</v>
      </c>
      <c r="C814" s="34">
        <v>2840764</v>
      </c>
      <c r="D814" s="35">
        <v>2.8194299999999999E-3</v>
      </c>
    </row>
    <row r="815" spans="1:4" x14ac:dyDescent="0.2">
      <c r="A815" s="1">
        <v>2016</v>
      </c>
      <c r="B815" s="33" t="s">
        <v>1968</v>
      </c>
      <c r="C815" s="34">
        <v>624963</v>
      </c>
      <c r="D815" s="35">
        <v>6.2027000000000002E-4</v>
      </c>
    </row>
    <row r="816" spans="1:4" x14ac:dyDescent="0.2">
      <c r="A816" s="1">
        <v>2016</v>
      </c>
      <c r="B816" s="33" t="s">
        <v>1969</v>
      </c>
      <c r="C816" s="34">
        <v>12146</v>
      </c>
      <c r="D816" s="35">
        <v>1.205E-5</v>
      </c>
    </row>
    <row r="817" spans="1:4" x14ac:dyDescent="0.2">
      <c r="A817" s="1">
        <v>2016</v>
      </c>
      <c r="B817" s="33" t="s">
        <v>1970</v>
      </c>
      <c r="C817" s="34">
        <v>3593</v>
      </c>
      <c r="D817" s="35">
        <v>3.5700000000000001E-6</v>
      </c>
    </row>
    <row r="818" spans="1:4" x14ac:dyDescent="0.2">
      <c r="A818" s="1">
        <v>2016</v>
      </c>
      <c r="B818" s="33" t="s">
        <v>1971</v>
      </c>
      <c r="C818" s="34">
        <v>327826</v>
      </c>
      <c r="D818" s="35">
        <v>3.2536000000000002E-4</v>
      </c>
    </row>
    <row r="819" spans="1:4" x14ac:dyDescent="0.2">
      <c r="A819" s="1">
        <v>2016</v>
      </c>
      <c r="B819" s="33" t="s">
        <v>1972</v>
      </c>
      <c r="C819" s="34">
        <v>12657</v>
      </c>
      <c r="D819" s="35">
        <v>1.256E-5</v>
      </c>
    </row>
    <row r="820" spans="1:4" x14ac:dyDescent="0.2">
      <c r="A820" s="1">
        <v>2016</v>
      </c>
      <c r="B820" s="33" t="s">
        <v>1973</v>
      </c>
      <c r="C820" s="34">
        <v>30819</v>
      </c>
      <c r="D820" s="35">
        <v>3.0589999999999997E-5</v>
      </c>
    </row>
    <row r="821" spans="1:4" x14ac:dyDescent="0.2">
      <c r="A821" s="1">
        <v>2016</v>
      </c>
      <c r="B821" s="33" t="s">
        <v>1974</v>
      </c>
      <c r="C821" s="34">
        <v>260841</v>
      </c>
      <c r="D821" s="35">
        <v>2.5888000000000002E-4</v>
      </c>
    </row>
    <row r="822" spans="1:4" x14ac:dyDescent="0.2">
      <c r="A822" s="1">
        <v>2016</v>
      </c>
      <c r="B822" s="33" t="s">
        <v>1975</v>
      </c>
      <c r="C822" s="34">
        <v>1383657</v>
      </c>
      <c r="D822" s="35">
        <v>1.37327E-3</v>
      </c>
    </row>
    <row r="823" spans="1:4" x14ac:dyDescent="0.2">
      <c r="A823" s="1">
        <v>2016</v>
      </c>
      <c r="B823" s="33" t="s">
        <v>1976</v>
      </c>
      <c r="C823" s="34">
        <v>1598058</v>
      </c>
      <c r="D823" s="35">
        <v>1.58606E-3</v>
      </c>
    </row>
    <row r="824" spans="1:4" x14ac:dyDescent="0.2">
      <c r="A824" s="1">
        <v>2016</v>
      </c>
      <c r="B824" s="33" t="s">
        <v>1977</v>
      </c>
      <c r="C824" s="34">
        <v>11692</v>
      </c>
      <c r="D824" s="35">
        <v>1.1600000000000001E-5</v>
      </c>
    </row>
    <row r="825" spans="1:4" x14ac:dyDescent="0.2">
      <c r="A825" s="1">
        <v>2016</v>
      </c>
      <c r="B825" s="33" t="s">
        <v>1978</v>
      </c>
      <c r="C825" s="34">
        <v>60275</v>
      </c>
      <c r="D825" s="35">
        <v>5.982E-5</v>
      </c>
    </row>
    <row r="826" spans="1:4" x14ac:dyDescent="0.2">
      <c r="A826" s="1">
        <v>2016</v>
      </c>
      <c r="B826" s="33" t="s">
        <v>1979</v>
      </c>
      <c r="C826" s="34">
        <v>1268892</v>
      </c>
      <c r="D826" s="35">
        <v>1.2593599999999999E-3</v>
      </c>
    </row>
    <row r="827" spans="1:4" x14ac:dyDescent="0.2">
      <c r="A827" s="1">
        <v>2016</v>
      </c>
      <c r="B827" s="33" t="s">
        <v>1980</v>
      </c>
      <c r="C827" s="34">
        <v>175599</v>
      </c>
      <c r="D827" s="35">
        <v>1.7427999999999999E-4</v>
      </c>
    </row>
    <row r="828" spans="1:4" x14ac:dyDescent="0.2">
      <c r="A828" s="1">
        <v>2016</v>
      </c>
      <c r="B828" s="33" t="s">
        <v>1981</v>
      </c>
      <c r="C828" s="34">
        <v>1230905</v>
      </c>
      <c r="D828" s="35">
        <v>1.2216600000000001E-3</v>
      </c>
    </row>
    <row r="829" spans="1:4" x14ac:dyDescent="0.2">
      <c r="A829" s="1">
        <v>2016</v>
      </c>
      <c r="B829" s="33" t="s">
        <v>1982</v>
      </c>
      <c r="C829" s="34">
        <v>566250</v>
      </c>
      <c r="D829" s="35">
        <v>5.62E-4</v>
      </c>
    </row>
    <row r="830" spans="1:4" x14ac:dyDescent="0.2">
      <c r="A830" s="1">
        <v>2016</v>
      </c>
      <c r="B830" s="33" t="s">
        <v>1983</v>
      </c>
      <c r="C830" s="34">
        <v>2528902</v>
      </c>
      <c r="D830" s="35">
        <v>2.5099100000000002E-3</v>
      </c>
    </row>
    <row r="831" spans="1:4" x14ac:dyDescent="0.2">
      <c r="A831" s="1">
        <v>2016</v>
      </c>
      <c r="B831" s="33" t="s">
        <v>1984</v>
      </c>
      <c r="C831" s="34">
        <v>143138</v>
      </c>
      <c r="D831" s="35">
        <v>1.4206000000000001E-4</v>
      </c>
    </row>
    <row r="832" spans="1:4" x14ac:dyDescent="0.2">
      <c r="A832" s="1">
        <v>2016</v>
      </c>
      <c r="B832" s="33" t="s">
        <v>1985</v>
      </c>
      <c r="C832" s="34">
        <v>51510</v>
      </c>
      <c r="D832" s="35">
        <v>5.1119999999999998E-5</v>
      </c>
    </row>
    <row r="833" spans="1:4" x14ac:dyDescent="0.2">
      <c r="A833" s="1">
        <v>2016</v>
      </c>
      <c r="B833" s="33" t="s">
        <v>1986</v>
      </c>
      <c r="C833" s="34">
        <v>108785</v>
      </c>
      <c r="D833" s="35">
        <v>1.0797E-4</v>
      </c>
    </row>
    <row r="834" spans="1:4" x14ac:dyDescent="0.2">
      <c r="A834" s="1">
        <v>2016</v>
      </c>
      <c r="B834" s="33" t="s">
        <v>1987</v>
      </c>
      <c r="C834" s="34">
        <v>14569</v>
      </c>
      <c r="D834" s="35">
        <v>1.446E-5</v>
      </c>
    </row>
    <row r="835" spans="1:4" x14ac:dyDescent="0.2">
      <c r="A835" s="1">
        <v>2016</v>
      </c>
      <c r="B835" s="33" t="s">
        <v>1988</v>
      </c>
      <c r="C835" s="34">
        <v>724714</v>
      </c>
      <c r="D835" s="35">
        <v>7.1927000000000004E-4</v>
      </c>
    </row>
    <row r="836" spans="1:4" x14ac:dyDescent="0.2">
      <c r="A836" s="1">
        <v>2016</v>
      </c>
      <c r="B836" s="33" t="s">
        <v>2049</v>
      </c>
      <c r="C836" s="34">
        <v>3964</v>
      </c>
      <c r="D836" s="35">
        <v>3.9299999999999996E-6</v>
      </c>
    </row>
    <row r="837" spans="1:4" x14ac:dyDescent="0.2">
      <c r="A837" s="1">
        <v>2016</v>
      </c>
      <c r="B837" s="33" t="s">
        <v>1990</v>
      </c>
      <c r="C837" s="34">
        <v>1529168</v>
      </c>
      <c r="D837" s="35">
        <v>1.5176899999999999E-3</v>
      </c>
    </row>
    <row r="838" spans="1:4" x14ac:dyDescent="0.2">
      <c r="A838" s="1">
        <v>2016</v>
      </c>
      <c r="B838" s="17" t="s">
        <v>1991</v>
      </c>
      <c r="C838" s="18">
        <v>271265</v>
      </c>
      <c r="D838" s="19">
        <v>2.6923000000000002E-4</v>
      </c>
    </row>
    <row r="839" spans="1:4" x14ac:dyDescent="0.2">
      <c r="A839" s="1">
        <v>2016</v>
      </c>
      <c r="B839" s="17" t="s">
        <v>1992</v>
      </c>
      <c r="C839" s="18">
        <v>3082140</v>
      </c>
      <c r="D839" s="19">
        <v>3.0590000000000001E-3</v>
      </c>
    </row>
    <row r="840" spans="1:4" x14ac:dyDescent="0.2">
      <c r="A840" s="1">
        <v>2016</v>
      </c>
      <c r="B840" s="17" t="s">
        <v>1993</v>
      </c>
      <c r="C840" s="18">
        <v>1055472</v>
      </c>
      <c r="D840" s="19">
        <v>1.04755E-3</v>
      </c>
    </row>
    <row r="841" spans="1:4" x14ac:dyDescent="0.2">
      <c r="A841" s="1">
        <v>2016</v>
      </c>
      <c r="B841" s="17" t="s">
        <v>1994</v>
      </c>
      <c r="C841" s="18">
        <v>363982</v>
      </c>
      <c r="D841" s="19">
        <v>3.6125000000000003E-4</v>
      </c>
    </row>
    <row r="842" spans="1:4" x14ac:dyDescent="0.2">
      <c r="A842" s="1">
        <v>2016</v>
      </c>
      <c r="B842" s="17" t="s">
        <v>2050</v>
      </c>
      <c r="C842" s="17">
        <v>325</v>
      </c>
      <c r="D842" s="19">
        <v>3.2000000000000001E-7</v>
      </c>
    </row>
    <row r="843" spans="1:4" x14ac:dyDescent="0.2">
      <c r="A843" s="1">
        <v>2016</v>
      </c>
      <c r="B843" s="17" t="s">
        <v>1995</v>
      </c>
      <c r="C843" s="18">
        <v>6530</v>
      </c>
      <c r="D843" s="19">
        <v>6.4799999999999998E-6</v>
      </c>
    </row>
    <row r="844" spans="1:4" x14ac:dyDescent="0.2">
      <c r="A844" s="1">
        <v>2016</v>
      </c>
      <c r="B844" s="17" t="s">
        <v>1996</v>
      </c>
      <c r="C844" s="18">
        <v>225984</v>
      </c>
      <c r="D844" s="19">
        <v>2.2429000000000001E-4</v>
      </c>
    </row>
    <row r="845" spans="1:4" x14ac:dyDescent="0.2">
      <c r="A845" s="1">
        <v>2016</v>
      </c>
      <c r="B845" s="17" t="s">
        <v>1997</v>
      </c>
      <c r="C845" s="18">
        <v>42409</v>
      </c>
      <c r="D845" s="19">
        <v>4.2089999999999999E-5</v>
      </c>
    </row>
    <row r="846" spans="1:4" x14ac:dyDescent="0.2">
      <c r="A846" s="1">
        <v>2016</v>
      </c>
      <c r="B846" s="17" t="s">
        <v>1998</v>
      </c>
      <c r="C846" s="18">
        <v>965079</v>
      </c>
      <c r="D846" s="19">
        <v>9.5783000000000001E-4</v>
      </c>
    </row>
    <row r="847" spans="1:4" x14ac:dyDescent="0.2">
      <c r="A847" s="1">
        <v>2016</v>
      </c>
      <c r="B847" s="17" t="s">
        <v>1999</v>
      </c>
      <c r="C847" s="18">
        <v>485391</v>
      </c>
      <c r="D847" s="19">
        <v>4.8174999999999997E-4</v>
      </c>
    </row>
    <row r="848" spans="1:4" x14ac:dyDescent="0.2">
      <c r="A848" s="1">
        <v>2016</v>
      </c>
      <c r="B848" s="17" t="s">
        <v>2000</v>
      </c>
      <c r="C848" s="18">
        <v>24682</v>
      </c>
      <c r="D848" s="19">
        <v>2.4499999999999999E-5</v>
      </c>
    </row>
    <row r="849" spans="1:4" x14ac:dyDescent="0.2">
      <c r="A849" s="1">
        <v>2016</v>
      </c>
      <c r="B849" s="17" t="s">
        <v>2001</v>
      </c>
      <c r="C849" s="18">
        <v>3496</v>
      </c>
      <c r="D849" s="19">
        <v>3.4699999999999998E-6</v>
      </c>
    </row>
    <row r="850" spans="1:4" x14ac:dyDescent="0.2">
      <c r="A850" s="1">
        <v>2016</v>
      </c>
      <c r="B850" s="17" t="s">
        <v>2002</v>
      </c>
      <c r="C850" s="18">
        <v>123514</v>
      </c>
      <c r="D850" s="19">
        <v>1.2259E-4</v>
      </c>
    </row>
    <row r="851" spans="1:4" x14ac:dyDescent="0.2">
      <c r="A851" s="1">
        <v>2016</v>
      </c>
      <c r="B851" s="17" t="s">
        <v>2003</v>
      </c>
      <c r="C851" s="18">
        <v>530678</v>
      </c>
      <c r="D851" s="19">
        <v>5.2669000000000001E-4</v>
      </c>
    </row>
    <row r="852" spans="1:4" x14ac:dyDescent="0.2">
      <c r="A852" s="1">
        <v>2016</v>
      </c>
      <c r="B852" s="17" t="s">
        <v>2004</v>
      </c>
      <c r="C852" s="18">
        <v>355240</v>
      </c>
      <c r="D852" s="19">
        <v>3.5257000000000002E-4</v>
      </c>
    </row>
    <row r="853" spans="1:4" x14ac:dyDescent="0.2">
      <c r="A853" s="1">
        <v>2016</v>
      </c>
      <c r="B853" s="17" t="s">
        <v>2005</v>
      </c>
      <c r="C853" s="18">
        <v>7973</v>
      </c>
      <c r="D853" s="19">
        <v>7.9100000000000005E-6</v>
      </c>
    </row>
    <row r="854" spans="1:4" x14ac:dyDescent="0.2">
      <c r="A854" s="1">
        <v>2016</v>
      </c>
      <c r="B854" s="17" t="s">
        <v>2006</v>
      </c>
      <c r="C854" s="18">
        <v>11918</v>
      </c>
      <c r="D854" s="19">
        <v>1.183E-5</v>
      </c>
    </row>
    <row r="855" spans="1:4" x14ac:dyDescent="0.2">
      <c r="A855" s="1">
        <v>2016</v>
      </c>
      <c r="B855" s="17" t="s">
        <v>2051</v>
      </c>
      <c r="C855" s="18">
        <v>498477</v>
      </c>
      <c r="D855" s="19">
        <v>4.9472999999999997E-4</v>
      </c>
    </row>
    <row r="856" spans="1:4" x14ac:dyDescent="0.2">
      <c r="A856" s="1">
        <v>2016</v>
      </c>
      <c r="B856" s="17" t="s">
        <v>2008</v>
      </c>
      <c r="C856" s="18">
        <v>69737</v>
      </c>
      <c r="D856" s="19">
        <v>6.9209999999999996E-5</v>
      </c>
    </row>
    <row r="857" spans="1:4" x14ac:dyDescent="0.2">
      <c r="A857" s="1">
        <v>2016</v>
      </c>
      <c r="B857" s="17" t="s">
        <v>2009</v>
      </c>
      <c r="C857" s="18">
        <v>1565619</v>
      </c>
      <c r="D857" s="19">
        <v>1.55386E-3</v>
      </c>
    </row>
    <row r="858" spans="1:4" x14ac:dyDescent="0.2">
      <c r="A858" s="1">
        <v>2016</v>
      </c>
      <c r="B858" s="17" t="s">
        <v>2010</v>
      </c>
      <c r="C858" s="18">
        <v>479453</v>
      </c>
      <c r="D858" s="19">
        <v>4.7584999999999999E-4</v>
      </c>
    </row>
    <row r="859" spans="1:4" x14ac:dyDescent="0.2">
      <c r="A859" s="1">
        <v>2016</v>
      </c>
      <c r="B859" s="17" t="s">
        <v>2052</v>
      </c>
      <c r="C859" s="18">
        <v>1366121</v>
      </c>
      <c r="D859" s="19">
        <v>1.35586E-3</v>
      </c>
    </row>
    <row r="860" spans="1:4" x14ac:dyDescent="0.2">
      <c r="A860" s="1">
        <v>2016</v>
      </c>
      <c r="B860" s="17" t="s">
        <v>2012</v>
      </c>
      <c r="C860" s="18">
        <v>837588</v>
      </c>
      <c r="D860" s="19">
        <v>8.3129999999999999E-4</v>
      </c>
    </row>
    <row r="861" spans="1:4" x14ac:dyDescent="0.2">
      <c r="A861" s="1">
        <v>2016</v>
      </c>
      <c r="B861" s="17" t="s">
        <v>2013</v>
      </c>
      <c r="C861" s="18">
        <v>12206</v>
      </c>
      <c r="D861" s="19">
        <v>1.2109999999999999E-5</v>
      </c>
    </row>
    <row r="862" spans="1:4" x14ac:dyDescent="0.2">
      <c r="A862" s="1">
        <v>2016</v>
      </c>
      <c r="B862" s="17" t="s">
        <v>2014</v>
      </c>
      <c r="C862" s="18">
        <v>8133</v>
      </c>
      <c r="D862" s="19">
        <v>8.0700000000000007E-6</v>
      </c>
    </row>
    <row r="863" spans="1:4" x14ac:dyDescent="0.2">
      <c r="A863" s="1">
        <v>2016</v>
      </c>
      <c r="B863" s="17" t="s">
        <v>2015</v>
      </c>
      <c r="C863" s="18">
        <v>19701</v>
      </c>
      <c r="D863" s="19">
        <v>1.9550000000000001E-5</v>
      </c>
    </row>
    <row r="864" spans="1:4" x14ac:dyDescent="0.2">
      <c r="A864" s="1">
        <v>2016</v>
      </c>
      <c r="B864" s="17" t="s">
        <v>2016</v>
      </c>
      <c r="C864" s="18">
        <v>9708</v>
      </c>
      <c r="D864" s="19">
        <v>9.6399999999999992E-6</v>
      </c>
    </row>
    <row r="865" spans="1:4" x14ac:dyDescent="0.2">
      <c r="A865" s="1">
        <v>2016</v>
      </c>
      <c r="B865" s="17" t="s">
        <v>2017</v>
      </c>
      <c r="C865" s="18">
        <v>95563</v>
      </c>
      <c r="D865" s="19">
        <v>9.4850000000000002E-5</v>
      </c>
    </row>
    <row r="866" spans="1:4" x14ac:dyDescent="0.2">
      <c r="A866" s="1">
        <v>2016</v>
      </c>
      <c r="B866" s="17" t="s">
        <v>2018</v>
      </c>
      <c r="C866" s="18">
        <v>73945</v>
      </c>
      <c r="D866" s="19">
        <v>7.339E-5</v>
      </c>
    </row>
    <row r="867" spans="1:4" x14ac:dyDescent="0.2">
      <c r="D867" s="19"/>
    </row>
    <row r="868" spans="1:4" x14ac:dyDescent="0.2">
      <c r="B868" s="3" t="s">
        <v>861</v>
      </c>
      <c r="C868" s="2">
        <f>SUM(C2:C866)</f>
        <v>1007565534</v>
      </c>
    </row>
    <row r="869" spans="1:4" x14ac:dyDescent="0.2">
      <c r="B869" s="3"/>
    </row>
    <row r="870" spans="1:4" x14ac:dyDescent="0.2">
      <c r="B870" s="3" t="s">
        <v>860</v>
      </c>
      <c r="C870" s="2">
        <v>1007565534</v>
      </c>
    </row>
    <row r="872" spans="1:4" x14ac:dyDescent="0.2">
      <c r="B872" s="4" t="s">
        <v>862</v>
      </c>
      <c r="C872" s="5">
        <f>C868-C870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2A47-0768-D24C-8F86-A8C7C7E6CF31}">
  <sheetPr>
    <tabColor rgb="FFFFFF00"/>
  </sheetPr>
  <dimension ref="A1:D884"/>
  <sheetViews>
    <sheetView topLeftCell="A532" workbookViewId="0">
      <selection activeCell="B553" sqref="B1:B1048576"/>
    </sheetView>
  </sheetViews>
  <sheetFormatPr baseColWidth="10" defaultRowHeight="16" x14ac:dyDescent="0.2"/>
  <cols>
    <col min="1" max="1" width="10.83203125" style="1"/>
    <col min="2" max="2" width="44.1640625" style="1" bestFit="1" customWidth="1"/>
    <col min="3" max="3" width="20.5" style="1" bestFit="1" customWidth="1"/>
    <col min="4" max="4" width="17.83203125" style="1" bestFit="1" customWidth="1"/>
  </cols>
  <sheetData>
    <row r="1" spans="1:4" x14ac:dyDescent="0.2">
      <c r="A1" s="1" t="s">
        <v>903</v>
      </c>
      <c r="B1" s="1" t="s">
        <v>901</v>
      </c>
      <c r="C1" s="1" t="s">
        <v>1151</v>
      </c>
      <c r="D1" s="1" t="s">
        <v>902</v>
      </c>
    </row>
    <row r="2" spans="1:4" x14ac:dyDescent="0.2">
      <c r="A2" s="1">
        <v>2015</v>
      </c>
      <c r="B2" s="1" t="s">
        <v>1154</v>
      </c>
      <c r="C2" s="2">
        <v>404810</v>
      </c>
      <c r="D2" s="8">
        <v>4.1140000000000003E-4</v>
      </c>
    </row>
    <row r="3" spans="1:4" x14ac:dyDescent="0.2">
      <c r="A3" s="1">
        <v>2015</v>
      </c>
      <c r="B3" s="1" t="s">
        <v>2073</v>
      </c>
      <c r="C3" s="2">
        <v>1050045</v>
      </c>
      <c r="D3" s="1">
        <v>0.106715</v>
      </c>
    </row>
    <row r="4" spans="1:4" x14ac:dyDescent="0.2">
      <c r="A4" s="1">
        <v>2015</v>
      </c>
      <c r="B4" s="1" t="s">
        <v>1156</v>
      </c>
      <c r="C4" s="2">
        <v>87227</v>
      </c>
      <c r="D4" s="1">
        <v>8.8649999999999996E-3</v>
      </c>
    </row>
    <row r="5" spans="1:4" x14ac:dyDescent="0.2">
      <c r="A5" s="1">
        <v>2015</v>
      </c>
      <c r="B5" s="1" t="s">
        <v>2074</v>
      </c>
      <c r="C5" s="2">
        <v>30396</v>
      </c>
      <c r="D5" s="1">
        <v>3.0890000000000002E-3</v>
      </c>
    </row>
    <row r="6" spans="1:4" x14ac:dyDescent="0.2">
      <c r="A6" s="1">
        <v>2015</v>
      </c>
      <c r="B6" s="1" t="s">
        <v>2075</v>
      </c>
      <c r="C6" s="2">
        <v>1158635</v>
      </c>
      <c r="D6" s="1">
        <v>0.11775099999999999</v>
      </c>
    </row>
    <row r="7" spans="1:4" x14ac:dyDescent="0.2">
      <c r="A7" s="1">
        <v>2015</v>
      </c>
      <c r="B7" s="1" t="s">
        <v>2076</v>
      </c>
      <c r="C7" s="2">
        <v>11977</v>
      </c>
      <c r="D7" s="1">
        <v>1.217E-3</v>
      </c>
    </row>
    <row r="8" spans="1:4" x14ac:dyDescent="0.2">
      <c r="A8" s="1">
        <v>2015</v>
      </c>
      <c r="B8" s="1" t="s">
        <v>1160</v>
      </c>
      <c r="C8" s="2">
        <v>2209129</v>
      </c>
      <c r="D8" s="1">
        <v>0.22451199999999999</v>
      </c>
    </row>
    <row r="9" spans="1:4" x14ac:dyDescent="0.2">
      <c r="A9" s="1">
        <v>2015</v>
      </c>
      <c r="B9" s="1" t="s">
        <v>2077</v>
      </c>
      <c r="C9" s="2">
        <v>1108197</v>
      </c>
      <c r="D9" s="1">
        <v>0.112625</v>
      </c>
    </row>
    <row r="10" spans="1:4" x14ac:dyDescent="0.2">
      <c r="A10" s="1">
        <v>2015</v>
      </c>
      <c r="B10" s="1" t="s">
        <v>2078</v>
      </c>
      <c r="C10" s="2">
        <v>2599751</v>
      </c>
      <c r="D10" s="1">
        <v>0.26421</v>
      </c>
    </row>
    <row r="11" spans="1:4" x14ac:dyDescent="0.2">
      <c r="A11" s="1">
        <v>2015</v>
      </c>
      <c r="B11" s="1" t="s">
        <v>2079</v>
      </c>
      <c r="C11" s="2">
        <v>754153</v>
      </c>
      <c r="D11" s="1">
        <v>7.6644000000000004E-2</v>
      </c>
    </row>
    <row r="12" spans="1:4" x14ac:dyDescent="0.2">
      <c r="A12" s="1">
        <v>2015</v>
      </c>
      <c r="B12" s="1" t="s">
        <v>2080</v>
      </c>
      <c r="C12" s="2">
        <v>4521679</v>
      </c>
      <c r="D12" s="1">
        <v>0.459534</v>
      </c>
    </row>
    <row r="13" spans="1:4" x14ac:dyDescent="0.2">
      <c r="A13" s="1">
        <v>2015</v>
      </c>
      <c r="B13" s="1" t="s">
        <v>2081</v>
      </c>
      <c r="C13" s="2">
        <v>1031190</v>
      </c>
      <c r="D13" s="1">
        <v>0.104799</v>
      </c>
    </row>
    <row r="14" spans="1:4" x14ac:dyDescent="0.2">
      <c r="A14" s="1">
        <v>2015</v>
      </c>
      <c r="B14" s="1" t="s">
        <v>2082</v>
      </c>
      <c r="C14" s="2">
        <v>335849</v>
      </c>
      <c r="D14" s="1">
        <v>3.4132000000000003E-2</v>
      </c>
    </row>
    <row r="15" spans="1:4" x14ac:dyDescent="0.2">
      <c r="A15" s="1">
        <v>2015</v>
      </c>
      <c r="B15" s="1" t="s">
        <v>1167</v>
      </c>
      <c r="C15" s="2">
        <v>674798</v>
      </c>
      <c r="D15" s="1">
        <v>6.8579000000000001E-2</v>
      </c>
    </row>
    <row r="16" spans="1:4" x14ac:dyDescent="0.2">
      <c r="A16" s="1">
        <v>2015</v>
      </c>
      <c r="B16" s="1" t="s">
        <v>2083</v>
      </c>
      <c r="C16" s="2">
        <v>1284876</v>
      </c>
      <c r="D16" s="1">
        <v>0.130581</v>
      </c>
    </row>
    <row r="17" spans="1:4" x14ac:dyDescent="0.2">
      <c r="A17" s="1">
        <v>2015</v>
      </c>
      <c r="B17" s="1" t="s">
        <v>1169</v>
      </c>
      <c r="C17" s="2">
        <v>18397</v>
      </c>
      <c r="D17" s="1">
        <v>1.8699999999999999E-3</v>
      </c>
    </row>
    <row r="18" spans="1:4" x14ac:dyDescent="0.2">
      <c r="A18" s="1">
        <v>2015</v>
      </c>
      <c r="B18" s="1" t="s">
        <v>1170</v>
      </c>
      <c r="C18" s="2">
        <v>23063</v>
      </c>
      <c r="D18" s="1">
        <v>2.3440000000000002E-3</v>
      </c>
    </row>
    <row r="19" spans="1:4" x14ac:dyDescent="0.2">
      <c r="A19" s="1">
        <v>2015</v>
      </c>
      <c r="B19" s="1" t="s">
        <v>1171</v>
      </c>
      <c r="C19" s="2">
        <v>157889</v>
      </c>
      <c r="D19" s="1">
        <v>1.6046000000000001E-2</v>
      </c>
    </row>
    <row r="20" spans="1:4" x14ac:dyDescent="0.2">
      <c r="A20" s="1">
        <v>2015</v>
      </c>
      <c r="B20" s="1" t="s">
        <v>2084</v>
      </c>
      <c r="C20" s="2">
        <v>16576</v>
      </c>
      <c r="D20" s="1">
        <v>1.6850000000000001E-3</v>
      </c>
    </row>
    <row r="21" spans="1:4" x14ac:dyDescent="0.2">
      <c r="A21" s="1">
        <v>2015</v>
      </c>
      <c r="B21" s="1" t="s">
        <v>2085</v>
      </c>
      <c r="C21" s="2">
        <v>806458</v>
      </c>
      <c r="D21" s="1">
        <v>8.1960000000000005E-2</v>
      </c>
    </row>
    <row r="22" spans="1:4" x14ac:dyDescent="0.2">
      <c r="A22" s="1">
        <v>2015</v>
      </c>
      <c r="B22" s="1" t="s">
        <v>1174</v>
      </c>
      <c r="C22" s="2">
        <v>12111</v>
      </c>
      <c r="D22" s="1">
        <v>1.2310000000000001E-3</v>
      </c>
    </row>
    <row r="23" spans="1:4" x14ac:dyDescent="0.2">
      <c r="A23" s="1">
        <v>2015</v>
      </c>
      <c r="B23" s="1" t="s">
        <v>1175</v>
      </c>
      <c r="C23" s="2">
        <v>11806</v>
      </c>
      <c r="D23" s="1">
        <v>1.1999999999999999E-3</v>
      </c>
    </row>
    <row r="24" spans="1:4" x14ac:dyDescent="0.2">
      <c r="A24" s="1">
        <v>2015</v>
      </c>
      <c r="B24" s="1" t="s">
        <v>1176</v>
      </c>
      <c r="C24" s="2">
        <v>83021</v>
      </c>
      <c r="D24" s="1">
        <v>8.4370000000000001E-3</v>
      </c>
    </row>
    <row r="25" spans="1:4" x14ac:dyDescent="0.2">
      <c r="A25" s="1">
        <v>2015</v>
      </c>
      <c r="B25" s="1" t="s">
        <v>1177</v>
      </c>
      <c r="C25" s="2">
        <v>38519</v>
      </c>
      <c r="D25" s="1">
        <v>3.9150000000000001E-3</v>
      </c>
    </row>
    <row r="26" spans="1:4" x14ac:dyDescent="0.2">
      <c r="A26" s="1">
        <v>2015</v>
      </c>
      <c r="B26" s="1" t="s">
        <v>2086</v>
      </c>
      <c r="C26" s="2">
        <v>1019878</v>
      </c>
      <c r="D26" s="1">
        <v>0.10364900000000001</v>
      </c>
    </row>
    <row r="27" spans="1:4" x14ac:dyDescent="0.2">
      <c r="A27" s="1">
        <v>2015</v>
      </c>
      <c r="B27" s="1" t="s">
        <v>2087</v>
      </c>
      <c r="C27" s="2">
        <v>500259</v>
      </c>
      <c r="D27" s="1">
        <v>5.0840999999999997E-2</v>
      </c>
    </row>
    <row r="28" spans="1:4" x14ac:dyDescent="0.2">
      <c r="A28" s="1">
        <v>2015</v>
      </c>
      <c r="B28" s="1" t="s">
        <v>2088</v>
      </c>
      <c r="C28" s="2">
        <v>17741</v>
      </c>
      <c r="D28" s="1">
        <v>1.8029999999999999E-3</v>
      </c>
    </row>
    <row r="29" spans="1:4" x14ac:dyDescent="0.2">
      <c r="A29" s="1">
        <v>2015</v>
      </c>
      <c r="B29" s="1" t="s">
        <v>1181</v>
      </c>
      <c r="C29" s="2">
        <v>2914608</v>
      </c>
      <c r="D29" s="1">
        <v>0.296209</v>
      </c>
    </row>
    <row r="30" spans="1:4" x14ac:dyDescent="0.2">
      <c r="A30" s="1">
        <v>2015</v>
      </c>
      <c r="B30" s="1" t="s">
        <v>1182</v>
      </c>
      <c r="C30" s="2">
        <v>179293</v>
      </c>
      <c r="D30" s="1">
        <v>1.8221000000000001E-2</v>
      </c>
    </row>
    <row r="31" spans="1:4" x14ac:dyDescent="0.2">
      <c r="A31" s="1">
        <v>2015</v>
      </c>
      <c r="B31" s="1" t="s">
        <v>1183</v>
      </c>
      <c r="C31" s="2">
        <v>11587</v>
      </c>
      <c r="D31" s="1">
        <v>1.178E-3</v>
      </c>
    </row>
    <row r="32" spans="1:4" x14ac:dyDescent="0.2">
      <c r="A32" s="1">
        <v>2015</v>
      </c>
      <c r="B32" s="1" t="s">
        <v>2089</v>
      </c>
      <c r="C32" s="2">
        <v>688854</v>
      </c>
      <c r="D32" s="1">
        <v>7.0008000000000001E-2</v>
      </c>
    </row>
    <row r="33" spans="1:4" x14ac:dyDescent="0.2">
      <c r="A33" s="1">
        <v>2015</v>
      </c>
      <c r="B33" s="1" t="s">
        <v>1185</v>
      </c>
      <c r="C33" s="2">
        <v>636005</v>
      </c>
      <c r="D33" s="1">
        <v>6.4637E-2</v>
      </c>
    </row>
    <row r="34" spans="1:4" x14ac:dyDescent="0.2">
      <c r="A34" s="1">
        <v>2015</v>
      </c>
      <c r="B34" s="1" t="s">
        <v>1186</v>
      </c>
      <c r="C34" s="2">
        <v>13562</v>
      </c>
      <c r="D34" s="1">
        <v>1.3780000000000001E-3</v>
      </c>
    </row>
    <row r="35" spans="1:4" x14ac:dyDescent="0.2">
      <c r="A35" s="1">
        <v>2015</v>
      </c>
      <c r="B35" s="1" t="s">
        <v>1187</v>
      </c>
      <c r="C35" s="2">
        <v>14780</v>
      </c>
      <c r="D35" s="1">
        <v>1.5020000000000001E-3</v>
      </c>
    </row>
    <row r="36" spans="1:4" x14ac:dyDescent="0.2">
      <c r="A36" s="1">
        <v>2015</v>
      </c>
      <c r="B36" s="1" t="s">
        <v>1188</v>
      </c>
      <c r="C36" s="2">
        <v>851037</v>
      </c>
      <c r="D36" s="1">
        <v>8.6489999999999997E-2</v>
      </c>
    </row>
    <row r="37" spans="1:4" x14ac:dyDescent="0.2">
      <c r="A37" s="1">
        <v>2015</v>
      </c>
      <c r="B37" s="1" t="s">
        <v>1189</v>
      </c>
      <c r="C37" s="2">
        <v>165307</v>
      </c>
      <c r="D37" s="1">
        <v>1.6799999999999999E-2</v>
      </c>
    </row>
    <row r="38" spans="1:4" x14ac:dyDescent="0.2">
      <c r="A38" s="1">
        <v>2015</v>
      </c>
      <c r="B38" s="1" t="s">
        <v>2090</v>
      </c>
      <c r="C38" s="2">
        <v>622015</v>
      </c>
      <c r="D38" s="1">
        <v>6.3214999999999993E-2</v>
      </c>
    </row>
    <row r="39" spans="1:4" x14ac:dyDescent="0.2">
      <c r="A39" s="1">
        <v>2015</v>
      </c>
      <c r="B39" s="1" t="s">
        <v>2091</v>
      </c>
      <c r="C39" s="2">
        <v>1649957</v>
      </c>
      <c r="D39" s="1">
        <v>0.167684</v>
      </c>
    </row>
    <row r="40" spans="1:4" x14ac:dyDescent="0.2">
      <c r="A40" s="1">
        <v>2015</v>
      </c>
      <c r="B40" s="1" t="s">
        <v>1192</v>
      </c>
      <c r="C40" s="2">
        <v>34258</v>
      </c>
      <c r="D40" s="1">
        <v>3.4819999999999999E-3</v>
      </c>
    </row>
    <row r="41" spans="1:4" x14ac:dyDescent="0.2">
      <c r="A41" s="1">
        <v>2015</v>
      </c>
      <c r="B41" s="1" t="s">
        <v>2092</v>
      </c>
      <c r="C41" s="2">
        <v>17620</v>
      </c>
      <c r="D41" s="1">
        <v>1.7910000000000001E-3</v>
      </c>
    </row>
    <row r="42" spans="1:4" x14ac:dyDescent="0.2">
      <c r="A42" s="1">
        <v>2015</v>
      </c>
      <c r="B42" s="1" t="s">
        <v>1194</v>
      </c>
      <c r="C42" s="2">
        <v>29613</v>
      </c>
      <c r="D42" s="1">
        <v>3.0100000000000001E-3</v>
      </c>
    </row>
    <row r="43" spans="1:4" x14ac:dyDescent="0.2">
      <c r="A43" s="1">
        <v>2015</v>
      </c>
      <c r="B43" s="1" t="s">
        <v>1195</v>
      </c>
      <c r="C43" s="2">
        <v>104832</v>
      </c>
      <c r="D43" s="1">
        <v>1.0654E-2</v>
      </c>
    </row>
    <row r="44" spans="1:4" x14ac:dyDescent="0.2">
      <c r="A44" s="1">
        <v>2015</v>
      </c>
      <c r="B44" s="1" t="s">
        <v>1196</v>
      </c>
      <c r="C44" s="2">
        <v>158984</v>
      </c>
      <c r="D44" s="1">
        <v>1.6157000000000001E-2</v>
      </c>
    </row>
    <row r="45" spans="1:4" x14ac:dyDescent="0.2">
      <c r="A45" s="1">
        <v>2015</v>
      </c>
      <c r="B45" s="1" t="s">
        <v>1197</v>
      </c>
      <c r="C45" s="2">
        <v>8792</v>
      </c>
      <c r="D45" s="1">
        <v>8.9400000000000005E-4</v>
      </c>
    </row>
    <row r="46" spans="1:4" x14ac:dyDescent="0.2">
      <c r="A46" s="1">
        <v>2015</v>
      </c>
      <c r="B46" s="1" t="s">
        <v>2093</v>
      </c>
      <c r="C46" s="2">
        <v>90236</v>
      </c>
      <c r="D46" s="1">
        <v>9.1710000000000003E-3</v>
      </c>
    </row>
    <row r="47" spans="1:4" x14ac:dyDescent="0.2">
      <c r="A47" s="1">
        <v>2015</v>
      </c>
      <c r="B47" s="1" t="s">
        <v>2094</v>
      </c>
      <c r="C47" s="2">
        <v>983387</v>
      </c>
      <c r="D47" s="1">
        <v>9.9941000000000002E-2</v>
      </c>
    </row>
    <row r="48" spans="1:4" x14ac:dyDescent="0.2">
      <c r="A48" s="1">
        <v>2015</v>
      </c>
      <c r="B48" s="1" t="s">
        <v>2095</v>
      </c>
      <c r="C48" s="2">
        <v>244013</v>
      </c>
      <c r="D48" s="1">
        <v>2.4799000000000002E-2</v>
      </c>
    </row>
    <row r="49" spans="1:4" x14ac:dyDescent="0.2">
      <c r="A49" s="1">
        <v>2015</v>
      </c>
      <c r="B49" s="1" t="s">
        <v>1200</v>
      </c>
      <c r="C49" s="2">
        <v>11145</v>
      </c>
      <c r="D49" s="1">
        <v>1.1329999999999999E-3</v>
      </c>
    </row>
    <row r="50" spans="1:4" x14ac:dyDescent="0.2">
      <c r="A50" s="1">
        <v>2015</v>
      </c>
      <c r="B50" s="1" t="s">
        <v>1201</v>
      </c>
      <c r="C50" s="2">
        <v>20637</v>
      </c>
      <c r="D50" s="1">
        <v>2.0969999999999999E-3</v>
      </c>
    </row>
    <row r="51" spans="1:4" x14ac:dyDescent="0.2">
      <c r="A51" s="1">
        <v>2015</v>
      </c>
      <c r="B51" s="1" t="s">
        <v>1202</v>
      </c>
      <c r="C51" s="2">
        <v>4221111</v>
      </c>
      <c r="D51" s="1">
        <v>0.42898799999999998</v>
      </c>
    </row>
    <row r="52" spans="1:4" x14ac:dyDescent="0.2">
      <c r="A52" s="1">
        <v>2015</v>
      </c>
      <c r="B52" s="1" t="s">
        <v>1203</v>
      </c>
      <c r="C52" s="2">
        <v>319610</v>
      </c>
      <c r="D52" s="8">
        <v>3.2482000000000002E-4</v>
      </c>
    </row>
    <row r="53" spans="1:4" x14ac:dyDescent="0.2">
      <c r="A53" s="1">
        <v>2015</v>
      </c>
      <c r="B53" s="1" t="s">
        <v>2096</v>
      </c>
      <c r="C53" s="2">
        <v>4640806</v>
      </c>
      <c r="D53" s="1">
        <v>0.47164099999999998</v>
      </c>
    </row>
    <row r="54" spans="1:4" x14ac:dyDescent="0.2">
      <c r="A54" s="1">
        <v>2015</v>
      </c>
      <c r="B54" s="1" t="s">
        <v>1206</v>
      </c>
      <c r="C54" s="2">
        <v>11371</v>
      </c>
      <c r="D54" s="1">
        <v>1.1559999999999999E-3</v>
      </c>
    </row>
    <row r="55" spans="1:4" x14ac:dyDescent="0.2">
      <c r="A55" s="1">
        <v>2015</v>
      </c>
      <c r="B55" s="1" t="s">
        <v>1208</v>
      </c>
      <c r="C55" s="2">
        <v>52447</v>
      </c>
      <c r="D55" s="1">
        <v>5.3299999999999997E-3</v>
      </c>
    </row>
    <row r="56" spans="1:4" x14ac:dyDescent="0.2">
      <c r="A56" s="1">
        <v>2015</v>
      </c>
      <c r="B56" s="1" t="s">
        <v>2097</v>
      </c>
      <c r="C56" s="2">
        <v>50769</v>
      </c>
      <c r="D56" s="1">
        <v>5.1599999999999997E-3</v>
      </c>
    </row>
    <row r="57" spans="1:4" x14ac:dyDescent="0.2">
      <c r="A57" s="1">
        <v>2015</v>
      </c>
      <c r="B57" s="1" t="s">
        <v>2098</v>
      </c>
      <c r="C57" s="2">
        <v>1226527</v>
      </c>
      <c r="D57" s="1">
        <v>0.124651</v>
      </c>
    </row>
    <row r="58" spans="1:4" x14ac:dyDescent="0.2">
      <c r="A58" s="1">
        <v>2015</v>
      </c>
      <c r="B58" s="1" t="s">
        <v>2099</v>
      </c>
      <c r="C58" s="2">
        <v>3912</v>
      </c>
      <c r="D58" s="1">
        <v>3.9800000000000002E-4</v>
      </c>
    </row>
    <row r="59" spans="1:4" x14ac:dyDescent="0.2">
      <c r="A59" s="1">
        <v>2015</v>
      </c>
      <c r="B59" s="1" t="s">
        <v>1212</v>
      </c>
      <c r="C59" s="2">
        <v>42237</v>
      </c>
      <c r="D59" s="1">
        <v>4.2929999999999999E-3</v>
      </c>
    </row>
    <row r="60" spans="1:4" x14ac:dyDescent="0.2">
      <c r="A60" s="1">
        <v>2015</v>
      </c>
      <c r="B60" s="1" t="s">
        <v>1213</v>
      </c>
      <c r="C60" s="2">
        <v>420969</v>
      </c>
      <c r="D60" s="1">
        <v>4.2783000000000002E-2</v>
      </c>
    </row>
    <row r="61" spans="1:4" x14ac:dyDescent="0.2">
      <c r="A61" s="1">
        <v>2015</v>
      </c>
      <c r="B61" s="1" t="s">
        <v>1214</v>
      </c>
      <c r="C61" s="2">
        <v>132478</v>
      </c>
      <c r="D61" s="1">
        <v>1.3464E-2</v>
      </c>
    </row>
    <row r="62" spans="1:4" x14ac:dyDescent="0.2">
      <c r="A62" s="1">
        <v>2015</v>
      </c>
      <c r="B62" s="1" t="s">
        <v>1215</v>
      </c>
      <c r="C62" s="2">
        <v>39968</v>
      </c>
      <c r="D62" s="1">
        <v>4.0619999999999996E-3</v>
      </c>
    </row>
    <row r="63" spans="1:4" x14ac:dyDescent="0.2">
      <c r="A63" s="1">
        <v>2015</v>
      </c>
      <c r="B63" s="1" t="s">
        <v>2100</v>
      </c>
      <c r="C63" s="2">
        <v>944140</v>
      </c>
      <c r="D63" s="1">
        <v>9.5951999999999996E-2</v>
      </c>
    </row>
    <row r="64" spans="1:4" x14ac:dyDescent="0.2">
      <c r="A64" s="1">
        <v>2015</v>
      </c>
      <c r="B64" s="1" t="s">
        <v>1217</v>
      </c>
      <c r="C64" s="2">
        <v>2419012</v>
      </c>
      <c r="D64" s="1">
        <v>0.245842</v>
      </c>
    </row>
    <row r="65" spans="1:4" x14ac:dyDescent="0.2">
      <c r="A65" s="1">
        <v>2015</v>
      </c>
      <c r="B65" s="1" t="s">
        <v>1218</v>
      </c>
      <c r="C65" s="2">
        <v>23157</v>
      </c>
      <c r="D65" s="1">
        <v>2.3530000000000001E-3</v>
      </c>
    </row>
    <row r="66" spans="1:4" x14ac:dyDescent="0.2">
      <c r="A66" s="1">
        <v>2015</v>
      </c>
      <c r="B66" s="1" t="s">
        <v>1219</v>
      </c>
      <c r="C66" s="2">
        <v>918606</v>
      </c>
      <c r="D66" s="1">
        <v>9.3356999999999996E-2</v>
      </c>
    </row>
    <row r="67" spans="1:4" x14ac:dyDescent="0.2">
      <c r="A67" s="1">
        <v>2015</v>
      </c>
      <c r="B67" s="1" t="s">
        <v>1220</v>
      </c>
      <c r="C67" s="2">
        <v>783293</v>
      </c>
      <c r="D67" s="1">
        <v>7.9604999999999995E-2</v>
      </c>
    </row>
    <row r="68" spans="1:4" x14ac:dyDescent="0.2">
      <c r="A68" s="1">
        <v>2015</v>
      </c>
      <c r="B68" s="1" t="s">
        <v>2101</v>
      </c>
      <c r="C68" s="2">
        <v>2375473</v>
      </c>
      <c r="D68" s="1">
        <v>0.24141699999999999</v>
      </c>
    </row>
    <row r="69" spans="1:4" x14ac:dyDescent="0.2">
      <c r="A69" s="1">
        <v>2015</v>
      </c>
      <c r="B69" s="1" t="s">
        <v>1222</v>
      </c>
      <c r="C69" s="2">
        <v>45718</v>
      </c>
      <c r="D69" s="1">
        <v>4.646E-3</v>
      </c>
    </row>
    <row r="70" spans="1:4" x14ac:dyDescent="0.2">
      <c r="A70" s="1">
        <v>2015</v>
      </c>
      <c r="B70" s="1" t="s">
        <v>1223</v>
      </c>
      <c r="C70" s="2">
        <v>45432</v>
      </c>
      <c r="D70" s="1">
        <v>4.6169999999999996E-3</v>
      </c>
    </row>
    <row r="71" spans="1:4" x14ac:dyDescent="0.2">
      <c r="A71" s="1">
        <v>2015</v>
      </c>
      <c r="B71" s="1" t="s">
        <v>1224</v>
      </c>
      <c r="C71" s="2">
        <v>97096</v>
      </c>
      <c r="D71" s="1">
        <v>9.868E-3</v>
      </c>
    </row>
    <row r="72" spans="1:4" x14ac:dyDescent="0.2">
      <c r="A72" s="1">
        <v>2015</v>
      </c>
      <c r="B72" s="1" t="s">
        <v>1225</v>
      </c>
      <c r="C72" s="2">
        <v>46525</v>
      </c>
      <c r="D72" s="1">
        <v>4.7280000000000004E-3</v>
      </c>
    </row>
    <row r="73" spans="1:4" x14ac:dyDescent="0.2">
      <c r="A73" s="1">
        <v>2015</v>
      </c>
      <c r="B73" s="1" t="s">
        <v>1226</v>
      </c>
      <c r="C73" s="2">
        <v>1208508</v>
      </c>
      <c r="D73" s="1">
        <v>0.12282</v>
      </c>
    </row>
    <row r="74" spans="1:4" x14ac:dyDescent="0.2">
      <c r="A74" s="1">
        <v>2015</v>
      </c>
      <c r="B74" s="1" t="s">
        <v>1227</v>
      </c>
      <c r="C74" s="2">
        <v>28867</v>
      </c>
      <c r="D74" s="1">
        <v>2.934E-3</v>
      </c>
    </row>
    <row r="75" spans="1:4" x14ac:dyDescent="0.2">
      <c r="A75" s="1">
        <v>2015</v>
      </c>
      <c r="B75" s="1" t="s">
        <v>1228</v>
      </c>
      <c r="C75" s="2">
        <v>164543</v>
      </c>
      <c r="D75" s="1">
        <v>1.6722000000000001E-2</v>
      </c>
    </row>
    <row r="76" spans="1:4" x14ac:dyDescent="0.2">
      <c r="A76" s="1">
        <v>2015</v>
      </c>
      <c r="B76" s="1" t="s">
        <v>1229</v>
      </c>
      <c r="C76" s="2">
        <v>47954</v>
      </c>
      <c r="D76" s="1">
        <v>4.8739999999999999E-3</v>
      </c>
    </row>
    <row r="77" spans="1:4" x14ac:dyDescent="0.2">
      <c r="A77" s="1">
        <v>2015</v>
      </c>
      <c r="B77" s="1" t="s">
        <v>1230</v>
      </c>
      <c r="C77" s="2">
        <v>49025</v>
      </c>
      <c r="D77" s="1">
        <v>4.9820000000000003E-3</v>
      </c>
    </row>
    <row r="78" spans="1:4" x14ac:dyDescent="0.2">
      <c r="A78" s="1">
        <v>2015</v>
      </c>
      <c r="B78" s="1" t="s">
        <v>2102</v>
      </c>
      <c r="C78" s="2">
        <v>64421</v>
      </c>
      <c r="D78" s="1">
        <v>6.5469999999999999E-3</v>
      </c>
    </row>
    <row r="79" spans="1:4" x14ac:dyDescent="0.2">
      <c r="A79" s="1">
        <v>2015</v>
      </c>
      <c r="B79" s="1" t="s">
        <v>2103</v>
      </c>
      <c r="C79" s="2">
        <v>1837507</v>
      </c>
      <c r="D79" s="1">
        <v>0.18674399999999999</v>
      </c>
    </row>
    <row r="80" spans="1:4" x14ac:dyDescent="0.2">
      <c r="A80" s="1">
        <v>2015</v>
      </c>
      <c r="B80" s="1" t="s">
        <v>2104</v>
      </c>
      <c r="C80" s="2">
        <v>337567</v>
      </c>
      <c r="D80" s="1">
        <v>3.4306999999999997E-2</v>
      </c>
    </row>
    <row r="81" spans="1:4" x14ac:dyDescent="0.2">
      <c r="A81" s="1">
        <v>2015</v>
      </c>
      <c r="B81" s="1" t="s">
        <v>2105</v>
      </c>
      <c r="C81" s="2">
        <v>2082</v>
      </c>
      <c r="D81" s="1">
        <v>2.12E-4</v>
      </c>
    </row>
    <row r="82" spans="1:4" x14ac:dyDescent="0.2">
      <c r="A82" s="1">
        <v>2015</v>
      </c>
      <c r="B82" s="1" t="s">
        <v>1235</v>
      </c>
      <c r="C82" s="2">
        <v>683227</v>
      </c>
      <c r="D82" s="1">
        <v>6.9435999999999998E-2</v>
      </c>
    </row>
    <row r="83" spans="1:4" x14ac:dyDescent="0.2">
      <c r="A83" s="1">
        <v>2015</v>
      </c>
      <c r="B83" s="1" t="s">
        <v>1236</v>
      </c>
      <c r="C83" s="2">
        <v>14784</v>
      </c>
      <c r="D83" s="1">
        <v>1.5020000000000001E-3</v>
      </c>
    </row>
    <row r="84" spans="1:4" x14ac:dyDescent="0.2">
      <c r="A84" s="1">
        <v>2015</v>
      </c>
      <c r="B84" s="1" t="s">
        <v>1237</v>
      </c>
      <c r="C84" s="2">
        <v>47572</v>
      </c>
      <c r="D84" s="1">
        <v>4.8349999999999999E-3</v>
      </c>
    </row>
    <row r="85" spans="1:4" x14ac:dyDescent="0.2">
      <c r="A85" s="1">
        <v>2015</v>
      </c>
      <c r="B85" s="1" t="s">
        <v>2106</v>
      </c>
      <c r="C85" s="2">
        <v>2373498</v>
      </c>
      <c r="D85" s="1">
        <v>0.24121699999999999</v>
      </c>
    </row>
    <row r="86" spans="1:4" x14ac:dyDescent="0.2">
      <c r="A86" s="1">
        <v>2015</v>
      </c>
      <c r="B86" s="1" t="s">
        <v>1239</v>
      </c>
      <c r="C86" s="2">
        <v>469855</v>
      </c>
      <c r="D86" s="1">
        <v>4.7751000000000002E-2</v>
      </c>
    </row>
    <row r="87" spans="1:4" x14ac:dyDescent="0.2">
      <c r="A87" s="1">
        <v>2015</v>
      </c>
      <c r="B87" s="1" t="s">
        <v>1240</v>
      </c>
      <c r="C87" s="2">
        <v>18638</v>
      </c>
      <c r="D87" s="1">
        <v>1.8940000000000001E-3</v>
      </c>
    </row>
    <row r="88" spans="1:4" x14ac:dyDescent="0.2">
      <c r="A88" s="1">
        <v>2015</v>
      </c>
      <c r="B88" s="1" t="s">
        <v>1241</v>
      </c>
      <c r="C88" s="2">
        <v>41136</v>
      </c>
      <c r="D88" s="1">
        <v>4.1809999999999998E-3</v>
      </c>
    </row>
    <row r="89" spans="1:4" x14ac:dyDescent="0.2">
      <c r="A89" s="1">
        <v>2015</v>
      </c>
      <c r="B89" s="1" t="s">
        <v>2107</v>
      </c>
      <c r="C89" s="2">
        <v>737913</v>
      </c>
      <c r="D89" s="1">
        <v>7.4993000000000004E-2</v>
      </c>
    </row>
    <row r="90" spans="1:4" x14ac:dyDescent="0.2">
      <c r="A90" s="1">
        <v>2015</v>
      </c>
      <c r="B90" s="1" t="s">
        <v>2108</v>
      </c>
      <c r="C90" s="2">
        <v>572074</v>
      </c>
      <c r="D90" s="1">
        <v>5.8139000000000003E-2</v>
      </c>
    </row>
    <row r="91" spans="1:4" x14ac:dyDescent="0.2">
      <c r="A91" s="1">
        <v>2015</v>
      </c>
      <c r="B91" s="1" t="s">
        <v>2109</v>
      </c>
      <c r="C91" s="2">
        <v>9549</v>
      </c>
      <c r="D91" s="1">
        <v>9.7000000000000005E-4</v>
      </c>
    </row>
    <row r="92" spans="1:4" x14ac:dyDescent="0.2">
      <c r="A92" s="1">
        <v>2015</v>
      </c>
      <c r="B92" s="1" t="s">
        <v>1245</v>
      </c>
      <c r="C92" s="2">
        <v>256981</v>
      </c>
      <c r="D92" s="1">
        <v>2.6117000000000001E-2</v>
      </c>
    </row>
    <row r="93" spans="1:4" x14ac:dyDescent="0.2">
      <c r="A93" s="1">
        <v>2015</v>
      </c>
      <c r="B93" s="1" t="s">
        <v>1246</v>
      </c>
      <c r="C93" s="2">
        <v>5052</v>
      </c>
      <c r="D93" s="1">
        <v>5.13E-4</v>
      </c>
    </row>
    <row r="94" spans="1:4" x14ac:dyDescent="0.2">
      <c r="A94" s="1">
        <v>2015</v>
      </c>
      <c r="B94" s="1" t="s">
        <v>2110</v>
      </c>
      <c r="C94" s="2">
        <v>242275</v>
      </c>
      <c r="D94" s="1">
        <v>2.4622000000000002E-2</v>
      </c>
    </row>
    <row r="95" spans="1:4" x14ac:dyDescent="0.2">
      <c r="A95" s="1">
        <v>2015</v>
      </c>
      <c r="B95" s="1" t="s">
        <v>2111</v>
      </c>
      <c r="C95" s="2">
        <v>542986</v>
      </c>
      <c r="D95" s="1">
        <v>5.5183000000000003E-2</v>
      </c>
    </row>
    <row r="96" spans="1:4" x14ac:dyDescent="0.2">
      <c r="A96" s="1">
        <v>2015</v>
      </c>
      <c r="B96" s="1" t="s">
        <v>1249</v>
      </c>
      <c r="C96" s="2">
        <v>80062</v>
      </c>
      <c r="D96" s="1">
        <v>8.1370000000000001E-3</v>
      </c>
    </row>
    <row r="97" spans="1:4" x14ac:dyDescent="0.2">
      <c r="A97" s="1">
        <v>2015</v>
      </c>
      <c r="B97" s="1" t="s">
        <v>1250</v>
      </c>
      <c r="C97" s="2">
        <v>104852</v>
      </c>
      <c r="D97" s="1">
        <v>1.0656000000000001E-2</v>
      </c>
    </row>
    <row r="98" spans="1:4" x14ac:dyDescent="0.2">
      <c r="A98" s="1">
        <v>2015</v>
      </c>
      <c r="B98" s="1" t="s">
        <v>2112</v>
      </c>
      <c r="C98" s="2">
        <v>359147</v>
      </c>
      <c r="D98" s="1">
        <v>3.6499999999999998E-2</v>
      </c>
    </row>
    <row r="99" spans="1:4" x14ac:dyDescent="0.2">
      <c r="A99" s="1">
        <v>2015</v>
      </c>
      <c r="B99" s="1" t="s">
        <v>2113</v>
      </c>
      <c r="C99" s="2">
        <v>625453</v>
      </c>
      <c r="D99" s="1">
        <v>6.3563999999999996E-2</v>
      </c>
    </row>
    <row r="100" spans="1:4" x14ac:dyDescent="0.2">
      <c r="A100" s="1">
        <v>2015</v>
      </c>
      <c r="B100" s="1" t="s">
        <v>2114</v>
      </c>
      <c r="C100" s="2">
        <v>79339</v>
      </c>
      <c r="D100" s="1">
        <v>8.0630000000000007E-3</v>
      </c>
    </row>
    <row r="101" spans="1:4" x14ac:dyDescent="0.2">
      <c r="A101" s="1">
        <v>2015</v>
      </c>
      <c r="B101" s="1" t="s">
        <v>2115</v>
      </c>
      <c r="C101" s="2">
        <v>1317399</v>
      </c>
      <c r="D101" s="1">
        <v>0.13388600000000001</v>
      </c>
    </row>
    <row r="102" spans="1:4" x14ac:dyDescent="0.2">
      <c r="A102" s="1">
        <v>2015</v>
      </c>
      <c r="B102" s="1" t="s">
        <v>2116</v>
      </c>
      <c r="C102" s="2">
        <v>307491</v>
      </c>
      <c r="D102" s="8">
        <v>3.1250000000000001E-4</v>
      </c>
    </row>
    <row r="103" spans="1:4" x14ac:dyDescent="0.2">
      <c r="A103" s="1">
        <v>2015</v>
      </c>
      <c r="B103" s="1" t="s">
        <v>2117</v>
      </c>
      <c r="C103" s="2">
        <v>8893</v>
      </c>
      <c r="D103" s="1">
        <v>9.0399999999999996E-4</v>
      </c>
    </row>
    <row r="104" spans="1:4" x14ac:dyDescent="0.2">
      <c r="A104" s="1">
        <v>2015</v>
      </c>
      <c r="B104" s="1" t="s">
        <v>1257</v>
      </c>
      <c r="C104" s="2">
        <v>423006</v>
      </c>
      <c r="D104" s="1">
        <v>4.299E-2</v>
      </c>
    </row>
    <row r="105" spans="1:4" x14ac:dyDescent="0.2">
      <c r="A105" s="1">
        <v>2015</v>
      </c>
      <c r="B105" s="1" t="s">
        <v>1258</v>
      </c>
      <c r="C105" s="2">
        <v>1776772</v>
      </c>
      <c r="D105" s="1">
        <v>0.18057200000000001</v>
      </c>
    </row>
    <row r="106" spans="1:4" x14ac:dyDescent="0.2">
      <c r="A106" s="1">
        <v>2015</v>
      </c>
      <c r="B106" s="1" t="s">
        <v>1260</v>
      </c>
      <c r="C106" s="2">
        <v>104033</v>
      </c>
      <c r="D106" s="1">
        <v>1.0573000000000001E-2</v>
      </c>
    </row>
    <row r="107" spans="1:4" x14ac:dyDescent="0.2">
      <c r="A107" s="1">
        <v>2015</v>
      </c>
      <c r="B107" s="1" t="s">
        <v>2118</v>
      </c>
      <c r="C107" s="2">
        <v>1294537</v>
      </c>
      <c r="D107" s="1">
        <v>0.13156300000000001</v>
      </c>
    </row>
    <row r="108" spans="1:4" x14ac:dyDescent="0.2">
      <c r="A108" s="1">
        <v>2015</v>
      </c>
      <c r="B108" s="1" t="s">
        <v>2119</v>
      </c>
      <c r="C108" s="2">
        <v>520801</v>
      </c>
      <c r="D108" s="1">
        <v>5.2928999999999997E-2</v>
      </c>
    </row>
    <row r="109" spans="1:4" x14ac:dyDescent="0.2">
      <c r="A109" s="1">
        <v>2015</v>
      </c>
      <c r="B109" s="1" t="s">
        <v>1263</v>
      </c>
      <c r="C109" s="2">
        <v>516655</v>
      </c>
      <c r="D109" s="1">
        <v>5.2506999999999998E-2</v>
      </c>
    </row>
    <row r="110" spans="1:4" x14ac:dyDescent="0.2">
      <c r="A110" s="1">
        <v>2015</v>
      </c>
      <c r="B110" s="1" t="s">
        <v>2120</v>
      </c>
      <c r="C110" s="2">
        <v>57299</v>
      </c>
      <c r="D110" s="1">
        <v>5.8230000000000001E-3</v>
      </c>
    </row>
    <row r="111" spans="1:4" x14ac:dyDescent="0.2">
      <c r="A111" s="1">
        <v>2015</v>
      </c>
      <c r="B111" s="1" t="s">
        <v>2121</v>
      </c>
      <c r="C111" s="2">
        <v>578569</v>
      </c>
      <c r="D111" s="1">
        <v>5.8798999999999997E-2</v>
      </c>
    </row>
    <row r="112" spans="1:4" x14ac:dyDescent="0.2">
      <c r="A112" s="1">
        <v>2015</v>
      </c>
      <c r="B112" s="1" t="s">
        <v>1266</v>
      </c>
      <c r="C112" s="2">
        <v>795215</v>
      </c>
      <c r="D112" s="1">
        <v>8.0817E-2</v>
      </c>
    </row>
    <row r="113" spans="1:4" x14ac:dyDescent="0.2">
      <c r="A113" s="1">
        <v>2015</v>
      </c>
      <c r="B113" s="1" t="s">
        <v>1267</v>
      </c>
      <c r="C113" s="2">
        <v>67910</v>
      </c>
      <c r="D113" s="1">
        <v>6.9020000000000001E-3</v>
      </c>
    </row>
    <row r="114" spans="1:4" x14ac:dyDescent="0.2">
      <c r="A114" s="1">
        <v>2015</v>
      </c>
      <c r="B114" s="1" t="s">
        <v>2122</v>
      </c>
      <c r="C114" s="2">
        <v>2500982</v>
      </c>
      <c r="D114" s="1">
        <v>0.25417299999999998</v>
      </c>
    </row>
    <row r="115" spans="1:4" x14ac:dyDescent="0.2">
      <c r="A115" s="1">
        <v>2015</v>
      </c>
      <c r="B115" s="1" t="s">
        <v>1269</v>
      </c>
      <c r="C115" s="2">
        <v>23846</v>
      </c>
      <c r="D115" s="1">
        <v>2.4229999999999998E-3</v>
      </c>
    </row>
    <row r="116" spans="1:4" x14ac:dyDescent="0.2">
      <c r="A116" s="1">
        <v>2015</v>
      </c>
      <c r="B116" s="1" t="s">
        <v>1270</v>
      </c>
      <c r="C116" s="2">
        <v>594851</v>
      </c>
      <c r="D116" s="1">
        <v>6.0454000000000001E-2</v>
      </c>
    </row>
    <row r="117" spans="1:4" x14ac:dyDescent="0.2">
      <c r="A117" s="1">
        <v>2015</v>
      </c>
      <c r="B117" s="1" t="s">
        <v>2123</v>
      </c>
      <c r="C117" s="2">
        <v>188744</v>
      </c>
      <c r="D117" s="1">
        <v>1.9182000000000001E-2</v>
      </c>
    </row>
    <row r="118" spans="1:4" x14ac:dyDescent="0.2">
      <c r="A118" s="1">
        <v>2015</v>
      </c>
      <c r="B118" s="1" t="s">
        <v>2124</v>
      </c>
      <c r="C118" s="2">
        <v>486541</v>
      </c>
      <c r="D118" s="1">
        <v>4.9446999999999998E-2</v>
      </c>
    </row>
    <row r="119" spans="1:4" x14ac:dyDescent="0.2">
      <c r="A119" s="1">
        <v>2015</v>
      </c>
      <c r="B119" s="1" t="s">
        <v>2125</v>
      </c>
      <c r="C119" s="2">
        <v>30674</v>
      </c>
      <c r="D119" s="1">
        <v>3.117E-3</v>
      </c>
    </row>
    <row r="120" spans="1:4" x14ac:dyDescent="0.2">
      <c r="A120" s="1">
        <v>2015</v>
      </c>
      <c r="B120" s="1" t="s">
        <v>1273</v>
      </c>
      <c r="C120" s="2">
        <v>691555</v>
      </c>
      <c r="D120" s="1">
        <v>7.0281999999999997E-2</v>
      </c>
    </row>
    <row r="121" spans="1:4" x14ac:dyDescent="0.2">
      <c r="A121" s="1">
        <v>2015</v>
      </c>
      <c r="B121" s="1" t="s">
        <v>1274</v>
      </c>
      <c r="C121" s="2">
        <v>2840366</v>
      </c>
      <c r="D121" s="1">
        <v>0.28866399999999998</v>
      </c>
    </row>
    <row r="122" spans="1:4" x14ac:dyDescent="0.2">
      <c r="A122" s="1">
        <v>2015</v>
      </c>
      <c r="B122" s="1" t="s">
        <v>1275</v>
      </c>
      <c r="C122" s="2">
        <v>1165627</v>
      </c>
      <c r="D122" s="1">
        <v>0.118462</v>
      </c>
    </row>
    <row r="123" spans="1:4" x14ac:dyDescent="0.2">
      <c r="A123" s="1">
        <v>2015</v>
      </c>
      <c r="B123" s="1" t="s">
        <v>2126</v>
      </c>
      <c r="C123" s="2">
        <v>3292346</v>
      </c>
      <c r="D123" s="1">
        <v>0.33459800000000001</v>
      </c>
    </row>
    <row r="124" spans="1:4" x14ac:dyDescent="0.2">
      <c r="A124" s="1">
        <v>2015</v>
      </c>
      <c r="B124" s="1" t="s">
        <v>2127</v>
      </c>
      <c r="C124" s="2">
        <v>1386665</v>
      </c>
      <c r="D124" s="1">
        <v>0.140926</v>
      </c>
    </row>
    <row r="125" spans="1:4" x14ac:dyDescent="0.2">
      <c r="A125" s="1">
        <v>2015</v>
      </c>
      <c r="B125" s="1" t="s">
        <v>2128</v>
      </c>
      <c r="C125" s="2">
        <v>796556</v>
      </c>
      <c r="D125" s="1">
        <v>8.0952999999999997E-2</v>
      </c>
    </row>
    <row r="126" spans="1:4" x14ac:dyDescent="0.2">
      <c r="A126" s="1">
        <v>2015</v>
      </c>
      <c r="B126" s="1" t="s">
        <v>2129</v>
      </c>
      <c r="C126" s="2">
        <v>4537</v>
      </c>
      <c r="D126" s="1">
        <v>4.6099999999999998E-4</v>
      </c>
    </row>
    <row r="127" spans="1:4" x14ac:dyDescent="0.2">
      <c r="A127" s="1">
        <v>2015</v>
      </c>
      <c r="B127" s="1" t="s">
        <v>1280</v>
      </c>
      <c r="C127" s="2">
        <v>1919023</v>
      </c>
      <c r="D127" s="1">
        <v>0.19502900000000001</v>
      </c>
    </row>
    <row r="128" spans="1:4" x14ac:dyDescent="0.2">
      <c r="A128" s="1">
        <v>2015</v>
      </c>
      <c r="B128" s="1" t="s">
        <v>1281</v>
      </c>
      <c r="C128" s="2">
        <v>191973</v>
      </c>
      <c r="D128" s="1">
        <v>1.951E-2</v>
      </c>
    </row>
    <row r="129" spans="1:4" x14ac:dyDescent="0.2">
      <c r="A129" s="1">
        <v>2015</v>
      </c>
      <c r="B129" s="1" t="s">
        <v>1282</v>
      </c>
      <c r="C129" s="2">
        <v>559378</v>
      </c>
      <c r="D129" s="1">
        <v>5.6848999999999997E-2</v>
      </c>
    </row>
    <row r="130" spans="1:4" x14ac:dyDescent="0.2">
      <c r="A130" s="1">
        <v>2015</v>
      </c>
      <c r="B130" s="1" t="s">
        <v>1283</v>
      </c>
      <c r="C130" s="2">
        <v>39718</v>
      </c>
      <c r="D130" s="1">
        <v>4.0369999999999998E-3</v>
      </c>
    </row>
    <row r="131" spans="1:4" x14ac:dyDescent="0.2">
      <c r="A131" s="1">
        <v>2015</v>
      </c>
      <c r="B131" s="1" t="s">
        <v>1284</v>
      </c>
      <c r="C131" s="2">
        <v>39460</v>
      </c>
      <c r="D131" s="1">
        <v>4.0099999999999997E-3</v>
      </c>
    </row>
    <row r="132" spans="1:4" x14ac:dyDescent="0.2">
      <c r="A132" s="1">
        <v>2015</v>
      </c>
      <c r="B132" s="1" t="s">
        <v>1285</v>
      </c>
      <c r="C132" s="2">
        <v>276209</v>
      </c>
      <c r="D132" s="1">
        <v>2.8070999999999999E-2</v>
      </c>
    </row>
    <row r="133" spans="1:4" x14ac:dyDescent="0.2">
      <c r="A133" s="1">
        <v>2015</v>
      </c>
      <c r="B133" s="1" t="s">
        <v>1286</v>
      </c>
      <c r="C133" s="2">
        <v>436209</v>
      </c>
      <c r="D133" s="1">
        <v>4.4332000000000003E-2</v>
      </c>
    </row>
    <row r="134" spans="1:4" x14ac:dyDescent="0.2">
      <c r="A134" s="1">
        <v>2015</v>
      </c>
      <c r="B134" s="1" t="s">
        <v>2130</v>
      </c>
      <c r="C134" s="2">
        <v>1416494</v>
      </c>
      <c r="D134" s="1">
        <v>0.143957</v>
      </c>
    </row>
    <row r="135" spans="1:4" x14ac:dyDescent="0.2">
      <c r="A135" s="1">
        <v>2015</v>
      </c>
      <c r="B135" s="1" t="s">
        <v>1288</v>
      </c>
      <c r="C135" s="2">
        <v>1449360</v>
      </c>
      <c r="D135" s="1">
        <v>0.14729700000000001</v>
      </c>
    </row>
    <row r="136" spans="1:4" x14ac:dyDescent="0.2">
      <c r="A136" s="1">
        <v>2015</v>
      </c>
      <c r="B136" s="1" t="s">
        <v>1289</v>
      </c>
      <c r="C136" s="2">
        <v>105196</v>
      </c>
      <c r="D136" s="1">
        <v>1.0691000000000001E-2</v>
      </c>
    </row>
    <row r="137" spans="1:4" x14ac:dyDescent="0.2">
      <c r="A137" s="1">
        <v>2015</v>
      </c>
      <c r="B137" s="1" t="s">
        <v>1290</v>
      </c>
      <c r="C137" s="2">
        <v>748564</v>
      </c>
      <c r="D137" s="1">
        <v>7.6076000000000005E-2</v>
      </c>
    </row>
    <row r="138" spans="1:4" x14ac:dyDescent="0.2">
      <c r="A138" s="1">
        <v>2015</v>
      </c>
      <c r="B138" s="1" t="s">
        <v>2131</v>
      </c>
      <c r="C138" s="2">
        <v>3322746</v>
      </c>
      <c r="D138" s="1">
        <v>0.33768799999999999</v>
      </c>
    </row>
    <row r="139" spans="1:4" x14ac:dyDescent="0.2">
      <c r="A139" s="1">
        <v>2015</v>
      </c>
      <c r="B139" s="1" t="s">
        <v>2132</v>
      </c>
      <c r="C139" s="2">
        <v>61584</v>
      </c>
      <c r="D139" s="1">
        <v>6.2589999999999998E-3</v>
      </c>
    </row>
    <row r="140" spans="1:4" x14ac:dyDescent="0.2">
      <c r="A140" s="1">
        <v>2015</v>
      </c>
      <c r="B140" s="1" t="s">
        <v>1293</v>
      </c>
      <c r="C140" s="2">
        <v>59263</v>
      </c>
      <c r="D140" s="1">
        <v>6.0229999999999997E-3</v>
      </c>
    </row>
    <row r="141" spans="1:4" x14ac:dyDescent="0.2">
      <c r="A141" s="1">
        <v>2015</v>
      </c>
      <c r="B141" s="1" t="s">
        <v>1294</v>
      </c>
      <c r="C141" s="2">
        <v>29183</v>
      </c>
      <c r="D141" s="1">
        <v>2.9659999999999999E-3</v>
      </c>
    </row>
    <row r="142" spans="1:4" x14ac:dyDescent="0.2">
      <c r="A142" s="1">
        <v>2015</v>
      </c>
      <c r="B142" s="1" t="s">
        <v>2133</v>
      </c>
      <c r="C142" s="2">
        <v>1825835</v>
      </c>
      <c r="D142" s="1">
        <v>0.185558</v>
      </c>
    </row>
    <row r="143" spans="1:4" x14ac:dyDescent="0.2">
      <c r="A143" s="1">
        <v>2015</v>
      </c>
      <c r="B143" s="1" t="s">
        <v>2134</v>
      </c>
      <c r="C143" s="2">
        <v>643925</v>
      </c>
      <c r="D143" s="1">
        <v>6.5442E-2</v>
      </c>
    </row>
    <row r="144" spans="1:4" x14ac:dyDescent="0.2">
      <c r="A144" s="1">
        <v>2015</v>
      </c>
      <c r="B144" s="1" t="s">
        <v>1297</v>
      </c>
      <c r="C144" s="2">
        <v>46647</v>
      </c>
      <c r="D144" s="1">
        <v>4.7410000000000004E-3</v>
      </c>
    </row>
    <row r="145" spans="1:4" x14ac:dyDescent="0.2">
      <c r="A145" s="1">
        <v>2015</v>
      </c>
      <c r="B145" s="1" t="s">
        <v>1298</v>
      </c>
      <c r="C145" s="2">
        <v>27543</v>
      </c>
      <c r="D145" s="1">
        <v>2.7989999999999998E-3</v>
      </c>
    </row>
    <row r="146" spans="1:4" x14ac:dyDescent="0.2">
      <c r="A146" s="1">
        <v>2015</v>
      </c>
      <c r="B146" s="1" t="s">
        <v>1299</v>
      </c>
      <c r="C146" s="2">
        <v>2285020</v>
      </c>
      <c r="D146" s="1">
        <v>0.23222499999999999</v>
      </c>
    </row>
    <row r="147" spans="1:4" x14ac:dyDescent="0.2">
      <c r="A147" s="1">
        <v>2015</v>
      </c>
      <c r="B147" s="1" t="s">
        <v>1300</v>
      </c>
      <c r="C147" s="2">
        <v>879962</v>
      </c>
      <c r="D147" s="1">
        <v>8.9429999999999996E-2</v>
      </c>
    </row>
    <row r="148" spans="1:4" x14ac:dyDescent="0.2">
      <c r="A148" s="1">
        <v>2015</v>
      </c>
      <c r="B148" s="1" t="s">
        <v>1301</v>
      </c>
      <c r="C148" s="2">
        <v>291627</v>
      </c>
      <c r="D148" s="1">
        <v>2.9638000000000001E-2</v>
      </c>
    </row>
    <row r="149" spans="1:4" x14ac:dyDescent="0.2">
      <c r="A149" s="1">
        <v>2015</v>
      </c>
      <c r="B149" s="1" t="s">
        <v>1302</v>
      </c>
      <c r="C149" s="2">
        <v>73750</v>
      </c>
      <c r="D149" s="1">
        <v>7.4949999999999999E-3</v>
      </c>
    </row>
    <row r="150" spans="1:4" x14ac:dyDescent="0.2">
      <c r="A150" s="1">
        <v>2015</v>
      </c>
      <c r="B150" s="1" t="s">
        <v>2135</v>
      </c>
      <c r="C150" s="2">
        <v>1718230</v>
      </c>
      <c r="D150" s="1">
        <v>0.174622</v>
      </c>
    </row>
    <row r="151" spans="1:4" x14ac:dyDescent="0.2">
      <c r="A151" s="1">
        <v>2015</v>
      </c>
      <c r="B151" s="1" t="s">
        <v>2136</v>
      </c>
      <c r="C151" s="2">
        <v>14485</v>
      </c>
      <c r="D151" s="1">
        <v>1.472E-3</v>
      </c>
    </row>
    <row r="152" spans="1:4" x14ac:dyDescent="0.2">
      <c r="A152" s="1">
        <v>2015</v>
      </c>
      <c r="B152" s="1" t="s">
        <v>2137</v>
      </c>
      <c r="C152" s="2">
        <v>7866</v>
      </c>
      <c r="D152" s="8">
        <v>7.9899999999999997E-6</v>
      </c>
    </row>
    <row r="153" spans="1:4" x14ac:dyDescent="0.2">
      <c r="A153" s="1">
        <v>2015</v>
      </c>
      <c r="B153" s="1" t="s">
        <v>1306</v>
      </c>
      <c r="C153" s="2">
        <v>12663818</v>
      </c>
      <c r="D153" s="1">
        <v>1.287013</v>
      </c>
    </row>
    <row r="154" spans="1:4" x14ac:dyDescent="0.2">
      <c r="A154" s="1">
        <v>2015</v>
      </c>
      <c r="B154" s="1" t="s">
        <v>1307</v>
      </c>
      <c r="C154" s="2">
        <v>38668</v>
      </c>
      <c r="D154" s="1">
        <v>3.9300000000000003E-3</v>
      </c>
    </row>
    <row r="155" spans="1:4" x14ac:dyDescent="0.2">
      <c r="A155" s="1">
        <v>2015</v>
      </c>
      <c r="B155" s="1" t="s">
        <v>2138</v>
      </c>
      <c r="C155" s="2">
        <v>2320357</v>
      </c>
      <c r="D155" s="1">
        <v>0.235816</v>
      </c>
    </row>
    <row r="156" spans="1:4" x14ac:dyDescent="0.2">
      <c r="A156" s="1">
        <v>2015</v>
      </c>
      <c r="B156" s="1" t="s">
        <v>2139</v>
      </c>
      <c r="C156" s="2">
        <v>469190</v>
      </c>
      <c r="D156" s="1">
        <v>4.7683000000000003E-2</v>
      </c>
    </row>
    <row r="157" spans="1:4" x14ac:dyDescent="0.2">
      <c r="A157" s="1">
        <v>2015</v>
      </c>
      <c r="B157" s="1" t="s">
        <v>2140</v>
      </c>
      <c r="C157" s="2">
        <v>16467</v>
      </c>
      <c r="D157" s="1">
        <v>1.6739999999999999E-3</v>
      </c>
    </row>
    <row r="158" spans="1:4" x14ac:dyDescent="0.2">
      <c r="A158" s="1">
        <v>2015</v>
      </c>
      <c r="B158" s="1" t="s">
        <v>2141</v>
      </c>
      <c r="C158" s="2">
        <v>3175</v>
      </c>
      <c r="D158" s="1">
        <v>3.2299999999999999E-4</v>
      </c>
    </row>
    <row r="159" spans="1:4" x14ac:dyDescent="0.2">
      <c r="A159" s="1">
        <v>2015</v>
      </c>
      <c r="B159" s="1" t="s">
        <v>1312</v>
      </c>
      <c r="C159" s="2">
        <v>4725</v>
      </c>
      <c r="D159" s="1">
        <v>4.8000000000000001E-4</v>
      </c>
    </row>
    <row r="160" spans="1:4" x14ac:dyDescent="0.2">
      <c r="A160" s="1">
        <v>2015</v>
      </c>
      <c r="B160" s="1" t="s">
        <v>1313</v>
      </c>
      <c r="C160" s="2">
        <v>20535</v>
      </c>
      <c r="D160" s="1">
        <v>2.0869999999999999E-3</v>
      </c>
    </row>
    <row r="161" spans="1:4" x14ac:dyDescent="0.2">
      <c r="A161" s="1">
        <v>2015</v>
      </c>
      <c r="B161" s="1" t="s">
        <v>1314</v>
      </c>
      <c r="C161" s="1">
        <v>805</v>
      </c>
      <c r="D161" s="1">
        <v>8.2000000000000001E-5</v>
      </c>
    </row>
    <row r="162" spans="1:4" x14ac:dyDescent="0.2">
      <c r="A162" s="1">
        <v>2015</v>
      </c>
      <c r="B162" s="1" t="s">
        <v>1315</v>
      </c>
      <c r="C162" s="2">
        <v>212504</v>
      </c>
      <c r="D162" s="1">
        <v>2.1597000000000002E-2</v>
      </c>
    </row>
    <row r="163" spans="1:4" x14ac:dyDescent="0.2">
      <c r="A163" s="1">
        <v>2015</v>
      </c>
      <c r="B163" s="1" t="s">
        <v>1316</v>
      </c>
      <c r="C163" s="2">
        <v>85313</v>
      </c>
      <c r="D163" s="1">
        <v>8.6700000000000006E-3</v>
      </c>
    </row>
    <row r="164" spans="1:4" x14ac:dyDescent="0.2">
      <c r="A164" s="1">
        <v>2015</v>
      </c>
      <c r="B164" s="1" t="s">
        <v>1317</v>
      </c>
      <c r="C164" s="2">
        <v>57484</v>
      </c>
      <c r="D164" s="1">
        <v>5.842E-3</v>
      </c>
    </row>
    <row r="165" spans="1:4" x14ac:dyDescent="0.2">
      <c r="A165" s="1">
        <v>2015</v>
      </c>
      <c r="B165" s="1" t="s">
        <v>1318</v>
      </c>
      <c r="C165" s="2">
        <v>63647</v>
      </c>
      <c r="D165" s="1">
        <v>6.4679999999999998E-3</v>
      </c>
    </row>
    <row r="166" spans="1:4" x14ac:dyDescent="0.2">
      <c r="A166" s="1">
        <v>2015</v>
      </c>
      <c r="B166" s="1" t="s">
        <v>1319</v>
      </c>
      <c r="C166" s="2">
        <v>17174</v>
      </c>
      <c r="D166" s="1">
        <v>1.745E-3</v>
      </c>
    </row>
    <row r="167" spans="1:4" x14ac:dyDescent="0.2">
      <c r="A167" s="1">
        <v>2015</v>
      </c>
      <c r="B167" s="1" t="s">
        <v>1320</v>
      </c>
      <c r="C167" s="2">
        <v>2685024</v>
      </c>
      <c r="D167" s="1">
        <v>0.27287699999999998</v>
      </c>
    </row>
    <row r="168" spans="1:4" x14ac:dyDescent="0.2">
      <c r="A168" s="1">
        <v>2015</v>
      </c>
      <c r="B168" s="1" t="s">
        <v>1321</v>
      </c>
      <c r="C168" s="2">
        <v>4563974</v>
      </c>
      <c r="D168" s="1">
        <v>0.463833</v>
      </c>
    </row>
    <row r="169" spans="1:4" x14ac:dyDescent="0.2">
      <c r="A169" s="1">
        <v>2015</v>
      </c>
      <c r="B169" s="1" t="s">
        <v>2142</v>
      </c>
      <c r="C169" s="2">
        <v>3457499</v>
      </c>
      <c r="D169" s="1">
        <v>0.351383</v>
      </c>
    </row>
    <row r="170" spans="1:4" x14ac:dyDescent="0.2">
      <c r="A170" s="1">
        <v>2015</v>
      </c>
      <c r="B170" s="1" t="s">
        <v>2143</v>
      </c>
      <c r="C170" s="2">
        <v>16681716</v>
      </c>
      <c r="D170" s="1">
        <v>1.6953480000000001</v>
      </c>
    </row>
    <row r="171" spans="1:4" x14ac:dyDescent="0.2">
      <c r="A171" s="1">
        <v>2015</v>
      </c>
      <c r="B171" s="1" t="s">
        <v>1324</v>
      </c>
      <c r="C171" s="2">
        <v>23830</v>
      </c>
      <c r="D171" s="1">
        <v>2.4220000000000001E-3</v>
      </c>
    </row>
    <row r="172" spans="1:4" x14ac:dyDescent="0.2">
      <c r="A172" s="1">
        <v>2015</v>
      </c>
      <c r="B172" s="1" t="s">
        <v>2144</v>
      </c>
      <c r="C172" s="2">
        <v>22313369</v>
      </c>
      <c r="D172" s="1">
        <v>2.2676880000000001</v>
      </c>
    </row>
    <row r="173" spans="1:4" x14ac:dyDescent="0.2">
      <c r="A173" s="1">
        <v>2015</v>
      </c>
      <c r="B173" s="1" t="s">
        <v>2145</v>
      </c>
      <c r="C173" s="2">
        <v>3813611</v>
      </c>
      <c r="D173" s="1">
        <v>0.38757399999999997</v>
      </c>
    </row>
    <row r="174" spans="1:4" x14ac:dyDescent="0.2">
      <c r="A174" s="1">
        <v>2015</v>
      </c>
      <c r="B174" s="1" t="s">
        <v>2146</v>
      </c>
      <c r="C174" s="2">
        <v>189113</v>
      </c>
      <c r="D174" s="1">
        <v>1.9219E-2</v>
      </c>
    </row>
    <row r="175" spans="1:4" x14ac:dyDescent="0.2">
      <c r="A175" s="1">
        <v>2015</v>
      </c>
      <c r="B175" s="1" t="s">
        <v>2147</v>
      </c>
      <c r="C175" s="2">
        <v>10276</v>
      </c>
      <c r="D175" s="1">
        <v>1.044E-3</v>
      </c>
    </row>
    <row r="176" spans="1:4" x14ac:dyDescent="0.2">
      <c r="A176" s="1">
        <v>2015</v>
      </c>
      <c r="B176" s="1" t="s">
        <v>2148</v>
      </c>
      <c r="C176" s="2">
        <v>10811</v>
      </c>
      <c r="D176" s="1">
        <v>1.0989999999999999E-3</v>
      </c>
    </row>
    <row r="177" spans="1:4" x14ac:dyDescent="0.2">
      <c r="A177" s="1">
        <v>2015</v>
      </c>
      <c r="B177" s="1" t="s">
        <v>2149</v>
      </c>
      <c r="C177" s="2">
        <v>129065</v>
      </c>
      <c r="D177" s="1">
        <v>1.3117E-2</v>
      </c>
    </row>
    <row r="178" spans="1:4" x14ac:dyDescent="0.2">
      <c r="A178" s="1">
        <v>2015</v>
      </c>
      <c r="B178" s="1" t="s">
        <v>2150</v>
      </c>
      <c r="C178" s="2">
        <v>744976</v>
      </c>
      <c r="D178" s="1">
        <v>7.5711000000000001E-2</v>
      </c>
    </row>
    <row r="179" spans="1:4" x14ac:dyDescent="0.2">
      <c r="A179" s="1">
        <v>2015</v>
      </c>
      <c r="B179" s="1" t="s">
        <v>2151</v>
      </c>
      <c r="C179" s="2">
        <v>2618620</v>
      </c>
      <c r="D179" s="1">
        <v>0.26612799999999998</v>
      </c>
    </row>
    <row r="180" spans="1:4" x14ac:dyDescent="0.2">
      <c r="A180" s="1">
        <v>2015</v>
      </c>
      <c r="B180" s="1" t="s">
        <v>1333</v>
      </c>
      <c r="C180" s="2">
        <v>61530</v>
      </c>
      <c r="D180" s="1">
        <v>6.2529999999999999E-3</v>
      </c>
    </row>
    <row r="181" spans="1:4" x14ac:dyDescent="0.2">
      <c r="A181" s="1">
        <v>2015</v>
      </c>
      <c r="B181" s="1" t="s">
        <v>1334</v>
      </c>
      <c r="C181" s="2">
        <v>83751</v>
      </c>
      <c r="D181" s="1">
        <v>8.5120000000000005E-3</v>
      </c>
    </row>
    <row r="182" spans="1:4" x14ac:dyDescent="0.2">
      <c r="A182" s="1">
        <v>2015</v>
      </c>
      <c r="B182" s="1" t="s">
        <v>1335</v>
      </c>
      <c r="C182" s="2">
        <v>27694</v>
      </c>
      <c r="D182" s="1">
        <v>2.8149999999999998E-3</v>
      </c>
    </row>
    <row r="183" spans="1:4" x14ac:dyDescent="0.2">
      <c r="A183" s="1">
        <v>2015</v>
      </c>
      <c r="B183" s="1" t="s">
        <v>1336</v>
      </c>
      <c r="C183" s="2">
        <v>116710</v>
      </c>
      <c r="D183" s="1">
        <v>1.1861E-2</v>
      </c>
    </row>
    <row r="184" spans="1:4" x14ac:dyDescent="0.2">
      <c r="A184" s="1">
        <v>2015</v>
      </c>
      <c r="B184" s="1" t="s">
        <v>2152</v>
      </c>
      <c r="C184" s="2">
        <v>359545</v>
      </c>
      <c r="D184" s="1">
        <v>3.6540000000000003E-2</v>
      </c>
    </row>
    <row r="185" spans="1:4" x14ac:dyDescent="0.2">
      <c r="A185" s="1">
        <v>2015</v>
      </c>
      <c r="B185" s="1" t="s">
        <v>1338</v>
      </c>
      <c r="C185" s="2">
        <v>1688561</v>
      </c>
      <c r="D185" s="1">
        <v>0.17160700000000001</v>
      </c>
    </row>
    <row r="186" spans="1:4" x14ac:dyDescent="0.2">
      <c r="A186" s="1">
        <v>2015</v>
      </c>
      <c r="B186" s="1" t="s">
        <v>1339</v>
      </c>
      <c r="C186" s="2">
        <v>806700</v>
      </c>
      <c r="D186" s="1">
        <v>8.1984000000000001E-2</v>
      </c>
    </row>
    <row r="187" spans="1:4" x14ac:dyDescent="0.2">
      <c r="A187" s="1">
        <v>2015</v>
      </c>
      <c r="B187" s="1" t="s">
        <v>2153</v>
      </c>
      <c r="C187" s="2">
        <v>47871</v>
      </c>
      <c r="D187" s="1">
        <v>4.8650000000000004E-3</v>
      </c>
    </row>
    <row r="188" spans="1:4" x14ac:dyDescent="0.2">
      <c r="A188" s="1">
        <v>2015</v>
      </c>
      <c r="B188" s="1" t="s">
        <v>2154</v>
      </c>
      <c r="C188" s="2">
        <v>2718176</v>
      </c>
      <c r="D188" s="1">
        <v>0.27624599999999999</v>
      </c>
    </row>
    <row r="189" spans="1:4" x14ac:dyDescent="0.2">
      <c r="A189" s="1">
        <v>2015</v>
      </c>
      <c r="B189" s="1" t="s">
        <v>2155</v>
      </c>
      <c r="C189" s="2">
        <v>33509</v>
      </c>
      <c r="D189" s="1">
        <v>3.405E-3</v>
      </c>
    </row>
    <row r="190" spans="1:4" x14ac:dyDescent="0.2">
      <c r="A190" s="1">
        <v>2015</v>
      </c>
      <c r="B190" s="1" t="s">
        <v>2156</v>
      </c>
      <c r="C190" s="2">
        <v>4569983</v>
      </c>
      <c r="D190" s="1">
        <v>0.46444299999999999</v>
      </c>
    </row>
    <row r="191" spans="1:4" x14ac:dyDescent="0.2">
      <c r="A191" s="1">
        <v>2015</v>
      </c>
      <c r="B191" s="1" t="s">
        <v>2157</v>
      </c>
      <c r="C191" s="2">
        <v>920644</v>
      </c>
      <c r="D191" s="1">
        <v>9.3563999999999994E-2</v>
      </c>
    </row>
    <row r="192" spans="1:4" x14ac:dyDescent="0.2">
      <c r="A192" s="1">
        <v>2015</v>
      </c>
      <c r="B192" s="1" t="s">
        <v>2158</v>
      </c>
      <c r="C192" s="2">
        <v>55954</v>
      </c>
      <c r="D192" s="1">
        <v>5.6870000000000002E-3</v>
      </c>
    </row>
    <row r="193" spans="1:4" x14ac:dyDescent="0.2">
      <c r="A193" s="1">
        <v>2015</v>
      </c>
      <c r="B193" s="1" t="s">
        <v>1346</v>
      </c>
      <c r="C193" s="2">
        <v>45852</v>
      </c>
      <c r="D193" s="1">
        <v>4.6600000000000001E-3</v>
      </c>
    </row>
    <row r="194" spans="1:4" x14ac:dyDescent="0.2">
      <c r="A194" s="1">
        <v>2015</v>
      </c>
      <c r="B194" s="1" t="s">
        <v>1347</v>
      </c>
      <c r="C194" s="2">
        <v>666155</v>
      </c>
      <c r="D194" s="1">
        <v>6.7700999999999997E-2</v>
      </c>
    </row>
    <row r="195" spans="1:4" x14ac:dyDescent="0.2">
      <c r="A195" s="1">
        <v>2015</v>
      </c>
      <c r="B195" s="1" t="s">
        <v>1348</v>
      </c>
      <c r="C195" s="2">
        <v>8026</v>
      </c>
      <c r="D195" s="1">
        <v>8.1599999999999999E-4</v>
      </c>
    </row>
    <row r="196" spans="1:4" x14ac:dyDescent="0.2">
      <c r="A196" s="1">
        <v>2015</v>
      </c>
      <c r="B196" s="1" t="s">
        <v>1349</v>
      </c>
      <c r="C196" s="2">
        <v>27856</v>
      </c>
      <c r="D196" s="1">
        <v>2.8310000000000002E-3</v>
      </c>
    </row>
    <row r="197" spans="1:4" x14ac:dyDescent="0.2">
      <c r="A197" s="1">
        <v>2015</v>
      </c>
      <c r="B197" s="1" t="s">
        <v>1350</v>
      </c>
      <c r="C197" s="2">
        <v>215401</v>
      </c>
      <c r="D197" s="1">
        <v>2.1891000000000001E-2</v>
      </c>
    </row>
    <row r="198" spans="1:4" x14ac:dyDescent="0.2">
      <c r="A198" s="1">
        <v>2015</v>
      </c>
      <c r="B198" s="1" t="s">
        <v>2159</v>
      </c>
      <c r="C198" s="2">
        <v>5930616</v>
      </c>
      <c r="D198" s="1">
        <v>0.60272300000000001</v>
      </c>
    </row>
    <row r="199" spans="1:4" x14ac:dyDescent="0.2">
      <c r="A199" s="1">
        <v>2015</v>
      </c>
      <c r="B199" s="1" t="s">
        <v>1352</v>
      </c>
      <c r="C199" s="2">
        <v>947738</v>
      </c>
      <c r="D199" s="1">
        <v>9.6318000000000001E-2</v>
      </c>
    </row>
    <row r="200" spans="1:4" x14ac:dyDescent="0.2">
      <c r="A200" s="1">
        <v>2015</v>
      </c>
      <c r="B200" s="1" t="s">
        <v>2160</v>
      </c>
      <c r="C200" s="2">
        <v>62273</v>
      </c>
      <c r="D200" s="1">
        <v>6.3290000000000004E-3</v>
      </c>
    </row>
    <row r="201" spans="1:4" x14ac:dyDescent="0.2">
      <c r="A201" s="1">
        <v>2015</v>
      </c>
      <c r="B201" s="1" t="s">
        <v>1354</v>
      </c>
      <c r="C201" s="2">
        <v>704327</v>
      </c>
      <c r="D201" s="1">
        <v>7.1580000000000005E-2</v>
      </c>
    </row>
    <row r="202" spans="1:4" x14ac:dyDescent="0.2">
      <c r="A202" s="1">
        <v>2015</v>
      </c>
      <c r="B202" s="1" t="s">
        <v>1355</v>
      </c>
      <c r="C202" s="2">
        <v>27026</v>
      </c>
      <c r="D202" s="8">
        <v>2.747E-5</v>
      </c>
    </row>
    <row r="203" spans="1:4" x14ac:dyDescent="0.2">
      <c r="A203" s="1">
        <v>2015</v>
      </c>
      <c r="B203" s="1" t="s">
        <v>1356</v>
      </c>
      <c r="C203" s="2">
        <v>4440</v>
      </c>
      <c r="D203" s="1">
        <v>4.5100000000000001E-4</v>
      </c>
    </row>
    <row r="204" spans="1:4" x14ac:dyDescent="0.2">
      <c r="A204" s="1">
        <v>2015</v>
      </c>
      <c r="B204" s="1" t="s">
        <v>1357</v>
      </c>
      <c r="C204" s="2">
        <v>58989</v>
      </c>
      <c r="D204" s="1">
        <v>5.9950000000000003E-3</v>
      </c>
    </row>
    <row r="205" spans="1:4" x14ac:dyDescent="0.2">
      <c r="A205" s="1">
        <v>2015</v>
      </c>
      <c r="B205" s="1" t="s">
        <v>1358</v>
      </c>
      <c r="C205" s="2">
        <v>89125</v>
      </c>
      <c r="D205" s="1">
        <v>9.0580000000000001E-3</v>
      </c>
    </row>
    <row r="206" spans="1:4" x14ac:dyDescent="0.2">
      <c r="A206" s="1">
        <v>2015</v>
      </c>
      <c r="B206" s="1" t="s">
        <v>1359</v>
      </c>
      <c r="C206" s="2">
        <v>8605</v>
      </c>
      <c r="D206" s="1">
        <v>8.7500000000000002E-4</v>
      </c>
    </row>
    <row r="207" spans="1:4" x14ac:dyDescent="0.2">
      <c r="A207" s="1">
        <v>2015</v>
      </c>
      <c r="B207" s="1" t="s">
        <v>1360</v>
      </c>
      <c r="C207" s="2">
        <v>131392</v>
      </c>
      <c r="D207" s="1">
        <v>1.3353E-2</v>
      </c>
    </row>
    <row r="208" spans="1:4" x14ac:dyDescent="0.2">
      <c r="A208" s="1">
        <v>2015</v>
      </c>
      <c r="B208" s="1" t="s">
        <v>1361</v>
      </c>
      <c r="C208" s="2">
        <v>14756</v>
      </c>
      <c r="D208" s="1">
        <v>1.5E-3</v>
      </c>
    </row>
    <row r="209" spans="1:4" x14ac:dyDescent="0.2">
      <c r="A209" s="1">
        <v>2015</v>
      </c>
      <c r="B209" s="1" t="s">
        <v>1362</v>
      </c>
      <c r="C209" s="2">
        <v>1092520</v>
      </c>
      <c r="D209" s="1">
        <v>0.11103200000000001</v>
      </c>
    </row>
    <row r="210" spans="1:4" x14ac:dyDescent="0.2">
      <c r="A210" s="1">
        <v>2015</v>
      </c>
      <c r="B210" s="1" t="s">
        <v>1363</v>
      </c>
      <c r="C210" s="2">
        <v>2962026</v>
      </c>
      <c r="D210" s="1">
        <v>0.30102800000000002</v>
      </c>
    </row>
    <row r="211" spans="1:4" x14ac:dyDescent="0.2">
      <c r="A211" s="1">
        <v>2015</v>
      </c>
      <c r="B211" s="1" t="s">
        <v>1364</v>
      </c>
      <c r="C211" s="2">
        <v>412564</v>
      </c>
      <c r="D211" s="1">
        <v>4.1929000000000001E-2</v>
      </c>
    </row>
    <row r="212" spans="1:4" x14ac:dyDescent="0.2">
      <c r="A212" s="1">
        <v>2015</v>
      </c>
      <c r="B212" s="1" t="s">
        <v>1365</v>
      </c>
      <c r="C212" s="2">
        <v>81257</v>
      </c>
      <c r="D212" s="1">
        <v>8.2579999999999997E-3</v>
      </c>
    </row>
    <row r="213" spans="1:4" x14ac:dyDescent="0.2">
      <c r="A213" s="1">
        <v>2015</v>
      </c>
      <c r="B213" s="1" t="s">
        <v>1366</v>
      </c>
      <c r="C213" s="2">
        <v>179183</v>
      </c>
      <c r="D213" s="1">
        <v>1.821E-2</v>
      </c>
    </row>
    <row r="214" spans="1:4" x14ac:dyDescent="0.2">
      <c r="A214" s="1">
        <v>2015</v>
      </c>
      <c r="B214" s="1" t="s">
        <v>1367</v>
      </c>
      <c r="C214" s="2">
        <v>1473019</v>
      </c>
      <c r="D214" s="1">
        <v>0.149702</v>
      </c>
    </row>
    <row r="215" spans="1:4" x14ac:dyDescent="0.2">
      <c r="A215" s="1">
        <v>2015</v>
      </c>
      <c r="B215" s="1" t="s">
        <v>1368</v>
      </c>
      <c r="C215" s="2">
        <v>437469</v>
      </c>
      <c r="D215" s="1">
        <v>4.446E-2</v>
      </c>
    </row>
    <row r="216" spans="1:4" x14ac:dyDescent="0.2">
      <c r="A216" s="1">
        <v>2015</v>
      </c>
      <c r="B216" s="1" t="s">
        <v>1369</v>
      </c>
      <c r="C216" s="2">
        <v>25233</v>
      </c>
      <c r="D216" s="1">
        <v>2.5639999999999999E-3</v>
      </c>
    </row>
    <row r="217" spans="1:4" x14ac:dyDescent="0.2">
      <c r="A217" s="1">
        <v>2015</v>
      </c>
      <c r="B217" s="1" t="s">
        <v>2161</v>
      </c>
      <c r="C217" s="2">
        <v>1119040</v>
      </c>
      <c r="D217" s="1">
        <v>0.11372699999999999</v>
      </c>
    </row>
    <row r="218" spans="1:4" x14ac:dyDescent="0.2">
      <c r="A218" s="1">
        <v>2015</v>
      </c>
      <c r="B218" s="1" t="s">
        <v>1371</v>
      </c>
      <c r="C218" s="2">
        <v>2074956</v>
      </c>
      <c r="D218" s="1">
        <v>0.21087600000000001</v>
      </c>
    </row>
    <row r="219" spans="1:4" x14ac:dyDescent="0.2">
      <c r="A219" s="1">
        <v>2015</v>
      </c>
      <c r="B219" s="1" t="s">
        <v>2162</v>
      </c>
      <c r="C219" s="2">
        <v>492657</v>
      </c>
      <c r="D219" s="1">
        <v>5.0068000000000001E-2</v>
      </c>
    </row>
    <row r="220" spans="1:4" x14ac:dyDescent="0.2">
      <c r="A220" s="1">
        <v>2015</v>
      </c>
      <c r="B220" s="1" t="s">
        <v>2163</v>
      </c>
      <c r="C220" s="2">
        <v>2088126</v>
      </c>
      <c r="D220" s="1">
        <v>0.21221400000000001</v>
      </c>
    </row>
    <row r="221" spans="1:4" x14ac:dyDescent="0.2">
      <c r="A221" s="1">
        <v>2015</v>
      </c>
      <c r="B221" s="1" t="s">
        <v>2164</v>
      </c>
      <c r="C221" s="2">
        <v>1998618</v>
      </c>
      <c r="D221" s="1">
        <v>0.20311799999999999</v>
      </c>
    </row>
    <row r="222" spans="1:4" x14ac:dyDescent="0.2">
      <c r="A222" s="1">
        <v>2015</v>
      </c>
      <c r="B222" s="1" t="s">
        <v>2165</v>
      </c>
      <c r="C222" s="2">
        <v>10346</v>
      </c>
      <c r="D222" s="1">
        <v>1.0510000000000001E-3</v>
      </c>
    </row>
    <row r="223" spans="1:4" x14ac:dyDescent="0.2">
      <c r="A223" s="1">
        <v>2015</v>
      </c>
      <c r="B223" s="1" t="s">
        <v>2166</v>
      </c>
      <c r="C223" s="2">
        <v>1261278</v>
      </c>
      <c r="D223" s="1">
        <v>0.12818299999999999</v>
      </c>
    </row>
    <row r="224" spans="1:4" x14ac:dyDescent="0.2">
      <c r="A224" s="1">
        <v>2015</v>
      </c>
      <c r="B224" s="1" t="s">
        <v>2167</v>
      </c>
      <c r="C224" s="2">
        <v>306323</v>
      </c>
      <c r="D224" s="1">
        <v>3.1130999999999999E-2</v>
      </c>
    </row>
    <row r="225" spans="1:4" x14ac:dyDescent="0.2">
      <c r="A225" s="1">
        <v>2015</v>
      </c>
      <c r="B225" s="1" t="s">
        <v>2168</v>
      </c>
      <c r="C225" s="2">
        <v>1300623</v>
      </c>
      <c r="D225" s="1">
        <v>0.13218099999999999</v>
      </c>
    </row>
    <row r="226" spans="1:4" x14ac:dyDescent="0.2">
      <c r="A226" s="1">
        <v>2015</v>
      </c>
      <c r="B226" s="1" t="s">
        <v>1379</v>
      </c>
      <c r="C226" s="2">
        <v>277969</v>
      </c>
      <c r="D226" s="1">
        <v>2.8250000000000001E-2</v>
      </c>
    </row>
    <row r="227" spans="1:4" x14ac:dyDescent="0.2">
      <c r="A227" s="1">
        <v>2015</v>
      </c>
      <c r="B227" s="1" t="s">
        <v>1380</v>
      </c>
      <c r="C227" s="2">
        <v>661348</v>
      </c>
      <c r="D227" s="1">
        <v>6.7211999999999994E-2</v>
      </c>
    </row>
    <row r="228" spans="1:4" x14ac:dyDescent="0.2">
      <c r="A228" s="1">
        <v>2015</v>
      </c>
      <c r="B228" s="1" t="s">
        <v>2169</v>
      </c>
      <c r="C228" s="2">
        <v>689893</v>
      </c>
      <c r="D228" s="1">
        <v>7.0112999999999995E-2</v>
      </c>
    </row>
    <row r="229" spans="1:4" x14ac:dyDescent="0.2">
      <c r="A229" s="1">
        <v>2015</v>
      </c>
      <c r="B229" s="1" t="s">
        <v>2170</v>
      </c>
      <c r="C229" s="2">
        <v>1210</v>
      </c>
      <c r="D229" s="1">
        <v>1.2300000000000001E-4</v>
      </c>
    </row>
    <row r="230" spans="1:4" x14ac:dyDescent="0.2">
      <c r="A230" s="1">
        <v>2015</v>
      </c>
      <c r="B230" s="1" t="s">
        <v>2171</v>
      </c>
      <c r="C230" s="2">
        <v>2912507</v>
      </c>
      <c r="D230" s="1">
        <v>0.29599599999999998</v>
      </c>
    </row>
    <row r="231" spans="1:4" x14ac:dyDescent="0.2">
      <c r="A231" s="1">
        <v>2015</v>
      </c>
      <c r="B231" s="1" t="s">
        <v>1384</v>
      </c>
      <c r="C231" s="2">
        <v>15616</v>
      </c>
      <c r="D231" s="1">
        <v>1.5870000000000001E-3</v>
      </c>
    </row>
    <row r="232" spans="1:4" x14ac:dyDescent="0.2">
      <c r="A232" s="1">
        <v>2015</v>
      </c>
      <c r="B232" s="1" t="s">
        <v>1385</v>
      </c>
      <c r="C232" s="2">
        <v>57333</v>
      </c>
      <c r="D232" s="1">
        <v>5.8269999999999997E-3</v>
      </c>
    </row>
    <row r="233" spans="1:4" x14ac:dyDescent="0.2">
      <c r="A233" s="1">
        <v>2015</v>
      </c>
      <c r="B233" s="1" t="s">
        <v>2177</v>
      </c>
      <c r="C233" s="2">
        <v>121240</v>
      </c>
      <c r="D233" s="1">
        <v>1.2322E-2</v>
      </c>
    </row>
    <row r="234" spans="1:4" x14ac:dyDescent="0.2">
      <c r="A234" s="1">
        <v>2015</v>
      </c>
      <c r="B234" s="1" t="s">
        <v>2172</v>
      </c>
      <c r="C234" s="2">
        <v>218083</v>
      </c>
      <c r="D234" s="1">
        <v>2.2164E-2</v>
      </c>
    </row>
    <row r="235" spans="1:4" x14ac:dyDescent="0.2">
      <c r="A235" s="1">
        <v>2015</v>
      </c>
      <c r="B235" s="1" t="s">
        <v>1388</v>
      </c>
      <c r="C235" s="2">
        <v>79244</v>
      </c>
      <c r="D235" s="1">
        <v>8.0529999999999994E-3</v>
      </c>
    </row>
    <row r="236" spans="1:4" x14ac:dyDescent="0.2">
      <c r="A236" s="1">
        <v>2015</v>
      </c>
      <c r="B236" s="1" t="s">
        <v>1389</v>
      </c>
      <c r="C236" s="2">
        <v>11104</v>
      </c>
      <c r="D236" s="1">
        <v>1.1280000000000001E-3</v>
      </c>
    </row>
    <row r="237" spans="1:4" x14ac:dyDescent="0.2">
      <c r="A237" s="1">
        <v>2015</v>
      </c>
      <c r="B237" s="1" t="s">
        <v>2028</v>
      </c>
      <c r="C237" s="2">
        <v>33863</v>
      </c>
      <c r="D237" s="1">
        <v>3.441E-3</v>
      </c>
    </row>
    <row r="238" spans="1:4" x14ac:dyDescent="0.2">
      <c r="A238" s="1">
        <v>2015</v>
      </c>
      <c r="B238" s="1" t="s">
        <v>1390</v>
      </c>
      <c r="C238" s="2">
        <v>252020</v>
      </c>
      <c r="D238" s="1">
        <v>2.5613E-2</v>
      </c>
    </row>
    <row r="239" spans="1:4" x14ac:dyDescent="0.2">
      <c r="A239" s="1">
        <v>2015</v>
      </c>
      <c r="B239" s="1" t="s">
        <v>2173</v>
      </c>
      <c r="C239" s="2">
        <v>26756</v>
      </c>
      <c r="D239" s="1">
        <v>2.7190000000000001E-3</v>
      </c>
    </row>
    <row r="240" spans="1:4" x14ac:dyDescent="0.2">
      <c r="A240" s="1">
        <v>2015</v>
      </c>
      <c r="B240" s="1" t="s">
        <v>2174</v>
      </c>
      <c r="C240" s="2">
        <v>1618619</v>
      </c>
      <c r="D240" s="1">
        <v>0.16449900000000001</v>
      </c>
    </row>
    <row r="241" spans="1:4" x14ac:dyDescent="0.2">
      <c r="A241" s="1">
        <v>2015</v>
      </c>
      <c r="B241" s="1" t="s">
        <v>2175</v>
      </c>
      <c r="C241" s="2">
        <v>422612</v>
      </c>
      <c r="D241" s="1">
        <v>4.2950000000000002E-2</v>
      </c>
    </row>
    <row r="242" spans="1:4" x14ac:dyDescent="0.2">
      <c r="A242" s="1">
        <v>2015</v>
      </c>
      <c r="B242" s="1" t="s">
        <v>1394</v>
      </c>
      <c r="C242" s="2">
        <v>82016</v>
      </c>
      <c r="D242" s="1">
        <v>8.3350000000000004E-3</v>
      </c>
    </row>
    <row r="243" spans="1:4" x14ac:dyDescent="0.2">
      <c r="A243" s="1">
        <v>2015</v>
      </c>
      <c r="B243" s="1" t="s">
        <v>1395</v>
      </c>
      <c r="C243" s="2">
        <v>4625535</v>
      </c>
      <c r="D243" s="1">
        <v>0.47008899999999998</v>
      </c>
    </row>
    <row r="244" spans="1:4" x14ac:dyDescent="0.2">
      <c r="A244" s="1">
        <v>2015</v>
      </c>
      <c r="B244" s="1" t="s">
        <v>1396</v>
      </c>
      <c r="C244" s="2">
        <v>1116917</v>
      </c>
      <c r="D244" s="1">
        <v>0.113511</v>
      </c>
    </row>
    <row r="245" spans="1:4" x14ac:dyDescent="0.2">
      <c r="A245" s="1">
        <v>2015</v>
      </c>
      <c r="B245" s="1" t="s">
        <v>1397</v>
      </c>
      <c r="C245" s="2">
        <v>88185</v>
      </c>
      <c r="D245" s="1">
        <v>8.9619999999999995E-3</v>
      </c>
    </row>
    <row r="246" spans="1:4" x14ac:dyDescent="0.2">
      <c r="A246" s="1">
        <v>2015</v>
      </c>
      <c r="B246" s="1" t="s">
        <v>2176</v>
      </c>
      <c r="C246" s="2">
        <v>2341177</v>
      </c>
      <c r="D246" s="1">
        <v>0.237932</v>
      </c>
    </row>
    <row r="247" spans="1:4" x14ac:dyDescent="0.2">
      <c r="A247" s="1">
        <v>2015</v>
      </c>
      <c r="B247" s="1" t="s">
        <v>1399</v>
      </c>
      <c r="C247" s="2">
        <v>15911</v>
      </c>
      <c r="D247" s="1">
        <v>1.6169999999999999E-3</v>
      </c>
    </row>
    <row r="248" spans="1:4" x14ac:dyDescent="0.2">
      <c r="A248" s="1">
        <v>2015</v>
      </c>
      <c r="B248" s="1" t="s">
        <v>1400</v>
      </c>
      <c r="C248" s="2">
        <v>603168</v>
      </c>
      <c r="D248" s="1">
        <v>6.1298999999999999E-2</v>
      </c>
    </row>
    <row r="249" spans="1:4" x14ac:dyDescent="0.2">
      <c r="A249" s="1">
        <v>2015</v>
      </c>
      <c r="B249" s="1" t="s">
        <v>1401</v>
      </c>
      <c r="C249" s="2">
        <v>38207</v>
      </c>
      <c r="D249" s="1">
        <v>3.8830000000000002E-3</v>
      </c>
    </row>
    <row r="250" spans="1:4" x14ac:dyDescent="0.2">
      <c r="A250" s="1">
        <v>2015</v>
      </c>
      <c r="B250" s="1" t="s">
        <v>1402</v>
      </c>
      <c r="C250" s="2">
        <v>894374</v>
      </c>
      <c r="D250" s="1">
        <v>9.0894000000000003E-2</v>
      </c>
    </row>
    <row r="251" spans="1:4" x14ac:dyDescent="0.2">
      <c r="A251" s="1">
        <v>2015</v>
      </c>
      <c r="B251" s="1" t="s">
        <v>2178</v>
      </c>
      <c r="C251" s="2">
        <v>583905</v>
      </c>
      <c r="D251" s="8">
        <v>5.9341999999999999E-4</v>
      </c>
    </row>
    <row r="252" spans="1:4" x14ac:dyDescent="0.2">
      <c r="A252" s="1">
        <v>2015</v>
      </c>
      <c r="B252" s="1" t="s">
        <v>2179</v>
      </c>
      <c r="C252" s="2">
        <v>3946</v>
      </c>
      <c r="D252" s="1">
        <v>4.0099999999999999E-4</v>
      </c>
    </row>
    <row r="253" spans="1:4" x14ac:dyDescent="0.2">
      <c r="A253" s="1">
        <v>2015</v>
      </c>
      <c r="B253" s="1" t="s">
        <v>1405</v>
      </c>
      <c r="C253" s="2">
        <v>13387</v>
      </c>
      <c r="D253" s="1">
        <v>1.361E-3</v>
      </c>
    </row>
    <row r="254" spans="1:4" x14ac:dyDescent="0.2">
      <c r="A254" s="1">
        <v>2015</v>
      </c>
      <c r="B254" s="1" t="s">
        <v>1406</v>
      </c>
      <c r="C254" s="2">
        <v>3137919</v>
      </c>
      <c r="D254" s="1">
        <v>0.31890400000000002</v>
      </c>
    </row>
    <row r="255" spans="1:4" x14ac:dyDescent="0.2">
      <c r="A255" s="1">
        <v>2015</v>
      </c>
      <c r="B255" s="1" t="s">
        <v>2180</v>
      </c>
      <c r="C255" s="2">
        <v>117798</v>
      </c>
      <c r="D255" s="1">
        <v>1.1972E-2</v>
      </c>
    </row>
    <row r="256" spans="1:4" x14ac:dyDescent="0.2">
      <c r="A256" s="1">
        <v>2015</v>
      </c>
      <c r="B256" s="1" t="s">
        <v>1408</v>
      </c>
      <c r="C256" s="2">
        <v>4130509</v>
      </c>
      <c r="D256" s="1">
        <v>0.41977999999999999</v>
      </c>
    </row>
    <row r="257" spans="1:4" x14ac:dyDescent="0.2">
      <c r="A257" s="1">
        <v>2015</v>
      </c>
      <c r="B257" s="1" t="s">
        <v>2181</v>
      </c>
      <c r="C257" s="2">
        <v>4975905</v>
      </c>
      <c r="D257" s="1">
        <v>0.50569699999999995</v>
      </c>
    </row>
    <row r="258" spans="1:4" x14ac:dyDescent="0.2">
      <c r="A258" s="1">
        <v>2015</v>
      </c>
      <c r="B258" s="1" t="s">
        <v>1410</v>
      </c>
      <c r="C258" s="2">
        <v>341515</v>
      </c>
      <c r="D258" s="1">
        <v>3.4708000000000003E-2</v>
      </c>
    </row>
    <row r="259" spans="1:4" x14ac:dyDescent="0.2">
      <c r="A259" s="1">
        <v>2015</v>
      </c>
      <c r="B259" s="1" t="s">
        <v>2029</v>
      </c>
      <c r="C259" s="2">
        <v>66030</v>
      </c>
      <c r="D259" s="1">
        <v>6.711E-3</v>
      </c>
    </row>
    <row r="260" spans="1:4" x14ac:dyDescent="0.2">
      <c r="A260" s="1">
        <v>2015</v>
      </c>
      <c r="B260" s="1" t="s">
        <v>2182</v>
      </c>
      <c r="C260" s="2">
        <v>3117311</v>
      </c>
      <c r="D260" s="1">
        <v>0.31680999999999998</v>
      </c>
    </row>
    <row r="261" spans="1:4" x14ac:dyDescent="0.2">
      <c r="A261" s="1">
        <v>2015</v>
      </c>
      <c r="B261" s="1" t="s">
        <v>2183</v>
      </c>
      <c r="C261" s="2">
        <v>1553968</v>
      </c>
      <c r="D261" s="1">
        <v>0.15792800000000001</v>
      </c>
    </row>
    <row r="262" spans="1:4" x14ac:dyDescent="0.2">
      <c r="A262" s="1">
        <v>2015</v>
      </c>
      <c r="B262" s="1" t="s">
        <v>2184</v>
      </c>
      <c r="C262" s="2">
        <v>145888</v>
      </c>
      <c r="D262" s="1">
        <v>1.4826000000000001E-2</v>
      </c>
    </row>
    <row r="263" spans="1:4" x14ac:dyDescent="0.2">
      <c r="A263" s="1">
        <v>2015</v>
      </c>
      <c r="B263" s="1" t="s">
        <v>2185</v>
      </c>
      <c r="C263" s="2">
        <v>142085</v>
      </c>
      <c r="D263" s="1">
        <v>1.444E-2</v>
      </c>
    </row>
    <row r="264" spans="1:4" x14ac:dyDescent="0.2">
      <c r="A264" s="1">
        <v>2015</v>
      </c>
      <c r="B264" s="1" t="s">
        <v>2186</v>
      </c>
      <c r="C264" s="2">
        <v>28822</v>
      </c>
      <c r="D264" s="1">
        <v>2.9290000000000002E-3</v>
      </c>
    </row>
    <row r="265" spans="1:4" x14ac:dyDescent="0.2">
      <c r="A265" s="1">
        <v>2015</v>
      </c>
      <c r="B265" s="1" t="s">
        <v>2187</v>
      </c>
      <c r="C265" s="2">
        <v>213820</v>
      </c>
      <c r="D265" s="1">
        <v>2.1729999999999999E-2</v>
      </c>
    </row>
    <row r="266" spans="1:4" x14ac:dyDescent="0.2">
      <c r="A266" s="1">
        <v>2015</v>
      </c>
      <c r="B266" s="1" t="s">
        <v>2188</v>
      </c>
      <c r="C266" s="2">
        <v>11655</v>
      </c>
      <c r="D266" s="1">
        <v>1.1839999999999999E-3</v>
      </c>
    </row>
    <row r="267" spans="1:4" x14ac:dyDescent="0.2">
      <c r="A267" s="1">
        <v>2015</v>
      </c>
      <c r="B267" s="1" t="s">
        <v>2189</v>
      </c>
      <c r="C267" s="2">
        <v>73583</v>
      </c>
      <c r="D267" s="1">
        <v>7.4780000000000003E-3</v>
      </c>
    </row>
    <row r="268" spans="1:4" x14ac:dyDescent="0.2">
      <c r="A268" s="1">
        <v>2015</v>
      </c>
      <c r="B268" s="1" t="s">
        <v>1419</v>
      </c>
      <c r="C268" s="2">
        <v>87446</v>
      </c>
      <c r="D268" s="1">
        <v>8.8870000000000008E-3</v>
      </c>
    </row>
    <row r="269" spans="1:4" x14ac:dyDescent="0.2">
      <c r="A269" s="1">
        <v>2015</v>
      </c>
      <c r="B269" s="1" t="s">
        <v>1420</v>
      </c>
      <c r="C269" s="2">
        <v>1905283</v>
      </c>
      <c r="D269" s="1">
        <v>0.193632</v>
      </c>
    </row>
    <row r="270" spans="1:4" x14ac:dyDescent="0.2">
      <c r="A270" s="1">
        <v>2015</v>
      </c>
      <c r="B270" s="1" t="s">
        <v>1421</v>
      </c>
      <c r="C270" s="2">
        <v>7769</v>
      </c>
      <c r="D270" s="1">
        <v>7.9000000000000001E-4</v>
      </c>
    </row>
    <row r="271" spans="1:4" x14ac:dyDescent="0.2">
      <c r="A271" s="1">
        <v>2015</v>
      </c>
      <c r="B271" s="1" t="s">
        <v>2190</v>
      </c>
      <c r="C271" s="2">
        <v>11079906</v>
      </c>
      <c r="D271" s="1">
        <v>1.1260410000000001</v>
      </c>
    </row>
    <row r="272" spans="1:4" x14ac:dyDescent="0.2">
      <c r="A272" s="1">
        <v>2015</v>
      </c>
      <c r="B272" s="1" t="s">
        <v>2191</v>
      </c>
      <c r="C272" s="2">
        <v>4677683</v>
      </c>
      <c r="D272" s="1">
        <v>0.47538900000000001</v>
      </c>
    </row>
    <row r="273" spans="1:4" x14ac:dyDescent="0.2">
      <c r="A273" s="1">
        <v>2015</v>
      </c>
      <c r="B273" s="1" t="s">
        <v>2192</v>
      </c>
      <c r="C273" s="2">
        <v>133735</v>
      </c>
      <c r="D273" s="1">
        <v>1.3591000000000001E-2</v>
      </c>
    </row>
    <row r="274" spans="1:4" x14ac:dyDescent="0.2">
      <c r="A274" s="1">
        <v>2015</v>
      </c>
      <c r="B274" s="1" t="s">
        <v>2193</v>
      </c>
      <c r="C274" s="2">
        <v>58608</v>
      </c>
      <c r="D274" s="1">
        <v>5.9560000000000004E-3</v>
      </c>
    </row>
    <row r="275" spans="1:4" x14ac:dyDescent="0.2">
      <c r="A275" s="1">
        <v>2015</v>
      </c>
      <c r="B275" s="1" t="s">
        <v>2194</v>
      </c>
      <c r="C275" s="2">
        <v>6515</v>
      </c>
      <c r="D275" s="1">
        <v>6.6200000000000005E-4</v>
      </c>
    </row>
    <row r="276" spans="1:4" x14ac:dyDescent="0.2">
      <c r="A276" s="1">
        <v>2015</v>
      </c>
      <c r="B276" s="1" t="s">
        <v>2195</v>
      </c>
      <c r="C276" s="2">
        <v>165374</v>
      </c>
      <c r="D276" s="1">
        <v>1.6806999999999999E-2</v>
      </c>
    </row>
    <row r="277" spans="1:4" x14ac:dyDescent="0.2">
      <c r="A277" s="1">
        <v>2015</v>
      </c>
      <c r="B277" s="1" t="s">
        <v>2196</v>
      </c>
      <c r="C277" s="2">
        <v>255563</v>
      </c>
      <c r="D277" s="1">
        <v>2.5973E-2</v>
      </c>
    </row>
    <row r="278" spans="1:4" x14ac:dyDescent="0.2">
      <c r="A278" s="1">
        <v>2015</v>
      </c>
      <c r="B278" s="1" t="s">
        <v>1429</v>
      </c>
      <c r="C278" s="2">
        <v>97604</v>
      </c>
      <c r="D278" s="1">
        <v>9.9190000000000007E-3</v>
      </c>
    </row>
    <row r="279" spans="1:4" x14ac:dyDescent="0.2">
      <c r="A279" s="1">
        <v>2015</v>
      </c>
      <c r="B279" s="1" t="s">
        <v>1430</v>
      </c>
      <c r="C279" s="2">
        <v>9519</v>
      </c>
      <c r="D279" s="1">
        <v>9.6699999999999998E-4</v>
      </c>
    </row>
    <row r="280" spans="1:4" x14ac:dyDescent="0.2">
      <c r="A280" s="1">
        <v>2015</v>
      </c>
      <c r="B280" s="1" t="s">
        <v>1431</v>
      </c>
      <c r="C280" s="2">
        <v>3490282</v>
      </c>
      <c r="D280" s="1">
        <v>0.35471399999999997</v>
      </c>
    </row>
    <row r="281" spans="1:4" x14ac:dyDescent="0.2">
      <c r="A281" s="1">
        <v>2015</v>
      </c>
      <c r="B281" s="1" t="s">
        <v>1432</v>
      </c>
      <c r="C281" s="2">
        <v>63121</v>
      </c>
      <c r="D281" s="1">
        <v>6.4149999999999997E-3</v>
      </c>
    </row>
    <row r="282" spans="1:4" x14ac:dyDescent="0.2">
      <c r="A282" s="1">
        <v>2015</v>
      </c>
      <c r="B282" s="1" t="s">
        <v>2197</v>
      </c>
      <c r="C282" s="2">
        <v>4323770</v>
      </c>
      <c r="D282" s="1">
        <v>0.43942100000000001</v>
      </c>
    </row>
    <row r="283" spans="1:4" x14ac:dyDescent="0.2">
      <c r="A283" s="1">
        <v>2015</v>
      </c>
      <c r="B283" s="1" t="s">
        <v>1434</v>
      </c>
      <c r="C283" s="2">
        <v>42476</v>
      </c>
      <c r="D283" s="1">
        <v>4.3169999999999997E-3</v>
      </c>
    </row>
    <row r="284" spans="1:4" x14ac:dyDescent="0.2">
      <c r="A284" s="1">
        <v>2015</v>
      </c>
      <c r="B284" s="1" t="s">
        <v>1435</v>
      </c>
      <c r="C284" s="2">
        <v>107816</v>
      </c>
      <c r="D284" s="1">
        <v>1.0957E-2</v>
      </c>
    </row>
    <row r="285" spans="1:4" x14ac:dyDescent="0.2">
      <c r="A285" s="1">
        <v>2015</v>
      </c>
      <c r="B285" s="1" t="s">
        <v>1436</v>
      </c>
      <c r="C285" s="2">
        <v>253567</v>
      </c>
      <c r="D285" s="1">
        <v>2.5770000000000001E-2</v>
      </c>
    </row>
    <row r="286" spans="1:4" x14ac:dyDescent="0.2">
      <c r="A286" s="1">
        <v>2015</v>
      </c>
      <c r="B286" s="1" t="s">
        <v>1437</v>
      </c>
      <c r="C286" s="2">
        <v>18740</v>
      </c>
      <c r="D286" s="1">
        <v>1.905E-3</v>
      </c>
    </row>
    <row r="287" spans="1:4" x14ac:dyDescent="0.2">
      <c r="A287" s="1">
        <v>2015</v>
      </c>
      <c r="B287" s="1" t="s">
        <v>2198</v>
      </c>
      <c r="C287" s="2">
        <v>970222</v>
      </c>
      <c r="D287" s="1">
        <v>9.8602999999999996E-2</v>
      </c>
    </row>
    <row r="288" spans="1:4" x14ac:dyDescent="0.2">
      <c r="A288" s="1">
        <v>2015</v>
      </c>
      <c r="B288" s="1" t="s">
        <v>1439</v>
      </c>
      <c r="C288" s="2">
        <v>55602</v>
      </c>
      <c r="D288" s="1">
        <v>5.6509999999999998E-3</v>
      </c>
    </row>
    <row r="289" spans="1:4" x14ac:dyDescent="0.2">
      <c r="A289" s="1">
        <v>2015</v>
      </c>
      <c r="B289" s="1" t="s">
        <v>1440</v>
      </c>
      <c r="C289" s="2">
        <v>843660</v>
      </c>
      <c r="D289" s="1">
        <v>8.5739999999999997E-2</v>
      </c>
    </row>
    <row r="290" spans="1:4" x14ac:dyDescent="0.2">
      <c r="A290" s="1">
        <v>2015</v>
      </c>
      <c r="B290" s="1" t="s">
        <v>1441</v>
      </c>
      <c r="C290" s="2">
        <v>18602</v>
      </c>
      <c r="D290" s="1">
        <v>1.8910000000000001E-3</v>
      </c>
    </row>
    <row r="291" spans="1:4" x14ac:dyDescent="0.2">
      <c r="A291" s="1">
        <v>2015</v>
      </c>
      <c r="B291" s="1" t="s">
        <v>1442</v>
      </c>
      <c r="C291" s="2">
        <v>28532</v>
      </c>
      <c r="D291" s="1">
        <v>2.8999999999999998E-3</v>
      </c>
    </row>
    <row r="292" spans="1:4" x14ac:dyDescent="0.2">
      <c r="A292" s="1">
        <v>2015</v>
      </c>
      <c r="B292" s="1" t="s">
        <v>2199</v>
      </c>
      <c r="C292" s="2">
        <v>4401730</v>
      </c>
      <c r="D292" s="1">
        <v>0.44734400000000002</v>
      </c>
    </row>
    <row r="293" spans="1:4" x14ac:dyDescent="0.2">
      <c r="A293" s="1">
        <v>2015</v>
      </c>
      <c r="B293" s="1" t="s">
        <v>2200</v>
      </c>
      <c r="C293" s="2">
        <v>4575141</v>
      </c>
      <c r="D293" s="1">
        <v>0.46496799999999999</v>
      </c>
    </row>
    <row r="294" spans="1:4" x14ac:dyDescent="0.2">
      <c r="A294" s="1">
        <v>2015</v>
      </c>
      <c r="B294" s="1" t="s">
        <v>2201</v>
      </c>
      <c r="C294" s="2">
        <v>123319</v>
      </c>
      <c r="D294" s="1">
        <v>1.2533000000000001E-2</v>
      </c>
    </row>
    <row r="295" spans="1:4" x14ac:dyDescent="0.2">
      <c r="A295" s="1">
        <v>2015</v>
      </c>
      <c r="B295" s="1" t="s">
        <v>2202</v>
      </c>
      <c r="C295" s="2">
        <v>142801</v>
      </c>
      <c r="D295" s="1">
        <v>1.4513E-2</v>
      </c>
    </row>
    <row r="296" spans="1:4" x14ac:dyDescent="0.2">
      <c r="A296" s="1">
        <v>2015</v>
      </c>
      <c r="B296" s="1" t="s">
        <v>2203</v>
      </c>
      <c r="C296" s="2">
        <v>17054</v>
      </c>
      <c r="D296" s="1">
        <v>1.7329999999999999E-3</v>
      </c>
    </row>
    <row r="297" spans="1:4" x14ac:dyDescent="0.2">
      <c r="A297" s="1">
        <v>2015</v>
      </c>
      <c r="B297" s="1" t="s">
        <v>1448</v>
      </c>
      <c r="C297" s="2">
        <v>8146996</v>
      </c>
      <c r="D297" s="1">
        <v>0.82797200000000004</v>
      </c>
    </row>
    <row r="298" spans="1:4" x14ac:dyDescent="0.2">
      <c r="A298" s="1">
        <v>2015</v>
      </c>
      <c r="B298" s="1" t="s">
        <v>1449</v>
      </c>
      <c r="C298" s="2">
        <v>94125</v>
      </c>
      <c r="D298" s="1">
        <v>9.5659999999999999E-3</v>
      </c>
    </row>
    <row r="299" spans="1:4" x14ac:dyDescent="0.2">
      <c r="A299" s="1">
        <v>2015</v>
      </c>
      <c r="B299" s="1" t="s">
        <v>2204</v>
      </c>
      <c r="C299" s="2">
        <v>636825</v>
      </c>
      <c r="D299" s="1">
        <v>6.472E-2</v>
      </c>
    </row>
    <row r="300" spans="1:4" x14ac:dyDescent="0.2">
      <c r="A300" s="1">
        <v>2015</v>
      </c>
      <c r="B300" s="1" t="s">
        <v>1451</v>
      </c>
      <c r="C300" s="2">
        <v>405613</v>
      </c>
      <c r="D300" s="1">
        <v>4.1222000000000002E-2</v>
      </c>
    </row>
    <row r="301" spans="1:4" x14ac:dyDescent="0.2">
      <c r="A301" s="1">
        <v>2015</v>
      </c>
      <c r="B301" s="1" t="s">
        <v>1452</v>
      </c>
      <c r="C301" s="2">
        <v>19891</v>
      </c>
      <c r="D301" s="8">
        <v>2.022E-5</v>
      </c>
    </row>
    <row r="302" spans="1:4" x14ac:dyDescent="0.2">
      <c r="A302" s="1">
        <v>2015</v>
      </c>
      <c r="B302" s="1" t="s">
        <v>2205</v>
      </c>
      <c r="C302" s="2">
        <v>1114247</v>
      </c>
      <c r="D302" s="1">
        <v>0.11323999999999999</v>
      </c>
    </row>
    <row r="303" spans="1:4" x14ac:dyDescent="0.2">
      <c r="A303" s="1">
        <v>2015</v>
      </c>
      <c r="B303" s="1" t="s">
        <v>1454</v>
      </c>
      <c r="C303" s="2">
        <v>450556</v>
      </c>
      <c r="D303" s="1">
        <v>4.5789999999999997E-2</v>
      </c>
    </row>
    <row r="304" spans="1:4" x14ac:dyDescent="0.2">
      <c r="A304" s="1">
        <v>2015</v>
      </c>
      <c r="B304" s="1" t="s">
        <v>2206</v>
      </c>
      <c r="C304" s="2">
        <v>2244646</v>
      </c>
      <c r="D304" s="1">
        <v>0.22812099999999999</v>
      </c>
    </row>
    <row r="305" spans="1:4" x14ac:dyDescent="0.2">
      <c r="A305" s="1">
        <v>2015</v>
      </c>
      <c r="B305" s="1" t="s">
        <v>2207</v>
      </c>
      <c r="C305" s="2">
        <v>628352</v>
      </c>
      <c r="D305" s="1">
        <v>6.3858999999999999E-2</v>
      </c>
    </row>
    <row r="306" spans="1:4" x14ac:dyDescent="0.2">
      <c r="A306" s="1">
        <v>2015</v>
      </c>
      <c r="B306" s="1" t="s">
        <v>2208</v>
      </c>
      <c r="C306" s="2">
        <v>4472</v>
      </c>
      <c r="D306" s="1">
        <v>4.5399999999999998E-4</v>
      </c>
    </row>
    <row r="307" spans="1:4" x14ac:dyDescent="0.2">
      <c r="A307" s="1">
        <v>2015</v>
      </c>
      <c r="B307" s="1" t="s">
        <v>1458</v>
      </c>
      <c r="C307" s="2">
        <v>3333569</v>
      </c>
      <c r="D307" s="1">
        <v>0.33878799999999998</v>
      </c>
    </row>
    <row r="308" spans="1:4" x14ac:dyDescent="0.2">
      <c r="A308" s="1">
        <v>2015</v>
      </c>
      <c r="B308" s="1" t="s">
        <v>1459</v>
      </c>
      <c r="C308" s="2">
        <v>1244596</v>
      </c>
      <c r="D308" s="1">
        <v>0.12648699999999999</v>
      </c>
    </row>
    <row r="309" spans="1:4" x14ac:dyDescent="0.2">
      <c r="A309" s="1">
        <v>2015</v>
      </c>
      <c r="B309" s="1" t="s">
        <v>1460</v>
      </c>
      <c r="C309" s="2">
        <v>31672</v>
      </c>
      <c r="D309" s="1">
        <v>3.2190000000000001E-3</v>
      </c>
    </row>
    <row r="310" spans="1:4" x14ac:dyDescent="0.2">
      <c r="A310" s="1">
        <v>2015</v>
      </c>
      <c r="B310" s="1" t="s">
        <v>2209</v>
      </c>
      <c r="C310" s="2">
        <v>1143085</v>
      </c>
      <c r="D310" s="1">
        <v>0.116171</v>
      </c>
    </row>
    <row r="311" spans="1:4" x14ac:dyDescent="0.2">
      <c r="A311" s="1">
        <v>2015</v>
      </c>
      <c r="B311" s="1" t="s">
        <v>2210</v>
      </c>
      <c r="C311" s="2">
        <v>1305408</v>
      </c>
      <c r="D311" s="1">
        <v>0.13266700000000001</v>
      </c>
    </row>
    <row r="312" spans="1:4" x14ac:dyDescent="0.2">
      <c r="A312" s="1">
        <v>2015</v>
      </c>
      <c r="B312" s="1" t="s">
        <v>1463</v>
      </c>
      <c r="C312" s="2">
        <v>186567</v>
      </c>
      <c r="D312" s="1">
        <v>1.8960999999999999E-2</v>
      </c>
    </row>
    <row r="313" spans="1:4" x14ac:dyDescent="0.2">
      <c r="A313" s="1">
        <v>2015</v>
      </c>
      <c r="B313" s="1" t="s">
        <v>1464</v>
      </c>
      <c r="C313" s="2">
        <v>3882444</v>
      </c>
      <c r="D313" s="1">
        <v>0.394569</v>
      </c>
    </row>
    <row r="314" spans="1:4" x14ac:dyDescent="0.2">
      <c r="A314" s="1">
        <v>2015</v>
      </c>
      <c r="B314" s="1" t="s">
        <v>2211</v>
      </c>
      <c r="C314" s="2">
        <v>1283501</v>
      </c>
      <c r="D314" s="1">
        <v>0.130441</v>
      </c>
    </row>
    <row r="315" spans="1:4" x14ac:dyDescent="0.2">
      <c r="A315" s="1">
        <v>2015</v>
      </c>
      <c r="B315" s="1" t="s">
        <v>2212</v>
      </c>
      <c r="C315" s="2">
        <v>355739</v>
      </c>
      <c r="D315" s="1">
        <v>3.6152999999999998E-2</v>
      </c>
    </row>
    <row r="316" spans="1:4" x14ac:dyDescent="0.2">
      <c r="A316" s="1">
        <v>2015</v>
      </c>
      <c r="B316" s="1" t="s">
        <v>2213</v>
      </c>
      <c r="C316" s="2">
        <v>9165</v>
      </c>
      <c r="D316" s="1">
        <v>9.3099999999999997E-4</v>
      </c>
    </row>
    <row r="317" spans="1:4" x14ac:dyDescent="0.2">
      <c r="A317" s="1">
        <v>2015</v>
      </c>
      <c r="B317" s="1" t="s">
        <v>1468</v>
      </c>
      <c r="C317" s="2">
        <v>456630</v>
      </c>
      <c r="D317" s="1">
        <v>4.6406999999999997E-2</v>
      </c>
    </row>
    <row r="318" spans="1:4" x14ac:dyDescent="0.2">
      <c r="A318" s="1">
        <v>2015</v>
      </c>
      <c r="B318" s="1" t="s">
        <v>2214</v>
      </c>
      <c r="C318" s="2">
        <v>795124</v>
      </c>
      <c r="D318" s="1">
        <v>8.0808000000000005E-2</v>
      </c>
    </row>
    <row r="319" spans="1:4" x14ac:dyDescent="0.2">
      <c r="A319" s="1">
        <v>2015</v>
      </c>
      <c r="B319" s="1" t="s">
        <v>1469</v>
      </c>
      <c r="C319" s="2">
        <v>348353</v>
      </c>
      <c r="D319" s="1">
        <v>3.5402999999999997E-2</v>
      </c>
    </row>
    <row r="320" spans="1:4" x14ac:dyDescent="0.2">
      <c r="A320" s="1">
        <v>2015</v>
      </c>
      <c r="B320" s="1" t="s">
        <v>2215</v>
      </c>
      <c r="C320" s="2">
        <v>1388827</v>
      </c>
      <c r="D320" s="1">
        <v>0.14114499999999999</v>
      </c>
    </row>
    <row r="321" spans="1:4" x14ac:dyDescent="0.2">
      <c r="A321" s="1">
        <v>2015</v>
      </c>
      <c r="B321" s="1" t="s">
        <v>1471</v>
      </c>
      <c r="C321" s="2">
        <v>1135605</v>
      </c>
      <c r="D321" s="1">
        <v>0.115411</v>
      </c>
    </row>
    <row r="322" spans="1:4" x14ac:dyDescent="0.2">
      <c r="A322" s="1">
        <v>2015</v>
      </c>
      <c r="B322" s="1" t="s">
        <v>1472</v>
      </c>
      <c r="C322" s="2">
        <v>45949</v>
      </c>
      <c r="D322" s="1">
        <v>4.6699999999999997E-3</v>
      </c>
    </row>
    <row r="323" spans="1:4" x14ac:dyDescent="0.2">
      <c r="A323" s="1">
        <v>2015</v>
      </c>
      <c r="B323" s="1" t="s">
        <v>2216</v>
      </c>
      <c r="C323" s="2">
        <v>306667</v>
      </c>
      <c r="D323" s="1">
        <v>3.1165999999999999E-2</v>
      </c>
    </row>
    <row r="324" spans="1:4" x14ac:dyDescent="0.2">
      <c r="A324" s="1">
        <v>2015</v>
      </c>
      <c r="B324" s="1" t="s">
        <v>2217</v>
      </c>
      <c r="C324" s="2">
        <v>2623305</v>
      </c>
      <c r="D324" s="1">
        <v>0.26660400000000001</v>
      </c>
    </row>
    <row r="325" spans="1:4" x14ac:dyDescent="0.2">
      <c r="A325" s="1">
        <v>2015</v>
      </c>
      <c r="B325" s="1" t="s">
        <v>2218</v>
      </c>
      <c r="C325" s="2">
        <v>498424</v>
      </c>
      <c r="D325" s="1">
        <v>5.0653999999999998E-2</v>
      </c>
    </row>
    <row r="326" spans="1:4" x14ac:dyDescent="0.2">
      <c r="A326" s="1">
        <v>2015</v>
      </c>
      <c r="B326" s="1" t="s">
        <v>2219</v>
      </c>
      <c r="C326" s="2">
        <v>2604</v>
      </c>
      <c r="D326" s="1">
        <v>2.6499999999999999E-4</v>
      </c>
    </row>
    <row r="327" spans="1:4" x14ac:dyDescent="0.2">
      <c r="A327" s="1">
        <v>2015</v>
      </c>
      <c r="B327" s="1" t="s">
        <v>1477</v>
      </c>
      <c r="C327" s="2">
        <v>3891514</v>
      </c>
      <c r="D327" s="1">
        <v>0.39549099999999998</v>
      </c>
    </row>
    <row r="328" spans="1:4" x14ac:dyDescent="0.2">
      <c r="A328" s="1">
        <v>2015</v>
      </c>
      <c r="B328" s="1" t="s">
        <v>1478</v>
      </c>
      <c r="C328" s="2">
        <v>62083</v>
      </c>
      <c r="D328" s="1">
        <v>6.3090000000000004E-3</v>
      </c>
    </row>
    <row r="329" spans="1:4" x14ac:dyDescent="0.2">
      <c r="A329" s="1">
        <v>2015</v>
      </c>
      <c r="B329" s="1" t="s">
        <v>1479</v>
      </c>
      <c r="C329" s="2">
        <v>13342</v>
      </c>
      <c r="D329" s="1">
        <v>1.356E-3</v>
      </c>
    </row>
    <row r="330" spans="1:4" x14ac:dyDescent="0.2">
      <c r="A330" s="1">
        <v>2015</v>
      </c>
      <c r="B330" s="1" t="s">
        <v>1480</v>
      </c>
      <c r="C330" s="2">
        <v>174920</v>
      </c>
      <c r="D330" s="1">
        <v>1.7777000000000001E-2</v>
      </c>
    </row>
    <row r="331" spans="1:4" x14ac:dyDescent="0.2">
      <c r="A331" s="1">
        <v>2015</v>
      </c>
      <c r="B331" s="1" t="s">
        <v>1481</v>
      </c>
      <c r="C331" s="2">
        <v>21334</v>
      </c>
      <c r="D331" s="1">
        <v>2.1679999999999998E-3</v>
      </c>
    </row>
    <row r="332" spans="1:4" x14ac:dyDescent="0.2">
      <c r="A332" s="1">
        <v>2015</v>
      </c>
      <c r="B332" s="1" t="s">
        <v>1482</v>
      </c>
      <c r="C332" s="2">
        <v>10928707</v>
      </c>
      <c r="D332" s="1">
        <v>1.1106750000000001</v>
      </c>
    </row>
    <row r="333" spans="1:4" x14ac:dyDescent="0.2">
      <c r="A333" s="1">
        <v>2015</v>
      </c>
      <c r="B333" s="1" t="s">
        <v>2220</v>
      </c>
      <c r="C333" s="2">
        <v>639321</v>
      </c>
      <c r="D333" s="1">
        <v>6.4974000000000004E-2</v>
      </c>
    </row>
    <row r="334" spans="1:4" x14ac:dyDescent="0.2">
      <c r="A334" s="1">
        <v>2015</v>
      </c>
      <c r="B334" s="1" t="s">
        <v>2221</v>
      </c>
      <c r="C334" s="2">
        <v>6642088</v>
      </c>
      <c r="D334" s="1">
        <v>0.67503000000000002</v>
      </c>
    </row>
    <row r="335" spans="1:4" x14ac:dyDescent="0.2">
      <c r="A335" s="1">
        <v>2015</v>
      </c>
      <c r="B335" s="1" t="s">
        <v>2222</v>
      </c>
      <c r="C335" s="2">
        <v>4428132</v>
      </c>
      <c r="D335" s="1">
        <v>0.45002700000000001</v>
      </c>
    </row>
    <row r="336" spans="1:4" x14ac:dyDescent="0.2">
      <c r="A336" s="1">
        <v>2015</v>
      </c>
      <c r="B336" s="1" t="s">
        <v>2223</v>
      </c>
      <c r="C336" s="2">
        <v>70282</v>
      </c>
      <c r="D336" s="1">
        <v>7.143E-3</v>
      </c>
    </row>
    <row r="337" spans="1:4" x14ac:dyDescent="0.2">
      <c r="A337" s="1">
        <v>2015</v>
      </c>
      <c r="B337" s="1" t="s">
        <v>2232</v>
      </c>
      <c r="C337" s="2">
        <v>144528</v>
      </c>
      <c r="D337" s="1">
        <v>1.4688E-2</v>
      </c>
    </row>
    <row r="338" spans="1:4" x14ac:dyDescent="0.2">
      <c r="A338" s="1">
        <v>2015</v>
      </c>
      <c r="B338" s="1" t="s">
        <v>2224</v>
      </c>
      <c r="C338" s="2">
        <v>19000</v>
      </c>
      <c r="D338" s="1">
        <v>1.931E-3</v>
      </c>
    </row>
    <row r="339" spans="1:4" x14ac:dyDescent="0.2">
      <c r="A339" s="1">
        <v>2015</v>
      </c>
      <c r="B339" s="1" t="s">
        <v>1489</v>
      </c>
      <c r="C339" s="2">
        <v>426097</v>
      </c>
      <c r="D339" s="1">
        <v>4.3304000000000002E-2</v>
      </c>
    </row>
    <row r="340" spans="1:4" x14ac:dyDescent="0.2">
      <c r="A340" s="1">
        <v>2015</v>
      </c>
      <c r="B340" s="1" t="s">
        <v>1490</v>
      </c>
      <c r="C340" s="2">
        <v>102728</v>
      </c>
      <c r="D340" s="1">
        <v>1.044E-2</v>
      </c>
    </row>
    <row r="341" spans="1:4" x14ac:dyDescent="0.2">
      <c r="A341" s="1">
        <v>2015</v>
      </c>
      <c r="B341" s="1" t="s">
        <v>2225</v>
      </c>
      <c r="C341" s="2">
        <v>23197754</v>
      </c>
      <c r="D341" s="1">
        <v>2.357567</v>
      </c>
    </row>
    <row r="342" spans="1:4" x14ac:dyDescent="0.2">
      <c r="A342" s="1">
        <v>2015</v>
      </c>
      <c r="B342" s="1" t="s">
        <v>1492</v>
      </c>
      <c r="C342" s="2">
        <v>794112</v>
      </c>
      <c r="D342" s="1">
        <v>8.0704999999999999E-2</v>
      </c>
    </row>
    <row r="343" spans="1:4" x14ac:dyDescent="0.2">
      <c r="A343" s="1">
        <v>2015</v>
      </c>
      <c r="B343" s="1" t="s">
        <v>2226</v>
      </c>
      <c r="C343" s="2">
        <v>8331465</v>
      </c>
      <c r="D343" s="1">
        <v>0.846719</v>
      </c>
    </row>
    <row r="344" spans="1:4" x14ac:dyDescent="0.2">
      <c r="A344" s="1">
        <v>2015</v>
      </c>
      <c r="B344" s="1" t="s">
        <v>1494</v>
      </c>
      <c r="C344" s="2">
        <v>293317</v>
      </c>
      <c r="D344" s="1">
        <v>2.981E-2</v>
      </c>
    </row>
    <row r="345" spans="1:4" x14ac:dyDescent="0.2">
      <c r="A345" s="1">
        <v>2015</v>
      </c>
      <c r="B345" s="1" t="s">
        <v>2227</v>
      </c>
      <c r="C345" s="2">
        <v>323321</v>
      </c>
      <c r="D345" s="1">
        <v>3.2858999999999999E-2</v>
      </c>
    </row>
    <row r="346" spans="1:4" x14ac:dyDescent="0.2">
      <c r="A346" s="1">
        <v>2015</v>
      </c>
      <c r="B346" s="1" t="s">
        <v>2228</v>
      </c>
      <c r="C346" s="2">
        <v>691081</v>
      </c>
      <c r="D346" s="1">
        <v>7.0234000000000005E-2</v>
      </c>
    </row>
    <row r="347" spans="1:4" x14ac:dyDescent="0.2">
      <c r="A347" s="1">
        <v>2015</v>
      </c>
      <c r="B347" s="1" t="s">
        <v>2229</v>
      </c>
      <c r="C347" s="2">
        <v>371710</v>
      </c>
      <c r="D347" s="1">
        <v>3.7776999999999998E-2</v>
      </c>
    </row>
    <row r="348" spans="1:4" x14ac:dyDescent="0.2">
      <c r="A348" s="1">
        <v>2015</v>
      </c>
      <c r="B348" s="1" t="s">
        <v>2230</v>
      </c>
      <c r="C348" s="2">
        <v>1135082</v>
      </c>
      <c r="D348" s="1">
        <v>0.115357</v>
      </c>
    </row>
    <row r="349" spans="1:4" x14ac:dyDescent="0.2">
      <c r="A349" s="1">
        <v>2015</v>
      </c>
      <c r="B349" s="1" t="s">
        <v>2231</v>
      </c>
      <c r="C349" s="2">
        <v>512016</v>
      </c>
      <c r="D349" s="1">
        <v>5.2035999999999999E-2</v>
      </c>
    </row>
    <row r="350" spans="1:4" x14ac:dyDescent="0.2">
      <c r="A350" s="1">
        <v>2015</v>
      </c>
      <c r="B350" s="1" t="s">
        <v>2233</v>
      </c>
      <c r="C350" s="2">
        <v>619863</v>
      </c>
      <c r="D350" s="8">
        <v>6.2996000000000005E-4</v>
      </c>
    </row>
    <row r="351" spans="1:4" x14ac:dyDescent="0.2">
      <c r="A351" s="1">
        <v>2015</v>
      </c>
      <c r="B351" s="1" t="s">
        <v>2234</v>
      </c>
      <c r="C351" s="2">
        <v>1336090</v>
      </c>
      <c r="D351" s="1">
        <v>0.13578599999999999</v>
      </c>
    </row>
    <row r="352" spans="1:4" x14ac:dyDescent="0.2">
      <c r="A352" s="1">
        <v>2015</v>
      </c>
      <c r="B352" s="1" t="s">
        <v>1502</v>
      </c>
      <c r="C352" s="2">
        <v>20061</v>
      </c>
      <c r="D352" s="1">
        <v>2.039E-3</v>
      </c>
    </row>
    <row r="353" spans="1:4" x14ac:dyDescent="0.2">
      <c r="A353" s="1">
        <v>2015</v>
      </c>
      <c r="B353" s="1" t="s">
        <v>1503</v>
      </c>
      <c r="C353" s="2">
        <v>251248</v>
      </c>
      <c r="D353" s="1">
        <v>2.5534000000000001E-2</v>
      </c>
    </row>
    <row r="354" spans="1:4" x14ac:dyDescent="0.2">
      <c r="A354" s="1">
        <v>2015</v>
      </c>
      <c r="B354" s="1" t="s">
        <v>2235</v>
      </c>
      <c r="C354" s="2">
        <v>5959505</v>
      </c>
      <c r="D354" s="1">
        <v>0.60565899999999995</v>
      </c>
    </row>
    <row r="355" spans="1:4" x14ac:dyDescent="0.2">
      <c r="A355" s="1">
        <v>2015</v>
      </c>
      <c r="B355" s="1" t="s">
        <v>2236</v>
      </c>
      <c r="C355" s="2">
        <v>2018116</v>
      </c>
      <c r="D355" s="1">
        <v>0.205099</v>
      </c>
    </row>
    <row r="356" spans="1:4" x14ac:dyDescent="0.2">
      <c r="A356" s="1">
        <v>2015</v>
      </c>
      <c r="B356" s="1" t="s">
        <v>1506</v>
      </c>
      <c r="C356" s="2">
        <v>2973554</v>
      </c>
      <c r="D356" s="1">
        <v>0.30220000000000002</v>
      </c>
    </row>
    <row r="357" spans="1:4" x14ac:dyDescent="0.2">
      <c r="A357" s="1">
        <v>2015</v>
      </c>
      <c r="B357" s="1" t="s">
        <v>1507</v>
      </c>
      <c r="C357" s="2">
        <v>38068</v>
      </c>
      <c r="D357" s="1">
        <v>3.869E-3</v>
      </c>
    </row>
    <row r="358" spans="1:4" x14ac:dyDescent="0.2">
      <c r="A358" s="1">
        <v>2015</v>
      </c>
      <c r="B358" s="1" t="s">
        <v>1508</v>
      </c>
      <c r="C358" s="2">
        <v>43474</v>
      </c>
      <c r="D358" s="1">
        <v>4.4180000000000001E-3</v>
      </c>
    </row>
    <row r="359" spans="1:4" x14ac:dyDescent="0.2">
      <c r="A359" s="1">
        <v>2015</v>
      </c>
      <c r="B359" s="1" t="s">
        <v>1509</v>
      </c>
      <c r="C359" s="2">
        <v>4662</v>
      </c>
      <c r="D359" s="1">
        <v>4.7399999999999997E-4</v>
      </c>
    </row>
    <row r="360" spans="1:4" x14ac:dyDescent="0.2">
      <c r="A360" s="1">
        <v>2015</v>
      </c>
      <c r="B360" s="1" t="s">
        <v>2031</v>
      </c>
      <c r="C360" s="2">
        <v>328366</v>
      </c>
      <c r="D360" s="1">
        <v>3.3371999999999999E-2</v>
      </c>
    </row>
    <row r="361" spans="1:4" x14ac:dyDescent="0.2">
      <c r="A361" s="1">
        <v>2015</v>
      </c>
      <c r="B361" s="1" t="s">
        <v>2237</v>
      </c>
      <c r="C361" s="2">
        <v>1112864</v>
      </c>
      <c r="D361" s="1">
        <v>0.11309900000000001</v>
      </c>
    </row>
    <row r="362" spans="1:4" x14ac:dyDescent="0.2">
      <c r="A362" s="1">
        <v>2015</v>
      </c>
      <c r="B362" s="1" t="s">
        <v>2238</v>
      </c>
      <c r="C362" s="2">
        <v>657169</v>
      </c>
      <c r="D362" s="1">
        <v>6.6788E-2</v>
      </c>
    </row>
    <row r="363" spans="1:4" x14ac:dyDescent="0.2">
      <c r="A363" s="1">
        <v>2015</v>
      </c>
      <c r="B363" s="1" t="s">
        <v>2239</v>
      </c>
      <c r="C363" s="2">
        <v>21720</v>
      </c>
      <c r="D363" s="1">
        <v>2.2070000000000002E-3</v>
      </c>
    </row>
    <row r="364" spans="1:4" x14ac:dyDescent="0.2">
      <c r="A364" s="1">
        <v>2015</v>
      </c>
      <c r="B364" s="1" t="s">
        <v>1513</v>
      </c>
      <c r="C364" s="2">
        <v>30168</v>
      </c>
      <c r="D364" s="1">
        <v>3.0660000000000001E-3</v>
      </c>
    </row>
    <row r="365" spans="1:4" x14ac:dyDescent="0.2">
      <c r="A365" s="1">
        <v>2015</v>
      </c>
      <c r="B365" s="1" t="s">
        <v>1514</v>
      </c>
      <c r="C365" s="2">
        <v>38939</v>
      </c>
      <c r="D365" s="1">
        <v>3.9569999999999996E-3</v>
      </c>
    </row>
    <row r="366" spans="1:4" x14ac:dyDescent="0.2">
      <c r="A366" s="1">
        <v>2015</v>
      </c>
      <c r="B366" s="1" t="s">
        <v>1515</v>
      </c>
      <c r="C366" s="2">
        <v>384745</v>
      </c>
      <c r="D366" s="1">
        <v>3.9100999999999997E-2</v>
      </c>
    </row>
    <row r="367" spans="1:4" x14ac:dyDescent="0.2">
      <c r="A367" s="1">
        <v>2015</v>
      </c>
      <c r="B367" s="1" t="s">
        <v>2240</v>
      </c>
      <c r="C367" s="2">
        <v>1506559</v>
      </c>
      <c r="D367" s="1">
        <v>0.15311</v>
      </c>
    </row>
    <row r="368" spans="1:4" x14ac:dyDescent="0.2">
      <c r="A368" s="1">
        <v>2015</v>
      </c>
      <c r="B368" s="1" t="s">
        <v>2241</v>
      </c>
      <c r="C368" s="2">
        <v>197974</v>
      </c>
      <c r="D368" s="1">
        <v>2.0119999999999999E-2</v>
      </c>
    </row>
    <row r="369" spans="1:4" x14ac:dyDescent="0.2">
      <c r="A369" s="1">
        <v>2015</v>
      </c>
      <c r="B369" s="1" t="s">
        <v>2242</v>
      </c>
      <c r="C369" s="2">
        <v>2116380</v>
      </c>
      <c r="D369" s="1">
        <v>0.215086</v>
      </c>
    </row>
    <row r="370" spans="1:4" x14ac:dyDescent="0.2">
      <c r="A370" s="1">
        <v>2015</v>
      </c>
      <c r="B370" s="1" t="s">
        <v>2243</v>
      </c>
      <c r="C370" s="2">
        <v>1233179</v>
      </c>
      <c r="D370" s="1">
        <v>0.12532699999999999</v>
      </c>
    </row>
    <row r="371" spans="1:4" x14ac:dyDescent="0.2">
      <c r="A371" s="1">
        <v>2015</v>
      </c>
      <c r="B371" s="1" t="s">
        <v>2244</v>
      </c>
      <c r="C371" s="2">
        <v>4054</v>
      </c>
      <c r="D371" s="1">
        <v>4.1199999999999999E-4</v>
      </c>
    </row>
    <row r="372" spans="1:4" x14ac:dyDescent="0.2">
      <c r="A372" s="1">
        <v>2015</v>
      </c>
      <c r="B372" s="1" t="s">
        <v>1521</v>
      </c>
      <c r="C372" s="2">
        <v>17230</v>
      </c>
      <c r="D372" s="1">
        <v>1.751E-3</v>
      </c>
    </row>
    <row r="373" spans="1:4" x14ac:dyDescent="0.2">
      <c r="A373" s="1">
        <v>2015</v>
      </c>
      <c r="B373" s="1" t="s">
        <v>2245</v>
      </c>
      <c r="C373" s="2">
        <v>7314249</v>
      </c>
      <c r="D373" s="1">
        <v>0.74334100000000003</v>
      </c>
    </row>
    <row r="374" spans="1:4" x14ac:dyDescent="0.2">
      <c r="A374" s="1">
        <v>2015</v>
      </c>
      <c r="B374" s="1" t="s">
        <v>2246</v>
      </c>
      <c r="C374" s="2">
        <v>6862</v>
      </c>
      <c r="D374" s="1">
        <v>6.9700000000000003E-4</v>
      </c>
    </row>
    <row r="375" spans="1:4" x14ac:dyDescent="0.2">
      <c r="A375" s="1">
        <v>2015</v>
      </c>
      <c r="B375" s="1" t="s">
        <v>2247</v>
      </c>
      <c r="C375" s="2">
        <v>1781391</v>
      </c>
      <c r="D375" s="1">
        <v>0.18104100000000001</v>
      </c>
    </row>
    <row r="376" spans="1:4" x14ac:dyDescent="0.2">
      <c r="A376" s="1">
        <v>2015</v>
      </c>
      <c r="B376" s="1" t="s">
        <v>1525</v>
      </c>
      <c r="C376" s="2">
        <v>73876</v>
      </c>
      <c r="D376" s="1">
        <v>7.5079999999999999E-3</v>
      </c>
    </row>
    <row r="377" spans="1:4" x14ac:dyDescent="0.2">
      <c r="A377" s="1">
        <v>2015</v>
      </c>
      <c r="B377" s="1" t="s">
        <v>1526</v>
      </c>
      <c r="C377" s="2">
        <v>25810</v>
      </c>
      <c r="D377" s="1">
        <v>2.6229999999999999E-3</v>
      </c>
    </row>
    <row r="378" spans="1:4" x14ac:dyDescent="0.2">
      <c r="A378" s="1">
        <v>2015</v>
      </c>
      <c r="B378" s="1" t="s">
        <v>2248</v>
      </c>
      <c r="C378" s="2">
        <v>5188575</v>
      </c>
      <c r="D378" s="1">
        <v>0.52730999999999995</v>
      </c>
    </row>
    <row r="379" spans="1:4" x14ac:dyDescent="0.2">
      <c r="A379" s="1">
        <v>2015</v>
      </c>
      <c r="B379" s="1" t="s">
        <v>2249</v>
      </c>
      <c r="C379" s="2">
        <v>1735771</v>
      </c>
      <c r="D379" s="1">
        <v>0.17640500000000001</v>
      </c>
    </row>
    <row r="380" spans="1:4" x14ac:dyDescent="0.2">
      <c r="A380" s="1">
        <v>2015</v>
      </c>
      <c r="B380" s="1" t="s">
        <v>2250</v>
      </c>
      <c r="C380" s="2">
        <v>418329</v>
      </c>
      <c r="D380" s="1">
        <v>4.2514000000000003E-2</v>
      </c>
    </row>
    <row r="381" spans="1:4" x14ac:dyDescent="0.2">
      <c r="A381" s="1">
        <v>2015</v>
      </c>
      <c r="B381" s="1" t="s">
        <v>2261</v>
      </c>
      <c r="C381" s="2">
        <v>1928</v>
      </c>
      <c r="D381" s="1">
        <v>1.9599999999999999E-4</v>
      </c>
    </row>
    <row r="382" spans="1:4" x14ac:dyDescent="0.2">
      <c r="A382" s="1">
        <v>2015</v>
      </c>
      <c r="B382" s="1" t="s">
        <v>1531</v>
      </c>
      <c r="C382" s="2">
        <v>27387</v>
      </c>
      <c r="D382" s="1">
        <v>2.7829999999999999E-3</v>
      </c>
    </row>
    <row r="383" spans="1:4" x14ac:dyDescent="0.2">
      <c r="A383" s="1">
        <v>2015</v>
      </c>
      <c r="B383" s="1" t="s">
        <v>1532</v>
      </c>
      <c r="C383" s="2">
        <v>1457970</v>
      </c>
      <c r="D383" s="1">
        <v>0.148172</v>
      </c>
    </row>
    <row r="384" spans="1:4" x14ac:dyDescent="0.2">
      <c r="A384" s="1">
        <v>2015</v>
      </c>
      <c r="B384" s="1" t="s">
        <v>1533</v>
      </c>
      <c r="C384" s="2">
        <v>138844</v>
      </c>
      <c r="D384" s="1">
        <v>1.4111E-2</v>
      </c>
    </row>
    <row r="385" spans="1:4" x14ac:dyDescent="0.2">
      <c r="A385" s="1">
        <v>2015</v>
      </c>
      <c r="B385" s="1" t="s">
        <v>1534</v>
      </c>
      <c r="C385" s="2">
        <v>2941423</v>
      </c>
      <c r="D385" s="1">
        <v>0.29893399999999998</v>
      </c>
    </row>
    <row r="386" spans="1:4" x14ac:dyDescent="0.2">
      <c r="A386" s="1">
        <v>2015</v>
      </c>
      <c r="B386" s="1" t="s">
        <v>1535</v>
      </c>
      <c r="C386" s="2">
        <v>51472</v>
      </c>
      <c r="D386" s="1">
        <v>5.2310000000000004E-3</v>
      </c>
    </row>
    <row r="387" spans="1:4" x14ac:dyDescent="0.2">
      <c r="A387" s="1">
        <v>2015</v>
      </c>
      <c r="B387" s="1" t="s">
        <v>2251</v>
      </c>
      <c r="C387" s="2">
        <v>1641313</v>
      </c>
      <c r="D387" s="1">
        <v>0.16680500000000001</v>
      </c>
    </row>
    <row r="388" spans="1:4" x14ac:dyDescent="0.2">
      <c r="A388" s="1">
        <v>2015</v>
      </c>
      <c r="B388" s="1" t="s">
        <v>2252</v>
      </c>
      <c r="C388" s="2">
        <v>422324</v>
      </c>
      <c r="D388" s="1">
        <v>4.292E-2</v>
      </c>
    </row>
    <row r="389" spans="1:4" x14ac:dyDescent="0.2">
      <c r="A389" s="1">
        <v>2015</v>
      </c>
      <c r="B389" s="1" t="s">
        <v>2253</v>
      </c>
      <c r="C389" s="2">
        <v>2094353</v>
      </c>
      <c r="D389" s="1">
        <v>0.21284700000000001</v>
      </c>
    </row>
    <row r="390" spans="1:4" x14ac:dyDescent="0.2">
      <c r="A390" s="1">
        <v>2015</v>
      </c>
      <c r="B390" s="1" t="s">
        <v>2254</v>
      </c>
      <c r="C390" s="2">
        <v>717132</v>
      </c>
      <c r="D390" s="1">
        <v>7.2881000000000001E-2</v>
      </c>
    </row>
    <row r="391" spans="1:4" x14ac:dyDescent="0.2">
      <c r="A391" s="1">
        <v>2015</v>
      </c>
      <c r="B391" s="1" t="s">
        <v>1540</v>
      </c>
      <c r="C391" s="2">
        <v>52730</v>
      </c>
      <c r="D391" s="1">
        <v>5.359E-3</v>
      </c>
    </row>
    <row r="392" spans="1:4" x14ac:dyDescent="0.2">
      <c r="A392" s="1">
        <v>2015</v>
      </c>
      <c r="B392" s="1" t="s">
        <v>2255</v>
      </c>
      <c r="C392" s="2">
        <v>1784854</v>
      </c>
      <c r="D392" s="1">
        <v>0.181393</v>
      </c>
    </row>
    <row r="393" spans="1:4" x14ac:dyDescent="0.2">
      <c r="A393" s="1">
        <v>2015</v>
      </c>
      <c r="B393" s="1" t="s">
        <v>2256</v>
      </c>
      <c r="C393" s="2">
        <v>3946</v>
      </c>
      <c r="D393" s="1">
        <v>4.0099999999999999E-4</v>
      </c>
    </row>
    <row r="394" spans="1:4" x14ac:dyDescent="0.2">
      <c r="A394" s="1">
        <v>2015</v>
      </c>
      <c r="B394" s="1" t="s">
        <v>2257</v>
      </c>
      <c r="C394" s="2">
        <v>5370527</v>
      </c>
      <c r="D394" s="1">
        <v>0.54580200000000001</v>
      </c>
    </row>
    <row r="395" spans="1:4" x14ac:dyDescent="0.2">
      <c r="A395" s="1">
        <v>2015</v>
      </c>
      <c r="B395" s="1" t="s">
        <v>2258</v>
      </c>
      <c r="C395" s="2">
        <v>111800</v>
      </c>
      <c r="D395" s="1">
        <v>1.1362000000000001E-2</v>
      </c>
    </row>
    <row r="396" spans="1:4" x14ac:dyDescent="0.2">
      <c r="A396" s="1">
        <v>2015</v>
      </c>
      <c r="B396" s="1" t="s">
        <v>2259</v>
      </c>
      <c r="C396" s="2">
        <v>1998705</v>
      </c>
      <c r="D396" s="1">
        <v>0.203127</v>
      </c>
    </row>
    <row r="397" spans="1:4" x14ac:dyDescent="0.2">
      <c r="A397" s="1">
        <v>2015</v>
      </c>
      <c r="B397" s="1" t="s">
        <v>2260</v>
      </c>
      <c r="C397" s="2">
        <v>1056683</v>
      </c>
      <c r="D397" s="1">
        <v>0.10739</v>
      </c>
    </row>
    <row r="398" spans="1:4" x14ac:dyDescent="0.2">
      <c r="A398" s="1">
        <v>2015</v>
      </c>
      <c r="B398" s="1" t="s">
        <v>1547</v>
      </c>
      <c r="C398" s="2">
        <v>74903</v>
      </c>
      <c r="D398" s="1">
        <v>7.6119999999999998E-3</v>
      </c>
    </row>
    <row r="399" spans="1:4" x14ac:dyDescent="0.2">
      <c r="A399" s="1">
        <v>2015</v>
      </c>
      <c r="B399" s="1" t="s">
        <v>1548</v>
      </c>
      <c r="C399" s="2">
        <v>251234</v>
      </c>
      <c r="D399" s="8">
        <v>2.5533000000000001E-4</v>
      </c>
    </row>
    <row r="400" spans="1:4" x14ac:dyDescent="0.2">
      <c r="A400" s="1">
        <v>2015</v>
      </c>
      <c r="B400" s="1" t="s">
        <v>1549</v>
      </c>
      <c r="C400" s="2">
        <v>11453</v>
      </c>
      <c r="D400" s="1">
        <v>1.1640000000000001E-3</v>
      </c>
    </row>
    <row r="401" spans="1:4" x14ac:dyDescent="0.2">
      <c r="A401" s="1">
        <v>2015</v>
      </c>
      <c r="B401" s="1" t="s">
        <v>1550</v>
      </c>
      <c r="C401" s="2">
        <v>234077</v>
      </c>
      <c r="D401" s="1">
        <v>2.3789000000000001E-2</v>
      </c>
    </row>
    <row r="402" spans="1:4" x14ac:dyDescent="0.2">
      <c r="A402" s="1">
        <v>2015</v>
      </c>
      <c r="B402" s="1" t="s">
        <v>2262</v>
      </c>
      <c r="C402" s="2">
        <v>827661</v>
      </c>
      <c r="D402" s="1">
        <v>8.4113999999999994E-2</v>
      </c>
    </row>
    <row r="403" spans="1:4" x14ac:dyDescent="0.2">
      <c r="A403" s="1">
        <v>2015</v>
      </c>
      <c r="B403" s="1" t="s">
        <v>1552</v>
      </c>
      <c r="C403" s="2">
        <v>2954</v>
      </c>
      <c r="D403" s="1">
        <v>2.9999999999999997E-4</v>
      </c>
    </row>
    <row r="404" spans="1:4" x14ac:dyDescent="0.2">
      <c r="A404" s="1">
        <v>2015</v>
      </c>
      <c r="B404" s="1" t="s">
        <v>2263</v>
      </c>
      <c r="C404" s="2">
        <v>227404</v>
      </c>
      <c r="D404" s="1">
        <v>2.3111E-2</v>
      </c>
    </row>
    <row r="405" spans="1:4" x14ac:dyDescent="0.2">
      <c r="A405" s="1">
        <v>2015</v>
      </c>
      <c r="B405" s="1" t="s">
        <v>1554</v>
      </c>
      <c r="C405" s="2">
        <v>116808</v>
      </c>
      <c r="D405" s="1">
        <v>1.1871E-2</v>
      </c>
    </row>
    <row r="406" spans="1:4" x14ac:dyDescent="0.2">
      <c r="A406" s="1">
        <v>2015</v>
      </c>
      <c r="B406" s="1" t="s">
        <v>1555</v>
      </c>
      <c r="C406" s="2">
        <v>86050</v>
      </c>
      <c r="D406" s="1">
        <v>8.7449999999999993E-3</v>
      </c>
    </row>
    <row r="407" spans="1:4" x14ac:dyDescent="0.2">
      <c r="A407" s="1">
        <v>2015</v>
      </c>
      <c r="B407" s="1" t="s">
        <v>1556</v>
      </c>
      <c r="C407" s="2">
        <v>54240</v>
      </c>
      <c r="D407" s="1">
        <v>5.5120000000000004E-3</v>
      </c>
    </row>
    <row r="408" spans="1:4" x14ac:dyDescent="0.2">
      <c r="A408" s="1">
        <v>2015</v>
      </c>
      <c r="B408" s="1" t="s">
        <v>2264</v>
      </c>
      <c r="C408" s="2">
        <v>1909378</v>
      </c>
      <c r="D408" s="1">
        <v>0.194048</v>
      </c>
    </row>
    <row r="409" spans="1:4" x14ac:dyDescent="0.2">
      <c r="A409" s="1">
        <v>2015</v>
      </c>
      <c r="B409" s="1" t="s">
        <v>2265</v>
      </c>
      <c r="C409" s="2">
        <v>805632</v>
      </c>
      <c r="D409" s="1">
        <v>8.1876000000000004E-2</v>
      </c>
    </row>
    <row r="410" spans="1:4" x14ac:dyDescent="0.2">
      <c r="A410" s="1">
        <v>2015</v>
      </c>
      <c r="B410" s="1" t="s">
        <v>1559</v>
      </c>
      <c r="C410" s="2">
        <v>60127</v>
      </c>
      <c r="D410" s="1">
        <v>6.1110000000000001E-3</v>
      </c>
    </row>
    <row r="411" spans="1:4" x14ac:dyDescent="0.2">
      <c r="A411" s="1">
        <v>2015</v>
      </c>
      <c r="B411" s="1" t="s">
        <v>1560</v>
      </c>
      <c r="C411" s="2">
        <v>697041</v>
      </c>
      <c r="D411" s="1">
        <v>7.084E-2</v>
      </c>
    </row>
    <row r="412" spans="1:4" x14ac:dyDescent="0.2">
      <c r="A412" s="1">
        <v>2015</v>
      </c>
      <c r="B412" s="1" t="s">
        <v>2266</v>
      </c>
      <c r="C412" s="2">
        <v>2273885</v>
      </c>
      <c r="D412" s="1">
        <v>0.23109299999999999</v>
      </c>
    </row>
    <row r="413" spans="1:4" x14ac:dyDescent="0.2">
      <c r="A413" s="1">
        <v>2015</v>
      </c>
      <c r="B413" s="1" t="s">
        <v>1562</v>
      </c>
      <c r="C413" s="2">
        <v>6543</v>
      </c>
      <c r="D413" s="1">
        <v>6.6500000000000001E-4</v>
      </c>
    </row>
    <row r="414" spans="1:4" x14ac:dyDescent="0.2">
      <c r="A414" s="1">
        <v>2015</v>
      </c>
      <c r="B414" s="1" t="s">
        <v>1563</v>
      </c>
      <c r="C414" s="2">
        <v>9384</v>
      </c>
      <c r="D414" s="1">
        <v>9.5399999999999999E-4</v>
      </c>
    </row>
    <row r="415" spans="1:4" x14ac:dyDescent="0.2">
      <c r="A415" s="1">
        <v>2015</v>
      </c>
      <c r="B415" s="1" t="s">
        <v>1564</v>
      </c>
      <c r="C415" s="2">
        <v>353971</v>
      </c>
      <c r="D415" s="1">
        <v>3.5973999999999999E-2</v>
      </c>
    </row>
    <row r="416" spans="1:4" x14ac:dyDescent="0.2">
      <c r="A416" s="1">
        <v>2015</v>
      </c>
      <c r="B416" s="1" t="s">
        <v>1565</v>
      </c>
      <c r="C416" s="2">
        <v>124016</v>
      </c>
      <c r="D416" s="1">
        <v>1.2604000000000001E-2</v>
      </c>
    </row>
    <row r="417" spans="1:4" x14ac:dyDescent="0.2">
      <c r="A417" s="1">
        <v>2015</v>
      </c>
      <c r="B417" s="1" t="s">
        <v>1566</v>
      </c>
      <c r="C417" s="2">
        <v>38264</v>
      </c>
      <c r="D417" s="1">
        <v>3.8890000000000001E-3</v>
      </c>
    </row>
    <row r="418" spans="1:4" x14ac:dyDescent="0.2">
      <c r="A418" s="1">
        <v>2015</v>
      </c>
      <c r="B418" s="1" t="s">
        <v>2267</v>
      </c>
      <c r="C418" s="2">
        <v>2260172</v>
      </c>
      <c r="D418" s="1">
        <v>0.22969899999999999</v>
      </c>
    </row>
    <row r="419" spans="1:4" x14ac:dyDescent="0.2">
      <c r="A419" s="1">
        <v>2015</v>
      </c>
      <c r="B419" s="1" t="s">
        <v>1568</v>
      </c>
      <c r="C419" s="2">
        <v>99073</v>
      </c>
      <c r="D419" s="1">
        <v>1.0069E-2</v>
      </c>
    </row>
    <row r="420" spans="1:4" x14ac:dyDescent="0.2">
      <c r="A420" s="1">
        <v>2015</v>
      </c>
      <c r="B420" s="1" t="s">
        <v>2268</v>
      </c>
      <c r="C420" s="2">
        <v>4215520</v>
      </c>
      <c r="D420" s="1">
        <v>0.42842000000000002</v>
      </c>
    </row>
    <row r="421" spans="1:4" x14ac:dyDescent="0.2">
      <c r="A421" s="1">
        <v>2015</v>
      </c>
      <c r="B421" s="1" t="s">
        <v>2269</v>
      </c>
      <c r="C421" s="2">
        <v>1751190</v>
      </c>
      <c r="D421" s="1">
        <v>0.17797199999999999</v>
      </c>
    </row>
    <row r="422" spans="1:4" x14ac:dyDescent="0.2">
      <c r="A422" s="1">
        <v>2015</v>
      </c>
      <c r="B422" s="1" t="s">
        <v>1571</v>
      </c>
      <c r="C422" s="2">
        <v>230001</v>
      </c>
      <c r="D422" s="1">
        <v>2.3375E-2</v>
      </c>
    </row>
    <row r="423" spans="1:4" x14ac:dyDescent="0.2">
      <c r="A423" s="1">
        <v>2015</v>
      </c>
      <c r="B423" s="1" t="s">
        <v>1572</v>
      </c>
      <c r="C423" s="2">
        <v>4051</v>
      </c>
      <c r="D423" s="1">
        <v>4.1199999999999999E-4</v>
      </c>
    </row>
    <row r="424" spans="1:4" x14ac:dyDescent="0.2">
      <c r="A424" s="1">
        <v>2015</v>
      </c>
      <c r="B424" s="1" t="s">
        <v>1573</v>
      </c>
      <c r="C424" s="2">
        <v>62278</v>
      </c>
      <c r="D424" s="1">
        <v>6.3290000000000004E-3</v>
      </c>
    </row>
    <row r="425" spans="1:4" x14ac:dyDescent="0.2">
      <c r="A425" s="1">
        <v>2015</v>
      </c>
      <c r="B425" s="1" t="s">
        <v>2270</v>
      </c>
      <c r="C425" s="2">
        <v>553065</v>
      </c>
      <c r="D425" s="1">
        <v>5.6208000000000001E-2</v>
      </c>
    </row>
    <row r="426" spans="1:4" x14ac:dyDescent="0.2">
      <c r="A426" s="1">
        <v>2015</v>
      </c>
      <c r="B426" s="1" t="s">
        <v>1575</v>
      </c>
      <c r="C426" s="2">
        <v>16871</v>
      </c>
      <c r="D426" s="1">
        <v>1.7149999999999999E-3</v>
      </c>
    </row>
    <row r="427" spans="1:4" x14ac:dyDescent="0.2">
      <c r="A427" s="1">
        <v>2015</v>
      </c>
      <c r="B427" s="1" t="s">
        <v>1576</v>
      </c>
      <c r="C427" s="2">
        <v>29033</v>
      </c>
      <c r="D427" s="1">
        <v>2.9510000000000001E-3</v>
      </c>
    </row>
    <row r="428" spans="1:4" x14ac:dyDescent="0.2">
      <c r="A428" s="1">
        <v>2015</v>
      </c>
      <c r="B428" s="1" t="s">
        <v>1577</v>
      </c>
      <c r="C428" s="2">
        <v>147818</v>
      </c>
      <c r="D428" s="1">
        <v>1.5023E-2</v>
      </c>
    </row>
    <row r="429" spans="1:4" x14ac:dyDescent="0.2">
      <c r="A429" s="1">
        <v>2015</v>
      </c>
      <c r="B429" s="1" t="s">
        <v>1578</v>
      </c>
      <c r="C429" s="2">
        <v>75619</v>
      </c>
      <c r="D429" s="1">
        <v>7.685E-3</v>
      </c>
    </row>
    <row r="430" spans="1:4" x14ac:dyDescent="0.2">
      <c r="A430" s="1">
        <v>2015</v>
      </c>
      <c r="B430" s="1" t="s">
        <v>1579</v>
      </c>
      <c r="C430" s="2">
        <v>1460729</v>
      </c>
      <c r="D430" s="1">
        <v>0.148453</v>
      </c>
    </row>
    <row r="431" spans="1:4" x14ac:dyDescent="0.2">
      <c r="A431" s="1">
        <v>2015</v>
      </c>
      <c r="B431" s="1" t="s">
        <v>2271</v>
      </c>
      <c r="C431" s="2">
        <v>158449</v>
      </c>
      <c r="D431" s="1">
        <v>1.6102999999999999E-2</v>
      </c>
    </row>
    <row r="432" spans="1:4" x14ac:dyDescent="0.2">
      <c r="A432" s="1">
        <v>2015</v>
      </c>
      <c r="B432" s="1" t="s">
        <v>2272</v>
      </c>
      <c r="C432" s="2">
        <v>9746047</v>
      </c>
      <c r="D432" s="1">
        <v>0.99048199999999997</v>
      </c>
    </row>
    <row r="433" spans="1:4" x14ac:dyDescent="0.2">
      <c r="A433" s="1">
        <v>2015</v>
      </c>
      <c r="B433" s="1" t="s">
        <v>2273</v>
      </c>
      <c r="C433" s="2">
        <v>2553172</v>
      </c>
      <c r="D433" s="1">
        <v>0.25947700000000001</v>
      </c>
    </row>
    <row r="434" spans="1:4" x14ac:dyDescent="0.2">
      <c r="A434" s="1">
        <v>2015</v>
      </c>
      <c r="B434" s="1" t="s">
        <v>2274</v>
      </c>
      <c r="C434" s="2">
        <v>40919</v>
      </c>
      <c r="D434" s="1">
        <v>4.1590000000000004E-3</v>
      </c>
    </row>
    <row r="435" spans="1:4" x14ac:dyDescent="0.2">
      <c r="A435" s="1">
        <v>2015</v>
      </c>
      <c r="B435" s="1" t="s">
        <v>2275</v>
      </c>
      <c r="C435" s="2">
        <v>347222</v>
      </c>
      <c r="D435" s="1">
        <v>3.5288E-2</v>
      </c>
    </row>
    <row r="436" spans="1:4" x14ac:dyDescent="0.2">
      <c r="A436" s="1">
        <v>2015</v>
      </c>
      <c r="B436" s="1" t="s">
        <v>2276</v>
      </c>
      <c r="C436" s="2">
        <v>6835</v>
      </c>
      <c r="D436" s="1">
        <v>6.9499999999999998E-4</v>
      </c>
    </row>
    <row r="437" spans="1:4" x14ac:dyDescent="0.2">
      <c r="A437" s="1">
        <v>2015</v>
      </c>
      <c r="B437" s="1" t="s">
        <v>1586</v>
      </c>
      <c r="C437" s="2">
        <v>277497</v>
      </c>
      <c r="D437" s="1">
        <v>2.8202000000000001E-2</v>
      </c>
    </row>
    <row r="438" spans="1:4" x14ac:dyDescent="0.2">
      <c r="A438" s="1">
        <v>2015</v>
      </c>
      <c r="B438" s="1" t="s">
        <v>1587</v>
      </c>
      <c r="C438" s="2">
        <v>93067</v>
      </c>
      <c r="D438" s="1">
        <v>9.4579999999999994E-3</v>
      </c>
    </row>
    <row r="439" spans="1:4" x14ac:dyDescent="0.2">
      <c r="A439" s="1">
        <v>2015</v>
      </c>
      <c r="B439" s="1" t="s">
        <v>1588</v>
      </c>
      <c r="C439" s="2">
        <v>6961085</v>
      </c>
      <c r="D439" s="1">
        <v>0.70744899999999999</v>
      </c>
    </row>
    <row r="440" spans="1:4" x14ac:dyDescent="0.2">
      <c r="A440" s="1">
        <v>2015</v>
      </c>
      <c r="B440" s="1" t="s">
        <v>1589</v>
      </c>
      <c r="C440" s="2">
        <v>30810</v>
      </c>
      <c r="D440" s="1">
        <v>3.1310000000000001E-3</v>
      </c>
    </row>
    <row r="441" spans="1:4" x14ac:dyDescent="0.2">
      <c r="A441" s="1">
        <v>2015</v>
      </c>
      <c r="B441" s="1" t="s">
        <v>1590</v>
      </c>
      <c r="C441" s="2">
        <v>13068</v>
      </c>
      <c r="D441" s="1">
        <v>1.328E-3</v>
      </c>
    </row>
    <row r="442" spans="1:4" x14ac:dyDescent="0.2">
      <c r="A442" s="1">
        <v>2015</v>
      </c>
      <c r="B442" s="1" t="s">
        <v>2277</v>
      </c>
      <c r="C442" s="2">
        <v>1816589</v>
      </c>
      <c r="D442" s="1">
        <v>0.184618</v>
      </c>
    </row>
    <row r="443" spans="1:4" x14ac:dyDescent="0.2">
      <c r="A443" s="1">
        <v>2015</v>
      </c>
      <c r="B443" s="1" t="s">
        <v>2278</v>
      </c>
      <c r="C443" s="2">
        <v>826074</v>
      </c>
      <c r="D443" s="1">
        <v>8.3953E-2</v>
      </c>
    </row>
    <row r="444" spans="1:4" x14ac:dyDescent="0.2">
      <c r="A444" s="1">
        <v>2015</v>
      </c>
      <c r="B444" s="1" t="s">
        <v>2279</v>
      </c>
      <c r="C444" s="2">
        <v>5218</v>
      </c>
      <c r="D444" s="1">
        <v>5.2999999999999998E-4</v>
      </c>
    </row>
    <row r="445" spans="1:4" x14ac:dyDescent="0.2">
      <c r="A445" s="1">
        <v>2015</v>
      </c>
      <c r="B445" s="1" t="s">
        <v>1594</v>
      </c>
      <c r="C445" s="2">
        <v>47766</v>
      </c>
      <c r="D445" s="1">
        <v>4.8539999999999998E-3</v>
      </c>
    </row>
    <row r="446" spans="1:4" x14ac:dyDescent="0.2">
      <c r="A446" s="1">
        <v>2015</v>
      </c>
      <c r="B446" s="1" t="s">
        <v>1595</v>
      </c>
      <c r="C446" s="2">
        <v>61641</v>
      </c>
      <c r="D446" s="1">
        <v>6.2649999999999997E-3</v>
      </c>
    </row>
    <row r="447" spans="1:4" x14ac:dyDescent="0.2">
      <c r="A447" s="1">
        <v>2015</v>
      </c>
      <c r="B447" s="1" t="s">
        <v>1596</v>
      </c>
      <c r="C447" s="2">
        <v>6300</v>
      </c>
      <c r="D447" s="1">
        <v>6.4000000000000005E-4</v>
      </c>
    </row>
    <row r="448" spans="1:4" x14ac:dyDescent="0.2">
      <c r="A448" s="1">
        <v>2015</v>
      </c>
      <c r="B448" s="1" t="s">
        <v>2280</v>
      </c>
      <c r="C448" s="2">
        <v>2378059</v>
      </c>
      <c r="D448" s="1">
        <v>0.24168000000000001</v>
      </c>
    </row>
    <row r="449" spans="1:4" x14ac:dyDescent="0.2">
      <c r="A449" s="1">
        <v>2015</v>
      </c>
      <c r="B449" s="1" t="s">
        <v>2281</v>
      </c>
      <c r="C449" s="2">
        <v>1027702</v>
      </c>
      <c r="D449" s="8">
        <v>1.04444E-3</v>
      </c>
    </row>
    <row r="450" spans="1:4" x14ac:dyDescent="0.2">
      <c r="A450" s="1">
        <v>2015</v>
      </c>
      <c r="B450" s="1" t="s">
        <v>1599</v>
      </c>
      <c r="C450" s="2">
        <v>16659</v>
      </c>
      <c r="D450" s="1">
        <v>1.6930000000000001E-3</v>
      </c>
    </row>
    <row r="451" spans="1:4" x14ac:dyDescent="0.2">
      <c r="A451" s="1">
        <v>2015</v>
      </c>
      <c r="B451" s="1" t="s">
        <v>1600</v>
      </c>
      <c r="C451" s="2">
        <v>36027</v>
      </c>
      <c r="D451" s="1">
        <v>3.6610000000000002E-3</v>
      </c>
    </row>
    <row r="452" spans="1:4" x14ac:dyDescent="0.2">
      <c r="A452" s="1">
        <v>2015</v>
      </c>
      <c r="B452" s="1" t="s">
        <v>1601</v>
      </c>
      <c r="C452" s="2">
        <v>1026079</v>
      </c>
      <c r="D452" s="1">
        <v>0.10428</v>
      </c>
    </row>
    <row r="453" spans="1:4" x14ac:dyDescent="0.2">
      <c r="A453" s="1">
        <v>2015</v>
      </c>
      <c r="B453" s="1" t="s">
        <v>1602</v>
      </c>
      <c r="C453" s="2">
        <v>147109</v>
      </c>
      <c r="D453" s="1">
        <v>1.4951000000000001E-2</v>
      </c>
    </row>
    <row r="454" spans="1:4" x14ac:dyDescent="0.2">
      <c r="A454" s="1">
        <v>2015</v>
      </c>
      <c r="B454" s="1" t="s">
        <v>2282</v>
      </c>
      <c r="C454" s="2">
        <v>2184951</v>
      </c>
      <c r="D454" s="1">
        <v>0.222055</v>
      </c>
    </row>
    <row r="455" spans="1:4" x14ac:dyDescent="0.2">
      <c r="A455" s="1">
        <v>2015</v>
      </c>
      <c r="B455" s="1" t="s">
        <v>1604</v>
      </c>
      <c r="C455" s="2">
        <v>7201</v>
      </c>
      <c r="D455" s="1">
        <v>7.3200000000000001E-4</v>
      </c>
    </row>
    <row r="456" spans="1:4" x14ac:dyDescent="0.2">
      <c r="A456" s="1">
        <v>2015</v>
      </c>
      <c r="B456" s="1" t="s">
        <v>1605</v>
      </c>
      <c r="C456" s="2">
        <v>22342</v>
      </c>
      <c r="D456" s="1">
        <v>2.271E-3</v>
      </c>
    </row>
    <row r="457" spans="1:4" x14ac:dyDescent="0.2">
      <c r="A457" s="1">
        <v>2015</v>
      </c>
      <c r="B457" s="1" t="s">
        <v>2283</v>
      </c>
      <c r="C457" s="2">
        <v>5622004</v>
      </c>
      <c r="D457" s="1">
        <v>0.57135899999999995</v>
      </c>
    </row>
    <row r="458" spans="1:4" x14ac:dyDescent="0.2">
      <c r="A458" s="1">
        <v>2015</v>
      </c>
      <c r="B458" s="1" t="s">
        <v>1607</v>
      </c>
      <c r="C458" s="2">
        <v>140701</v>
      </c>
      <c r="D458" s="1">
        <v>1.4298999999999999E-2</v>
      </c>
    </row>
    <row r="459" spans="1:4" x14ac:dyDescent="0.2">
      <c r="A459" s="1">
        <v>2015</v>
      </c>
      <c r="B459" s="1" t="s">
        <v>1608</v>
      </c>
      <c r="C459" s="2">
        <v>112875</v>
      </c>
      <c r="D459" s="1">
        <v>1.1471E-2</v>
      </c>
    </row>
    <row r="460" spans="1:4" x14ac:dyDescent="0.2">
      <c r="A460" s="1">
        <v>2015</v>
      </c>
      <c r="B460" s="1" t="s">
        <v>2284</v>
      </c>
      <c r="C460" s="2">
        <v>1770396</v>
      </c>
      <c r="D460" s="1">
        <v>0.179924</v>
      </c>
    </row>
    <row r="461" spans="1:4" x14ac:dyDescent="0.2">
      <c r="A461" s="1">
        <v>2015</v>
      </c>
      <c r="B461" s="1" t="s">
        <v>2285</v>
      </c>
      <c r="C461" s="2">
        <v>2285597</v>
      </c>
      <c r="D461" s="1">
        <v>0.23228299999999999</v>
      </c>
    </row>
    <row r="462" spans="1:4" x14ac:dyDescent="0.2">
      <c r="A462" s="1">
        <v>2015</v>
      </c>
      <c r="B462" s="1" t="s">
        <v>2286</v>
      </c>
      <c r="C462" s="2">
        <v>2045276</v>
      </c>
      <c r="D462" s="1">
        <v>0.20785999999999999</v>
      </c>
    </row>
    <row r="463" spans="1:4" x14ac:dyDescent="0.2">
      <c r="A463" s="1">
        <v>2015</v>
      </c>
      <c r="B463" s="1" t="s">
        <v>2287</v>
      </c>
      <c r="C463" s="2">
        <v>920227</v>
      </c>
      <c r="D463" s="1">
        <v>9.3521999999999994E-2</v>
      </c>
    </row>
    <row r="464" spans="1:4" x14ac:dyDescent="0.2">
      <c r="A464" s="1">
        <v>2015</v>
      </c>
      <c r="B464" s="1" t="s">
        <v>1613</v>
      </c>
      <c r="C464" s="2">
        <v>307668</v>
      </c>
      <c r="D464" s="1">
        <v>3.1267999999999997E-2</v>
      </c>
    </row>
    <row r="465" spans="1:4" x14ac:dyDescent="0.2">
      <c r="A465" s="1">
        <v>2015</v>
      </c>
      <c r="B465" s="1" t="s">
        <v>1614</v>
      </c>
      <c r="C465" s="2">
        <v>2490530</v>
      </c>
      <c r="D465" s="1">
        <v>0.25311</v>
      </c>
    </row>
    <row r="466" spans="1:4" x14ac:dyDescent="0.2">
      <c r="A466" s="1">
        <v>2015</v>
      </c>
      <c r="B466" s="1" t="s">
        <v>1615</v>
      </c>
      <c r="C466" s="2">
        <v>2441588</v>
      </c>
      <c r="D466" s="1">
        <v>0.248136</v>
      </c>
    </row>
    <row r="467" spans="1:4" x14ac:dyDescent="0.2">
      <c r="A467" s="1">
        <v>2015</v>
      </c>
      <c r="B467" s="1" t="s">
        <v>1616</v>
      </c>
      <c r="C467" s="2">
        <v>284411</v>
      </c>
      <c r="D467" s="1">
        <v>2.8903999999999999E-2</v>
      </c>
    </row>
    <row r="468" spans="1:4" x14ac:dyDescent="0.2">
      <c r="A468" s="1">
        <v>2015</v>
      </c>
      <c r="B468" s="1" t="s">
        <v>2288</v>
      </c>
      <c r="C468" s="2">
        <v>5137385</v>
      </c>
      <c r="D468" s="1">
        <v>0.52210800000000002</v>
      </c>
    </row>
    <row r="469" spans="1:4" x14ac:dyDescent="0.2">
      <c r="A469" s="1">
        <v>2015</v>
      </c>
      <c r="B469" s="1" t="s">
        <v>2289</v>
      </c>
      <c r="C469" s="2">
        <v>73252</v>
      </c>
      <c r="D469" s="1">
        <v>7.4450000000000002E-3</v>
      </c>
    </row>
    <row r="470" spans="1:4" x14ac:dyDescent="0.2">
      <c r="A470" s="1">
        <v>2015</v>
      </c>
      <c r="B470" s="1" t="s">
        <v>1619</v>
      </c>
      <c r="C470" s="2">
        <v>19636</v>
      </c>
      <c r="D470" s="1">
        <v>1.9959999999999999E-3</v>
      </c>
    </row>
    <row r="471" spans="1:4" x14ac:dyDescent="0.2">
      <c r="A471" s="1">
        <v>2015</v>
      </c>
      <c r="B471" s="1" t="s">
        <v>2290</v>
      </c>
      <c r="C471" s="2">
        <v>172598</v>
      </c>
      <c r="D471" s="1">
        <v>1.7541000000000001E-2</v>
      </c>
    </row>
    <row r="472" spans="1:4" x14ac:dyDescent="0.2">
      <c r="A472" s="1">
        <v>2015</v>
      </c>
      <c r="B472" s="1" t="s">
        <v>2291</v>
      </c>
      <c r="C472" s="2">
        <v>21814</v>
      </c>
      <c r="D472" s="1">
        <v>2.2169999999999998E-3</v>
      </c>
    </row>
    <row r="473" spans="1:4" x14ac:dyDescent="0.2">
      <c r="A473" s="1">
        <v>2015</v>
      </c>
      <c r="B473" s="1" t="s">
        <v>1622</v>
      </c>
      <c r="C473" s="2">
        <v>309906</v>
      </c>
      <c r="D473" s="1">
        <v>3.1495000000000002E-2</v>
      </c>
    </row>
    <row r="474" spans="1:4" x14ac:dyDescent="0.2">
      <c r="A474" s="1">
        <v>2015</v>
      </c>
      <c r="B474" s="1" t="s">
        <v>2292</v>
      </c>
      <c r="C474" s="2">
        <v>1416019</v>
      </c>
      <c r="D474" s="1">
        <v>0.14390900000000001</v>
      </c>
    </row>
    <row r="475" spans="1:4" x14ac:dyDescent="0.2">
      <c r="A475" s="1">
        <v>2015</v>
      </c>
      <c r="B475" s="1" t="s">
        <v>2293</v>
      </c>
      <c r="C475" s="2">
        <v>2624823</v>
      </c>
      <c r="D475" s="1">
        <v>0.266758</v>
      </c>
    </row>
    <row r="476" spans="1:4" x14ac:dyDescent="0.2">
      <c r="A476" s="1">
        <v>2015</v>
      </c>
      <c r="B476" s="1" t="s">
        <v>2294</v>
      </c>
      <c r="C476" s="2">
        <v>555728</v>
      </c>
      <c r="D476" s="1">
        <v>5.6478E-2</v>
      </c>
    </row>
    <row r="477" spans="1:4" x14ac:dyDescent="0.2">
      <c r="A477" s="1">
        <v>2015</v>
      </c>
      <c r="B477" s="1" t="s">
        <v>2295</v>
      </c>
      <c r="C477" s="2">
        <v>476935</v>
      </c>
      <c r="D477" s="1">
        <v>4.8469999999999999E-2</v>
      </c>
    </row>
    <row r="478" spans="1:4" x14ac:dyDescent="0.2">
      <c r="A478" s="1">
        <v>2015</v>
      </c>
      <c r="B478" s="1" t="s">
        <v>2296</v>
      </c>
      <c r="C478" s="2">
        <v>10286</v>
      </c>
      <c r="D478" s="1">
        <v>1.0449999999999999E-3</v>
      </c>
    </row>
    <row r="479" spans="1:4" x14ac:dyDescent="0.2">
      <c r="A479" s="1">
        <v>2015</v>
      </c>
      <c r="B479" s="1" t="s">
        <v>1627</v>
      </c>
      <c r="C479" s="2">
        <v>8455</v>
      </c>
      <c r="D479" s="1">
        <v>8.5899999999999995E-4</v>
      </c>
    </row>
    <row r="480" spans="1:4" x14ac:dyDescent="0.2">
      <c r="A480" s="1">
        <v>2015</v>
      </c>
      <c r="B480" s="1" t="s">
        <v>1628</v>
      </c>
      <c r="C480" s="2">
        <v>4819801</v>
      </c>
      <c r="D480" s="1">
        <v>0.48983199999999999</v>
      </c>
    </row>
    <row r="481" spans="1:4" x14ac:dyDescent="0.2">
      <c r="A481" s="1">
        <v>2015</v>
      </c>
      <c r="B481" s="1" t="s">
        <v>2297</v>
      </c>
      <c r="C481" s="2">
        <v>3027243</v>
      </c>
      <c r="D481" s="1">
        <v>0.30765599999999999</v>
      </c>
    </row>
    <row r="482" spans="1:4" x14ac:dyDescent="0.2">
      <c r="A482" s="1">
        <v>2015</v>
      </c>
      <c r="B482" s="1" t="s">
        <v>1630</v>
      </c>
      <c r="C482" s="2">
        <v>517835</v>
      </c>
      <c r="D482" s="1">
        <v>5.2627E-2</v>
      </c>
    </row>
    <row r="483" spans="1:4" x14ac:dyDescent="0.2">
      <c r="A483" s="1">
        <v>2015</v>
      </c>
      <c r="B483" s="1" t="s">
        <v>1631</v>
      </c>
      <c r="C483" s="2">
        <v>239968</v>
      </c>
      <c r="D483" s="1">
        <v>2.4388E-2</v>
      </c>
    </row>
    <row r="484" spans="1:4" x14ac:dyDescent="0.2">
      <c r="A484" s="1">
        <v>2015</v>
      </c>
      <c r="B484" s="1" t="s">
        <v>1632</v>
      </c>
      <c r="C484" s="2">
        <v>9804011</v>
      </c>
      <c r="D484" s="1">
        <v>0.99637299999999995</v>
      </c>
    </row>
    <row r="485" spans="1:4" x14ac:dyDescent="0.2">
      <c r="A485" s="1">
        <v>2015</v>
      </c>
      <c r="B485" s="1" t="s">
        <v>1633</v>
      </c>
      <c r="C485" s="2">
        <v>726876</v>
      </c>
      <c r="D485" s="1">
        <v>7.3871999999999993E-2</v>
      </c>
    </row>
    <row r="486" spans="1:4" x14ac:dyDescent="0.2">
      <c r="A486" s="1">
        <v>2015</v>
      </c>
      <c r="B486" s="1" t="s">
        <v>1634</v>
      </c>
      <c r="C486" s="2">
        <v>31039083</v>
      </c>
      <c r="D486" s="1">
        <v>3.1544750000000001</v>
      </c>
    </row>
    <row r="487" spans="1:4" x14ac:dyDescent="0.2">
      <c r="A487" s="1">
        <v>2015</v>
      </c>
      <c r="B487" s="1" t="s">
        <v>1635</v>
      </c>
      <c r="C487" s="2">
        <v>7609</v>
      </c>
      <c r="D487" s="1">
        <v>7.7300000000000003E-4</v>
      </c>
    </row>
    <row r="488" spans="1:4" x14ac:dyDescent="0.2">
      <c r="A488" s="1">
        <v>2015</v>
      </c>
      <c r="B488" s="1" t="s">
        <v>2298</v>
      </c>
      <c r="C488" s="2">
        <v>1698865</v>
      </c>
      <c r="D488" s="1">
        <v>0.172654</v>
      </c>
    </row>
    <row r="489" spans="1:4" x14ac:dyDescent="0.2">
      <c r="A489" s="1">
        <v>2015</v>
      </c>
      <c r="B489" s="1" t="s">
        <v>2299</v>
      </c>
      <c r="C489" s="2">
        <v>1009766</v>
      </c>
      <c r="D489" s="1">
        <v>0.102622</v>
      </c>
    </row>
    <row r="490" spans="1:4" x14ac:dyDescent="0.2">
      <c r="A490" s="1">
        <v>2015</v>
      </c>
      <c r="B490" s="1" t="s">
        <v>2300</v>
      </c>
      <c r="C490" s="2">
        <v>623406</v>
      </c>
      <c r="D490" s="1">
        <v>6.3355999999999996E-2</v>
      </c>
    </row>
    <row r="491" spans="1:4" x14ac:dyDescent="0.2">
      <c r="A491" s="1">
        <v>2015</v>
      </c>
      <c r="B491" s="1" t="s">
        <v>2301</v>
      </c>
      <c r="C491" s="2">
        <v>388298</v>
      </c>
      <c r="D491" s="1">
        <v>3.9461999999999997E-2</v>
      </c>
    </row>
    <row r="492" spans="1:4" x14ac:dyDescent="0.2">
      <c r="A492" s="1">
        <v>2015</v>
      </c>
      <c r="B492" s="1" t="s">
        <v>2302</v>
      </c>
      <c r="C492" s="2">
        <v>282631</v>
      </c>
      <c r="D492" s="1">
        <v>2.8724E-2</v>
      </c>
    </row>
    <row r="493" spans="1:4" x14ac:dyDescent="0.2">
      <c r="A493" s="1">
        <v>2015</v>
      </c>
      <c r="B493" s="1" t="s">
        <v>1640</v>
      </c>
      <c r="C493" s="2">
        <v>118670</v>
      </c>
      <c r="D493" s="1">
        <v>1.206E-2</v>
      </c>
    </row>
    <row r="494" spans="1:4" x14ac:dyDescent="0.2">
      <c r="A494" s="1">
        <v>2015</v>
      </c>
      <c r="B494" s="1" t="s">
        <v>1641</v>
      </c>
      <c r="C494" s="2">
        <v>71877</v>
      </c>
      <c r="D494" s="1">
        <v>7.3049999999999999E-3</v>
      </c>
    </row>
    <row r="495" spans="1:4" x14ac:dyDescent="0.2">
      <c r="A495" s="1">
        <v>2015</v>
      </c>
      <c r="B495" s="1" t="s">
        <v>1642</v>
      </c>
      <c r="C495" s="2">
        <v>202313</v>
      </c>
      <c r="D495" s="1">
        <v>2.0560999999999999E-2</v>
      </c>
    </row>
    <row r="496" spans="1:4" x14ac:dyDescent="0.2">
      <c r="A496" s="1">
        <v>2015</v>
      </c>
      <c r="B496" s="1" t="s">
        <v>1643</v>
      </c>
      <c r="C496" s="2">
        <v>808761</v>
      </c>
      <c r="D496" s="1">
        <v>8.2194000000000003E-2</v>
      </c>
    </row>
    <row r="497" spans="1:4" x14ac:dyDescent="0.2">
      <c r="A497" s="1">
        <v>2015</v>
      </c>
      <c r="B497" s="1" t="s">
        <v>2303</v>
      </c>
      <c r="C497" s="2">
        <v>1963476</v>
      </c>
      <c r="D497" s="1">
        <v>0.199546</v>
      </c>
    </row>
    <row r="498" spans="1:4" x14ac:dyDescent="0.2">
      <c r="A498" s="1">
        <v>2015</v>
      </c>
      <c r="B498" s="1" t="s">
        <v>1645</v>
      </c>
      <c r="C498" s="2">
        <v>27105</v>
      </c>
      <c r="D498" s="1">
        <v>2.7550000000000001E-3</v>
      </c>
    </row>
    <row r="499" spans="1:4" x14ac:dyDescent="0.2">
      <c r="A499" s="1">
        <v>2015</v>
      </c>
      <c r="B499" s="1" t="s">
        <v>1646</v>
      </c>
      <c r="C499" s="2">
        <v>13820</v>
      </c>
      <c r="D499" s="8">
        <v>1.4049999999999999E-5</v>
      </c>
    </row>
    <row r="500" spans="1:4" x14ac:dyDescent="0.2">
      <c r="A500" s="1">
        <v>2015</v>
      </c>
      <c r="B500" s="1" t="s">
        <v>2304</v>
      </c>
      <c r="C500" s="2">
        <v>471957</v>
      </c>
      <c r="D500" s="1">
        <v>4.7965000000000001E-2</v>
      </c>
    </row>
    <row r="501" spans="1:4" x14ac:dyDescent="0.2">
      <c r="A501" s="1">
        <v>2015</v>
      </c>
      <c r="B501" s="1" t="s">
        <v>2305</v>
      </c>
      <c r="C501" s="2">
        <v>11285</v>
      </c>
      <c r="D501" s="1">
        <v>1.147E-3</v>
      </c>
    </row>
    <row r="502" spans="1:4" x14ac:dyDescent="0.2">
      <c r="A502" s="1">
        <v>2015</v>
      </c>
      <c r="B502" s="1" t="s">
        <v>2306</v>
      </c>
      <c r="C502" s="2">
        <v>176559</v>
      </c>
      <c r="D502" s="1">
        <v>1.7944000000000002E-2</v>
      </c>
    </row>
    <row r="503" spans="1:4" x14ac:dyDescent="0.2">
      <c r="A503" s="1">
        <v>2015</v>
      </c>
      <c r="B503" s="1" t="s">
        <v>2307</v>
      </c>
      <c r="C503" s="2">
        <v>65103</v>
      </c>
      <c r="D503" s="1">
        <v>6.6160000000000004E-3</v>
      </c>
    </row>
    <row r="504" spans="1:4" x14ac:dyDescent="0.2">
      <c r="A504" s="1">
        <v>2015</v>
      </c>
      <c r="B504" s="1" t="s">
        <v>2308</v>
      </c>
      <c r="C504" s="2">
        <v>90221</v>
      </c>
      <c r="D504" s="1">
        <v>9.1690000000000001E-3</v>
      </c>
    </row>
    <row r="505" spans="1:4" x14ac:dyDescent="0.2">
      <c r="A505" s="1">
        <v>2015</v>
      </c>
      <c r="B505" s="1" t="s">
        <v>2309</v>
      </c>
      <c r="C505" s="2">
        <v>10313</v>
      </c>
      <c r="D505" s="1">
        <v>1.0480000000000001E-3</v>
      </c>
    </row>
    <row r="506" spans="1:4" x14ac:dyDescent="0.2">
      <c r="A506" s="1">
        <v>2015</v>
      </c>
      <c r="B506" s="1" t="s">
        <v>2310</v>
      </c>
      <c r="C506" s="2">
        <v>2052414</v>
      </c>
      <c r="D506" s="1">
        <v>0.20858499999999999</v>
      </c>
    </row>
    <row r="507" spans="1:4" x14ac:dyDescent="0.2">
      <c r="A507" s="1">
        <v>2015</v>
      </c>
      <c r="B507" s="1" t="s">
        <v>2311</v>
      </c>
      <c r="C507" s="2">
        <v>924836</v>
      </c>
      <c r="D507" s="1">
        <v>9.3990000000000004E-2</v>
      </c>
    </row>
    <row r="508" spans="1:4" x14ac:dyDescent="0.2">
      <c r="A508" s="1">
        <v>2015</v>
      </c>
      <c r="B508" s="1" t="s">
        <v>2312</v>
      </c>
      <c r="C508" s="2">
        <v>18330939</v>
      </c>
      <c r="D508" s="1">
        <v>1.862957</v>
      </c>
    </row>
    <row r="509" spans="1:4" x14ac:dyDescent="0.2">
      <c r="A509" s="1">
        <v>2015</v>
      </c>
      <c r="B509" s="1" t="s">
        <v>2313</v>
      </c>
      <c r="C509" s="2">
        <v>2169569</v>
      </c>
      <c r="D509" s="1">
        <v>0.22049099999999999</v>
      </c>
    </row>
    <row r="510" spans="1:4" x14ac:dyDescent="0.2">
      <c r="A510" s="1">
        <v>2015</v>
      </c>
      <c r="B510" s="1" t="s">
        <v>2314</v>
      </c>
      <c r="C510" s="2">
        <v>830477</v>
      </c>
      <c r="D510" s="1">
        <v>8.4401000000000004E-2</v>
      </c>
    </row>
    <row r="511" spans="1:4" x14ac:dyDescent="0.2">
      <c r="A511" s="1">
        <v>2015</v>
      </c>
      <c r="B511" s="1" t="s">
        <v>2315</v>
      </c>
      <c r="C511" s="2">
        <v>5714286</v>
      </c>
      <c r="D511" s="1">
        <v>0.58073799999999998</v>
      </c>
    </row>
    <row r="512" spans="1:4" x14ac:dyDescent="0.2">
      <c r="A512" s="1">
        <v>2015</v>
      </c>
      <c r="B512" s="1" t="s">
        <v>2316</v>
      </c>
      <c r="C512" s="2">
        <v>3459180</v>
      </c>
      <c r="D512" s="1">
        <v>0.351553</v>
      </c>
    </row>
    <row r="513" spans="1:4" x14ac:dyDescent="0.2">
      <c r="A513" s="1">
        <v>2015</v>
      </c>
      <c r="B513" s="1" t="s">
        <v>2317</v>
      </c>
      <c r="C513" s="2">
        <v>243654</v>
      </c>
      <c r="D513" s="1">
        <v>2.4761999999999999E-2</v>
      </c>
    </row>
    <row r="514" spans="1:4" x14ac:dyDescent="0.2">
      <c r="A514" s="1">
        <v>2015</v>
      </c>
      <c r="B514" s="1" t="s">
        <v>2318</v>
      </c>
      <c r="C514" s="2">
        <v>1090371</v>
      </c>
      <c r="D514" s="1">
        <v>0.11081299999999999</v>
      </c>
    </row>
    <row r="515" spans="1:4" x14ac:dyDescent="0.2">
      <c r="A515" s="1">
        <v>2015</v>
      </c>
      <c r="B515" s="1" t="s">
        <v>2319</v>
      </c>
      <c r="C515" s="2">
        <v>203076</v>
      </c>
      <c r="D515" s="1">
        <v>2.0638E-2</v>
      </c>
    </row>
    <row r="516" spans="1:4" x14ac:dyDescent="0.2">
      <c r="A516" s="1">
        <v>2015</v>
      </c>
      <c r="B516" s="1" t="s">
        <v>2320</v>
      </c>
      <c r="C516" s="2">
        <v>25028</v>
      </c>
      <c r="D516" s="1">
        <v>2.5439999999999998E-3</v>
      </c>
    </row>
    <row r="517" spans="1:4" x14ac:dyDescent="0.2">
      <c r="A517" s="1">
        <v>2015</v>
      </c>
      <c r="B517" s="1" t="s">
        <v>2321</v>
      </c>
      <c r="C517" s="2">
        <v>189757</v>
      </c>
      <c r="D517" s="1">
        <v>1.9285E-2</v>
      </c>
    </row>
    <row r="518" spans="1:4" x14ac:dyDescent="0.2">
      <c r="A518" s="1">
        <v>2015</v>
      </c>
      <c r="B518" s="1" t="s">
        <v>2322</v>
      </c>
      <c r="C518" s="2">
        <v>221068</v>
      </c>
      <c r="D518" s="1">
        <v>2.2467000000000001E-2</v>
      </c>
    </row>
    <row r="519" spans="1:4" x14ac:dyDescent="0.2">
      <c r="A519" s="1">
        <v>2015</v>
      </c>
      <c r="B519" s="1" t="s">
        <v>2322</v>
      </c>
      <c r="C519" s="2">
        <v>298444</v>
      </c>
      <c r="D519" s="1">
        <v>3.0331E-2</v>
      </c>
    </row>
    <row r="520" spans="1:4" x14ac:dyDescent="0.2">
      <c r="A520" s="1">
        <v>2015</v>
      </c>
      <c r="B520" s="1" t="s">
        <v>2323</v>
      </c>
      <c r="C520" s="2">
        <v>59567</v>
      </c>
      <c r="D520" s="1">
        <v>6.0540000000000004E-3</v>
      </c>
    </row>
    <row r="521" spans="1:4" x14ac:dyDescent="0.2">
      <c r="A521" s="1">
        <v>2015</v>
      </c>
      <c r="B521" s="1" t="s">
        <v>2324</v>
      </c>
      <c r="C521" s="2">
        <v>472626</v>
      </c>
      <c r="D521" s="1">
        <v>4.8032999999999999E-2</v>
      </c>
    </row>
    <row r="522" spans="1:4" x14ac:dyDescent="0.2">
      <c r="A522" s="1">
        <v>2015</v>
      </c>
      <c r="B522" s="1" t="s">
        <v>2325</v>
      </c>
      <c r="C522" s="2">
        <v>173182</v>
      </c>
      <c r="D522" s="1">
        <v>1.7600000000000001E-2</v>
      </c>
    </row>
    <row r="523" spans="1:4" x14ac:dyDescent="0.2">
      <c r="A523" s="1">
        <v>2015</v>
      </c>
      <c r="B523" s="1" t="s">
        <v>2326</v>
      </c>
      <c r="C523" s="2">
        <v>101549</v>
      </c>
      <c r="D523" s="1">
        <v>1.0319999999999999E-2</v>
      </c>
    </row>
    <row r="524" spans="1:4" x14ac:dyDescent="0.2">
      <c r="A524" s="1">
        <v>2015</v>
      </c>
      <c r="B524" s="1" t="s">
        <v>2327</v>
      </c>
      <c r="C524" s="2">
        <v>464981</v>
      </c>
      <c r="D524" s="1">
        <v>4.7255999999999999E-2</v>
      </c>
    </row>
    <row r="525" spans="1:4" x14ac:dyDescent="0.2">
      <c r="A525" s="1">
        <v>2015</v>
      </c>
      <c r="B525" s="1" t="s">
        <v>2328</v>
      </c>
      <c r="C525" s="2">
        <v>2259689</v>
      </c>
      <c r="D525" s="1">
        <v>0.22964999999999999</v>
      </c>
    </row>
    <row r="526" spans="1:4" x14ac:dyDescent="0.2">
      <c r="A526" s="1">
        <v>2015</v>
      </c>
      <c r="B526" s="1" t="s">
        <v>2329</v>
      </c>
      <c r="C526" s="2">
        <v>2403278</v>
      </c>
      <c r="D526" s="1">
        <v>0.24424299999999999</v>
      </c>
    </row>
    <row r="527" spans="1:4" x14ac:dyDescent="0.2">
      <c r="A527" s="1">
        <v>2015</v>
      </c>
      <c r="B527" s="1" t="s">
        <v>2330</v>
      </c>
      <c r="C527" s="2">
        <v>21040</v>
      </c>
      <c r="D527" s="1">
        <v>2.1380000000000001E-3</v>
      </c>
    </row>
    <row r="528" spans="1:4" x14ac:dyDescent="0.2">
      <c r="A528" s="1">
        <v>2015</v>
      </c>
      <c r="B528" s="1" t="s">
        <v>2331</v>
      </c>
      <c r="C528" s="2">
        <v>91197</v>
      </c>
      <c r="D528" s="1">
        <v>9.2680000000000002E-3</v>
      </c>
    </row>
    <row r="529" spans="1:4" x14ac:dyDescent="0.2">
      <c r="A529" s="1">
        <v>2015</v>
      </c>
      <c r="B529" s="1" t="s">
        <v>1676</v>
      </c>
      <c r="C529" s="2">
        <v>21976</v>
      </c>
      <c r="D529" s="1">
        <v>2.2330000000000002E-3</v>
      </c>
    </row>
    <row r="530" spans="1:4" x14ac:dyDescent="0.2">
      <c r="A530" s="1">
        <v>2015</v>
      </c>
      <c r="B530" s="1" t="s">
        <v>1677</v>
      </c>
      <c r="C530" s="2">
        <v>1140570</v>
      </c>
      <c r="D530" s="1">
        <v>0.115915</v>
      </c>
    </row>
    <row r="531" spans="1:4" x14ac:dyDescent="0.2">
      <c r="A531" s="1">
        <v>2015</v>
      </c>
      <c r="B531" s="1" t="s">
        <v>1678</v>
      </c>
      <c r="C531" s="2">
        <v>73705</v>
      </c>
      <c r="D531" s="1">
        <v>7.4910000000000003E-3</v>
      </c>
    </row>
    <row r="532" spans="1:4" x14ac:dyDescent="0.2">
      <c r="A532" s="1">
        <v>2015</v>
      </c>
      <c r="B532" s="1" t="s">
        <v>1679</v>
      </c>
      <c r="C532" s="2">
        <v>322463</v>
      </c>
      <c r="D532" s="1">
        <v>3.2772000000000003E-2</v>
      </c>
    </row>
    <row r="533" spans="1:4" x14ac:dyDescent="0.2">
      <c r="A533" s="1">
        <v>2015</v>
      </c>
      <c r="B533" s="1" t="s">
        <v>2332</v>
      </c>
      <c r="C533" s="2">
        <v>117836</v>
      </c>
      <c r="D533" s="1">
        <v>1.1976000000000001E-2</v>
      </c>
    </row>
    <row r="534" spans="1:4" x14ac:dyDescent="0.2">
      <c r="A534" s="1">
        <v>2015</v>
      </c>
      <c r="B534" s="1" t="s">
        <v>2333</v>
      </c>
      <c r="C534" s="2">
        <v>2914826</v>
      </c>
      <c r="D534" s="1">
        <v>0.29623100000000002</v>
      </c>
    </row>
    <row r="535" spans="1:4" x14ac:dyDescent="0.2">
      <c r="A535" s="1">
        <v>2015</v>
      </c>
      <c r="B535" s="1" t="s">
        <v>2334</v>
      </c>
      <c r="C535" s="2">
        <v>2274354</v>
      </c>
      <c r="D535" s="1">
        <v>0.23114100000000001</v>
      </c>
    </row>
    <row r="536" spans="1:4" x14ac:dyDescent="0.2">
      <c r="A536" s="1">
        <v>2015</v>
      </c>
      <c r="B536" s="1" t="s">
        <v>2335</v>
      </c>
      <c r="C536" s="2">
        <v>624366</v>
      </c>
      <c r="D536" s="1">
        <v>6.3453999999999997E-2</v>
      </c>
    </row>
    <row r="537" spans="1:4" x14ac:dyDescent="0.2">
      <c r="A537" s="1">
        <v>2015</v>
      </c>
      <c r="B537" s="1" t="s">
        <v>2336</v>
      </c>
      <c r="C537" s="2">
        <v>26955</v>
      </c>
      <c r="D537" s="1">
        <v>2.7390000000000001E-3</v>
      </c>
    </row>
    <row r="538" spans="1:4" x14ac:dyDescent="0.2">
      <c r="A538" s="1">
        <v>2015</v>
      </c>
      <c r="B538" s="1" t="s">
        <v>2337</v>
      </c>
      <c r="C538" s="2">
        <v>4268</v>
      </c>
      <c r="D538" s="1">
        <v>4.3399999999999998E-4</v>
      </c>
    </row>
    <row r="539" spans="1:4" x14ac:dyDescent="0.2">
      <c r="A539" s="1">
        <v>2015</v>
      </c>
      <c r="B539" s="1" t="s">
        <v>1687</v>
      </c>
      <c r="C539" s="2">
        <v>1000078</v>
      </c>
      <c r="D539" s="1">
        <v>0.10163700000000001</v>
      </c>
    </row>
    <row r="540" spans="1:4" x14ac:dyDescent="0.2">
      <c r="A540" s="1">
        <v>2015</v>
      </c>
      <c r="B540" s="1" t="s">
        <v>1688</v>
      </c>
      <c r="C540" s="2">
        <v>77566</v>
      </c>
      <c r="D540" s="1">
        <v>7.8829999999999994E-3</v>
      </c>
    </row>
    <row r="541" spans="1:4" x14ac:dyDescent="0.2">
      <c r="A541" s="1">
        <v>2015</v>
      </c>
      <c r="B541" s="1" t="s">
        <v>1689</v>
      </c>
      <c r="C541" s="2">
        <v>523430</v>
      </c>
      <c r="D541" s="1">
        <v>5.3196E-2</v>
      </c>
    </row>
    <row r="542" spans="1:4" x14ac:dyDescent="0.2">
      <c r="A542" s="1">
        <v>2015</v>
      </c>
      <c r="B542" s="1" t="s">
        <v>1690</v>
      </c>
      <c r="C542" s="2">
        <v>498827</v>
      </c>
      <c r="D542" s="1">
        <v>5.0694999999999997E-2</v>
      </c>
    </row>
    <row r="543" spans="1:4" x14ac:dyDescent="0.2">
      <c r="A543" s="1">
        <v>2015</v>
      </c>
      <c r="B543" s="1" t="s">
        <v>2338</v>
      </c>
      <c r="C543" s="2">
        <v>1722073</v>
      </c>
      <c r="D543" s="1">
        <v>0.175013</v>
      </c>
    </row>
    <row r="544" spans="1:4" x14ac:dyDescent="0.2">
      <c r="A544" s="1">
        <v>2015</v>
      </c>
      <c r="B544" s="1" t="s">
        <v>1692</v>
      </c>
      <c r="C544" s="2">
        <v>40320</v>
      </c>
      <c r="D544" s="1">
        <v>4.0980000000000001E-3</v>
      </c>
    </row>
    <row r="545" spans="1:4" x14ac:dyDescent="0.2">
      <c r="A545" s="1">
        <v>2015</v>
      </c>
      <c r="B545" s="1" t="s">
        <v>1693</v>
      </c>
      <c r="C545" s="2">
        <v>22825</v>
      </c>
      <c r="D545" s="1">
        <v>2.32E-3</v>
      </c>
    </row>
    <row r="546" spans="1:4" x14ac:dyDescent="0.2">
      <c r="A546" s="1">
        <v>2015</v>
      </c>
      <c r="B546" s="1" t="s">
        <v>1694</v>
      </c>
      <c r="C546" s="2">
        <v>225666</v>
      </c>
      <c r="D546" s="1">
        <v>2.2934E-2</v>
      </c>
    </row>
    <row r="547" spans="1:4" x14ac:dyDescent="0.2">
      <c r="A547" s="1">
        <v>2015</v>
      </c>
      <c r="B547" s="1" t="s">
        <v>2339</v>
      </c>
      <c r="C547" s="2">
        <v>1490230</v>
      </c>
      <c r="D547" s="1">
        <v>0.151451</v>
      </c>
    </row>
    <row r="548" spans="1:4" x14ac:dyDescent="0.2">
      <c r="A548" s="1">
        <v>2015</v>
      </c>
      <c r="B548" s="1" t="s">
        <v>2340</v>
      </c>
      <c r="C548" s="2">
        <v>478854</v>
      </c>
      <c r="D548" s="8">
        <v>4.8665999999999998E-4</v>
      </c>
    </row>
    <row r="549" spans="1:4" x14ac:dyDescent="0.2">
      <c r="A549" s="1">
        <v>2015</v>
      </c>
      <c r="B549" s="1" t="s">
        <v>2341</v>
      </c>
      <c r="C549" s="2">
        <v>2421</v>
      </c>
      <c r="D549" s="1">
        <v>2.4600000000000002E-4</v>
      </c>
    </row>
    <row r="550" spans="1:4" x14ac:dyDescent="0.2">
      <c r="A550" s="1">
        <v>2015</v>
      </c>
      <c r="B550" s="1" t="s">
        <v>2342</v>
      </c>
      <c r="C550" s="2">
        <v>826766</v>
      </c>
      <c r="D550" s="1">
        <v>8.4023E-2</v>
      </c>
    </row>
    <row r="551" spans="1:4" x14ac:dyDescent="0.2">
      <c r="A551" s="1">
        <v>2015</v>
      </c>
      <c r="B551" s="1" t="s">
        <v>2343</v>
      </c>
      <c r="C551" s="2">
        <v>8658</v>
      </c>
      <c r="D551" s="1">
        <v>8.8000000000000003E-4</v>
      </c>
    </row>
    <row r="552" spans="1:4" x14ac:dyDescent="0.2">
      <c r="A552" s="1">
        <v>2015</v>
      </c>
      <c r="B552" s="1" t="s">
        <v>1700</v>
      </c>
      <c r="C552" s="2">
        <v>237756</v>
      </c>
      <c r="D552" s="1">
        <v>2.4163E-2</v>
      </c>
    </row>
    <row r="553" spans="1:4" x14ac:dyDescent="0.2">
      <c r="A553" s="1">
        <v>2015</v>
      </c>
      <c r="B553" s="1" t="s">
        <v>2344</v>
      </c>
      <c r="C553" s="2">
        <v>377443</v>
      </c>
      <c r="D553" s="1">
        <v>3.8358999999999997E-2</v>
      </c>
    </row>
    <row r="554" spans="1:4" x14ac:dyDescent="0.2">
      <c r="A554" s="1">
        <v>2015</v>
      </c>
      <c r="B554" s="1" t="s">
        <v>1701</v>
      </c>
      <c r="C554" s="2">
        <v>719623</v>
      </c>
      <c r="D554" s="1">
        <v>7.3135000000000006E-2</v>
      </c>
    </row>
    <row r="555" spans="1:4" x14ac:dyDescent="0.2">
      <c r="A555" s="1">
        <v>2015</v>
      </c>
      <c r="B555" s="1" t="s">
        <v>2345</v>
      </c>
      <c r="C555" s="2">
        <v>4713201</v>
      </c>
      <c r="D555" s="1">
        <v>0.47899799999999998</v>
      </c>
    </row>
    <row r="556" spans="1:4" x14ac:dyDescent="0.2">
      <c r="A556" s="1">
        <v>2015</v>
      </c>
      <c r="B556" s="1" t="s">
        <v>2346</v>
      </c>
      <c r="C556" s="2">
        <v>1323678</v>
      </c>
      <c r="D556" s="1">
        <v>0.134524</v>
      </c>
    </row>
    <row r="557" spans="1:4" x14ac:dyDescent="0.2">
      <c r="A557" s="1">
        <v>2015</v>
      </c>
      <c r="B557" s="1" t="s">
        <v>2347</v>
      </c>
      <c r="C557" s="2">
        <v>1632701</v>
      </c>
      <c r="D557" s="1">
        <v>0.16592999999999999</v>
      </c>
    </row>
    <row r="558" spans="1:4" x14ac:dyDescent="0.2">
      <c r="A558" s="1">
        <v>2015</v>
      </c>
      <c r="B558" s="1" t="s">
        <v>1705</v>
      </c>
      <c r="C558" s="2">
        <v>3049641</v>
      </c>
      <c r="D558" s="1">
        <v>0.30993199999999999</v>
      </c>
    </row>
    <row r="559" spans="1:4" x14ac:dyDescent="0.2">
      <c r="A559" s="1">
        <v>2015</v>
      </c>
      <c r="B559" s="1" t="s">
        <v>1706</v>
      </c>
      <c r="C559" s="2">
        <v>1006205</v>
      </c>
      <c r="D559" s="1">
        <v>0.10226</v>
      </c>
    </row>
    <row r="560" spans="1:4" x14ac:dyDescent="0.2">
      <c r="A560" s="1">
        <v>2015</v>
      </c>
      <c r="B560" s="1" t="s">
        <v>2348</v>
      </c>
      <c r="C560" s="2">
        <v>1195203</v>
      </c>
      <c r="D560" s="1">
        <v>0.12146700000000001</v>
      </c>
    </row>
    <row r="561" spans="1:4" x14ac:dyDescent="0.2">
      <c r="A561" s="1">
        <v>2015</v>
      </c>
      <c r="B561" s="1" t="s">
        <v>2349</v>
      </c>
      <c r="C561" s="2">
        <v>49224</v>
      </c>
      <c r="D561" s="1">
        <v>5.0029999999999996E-3</v>
      </c>
    </row>
    <row r="562" spans="1:4" x14ac:dyDescent="0.2">
      <c r="A562" s="1">
        <v>2015</v>
      </c>
      <c r="B562" s="1" t="s">
        <v>2350</v>
      </c>
      <c r="C562" s="2">
        <v>2263873</v>
      </c>
      <c r="D562" s="1">
        <v>0.230075</v>
      </c>
    </row>
    <row r="563" spans="1:4" x14ac:dyDescent="0.2">
      <c r="A563" s="1">
        <v>2015</v>
      </c>
      <c r="B563" s="1" t="s">
        <v>2351</v>
      </c>
      <c r="C563" s="2">
        <v>9009</v>
      </c>
      <c r="D563" s="1">
        <v>9.1600000000000004E-4</v>
      </c>
    </row>
    <row r="564" spans="1:4" x14ac:dyDescent="0.2">
      <c r="A564" s="1">
        <v>2015</v>
      </c>
      <c r="B564" s="1" t="s">
        <v>1710</v>
      </c>
      <c r="C564" s="2">
        <v>64502</v>
      </c>
      <c r="D564" s="1">
        <v>6.5550000000000001E-3</v>
      </c>
    </row>
    <row r="565" spans="1:4" x14ac:dyDescent="0.2">
      <c r="A565" s="1">
        <v>2015</v>
      </c>
      <c r="B565" s="1" t="s">
        <v>2352</v>
      </c>
      <c r="C565" s="2">
        <v>4753034</v>
      </c>
      <c r="D565" s="1">
        <v>0.483047</v>
      </c>
    </row>
    <row r="566" spans="1:4" x14ac:dyDescent="0.2">
      <c r="A566" s="1">
        <v>2015</v>
      </c>
      <c r="B566" s="1" t="s">
        <v>1712</v>
      </c>
      <c r="C566" s="2">
        <v>29015</v>
      </c>
      <c r="D566" s="1">
        <v>2.9489999999999998E-3</v>
      </c>
    </row>
    <row r="567" spans="1:4" x14ac:dyDescent="0.2">
      <c r="A567" s="1">
        <v>2015</v>
      </c>
      <c r="B567" s="1" t="s">
        <v>2353</v>
      </c>
      <c r="C567" s="2">
        <v>1430955</v>
      </c>
      <c r="D567" s="1">
        <v>0.145427</v>
      </c>
    </row>
    <row r="568" spans="1:4" x14ac:dyDescent="0.2">
      <c r="A568" s="1">
        <v>2015</v>
      </c>
      <c r="B568" s="1" t="s">
        <v>2354</v>
      </c>
      <c r="C568" s="2">
        <v>325644</v>
      </c>
      <c r="D568" s="1">
        <v>3.3094999999999999E-2</v>
      </c>
    </row>
    <row r="569" spans="1:4" x14ac:dyDescent="0.2">
      <c r="A569" s="1">
        <v>2015</v>
      </c>
      <c r="B569" s="1" t="s">
        <v>2355</v>
      </c>
      <c r="C569" s="2">
        <v>2423</v>
      </c>
      <c r="D569" s="1">
        <v>2.4600000000000002E-4</v>
      </c>
    </row>
    <row r="570" spans="1:4" x14ac:dyDescent="0.2">
      <c r="A570" s="1">
        <v>2015</v>
      </c>
      <c r="B570" s="1" t="s">
        <v>1715</v>
      </c>
      <c r="C570" s="2">
        <v>7271</v>
      </c>
      <c r="D570" s="1">
        <v>7.3899999999999997E-4</v>
      </c>
    </row>
    <row r="571" spans="1:4" x14ac:dyDescent="0.2">
      <c r="A571" s="1">
        <v>2015</v>
      </c>
      <c r="B571" s="1" t="s">
        <v>1716</v>
      </c>
      <c r="C571" s="2">
        <v>33050</v>
      </c>
      <c r="D571" s="1">
        <v>3.359E-3</v>
      </c>
    </row>
    <row r="572" spans="1:4" x14ac:dyDescent="0.2">
      <c r="A572" s="1">
        <v>2015</v>
      </c>
      <c r="B572" s="1" t="s">
        <v>1717</v>
      </c>
      <c r="C572" s="2">
        <v>10023</v>
      </c>
      <c r="D572" s="1">
        <v>1.0189999999999999E-3</v>
      </c>
    </row>
    <row r="573" spans="1:4" x14ac:dyDescent="0.2">
      <c r="A573" s="1">
        <v>2015</v>
      </c>
      <c r="B573" s="1" t="s">
        <v>1718</v>
      </c>
      <c r="C573" s="2">
        <v>1080883</v>
      </c>
      <c r="D573" s="1">
        <v>0.109849</v>
      </c>
    </row>
    <row r="574" spans="1:4" x14ac:dyDescent="0.2">
      <c r="A574" s="1">
        <v>2015</v>
      </c>
      <c r="B574" s="1" t="s">
        <v>1719</v>
      </c>
      <c r="C574" s="2">
        <v>4263675</v>
      </c>
      <c r="D574" s="1">
        <v>0.43331399999999998</v>
      </c>
    </row>
    <row r="575" spans="1:4" x14ac:dyDescent="0.2">
      <c r="A575" s="1">
        <v>2015</v>
      </c>
      <c r="B575" s="1" t="s">
        <v>2356</v>
      </c>
      <c r="C575" s="2">
        <v>303419</v>
      </c>
      <c r="D575" s="1">
        <v>3.0835999999999999E-2</v>
      </c>
    </row>
    <row r="576" spans="1:4" x14ac:dyDescent="0.2">
      <c r="A576" s="1">
        <v>2015</v>
      </c>
      <c r="B576" s="1" t="s">
        <v>1721</v>
      </c>
      <c r="C576" s="2">
        <v>194684</v>
      </c>
      <c r="D576" s="1">
        <v>1.9786000000000002E-2</v>
      </c>
    </row>
    <row r="577" spans="1:4" x14ac:dyDescent="0.2">
      <c r="A577" s="1">
        <v>2015</v>
      </c>
      <c r="B577" s="1" t="s">
        <v>1722</v>
      </c>
      <c r="C577" s="2">
        <v>166952</v>
      </c>
      <c r="D577" s="1">
        <v>1.6966999999999999E-2</v>
      </c>
    </row>
    <row r="578" spans="1:4" x14ac:dyDescent="0.2">
      <c r="A578" s="1">
        <v>2015</v>
      </c>
      <c r="B578" s="1" t="s">
        <v>2357</v>
      </c>
      <c r="C578" s="2">
        <v>166657</v>
      </c>
      <c r="D578" s="1">
        <v>1.6937000000000001E-2</v>
      </c>
    </row>
    <row r="579" spans="1:4" x14ac:dyDescent="0.2">
      <c r="A579" s="1">
        <v>2015</v>
      </c>
      <c r="B579" s="1" t="s">
        <v>1724</v>
      </c>
      <c r="C579" s="2">
        <v>539510</v>
      </c>
      <c r="D579" s="1">
        <v>5.4829999999999997E-2</v>
      </c>
    </row>
    <row r="580" spans="1:4" x14ac:dyDescent="0.2">
      <c r="A580" s="1">
        <v>2015</v>
      </c>
      <c r="B580" s="1" t="s">
        <v>2358</v>
      </c>
      <c r="C580" s="2">
        <v>801064</v>
      </c>
      <c r="D580" s="1">
        <v>8.1410999999999997E-2</v>
      </c>
    </row>
    <row r="581" spans="1:4" x14ac:dyDescent="0.2">
      <c r="A581" s="1">
        <v>2015</v>
      </c>
      <c r="B581" s="1" t="s">
        <v>2359</v>
      </c>
      <c r="C581" s="2">
        <v>966034</v>
      </c>
      <c r="D581" s="1">
        <v>9.8177E-2</v>
      </c>
    </row>
    <row r="582" spans="1:4" x14ac:dyDescent="0.2">
      <c r="A582" s="1">
        <v>2015</v>
      </c>
      <c r="B582" s="1" t="s">
        <v>2360</v>
      </c>
      <c r="C582" s="2">
        <v>35805</v>
      </c>
      <c r="D582" s="1">
        <v>3.6389999999999999E-3</v>
      </c>
    </row>
    <row r="583" spans="1:4" x14ac:dyDescent="0.2">
      <c r="A583" s="1">
        <v>2015</v>
      </c>
      <c r="B583" s="1" t="s">
        <v>1727</v>
      </c>
      <c r="C583" s="2">
        <v>2714355</v>
      </c>
      <c r="D583" s="1">
        <v>0.27585799999999999</v>
      </c>
    </row>
    <row r="584" spans="1:4" x14ac:dyDescent="0.2">
      <c r="A584" s="1">
        <v>2015</v>
      </c>
      <c r="B584" s="1" t="s">
        <v>1728</v>
      </c>
      <c r="C584" s="2">
        <v>24976</v>
      </c>
      <c r="D584" s="1">
        <v>2.5379999999999999E-3</v>
      </c>
    </row>
    <row r="585" spans="1:4" x14ac:dyDescent="0.2">
      <c r="A585" s="1">
        <v>2015</v>
      </c>
      <c r="B585" s="1" t="s">
        <v>2361</v>
      </c>
      <c r="C585" s="2">
        <v>4197</v>
      </c>
      <c r="D585" s="1">
        <v>4.2700000000000002E-4</v>
      </c>
    </row>
    <row r="586" spans="1:4" x14ac:dyDescent="0.2">
      <c r="A586" s="1">
        <v>2015</v>
      </c>
      <c r="B586" s="1" t="s">
        <v>1729</v>
      </c>
      <c r="C586" s="2">
        <v>2104659</v>
      </c>
      <c r="D586" s="1">
        <v>0.213895</v>
      </c>
    </row>
    <row r="587" spans="1:4" x14ac:dyDescent="0.2">
      <c r="A587" s="1">
        <v>2015</v>
      </c>
      <c r="B587" s="1" t="s">
        <v>1730</v>
      </c>
      <c r="C587" s="2">
        <v>244528</v>
      </c>
      <c r="D587" s="1">
        <v>2.4851000000000002E-2</v>
      </c>
    </row>
    <row r="588" spans="1:4" x14ac:dyDescent="0.2">
      <c r="A588" s="1">
        <v>2015</v>
      </c>
      <c r="B588" s="1" t="s">
        <v>1731</v>
      </c>
      <c r="C588" s="2">
        <v>88744</v>
      </c>
      <c r="D588" s="1">
        <v>9.0189999999999992E-3</v>
      </c>
    </row>
    <row r="589" spans="1:4" x14ac:dyDescent="0.2">
      <c r="A589" s="1">
        <v>2015</v>
      </c>
      <c r="B589" s="1" t="s">
        <v>2362</v>
      </c>
      <c r="C589" s="2">
        <v>3361618</v>
      </c>
      <c r="D589" s="1">
        <v>0.341638</v>
      </c>
    </row>
    <row r="590" spans="1:4" x14ac:dyDescent="0.2">
      <c r="A590" s="1">
        <v>2015</v>
      </c>
      <c r="B590" s="1" t="s">
        <v>1733</v>
      </c>
      <c r="C590" s="2">
        <v>24390</v>
      </c>
      <c r="D590" s="1">
        <v>2.4789999999999999E-3</v>
      </c>
    </row>
    <row r="591" spans="1:4" x14ac:dyDescent="0.2">
      <c r="A591" s="1">
        <v>2015</v>
      </c>
      <c r="B591" s="1" t="s">
        <v>2363</v>
      </c>
      <c r="C591" s="2">
        <v>1034500</v>
      </c>
      <c r="D591" s="1">
        <v>0.10513500000000001</v>
      </c>
    </row>
    <row r="592" spans="1:4" x14ac:dyDescent="0.2">
      <c r="A592" s="1">
        <v>2015</v>
      </c>
      <c r="B592" s="1" t="s">
        <v>2364</v>
      </c>
      <c r="C592" s="2">
        <v>3863</v>
      </c>
      <c r="D592" s="1">
        <v>3.9300000000000001E-4</v>
      </c>
    </row>
    <row r="593" spans="1:4" x14ac:dyDescent="0.2">
      <c r="A593" s="1">
        <v>2015</v>
      </c>
      <c r="B593" s="1" t="s">
        <v>1736</v>
      </c>
      <c r="C593" s="2">
        <v>1615244</v>
      </c>
      <c r="D593" s="1">
        <v>0.164156</v>
      </c>
    </row>
    <row r="594" spans="1:4" x14ac:dyDescent="0.2">
      <c r="A594" s="1">
        <v>2015</v>
      </c>
      <c r="B594" s="1" t="s">
        <v>2365</v>
      </c>
      <c r="C594" s="2">
        <v>7649074</v>
      </c>
      <c r="D594" s="1">
        <v>0.77736899999999998</v>
      </c>
    </row>
    <row r="595" spans="1:4" x14ac:dyDescent="0.2">
      <c r="A595" s="1">
        <v>2015</v>
      </c>
      <c r="B595" s="1" t="s">
        <v>1738</v>
      </c>
      <c r="C595" s="2">
        <v>358853</v>
      </c>
      <c r="D595" s="1">
        <v>3.6470000000000002E-2</v>
      </c>
    </row>
    <row r="596" spans="1:4" x14ac:dyDescent="0.2">
      <c r="A596" s="1">
        <v>2015</v>
      </c>
      <c r="B596" s="1" t="s">
        <v>2366</v>
      </c>
      <c r="C596" s="2">
        <v>1715672</v>
      </c>
      <c r="D596" s="1">
        <v>0.17436199999999999</v>
      </c>
    </row>
    <row r="597" spans="1:4" x14ac:dyDescent="0.2">
      <c r="A597" s="1">
        <v>2015</v>
      </c>
      <c r="B597" s="1" t="s">
        <v>2367</v>
      </c>
      <c r="C597" s="2">
        <v>217942</v>
      </c>
      <c r="D597" s="1">
        <v>2.2148999999999999E-2</v>
      </c>
    </row>
    <row r="598" spans="1:4" x14ac:dyDescent="0.2">
      <c r="A598" s="1">
        <v>2015</v>
      </c>
      <c r="B598" s="1" t="s">
        <v>1741</v>
      </c>
      <c r="C598" s="2">
        <v>1419376</v>
      </c>
      <c r="D598" s="1">
        <v>0.14424999999999999</v>
      </c>
    </row>
    <row r="599" spans="1:4" x14ac:dyDescent="0.2">
      <c r="A599" s="1">
        <v>2015</v>
      </c>
      <c r="B599" s="1" t="s">
        <v>1742</v>
      </c>
      <c r="C599" s="2">
        <v>2972737</v>
      </c>
      <c r="D599" s="8">
        <v>3.0211700000000001E-3</v>
      </c>
    </row>
    <row r="600" spans="1:4" x14ac:dyDescent="0.2">
      <c r="A600" s="1">
        <v>2015</v>
      </c>
      <c r="B600" s="1" t="s">
        <v>2368</v>
      </c>
      <c r="C600" s="2">
        <v>25460</v>
      </c>
      <c r="D600" s="1">
        <v>2.5869999999999999E-3</v>
      </c>
    </row>
    <row r="601" spans="1:4" x14ac:dyDescent="0.2">
      <c r="A601" s="1">
        <v>2015</v>
      </c>
      <c r="B601" s="1" t="s">
        <v>2369</v>
      </c>
      <c r="C601" s="2">
        <v>2185097</v>
      </c>
      <c r="D601" s="1">
        <v>0.22206899999999999</v>
      </c>
    </row>
    <row r="602" spans="1:4" x14ac:dyDescent="0.2">
      <c r="A602" s="1">
        <v>2015</v>
      </c>
      <c r="B602" s="1" t="s">
        <v>2370</v>
      </c>
      <c r="C602" s="2">
        <v>1348582</v>
      </c>
      <c r="D602" s="1">
        <v>0.13705500000000001</v>
      </c>
    </row>
    <row r="603" spans="1:4" x14ac:dyDescent="0.2">
      <c r="A603" s="1">
        <v>2015</v>
      </c>
      <c r="B603" s="1" t="s">
        <v>2371</v>
      </c>
      <c r="C603" s="2">
        <v>41806</v>
      </c>
      <c r="D603" s="1">
        <v>4.2490000000000002E-3</v>
      </c>
    </row>
    <row r="604" spans="1:4" x14ac:dyDescent="0.2">
      <c r="A604" s="1">
        <v>2015</v>
      </c>
      <c r="B604" s="1" t="s">
        <v>1747</v>
      </c>
      <c r="C604" s="2">
        <v>3067794</v>
      </c>
      <c r="D604" s="1">
        <v>0.31177700000000003</v>
      </c>
    </row>
    <row r="605" spans="1:4" x14ac:dyDescent="0.2">
      <c r="A605" s="1">
        <v>2015</v>
      </c>
      <c r="B605" s="1" t="s">
        <v>2372</v>
      </c>
      <c r="C605" s="2">
        <v>563929</v>
      </c>
      <c r="D605" s="1">
        <v>5.7312000000000002E-2</v>
      </c>
    </row>
    <row r="606" spans="1:4" x14ac:dyDescent="0.2">
      <c r="A606" s="1">
        <v>2015</v>
      </c>
      <c r="B606" s="1" t="s">
        <v>1749</v>
      </c>
      <c r="C606" s="2">
        <v>86506</v>
      </c>
      <c r="D606" s="1">
        <v>8.7919999999999995E-3</v>
      </c>
    </row>
    <row r="607" spans="1:4" x14ac:dyDescent="0.2">
      <c r="A607" s="1">
        <v>2015</v>
      </c>
      <c r="B607" s="1" t="s">
        <v>2373</v>
      </c>
      <c r="C607" s="2">
        <v>1037814</v>
      </c>
      <c r="D607" s="1">
        <v>0.105472</v>
      </c>
    </row>
    <row r="608" spans="1:4" x14ac:dyDescent="0.2">
      <c r="A608" s="1">
        <v>2015</v>
      </c>
      <c r="B608" s="1" t="s">
        <v>2374</v>
      </c>
      <c r="C608" s="2">
        <v>377187</v>
      </c>
      <c r="D608" s="1">
        <v>3.8332999999999999E-2</v>
      </c>
    </row>
    <row r="609" spans="1:4" x14ac:dyDescent="0.2">
      <c r="A609" s="1">
        <v>2015</v>
      </c>
      <c r="B609" s="1" t="s">
        <v>1752</v>
      </c>
      <c r="C609" s="2">
        <v>546527</v>
      </c>
      <c r="D609" s="1">
        <v>5.5543000000000002E-2</v>
      </c>
    </row>
    <row r="610" spans="1:4" x14ac:dyDescent="0.2">
      <c r="A610" s="1">
        <v>2015</v>
      </c>
      <c r="B610" s="1" t="s">
        <v>2375</v>
      </c>
      <c r="C610" s="2">
        <v>3220443</v>
      </c>
      <c r="D610" s="1">
        <v>0.327291</v>
      </c>
    </row>
    <row r="611" spans="1:4" x14ac:dyDescent="0.2">
      <c r="A611" s="1">
        <v>2015</v>
      </c>
      <c r="B611" s="1" t="s">
        <v>1754</v>
      </c>
      <c r="C611" s="2">
        <v>465544</v>
      </c>
      <c r="D611" s="1">
        <v>4.7313000000000001E-2</v>
      </c>
    </row>
    <row r="612" spans="1:4" x14ac:dyDescent="0.2">
      <c r="A612" s="1">
        <v>2015</v>
      </c>
      <c r="B612" s="1" t="s">
        <v>2376</v>
      </c>
      <c r="C612" s="2">
        <v>869254</v>
      </c>
      <c r="D612" s="1">
        <v>8.8342000000000004E-2</v>
      </c>
    </row>
    <row r="613" spans="1:4" x14ac:dyDescent="0.2">
      <c r="A613" s="1">
        <v>2015</v>
      </c>
      <c r="B613" s="1" t="s">
        <v>2377</v>
      </c>
      <c r="C613" s="2">
        <v>22748</v>
      </c>
      <c r="D613" s="1">
        <v>2.3119999999999998E-3</v>
      </c>
    </row>
    <row r="614" spans="1:4" x14ac:dyDescent="0.2">
      <c r="A614" s="1">
        <v>2015</v>
      </c>
      <c r="B614" s="1" t="s">
        <v>1757</v>
      </c>
      <c r="C614" s="2">
        <v>839832</v>
      </c>
      <c r="D614" s="1">
        <v>8.5350999999999996E-2</v>
      </c>
    </row>
    <row r="615" spans="1:4" x14ac:dyDescent="0.2">
      <c r="A615" s="1">
        <v>2015</v>
      </c>
      <c r="B615" s="1" t="s">
        <v>1758</v>
      </c>
      <c r="C615" s="2">
        <v>92520</v>
      </c>
      <c r="D615" s="1">
        <v>9.4029999999999999E-3</v>
      </c>
    </row>
    <row r="616" spans="1:4" x14ac:dyDescent="0.2">
      <c r="A616" s="1">
        <v>2015</v>
      </c>
      <c r="B616" s="1" t="s">
        <v>2378</v>
      </c>
      <c r="C616" s="2">
        <v>3020534</v>
      </c>
      <c r="D616" s="1">
        <v>0.30697400000000002</v>
      </c>
    </row>
    <row r="617" spans="1:4" x14ac:dyDescent="0.2">
      <c r="A617" s="1">
        <v>2015</v>
      </c>
      <c r="B617" s="1" t="s">
        <v>2379</v>
      </c>
      <c r="C617" s="2">
        <v>1162476</v>
      </c>
      <c r="D617" s="1">
        <v>0.118141</v>
      </c>
    </row>
    <row r="618" spans="1:4" x14ac:dyDescent="0.2">
      <c r="A618" s="1">
        <v>2015</v>
      </c>
      <c r="B618" s="1" t="s">
        <v>1761</v>
      </c>
      <c r="C618" s="2">
        <v>3440</v>
      </c>
      <c r="D618" s="1">
        <v>3.5E-4</v>
      </c>
    </row>
    <row r="619" spans="1:4" x14ac:dyDescent="0.2">
      <c r="A619" s="1">
        <v>2015</v>
      </c>
      <c r="B619" s="1" t="s">
        <v>2380</v>
      </c>
      <c r="C619" s="2">
        <v>62919</v>
      </c>
      <c r="D619" s="1">
        <v>6.3940000000000004E-3</v>
      </c>
    </row>
    <row r="620" spans="1:4" x14ac:dyDescent="0.2">
      <c r="A620" s="1">
        <v>2015</v>
      </c>
      <c r="B620" s="1" t="s">
        <v>2395</v>
      </c>
      <c r="C620" s="2">
        <v>17564</v>
      </c>
      <c r="D620" s="1">
        <v>1.7849999999999999E-3</v>
      </c>
    </row>
    <row r="621" spans="1:4" x14ac:dyDescent="0.2">
      <c r="A621" s="1">
        <v>2015</v>
      </c>
      <c r="B621" s="1" t="s">
        <v>2381</v>
      </c>
      <c r="C621" s="2">
        <v>28895</v>
      </c>
      <c r="D621" s="1">
        <v>2.9369999999999999E-3</v>
      </c>
    </row>
    <row r="622" spans="1:4" x14ac:dyDescent="0.2">
      <c r="A622" s="1">
        <v>2015</v>
      </c>
      <c r="B622" s="1" t="s">
        <v>1765</v>
      </c>
      <c r="C622" s="2">
        <v>32358</v>
      </c>
      <c r="D622" s="1">
        <v>3.2889999999999998E-3</v>
      </c>
    </row>
    <row r="623" spans="1:4" x14ac:dyDescent="0.2">
      <c r="A623" s="1">
        <v>2015</v>
      </c>
      <c r="B623" s="1" t="s">
        <v>1766</v>
      </c>
      <c r="C623" s="2">
        <v>472722</v>
      </c>
      <c r="D623" s="1">
        <v>4.8042000000000001E-2</v>
      </c>
    </row>
    <row r="624" spans="1:4" x14ac:dyDescent="0.2">
      <c r="A624" s="1">
        <v>2015</v>
      </c>
      <c r="B624" s="1" t="s">
        <v>2382</v>
      </c>
      <c r="C624" s="2">
        <v>2483274</v>
      </c>
      <c r="D624" s="1">
        <v>0.25237300000000001</v>
      </c>
    </row>
    <row r="625" spans="1:4" x14ac:dyDescent="0.2">
      <c r="A625" s="1">
        <v>2015</v>
      </c>
      <c r="B625" s="1" t="s">
        <v>2383</v>
      </c>
      <c r="C625" s="2">
        <v>634305</v>
      </c>
      <c r="D625" s="1">
        <v>6.4463999999999994E-2</v>
      </c>
    </row>
    <row r="626" spans="1:4" x14ac:dyDescent="0.2">
      <c r="A626" s="1">
        <v>2015</v>
      </c>
      <c r="B626" s="1" t="s">
        <v>2396</v>
      </c>
      <c r="C626" s="2">
        <v>4007</v>
      </c>
      <c r="D626" s="1">
        <v>4.0700000000000003E-4</v>
      </c>
    </row>
    <row r="627" spans="1:4" x14ac:dyDescent="0.2">
      <c r="A627" s="1">
        <v>2015</v>
      </c>
      <c r="B627" s="1" t="s">
        <v>1770</v>
      </c>
      <c r="C627" s="2">
        <v>19291</v>
      </c>
      <c r="D627" s="1">
        <v>1.9610000000000001E-3</v>
      </c>
    </row>
    <row r="628" spans="1:4" x14ac:dyDescent="0.2">
      <c r="A628" s="1">
        <v>2015</v>
      </c>
      <c r="B628" s="1" t="s">
        <v>2384</v>
      </c>
      <c r="C628" s="2">
        <v>1721441</v>
      </c>
      <c r="D628" s="1">
        <v>0.17494899999999999</v>
      </c>
    </row>
    <row r="629" spans="1:4" x14ac:dyDescent="0.2">
      <c r="A629" s="1">
        <v>2015</v>
      </c>
      <c r="B629" s="1" t="s">
        <v>1772</v>
      </c>
      <c r="C629" s="2">
        <v>160734</v>
      </c>
      <c r="D629" s="1">
        <v>1.6334999999999999E-2</v>
      </c>
    </row>
    <row r="630" spans="1:4" x14ac:dyDescent="0.2">
      <c r="A630" s="1">
        <v>2015</v>
      </c>
      <c r="B630" s="1" t="s">
        <v>2385</v>
      </c>
      <c r="C630" s="2">
        <v>1723916</v>
      </c>
      <c r="D630" s="1">
        <v>0.17519999999999999</v>
      </c>
    </row>
    <row r="631" spans="1:4" x14ac:dyDescent="0.2">
      <c r="A631" s="1">
        <v>2015</v>
      </c>
      <c r="B631" s="1" t="s">
        <v>2386</v>
      </c>
      <c r="C631" s="2">
        <v>358328</v>
      </c>
      <c r="D631" s="1">
        <v>3.6416999999999998E-2</v>
      </c>
    </row>
    <row r="632" spans="1:4" x14ac:dyDescent="0.2">
      <c r="A632" s="1">
        <v>2015</v>
      </c>
      <c r="B632" s="1" t="s">
        <v>1775</v>
      </c>
      <c r="C632" s="2">
        <v>116908</v>
      </c>
      <c r="D632" s="1">
        <v>1.1880999999999999E-2</v>
      </c>
    </row>
    <row r="633" spans="1:4" x14ac:dyDescent="0.2">
      <c r="A633" s="1">
        <v>2015</v>
      </c>
      <c r="B633" s="1" t="s">
        <v>1776</v>
      </c>
      <c r="C633" s="2">
        <v>14118</v>
      </c>
      <c r="D633" s="1">
        <v>1.4350000000000001E-3</v>
      </c>
    </row>
    <row r="634" spans="1:4" x14ac:dyDescent="0.2">
      <c r="A634" s="1">
        <v>2015</v>
      </c>
      <c r="B634" s="1" t="s">
        <v>2387</v>
      </c>
      <c r="C634" s="2">
        <v>1886772</v>
      </c>
      <c r="D634" s="1">
        <v>0.191751</v>
      </c>
    </row>
    <row r="635" spans="1:4" x14ac:dyDescent="0.2">
      <c r="A635" s="1">
        <v>2015</v>
      </c>
      <c r="B635" s="1" t="s">
        <v>2388</v>
      </c>
      <c r="C635" s="2">
        <v>551221</v>
      </c>
      <c r="D635" s="1">
        <v>5.602E-2</v>
      </c>
    </row>
    <row r="636" spans="1:4" x14ac:dyDescent="0.2">
      <c r="A636" s="1">
        <v>2015</v>
      </c>
      <c r="B636" s="1" t="s">
        <v>2389</v>
      </c>
      <c r="C636" s="2">
        <v>1802</v>
      </c>
      <c r="D636" s="1">
        <v>1.83E-4</v>
      </c>
    </row>
    <row r="637" spans="1:4" x14ac:dyDescent="0.2">
      <c r="A637" s="1">
        <v>2015</v>
      </c>
      <c r="B637" s="1" t="s">
        <v>1780</v>
      </c>
      <c r="C637" s="2">
        <v>87446</v>
      </c>
      <c r="D637" s="1">
        <v>8.8870000000000008E-3</v>
      </c>
    </row>
    <row r="638" spans="1:4" x14ac:dyDescent="0.2">
      <c r="A638" s="1">
        <v>2015</v>
      </c>
      <c r="B638" s="1" t="s">
        <v>1781</v>
      </c>
      <c r="C638" s="2">
        <v>40124</v>
      </c>
      <c r="D638" s="1">
        <v>4.078E-3</v>
      </c>
    </row>
    <row r="639" spans="1:4" x14ac:dyDescent="0.2">
      <c r="A639" s="1">
        <v>2015</v>
      </c>
      <c r="B639" s="1" t="s">
        <v>2390</v>
      </c>
      <c r="C639" s="2">
        <v>47933</v>
      </c>
      <c r="D639" s="1">
        <v>4.8710000000000003E-3</v>
      </c>
    </row>
    <row r="640" spans="1:4" x14ac:dyDescent="0.2">
      <c r="A640" s="1">
        <v>2015</v>
      </c>
      <c r="B640" s="1" t="s">
        <v>2391</v>
      </c>
      <c r="C640" s="2">
        <v>1095971</v>
      </c>
      <c r="D640" s="1">
        <v>0.111383</v>
      </c>
    </row>
    <row r="641" spans="1:4" x14ac:dyDescent="0.2">
      <c r="A641" s="1">
        <v>2015</v>
      </c>
      <c r="B641" s="1" t="s">
        <v>2392</v>
      </c>
      <c r="C641" s="2">
        <v>702427</v>
      </c>
      <c r="D641" s="1">
        <v>7.1387000000000006E-2</v>
      </c>
    </row>
    <row r="642" spans="1:4" x14ac:dyDescent="0.2">
      <c r="A642" s="1">
        <v>2015</v>
      </c>
      <c r="B642" s="1" t="s">
        <v>1785</v>
      </c>
      <c r="C642" s="2">
        <v>15418</v>
      </c>
      <c r="D642" s="1">
        <v>1.567E-3</v>
      </c>
    </row>
    <row r="643" spans="1:4" x14ac:dyDescent="0.2">
      <c r="A643" s="1">
        <v>2015</v>
      </c>
      <c r="B643" s="1" t="s">
        <v>1786</v>
      </c>
      <c r="C643" s="2">
        <v>148096</v>
      </c>
      <c r="D643" s="1">
        <v>1.5051E-2</v>
      </c>
    </row>
    <row r="644" spans="1:4" x14ac:dyDescent="0.2">
      <c r="A644" s="1">
        <v>2015</v>
      </c>
      <c r="B644" s="1" t="s">
        <v>2393</v>
      </c>
      <c r="C644" s="2">
        <v>1072319</v>
      </c>
      <c r="D644" s="1">
        <v>0.10897900000000001</v>
      </c>
    </row>
    <row r="645" spans="1:4" x14ac:dyDescent="0.2">
      <c r="A645" s="1">
        <v>2015</v>
      </c>
      <c r="B645" s="1" t="s">
        <v>2394</v>
      </c>
      <c r="C645" s="2">
        <v>377783</v>
      </c>
      <c r="D645" s="1">
        <v>3.8393999999999998E-2</v>
      </c>
    </row>
    <row r="646" spans="1:4" x14ac:dyDescent="0.2">
      <c r="A646" s="1">
        <v>2015</v>
      </c>
      <c r="B646" s="1" t="s">
        <v>1789</v>
      </c>
      <c r="C646" s="2">
        <v>1608049</v>
      </c>
      <c r="D646" s="1">
        <v>0.16342499999999999</v>
      </c>
    </row>
    <row r="647" spans="1:4" x14ac:dyDescent="0.2">
      <c r="A647" s="1">
        <v>2015</v>
      </c>
      <c r="B647" s="1" t="s">
        <v>1790</v>
      </c>
      <c r="C647" s="2">
        <v>49647</v>
      </c>
      <c r="D647" s="8">
        <v>5.0460000000000001E-5</v>
      </c>
    </row>
    <row r="648" spans="1:4" x14ac:dyDescent="0.2">
      <c r="A648" s="1">
        <v>2015</v>
      </c>
      <c r="B648" s="1" t="s">
        <v>2397</v>
      </c>
      <c r="C648" s="2">
        <v>14085657</v>
      </c>
      <c r="D648" s="1">
        <v>1.431513</v>
      </c>
    </row>
    <row r="649" spans="1:4" x14ac:dyDescent="0.2">
      <c r="A649" s="1">
        <v>2015</v>
      </c>
      <c r="B649" s="1" t="s">
        <v>2398</v>
      </c>
      <c r="C649" s="2">
        <v>2766159</v>
      </c>
      <c r="D649" s="1">
        <v>0.28112199999999998</v>
      </c>
    </row>
    <row r="650" spans="1:4" x14ac:dyDescent="0.2">
      <c r="A650" s="1">
        <v>2015</v>
      </c>
      <c r="B650" s="1" t="s">
        <v>2399</v>
      </c>
      <c r="C650" s="2">
        <v>60756</v>
      </c>
      <c r="D650" s="1">
        <v>6.1749999999999999E-3</v>
      </c>
    </row>
    <row r="651" spans="1:4" x14ac:dyDescent="0.2">
      <c r="A651" s="1">
        <v>2015</v>
      </c>
      <c r="B651" s="1" t="s">
        <v>1794</v>
      </c>
      <c r="C651" s="2">
        <v>15290</v>
      </c>
      <c r="D651" s="1">
        <v>1.554E-3</v>
      </c>
    </row>
    <row r="652" spans="1:4" x14ac:dyDescent="0.2">
      <c r="A652" s="1">
        <v>2015</v>
      </c>
      <c r="B652" s="1" t="s">
        <v>1795</v>
      </c>
      <c r="C652" s="2">
        <v>104269</v>
      </c>
      <c r="D652" s="1">
        <v>1.0597000000000001E-2</v>
      </c>
    </row>
    <row r="653" spans="1:4" x14ac:dyDescent="0.2">
      <c r="A653" s="1">
        <v>2015</v>
      </c>
      <c r="B653" s="1" t="s">
        <v>1796</v>
      </c>
      <c r="C653" s="2">
        <v>88116</v>
      </c>
      <c r="D653" s="1">
        <v>8.9549999999999994E-3</v>
      </c>
    </row>
    <row r="654" spans="1:4" x14ac:dyDescent="0.2">
      <c r="A654" s="1">
        <v>2015</v>
      </c>
      <c r="B654" s="1" t="s">
        <v>2400</v>
      </c>
      <c r="C654" s="2">
        <v>5376351</v>
      </c>
      <c r="D654" s="1">
        <v>0.54639400000000005</v>
      </c>
    </row>
    <row r="655" spans="1:4" x14ac:dyDescent="0.2">
      <c r="A655" s="1">
        <v>2015</v>
      </c>
      <c r="B655" s="1" t="s">
        <v>1798</v>
      </c>
      <c r="C655" s="2">
        <v>150685</v>
      </c>
      <c r="D655" s="1">
        <v>1.5313999999999999E-2</v>
      </c>
    </row>
    <row r="656" spans="1:4" x14ac:dyDescent="0.2">
      <c r="A656" s="1">
        <v>2015</v>
      </c>
      <c r="B656" s="1" t="s">
        <v>1799</v>
      </c>
      <c r="C656" s="2">
        <v>727955</v>
      </c>
      <c r="D656" s="1">
        <v>7.3981000000000005E-2</v>
      </c>
    </row>
    <row r="657" spans="1:4" x14ac:dyDescent="0.2">
      <c r="A657" s="1">
        <v>2015</v>
      </c>
      <c r="B657" s="1" t="s">
        <v>2401</v>
      </c>
      <c r="C657" s="2">
        <v>493768</v>
      </c>
      <c r="D657" s="1">
        <v>5.0181000000000003E-2</v>
      </c>
    </row>
    <row r="658" spans="1:4" x14ac:dyDescent="0.2">
      <c r="A658" s="1">
        <v>2015</v>
      </c>
      <c r="B658" s="1" t="s">
        <v>1801</v>
      </c>
      <c r="C658" s="2">
        <v>47997</v>
      </c>
      <c r="D658" s="1">
        <v>4.8780000000000004E-3</v>
      </c>
    </row>
    <row r="659" spans="1:4" x14ac:dyDescent="0.2">
      <c r="A659" s="1">
        <v>2015</v>
      </c>
      <c r="B659" s="1" t="s">
        <v>1802</v>
      </c>
      <c r="C659" s="2">
        <v>1778757</v>
      </c>
      <c r="D659" s="1">
        <v>0.18077399999999999</v>
      </c>
    </row>
    <row r="660" spans="1:4" x14ac:dyDescent="0.2">
      <c r="A660" s="1">
        <v>2015</v>
      </c>
      <c r="B660" s="1" t="s">
        <v>1803</v>
      </c>
      <c r="C660" s="2">
        <v>48709</v>
      </c>
      <c r="D660" s="1">
        <v>4.9500000000000004E-3</v>
      </c>
    </row>
    <row r="661" spans="1:4" x14ac:dyDescent="0.2">
      <c r="A661" s="1">
        <v>2015</v>
      </c>
      <c r="B661" s="1" t="s">
        <v>1804</v>
      </c>
      <c r="C661" s="2">
        <v>243365</v>
      </c>
      <c r="D661" s="1">
        <v>2.4733000000000002E-2</v>
      </c>
    </row>
    <row r="662" spans="1:4" x14ac:dyDescent="0.2">
      <c r="A662" s="1">
        <v>2015</v>
      </c>
      <c r="B662" s="1" t="s">
        <v>1805</v>
      </c>
      <c r="C662" s="2">
        <v>95966</v>
      </c>
      <c r="D662" s="1">
        <v>9.7529999999999995E-3</v>
      </c>
    </row>
    <row r="663" spans="1:4" x14ac:dyDescent="0.2">
      <c r="A663" s="1">
        <v>2015</v>
      </c>
      <c r="B663" s="1" t="s">
        <v>1806</v>
      </c>
      <c r="C663" s="2">
        <v>49546</v>
      </c>
      <c r="D663" s="1">
        <v>5.0350000000000004E-3</v>
      </c>
    </row>
    <row r="664" spans="1:4" x14ac:dyDescent="0.2">
      <c r="A664" s="1">
        <v>2015</v>
      </c>
      <c r="B664" s="1" t="s">
        <v>2402</v>
      </c>
      <c r="C664" s="2">
        <v>47110</v>
      </c>
      <c r="D664" s="1">
        <v>4.7879999999999997E-3</v>
      </c>
    </row>
    <row r="665" spans="1:4" x14ac:dyDescent="0.2">
      <c r="A665" s="1">
        <v>2015</v>
      </c>
      <c r="B665" s="1" t="s">
        <v>1808</v>
      </c>
      <c r="C665" s="2">
        <v>15808</v>
      </c>
      <c r="D665" s="1">
        <v>1.6069999999999999E-3</v>
      </c>
    </row>
    <row r="666" spans="1:4" x14ac:dyDescent="0.2">
      <c r="A666" s="1">
        <v>2015</v>
      </c>
      <c r="B666" s="1" t="s">
        <v>1809</v>
      </c>
      <c r="C666" s="2">
        <v>94327</v>
      </c>
      <c r="D666" s="1">
        <v>9.5860000000000008E-3</v>
      </c>
    </row>
    <row r="667" spans="1:4" x14ac:dyDescent="0.2">
      <c r="A667" s="1">
        <v>2015</v>
      </c>
      <c r="B667" s="1" t="s">
        <v>2403</v>
      </c>
      <c r="C667" s="2">
        <v>15171</v>
      </c>
      <c r="D667" s="1">
        <v>1.542E-3</v>
      </c>
    </row>
    <row r="668" spans="1:4" x14ac:dyDescent="0.2">
      <c r="A668" s="1">
        <v>2015</v>
      </c>
      <c r="B668" s="1" t="s">
        <v>1811</v>
      </c>
      <c r="C668" s="2">
        <v>187975</v>
      </c>
      <c r="D668" s="1">
        <v>1.9103999999999999E-2</v>
      </c>
    </row>
    <row r="669" spans="1:4" x14ac:dyDescent="0.2">
      <c r="A669" s="1">
        <v>2015</v>
      </c>
      <c r="B669" s="1" t="s">
        <v>1812</v>
      </c>
      <c r="C669" s="2">
        <v>88516</v>
      </c>
      <c r="D669" s="1">
        <v>8.9960000000000005E-3</v>
      </c>
    </row>
    <row r="670" spans="1:4" x14ac:dyDescent="0.2">
      <c r="A670" s="1">
        <v>2015</v>
      </c>
      <c r="B670" s="1" t="s">
        <v>1813</v>
      </c>
      <c r="C670" s="2">
        <v>20033</v>
      </c>
      <c r="D670" s="1">
        <v>2.036E-3</v>
      </c>
    </row>
    <row r="671" spans="1:4" x14ac:dyDescent="0.2">
      <c r="A671" s="1">
        <v>2015</v>
      </c>
      <c r="B671" s="1" t="s">
        <v>2404</v>
      </c>
      <c r="C671" s="2">
        <v>2632839</v>
      </c>
      <c r="D671" s="1">
        <v>0.26757300000000001</v>
      </c>
    </row>
    <row r="672" spans="1:4" x14ac:dyDescent="0.2">
      <c r="A672" s="1">
        <v>2015</v>
      </c>
      <c r="B672" s="1" t="s">
        <v>2405</v>
      </c>
      <c r="C672" s="2">
        <v>671902</v>
      </c>
      <c r="D672" s="1">
        <v>6.8284999999999998E-2</v>
      </c>
    </row>
    <row r="673" spans="1:4" x14ac:dyDescent="0.2">
      <c r="A673" s="1">
        <v>2015</v>
      </c>
      <c r="B673" s="1" t="s">
        <v>2406</v>
      </c>
      <c r="C673" s="2">
        <v>29302</v>
      </c>
      <c r="D673" s="1">
        <v>2.9780000000000002E-3</v>
      </c>
    </row>
    <row r="674" spans="1:4" x14ac:dyDescent="0.2">
      <c r="A674" s="1">
        <v>2015</v>
      </c>
      <c r="B674" s="1" t="s">
        <v>1817</v>
      </c>
      <c r="C674" s="2">
        <v>20324</v>
      </c>
      <c r="D674" s="1">
        <v>2.0660000000000001E-3</v>
      </c>
    </row>
    <row r="675" spans="1:4" x14ac:dyDescent="0.2">
      <c r="A675" s="1">
        <v>2015</v>
      </c>
      <c r="B675" s="1" t="s">
        <v>1818</v>
      </c>
      <c r="C675" s="2">
        <v>804778</v>
      </c>
      <c r="D675" s="1">
        <v>8.1789000000000001E-2</v>
      </c>
    </row>
    <row r="676" spans="1:4" x14ac:dyDescent="0.2">
      <c r="A676" s="1">
        <v>2015</v>
      </c>
      <c r="B676" s="1" t="s">
        <v>1819</v>
      </c>
      <c r="C676" s="2">
        <v>11901</v>
      </c>
      <c r="D676" s="1">
        <v>1.209E-3</v>
      </c>
    </row>
    <row r="677" spans="1:4" x14ac:dyDescent="0.2">
      <c r="A677" s="1">
        <v>2015</v>
      </c>
      <c r="B677" s="1" t="s">
        <v>1820</v>
      </c>
      <c r="C677" s="2">
        <v>444596</v>
      </c>
      <c r="D677" s="1">
        <v>4.5184000000000002E-2</v>
      </c>
    </row>
    <row r="678" spans="1:4" x14ac:dyDescent="0.2">
      <c r="A678" s="1">
        <v>2015</v>
      </c>
      <c r="B678" s="1" t="s">
        <v>1821</v>
      </c>
      <c r="C678" s="2">
        <v>28281</v>
      </c>
      <c r="D678" s="1">
        <v>2.8739999999999998E-3</v>
      </c>
    </row>
    <row r="679" spans="1:4" x14ac:dyDescent="0.2">
      <c r="A679" s="1">
        <v>2015</v>
      </c>
      <c r="B679" s="1" t="s">
        <v>2407</v>
      </c>
      <c r="C679" s="2">
        <v>1309578</v>
      </c>
      <c r="D679" s="1">
        <v>0.13309099999999999</v>
      </c>
    </row>
    <row r="680" spans="1:4" x14ac:dyDescent="0.2">
      <c r="A680" s="1">
        <v>2015</v>
      </c>
      <c r="B680" s="1" t="s">
        <v>1823</v>
      </c>
      <c r="C680" s="2">
        <v>54142</v>
      </c>
      <c r="D680" s="1">
        <v>5.5019999999999999E-3</v>
      </c>
    </row>
    <row r="681" spans="1:4" x14ac:dyDescent="0.2">
      <c r="A681" s="1">
        <v>2015</v>
      </c>
      <c r="B681" s="1" t="s">
        <v>2408</v>
      </c>
      <c r="C681" s="2">
        <v>232304</v>
      </c>
      <c r="D681" s="1">
        <v>2.3609000000000002E-2</v>
      </c>
    </row>
    <row r="682" spans="1:4" x14ac:dyDescent="0.2">
      <c r="A682" s="1">
        <v>2015</v>
      </c>
      <c r="B682" s="1" t="s">
        <v>2409</v>
      </c>
      <c r="C682" s="2">
        <v>12850</v>
      </c>
      <c r="D682" s="1">
        <v>1.3060000000000001E-3</v>
      </c>
    </row>
    <row r="683" spans="1:4" x14ac:dyDescent="0.2">
      <c r="A683" s="1">
        <v>2015</v>
      </c>
      <c r="B683" s="1" t="s">
        <v>1826</v>
      </c>
      <c r="C683" s="2">
        <v>43061</v>
      </c>
      <c r="D683" s="1">
        <v>4.3759999999999997E-3</v>
      </c>
    </row>
    <row r="684" spans="1:4" x14ac:dyDescent="0.2">
      <c r="A684" s="1">
        <v>2015</v>
      </c>
      <c r="B684" s="1" t="s">
        <v>2410</v>
      </c>
      <c r="C684" s="2">
        <v>135212</v>
      </c>
      <c r="D684" s="1">
        <v>1.3741E-2</v>
      </c>
    </row>
    <row r="685" spans="1:4" x14ac:dyDescent="0.2">
      <c r="A685" s="1">
        <v>2015</v>
      </c>
      <c r="B685" s="1" t="s">
        <v>1827</v>
      </c>
      <c r="C685" s="2">
        <v>64947</v>
      </c>
      <c r="D685" s="1">
        <v>6.6010000000000001E-3</v>
      </c>
    </row>
    <row r="686" spans="1:4" x14ac:dyDescent="0.2">
      <c r="A686" s="1">
        <v>2015</v>
      </c>
      <c r="B686" s="1" t="s">
        <v>1828</v>
      </c>
      <c r="C686" s="2">
        <v>6038</v>
      </c>
      <c r="D686" s="1">
        <v>6.1399999999999996E-4</v>
      </c>
    </row>
    <row r="687" spans="1:4" x14ac:dyDescent="0.2">
      <c r="A687" s="1">
        <v>2015</v>
      </c>
      <c r="B687" s="1" t="s">
        <v>1829</v>
      </c>
      <c r="C687" s="2">
        <v>50830</v>
      </c>
      <c r="D687" s="1">
        <v>5.1659999999999996E-3</v>
      </c>
    </row>
    <row r="688" spans="1:4" x14ac:dyDescent="0.2">
      <c r="A688" s="1">
        <v>2015</v>
      </c>
      <c r="B688" s="1" t="s">
        <v>1830</v>
      </c>
      <c r="C688" s="2">
        <v>17873</v>
      </c>
      <c r="D688" s="1">
        <v>1.8159999999999999E-3</v>
      </c>
    </row>
    <row r="689" spans="1:4" x14ac:dyDescent="0.2">
      <c r="A689" s="1">
        <v>2015</v>
      </c>
      <c r="B689" s="1" t="s">
        <v>1831</v>
      </c>
      <c r="C689" s="2">
        <v>24660</v>
      </c>
      <c r="D689" s="1">
        <v>2.506E-3</v>
      </c>
    </row>
    <row r="690" spans="1:4" x14ac:dyDescent="0.2">
      <c r="A690" s="1">
        <v>2015</v>
      </c>
      <c r="B690" s="1" t="s">
        <v>1832</v>
      </c>
      <c r="C690" s="1">
        <v>945</v>
      </c>
      <c r="D690" s="1">
        <v>9.6000000000000002E-5</v>
      </c>
    </row>
    <row r="691" spans="1:4" x14ac:dyDescent="0.2">
      <c r="A691" s="1">
        <v>2015</v>
      </c>
      <c r="B691" s="1" t="s">
        <v>2411</v>
      </c>
      <c r="C691" s="2">
        <v>2950075</v>
      </c>
      <c r="D691" s="1">
        <v>0.29981400000000002</v>
      </c>
    </row>
    <row r="692" spans="1:4" x14ac:dyDescent="0.2">
      <c r="A692" s="1">
        <v>2015</v>
      </c>
      <c r="B692" s="1" t="s">
        <v>2412</v>
      </c>
      <c r="C692" s="2">
        <v>730693</v>
      </c>
      <c r="D692" s="1">
        <v>7.4260000000000007E-2</v>
      </c>
    </row>
    <row r="693" spans="1:4" x14ac:dyDescent="0.2">
      <c r="A693" s="1">
        <v>2015</v>
      </c>
      <c r="B693" s="1" t="s">
        <v>2413</v>
      </c>
      <c r="C693" s="2">
        <v>3875</v>
      </c>
      <c r="D693" s="1">
        <v>3.9399999999999998E-4</v>
      </c>
    </row>
    <row r="694" spans="1:4" x14ac:dyDescent="0.2">
      <c r="A694" s="1">
        <v>2015</v>
      </c>
      <c r="B694" s="1" t="s">
        <v>1836</v>
      </c>
      <c r="C694" s="2">
        <v>568239</v>
      </c>
      <c r="D694" s="1">
        <v>5.7750000000000003E-2</v>
      </c>
    </row>
    <row r="695" spans="1:4" x14ac:dyDescent="0.2">
      <c r="A695" s="1">
        <v>2015</v>
      </c>
      <c r="B695" s="1" t="s">
        <v>1837</v>
      </c>
      <c r="C695" s="2">
        <v>3268</v>
      </c>
      <c r="D695" s="1">
        <v>3.3199999999999999E-4</v>
      </c>
    </row>
    <row r="696" spans="1:4" x14ac:dyDescent="0.2">
      <c r="A696" s="1">
        <v>2015</v>
      </c>
      <c r="B696" s="1" t="s">
        <v>2414</v>
      </c>
      <c r="C696" s="2">
        <v>2067871</v>
      </c>
      <c r="D696" s="1">
        <v>0.21015600000000001</v>
      </c>
    </row>
    <row r="697" spans="1:4" x14ac:dyDescent="0.2">
      <c r="A697" s="1">
        <v>2015</v>
      </c>
      <c r="B697" s="1" t="s">
        <v>2415</v>
      </c>
      <c r="C697" s="2">
        <v>419050</v>
      </c>
      <c r="D697" s="8">
        <v>4.2588000000000001E-4</v>
      </c>
    </row>
    <row r="698" spans="1:4" x14ac:dyDescent="0.2">
      <c r="A698" s="1">
        <v>2015</v>
      </c>
      <c r="B698" s="1" t="s">
        <v>1840</v>
      </c>
      <c r="C698" s="2">
        <v>37598</v>
      </c>
      <c r="D698" s="1">
        <v>3.8210000000000002E-3</v>
      </c>
    </row>
    <row r="699" spans="1:4" x14ac:dyDescent="0.2">
      <c r="A699" s="1">
        <v>2015</v>
      </c>
      <c r="B699" s="1" t="s">
        <v>2416</v>
      </c>
      <c r="C699" s="2">
        <v>1233814</v>
      </c>
      <c r="D699" s="1">
        <v>0.125391</v>
      </c>
    </row>
    <row r="700" spans="1:4" x14ac:dyDescent="0.2">
      <c r="A700" s="1">
        <v>2015</v>
      </c>
      <c r="B700" s="1" t="s">
        <v>1842</v>
      </c>
      <c r="C700" s="2">
        <v>12424</v>
      </c>
      <c r="D700" s="1">
        <v>1.263E-3</v>
      </c>
    </row>
    <row r="701" spans="1:4" x14ac:dyDescent="0.2">
      <c r="A701" s="1">
        <v>2015</v>
      </c>
      <c r="B701" s="1" t="s">
        <v>2417</v>
      </c>
      <c r="C701" s="2">
        <v>165664</v>
      </c>
      <c r="D701" s="1">
        <v>1.6836E-2</v>
      </c>
    </row>
    <row r="702" spans="1:4" x14ac:dyDescent="0.2">
      <c r="A702" s="1">
        <v>2015</v>
      </c>
      <c r="B702" s="1" t="s">
        <v>1844</v>
      </c>
      <c r="C702" s="2">
        <v>811443</v>
      </c>
      <c r="D702" s="1">
        <v>8.2465999999999998E-2</v>
      </c>
    </row>
    <row r="703" spans="1:4" x14ac:dyDescent="0.2">
      <c r="A703" s="1">
        <v>2015</v>
      </c>
      <c r="B703" s="1" t="s">
        <v>1846</v>
      </c>
      <c r="C703" s="2">
        <v>26153</v>
      </c>
      <c r="D703" s="1">
        <v>2.6580000000000002E-3</v>
      </c>
    </row>
    <row r="704" spans="1:4" x14ac:dyDescent="0.2">
      <c r="A704" s="1">
        <v>2015</v>
      </c>
      <c r="B704" s="1" t="s">
        <v>2418</v>
      </c>
      <c r="C704" s="2">
        <v>2318379</v>
      </c>
      <c r="D704" s="1">
        <v>0.23561499999999999</v>
      </c>
    </row>
    <row r="705" spans="1:4" x14ac:dyDescent="0.2">
      <c r="A705" s="1">
        <v>2015</v>
      </c>
      <c r="B705" s="1" t="s">
        <v>2419</v>
      </c>
      <c r="C705" s="2">
        <v>37983</v>
      </c>
      <c r="D705" s="1">
        <v>3.8600000000000001E-3</v>
      </c>
    </row>
    <row r="706" spans="1:4" x14ac:dyDescent="0.2">
      <c r="A706" s="1">
        <v>2015</v>
      </c>
      <c r="B706" s="1" t="s">
        <v>2420</v>
      </c>
      <c r="C706" s="2">
        <v>628524</v>
      </c>
      <c r="D706" s="1">
        <v>6.3876000000000002E-2</v>
      </c>
    </row>
    <row r="707" spans="1:4" x14ac:dyDescent="0.2">
      <c r="A707" s="1">
        <v>2015</v>
      </c>
      <c r="B707" s="1" t="s">
        <v>2421</v>
      </c>
      <c r="C707" s="2">
        <v>3131184</v>
      </c>
      <c r="D707" s="1">
        <v>0.31821899999999997</v>
      </c>
    </row>
    <row r="708" spans="1:4" x14ac:dyDescent="0.2">
      <c r="A708" s="1">
        <v>2015</v>
      </c>
      <c r="B708" s="1" t="s">
        <v>1851</v>
      </c>
      <c r="C708" s="2">
        <v>1388985</v>
      </c>
      <c r="D708" s="1">
        <v>0.14116100000000001</v>
      </c>
    </row>
    <row r="709" spans="1:4" x14ac:dyDescent="0.2">
      <c r="A709" s="1">
        <v>2015</v>
      </c>
      <c r="B709" s="1" t="s">
        <v>2422</v>
      </c>
      <c r="C709" s="2">
        <v>2046924</v>
      </c>
      <c r="D709" s="1">
        <v>0.20802699999999999</v>
      </c>
    </row>
    <row r="710" spans="1:4" x14ac:dyDescent="0.2">
      <c r="A710" s="1">
        <v>2015</v>
      </c>
      <c r="B710" s="1" t="s">
        <v>1853</v>
      </c>
      <c r="C710" s="2">
        <v>2996686</v>
      </c>
      <c r="D710" s="1">
        <v>0.30455100000000002</v>
      </c>
    </row>
    <row r="711" spans="1:4" x14ac:dyDescent="0.2">
      <c r="A711" s="1">
        <v>2015</v>
      </c>
      <c r="B711" s="1" t="s">
        <v>2423</v>
      </c>
      <c r="C711" s="2">
        <v>1546450</v>
      </c>
      <c r="D711" s="1">
        <v>0.157164</v>
      </c>
    </row>
    <row r="712" spans="1:4" x14ac:dyDescent="0.2">
      <c r="A712" s="1">
        <v>2015</v>
      </c>
      <c r="B712" s="1" t="s">
        <v>2438</v>
      </c>
      <c r="C712" s="2">
        <v>435407</v>
      </c>
      <c r="D712" s="1">
        <v>4.4249999999999998E-2</v>
      </c>
    </row>
    <row r="713" spans="1:4" x14ac:dyDescent="0.2">
      <c r="A713" s="1">
        <v>2015</v>
      </c>
      <c r="B713" s="1" t="s">
        <v>1854</v>
      </c>
      <c r="C713" s="2">
        <v>689991</v>
      </c>
      <c r="D713" s="1">
        <v>7.0123000000000005E-2</v>
      </c>
    </row>
    <row r="714" spans="1:4" x14ac:dyDescent="0.2">
      <c r="A714" s="1">
        <v>2015</v>
      </c>
      <c r="B714" s="1" t="s">
        <v>1855</v>
      </c>
      <c r="C714" s="2">
        <v>1425350</v>
      </c>
      <c r="D714" s="1">
        <v>0.14485700000000001</v>
      </c>
    </row>
    <row r="715" spans="1:4" x14ac:dyDescent="0.2">
      <c r="A715" s="1">
        <v>2015</v>
      </c>
      <c r="B715" s="1" t="s">
        <v>2424</v>
      </c>
      <c r="C715" s="2">
        <v>223192</v>
      </c>
      <c r="D715" s="1">
        <v>2.2682999999999998E-2</v>
      </c>
    </row>
    <row r="716" spans="1:4" x14ac:dyDescent="0.2">
      <c r="A716" s="1">
        <v>2015</v>
      </c>
      <c r="B716" s="1" t="s">
        <v>1857</v>
      </c>
      <c r="C716" s="2">
        <v>68125</v>
      </c>
      <c r="D716" s="1">
        <v>6.9230000000000003E-3</v>
      </c>
    </row>
    <row r="717" spans="1:4" x14ac:dyDescent="0.2">
      <c r="A717" s="1">
        <v>2015</v>
      </c>
      <c r="B717" s="1" t="s">
        <v>2425</v>
      </c>
      <c r="C717" s="2">
        <v>3837152</v>
      </c>
      <c r="D717" s="1">
        <v>0.38996599999999998</v>
      </c>
    </row>
    <row r="718" spans="1:4" x14ac:dyDescent="0.2">
      <c r="A718" s="1">
        <v>2015</v>
      </c>
      <c r="B718" s="1" t="s">
        <v>2426</v>
      </c>
      <c r="C718" s="2">
        <v>49197</v>
      </c>
      <c r="D718" s="1">
        <v>5.0000000000000001E-3</v>
      </c>
    </row>
    <row r="719" spans="1:4" x14ac:dyDescent="0.2">
      <c r="A719" s="1">
        <v>2015</v>
      </c>
      <c r="B719" s="1" t="s">
        <v>1859</v>
      </c>
      <c r="C719" s="2">
        <v>407041</v>
      </c>
      <c r="D719" s="1">
        <v>4.1367000000000001E-2</v>
      </c>
    </row>
    <row r="720" spans="1:4" x14ac:dyDescent="0.2">
      <c r="A720" s="1">
        <v>2015</v>
      </c>
      <c r="B720" s="1" t="s">
        <v>2427</v>
      </c>
      <c r="C720" s="2">
        <v>18182</v>
      </c>
      <c r="D720" s="1">
        <v>1.848E-3</v>
      </c>
    </row>
    <row r="721" spans="1:4" x14ac:dyDescent="0.2">
      <c r="A721" s="1">
        <v>2015</v>
      </c>
      <c r="B721" s="1" t="s">
        <v>1861</v>
      </c>
      <c r="C721" s="2">
        <v>41871</v>
      </c>
      <c r="D721" s="1">
        <v>4.2550000000000001E-3</v>
      </c>
    </row>
    <row r="722" spans="1:4" x14ac:dyDescent="0.2">
      <c r="A722" s="1">
        <v>2015</v>
      </c>
      <c r="B722" s="1" t="s">
        <v>2428</v>
      </c>
      <c r="C722" s="2">
        <v>13336077</v>
      </c>
      <c r="D722" s="1">
        <v>1.355334</v>
      </c>
    </row>
    <row r="723" spans="1:4" x14ac:dyDescent="0.2">
      <c r="A723" s="1">
        <v>2015</v>
      </c>
      <c r="B723" s="1" t="s">
        <v>1863</v>
      </c>
      <c r="C723" s="2">
        <v>466253</v>
      </c>
      <c r="D723" s="1">
        <v>4.7384999999999997E-2</v>
      </c>
    </row>
    <row r="724" spans="1:4" x14ac:dyDescent="0.2">
      <c r="A724" s="1">
        <v>2015</v>
      </c>
      <c r="B724" s="1" t="s">
        <v>2429</v>
      </c>
      <c r="C724" s="2">
        <v>1015299</v>
      </c>
      <c r="D724" s="1">
        <v>0.103184</v>
      </c>
    </row>
    <row r="725" spans="1:4" x14ac:dyDescent="0.2">
      <c r="A725" s="1">
        <v>2015</v>
      </c>
      <c r="B725" s="1" t="s">
        <v>1865</v>
      </c>
      <c r="C725" s="2">
        <v>30826</v>
      </c>
      <c r="D725" s="1">
        <v>3.1329999999999999E-3</v>
      </c>
    </row>
    <row r="726" spans="1:4" x14ac:dyDescent="0.2">
      <c r="A726" s="1">
        <v>2015</v>
      </c>
      <c r="B726" s="1" t="s">
        <v>2430</v>
      </c>
      <c r="C726" s="2">
        <v>102627</v>
      </c>
      <c r="D726" s="1">
        <v>1.043E-2</v>
      </c>
    </row>
    <row r="727" spans="1:4" x14ac:dyDescent="0.2">
      <c r="A727" s="1">
        <v>2015</v>
      </c>
      <c r="B727" s="1" t="s">
        <v>1867</v>
      </c>
      <c r="C727" s="2">
        <v>2567526</v>
      </c>
      <c r="D727" s="1">
        <v>0.26093499999999997</v>
      </c>
    </row>
    <row r="728" spans="1:4" x14ac:dyDescent="0.2">
      <c r="A728" s="1">
        <v>2015</v>
      </c>
      <c r="B728" s="1" t="s">
        <v>2431</v>
      </c>
      <c r="C728" s="2">
        <v>2082999</v>
      </c>
      <c r="D728" s="1">
        <v>0.21169299999999999</v>
      </c>
    </row>
    <row r="729" spans="1:4" x14ac:dyDescent="0.2">
      <c r="A729" s="1">
        <v>2015</v>
      </c>
      <c r="B729" s="1" t="s">
        <v>1869</v>
      </c>
      <c r="C729" s="2">
        <v>5906</v>
      </c>
      <c r="D729" s="1">
        <v>5.9999999999999995E-4</v>
      </c>
    </row>
    <row r="730" spans="1:4" x14ac:dyDescent="0.2">
      <c r="A730" s="1">
        <v>2015</v>
      </c>
      <c r="B730" s="1" t="s">
        <v>2432</v>
      </c>
      <c r="C730" s="2">
        <v>724184</v>
      </c>
      <c r="D730" s="1">
        <v>7.3597999999999997E-2</v>
      </c>
    </row>
    <row r="731" spans="1:4" x14ac:dyDescent="0.2">
      <c r="A731" s="1">
        <v>2015</v>
      </c>
      <c r="B731" s="1" t="s">
        <v>1871</v>
      </c>
      <c r="C731" s="2">
        <v>3827</v>
      </c>
      <c r="D731" s="1">
        <v>3.8900000000000002E-4</v>
      </c>
    </row>
    <row r="732" spans="1:4" x14ac:dyDescent="0.2">
      <c r="A732" s="1">
        <v>2015</v>
      </c>
      <c r="B732" s="1" t="s">
        <v>1872</v>
      </c>
      <c r="C732" s="2">
        <v>34227</v>
      </c>
      <c r="D732" s="1">
        <v>3.4780000000000002E-3</v>
      </c>
    </row>
    <row r="733" spans="1:4" x14ac:dyDescent="0.2">
      <c r="A733" s="1">
        <v>2015</v>
      </c>
      <c r="B733" s="1" t="s">
        <v>1873</v>
      </c>
      <c r="C733" s="2">
        <v>13836</v>
      </c>
      <c r="D733" s="1">
        <v>1.4059999999999999E-3</v>
      </c>
    </row>
    <row r="734" spans="1:4" x14ac:dyDescent="0.2">
      <c r="A734" s="1">
        <v>2015</v>
      </c>
      <c r="B734" s="1" t="s">
        <v>1874</v>
      </c>
      <c r="C734" s="2">
        <v>1985</v>
      </c>
      <c r="D734" s="1">
        <v>2.02E-4</v>
      </c>
    </row>
    <row r="735" spans="1:4" x14ac:dyDescent="0.2">
      <c r="A735" s="1">
        <v>2015</v>
      </c>
      <c r="B735" s="1" t="s">
        <v>1875</v>
      </c>
      <c r="C735" s="2">
        <v>71090</v>
      </c>
      <c r="D735" s="1">
        <v>7.2249999999999997E-3</v>
      </c>
    </row>
    <row r="736" spans="1:4" x14ac:dyDescent="0.2">
      <c r="A736" s="1">
        <v>2015</v>
      </c>
      <c r="B736" s="1" t="s">
        <v>1876</v>
      </c>
      <c r="C736" s="2">
        <v>26037</v>
      </c>
      <c r="D736" s="1">
        <v>2.6459999999999999E-3</v>
      </c>
    </row>
    <row r="737" spans="1:4" x14ac:dyDescent="0.2">
      <c r="A737" s="1">
        <v>2015</v>
      </c>
      <c r="B737" s="1" t="s">
        <v>1877</v>
      </c>
      <c r="C737" s="2">
        <v>74026</v>
      </c>
      <c r="D737" s="1">
        <v>7.5230000000000002E-3</v>
      </c>
    </row>
    <row r="738" spans="1:4" x14ac:dyDescent="0.2">
      <c r="A738" s="1">
        <v>2015</v>
      </c>
      <c r="B738" s="1" t="s">
        <v>1878</v>
      </c>
      <c r="C738" s="2">
        <v>22493</v>
      </c>
      <c r="D738" s="1">
        <v>2.2859999999999998E-3</v>
      </c>
    </row>
    <row r="739" spans="1:4" x14ac:dyDescent="0.2">
      <c r="A739" s="1">
        <v>2015</v>
      </c>
      <c r="B739" s="1" t="s">
        <v>2433</v>
      </c>
      <c r="C739" s="2">
        <v>597561</v>
      </c>
      <c r="D739" s="1">
        <v>6.0729999999999999E-2</v>
      </c>
    </row>
    <row r="740" spans="1:4" x14ac:dyDescent="0.2">
      <c r="A740" s="1">
        <v>2015</v>
      </c>
      <c r="B740" s="1" t="s">
        <v>2434</v>
      </c>
      <c r="C740" s="2">
        <v>630240</v>
      </c>
      <c r="D740" s="1">
        <v>6.4050999999999997E-2</v>
      </c>
    </row>
    <row r="741" spans="1:4" x14ac:dyDescent="0.2">
      <c r="A741" s="1">
        <v>2015</v>
      </c>
      <c r="B741" s="1" t="s">
        <v>2435</v>
      </c>
      <c r="C741" s="2">
        <v>44598</v>
      </c>
      <c r="D741" s="1">
        <v>4.5319999999999996E-3</v>
      </c>
    </row>
    <row r="742" spans="1:4" x14ac:dyDescent="0.2">
      <c r="A742" s="1">
        <v>2015</v>
      </c>
      <c r="B742" s="1" t="s">
        <v>2439</v>
      </c>
      <c r="C742" s="2">
        <v>3629</v>
      </c>
      <c r="D742" s="1">
        <v>3.6900000000000002E-4</v>
      </c>
    </row>
    <row r="743" spans="1:4" x14ac:dyDescent="0.2">
      <c r="A743" s="1">
        <v>2015</v>
      </c>
      <c r="B743" s="1" t="s">
        <v>2436</v>
      </c>
      <c r="C743" s="2">
        <v>1710143</v>
      </c>
      <c r="D743" s="1">
        <v>0.17380000000000001</v>
      </c>
    </row>
    <row r="744" spans="1:4" x14ac:dyDescent="0.2">
      <c r="A744" s="1">
        <v>2015</v>
      </c>
      <c r="B744" s="1" t="s">
        <v>1883</v>
      </c>
      <c r="C744" s="2">
        <v>1540404</v>
      </c>
      <c r="D744" s="1">
        <v>0.15654999999999999</v>
      </c>
    </row>
    <row r="745" spans="1:4" x14ac:dyDescent="0.2">
      <c r="A745" s="1">
        <v>2015</v>
      </c>
      <c r="B745" s="1" t="s">
        <v>2437</v>
      </c>
      <c r="C745" s="2">
        <v>447681</v>
      </c>
      <c r="D745" s="1">
        <v>4.5497000000000003E-2</v>
      </c>
    </row>
    <row r="746" spans="1:4" x14ac:dyDescent="0.2">
      <c r="A746" s="1">
        <v>2015</v>
      </c>
      <c r="B746" s="1" t="s">
        <v>2440</v>
      </c>
      <c r="C746" s="44">
        <v>13953</v>
      </c>
      <c r="D746" s="45">
        <v>1.418E-5</v>
      </c>
    </row>
    <row r="747" spans="1:4" x14ac:dyDescent="0.2">
      <c r="A747" s="1">
        <v>2015</v>
      </c>
      <c r="B747" s="1" t="s">
        <v>2454</v>
      </c>
      <c r="C747" s="2">
        <v>2404</v>
      </c>
      <c r="D747" s="1">
        <v>2.4399999999999999E-4</v>
      </c>
    </row>
    <row r="748" spans="1:4" x14ac:dyDescent="0.2">
      <c r="A748" s="1">
        <v>2015</v>
      </c>
      <c r="B748" s="1" t="s">
        <v>2441</v>
      </c>
      <c r="C748" s="2">
        <v>1598509</v>
      </c>
      <c r="D748" s="1">
        <v>0.16245499999999999</v>
      </c>
    </row>
    <row r="749" spans="1:4" x14ac:dyDescent="0.2">
      <c r="A749" s="1">
        <v>2015</v>
      </c>
      <c r="B749" s="1" t="s">
        <v>2442</v>
      </c>
      <c r="C749" s="2">
        <v>838223</v>
      </c>
      <c r="D749" s="1">
        <v>8.5188E-2</v>
      </c>
    </row>
    <row r="750" spans="1:4" x14ac:dyDescent="0.2">
      <c r="A750" s="1">
        <v>2015</v>
      </c>
      <c r="B750" s="1" t="s">
        <v>1891</v>
      </c>
      <c r="C750" s="2">
        <v>84209</v>
      </c>
      <c r="D750" s="1">
        <v>8.5579999999999996E-3</v>
      </c>
    </row>
    <row r="751" spans="1:4" x14ac:dyDescent="0.2">
      <c r="A751" s="1">
        <v>2015</v>
      </c>
      <c r="B751" s="1" t="s">
        <v>1892</v>
      </c>
      <c r="C751" s="2">
        <v>49719</v>
      </c>
      <c r="D751" s="1">
        <v>5.0530000000000002E-3</v>
      </c>
    </row>
    <row r="752" spans="1:4" x14ac:dyDescent="0.2">
      <c r="A752" s="1">
        <v>2015</v>
      </c>
      <c r="B752" s="1" t="s">
        <v>1893</v>
      </c>
      <c r="C752" s="2">
        <v>3780</v>
      </c>
      <c r="D752" s="1">
        <v>3.8400000000000001E-4</v>
      </c>
    </row>
    <row r="753" spans="1:4" x14ac:dyDescent="0.2">
      <c r="A753" s="1">
        <v>2015</v>
      </c>
      <c r="B753" s="1" t="s">
        <v>2443</v>
      </c>
      <c r="C753" s="2">
        <v>449427</v>
      </c>
      <c r="D753" s="1">
        <v>4.5675E-2</v>
      </c>
    </row>
    <row r="754" spans="1:4" x14ac:dyDescent="0.2">
      <c r="A754" s="1">
        <v>2015</v>
      </c>
      <c r="B754" s="1" t="s">
        <v>1896</v>
      </c>
      <c r="C754" s="2">
        <v>697389</v>
      </c>
      <c r="D754" s="1">
        <v>7.0874999999999994E-2</v>
      </c>
    </row>
    <row r="755" spans="1:4" x14ac:dyDescent="0.2">
      <c r="A755" s="1">
        <v>2015</v>
      </c>
      <c r="B755" s="1" t="s">
        <v>2444</v>
      </c>
      <c r="C755" s="2">
        <v>493000</v>
      </c>
      <c r="D755" s="1">
        <v>5.0103000000000002E-2</v>
      </c>
    </row>
    <row r="756" spans="1:4" x14ac:dyDescent="0.2">
      <c r="A756" s="1">
        <v>2015</v>
      </c>
      <c r="B756" s="1" t="s">
        <v>2445</v>
      </c>
      <c r="C756" s="2">
        <v>2636795</v>
      </c>
      <c r="D756" s="1">
        <v>0.26797500000000002</v>
      </c>
    </row>
    <row r="757" spans="1:4" x14ac:dyDescent="0.2">
      <c r="A757" s="1">
        <v>2015</v>
      </c>
      <c r="B757" s="1" t="s">
        <v>1899</v>
      </c>
      <c r="C757" s="2">
        <v>29655</v>
      </c>
      <c r="D757" s="1">
        <v>3.0140000000000002E-3</v>
      </c>
    </row>
    <row r="758" spans="1:4" x14ac:dyDescent="0.2">
      <c r="A758" s="1">
        <v>2015</v>
      </c>
      <c r="B758" s="1" t="s">
        <v>1900</v>
      </c>
      <c r="C758" s="2">
        <v>38177</v>
      </c>
      <c r="D758" s="1">
        <v>3.8800000000000002E-3</v>
      </c>
    </row>
    <row r="759" spans="1:4" x14ac:dyDescent="0.2">
      <c r="A759" s="1">
        <v>2015</v>
      </c>
      <c r="B759" s="1" t="s">
        <v>2446</v>
      </c>
      <c r="C759" s="2">
        <v>102931</v>
      </c>
      <c r="D759" s="1">
        <v>1.0461E-2</v>
      </c>
    </row>
    <row r="760" spans="1:4" x14ac:dyDescent="0.2">
      <c r="A760" s="1">
        <v>2015</v>
      </c>
      <c r="B760" s="1" t="s">
        <v>1902</v>
      </c>
      <c r="C760" s="2">
        <v>2647</v>
      </c>
      <c r="D760" s="1">
        <v>2.6899999999999998E-4</v>
      </c>
    </row>
    <row r="761" spans="1:4" x14ac:dyDescent="0.2">
      <c r="A761" s="1">
        <v>2015</v>
      </c>
      <c r="B761" s="1" t="s">
        <v>1903</v>
      </c>
      <c r="C761" s="2">
        <v>24292</v>
      </c>
      <c r="D761" s="1">
        <v>2.4689999999999998E-3</v>
      </c>
    </row>
    <row r="762" spans="1:4" x14ac:dyDescent="0.2">
      <c r="A762" s="1">
        <v>2015</v>
      </c>
      <c r="B762" s="1" t="s">
        <v>1904</v>
      </c>
      <c r="C762" s="2">
        <v>3353</v>
      </c>
      <c r="D762" s="1">
        <v>3.4099999999999999E-4</v>
      </c>
    </row>
    <row r="763" spans="1:4" x14ac:dyDescent="0.2">
      <c r="A763" s="1">
        <v>2015</v>
      </c>
      <c r="B763" s="1" t="s">
        <v>1905</v>
      </c>
      <c r="C763" s="2">
        <v>8319</v>
      </c>
      <c r="D763" s="1">
        <v>8.4500000000000005E-4</v>
      </c>
    </row>
    <row r="764" spans="1:4" x14ac:dyDescent="0.2">
      <c r="A764" s="1">
        <v>2015</v>
      </c>
      <c r="B764" s="1" t="s">
        <v>1906</v>
      </c>
      <c r="C764" s="2">
        <v>21396</v>
      </c>
      <c r="D764" s="1">
        <v>2.1740000000000002E-3</v>
      </c>
    </row>
    <row r="765" spans="1:4" x14ac:dyDescent="0.2">
      <c r="A765" s="1">
        <v>2015</v>
      </c>
      <c r="B765" s="1" t="s">
        <v>1907</v>
      </c>
      <c r="C765" s="2">
        <v>1039</v>
      </c>
      <c r="D765" s="1">
        <v>1.06E-4</v>
      </c>
    </row>
    <row r="766" spans="1:4" x14ac:dyDescent="0.2">
      <c r="A766" s="1">
        <v>2015</v>
      </c>
      <c r="B766" s="1" t="s">
        <v>1908</v>
      </c>
      <c r="C766" s="2">
        <v>15164</v>
      </c>
      <c r="D766" s="1">
        <v>1.5410000000000001E-3</v>
      </c>
    </row>
    <row r="767" spans="1:4" x14ac:dyDescent="0.2">
      <c r="A767" s="1">
        <v>2015</v>
      </c>
      <c r="B767" s="1" t="s">
        <v>1909</v>
      </c>
      <c r="C767" s="2">
        <v>22681</v>
      </c>
      <c r="D767" s="1">
        <v>2.3050000000000002E-3</v>
      </c>
    </row>
    <row r="768" spans="1:4" x14ac:dyDescent="0.2">
      <c r="A768" s="1">
        <v>2015</v>
      </c>
      <c r="B768" s="1" t="s">
        <v>1910</v>
      </c>
      <c r="C768" s="2">
        <v>4158</v>
      </c>
      <c r="D768" s="1">
        <v>4.2299999999999998E-4</v>
      </c>
    </row>
    <row r="769" spans="1:4" x14ac:dyDescent="0.2">
      <c r="A769" s="1">
        <v>2015</v>
      </c>
      <c r="B769" s="1" t="s">
        <v>1911</v>
      </c>
      <c r="C769" s="2">
        <v>20432</v>
      </c>
      <c r="D769" s="1">
        <v>2.0760000000000002E-3</v>
      </c>
    </row>
    <row r="770" spans="1:4" x14ac:dyDescent="0.2">
      <c r="A770" s="1">
        <v>2015</v>
      </c>
      <c r="B770" s="1" t="s">
        <v>1912</v>
      </c>
      <c r="C770" s="2">
        <v>3293</v>
      </c>
      <c r="D770" s="1">
        <v>3.3500000000000001E-4</v>
      </c>
    </row>
    <row r="771" spans="1:4" x14ac:dyDescent="0.2">
      <c r="A771" s="1">
        <v>2015</v>
      </c>
      <c r="B771" s="1" t="s">
        <v>1913</v>
      </c>
      <c r="C771" s="2">
        <v>16708</v>
      </c>
      <c r="D771" s="1">
        <v>1.6980000000000001E-3</v>
      </c>
    </row>
    <row r="772" spans="1:4" x14ac:dyDescent="0.2">
      <c r="A772" s="1">
        <v>2015</v>
      </c>
      <c r="B772" s="1" t="s">
        <v>1914</v>
      </c>
      <c r="C772" s="2">
        <v>10646</v>
      </c>
      <c r="D772" s="1">
        <v>1.0820000000000001E-3</v>
      </c>
    </row>
    <row r="773" spans="1:4" x14ac:dyDescent="0.2">
      <c r="A773" s="1">
        <v>2015</v>
      </c>
      <c r="B773" s="1" t="s">
        <v>1915</v>
      </c>
      <c r="C773" s="2">
        <v>11699</v>
      </c>
      <c r="D773" s="1">
        <v>1.189E-3</v>
      </c>
    </row>
    <row r="774" spans="1:4" x14ac:dyDescent="0.2">
      <c r="A774" s="1">
        <v>2015</v>
      </c>
      <c r="B774" s="1" t="s">
        <v>1916</v>
      </c>
      <c r="C774" s="2">
        <v>56484</v>
      </c>
      <c r="D774" s="1">
        <v>5.7400000000000003E-3</v>
      </c>
    </row>
    <row r="775" spans="1:4" x14ac:dyDescent="0.2">
      <c r="A775" s="1">
        <v>2015</v>
      </c>
      <c r="B775" s="1" t="s">
        <v>1917</v>
      </c>
      <c r="C775" s="1">
        <v>803</v>
      </c>
      <c r="D775" s="1">
        <v>8.2000000000000001E-5</v>
      </c>
    </row>
    <row r="776" spans="1:4" x14ac:dyDescent="0.2">
      <c r="A776" s="1">
        <v>2015</v>
      </c>
      <c r="B776" s="1" t="s">
        <v>1918</v>
      </c>
      <c r="C776" s="2">
        <v>307832</v>
      </c>
      <c r="D776" s="1">
        <v>3.1285E-2</v>
      </c>
    </row>
    <row r="777" spans="1:4" x14ac:dyDescent="0.2">
      <c r="A777" s="1">
        <v>2015</v>
      </c>
      <c r="B777" s="1" t="s">
        <v>1919</v>
      </c>
      <c r="C777" s="2">
        <v>15103</v>
      </c>
      <c r="D777" s="1">
        <v>1.5349999999999999E-3</v>
      </c>
    </row>
    <row r="778" spans="1:4" x14ac:dyDescent="0.2">
      <c r="A778" s="1">
        <v>2015</v>
      </c>
      <c r="B778" s="1" t="s">
        <v>1920</v>
      </c>
      <c r="C778" s="2">
        <v>2031759</v>
      </c>
      <c r="D778" s="1">
        <v>0.206486</v>
      </c>
    </row>
    <row r="779" spans="1:4" x14ac:dyDescent="0.2">
      <c r="A779" s="1">
        <v>2015</v>
      </c>
      <c r="B779" s="1" t="s">
        <v>2447</v>
      </c>
      <c r="C779" s="2">
        <v>85379</v>
      </c>
      <c r="D779" s="1">
        <v>8.6770000000000007E-3</v>
      </c>
    </row>
    <row r="780" spans="1:4" x14ac:dyDescent="0.2">
      <c r="A780" s="1">
        <v>2015</v>
      </c>
      <c r="B780" s="1" t="s">
        <v>2448</v>
      </c>
      <c r="C780" s="2">
        <v>2328156</v>
      </c>
      <c r="D780" s="1">
        <v>0.23660800000000001</v>
      </c>
    </row>
    <row r="781" spans="1:4" x14ac:dyDescent="0.2">
      <c r="A781" s="1">
        <v>2015</v>
      </c>
      <c r="B781" s="1" t="s">
        <v>2449</v>
      </c>
      <c r="C781" s="2">
        <v>1668504</v>
      </c>
      <c r="D781" s="1">
        <v>0.169569</v>
      </c>
    </row>
    <row r="782" spans="1:4" x14ac:dyDescent="0.2">
      <c r="A782" s="1">
        <v>2015</v>
      </c>
      <c r="B782" s="1" t="s">
        <v>1924</v>
      </c>
      <c r="C782" s="2">
        <v>103261</v>
      </c>
      <c r="D782" s="1">
        <v>1.0494E-2</v>
      </c>
    </row>
    <row r="783" spans="1:4" x14ac:dyDescent="0.2">
      <c r="A783" s="1">
        <v>2015</v>
      </c>
      <c r="B783" s="1" t="s">
        <v>1925</v>
      </c>
      <c r="C783" s="2">
        <v>195218</v>
      </c>
      <c r="D783" s="1">
        <v>1.984E-2</v>
      </c>
    </row>
    <row r="784" spans="1:4" x14ac:dyDescent="0.2">
      <c r="A784" s="1">
        <v>2015</v>
      </c>
      <c r="B784" s="1" t="s">
        <v>1926</v>
      </c>
      <c r="C784" s="2">
        <v>51913</v>
      </c>
      <c r="D784" s="1">
        <v>5.2760000000000003E-3</v>
      </c>
    </row>
    <row r="785" spans="1:4" x14ac:dyDescent="0.2">
      <c r="A785" s="1">
        <v>2015</v>
      </c>
      <c r="B785" s="1" t="s">
        <v>1927</v>
      </c>
      <c r="C785" s="2">
        <v>2414612</v>
      </c>
      <c r="D785" s="1">
        <v>0.245395</v>
      </c>
    </row>
    <row r="786" spans="1:4" x14ac:dyDescent="0.2">
      <c r="A786" s="1">
        <v>2015</v>
      </c>
      <c r="B786" s="1" t="s">
        <v>1928</v>
      </c>
      <c r="C786" s="2">
        <v>119982</v>
      </c>
      <c r="D786" s="1">
        <v>1.2194E-2</v>
      </c>
    </row>
    <row r="787" spans="1:4" x14ac:dyDescent="0.2">
      <c r="A787" s="1">
        <v>2015</v>
      </c>
      <c r="B787" s="1" t="s">
        <v>1929</v>
      </c>
      <c r="C787" s="2">
        <v>82510</v>
      </c>
      <c r="D787" s="1">
        <v>8.3850000000000001E-3</v>
      </c>
    </row>
    <row r="788" spans="1:4" x14ac:dyDescent="0.2">
      <c r="A788" s="1">
        <v>2015</v>
      </c>
      <c r="B788" s="1" t="s">
        <v>2450</v>
      </c>
      <c r="C788" s="2">
        <v>6045883</v>
      </c>
      <c r="D788" s="1">
        <v>0.61443800000000004</v>
      </c>
    </row>
    <row r="789" spans="1:4" x14ac:dyDescent="0.2">
      <c r="A789" s="1">
        <v>2015</v>
      </c>
      <c r="B789" s="1" t="s">
        <v>2451</v>
      </c>
      <c r="C789" s="2">
        <v>508214</v>
      </c>
      <c r="D789" s="1">
        <v>5.1649E-2</v>
      </c>
    </row>
    <row r="790" spans="1:4" x14ac:dyDescent="0.2">
      <c r="A790" s="1">
        <v>2015</v>
      </c>
      <c r="B790" s="1" t="s">
        <v>1932</v>
      </c>
      <c r="C790" s="2">
        <v>76644</v>
      </c>
      <c r="D790" s="1">
        <v>7.7889999999999999E-3</v>
      </c>
    </row>
    <row r="791" spans="1:4" x14ac:dyDescent="0.2">
      <c r="A791" s="1">
        <v>2015</v>
      </c>
      <c r="B791" s="1" t="s">
        <v>1933</v>
      </c>
      <c r="C791" s="2">
        <v>84573</v>
      </c>
      <c r="D791" s="1">
        <v>8.5950000000000002E-3</v>
      </c>
    </row>
    <row r="792" spans="1:4" x14ac:dyDescent="0.2">
      <c r="A792" s="1">
        <v>2015</v>
      </c>
      <c r="B792" s="1" t="s">
        <v>1934</v>
      </c>
      <c r="C792" s="2">
        <v>86199</v>
      </c>
      <c r="D792" s="1">
        <v>8.7600000000000004E-3</v>
      </c>
    </row>
    <row r="793" spans="1:4" x14ac:dyDescent="0.2">
      <c r="A793" s="1">
        <v>2015</v>
      </c>
      <c r="B793" s="1" t="s">
        <v>2452</v>
      </c>
      <c r="C793" s="2">
        <v>1997233</v>
      </c>
      <c r="D793" s="1">
        <v>0.20297699999999999</v>
      </c>
    </row>
    <row r="794" spans="1:4" x14ac:dyDescent="0.2">
      <c r="A794" s="1">
        <v>2015</v>
      </c>
      <c r="B794" s="1" t="s">
        <v>2453</v>
      </c>
      <c r="C794" s="2">
        <v>624881</v>
      </c>
      <c r="D794" s="1">
        <v>6.3506000000000007E-2</v>
      </c>
    </row>
    <row r="795" spans="1:4" x14ac:dyDescent="0.2">
      <c r="A795" s="1">
        <v>2015</v>
      </c>
      <c r="B795" s="1" t="s">
        <v>2455</v>
      </c>
      <c r="C795" s="2">
        <v>1712</v>
      </c>
      <c r="D795" s="8">
        <v>1.7400000000000001E-6</v>
      </c>
    </row>
    <row r="796" spans="1:4" x14ac:dyDescent="0.2">
      <c r="A796" s="1">
        <v>2015</v>
      </c>
      <c r="B796" s="1" t="s">
        <v>2456</v>
      </c>
      <c r="C796" s="2">
        <v>678678</v>
      </c>
      <c r="D796" s="1">
        <v>6.8973000000000007E-2</v>
      </c>
    </row>
    <row r="797" spans="1:4" x14ac:dyDescent="0.2">
      <c r="A797" s="1">
        <v>2015</v>
      </c>
      <c r="B797" s="1" t="s">
        <v>2457</v>
      </c>
      <c r="C797" s="2">
        <v>69227945</v>
      </c>
      <c r="D797" s="1">
        <v>7.0355749999999997</v>
      </c>
    </row>
    <row r="798" spans="1:4" x14ac:dyDescent="0.2">
      <c r="A798" s="1">
        <v>2015</v>
      </c>
      <c r="B798" s="1" t="s">
        <v>1940</v>
      </c>
      <c r="C798" s="2">
        <v>18324329</v>
      </c>
      <c r="D798" s="1">
        <v>1.862285</v>
      </c>
    </row>
    <row r="799" spans="1:4" x14ac:dyDescent="0.2">
      <c r="A799" s="1">
        <v>2015</v>
      </c>
      <c r="B799" s="1" t="s">
        <v>2458</v>
      </c>
      <c r="C799" s="2">
        <v>13032470</v>
      </c>
      <c r="D799" s="1">
        <v>1.324478</v>
      </c>
    </row>
    <row r="800" spans="1:4" x14ac:dyDescent="0.2">
      <c r="A800" s="1">
        <v>2015</v>
      </c>
      <c r="B800" s="1" t="s">
        <v>2459</v>
      </c>
      <c r="C800" s="2">
        <v>152372</v>
      </c>
      <c r="D800" s="1">
        <v>1.5485000000000001E-2</v>
      </c>
    </row>
    <row r="801" spans="1:4" x14ac:dyDescent="0.2">
      <c r="A801" s="1">
        <v>2015</v>
      </c>
      <c r="B801" s="1" t="s">
        <v>1943</v>
      </c>
      <c r="C801" s="2">
        <v>25817</v>
      </c>
      <c r="D801" s="1">
        <v>2.624E-3</v>
      </c>
    </row>
    <row r="802" spans="1:4" x14ac:dyDescent="0.2">
      <c r="A802" s="1">
        <v>2015</v>
      </c>
      <c r="B802" s="1" t="s">
        <v>1944</v>
      </c>
      <c r="C802" s="2">
        <v>43200</v>
      </c>
      <c r="D802" s="1">
        <v>4.3899999999999998E-3</v>
      </c>
    </row>
    <row r="803" spans="1:4" x14ac:dyDescent="0.2">
      <c r="A803" s="1">
        <v>2015</v>
      </c>
      <c r="B803" s="1" t="s">
        <v>1945</v>
      </c>
      <c r="C803" s="2">
        <v>100445</v>
      </c>
      <c r="D803" s="1">
        <v>1.0208E-2</v>
      </c>
    </row>
    <row r="804" spans="1:4" x14ac:dyDescent="0.2">
      <c r="A804" s="1">
        <v>2015</v>
      </c>
      <c r="B804" s="1" t="s">
        <v>1946</v>
      </c>
      <c r="C804" s="2">
        <v>114724</v>
      </c>
      <c r="D804" s="1">
        <v>1.1658999999999999E-2</v>
      </c>
    </row>
    <row r="805" spans="1:4" x14ac:dyDescent="0.2">
      <c r="A805" s="1">
        <v>2015</v>
      </c>
      <c r="B805" s="1" t="s">
        <v>2460</v>
      </c>
      <c r="C805" s="2">
        <v>52275</v>
      </c>
      <c r="D805" s="1">
        <v>5.313E-3</v>
      </c>
    </row>
    <row r="806" spans="1:4" x14ac:dyDescent="0.2">
      <c r="A806" s="1">
        <v>2015</v>
      </c>
      <c r="B806" s="1" t="s">
        <v>1948</v>
      </c>
      <c r="C806" s="2">
        <v>2629750</v>
      </c>
      <c r="D806" s="1">
        <v>0.26725900000000002</v>
      </c>
    </row>
    <row r="807" spans="1:4" x14ac:dyDescent="0.2">
      <c r="A807" s="1">
        <v>2015</v>
      </c>
      <c r="B807" s="1" t="s">
        <v>2461</v>
      </c>
      <c r="C807" s="2">
        <v>49930</v>
      </c>
      <c r="D807" s="1">
        <v>5.0740000000000004E-3</v>
      </c>
    </row>
    <row r="808" spans="1:4" x14ac:dyDescent="0.2">
      <c r="A808" s="1">
        <v>2015</v>
      </c>
      <c r="B808" s="1" t="s">
        <v>1950</v>
      </c>
      <c r="C808" s="2">
        <v>67972</v>
      </c>
      <c r="D808" s="1">
        <v>6.9080000000000001E-3</v>
      </c>
    </row>
    <row r="809" spans="1:4" x14ac:dyDescent="0.2">
      <c r="A809" s="1">
        <v>2015</v>
      </c>
      <c r="B809" s="1" t="s">
        <v>2462</v>
      </c>
      <c r="C809" s="2">
        <v>6660069</v>
      </c>
      <c r="D809" s="1">
        <v>0.67685700000000004</v>
      </c>
    </row>
    <row r="810" spans="1:4" x14ac:dyDescent="0.2">
      <c r="A810" s="1">
        <v>2015</v>
      </c>
      <c r="B810" s="1" t="s">
        <v>1952</v>
      </c>
      <c r="C810" s="2">
        <v>79895</v>
      </c>
      <c r="D810" s="1">
        <v>8.1200000000000005E-3</v>
      </c>
    </row>
    <row r="811" spans="1:4" x14ac:dyDescent="0.2">
      <c r="A811" s="1">
        <v>2015</v>
      </c>
      <c r="B811" s="1" t="s">
        <v>1953</v>
      </c>
      <c r="C811" s="2">
        <v>46845</v>
      </c>
      <c r="D811" s="1">
        <v>4.7609999999999996E-3</v>
      </c>
    </row>
    <row r="812" spans="1:4" x14ac:dyDescent="0.2">
      <c r="A812" s="1">
        <v>2015</v>
      </c>
      <c r="B812" s="1" t="s">
        <v>2463</v>
      </c>
      <c r="C812" s="2">
        <v>358941</v>
      </c>
      <c r="D812" s="1">
        <v>3.6478999999999998E-2</v>
      </c>
    </row>
    <row r="813" spans="1:4" x14ac:dyDescent="0.2">
      <c r="A813" s="1">
        <v>2015</v>
      </c>
      <c r="B813" s="1" t="s">
        <v>2464</v>
      </c>
      <c r="C813" s="2">
        <v>2860</v>
      </c>
      <c r="D813" s="1">
        <v>2.9100000000000003E-4</v>
      </c>
    </row>
    <row r="814" spans="1:4" x14ac:dyDescent="0.2">
      <c r="A814" s="1">
        <v>2015</v>
      </c>
      <c r="B814" s="1" t="s">
        <v>1956</v>
      </c>
      <c r="C814" s="2">
        <v>1631378</v>
      </c>
      <c r="D814" s="1">
        <v>0.165796</v>
      </c>
    </row>
    <row r="815" spans="1:4" x14ac:dyDescent="0.2">
      <c r="A815" s="1">
        <v>2015</v>
      </c>
      <c r="B815" s="1" t="s">
        <v>1957</v>
      </c>
      <c r="C815" s="2">
        <v>1039</v>
      </c>
      <c r="D815" s="1">
        <v>1.06E-4</v>
      </c>
    </row>
    <row r="816" spans="1:4" x14ac:dyDescent="0.2">
      <c r="A816" s="1">
        <v>2015</v>
      </c>
      <c r="B816" s="1" t="s">
        <v>2465</v>
      </c>
      <c r="C816" s="2">
        <v>1452723</v>
      </c>
      <c r="D816" s="1">
        <v>0.14763899999999999</v>
      </c>
    </row>
    <row r="817" spans="1:4" x14ac:dyDescent="0.2">
      <c r="A817" s="1">
        <v>2015</v>
      </c>
      <c r="B817" s="1" t="s">
        <v>2466</v>
      </c>
      <c r="C817" s="2">
        <v>12229</v>
      </c>
      <c r="D817" s="1">
        <v>1.243E-3</v>
      </c>
    </row>
    <row r="818" spans="1:4" x14ac:dyDescent="0.2">
      <c r="A818" s="1">
        <v>2015</v>
      </c>
      <c r="B818" s="1" t="s">
        <v>1960</v>
      </c>
      <c r="C818" s="2">
        <v>40718</v>
      </c>
      <c r="D818" s="1">
        <v>4.1380000000000002E-3</v>
      </c>
    </row>
    <row r="819" spans="1:4" x14ac:dyDescent="0.2">
      <c r="A819" s="1">
        <v>2015</v>
      </c>
      <c r="B819" s="1" t="s">
        <v>2467</v>
      </c>
      <c r="C819" s="2">
        <v>1687789</v>
      </c>
      <c r="D819" s="1">
        <v>0.17152899999999999</v>
      </c>
    </row>
    <row r="820" spans="1:4" x14ac:dyDescent="0.2">
      <c r="A820" s="1">
        <v>2015</v>
      </c>
      <c r="B820" s="1" t="s">
        <v>2468</v>
      </c>
      <c r="C820" s="2">
        <v>69642</v>
      </c>
      <c r="D820" s="1">
        <v>7.0780000000000001E-3</v>
      </c>
    </row>
    <row r="821" spans="1:4" x14ac:dyDescent="0.2">
      <c r="A821" s="1">
        <v>2015</v>
      </c>
      <c r="B821" s="1" t="s">
        <v>1963</v>
      </c>
      <c r="C821" s="2">
        <v>242962</v>
      </c>
      <c r="D821" s="1">
        <v>2.4691999999999999E-2</v>
      </c>
    </row>
    <row r="822" spans="1:4" x14ac:dyDescent="0.2">
      <c r="A822" s="1">
        <v>2015</v>
      </c>
      <c r="B822" s="1" t="s">
        <v>1964</v>
      </c>
      <c r="C822" s="2">
        <v>41939</v>
      </c>
      <c r="D822" s="1">
        <v>4.2620000000000002E-3</v>
      </c>
    </row>
    <row r="823" spans="1:4" x14ac:dyDescent="0.2">
      <c r="A823" s="1">
        <v>2015</v>
      </c>
      <c r="B823" s="1" t="s">
        <v>1965</v>
      </c>
      <c r="C823" s="2">
        <v>910522</v>
      </c>
      <c r="D823" s="1">
        <v>9.2535999999999993E-2</v>
      </c>
    </row>
    <row r="824" spans="1:4" x14ac:dyDescent="0.2">
      <c r="A824" s="1">
        <v>2015</v>
      </c>
      <c r="B824" s="1" t="s">
        <v>1966</v>
      </c>
      <c r="C824" s="2">
        <v>367968</v>
      </c>
      <c r="D824" s="1">
        <v>3.7395999999999999E-2</v>
      </c>
    </row>
    <row r="825" spans="1:4" x14ac:dyDescent="0.2">
      <c r="A825" s="1">
        <v>2015</v>
      </c>
      <c r="B825" s="1" t="s">
        <v>2469</v>
      </c>
      <c r="C825" s="2">
        <v>2752925</v>
      </c>
      <c r="D825" s="1">
        <v>0.279777</v>
      </c>
    </row>
    <row r="826" spans="1:4" x14ac:dyDescent="0.2">
      <c r="A826" s="1">
        <v>2015</v>
      </c>
      <c r="B826" s="1" t="s">
        <v>2470</v>
      </c>
      <c r="C826" s="2">
        <v>608813</v>
      </c>
      <c r="D826" s="1">
        <v>6.1872999999999997E-2</v>
      </c>
    </row>
    <row r="827" spans="1:4" x14ac:dyDescent="0.2">
      <c r="A827" s="1">
        <v>2015</v>
      </c>
      <c r="B827" s="1" t="s">
        <v>2471</v>
      </c>
      <c r="C827" s="2">
        <v>12146</v>
      </c>
      <c r="D827" s="1">
        <v>1.2340000000000001E-3</v>
      </c>
    </row>
    <row r="828" spans="1:4" x14ac:dyDescent="0.2">
      <c r="A828" s="1">
        <v>2015</v>
      </c>
      <c r="B828" s="1" t="s">
        <v>2472</v>
      </c>
      <c r="C828" s="2">
        <v>3593</v>
      </c>
      <c r="D828" s="1">
        <v>3.6499999999999998E-4</v>
      </c>
    </row>
    <row r="829" spans="1:4" x14ac:dyDescent="0.2">
      <c r="A829" s="1">
        <v>2015</v>
      </c>
      <c r="B829" s="1" t="s">
        <v>1971</v>
      </c>
      <c r="C829" s="2">
        <v>308847</v>
      </c>
      <c r="D829" s="1">
        <v>3.1387999999999999E-2</v>
      </c>
    </row>
    <row r="830" spans="1:4" x14ac:dyDescent="0.2">
      <c r="A830" s="1">
        <v>2015</v>
      </c>
      <c r="B830" s="1" t="s">
        <v>1972</v>
      </c>
      <c r="C830" s="2">
        <v>12832</v>
      </c>
      <c r="D830" s="1">
        <v>1.304E-3</v>
      </c>
    </row>
    <row r="831" spans="1:4" x14ac:dyDescent="0.2">
      <c r="A831" s="1">
        <v>2015</v>
      </c>
      <c r="B831" s="1" t="s">
        <v>2473</v>
      </c>
      <c r="C831" s="2">
        <v>29368</v>
      </c>
      <c r="D831" s="1">
        <v>2.9849999999999998E-3</v>
      </c>
    </row>
    <row r="832" spans="1:4" x14ac:dyDescent="0.2">
      <c r="A832" s="1">
        <v>2015</v>
      </c>
      <c r="B832" s="1" t="s">
        <v>2474</v>
      </c>
      <c r="C832" s="2">
        <v>265792</v>
      </c>
      <c r="D832" s="1">
        <v>2.7012000000000001E-2</v>
      </c>
    </row>
    <row r="833" spans="1:4" x14ac:dyDescent="0.2">
      <c r="A833" s="1">
        <v>2015</v>
      </c>
      <c r="B833" s="1" t="s">
        <v>2475</v>
      </c>
      <c r="C833" s="2">
        <v>1317264</v>
      </c>
      <c r="D833" s="1">
        <v>0.13387199999999999</v>
      </c>
    </row>
    <row r="834" spans="1:4" x14ac:dyDescent="0.2">
      <c r="A834" s="1">
        <v>2015</v>
      </c>
      <c r="B834" s="1" t="s">
        <v>2476</v>
      </c>
      <c r="C834" s="2">
        <v>1477607</v>
      </c>
      <c r="D834" s="1">
        <v>0.150168</v>
      </c>
    </row>
    <row r="835" spans="1:4" x14ac:dyDescent="0.2">
      <c r="A835" s="1">
        <v>2015</v>
      </c>
      <c r="B835" s="1" t="s">
        <v>1977</v>
      </c>
      <c r="C835" s="2">
        <v>8885</v>
      </c>
      <c r="D835" s="1">
        <v>9.0300000000000005E-4</v>
      </c>
    </row>
    <row r="836" spans="1:4" x14ac:dyDescent="0.2">
      <c r="A836" s="1">
        <v>2015</v>
      </c>
      <c r="B836" s="1" t="s">
        <v>1978</v>
      </c>
      <c r="C836" s="2">
        <v>54548</v>
      </c>
      <c r="D836" s="1">
        <v>5.5440000000000003E-3</v>
      </c>
    </row>
    <row r="837" spans="1:4" x14ac:dyDescent="0.2">
      <c r="A837" s="1">
        <v>2015</v>
      </c>
      <c r="B837" s="1" t="s">
        <v>1979</v>
      </c>
      <c r="C837" s="2">
        <v>753850</v>
      </c>
      <c r="D837" s="1">
        <v>7.6613000000000001E-2</v>
      </c>
    </row>
    <row r="838" spans="1:4" x14ac:dyDescent="0.2">
      <c r="A838" s="1">
        <v>2015</v>
      </c>
      <c r="B838" s="1" t="s">
        <v>2477</v>
      </c>
      <c r="C838" s="2">
        <v>338061</v>
      </c>
      <c r="D838" s="1">
        <v>3.4356999999999999E-2</v>
      </c>
    </row>
    <row r="839" spans="1:4" x14ac:dyDescent="0.2">
      <c r="A839" s="1">
        <v>2015</v>
      </c>
      <c r="B839" s="1" t="s">
        <v>2478</v>
      </c>
      <c r="C839" s="2">
        <v>175031</v>
      </c>
      <c r="D839" s="1">
        <v>1.7788000000000002E-2</v>
      </c>
    </row>
    <row r="840" spans="1:4" x14ac:dyDescent="0.2">
      <c r="A840" s="1">
        <v>2015</v>
      </c>
      <c r="B840" s="1" t="s">
        <v>2479</v>
      </c>
      <c r="C840" s="2">
        <v>1208169</v>
      </c>
      <c r="D840" s="1">
        <v>0.12278500000000001</v>
      </c>
    </row>
    <row r="841" spans="1:4" x14ac:dyDescent="0.2">
      <c r="A841" s="1">
        <v>2015</v>
      </c>
      <c r="B841" s="1" t="s">
        <v>1982</v>
      </c>
      <c r="C841" s="2">
        <v>564770</v>
      </c>
      <c r="D841" s="1">
        <v>5.7396999999999997E-2</v>
      </c>
    </row>
    <row r="842" spans="1:4" x14ac:dyDescent="0.2">
      <c r="A842" s="1">
        <v>2015</v>
      </c>
      <c r="B842" s="1" t="s">
        <v>1984</v>
      </c>
      <c r="C842" s="2">
        <v>148636</v>
      </c>
      <c r="D842" s="1">
        <v>1.5106E-2</v>
      </c>
    </row>
    <row r="843" spans="1:4" x14ac:dyDescent="0.2">
      <c r="A843" s="1">
        <v>2015</v>
      </c>
      <c r="B843" s="1" t="s">
        <v>1985</v>
      </c>
      <c r="C843" s="2">
        <v>50649</v>
      </c>
      <c r="D843" s="1">
        <v>5.1469999999999997E-3</v>
      </c>
    </row>
    <row r="844" spans="1:4" x14ac:dyDescent="0.2">
      <c r="A844" s="1">
        <v>2015</v>
      </c>
      <c r="B844" s="1" t="s">
        <v>2480</v>
      </c>
      <c r="C844" s="2">
        <v>2416635</v>
      </c>
      <c r="D844" s="1">
        <v>0.24560000000000001</v>
      </c>
    </row>
    <row r="845" spans="1:4" x14ac:dyDescent="0.2">
      <c r="A845" s="1">
        <v>2015</v>
      </c>
      <c r="B845" s="1" t="s">
        <v>1986</v>
      </c>
      <c r="C845" s="2">
        <v>123390</v>
      </c>
      <c r="D845" s="1">
        <v>1.2540000000000001E-2</v>
      </c>
    </row>
    <row r="846" spans="1:4" x14ac:dyDescent="0.2">
      <c r="A846" s="1">
        <v>2015</v>
      </c>
      <c r="B846" s="1" t="s">
        <v>1987</v>
      </c>
      <c r="C846" s="2">
        <v>13696</v>
      </c>
      <c r="D846" s="8">
        <v>1.3920000000000001E-5</v>
      </c>
    </row>
    <row r="847" spans="1:4" x14ac:dyDescent="0.2">
      <c r="A847" s="1">
        <v>2015</v>
      </c>
      <c r="B847" s="1" t="s">
        <v>2481</v>
      </c>
      <c r="C847" s="2">
        <v>708255</v>
      </c>
      <c r="D847" s="1">
        <v>7.1979000000000001E-2</v>
      </c>
    </row>
    <row r="848" spans="1:4" x14ac:dyDescent="0.2">
      <c r="A848" s="1">
        <v>2015</v>
      </c>
      <c r="B848" s="1" t="s">
        <v>1989</v>
      </c>
      <c r="C848" s="2">
        <v>4496</v>
      </c>
      <c r="D848" s="1">
        <v>4.57E-4</v>
      </c>
    </row>
    <row r="849" spans="1:4" x14ac:dyDescent="0.2">
      <c r="A849" s="1">
        <v>2015</v>
      </c>
      <c r="B849" s="1" t="s">
        <v>2482</v>
      </c>
      <c r="C849" s="2">
        <v>1484922</v>
      </c>
      <c r="D849" s="1">
        <v>0.15091099999999999</v>
      </c>
    </row>
    <row r="850" spans="1:4" x14ac:dyDescent="0.2">
      <c r="A850" s="1">
        <v>2015</v>
      </c>
      <c r="B850" s="1" t="s">
        <v>1991</v>
      </c>
      <c r="C850" s="2">
        <v>272141</v>
      </c>
      <c r="D850" s="1">
        <v>2.7657000000000001E-2</v>
      </c>
    </row>
    <row r="851" spans="1:4" x14ac:dyDescent="0.2">
      <c r="A851" s="1">
        <v>2015</v>
      </c>
      <c r="B851" s="1" t="s">
        <v>1992</v>
      </c>
      <c r="C851" s="2">
        <v>3190340</v>
      </c>
      <c r="D851" s="1">
        <v>0.32423099999999999</v>
      </c>
    </row>
    <row r="852" spans="1:4" x14ac:dyDescent="0.2">
      <c r="A852" s="1">
        <v>2015</v>
      </c>
      <c r="B852" s="1" t="s">
        <v>2483</v>
      </c>
      <c r="C852" s="2">
        <v>1034131</v>
      </c>
      <c r="D852" s="1">
        <v>0.105098</v>
      </c>
    </row>
    <row r="853" spans="1:4" x14ac:dyDescent="0.2">
      <c r="A853" s="1">
        <v>2015</v>
      </c>
      <c r="B853" s="1" t="s">
        <v>2484</v>
      </c>
      <c r="C853" s="2">
        <v>341409</v>
      </c>
      <c r="D853" s="1">
        <v>3.4696999999999999E-2</v>
      </c>
    </row>
    <row r="854" spans="1:4" x14ac:dyDescent="0.2">
      <c r="A854" s="1">
        <v>2015</v>
      </c>
      <c r="B854" s="1" t="s">
        <v>2501</v>
      </c>
      <c r="C854" s="2">
        <v>1352</v>
      </c>
      <c r="D854" s="1">
        <v>1.37E-4</v>
      </c>
    </row>
    <row r="855" spans="1:4" x14ac:dyDescent="0.2">
      <c r="A855" s="1">
        <v>2015</v>
      </c>
      <c r="B855" s="1" t="s">
        <v>1995</v>
      </c>
      <c r="C855" s="2">
        <v>5246</v>
      </c>
      <c r="D855" s="1">
        <v>5.3300000000000005E-4</v>
      </c>
    </row>
    <row r="856" spans="1:4" x14ac:dyDescent="0.2">
      <c r="A856" s="1">
        <v>2015</v>
      </c>
      <c r="B856" s="1" t="s">
        <v>1996</v>
      </c>
      <c r="C856" s="2">
        <v>226198</v>
      </c>
      <c r="D856" s="1">
        <v>2.2988000000000001E-2</v>
      </c>
    </row>
    <row r="857" spans="1:4" x14ac:dyDescent="0.2">
      <c r="A857" s="1">
        <v>2015</v>
      </c>
      <c r="B857" s="1" t="s">
        <v>1997</v>
      </c>
      <c r="C857" s="2">
        <v>48932</v>
      </c>
      <c r="D857" s="1">
        <v>4.973E-3</v>
      </c>
    </row>
    <row r="858" spans="1:4" x14ac:dyDescent="0.2">
      <c r="A858" s="1">
        <v>2015</v>
      </c>
      <c r="B858" s="1" t="s">
        <v>2485</v>
      </c>
      <c r="C858" s="2">
        <v>881167</v>
      </c>
      <c r="D858" s="1">
        <v>8.9552000000000007E-2</v>
      </c>
    </row>
    <row r="859" spans="1:4" x14ac:dyDescent="0.2">
      <c r="A859" s="1">
        <v>2015</v>
      </c>
      <c r="B859" s="1" t="s">
        <v>2486</v>
      </c>
      <c r="C859" s="2">
        <v>489651</v>
      </c>
      <c r="D859" s="1">
        <v>4.9763000000000002E-2</v>
      </c>
    </row>
    <row r="860" spans="1:4" x14ac:dyDescent="0.2">
      <c r="A860" s="1">
        <v>2015</v>
      </c>
      <c r="B860" s="1" t="s">
        <v>2487</v>
      </c>
      <c r="C860" s="2">
        <v>18907</v>
      </c>
      <c r="D860" s="1">
        <v>1.9220000000000001E-3</v>
      </c>
    </row>
    <row r="861" spans="1:4" x14ac:dyDescent="0.2">
      <c r="A861" s="1">
        <v>2015</v>
      </c>
      <c r="B861" s="1" t="s">
        <v>2488</v>
      </c>
      <c r="C861" s="2">
        <v>3559</v>
      </c>
      <c r="D861" s="1">
        <v>3.6200000000000002E-4</v>
      </c>
    </row>
    <row r="862" spans="1:4" x14ac:dyDescent="0.2">
      <c r="A862" s="1">
        <v>2015</v>
      </c>
      <c r="B862" s="1" t="s">
        <v>2002</v>
      </c>
      <c r="C862" s="2">
        <v>125346</v>
      </c>
      <c r="D862" s="1">
        <v>1.2739E-2</v>
      </c>
    </row>
    <row r="863" spans="1:4" x14ac:dyDescent="0.2">
      <c r="A863" s="1">
        <v>2015</v>
      </c>
      <c r="B863" s="1" t="s">
        <v>2489</v>
      </c>
      <c r="C863" s="2">
        <v>520644</v>
      </c>
      <c r="D863" s="1">
        <v>5.2913000000000002E-2</v>
      </c>
    </row>
    <row r="864" spans="1:4" x14ac:dyDescent="0.2">
      <c r="A864" s="1">
        <v>2015</v>
      </c>
      <c r="B864" s="1" t="s">
        <v>2490</v>
      </c>
      <c r="C864" s="2">
        <v>339172</v>
      </c>
      <c r="D864" s="1">
        <v>3.4470000000000001E-2</v>
      </c>
    </row>
    <row r="865" spans="1:4" x14ac:dyDescent="0.2">
      <c r="A865" s="1">
        <v>2015</v>
      </c>
      <c r="B865" s="1" t="s">
        <v>2491</v>
      </c>
      <c r="C865" s="2">
        <v>7682</v>
      </c>
      <c r="D865" s="1">
        <v>7.8100000000000001E-4</v>
      </c>
    </row>
    <row r="866" spans="1:4" x14ac:dyDescent="0.2">
      <c r="A866" s="1">
        <v>2015</v>
      </c>
      <c r="B866" s="1" t="s">
        <v>2006</v>
      </c>
      <c r="C866" s="2">
        <v>10784</v>
      </c>
      <c r="D866" s="1">
        <v>1.096E-3</v>
      </c>
    </row>
    <row r="867" spans="1:4" x14ac:dyDescent="0.2">
      <c r="A867" s="1">
        <v>2015</v>
      </c>
      <c r="B867" s="1" t="s">
        <v>2492</v>
      </c>
      <c r="C867" s="2">
        <v>508351</v>
      </c>
      <c r="D867" s="1">
        <v>5.1663000000000001E-2</v>
      </c>
    </row>
    <row r="868" spans="1:4" x14ac:dyDescent="0.2">
      <c r="A868" s="1">
        <v>2015</v>
      </c>
      <c r="B868" s="1" t="s">
        <v>2008</v>
      </c>
      <c r="C868" s="2">
        <v>59498</v>
      </c>
      <c r="D868" s="1">
        <v>6.0470000000000003E-3</v>
      </c>
    </row>
    <row r="869" spans="1:4" x14ac:dyDescent="0.2">
      <c r="A869" s="1">
        <v>2015</v>
      </c>
      <c r="B869" s="1" t="s">
        <v>2493</v>
      </c>
      <c r="C869" s="2">
        <v>1458985</v>
      </c>
      <c r="D869" s="1">
        <v>0.14827499999999999</v>
      </c>
    </row>
    <row r="870" spans="1:4" x14ac:dyDescent="0.2">
      <c r="A870" s="1">
        <v>2015</v>
      </c>
      <c r="B870" s="1" t="s">
        <v>2494</v>
      </c>
      <c r="C870" s="2">
        <v>446525</v>
      </c>
      <c r="D870" s="1">
        <v>4.5379999999999997E-2</v>
      </c>
    </row>
    <row r="871" spans="1:4" x14ac:dyDescent="0.2">
      <c r="A871" s="1">
        <v>2015</v>
      </c>
      <c r="B871" s="1" t="s">
        <v>2495</v>
      </c>
      <c r="C871" s="2">
        <v>1409229</v>
      </c>
      <c r="D871" s="1">
        <v>0.14321900000000001</v>
      </c>
    </row>
    <row r="872" spans="1:4" x14ac:dyDescent="0.2">
      <c r="A872" s="1">
        <v>2015</v>
      </c>
      <c r="B872" s="1" t="s">
        <v>2496</v>
      </c>
      <c r="C872" s="2">
        <v>834186</v>
      </c>
      <c r="D872" s="1">
        <v>8.4778000000000006E-2</v>
      </c>
    </row>
    <row r="873" spans="1:4" x14ac:dyDescent="0.2">
      <c r="A873" s="1">
        <v>2015</v>
      </c>
      <c r="B873" s="1" t="s">
        <v>2497</v>
      </c>
      <c r="C873" s="2">
        <v>12206</v>
      </c>
      <c r="D873" s="1">
        <v>1.24E-3</v>
      </c>
    </row>
    <row r="874" spans="1:4" x14ac:dyDescent="0.2">
      <c r="A874" s="1">
        <v>2015</v>
      </c>
      <c r="B874" s="1" t="s">
        <v>2498</v>
      </c>
      <c r="C874" s="2">
        <v>7916</v>
      </c>
      <c r="D874" s="1">
        <v>8.0400000000000003E-4</v>
      </c>
    </row>
    <row r="875" spans="1:4" x14ac:dyDescent="0.2">
      <c r="A875" s="1">
        <v>2015</v>
      </c>
      <c r="B875" s="1" t="s">
        <v>2499</v>
      </c>
      <c r="C875" s="2">
        <v>19395</v>
      </c>
      <c r="D875" s="1">
        <v>1.9710000000000001E-3</v>
      </c>
    </row>
    <row r="876" spans="1:4" x14ac:dyDescent="0.2">
      <c r="A876" s="1">
        <v>2015</v>
      </c>
      <c r="B876" s="1" t="s">
        <v>2016</v>
      </c>
      <c r="C876" s="2">
        <v>9353</v>
      </c>
      <c r="D876" s="1">
        <v>9.5100000000000002E-4</v>
      </c>
    </row>
    <row r="877" spans="1:4" x14ac:dyDescent="0.2">
      <c r="A877" s="1">
        <v>2015</v>
      </c>
      <c r="B877" s="1" t="s">
        <v>2500</v>
      </c>
      <c r="C877" s="2">
        <v>97328</v>
      </c>
      <c r="D877" s="1">
        <v>9.8910000000000005E-3</v>
      </c>
    </row>
    <row r="878" spans="1:4" x14ac:dyDescent="0.2">
      <c r="A878" s="1">
        <v>2015</v>
      </c>
      <c r="B878" s="1" t="s">
        <v>2018</v>
      </c>
      <c r="C878" s="2">
        <v>59948</v>
      </c>
      <c r="D878" s="1">
        <v>6.0920000000000002E-3</v>
      </c>
    </row>
    <row r="880" spans="1:4" x14ac:dyDescent="0.2">
      <c r="B880" s="3" t="s">
        <v>861</v>
      </c>
      <c r="C880" s="2">
        <f>SUM(C2:C878)</f>
        <v>983969966</v>
      </c>
    </row>
    <row r="881" spans="2:3" x14ac:dyDescent="0.2">
      <c r="B881" s="3"/>
    </row>
    <row r="882" spans="2:3" x14ac:dyDescent="0.2">
      <c r="B882" s="3" t="s">
        <v>860</v>
      </c>
      <c r="C882" s="2">
        <v>983969966</v>
      </c>
    </row>
    <row r="884" spans="2:3" x14ac:dyDescent="0.2">
      <c r="B884" s="4" t="s">
        <v>862</v>
      </c>
      <c r="C884" s="5">
        <f>C880-C882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28A5-D503-B742-9225-37EFCA09F366}">
  <sheetPr>
    <tabColor rgb="FFFF0000"/>
  </sheetPr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B49CB-A69D-714F-BA21-61D062E4DF4B}">
  <sheetPr>
    <tabColor rgb="FFFFFF00"/>
  </sheetPr>
  <dimension ref="A1:D142"/>
  <sheetViews>
    <sheetView workbookViewId="0">
      <selection activeCell="A161" sqref="A161"/>
    </sheetView>
  </sheetViews>
  <sheetFormatPr baseColWidth="10" defaultRowHeight="16" x14ac:dyDescent="0.2"/>
  <cols>
    <col min="1" max="1" width="31" bestFit="1" customWidth="1"/>
  </cols>
  <sheetData>
    <row r="1" spans="1:4" x14ac:dyDescent="0.2">
      <c r="A1" t="s">
        <v>1152</v>
      </c>
      <c r="B1" t="s">
        <v>1153</v>
      </c>
      <c r="D1" t="s">
        <v>2504</v>
      </c>
    </row>
    <row r="2" spans="1:4" x14ac:dyDescent="0.2">
      <c r="A2" t="s">
        <v>1</v>
      </c>
      <c r="B2">
        <v>2800360</v>
      </c>
      <c r="D2">
        <f>COUNTIF(Summary!$H$2:$H$8627,'LEAID Match'!B2)</f>
        <v>10</v>
      </c>
    </row>
    <row r="3" spans="1:4" x14ac:dyDescent="0.2">
      <c r="A3" t="s">
        <v>8</v>
      </c>
      <c r="B3">
        <v>2800390</v>
      </c>
      <c r="D3">
        <f>COUNTIF(Summary!$H$2:$H$8627,'LEAID Match'!B3)</f>
        <v>10</v>
      </c>
    </row>
    <row r="4" spans="1:4" x14ac:dyDescent="0.2">
      <c r="A4" t="s">
        <v>11</v>
      </c>
      <c r="B4">
        <v>2800420</v>
      </c>
      <c r="D4">
        <f>COUNTIF(Summary!$H$2:$H$8627,'LEAID Match'!B4)</f>
        <v>10</v>
      </c>
    </row>
    <row r="5" spans="1:4" x14ac:dyDescent="0.2">
      <c r="A5" t="s">
        <v>15</v>
      </c>
      <c r="B5">
        <v>2800450</v>
      </c>
      <c r="D5">
        <f>COUNTIF(Summary!$H$2:$H$8627,'LEAID Match'!B5)</f>
        <v>10</v>
      </c>
    </row>
    <row r="6" spans="1:4" x14ac:dyDescent="0.2">
      <c r="A6" t="s">
        <v>26</v>
      </c>
      <c r="B6">
        <v>2800510</v>
      </c>
      <c r="D6">
        <f>COUNTIF(Summary!$H$2:$H$8627,'LEAID Match'!B6)</f>
        <v>10</v>
      </c>
    </row>
    <row r="7" spans="1:4" x14ac:dyDescent="0.2">
      <c r="A7" t="s">
        <v>32</v>
      </c>
      <c r="B7">
        <v>2800540</v>
      </c>
      <c r="D7">
        <f>COUNTIF(Summary!$H$2:$H$8627,'LEAID Match'!B7)</f>
        <v>10</v>
      </c>
    </row>
    <row r="8" spans="1:4" x14ac:dyDescent="0.2">
      <c r="A8" s="1" t="s">
        <v>863</v>
      </c>
      <c r="B8">
        <v>2800570</v>
      </c>
      <c r="D8">
        <f>COUNTIF(Summary!$H$2:$H$8627,'LEAID Match'!B8)</f>
        <v>10</v>
      </c>
    </row>
    <row r="9" spans="1:4" x14ac:dyDescent="0.2">
      <c r="A9" t="s">
        <v>46</v>
      </c>
      <c r="B9">
        <v>2800600</v>
      </c>
      <c r="D9">
        <f>COUNTIF(Summary!$H$2:$H$8627,'LEAID Match'!B9)</f>
        <v>10</v>
      </c>
    </row>
    <row r="10" spans="1:4" x14ac:dyDescent="0.2">
      <c r="A10" t="s">
        <v>52</v>
      </c>
      <c r="B10">
        <v>2800630</v>
      </c>
      <c r="D10">
        <f>COUNTIF(Summary!$H$2:$H$8627,'LEAID Match'!B10)</f>
        <v>10</v>
      </c>
    </row>
    <row r="11" spans="1:4" x14ac:dyDescent="0.2">
      <c r="A11" t="s">
        <v>64</v>
      </c>
      <c r="B11">
        <v>2800820</v>
      </c>
      <c r="D11">
        <f>COUNTIF(Summary!$H$2:$H$8627,'LEAID Match'!B11)</f>
        <v>10</v>
      </c>
    </row>
    <row r="12" spans="1:4" x14ac:dyDescent="0.2">
      <c r="A12" t="s">
        <v>69</v>
      </c>
      <c r="B12">
        <v>2800840</v>
      </c>
      <c r="D12">
        <f>COUNTIF(Summary!$H$2:$H$8627,'LEAID Match'!B12)</f>
        <v>10</v>
      </c>
    </row>
    <row r="13" spans="1:4" x14ac:dyDescent="0.2">
      <c r="A13" t="s">
        <v>80</v>
      </c>
      <c r="B13">
        <v>2800870</v>
      </c>
      <c r="D13">
        <f>COUNTIF(Summary!$H$2:$H$8627,'LEAID Match'!B13)</f>
        <v>10</v>
      </c>
    </row>
    <row r="14" spans="1:4" x14ac:dyDescent="0.2">
      <c r="A14" t="s">
        <v>86</v>
      </c>
      <c r="B14">
        <v>2800900</v>
      </c>
      <c r="D14">
        <f>COUNTIF(Summary!$H$2:$H$8627,'LEAID Match'!B14)</f>
        <v>10</v>
      </c>
    </row>
    <row r="15" spans="1:4" x14ac:dyDescent="0.2">
      <c r="A15" t="s">
        <v>89</v>
      </c>
      <c r="B15">
        <v>2800930</v>
      </c>
      <c r="D15">
        <f>COUNTIF(Summary!$H$2:$H$8627,'LEAID Match'!B15)</f>
        <v>10</v>
      </c>
    </row>
    <row r="16" spans="1:4" x14ac:dyDescent="0.2">
      <c r="A16" t="s">
        <v>98</v>
      </c>
      <c r="B16">
        <v>2800960</v>
      </c>
      <c r="D16">
        <f>COUNTIF(Summary!$H$2:$H$8627,'LEAID Match'!B16)</f>
        <v>10</v>
      </c>
    </row>
    <row r="17" spans="1:4" x14ac:dyDescent="0.2">
      <c r="A17" t="s">
        <v>100</v>
      </c>
      <c r="B17">
        <v>2800990</v>
      </c>
      <c r="D17">
        <f>COUNTIF(Summary!$H$2:$H$8627,'LEAID Match'!B17)</f>
        <v>10</v>
      </c>
    </row>
    <row r="18" spans="1:4" x14ac:dyDescent="0.2">
      <c r="A18" t="s">
        <v>109</v>
      </c>
      <c r="B18">
        <v>2801020</v>
      </c>
      <c r="D18">
        <f>COUNTIF(Summary!$H$2:$H$8627,'LEAID Match'!B18)</f>
        <v>10</v>
      </c>
    </row>
    <row r="19" spans="1:4" x14ac:dyDescent="0.2">
      <c r="A19" t="s">
        <v>116</v>
      </c>
      <c r="B19">
        <v>2801050</v>
      </c>
      <c r="D19">
        <f>COUNTIF(Summary!$H$2:$H$8627,'LEAID Match'!B19)</f>
        <v>10</v>
      </c>
    </row>
    <row r="20" spans="1:4" x14ac:dyDescent="0.2">
      <c r="A20" t="s">
        <v>122</v>
      </c>
      <c r="B20">
        <v>2800750</v>
      </c>
      <c r="D20">
        <f>COUNTIF(Summary!$H$2:$H$8627,'LEAID Match'!B20)</f>
        <v>10</v>
      </c>
    </row>
    <row r="21" spans="1:4" x14ac:dyDescent="0.2">
      <c r="A21" t="s">
        <v>124</v>
      </c>
      <c r="B21">
        <v>2801090</v>
      </c>
      <c r="D21">
        <f>COUNTIF(Summary!$H$2:$H$8627,'LEAID Match'!B21)</f>
        <v>10</v>
      </c>
    </row>
    <row r="22" spans="1:4" x14ac:dyDescent="0.2">
      <c r="A22" t="s">
        <v>125</v>
      </c>
      <c r="B22">
        <v>2801110</v>
      </c>
      <c r="D22">
        <f>COUNTIF(Summary!$H$2:$H$8627,'LEAID Match'!B22)</f>
        <v>10</v>
      </c>
    </row>
    <row r="23" spans="1:4" x14ac:dyDescent="0.2">
      <c r="A23" t="s">
        <v>130</v>
      </c>
      <c r="B23">
        <v>2801140</v>
      </c>
      <c r="D23">
        <f>COUNTIF(Summary!$H$2:$H$8627,'LEAID Match'!B23)</f>
        <v>10</v>
      </c>
    </row>
    <row r="24" spans="1:4" x14ac:dyDescent="0.2">
      <c r="A24" t="s">
        <v>135</v>
      </c>
      <c r="B24">
        <v>2801170</v>
      </c>
      <c r="D24">
        <f>COUNTIF(Summary!$H$2:$H$8627,'LEAID Match'!B24)</f>
        <v>10</v>
      </c>
    </row>
    <row r="25" spans="1:4" x14ac:dyDescent="0.2">
      <c r="A25" t="s">
        <v>139</v>
      </c>
      <c r="B25">
        <v>2801200</v>
      </c>
      <c r="D25">
        <f>COUNTIF(Summary!$H$2:$H$8627,'LEAID Match'!B25)</f>
        <v>10</v>
      </c>
    </row>
    <row r="26" spans="1:4" x14ac:dyDescent="0.2">
      <c r="A26" t="s">
        <v>142</v>
      </c>
      <c r="B26">
        <v>2801220</v>
      </c>
      <c r="D26">
        <f>COUNTIF(Summary!$H$2:$H$8627,'LEAID Match'!B26)</f>
        <v>10</v>
      </c>
    </row>
    <row r="27" spans="1:4" x14ac:dyDescent="0.2">
      <c r="A27" t="s">
        <v>150</v>
      </c>
      <c r="B27">
        <v>2801260</v>
      </c>
      <c r="D27">
        <f>COUNTIF(Summary!$H$2:$H$8627,'LEAID Match'!B27)</f>
        <v>10</v>
      </c>
    </row>
    <row r="28" spans="1:4" x14ac:dyDescent="0.2">
      <c r="A28" t="s">
        <v>156</v>
      </c>
      <c r="B28">
        <v>2801290</v>
      </c>
      <c r="D28">
        <f>COUNTIF(Summary!$H$2:$H$8627,'LEAID Match'!B28)</f>
        <v>10</v>
      </c>
    </row>
    <row r="29" spans="1:4" x14ac:dyDescent="0.2">
      <c r="A29" t="s">
        <v>173</v>
      </c>
      <c r="B29">
        <v>2801320</v>
      </c>
      <c r="D29">
        <f>COUNTIF(Summary!$H$2:$H$8627,'LEAID Match'!B29)</f>
        <v>10</v>
      </c>
    </row>
    <row r="30" spans="1:4" x14ac:dyDescent="0.2">
      <c r="A30" t="s">
        <v>186</v>
      </c>
      <c r="B30">
        <v>2801380</v>
      </c>
      <c r="D30">
        <f>COUNTIF(Summary!$H$2:$H$8627,'LEAID Match'!B30)</f>
        <v>10</v>
      </c>
    </row>
    <row r="31" spans="1:4" x14ac:dyDescent="0.2">
      <c r="A31" t="s">
        <v>191</v>
      </c>
      <c r="B31">
        <v>2801410</v>
      </c>
      <c r="D31">
        <f>COUNTIF(Summary!$H$2:$H$8627,'LEAID Match'!B31)</f>
        <v>10</v>
      </c>
    </row>
    <row r="32" spans="1:4" x14ac:dyDescent="0.2">
      <c r="A32" s="1" t="s">
        <v>198</v>
      </c>
      <c r="B32">
        <v>2801192</v>
      </c>
      <c r="D32">
        <f>COUNTIF(Summary!$H$2:$H$8627,'LEAID Match'!B32)</f>
        <v>10</v>
      </c>
    </row>
    <row r="33" spans="1:4" x14ac:dyDescent="0.2">
      <c r="A33" t="s">
        <v>201</v>
      </c>
      <c r="B33">
        <v>2801440</v>
      </c>
      <c r="D33">
        <f>COUNTIF(Summary!$H$2:$H$8627,'LEAID Match'!B33)</f>
        <v>10</v>
      </c>
    </row>
    <row r="34" spans="1:4" x14ac:dyDescent="0.2">
      <c r="A34" t="s">
        <v>216</v>
      </c>
      <c r="B34">
        <v>2801470</v>
      </c>
      <c r="D34">
        <f>COUNTIF(Summary!$H$2:$H$8627,'LEAID Match'!B34)</f>
        <v>10</v>
      </c>
    </row>
    <row r="35" spans="1:4" x14ac:dyDescent="0.2">
      <c r="A35" s="1" t="s">
        <v>218</v>
      </c>
      <c r="B35">
        <v>2801510</v>
      </c>
      <c r="D35">
        <f>COUNTIF(Summary!$H$2:$H$8627,'LEAID Match'!B35)</f>
        <v>10</v>
      </c>
    </row>
    <row r="36" spans="1:4" x14ac:dyDescent="0.2">
      <c r="A36" t="s">
        <v>219</v>
      </c>
      <c r="B36">
        <v>2801490</v>
      </c>
      <c r="D36">
        <f>COUNTIF(Summary!$H$2:$H$8627,'LEAID Match'!B36)</f>
        <v>10</v>
      </c>
    </row>
    <row r="37" spans="1:4" x14ac:dyDescent="0.2">
      <c r="A37" t="s">
        <v>222</v>
      </c>
      <c r="B37">
        <v>2801530</v>
      </c>
      <c r="D37">
        <f>COUNTIF(Summary!$H$2:$H$8627,'LEAID Match'!B37)</f>
        <v>10</v>
      </c>
    </row>
    <row r="38" spans="1:4" x14ac:dyDescent="0.2">
      <c r="A38" t="s">
        <v>228</v>
      </c>
      <c r="B38">
        <v>2801560</v>
      </c>
      <c r="D38">
        <f>COUNTIF(Summary!$H$2:$H$8627,'LEAID Match'!B38)</f>
        <v>10</v>
      </c>
    </row>
    <row r="39" spans="1:4" x14ac:dyDescent="0.2">
      <c r="A39" t="s">
        <v>237</v>
      </c>
      <c r="B39">
        <v>2801590</v>
      </c>
      <c r="D39">
        <f>COUNTIF(Summary!$H$2:$H$8627,'LEAID Match'!B39)</f>
        <v>10</v>
      </c>
    </row>
    <row r="40" spans="1:4" x14ac:dyDescent="0.2">
      <c r="A40" t="s">
        <v>240</v>
      </c>
      <c r="B40">
        <v>2801620</v>
      </c>
      <c r="D40">
        <f>COUNTIF(Summary!$H$2:$H$8627,'LEAID Match'!B40)</f>
        <v>10</v>
      </c>
    </row>
    <row r="41" spans="1:4" x14ac:dyDescent="0.2">
      <c r="A41" t="s">
        <v>251</v>
      </c>
      <c r="B41">
        <v>2801680</v>
      </c>
      <c r="D41">
        <f>COUNTIF(Summary!$H$2:$H$8627,'LEAID Match'!B41)</f>
        <v>10</v>
      </c>
    </row>
    <row r="42" spans="1:4" x14ac:dyDescent="0.2">
      <c r="A42" s="1" t="s">
        <v>869</v>
      </c>
      <c r="B42">
        <v>2800198</v>
      </c>
      <c r="D42">
        <f>COUNTIF(Summary!$H$2:$H$8627,'LEAID Match'!B42)</f>
        <v>10</v>
      </c>
    </row>
    <row r="43" spans="1:4" x14ac:dyDescent="0.2">
      <c r="A43" t="s">
        <v>255</v>
      </c>
      <c r="B43">
        <v>2801710</v>
      </c>
      <c r="D43">
        <f>COUNTIF(Summary!$H$2:$H$8627,'LEAID Match'!B43)</f>
        <v>10</v>
      </c>
    </row>
    <row r="44" spans="1:4" x14ac:dyDescent="0.2">
      <c r="A44" t="s">
        <v>257</v>
      </c>
      <c r="B44">
        <v>2801740</v>
      </c>
      <c r="D44">
        <f>COUNTIF(Summary!$H$2:$H$8627,'LEAID Match'!B44)</f>
        <v>10</v>
      </c>
    </row>
    <row r="45" spans="1:4" x14ac:dyDescent="0.2">
      <c r="A45" t="s">
        <v>267</v>
      </c>
      <c r="B45">
        <v>2801770</v>
      </c>
      <c r="D45">
        <f>COUNTIF(Summary!$H$2:$H$8627,'LEAID Match'!B45)</f>
        <v>10</v>
      </c>
    </row>
    <row r="46" spans="1:4" x14ac:dyDescent="0.2">
      <c r="A46" t="s">
        <v>278</v>
      </c>
      <c r="B46">
        <v>2801800</v>
      </c>
      <c r="D46">
        <f>COUNTIF(Summary!$H$2:$H$8627,'LEAID Match'!B46)</f>
        <v>10</v>
      </c>
    </row>
    <row r="47" spans="1:4" x14ac:dyDescent="0.2">
      <c r="A47" t="s">
        <v>283</v>
      </c>
      <c r="B47">
        <v>2801830</v>
      </c>
      <c r="D47">
        <f>COUNTIF(Summary!$H$2:$H$8627,'LEAID Match'!B47)</f>
        <v>10</v>
      </c>
    </row>
    <row r="48" spans="1:4" x14ac:dyDescent="0.2">
      <c r="A48" t="s">
        <v>288</v>
      </c>
      <c r="B48">
        <v>2801860</v>
      </c>
      <c r="D48">
        <f>COUNTIF(Summary!$H$2:$H$8627,'LEAID Match'!B48)</f>
        <v>10</v>
      </c>
    </row>
    <row r="49" spans="1:4" x14ac:dyDescent="0.2">
      <c r="A49" t="s">
        <v>295</v>
      </c>
      <c r="B49">
        <v>2801890</v>
      </c>
      <c r="D49">
        <f>COUNTIF(Summary!$H$2:$H$8627,'LEAID Match'!B49)</f>
        <v>10</v>
      </c>
    </row>
    <row r="50" spans="1:4" x14ac:dyDescent="0.2">
      <c r="A50" t="s">
        <v>298</v>
      </c>
      <c r="B50">
        <v>2801950</v>
      </c>
      <c r="D50">
        <f>COUNTIF(Summary!$H$2:$H$8627,'LEAID Match'!B50)</f>
        <v>10</v>
      </c>
    </row>
    <row r="51" spans="1:4" x14ac:dyDescent="0.2">
      <c r="A51" s="9" t="s">
        <v>302</v>
      </c>
      <c r="B51" s="10">
        <v>2800195</v>
      </c>
      <c r="C51" s="10">
        <v>2801980</v>
      </c>
      <c r="D51">
        <f>COUNTIF(Summary!$H$2:$H$8627,'LEAID Match'!B51)</f>
        <v>10</v>
      </c>
    </row>
    <row r="52" spans="1:4" x14ac:dyDescent="0.2">
      <c r="A52" t="s">
        <v>308</v>
      </c>
      <c r="B52">
        <v>2802040</v>
      </c>
      <c r="D52">
        <f>COUNTIF(Summary!$H$2:$H$8627,'LEAID Match'!B52)</f>
        <v>10</v>
      </c>
    </row>
    <row r="53" spans="1:4" x14ac:dyDescent="0.2">
      <c r="A53" t="s">
        <v>317</v>
      </c>
      <c r="B53">
        <v>2802100</v>
      </c>
      <c r="D53">
        <f>COUNTIF(Summary!$H$2:$H$8627,'LEAID Match'!B53)</f>
        <v>10</v>
      </c>
    </row>
    <row r="54" spans="1:4" x14ac:dyDescent="0.2">
      <c r="A54" t="s">
        <v>327</v>
      </c>
      <c r="B54">
        <v>2802160</v>
      </c>
      <c r="D54">
        <f>COUNTIF(Summary!$H$2:$H$8627,'LEAID Match'!B54)</f>
        <v>10</v>
      </c>
    </row>
    <row r="55" spans="1:4" x14ac:dyDescent="0.2">
      <c r="A55" t="s">
        <v>335</v>
      </c>
      <c r="B55">
        <v>2802190</v>
      </c>
      <c r="D55">
        <f>COUNTIF(Summary!$H$2:$H$8627,'LEAID Match'!B55)</f>
        <v>10</v>
      </c>
    </row>
    <row r="56" spans="1:4" x14ac:dyDescent="0.2">
      <c r="A56" t="s">
        <v>342</v>
      </c>
      <c r="B56">
        <v>2802220</v>
      </c>
      <c r="D56">
        <f>COUNTIF(Summary!$H$2:$H$8627,'LEAID Match'!B56)</f>
        <v>10</v>
      </c>
    </row>
    <row r="57" spans="1:4" x14ac:dyDescent="0.2">
      <c r="A57" t="s">
        <v>345</v>
      </c>
      <c r="B57">
        <v>2802250</v>
      </c>
      <c r="D57">
        <f>COUNTIF(Summary!$H$2:$H$8627,'LEAID Match'!B57)</f>
        <v>10</v>
      </c>
    </row>
    <row r="58" spans="1:4" x14ac:dyDescent="0.2">
      <c r="A58" t="s">
        <v>348</v>
      </c>
      <c r="B58">
        <v>2802280</v>
      </c>
      <c r="D58">
        <f>COUNTIF(Summary!$H$2:$H$8627,'LEAID Match'!B58)</f>
        <v>10</v>
      </c>
    </row>
    <row r="59" spans="1:4" x14ac:dyDescent="0.2">
      <c r="A59" t="s">
        <v>354</v>
      </c>
      <c r="B59">
        <v>2802310</v>
      </c>
      <c r="D59">
        <f>COUNTIF(Summary!$H$2:$H$8627,'LEAID Match'!B59)</f>
        <v>10</v>
      </c>
    </row>
    <row r="60" spans="1:4" x14ac:dyDescent="0.2">
      <c r="A60" t="s">
        <v>360</v>
      </c>
      <c r="B60">
        <v>2802340</v>
      </c>
      <c r="D60">
        <f>COUNTIF(Summary!$H$2:$H$8627,'LEAID Match'!B60)</f>
        <v>10</v>
      </c>
    </row>
    <row r="61" spans="1:4" x14ac:dyDescent="0.2">
      <c r="A61" t="s">
        <v>362</v>
      </c>
      <c r="B61">
        <v>2802370</v>
      </c>
      <c r="D61">
        <f>COUNTIF(Summary!$H$2:$H$8627,'LEAID Match'!B61)</f>
        <v>10</v>
      </c>
    </row>
    <row r="62" spans="1:4" x14ac:dyDescent="0.2">
      <c r="A62" t="s">
        <v>366</v>
      </c>
      <c r="B62">
        <v>2802400</v>
      </c>
      <c r="D62">
        <f>COUNTIF(Summary!$H$2:$H$8627,'LEAID Match'!B62)</f>
        <v>10</v>
      </c>
    </row>
    <row r="63" spans="1:4" x14ac:dyDescent="0.2">
      <c r="A63" t="s">
        <v>371</v>
      </c>
      <c r="B63">
        <v>2802430</v>
      </c>
      <c r="D63">
        <f>COUNTIF(Summary!$H$2:$H$8627,'LEAID Match'!B63)</f>
        <v>10</v>
      </c>
    </row>
    <row r="64" spans="1:4" x14ac:dyDescent="0.2">
      <c r="A64" t="s">
        <v>377</v>
      </c>
      <c r="B64">
        <v>2802460</v>
      </c>
      <c r="D64">
        <f>COUNTIF(Summary!$H$2:$H$8627,'LEAID Match'!B64)</f>
        <v>10</v>
      </c>
    </row>
    <row r="65" spans="1:4" x14ac:dyDescent="0.2">
      <c r="A65" t="s">
        <v>379</v>
      </c>
      <c r="B65">
        <v>2802490</v>
      </c>
      <c r="D65">
        <f>COUNTIF(Summary!$H$2:$H$8627,'LEAID Match'!B65)</f>
        <v>10</v>
      </c>
    </row>
    <row r="66" spans="1:4" x14ac:dyDescent="0.2">
      <c r="A66" t="s">
        <v>381</v>
      </c>
      <c r="B66">
        <v>2802520</v>
      </c>
      <c r="D66">
        <f>COUNTIF(Summary!$H$2:$H$8627,'LEAID Match'!B66)</f>
        <v>10</v>
      </c>
    </row>
    <row r="67" spans="1:4" x14ac:dyDescent="0.2">
      <c r="A67" t="s">
        <v>386</v>
      </c>
      <c r="B67">
        <v>2802550</v>
      </c>
      <c r="D67">
        <f>COUNTIF(Summary!$H$2:$H$8627,'LEAID Match'!B67)</f>
        <v>10</v>
      </c>
    </row>
    <row r="68" spans="1:4" x14ac:dyDescent="0.2">
      <c r="A68" t="s">
        <v>393</v>
      </c>
      <c r="B68">
        <v>2802610</v>
      </c>
      <c r="D68">
        <f>COUNTIF(Summary!$H$2:$H$8627,'LEAID Match'!B68)</f>
        <v>10</v>
      </c>
    </row>
    <row r="69" spans="1:4" x14ac:dyDescent="0.2">
      <c r="A69" t="s">
        <v>399</v>
      </c>
      <c r="B69">
        <v>2802640</v>
      </c>
      <c r="D69">
        <f>COUNTIF(Summary!$H$2:$H$8627,'LEAID Match'!B69)</f>
        <v>10</v>
      </c>
    </row>
    <row r="70" spans="1:4" x14ac:dyDescent="0.2">
      <c r="A70" t="s">
        <v>403</v>
      </c>
      <c r="B70">
        <v>2802670</v>
      </c>
      <c r="D70">
        <f>COUNTIF(Summary!$H$2:$H$8627,'LEAID Match'!B70)</f>
        <v>10</v>
      </c>
    </row>
    <row r="71" spans="1:4" x14ac:dyDescent="0.2">
      <c r="A71" t="s">
        <v>409</v>
      </c>
      <c r="B71">
        <v>2802700</v>
      </c>
      <c r="D71">
        <f>COUNTIF(Summary!$H$2:$H$8627,'LEAID Match'!B71)</f>
        <v>10</v>
      </c>
    </row>
    <row r="72" spans="1:4" x14ac:dyDescent="0.2">
      <c r="A72" t="s">
        <v>411</v>
      </c>
      <c r="B72">
        <v>2802730</v>
      </c>
      <c r="D72">
        <f>COUNTIF(Summary!$H$2:$H$8627,'LEAID Match'!B72)</f>
        <v>10</v>
      </c>
    </row>
    <row r="73" spans="1:4" x14ac:dyDescent="0.2">
      <c r="A73" t="s">
        <v>422</v>
      </c>
      <c r="B73">
        <v>2802790</v>
      </c>
      <c r="D73">
        <f>COUNTIF(Summary!$H$2:$H$8627,'LEAID Match'!B73)</f>
        <v>10</v>
      </c>
    </row>
    <row r="74" spans="1:4" x14ac:dyDescent="0.2">
      <c r="A74" t="s">
        <v>433</v>
      </c>
      <c r="B74">
        <v>2802820</v>
      </c>
      <c r="D74">
        <f>COUNTIF(Summary!$H$2:$H$8627,'LEAID Match'!B74)</f>
        <v>10</v>
      </c>
    </row>
    <row r="75" spans="1:4" x14ac:dyDescent="0.2">
      <c r="A75" t="s">
        <v>439</v>
      </c>
      <c r="B75">
        <v>2802850</v>
      </c>
      <c r="D75">
        <f>COUNTIF(Summary!$H$2:$H$8627,'LEAID Match'!B75)</f>
        <v>10</v>
      </c>
    </row>
    <row r="76" spans="1:4" x14ac:dyDescent="0.2">
      <c r="A76" t="s">
        <v>445</v>
      </c>
      <c r="B76">
        <v>2802880</v>
      </c>
      <c r="D76">
        <f>COUNTIF(Summary!$H$2:$H$8627,'LEAID Match'!B76)</f>
        <v>10</v>
      </c>
    </row>
    <row r="77" spans="1:4" x14ac:dyDescent="0.2">
      <c r="A77" t="s">
        <v>459</v>
      </c>
      <c r="B77">
        <v>2802910</v>
      </c>
      <c r="D77">
        <f>COUNTIF(Summary!$H$2:$H$8627,'LEAID Match'!B77)</f>
        <v>10</v>
      </c>
    </row>
    <row r="78" spans="1:4" x14ac:dyDescent="0.2">
      <c r="A78" s="1" t="s">
        <v>472</v>
      </c>
      <c r="B78">
        <v>2800031</v>
      </c>
      <c r="D78">
        <f>COUNTIF(Summary!$H$2:$H$8627,'LEAID Match'!B78)</f>
        <v>4</v>
      </c>
    </row>
    <row r="79" spans="1:4" x14ac:dyDescent="0.2">
      <c r="A79" t="s">
        <v>478</v>
      </c>
      <c r="B79">
        <v>2802940</v>
      </c>
      <c r="D79">
        <f>COUNTIF(Summary!$H$2:$H$8627,'LEAID Match'!B79)</f>
        <v>10</v>
      </c>
    </row>
    <row r="80" spans="1:4" x14ac:dyDescent="0.2">
      <c r="A80" t="s">
        <v>486</v>
      </c>
      <c r="B80">
        <v>2803000</v>
      </c>
      <c r="D80">
        <f>COUNTIF(Summary!$H$2:$H$8627,'LEAID Match'!B80)</f>
        <v>10</v>
      </c>
    </row>
    <row r="81" spans="1:4" x14ac:dyDescent="0.2">
      <c r="A81" s="1" t="s">
        <v>512</v>
      </c>
      <c r="B81">
        <v>2801189</v>
      </c>
      <c r="D81">
        <f>COUNTIF(Summary!$H$2:$H$8627,'LEAID Match'!B81)</f>
        <v>3</v>
      </c>
    </row>
    <row r="82" spans="1:4" x14ac:dyDescent="0.2">
      <c r="A82" t="s">
        <v>885</v>
      </c>
      <c r="B82">
        <v>2803030</v>
      </c>
      <c r="D82">
        <f>COUNTIF(Summary!$H$2:$H$8627,'LEAID Match'!B82)</f>
        <v>10</v>
      </c>
    </row>
    <row r="83" spans="1:4" x14ac:dyDescent="0.2">
      <c r="A83" t="s">
        <v>528</v>
      </c>
      <c r="B83">
        <v>2803060</v>
      </c>
      <c r="D83">
        <f>COUNTIF(Summary!$H$2:$H$8627,'LEAID Match'!B83)</f>
        <v>10</v>
      </c>
    </row>
    <row r="84" spans="1:4" x14ac:dyDescent="0.2">
      <c r="A84" t="s">
        <v>532</v>
      </c>
      <c r="B84">
        <v>2803090</v>
      </c>
      <c r="D84">
        <f>COUNTIF(Summary!$H$2:$H$8627,'LEAID Match'!B84)</f>
        <v>10</v>
      </c>
    </row>
    <row r="85" spans="1:4" x14ac:dyDescent="0.2">
      <c r="A85" t="s">
        <v>536</v>
      </c>
      <c r="B85">
        <v>2803120</v>
      </c>
      <c r="D85">
        <f>COUNTIF(Summary!$H$2:$H$8627,'LEAID Match'!B85)</f>
        <v>10</v>
      </c>
    </row>
    <row r="86" spans="1:4" x14ac:dyDescent="0.2">
      <c r="A86" t="s">
        <v>540</v>
      </c>
      <c r="B86">
        <v>2803150</v>
      </c>
      <c r="D86">
        <f>COUNTIF(Summary!$H$2:$H$8627,'LEAID Match'!B86)</f>
        <v>10</v>
      </c>
    </row>
    <row r="87" spans="1:4" x14ac:dyDescent="0.2">
      <c r="A87" t="s">
        <v>543</v>
      </c>
      <c r="B87">
        <v>2803180</v>
      </c>
      <c r="D87">
        <f>COUNTIF(Summary!$H$2:$H$8627,'LEAID Match'!B87)</f>
        <v>10</v>
      </c>
    </row>
    <row r="88" spans="1:4" x14ac:dyDescent="0.2">
      <c r="A88" s="1" t="s">
        <v>545</v>
      </c>
      <c r="B88">
        <v>2800186</v>
      </c>
      <c r="D88">
        <f>COUNTIF(Summary!$H$2:$H$8627,'LEAID Match'!B88)</f>
        <v>10</v>
      </c>
    </row>
    <row r="89" spans="1:4" x14ac:dyDescent="0.2">
      <c r="A89" t="s">
        <v>547</v>
      </c>
      <c r="B89">
        <v>2803210</v>
      </c>
      <c r="D89">
        <f>COUNTIF(Summary!$H$2:$H$8627,'LEAID Match'!B89)</f>
        <v>10</v>
      </c>
    </row>
    <row r="90" spans="1:4" x14ac:dyDescent="0.2">
      <c r="A90" t="s">
        <v>548</v>
      </c>
      <c r="B90">
        <v>2803240</v>
      </c>
      <c r="D90">
        <f>COUNTIF(Summary!$H$2:$H$8627,'LEAID Match'!B90)</f>
        <v>10</v>
      </c>
    </row>
    <row r="91" spans="1:4" x14ac:dyDescent="0.2">
      <c r="A91" t="s">
        <v>550</v>
      </c>
      <c r="B91">
        <v>2803270</v>
      </c>
      <c r="D91">
        <f>COUNTIF(Summary!$H$2:$H$8627,'LEAID Match'!B91)</f>
        <v>10</v>
      </c>
    </row>
    <row r="92" spans="1:4" x14ac:dyDescent="0.2">
      <c r="A92" t="s">
        <v>557</v>
      </c>
      <c r="B92">
        <v>2803300</v>
      </c>
      <c r="D92">
        <f>COUNTIF(Summary!$H$2:$H$8627,'LEAID Match'!B92)</f>
        <v>10</v>
      </c>
    </row>
    <row r="93" spans="1:4" x14ac:dyDescent="0.2">
      <c r="A93" t="s">
        <v>563</v>
      </c>
      <c r="B93">
        <v>2803360</v>
      </c>
      <c r="D93">
        <f>COUNTIF(Summary!$H$2:$H$8627,'LEAID Match'!B93)</f>
        <v>10</v>
      </c>
    </row>
    <row r="94" spans="1:4" x14ac:dyDescent="0.2">
      <c r="A94" t="s">
        <v>569</v>
      </c>
      <c r="B94">
        <v>2803390</v>
      </c>
      <c r="D94">
        <f>COUNTIF(Summary!$H$2:$H$8627,'LEAID Match'!B94)</f>
        <v>10</v>
      </c>
    </row>
    <row r="95" spans="1:4" x14ac:dyDescent="0.2">
      <c r="A95" t="s">
        <v>577</v>
      </c>
      <c r="B95">
        <v>2803450</v>
      </c>
      <c r="D95">
        <f>COUNTIF(Summary!$H$2:$H$8627,'LEAID Match'!B95)</f>
        <v>10</v>
      </c>
    </row>
    <row r="96" spans="1:4" x14ac:dyDescent="0.2">
      <c r="A96" t="s">
        <v>583</v>
      </c>
      <c r="B96">
        <v>2803480</v>
      </c>
      <c r="D96">
        <f>COUNTIF(Summary!$H$2:$H$8627,'LEAID Match'!B96)</f>
        <v>10</v>
      </c>
    </row>
    <row r="97" spans="1:4" x14ac:dyDescent="0.2">
      <c r="A97" t="s">
        <v>585</v>
      </c>
      <c r="B97">
        <v>2803510</v>
      </c>
      <c r="D97">
        <f>COUNTIF(Summary!$H$2:$H$8627,'LEAID Match'!B97)</f>
        <v>10</v>
      </c>
    </row>
    <row r="98" spans="1:4" x14ac:dyDescent="0.2">
      <c r="A98" t="s">
        <v>588</v>
      </c>
      <c r="B98">
        <v>2803520</v>
      </c>
      <c r="D98">
        <f>COUNTIF(Summary!$H$2:$H$8627,'LEAID Match'!B98)</f>
        <v>10</v>
      </c>
    </row>
    <row r="99" spans="1:4" x14ac:dyDescent="0.2">
      <c r="A99" s="1" t="s">
        <v>589</v>
      </c>
      <c r="B99">
        <v>2803540</v>
      </c>
      <c r="D99">
        <f>COUNTIF(Summary!$H$2:$H$8627,'LEAID Match'!B99)</f>
        <v>10</v>
      </c>
    </row>
    <row r="100" spans="1:4" x14ac:dyDescent="0.2">
      <c r="A100" t="s">
        <v>596</v>
      </c>
      <c r="B100">
        <v>2803570</v>
      </c>
      <c r="D100">
        <f>COUNTIF(Summary!$H$2:$H$8627,'LEAID Match'!B100)</f>
        <v>10</v>
      </c>
    </row>
    <row r="101" spans="1:4" x14ac:dyDescent="0.2">
      <c r="A101" t="s">
        <v>599</v>
      </c>
      <c r="B101">
        <v>2803530</v>
      </c>
      <c r="D101">
        <f>COUNTIF(Summary!$H$2:$H$8627,'LEAID Match'!B101)</f>
        <v>10</v>
      </c>
    </row>
    <row r="102" spans="1:4" x14ac:dyDescent="0.2">
      <c r="A102" t="s">
        <v>601</v>
      </c>
      <c r="B102">
        <v>2803600</v>
      </c>
      <c r="D102">
        <f>COUNTIF(Summary!$H$2:$H$8627,'LEAID Match'!B102)</f>
        <v>10</v>
      </c>
    </row>
    <row r="103" spans="1:4" x14ac:dyDescent="0.2">
      <c r="A103" t="s">
        <v>605</v>
      </c>
      <c r="B103">
        <v>2803630</v>
      </c>
      <c r="D103">
        <f>COUNTIF(Summary!$H$2:$H$8627,'LEAID Match'!B103)</f>
        <v>10</v>
      </c>
    </row>
    <row r="104" spans="1:4" x14ac:dyDescent="0.2">
      <c r="A104" t="s">
        <v>613</v>
      </c>
      <c r="B104">
        <v>2803660</v>
      </c>
      <c r="D104">
        <f>COUNTIF(Summary!$H$2:$H$8627,'LEAID Match'!B104)</f>
        <v>10</v>
      </c>
    </row>
    <row r="105" spans="1:4" x14ac:dyDescent="0.2">
      <c r="A105" t="s">
        <v>616</v>
      </c>
      <c r="B105">
        <v>2803690</v>
      </c>
      <c r="D105">
        <f>COUNTIF(Summary!$H$2:$H$8627,'LEAID Match'!B105)</f>
        <v>10</v>
      </c>
    </row>
    <row r="106" spans="1:4" x14ac:dyDescent="0.2">
      <c r="A106" t="s">
        <v>618</v>
      </c>
      <c r="B106">
        <v>2803720</v>
      </c>
      <c r="D106">
        <f>COUNTIF(Summary!$H$2:$H$8627,'LEAID Match'!B106)</f>
        <v>10</v>
      </c>
    </row>
    <row r="107" spans="1:4" x14ac:dyDescent="0.2">
      <c r="A107" t="s">
        <v>622</v>
      </c>
      <c r="B107">
        <v>2803750</v>
      </c>
      <c r="D107">
        <f>COUNTIF(Summary!$H$2:$H$8627,'LEAID Match'!B107)</f>
        <v>10</v>
      </c>
    </row>
    <row r="108" spans="1:4" x14ac:dyDescent="0.2">
      <c r="A108" t="s">
        <v>631</v>
      </c>
      <c r="B108">
        <v>2803810</v>
      </c>
      <c r="D108">
        <f>COUNTIF(Summary!$H$2:$H$8627,'LEAID Match'!B108)</f>
        <v>10</v>
      </c>
    </row>
    <row r="109" spans="1:4" x14ac:dyDescent="0.2">
      <c r="A109" t="s">
        <v>633</v>
      </c>
      <c r="B109">
        <v>2803780</v>
      </c>
      <c r="D109">
        <f>COUNTIF(Summary!$H$2:$H$8627,'LEAID Match'!B109)</f>
        <v>10</v>
      </c>
    </row>
    <row r="110" spans="1:4" x14ac:dyDescent="0.2">
      <c r="A110" t="s">
        <v>635</v>
      </c>
      <c r="B110">
        <v>2803830</v>
      </c>
      <c r="D110">
        <f>COUNTIF(Summary!$H$2:$H$8627,'LEAID Match'!B110)</f>
        <v>10</v>
      </c>
    </row>
    <row r="111" spans="1:4" x14ac:dyDescent="0.2">
      <c r="A111" t="s">
        <v>643</v>
      </c>
      <c r="B111">
        <v>2803870</v>
      </c>
      <c r="D111">
        <f>COUNTIF(Summary!$H$2:$H$8627,'LEAID Match'!B111)</f>
        <v>10</v>
      </c>
    </row>
    <row r="112" spans="1:4" x14ac:dyDescent="0.2">
      <c r="A112" t="s">
        <v>658</v>
      </c>
      <c r="B112">
        <v>2803900</v>
      </c>
      <c r="D112">
        <f>COUNTIF(Summary!$H$2:$H$8627,'LEAID Match'!B112)</f>
        <v>10</v>
      </c>
    </row>
    <row r="113" spans="1:4" x14ac:dyDescent="0.2">
      <c r="A113" t="s">
        <v>666</v>
      </c>
      <c r="B113">
        <v>2803930</v>
      </c>
      <c r="D113">
        <f>COUNTIF(Summary!$H$2:$H$8627,'LEAID Match'!B113)</f>
        <v>10</v>
      </c>
    </row>
    <row r="114" spans="1:4" x14ac:dyDescent="0.2">
      <c r="A114" t="s">
        <v>677</v>
      </c>
      <c r="B114">
        <v>2803990</v>
      </c>
      <c r="D114">
        <f>COUNTIF(Summary!$H$2:$H$8627,'LEAID Match'!B114)</f>
        <v>10</v>
      </c>
    </row>
    <row r="115" spans="1:4" x14ac:dyDescent="0.2">
      <c r="A115" t="s">
        <v>682</v>
      </c>
      <c r="B115">
        <v>2804020</v>
      </c>
      <c r="D115">
        <f>COUNTIF(Summary!$H$2:$H$8627,'LEAID Match'!B115)</f>
        <v>10</v>
      </c>
    </row>
    <row r="116" spans="1:4" x14ac:dyDescent="0.2">
      <c r="A116" t="s">
        <v>688</v>
      </c>
      <c r="B116">
        <v>2803960</v>
      </c>
      <c r="D116">
        <f>COUNTIF(Summary!$H$2:$H$8627,'LEAID Match'!B116)</f>
        <v>10</v>
      </c>
    </row>
    <row r="117" spans="1:4" x14ac:dyDescent="0.2">
      <c r="A117" t="s">
        <v>692</v>
      </c>
      <c r="B117">
        <v>2804050</v>
      </c>
      <c r="D117">
        <f>COUNTIF(Summary!$H$2:$H$8627,'LEAID Match'!B117)</f>
        <v>10</v>
      </c>
    </row>
    <row r="118" spans="1:4" x14ac:dyDescent="0.2">
      <c r="A118" t="s">
        <v>693</v>
      </c>
      <c r="B118">
        <v>2804080</v>
      </c>
      <c r="D118">
        <f>COUNTIF(Summary!$H$2:$H$8627,'LEAID Match'!B118)</f>
        <v>10</v>
      </c>
    </row>
    <row r="119" spans="1:4" x14ac:dyDescent="0.2">
      <c r="A119" t="s">
        <v>694</v>
      </c>
      <c r="B119">
        <v>2804110</v>
      </c>
      <c r="D119">
        <f>COUNTIF(Summary!$H$2:$H$8627,'LEAID Match'!B119)</f>
        <v>10</v>
      </c>
    </row>
    <row r="120" spans="1:4" x14ac:dyDescent="0.2">
      <c r="A120" s="1" t="s">
        <v>699</v>
      </c>
      <c r="B120">
        <v>2800189</v>
      </c>
      <c r="D120">
        <f>COUNTIF(Summary!$H$2:$H$8627,'LEAID Match'!B120)</f>
        <v>10</v>
      </c>
    </row>
    <row r="121" spans="1:4" x14ac:dyDescent="0.2">
      <c r="A121" t="s">
        <v>709</v>
      </c>
      <c r="B121">
        <v>2804170</v>
      </c>
      <c r="D121">
        <f>COUNTIF(Summary!$H$2:$H$8627,'LEAID Match'!B121)</f>
        <v>10</v>
      </c>
    </row>
    <row r="122" spans="1:4" x14ac:dyDescent="0.2">
      <c r="A122" s="1" t="s">
        <v>723</v>
      </c>
      <c r="B122" s="1">
        <v>2800187</v>
      </c>
      <c r="D122">
        <f>COUNTIF(Summary!$H$2:$H$8627,'LEAID Match'!B122)</f>
        <v>10</v>
      </c>
    </row>
    <row r="123" spans="1:4" x14ac:dyDescent="0.2">
      <c r="A123" t="s">
        <v>730</v>
      </c>
      <c r="B123">
        <v>2804230</v>
      </c>
      <c r="D123">
        <f>COUNTIF(Summary!$H$2:$H$8627,'LEAID Match'!B123)</f>
        <v>10</v>
      </c>
    </row>
    <row r="124" spans="1:4" x14ac:dyDescent="0.2">
      <c r="A124" t="s">
        <v>739</v>
      </c>
      <c r="B124">
        <v>2804260</v>
      </c>
      <c r="D124">
        <f>COUNTIF(Summary!$H$2:$H$8627,'LEAID Match'!B124)</f>
        <v>10</v>
      </c>
    </row>
    <row r="125" spans="1:4" x14ac:dyDescent="0.2">
      <c r="A125" t="s">
        <v>763</v>
      </c>
      <c r="B125">
        <v>2804290</v>
      </c>
      <c r="D125">
        <f>COUNTIF(Summary!$H$2:$H$8627,'LEAID Match'!B125)</f>
        <v>10</v>
      </c>
    </row>
    <row r="126" spans="1:4" x14ac:dyDescent="0.2">
      <c r="A126" t="s">
        <v>772</v>
      </c>
      <c r="B126">
        <v>2804320</v>
      </c>
      <c r="D126">
        <f>COUNTIF(Summary!$H$2:$H$8627,'LEAID Match'!B126)</f>
        <v>10</v>
      </c>
    </row>
    <row r="127" spans="1:4" x14ac:dyDescent="0.2">
      <c r="A127" t="s">
        <v>777</v>
      </c>
      <c r="B127">
        <v>2804350</v>
      </c>
      <c r="D127">
        <f>COUNTIF(Summary!$H$2:$H$8627,'LEAID Match'!B127)</f>
        <v>10</v>
      </c>
    </row>
    <row r="128" spans="1:4" x14ac:dyDescent="0.2">
      <c r="A128" t="s">
        <v>780</v>
      </c>
      <c r="B128">
        <v>2804380</v>
      </c>
      <c r="D128">
        <f>COUNTIF(Summary!$H$2:$H$8627,'LEAID Match'!B128)</f>
        <v>10</v>
      </c>
    </row>
    <row r="129" spans="1:4" x14ac:dyDescent="0.2">
      <c r="A129" t="s">
        <v>793</v>
      </c>
      <c r="B129">
        <v>2804470</v>
      </c>
      <c r="D129">
        <f>COUNTIF(Summary!$H$2:$H$8627,'LEAID Match'!B129)</f>
        <v>10</v>
      </c>
    </row>
    <row r="130" spans="1:4" x14ac:dyDescent="0.2">
      <c r="A130" t="s">
        <v>798</v>
      </c>
      <c r="B130">
        <v>2804440</v>
      </c>
      <c r="D130">
        <f>COUNTIF(Summary!$H$2:$H$8627,'LEAID Match'!B130)</f>
        <v>10</v>
      </c>
    </row>
    <row r="131" spans="1:4" x14ac:dyDescent="0.2">
      <c r="A131" t="s">
        <v>806</v>
      </c>
      <c r="B131">
        <v>2804500</v>
      </c>
      <c r="D131">
        <f>COUNTIF(Summary!$H$2:$H$8627,'LEAID Match'!B131)</f>
        <v>10</v>
      </c>
    </row>
    <row r="132" spans="1:4" x14ac:dyDescent="0.2">
      <c r="A132" t="s">
        <v>808</v>
      </c>
      <c r="B132">
        <v>2804530</v>
      </c>
      <c r="D132">
        <f>COUNTIF(Summary!$H$2:$H$8627,'LEAID Match'!B132)</f>
        <v>10</v>
      </c>
    </row>
    <row r="133" spans="1:4" x14ac:dyDescent="0.2">
      <c r="A133" t="s">
        <v>816</v>
      </c>
      <c r="B133">
        <v>2804560</v>
      </c>
      <c r="D133">
        <f>COUNTIF(Summary!$H$2:$H$8627,'LEAID Match'!B133)</f>
        <v>10</v>
      </c>
    </row>
    <row r="134" spans="1:4" x14ac:dyDescent="0.2">
      <c r="A134" s="1" t="s">
        <v>820</v>
      </c>
      <c r="B134">
        <v>2800185</v>
      </c>
      <c r="D134">
        <f>COUNTIF(Summary!$H$2:$H$8627,'LEAID Match'!B134)</f>
        <v>10</v>
      </c>
    </row>
    <row r="135" spans="1:4" x14ac:dyDescent="0.2">
      <c r="A135" t="s">
        <v>822</v>
      </c>
      <c r="B135">
        <v>2804590</v>
      </c>
      <c r="D135">
        <f>COUNTIF(Summary!$H$2:$H$8627,'LEAID Match'!B135)</f>
        <v>10</v>
      </c>
    </row>
    <row r="136" spans="1:4" x14ac:dyDescent="0.2">
      <c r="A136" s="1" t="s">
        <v>824</v>
      </c>
      <c r="B136">
        <v>2800191</v>
      </c>
      <c r="D136">
        <f>COUNTIF(Summary!$H$2:$H$8627,'LEAID Match'!B136)</f>
        <v>10</v>
      </c>
    </row>
    <row r="137" spans="1:4" x14ac:dyDescent="0.2">
      <c r="A137" t="s">
        <v>829</v>
      </c>
      <c r="B137">
        <v>2804650</v>
      </c>
      <c r="D137">
        <f>COUNTIF(Summary!$H$2:$H$8627,'LEAID Match'!B137)</f>
        <v>10</v>
      </c>
    </row>
    <row r="138" spans="1:4" x14ac:dyDescent="0.2">
      <c r="A138" t="s">
        <v>831</v>
      </c>
      <c r="B138">
        <v>2804680</v>
      </c>
      <c r="D138">
        <f>COUNTIF(Summary!$H$2:$H$8627,'LEAID Match'!B138)</f>
        <v>10</v>
      </c>
    </row>
    <row r="139" spans="1:4" x14ac:dyDescent="0.2">
      <c r="A139" t="s">
        <v>834</v>
      </c>
      <c r="B139">
        <v>2804710</v>
      </c>
      <c r="D139">
        <f>COUNTIF(Summary!$H$2:$H$8627,'LEAID Match'!B139)</f>
        <v>10</v>
      </c>
    </row>
    <row r="140" spans="1:4" x14ac:dyDescent="0.2">
      <c r="A140" s="9" t="s">
        <v>898</v>
      </c>
      <c r="B140" s="10">
        <v>2800196</v>
      </c>
      <c r="C140" s="10">
        <v>2804740</v>
      </c>
      <c r="D140">
        <f>COUNTIF(Summary!$H$2:$H$8627,'LEAID Match'!B140)</f>
        <v>10</v>
      </c>
    </row>
    <row r="141" spans="1:4" x14ac:dyDescent="0.2">
      <c r="A141" t="s">
        <v>850</v>
      </c>
      <c r="B141">
        <v>2804770</v>
      </c>
      <c r="D141">
        <f>COUNTIF(Summary!$H$2:$H$8627,'LEAID Match'!B141)</f>
        <v>10</v>
      </c>
    </row>
    <row r="142" spans="1:4" x14ac:dyDescent="0.2">
      <c r="A142" t="s">
        <v>852</v>
      </c>
      <c r="B142">
        <v>2804800</v>
      </c>
      <c r="D142">
        <f>COUNTIF(Summary!$H$2:$H$8627,'LEAID Match'!B142)</f>
        <v>10</v>
      </c>
    </row>
  </sheetData>
  <autoFilter ref="A1:D1" xr:uid="{109B49CB-A69D-714F-BA21-61D062E4DF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GASB Data --&gt;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NCES Data --&gt;</vt:lpstr>
      <vt:lpstr>LEAID 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Kearney</dc:creator>
  <cp:lastModifiedBy>Gregory Kearney</cp:lastModifiedBy>
  <dcterms:created xsi:type="dcterms:W3CDTF">2025-03-06T23:30:21Z</dcterms:created>
  <dcterms:modified xsi:type="dcterms:W3CDTF">2025-03-08T04:13:07Z</dcterms:modified>
</cp:coreProperties>
</file>