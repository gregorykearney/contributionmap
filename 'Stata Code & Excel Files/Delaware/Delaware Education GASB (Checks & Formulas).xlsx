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Delaware/"/>
    </mc:Choice>
  </mc:AlternateContent>
  <xr:revisionPtr revIDLastSave="0" documentId="8_{E4D79490-04F4-9C4F-BEE8-551A2B842C25}" xr6:coauthVersionLast="47" xr6:coauthVersionMax="47" xr10:uidLastSave="{00000000-0000-0000-0000-000000000000}"/>
  <bookViews>
    <workbookView xWindow="5220" yWindow="780" windowWidth="23760" windowHeight="20320" xr2:uid="{843934B9-748F-C54C-B6E4-310811DBE0F0}"/>
  </bookViews>
  <sheets>
    <sheet name="Summary" sheetId="11" r:id="rId1"/>
    <sheet name="Delaware St Emp GASB 68 --&gt;" sheetId="10" r:id="rId2"/>
    <sheet name="2015" sheetId="1" r:id="rId3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  <sheet name="2022" sheetId="8" r:id="rId10"/>
    <sheet name="2023" sheetId="9" r:id="rId11"/>
    <sheet name="NCES Data --&gt;" sheetId="13" r:id="rId12"/>
    <sheet name="LEAID Match" sheetId="14" r:id="rId13"/>
  </sheets>
  <definedNames>
    <definedName name="_xlnm._FilterDatabase" localSheetId="0" hidden="1">Summary!$A$1:$G$298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1" l="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" i="11"/>
  <c r="E22" i="9"/>
  <c r="E26" i="9"/>
  <c r="D5" i="9"/>
  <c r="E5" i="9" s="1"/>
  <c r="D6" i="9"/>
  <c r="E6" i="9" s="1"/>
  <c r="D9" i="9"/>
  <c r="E9" i="9" s="1"/>
  <c r="D10" i="9"/>
  <c r="E10" i="9" s="1"/>
  <c r="D13" i="9"/>
  <c r="E13" i="9" s="1"/>
  <c r="D14" i="9"/>
  <c r="E14" i="9" s="1"/>
  <c r="D17" i="9"/>
  <c r="E17" i="9" s="1"/>
  <c r="D18" i="9"/>
  <c r="E18" i="9" s="1"/>
  <c r="D21" i="9"/>
  <c r="E21" i="9" s="1"/>
  <c r="D22" i="9"/>
  <c r="D25" i="9"/>
  <c r="E25" i="9" s="1"/>
  <c r="D26" i="9"/>
  <c r="D29" i="9"/>
  <c r="E29" i="9" s="1"/>
  <c r="D30" i="9"/>
  <c r="E30" i="9" s="1"/>
  <c r="C33" i="9"/>
  <c r="D7" i="9" s="1"/>
  <c r="E7" i="9" s="1"/>
  <c r="E8" i="8"/>
  <c r="E15" i="8"/>
  <c r="E16" i="8"/>
  <c r="E27" i="8"/>
  <c r="D3" i="8"/>
  <c r="E3" i="8" s="1"/>
  <c r="D4" i="8"/>
  <c r="E4" i="8" s="1"/>
  <c r="D7" i="8"/>
  <c r="E7" i="8" s="1"/>
  <c r="D8" i="8"/>
  <c r="D11" i="8"/>
  <c r="E11" i="8" s="1"/>
  <c r="D12" i="8"/>
  <c r="E12" i="8" s="1"/>
  <c r="D14" i="8"/>
  <c r="E14" i="8" s="1"/>
  <c r="D15" i="8"/>
  <c r="D16" i="8"/>
  <c r="D20" i="8"/>
  <c r="E20" i="8" s="1"/>
  <c r="D22" i="8"/>
  <c r="E22" i="8" s="1"/>
  <c r="D23" i="8"/>
  <c r="E23" i="8" s="1"/>
  <c r="D24" i="8"/>
  <c r="E24" i="8" s="1"/>
  <c r="D27" i="8"/>
  <c r="D28" i="8"/>
  <c r="E28" i="8" s="1"/>
  <c r="D2" i="8"/>
  <c r="E2" i="8" s="1"/>
  <c r="C32" i="8"/>
  <c r="E9" i="6"/>
  <c r="E10" i="6"/>
  <c r="E22" i="6"/>
  <c r="E25" i="6"/>
  <c r="D4" i="6"/>
  <c r="E4" i="6" s="1"/>
  <c r="D5" i="6"/>
  <c r="E5" i="6" s="1"/>
  <c r="D6" i="6"/>
  <c r="E6" i="6" s="1"/>
  <c r="D9" i="6"/>
  <c r="D10" i="6"/>
  <c r="D12" i="6"/>
  <c r="E12" i="6" s="1"/>
  <c r="D13" i="6"/>
  <c r="E13" i="6" s="1"/>
  <c r="D14" i="6"/>
  <c r="E14" i="6" s="1"/>
  <c r="D17" i="6"/>
  <c r="E17" i="6" s="1"/>
  <c r="D18" i="6"/>
  <c r="E18" i="6" s="1"/>
  <c r="D20" i="6"/>
  <c r="E20" i="6" s="1"/>
  <c r="D21" i="6"/>
  <c r="E21" i="6" s="1"/>
  <c r="D22" i="6"/>
  <c r="D25" i="6"/>
  <c r="D26" i="6"/>
  <c r="E26" i="6" s="1"/>
  <c r="D28" i="6"/>
  <c r="E28" i="6" s="1"/>
  <c r="D29" i="6"/>
  <c r="E29" i="6" s="1"/>
  <c r="D30" i="6"/>
  <c r="E30" i="6" s="1"/>
  <c r="C33" i="6"/>
  <c r="D3" i="6" s="1"/>
  <c r="E3" i="6" s="1"/>
  <c r="E6" i="5"/>
  <c r="E7" i="5"/>
  <c r="E8" i="5"/>
  <c r="E11" i="5"/>
  <c r="E12" i="5"/>
  <c r="E14" i="5"/>
  <c r="E22" i="5"/>
  <c r="E23" i="5"/>
  <c r="E24" i="5"/>
  <c r="E27" i="5"/>
  <c r="E30" i="5"/>
  <c r="D3" i="5"/>
  <c r="E3" i="5" s="1"/>
  <c r="D4" i="5"/>
  <c r="E4" i="5" s="1"/>
  <c r="D5" i="5"/>
  <c r="E5" i="5" s="1"/>
  <c r="D6" i="5"/>
  <c r="D7" i="5"/>
  <c r="D8" i="5"/>
  <c r="D9" i="5"/>
  <c r="E9" i="5" s="1"/>
  <c r="D11" i="5"/>
  <c r="D12" i="5"/>
  <c r="D13" i="5"/>
  <c r="E13" i="5" s="1"/>
  <c r="D14" i="5"/>
  <c r="D15" i="5"/>
  <c r="E15" i="5" s="1"/>
  <c r="D16" i="5"/>
  <c r="E16" i="5" s="1"/>
  <c r="D17" i="5"/>
  <c r="E17" i="5" s="1"/>
  <c r="D19" i="5"/>
  <c r="E19" i="5" s="1"/>
  <c r="D20" i="5"/>
  <c r="E20" i="5" s="1"/>
  <c r="D21" i="5"/>
  <c r="E21" i="5" s="1"/>
  <c r="D22" i="5"/>
  <c r="D23" i="5"/>
  <c r="D24" i="5"/>
  <c r="D25" i="5"/>
  <c r="E25" i="5" s="1"/>
  <c r="D27" i="5"/>
  <c r="D28" i="5"/>
  <c r="E28" i="5" s="1"/>
  <c r="D29" i="5"/>
  <c r="E29" i="5" s="1"/>
  <c r="D30" i="5"/>
  <c r="D31" i="5"/>
  <c r="E31" i="5" s="1"/>
  <c r="D32" i="5"/>
  <c r="E32" i="5" s="1"/>
  <c r="D2" i="5"/>
  <c r="E2" i="5" s="1"/>
  <c r="C35" i="5"/>
  <c r="D10" i="5" s="1"/>
  <c r="E10" i="5" s="1"/>
  <c r="D4" i="4"/>
  <c r="E4" i="4" s="1"/>
  <c r="D10" i="4"/>
  <c r="E10" i="4" s="1"/>
  <c r="D12" i="4"/>
  <c r="E12" i="4" s="1"/>
  <c r="D14" i="4"/>
  <c r="E14" i="4" s="1"/>
  <c r="D21" i="4"/>
  <c r="E21" i="4" s="1"/>
  <c r="D22" i="4"/>
  <c r="E22" i="4" s="1"/>
  <c r="D25" i="4"/>
  <c r="E25" i="4" s="1"/>
  <c r="D32" i="4"/>
  <c r="E32" i="4" s="1"/>
  <c r="D33" i="4"/>
  <c r="E33" i="4" s="1"/>
  <c r="D36" i="4"/>
  <c r="E36" i="4" s="1"/>
  <c r="C43" i="4"/>
  <c r="D6" i="4" s="1"/>
  <c r="E6" i="4" s="1"/>
  <c r="D2" i="4"/>
  <c r="E2" i="4" s="1"/>
  <c r="D6" i="3"/>
  <c r="E6" i="3" s="1"/>
  <c r="D7" i="3"/>
  <c r="E7" i="3" s="1"/>
  <c r="D17" i="3"/>
  <c r="E17" i="3" s="1"/>
  <c r="D18" i="3"/>
  <c r="E18" i="3" s="1"/>
  <c r="D27" i="3"/>
  <c r="E27" i="3" s="1"/>
  <c r="D29" i="3"/>
  <c r="E29" i="3" s="1"/>
  <c r="D31" i="3"/>
  <c r="E31" i="3" s="1"/>
  <c r="D38" i="3"/>
  <c r="E38" i="3" s="1"/>
  <c r="D39" i="3"/>
  <c r="E39" i="3" s="1"/>
  <c r="C43" i="3"/>
  <c r="D3" i="2"/>
  <c r="E3" i="2" s="1"/>
  <c r="D4" i="2"/>
  <c r="E4" i="2" s="1"/>
  <c r="D6" i="2"/>
  <c r="E6" i="2" s="1"/>
  <c r="D11" i="2"/>
  <c r="E11" i="2" s="1"/>
  <c r="D12" i="2"/>
  <c r="E12" i="2" s="1"/>
  <c r="D14" i="2"/>
  <c r="E14" i="2" s="1"/>
  <c r="D15" i="2"/>
  <c r="E15" i="2" s="1"/>
  <c r="D16" i="2"/>
  <c r="E16" i="2" s="1"/>
  <c r="D22" i="2"/>
  <c r="E22" i="2" s="1"/>
  <c r="D23" i="2"/>
  <c r="E23" i="2" s="1"/>
  <c r="D24" i="2"/>
  <c r="E24" i="2" s="1"/>
  <c r="D26" i="2"/>
  <c r="E26" i="2" s="1"/>
  <c r="D27" i="2"/>
  <c r="E27" i="2" s="1"/>
  <c r="D32" i="2"/>
  <c r="E32" i="2" s="1"/>
  <c r="D34" i="2"/>
  <c r="E34" i="2" s="1"/>
  <c r="D35" i="2"/>
  <c r="E35" i="2" s="1"/>
  <c r="D36" i="2"/>
  <c r="E36" i="2" s="1"/>
  <c r="D38" i="2"/>
  <c r="E38" i="2" s="1"/>
  <c r="C43" i="2"/>
  <c r="D8" i="2" s="1"/>
  <c r="E8" i="2" s="1"/>
  <c r="E4" i="1"/>
  <c r="E6" i="1"/>
  <c r="D2" i="1"/>
  <c r="E2" i="1" s="1"/>
  <c r="D3" i="1"/>
  <c r="E3" i="1" s="1"/>
  <c r="D6" i="1"/>
  <c r="C39" i="1"/>
  <c r="D4" i="1" s="1"/>
  <c r="D8" i="3" l="1"/>
  <c r="E8" i="3" s="1"/>
  <c r="D16" i="3"/>
  <c r="E16" i="3" s="1"/>
  <c r="D24" i="3"/>
  <c r="E24" i="3" s="1"/>
  <c r="D32" i="3"/>
  <c r="E32" i="3" s="1"/>
  <c r="D40" i="3"/>
  <c r="E40" i="3" s="1"/>
  <c r="D4" i="3"/>
  <c r="E4" i="3" s="1"/>
  <c r="D12" i="3"/>
  <c r="E12" i="3" s="1"/>
  <c r="D20" i="3"/>
  <c r="E20" i="3" s="1"/>
  <c r="D28" i="3"/>
  <c r="E28" i="3" s="1"/>
  <c r="D36" i="3"/>
  <c r="E36" i="3" s="1"/>
  <c r="D21" i="3"/>
  <c r="E21" i="3" s="1"/>
  <c r="D10" i="3"/>
  <c r="E10" i="3" s="1"/>
  <c r="D2" i="3"/>
  <c r="E2" i="3" s="1"/>
  <c r="D30" i="3"/>
  <c r="E30" i="3" s="1"/>
  <c r="D19" i="3"/>
  <c r="E19" i="3" s="1"/>
  <c r="D9" i="3"/>
  <c r="E9" i="3" s="1"/>
  <c r="D34" i="4"/>
  <c r="E34" i="4" s="1"/>
  <c r="D24" i="4"/>
  <c r="E24" i="4" s="1"/>
  <c r="D13" i="4"/>
  <c r="E13" i="4" s="1"/>
  <c r="D26" i="3"/>
  <c r="E26" i="3" s="1"/>
  <c r="D5" i="3"/>
  <c r="E5" i="3" s="1"/>
  <c r="D20" i="4"/>
  <c r="E20" i="4" s="1"/>
  <c r="D40" i="4"/>
  <c r="E40" i="4" s="1"/>
  <c r="D29" i="4"/>
  <c r="E29" i="4" s="1"/>
  <c r="D18" i="4"/>
  <c r="E18" i="4" s="1"/>
  <c r="D8" i="4"/>
  <c r="E8" i="4" s="1"/>
  <c r="D40" i="2"/>
  <c r="E40" i="2" s="1"/>
  <c r="D30" i="2"/>
  <c r="E30" i="2" s="1"/>
  <c r="D19" i="2"/>
  <c r="E19" i="2" s="1"/>
  <c r="D34" i="3"/>
  <c r="E34" i="3" s="1"/>
  <c r="D23" i="3"/>
  <c r="E23" i="3" s="1"/>
  <c r="D13" i="3"/>
  <c r="E13" i="3" s="1"/>
  <c r="D38" i="4"/>
  <c r="E38" i="4" s="1"/>
  <c r="D28" i="4"/>
  <c r="E28" i="4" s="1"/>
  <c r="D17" i="4"/>
  <c r="E17" i="4" s="1"/>
  <c r="D5" i="8"/>
  <c r="E5" i="8" s="1"/>
  <c r="D13" i="8"/>
  <c r="E13" i="8" s="1"/>
  <c r="D21" i="8"/>
  <c r="E21" i="8" s="1"/>
  <c r="D29" i="8"/>
  <c r="E29" i="8" s="1"/>
  <c r="D9" i="8"/>
  <c r="E9" i="8" s="1"/>
  <c r="D17" i="8"/>
  <c r="E17" i="8" s="1"/>
  <c r="D25" i="8"/>
  <c r="E25" i="8" s="1"/>
  <c r="D10" i="8"/>
  <c r="E10" i="8" s="1"/>
  <c r="D18" i="8"/>
  <c r="E18" i="8" s="1"/>
  <c r="D26" i="8"/>
  <c r="E26" i="8" s="1"/>
  <c r="D19" i="8"/>
  <c r="E19" i="8" s="1"/>
  <c r="D6" i="8"/>
  <c r="E6" i="8" s="1"/>
  <c r="D37" i="3"/>
  <c r="E37" i="3" s="1"/>
  <c r="D15" i="3"/>
  <c r="E15" i="3" s="1"/>
  <c r="D7" i="4"/>
  <c r="E7" i="4" s="1"/>
  <c r="D15" i="4"/>
  <c r="E15" i="4" s="1"/>
  <c r="D23" i="4"/>
  <c r="E23" i="4" s="1"/>
  <c r="D31" i="4"/>
  <c r="E31" i="4" s="1"/>
  <c r="D39" i="4"/>
  <c r="E39" i="4" s="1"/>
  <c r="D3" i="4"/>
  <c r="E3" i="4" s="1"/>
  <c r="D11" i="4"/>
  <c r="E11" i="4" s="1"/>
  <c r="D19" i="4"/>
  <c r="E19" i="4" s="1"/>
  <c r="D27" i="4"/>
  <c r="E27" i="4" s="1"/>
  <c r="D35" i="4"/>
  <c r="E35" i="4" s="1"/>
  <c r="D30" i="4"/>
  <c r="E30" i="4" s="1"/>
  <c r="D9" i="4"/>
  <c r="E9" i="4" s="1"/>
  <c r="D9" i="2"/>
  <c r="E9" i="2" s="1"/>
  <c r="D17" i="2"/>
  <c r="E17" i="2" s="1"/>
  <c r="D25" i="2"/>
  <c r="E25" i="2" s="1"/>
  <c r="D33" i="2"/>
  <c r="E33" i="2" s="1"/>
  <c r="D2" i="2"/>
  <c r="E2" i="2" s="1"/>
  <c r="D5" i="2"/>
  <c r="E5" i="2" s="1"/>
  <c r="D13" i="2"/>
  <c r="E13" i="2" s="1"/>
  <c r="D21" i="2"/>
  <c r="E21" i="2" s="1"/>
  <c r="D29" i="2"/>
  <c r="E29" i="2" s="1"/>
  <c r="D37" i="2"/>
  <c r="E37" i="2" s="1"/>
  <c r="D31" i="2"/>
  <c r="E31" i="2" s="1"/>
  <c r="D20" i="2"/>
  <c r="E20" i="2" s="1"/>
  <c r="D10" i="2"/>
  <c r="E10" i="2" s="1"/>
  <c r="D35" i="3"/>
  <c r="E35" i="3" s="1"/>
  <c r="D25" i="3"/>
  <c r="E25" i="3" s="1"/>
  <c r="D14" i="3"/>
  <c r="E14" i="3" s="1"/>
  <c r="D3" i="3"/>
  <c r="E3" i="3" s="1"/>
  <c r="D39" i="2"/>
  <c r="E39" i="2" s="1"/>
  <c r="D28" i="2"/>
  <c r="E28" i="2" s="1"/>
  <c r="D18" i="2"/>
  <c r="E18" i="2" s="1"/>
  <c r="D7" i="2"/>
  <c r="E7" i="2" s="1"/>
  <c r="D33" i="3"/>
  <c r="E33" i="3" s="1"/>
  <c r="D22" i="3"/>
  <c r="E22" i="3" s="1"/>
  <c r="D11" i="3"/>
  <c r="E11" i="3" s="1"/>
  <c r="D37" i="4"/>
  <c r="E37" i="4" s="1"/>
  <c r="D26" i="4"/>
  <c r="E26" i="4" s="1"/>
  <c r="D16" i="4"/>
  <c r="E16" i="4" s="1"/>
  <c r="D5" i="4"/>
  <c r="E5" i="4" s="1"/>
  <c r="D24" i="6"/>
  <c r="E24" i="6" s="1"/>
  <c r="D16" i="6"/>
  <c r="E16" i="6" s="1"/>
  <c r="D8" i="6"/>
  <c r="E8" i="6" s="1"/>
  <c r="D28" i="9"/>
  <c r="E28" i="9" s="1"/>
  <c r="D20" i="9"/>
  <c r="E20" i="9" s="1"/>
  <c r="D12" i="9"/>
  <c r="E12" i="9" s="1"/>
  <c r="D4" i="9"/>
  <c r="E4" i="9" s="1"/>
  <c r="D26" i="5"/>
  <c r="E26" i="5" s="1"/>
  <c r="D18" i="5"/>
  <c r="E18" i="5" s="1"/>
  <c r="D2" i="6"/>
  <c r="E2" i="6" s="1"/>
  <c r="D23" i="6"/>
  <c r="E23" i="6" s="1"/>
  <c r="D15" i="6"/>
  <c r="E15" i="6" s="1"/>
  <c r="D7" i="6"/>
  <c r="E7" i="6" s="1"/>
  <c r="D27" i="9"/>
  <c r="E27" i="9" s="1"/>
  <c r="D19" i="9"/>
  <c r="E19" i="9" s="1"/>
  <c r="D11" i="9"/>
  <c r="E11" i="9" s="1"/>
  <c r="D3" i="9"/>
  <c r="E3" i="9" s="1"/>
  <c r="D24" i="9"/>
  <c r="E24" i="9" s="1"/>
  <c r="D16" i="9"/>
  <c r="E16" i="9" s="1"/>
  <c r="D8" i="9"/>
  <c r="E8" i="9" s="1"/>
  <c r="D27" i="6"/>
  <c r="E27" i="6" s="1"/>
  <c r="D19" i="6"/>
  <c r="E19" i="6" s="1"/>
  <c r="D11" i="6"/>
  <c r="E11" i="6" s="1"/>
  <c r="D2" i="9"/>
  <c r="E2" i="9" s="1"/>
  <c r="D23" i="9"/>
  <c r="E23" i="9" s="1"/>
  <c r="D15" i="9"/>
  <c r="E15" i="9" s="1"/>
  <c r="D8" i="1"/>
  <c r="E8" i="1" s="1"/>
  <c r="D7" i="1"/>
  <c r="E7" i="1" s="1"/>
  <c r="D30" i="1"/>
  <c r="E30" i="1" s="1"/>
  <c r="D22" i="1"/>
  <c r="E22" i="1" s="1"/>
  <c r="D14" i="1"/>
  <c r="E14" i="1" s="1"/>
  <c r="D5" i="1"/>
  <c r="E5" i="1" s="1"/>
  <c r="D35" i="1"/>
  <c r="E35" i="1" s="1"/>
  <c r="D27" i="1"/>
  <c r="E27" i="1" s="1"/>
  <c r="D19" i="1"/>
  <c r="E19" i="1" s="1"/>
  <c r="D11" i="1"/>
  <c r="E11" i="1" s="1"/>
  <c r="D34" i="1"/>
  <c r="E34" i="1" s="1"/>
  <c r="D26" i="1"/>
  <c r="E26" i="1" s="1"/>
  <c r="D18" i="1"/>
  <c r="E18" i="1" s="1"/>
  <c r="D10" i="1"/>
  <c r="E10" i="1" s="1"/>
  <c r="D33" i="1"/>
  <c r="E33" i="1" s="1"/>
  <c r="D25" i="1"/>
  <c r="E25" i="1" s="1"/>
  <c r="D17" i="1"/>
  <c r="E17" i="1" s="1"/>
  <c r="D9" i="1"/>
  <c r="E9" i="1" s="1"/>
  <c r="D32" i="1"/>
  <c r="E32" i="1" s="1"/>
  <c r="D24" i="1"/>
  <c r="E24" i="1" s="1"/>
  <c r="D16" i="1"/>
  <c r="E16" i="1" s="1"/>
  <c r="D31" i="1"/>
  <c r="E31" i="1" s="1"/>
  <c r="D23" i="1"/>
  <c r="E23" i="1" s="1"/>
  <c r="D15" i="1"/>
  <c r="E15" i="1" s="1"/>
  <c r="D29" i="1"/>
  <c r="E29" i="1" s="1"/>
  <c r="D21" i="1"/>
  <c r="E21" i="1" s="1"/>
  <c r="D13" i="1"/>
  <c r="E13" i="1" s="1"/>
  <c r="D36" i="1"/>
  <c r="E36" i="1" s="1"/>
  <c r="D28" i="1"/>
  <c r="E28" i="1" s="1"/>
  <c r="D20" i="1"/>
  <c r="E20" i="1" s="1"/>
  <c r="D12" i="1"/>
  <c r="E12" i="1" s="1"/>
</calcChain>
</file>

<file path=xl/sharedStrings.xml><?xml version="1.0" encoding="utf-8"?>
<sst xmlns="http://schemas.openxmlformats.org/spreadsheetml/2006/main" count="1588" uniqueCount="70">
  <si>
    <t>Academia Antonia Alonso Charter</t>
  </si>
  <si>
    <t>Academy of Dover Charter</t>
  </si>
  <si>
    <t>Campus Community Charter</t>
  </si>
  <si>
    <t>De Academy Public Safety Charter</t>
  </si>
  <si>
    <t>DE Aglands</t>
  </si>
  <si>
    <t>DE College Prep Charter</t>
  </si>
  <si>
    <t>DE Military Academy Charter</t>
  </si>
  <si>
    <t>Delaware Economic Development Office</t>
  </si>
  <si>
    <t>Delaware Department of Transportation</t>
  </si>
  <si>
    <t>Delaware State Education Association</t>
  </si>
  <si>
    <t>Delaware State Housing Authority</t>
  </si>
  <si>
    <t>Delaware State University</t>
  </si>
  <si>
    <t>Delaware Solid Waste Authority</t>
  </si>
  <si>
    <t>Early College High School Charter</t>
  </si>
  <si>
    <t>East Side Charter</t>
  </si>
  <si>
    <t>Family Foundations Charter</t>
  </si>
  <si>
    <t>First State Military Academy</t>
  </si>
  <si>
    <t>First State Montessori Academy Charter</t>
  </si>
  <si>
    <t>Gateway Lab Charter</t>
  </si>
  <si>
    <t>Kumba Charter</t>
  </si>
  <si>
    <t>Las America Aspira Charter</t>
  </si>
  <si>
    <t>Lottery, State of DE</t>
  </si>
  <si>
    <t>MOT Charter</t>
  </si>
  <si>
    <t>Moyer Academy Charter</t>
  </si>
  <si>
    <t>Newark Charter</t>
  </si>
  <si>
    <t>Odyssey Charter</t>
  </si>
  <si>
    <t>Pencader Charter</t>
  </si>
  <si>
    <t>Positive Outcomes Charter</t>
  </si>
  <si>
    <t>Prestige Charter</t>
  </si>
  <si>
    <t>Providence Creek Charter</t>
  </si>
  <si>
    <t>Reach Charter</t>
  </si>
  <si>
    <t>Sussex Academy Charter</t>
  </si>
  <si>
    <t>The Charter School of Wilmington</t>
  </si>
  <si>
    <t>The Delaware Met Charter</t>
  </si>
  <si>
    <t>Thomas Edison Charter</t>
  </si>
  <si>
    <t>State of Delaware</t>
  </si>
  <si>
    <t>Delaware Design-Lab</t>
  </si>
  <si>
    <t>Delaware STEM Academy</t>
  </si>
  <si>
    <t>Lottery</t>
  </si>
  <si>
    <t>Campus Communit y Charter</t>
  </si>
  <si>
    <t>DE Academy Public Safety Charter</t>
  </si>
  <si>
    <t>DE Milit ary Academy Charter</t>
  </si>
  <si>
    <t>Delaware State Educat ion Association</t>
  </si>
  <si>
    <t>Freire Charter School</t>
  </si>
  <si>
    <t>Gat eway Lab Charter</t>
  </si>
  <si>
    <t>Great Oaks Charter School</t>
  </si>
  <si>
    <t>Posit ive Out comes Charter</t>
  </si>
  <si>
    <t>Delaware St ate Education Association</t>
  </si>
  <si>
    <t>First State Milit ary Academy</t>
  </si>
  <si>
    <t>Prest ige Charter</t>
  </si>
  <si>
    <t>Delaware Design Lab (Design Thinking)</t>
  </si>
  <si>
    <t>Delaware Design Lab (Design Thinking Academy)</t>
  </si>
  <si>
    <t>Sussex Montessori Charter</t>
  </si>
  <si>
    <t>Charter School of New Castle</t>
  </si>
  <si>
    <t>Delaware Agricultural Lands Preservation Foundation</t>
  </si>
  <si>
    <t>Kuumba Academy Charter</t>
  </si>
  <si>
    <t>district_name</t>
  </si>
  <si>
    <t>district_contributions</t>
  </si>
  <si>
    <t>state_contributions</t>
  </si>
  <si>
    <t>district_prop</t>
  </si>
  <si>
    <t>Bryan Allen Stevenson School of Excellence</t>
  </si>
  <si>
    <t>Year</t>
  </si>
  <si>
    <t>total_contributions</t>
  </si>
  <si>
    <t>LEAID_match</t>
  </si>
  <si>
    <t>State</t>
  </si>
  <si>
    <t>state_abv</t>
  </si>
  <si>
    <t>plan</t>
  </si>
  <si>
    <t>Delaware</t>
  </si>
  <si>
    <t>DE</t>
  </si>
  <si>
    <t>Delaware Public Employees' Retirement System - State Employees'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</si>
</sst>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rebuchet MS"/>
      <family val="2"/>
    </font>
    <font>
      <sz val="12"/>
      <color theme="1"/>
      <name val="Aptos Narrow"/>
      <scheme val="minor"/>
    </font>
    <font>
      <sz val="10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2" fontId="3" fillId="0" borderId="0" xfId="0" applyNumberFormat="1" applyFont="1"/>
    <xf numFmtId="43" fontId="3" fillId="0" borderId="0" xfId="1" applyFont="1"/>
    <xf numFmtId="171" fontId="3" fillId="0" borderId="0" xfId="1" applyNumberFormat="1" applyFont="1"/>
    <xf numFmtId="171" fontId="0" fillId="0" borderId="0" xfId="1" applyNumberFormat="1" applyFont="1"/>
    <xf numFmtId="3" fontId="4" fillId="0" borderId="0" xfId="0" applyNumberFormat="1" applyFont="1"/>
    <xf numFmtId="43" fontId="0" fillId="0" borderId="0" xfId="1" applyNumberFormat="1" applyFont="1"/>
    <xf numFmtId="43" fontId="3" fillId="0" borderId="0" xfId="1" applyNumberFormat="1" applyFont="1"/>
    <xf numFmtId="10" fontId="3" fillId="0" borderId="0" xfId="0" applyNumberFormat="1" applyFont="1"/>
    <xf numFmtId="43" fontId="3" fillId="0" borderId="0" xfId="0" applyNumberFormat="1" applyFont="1"/>
    <xf numFmtId="1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D1A2-94AD-2A4C-A286-41DCBBD9888B}">
  <sheetPr>
    <tabColor rgb="FF002060"/>
  </sheetPr>
  <dimension ref="A1:I298"/>
  <sheetViews>
    <sheetView tabSelected="1" workbookViewId="0">
      <selection sqref="A1:H1048576"/>
    </sheetView>
  </sheetViews>
  <sheetFormatPr baseColWidth="10" defaultRowHeight="16" x14ac:dyDescent="0.2"/>
  <cols>
    <col min="4" max="4" width="59.6640625" bestFit="1" customWidth="1"/>
    <col min="5" max="5" width="44.6640625" bestFit="1" customWidth="1"/>
    <col min="6" max="6" width="18.83203125" bestFit="1" customWidth="1"/>
    <col min="7" max="7" width="17.1640625" bestFit="1" customWidth="1"/>
    <col min="8" max="8" width="16.83203125" bestFit="1" customWidth="1"/>
  </cols>
  <sheetData>
    <row r="1" spans="1:9" x14ac:dyDescent="0.2">
      <c r="A1" t="s">
        <v>61</v>
      </c>
      <c r="B1" t="s">
        <v>64</v>
      </c>
      <c r="C1" t="s">
        <v>65</v>
      </c>
      <c r="D1" t="s">
        <v>66</v>
      </c>
      <c r="E1" t="s">
        <v>56</v>
      </c>
      <c r="F1" t="s">
        <v>57</v>
      </c>
      <c r="G1" t="s">
        <v>58</v>
      </c>
      <c r="H1" t="s">
        <v>62</v>
      </c>
      <c r="I1" t="s">
        <v>63</v>
      </c>
    </row>
    <row r="2" spans="1:9" x14ac:dyDescent="0.2">
      <c r="A2">
        <v>2015</v>
      </c>
      <c r="B2" t="s">
        <v>67</v>
      </c>
      <c r="C2" t="s">
        <v>68</v>
      </c>
      <c r="D2" t="s">
        <v>69</v>
      </c>
      <c r="E2" t="s">
        <v>0</v>
      </c>
      <c r="F2">
        <v>71109</v>
      </c>
      <c r="G2">
        <v>127097.04078699241</v>
      </c>
      <c r="H2">
        <f>SUM(F2:G2)</f>
        <v>198206.04078699241</v>
      </c>
      <c r="I2">
        <f>IFERROR(VLOOKUP(E2,'LEAID Match'!$A$2:$B$44,2,FALSE),"")</f>
        <v>1000053</v>
      </c>
    </row>
    <row r="3" spans="1:9" x14ac:dyDescent="0.2">
      <c r="A3">
        <v>2016</v>
      </c>
      <c r="B3" t="s">
        <v>67</v>
      </c>
      <c r="C3" t="s">
        <v>68</v>
      </c>
      <c r="D3" t="s">
        <v>69</v>
      </c>
      <c r="E3" t="s">
        <v>0</v>
      </c>
      <c r="F3">
        <v>105534</v>
      </c>
      <c r="G3">
        <v>215679.27278151762</v>
      </c>
      <c r="H3">
        <f t="shared" ref="H3:H66" si="0">SUM(F3:G3)</f>
        <v>321213.27278151759</v>
      </c>
      <c r="I3">
        <f>IFERROR(VLOOKUP(E3,'LEAID Match'!$A$2:$B$44,2,FALSE),"")</f>
        <v>1000053</v>
      </c>
    </row>
    <row r="4" spans="1:9" x14ac:dyDescent="0.2">
      <c r="A4">
        <v>2017</v>
      </c>
      <c r="B4" t="s">
        <v>67</v>
      </c>
      <c r="C4" t="s">
        <v>68</v>
      </c>
      <c r="D4" t="s">
        <v>69</v>
      </c>
      <c r="E4" t="s">
        <v>0</v>
      </c>
      <c r="F4">
        <v>119341</v>
      </c>
      <c r="G4">
        <v>185128.21268672304</v>
      </c>
      <c r="H4">
        <f t="shared" si="0"/>
        <v>304469.21268672304</v>
      </c>
      <c r="I4">
        <f>IFERROR(VLOOKUP(E4,'LEAID Match'!$A$2:$B$44,2,FALSE),"")</f>
        <v>1000053</v>
      </c>
    </row>
    <row r="5" spans="1:9" x14ac:dyDescent="0.2">
      <c r="A5">
        <v>2018</v>
      </c>
      <c r="B5" t="s">
        <v>67</v>
      </c>
      <c r="C5" t="s">
        <v>68</v>
      </c>
      <c r="D5" t="s">
        <v>69</v>
      </c>
      <c r="E5" t="s">
        <v>0</v>
      </c>
      <c r="F5">
        <v>193483</v>
      </c>
      <c r="G5">
        <v>91999.868937032166</v>
      </c>
      <c r="H5">
        <f t="shared" si="0"/>
        <v>285482.86893703218</v>
      </c>
      <c r="I5">
        <f>IFERROR(VLOOKUP(E5,'LEAID Match'!$A$2:$B$44,2,FALSE),"")</f>
        <v>1000053</v>
      </c>
    </row>
    <row r="6" spans="1:9" x14ac:dyDescent="0.2">
      <c r="A6">
        <v>2019</v>
      </c>
      <c r="B6" t="s">
        <v>67</v>
      </c>
      <c r="C6" t="s">
        <v>68</v>
      </c>
      <c r="D6" t="s">
        <v>69</v>
      </c>
      <c r="E6" t="s">
        <v>0</v>
      </c>
      <c r="F6">
        <v>350968</v>
      </c>
      <c r="G6">
        <v>283876.30662844639</v>
      </c>
      <c r="H6">
        <f t="shared" si="0"/>
        <v>634844.30662844633</v>
      </c>
      <c r="I6">
        <f>IFERROR(VLOOKUP(E6,'LEAID Match'!$A$2:$B$44,2,FALSE),"")</f>
        <v>1000053</v>
      </c>
    </row>
    <row r="7" spans="1:9" x14ac:dyDescent="0.2">
      <c r="A7">
        <v>2020</v>
      </c>
      <c r="B7" t="s">
        <v>67</v>
      </c>
      <c r="C7" t="s">
        <v>68</v>
      </c>
      <c r="D7" t="s">
        <v>69</v>
      </c>
      <c r="E7" t="s">
        <v>0</v>
      </c>
      <c r="F7">
        <v>426516</v>
      </c>
      <c r="G7">
        <v>87713.988810453215</v>
      </c>
      <c r="H7">
        <f t="shared" si="0"/>
        <v>514229.98881045321</v>
      </c>
      <c r="I7">
        <f>IFERROR(VLOOKUP(E7,'LEAID Match'!$A$2:$B$44,2,FALSE),"")</f>
        <v>1000053</v>
      </c>
    </row>
    <row r="8" spans="1:9" x14ac:dyDescent="0.2">
      <c r="A8">
        <v>2021</v>
      </c>
      <c r="B8" t="s">
        <v>67</v>
      </c>
      <c r="C8" t="s">
        <v>68</v>
      </c>
      <c r="D8" t="s">
        <v>69</v>
      </c>
      <c r="E8" t="s">
        <v>0</v>
      </c>
      <c r="F8">
        <v>459545</v>
      </c>
      <c r="G8">
        <v>0</v>
      </c>
      <c r="H8">
        <f t="shared" si="0"/>
        <v>459545</v>
      </c>
      <c r="I8">
        <f>IFERROR(VLOOKUP(E8,'LEAID Match'!$A$2:$B$44,2,FALSE),"")</f>
        <v>1000053</v>
      </c>
    </row>
    <row r="9" spans="1:9" x14ac:dyDescent="0.2">
      <c r="A9">
        <v>2022</v>
      </c>
      <c r="B9" t="s">
        <v>67</v>
      </c>
      <c r="C9" t="s">
        <v>68</v>
      </c>
      <c r="D9" t="s">
        <v>69</v>
      </c>
      <c r="E9" t="s">
        <v>0</v>
      </c>
      <c r="F9">
        <v>535781</v>
      </c>
      <c r="G9">
        <v>535781</v>
      </c>
      <c r="H9">
        <f t="shared" si="0"/>
        <v>1071562</v>
      </c>
      <c r="I9">
        <f>IFERROR(VLOOKUP(E9,'LEAID Match'!$A$2:$B$44,2,FALSE),"")</f>
        <v>1000053</v>
      </c>
    </row>
    <row r="10" spans="1:9" x14ac:dyDescent="0.2">
      <c r="A10">
        <v>2023</v>
      </c>
      <c r="B10" t="s">
        <v>67</v>
      </c>
      <c r="C10" t="s">
        <v>68</v>
      </c>
      <c r="D10" t="s">
        <v>69</v>
      </c>
      <c r="E10" t="s">
        <v>0</v>
      </c>
      <c r="F10">
        <v>527365</v>
      </c>
      <c r="G10">
        <v>2758011.7571228109</v>
      </c>
      <c r="H10">
        <f t="shared" si="0"/>
        <v>3285376.7571228109</v>
      </c>
      <c r="I10">
        <f>IFERROR(VLOOKUP(E10,'LEAID Match'!$A$2:$B$44,2,FALSE),"")</f>
        <v>1000053</v>
      </c>
    </row>
    <row r="11" spans="1:9" x14ac:dyDescent="0.2">
      <c r="A11">
        <v>2015</v>
      </c>
      <c r="B11" t="s">
        <v>67</v>
      </c>
      <c r="C11" t="s">
        <v>68</v>
      </c>
      <c r="D11" t="s">
        <v>69</v>
      </c>
      <c r="E11" t="s">
        <v>1</v>
      </c>
      <c r="F11">
        <v>124896</v>
      </c>
      <c r="G11">
        <v>223233.51483120566</v>
      </c>
      <c r="H11">
        <f t="shared" si="0"/>
        <v>348129.51483120566</v>
      </c>
      <c r="I11">
        <f>IFERROR(VLOOKUP(E11,'LEAID Match'!$A$2:$B$44,2,FALSE),"")</f>
        <v>1000017</v>
      </c>
    </row>
    <row r="12" spans="1:9" x14ac:dyDescent="0.2">
      <c r="A12">
        <v>2016</v>
      </c>
      <c r="B12" t="s">
        <v>67</v>
      </c>
      <c r="C12" t="s">
        <v>68</v>
      </c>
      <c r="D12" t="s">
        <v>69</v>
      </c>
      <c r="E12" t="s">
        <v>1</v>
      </c>
      <c r="F12">
        <v>121924</v>
      </c>
      <c r="G12">
        <v>249175.42834170745</v>
      </c>
      <c r="H12">
        <f t="shared" si="0"/>
        <v>371099.42834170745</v>
      </c>
      <c r="I12">
        <f>IFERROR(VLOOKUP(E12,'LEAID Match'!$A$2:$B$44,2,FALSE),"")</f>
        <v>1000017</v>
      </c>
    </row>
    <row r="13" spans="1:9" x14ac:dyDescent="0.2">
      <c r="A13">
        <v>2017</v>
      </c>
      <c r="B13" t="s">
        <v>67</v>
      </c>
      <c r="C13" t="s">
        <v>68</v>
      </c>
      <c r="D13" t="s">
        <v>69</v>
      </c>
      <c r="E13" t="s">
        <v>1</v>
      </c>
      <c r="F13">
        <v>110385</v>
      </c>
      <c r="G13">
        <v>171235.18118185637</v>
      </c>
      <c r="H13">
        <f t="shared" si="0"/>
        <v>281620.18118185637</v>
      </c>
      <c r="I13">
        <f>IFERROR(VLOOKUP(E13,'LEAID Match'!$A$2:$B$44,2,FALSE),"")</f>
        <v>1000017</v>
      </c>
    </row>
    <row r="14" spans="1:9" x14ac:dyDescent="0.2">
      <c r="A14">
        <v>2018</v>
      </c>
      <c r="B14" t="s">
        <v>67</v>
      </c>
      <c r="C14" t="s">
        <v>68</v>
      </c>
      <c r="D14" t="s">
        <v>69</v>
      </c>
      <c r="E14" t="s">
        <v>1</v>
      </c>
      <c r="F14">
        <v>112249</v>
      </c>
      <c r="G14">
        <v>53373.646719933655</v>
      </c>
      <c r="H14">
        <f t="shared" si="0"/>
        <v>165622.64671993366</v>
      </c>
      <c r="I14">
        <f>IFERROR(VLOOKUP(E14,'LEAID Match'!$A$2:$B$44,2,FALSE),"")</f>
        <v>1000017</v>
      </c>
    </row>
    <row r="15" spans="1:9" x14ac:dyDescent="0.2">
      <c r="A15">
        <v>2019</v>
      </c>
      <c r="B15" t="s">
        <v>67</v>
      </c>
      <c r="C15" t="s">
        <v>68</v>
      </c>
      <c r="D15" t="s">
        <v>69</v>
      </c>
      <c r="E15" t="s">
        <v>1</v>
      </c>
      <c r="F15">
        <v>138460</v>
      </c>
      <c r="G15">
        <v>111991.72977529201</v>
      </c>
      <c r="H15">
        <f t="shared" si="0"/>
        <v>250451.72977529201</v>
      </c>
      <c r="I15">
        <f>IFERROR(VLOOKUP(E15,'LEAID Match'!$A$2:$B$44,2,FALSE),"")</f>
        <v>1000017</v>
      </c>
    </row>
    <row r="16" spans="1:9" x14ac:dyDescent="0.2">
      <c r="A16">
        <v>2020</v>
      </c>
      <c r="B16" t="s">
        <v>67</v>
      </c>
      <c r="C16" t="s">
        <v>68</v>
      </c>
      <c r="D16" t="s">
        <v>69</v>
      </c>
      <c r="E16" t="s">
        <v>1</v>
      </c>
      <c r="F16">
        <v>169130</v>
      </c>
      <c r="G16">
        <v>34781.97049468707</v>
      </c>
      <c r="H16">
        <f t="shared" si="0"/>
        <v>203911.97049468706</v>
      </c>
      <c r="I16">
        <f>IFERROR(VLOOKUP(E16,'LEAID Match'!$A$2:$B$44,2,FALSE),"")</f>
        <v>1000017</v>
      </c>
    </row>
    <row r="17" spans="1:9" x14ac:dyDescent="0.2">
      <c r="A17">
        <v>2021</v>
      </c>
      <c r="B17" t="s">
        <v>67</v>
      </c>
      <c r="C17" t="s">
        <v>68</v>
      </c>
      <c r="D17" t="s">
        <v>69</v>
      </c>
      <c r="E17" t="s">
        <v>1</v>
      </c>
      <c r="F17">
        <v>211530</v>
      </c>
      <c r="G17">
        <v>0</v>
      </c>
      <c r="H17">
        <f t="shared" si="0"/>
        <v>211530</v>
      </c>
      <c r="I17">
        <f>IFERROR(VLOOKUP(E17,'LEAID Match'!$A$2:$B$44,2,FALSE),"")</f>
        <v>1000017</v>
      </c>
    </row>
    <row r="18" spans="1:9" x14ac:dyDescent="0.2">
      <c r="A18">
        <v>2022</v>
      </c>
      <c r="B18" t="s">
        <v>67</v>
      </c>
      <c r="C18" t="s">
        <v>68</v>
      </c>
      <c r="D18" t="s">
        <v>69</v>
      </c>
      <c r="E18" t="s">
        <v>1</v>
      </c>
      <c r="F18">
        <v>280886</v>
      </c>
      <c r="G18">
        <v>280886</v>
      </c>
      <c r="H18">
        <f t="shared" si="0"/>
        <v>561772</v>
      </c>
      <c r="I18">
        <f>IFERROR(VLOOKUP(E18,'LEAID Match'!$A$2:$B$44,2,FALSE),"")</f>
        <v>1000017</v>
      </c>
    </row>
    <row r="19" spans="1:9" x14ac:dyDescent="0.2">
      <c r="A19">
        <v>2023</v>
      </c>
      <c r="B19" t="s">
        <v>67</v>
      </c>
      <c r="C19" t="s">
        <v>68</v>
      </c>
      <c r="D19" t="s">
        <v>69</v>
      </c>
      <c r="E19" t="s">
        <v>1</v>
      </c>
      <c r="F19">
        <v>317098</v>
      </c>
      <c r="G19">
        <v>1658358.0862592871</v>
      </c>
      <c r="H19">
        <f t="shared" si="0"/>
        <v>1975456.0862592871</v>
      </c>
      <c r="I19">
        <f>IFERROR(VLOOKUP(E19,'LEAID Match'!$A$2:$B$44,2,FALSE),"")</f>
        <v>1000017</v>
      </c>
    </row>
    <row r="20" spans="1:9" x14ac:dyDescent="0.2">
      <c r="A20">
        <v>2023</v>
      </c>
      <c r="B20" t="s">
        <v>67</v>
      </c>
      <c r="C20" t="s">
        <v>68</v>
      </c>
      <c r="D20" t="s">
        <v>69</v>
      </c>
      <c r="E20" t="s">
        <v>60</v>
      </c>
      <c r="F20">
        <v>16099</v>
      </c>
      <c r="G20">
        <v>84194.497696889492</v>
      </c>
      <c r="H20">
        <f t="shared" si="0"/>
        <v>100293.49769688949</v>
      </c>
      <c r="I20">
        <f>IFERROR(VLOOKUP(E20,'LEAID Match'!$A$2:$B$44,2,FALSE),"")</f>
        <v>0</v>
      </c>
    </row>
    <row r="21" spans="1:9" x14ac:dyDescent="0.2">
      <c r="A21">
        <v>2016</v>
      </c>
      <c r="B21" t="s">
        <v>67</v>
      </c>
      <c r="C21" t="s">
        <v>68</v>
      </c>
      <c r="D21" t="s">
        <v>69</v>
      </c>
      <c r="E21" t="s">
        <v>2</v>
      </c>
      <c r="F21">
        <v>190678</v>
      </c>
      <c r="G21">
        <v>389687.61134264042</v>
      </c>
      <c r="H21">
        <f t="shared" si="0"/>
        <v>580365.61134264036</v>
      </c>
      <c r="I21">
        <f>IFERROR(VLOOKUP(E21,'LEAID Match'!$A$2:$B$44,2,FALSE),"")</f>
        <v>1000007</v>
      </c>
    </row>
    <row r="22" spans="1:9" x14ac:dyDescent="0.2">
      <c r="A22">
        <v>2017</v>
      </c>
      <c r="B22" t="s">
        <v>67</v>
      </c>
      <c r="C22" t="s">
        <v>68</v>
      </c>
      <c r="D22" t="s">
        <v>69</v>
      </c>
      <c r="E22" t="s">
        <v>2</v>
      </c>
      <c r="F22">
        <v>180877</v>
      </c>
      <c r="G22">
        <v>280586.1835089064</v>
      </c>
      <c r="H22">
        <f t="shared" si="0"/>
        <v>461463.1835089064</v>
      </c>
      <c r="I22">
        <f>IFERROR(VLOOKUP(E22,'LEAID Match'!$A$2:$B$44,2,FALSE),"")</f>
        <v>1000007</v>
      </c>
    </row>
    <row r="23" spans="1:9" x14ac:dyDescent="0.2">
      <c r="A23">
        <v>2015</v>
      </c>
      <c r="B23" t="s">
        <v>67</v>
      </c>
      <c r="C23" t="s">
        <v>68</v>
      </c>
      <c r="D23" t="s">
        <v>69</v>
      </c>
      <c r="E23" t="s">
        <v>2</v>
      </c>
      <c r="F23">
        <v>186452</v>
      </c>
      <c r="G23">
        <v>333255.95141003683</v>
      </c>
      <c r="H23">
        <f t="shared" si="0"/>
        <v>519707.95141003683</v>
      </c>
      <c r="I23">
        <f>IFERROR(VLOOKUP(E23,'LEAID Match'!$A$2:$B$44,2,FALSE),"")</f>
        <v>1000007</v>
      </c>
    </row>
    <row r="24" spans="1:9" x14ac:dyDescent="0.2">
      <c r="A24">
        <v>2018</v>
      </c>
      <c r="B24" t="s">
        <v>67</v>
      </c>
      <c r="C24" t="s">
        <v>68</v>
      </c>
      <c r="D24" t="s">
        <v>69</v>
      </c>
      <c r="E24" t="s">
        <v>2</v>
      </c>
      <c r="F24">
        <v>213620</v>
      </c>
      <c r="G24">
        <v>101574.87739144426</v>
      </c>
      <c r="H24">
        <f t="shared" si="0"/>
        <v>315194.87739144429</v>
      </c>
      <c r="I24">
        <f>IFERROR(VLOOKUP(E24,'LEAID Match'!$A$2:$B$44,2,FALSE),"")</f>
        <v>1000007</v>
      </c>
    </row>
    <row r="25" spans="1:9" x14ac:dyDescent="0.2">
      <c r="A25">
        <v>2019</v>
      </c>
      <c r="B25" t="s">
        <v>67</v>
      </c>
      <c r="C25" t="s">
        <v>68</v>
      </c>
      <c r="D25" t="s">
        <v>69</v>
      </c>
      <c r="E25" t="s">
        <v>2</v>
      </c>
      <c r="F25">
        <v>229165</v>
      </c>
      <c r="G25">
        <v>185357.3938607164</v>
      </c>
      <c r="H25">
        <f t="shared" si="0"/>
        <v>414522.39386071637</v>
      </c>
      <c r="I25">
        <f>IFERROR(VLOOKUP(E25,'LEAID Match'!$A$2:$B$44,2,FALSE),"")</f>
        <v>1000007</v>
      </c>
    </row>
    <row r="26" spans="1:9" x14ac:dyDescent="0.2">
      <c r="A26">
        <v>2020</v>
      </c>
      <c r="B26" t="s">
        <v>67</v>
      </c>
      <c r="C26" t="s">
        <v>68</v>
      </c>
      <c r="D26" t="s">
        <v>69</v>
      </c>
      <c r="E26" t="s">
        <v>2</v>
      </c>
      <c r="F26">
        <v>229550</v>
      </c>
      <c r="G26">
        <v>47207.481387426349</v>
      </c>
      <c r="H26">
        <f t="shared" si="0"/>
        <v>276757.48138742638</v>
      </c>
      <c r="I26">
        <f>IFERROR(VLOOKUP(E26,'LEAID Match'!$A$2:$B$44,2,FALSE),"")</f>
        <v>1000007</v>
      </c>
    </row>
    <row r="27" spans="1:9" x14ac:dyDescent="0.2">
      <c r="A27">
        <v>2021</v>
      </c>
      <c r="B27" t="s">
        <v>67</v>
      </c>
      <c r="C27" t="s">
        <v>68</v>
      </c>
      <c r="D27" t="s">
        <v>69</v>
      </c>
      <c r="E27" t="s">
        <v>2</v>
      </c>
      <c r="F27">
        <v>250162</v>
      </c>
      <c r="G27">
        <v>0</v>
      </c>
      <c r="H27">
        <f t="shared" si="0"/>
        <v>250162</v>
      </c>
      <c r="I27">
        <f>IFERROR(VLOOKUP(E27,'LEAID Match'!$A$2:$B$44,2,FALSE),"")</f>
        <v>1000007</v>
      </c>
    </row>
    <row r="28" spans="1:9" x14ac:dyDescent="0.2">
      <c r="A28">
        <v>2022</v>
      </c>
      <c r="B28" t="s">
        <v>67</v>
      </c>
      <c r="C28" t="s">
        <v>68</v>
      </c>
      <c r="D28" t="s">
        <v>69</v>
      </c>
      <c r="E28" t="s">
        <v>2</v>
      </c>
      <c r="F28">
        <v>282942</v>
      </c>
      <c r="G28">
        <v>282942</v>
      </c>
      <c r="H28">
        <f t="shared" si="0"/>
        <v>565884</v>
      </c>
      <c r="I28">
        <f>IFERROR(VLOOKUP(E28,'LEAID Match'!$A$2:$B$44,2,FALSE),"")</f>
        <v>1000007</v>
      </c>
    </row>
    <row r="29" spans="1:9" x14ac:dyDescent="0.2">
      <c r="A29">
        <v>2023</v>
      </c>
      <c r="B29" t="s">
        <v>67</v>
      </c>
      <c r="C29" t="s">
        <v>68</v>
      </c>
      <c r="D29" t="s">
        <v>69</v>
      </c>
      <c r="E29" t="s">
        <v>2</v>
      </c>
      <c r="F29">
        <v>267334</v>
      </c>
      <c r="G29">
        <v>1398102.481352895</v>
      </c>
      <c r="H29">
        <f t="shared" si="0"/>
        <v>1665436.481352895</v>
      </c>
      <c r="I29">
        <f>IFERROR(VLOOKUP(E29,'LEAID Match'!$A$2:$B$44,2,FALSE),"")</f>
        <v>1000007</v>
      </c>
    </row>
    <row r="30" spans="1:9" x14ac:dyDescent="0.2">
      <c r="A30">
        <v>2021</v>
      </c>
      <c r="B30" t="s">
        <v>67</v>
      </c>
      <c r="C30" t="s">
        <v>68</v>
      </c>
      <c r="D30" t="s">
        <v>69</v>
      </c>
      <c r="E30" t="s">
        <v>53</v>
      </c>
      <c r="F30">
        <v>521987</v>
      </c>
      <c r="G30">
        <v>0</v>
      </c>
      <c r="H30">
        <f t="shared" si="0"/>
        <v>521987</v>
      </c>
      <c r="I30">
        <f>IFERROR(VLOOKUP(E30,'LEAID Match'!$A$2:$B$44,2,FALSE),"")</f>
        <v>1000024</v>
      </c>
    </row>
    <row r="31" spans="1:9" x14ac:dyDescent="0.2">
      <c r="A31">
        <v>2022</v>
      </c>
      <c r="B31" t="s">
        <v>67</v>
      </c>
      <c r="C31" t="s">
        <v>68</v>
      </c>
      <c r="D31" t="s">
        <v>69</v>
      </c>
      <c r="E31" t="s">
        <v>53</v>
      </c>
      <c r="F31">
        <v>539308</v>
      </c>
      <c r="G31">
        <v>539308</v>
      </c>
      <c r="H31">
        <f t="shared" si="0"/>
        <v>1078616</v>
      </c>
      <c r="I31">
        <f>IFERROR(VLOOKUP(E31,'LEAID Match'!$A$2:$B$44,2,FALSE),"")</f>
        <v>1000024</v>
      </c>
    </row>
    <row r="32" spans="1:9" x14ac:dyDescent="0.2">
      <c r="A32">
        <v>2023</v>
      </c>
      <c r="B32" t="s">
        <v>67</v>
      </c>
      <c r="C32" t="s">
        <v>68</v>
      </c>
      <c r="D32" t="s">
        <v>69</v>
      </c>
      <c r="E32" t="s">
        <v>53</v>
      </c>
      <c r="F32">
        <v>508351</v>
      </c>
      <c r="G32">
        <v>2658572.4019325092</v>
      </c>
      <c r="H32">
        <f t="shared" si="0"/>
        <v>3166923.4019325092</v>
      </c>
      <c r="I32">
        <f>IFERROR(VLOOKUP(E32,'LEAID Match'!$A$2:$B$44,2,FALSE),"")</f>
        <v>1000024</v>
      </c>
    </row>
    <row r="33" spans="1:9" x14ac:dyDescent="0.2">
      <c r="A33">
        <v>2015</v>
      </c>
      <c r="B33" t="s">
        <v>67</v>
      </c>
      <c r="C33" t="s">
        <v>68</v>
      </c>
      <c r="D33" t="s">
        <v>69</v>
      </c>
      <c r="E33" t="s">
        <v>40</v>
      </c>
      <c r="F33">
        <v>189970</v>
      </c>
      <c r="G33">
        <v>339543.86699721479</v>
      </c>
      <c r="H33">
        <f t="shared" si="0"/>
        <v>529513.86699721473</v>
      </c>
      <c r="I33">
        <f>IFERROR(VLOOKUP(E33,'LEAID Match'!$A$2:$B$44,2,FALSE),"")</f>
        <v>1000049</v>
      </c>
    </row>
    <row r="34" spans="1:9" x14ac:dyDescent="0.2">
      <c r="A34">
        <v>2016</v>
      </c>
      <c r="B34" t="s">
        <v>67</v>
      </c>
      <c r="C34" t="s">
        <v>68</v>
      </c>
      <c r="D34" t="s">
        <v>69</v>
      </c>
      <c r="E34" t="s">
        <v>40</v>
      </c>
      <c r="F34">
        <v>162547</v>
      </c>
      <c r="G34">
        <v>332196.43672008399</v>
      </c>
      <c r="H34">
        <f t="shared" si="0"/>
        <v>494743.43672008399</v>
      </c>
      <c r="I34">
        <f>IFERROR(VLOOKUP(E34,'LEAID Match'!$A$2:$B$44,2,FALSE),"")</f>
        <v>1000049</v>
      </c>
    </row>
    <row r="35" spans="1:9" x14ac:dyDescent="0.2">
      <c r="A35">
        <v>2017</v>
      </c>
      <c r="B35" t="s">
        <v>67</v>
      </c>
      <c r="C35" t="s">
        <v>68</v>
      </c>
      <c r="D35" t="s">
        <v>69</v>
      </c>
      <c r="E35" t="s">
        <v>40</v>
      </c>
      <c r="F35">
        <v>151412</v>
      </c>
      <c r="G35">
        <v>234878.4821588734</v>
      </c>
      <c r="H35">
        <f t="shared" si="0"/>
        <v>386290.4821588734</v>
      </c>
      <c r="I35">
        <f>IFERROR(VLOOKUP(E35,'LEAID Match'!$A$2:$B$44,2,FALSE),"")</f>
        <v>1000049</v>
      </c>
    </row>
    <row r="36" spans="1:9" x14ac:dyDescent="0.2">
      <c r="A36">
        <v>2018</v>
      </c>
      <c r="B36" t="s">
        <v>67</v>
      </c>
      <c r="C36" t="s">
        <v>68</v>
      </c>
      <c r="D36" t="s">
        <v>69</v>
      </c>
      <c r="E36" t="s">
        <v>40</v>
      </c>
      <c r="F36">
        <v>156945</v>
      </c>
      <c r="G36">
        <v>74626.29497331813</v>
      </c>
      <c r="H36">
        <f t="shared" si="0"/>
        <v>231571.29497331812</v>
      </c>
      <c r="I36">
        <f>IFERROR(VLOOKUP(E36,'LEAID Match'!$A$2:$B$44,2,FALSE),"")</f>
        <v>1000049</v>
      </c>
    </row>
    <row r="37" spans="1:9" x14ac:dyDescent="0.2">
      <c r="A37">
        <v>2019</v>
      </c>
      <c r="B37" t="s">
        <v>67</v>
      </c>
      <c r="C37" t="s">
        <v>68</v>
      </c>
      <c r="D37" t="s">
        <v>69</v>
      </c>
      <c r="E37" t="s">
        <v>40</v>
      </c>
      <c r="F37">
        <v>49340</v>
      </c>
      <c r="G37">
        <v>39908.074152194917</v>
      </c>
      <c r="H37">
        <f t="shared" si="0"/>
        <v>89248.074152194924</v>
      </c>
      <c r="I37">
        <f>IFERROR(VLOOKUP(E37,'LEAID Match'!$A$2:$B$44,2,FALSE),"")</f>
        <v>1000049</v>
      </c>
    </row>
    <row r="38" spans="1:9" x14ac:dyDescent="0.2">
      <c r="A38">
        <v>2015</v>
      </c>
      <c r="B38" t="s">
        <v>67</v>
      </c>
      <c r="C38" t="s">
        <v>68</v>
      </c>
      <c r="D38" t="s">
        <v>69</v>
      </c>
      <c r="E38" t="s">
        <v>4</v>
      </c>
      <c r="F38">
        <v>8259</v>
      </c>
      <c r="G38">
        <v>14761.766581723414</v>
      </c>
      <c r="H38">
        <f t="shared" si="0"/>
        <v>23020.766581723416</v>
      </c>
      <c r="I38">
        <f>IFERROR(VLOOKUP(E38,'LEAID Match'!$A$2:$B$44,2,FALSE),"")</f>
        <v>0</v>
      </c>
    </row>
    <row r="39" spans="1:9" x14ac:dyDescent="0.2">
      <c r="A39">
        <v>2016</v>
      </c>
      <c r="B39" t="s">
        <v>67</v>
      </c>
      <c r="C39" t="s">
        <v>68</v>
      </c>
      <c r="D39" t="s">
        <v>69</v>
      </c>
      <c r="E39" t="s">
        <v>4</v>
      </c>
      <c r="F39">
        <v>9141</v>
      </c>
      <c r="G39">
        <v>18681.412933233387</v>
      </c>
      <c r="H39">
        <f t="shared" si="0"/>
        <v>27822.412933233387</v>
      </c>
      <c r="I39">
        <f>IFERROR(VLOOKUP(E39,'LEAID Match'!$A$2:$B$44,2,FALSE),"")</f>
        <v>0</v>
      </c>
    </row>
    <row r="40" spans="1:9" x14ac:dyDescent="0.2">
      <c r="A40">
        <v>2017</v>
      </c>
      <c r="B40" t="s">
        <v>67</v>
      </c>
      <c r="C40" t="s">
        <v>68</v>
      </c>
      <c r="D40" t="s">
        <v>69</v>
      </c>
      <c r="E40" t="s">
        <v>4</v>
      </c>
      <c r="F40">
        <v>10008</v>
      </c>
      <c r="G40">
        <v>15524.950792843398</v>
      </c>
      <c r="H40">
        <f t="shared" si="0"/>
        <v>25532.950792843396</v>
      </c>
      <c r="I40">
        <f>IFERROR(VLOOKUP(E40,'LEAID Match'!$A$2:$B$44,2,FALSE),"")</f>
        <v>0</v>
      </c>
    </row>
    <row r="41" spans="1:9" x14ac:dyDescent="0.2">
      <c r="A41">
        <v>2018</v>
      </c>
      <c r="B41" t="s">
        <v>67</v>
      </c>
      <c r="C41" t="s">
        <v>68</v>
      </c>
      <c r="D41" t="s">
        <v>69</v>
      </c>
      <c r="E41" t="s">
        <v>4</v>
      </c>
      <c r="F41">
        <v>11060</v>
      </c>
      <c r="G41">
        <v>5258.9558278689892</v>
      </c>
      <c r="H41">
        <f t="shared" si="0"/>
        <v>16318.955827868989</v>
      </c>
      <c r="I41">
        <f>IFERROR(VLOOKUP(E41,'LEAID Match'!$A$2:$B$44,2,FALSE),"")</f>
        <v>0</v>
      </c>
    </row>
    <row r="42" spans="1:9" x14ac:dyDescent="0.2">
      <c r="A42">
        <v>2019</v>
      </c>
      <c r="B42" t="s">
        <v>67</v>
      </c>
      <c r="C42" t="s">
        <v>68</v>
      </c>
      <c r="D42" t="s">
        <v>69</v>
      </c>
      <c r="E42" t="s">
        <v>4</v>
      </c>
      <c r="F42">
        <v>10742</v>
      </c>
      <c r="G42">
        <v>8688.5393705488004</v>
      </c>
      <c r="H42">
        <f t="shared" si="0"/>
        <v>19430.539370548802</v>
      </c>
      <c r="I42">
        <f>IFERROR(VLOOKUP(E42,'LEAID Match'!$A$2:$B$44,2,FALSE),"")</f>
        <v>0</v>
      </c>
    </row>
    <row r="43" spans="1:9" x14ac:dyDescent="0.2">
      <c r="A43">
        <v>2020</v>
      </c>
      <c r="B43" t="s">
        <v>67</v>
      </c>
      <c r="C43" t="s">
        <v>68</v>
      </c>
      <c r="D43" t="s">
        <v>69</v>
      </c>
      <c r="E43" t="s">
        <v>4</v>
      </c>
      <c r="F43">
        <v>11737</v>
      </c>
      <c r="G43">
        <v>2413.740836611732</v>
      </c>
      <c r="H43">
        <f t="shared" si="0"/>
        <v>14150.740836611732</v>
      </c>
      <c r="I43">
        <f>IFERROR(VLOOKUP(E43,'LEAID Match'!$A$2:$B$44,2,FALSE),"")</f>
        <v>0</v>
      </c>
    </row>
    <row r="44" spans="1:9" x14ac:dyDescent="0.2">
      <c r="A44">
        <v>2021</v>
      </c>
      <c r="B44" t="s">
        <v>67</v>
      </c>
      <c r="C44" t="s">
        <v>68</v>
      </c>
      <c r="D44" t="s">
        <v>69</v>
      </c>
      <c r="E44" t="s">
        <v>4</v>
      </c>
      <c r="F44">
        <v>8087</v>
      </c>
      <c r="G44">
        <v>0</v>
      </c>
      <c r="H44">
        <f t="shared" si="0"/>
        <v>8087</v>
      </c>
      <c r="I44">
        <f>IFERROR(VLOOKUP(E44,'LEAID Match'!$A$2:$B$44,2,FALSE),"")</f>
        <v>0</v>
      </c>
    </row>
    <row r="45" spans="1:9" x14ac:dyDescent="0.2">
      <c r="A45">
        <v>2015</v>
      </c>
      <c r="B45" t="s">
        <v>67</v>
      </c>
      <c r="C45" t="s">
        <v>68</v>
      </c>
      <c r="D45" t="s">
        <v>69</v>
      </c>
      <c r="E45" t="s">
        <v>5</v>
      </c>
      <c r="F45">
        <v>84663</v>
      </c>
      <c r="G45">
        <v>151322.85314304993</v>
      </c>
      <c r="H45">
        <f t="shared" si="0"/>
        <v>235985.85314304993</v>
      </c>
      <c r="I45">
        <f>IFERROR(VLOOKUP(E45,'LEAID Match'!$A$2:$B$44,2,FALSE),"")</f>
        <v>1000047</v>
      </c>
    </row>
    <row r="46" spans="1:9" x14ac:dyDescent="0.2">
      <c r="A46">
        <v>2016</v>
      </c>
      <c r="B46" t="s">
        <v>67</v>
      </c>
      <c r="C46" t="s">
        <v>68</v>
      </c>
      <c r="D46" t="s">
        <v>69</v>
      </c>
      <c r="E46" t="s">
        <v>5</v>
      </c>
      <c r="F46">
        <v>94532</v>
      </c>
      <c r="G46">
        <v>193194.54407662386</v>
      </c>
      <c r="H46">
        <f t="shared" si="0"/>
        <v>287726.54407662386</v>
      </c>
      <c r="I46">
        <f>IFERROR(VLOOKUP(E46,'LEAID Match'!$A$2:$B$44,2,FALSE),"")</f>
        <v>1000047</v>
      </c>
    </row>
    <row r="47" spans="1:9" x14ac:dyDescent="0.2">
      <c r="A47">
        <v>2017</v>
      </c>
      <c r="B47" t="s">
        <v>67</v>
      </c>
      <c r="C47" t="s">
        <v>68</v>
      </c>
      <c r="D47" t="s">
        <v>69</v>
      </c>
      <c r="E47" t="s">
        <v>5</v>
      </c>
      <c r="G47">
        <v>0</v>
      </c>
      <c r="H47">
        <f t="shared" si="0"/>
        <v>0</v>
      </c>
      <c r="I47">
        <f>IFERROR(VLOOKUP(E47,'LEAID Match'!$A$2:$B$44,2,FALSE),"")</f>
        <v>1000047</v>
      </c>
    </row>
    <row r="48" spans="1:9" x14ac:dyDescent="0.2">
      <c r="A48">
        <v>2018</v>
      </c>
      <c r="B48" t="s">
        <v>67</v>
      </c>
      <c r="C48" t="s">
        <v>68</v>
      </c>
      <c r="D48" t="s">
        <v>69</v>
      </c>
      <c r="E48" t="s">
        <v>5</v>
      </c>
      <c r="G48">
        <v>0</v>
      </c>
      <c r="H48">
        <f t="shared" si="0"/>
        <v>0</v>
      </c>
      <c r="I48">
        <f>IFERROR(VLOOKUP(E48,'LEAID Match'!$A$2:$B$44,2,FALSE),"")</f>
        <v>1000047</v>
      </c>
    </row>
    <row r="49" spans="1:9" x14ac:dyDescent="0.2">
      <c r="A49">
        <v>2016</v>
      </c>
      <c r="B49" t="s">
        <v>67</v>
      </c>
      <c r="C49" t="s">
        <v>68</v>
      </c>
      <c r="D49" t="s">
        <v>69</v>
      </c>
      <c r="E49" t="s">
        <v>6</v>
      </c>
      <c r="F49">
        <v>266831</v>
      </c>
      <c r="G49">
        <v>545321.09117028757</v>
      </c>
      <c r="H49">
        <f t="shared" si="0"/>
        <v>812152.09117028757</v>
      </c>
      <c r="I49">
        <f>IFERROR(VLOOKUP(E49,'LEAID Match'!$A$2:$B$44,2,FALSE),"")</f>
        <v>1000016</v>
      </c>
    </row>
    <row r="50" spans="1:9" x14ac:dyDescent="0.2">
      <c r="A50">
        <v>2017</v>
      </c>
      <c r="B50" t="s">
        <v>67</v>
      </c>
      <c r="C50" t="s">
        <v>68</v>
      </c>
      <c r="D50" t="s">
        <v>69</v>
      </c>
      <c r="E50" t="s">
        <v>6</v>
      </c>
      <c r="F50">
        <v>272738</v>
      </c>
      <c r="G50">
        <v>423085.93418650312</v>
      </c>
      <c r="H50">
        <f t="shared" si="0"/>
        <v>695823.93418650306</v>
      </c>
      <c r="I50">
        <f>IFERROR(VLOOKUP(E50,'LEAID Match'!$A$2:$B$44,2,FALSE),"")</f>
        <v>1000016</v>
      </c>
    </row>
    <row r="51" spans="1:9" x14ac:dyDescent="0.2">
      <c r="A51">
        <v>2015</v>
      </c>
      <c r="B51" t="s">
        <v>67</v>
      </c>
      <c r="C51" t="s">
        <v>68</v>
      </c>
      <c r="D51" t="s">
        <v>69</v>
      </c>
      <c r="E51" t="s">
        <v>6</v>
      </c>
      <c r="F51">
        <v>252762</v>
      </c>
      <c r="G51">
        <v>451775.47460098966</v>
      </c>
      <c r="H51">
        <f t="shared" si="0"/>
        <v>704537.4746009896</v>
      </c>
      <c r="I51">
        <f>IFERROR(VLOOKUP(E51,'LEAID Match'!$A$2:$B$44,2,FALSE),"")</f>
        <v>1000016</v>
      </c>
    </row>
    <row r="52" spans="1:9" x14ac:dyDescent="0.2">
      <c r="A52">
        <v>2018</v>
      </c>
      <c r="B52" t="s">
        <v>67</v>
      </c>
      <c r="C52" t="s">
        <v>68</v>
      </c>
      <c r="D52" t="s">
        <v>69</v>
      </c>
      <c r="E52" t="s">
        <v>6</v>
      </c>
      <c r="F52">
        <v>318088</v>
      </c>
      <c r="G52">
        <v>151248.71079341692</v>
      </c>
      <c r="H52">
        <f t="shared" si="0"/>
        <v>469336.71079341695</v>
      </c>
      <c r="I52">
        <f>IFERROR(VLOOKUP(E52,'LEAID Match'!$A$2:$B$44,2,FALSE),"")</f>
        <v>1000016</v>
      </c>
    </row>
    <row r="53" spans="1:9" x14ac:dyDescent="0.2">
      <c r="A53">
        <v>2019</v>
      </c>
      <c r="B53" t="s">
        <v>67</v>
      </c>
      <c r="C53" t="s">
        <v>68</v>
      </c>
      <c r="D53" t="s">
        <v>69</v>
      </c>
      <c r="E53" t="s">
        <v>6</v>
      </c>
      <c r="F53">
        <v>376713</v>
      </c>
      <c r="G53">
        <v>304699.84471211594</v>
      </c>
      <c r="H53">
        <f t="shared" si="0"/>
        <v>681412.84471211594</v>
      </c>
      <c r="I53">
        <f>IFERROR(VLOOKUP(E53,'LEAID Match'!$A$2:$B$44,2,FALSE),"")</f>
        <v>1000016</v>
      </c>
    </row>
    <row r="54" spans="1:9" x14ac:dyDescent="0.2">
      <c r="A54">
        <v>2020</v>
      </c>
      <c r="B54" t="s">
        <v>67</v>
      </c>
      <c r="C54" t="s">
        <v>68</v>
      </c>
      <c r="D54" t="s">
        <v>69</v>
      </c>
      <c r="E54" t="s">
        <v>6</v>
      </c>
      <c r="F54">
        <v>390357</v>
      </c>
      <c r="G54">
        <v>80277.80793705766</v>
      </c>
      <c r="H54">
        <f t="shared" si="0"/>
        <v>470634.80793705769</v>
      </c>
      <c r="I54">
        <f>IFERROR(VLOOKUP(E54,'LEAID Match'!$A$2:$B$44,2,FALSE),"")</f>
        <v>1000016</v>
      </c>
    </row>
    <row r="55" spans="1:9" x14ac:dyDescent="0.2">
      <c r="A55">
        <v>2021</v>
      </c>
      <c r="B55" t="s">
        <v>67</v>
      </c>
      <c r="C55" t="s">
        <v>68</v>
      </c>
      <c r="D55" t="s">
        <v>69</v>
      </c>
      <c r="E55" t="s">
        <v>6</v>
      </c>
      <c r="F55">
        <v>428201</v>
      </c>
      <c r="G55">
        <v>0</v>
      </c>
      <c r="H55">
        <f t="shared" si="0"/>
        <v>428201</v>
      </c>
      <c r="I55">
        <f>IFERROR(VLOOKUP(E55,'LEAID Match'!$A$2:$B$44,2,FALSE),"")</f>
        <v>1000016</v>
      </c>
    </row>
    <row r="56" spans="1:9" x14ac:dyDescent="0.2">
      <c r="A56">
        <v>2022</v>
      </c>
      <c r="B56" t="s">
        <v>67</v>
      </c>
      <c r="C56" t="s">
        <v>68</v>
      </c>
      <c r="D56" t="s">
        <v>69</v>
      </c>
      <c r="E56" t="s">
        <v>6</v>
      </c>
      <c r="F56">
        <v>423842</v>
      </c>
      <c r="G56">
        <v>423842</v>
      </c>
      <c r="H56">
        <f t="shared" si="0"/>
        <v>847684</v>
      </c>
      <c r="I56">
        <f>IFERROR(VLOOKUP(E56,'LEAID Match'!$A$2:$B$44,2,FALSE),"")</f>
        <v>1000016</v>
      </c>
    </row>
    <row r="57" spans="1:9" x14ac:dyDescent="0.2">
      <c r="A57">
        <v>2023</v>
      </c>
      <c r="B57" t="s">
        <v>67</v>
      </c>
      <c r="C57" t="s">
        <v>68</v>
      </c>
      <c r="D57" t="s">
        <v>69</v>
      </c>
      <c r="E57" t="s">
        <v>6</v>
      </c>
      <c r="F57">
        <v>415811</v>
      </c>
      <c r="G57">
        <v>2174607.0117300027</v>
      </c>
      <c r="H57">
        <f t="shared" si="0"/>
        <v>2590418.0117300027</v>
      </c>
      <c r="I57">
        <f>IFERROR(VLOOKUP(E57,'LEAID Match'!$A$2:$B$44,2,FALSE),"")</f>
        <v>1000016</v>
      </c>
    </row>
    <row r="58" spans="1:9" x14ac:dyDescent="0.2">
      <c r="A58">
        <v>2022</v>
      </c>
      <c r="B58" t="s">
        <v>67</v>
      </c>
      <c r="C58" t="s">
        <v>68</v>
      </c>
      <c r="D58" t="s">
        <v>69</v>
      </c>
      <c r="E58" t="s">
        <v>54</v>
      </c>
      <c r="F58">
        <v>8200</v>
      </c>
      <c r="G58">
        <v>8200</v>
      </c>
      <c r="H58">
        <f t="shared" si="0"/>
        <v>16400</v>
      </c>
      <c r="I58">
        <f>IFERROR(VLOOKUP(E58,'LEAID Match'!$A$2:$B$44,2,FALSE),"")</f>
        <v>0</v>
      </c>
    </row>
    <row r="59" spans="1:9" x14ac:dyDescent="0.2">
      <c r="A59">
        <v>2023</v>
      </c>
      <c r="B59" t="s">
        <v>67</v>
      </c>
      <c r="C59" t="s">
        <v>68</v>
      </c>
      <c r="D59" t="s">
        <v>69</v>
      </c>
      <c r="E59" t="s">
        <v>54</v>
      </c>
      <c r="F59">
        <v>7629</v>
      </c>
      <c r="G59">
        <v>39898.119319806814</v>
      </c>
      <c r="H59">
        <f t="shared" si="0"/>
        <v>47527.119319806814</v>
      </c>
      <c r="I59">
        <f>IFERROR(VLOOKUP(E59,'LEAID Match'!$A$2:$B$44,2,FALSE),"")</f>
        <v>0</v>
      </c>
    </row>
    <row r="60" spans="1:9" x14ac:dyDescent="0.2">
      <c r="A60">
        <v>2015</v>
      </c>
      <c r="B60" t="s">
        <v>67</v>
      </c>
      <c r="C60" t="s">
        <v>68</v>
      </c>
      <c r="D60" t="s">
        <v>69</v>
      </c>
      <c r="E60" t="s">
        <v>8</v>
      </c>
      <c r="F60">
        <v>6508133</v>
      </c>
      <c r="G60">
        <v>11632345.347961176</v>
      </c>
      <c r="H60">
        <f t="shared" si="0"/>
        <v>18140478.347961176</v>
      </c>
      <c r="I60">
        <f>IFERROR(VLOOKUP(E60,'LEAID Match'!$A$2:$B$44,2,FALSE),"")</f>
        <v>0</v>
      </c>
    </row>
    <row r="61" spans="1:9" x14ac:dyDescent="0.2">
      <c r="A61">
        <v>2016</v>
      </c>
      <c r="B61" t="s">
        <v>67</v>
      </c>
      <c r="C61" t="s">
        <v>68</v>
      </c>
      <c r="D61" t="s">
        <v>69</v>
      </c>
      <c r="E61" t="s">
        <v>8</v>
      </c>
      <c r="F61">
        <v>6508250</v>
      </c>
      <c r="G61">
        <v>13300875.803819735</v>
      </c>
      <c r="H61">
        <f t="shared" si="0"/>
        <v>19809125.803819735</v>
      </c>
      <c r="I61">
        <f>IFERROR(VLOOKUP(E61,'LEAID Match'!$A$2:$B$44,2,FALSE),"")</f>
        <v>0</v>
      </c>
    </row>
    <row r="62" spans="1:9" x14ac:dyDescent="0.2">
      <c r="A62">
        <v>2017</v>
      </c>
      <c r="B62" t="s">
        <v>67</v>
      </c>
      <c r="C62" t="s">
        <v>68</v>
      </c>
      <c r="D62" t="s">
        <v>69</v>
      </c>
      <c r="E62" t="s">
        <v>8</v>
      </c>
      <c r="F62">
        <v>6575637</v>
      </c>
      <c r="G62">
        <v>10200483.698701078</v>
      </c>
      <c r="H62">
        <f t="shared" si="0"/>
        <v>16776120.698701078</v>
      </c>
      <c r="I62">
        <f>IFERROR(VLOOKUP(E62,'LEAID Match'!$A$2:$B$44,2,FALSE),"")</f>
        <v>0</v>
      </c>
    </row>
    <row r="63" spans="1:9" x14ac:dyDescent="0.2">
      <c r="A63">
        <v>2018</v>
      </c>
      <c r="B63" t="s">
        <v>67</v>
      </c>
      <c r="C63" t="s">
        <v>68</v>
      </c>
      <c r="D63" t="s">
        <v>69</v>
      </c>
      <c r="E63" t="s">
        <v>8</v>
      </c>
      <c r="F63">
        <v>7301989</v>
      </c>
      <c r="G63">
        <v>3472046.7998720845</v>
      </c>
      <c r="H63">
        <f t="shared" si="0"/>
        <v>10774035.799872085</v>
      </c>
      <c r="I63">
        <f>IFERROR(VLOOKUP(E63,'LEAID Match'!$A$2:$B$44,2,FALSE),"")</f>
        <v>0</v>
      </c>
    </row>
    <row r="64" spans="1:9" x14ac:dyDescent="0.2">
      <c r="A64">
        <v>2019</v>
      </c>
      <c r="B64" t="s">
        <v>67</v>
      </c>
      <c r="C64" t="s">
        <v>68</v>
      </c>
      <c r="D64" t="s">
        <v>69</v>
      </c>
      <c r="E64" t="s">
        <v>8</v>
      </c>
      <c r="F64">
        <v>8745416</v>
      </c>
      <c r="G64">
        <v>7073626.0685000364</v>
      </c>
      <c r="H64">
        <f t="shared" si="0"/>
        <v>15819042.068500036</v>
      </c>
      <c r="I64">
        <f>IFERROR(VLOOKUP(E64,'LEAID Match'!$A$2:$B$44,2,FALSE),"")</f>
        <v>0</v>
      </c>
    </row>
    <row r="65" spans="1:9" x14ac:dyDescent="0.2">
      <c r="A65">
        <v>2020</v>
      </c>
      <c r="B65" t="s">
        <v>67</v>
      </c>
      <c r="C65" t="s">
        <v>68</v>
      </c>
      <c r="D65" t="s">
        <v>69</v>
      </c>
      <c r="E65" t="s">
        <v>8</v>
      </c>
      <c r="F65">
        <v>9118264</v>
      </c>
      <c r="G65">
        <v>1875191.8016364179</v>
      </c>
      <c r="H65">
        <f t="shared" si="0"/>
        <v>10993455.801636418</v>
      </c>
      <c r="I65">
        <f>IFERROR(VLOOKUP(E65,'LEAID Match'!$A$2:$B$44,2,FALSE),"")</f>
        <v>0</v>
      </c>
    </row>
    <row r="66" spans="1:9" x14ac:dyDescent="0.2">
      <c r="A66">
        <v>2021</v>
      </c>
      <c r="B66" t="s">
        <v>67</v>
      </c>
      <c r="C66" t="s">
        <v>68</v>
      </c>
      <c r="D66" t="s">
        <v>69</v>
      </c>
      <c r="E66" t="s">
        <v>8</v>
      </c>
      <c r="F66">
        <v>9625479</v>
      </c>
      <c r="G66">
        <v>0</v>
      </c>
      <c r="H66">
        <f t="shared" si="0"/>
        <v>9625479</v>
      </c>
      <c r="I66">
        <f>IFERROR(VLOOKUP(E66,'LEAID Match'!$A$2:$B$44,2,FALSE),"")</f>
        <v>0</v>
      </c>
    </row>
    <row r="67" spans="1:9" x14ac:dyDescent="0.2">
      <c r="A67">
        <v>2022</v>
      </c>
      <c r="B67" t="s">
        <v>67</v>
      </c>
      <c r="C67" t="s">
        <v>68</v>
      </c>
      <c r="D67" t="s">
        <v>69</v>
      </c>
      <c r="E67" t="s">
        <v>8</v>
      </c>
      <c r="F67">
        <v>9869851</v>
      </c>
      <c r="G67">
        <v>9869851</v>
      </c>
      <c r="H67">
        <f t="shared" ref="H67:H130" si="1">SUM(F67:G67)</f>
        <v>19739702</v>
      </c>
      <c r="I67">
        <f>IFERROR(VLOOKUP(E67,'LEAID Match'!$A$2:$B$44,2,FALSE),"")</f>
        <v>0</v>
      </c>
    </row>
    <row r="68" spans="1:9" x14ac:dyDescent="0.2">
      <c r="A68">
        <v>2023</v>
      </c>
      <c r="B68" t="s">
        <v>67</v>
      </c>
      <c r="C68" t="s">
        <v>68</v>
      </c>
      <c r="D68" t="s">
        <v>69</v>
      </c>
      <c r="E68" t="s">
        <v>8</v>
      </c>
      <c r="F68">
        <v>9015305</v>
      </c>
      <c r="G68">
        <v>47148212.687698387</v>
      </c>
      <c r="H68">
        <f t="shared" si="1"/>
        <v>56163517.687698387</v>
      </c>
      <c r="I68">
        <f>IFERROR(VLOOKUP(E68,'LEAID Match'!$A$2:$B$44,2,FALSE),"")</f>
        <v>0</v>
      </c>
    </row>
    <row r="69" spans="1:9" x14ac:dyDescent="0.2">
      <c r="A69">
        <v>2020</v>
      </c>
      <c r="B69" t="s">
        <v>67</v>
      </c>
      <c r="C69" t="s">
        <v>68</v>
      </c>
      <c r="D69" t="s">
        <v>69</v>
      </c>
      <c r="E69" t="s">
        <v>36</v>
      </c>
      <c r="F69">
        <v>2362</v>
      </c>
      <c r="G69">
        <v>485.75069064300163</v>
      </c>
      <c r="H69">
        <f t="shared" si="1"/>
        <v>2847.7506906430017</v>
      </c>
      <c r="I69">
        <f>IFERROR(VLOOKUP(E69,'LEAID Match'!$A$2:$B$44,2,FALSE),"")</f>
        <v>1000056</v>
      </c>
    </row>
    <row r="70" spans="1:9" x14ac:dyDescent="0.2">
      <c r="A70">
        <v>2019</v>
      </c>
      <c r="B70" t="s">
        <v>67</v>
      </c>
      <c r="C70" t="s">
        <v>68</v>
      </c>
      <c r="D70" t="s">
        <v>69</v>
      </c>
      <c r="E70" t="s">
        <v>36</v>
      </c>
      <c r="F70">
        <v>243957</v>
      </c>
      <c r="G70">
        <v>197321.72772490908</v>
      </c>
      <c r="H70">
        <f t="shared" si="1"/>
        <v>441278.72772490908</v>
      </c>
      <c r="I70">
        <f>IFERROR(VLOOKUP(E70,'LEAID Match'!$A$2:$B$44,2,FALSE),"")</f>
        <v>1000056</v>
      </c>
    </row>
    <row r="71" spans="1:9" x14ac:dyDescent="0.2">
      <c r="A71">
        <v>2016</v>
      </c>
      <c r="B71" t="s">
        <v>67</v>
      </c>
      <c r="C71" t="s">
        <v>68</v>
      </c>
      <c r="D71" t="s">
        <v>69</v>
      </c>
      <c r="E71" t="s">
        <v>36</v>
      </c>
      <c r="F71">
        <v>62252</v>
      </c>
      <c r="G71">
        <v>127224.08028876982</v>
      </c>
      <c r="H71">
        <f t="shared" si="1"/>
        <v>189476.08028876982</v>
      </c>
      <c r="I71">
        <f>IFERROR(VLOOKUP(E71,'LEAID Match'!$A$2:$B$44,2,FALSE),"")</f>
        <v>1000056</v>
      </c>
    </row>
    <row r="72" spans="1:9" x14ac:dyDescent="0.2">
      <c r="A72">
        <v>2017</v>
      </c>
      <c r="B72" t="s">
        <v>67</v>
      </c>
      <c r="C72" t="s">
        <v>68</v>
      </c>
      <c r="D72" t="s">
        <v>69</v>
      </c>
      <c r="E72" t="s">
        <v>36</v>
      </c>
      <c r="F72">
        <v>108016</v>
      </c>
      <c r="G72">
        <v>167560.26027575665</v>
      </c>
      <c r="H72">
        <f t="shared" si="1"/>
        <v>275576.26027575665</v>
      </c>
      <c r="I72">
        <f>IFERROR(VLOOKUP(E72,'LEAID Match'!$A$2:$B$44,2,FALSE),"")</f>
        <v>1000056</v>
      </c>
    </row>
    <row r="73" spans="1:9" x14ac:dyDescent="0.2">
      <c r="A73">
        <v>2018</v>
      </c>
      <c r="B73" t="s">
        <v>67</v>
      </c>
      <c r="C73" t="s">
        <v>68</v>
      </c>
      <c r="D73" t="s">
        <v>69</v>
      </c>
      <c r="E73" t="s">
        <v>36</v>
      </c>
      <c r="F73">
        <v>148306</v>
      </c>
      <c r="G73">
        <v>70518.508409397691</v>
      </c>
      <c r="H73">
        <f t="shared" si="1"/>
        <v>218824.50840939768</v>
      </c>
      <c r="I73">
        <f>IFERROR(VLOOKUP(E73,'LEAID Match'!$A$2:$B$44,2,FALSE),"")</f>
        <v>1000056</v>
      </c>
    </row>
    <row r="74" spans="1:9" x14ac:dyDescent="0.2">
      <c r="A74">
        <v>2015</v>
      </c>
      <c r="B74" t="s">
        <v>67</v>
      </c>
      <c r="C74" t="s">
        <v>68</v>
      </c>
      <c r="D74" t="s">
        <v>69</v>
      </c>
      <c r="E74" t="s">
        <v>7</v>
      </c>
      <c r="F74">
        <v>239141</v>
      </c>
      <c r="G74">
        <v>427429.90944665443</v>
      </c>
      <c r="H74">
        <f t="shared" si="1"/>
        <v>666570.90944665438</v>
      </c>
      <c r="I74">
        <f>IFERROR(VLOOKUP(E74,'LEAID Match'!$A$2:$B$44,2,FALSE),"")</f>
        <v>0</v>
      </c>
    </row>
    <row r="75" spans="1:9" x14ac:dyDescent="0.2">
      <c r="A75">
        <v>2016</v>
      </c>
      <c r="B75" t="s">
        <v>67</v>
      </c>
      <c r="C75" t="s">
        <v>68</v>
      </c>
      <c r="D75" t="s">
        <v>69</v>
      </c>
      <c r="E75" t="s">
        <v>7</v>
      </c>
      <c r="F75">
        <v>244967</v>
      </c>
      <c r="G75">
        <v>500637.75101360725</v>
      </c>
      <c r="H75">
        <f t="shared" si="1"/>
        <v>745604.75101360725</v>
      </c>
      <c r="I75">
        <f>IFERROR(VLOOKUP(E75,'LEAID Match'!$A$2:$B$44,2,FALSE),"")</f>
        <v>0</v>
      </c>
    </row>
    <row r="76" spans="1:9" x14ac:dyDescent="0.2">
      <c r="A76">
        <v>2017</v>
      </c>
      <c r="B76" t="s">
        <v>67</v>
      </c>
      <c r="C76" t="s">
        <v>68</v>
      </c>
      <c r="D76" t="s">
        <v>69</v>
      </c>
      <c r="E76" t="s">
        <v>7</v>
      </c>
      <c r="F76">
        <v>238684</v>
      </c>
      <c r="G76">
        <v>370259.5278815981</v>
      </c>
      <c r="H76">
        <f t="shared" si="1"/>
        <v>608943.5278815981</v>
      </c>
      <c r="I76">
        <f>IFERROR(VLOOKUP(E76,'LEAID Match'!$A$2:$B$44,2,FALSE),"")</f>
        <v>0</v>
      </c>
    </row>
    <row r="77" spans="1:9" x14ac:dyDescent="0.2">
      <c r="A77">
        <v>2018</v>
      </c>
      <c r="B77" t="s">
        <v>67</v>
      </c>
      <c r="C77" t="s">
        <v>68</v>
      </c>
      <c r="D77" t="s">
        <v>69</v>
      </c>
      <c r="E77" t="s">
        <v>7</v>
      </c>
      <c r="F77">
        <v>184544</v>
      </c>
      <c r="G77">
        <v>87749.434385013999</v>
      </c>
      <c r="H77">
        <f t="shared" si="1"/>
        <v>272293.434385014</v>
      </c>
      <c r="I77">
        <f>IFERROR(VLOOKUP(E77,'LEAID Match'!$A$2:$B$44,2,FALSE),"")</f>
        <v>0</v>
      </c>
    </row>
    <row r="78" spans="1:9" x14ac:dyDescent="0.2">
      <c r="A78">
        <v>2015</v>
      </c>
      <c r="B78" t="s">
        <v>67</v>
      </c>
      <c r="C78" t="s">
        <v>68</v>
      </c>
      <c r="D78" t="s">
        <v>69</v>
      </c>
      <c r="E78" t="s">
        <v>12</v>
      </c>
      <c r="F78">
        <v>532731</v>
      </c>
      <c r="G78">
        <v>952179.52207871375</v>
      </c>
      <c r="H78">
        <f t="shared" si="1"/>
        <v>1484910.5220787139</v>
      </c>
      <c r="I78">
        <f>IFERROR(VLOOKUP(E78,'LEAID Match'!$A$2:$B$44,2,FALSE),"")</f>
        <v>0</v>
      </c>
    </row>
    <row r="79" spans="1:9" x14ac:dyDescent="0.2">
      <c r="A79">
        <v>2016</v>
      </c>
      <c r="B79" t="s">
        <v>67</v>
      </c>
      <c r="C79" t="s">
        <v>68</v>
      </c>
      <c r="D79" t="s">
        <v>69</v>
      </c>
      <c r="E79" t="s">
        <v>12</v>
      </c>
      <c r="F79">
        <v>519277</v>
      </c>
      <c r="G79">
        <v>1061243.6345838129</v>
      </c>
      <c r="H79">
        <f t="shared" si="1"/>
        <v>1580520.6345838129</v>
      </c>
      <c r="I79">
        <f>IFERROR(VLOOKUP(E79,'LEAID Match'!$A$2:$B$44,2,FALSE),"")</f>
        <v>0</v>
      </c>
    </row>
    <row r="80" spans="1:9" x14ac:dyDescent="0.2">
      <c r="A80">
        <v>2017</v>
      </c>
      <c r="B80" t="s">
        <v>67</v>
      </c>
      <c r="C80" t="s">
        <v>68</v>
      </c>
      <c r="D80" t="s">
        <v>69</v>
      </c>
      <c r="E80" t="s">
        <v>12</v>
      </c>
      <c r="F80">
        <v>526179</v>
      </c>
      <c r="G80">
        <v>816237.31846798025</v>
      </c>
      <c r="H80">
        <f t="shared" si="1"/>
        <v>1342416.3184679803</v>
      </c>
      <c r="I80">
        <f>IFERROR(VLOOKUP(E80,'LEAID Match'!$A$2:$B$44,2,FALSE),"")</f>
        <v>0</v>
      </c>
    </row>
    <row r="81" spans="1:9" x14ac:dyDescent="0.2">
      <c r="A81">
        <v>2018</v>
      </c>
      <c r="B81" t="s">
        <v>67</v>
      </c>
      <c r="C81" t="s">
        <v>68</v>
      </c>
      <c r="D81" t="s">
        <v>69</v>
      </c>
      <c r="E81" t="s">
        <v>12</v>
      </c>
      <c r="F81">
        <v>626327</v>
      </c>
      <c r="G81">
        <v>297814.28813758597</v>
      </c>
      <c r="H81">
        <f t="shared" si="1"/>
        <v>924141.28813758597</v>
      </c>
      <c r="I81">
        <f>IFERROR(VLOOKUP(E81,'LEAID Match'!$A$2:$B$44,2,FALSE),"")</f>
        <v>0</v>
      </c>
    </row>
    <row r="82" spans="1:9" x14ac:dyDescent="0.2">
      <c r="A82">
        <v>2019</v>
      </c>
      <c r="B82" t="s">
        <v>67</v>
      </c>
      <c r="C82" t="s">
        <v>68</v>
      </c>
      <c r="D82" t="s">
        <v>69</v>
      </c>
      <c r="E82" t="s">
        <v>12</v>
      </c>
      <c r="F82">
        <v>731139</v>
      </c>
      <c r="G82">
        <v>591373.11365143163</v>
      </c>
      <c r="H82">
        <f t="shared" si="1"/>
        <v>1322512.1136514316</v>
      </c>
      <c r="I82">
        <f>IFERROR(VLOOKUP(E82,'LEAID Match'!$A$2:$B$44,2,FALSE),"")</f>
        <v>0</v>
      </c>
    </row>
    <row r="83" spans="1:9" x14ac:dyDescent="0.2">
      <c r="A83">
        <v>2017</v>
      </c>
      <c r="B83" t="s">
        <v>67</v>
      </c>
      <c r="C83" t="s">
        <v>68</v>
      </c>
      <c r="D83" t="s">
        <v>69</v>
      </c>
      <c r="E83" t="s">
        <v>9</v>
      </c>
      <c r="F83">
        <v>7697</v>
      </c>
      <c r="G83">
        <v>11940.002623153043</v>
      </c>
      <c r="H83">
        <f t="shared" si="1"/>
        <v>19637.002623153043</v>
      </c>
      <c r="I83">
        <f>IFERROR(VLOOKUP(E83,'LEAID Match'!$A$2:$B$44,2,FALSE),"")</f>
        <v>0</v>
      </c>
    </row>
    <row r="84" spans="1:9" x14ac:dyDescent="0.2">
      <c r="A84">
        <v>2016</v>
      </c>
      <c r="B84" t="s">
        <v>67</v>
      </c>
      <c r="C84" t="s">
        <v>68</v>
      </c>
      <c r="D84" t="s">
        <v>69</v>
      </c>
      <c r="E84" t="s">
        <v>9</v>
      </c>
      <c r="F84">
        <v>10205</v>
      </c>
      <c r="G84">
        <v>20855.904056847907</v>
      </c>
      <c r="H84">
        <f t="shared" si="1"/>
        <v>31060.904056847907</v>
      </c>
      <c r="I84">
        <f>IFERROR(VLOOKUP(E84,'LEAID Match'!$A$2:$B$44,2,FALSE),"")</f>
        <v>0</v>
      </c>
    </row>
    <row r="85" spans="1:9" x14ac:dyDescent="0.2">
      <c r="A85">
        <v>2015</v>
      </c>
      <c r="B85" t="s">
        <v>67</v>
      </c>
      <c r="C85" t="s">
        <v>68</v>
      </c>
      <c r="D85" t="s">
        <v>69</v>
      </c>
      <c r="E85" t="s">
        <v>9</v>
      </c>
      <c r="F85">
        <v>9311</v>
      </c>
      <c r="G85">
        <v>16642.064250203017</v>
      </c>
      <c r="H85">
        <f t="shared" si="1"/>
        <v>25953.064250203017</v>
      </c>
      <c r="I85">
        <f>IFERROR(VLOOKUP(E85,'LEAID Match'!$A$2:$B$44,2,FALSE),"")</f>
        <v>0</v>
      </c>
    </row>
    <row r="86" spans="1:9" x14ac:dyDescent="0.2">
      <c r="A86">
        <v>2018</v>
      </c>
      <c r="B86" t="s">
        <v>67</v>
      </c>
      <c r="C86" t="s">
        <v>68</v>
      </c>
      <c r="D86" t="s">
        <v>69</v>
      </c>
      <c r="E86" t="s">
        <v>9</v>
      </c>
      <c r="F86">
        <v>6404</v>
      </c>
      <c r="G86">
        <v>3045.0590525924963</v>
      </c>
      <c r="H86">
        <f t="shared" si="1"/>
        <v>9449.0590525924963</v>
      </c>
      <c r="I86">
        <f>IFERROR(VLOOKUP(E86,'LEAID Match'!$A$2:$B$44,2,FALSE),"")</f>
        <v>0</v>
      </c>
    </row>
    <row r="87" spans="1:9" x14ac:dyDescent="0.2">
      <c r="A87">
        <v>2019</v>
      </c>
      <c r="B87" t="s">
        <v>67</v>
      </c>
      <c r="C87" t="s">
        <v>68</v>
      </c>
      <c r="D87" t="s">
        <v>69</v>
      </c>
      <c r="E87" t="s">
        <v>9</v>
      </c>
      <c r="F87">
        <v>7311</v>
      </c>
      <c r="G87">
        <v>5913.4156896371505</v>
      </c>
      <c r="H87">
        <f t="shared" si="1"/>
        <v>13224.41568963715</v>
      </c>
      <c r="I87">
        <f>IFERROR(VLOOKUP(E87,'LEAID Match'!$A$2:$B$44,2,FALSE),"")</f>
        <v>0</v>
      </c>
    </row>
    <row r="88" spans="1:9" x14ac:dyDescent="0.2">
      <c r="A88">
        <v>2015</v>
      </c>
      <c r="B88" t="s">
        <v>67</v>
      </c>
      <c r="C88" t="s">
        <v>68</v>
      </c>
      <c r="D88" t="s">
        <v>69</v>
      </c>
      <c r="E88" t="s">
        <v>10</v>
      </c>
      <c r="F88">
        <v>82415</v>
      </c>
      <c r="G88">
        <v>147304.87865755361</v>
      </c>
      <c r="H88">
        <f t="shared" si="1"/>
        <v>229719.87865755361</v>
      </c>
      <c r="I88">
        <f>IFERROR(VLOOKUP(E88,'LEAID Match'!$A$2:$B$44,2,FALSE),"")</f>
        <v>0</v>
      </c>
    </row>
    <row r="89" spans="1:9" x14ac:dyDescent="0.2">
      <c r="A89">
        <v>2016</v>
      </c>
      <c r="B89" t="s">
        <v>67</v>
      </c>
      <c r="C89" t="s">
        <v>68</v>
      </c>
      <c r="D89" t="s">
        <v>69</v>
      </c>
      <c r="E89" t="s">
        <v>10</v>
      </c>
      <c r="F89">
        <v>69271</v>
      </c>
      <c r="G89">
        <v>141568.77314276446</v>
      </c>
      <c r="H89">
        <f t="shared" si="1"/>
        <v>210839.77314276446</v>
      </c>
      <c r="I89">
        <f>IFERROR(VLOOKUP(E89,'LEAID Match'!$A$2:$B$44,2,FALSE),"")</f>
        <v>0</v>
      </c>
    </row>
    <row r="90" spans="1:9" x14ac:dyDescent="0.2">
      <c r="A90">
        <v>2017</v>
      </c>
      <c r="B90" t="s">
        <v>67</v>
      </c>
      <c r="C90" t="s">
        <v>68</v>
      </c>
      <c r="D90" t="s">
        <v>69</v>
      </c>
      <c r="E90" t="s">
        <v>10</v>
      </c>
      <c r="F90">
        <v>52807</v>
      </c>
      <c r="G90">
        <v>81917.073992574078</v>
      </c>
      <c r="H90">
        <f t="shared" si="1"/>
        <v>134724.07399257406</v>
      </c>
      <c r="I90">
        <f>IFERROR(VLOOKUP(E90,'LEAID Match'!$A$2:$B$44,2,FALSE),"")</f>
        <v>0</v>
      </c>
    </row>
    <row r="91" spans="1:9" x14ac:dyDescent="0.2">
      <c r="A91">
        <v>2018</v>
      </c>
      <c r="B91" t="s">
        <v>67</v>
      </c>
      <c r="C91" t="s">
        <v>68</v>
      </c>
      <c r="D91" t="s">
        <v>69</v>
      </c>
      <c r="E91" t="s">
        <v>10</v>
      </c>
      <c r="F91">
        <v>46856</v>
      </c>
      <c r="G91">
        <v>22279.713767688008</v>
      </c>
      <c r="H91">
        <f t="shared" si="1"/>
        <v>69135.713767688008</v>
      </c>
      <c r="I91">
        <f>IFERROR(VLOOKUP(E91,'LEAID Match'!$A$2:$B$44,2,FALSE),"")</f>
        <v>0</v>
      </c>
    </row>
    <row r="92" spans="1:9" x14ac:dyDescent="0.2">
      <c r="A92">
        <v>2019</v>
      </c>
      <c r="B92" t="s">
        <v>67</v>
      </c>
      <c r="C92" t="s">
        <v>68</v>
      </c>
      <c r="D92" t="s">
        <v>69</v>
      </c>
      <c r="E92" t="s">
        <v>10</v>
      </c>
      <c r="F92">
        <v>42151</v>
      </c>
      <c r="G92">
        <v>34093.336716440368</v>
      </c>
      <c r="H92">
        <f t="shared" si="1"/>
        <v>76244.336716440361</v>
      </c>
      <c r="I92">
        <f>IFERROR(VLOOKUP(E92,'LEAID Match'!$A$2:$B$44,2,FALSE),"")</f>
        <v>0</v>
      </c>
    </row>
    <row r="93" spans="1:9" x14ac:dyDescent="0.2">
      <c r="A93">
        <v>2020</v>
      </c>
      <c r="B93" t="s">
        <v>67</v>
      </c>
      <c r="C93" t="s">
        <v>68</v>
      </c>
      <c r="D93" t="s">
        <v>69</v>
      </c>
      <c r="E93" t="s">
        <v>10</v>
      </c>
      <c r="F93">
        <v>34185</v>
      </c>
      <c r="G93">
        <v>7030.2232682603781</v>
      </c>
      <c r="H93">
        <f t="shared" si="1"/>
        <v>41215.223268260379</v>
      </c>
      <c r="I93">
        <f>IFERROR(VLOOKUP(E93,'LEAID Match'!$A$2:$B$44,2,FALSE),"")</f>
        <v>0</v>
      </c>
    </row>
    <row r="94" spans="1:9" x14ac:dyDescent="0.2">
      <c r="A94">
        <v>2021</v>
      </c>
      <c r="B94" t="s">
        <v>67</v>
      </c>
      <c r="C94" t="s">
        <v>68</v>
      </c>
      <c r="D94" t="s">
        <v>69</v>
      </c>
      <c r="E94" t="s">
        <v>10</v>
      </c>
      <c r="F94">
        <v>34501</v>
      </c>
      <c r="G94">
        <v>0</v>
      </c>
      <c r="H94">
        <f t="shared" si="1"/>
        <v>34501</v>
      </c>
      <c r="I94">
        <f>IFERROR(VLOOKUP(E94,'LEAID Match'!$A$2:$B$44,2,FALSE),"")</f>
        <v>0</v>
      </c>
    </row>
    <row r="95" spans="1:9" x14ac:dyDescent="0.2">
      <c r="A95">
        <v>2022</v>
      </c>
      <c r="B95" t="s">
        <v>67</v>
      </c>
      <c r="C95" t="s">
        <v>68</v>
      </c>
      <c r="D95" t="s">
        <v>69</v>
      </c>
      <c r="E95" t="s">
        <v>10</v>
      </c>
      <c r="F95">
        <v>31402</v>
      </c>
      <c r="G95">
        <v>31402.000000000004</v>
      </c>
      <c r="H95">
        <f t="shared" si="1"/>
        <v>62804</v>
      </c>
      <c r="I95">
        <f>IFERROR(VLOOKUP(E95,'LEAID Match'!$A$2:$B$44,2,FALSE),"")</f>
        <v>0</v>
      </c>
    </row>
    <row r="96" spans="1:9" x14ac:dyDescent="0.2">
      <c r="A96">
        <v>2023</v>
      </c>
      <c r="B96" t="s">
        <v>67</v>
      </c>
      <c r="C96" t="s">
        <v>68</v>
      </c>
      <c r="D96" t="s">
        <v>69</v>
      </c>
      <c r="E96" t="s">
        <v>10</v>
      </c>
      <c r="F96">
        <v>16354</v>
      </c>
      <c r="G96">
        <v>85528.095865266834</v>
      </c>
      <c r="H96">
        <f t="shared" si="1"/>
        <v>101882.09586526683</v>
      </c>
      <c r="I96">
        <f>IFERROR(VLOOKUP(E96,'LEAID Match'!$A$2:$B$44,2,FALSE),"")</f>
        <v>0</v>
      </c>
    </row>
    <row r="97" spans="1:9" x14ac:dyDescent="0.2">
      <c r="A97">
        <v>2015</v>
      </c>
      <c r="B97" t="s">
        <v>67</v>
      </c>
      <c r="C97" t="s">
        <v>68</v>
      </c>
      <c r="D97" t="s">
        <v>69</v>
      </c>
      <c r="E97" t="s">
        <v>11</v>
      </c>
      <c r="F97">
        <v>4543491</v>
      </c>
      <c r="G97">
        <v>8120832.256709178</v>
      </c>
      <c r="H97">
        <f t="shared" si="1"/>
        <v>12664323.256709177</v>
      </c>
      <c r="I97">
        <f>IFERROR(VLOOKUP(E97,'LEAID Match'!$A$2:$B$44,2,FALSE),"")</f>
        <v>0</v>
      </c>
    </row>
    <row r="98" spans="1:9" x14ac:dyDescent="0.2">
      <c r="A98">
        <v>2016</v>
      </c>
      <c r="B98" t="s">
        <v>67</v>
      </c>
      <c r="C98" t="s">
        <v>68</v>
      </c>
      <c r="D98" t="s">
        <v>69</v>
      </c>
      <c r="E98" t="s">
        <v>11</v>
      </c>
      <c r="F98">
        <v>4639186</v>
      </c>
      <c r="G98">
        <v>9481079.6783804037</v>
      </c>
      <c r="H98">
        <f t="shared" si="1"/>
        <v>14120265.678380404</v>
      </c>
      <c r="I98">
        <f>IFERROR(VLOOKUP(E98,'LEAID Match'!$A$2:$B$44,2,FALSE),"")</f>
        <v>0</v>
      </c>
    </row>
    <row r="99" spans="1:9" x14ac:dyDescent="0.2">
      <c r="A99">
        <v>2017</v>
      </c>
      <c r="B99" t="s">
        <v>67</v>
      </c>
      <c r="C99" t="s">
        <v>68</v>
      </c>
      <c r="D99" t="s">
        <v>69</v>
      </c>
      <c r="E99" t="s">
        <v>11</v>
      </c>
      <c r="F99">
        <v>4596417</v>
      </c>
      <c r="G99">
        <v>7130210.6063538054</v>
      </c>
      <c r="H99">
        <f t="shared" si="1"/>
        <v>11726627.606353804</v>
      </c>
      <c r="I99">
        <f>IFERROR(VLOOKUP(E99,'LEAID Match'!$A$2:$B$44,2,FALSE),"")</f>
        <v>0</v>
      </c>
    </row>
    <row r="100" spans="1:9" x14ac:dyDescent="0.2">
      <c r="A100">
        <v>2018</v>
      </c>
      <c r="B100" t="s">
        <v>67</v>
      </c>
      <c r="C100" t="s">
        <v>68</v>
      </c>
      <c r="D100" t="s">
        <v>69</v>
      </c>
      <c r="E100" t="s">
        <v>11</v>
      </c>
      <c r="F100">
        <v>5066411</v>
      </c>
      <c r="G100">
        <v>2409044.4534203936</v>
      </c>
      <c r="H100">
        <f t="shared" si="1"/>
        <v>7475455.4534203932</v>
      </c>
      <c r="I100">
        <f>IFERROR(VLOOKUP(E100,'LEAID Match'!$A$2:$B$44,2,FALSE),"")</f>
        <v>0</v>
      </c>
    </row>
    <row r="101" spans="1:9" x14ac:dyDescent="0.2">
      <c r="A101">
        <v>2019</v>
      </c>
      <c r="B101" t="s">
        <v>67</v>
      </c>
      <c r="C101" t="s">
        <v>68</v>
      </c>
      <c r="D101" t="s">
        <v>69</v>
      </c>
      <c r="E101" t="s">
        <v>11</v>
      </c>
      <c r="F101">
        <v>5918085</v>
      </c>
      <c r="G101">
        <v>4786772.9026954286</v>
      </c>
      <c r="H101">
        <f t="shared" si="1"/>
        <v>10704857.902695429</v>
      </c>
      <c r="I101">
        <f>IFERROR(VLOOKUP(E101,'LEAID Match'!$A$2:$B$44,2,FALSE),"")</f>
        <v>0</v>
      </c>
    </row>
    <row r="102" spans="1:9" x14ac:dyDescent="0.2">
      <c r="A102">
        <v>2020</v>
      </c>
      <c r="B102" t="s">
        <v>67</v>
      </c>
      <c r="C102" t="s">
        <v>68</v>
      </c>
      <c r="D102" t="s">
        <v>69</v>
      </c>
      <c r="E102" t="s">
        <v>11</v>
      </c>
      <c r="F102">
        <v>6165787</v>
      </c>
      <c r="G102">
        <v>1268008.1683351572</v>
      </c>
      <c r="H102">
        <f t="shared" si="1"/>
        <v>7433795.1683351574</v>
      </c>
      <c r="I102">
        <f>IFERROR(VLOOKUP(E102,'LEAID Match'!$A$2:$B$44,2,FALSE),"")</f>
        <v>0</v>
      </c>
    </row>
    <row r="103" spans="1:9" x14ac:dyDescent="0.2">
      <c r="A103">
        <v>2021</v>
      </c>
      <c r="B103" t="s">
        <v>67</v>
      </c>
      <c r="C103" t="s">
        <v>68</v>
      </c>
      <c r="D103" t="s">
        <v>69</v>
      </c>
      <c r="E103" t="s">
        <v>11</v>
      </c>
      <c r="F103">
        <v>6459505</v>
      </c>
      <c r="G103">
        <v>0</v>
      </c>
      <c r="H103">
        <f t="shared" si="1"/>
        <v>6459505</v>
      </c>
      <c r="I103">
        <f>IFERROR(VLOOKUP(E103,'LEAID Match'!$A$2:$B$44,2,FALSE),"")</f>
        <v>0</v>
      </c>
    </row>
    <row r="104" spans="1:9" x14ac:dyDescent="0.2">
      <c r="A104">
        <v>2022</v>
      </c>
      <c r="B104" t="s">
        <v>67</v>
      </c>
      <c r="C104" t="s">
        <v>68</v>
      </c>
      <c r="D104" t="s">
        <v>69</v>
      </c>
      <c r="E104" t="s">
        <v>11</v>
      </c>
      <c r="F104">
        <v>7212747</v>
      </c>
      <c r="G104">
        <v>7212747</v>
      </c>
      <c r="H104">
        <f t="shared" si="1"/>
        <v>14425494</v>
      </c>
      <c r="I104">
        <f>IFERROR(VLOOKUP(E104,'LEAID Match'!$A$2:$B$44,2,FALSE),"")</f>
        <v>0</v>
      </c>
    </row>
    <row r="105" spans="1:9" x14ac:dyDescent="0.2">
      <c r="A105">
        <v>2023</v>
      </c>
      <c r="B105" t="s">
        <v>67</v>
      </c>
      <c r="C105" t="s">
        <v>68</v>
      </c>
      <c r="D105" t="s">
        <v>69</v>
      </c>
      <c r="E105" t="s">
        <v>11</v>
      </c>
      <c r="F105">
        <v>7021763</v>
      </c>
      <c r="G105">
        <v>36722393.23756779</v>
      </c>
      <c r="H105">
        <f t="shared" si="1"/>
        <v>43744156.23756779</v>
      </c>
      <c r="I105">
        <f>IFERROR(VLOOKUP(E105,'LEAID Match'!$A$2:$B$44,2,FALSE),"")</f>
        <v>0</v>
      </c>
    </row>
    <row r="106" spans="1:9" x14ac:dyDescent="0.2">
      <c r="A106">
        <v>2016</v>
      </c>
      <c r="B106" t="s">
        <v>67</v>
      </c>
      <c r="C106" t="s">
        <v>68</v>
      </c>
      <c r="D106" t="s">
        <v>69</v>
      </c>
      <c r="E106" t="s">
        <v>37</v>
      </c>
      <c r="F106">
        <v>14732</v>
      </c>
      <c r="G106">
        <v>30107.709805534872</v>
      </c>
      <c r="H106">
        <f t="shared" si="1"/>
        <v>44839.709805534876</v>
      </c>
      <c r="I106">
        <f>IFERROR(VLOOKUP(E106,'LEAID Match'!$A$2:$B$44,2,FALSE),"")</f>
        <v>1000061</v>
      </c>
    </row>
    <row r="107" spans="1:9" x14ac:dyDescent="0.2">
      <c r="A107">
        <v>2017</v>
      </c>
      <c r="B107" t="s">
        <v>67</v>
      </c>
      <c r="C107" t="s">
        <v>68</v>
      </c>
      <c r="D107" t="s">
        <v>69</v>
      </c>
      <c r="E107" t="s">
        <v>37</v>
      </c>
      <c r="F107">
        <v>210</v>
      </c>
      <c r="G107">
        <v>325.76335596493942</v>
      </c>
      <c r="H107">
        <f t="shared" si="1"/>
        <v>535.76335596493936</v>
      </c>
      <c r="I107">
        <f>IFERROR(VLOOKUP(E107,'LEAID Match'!$A$2:$B$44,2,FALSE),"")</f>
        <v>1000061</v>
      </c>
    </row>
    <row r="108" spans="1:9" x14ac:dyDescent="0.2">
      <c r="A108">
        <v>2018</v>
      </c>
      <c r="B108" t="s">
        <v>67</v>
      </c>
      <c r="C108" t="s">
        <v>68</v>
      </c>
      <c r="D108" t="s">
        <v>69</v>
      </c>
      <c r="E108" t="s">
        <v>37</v>
      </c>
      <c r="G108">
        <v>0</v>
      </c>
      <c r="H108">
        <f t="shared" si="1"/>
        <v>0</v>
      </c>
      <c r="I108">
        <f>IFERROR(VLOOKUP(E108,'LEAID Match'!$A$2:$B$44,2,FALSE),"")</f>
        <v>1000061</v>
      </c>
    </row>
    <row r="109" spans="1:9" x14ac:dyDescent="0.2">
      <c r="A109">
        <v>2015</v>
      </c>
      <c r="B109" t="s">
        <v>67</v>
      </c>
      <c r="C109" t="s">
        <v>68</v>
      </c>
      <c r="D109" t="s">
        <v>69</v>
      </c>
      <c r="E109" t="s">
        <v>13</v>
      </c>
      <c r="F109">
        <v>34099</v>
      </c>
      <c r="G109">
        <v>60947.024902553181</v>
      </c>
      <c r="H109">
        <f t="shared" si="1"/>
        <v>95046.024902553181</v>
      </c>
      <c r="I109">
        <f>IFERROR(VLOOKUP(E109,'LEAID Match'!$A$2:$B$44,2,FALSE),"")</f>
        <v>1000055</v>
      </c>
    </row>
    <row r="110" spans="1:9" x14ac:dyDescent="0.2">
      <c r="A110">
        <v>2016</v>
      </c>
      <c r="B110" t="s">
        <v>67</v>
      </c>
      <c r="C110" t="s">
        <v>68</v>
      </c>
      <c r="D110" t="s">
        <v>69</v>
      </c>
      <c r="E110" t="s">
        <v>13</v>
      </c>
      <c r="F110">
        <v>85941</v>
      </c>
      <c r="G110">
        <v>175637.16320916865</v>
      </c>
      <c r="H110">
        <f t="shared" si="1"/>
        <v>261578.16320916865</v>
      </c>
      <c r="I110">
        <f>IFERROR(VLOOKUP(E110,'LEAID Match'!$A$2:$B$44,2,FALSE),"")</f>
        <v>1000055</v>
      </c>
    </row>
    <row r="111" spans="1:9" x14ac:dyDescent="0.2">
      <c r="A111">
        <v>2017</v>
      </c>
      <c r="B111" t="s">
        <v>67</v>
      </c>
      <c r="C111" t="s">
        <v>68</v>
      </c>
      <c r="D111" t="s">
        <v>69</v>
      </c>
      <c r="E111" t="s">
        <v>13</v>
      </c>
      <c r="F111">
        <v>121375</v>
      </c>
      <c r="G111">
        <v>188283.46347735488</v>
      </c>
      <c r="H111">
        <f t="shared" si="1"/>
        <v>309658.46347735485</v>
      </c>
      <c r="I111">
        <f>IFERROR(VLOOKUP(E111,'LEAID Match'!$A$2:$B$44,2,FALSE),"")</f>
        <v>1000055</v>
      </c>
    </row>
    <row r="112" spans="1:9" x14ac:dyDescent="0.2">
      <c r="A112">
        <v>2018</v>
      </c>
      <c r="B112" t="s">
        <v>67</v>
      </c>
      <c r="C112" t="s">
        <v>68</v>
      </c>
      <c r="D112" t="s">
        <v>69</v>
      </c>
      <c r="E112" t="s">
        <v>13</v>
      </c>
      <c r="F112">
        <v>152884</v>
      </c>
      <c r="G112">
        <v>72695.316707768769</v>
      </c>
      <c r="H112">
        <f t="shared" si="1"/>
        <v>225579.31670776877</v>
      </c>
      <c r="I112">
        <f>IFERROR(VLOOKUP(E112,'LEAID Match'!$A$2:$B$44,2,FALSE),"")</f>
        <v>1000055</v>
      </c>
    </row>
    <row r="113" spans="1:9" x14ac:dyDescent="0.2">
      <c r="A113">
        <v>2019</v>
      </c>
      <c r="B113" t="s">
        <v>67</v>
      </c>
      <c r="C113" t="s">
        <v>68</v>
      </c>
      <c r="D113" t="s">
        <v>69</v>
      </c>
      <c r="E113" t="s">
        <v>13</v>
      </c>
      <c r="F113">
        <v>173310</v>
      </c>
      <c r="G113">
        <v>140179.739183561</v>
      </c>
      <c r="H113">
        <f t="shared" si="1"/>
        <v>313489.739183561</v>
      </c>
      <c r="I113">
        <f>IFERROR(VLOOKUP(E113,'LEAID Match'!$A$2:$B$44,2,FALSE),"")</f>
        <v>1000055</v>
      </c>
    </row>
    <row r="114" spans="1:9" x14ac:dyDescent="0.2">
      <c r="A114">
        <v>2020</v>
      </c>
      <c r="B114" t="s">
        <v>67</v>
      </c>
      <c r="C114" t="s">
        <v>68</v>
      </c>
      <c r="D114" t="s">
        <v>69</v>
      </c>
      <c r="E114" t="s">
        <v>13</v>
      </c>
      <c r="F114">
        <v>195904</v>
      </c>
      <c r="G114">
        <v>40288.104699291536</v>
      </c>
      <c r="H114">
        <f t="shared" si="1"/>
        <v>236192.10469929152</v>
      </c>
      <c r="I114">
        <f>IFERROR(VLOOKUP(E114,'LEAID Match'!$A$2:$B$44,2,FALSE),"")</f>
        <v>1000055</v>
      </c>
    </row>
    <row r="115" spans="1:9" x14ac:dyDescent="0.2">
      <c r="A115">
        <v>2021</v>
      </c>
      <c r="B115" t="s">
        <v>67</v>
      </c>
      <c r="C115" t="s">
        <v>68</v>
      </c>
      <c r="D115" t="s">
        <v>69</v>
      </c>
      <c r="E115" t="s">
        <v>13</v>
      </c>
      <c r="F115">
        <v>187393</v>
      </c>
      <c r="G115">
        <v>0</v>
      </c>
      <c r="H115">
        <f t="shared" si="1"/>
        <v>187393</v>
      </c>
      <c r="I115">
        <f>IFERROR(VLOOKUP(E115,'LEAID Match'!$A$2:$B$44,2,FALSE),"")</f>
        <v>1000055</v>
      </c>
    </row>
    <row r="116" spans="1:9" x14ac:dyDescent="0.2">
      <c r="A116">
        <v>2022</v>
      </c>
      <c r="B116" t="s">
        <v>67</v>
      </c>
      <c r="C116" t="s">
        <v>68</v>
      </c>
      <c r="D116" t="s">
        <v>69</v>
      </c>
      <c r="E116" t="s">
        <v>13</v>
      </c>
      <c r="F116">
        <v>244534</v>
      </c>
      <c r="G116">
        <v>244534</v>
      </c>
      <c r="H116">
        <f t="shared" si="1"/>
        <v>489068</v>
      </c>
      <c r="I116">
        <f>IFERROR(VLOOKUP(E116,'LEAID Match'!$A$2:$B$44,2,FALSE),"")</f>
        <v>1000055</v>
      </c>
    </row>
    <row r="117" spans="1:9" x14ac:dyDescent="0.2">
      <c r="A117">
        <v>2023</v>
      </c>
      <c r="B117" t="s">
        <v>67</v>
      </c>
      <c r="C117" t="s">
        <v>68</v>
      </c>
      <c r="D117" t="s">
        <v>69</v>
      </c>
      <c r="E117" t="s">
        <v>13</v>
      </c>
      <c r="F117">
        <v>302228</v>
      </c>
      <c r="G117">
        <v>1580591.0087543025</v>
      </c>
      <c r="H117">
        <f t="shared" si="1"/>
        <v>1882819.0087543025</v>
      </c>
      <c r="I117">
        <f>IFERROR(VLOOKUP(E117,'LEAID Match'!$A$2:$B$44,2,FALSE),"")</f>
        <v>1000055</v>
      </c>
    </row>
    <row r="118" spans="1:9" x14ac:dyDescent="0.2">
      <c r="A118">
        <v>2015</v>
      </c>
      <c r="B118" t="s">
        <v>67</v>
      </c>
      <c r="C118" t="s">
        <v>68</v>
      </c>
      <c r="D118" t="s">
        <v>69</v>
      </c>
      <c r="E118" t="s">
        <v>14</v>
      </c>
      <c r="F118">
        <v>302200</v>
      </c>
      <c r="G118">
        <v>540138.74088834191</v>
      </c>
      <c r="H118">
        <f t="shared" si="1"/>
        <v>842338.74088834191</v>
      </c>
      <c r="I118">
        <f>IFERROR(VLOOKUP(E118,'LEAID Match'!$A$2:$B$44,2,FALSE),"")</f>
        <v>1000006</v>
      </c>
    </row>
    <row r="119" spans="1:9" x14ac:dyDescent="0.2">
      <c r="A119">
        <v>2016</v>
      </c>
      <c r="B119" t="s">
        <v>67</v>
      </c>
      <c r="C119" t="s">
        <v>68</v>
      </c>
      <c r="D119" t="s">
        <v>69</v>
      </c>
      <c r="E119" t="s">
        <v>14</v>
      </c>
      <c r="F119">
        <v>296467</v>
      </c>
      <c r="G119">
        <v>605888.02626374608</v>
      </c>
      <c r="H119">
        <f t="shared" si="1"/>
        <v>902355.02626374608</v>
      </c>
      <c r="I119">
        <f>IFERROR(VLOOKUP(E119,'LEAID Match'!$A$2:$B$44,2,FALSE),"")</f>
        <v>1000006</v>
      </c>
    </row>
    <row r="120" spans="1:9" x14ac:dyDescent="0.2">
      <c r="A120">
        <v>2017</v>
      </c>
      <c r="B120" t="s">
        <v>67</v>
      </c>
      <c r="C120" t="s">
        <v>68</v>
      </c>
      <c r="D120" t="s">
        <v>69</v>
      </c>
      <c r="E120" t="s">
        <v>14</v>
      </c>
      <c r="F120">
        <v>300991</v>
      </c>
      <c r="G120">
        <v>466913.51559639565</v>
      </c>
      <c r="H120">
        <f t="shared" si="1"/>
        <v>767904.51559639559</v>
      </c>
      <c r="I120">
        <f>IFERROR(VLOOKUP(E120,'LEAID Match'!$A$2:$B$44,2,FALSE),"")</f>
        <v>1000006</v>
      </c>
    </row>
    <row r="121" spans="1:9" x14ac:dyDescent="0.2">
      <c r="A121">
        <v>2018</v>
      </c>
      <c r="B121" t="s">
        <v>67</v>
      </c>
      <c r="C121" t="s">
        <v>68</v>
      </c>
      <c r="D121" t="s">
        <v>69</v>
      </c>
      <c r="E121" t="s">
        <v>14</v>
      </c>
      <c r="F121">
        <v>347940</v>
      </c>
      <c r="G121">
        <v>165443.13659572662</v>
      </c>
      <c r="H121">
        <f t="shared" si="1"/>
        <v>513383.1365957266</v>
      </c>
      <c r="I121">
        <f>IFERROR(VLOOKUP(E121,'LEAID Match'!$A$2:$B$44,2,FALSE),"")</f>
        <v>1000006</v>
      </c>
    </row>
    <row r="122" spans="1:9" x14ac:dyDescent="0.2">
      <c r="A122">
        <v>2019</v>
      </c>
      <c r="B122" t="s">
        <v>67</v>
      </c>
      <c r="C122" t="s">
        <v>68</v>
      </c>
      <c r="D122" t="s">
        <v>69</v>
      </c>
      <c r="E122" t="s">
        <v>14</v>
      </c>
      <c r="F122">
        <v>439574</v>
      </c>
      <c r="G122">
        <v>355544.21944420203</v>
      </c>
      <c r="H122">
        <f t="shared" si="1"/>
        <v>795118.21944420203</v>
      </c>
      <c r="I122">
        <f>IFERROR(VLOOKUP(E122,'LEAID Match'!$A$2:$B$44,2,FALSE),"")</f>
        <v>1000006</v>
      </c>
    </row>
    <row r="123" spans="1:9" x14ac:dyDescent="0.2">
      <c r="A123">
        <v>2020</v>
      </c>
      <c r="B123" t="s">
        <v>67</v>
      </c>
      <c r="C123" t="s">
        <v>68</v>
      </c>
      <c r="D123" t="s">
        <v>69</v>
      </c>
      <c r="E123" t="s">
        <v>14</v>
      </c>
      <c r="F123">
        <v>426636</v>
      </c>
      <c r="G123">
        <v>87738.667084321612</v>
      </c>
      <c r="H123">
        <f t="shared" si="1"/>
        <v>514374.66708432161</v>
      </c>
      <c r="I123">
        <f>IFERROR(VLOOKUP(E123,'LEAID Match'!$A$2:$B$44,2,FALSE),"")</f>
        <v>1000006</v>
      </c>
    </row>
    <row r="124" spans="1:9" x14ac:dyDescent="0.2">
      <c r="A124">
        <v>2021</v>
      </c>
      <c r="B124" t="s">
        <v>67</v>
      </c>
      <c r="C124" t="s">
        <v>68</v>
      </c>
      <c r="D124" t="s">
        <v>69</v>
      </c>
      <c r="E124" t="s">
        <v>14</v>
      </c>
      <c r="F124">
        <v>457535</v>
      </c>
      <c r="G124">
        <v>0</v>
      </c>
      <c r="H124">
        <f t="shared" si="1"/>
        <v>457535</v>
      </c>
      <c r="I124">
        <f>IFERROR(VLOOKUP(E124,'LEAID Match'!$A$2:$B$44,2,FALSE),"")</f>
        <v>1000006</v>
      </c>
    </row>
    <row r="125" spans="1:9" x14ac:dyDescent="0.2">
      <c r="A125">
        <v>2022</v>
      </c>
      <c r="B125" t="s">
        <v>67</v>
      </c>
      <c r="C125" t="s">
        <v>68</v>
      </c>
      <c r="D125" t="s">
        <v>69</v>
      </c>
      <c r="E125" t="s">
        <v>14</v>
      </c>
      <c r="F125">
        <v>514756</v>
      </c>
      <c r="G125">
        <v>514756</v>
      </c>
      <c r="H125">
        <f t="shared" si="1"/>
        <v>1029512</v>
      </c>
      <c r="I125">
        <f>IFERROR(VLOOKUP(E125,'LEAID Match'!$A$2:$B$44,2,FALSE),"")</f>
        <v>1000006</v>
      </c>
    </row>
    <row r="126" spans="1:9" x14ac:dyDescent="0.2">
      <c r="A126">
        <v>2023</v>
      </c>
      <c r="B126" t="s">
        <v>67</v>
      </c>
      <c r="C126" t="s">
        <v>68</v>
      </c>
      <c r="D126" t="s">
        <v>69</v>
      </c>
      <c r="E126" t="s">
        <v>14</v>
      </c>
      <c r="F126">
        <v>504026</v>
      </c>
      <c r="G126">
        <v>2635953.531037482</v>
      </c>
      <c r="H126">
        <f t="shared" si="1"/>
        <v>3139979.531037482</v>
      </c>
      <c r="I126">
        <f>IFERROR(VLOOKUP(E126,'LEAID Match'!$A$2:$B$44,2,FALSE),"")</f>
        <v>1000006</v>
      </c>
    </row>
    <row r="127" spans="1:9" x14ac:dyDescent="0.2">
      <c r="A127">
        <v>2015</v>
      </c>
      <c r="B127" t="s">
        <v>67</v>
      </c>
      <c r="C127" t="s">
        <v>68</v>
      </c>
      <c r="D127" t="s">
        <v>69</v>
      </c>
      <c r="E127" t="s">
        <v>15</v>
      </c>
      <c r="F127">
        <v>341059</v>
      </c>
      <c r="G127">
        <v>609593.57653420581</v>
      </c>
      <c r="H127">
        <f t="shared" si="1"/>
        <v>950652.57653420581</v>
      </c>
      <c r="I127">
        <f>IFERROR(VLOOKUP(E127,'LEAID Match'!$A$2:$B$44,2,FALSE),"")</f>
        <v>1000024</v>
      </c>
    </row>
    <row r="128" spans="1:9" x14ac:dyDescent="0.2">
      <c r="A128">
        <v>2016</v>
      </c>
      <c r="B128" t="s">
        <v>67</v>
      </c>
      <c r="C128" t="s">
        <v>68</v>
      </c>
      <c r="D128" t="s">
        <v>69</v>
      </c>
      <c r="E128" t="s">
        <v>15</v>
      </c>
      <c r="F128">
        <v>365524</v>
      </c>
      <c r="G128">
        <v>747019.44874818961</v>
      </c>
      <c r="H128">
        <f t="shared" si="1"/>
        <v>1112543.4487481895</v>
      </c>
      <c r="I128">
        <f>IFERROR(VLOOKUP(E128,'LEAID Match'!$A$2:$B$44,2,FALSE),"")</f>
        <v>1000024</v>
      </c>
    </row>
    <row r="129" spans="1:9" x14ac:dyDescent="0.2">
      <c r="A129">
        <v>2017</v>
      </c>
      <c r="B129" t="s">
        <v>67</v>
      </c>
      <c r="C129" t="s">
        <v>68</v>
      </c>
      <c r="D129" t="s">
        <v>69</v>
      </c>
      <c r="E129" t="s">
        <v>15</v>
      </c>
      <c r="F129">
        <v>383158</v>
      </c>
      <c r="G129">
        <v>594375.40926102037</v>
      </c>
      <c r="H129">
        <f t="shared" si="1"/>
        <v>977533.40926102037</v>
      </c>
      <c r="I129">
        <f>IFERROR(VLOOKUP(E129,'LEAID Match'!$A$2:$B$44,2,FALSE),"")</f>
        <v>1000024</v>
      </c>
    </row>
    <row r="130" spans="1:9" x14ac:dyDescent="0.2">
      <c r="A130">
        <v>2018</v>
      </c>
      <c r="B130" t="s">
        <v>67</v>
      </c>
      <c r="C130" t="s">
        <v>68</v>
      </c>
      <c r="D130" t="s">
        <v>69</v>
      </c>
      <c r="E130" t="s">
        <v>15</v>
      </c>
      <c r="F130">
        <v>421309</v>
      </c>
      <c r="G130">
        <v>200329.60405819674</v>
      </c>
      <c r="H130">
        <f t="shared" si="1"/>
        <v>621638.60405819677</v>
      </c>
      <c r="I130">
        <f>IFERROR(VLOOKUP(E130,'LEAID Match'!$A$2:$B$44,2,FALSE),"")</f>
        <v>1000024</v>
      </c>
    </row>
    <row r="131" spans="1:9" x14ac:dyDescent="0.2">
      <c r="A131">
        <v>2019</v>
      </c>
      <c r="B131" t="s">
        <v>67</v>
      </c>
      <c r="C131" t="s">
        <v>68</v>
      </c>
      <c r="D131" t="s">
        <v>69</v>
      </c>
      <c r="E131" t="s">
        <v>15</v>
      </c>
      <c r="F131">
        <v>520179</v>
      </c>
      <c r="G131">
        <v>420740.61824918113</v>
      </c>
      <c r="H131">
        <f t="shared" ref="H131:H194" si="2">SUM(F131:G131)</f>
        <v>940919.61824918119</v>
      </c>
      <c r="I131">
        <f>IFERROR(VLOOKUP(E131,'LEAID Match'!$A$2:$B$44,2,FALSE),"")</f>
        <v>1000024</v>
      </c>
    </row>
    <row r="132" spans="1:9" x14ac:dyDescent="0.2">
      <c r="A132">
        <v>2020</v>
      </c>
      <c r="B132" t="s">
        <v>67</v>
      </c>
      <c r="C132" t="s">
        <v>68</v>
      </c>
      <c r="D132" t="s">
        <v>69</v>
      </c>
      <c r="E132" t="s">
        <v>15</v>
      </c>
      <c r="F132">
        <v>503610</v>
      </c>
      <c r="G132">
        <v>103568.54585720663</v>
      </c>
      <c r="H132">
        <f t="shared" si="2"/>
        <v>607178.54585720669</v>
      </c>
      <c r="I132">
        <f>IFERROR(VLOOKUP(E132,'LEAID Match'!$A$2:$B$44,2,FALSE),"")</f>
        <v>1000024</v>
      </c>
    </row>
    <row r="133" spans="1:9" x14ac:dyDescent="0.2">
      <c r="A133">
        <v>2017</v>
      </c>
      <c r="B133" t="s">
        <v>67</v>
      </c>
      <c r="C133" t="s">
        <v>68</v>
      </c>
      <c r="D133" t="s">
        <v>69</v>
      </c>
      <c r="E133" t="s">
        <v>16</v>
      </c>
      <c r="F133">
        <v>124376</v>
      </c>
      <c r="G133">
        <v>192938.77695950147</v>
      </c>
      <c r="H133">
        <f t="shared" si="2"/>
        <v>317314.77695950144</v>
      </c>
      <c r="I133">
        <f>IFERROR(VLOOKUP(E133,'LEAID Match'!$A$2:$B$44,2,FALSE),"")</f>
        <v>1000057</v>
      </c>
    </row>
    <row r="134" spans="1:9" x14ac:dyDescent="0.2">
      <c r="A134">
        <v>2015</v>
      </c>
      <c r="B134" t="s">
        <v>67</v>
      </c>
      <c r="C134" t="s">
        <v>68</v>
      </c>
      <c r="D134" t="s">
        <v>69</v>
      </c>
      <c r="E134" t="s">
        <v>16</v>
      </c>
      <c r="F134">
        <v>3302</v>
      </c>
      <c r="G134">
        <v>5901.8468643722863</v>
      </c>
      <c r="H134">
        <f t="shared" si="2"/>
        <v>9203.8468643722863</v>
      </c>
      <c r="I134">
        <f>IFERROR(VLOOKUP(E134,'LEAID Match'!$A$2:$B$44,2,FALSE),"")</f>
        <v>1000057</v>
      </c>
    </row>
    <row r="135" spans="1:9" x14ac:dyDescent="0.2">
      <c r="A135">
        <v>2016</v>
      </c>
      <c r="B135" t="s">
        <v>67</v>
      </c>
      <c r="C135" t="s">
        <v>68</v>
      </c>
      <c r="D135" t="s">
        <v>69</v>
      </c>
      <c r="E135" t="s">
        <v>16</v>
      </c>
      <c r="F135">
        <v>74127</v>
      </c>
      <c r="G135">
        <v>151492.95443625329</v>
      </c>
      <c r="H135">
        <f t="shared" si="2"/>
        <v>225619.95443625329</v>
      </c>
      <c r="I135">
        <f>IFERROR(VLOOKUP(E135,'LEAID Match'!$A$2:$B$44,2,FALSE),"")</f>
        <v>1000057</v>
      </c>
    </row>
    <row r="136" spans="1:9" x14ac:dyDescent="0.2">
      <c r="A136">
        <v>2018</v>
      </c>
      <c r="B136" t="s">
        <v>67</v>
      </c>
      <c r="C136" t="s">
        <v>68</v>
      </c>
      <c r="D136" t="s">
        <v>69</v>
      </c>
      <c r="E136" t="s">
        <v>16</v>
      </c>
      <c r="F136">
        <v>191786</v>
      </c>
      <c r="G136">
        <v>91192.956817692757</v>
      </c>
      <c r="H136">
        <f t="shared" si="2"/>
        <v>282978.95681769273</v>
      </c>
      <c r="I136">
        <f>IFERROR(VLOOKUP(E136,'LEAID Match'!$A$2:$B$44,2,FALSE),"")</f>
        <v>1000057</v>
      </c>
    </row>
    <row r="137" spans="1:9" x14ac:dyDescent="0.2">
      <c r="A137">
        <v>2019</v>
      </c>
      <c r="B137" t="s">
        <v>67</v>
      </c>
      <c r="C137" t="s">
        <v>68</v>
      </c>
      <c r="D137" t="s">
        <v>69</v>
      </c>
      <c r="E137" t="s">
        <v>16</v>
      </c>
      <c r="F137">
        <v>265145</v>
      </c>
      <c r="G137">
        <v>214459.39037461937</v>
      </c>
      <c r="H137">
        <f t="shared" si="2"/>
        <v>479604.3903746194</v>
      </c>
      <c r="I137">
        <f>IFERROR(VLOOKUP(E137,'LEAID Match'!$A$2:$B$44,2,FALSE),"")</f>
        <v>1000057</v>
      </c>
    </row>
    <row r="138" spans="1:9" x14ac:dyDescent="0.2">
      <c r="A138">
        <v>2020</v>
      </c>
      <c r="B138" t="s">
        <v>67</v>
      </c>
      <c r="C138" t="s">
        <v>68</v>
      </c>
      <c r="D138" t="s">
        <v>69</v>
      </c>
      <c r="E138" t="s">
        <v>16</v>
      </c>
      <c r="F138">
        <v>297103</v>
      </c>
      <c r="G138">
        <v>61099.910009359752</v>
      </c>
      <c r="H138">
        <f t="shared" si="2"/>
        <v>358202.91000935977</v>
      </c>
      <c r="I138">
        <f>IFERROR(VLOOKUP(E138,'LEAID Match'!$A$2:$B$44,2,FALSE),"")</f>
        <v>1000057</v>
      </c>
    </row>
    <row r="139" spans="1:9" x14ac:dyDescent="0.2">
      <c r="A139">
        <v>2021</v>
      </c>
      <c r="B139" t="s">
        <v>67</v>
      </c>
      <c r="C139" t="s">
        <v>68</v>
      </c>
      <c r="D139" t="s">
        <v>69</v>
      </c>
      <c r="E139" t="s">
        <v>16</v>
      </c>
      <c r="F139">
        <v>339757</v>
      </c>
      <c r="G139">
        <v>0</v>
      </c>
      <c r="H139">
        <f t="shared" si="2"/>
        <v>339757</v>
      </c>
      <c r="I139">
        <f>IFERROR(VLOOKUP(E139,'LEAID Match'!$A$2:$B$44,2,FALSE),"")</f>
        <v>1000057</v>
      </c>
    </row>
    <row r="140" spans="1:9" x14ac:dyDescent="0.2">
      <c r="A140">
        <v>2022</v>
      </c>
      <c r="B140" t="s">
        <v>67</v>
      </c>
      <c r="C140" t="s">
        <v>68</v>
      </c>
      <c r="D140" t="s">
        <v>69</v>
      </c>
      <c r="E140" t="s">
        <v>16</v>
      </c>
      <c r="F140">
        <v>384466</v>
      </c>
      <c r="G140">
        <v>384466</v>
      </c>
      <c r="H140">
        <f t="shared" si="2"/>
        <v>768932</v>
      </c>
      <c r="I140">
        <f>IFERROR(VLOOKUP(E140,'LEAID Match'!$A$2:$B$44,2,FALSE),"")</f>
        <v>1000057</v>
      </c>
    </row>
    <row r="141" spans="1:9" x14ac:dyDescent="0.2">
      <c r="A141">
        <v>2023</v>
      </c>
      <c r="B141" t="s">
        <v>67</v>
      </c>
      <c r="C141" t="s">
        <v>68</v>
      </c>
      <c r="D141" t="s">
        <v>69</v>
      </c>
      <c r="E141" t="s">
        <v>16</v>
      </c>
      <c r="F141">
        <v>371519</v>
      </c>
      <c r="G141">
        <v>1942968.8545779667</v>
      </c>
      <c r="H141">
        <f t="shared" si="2"/>
        <v>2314487.854577967</v>
      </c>
      <c r="I141">
        <f>IFERROR(VLOOKUP(E141,'LEAID Match'!$A$2:$B$44,2,FALSE),"")</f>
        <v>1000057</v>
      </c>
    </row>
    <row r="142" spans="1:9" x14ac:dyDescent="0.2">
      <c r="A142">
        <v>2015</v>
      </c>
      <c r="B142" t="s">
        <v>67</v>
      </c>
      <c r="C142" t="s">
        <v>68</v>
      </c>
      <c r="D142" t="s">
        <v>69</v>
      </c>
      <c r="E142" t="s">
        <v>17</v>
      </c>
      <c r="F142">
        <v>102938</v>
      </c>
      <c r="G142">
        <v>183986.76938968941</v>
      </c>
      <c r="H142">
        <f t="shared" si="2"/>
        <v>286924.76938968943</v>
      </c>
      <c r="I142">
        <f>IFERROR(VLOOKUP(E142,'LEAID Match'!$A$2:$B$44,2,FALSE),"")</f>
        <v>1000054</v>
      </c>
    </row>
    <row r="143" spans="1:9" x14ac:dyDescent="0.2">
      <c r="A143">
        <v>2016</v>
      </c>
      <c r="B143" t="s">
        <v>67</v>
      </c>
      <c r="C143" t="s">
        <v>68</v>
      </c>
      <c r="D143" t="s">
        <v>69</v>
      </c>
      <c r="E143" t="s">
        <v>17</v>
      </c>
      <c r="F143">
        <v>143239</v>
      </c>
      <c r="G143">
        <v>292736.78012727463</v>
      </c>
      <c r="H143">
        <f t="shared" si="2"/>
        <v>435975.78012727463</v>
      </c>
      <c r="I143">
        <f>IFERROR(VLOOKUP(E143,'LEAID Match'!$A$2:$B$44,2,FALSE),"")</f>
        <v>1000054</v>
      </c>
    </row>
    <row r="144" spans="1:9" x14ac:dyDescent="0.2">
      <c r="A144">
        <v>2017</v>
      </c>
      <c r="B144" t="s">
        <v>67</v>
      </c>
      <c r="C144" t="s">
        <v>68</v>
      </c>
      <c r="D144" t="s">
        <v>69</v>
      </c>
      <c r="E144" t="s">
        <v>17</v>
      </c>
      <c r="F144">
        <v>230697</v>
      </c>
      <c r="G144">
        <v>357869.6615763983</v>
      </c>
      <c r="H144">
        <f t="shared" si="2"/>
        <v>588566.6615763983</v>
      </c>
      <c r="I144">
        <f>IFERROR(VLOOKUP(E144,'LEAID Match'!$A$2:$B$44,2,FALSE),"")</f>
        <v>1000054</v>
      </c>
    </row>
    <row r="145" spans="1:9" x14ac:dyDescent="0.2">
      <c r="A145">
        <v>2018</v>
      </c>
      <c r="B145" t="s">
        <v>67</v>
      </c>
      <c r="C145" t="s">
        <v>68</v>
      </c>
      <c r="D145" t="s">
        <v>69</v>
      </c>
      <c r="E145" t="s">
        <v>17</v>
      </c>
      <c r="F145">
        <v>294859</v>
      </c>
      <c r="G145">
        <v>140203.47707501106</v>
      </c>
      <c r="H145">
        <f t="shared" si="2"/>
        <v>435062.47707501106</v>
      </c>
      <c r="I145">
        <f>IFERROR(VLOOKUP(E145,'LEAID Match'!$A$2:$B$44,2,FALSE),"")</f>
        <v>1000054</v>
      </c>
    </row>
    <row r="146" spans="1:9" x14ac:dyDescent="0.2">
      <c r="A146">
        <v>2019</v>
      </c>
      <c r="B146" t="s">
        <v>67</v>
      </c>
      <c r="C146" t="s">
        <v>68</v>
      </c>
      <c r="D146" t="s">
        <v>69</v>
      </c>
      <c r="E146" t="s">
        <v>17</v>
      </c>
      <c r="F146">
        <v>390908</v>
      </c>
      <c r="G146">
        <v>316181.30220280116</v>
      </c>
      <c r="H146">
        <f t="shared" si="2"/>
        <v>707089.30220280122</v>
      </c>
      <c r="I146">
        <f>IFERROR(VLOOKUP(E146,'LEAID Match'!$A$2:$B$44,2,FALSE),"")</f>
        <v>1000054</v>
      </c>
    </row>
    <row r="147" spans="1:9" x14ac:dyDescent="0.2">
      <c r="A147">
        <v>2020</v>
      </c>
      <c r="B147" t="s">
        <v>67</v>
      </c>
      <c r="C147" t="s">
        <v>68</v>
      </c>
      <c r="D147" t="s">
        <v>69</v>
      </c>
      <c r="E147" t="s">
        <v>17</v>
      </c>
      <c r="F147">
        <v>438097</v>
      </c>
      <c r="G147">
        <v>90095.647891036031</v>
      </c>
      <c r="H147">
        <f t="shared" si="2"/>
        <v>528192.647891036</v>
      </c>
      <c r="I147">
        <f>IFERROR(VLOOKUP(E147,'LEAID Match'!$A$2:$B$44,2,FALSE),"")</f>
        <v>1000054</v>
      </c>
    </row>
    <row r="148" spans="1:9" x14ac:dyDescent="0.2">
      <c r="A148">
        <v>2021</v>
      </c>
      <c r="B148" t="s">
        <v>67</v>
      </c>
      <c r="C148" t="s">
        <v>68</v>
      </c>
      <c r="D148" t="s">
        <v>69</v>
      </c>
      <c r="E148" t="s">
        <v>17</v>
      </c>
      <c r="F148">
        <v>475851</v>
      </c>
      <c r="G148">
        <v>0</v>
      </c>
      <c r="H148">
        <f t="shared" si="2"/>
        <v>475851</v>
      </c>
      <c r="I148">
        <f>IFERROR(VLOOKUP(E148,'LEAID Match'!$A$2:$B$44,2,FALSE),"")</f>
        <v>1000054</v>
      </c>
    </row>
    <row r="149" spans="1:9" x14ac:dyDescent="0.2">
      <c r="A149">
        <v>2022</v>
      </c>
      <c r="B149" t="s">
        <v>67</v>
      </c>
      <c r="C149" t="s">
        <v>68</v>
      </c>
      <c r="D149" t="s">
        <v>69</v>
      </c>
      <c r="E149" t="s">
        <v>17</v>
      </c>
      <c r="F149">
        <v>520855</v>
      </c>
      <c r="G149">
        <v>520855</v>
      </c>
      <c r="H149">
        <f t="shared" si="2"/>
        <v>1041710</v>
      </c>
      <c r="I149">
        <f>IFERROR(VLOOKUP(E149,'LEAID Match'!$A$2:$B$44,2,FALSE),"")</f>
        <v>1000054</v>
      </c>
    </row>
    <row r="150" spans="1:9" x14ac:dyDescent="0.2">
      <c r="A150">
        <v>2023</v>
      </c>
      <c r="B150" t="s">
        <v>67</v>
      </c>
      <c r="C150" t="s">
        <v>68</v>
      </c>
      <c r="D150" t="s">
        <v>69</v>
      </c>
      <c r="E150" t="s">
        <v>17</v>
      </c>
      <c r="F150">
        <v>505275</v>
      </c>
      <c r="G150">
        <v>2642485.5471641617</v>
      </c>
      <c r="H150">
        <f t="shared" si="2"/>
        <v>3147760.5471641617</v>
      </c>
      <c r="I150">
        <f>IFERROR(VLOOKUP(E150,'LEAID Match'!$A$2:$B$44,2,FALSE),"")</f>
        <v>1000054</v>
      </c>
    </row>
    <row r="151" spans="1:9" x14ac:dyDescent="0.2">
      <c r="A151">
        <v>2016</v>
      </c>
      <c r="B151" t="s">
        <v>67</v>
      </c>
      <c r="C151" t="s">
        <v>68</v>
      </c>
      <c r="D151" t="s">
        <v>69</v>
      </c>
      <c r="E151" t="s">
        <v>43</v>
      </c>
      <c r="F151">
        <v>70434</v>
      </c>
      <c r="G151">
        <v>143945.59003821906</v>
      </c>
      <c r="H151">
        <f t="shared" si="2"/>
        <v>214379.59003821906</v>
      </c>
      <c r="I151">
        <f>IFERROR(VLOOKUP(E151,'LEAID Match'!$A$2:$B$44,2,FALSE),"")</f>
        <v>1000059</v>
      </c>
    </row>
    <row r="152" spans="1:9" x14ac:dyDescent="0.2">
      <c r="A152">
        <v>2017</v>
      </c>
      <c r="B152" t="s">
        <v>67</v>
      </c>
      <c r="C152" t="s">
        <v>68</v>
      </c>
      <c r="D152" t="s">
        <v>69</v>
      </c>
      <c r="E152" t="s">
        <v>43</v>
      </c>
      <c r="F152">
        <v>110881</v>
      </c>
      <c r="G152">
        <v>172004.60320356404</v>
      </c>
      <c r="H152">
        <f t="shared" si="2"/>
        <v>282885.60320356407</v>
      </c>
      <c r="I152">
        <f>IFERROR(VLOOKUP(E152,'LEAID Match'!$A$2:$B$44,2,FALSE),"")</f>
        <v>1000059</v>
      </c>
    </row>
    <row r="153" spans="1:9" x14ac:dyDescent="0.2">
      <c r="A153">
        <v>2018</v>
      </c>
      <c r="B153" t="s">
        <v>67</v>
      </c>
      <c r="C153" t="s">
        <v>68</v>
      </c>
      <c r="D153" t="s">
        <v>69</v>
      </c>
      <c r="E153" t="s">
        <v>43</v>
      </c>
      <c r="F153">
        <v>187646</v>
      </c>
      <c r="G153">
        <v>89224.414581944351</v>
      </c>
      <c r="H153">
        <f t="shared" si="2"/>
        <v>276870.41458194435</v>
      </c>
      <c r="I153">
        <f>IFERROR(VLOOKUP(E153,'LEAID Match'!$A$2:$B$44,2,FALSE),"")</f>
        <v>1000059</v>
      </c>
    </row>
    <row r="154" spans="1:9" x14ac:dyDescent="0.2">
      <c r="A154">
        <v>2019</v>
      </c>
      <c r="B154" t="s">
        <v>67</v>
      </c>
      <c r="C154" t="s">
        <v>68</v>
      </c>
      <c r="D154" t="s">
        <v>69</v>
      </c>
      <c r="E154" t="s">
        <v>43</v>
      </c>
      <c r="F154">
        <v>265550</v>
      </c>
      <c r="G154">
        <v>214786.96982398376</v>
      </c>
      <c r="H154">
        <f t="shared" si="2"/>
        <v>480336.96982398373</v>
      </c>
      <c r="I154">
        <f>IFERROR(VLOOKUP(E154,'LEAID Match'!$A$2:$B$44,2,FALSE),"")</f>
        <v>1000059</v>
      </c>
    </row>
    <row r="155" spans="1:9" x14ac:dyDescent="0.2">
      <c r="A155">
        <v>2020</v>
      </c>
      <c r="B155" t="s">
        <v>67</v>
      </c>
      <c r="C155" t="s">
        <v>68</v>
      </c>
      <c r="D155" t="s">
        <v>69</v>
      </c>
      <c r="E155" t="s">
        <v>43</v>
      </c>
      <c r="F155">
        <v>312547</v>
      </c>
      <c r="G155">
        <v>64276.0038562228</v>
      </c>
      <c r="H155">
        <f t="shared" si="2"/>
        <v>376823.00385622279</v>
      </c>
      <c r="I155">
        <f>IFERROR(VLOOKUP(E155,'LEAID Match'!$A$2:$B$44,2,FALSE),"")</f>
        <v>1000059</v>
      </c>
    </row>
    <row r="156" spans="1:9" x14ac:dyDescent="0.2">
      <c r="A156">
        <v>2021</v>
      </c>
      <c r="B156" t="s">
        <v>67</v>
      </c>
      <c r="C156" t="s">
        <v>68</v>
      </c>
      <c r="D156" t="s">
        <v>69</v>
      </c>
      <c r="E156" t="s">
        <v>43</v>
      </c>
      <c r="F156">
        <v>341119</v>
      </c>
      <c r="G156">
        <v>0</v>
      </c>
      <c r="H156">
        <f t="shared" si="2"/>
        <v>341119</v>
      </c>
      <c r="I156">
        <f>IFERROR(VLOOKUP(E156,'LEAID Match'!$A$2:$B$44,2,FALSE),"")</f>
        <v>1000059</v>
      </c>
    </row>
    <row r="157" spans="1:9" x14ac:dyDescent="0.2">
      <c r="A157">
        <v>2022</v>
      </c>
      <c r="B157" t="s">
        <v>67</v>
      </c>
      <c r="C157" t="s">
        <v>68</v>
      </c>
      <c r="D157" t="s">
        <v>69</v>
      </c>
      <c r="E157" t="s">
        <v>43</v>
      </c>
      <c r="F157">
        <v>401687</v>
      </c>
      <c r="G157">
        <v>401687</v>
      </c>
      <c r="H157">
        <f t="shared" si="2"/>
        <v>803374</v>
      </c>
      <c r="I157">
        <f>IFERROR(VLOOKUP(E157,'LEAID Match'!$A$2:$B$44,2,FALSE),"")</f>
        <v>1000059</v>
      </c>
    </row>
    <row r="158" spans="1:9" x14ac:dyDescent="0.2">
      <c r="A158">
        <v>2023</v>
      </c>
      <c r="B158" t="s">
        <v>67</v>
      </c>
      <c r="C158" t="s">
        <v>68</v>
      </c>
      <c r="D158" t="s">
        <v>69</v>
      </c>
      <c r="E158" t="s">
        <v>43</v>
      </c>
      <c r="F158">
        <v>356836</v>
      </c>
      <c r="G158">
        <v>1866179.7490631256</v>
      </c>
      <c r="H158">
        <f t="shared" si="2"/>
        <v>2223015.7490631258</v>
      </c>
      <c r="I158">
        <f>IFERROR(VLOOKUP(E158,'LEAID Match'!$A$2:$B$44,2,FALSE),"")</f>
        <v>1000059</v>
      </c>
    </row>
    <row r="159" spans="1:9" x14ac:dyDescent="0.2">
      <c r="A159">
        <v>2016</v>
      </c>
      <c r="B159" t="s">
        <v>67</v>
      </c>
      <c r="C159" t="s">
        <v>68</v>
      </c>
      <c r="D159" t="s">
        <v>69</v>
      </c>
      <c r="E159" t="s">
        <v>18</v>
      </c>
      <c r="F159">
        <v>167387</v>
      </c>
      <c r="G159">
        <v>342087.91889893194</v>
      </c>
      <c r="H159">
        <f t="shared" si="2"/>
        <v>509474.91889893194</v>
      </c>
      <c r="I159">
        <f>IFERROR(VLOOKUP(E159,'LEAID Match'!$A$2:$B$44,2,FALSE),"")</f>
        <v>1000052</v>
      </c>
    </row>
    <row r="160" spans="1:9" x14ac:dyDescent="0.2">
      <c r="A160">
        <v>2015</v>
      </c>
      <c r="B160" t="s">
        <v>67</v>
      </c>
      <c r="C160" t="s">
        <v>68</v>
      </c>
      <c r="D160" t="s">
        <v>69</v>
      </c>
      <c r="E160" t="s">
        <v>18</v>
      </c>
      <c r="F160">
        <v>168569</v>
      </c>
      <c r="G160">
        <v>301292.67840108176</v>
      </c>
      <c r="H160">
        <f t="shared" si="2"/>
        <v>469861.67840108176</v>
      </c>
      <c r="I160">
        <f>IFERROR(VLOOKUP(E160,'LEAID Match'!$A$2:$B$44,2,FALSE),"")</f>
        <v>1000052</v>
      </c>
    </row>
    <row r="161" spans="1:9" x14ac:dyDescent="0.2">
      <c r="A161">
        <v>2017</v>
      </c>
      <c r="B161" t="s">
        <v>67</v>
      </c>
      <c r="C161" t="s">
        <v>68</v>
      </c>
      <c r="D161" t="s">
        <v>69</v>
      </c>
      <c r="E161" t="s">
        <v>18</v>
      </c>
      <c r="F161">
        <v>176930</v>
      </c>
      <c r="G161">
        <v>274463.38367084158</v>
      </c>
      <c r="H161">
        <f t="shared" si="2"/>
        <v>451393.38367084158</v>
      </c>
      <c r="I161">
        <f>IFERROR(VLOOKUP(E161,'LEAID Match'!$A$2:$B$44,2,FALSE),"")</f>
        <v>1000052</v>
      </c>
    </row>
    <row r="162" spans="1:9" x14ac:dyDescent="0.2">
      <c r="A162">
        <v>2018</v>
      </c>
      <c r="B162" t="s">
        <v>67</v>
      </c>
      <c r="C162" t="s">
        <v>68</v>
      </c>
      <c r="D162" t="s">
        <v>69</v>
      </c>
      <c r="E162" t="s">
        <v>18</v>
      </c>
      <c r="F162">
        <v>187642</v>
      </c>
      <c r="G162">
        <v>89222.512608769699</v>
      </c>
      <c r="H162">
        <f t="shared" si="2"/>
        <v>276864.5126087697</v>
      </c>
      <c r="I162">
        <f>IFERROR(VLOOKUP(E162,'LEAID Match'!$A$2:$B$44,2,FALSE),"")</f>
        <v>1000052</v>
      </c>
    </row>
    <row r="163" spans="1:9" x14ac:dyDescent="0.2">
      <c r="A163">
        <v>2019</v>
      </c>
      <c r="B163" t="s">
        <v>67</v>
      </c>
      <c r="C163" t="s">
        <v>68</v>
      </c>
      <c r="D163" t="s">
        <v>69</v>
      </c>
      <c r="E163" t="s">
        <v>18</v>
      </c>
      <c r="F163">
        <v>216305</v>
      </c>
      <c r="G163">
        <v>174955.73529571385</v>
      </c>
      <c r="H163">
        <f t="shared" si="2"/>
        <v>391260.73529571388</v>
      </c>
      <c r="I163">
        <f>IFERROR(VLOOKUP(E163,'LEAID Match'!$A$2:$B$44,2,FALSE),"")</f>
        <v>1000052</v>
      </c>
    </row>
    <row r="164" spans="1:9" x14ac:dyDescent="0.2">
      <c r="A164">
        <v>2020</v>
      </c>
      <c r="B164" t="s">
        <v>67</v>
      </c>
      <c r="C164" t="s">
        <v>68</v>
      </c>
      <c r="D164" t="s">
        <v>69</v>
      </c>
      <c r="E164" t="s">
        <v>18</v>
      </c>
      <c r="F164">
        <v>240588</v>
      </c>
      <c r="G164">
        <v>49477.471278754652</v>
      </c>
      <c r="H164">
        <f t="shared" si="2"/>
        <v>290065.47127875465</v>
      </c>
      <c r="I164">
        <f>IFERROR(VLOOKUP(E164,'LEAID Match'!$A$2:$B$44,2,FALSE),"")</f>
        <v>1000052</v>
      </c>
    </row>
    <row r="165" spans="1:9" x14ac:dyDescent="0.2">
      <c r="A165">
        <v>2021</v>
      </c>
      <c r="B165" t="s">
        <v>67</v>
      </c>
      <c r="C165" t="s">
        <v>68</v>
      </c>
      <c r="D165" t="s">
        <v>69</v>
      </c>
      <c r="E165" t="s">
        <v>18</v>
      </c>
      <c r="F165">
        <v>213950</v>
      </c>
      <c r="G165">
        <v>0</v>
      </c>
      <c r="H165">
        <f t="shared" si="2"/>
        <v>213950</v>
      </c>
      <c r="I165">
        <f>IFERROR(VLOOKUP(E165,'LEAID Match'!$A$2:$B$44,2,FALSE),"")</f>
        <v>1000052</v>
      </c>
    </row>
    <row r="166" spans="1:9" x14ac:dyDescent="0.2">
      <c r="A166">
        <v>2022</v>
      </c>
      <c r="B166" t="s">
        <v>67</v>
      </c>
      <c r="C166" t="s">
        <v>68</v>
      </c>
      <c r="D166" t="s">
        <v>69</v>
      </c>
      <c r="E166" t="s">
        <v>18</v>
      </c>
      <c r="F166">
        <v>246126</v>
      </c>
      <c r="G166">
        <v>246126</v>
      </c>
      <c r="H166">
        <f t="shared" si="2"/>
        <v>492252</v>
      </c>
      <c r="I166">
        <f>IFERROR(VLOOKUP(E166,'LEAID Match'!$A$2:$B$44,2,FALSE),"")</f>
        <v>1000052</v>
      </c>
    </row>
    <row r="167" spans="1:9" x14ac:dyDescent="0.2">
      <c r="A167">
        <v>2023</v>
      </c>
      <c r="B167" t="s">
        <v>67</v>
      </c>
      <c r="C167" t="s">
        <v>68</v>
      </c>
      <c r="D167" t="s">
        <v>69</v>
      </c>
      <c r="E167" t="s">
        <v>18</v>
      </c>
      <c r="F167">
        <v>221770</v>
      </c>
      <c r="G167">
        <v>1159812.0227491884</v>
      </c>
      <c r="H167">
        <f t="shared" si="2"/>
        <v>1381582.0227491884</v>
      </c>
      <c r="I167">
        <f>IFERROR(VLOOKUP(E167,'LEAID Match'!$A$2:$B$44,2,FALSE),"")</f>
        <v>1000052</v>
      </c>
    </row>
    <row r="168" spans="1:9" x14ac:dyDescent="0.2">
      <c r="A168">
        <v>2016</v>
      </c>
      <c r="B168" t="s">
        <v>67</v>
      </c>
      <c r="C168" t="s">
        <v>68</v>
      </c>
      <c r="D168" t="s">
        <v>69</v>
      </c>
      <c r="E168" t="s">
        <v>45</v>
      </c>
      <c r="F168">
        <v>74068</v>
      </c>
      <c r="G168">
        <v>151372.3764510153</v>
      </c>
      <c r="H168">
        <f t="shared" si="2"/>
        <v>225440.3764510153</v>
      </c>
      <c r="I168">
        <f>IFERROR(VLOOKUP(E168,'LEAID Match'!$A$2:$B$44,2,FALSE),"")</f>
        <v>1000062</v>
      </c>
    </row>
    <row r="169" spans="1:9" x14ac:dyDescent="0.2">
      <c r="A169">
        <v>2017</v>
      </c>
      <c r="B169" t="s">
        <v>67</v>
      </c>
      <c r="C169" t="s">
        <v>68</v>
      </c>
      <c r="D169" t="s">
        <v>69</v>
      </c>
      <c r="E169" t="s">
        <v>45</v>
      </c>
      <c r="F169">
        <v>114031</v>
      </c>
      <c r="G169">
        <v>176891.05354303814</v>
      </c>
      <c r="H169">
        <f t="shared" si="2"/>
        <v>290922.05354303814</v>
      </c>
      <c r="I169">
        <f>IFERROR(VLOOKUP(E169,'LEAID Match'!$A$2:$B$44,2,FALSE),"")</f>
        <v>1000062</v>
      </c>
    </row>
    <row r="170" spans="1:9" x14ac:dyDescent="0.2">
      <c r="A170">
        <v>2018</v>
      </c>
      <c r="B170" t="s">
        <v>67</v>
      </c>
      <c r="C170" t="s">
        <v>68</v>
      </c>
      <c r="D170" t="s">
        <v>69</v>
      </c>
      <c r="E170" t="s">
        <v>45</v>
      </c>
      <c r="F170">
        <v>178761</v>
      </c>
      <c r="G170">
        <v>84999.656667783769</v>
      </c>
      <c r="H170">
        <f t="shared" si="2"/>
        <v>263760.65666778374</v>
      </c>
      <c r="I170">
        <f>IFERROR(VLOOKUP(E170,'LEAID Match'!$A$2:$B$44,2,FALSE),"")</f>
        <v>1000062</v>
      </c>
    </row>
    <row r="171" spans="1:9" x14ac:dyDescent="0.2">
      <c r="A171">
        <v>2019</v>
      </c>
      <c r="B171" t="s">
        <v>67</v>
      </c>
      <c r="C171" t="s">
        <v>68</v>
      </c>
      <c r="D171" t="s">
        <v>69</v>
      </c>
      <c r="E171" t="s">
        <v>45</v>
      </c>
      <c r="F171">
        <v>278474</v>
      </c>
      <c r="G171">
        <v>225240.39403036737</v>
      </c>
      <c r="H171">
        <f t="shared" si="2"/>
        <v>503714.39403036737</v>
      </c>
      <c r="I171">
        <f>IFERROR(VLOOKUP(E171,'LEAID Match'!$A$2:$B$44,2,FALSE),"")</f>
        <v>1000062</v>
      </c>
    </row>
    <row r="172" spans="1:9" x14ac:dyDescent="0.2">
      <c r="A172">
        <v>2020</v>
      </c>
      <c r="B172" t="s">
        <v>67</v>
      </c>
      <c r="C172" t="s">
        <v>68</v>
      </c>
      <c r="D172" t="s">
        <v>69</v>
      </c>
      <c r="E172" t="s">
        <v>45</v>
      </c>
      <c r="F172">
        <v>319695</v>
      </c>
      <c r="G172">
        <v>65746.006369650466</v>
      </c>
      <c r="H172">
        <f t="shared" si="2"/>
        <v>385441.00636965048</v>
      </c>
      <c r="I172">
        <f>IFERROR(VLOOKUP(E172,'LEAID Match'!$A$2:$B$44,2,FALSE),"")</f>
        <v>1000062</v>
      </c>
    </row>
    <row r="173" spans="1:9" x14ac:dyDescent="0.2">
      <c r="A173">
        <v>2021</v>
      </c>
      <c r="B173" t="s">
        <v>67</v>
      </c>
      <c r="C173" t="s">
        <v>68</v>
      </c>
      <c r="D173" t="s">
        <v>69</v>
      </c>
      <c r="E173" t="s">
        <v>45</v>
      </c>
      <c r="F173">
        <v>333830</v>
      </c>
      <c r="G173">
        <v>0</v>
      </c>
      <c r="H173">
        <f t="shared" si="2"/>
        <v>333830</v>
      </c>
      <c r="I173">
        <f>IFERROR(VLOOKUP(E173,'LEAID Match'!$A$2:$B$44,2,FALSE),"")</f>
        <v>1000062</v>
      </c>
    </row>
    <row r="174" spans="1:9" x14ac:dyDescent="0.2">
      <c r="A174">
        <v>2022</v>
      </c>
      <c r="B174" t="s">
        <v>67</v>
      </c>
      <c r="C174" t="s">
        <v>68</v>
      </c>
      <c r="D174" t="s">
        <v>69</v>
      </c>
      <c r="E174" t="s">
        <v>45</v>
      </c>
      <c r="F174">
        <v>338355</v>
      </c>
      <c r="G174">
        <v>338355</v>
      </c>
      <c r="H174">
        <f t="shared" si="2"/>
        <v>676710</v>
      </c>
      <c r="I174">
        <f>IFERROR(VLOOKUP(E174,'LEAID Match'!$A$2:$B$44,2,FALSE),"")</f>
        <v>1000062</v>
      </c>
    </row>
    <row r="175" spans="1:9" x14ac:dyDescent="0.2">
      <c r="A175">
        <v>2023</v>
      </c>
      <c r="B175" t="s">
        <v>67</v>
      </c>
      <c r="C175" t="s">
        <v>68</v>
      </c>
      <c r="D175" t="s">
        <v>69</v>
      </c>
      <c r="E175" t="s">
        <v>45</v>
      </c>
      <c r="F175">
        <v>244150</v>
      </c>
      <c r="G175">
        <v>1276854.8737620702</v>
      </c>
      <c r="H175">
        <f t="shared" si="2"/>
        <v>1521004.8737620702</v>
      </c>
      <c r="I175">
        <f>IFERROR(VLOOKUP(E175,'LEAID Match'!$A$2:$B$44,2,FALSE),"")</f>
        <v>1000062</v>
      </c>
    </row>
    <row r="176" spans="1:9" x14ac:dyDescent="0.2">
      <c r="A176">
        <v>2015</v>
      </c>
      <c r="B176" t="s">
        <v>67</v>
      </c>
      <c r="C176" t="s">
        <v>68</v>
      </c>
      <c r="D176" t="s">
        <v>69</v>
      </c>
      <c r="E176" t="s">
        <v>19</v>
      </c>
      <c r="F176">
        <v>191823</v>
      </c>
      <c r="G176">
        <v>342855.83617943223</v>
      </c>
      <c r="H176">
        <f t="shared" si="2"/>
        <v>534678.83617943223</v>
      </c>
      <c r="I176">
        <f>IFERROR(VLOOKUP(E176,'LEAID Match'!$A$2:$B$44,2,FALSE),"")</f>
        <v>1000014</v>
      </c>
    </row>
    <row r="177" spans="1:9" x14ac:dyDescent="0.2">
      <c r="A177">
        <v>2016</v>
      </c>
      <c r="B177" t="s">
        <v>67</v>
      </c>
      <c r="C177" t="s">
        <v>68</v>
      </c>
      <c r="D177" t="s">
        <v>69</v>
      </c>
      <c r="E177" t="s">
        <v>19</v>
      </c>
      <c r="F177">
        <v>284851</v>
      </c>
      <c r="G177">
        <v>582148.4690345109</v>
      </c>
      <c r="H177">
        <f t="shared" si="2"/>
        <v>866999.4690345109</v>
      </c>
      <c r="I177">
        <f>IFERROR(VLOOKUP(E177,'LEAID Match'!$A$2:$B$44,2,FALSE),"")</f>
        <v>1000014</v>
      </c>
    </row>
    <row r="178" spans="1:9" x14ac:dyDescent="0.2">
      <c r="A178">
        <v>2017</v>
      </c>
      <c r="B178" t="s">
        <v>67</v>
      </c>
      <c r="C178" t="s">
        <v>68</v>
      </c>
      <c r="D178" t="s">
        <v>69</v>
      </c>
      <c r="E178" t="s">
        <v>19</v>
      </c>
      <c r="F178">
        <v>328389</v>
      </c>
      <c r="G178">
        <v>509414.7747712881</v>
      </c>
      <c r="H178">
        <f t="shared" si="2"/>
        <v>837803.77477128804</v>
      </c>
      <c r="I178">
        <f>IFERROR(VLOOKUP(E178,'LEAID Match'!$A$2:$B$44,2,FALSE),"")</f>
        <v>1000014</v>
      </c>
    </row>
    <row r="179" spans="1:9" x14ac:dyDescent="0.2">
      <c r="A179">
        <v>2018</v>
      </c>
      <c r="B179" t="s">
        <v>67</v>
      </c>
      <c r="C179" t="s">
        <v>68</v>
      </c>
      <c r="D179" t="s">
        <v>69</v>
      </c>
      <c r="E179" t="s">
        <v>19</v>
      </c>
      <c r="F179">
        <v>394678</v>
      </c>
      <c r="G179">
        <v>187666.74215476282</v>
      </c>
      <c r="H179">
        <f t="shared" si="2"/>
        <v>582344.74215476285</v>
      </c>
      <c r="I179">
        <f>IFERROR(VLOOKUP(E179,'LEAID Match'!$A$2:$B$44,2,FALSE),"")</f>
        <v>1000014</v>
      </c>
    </row>
    <row r="180" spans="1:9" x14ac:dyDescent="0.2">
      <c r="A180">
        <v>2019</v>
      </c>
      <c r="B180" t="s">
        <v>67</v>
      </c>
      <c r="C180" t="s">
        <v>68</v>
      </c>
      <c r="D180" t="s">
        <v>69</v>
      </c>
      <c r="E180" t="s">
        <v>19</v>
      </c>
      <c r="F180">
        <v>509520</v>
      </c>
      <c r="G180">
        <v>412119.21244479838</v>
      </c>
      <c r="H180">
        <f t="shared" si="2"/>
        <v>921639.21244479832</v>
      </c>
      <c r="I180">
        <f>IFERROR(VLOOKUP(E180,'LEAID Match'!$A$2:$B$44,2,FALSE),"")</f>
        <v>1000014</v>
      </c>
    </row>
    <row r="181" spans="1:9" x14ac:dyDescent="0.2">
      <c r="A181">
        <v>2020</v>
      </c>
      <c r="B181" t="s">
        <v>67</v>
      </c>
      <c r="C181" t="s">
        <v>68</v>
      </c>
      <c r="D181" t="s">
        <v>69</v>
      </c>
      <c r="E181" t="s">
        <v>19</v>
      </c>
      <c r="F181">
        <v>548606</v>
      </c>
      <c r="G181">
        <v>112822.07594872759</v>
      </c>
      <c r="H181">
        <f t="shared" si="2"/>
        <v>661428.07594872755</v>
      </c>
      <c r="I181">
        <f>IFERROR(VLOOKUP(E181,'LEAID Match'!$A$2:$B$44,2,FALSE),"")</f>
        <v>1000014</v>
      </c>
    </row>
    <row r="182" spans="1:9" x14ac:dyDescent="0.2">
      <c r="A182">
        <v>2021</v>
      </c>
      <c r="B182" t="s">
        <v>67</v>
      </c>
      <c r="C182" t="s">
        <v>68</v>
      </c>
      <c r="D182" t="s">
        <v>69</v>
      </c>
      <c r="E182" t="s">
        <v>19</v>
      </c>
      <c r="F182">
        <v>582981</v>
      </c>
      <c r="G182">
        <v>0</v>
      </c>
      <c r="H182">
        <f t="shared" si="2"/>
        <v>582981</v>
      </c>
      <c r="I182">
        <f>IFERROR(VLOOKUP(E182,'LEAID Match'!$A$2:$B$44,2,FALSE),"")</f>
        <v>1000014</v>
      </c>
    </row>
    <row r="183" spans="1:9" x14ac:dyDescent="0.2">
      <c r="A183">
        <v>2022</v>
      </c>
      <c r="B183" t="s">
        <v>67</v>
      </c>
      <c r="C183" t="s">
        <v>68</v>
      </c>
      <c r="D183" t="s">
        <v>69</v>
      </c>
      <c r="E183" t="s">
        <v>19</v>
      </c>
      <c r="F183">
        <v>691579</v>
      </c>
      <c r="G183">
        <v>691579</v>
      </c>
      <c r="H183">
        <f t="shared" si="2"/>
        <v>1383158</v>
      </c>
      <c r="I183">
        <f>IFERROR(VLOOKUP(E183,'LEAID Match'!$A$2:$B$44,2,FALSE),"")</f>
        <v>1000014</v>
      </c>
    </row>
    <row r="184" spans="1:9" x14ac:dyDescent="0.2">
      <c r="A184">
        <v>2023</v>
      </c>
      <c r="B184" t="s">
        <v>67</v>
      </c>
      <c r="C184" t="s">
        <v>68</v>
      </c>
      <c r="D184" t="s">
        <v>69</v>
      </c>
      <c r="E184" t="s">
        <v>19</v>
      </c>
      <c r="F184">
        <v>682889</v>
      </c>
      <c r="G184">
        <v>3571370.6651177816</v>
      </c>
      <c r="H184">
        <f t="shared" si="2"/>
        <v>4254259.6651177816</v>
      </c>
      <c r="I184">
        <f>IFERROR(VLOOKUP(E184,'LEAID Match'!$A$2:$B$44,2,FALSE),"")</f>
        <v>1000014</v>
      </c>
    </row>
    <row r="185" spans="1:9" x14ac:dyDescent="0.2">
      <c r="A185">
        <v>2015</v>
      </c>
      <c r="B185" t="s">
        <v>67</v>
      </c>
      <c r="C185" t="s">
        <v>68</v>
      </c>
      <c r="D185" t="s">
        <v>69</v>
      </c>
      <c r="E185" t="s">
        <v>20</v>
      </c>
      <c r="F185">
        <v>251229</v>
      </c>
      <c r="G185">
        <v>449035.45908218808</v>
      </c>
      <c r="H185">
        <f t="shared" si="2"/>
        <v>700264.45908218808</v>
      </c>
      <c r="I185">
        <f>IFERROR(VLOOKUP(E185,'LEAID Match'!$A$2:$B$44,2,FALSE),"")</f>
        <v>1000050</v>
      </c>
    </row>
    <row r="186" spans="1:9" x14ac:dyDescent="0.2">
      <c r="A186">
        <v>2016</v>
      </c>
      <c r="B186" t="s">
        <v>67</v>
      </c>
      <c r="C186" t="s">
        <v>68</v>
      </c>
      <c r="D186" t="s">
        <v>69</v>
      </c>
      <c r="E186" t="s">
        <v>20</v>
      </c>
      <c r="F186">
        <v>320840</v>
      </c>
      <c r="G186">
        <v>655698.99633503996</v>
      </c>
      <c r="H186">
        <f t="shared" si="2"/>
        <v>976538.99633503996</v>
      </c>
      <c r="I186">
        <f>IFERROR(VLOOKUP(E186,'LEAID Match'!$A$2:$B$44,2,FALSE),"")</f>
        <v>1000050</v>
      </c>
    </row>
    <row r="187" spans="1:9" x14ac:dyDescent="0.2">
      <c r="A187">
        <v>2017</v>
      </c>
      <c r="B187" t="s">
        <v>67</v>
      </c>
      <c r="C187" t="s">
        <v>68</v>
      </c>
      <c r="D187" t="s">
        <v>69</v>
      </c>
      <c r="E187" t="s">
        <v>20</v>
      </c>
      <c r="F187">
        <v>356501</v>
      </c>
      <c r="G187">
        <v>553023.62935646134</v>
      </c>
      <c r="H187">
        <f t="shared" si="2"/>
        <v>909524.62935646134</v>
      </c>
      <c r="I187">
        <f>IFERROR(VLOOKUP(E187,'LEAID Match'!$A$2:$B$44,2,FALSE),"")</f>
        <v>1000050</v>
      </c>
    </row>
    <row r="188" spans="1:9" x14ac:dyDescent="0.2">
      <c r="A188">
        <v>2018</v>
      </c>
      <c r="B188" t="s">
        <v>67</v>
      </c>
      <c r="C188" t="s">
        <v>68</v>
      </c>
      <c r="D188" t="s">
        <v>69</v>
      </c>
      <c r="E188" t="s">
        <v>20</v>
      </c>
      <c r="F188">
        <v>495387</v>
      </c>
      <c r="G188">
        <v>235553.19626587117</v>
      </c>
      <c r="H188">
        <f t="shared" si="2"/>
        <v>730940.19626587117</v>
      </c>
      <c r="I188">
        <f>IFERROR(VLOOKUP(E188,'LEAID Match'!$A$2:$B$44,2,FALSE),"")</f>
        <v>1000050</v>
      </c>
    </row>
    <row r="189" spans="1:9" x14ac:dyDescent="0.2">
      <c r="A189">
        <v>2019</v>
      </c>
      <c r="B189" t="s">
        <v>67</v>
      </c>
      <c r="C189" t="s">
        <v>68</v>
      </c>
      <c r="D189" t="s">
        <v>69</v>
      </c>
      <c r="E189" t="s">
        <v>20</v>
      </c>
      <c r="F189">
        <v>685466</v>
      </c>
      <c r="G189">
        <v>554431.04898274096</v>
      </c>
      <c r="H189">
        <f t="shared" si="2"/>
        <v>1239897.0489827408</v>
      </c>
      <c r="I189">
        <f>IFERROR(VLOOKUP(E189,'LEAID Match'!$A$2:$B$44,2,FALSE),"")</f>
        <v>1000050</v>
      </c>
    </row>
    <row r="190" spans="1:9" x14ac:dyDescent="0.2">
      <c r="A190">
        <v>2020</v>
      </c>
      <c r="B190" t="s">
        <v>67</v>
      </c>
      <c r="C190" t="s">
        <v>68</v>
      </c>
      <c r="D190" t="s">
        <v>69</v>
      </c>
      <c r="E190" t="s">
        <v>20</v>
      </c>
      <c r="F190">
        <v>766804</v>
      </c>
      <c r="G190">
        <v>157694.99262820333</v>
      </c>
      <c r="H190">
        <f t="shared" si="2"/>
        <v>924498.99262820336</v>
      </c>
      <c r="I190">
        <f>IFERROR(VLOOKUP(E190,'LEAID Match'!$A$2:$B$44,2,FALSE),"")</f>
        <v>1000050</v>
      </c>
    </row>
    <row r="191" spans="1:9" x14ac:dyDescent="0.2">
      <c r="A191">
        <v>2021</v>
      </c>
      <c r="B191" t="s">
        <v>67</v>
      </c>
      <c r="C191" t="s">
        <v>68</v>
      </c>
      <c r="D191" t="s">
        <v>69</v>
      </c>
      <c r="E191" t="s">
        <v>20</v>
      </c>
      <c r="F191">
        <v>854373</v>
      </c>
      <c r="G191">
        <v>0</v>
      </c>
      <c r="H191">
        <f t="shared" si="2"/>
        <v>854373</v>
      </c>
      <c r="I191">
        <f>IFERROR(VLOOKUP(E191,'LEAID Match'!$A$2:$B$44,2,FALSE),"")</f>
        <v>1000050</v>
      </c>
    </row>
    <row r="192" spans="1:9" x14ac:dyDescent="0.2">
      <c r="A192">
        <v>2022</v>
      </c>
      <c r="B192" t="s">
        <v>67</v>
      </c>
      <c r="C192" t="s">
        <v>68</v>
      </c>
      <c r="D192" t="s">
        <v>69</v>
      </c>
      <c r="E192" t="s">
        <v>20</v>
      </c>
      <c r="F192">
        <v>1088098</v>
      </c>
      <c r="G192">
        <v>1088098</v>
      </c>
      <c r="H192">
        <f t="shared" si="2"/>
        <v>2176196</v>
      </c>
      <c r="I192">
        <f>IFERROR(VLOOKUP(E192,'LEAID Match'!$A$2:$B$44,2,FALSE),"")</f>
        <v>1000050</v>
      </c>
    </row>
    <row r="193" spans="1:9" x14ac:dyDescent="0.2">
      <c r="A193">
        <v>2023</v>
      </c>
      <c r="B193" t="s">
        <v>67</v>
      </c>
      <c r="C193" t="s">
        <v>68</v>
      </c>
      <c r="D193" t="s">
        <v>69</v>
      </c>
      <c r="E193" t="s">
        <v>20</v>
      </c>
      <c r="F193">
        <v>1169807</v>
      </c>
      <c r="G193">
        <v>6117852.833548991</v>
      </c>
      <c r="H193">
        <f t="shared" si="2"/>
        <v>7287659.833548991</v>
      </c>
      <c r="I193">
        <f>IFERROR(VLOOKUP(E193,'LEAID Match'!$A$2:$B$44,2,FALSE),"")</f>
        <v>1000050</v>
      </c>
    </row>
    <row r="194" spans="1:9" x14ac:dyDescent="0.2">
      <c r="A194">
        <v>2016</v>
      </c>
      <c r="B194" t="s">
        <v>67</v>
      </c>
      <c r="C194" t="s">
        <v>68</v>
      </c>
      <c r="D194" t="s">
        <v>69</v>
      </c>
      <c r="E194" t="s">
        <v>38</v>
      </c>
      <c r="F194">
        <v>242448</v>
      </c>
      <c r="G194">
        <v>495489.68415234314</v>
      </c>
      <c r="H194">
        <f t="shared" si="2"/>
        <v>737937.68415234308</v>
      </c>
      <c r="I194">
        <f>IFERROR(VLOOKUP(E194,'LEAID Match'!$A$2:$B$44,2,FALSE),"")</f>
        <v>0</v>
      </c>
    </row>
    <row r="195" spans="1:9" x14ac:dyDescent="0.2">
      <c r="A195">
        <v>2017</v>
      </c>
      <c r="B195" t="s">
        <v>67</v>
      </c>
      <c r="C195" t="s">
        <v>68</v>
      </c>
      <c r="D195" t="s">
        <v>69</v>
      </c>
      <c r="E195" t="s">
        <v>38</v>
      </c>
      <c r="F195">
        <v>236800</v>
      </c>
      <c r="G195">
        <v>367336.96520236979</v>
      </c>
      <c r="H195">
        <f t="shared" ref="H195:H258" si="3">SUM(F195:G195)</f>
        <v>604136.96520236973</v>
      </c>
      <c r="I195">
        <f>IFERROR(VLOOKUP(E195,'LEAID Match'!$A$2:$B$44,2,FALSE),"")</f>
        <v>0</v>
      </c>
    </row>
    <row r="196" spans="1:9" x14ac:dyDescent="0.2">
      <c r="A196">
        <v>2018</v>
      </c>
      <c r="B196" t="s">
        <v>67</v>
      </c>
      <c r="C196" t="s">
        <v>68</v>
      </c>
      <c r="D196" t="s">
        <v>69</v>
      </c>
      <c r="E196" t="s">
        <v>38</v>
      </c>
      <c r="F196">
        <v>253999</v>
      </c>
      <c r="G196">
        <v>120774.82109610266</v>
      </c>
      <c r="H196">
        <f t="shared" si="3"/>
        <v>374773.82109610265</v>
      </c>
      <c r="I196">
        <f>IFERROR(VLOOKUP(E196,'LEAID Match'!$A$2:$B$44,2,FALSE),"")</f>
        <v>0</v>
      </c>
    </row>
    <row r="197" spans="1:9" x14ac:dyDescent="0.2">
      <c r="A197">
        <v>2019</v>
      </c>
      <c r="B197" t="s">
        <v>67</v>
      </c>
      <c r="C197" t="s">
        <v>68</v>
      </c>
      <c r="D197" t="s">
        <v>69</v>
      </c>
      <c r="E197" t="s">
        <v>38</v>
      </c>
      <c r="F197">
        <v>304759</v>
      </c>
      <c r="G197">
        <v>246500.70471318948</v>
      </c>
      <c r="H197">
        <f t="shared" si="3"/>
        <v>551259.70471318951</v>
      </c>
      <c r="I197">
        <f>IFERROR(VLOOKUP(E197,'LEAID Match'!$A$2:$B$44,2,FALSE),"")</f>
        <v>0</v>
      </c>
    </row>
    <row r="198" spans="1:9" x14ac:dyDescent="0.2">
      <c r="A198">
        <v>2020</v>
      </c>
      <c r="B198" t="s">
        <v>67</v>
      </c>
      <c r="C198" t="s">
        <v>68</v>
      </c>
      <c r="D198" t="s">
        <v>69</v>
      </c>
      <c r="E198" t="s">
        <v>38</v>
      </c>
      <c r="F198">
        <v>306769</v>
      </c>
      <c r="G198">
        <v>63087.744969459345</v>
      </c>
      <c r="H198">
        <f t="shared" si="3"/>
        <v>369856.74496945937</v>
      </c>
      <c r="I198">
        <f>IFERROR(VLOOKUP(E198,'LEAID Match'!$A$2:$B$44,2,FALSE),"")</f>
        <v>0</v>
      </c>
    </row>
    <row r="199" spans="1:9" x14ac:dyDescent="0.2">
      <c r="A199">
        <v>2021</v>
      </c>
      <c r="B199" t="s">
        <v>67</v>
      </c>
      <c r="C199" t="s">
        <v>68</v>
      </c>
      <c r="D199" t="s">
        <v>69</v>
      </c>
      <c r="E199" t="s">
        <v>38</v>
      </c>
      <c r="F199">
        <v>311810</v>
      </c>
      <c r="G199">
        <v>0</v>
      </c>
      <c r="H199">
        <f t="shared" si="3"/>
        <v>311810</v>
      </c>
      <c r="I199">
        <f>IFERROR(VLOOKUP(E199,'LEAID Match'!$A$2:$B$44,2,FALSE),"")</f>
        <v>0</v>
      </c>
    </row>
    <row r="200" spans="1:9" x14ac:dyDescent="0.2">
      <c r="A200">
        <v>2022</v>
      </c>
      <c r="B200" t="s">
        <v>67</v>
      </c>
      <c r="C200" t="s">
        <v>68</v>
      </c>
      <c r="D200" t="s">
        <v>69</v>
      </c>
      <c r="E200" t="s">
        <v>38</v>
      </c>
      <c r="F200">
        <v>311926</v>
      </c>
      <c r="G200">
        <v>311926</v>
      </c>
      <c r="H200">
        <f t="shared" si="3"/>
        <v>623852</v>
      </c>
      <c r="I200">
        <f>IFERROR(VLOOKUP(E200,'LEAID Match'!$A$2:$B$44,2,FALSE),"")</f>
        <v>0</v>
      </c>
    </row>
    <row r="201" spans="1:9" x14ac:dyDescent="0.2">
      <c r="A201">
        <v>2023</v>
      </c>
      <c r="B201" t="s">
        <v>67</v>
      </c>
      <c r="C201" t="s">
        <v>68</v>
      </c>
      <c r="D201" t="s">
        <v>69</v>
      </c>
      <c r="E201" t="s">
        <v>38</v>
      </c>
      <c r="F201">
        <v>284298</v>
      </c>
      <c r="G201">
        <v>1486820.7532287899</v>
      </c>
      <c r="H201">
        <f t="shared" si="3"/>
        <v>1771118.7532287899</v>
      </c>
      <c r="I201">
        <f>IFERROR(VLOOKUP(E201,'LEAID Match'!$A$2:$B$44,2,FALSE),"")</f>
        <v>0</v>
      </c>
    </row>
    <row r="202" spans="1:9" x14ac:dyDescent="0.2">
      <c r="A202">
        <v>2015</v>
      </c>
      <c r="B202" t="s">
        <v>67</v>
      </c>
      <c r="C202" t="s">
        <v>68</v>
      </c>
      <c r="D202" t="s">
        <v>69</v>
      </c>
      <c r="E202" t="s">
        <v>38</v>
      </c>
      <c r="F202">
        <v>244307</v>
      </c>
      <c r="G202">
        <v>436663.38640042406</v>
      </c>
      <c r="H202">
        <f t="shared" si="3"/>
        <v>680970.38640042406</v>
      </c>
      <c r="I202">
        <f>IFERROR(VLOOKUP(E202,'LEAID Match'!$A$2:$B$44,2,FALSE),"")</f>
        <v>0</v>
      </c>
    </row>
    <row r="203" spans="1:9" x14ac:dyDescent="0.2">
      <c r="A203">
        <v>2015</v>
      </c>
      <c r="B203" t="s">
        <v>67</v>
      </c>
      <c r="C203" t="s">
        <v>68</v>
      </c>
      <c r="D203" t="s">
        <v>69</v>
      </c>
      <c r="E203" t="s">
        <v>22</v>
      </c>
      <c r="F203">
        <v>353433</v>
      </c>
      <c r="G203">
        <v>631710.30975641741</v>
      </c>
      <c r="H203">
        <f t="shared" si="3"/>
        <v>985143.30975641741</v>
      </c>
      <c r="I203">
        <f>IFERROR(VLOOKUP(E203,'LEAID Match'!$A$2:$B$44,2,FALSE),"")</f>
        <v>1000019</v>
      </c>
    </row>
    <row r="204" spans="1:9" x14ac:dyDescent="0.2">
      <c r="A204">
        <v>2016</v>
      </c>
      <c r="B204" t="s">
        <v>67</v>
      </c>
      <c r="C204" t="s">
        <v>68</v>
      </c>
      <c r="D204" t="s">
        <v>69</v>
      </c>
      <c r="E204" t="s">
        <v>22</v>
      </c>
      <c r="F204">
        <v>434928</v>
      </c>
      <c r="G204">
        <v>888860.03328140581</v>
      </c>
      <c r="H204">
        <f t="shared" si="3"/>
        <v>1323788.0332814059</v>
      </c>
      <c r="I204">
        <f>IFERROR(VLOOKUP(E204,'LEAID Match'!$A$2:$B$44,2,FALSE),"")</f>
        <v>1000019</v>
      </c>
    </row>
    <row r="205" spans="1:9" x14ac:dyDescent="0.2">
      <c r="A205">
        <v>2017</v>
      </c>
      <c r="B205" t="s">
        <v>67</v>
      </c>
      <c r="C205" t="s">
        <v>68</v>
      </c>
      <c r="D205" t="s">
        <v>69</v>
      </c>
      <c r="E205" t="s">
        <v>22</v>
      </c>
      <c r="F205">
        <v>518808</v>
      </c>
      <c r="G205">
        <v>804803.02467361104</v>
      </c>
      <c r="H205">
        <f t="shared" si="3"/>
        <v>1323611.0246736109</v>
      </c>
      <c r="I205">
        <f>IFERROR(VLOOKUP(E205,'LEAID Match'!$A$2:$B$44,2,FALSE),"")</f>
        <v>1000019</v>
      </c>
    </row>
    <row r="206" spans="1:9" x14ac:dyDescent="0.2">
      <c r="A206">
        <v>2018</v>
      </c>
      <c r="B206" t="s">
        <v>67</v>
      </c>
      <c r="C206" t="s">
        <v>68</v>
      </c>
      <c r="D206" t="s">
        <v>69</v>
      </c>
      <c r="E206" t="s">
        <v>22</v>
      </c>
      <c r="F206">
        <v>639803</v>
      </c>
      <c r="G206">
        <v>304222.03576293518</v>
      </c>
      <c r="H206">
        <f t="shared" si="3"/>
        <v>944025.03576293518</v>
      </c>
      <c r="I206">
        <f>IFERROR(VLOOKUP(E206,'LEAID Match'!$A$2:$B$44,2,FALSE),"")</f>
        <v>1000019</v>
      </c>
    </row>
    <row r="207" spans="1:9" x14ac:dyDescent="0.2">
      <c r="A207">
        <v>2019</v>
      </c>
      <c r="B207" t="s">
        <v>67</v>
      </c>
      <c r="C207" t="s">
        <v>68</v>
      </c>
      <c r="D207" t="s">
        <v>69</v>
      </c>
      <c r="E207" t="s">
        <v>22</v>
      </c>
      <c r="F207">
        <v>794600</v>
      </c>
      <c r="G207">
        <v>642702.7912714649</v>
      </c>
      <c r="H207">
        <f t="shared" si="3"/>
        <v>1437302.7912714649</v>
      </c>
      <c r="I207">
        <f>IFERROR(VLOOKUP(E207,'LEAID Match'!$A$2:$B$44,2,FALSE),"")</f>
        <v>1000019</v>
      </c>
    </row>
    <row r="208" spans="1:9" x14ac:dyDescent="0.2">
      <c r="A208">
        <v>2020</v>
      </c>
      <c r="B208" t="s">
        <v>67</v>
      </c>
      <c r="C208" t="s">
        <v>68</v>
      </c>
      <c r="D208" t="s">
        <v>69</v>
      </c>
      <c r="E208" t="s">
        <v>22</v>
      </c>
      <c r="F208">
        <v>889193</v>
      </c>
      <c r="G208">
        <v>182864.56979886646</v>
      </c>
      <c r="H208">
        <f t="shared" si="3"/>
        <v>1072057.5697988665</v>
      </c>
      <c r="I208">
        <f>IFERROR(VLOOKUP(E208,'LEAID Match'!$A$2:$B$44,2,FALSE),"")</f>
        <v>1000019</v>
      </c>
    </row>
    <row r="209" spans="1:9" x14ac:dyDescent="0.2">
      <c r="A209">
        <v>2021</v>
      </c>
      <c r="B209" t="s">
        <v>67</v>
      </c>
      <c r="C209" t="s">
        <v>68</v>
      </c>
      <c r="D209" t="s">
        <v>69</v>
      </c>
      <c r="E209" t="s">
        <v>22</v>
      </c>
      <c r="F209">
        <v>999383</v>
      </c>
      <c r="G209">
        <v>0</v>
      </c>
      <c r="H209">
        <f t="shared" si="3"/>
        <v>999383</v>
      </c>
      <c r="I209">
        <f>IFERROR(VLOOKUP(E209,'LEAID Match'!$A$2:$B$44,2,FALSE),"")</f>
        <v>1000019</v>
      </c>
    </row>
    <row r="210" spans="1:9" x14ac:dyDescent="0.2">
      <c r="A210">
        <v>2022</v>
      </c>
      <c r="B210" t="s">
        <v>67</v>
      </c>
      <c r="C210" t="s">
        <v>68</v>
      </c>
      <c r="D210" t="s">
        <v>69</v>
      </c>
      <c r="E210" t="s">
        <v>22</v>
      </c>
      <c r="F210">
        <v>988238</v>
      </c>
      <c r="G210">
        <v>988238</v>
      </c>
      <c r="H210">
        <f t="shared" si="3"/>
        <v>1976476</v>
      </c>
      <c r="I210">
        <f>IFERROR(VLOOKUP(E210,'LEAID Match'!$A$2:$B$44,2,FALSE),"")</f>
        <v>1000019</v>
      </c>
    </row>
    <row r="211" spans="1:9" x14ac:dyDescent="0.2">
      <c r="A211">
        <v>2023</v>
      </c>
      <c r="B211" t="s">
        <v>67</v>
      </c>
      <c r="C211" t="s">
        <v>68</v>
      </c>
      <c r="D211" t="s">
        <v>69</v>
      </c>
      <c r="E211" t="s">
        <v>22</v>
      </c>
      <c r="F211">
        <v>908396</v>
      </c>
      <c r="G211">
        <v>4750726.4382796213</v>
      </c>
      <c r="H211">
        <f t="shared" si="3"/>
        <v>5659122.4382796213</v>
      </c>
      <c r="I211">
        <f>IFERROR(VLOOKUP(E211,'LEAID Match'!$A$2:$B$44,2,FALSE),"")</f>
        <v>1000019</v>
      </c>
    </row>
    <row r="212" spans="1:9" x14ac:dyDescent="0.2">
      <c r="A212">
        <v>2015</v>
      </c>
      <c r="B212" t="s">
        <v>67</v>
      </c>
      <c r="C212" t="s">
        <v>68</v>
      </c>
      <c r="D212" t="s">
        <v>69</v>
      </c>
      <c r="E212" t="s">
        <v>23</v>
      </c>
      <c r="F212">
        <v>175854</v>
      </c>
      <c r="G212">
        <v>314313.5610197832</v>
      </c>
      <c r="H212">
        <f t="shared" si="3"/>
        <v>490167.5610197832</v>
      </c>
      <c r="I212">
        <f>IFERROR(VLOOKUP(E212,'LEAID Match'!$A$2:$B$44,2,FALSE),"")</f>
        <v>1000023</v>
      </c>
    </row>
    <row r="213" spans="1:9" x14ac:dyDescent="0.2">
      <c r="A213">
        <v>2016</v>
      </c>
      <c r="B213" t="s">
        <v>67</v>
      </c>
      <c r="C213" t="s">
        <v>68</v>
      </c>
      <c r="D213" t="s">
        <v>69</v>
      </c>
      <c r="E213" t="s">
        <v>23</v>
      </c>
      <c r="G213">
        <v>0</v>
      </c>
      <c r="H213">
        <f t="shared" si="3"/>
        <v>0</v>
      </c>
      <c r="I213">
        <f>IFERROR(VLOOKUP(E213,'LEAID Match'!$A$2:$B$44,2,FALSE),"")</f>
        <v>1000023</v>
      </c>
    </row>
    <row r="214" spans="1:9" x14ac:dyDescent="0.2">
      <c r="A214">
        <v>2017</v>
      </c>
      <c r="B214" t="s">
        <v>67</v>
      </c>
      <c r="C214" t="s">
        <v>68</v>
      </c>
      <c r="D214" t="s">
        <v>69</v>
      </c>
      <c r="E214" t="s">
        <v>23</v>
      </c>
      <c r="G214">
        <v>0</v>
      </c>
      <c r="H214">
        <f t="shared" si="3"/>
        <v>0</v>
      </c>
      <c r="I214">
        <f>IFERROR(VLOOKUP(E214,'LEAID Match'!$A$2:$B$44,2,FALSE),"")</f>
        <v>1000023</v>
      </c>
    </row>
    <row r="215" spans="1:9" x14ac:dyDescent="0.2">
      <c r="A215">
        <v>2018</v>
      </c>
      <c r="B215" t="s">
        <v>67</v>
      </c>
      <c r="C215" t="s">
        <v>68</v>
      </c>
      <c r="D215" t="s">
        <v>69</v>
      </c>
      <c r="E215" t="s">
        <v>23</v>
      </c>
      <c r="G215">
        <v>0</v>
      </c>
      <c r="H215">
        <f t="shared" si="3"/>
        <v>0</v>
      </c>
      <c r="I215">
        <f>IFERROR(VLOOKUP(E215,'LEAID Match'!$A$2:$B$44,2,FALSE),"")</f>
        <v>1000023</v>
      </c>
    </row>
    <row r="216" spans="1:9" x14ac:dyDescent="0.2">
      <c r="A216">
        <v>2015</v>
      </c>
      <c r="B216" t="s">
        <v>67</v>
      </c>
      <c r="C216" t="s">
        <v>68</v>
      </c>
      <c r="D216" t="s">
        <v>69</v>
      </c>
      <c r="E216" t="s">
        <v>24</v>
      </c>
      <c r="F216">
        <v>1021918</v>
      </c>
      <c r="G216">
        <v>1826530.4494081158</v>
      </c>
      <c r="H216">
        <f t="shared" si="3"/>
        <v>2848448.4494081158</v>
      </c>
      <c r="I216">
        <f>IFERROR(VLOOKUP(E216,'LEAID Match'!$A$2:$B$44,2,FALSE),"")</f>
        <v>1000015</v>
      </c>
    </row>
    <row r="217" spans="1:9" x14ac:dyDescent="0.2">
      <c r="A217">
        <v>2016</v>
      </c>
      <c r="B217" t="s">
        <v>67</v>
      </c>
      <c r="C217" t="s">
        <v>68</v>
      </c>
      <c r="D217" t="s">
        <v>69</v>
      </c>
      <c r="E217" t="s">
        <v>24</v>
      </c>
      <c r="F217">
        <v>1175501</v>
      </c>
      <c r="G217">
        <v>2402365.1224623984</v>
      </c>
      <c r="H217">
        <f t="shared" si="3"/>
        <v>3577866.1224623984</v>
      </c>
      <c r="I217">
        <f>IFERROR(VLOOKUP(E217,'LEAID Match'!$A$2:$B$44,2,FALSE),"")</f>
        <v>1000015</v>
      </c>
    </row>
    <row r="218" spans="1:9" x14ac:dyDescent="0.2">
      <c r="A218">
        <v>2017</v>
      </c>
      <c r="B218" t="s">
        <v>67</v>
      </c>
      <c r="C218" t="s">
        <v>68</v>
      </c>
      <c r="D218" t="s">
        <v>69</v>
      </c>
      <c r="E218" t="s">
        <v>24</v>
      </c>
      <c r="F218">
        <v>1279678</v>
      </c>
      <c r="G218">
        <v>1985105.7134976275</v>
      </c>
      <c r="H218">
        <f t="shared" si="3"/>
        <v>3264783.7134976275</v>
      </c>
      <c r="I218">
        <f>IFERROR(VLOOKUP(E218,'LEAID Match'!$A$2:$B$44,2,FALSE),"")</f>
        <v>1000015</v>
      </c>
    </row>
    <row r="219" spans="1:9" x14ac:dyDescent="0.2">
      <c r="A219">
        <v>2018</v>
      </c>
      <c r="B219" t="s">
        <v>67</v>
      </c>
      <c r="C219" t="s">
        <v>68</v>
      </c>
      <c r="D219" t="s">
        <v>69</v>
      </c>
      <c r="E219" t="s">
        <v>24</v>
      </c>
      <c r="F219">
        <v>1499664</v>
      </c>
      <c r="G219">
        <v>713080.17474189156</v>
      </c>
      <c r="H219">
        <f t="shared" si="3"/>
        <v>2212744.1747418917</v>
      </c>
      <c r="I219">
        <f>IFERROR(VLOOKUP(E219,'LEAID Match'!$A$2:$B$44,2,FALSE),"")</f>
        <v>1000015</v>
      </c>
    </row>
    <row r="220" spans="1:9" x14ac:dyDescent="0.2">
      <c r="A220">
        <v>2019</v>
      </c>
      <c r="B220" t="s">
        <v>67</v>
      </c>
      <c r="C220" t="s">
        <v>68</v>
      </c>
      <c r="D220" t="s">
        <v>69</v>
      </c>
      <c r="E220" t="s">
        <v>24</v>
      </c>
      <c r="F220">
        <v>1844146</v>
      </c>
      <c r="G220">
        <v>1491615.6326605927</v>
      </c>
      <c r="H220">
        <f t="shared" si="3"/>
        <v>3335761.6326605929</v>
      </c>
      <c r="I220">
        <f>IFERROR(VLOOKUP(E220,'LEAID Match'!$A$2:$B$44,2,FALSE),"")</f>
        <v>1000015</v>
      </c>
    </row>
    <row r="221" spans="1:9" x14ac:dyDescent="0.2">
      <c r="A221">
        <v>2020</v>
      </c>
      <c r="B221" t="s">
        <v>67</v>
      </c>
      <c r="C221" t="s">
        <v>68</v>
      </c>
      <c r="D221" t="s">
        <v>69</v>
      </c>
      <c r="E221" t="s">
        <v>24</v>
      </c>
      <c r="F221">
        <v>2019304</v>
      </c>
      <c r="G221">
        <v>415274.47612962569</v>
      </c>
      <c r="H221">
        <f t="shared" si="3"/>
        <v>2434578.4761296259</v>
      </c>
      <c r="I221">
        <f>IFERROR(VLOOKUP(E221,'LEAID Match'!$A$2:$B$44,2,FALSE),"")</f>
        <v>1000015</v>
      </c>
    </row>
    <row r="222" spans="1:9" x14ac:dyDescent="0.2">
      <c r="A222">
        <v>2021</v>
      </c>
      <c r="B222" t="s">
        <v>67</v>
      </c>
      <c r="C222" t="s">
        <v>68</v>
      </c>
      <c r="D222" t="s">
        <v>69</v>
      </c>
      <c r="E222" t="s">
        <v>24</v>
      </c>
      <c r="F222">
        <v>2125114</v>
      </c>
      <c r="G222">
        <v>0</v>
      </c>
      <c r="H222">
        <f t="shared" si="3"/>
        <v>2125114</v>
      </c>
      <c r="I222">
        <f>IFERROR(VLOOKUP(E222,'LEAID Match'!$A$2:$B$44,2,FALSE),"")</f>
        <v>1000015</v>
      </c>
    </row>
    <row r="223" spans="1:9" x14ac:dyDescent="0.2">
      <c r="A223">
        <v>2022</v>
      </c>
      <c r="B223" t="s">
        <v>67</v>
      </c>
      <c r="C223" t="s">
        <v>68</v>
      </c>
      <c r="D223" t="s">
        <v>69</v>
      </c>
      <c r="E223" t="s">
        <v>24</v>
      </c>
      <c r="F223">
        <v>2250735</v>
      </c>
      <c r="G223">
        <v>2250735</v>
      </c>
      <c r="H223">
        <f t="shared" si="3"/>
        <v>4501470</v>
      </c>
      <c r="I223">
        <f>IFERROR(VLOOKUP(E223,'LEAID Match'!$A$2:$B$44,2,FALSE),"")</f>
        <v>1000015</v>
      </c>
    </row>
    <row r="224" spans="1:9" x14ac:dyDescent="0.2">
      <c r="A224">
        <v>2023</v>
      </c>
      <c r="B224" t="s">
        <v>67</v>
      </c>
      <c r="C224" t="s">
        <v>68</v>
      </c>
      <c r="D224" t="s">
        <v>69</v>
      </c>
      <c r="E224" t="s">
        <v>24</v>
      </c>
      <c r="F224">
        <v>2416537</v>
      </c>
      <c r="G224">
        <v>12637997.32163167</v>
      </c>
      <c r="H224">
        <f t="shared" si="3"/>
        <v>15054534.32163167</v>
      </c>
      <c r="I224">
        <f>IFERROR(VLOOKUP(E224,'LEAID Match'!$A$2:$B$44,2,FALSE),"")</f>
        <v>1000015</v>
      </c>
    </row>
    <row r="225" spans="1:9" x14ac:dyDescent="0.2">
      <c r="A225">
        <v>2015</v>
      </c>
      <c r="B225" t="s">
        <v>67</v>
      </c>
      <c r="C225" t="s">
        <v>68</v>
      </c>
      <c r="D225" t="s">
        <v>69</v>
      </c>
      <c r="E225" t="s">
        <v>25</v>
      </c>
      <c r="F225">
        <v>465410</v>
      </c>
      <c r="G225">
        <v>831852.98278240638</v>
      </c>
      <c r="H225">
        <f t="shared" si="3"/>
        <v>1297262.9827824063</v>
      </c>
      <c r="I225">
        <f>IFERROR(VLOOKUP(E225,'LEAID Match'!$A$2:$B$44,2,FALSE),"")</f>
        <v>1000026</v>
      </c>
    </row>
    <row r="226" spans="1:9" x14ac:dyDescent="0.2">
      <c r="A226">
        <v>2016</v>
      </c>
      <c r="B226" t="s">
        <v>67</v>
      </c>
      <c r="C226" t="s">
        <v>68</v>
      </c>
      <c r="D226" t="s">
        <v>69</v>
      </c>
      <c r="E226" t="s">
        <v>25</v>
      </c>
      <c r="F226">
        <v>504157</v>
      </c>
      <c r="G226">
        <v>1030342.9712482382</v>
      </c>
      <c r="H226">
        <f t="shared" si="3"/>
        <v>1534499.9712482383</v>
      </c>
      <c r="I226">
        <f>IFERROR(VLOOKUP(E226,'LEAID Match'!$A$2:$B$44,2,FALSE),"")</f>
        <v>1000026</v>
      </c>
    </row>
    <row r="227" spans="1:9" x14ac:dyDescent="0.2">
      <c r="A227">
        <v>2017</v>
      </c>
      <c r="B227" t="s">
        <v>67</v>
      </c>
      <c r="C227" t="s">
        <v>68</v>
      </c>
      <c r="D227" t="s">
        <v>69</v>
      </c>
      <c r="E227" t="s">
        <v>25</v>
      </c>
      <c r="F227">
        <v>617960</v>
      </c>
      <c r="G227">
        <v>958612.96881949506</v>
      </c>
      <c r="H227">
        <f t="shared" si="3"/>
        <v>1576572.9688194951</v>
      </c>
      <c r="I227">
        <f>IFERROR(VLOOKUP(E227,'LEAID Match'!$A$2:$B$44,2,FALSE),"")</f>
        <v>1000026</v>
      </c>
    </row>
    <row r="228" spans="1:9" x14ac:dyDescent="0.2">
      <c r="A228">
        <v>2018</v>
      </c>
      <c r="B228" t="s">
        <v>67</v>
      </c>
      <c r="C228" t="s">
        <v>68</v>
      </c>
      <c r="D228" t="s">
        <v>69</v>
      </c>
      <c r="E228" t="s">
        <v>25</v>
      </c>
      <c r="F228">
        <v>863761</v>
      </c>
      <c r="G228">
        <v>410712.56282422662</v>
      </c>
      <c r="H228">
        <f t="shared" si="3"/>
        <v>1274473.5628242267</v>
      </c>
      <c r="I228">
        <f>IFERROR(VLOOKUP(E228,'LEAID Match'!$A$2:$B$44,2,FALSE),"")</f>
        <v>1000026</v>
      </c>
    </row>
    <row r="229" spans="1:9" x14ac:dyDescent="0.2">
      <c r="A229">
        <v>2019</v>
      </c>
      <c r="B229" t="s">
        <v>67</v>
      </c>
      <c r="C229" t="s">
        <v>68</v>
      </c>
      <c r="D229" t="s">
        <v>69</v>
      </c>
      <c r="E229" t="s">
        <v>25</v>
      </c>
      <c r="F229">
        <v>1229659</v>
      </c>
      <c r="G229">
        <v>994595.1064838639</v>
      </c>
      <c r="H229">
        <f t="shared" si="3"/>
        <v>2224254.1064838637</v>
      </c>
      <c r="I229">
        <f>IFERROR(VLOOKUP(E229,'LEAID Match'!$A$2:$B$44,2,FALSE),"")</f>
        <v>1000026</v>
      </c>
    </row>
    <row r="230" spans="1:9" x14ac:dyDescent="0.2">
      <c r="A230">
        <v>2020</v>
      </c>
      <c r="B230" t="s">
        <v>67</v>
      </c>
      <c r="C230" t="s">
        <v>68</v>
      </c>
      <c r="D230" t="s">
        <v>69</v>
      </c>
      <c r="E230" t="s">
        <v>25</v>
      </c>
      <c r="F230">
        <v>1407822</v>
      </c>
      <c r="G230">
        <v>289521.80728298554</v>
      </c>
      <c r="H230">
        <f t="shared" si="3"/>
        <v>1697343.8072829857</v>
      </c>
      <c r="I230">
        <f>IFERROR(VLOOKUP(E230,'LEAID Match'!$A$2:$B$44,2,FALSE),"")</f>
        <v>1000026</v>
      </c>
    </row>
    <row r="231" spans="1:9" x14ac:dyDescent="0.2">
      <c r="A231">
        <v>2021</v>
      </c>
      <c r="B231" t="s">
        <v>67</v>
      </c>
      <c r="C231" t="s">
        <v>68</v>
      </c>
      <c r="D231" t="s">
        <v>69</v>
      </c>
      <c r="E231" t="s">
        <v>25</v>
      </c>
      <c r="F231">
        <v>1486074</v>
      </c>
      <c r="G231">
        <v>0</v>
      </c>
      <c r="H231">
        <f t="shared" si="3"/>
        <v>1486074</v>
      </c>
      <c r="I231">
        <f>IFERROR(VLOOKUP(E231,'LEAID Match'!$A$2:$B$44,2,FALSE),"")</f>
        <v>1000026</v>
      </c>
    </row>
    <row r="232" spans="1:9" x14ac:dyDescent="0.2">
      <c r="A232">
        <v>2022</v>
      </c>
      <c r="B232" t="s">
        <v>67</v>
      </c>
      <c r="C232" t="s">
        <v>68</v>
      </c>
      <c r="D232" t="s">
        <v>69</v>
      </c>
      <c r="E232" t="s">
        <v>25</v>
      </c>
      <c r="F232">
        <v>1594238</v>
      </c>
      <c r="G232">
        <v>1594238</v>
      </c>
      <c r="H232">
        <f t="shared" si="3"/>
        <v>3188476</v>
      </c>
      <c r="I232">
        <f>IFERROR(VLOOKUP(E232,'LEAID Match'!$A$2:$B$44,2,FALSE),"")</f>
        <v>1000026</v>
      </c>
    </row>
    <row r="233" spans="1:9" x14ac:dyDescent="0.2">
      <c r="A233">
        <v>2023</v>
      </c>
      <c r="B233" t="s">
        <v>67</v>
      </c>
      <c r="C233" t="s">
        <v>68</v>
      </c>
      <c r="D233" t="s">
        <v>69</v>
      </c>
      <c r="E233" t="s">
        <v>25</v>
      </c>
      <c r="F233">
        <v>1676074</v>
      </c>
      <c r="G233">
        <v>8765526.3390779775</v>
      </c>
      <c r="H233">
        <f t="shared" si="3"/>
        <v>10441600.339077977</v>
      </c>
      <c r="I233">
        <f>IFERROR(VLOOKUP(E233,'LEAID Match'!$A$2:$B$44,2,FALSE),"")</f>
        <v>1000026</v>
      </c>
    </row>
    <row r="234" spans="1:9" x14ac:dyDescent="0.2">
      <c r="A234">
        <v>2015</v>
      </c>
      <c r="B234" t="s">
        <v>67</v>
      </c>
      <c r="C234" t="s">
        <v>68</v>
      </c>
      <c r="D234" t="s">
        <v>69</v>
      </c>
      <c r="E234" t="s">
        <v>26</v>
      </c>
      <c r="G234">
        <v>0</v>
      </c>
      <c r="H234">
        <f t="shared" si="3"/>
        <v>0</v>
      </c>
      <c r="I234">
        <f>IFERROR(VLOOKUP(E234,'LEAID Match'!$A$2:$B$44,2,FALSE),"")</f>
        <v>0</v>
      </c>
    </row>
    <row r="235" spans="1:9" x14ac:dyDescent="0.2">
      <c r="A235">
        <v>2016</v>
      </c>
      <c r="B235" t="s">
        <v>67</v>
      </c>
      <c r="C235" t="s">
        <v>68</v>
      </c>
      <c r="D235" t="s">
        <v>69</v>
      </c>
      <c r="E235" t="s">
        <v>26</v>
      </c>
      <c r="G235">
        <v>0</v>
      </c>
      <c r="H235">
        <f t="shared" si="3"/>
        <v>0</v>
      </c>
      <c r="I235">
        <f>IFERROR(VLOOKUP(E235,'LEAID Match'!$A$2:$B$44,2,FALSE),"")</f>
        <v>0</v>
      </c>
    </row>
    <row r="236" spans="1:9" x14ac:dyDescent="0.2">
      <c r="A236">
        <v>2017</v>
      </c>
      <c r="B236" t="s">
        <v>67</v>
      </c>
      <c r="C236" t="s">
        <v>68</v>
      </c>
      <c r="D236" t="s">
        <v>69</v>
      </c>
      <c r="E236" t="s">
        <v>26</v>
      </c>
      <c r="G236">
        <v>0</v>
      </c>
      <c r="H236">
        <f t="shared" si="3"/>
        <v>0</v>
      </c>
      <c r="I236">
        <f>IFERROR(VLOOKUP(E236,'LEAID Match'!$A$2:$B$44,2,FALSE),"")</f>
        <v>0</v>
      </c>
    </row>
    <row r="237" spans="1:9" x14ac:dyDescent="0.2">
      <c r="A237">
        <v>2018</v>
      </c>
      <c r="B237" t="s">
        <v>67</v>
      </c>
      <c r="C237" t="s">
        <v>68</v>
      </c>
      <c r="D237" t="s">
        <v>69</v>
      </c>
      <c r="E237" t="s">
        <v>26</v>
      </c>
      <c r="G237">
        <v>0</v>
      </c>
      <c r="H237">
        <f t="shared" si="3"/>
        <v>0</v>
      </c>
      <c r="I237">
        <f>IFERROR(VLOOKUP(E237,'LEAID Match'!$A$2:$B$44,2,FALSE),"")</f>
        <v>0</v>
      </c>
    </row>
    <row r="238" spans="1:9" x14ac:dyDescent="0.2">
      <c r="A238">
        <v>2016</v>
      </c>
      <c r="B238" t="s">
        <v>67</v>
      </c>
      <c r="C238" t="s">
        <v>68</v>
      </c>
      <c r="D238" t="s">
        <v>69</v>
      </c>
      <c r="E238" t="s">
        <v>27</v>
      </c>
      <c r="F238">
        <v>130635</v>
      </c>
      <c r="G238">
        <v>266978.05256896879</v>
      </c>
      <c r="H238">
        <f t="shared" si="3"/>
        <v>397613.05256896879</v>
      </c>
      <c r="I238">
        <f>IFERROR(VLOOKUP(E238,'LEAID Match'!$A$2:$B$44,2,FALSE),"")</f>
        <v>1000005</v>
      </c>
    </row>
    <row r="239" spans="1:9" x14ac:dyDescent="0.2">
      <c r="A239">
        <v>2015</v>
      </c>
      <c r="B239" t="s">
        <v>67</v>
      </c>
      <c r="C239" t="s">
        <v>68</v>
      </c>
      <c r="D239" t="s">
        <v>69</v>
      </c>
      <c r="E239" t="s">
        <v>27</v>
      </c>
      <c r="F239">
        <v>130283</v>
      </c>
      <c r="G239">
        <v>232861.99728377184</v>
      </c>
      <c r="H239">
        <f t="shared" si="3"/>
        <v>363144.99728377187</v>
      </c>
      <c r="I239">
        <f>IFERROR(VLOOKUP(E239,'LEAID Match'!$A$2:$B$44,2,FALSE),"")</f>
        <v>1000005</v>
      </c>
    </row>
    <row r="240" spans="1:9" x14ac:dyDescent="0.2">
      <c r="A240">
        <v>2017</v>
      </c>
      <c r="B240" t="s">
        <v>67</v>
      </c>
      <c r="C240" t="s">
        <v>68</v>
      </c>
      <c r="D240" t="s">
        <v>69</v>
      </c>
      <c r="E240" t="s">
        <v>27</v>
      </c>
      <c r="F240">
        <v>138372</v>
      </c>
      <c r="G240">
        <v>214650.12900752667</v>
      </c>
      <c r="H240">
        <f t="shared" si="3"/>
        <v>353022.12900752667</v>
      </c>
      <c r="I240">
        <f>IFERROR(VLOOKUP(E240,'LEAID Match'!$A$2:$B$44,2,FALSE),"")</f>
        <v>1000005</v>
      </c>
    </row>
    <row r="241" spans="1:9" x14ac:dyDescent="0.2">
      <c r="A241">
        <v>2018</v>
      </c>
      <c r="B241" t="s">
        <v>67</v>
      </c>
      <c r="C241" t="s">
        <v>68</v>
      </c>
      <c r="D241" t="s">
        <v>69</v>
      </c>
      <c r="E241" t="s">
        <v>27</v>
      </c>
      <c r="F241">
        <v>159160</v>
      </c>
      <c r="G241">
        <v>75679.512618772918</v>
      </c>
      <c r="H241">
        <f t="shared" si="3"/>
        <v>234839.51261877292</v>
      </c>
      <c r="I241">
        <f>IFERROR(VLOOKUP(E241,'LEAID Match'!$A$2:$B$44,2,FALSE),"")</f>
        <v>1000005</v>
      </c>
    </row>
    <row r="242" spans="1:9" x14ac:dyDescent="0.2">
      <c r="A242">
        <v>2019</v>
      </c>
      <c r="B242" t="s">
        <v>67</v>
      </c>
      <c r="C242" t="s">
        <v>68</v>
      </c>
      <c r="D242" t="s">
        <v>69</v>
      </c>
      <c r="E242" t="s">
        <v>27</v>
      </c>
      <c r="F242">
        <v>191817</v>
      </c>
      <c r="G242">
        <v>155148.90676229371</v>
      </c>
      <c r="H242">
        <f t="shared" si="3"/>
        <v>346965.90676229371</v>
      </c>
      <c r="I242">
        <f>IFERROR(VLOOKUP(E242,'LEAID Match'!$A$2:$B$44,2,FALSE),"")</f>
        <v>1000005</v>
      </c>
    </row>
    <row r="243" spans="1:9" x14ac:dyDescent="0.2">
      <c r="A243">
        <v>2020</v>
      </c>
      <c r="B243" t="s">
        <v>67</v>
      </c>
      <c r="C243" t="s">
        <v>68</v>
      </c>
      <c r="D243" t="s">
        <v>69</v>
      </c>
      <c r="E243" t="s">
        <v>27</v>
      </c>
      <c r="F243">
        <v>200834</v>
      </c>
      <c r="G243">
        <v>41301.970450718291</v>
      </c>
      <c r="H243">
        <f t="shared" si="3"/>
        <v>242135.97045071831</v>
      </c>
      <c r="I243">
        <f>IFERROR(VLOOKUP(E243,'LEAID Match'!$A$2:$B$44,2,FALSE),"")</f>
        <v>1000005</v>
      </c>
    </row>
    <row r="244" spans="1:9" x14ac:dyDescent="0.2">
      <c r="A244">
        <v>2021</v>
      </c>
      <c r="B244" t="s">
        <v>67</v>
      </c>
      <c r="C244" t="s">
        <v>68</v>
      </c>
      <c r="D244" t="s">
        <v>69</v>
      </c>
      <c r="E244" t="s">
        <v>27</v>
      </c>
      <c r="F244">
        <v>204558</v>
      </c>
      <c r="G244">
        <v>0</v>
      </c>
      <c r="H244">
        <f t="shared" si="3"/>
        <v>204558</v>
      </c>
      <c r="I244">
        <f>IFERROR(VLOOKUP(E244,'LEAID Match'!$A$2:$B$44,2,FALSE),"")</f>
        <v>1000005</v>
      </c>
    </row>
    <row r="245" spans="1:9" x14ac:dyDescent="0.2">
      <c r="A245">
        <v>2022</v>
      </c>
      <c r="B245" t="s">
        <v>67</v>
      </c>
      <c r="C245" t="s">
        <v>68</v>
      </c>
      <c r="D245" t="s">
        <v>69</v>
      </c>
      <c r="E245" t="s">
        <v>27</v>
      </c>
      <c r="F245">
        <v>222361</v>
      </c>
      <c r="G245">
        <v>222361</v>
      </c>
      <c r="H245">
        <f t="shared" si="3"/>
        <v>444722</v>
      </c>
      <c r="I245">
        <f>IFERROR(VLOOKUP(E245,'LEAID Match'!$A$2:$B$44,2,FALSE),"")</f>
        <v>1000005</v>
      </c>
    </row>
    <row r="246" spans="1:9" x14ac:dyDescent="0.2">
      <c r="A246">
        <v>2023</v>
      </c>
      <c r="B246" t="s">
        <v>67</v>
      </c>
      <c r="C246" t="s">
        <v>68</v>
      </c>
      <c r="D246" t="s">
        <v>69</v>
      </c>
      <c r="E246" t="s">
        <v>27</v>
      </c>
      <c r="F246">
        <v>193836</v>
      </c>
      <c r="G246">
        <v>1013722.880649374</v>
      </c>
      <c r="H246">
        <f t="shared" si="3"/>
        <v>1207558.8806493739</v>
      </c>
      <c r="I246">
        <f>IFERROR(VLOOKUP(E246,'LEAID Match'!$A$2:$B$44,2,FALSE),"")</f>
        <v>1000005</v>
      </c>
    </row>
    <row r="247" spans="1:9" x14ac:dyDescent="0.2">
      <c r="A247">
        <v>2017</v>
      </c>
      <c r="B247" t="s">
        <v>67</v>
      </c>
      <c r="C247" t="s">
        <v>68</v>
      </c>
      <c r="D247" t="s">
        <v>69</v>
      </c>
      <c r="E247" t="s">
        <v>28</v>
      </c>
      <c r="F247">
        <v>84167</v>
      </c>
      <c r="G247">
        <v>130564.40181667171</v>
      </c>
      <c r="H247">
        <f t="shared" si="3"/>
        <v>214731.40181667171</v>
      </c>
      <c r="I247">
        <f>IFERROR(VLOOKUP(E247,'LEAID Match'!$A$2:$B$44,2,FALSE),"")</f>
        <v>1000048</v>
      </c>
    </row>
    <row r="248" spans="1:9" x14ac:dyDescent="0.2">
      <c r="A248">
        <v>2015</v>
      </c>
      <c r="B248" t="s">
        <v>67</v>
      </c>
      <c r="C248" t="s">
        <v>68</v>
      </c>
      <c r="D248" t="s">
        <v>69</v>
      </c>
      <c r="E248" t="s">
        <v>28</v>
      </c>
      <c r="F248">
        <v>138146</v>
      </c>
      <c r="G248">
        <v>246915.97120701816</v>
      </c>
      <c r="H248">
        <f t="shared" si="3"/>
        <v>385061.97120701813</v>
      </c>
      <c r="I248">
        <f>IFERROR(VLOOKUP(E248,'LEAID Match'!$A$2:$B$44,2,FALSE),"")</f>
        <v>1000048</v>
      </c>
    </row>
    <row r="249" spans="1:9" x14ac:dyDescent="0.2">
      <c r="A249">
        <v>2016</v>
      </c>
      <c r="B249" t="s">
        <v>67</v>
      </c>
      <c r="C249" t="s">
        <v>68</v>
      </c>
      <c r="D249" t="s">
        <v>69</v>
      </c>
      <c r="E249" t="s">
        <v>28</v>
      </c>
      <c r="F249">
        <v>150889</v>
      </c>
      <c r="G249">
        <v>308371.04431491659</v>
      </c>
      <c r="H249">
        <f t="shared" si="3"/>
        <v>459260.04431491659</v>
      </c>
      <c r="I249">
        <f>IFERROR(VLOOKUP(E249,'LEAID Match'!$A$2:$B$44,2,FALSE),"")</f>
        <v>1000048</v>
      </c>
    </row>
    <row r="250" spans="1:9" x14ac:dyDescent="0.2">
      <c r="A250">
        <v>2018</v>
      </c>
      <c r="B250" t="s">
        <v>67</v>
      </c>
      <c r="C250" t="s">
        <v>68</v>
      </c>
      <c r="D250" t="s">
        <v>69</v>
      </c>
      <c r="E250" t="s">
        <v>28</v>
      </c>
      <c r="G250">
        <v>0</v>
      </c>
      <c r="H250">
        <f t="shared" si="3"/>
        <v>0</v>
      </c>
      <c r="I250">
        <f>IFERROR(VLOOKUP(E250,'LEAID Match'!$A$2:$B$44,2,FALSE),"")</f>
        <v>1000048</v>
      </c>
    </row>
    <row r="251" spans="1:9" x14ac:dyDescent="0.2">
      <c r="A251">
        <v>2015</v>
      </c>
      <c r="B251" t="s">
        <v>67</v>
      </c>
      <c r="C251" t="s">
        <v>68</v>
      </c>
      <c r="D251" t="s">
        <v>69</v>
      </c>
      <c r="E251" t="s">
        <v>29</v>
      </c>
      <c r="F251">
        <v>241709</v>
      </c>
      <c r="G251">
        <v>432019.83759556664</v>
      </c>
      <c r="H251">
        <f t="shared" si="3"/>
        <v>673728.83759556664</v>
      </c>
      <c r="I251">
        <f>IFERROR(VLOOKUP(E251,'LEAID Match'!$A$2:$B$44,2,FALSE),"")</f>
        <v>1000018</v>
      </c>
    </row>
    <row r="252" spans="1:9" x14ac:dyDescent="0.2">
      <c r="A252">
        <v>2016</v>
      </c>
      <c r="B252" t="s">
        <v>67</v>
      </c>
      <c r="C252" t="s">
        <v>68</v>
      </c>
      <c r="D252" t="s">
        <v>69</v>
      </c>
      <c r="E252" t="s">
        <v>29</v>
      </c>
      <c r="F252">
        <v>266745</v>
      </c>
      <c r="G252">
        <v>545145.33342909312</v>
      </c>
      <c r="H252">
        <f t="shared" si="3"/>
        <v>811890.33342909312</v>
      </c>
      <c r="I252">
        <f>IFERROR(VLOOKUP(E252,'LEAID Match'!$A$2:$B$44,2,FALSE),"")</f>
        <v>1000018</v>
      </c>
    </row>
    <row r="253" spans="1:9" x14ac:dyDescent="0.2">
      <c r="A253">
        <v>2017</v>
      </c>
      <c r="B253" t="s">
        <v>67</v>
      </c>
      <c r="C253" t="s">
        <v>68</v>
      </c>
      <c r="D253" t="s">
        <v>69</v>
      </c>
      <c r="E253" t="s">
        <v>29</v>
      </c>
      <c r="F253">
        <v>277599</v>
      </c>
      <c r="G253">
        <v>430626.58025005343</v>
      </c>
      <c r="H253">
        <f t="shared" si="3"/>
        <v>708225.58025005343</v>
      </c>
      <c r="I253">
        <f>IFERROR(VLOOKUP(E253,'LEAID Match'!$A$2:$B$44,2,FALSE),"")</f>
        <v>1000018</v>
      </c>
    </row>
    <row r="254" spans="1:9" x14ac:dyDescent="0.2">
      <c r="A254">
        <v>2018</v>
      </c>
      <c r="B254" t="s">
        <v>67</v>
      </c>
      <c r="C254" t="s">
        <v>68</v>
      </c>
      <c r="D254" t="s">
        <v>69</v>
      </c>
      <c r="E254" t="s">
        <v>29</v>
      </c>
      <c r="F254">
        <v>293402</v>
      </c>
      <c r="G254">
        <v>139510.68334614983</v>
      </c>
      <c r="H254">
        <f t="shared" si="3"/>
        <v>432912.68334614986</v>
      </c>
      <c r="I254">
        <f>IFERROR(VLOOKUP(E254,'LEAID Match'!$A$2:$B$44,2,FALSE),"")</f>
        <v>1000018</v>
      </c>
    </row>
    <row r="255" spans="1:9" x14ac:dyDescent="0.2">
      <c r="A255">
        <v>2019</v>
      </c>
      <c r="B255" t="s">
        <v>67</v>
      </c>
      <c r="C255" t="s">
        <v>68</v>
      </c>
      <c r="D255" t="s">
        <v>69</v>
      </c>
      <c r="E255" t="s">
        <v>29</v>
      </c>
      <c r="F255">
        <v>356356</v>
      </c>
      <c r="G255">
        <v>288234.32656221261</v>
      </c>
      <c r="H255">
        <f t="shared" si="3"/>
        <v>644590.32656221255</v>
      </c>
      <c r="I255">
        <f>IFERROR(VLOOKUP(E255,'LEAID Match'!$A$2:$B$44,2,FALSE),"")</f>
        <v>1000018</v>
      </c>
    </row>
    <row r="256" spans="1:9" x14ac:dyDescent="0.2">
      <c r="A256">
        <v>2020</v>
      </c>
      <c r="B256" t="s">
        <v>67</v>
      </c>
      <c r="C256" t="s">
        <v>68</v>
      </c>
      <c r="D256" t="s">
        <v>69</v>
      </c>
      <c r="E256" t="s">
        <v>29</v>
      </c>
      <c r="F256">
        <v>349849</v>
      </c>
      <c r="G256">
        <v>71947.245288214865</v>
      </c>
      <c r="H256">
        <f t="shared" si="3"/>
        <v>421796.24528821488</v>
      </c>
      <c r="I256">
        <f>IFERROR(VLOOKUP(E256,'LEAID Match'!$A$2:$B$44,2,FALSE),"")</f>
        <v>1000018</v>
      </c>
    </row>
    <row r="257" spans="1:9" x14ac:dyDescent="0.2">
      <c r="A257">
        <v>2021</v>
      </c>
      <c r="B257" t="s">
        <v>67</v>
      </c>
      <c r="C257" t="s">
        <v>68</v>
      </c>
      <c r="D257" t="s">
        <v>69</v>
      </c>
      <c r="E257" t="s">
        <v>29</v>
      </c>
      <c r="F257">
        <v>365942</v>
      </c>
      <c r="G257">
        <v>0</v>
      </c>
      <c r="H257">
        <f t="shared" si="3"/>
        <v>365942</v>
      </c>
      <c r="I257">
        <f>IFERROR(VLOOKUP(E257,'LEAID Match'!$A$2:$B$44,2,FALSE),"")</f>
        <v>1000018</v>
      </c>
    </row>
    <row r="258" spans="1:9" x14ac:dyDescent="0.2">
      <c r="A258">
        <v>2022</v>
      </c>
      <c r="B258" t="s">
        <v>67</v>
      </c>
      <c r="C258" t="s">
        <v>68</v>
      </c>
      <c r="D258" t="s">
        <v>69</v>
      </c>
      <c r="E258" t="s">
        <v>29</v>
      </c>
      <c r="F258">
        <v>390101</v>
      </c>
      <c r="G258">
        <v>390101</v>
      </c>
      <c r="H258">
        <f t="shared" si="3"/>
        <v>780202</v>
      </c>
      <c r="I258">
        <f>IFERROR(VLOOKUP(E258,'LEAID Match'!$A$2:$B$44,2,FALSE),"")</f>
        <v>1000018</v>
      </c>
    </row>
    <row r="259" spans="1:9" x14ac:dyDescent="0.2">
      <c r="A259">
        <v>2023</v>
      </c>
      <c r="B259" t="s">
        <v>67</v>
      </c>
      <c r="C259" t="s">
        <v>68</v>
      </c>
      <c r="D259" t="s">
        <v>69</v>
      </c>
      <c r="E259" t="s">
        <v>29</v>
      </c>
      <c r="F259">
        <v>363960</v>
      </c>
      <c r="G259">
        <v>1903436.8210298712</v>
      </c>
      <c r="H259">
        <f t="shared" ref="H259:H298" si="4">SUM(F259:G259)</f>
        <v>2267396.8210298712</v>
      </c>
      <c r="I259">
        <f>IFERROR(VLOOKUP(E259,'LEAID Match'!$A$2:$B$44,2,FALSE),"")</f>
        <v>1000018</v>
      </c>
    </row>
    <row r="260" spans="1:9" x14ac:dyDescent="0.2">
      <c r="A260">
        <v>2015</v>
      </c>
      <c r="B260" t="s">
        <v>67</v>
      </c>
      <c r="C260" t="s">
        <v>68</v>
      </c>
      <c r="D260" t="s">
        <v>69</v>
      </c>
      <c r="E260" t="s">
        <v>30</v>
      </c>
      <c r="F260">
        <v>204772</v>
      </c>
      <c r="G260">
        <v>366000.29864059418</v>
      </c>
      <c r="H260">
        <f t="shared" si="4"/>
        <v>570772.29864059412</v>
      </c>
      <c r="I260">
        <f>IFERROR(VLOOKUP(E260,'LEAID Match'!$A$2:$B$44,2,FALSE),"")</f>
        <v>1000051</v>
      </c>
    </row>
    <row r="261" spans="1:9" x14ac:dyDescent="0.2">
      <c r="A261">
        <v>2016</v>
      </c>
      <c r="B261" t="s">
        <v>67</v>
      </c>
      <c r="C261" t="s">
        <v>68</v>
      </c>
      <c r="D261" t="s">
        <v>69</v>
      </c>
      <c r="E261" t="s">
        <v>30</v>
      </c>
      <c r="G261">
        <v>0</v>
      </c>
      <c r="H261">
        <f t="shared" si="4"/>
        <v>0</v>
      </c>
      <c r="I261">
        <f>IFERROR(VLOOKUP(E261,'LEAID Match'!$A$2:$B$44,2,FALSE),"")</f>
        <v>1000051</v>
      </c>
    </row>
    <row r="262" spans="1:9" x14ac:dyDescent="0.2">
      <c r="A262">
        <v>2017</v>
      </c>
      <c r="B262" t="s">
        <v>67</v>
      </c>
      <c r="C262" t="s">
        <v>68</v>
      </c>
      <c r="D262" t="s">
        <v>69</v>
      </c>
      <c r="E262" t="s">
        <v>30</v>
      </c>
      <c r="G262">
        <v>0</v>
      </c>
      <c r="H262">
        <f t="shared" si="4"/>
        <v>0</v>
      </c>
      <c r="I262">
        <f>IFERROR(VLOOKUP(E262,'LEAID Match'!$A$2:$B$44,2,FALSE),"")</f>
        <v>1000051</v>
      </c>
    </row>
    <row r="263" spans="1:9" x14ac:dyDescent="0.2">
      <c r="A263">
        <v>2018</v>
      </c>
      <c r="B263" t="s">
        <v>67</v>
      </c>
      <c r="C263" t="s">
        <v>68</v>
      </c>
      <c r="D263" t="s">
        <v>69</v>
      </c>
      <c r="E263" t="s">
        <v>30</v>
      </c>
      <c r="G263">
        <v>0</v>
      </c>
      <c r="H263">
        <f t="shared" si="4"/>
        <v>0</v>
      </c>
      <c r="I263">
        <f>IFERROR(VLOOKUP(E263,'LEAID Match'!$A$2:$B$44,2,FALSE),"")</f>
        <v>1000051</v>
      </c>
    </row>
    <row r="264" spans="1:9" x14ac:dyDescent="0.2">
      <c r="A264">
        <v>2015</v>
      </c>
      <c r="B264" t="s">
        <v>67</v>
      </c>
      <c r="C264" t="s">
        <v>68</v>
      </c>
      <c r="D264" t="s">
        <v>69</v>
      </c>
      <c r="E264" t="s">
        <v>31</v>
      </c>
      <c r="F264">
        <v>220473</v>
      </c>
      <c r="G264">
        <v>394063.56260713242</v>
      </c>
      <c r="H264">
        <f t="shared" si="4"/>
        <v>614536.56260713236</v>
      </c>
      <c r="I264">
        <f>IFERROR(VLOOKUP(E264,'LEAID Match'!$A$2:$B$44,2,FALSE),"")</f>
        <v>1000011</v>
      </c>
    </row>
    <row r="265" spans="1:9" x14ac:dyDescent="0.2">
      <c r="A265">
        <v>2016</v>
      </c>
      <c r="B265" t="s">
        <v>67</v>
      </c>
      <c r="C265" t="s">
        <v>68</v>
      </c>
      <c r="D265" t="s">
        <v>69</v>
      </c>
      <c r="E265" t="s">
        <v>31</v>
      </c>
      <c r="F265">
        <v>275448</v>
      </c>
      <c r="G265">
        <v>562931.60809903406</v>
      </c>
      <c r="H265">
        <f t="shared" si="4"/>
        <v>838379.60809903406</v>
      </c>
      <c r="I265">
        <f>IFERROR(VLOOKUP(E265,'LEAID Match'!$A$2:$B$44,2,FALSE),"")</f>
        <v>1000011</v>
      </c>
    </row>
    <row r="266" spans="1:9" x14ac:dyDescent="0.2">
      <c r="A266">
        <v>2017</v>
      </c>
      <c r="B266" t="s">
        <v>67</v>
      </c>
      <c r="C266" t="s">
        <v>68</v>
      </c>
      <c r="D266" t="s">
        <v>69</v>
      </c>
      <c r="E266" t="s">
        <v>31</v>
      </c>
      <c r="F266">
        <v>309118</v>
      </c>
      <c r="G266">
        <v>479520.55747223878</v>
      </c>
      <c r="H266">
        <f t="shared" si="4"/>
        <v>788638.55747223878</v>
      </c>
      <c r="I266">
        <f>IFERROR(VLOOKUP(E266,'LEAID Match'!$A$2:$B$44,2,FALSE),"")</f>
        <v>1000011</v>
      </c>
    </row>
    <row r="267" spans="1:9" x14ac:dyDescent="0.2">
      <c r="A267">
        <v>2018</v>
      </c>
      <c r="B267" t="s">
        <v>67</v>
      </c>
      <c r="C267" t="s">
        <v>68</v>
      </c>
      <c r="D267" t="s">
        <v>69</v>
      </c>
      <c r="E267" t="s">
        <v>31</v>
      </c>
      <c r="F267">
        <v>379987</v>
      </c>
      <c r="G267">
        <v>180681.27017761787</v>
      </c>
      <c r="H267">
        <f t="shared" si="4"/>
        <v>560668.2701776179</v>
      </c>
      <c r="I267">
        <f>IFERROR(VLOOKUP(E267,'LEAID Match'!$A$2:$B$44,2,FALSE),"")</f>
        <v>1000011</v>
      </c>
    </row>
    <row r="268" spans="1:9" x14ac:dyDescent="0.2">
      <c r="A268">
        <v>2019</v>
      </c>
      <c r="B268" t="s">
        <v>67</v>
      </c>
      <c r="C268" t="s">
        <v>68</v>
      </c>
      <c r="D268" t="s">
        <v>69</v>
      </c>
      <c r="E268" t="s">
        <v>31</v>
      </c>
      <c r="F268">
        <v>490565</v>
      </c>
      <c r="G268">
        <v>396787.68537639844</v>
      </c>
      <c r="H268">
        <f t="shared" si="4"/>
        <v>887352.6853763985</v>
      </c>
      <c r="I268">
        <f>IFERROR(VLOOKUP(E268,'LEAID Match'!$A$2:$B$44,2,FALSE),"")</f>
        <v>1000011</v>
      </c>
    </row>
    <row r="269" spans="1:9" x14ac:dyDescent="0.2">
      <c r="A269">
        <v>2020</v>
      </c>
      <c r="B269" t="s">
        <v>67</v>
      </c>
      <c r="C269" t="s">
        <v>68</v>
      </c>
      <c r="D269" t="s">
        <v>69</v>
      </c>
      <c r="E269" t="s">
        <v>31</v>
      </c>
      <c r="F269">
        <v>561933</v>
      </c>
      <c r="G269">
        <v>115562.80391409562</v>
      </c>
      <c r="H269">
        <f t="shared" si="4"/>
        <v>677495.80391409562</v>
      </c>
      <c r="I269">
        <f>IFERROR(VLOOKUP(E269,'LEAID Match'!$A$2:$B$44,2,FALSE),"")</f>
        <v>1000011</v>
      </c>
    </row>
    <row r="270" spans="1:9" x14ac:dyDescent="0.2">
      <c r="A270">
        <v>2021</v>
      </c>
      <c r="B270" t="s">
        <v>67</v>
      </c>
      <c r="C270" t="s">
        <v>68</v>
      </c>
      <c r="D270" t="s">
        <v>69</v>
      </c>
      <c r="E270" t="s">
        <v>31</v>
      </c>
      <c r="F270">
        <v>763883</v>
      </c>
      <c r="G270">
        <v>0</v>
      </c>
      <c r="H270">
        <f t="shared" si="4"/>
        <v>763883</v>
      </c>
      <c r="I270">
        <f>IFERROR(VLOOKUP(E270,'LEAID Match'!$A$2:$B$44,2,FALSE),"")</f>
        <v>1000011</v>
      </c>
    </row>
    <row r="271" spans="1:9" x14ac:dyDescent="0.2">
      <c r="A271">
        <v>2022</v>
      </c>
      <c r="B271" t="s">
        <v>67</v>
      </c>
      <c r="C271" t="s">
        <v>68</v>
      </c>
      <c r="D271" t="s">
        <v>69</v>
      </c>
      <c r="E271" t="s">
        <v>31</v>
      </c>
      <c r="F271">
        <v>867339</v>
      </c>
      <c r="G271">
        <v>867339</v>
      </c>
      <c r="H271">
        <f t="shared" si="4"/>
        <v>1734678</v>
      </c>
      <c r="I271">
        <f>IFERROR(VLOOKUP(E271,'LEAID Match'!$A$2:$B$44,2,FALSE),"")</f>
        <v>1000011</v>
      </c>
    </row>
    <row r="272" spans="1:9" x14ac:dyDescent="0.2">
      <c r="A272">
        <v>2023</v>
      </c>
      <c r="B272" t="s">
        <v>67</v>
      </c>
      <c r="C272" t="s">
        <v>68</v>
      </c>
      <c r="D272" t="s">
        <v>69</v>
      </c>
      <c r="E272" t="s">
        <v>31</v>
      </c>
      <c r="F272">
        <v>789593</v>
      </c>
      <c r="G272">
        <v>4129410.8963277265</v>
      </c>
      <c r="H272">
        <f t="shared" si="4"/>
        <v>4919003.8963277265</v>
      </c>
      <c r="I272">
        <f>IFERROR(VLOOKUP(E272,'LEAID Match'!$A$2:$B$44,2,FALSE),"")</f>
        <v>1000011</v>
      </c>
    </row>
    <row r="273" spans="1:9" x14ac:dyDescent="0.2">
      <c r="A273">
        <v>2020</v>
      </c>
      <c r="B273" t="s">
        <v>67</v>
      </c>
      <c r="C273" t="s">
        <v>68</v>
      </c>
      <c r="D273" t="s">
        <v>69</v>
      </c>
      <c r="E273" t="s">
        <v>52</v>
      </c>
      <c r="F273">
        <v>4533</v>
      </c>
      <c r="G273">
        <v>932.22179537880027</v>
      </c>
      <c r="H273">
        <f t="shared" si="4"/>
        <v>5465.2217953788004</v>
      </c>
      <c r="I273">
        <f>IFERROR(VLOOKUP(E273,'LEAID Match'!$A$2:$B$44,2,FALSE),"")</f>
        <v>1000063</v>
      </c>
    </row>
    <row r="274" spans="1:9" x14ac:dyDescent="0.2">
      <c r="A274">
        <v>2021</v>
      </c>
      <c r="B274" t="s">
        <v>67</v>
      </c>
      <c r="C274" t="s">
        <v>68</v>
      </c>
      <c r="D274" t="s">
        <v>69</v>
      </c>
      <c r="E274" t="s">
        <v>52</v>
      </c>
      <c r="F274">
        <v>103673</v>
      </c>
      <c r="G274">
        <v>0</v>
      </c>
      <c r="H274">
        <f t="shared" si="4"/>
        <v>103673</v>
      </c>
      <c r="I274">
        <f>IFERROR(VLOOKUP(E274,'LEAID Match'!$A$2:$B$44,2,FALSE),"")</f>
        <v>1000063</v>
      </c>
    </row>
    <row r="275" spans="1:9" x14ac:dyDescent="0.2">
      <c r="A275">
        <v>2022</v>
      </c>
      <c r="B275" t="s">
        <v>67</v>
      </c>
      <c r="C275" t="s">
        <v>68</v>
      </c>
      <c r="D275" t="s">
        <v>69</v>
      </c>
      <c r="E275" t="s">
        <v>52</v>
      </c>
      <c r="F275">
        <v>171870</v>
      </c>
      <c r="G275">
        <v>171870</v>
      </c>
      <c r="H275">
        <f t="shared" si="4"/>
        <v>343740</v>
      </c>
      <c r="I275">
        <f>IFERROR(VLOOKUP(E275,'LEAID Match'!$A$2:$B$44,2,FALSE),"")</f>
        <v>1000063</v>
      </c>
    </row>
    <row r="276" spans="1:9" x14ac:dyDescent="0.2">
      <c r="A276">
        <v>2023</v>
      </c>
      <c r="B276" t="s">
        <v>67</v>
      </c>
      <c r="C276" t="s">
        <v>68</v>
      </c>
      <c r="D276" t="s">
        <v>69</v>
      </c>
      <c r="E276" t="s">
        <v>52</v>
      </c>
      <c r="F276">
        <v>185445</v>
      </c>
      <c r="G276">
        <v>969839.6562146513</v>
      </c>
      <c r="H276">
        <f t="shared" si="4"/>
        <v>1155284.6562146512</v>
      </c>
      <c r="I276">
        <f>IFERROR(VLOOKUP(E276,'LEAID Match'!$A$2:$B$44,2,FALSE),"")</f>
        <v>1000063</v>
      </c>
    </row>
    <row r="277" spans="1:9" x14ac:dyDescent="0.2">
      <c r="A277">
        <v>2015</v>
      </c>
      <c r="B277" t="s">
        <v>67</v>
      </c>
      <c r="C277" t="s">
        <v>68</v>
      </c>
      <c r="D277" t="s">
        <v>69</v>
      </c>
      <c r="E277" t="s">
        <v>32</v>
      </c>
      <c r="F277">
        <v>486345</v>
      </c>
      <c r="G277">
        <v>869271.26385619014</v>
      </c>
      <c r="H277">
        <f t="shared" si="4"/>
        <v>1355616.2638561903</v>
      </c>
      <c r="I277">
        <f>IFERROR(VLOOKUP(E277,'LEAID Match'!$A$2:$B$44,2,FALSE),"")</f>
        <v>1000004</v>
      </c>
    </row>
    <row r="278" spans="1:9" x14ac:dyDescent="0.2">
      <c r="A278">
        <v>2016</v>
      </c>
      <c r="B278" t="s">
        <v>67</v>
      </c>
      <c r="C278" t="s">
        <v>68</v>
      </c>
      <c r="D278" t="s">
        <v>69</v>
      </c>
      <c r="E278" t="s">
        <v>32</v>
      </c>
      <c r="F278">
        <v>503089</v>
      </c>
      <c r="G278">
        <v>1028160.3053459636</v>
      </c>
      <c r="H278">
        <f t="shared" si="4"/>
        <v>1531249.3053459637</v>
      </c>
      <c r="I278">
        <f>IFERROR(VLOOKUP(E278,'LEAID Match'!$A$2:$B$44,2,FALSE),"")</f>
        <v>1000004</v>
      </c>
    </row>
    <row r="279" spans="1:9" x14ac:dyDescent="0.2">
      <c r="A279">
        <v>2017</v>
      </c>
      <c r="B279" t="s">
        <v>67</v>
      </c>
      <c r="C279" t="s">
        <v>68</v>
      </c>
      <c r="D279" t="s">
        <v>69</v>
      </c>
      <c r="E279" t="s">
        <v>32</v>
      </c>
      <c r="F279">
        <v>513436</v>
      </c>
      <c r="G279">
        <v>796469.68777721259</v>
      </c>
      <c r="H279">
        <f t="shared" si="4"/>
        <v>1309905.6877772126</v>
      </c>
      <c r="I279">
        <f>IFERROR(VLOOKUP(E279,'LEAID Match'!$A$2:$B$44,2,FALSE),"")</f>
        <v>1000004</v>
      </c>
    </row>
    <row r="280" spans="1:9" x14ac:dyDescent="0.2">
      <c r="A280">
        <v>2018</v>
      </c>
      <c r="B280" t="s">
        <v>67</v>
      </c>
      <c r="C280" t="s">
        <v>68</v>
      </c>
      <c r="D280" t="s">
        <v>69</v>
      </c>
      <c r="E280" t="s">
        <v>32</v>
      </c>
      <c r="F280">
        <v>558360</v>
      </c>
      <c r="G280">
        <v>265496.43544746196</v>
      </c>
      <c r="H280">
        <f t="shared" si="4"/>
        <v>823856.4354474619</v>
      </c>
      <c r="I280">
        <f>IFERROR(VLOOKUP(E280,'LEAID Match'!$A$2:$B$44,2,FALSE),"")</f>
        <v>1000004</v>
      </c>
    </row>
    <row r="281" spans="1:9" x14ac:dyDescent="0.2">
      <c r="A281">
        <v>2019</v>
      </c>
      <c r="B281" t="s">
        <v>67</v>
      </c>
      <c r="C281" t="s">
        <v>68</v>
      </c>
      <c r="D281" t="s">
        <v>69</v>
      </c>
      <c r="E281" t="s">
        <v>32</v>
      </c>
      <c r="F281">
        <v>634883</v>
      </c>
      <c r="G281">
        <v>513517.58901434869</v>
      </c>
      <c r="H281">
        <f t="shared" si="4"/>
        <v>1148400.5890143486</v>
      </c>
      <c r="I281">
        <f>IFERROR(VLOOKUP(E281,'LEAID Match'!$A$2:$B$44,2,FALSE),"")</f>
        <v>1000004</v>
      </c>
    </row>
    <row r="282" spans="1:9" x14ac:dyDescent="0.2">
      <c r="A282">
        <v>2020</v>
      </c>
      <c r="B282" t="s">
        <v>67</v>
      </c>
      <c r="C282" t="s">
        <v>68</v>
      </c>
      <c r="D282" t="s">
        <v>69</v>
      </c>
      <c r="E282" t="s">
        <v>32</v>
      </c>
      <c r="F282">
        <v>652202</v>
      </c>
      <c r="G282">
        <v>134126.82977931711</v>
      </c>
      <c r="H282">
        <f t="shared" si="4"/>
        <v>786328.82977931714</v>
      </c>
      <c r="I282">
        <f>IFERROR(VLOOKUP(E282,'LEAID Match'!$A$2:$B$44,2,FALSE),"")</f>
        <v>1000004</v>
      </c>
    </row>
    <row r="283" spans="1:9" x14ac:dyDescent="0.2">
      <c r="A283">
        <v>2021</v>
      </c>
      <c r="B283" t="s">
        <v>67</v>
      </c>
      <c r="C283" t="s">
        <v>68</v>
      </c>
      <c r="D283" t="s">
        <v>69</v>
      </c>
      <c r="E283" t="s">
        <v>32</v>
      </c>
      <c r="F283">
        <v>659500</v>
      </c>
      <c r="G283">
        <v>0</v>
      </c>
      <c r="H283">
        <f t="shared" si="4"/>
        <v>659500</v>
      </c>
      <c r="I283">
        <f>IFERROR(VLOOKUP(E283,'LEAID Match'!$A$2:$B$44,2,FALSE),"")</f>
        <v>1000004</v>
      </c>
    </row>
    <row r="284" spans="1:9" x14ac:dyDescent="0.2">
      <c r="A284">
        <v>2022</v>
      </c>
      <c r="B284" t="s">
        <v>67</v>
      </c>
      <c r="C284" t="s">
        <v>68</v>
      </c>
      <c r="D284" t="s">
        <v>69</v>
      </c>
      <c r="E284" t="s">
        <v>32</v>
      </c>
      <c r="F284">
        <v>692294</v>
      </c>
      <c r="G284">
        <v>692294</v>
      </c>
      <c r="H284">
        <f t="shared" si="4"/>
        <v>1384588</v>
      </c>
      <c r="I284">
        <f>IFERROR(VLOOKUP(E284,'LEAID Match'!$A$2:$B$44,2,FALSE),"")</f>
        <v>1000004</v>
      </c>
    </row>
    <row r="285" spans="1:9" x14ac:dyDescent="0.2">
      <c r="A285">
        <v>2023</v>
      </c>
      <c r="B285" t="s">
        <v>67</v>
      </c>
      <c r="C285" t="s">
        <v>68</v>
      </c>
      <c r="D285" t="s">
        <v>69</v>
      </c>
      <c r="E285" t="s">
        <v>32</v>
      </c>
      <c r="F285">
        <v>616185</v>
      </c>
      <c r="G285">
        <v>3222522.3034572243</v>
      </c>
      <c r="H285">
        <f t="shared" si="4"/>
        <v>3838707.3034572243</v>
      </c>
      <c r="I285">
        <f>IFERROR(VLOOKUP(E285,'LEAID Match'!$A$2:$B$44,2,FALSE),"")</f>
        <v>1000004</v>
      </c>
    </row>
    <row r="286" spans="1:9" x14ac:dyDescent="0.2">
      <c r="A286">
        <v>2015</v>
      </c>
      <c r="B286" t="s">
        <v>67</v>
      </c>
      <c r="C286" t="s">
        <v>68</v>
      </c>
      <c r="D286" t="s">
        <v>69</v>
      </c>
      <c r="E286" t="s">
        <v>33</v>
      </c>
      <c r="F286">
        <v>3989</v>
      </c>
      <c r="G286">
        <v>7129.7598855181868</v>
      </c>
      <c r="H286">
        <f t="shared" si="4"/>
        <v>11118.759885518186</v>
      </c>
      <c r="I286">
        <f>IFERROR(VLOOKUP(E286,'LEAID Match'!$A$2:$B$44,2,FALSE),"")</f>
        <v>1000058</v>
      </c>
    </row>
    <row r="287" spans="1:9" x14ac:dyDescent="0.2">
      <c r="A287">
        <v>2016</v>
      </c>
      <c r="B287" t="s">
        <v>67</v>
      </c>
      <c r="C287" t="s">
        <v>68</v>
      </c>
      <c r="D287" t="s">
        <v>69</v>
      </c>
      <c r="E287" t="s">
        <v>33</v>
      </c>
      <c r="F287">
        <v>39611</v>
      </c>
      <c r="G287">
        <v>80952.789377344685</v>
      </c>
      <c r="H287">
        <f t="shared" si="4"/>
        <v>120563.78937734468</v>
      </c>
      <c r="I287">
        <f>IFERROR(VLOOKUP(E287,'LEAID Match'!$A$2:$B$44,2,FALSE),"")</f>
        <v>1000058</v>
      </c>
    </row>
    <row r="288" spans="1:9" x14ac:dyDescent="0.2">
      <c r="A288">
        <v>2017</v>
      </c>
      <c r="B288" t="s">
        <v>67</v>
      </c>
      <c r="C288" t="s">
        <v>68</v>
      </c>
      <c r="D288" t="s">
        <v>69</v>
      </c>
      <c r="E288" t="s">
        <v>33</v>
      </c>
      <c r="G288">
        <v>0</v>
      </c>
      <c r="H288">
        <f t="shared" si="4"/>
        <v>0</v>
      </c>
      <c r="I288">
        <f>IFERROR(VLOOKUP(E288,'LEAID Match'!$A$2:$B$44,2,FALSE),"")</f>
        <v>1000058</v>
      </c>
    </row>
    <row r="289" spans="1:9" x14ac:dyDescent="0.2">
      <c r="A289">
        <v>2018</v>
      </c>
      <c r="B289" t="s">
        <v>67</v>
      </c>
      <c r="C289" t="s">
        <v>68</v>
      </c>
      <c r="D289" t="s">
        <v>69</v>
      </c>
      <c r="E289" t="s">
        <v>33</v>
      </c>
      <c r="G289">
        <v>0</v>
      </c>
      <c r="H289">
        <f t="shared" si="4"/>
        <v>0</v>
      </c>
      <c r="I289">
        <f>IFERROR(VLOOKUP(E289,'LEAID Match'!$A$2:$B$44,2,FALSE),"")</f>
        <v>1000058</v>
      </c>
    </row>
    <row r="290" spans="1:9" x14ac:dyDescent="0.2">
      <c r="A290">
        <v>2015</v>
      </c>
      <c r="B290" t="s">
        <v>67</v>
      </c>
      <c r="C290" t="s">
        <v>68</v>
      </c>
      <c r="D290" t="s">
        <v>69</v>
      </c>
      <c r="E290" t="s">
        <v>34</v>
      </c>
      <c r="F290">
        <v>354261</v>
      </c>
      <c r="G290">
        <v>633190.23986050591</v>
      </c>
      <c r="H290">
        <f t="shared" si="4"/>
        <v>987451.23986050591</v>
      </c>
      <c r="I290">
        <f>IFERROR(VLOOKUP(E290,'LEAID Match'!$A$2:$B$44,2,FALSE),"")</f>
        <v>1000010</v>
      </c>
    </row>
    <row r="291" spans="1:9" x14ac:dyDescent="0.2">
      <c r="A291">
        <v>2016</v>
      </c>
      <c r="B291" t="s">
        <v>67</v>
      </c>
      <c r="C291" t="s">
        <v>68</v>
      </c>
      <c r="D291" t="s">
        <v>69</v>
      </c>
      <c r="E291" t="s">
        <v>34</v>
      </c>
      <c r="F291">
        <v>348903</v>
      </c>
      <c r="G291">
        <v>713051.19972037303</v>
      </c>
      <c r="H291">
        <f t="shared" si="4"/>
        <v>1061954.1997203729</v>
      </c>
      <c r="I291">
        <f>IFERROR(VLOOKUP(E291,'LEAID Match'!$A$2:$B$44,2,FALSE),"")</f>
        <v>1000010</v>
      </c>
    </row>
    <row r="292" spans="1:9" x14ac:dyDescent="0.2">
      <c r="A292">
        <v>2017</v>
      </c>
      <c r="B292" t="s">
        <v>67</v>
      </c>
      <c r="C292" t="s">
        <v>68</v>
      </c>
      <c r="D292" t="s">
        <v>69</v>
      </c>
      <c r="E292" t="s">
        <v>34</v>
      </c>
      <c r="F292">
        <v>360069</v>
      </c>
      <c r="G292">
        <v>558558.50389971316</v>
      </c>
      <c r="H292">
        <f t="shared" si="4"/>
        <v>918627.50389971316</v>
      </c>
      <c r="I292">
        <f>IFERROR(VLOOKUP(E292,'LEAID Match'!$A$2:$B$44,2,FALSE),"")</f>
        <v>1000010</v>
      </c>
    </row>
    <row r="293" spans="1:9" x14ac:dyDescent="0.2">
      <c r="A293">
        <v>2018</v>
      </c>
      <c r="B293" t="s">
        <v>67</v>
      </c>
      <c r="C293" t="s">
        <v>68</v>
      </c>
      <c r="D293" t="s">
        <v>69</v>
      </c>
      <c r="E293" t="s">
        <v>34</v>
      </c>
      <c r="F293">
        <v>405547</v>
      </c>
      <c r="G293">
        <v>192834.87876354295</v>
      </c>
      <c r="H293">
        <f t="shared" si="4"/>
        <v>598381.87876354298</v>
      </c>
      <c r="I293">
        <f>IFERROR(VLOOKUP(E293,'LEAID Match'!$A$2:$B$44,2,FALSE),"")</f>
        <v>1000010</v>
      </c>
    </row>
    <row r="294" spans="1:9" x14ac:dyDescent="0.2">
      <c r="A294">
        <v>2019</v>
      </c>
      <c r="B294" t="s">
        <v>67</v>
      </c>
      <c r="C294" t="s">
        <v>68</v>
      </c>
      <c r="D294" t="s">
        <v>69</v>
      </c>
      <c r="E294" t="s">
        <v>34</v>
      </c>
      <c r="F294">
        <v>467629</v>
      </c>
      <c r="G294">
        <v>378236.17364646849</v>
      </c>
      <c r="H294">
        <f t="shared" si="4"/>
        <v>845865.17364646844</v>
      </c>
      <c r="I294">
        <f>IFERROR(VLOOKUP(E294,'LEAID Match'!$A$2:$B$44,2,FALSE),"")</f>
        <v>1000010</v>
      </c>
    </row>
    <row r="295" spans="1:9" x14ac:dyDescent="0.2">
      <c r="A295">
        <v>2020</v>
      </c>
      <c r="B295" t="s">
        <v>67</v>
      </c>
      <c r="C295" t="s">
        <v>68</v>
      </c>
      <c r="D295" t="s">
        <v>69</v>
      </c>
      <c r="E295" t="s">
        <v>34</v>
      </c>
      <c r="F295">
        <v>484118</v>
      </c>
      <c r="G295">
        <v>99559.971571849572</v>
      </c>
      <c r="H295">
        <f t="shared" si="4"/>
        <v>583677.97157184954</v>
      </c>
      <c r="I295">
        <f>IFERROR(VLOOKUP(E295,'LEAID Match'!$A$2:$B$44,2,FALSE),"")</f>
        <v>1000010</v>
      </c>
    </row>
    <row r="296" spans="1:9" x14ac:dyDescent="0.2">
      <c r="A296">
        <v>2021</v>
      </c>
      <c r="B296" t="s">
        <v>67</v>
      </c>
      <c r="C296" t="s">
        <v>68</v>
      </c>
      <c r="D296" t="s">
        <v>69</v>
      </c>
      <c r="E296" t="s">
        <v>34</v>
      </c>
      <c r="F296">
        <v>506866</v>
      </c>
      <c r="G296">
        <v>0</v>
      </c>
      <c r="H296">
        <f t="shared" si="4"/>
        <v>506866</v>
      </c>
      <c r="I296">
        <f>IFERROR(VLOOKUP(E296,'LEAID Match'!$A$2:$B$44,2,FALSE),"")</f>
        <v>1000010</v>
      </c>
    </row>
    <row r="297" spans="1:9" x14ac:dyDescent="0.2">
      <c r="A297">
        <v>2022</v>
      </c>
      <c r="B297" t="s">
        <v>67</v>
      </c>
      <c r="C297" t="s">
        <v>68</v>
      </c>
      <c r="D297" t="s">
        <v>69</v>
      </c>
      <c r="E297" t="s">
        <v>34</v>
      </c>
      <c r="F297">
        <v>550002</v>
      </c>
      <c r="G297">
        <v>550002</v>
      </c>
      <c r="H297">
        <f t="shared" si="4"/>
        <v>1100004</v>
      </c>
      <c r="I297">
        <f>IFERROR(VLOOKUP(E297,'LEAID Match'!$A$2:$B$44,2,FALSE),"")</f>
        <v>1000010</v>
      </c>
    </row>
    <row r="298" spans="1:9" x14ac:dyDescent="0.2">
      <c r="A298">
        <v>2023</v>
      </c>
      <c r="B298" t="s">
        <v>67</v>
      </c>
      <c r="C298" t="s">
        <v>68</v>
      </c>
      <c r="D298" t="s">
        <v>69</v>
      </c>
      <c r="E298" t="s">
        <v>34</v>
      </c>
      <c r="F298">
        <v>464733</v>
      </c>
      <c r="G298">
        <v>2430459.1277823807</v>
      </c>
      <c r="H298">
        <f t="shared" si="4"/>
        <v>2895192.1277823807</v>
      </c>
      <c r="I298">
        <f>IFERROR(VLOOKUP(E298,'LEAID Match'!$A$2:$B$44,2,FALSE),"")</f>
        <v>1000010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DB69-C5A5-3B41-AAC8-1B45CF11CA56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153D-B920-B24F-931E-2EC74045CF88}">
  <sheetPr>
    <tabColor rgb="FFFFFF00"/>
  </sheetPr>
  <dimension ref="A1:E39"/>
  <sheetViews>
    <sheetView workbookViewId="0">
      <selection sqref="A1:E36"/>
    </sheetView>
  </sheetViews>
  <sheetFormatPr baseColWidth="10" defaultRowHeight="16" x14ac:dyDescent="0.2"/>
  <cols>
    <col min="2" max="2" width="33.5" style="3" bestFit="1" customWidth="1"/>
    <col min="3" max="3" width="18.83203125" style="3" bestFit="1" customWidth="1"/>
    <col min="4" max="4" width="11.5" bestFit="1" customWidth="1"/>
    <col min="5" max="5" width="17.1640625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D1" t="s">
        <v>59</v>
      </c>
      <c r="E1" t="s">
        <v>58</v>
      </c>
    </row>
    <row r="2" spans="1:5" x14ac:dyDescent="0.2">
      <c r="A2">
        <v>2015</v>
      </c>
      <c r="B2" s="3" t="s">
        <v>0</v>
      </c>
      <c r="C2" s="4">
        <v>71109</v>
      </c>
      <c r="D2" s="12">
        <f>C2/$C$39</f>
        <v>3.8922349723461876E-3</v>
      </c>
      <c r="E2" s="10">
        <f>D2*$C$37</f>
        <v>127097.04078699241</v>
      </c>
    </row>
    <row r="3" spans="1:5" x14ac:dyDescent="0.2">
      <c r="A3">
        <v>2015</v>
      </c>
      <c r="B3" s="3" t="s">
        <v>1</v>
      </c>
      <c r="C3" s="4">
        <v>124896</v>
      </c>
      <c r="D3" s="12">
        <f>C3/$C$39</f>
        <v>6.8363298472225659E-3</v>
      </c>
      <c r="E3" s="10">
        <f t="shared" ref="E3:E36" si="0">D3*$C$37</f>
        <v>223233.51483120566</v>
      </c>
    </row>
    <row r="4" spans="1:5" x14ac:dyDescent="0.2">
      <c r="A4">
        <v>2015</v>
      </c>
      <c r="B4" s="3" t="s">
        <v>2</v>
      </c>
      <c r="C4" s="4">
        <v>186452</v>
      </c>
      <c r="D4" s="12">
        <f>C4/$C$39</f>
        <v>1.0205670098917034E-2</v>
      </c>
      <c r="E4" s="10">
        <f t="shared" si="0"/>
        <v>333255.95141003683</v>
      </c>
    </row>
    <row r="5" spans="1:5" x14ac:dyDescent="0.2">
      <c r="A5">
        <v>2015</v>
      </c>
      <c r="B5" s="3" t="s">
        <v>3</v>
      </c>
      <c r="C5" s="4">
        <v>189970</v>
      </c>
      <c r="D5" s="12">
        <f>C5/$C$39</f>
        <v>1.0398231977620347E-2</v>
      </c>
      <c r="E5" s="10">
        <f t="shared" si="0"/>
        <v>339543.86699721479</v>
      </c>
    </row>
    <row r="6" spans="1:5" x14ac:dyDescent="0.2">
      <c r="A6">
        <v>2015</v>
      </c>
      <c r="B6" s="3" t="s">
        <v>4</v>
      </c>
      <c r="C6" s="4">
        <v>8259</v>
      </c>
      <c r="D6" s="12">
        <f>C6/$C$39</f>
        <v>4.5206610466477044E-4</v>
      </c>
      <c r="E6" s="10">
        <f t="shared" si="0"/>
        <v>14761.766581723414</v>
      </c>
    </row>
    <row r="7" spans="1:5" x14ac:dyDescent="0.2">
      <c r="A7">
        <v>2015</v>
      </c>
      <c r="B7" s="3" t="s">
        <v>5</v>
      </c>
      <c r="C7" s="4">
        <v>84663</v>
      </c>
      <c r="D7" s="12">
        <f>C7/$C$39</f>
        <v>4.6341291462929481E-3</v>
      </c>
      <c r="E7" s="10">
        <f t="shared" si="0"/>
        <v>151322.85314304993</v>
      </c>
    </row>
    <row r="8" spans="1:5" x14ac:dyDescent="0.2">
      <c r="A8">
        <v>2015</v>
      </c>
      <c r="B8" s="3" t="s">
        <v>6</v>
      </c>
      <c r="C8" s="4">
        <v>252762</v>
      </c>
      <c r="D8" s="12">
        <f>C8/$C$39</f>
        <v>1.3835226146903586E-2</v>
      </c>
      <c r="E8" s="10">
        <f t="shared" si="0"/>
        <v>451775.47460098966</v>
      </c>
    </row>
    <row r="9" spans="1:5" x14ac:dyDescent="0.2">
      <c r="A9">
        <v>2015</v>
      </c>
      <c r="B9" s="3" t="s">
        <v>7</v>
      </c>
      <c r="C9" s="4">
        <v>239141</v>
      </c>
      <c r="D9" s="12">
        <f>C9/$C$39</f>
        <v>1.3089664648945135E-2</v>
      </c>
      <c r="E9" s="10">
        <f t="shared" si="0"/>
        <v>427429.90944665443</v>
      </c>
    </row>
    <row r="10" spans="1:5" x14ac:dyDescent="0.2">
      <c r="A10">
        <v>2015</v>
      </c>
      <c r="B10" s="3" t="s">
        <v>8</v>
      </c>
      <c r="C10" s="4">
        <v>6508133</v>
      </c>
      <c r="D10" s="12">
        <f>C10/$C$39</f>
        <v>0.35623033465918957</v>
      </c>
      <c r="E10" s="10">
        <f t="shared" si="0"/>
        <v>11632345.347961176</v>
      </c>
    </row>
    <row r="11" spans="1:5" x14ac:dyDescent="0.2">
      <c r="A11">
        <v>2015</v>
      </c>
      <c r="B11" s="3" t="s">
        <v>9</v>
      </c>
      <c r="C11" s="4">
        <v>9311</v>
      </c>
      <c r="D11" s="12">
        <f>C11/$C$39</f>
        <v>5.0964856526621602E-4</v>
      </c>
      <c r="E11" s="10">
        <f t="shared" si="0"/>
        <v>16642.064250203017</v>
      </c>
    </row>
    <row r="12" spans="1:5" x14ac:dyDescent="0.2">
      <c r="A12">
        <v>2015</v>
      </c>
      <c r="B12" s="3" t="s">
        <v>10</v>
      </c>
      <c r="C12" s="4">
        <v>82415</v>
      </c>
      <c r="D12" s="12">
        <f>C12/$C$39</f>
        <v>4.5110822152738903E-3</v>
      </c>
      <c r="E12" s="10">
        <f t="shared" si="0"/>
        <v>147304.87865755361</v>
      </c>
    </row>
    <row r="13" spans="1:5" x14ac:dyDescent="0.2">
      <c r="A13">
        <v>2015</v>
      </c>
      <c r="B13" s="3" t="s">
        <v>11</v>
      </c>
      <c r="C13" s="4">
        <v>4543491</v>
      </c>
      <c r="D13" s="12">
        <f>C13/$C$39</f>
        <v>0.24869333792825313</v>
      </c>
      <c r="E13" s="10">
        <f t="shared" si="0"/>
        <v>8120832.256709178</v>
      </c>
    </row>
    <row r="14" spans="1:5" x14ac:dyDescent="0.2">
      <c r="A14">
        <v>2015</v>
      </c>
      <c r="B14" s="3" t="s">
        <v>12</v>
      </c>
      <c r="C14" s="4">
        <v>532731</v>
      </c>
      <c r="D14" s="12">
        <f>C14/$C$39</f>
        <v>2.9159659523449309E-2</v>
      </c>
      <c r="E14" s="10">
        <f t="shared" si="0"/>
        <v>952179.52207871375</v>
      </c>
    </row>
    <row r="15" spans="1:5" x14ac:dyDescent="0.2">
      <c r="A15">
        <v>2015</v>
      </c>
      <c r="B15" s="3" t="s">
        <v>13</v>
      </c>
      <c r="C15" s="4">
        <v>34099</v>
      </c>
      <c r="D15" s="12">
        <f>C15/$C$39</f>
        <v>1.8664489772325958E-3</v>
      </c>
      <c r="E15" s="10">
        <f t="shared" si="0"/>
        <v>60947.024902553181</v>
      </c>
    </row>
    <row r="16" spans="1:5" x14ac:dyDescent="0.2">
      <c r="A16">
        <v>2015</v>
      </c>
      <c r="B16" s="3" t="s">
        <v>14</v>
      </c>
      <c r="C16" s="4">
        <v>302200</v>
      </c>
      <c r="D16" s="12">
        <f>C16/$C$39</f>
        <v>1.6541273378095852E-2</v>
      </c>
      <c r="E16" s="10">
        <f t="shared" si="0"/>
        <v>540138.74088834191</v>
      </c>
    </row>
    <row r="17" spans="1:5" x14ac:dyDescent="0.2">
      <c r="A17">
        <v>2015</v>
      </c>
      <c r="B17" s="3" t="s">
        <v>15</v>
      </c>
      <c r="C17" s="4">
        <v>341059</v>
      </c>
      <c r="D17" s="12">
        <f>C17/$C$39</f>
        <v>1.8668266568696204E-2</v>
      </c>
      <c r="E17" s="10">
        <f t="shared" si="0"/>
        <v>609593.57653420581</v>
      </c>
    </row>
    <row r="18" spans="1:5" x14ac:dyDescent="0.2">
      <c r="A18">
        <v>2015</v>
      </c>
      <c r="B18" s="3" t="s">
        <v>16</v>
      </c>
      <c r="C18" s="4">
        <v>3302</v>
      </c>
      <c r="D18" s="12">
        <f>C18/$C$39</f>
        <v>1.8073886397906188E-4</v>
      </c>
      <c r="E18" s="10">
        <f t="shared" si="0"/>
        <v>5901.8468643722863</v>
      </c>
    </row>
    <row r="19" spans="1:5" x14ac:dyDescent="0.2">
      <c r="A19">
        <v>2015</v>
      </c>
      <c r="B19" s="3" t="s">
        <v>17</v>
      </c>
      <c r="C19" s="4">
        <v>102938</v>
      </c>
      <c r="D19" s="12">
        <f>C19/$C$39</f>
        <v>5.6344328226155876E-3</v>
      </c>
      <c r="E19" s="10">
        <f t="shared" si="0"/>
        <v>183986.76938968941</v>
      </c>
    </row>
    <row r="20" spans="1:5" x14ac:dyDescent="0.2">
      <c r="A20">
        <v>2015</v>
      </c>
      <c r="B20" s="3" t="s">
        <v>18</v>
      </c>
      <c r="C20" s="4">
        <v>168569</v>
      </c>
      <c r="D20" s="12">
        <f>C20/$C$39</f>
        <v>9.2268230048717387E-3</v>
      </c>
      <c r="E20" s="10">
        <f t="shared" si="0"/>
        <v>301292.67840108176</v>
      </c>
    </row>
    <row r="21" spans="1:5" x14ac:dyDescent="0.2">
      <c r="A21">
        <v>2015</v>
      </c>
      <c r="B21" s="3" t="s">
        <v>19</v>
      </c>
      <c r="C21" s="4">
        <v>191823</v>
      </c>
      <c r="D21" s="12">
        <f>C21/$C$39</f>
        <v>1.0499658117824225E-2</v>
      </c>
      <c r="E21" s="10">
        <f t="shared" si="0"/>
        <v>342855.83617943223</v>
      </c>
    </row>
    <row r="22" spans="1:5" x14ac:dyDescent="0.2">
      <c r="A22">
        <v>2015</v>
      </c>
      <c r="B22" s="3" t="s">
        <v>20</v>
      </c>
      <c r="C22" s="4">
        <v>251229</v>
      </c>
      <c r="D22" s="12">
        <f>C22/$C$39</f>
        <v>1.3751315584068969E-2</v>
      </c>
      <c r="E22" s="10">
        <f t="shared" si="0"/>
        <v>449035.45908218808</v>
      </c>
    </row>
    <row r="23" spans="1:5" x14ac:dyDescent="0.2">
      <c r="A23">
        <v>2015</v>
      </c>
      <c r="B23" s="3" t="s">
        <v>21</v>
      </c>
      <c r="C23" s="4">
        <v>244307</v>
      </c>
      <c r="D23" s="12">
        <f>C23/$C$39</f>
        <v>1.3372431751100143E-2</v>
      </c>
      <c r="E23" s="10">
        <f t="shared" si="0"/>
        <v>436663.38640042406</v>
      </c>
    </row>
    <row r="24" spans="1:5" x14ac:dyDescent="0.2">
      <c r="A24">
        <v>2015</v>
      </c>
      <c r="B24" s="3" t="s">
        <v>22</v>
      </c>
      <c r="C24" s="4">
        <v>353433</v>
      </c>
      <c r="D24" s="12">
        <f>C24/$C$39</f>
        <v>1.9345572051093815E-2</v>
      </c>
      <c r="E24" s="10">
        <f t="shared" si="0"/>
        <v>631710.30975641741</v>
      </c>
    </row>
    <row r="25" spans="1:5" x14ac:dyDescent="0.2">
      <c r="A25">
        <v>2015</v>
      </c>
      <c r="B25" s="3" t="s">
        <v>23</v>
      </c>
      <c r="C25" s="4">
        <v>175854</v>
      </c>
      <c r="D25" s="12">
        <f>C25/$C$39</f>
        <v>9.6255760709188214E-3</v>
      </c>
      <c r="E25" s="10">
        <f t="shared" si="0"/>
        <v>314313.5610197832</v>
      </c>
    </row>
    <row r="26" spans="1:5" x14ac:dyDescent="0.2">
      <c r="A26">
        <v>2015</v>
      </c>
      <c r="B26" s="3" t="s">
        <v>24</v>
      </c>
      <c r="C26" s="4">
        <v>1021918</v>
      </c>
      <c r="D26" s="12">
        <f>C26/$C$39</f>
        <v>5.5935886856376425E-2</v>
      </c>
      <c r="E26" s="10">
        <f t="shared" si="0"/>
        <v>1826530.4494081158</v>
      </c>
    </row>
    <row r="27" spans="1:5" x14ac:dyDescent="0.2">
      <c r="A27">
        <v>2015</v>
      </c>
      <c r="B27" s="3" t="s">
        <v>25</v>
      </c>
      <c r="C27" s="4">
        <v>465410</v>
      </c>
      <c r="D27" s="12">
        <f>C27/$C$39</f>
        <v>2.5474765198211746E-2</v>
      </c>
      <c r="E27" s="10">
        <f t="shared" si="0"/>
        <v>831852.98278240638</v>
      </c>
    </row>
    <row r="28" spans="1:5" x14ac:dyDescent="0.2">
      <c r="A28">
        <v>2015</v>
      </c>
      <c r="B28" s="3" t="s">
        <v>26</v>
      </c>
      <c r="D28" s="12">
        <f>C28/$C$39</f>
        <v>0</v>
      </c>
      <c r="E28" s="10">
        <f t="shared" si="0"/>
        <v>0</v>
      </c>
    </row>
    <row r="29" spans="1:5" x14ac:dyDescent="0.2">
      <c r="A29">
        <v>2015</v>
      </c>
      <c r="B29" s="3" t="s">
        <v>27</v>
      </c>
      <c r="C29" s="4">
        <v>130283</v>
      </c>
      <c r="D29" s="12">
        <f>C29/$C$39</f>
        <v>7.131193644998219E-3</v>
      </c>
      <c r="E29" s="10">
        <f t="shared" si="0"/>
        <v>232861.99728377184</v>
      </c>
    </row>
    <row r="30" spans="1:5" x14ac:dyDescent="0.2">
      <c r="A30">
        <v>2015</v>
      </c>
      <c r="B30" s="3" t="s">
        <v>28</v>
      </c>
      <c r="C30" s="4">
        <v>138146</v>
      </c>
      <c r="D30" s="12">
        <f>C30/$C$39</f>
        <v>7.5615842226685291E-3</v>
      </c>
      <c r="E30" s="10">
        <f t="shared" si="0"/>
        <v>246915.97120701816</v>
      </c>
    </row>
    <row r="31" spans="1:5" x14ac:dyDescent="0.2">
      <c r="A31">
        <v>2015</v>
      </c>
      <c r="B31" s="3" t="s">
        <v>29</v>
      </c>
      <c r="C31" s="4">
        <v>241709</v>
      </c>
      <c r="D31" s="12">
        <f>C31/$C$39</f>
        <v>1.3230227157333454E-2</v>
      </c>
      <c r="E31" s="10">
        <f t="shared" si="0"/>
        <v>432019.83759556664</v>
      </c>
    </row>
    <row r="32" spans="1:5" x14ac:dyDescent="0.2">
      <c r="A32">
        <v>2015</v>
      </c>
      <c r="B32" s="3" t="s">
        <v>30</v>
      </c>
      <c r="C32" s="4">
        <v>204772</v>
      </c>
      <c r="D32" s="12">
        <f>C32/$C$39</f>
        <v>1.1208436903307226E-2</v>
      </c>
      <c r="E32" s="10">
        <f t="shared" si="0"/>
        <v>366000.29864059418</v>
      </c>
    </row>
    <row r="33" spans="1:5" x14ac:dyDescent="0.2">
      <c r="A33">
        <v>2015</v>
      </c>
      <c r="B33" s="3" t="s">
        <v>31</v>
      </c>
      <c r="C33" s="4">
        <v>220473</v>
      </c>
      <c r="D33" s="12">
        <f>C33/$C$39</f>
        <v>1.2067849654165873E-2</v>
      </c>
      <c r="E33" s="10">
        <f t="shared" si="0"/>
        <v>394063.56260713242</v>
      </c>
    </row>
    <row r="34" spans="1:5" x14ac:dyDescent="0.2">
      <c r="A34">
        <v>2015</v>
      </c>
      <c r="B34" s="3" t="s">
        <v>32</v>
      </c>
      <c r="C34" s="4">
        <v>486345</v>
      </c>
      <c r="D34" s="12">
        <f>C34/$C$39</f>
        <v>2.662066711141637E-2</v>
      </c>
      <c r="E34" s="10">
        <f t="shared" si="0"/>
        <v>869271.26385619014</v>
      </c>
    </row>
    <row r="35" spans="1:5" x14ac:dyDescent="0.2">
      <c r="A35">
        <v>2015</v>
      </c>
      <c r="B35" s="3" t="s">
        <v>33</v>
      </c>
      <c r="C35" s="4">
        <v>3989</v>
      </c>
      <c r="D35" s="12">
        <f>C35/$C$39</f>
        <v>2.1834261914369408E-4</v>
      </c>
      <c r="E35" s="10">
        <f t="shared" si="0"/>
        <v>7129.7598855181868</v>
      </c>
    </row>
    <row r="36" spans="1:5" x14ac:dyDescent="0.2">
      <c r="A36">
        <v>2015</v>
      </c>
      <c r="B36" s="3" t="s">
        <v>34</v>
      </c>
      <c r="C36" s="4">
        <v>354261</v>
      </c>
      <c r="D36" s="12">
        <f>C36/$C$39</f>
        <v>1.9390893607536777E-2</v>
      </c>
      <c r="E36" s="10">
        <f t="shared" si="0"/>
        <v>633190.23986050591</v>
      </c>
    </row>
    <row r="37" spans="1:5" x14ac:dyDescent="0.2">
      <c r="A37">
        <v>2015</v>
      </c>
      <c r="B37" s="3" t="s">
        <v>35</v>
      </c>
      <c r="C37" s="4">
        <v>32654000</v>
      </c>
    </row>
    <row r="39" spans="1:5" x14ac:dyDescent="0.2">
      <c r="C39" s="4">
        <f>SUM(C2:C36)</f>
        <v>18269452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3D60-7D6B-3D40-8935-A15158896990}">
  <sheetPr>
    <tabColor rgb="FFFFFF00"/>
  </sheetPr>
  <dimension ref="A1:E43"/>
  <sheetViews>
    <sheetView workbookViewId="0">
      <selection activeCell="A2" sqref="A2:E40"/>
    </sheetView>
  </sheetViews>
  <sheetFormatPr baseColWidth="10" defaultRowHeight="16" x14ac:dyDescent="0.2"/>
  <cols>
    <col min="2" max="2" width="34.33203125" bestFit="1" customWidth="1"/>
    <col min="3" max="3" width="18.83203125" style="3" bestFit="1" customWidth="1"/>
    <col min="4" max="4" width="12.1640625" style="3" bestFit="1" customWidth="1"/>
    <col min="5" max="5" width="17.1640625" style="3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D1" s="3" t="s">
        <v>59</v>
      </c>
      <c r="E1" s="3" t="s">
        <v>58</v>
      </c>
    </row>
    <row r="2" spans="1:5" x14ac:dyDescent="0.2">
      <c r="A2">
        <v>2016</v>
      </c>
      <c r="B2" s="3" t="s">
        <v>0</v>
      </c>
      <c r="C2" s="4">
        <v>105534</v>
      </c>
      <c r="D2" s="3">
        <f>C2/$C$43</f>
        <v>5.5618683944116962E-3</v>
      </c>
      <c r="E2" s="6">
        <f>D2*$C$41</f>
        <v>215679.27278151762</v>
      </c>
    </row>
    <row r="3" spans="1:5" x14ac:dyDescent="0.2">
      <c r="A3">
        <v>2016</v>
      </c>
      <c r="B3" s="3" t="s">
        <v>1</v>
      </c>
      <c r="C3" s="4">
        <v>121924</v>
      </c>
      <c r="D3" s="3">
        <f t="shared" ref="D3:D40" si="0">C3/$C$43</f>
        <v>6.4256565857472633E-3</v>
      </c>
      <c r="E3" s="6">
        <f t="shared" ref="E3:E40" si="1">D3*$C$41</f>
        <v>249175.42834170745</v>
      </c>
    </row>
    <row r="4" spans="1:5" x14ac:dyDescent="0.2">
      <c r="A4">
        <v>2016</v>
      </c>
      <c r="B4" s="3" t="s">
        <v>39</v>
      </c>
      <c r="C4" s="4">
        <v>190678</v>
      </c>
      <c r="D4" s="3">
        <f t="shared" si="0"/>
        <v>1.0049140008998364E-2</v>
      </c>
      <c r="E4" s="6">
        <f t="shared" si="1"/>
        <v>389687.61134264042</v>
      </c>
    </row>
    <row r="5" spans="1:5" x14ac:dyDescent="0.2">
      <c r="A5">
        <v>2016</v>
      </c>
      <c r="B5" s="3" t="s">
        <v>40</v>
      </c>
      <c r="C5" s="4">
        <v>162547</v>
      </c>
      <c r="D5" s="3">
        <f t="shared" si="0"/>
        <v>8.5665759082991077E-3</v>
      </c>
      <c r="E5" s="6">
        <f t="shared" si="1"/>
        <v>332196.43672008399</v>
      </c>
    </row>
    <row r="6" spans="1:5" x14ac:dyDescent="0.2">
      <c r="A6">
        <v>2016</v>
      </c>
      <c r="B6" s="3" t="s">
        <v>4</v>
      </c>
      <c r="C6" s="4">
        <v>9141</v>
      </c>
      <c r="D6" s="3">
        <f t="shared" si="0"/>
        <v>4.8175032684554089E-4</v>
      </c>
      <c r="E6" s="6">
        <f t="shared" si="1"/>
        <v>18681.412933233387</v>
      </c>
    </row>
    <row r="7" spans="1:5" x14ac:dyDescent="0.2">
      <c r="A7">
        <v>2016</v>
      </c>
      <c r="B7" s="3" t="s">
        <v>5</v>
      </c>
      <c r="C7" s="4">
        <v>94532</v>
      </c>
      <c r="D7" s="3">
        <f t="shared" si="0"/>
        <v>4.9820393717714337E-3</v>
      </c>
      <c r="E7" s="6">
        <f t="shared" si="1"/>
        <v>193194.54407662386</v>
      </c>
    </row>
    <row r="8" spans="1:5" x14ac:dyDescent="0.2">
      <c r="A8">
        <v>2016</v>
      </c>
      <c r="B8" s="3" t="s">
        <v>41</v>
      </c>
      <c r="C8" s="4">
        <v>266831</v>
      </c>
      <c r="D8" s="3">
        <f t="shared" si="0"/>
        <v>1.4062566618807847E-2</v>
      </c>
      <c r="E8" s="6">
        <f t="shared" si="1"/>
        <v>545321.09117028757</v>
      </c>
    </row>
    <row r="9" spans="1:5" x14ac:dyDescent="0.2">
      <c r="A9">
        <v>2016</v>
      </c>
      <c r="B9" s="3" t="s">
        <v>36</v>
      </c>
      <c r="C9" s="4">
        <v>62252</v>
      </c>
      <c r="D9" s="3">
        <f t="shared" si="0"/>
        <v>3.2808140626614827E-3</v>
      </c>
      <c r="E9" s="6">
        <f t="shared" si="1"/>
        <v>127224.08028876982</v>
      </c>
    </row>
    <row r="10" spans="1:5" x14ac:dyDescent="0.2">
      <c r="A10">
        <v>2016</v>
      </c>
      <c r="B10" s="3" t="s">
        <v>8</v>
      </c>
      <c r="C10" s="4">
        <v>6508250</v>
      </c>
      <c r="D10" s="3">
        <f t="shared" si="0"/>
        <v>0.34299874900913374</v>
      </c>
      <c r="E10" s="6">
        <f t="shared" si="1"/>
        <v>13300875.803819735</v>
      </c>
    </row>
    <row r="11" spans="1:5" x14ac:dyDescent="0.2">
      <c r="A11">
        <v>2016</v>
      </c>
      <c r="B11" s="3" t="s">
        <v>7</v>
      </c>
      <c r="C11" s="4">
        <v>244967</v>
      </c>
      <c r="D11" s="3">
        <f t="shared" si="0"/>
        <v>1.2910286874124453E-2</v>
      </c>
      <c r="E11" s="6">
        <f t="shared" si="1"/>
        <v>500637.75101360725</v>
      </c>
    </row>
    <row r="12" spans="1:5" x14ac:dyDescent="0.2">
      <c r="A12">
        <v>2016</v>
      </c>
      <c r="B12" s="3" t="s">
        <v>12</v>
      </c>
      <c r="C12" s="4">
        <v>519277</v>
      </c>
      <c r="D12" s="3">
        <f t="shared" si="0"/>
        <v>2.7367012851260468E-2</v>
      </c>
      <c r="E12" s="6">
        <f t="shared" si="1"/>
        <v>1061243.6345838129</v>
      </c>
    </row>
    <row r="13" spans="1:5" x14ac:dyDescent="0.2">
      <c r="A13">
        <v>2016</v>
      </c>
      <c r="B13" s="3" t="s">
        <v>42</v>
      </c>
      <c r="C13" s="4">
        <v>10205</v>
      </c>
      <c r="D13" s="3">
        <f t="shared" si="0"/>
        <v>5.3782541138373754E-4</v>
      </c>
      <c r="E13" s="6">
        <f t="shared" si="1"/>
        <v>20855.904056847907</v>
      </c>
    </row>
    <row r="14" spans="1:5" x14ac:dyDescent="0.2">
      <c r="A14">
        <v>2016</v>
      </c>
      <c r="B14" s="3" t="s">
        <v>10</v>
      </c>
      <c r="C14" s="4">
        <v>69271</v>
      </c>
      <c r="D14" s="3">
        <f t="shared" si="0"/>
        <v>3.6507304333133644E-3</v>
      </c>
      <c r="E14" s="6">
        <f t="shared" si="1"/>
        <v>141568.77314276446</v>
      </c>
    </row>
    <row r="15" spans="1:5" x14ac:dyDescent="0.2">
      <c r="A15">
        <v>2016</v>
      </c>
      <c r="B15" s="3" t="s">
        <v>11</v>
      </c>
      <c r="C15" s="4">
        <v>4639186</v>
      </c>
      <c r="D15" s="3">
        <f t="shared" si="0"/>
        <v>0.24449506310001723</v>
      </c>
      <c r="E15" s="6">
        <f t="shared" si="1"/>
        <v>9481079.6783804037</v>
      </c>
    </row>
    <row r="16" spans="1:5" x14ac:dyDescent="0.2">
      <c r="A16">
        <v>2016</v>
      </c>
      <c r="B16" s="3" t="s">
        <v>37</v>
      </c>
      <c r="C16" s="4">
        <v>14732</v>
      </c>
      <c r="D16" s="3">
        <f t="shared" si="0"/>
        <v>7.7640803140668511E-4</v>
      </c>
      <c r="E16" s="6">
        <f t="shared" si="1"/>
        <v>30107.709805534872</v>
      </c>
    </row>
    <row r="17" spans="1:5" x14ac:dyDescent="0.2">
      <c r="A17">
        <v>2016</v>
      </c>
      <c r="B17" s="3" t="s">
        <v>13</v>
      </c>
      <c r="C17" s="4">
        <v>85941</v>
      </c>
      <c r="D17" s="3">
        <f t="shared" si="0"/>
        <v>4.5292752258431932E-3</v>
      </c>
      <c r="E17" s="6">
        <f t="shared" si="1"/>
        <v>175637.16320916865</v>
      </c>
    </row>
    <row r="18" spans="1:5" x14ac:dyDescent="0.2">
      <c r="A18">
        <v>2016</v>
      </c>
      <c r="B18" s="3" t="s">
        <v>14</v>
      </c>
      <c r="C18" s="4">
        <v>296467</v>
      </c>
      <c r="D18" s="3">
        <f t="shared" si="0"/>
        <v>1.5624447450926265E-2</v>
      </c>
      <c r="E18" s="6">
        <f t="shared" si="1"/>
        <v>605888.02626374608</v>
      </c>
    </row>
    <row r="19" spans="1:5" x14ac:dyDescent="0.2">
      <c r="A19">
        <v>2016</v>
      </c>
      <c r="B19" s="3" t="s">
        <v>15</v>
      </c>
      <c r="C19" s="4">
        <v>365524</v>
      </c>
      <c r="D19" s="3">
        <f t="shared" si="0"/>
        <v>1.9263899624755443E-2</v>
      </c>
      <c r="E19" s="6">
        <f t="shared" si="1"/>
        <v>747019.44874818961</v>
      </c>
    </row>
    <row r="20" spans="1:5" x14ac:dyDescent="0.2">
      <c r="A20">
        <v>2016</v>
      </c>
      <c r="B20" s="3" t="s">
        <v>16</v>
      </c>
      <c r="C20" s="4">
        <v>74127</v>
      </c>
      <c r="D20" s="3">
        <f t="shared" si="0"/>
        <v>3.9066520597395701E-3</v>
      </c>
      <c r="E20" s="6">
        <f t="shared" si="1"/>
        <v>151492.95443625329</v>
      </c>
    </row>
    <row r="21" spans="1:5" x14ac:dyDescent="0.2">
      <c r="A21">
        <v>2016</v>
      </c>
      <c r="B21" s="3" t="s">
        <v>17</v>
      </c>
      <c r="C21" s="4">
        <v>143239</v>
      </c>
      <c r="D21" s="3">
        <f t="shared" si="0"/>
        <v>7.5490028516604782E-3</v>
      </c>
      <c r="E21" s="6">
        <f t="shared" si="1"/>
        <v>292736.78012727463</v>
      </c>
    </row>
    <row r="22" spans="1:5" x14ac:dyDescent="0.2">
      <c r="A22">
        <v>2016</v>
      </c>
      <c r="B22" s="3" t="s">
        <v>43</v>
      </c>
      <c r="C22" s="4">
        <v>70434</v>
      </c>
      <c r="D22" s="3">
        <f t="shared" si="0"/>
        <v>3.7120230304166753E-3</v>
      </c>
      <c r="E22" s="6">
        <f t="shared" si="1"/>
        <v>143945.59003821906</v>
      </c>
    </row>
    <row r="23" spans="1:5" x14ac:dyDescent="0.2">
      <c r="A23">
        <v>2016</v>
      </c>
      <c r="B23" s="3" t="s">
        <v>44</v>
      </c>
      <c r="C23" s="4">
        <v>167387</v>
      </c>
      <c r="D23" s="3">
        <f t="shared" si="0"/>
        <v>8.8216543003713545E-3</v>
      </c>
      <c r="E23" s="6">
        <f t="shared" si="1"/>
        <v>342087.91889893194</v>
      </c>
    </row>
    <row r="24" spans="1:5" x14ac:dyDescent="0.2">
      <c r="A24">
        <v>2016</v>
      </c>
      <c r="B24" s="3" t="s">
        <v>45</v>
      </c>
      <c r="C24" s="4">
        <v>74068</v>
      </c>
      <c r="D24" s="3">
        <f t="shared" si="0"/>
        <v>3.9035426330593509E-3</v>
      </c>
      <c r="E24" s="6">
        <f t="shared" si="1"/>
        <v>151372.3764510153</v>
      </c>
    </row>
    <row r="25" spans="1:5" x14ac:dyDescent="0.2">
      <c r="A25">
        <v>2016</v>
      </c>
      <c r="B25" s="3" t="s">
        <v>19</v>
      </c>
      <c r="C25" s="4">
        <v>284851</v>
      </c>
      <c r="D25" s="3">
        <f t="shared" si="0"/>
        <v>1.5012259309952869E-2</v>
      </c>
      <c r="E25" s="6">
        <f t="shared" si="1"/>
        <v>582148.4690345109</v>
      </c>
    </row>
    <row r="26" spans="1:5" x14ac:dyDescent="0.2">
      <c r="A26">
        <v>2016</v>
      </c>
      <c r="B26" s="3" t="s">
        <v>20</v>
      </c>
      <c r="C26" s="4">
        <v>320840</v>
      </c>
      <c r="D26" s="3">
        <f t="shared" si="0"/>
        <v>1.6908956882739672E-2</v>
      </c>
      <c r="E26" s="6">
        <f t="shared" si="1"/>
        <v>655698.99633503996</v>
      </c>
    </row>
    <row r="27" spans="1:5" x14ac:dyDescent="0.2">
      <c r="A27">
        <v>2016</v>
      </c>
      <c r="B27" s="3" t="s">
        <v>38</v>
      </c>
      <c r="C27" s="4">
        <v>242448</v>
      </c>
      <c r="D27" s="3">
        <f t="shared" si="0"/>
        <v>1.2777530165523214E-2</v>
      </c>
      <c r="E27" s="6">
        <f t="shared" si="1"/>
        <v>495489.68415234314</v>
      </c>
    </row>
    <row r="28" spans="1:5" x14ac:dyDescent="0.2">
      <c r="A28">
        <v>2016</v>
      </c>
      <c r="B28" s="3" t="s">
        <v>22</v>
      </c>
      <c r="C28" s="4">
        <v>434928</v>
      </c>
      <c r="D28" s="3">
        <f t="shared" si="0"/>
        <v>2.292163944363608E-2</v>
      </c>
      <c r="E28" s="6">
        <f t="shared" si="1"/>
        <v>888860.03328140581</v>
      </c>
    </row>
    <row r="29" spans="1:5" x14ac:dyDescent="0.2">
      <c r="A29">
        <v>2016</v>
      </c>
      <c r="B29" s="3" t="s">
        <v>23</v>
      </c>
      <c r="D29" s="3">
        <f t="shared" si="0"/>
        <v>0</v>
      </c>
      <c r="E29" s="6">
        <f t="shared" si="1"/>
        <v>0</v>
      </c>
    </row>
    <row r="30" spans="1:5" x14ac:dyDescent="0.2">
      <c r="A30">
        <v>2016</v>
      </c>
      <c r="B30" s="3" t="s">
        <v>24</v>
      </c>
      <c r="C30" s="4">
        <v>1175501</v>
      </c>
      <c r="D30" s="3">
        <f t="shared" si="0"/>
        <v>6.1951426644487495E-2</v>
      </c>
      <c r="E30" s="6">
        <f t="shared" si="1"/>
        <v>2402365.1224623984</v>
      </c>
    </row>
    <row r="31" spans="1:5" x14ac:dyDescent="0.2">
      <c r="A31">
        <v>2016</v>
      </c>
      <c r="B31" s="3" t="s">
        <v>25</v>
      </c>
      <c r="C31" s="4">
        <v>504157</v>
      </c>
      <c r="D31" s="3">
        <f t="shared" si="0"/>
        <v>2.6570156386770308E-2</v>
      </c>
      <c r="E31" s="6">
        <f t="shared" si="1"/>
        <v>1030342.9712482382</v>
      </c>
    </row>
    <row r="32" spans="1:5" x14ac:dyDescent="0.2">
      <c r="A32">
        <v>2016</v>
      </c>
      <c r="B32" s="3" t="s">
        <v>26</v>
      </c>
      <c r="D32" s="3">
        <f t="shared" si="0"/>
        <v>0</v>
      </c>
      <c r="E32" s="6">
        <f t="shared" si="1"/>
        <v>0</v>
      </c>
    </row>
    <row r="33" spans="1:5" x14ac:dyDescent="0.2">
      <c r="A33">
        <v>2016</v>
      </c>
      <c r="B33" s="3" t="s">
        <v>46</v>
      </c>
      <c r="C33" s="4">
        <v>130635</v>
      </c>
      <c r="D33" s="3">
        <f t="shared" si="0"/>
        <v>6.8847449893301872E-3</v>
      </c>
      <c r="E33" s="6">
        <f t="shared" si="1"/>
        <v>266978.05256896879</v>
      </c>
    </row>
    <row r="34" spans="1:5" x14ac:dyDescent="0.2">
      <c r="A34">
        <v>2016</v>
      </c>
      <c r="B34" s="3" t="s">
        <v>28</v>
      </c>
      <c r="C34" s="4">
        <v>150889</v>
      </c>
      <c r="D34" s="3">
        <f t="shared" si="0"/>
        <v>7.9521742771465724E-3</v>
      </c>
      <c r="E34" s="6">
        <f t="shared" si="1"/>
        <v>308371.04431491659</v>
      </c>
    </row>
    <row r="35" spans="1:5" x14ac:dyDescent="0.2">
      <c r="A35">
        <v>2016</v>
      </c>
      <c r="B35" s="3" t="s">
        <v>29</v>
      </c>
      <c r="C35" s="4">
        <v>266745</v>
      </c>
      <c r="D35" s="3">
        <f t="shared" si="0"/>
        <v>1.4058034234155324E-2</v>
      </c>
      <c r="E35" s="6">
        <f t="shared" si="1"/>
        <v>545145.33342909312</v>
      </c>
    </row>
    <row r="36" spans="1:5" x14ac:dyDescent="0.2">
      <c r="A36">
        <v>2016</v>
      </c>
      <c r="B36" s="3" t="s">
        <v>30</v>
      </c>
      <c r="D36" s="3">
        <f t="shared" si="0"/>
        <v>0</v>
      </c>
      <c r="E36" s="6">
        <f t="shared" si="1"/>
        <v>0</v>
      </c>
    </row>
    <row r="37" spans="1:5" x14ac:dyDescent="0.2">
      <c r="A37">
        <v>2016</v>
      </c>
      <c r="B37" s="3" t="s">
        <v>31</v>
      </c>
      <c r="C37" s="4">
        <v>275448</v>
      </c>
      <c r="D37" s="3">
        <f t="shared" si="0"/>
        <v>1.4516701020561268E-2</v>
      </c>
      <c r="E37" s="6">
        <f t="shared" si="1"/>
        <v>562931.60809903406</v>
      </c>
    </row>
    <row r="38" spans="1:5" x14ac:dyDescent="0.2">
      <c r="A38">
        <v>2016</v>
      </c>
      <c r="B38" s="3" t="s">
        <v>32</v>
      </c>
      <c r="C38" s="4">
        <v>503089</v>
      </c>
      <c r="D38" s="3">
        <f t="shared" si="0"/>
        <v>2.6513870493643621E-2</v>
      </c>
      <c r="E38" s="6">
        <f t="shared" si="1"/>
        <v>1028160.3053459636</v>
      </c>
    </row>
    <row r="39" spans="1:5" x14ac:dyDescent="0.2">
      <c r="A39">
        <v>2016</v>
      </c>
      <c r="B39" s="3" t="s">
        <v>33</v>
      </c>
      <c r="C39" s="4">
        <v>39611</v>
      </c>
      <c r="D39" s="3">
        <f t="shared" si="0"/>
        <v>2.0875847496640105E-3</v>
      </c>
      <c r="E39" s="6">
        <f t="shared" si="1"/>
        <v>80952.789377344685</v>
      </c>
    </row>
    <row r="40" spans="1:5" x14ac:dyDescent="0.2">
      <c r="A40">
        <v>2016</v>
      </c>
      <c r="B40" s="3" t="s">
        <v>34</v>
      </c>
      <c r="C40" s="4">
        <v>348903</v>
      </c>
      <c r="D40" s="3">
        <f t="shared" si="0"/>
        <v>1.838793723743461E-2</v>
      </c>
      <c r="E40" s="6">
        <f t="shared" si="1"/>
        <v>713051.19972037303</v>
      </c>
    </row>
    <row r="41" spans="1:5" x14ac:dyDescent="0.2">
      <c r="A41">
        <v>2016</v>
      </c>
      <c r="B41" s="3" t="s">
        <v>35</v>
      </c>
      <c r="C41" s="4">
        <v>38778205</v>
      </c>
    </row>
    <row r="43" spans="1:5" x14ac:dyDescent="0.2">
      <c r="C43" s="4">
        <f>SUM(C2:C40)</f>
        <v>18974559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9DA6-3E8A-894A-97F5-42C0D329113D}">
  <sheetPr>
    <tabColor rgb="FFFFFF00"/>
  </sheetPr>
  <dimension ref="A1:E44"/>
  <sheetViews>
    <sheetView workbookViewId="0">
      <selection activeCell="A2" sqref="A2:E40"/>
    </sheetView>
  </sheetViews>
  <sheetFormatPr baseColWidth="10" defaultRowHeight="16" x14ac:dyDescent="0.2"/>
  <cols>
    <col min="2" max="2" width="34.1640625" style="3" bestFit="1" customWidth="1"/>
    <col min="3" max="3" width="18.83203125" style="3" bestFit="1" customWidth="1"/>
    <col min="4" max="4" width="12.6640625" bestFit="1" customWidth="1"/>
    <col min="5" max="5" width="17.1640625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D1" t="s">
        <v>59</v>
      </c>
      <c r="E1" s="3" t="s">
        <v>58</v>
      </c>
    </row>
    <row r="2" spans="1:5" x14ac:dyDescent="0.2">
      <c r="A2">
        <v>2017</v>
      </c>
      <c r="B2" s="3" t="s">
        <v>0</v>
      </c>
      <c r="C2" s="4">
        <v>119341</v>
      </c>
      <c r="D2" s="3">
        <f>C2/$C$43</f>
        <v>6.1094790635118391E-3</v>
      </c>
      <c r="E2" s="11">
        <f>D2*$C$41</f>
        <v>185128.21268672304</v>
      </c>
    </row>
    <row r="3" spans="1:5" x14ac:dyDescent="0.2">
      <c r="A3">
        <v>2017</v>
      </c>
      <c r="B3" s="3" t="s">
        <v>1</v>
      </c>
      <c r="C3" s="4">
        <v>110385</v>
      </c>
      <c r="D3" s="3">
        <f t="shared" ref="D3:D40" si="0">C3/$C$43</f>
        <v>5.6509904092118743E-3</v>
      </c>
      <c r="E3" s="11">
        <f t="shared" ref="E3:E40" si="1">D3*$C$41</f>
        <v>171235.18118185637</v>
      </c>
    </row>
    <row r="4" spans="1:5" x14ac:dyDescent="0.2">
      <c r="A4">
        <v>2017</v>
      </c>
      <c r="B4" s="3" t="s">
        <v>39</v>
      </c>
      <c r="C4" s="4">
        <v>180877</v>
      </c>
      <c r="D4" s="3">
        <f t="shared" si="0"/>
        <v>9.2597200004259292E-3</v>
      </c>
      <c r="E4" s="11">
        <f t="shared" si="1"/>
        <v>280586.1835089064</v>
      </c>
    </row>
    <row r="5" spans="1:5" x14ac:dyDescent="0.2">
      <c r="A5">
        <v>2017</v>
      </c>
      <c r="B5" s="3" t="s">
        <v>40</v>
      </c>
      <c r="C5" s="4">
        <v>151412</v>
      </c>
      <c r="D5" s="3">
        <f t="shared" si="0"/>
        <v>7.751304614210159E-3</v>
      </c>
      <c r="E5" s="11">
        <f t="shared" si="1"/>
        <v>234878.4821588734</v>
      </c>
    </row>
    <row r="6" spans="1:5" x14ac:dyDescent="0.2">
      <c r="A6">
        <v>2017</v>
      </c>
      <c r="B6" s="3" t="s">
        <v>4</v>
      </c>
      <c r="C6" s="4">
        <v>10008</v>
      </c>
      <c r="D6" s="3">
        <f t="shared" si="0"/>
        <v>5.1234417733743204E-4</v>
      </c>
      <c r="E6" s="11">
        <f t="shared" si="1"/>
        <v>15524.950792843398</v>
      </c>
    </row>
    <row r="7" spans="1:5" x14ac:dyDescent="0.2">
      <c r="A7">
        <v>2017</v>
      </c>
      <c r="B7" s="3" t="s">
        <v>5</v>
      </c>
      <c r="D7" s="3">
        <f t="shared" si="0"/>
        <v>0</v>
      </c>
      <c r="E7" s="11">
        <f t="shared" si="1"/>
        <v>0</v>
      </c>
    </row>
    <row r="8" spans="1:5" x14ac:dyDescent="0.2">
      <c r="A8">
        <v>2017</v>
      </c>
      <c r="B8" s="3" t="s">
        <v>41</v>
      </c>
      <c r="C8" s="4">
        <v>272738</v>
      </c>
      <c r="D8" s="3">
        <f t="shared" si="0"/>
        <v>1.3962402701704292E-2</v>
      </c>
      <c r="E8" s="11">
        <f t="shared" si="1"/>
        <v>423085.93418650312</v>
      </c>
    </row>
    <row r="9" spans="1:5" x14ac:dyDescent="0.2">
      <c r="A9">
        <v>2017</v>
      </c>
      <c r="B9" s="3" t="s">
        <v>36</v>
      </c>
      <c r="C9" s="4">
        <v>108016</v>
      </c>
      <c r="D9" s="3">
        <f t="shared" si="0"/>
        <v>5.5297130954516452E-3</v>
      </c>
      <c r="E9" s="11">
        <f t="shared" si="1"/>
        <v>167560.26027575665</v>
      </c>
    </row>
    <row r="10" spans="1:5" x14ac:dyDescent="0.2">
      <c r="A10">
        <v>2017</v>
      </c>
      <c r="B10" s="3" t="s">
        <v>8</v>
      </c>
      <c r="C10" s="4">
        <v>6575637</v>
      </c>
      <c r="D10" s="3">
        <f t="shared" si="0"/>
        <v>0.33662962922008194</v>
      </c>
      <c r="E10" s="11">
        <f t="shared" si="1"/>
        <v>10200483.698701078</v>
      </c>
    </row>
    <row r="11" spans="1:5" x14ac:dyDescent="0.2">
      <c r="A11">
        <v>2017</v>
      </c>
      <c r="B11" s="3" t="s">
        <v>7</v>
      </c>
      <c r="C11" s="4">
        <v>238684</v>
      </c>
      <c r="D11" s="3">
        <f t="shared" si="0"/>
        <v>1.2219060513949604E-2</v>
      </c>
      <c r="E11" s="11">
        <f t="shared" si="1"/>
        <v>370259.5278815981</v>
      </c>
    </row>
    <row r="12" spans="1:5" x14ac:dyDescent="0.2">
      <c r="A12">
        <v>2017</v>
      </c>
      <c r="B12" s="3" t="s">
        <v>12</v>
      </c>
      <c r="C12" s="4">
        <v>526179</v>
      </c>
      <c r="D12" s="3">
        <f t="shared" si="0"/>
        <v>2.6936925148604383E-2</v>
      </c>
      <c r="E12" s="11">
        <f t="shared" si="1"/>
        <v>816237.31846798025</v>
      </c>
    </row>
    <row r="13" spans="1:5" x14ac:dyDescent="0.2">
      <c r="A13">
        <v>2017</v>
      </c>
      <c r="B13" s="3" t="s">
        <v>47</v>
      </c>
      <c r="C13" s="4">
        <v>7697</v>
      </c>
      <c r="D13" s="3">
        <f t="shared" si="0"/>
        <v>3.9403608442907821E-4</v>
      </c>
      <c r="E13" s="11">
        <f t="shared" si="1"/>
        <v>11940.002623153043</v>
      </c>
    </row>
    <row r="14" spans="1:5" x14ac:dyDescent="0.2">
      <c r="A14">
        <v>2017</v>
      </c>
      <c r="B14" s="3" t="s">
        <v>10</v>
      </c>
      <c r="C14" s="4">
        <v>52807</v>
      </c>
      <c r="D14" s="3">
        <f t="shared" si="0"/>
        <v>2.7033731987068121E-3</v>
      </c>
      <c r="E14" s="11">
        <f t="shared" si="1"/>
        <v>81917.073992574078</v>
      </c>
    </row>
    <row r="15" spans="1:5" x14ac:dyDescent="0.2">
      <c r="A15">
        <v>2017</v>
      </c>
      <c r="B15" s="3" t="s">
        <v>11</v>
      </c>
      <c r="C15" s="4">
        <v>4596417</v>
      </c>
      <c r="D15" s="3">
        <f t="shared" si="0"/>
        <v>0.23530650345371579</v>
      </c>
      <c r="E15" s="11">
        <f t="shared" si="1"/>
        <v>7130210.6063538054</v>
      </c>
    </row>
    <row r="16" spans="1:5" x14ac:dyDescent="0.2">
      <c r="A16">
        <v>2017</v>
      </c>
      <c r="B16" s="3" t="s">
        <v>37</v>
      </c>
      <c r="C16" s="3">
        <v>210</v>
      </c>
      <c r="D16" s="3">
        <f t="shared" si="0"/>
        <v>1.0750627222308228E-5</v>
      </c>
      <c r="E16" s="11">
        <f t="shared" si="1"/>
        <v>325.76335596493942</v>
      </c>
    </row>
    <row r="17" spans="1:5" x14ac:dyDescent="0.2">
      <c r="A17">
        <v>2017</v>
      </c>
      <c r="B17" s="3" t="s">
        <v>13</v>
      </c>
      <c r="C17" s="4">
        <v>121375</v>
      </c>
      <c r="D17" s="3">
        <f t="shared" si="0"/>
        <v>6.2136065671793382E-3</v>
      </c>
      <c r="E17" s="11">
        <f t="shared" si="1"/>
        <v>188283.46347735488</v>
      </c>
    </row>
    <row r="18" spans="1:5" x14ac:dyDescent="0.2">
      <c r="A18">
        <v>2017</v>
      </c>
      <c r="B18" s="3" t="s">
        <v>14</v>
      </c>
      <c r="C18" s="4">
        <v>300991</v>
      </c>
      <c r="D18" s="3">
        <f t="shared" si="0"/>
        <v>1.5408771610808456E-2</v>
      </c>
      <c r="E18" s="11">
        <f t="shared" si="1"/>
        <v>466913.51559639565</v>
      </c>
    </row>
    <row r="19" spans="1:5" x14ac:dyDescent="0.2">
      <c r="A19">
        <v>2017</v>
      </c>
      <c r="B19" s="3" t="s">
        <v>15</v>
      </c>
      <c r="C19" s="4">
        <v>383158</v>
      </c>
      <c r="D19" s="3">
        <f t="shared" si="0"/>
        <v>1.9615184882119885E-2</v>
      </c>
      <c r="E19" s="11">
        <f t="shared" si="1"/>
        <v>594375.40926102037</v>
      </c>
    </row>
    <row r="20" spans="1:5" x14ac:dyDescent="0.2">
      <c r="A20">
        <v>2017</v>
      </c>
      <c r="B20" s="3" t="s">
        <v>48</v>
      </c>
      <c r="C20" s="4">
        <v>124376</v>
      </c>
      <c r="D20" s="3">
        <f t="shared" si="0"/>
        <v>6.3672381495324193E-3</v>
      </c>
      <c r="E20" s="11">
        <f t="shared" si="1"/>
        <v>192938.77695950147</v>
      </c>
    </row>
    <row r="21" spans="1:5" x14ac:dyDescent="0.2">
      <c r="A21">
        <v>2017</v>
      </c>
      <c r="B21" s="3" t="s">
        <v>17</v>
      </c>
      <c r="C21" s="4">
        <v>230697</v>
      </c>
      <c r="D21" s="3">
        <f t="shared" si="0"/>
        <v>1.1810178325261149E-2</v>
      </c>
      <c r="E21" s="11">
        <f t="shared" si="1"/>
        <v>357869.6615763983</v>
      </c>
    </row>
    <row r="22" spans="1:5" x14ac:dyDescent="0.2">
      <c r="A22">
        <v>2017</v>
      </c>
      <c r="B22" s="3" t="s">
        <v>43</v>
      </c>
      <c r="C22" s="4">
        <v>110881</v>
      </c>
      <c r="D22" s="3">
        <f t="shared" si="0"/>
        <v>5.676382366841707E-3</v>
      </c>
      <c r="E22" s="11">
        <f t="shared" si="1"/>
        <v>172004.60320356404</v>
      </c>
    </row>
    <row r="23" spans="1:5" x14ac:dyDescent="0.2">
      <c r="A23">
        <v>2017</v>
      </c>
      <c r="B23" s="3" t="s">
        <v>18</v>
      </c>
      <c r="C23" s="4">
        <v>176930</v>
      </c>
      <c r="D23" s="3">
        <f t="shared" si="0"/>
        <v>9.0576594021094976E-3</v>
      </c>
      <c r="E23" s="11">
        <f t="shared" si="1"/>
        <v>274463.38367084158</v>
      </c>
    </row>
    <row r="24" spans="1:5" x14ac:dyDescent="0.2">
      <c r="A24">
        <v>2017</v>
      </c>
      <c r="B24" s="3" t="s">
        <v>45</v>
      </c>
      <c r="C24" s="4">
        <v>114031</v>
      </c>
      <c r="D24" s="3">
        <f t="shared" si="0"/>
        <v>5.8376417751763304E-3</v>
      </c>
      <c r="E24" s="11">
        <f t="shared" si="1"/>
        <v>176891.05354303814</v>
      </c>
    </row>
    <row r="25" spans="1:5" x14ac:dyDescent="0.2">
      <c r="A25">
        <v>2017</v>
      </c>
      <c r="B25" s="3" t="s">
        <v>19</v>
      </c>
      <c r="C25" s="4">
        <v>328389</v>
      </c>
      <c r="D25" s="3">
        <f t="shared" si="0"/>
        <v>1.6811370109078936E-2</v>
      </c>
      <c r="E25" s="11">
        <f t="shared" si="1"/>
        <v>509414.7747712881</v>
      </c>
    </row>
    <row r="26" spans="1:5" x14ac:dyDescent="0.2">
      <c r="A26">
        <v>2017</v>
      </c>
      <c r="B26" s="3" t="s">
        <v>20</v>
      </c>
      <c r="C26" s="4">
        <v>356501</v>
      </c>
      <c r="D26" s="3">
        <f t="shared" si="0"/>
        <v>1.8250520739905265E-2</v>
      </c>
      <c r="E26" s="11">
        <f t="shared" si="1"/>
        <v>553023.62935646134</v>
      </c>
    </row>
    <row r="27" spans="1:5" x14ac:dyDescent="0.2">
      <c r="A27">
        <v>2017</v>
      </c>
      <c r="B27" s="3" t="s">
        <v>38</v>
      </c>
      <c r="C27" s="4">
        <v>236800</v>
      </c>
      <c r="D27" s="3">
        <f t="shared" si="0"/>
        <v>1.212261202972661E-2</v>
      </c>
      <c r="E27" s="11">
        <f t="shared" si="1"/>
        <v>367336.96520236979</v>
      </c>
    </row>
    <row r="28" spans="1:5" x14ac:dyDescent="0.2">
      <c r="A28">
        <v>2017</v>
      </c>
      <c r="B28" s="3" t="s">
        <v>22</v>
      </c>
      <c r="C28" s="4">
        <v>518808</v>
      </c>
      <c r="D28" s="3">
        <f t="shared" si="0"/>
        <v>2.6559578133101367E-2</v>
      </c>
      <c r="E28" s="11">
        <f t="shared" si="1"/>
        <v>804803.02467361104</v>
      </c>
    </row>
    <row r="29" spans="1:5" x14ac:dyDescent="0.2">
      <c r="A29">
        <v>2017</v>
      </c>
      <c r="B29" s="3" t="s">
        <v>23</v>
      </c>
      <c r="D29" s="3">
        <f t="shared" si="0"/>
        <v>0</v>
      </c>
      <c r="E29" s="11">
        <f t="shared" si="1"/>
        <v>0</v>
      </c>
    </row>
    <row r="30" spans="1:5" x14ac:dyDescent="0.2">
      <c r="A30">
        <v>2017</v>
      </c>
      <c r="B30" s="3" t="s">
        <v>24</v>
      </c>
      <c r="C30" s="4">
        <v>1279678</v>
      </c>
      <c r="D30" s="3">
        <f t="shared" si="0"/>
        <v>6.551114829804261E-2</v>
      </c>
      <c r="E30" s="11">
        <f t="shared" si="1"/>
        <v>1985105.7134976275</v>
      </c>
    </row>
    <row r="31" spans="1:5" x14ac:dyDescent="0.2">
      <c r="A31">
        <v>2017</v>
      </c>
      <c r="B31" s="3" t="s">
        <v>25</v>
      </c>
      <c r="C31" s="4">
        <v>617960</v>
      </c>
      <c r="D31" s="3">
        <f t="shared" si="0"/>
        <v>3.1635512372845676E-2</v>
      </c>
      <c r="E31" s="11">
        <f t="shared" si="1"/>
        <v>958612.96881949506</v>
      </c>
    </row>
    <row r="32" spans="1:5" x14ac:dyDescent="0.2">
      <c r="A32">
        <v>2017</v>
      </c>
      <c r="B32" s="3" t="s">
        <v>26</v>
      </c>
      <c r="D32" s="3">
        <f t="shared" si="0"/>
        <v>0</v>
      </c>
      <c r="E32" s="11">
        <f t="shared" si="1"/>
        <v>0</v>
      </c>
    </row>
    <row r="33" spans="1:5" x14ac:dyDescent="0.2">
      <c r="A33">
        <v>2017</v>
      </c>
      <c r="B33" s="3" t="s">
        <v>27</v>
      </c>
      <c r="C33" s="4">
        <v>138372</v>
      </c>
      <c r="D33" s="3">
        <f t="shared" si="0"/>
        <v>7.0837418571677814E-3</v>
      </c>
      <c r="E33" s="11">
        <f t="shared" si="1"/>
        <v>214650.12900752667</v>
      </c>
    </row>
    <row r="34" spans="1:5" x14ac:dyDescent="0.2">
      <c r="A34">
        <v>2017</v>
      </c>
      <c r="B34" s="3" t="s">
        <v>49</v>
      </c>
      <c r="C34" s="4">
        <v>84167</v>
      </c>
      <c r="D34" s="3">
        <f t="shared" si="0"/>
        <v>4.3088001972381744E-3</v>
      </c>
      <c r="E34" s="11">
        <f t="shared" si="1"/>
        <v>130564.40181667171</v>
      </c>
    </row>
    <row r="35" spans="1:5" x14ac:dyDescent="0.2">
      <c r="A35">
        <v>2017</v>
      </c>
      <c r="B35" s="3" t="s">
        <v>29</v>
      </c>
      <c r="C35" s="4">
        <v>277599</v>
      </c>
      <c r="D35" s="3">
        <f t="shared" si="0"/>
        <v>1.4211254125169246E-2</v>
      </c>
      <c r="E35" s="11">
        <f t="shared" si="1"/>
        <v>430626.58025005343</v>
      </c>
    </row>
    <row r="36" spans="1:5" x14ac:dyDescent="0.2">
      <c r="A36">
        <v>2017</v>
      </c>
      <c r="B36" s="3" t="s">
        <v>30</v>
      </c>
      <c r="D36" s="3">
        <f t="shared" si="0"/>
        <v>0</v>
      </c>
      <c r="E36" s="11">
        <f t="shared" si="1"/>
        <v>0</v>
      </c>
    </row>
    <row r="37" spans="1:5" x14ac:dyDescent="0.2">
      <c r="A37">
        <v>2017</v>
      </c>
      <c r="B37" s="3" t="s">
        <v>31</v>
      </c>
      <c r="C37" s="4">
        <v>309118</v>
      </c>
      <c r="D37" s="3">
        <f t="shared" si="0"/>
        <v>1.5824820884311783E-2</v>
      </c>
      <c r="E37" s="11">
        <f t="shared" si="1"/>
        <v>479520.55747223878</v>
      </c>
    </row>
    <row r="38" spans="1:5" x14ac:dyDescent="0.2">
      <c r="A38">
        <v>2017</v>
      </c>
      <c r="B38" s="3" t="s">
        <v>32</v>
      </c>
      <c r="C38" s="4">
        <v>513436</v>
      </c>
      <c r="D38" s="3">
        <f t="shared" si="0"/>
        <v>2.6284566850062127E-2</v>
      </c>
      <c r="E38" s="11">
        <f t="shared" si="1"/>
        <v>796469.68777721259</v>
      </c>
    </row>
    <row r="39" spans="1:5" x14ac:dyDescent="0.2">
      <c r="A39">
        <v>2017</v>
      </c>
      <c r="B39" s="3" t="s">
        <v>33</v>
      </c>
      <c r="D39" s="3">
        <f t="shared" si="0"/>
        <v>0</v>
      </c>
      <c r="E39" s="11">
        <f t="shared" si="1"/>
        <v>0</v>
      </c>
    </row>
    <row r="40" spans="1:5" x14ac:dyDescent="0.2">
      <c r="A40">
        <v>2017</v>
      </c>
      <c r="B40" s="3" t="s">
        <v>34</v>
      </c>
      <c r="C40" s="4">
        <v>360069</v>
      </c>
      <c r="D40" s="3">
        <f t="shared" si="0"/>
        <v>1.8433179015758576E-2</v>
      </c>
      <c r="E40" s="11">
        <f t="shared" si="1"/>
        <v>558558.50389971316</v>
      </c>
    </row>
    <row r="41" spans="1:5" x14ac:dyDescent="0.2">
      <c r="A41">
        <v>2017</v>
      </c>
      <c r="B41" s="3" t="s">
        <v>35</v>
      </c>
      <c r="C41" s="4">
        <v>30301800</v>
      </c>
      <c r="D41" s="3"/>
      <c r="E41" s="3"/>
    </row>
    <row r="42" spans="1:5" x14ac:dyDescent="0.2">
      <c r="C42" s="4"/>
      <c r="D42" s="3"/>
      <c r="E42" s="3"/>
    </row>
    <row r="43" spans="1:5" x14ac:dyDescent="0.2">
      <c r="C43" s="4">
        <f>SUM(C2:C40)</f>
        <v>19533744</v>
      </c>
      <c r="D43" s="3"/>
      <c r="E43" s="3"/>
    </row>
    <row r="44" spans="1:5" x14ac:dyDescent="0.2">
      <c r="D44" s="3"/>
      <c r="E4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9D34-9054-974E-973D-17FD0F9B36F8}">
  <sheetPr>
    <tabColor rgb="FFFFFF00"/>
  </sheetPr>
  <dimension ref="A1:E43"/>
  <sheetViews>
    <sheetView workbookViewId="0">
      <selection activeCell="A2" sqref="A2:E40"/>
    </sheetView>
  </sheetViews>
  <sheetFormatPr baseColWidth="10" defaultRowHeight="16" x14ac:dyDescent="0.2"/>
  <cols>
    <col min="2" max="2" width="35.1640625" style="3" bestFit="1" customWidth="1"/>
    <col min="3" max="3" width="18.83203125" style="3" bestFit="1" customWidth="1"/>
    <col min="4" max="4" width="12.1640625" bestFit="1" customWidth="1"/>
    <col min="5" max="5" width="17.1640625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D1" t="s">
        <v>59</v>
      </c>
      <c r="E1" t="s">
        <v>58</v>
      </c>
    </row>
    <row r="2" spans="1:5" x14ac:dyDescent="0.2">
      <c r="A2">
        <v>2018</v>
      </c>
      <c r="B2" s="3" t="s">
        <v>0</v>
      </c>
      <c r="C2" s="4">
        <v>193483</v>
      </c>
      <c r="D2" s="2">
        <f>C2/$C$43</f>
        <v>8.6791477646853427E-3</v>
      </c>
      <c r="E2" s="11">
        <f>D2*$C$41</f>
        <v>91999.868937032166</v>
      </c>
    </row>
    <row r="3" spans="1:5" x14ac:dyDescent="0.2">
      <c r="A3">
        <v>2018</v>
      </c>
      <c r="B3" s="3" t="s">
        <v>1</v>
      </c>
      <c r="C3" s="4">
        <v>112249</v>
      </c>
      <c r="D3" s="2">
        <f t="shared" ref="D3:D40" si="0">C3/$C$43</f>
        <v>5.035200288594683E-3</v>
      </c>
      <c r="E3" s="11">
        <f t="shared" ref="E3:E40" si="1">D3*$C$41</f>
        <v>53373.646719933655</v>
      </c>
    </row>
    <row r="4" spans="1:5" x14ac:dyDescent="0.2">
      <c r="A4">
        <v>2018</v>
      </c>
      <c r="B4" s="3" t="s">
        <v>2</v>
      </c>
      <c r="C4" s="4">
        <v>213620</v>
      </c>
      <c r="D4" s="2">
        <f t="shared" si="0"/>
        <v>9.5824415865584205E-3</v>
      </c>
      <c r="E4" s="11">
        <f t="shared" si="1"/>
        <v>101574.87739144426</v>
      </c>
    </row>
    <row r="5" spans="1:5" x14ac:dyDescent="0.2">
      <c r="A5">
        <v>2018</v>
      </c>
      <c r="B5" s="3" t="s">
        <v>40</v>
      </c>
      <c r="C5" s="4">
        <v>156945</v>
      </c>
      <c r="D5" s="2">
        <f t="shared" si="0"/>
        <v>7.0401474337721719E-3</v>
      </c>
      <c r="E5" s="11">
        <f t="shared" si="1"/>
        <v>74626.29497331813</v>
      </c>
    </row>
    <row r="6" spans="1:5" x14ac:dyDescent="0.2">
      <c r="A6">
        <v>2018</v>
      </c>
      <c r="B6" s="3" t="s">
        <v>4</v>
      </c>
      <c r="C6" s="4">
        <v>11060</v>
      </c>
      <c r="D6" s="2">
        <f t="shared" si="0"/>
        <v>4.961230406672415E-4</v>
      </c>
      <c r="E6" s="11">
        <f t="shared" si="1"/>
        <v>5258.9558278689892</v>
      </c>
    </row>
    <row r="7" spans="1:5" x14ac:dyDescent="0.2">
      <c r="A7">
        <v>2018</v>
      </c>
      <c r="B7" s="3" t="s">
        <v>5</v>
      </c>
      <c r="D7" s="2">
        <f t="shared" si="0"/>
        <v>0</v>
      </c>
      <c r="E7" s="11">
        <f t="shared" si="1"/>
        <v>0</v>
      </c>
    </row>
    <row r="8" spans="1:5" x14ac:dyDescent="0.2">
      <c r="A8">
        <v>2018</v>
      </c>
      <c r="B8" s="3" t="s">
        <v>6</v>
      </c>
      <c r="C8" s="4">
        <v>318088</v>
      </c>
      <c r="D8" s="2">
        <f t="shared" si="0"/>
        <v>1.4268606307392543E-2</v>
      </c>
      <c r="E8" s="11">
        <f t="shared" si="1"/>
        <v>151248.71079341692</v>
      </c>
    </row>
    <row r="9" spans="1:5" x14ac:dyDescent="0.2">
      <c r="A9">
        <v>2018</v>
      </c>
      <c r="B9" s="3" t="s">
        <v>36</v>
      </c>
      <c r="C9" s="4">
        <v>148306</v>
      </c>
      <c r="D9" s="2">
        <f t="shared" si="0"/>
        <v>6.6526242015547852E-3</v>
      </c>
      <c r="E9" s="11">
        <f t="shared" si="1"/>
        <v>70518.508409397691</v>
      </c>
    </row>
    <row r="10" spans="1:5" x14ac:dyDescent="0.2">
      <c r="A10">
        <v>2018</v>
      </c>
      <c r="B10" s="3" t="s">
        <v>8</v>
      </c>
      <c r="C10" s="4">
        <v>7301989</v>
      </c>
      <c r="D10" s="2">
        <f t="shared" si="0"/>
        <v>0.32754837121146024</v>
      </c>
      <c r="E10" s="11">
        <f t="shared" si="1"/>
        <v>3472046.7998720845</v>
      </c>
    </row>
    <row r="11" spans="1:5" x14ac:dyDescent="0.2">
      <c r="A11">
        <v>2018</v>
      </c>
      <c r="B11" s="3" t="s">
        <v>7</v>
      </c>
      <c r="C11" s="4">
        <v>184544</v>
      </c>
      <c r="D11" s="2">
        <f t="shared" si="0"/>
        <v>8.2781673071334015E-3</v>
      </c>
      <c r="E11" s="11">
        <f t="shared" si="1"/>
        <v>87749.434385013999</v>
      </c>
    </row>
    <row r="12" spans="1:5" x14ac:dyDescent="0.2">
      <c r="A12">
        <v>2018</v>
      </c>
      <c r="B12" s="3" t="s">
        <v>12</v>
      </c>
      <c r="C12" s="4">
        <v>626327</v>
      </c>
      <c r="D12" s="2">
        <f t="shared" si="0"/>
        <v>2.8095411907051664E-2</v>
      </c>
      <c r="E12" s="11">
        <f t="shared" si="1"/>
        <v>297814.28813758597</v>
      </c>
    </row>
    <row r="13" spans="1:5" x14ac:dyDescent="0.2">
      <c r="A13">
        <v>2018</v>
      </c>
      <c r="B13" s="3" t="s">
        <v>9</v>
      </c>
      <c r="C13" s="4">
        <v>6404</v>
      </c>
      <c r="D13" s="2">
        <f t="shared" si="0"/>
        <v>2.8726690347495614E-4</v>
      </c>
      <c r="E13" s="11">
        <f t="shared" si="1"/>
        <v>3045.0590525924963</v>
      </c>
    </row>
    <row r="14" spans="1:5" x14ac:dyDescent="0.2">
      <c r="A14">
        <v>2018</v>
      </c>
      <c r="B14" s="3" t="s">
        <v>10</v>
      </c>
      <c r="C14" s="4">
        <v>46856</v>
      </c>
      <c r="D14" s="2">
        <f t="shared" si="0"/>
        <v>2.1018391675862811E-3</v>
      </c>
      <c r="E14" s="11">
        <f t="shared" si="1"/>
        <v>22279.713767688008</v>
      </c>
    </row>
    <row r="15" spans="1:5" x14ac:dyDescent="0.2">
      <c r="A15">
        <v>2018</v>
      </c>
      <c r="B15" s="3" t="s">
        <v>11</v>
      </c>
      <c r="C15" s="4">
        <v>5066411</v>
      </c>
      <c r="D15" s="2">
        <f t="shared" si="0"/>
        <v>0.22726611488155152</v>
      </c>
      <c r="E15" s="11">
        <f t="shared" si="1"/>
        <v>2409044.4534203936</v>
      </c>
    </row>
    <row r="16" spans="1:5" x14ac:dyDescent="0.2">
      <c r="A16">
        <v>2018</v>
      </c>
      <c r="B16" s="3" t="s">
        <v>37</v>
      </c>
      <c r="D16" s="2">
        <f t="shared" si="0"/>
        <v>0</v>
      </c>
      <c r="E16" s="11">
        <f t="shared" si="1"/>
        <v>0</v>
      </c>
    </row>
    <row r="17" spans="1:5" x14ac:dyDescent="0.2">
      <c r="A17">
        <v>2018</v>
      </c>
      <c r="B17" s="3" t="s">
        <v>13</v>
      </c>
      <c r="C17" s="4">
        <v>152884</v>
      </c>
      <c r="D17" s="2">
        <f t="shared" si="0"/>
        <v>6.8579814601600862E-3</v>
      </c>
      <c r="E17" s="11">
        <f t="shared" si="1"/>
        <v>72695.316707768769</v>
      </c>
    </row>
    <row r="18" spans="1:5" x14ac:dyDescent="0.2">
      <c r="A18">
        <v>2018</v>
      </c>
      <c r="B18" s="3" t="s">
        <v>14</v>
      </c>
      <c r="C18" s="4">
        <v>347940</v>
      </c>
      <c r="D18" s="2">
        <f t="shared" si="0"/>
        <v>1.5607689943016277E-2</v>
      </c>
      <c r="E18" s="11">
        <f t="shared" si="1"/>
        <v>165443.13659572662</v>
      </c>
    </row>
    <row r="19" spans="1:5" x14ac:dyDescent="0.2">
      <c r="A19">
        <v>2018</v>
      </c>
      <c r="B19" s="3" t="s">
        <v>15</v>
      </c>
      <c r="C19" s="4">
        <v>421309</v>
      </c>
      <c r="D19" s="2">
        <f t="shared" si="0"/>
        <v>1.8898833828252699E-2</v>
      </c>
      <c r="E19" s="11">
        <f t="shared" si="1"/>
        <v>200329.60405819674</v>
      </c>
    </row>
    <row r="20" spans="1:5" x14ac:dyDescent="0.2">
      <c r="A20">
        <v>2018</v>
      </c>
      <c r="B20" s="3" t="s">
        <v>16</v>
      </c>
      <c r="C20" s="4">
        <v>191786</v>
      </c>
      <c r="D20" s="2">
        <f t="shared" si="0"/>
        <v>8.6030247267095458E-3</v>
      </c>
      <c r="E20" s="11">
        <f t="shared" si="1"/>
        <v>91192.956817692757</v>
      </c>
    </row>
    <row r="21" spans="1:5" x14ac:dyDescent="0.2">
      <c r="A21">
        <v>2018</v>
      </c>
      <c r="B21" s="3" t="s">
        <v>17</v>
      </c>
      <c r="C21" s="4">
        <v>294859</v>
      </c>
      <c r="D21" s="2">
        <f t="shared" si="0"/>
        <v>1.322661334973799E-2</v>
      </c>
      <c r="E21" s="11">
        <f t="shared" si="1"/>
        <v>140203.47707501106</v>
      </c>
    </row>
    <row r="22" spans="1:5" x14ac:dyDescent="0.2">
      <c r="A22">
        <v>2018</v>
      </c>
      <c r="B22" s="3" t="s">
        <v>43</v>
      </c>
      <c r="C22" s="4">
        <v>187646</v>
      </c>
      <c r="D22" s="2">
        <f t="shared" si="0"/>
        <v>8.4173150170926952E-3</v>
      </c>
      <c r="E22" s="11">
        <f t="shared" si="1"/>
        <v>89224.414581944351</v>
      </c>
    </row>
    <row r="23" spans="1:5" x14ac:dyDescent="0.2">
      <c r="A23">
        <v>2018</v>
      </c>
      <c r="B23" s="3" t="s">
        <v>18</v>
      </c>
      <c r="C23" s="4">
        <v>187642</v>
      </c>
      <c r="D23" s="2">
        <f t="shared" si="0"/>
        <v>8.4171355874215672E-3</v>
      </c>
      <c r="E23" s="11">
        <f t="shared" si="1"/>
        <v>89222.512608769699</v>
      </c>
    </row>
    <row r="24" spans="1:5" x14ac:dyDescent="0.2">
      <c r="A24">
        <v>2018</v>
      </c>
      <c r="B24" s="3" t="s">
        <v>45</v>
      </c>
      <c r="C24" s="4">
        <v>178761</v>
      </c>
      <c r="D24" s="2">
        <f t="shared" si="0"/>
        <v>8.0187568601009732E-3</v>
      </c>
      <c r="E24" s="11">
        <f t="shared" si="1"/>
        <v>84999.656667783769</v>
      </c>
    </row>
    <row r="25" spans="1:5" x14ac:dyDescent="0.2">
      <c r="A25">
        <v>2018</v>
      </c>
      <c r="B25" s="3" t="s">
        <v>19</v>
      </c>
      <c r="C25" s="4">
        <v>394678</v>
      </c>
      <c r="D25" s="2">
        <f t="shared" si="0"/>
        <v>1.7704235935304298E-2</v>
      </c>
      <c r="E25" s="11">
        <f t="shared" si="1"/>
        <v>187666.74215476282</v>
      </c>
    </row>
    <row r="26" spans="1:5" x14ac:dyDescent="0.2">
      <c r="A26">
        <v>2018</v>
      </c>
      <c r="B26" s="3" t="s">
        <v>20</v>
      </c>
      <c r="C26" s="4">
        <v>495387</v>
      </c>
      <c r="D26" s="2">
        <f t="shared" si="0"/>
        <v>2.2221781622696453E-2</v>
      </c>
      <c r="E26" s="11">
        <f t="shared" si="1"/>
        <v>235553.19626587117</v>
      </c>
    </row>
    <row r="27" spans="1:5" x14ac:dyDescent="0.2">
      <c r="A27">
        <v>2018</v>
      </c>
      <c r="B27" s="3" t="s">
        <v>38</v>
      </c>
      <c r="C27" s="4">
        <v>253999</v>
      </c>
      <c r="D27" s="2">
        <f t="shared" si="0"/>
        <v>1.139373925917167E-2</v>
      </c>
      <c r="E27" s="11">
        <f t="shared" si="1"/>
        <v>120774.82109610266</v>
      </c>
    </row>
    <row r="28" spans="1:5" x14ac:dyDescent="0.2">
      <c r="A28">
        <v>2018</v>
      </c>
      <c r="B28" s="3" t="s">
        <v>22</v>
      </c>
      <c r="C28" s="4">
        <v>639803</v>
      </c>
      <c r="D28" s="2">
        <f t="shared" si="0"/>
        <v>2.869991046907985E-2</v>
      </c>
      <c r="E28" s="11">
        <f t="shared" si="1"/>
        <v>304222.03576293518</v>
      </c>
    </row>
    <row r="29" spans="1:5" x14ac:dyDescent="0.2">
      <c r="A29">
        <v>2018</v>
      </c>
      <c r="B29" s="3" t="s">
        <v>23</v>
      </c>
      <c r="D29" s="2">
        <f t="shared" si="0"/>
        <v>0</v>
      </c>
      <c r="E29" s="11">
        <f t="shared" si="1"/>
        <v>0</v>
      </c>
    </row>
    <row r="30" spans="1:5" x14ac:dyDescent="0.2">
      <c r="A30">
        <v>2018</v>
      </c>
      <c r="B30" s="3" t="s">
        <v>24</v>
      </c>
      <c r="C30" s="4">
        <v>1499664</v>
      </c>
      <c r="D30" s="2">
        <f t="shared" si="0"/>
        <v>6.7271054580397657E-2</v>
      </c>
      <c r="E30" s="11">
        <f t="shared" si="1"/>
        <v>713080.17474189156</v>
      </c>
    </row>
    <row r="31" spans="1:5" x14ac:dyDescent="0.2">
      <c r="A31">
        <v>2018</v>
      </c>
      <c r="B31" s="3" t="s">
        <v>25</v>
      </c>
      <c r="C31" s="4">
        <v>863761</v>
      </c>
      <c r="D31" s="2">
        <f t="shared" si="0"/>
        <v>3.8746088040667016E-2</v>
      </c>
      <c r="E31" s="11">
        <f t="shared" si="1"/>
        <v>410712.56282422662</v>
      </c>
    </row>
    <row r="32" spans="1:5" x14ac:dyDescent="0.2">
      <c r="A32">
        <v>2018</v>
      </c>
      <c r="B32" s="3" t="s">
        <v>26</v>
      </c>
      <c r="D32" s="2">
        <f t="shared" si="0"/>
        <v>0</v>
      </c>
      <c r="E32" s="11">
        <f t="shared" si="1"/>
        <v>0</v>
      </c>
    </row>
    <row r="33" spans="1:5" x14ac:dyDescent="0.2">
      <c r="A33">
        <v>2018</v>
      </c>
      <c r="B33" s="3" t="s">
        <v>27</v>
      </c>
      <c r="C33" s="4">
        <v>159160</v>
      </c>
      <c r="D33" s="2">
        <f t="shared" si="0"/>
        <v>7.1395066141589662E-3</v>
      </c>
      <c r="E33" s="11">
        <f t="shared" si="1"/>
        <v>75679.512618772918</v>
      </c>
    </row>
    <row r="34" spans="1:5" x14ac:dyDescent="0.2">
      <c r="A34">
        <v>2018</v>
      </c>
      <c r="B34" s="3" t="s">
        <v>28</v>
      </c>
      <c r="D34" s="2">
        <f t="shared" si="0"/>
        <v>0</v>
      </c>
      <c r="E34" s="11">
        <f t="shared" si="1"/>
        <v>0</v>
      </c>
    </row>
    <row r="35" spans="1:5" x14ac:dyDescent="0.2">
      <c r="A35">
        <v>2018</v>
      </c>
      <c r="B35" s="3" t="s">
        <v>29</v>
      </c>
      <c r="C35" s="4">
        <v>293402</v>
      </c>
      <c r="D35" s="2">
        <f t="shared" si="0"/>
        <v>1.3161256092029837E-2</v>
      </c>
      <c r="E35" s="11">
        <f t="shared" si="1"/>
        <v>139510.68334614983</v>
      </c>
    </row>
    <row r="36" spans="1:5" x14ac:dyDescent="0.2">
      <c r="A36">
        <v>2018</v>
      </c>
      <c r="B36" s="3" t="s">
        <v>30</v>
      </c>
      <c r="D36" s="2">
        <f t="shared" si="0"/>
        <v>0</v>
      </c>
      <c r="E36" s="11">
        <f t="shared" si="1"/>
        <v>0</v>
      </c>
    </row>
    <row r="37" spans="1:5" x14ac:dyDescent="0.2">
      <c r="A37">
        <v>2018</v>
      </c>
      <c r="B37" s="3" t="s">
        <v>31</v>
      </c>
      <c r="C37" s="4">
        <v>379987</v>
      </c>
      <c r="D37" s="2">
        <f t="shared" si="0"/>
        <v>1.7045235610671165E-2</v>
      </c>
      <c r="E37" s="11">
        <f t="shared" si="1"/>
        <v>180681.27017761787</v>
      </c>
    </row>
    <row r="38" spans="1:5" x14ac:dyDescent="0.2">
      <c r="A38">
        <v>2018</v>
      </c>
      <c r="B38" s="3" t="s">
        <v>33</v>
      </c>
      <c r="D38" s="2">
        <f t="shared" si="0"/>
        <v>0</v>
      </c>
      <c r="E38" s="11">
        <f t="shared" si="1"/>
        <v>0</v>
      </c>
    </row>
    <row r="39" spans="1:5" x14ac:dyDescent="0.2">
      <c r="A39">
        <v>2018</v>
      </c>
      <c r="B39" s="3" t="s">
        <v>32</v>
      </c>
      <c r="C39" s="4">
        <v>558360</v>
      </c>
      <c r="D39" s="2">
        <f t="shared" si="0"/>
        <v>2.5046587792672784E-2</v>
      </c>
      <c r="E39" s="11">
        <f t="shared" si="1"/>
        <v>265496.43544746196</v>
      </c>
    </row>
    <row r="40" spans="1:5" x14ac:dyDescent="0.2">
      <c r="A40">
        <v>2018</v>
      </c>
      <c r="B40" s="3" t="s">
        <v>34</v>
      </c>
      <c r="C40" s="4">
        <v>405547</v>
      </c>
      <c r="D40" s="2">
        <f t="shared" si="0"/>
        <v>1.8191791209175207E-2</v>
      </c>
      <c r="E40" s="11">
        <f t="shared" si="1"/>
        <v>192834.87876354295</v>
      </c>
    </row>
    <row r="41" spans="1:5" x14ac:dyDescent="0.2">
      <c r="A41">
        <v>2018</v>
      </c>
      <c r="B41" s="3" t="s">
        <v>35</v>
      </c>
      <c r="C41" s="4">
        <v>10600104</v>
      </c>
    </row>
    <row r="42" spans="1:5" x14ac:dyDescent="0.2">
      <c r="C42" s="4"/>
    </row>
    <row r="43" spans="1:5" x14ac:dyDescent="0.2">
      <c r="C43" s="4">
        <f>SUM(C2:C40)</f>
        <v>22292857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083F-1CF2-F14F-AF31-4174D8824E5F}">
  <sheetPr>
    <tabColor rgb="FFFFFF00"/>
  </sheetPr>
  <dimension ref="A1:E37"/>
  <sheetViews>
    <sheetView workbookViewId="0">
      <selection activeCell="A2" sqref="A2:E32"/>
    </sheetView>
  </sheetViews>
  <sheetFormatPr baseColWidth="10" defaultRowHeight="16" x14ac:dyDescent="0.2"/>
  <cols>
    <col min="2" max="2" width="34.1640625" style="3" bestFit="1" customWidth="1"/>
    <col min="3" max="3" width="18.83203125" style="3" bestFit="1" customWidth="1"/>
    <col min="4" max="4" width="12.1640625" bestFit="1" customWidth="1"/>
    <col min="5" max="5" width="17.1640625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D1" t="s">
        <v>59</v>
      </c>
      <c r="E1" t="s">
        <v>58</v>
      </c>
    </row>
    <row r="2" spans="1:5" x14ac:dyDescent="0.2">
      <c r="A2">
        <v>2019</v>
      </c>
      <c r="B2" s="3" t="s">
        <v>0</v>
      </c>
      <c r="C2" s="4">
        <v>350968</v>
      </c>
      <c r="D2" s="3">
        <f>C2/$C$35</f>
        <v>1.304602596685814E-2</v>
      </c>
      <c r="E2" s="6">
        <f>D2*$C$33</f>
        <v>283876.30662844639</v>
      </c>
    </row>
    <row r="3" spans="1:5" x14ac:dyDescent="0.2">
      <c r="A3">
        <v>2019</v>
      </c>
      <c r="B3" s="3" t="s">
        <v>1</v>
      </c>
      <c r="C3" s="4">
        <v>138460</v>
      </c>
      <c r="D3" s="3">
        <f t="shared" ref="D3:D32" si="0">C3/$C$35</f>
        <v>5.1467733678602556E-3</v>
      </c>
      <c r="E3" s="6">
        <f t="shared" ref="E3:E32" si="1">D3*$C$33</f>
        <v>111991.72977529201</v>
      </c>
    </row>
    <row r="4" spans="1:5" x14ac:dyDescent="0.2">
      <c r="A4">
        <v>2019</v>
      </c>
      <c r="B4" s="3" t="s">
        <v>2</v>
      </c>
      <c r="C4" s="4">
        <v>229165</v>
      </c>
      <c r="D4" s="3">
        <f t="shared" si="0"/>
        <v>8.5184191740986237E-3</v>
      </c>
      <c r="E4" s="6">
        <f t="shared" si="1"/>
        <v>185357.3938607164</v>
      </c>
    </row>
    <row r="5" spans="1:5" x14ac:dyDescent="0.2">
      <c r="A5">
        <v>2019</v>
      </c>
      <c r="B5" s="3" t="s">
        <v>40</v>
      </c>
      <c r="C5" s="4">
        <v>49340</v>
      </c>
      <c r="D5" s="3">
        <f t="shared" si="0"/>
        <v>1.8340444747235664E-3</v>
      </c>
      <c r="E5" s="6">
        <f t="shared" si="1"/>
        <v>39908.074152194917</v>
      </c>
    </row>
    <row r="6" spans="1:5" x14ac:dyDescent="0.2">
      <c r="A6">
        <v>2019</v>
      </c>
      <c r="B6" s="3" t="s">
        <v>4</v>
      </c>
      <c r="C6" s="4">
        <v>10742</v>
      </c>
      <c r="D6" s="3">
        <f t="shared" si="0"/>
        <v>3.9929683314715342E-4</v>
      </c>
      <c r="E6" s="6">
        <f t="shared" si="1"/>
        <v>8688.5393705488004</v>
      </c>
    </row>
    <row r="7" spans="1:5" x14ac:dyDescent="0.2">
      <c r="A7">
        <v>2019</v>
      </c>
      <c r="B7" s="3" t="s">
        <v>6</v>
      </c>
      <c r="C7" s="4">
        <v>376713</v>
      </c>
      <c r="D7" s="3">
        <f t="shared" si="0"/>
        <v>1.4003007624777844E-2</v>
      </c>
      <c r="E7" s="6">
        <f t="shared" si="1"/>
        <v>304699.84471211594</v>
      </c>
    </row>
    <row r="8" spans="1:5" x14ac:dyDescent="0.2">
      <c r="A8">
        <v>2019</v>
      </c>
      <c r="B8" s="3" t="s">
        <v>50</v>
      </c>
      <c r="C8" s="4">
        <v>243957</v>
      </c>
      <c r="D8" s="3">
        <f t="shared" si="0"/>
        <v>9.068260800975619E-3</v>
      </c>
      <c r="E8" s="6">
        <f t="shared" si="1"/>
        <v>197321.72772490908</v>
      </c>
    </row>
    <row r="9" spans="1:5" x14ac:dyDescent="0.2">
      <c r="A9">
        <v>2019</v>
      </c>
      <c r="B9" s="3" t="s">
        <v>8</v>
      </c>
      <c r="C9" s="4">
        <v>8745416</v>
      </c>
      <c r="D9" s="3">
        <f t="shared" si="0"/>
        <v>0.32508070316090537</v>
      </c>
      <c r="E9" s="6">
        <f t="shared" si="1"/>
        <v>7073626.0685000364</v>
      </c>
    </row>
    <row r="10" spans="1:5" x14ac:dyDescent="0.2">
      <c r="A10">
        <v>2019</v>
      </c>
      <c r="B10" s="3" t="s">
        <v>12</v>
      </c>
      <c r="C10" s="4">
        <v>731139</v>
      </c>
      <c r="D10" s="3">
        <f t="shared" si="0"/>
        <v>2.7177572825393466E-2</v>
      </c>
      <c r="E10" s="6">
        <f t="shared" si="1"/>
        <v>591373.11365143163</v>
      </c>
    </row>
    <row r="11" spans="1:5" x14ac:dyDescent="0.2">
      <c r="A11">
        <v>2019</v>
      </c>
      <c r="B11" s="3" t="s">
        <v>9</v>
      </c>
      <c r="C11" s="4">
        <v>7311</v>
      </c>
      <c r="D11" s="3">
        <f t="shared" si="0"/>
        <v>2.7176123134787177E-4</v>
      </c>
      <c r="E11" s="6">
        <f t="shared" si="1"/>
        <v>5913.4156896371505</v>
      </c>
    </row>
    <row r="12" spans="1:5" x14ac:dyDescent="0.2">
      <c r="A12">
        <v>2019</v>
      </c>
      <c r="B12" s="3" t="s">
        <v>10</v>
      </c>
      <c r="C12" s="4">
        <v>42151</v>
      </c>
      <c r="D12" s="3">
        <f t="shared" si="0"/>
        <v>1.5668181729645936E-3</v>
      </c>
      <c r="E12" s="6">
        <f t="shared" si="1"/>
        <v>34093.336716440368</v>
      </c>
    </row>
    <row r="13" spans="1:5" x14ac:dyDescent="0.2">
      <c r="A13">
        <v>2019</v>
      </c>
      <c r="B13" s="3" t="s">
        <v>11</v>
      </c>
      <c r="C13" s="4">
        <v>5918085</v>
      </c>
      <c r="D13" s="3">
        <f t="shared" si="0"/>
        <v>0.21998441619769796</v>
      </c>
      <c r="E13" s="6">
        <f t="shared" si="1"/>
        <v>4786772.9026954286</v>
      </c>
    </row>
    <row r="14" spans="1:5" x14ac:dyDescent="0.2">
      <c r="A14">
        <v>2019</v>
      </c>
      <c r="B14" s="3" t="s">
        <v>13</v>
      </c>
      <c r="C14" s="4">
        <v>173310</v>
      </c>
      <c r="D14" s="3">
        <f t="shared" si="0"/>
        <v>6.4422020250170502E-3</v>
      </c>
      <c r="E14" s="6">
        <f t="shared" si="1"/>
        <v>140179.739183561</v>
      </c>
    </row>
    <row r="15" spans="1:5" x14ac:dyDescent="0.2">
      <c r="A15">
        <v>2019</v>
      </c>
      <c r="B15" s="3" t="s">
        <v>14</v>
      </c>
      <c r="C15" s="4">
        <v>439574</v>
      </c>
      <c r="D15" s="3">
        <f t="shared" si="0"/>
        <v>1.6339648681235042E-2</v>
      </c>
      <c r="E15" s="6">
        <f t="shared" si="1"/>
        <v>355544.21944420203</v>
      </c>
    </row>
    <row r="16" spans="1:5" x14ac:dyDescent="0.2">
      <c r="A16">
        <v>2019</v>
      </c>
      <c r="B16" s="3" t="s">
        <v>15</v>
      </c>
      <c r="C16" s="4">
        <v>520179</v>
      </c>
      <c r="D16" s="3">
        <f t="shared" si="0"/>
        <v>1.9335861791998987E-2</v>
      </c>
      <c r="E16" s="6">
        <f t="shared" si="1"/>
        <v>420740.61824918113</v>
      </c>
    </row>
    <row r="17" spans="1:5" x14ac:dyDescent="0.2">
      <c r="A17">
        <v>2019</v>
      </c>
      <c r="B17" s="3" t="s">
        <v>16</v>
      </c>
      <c r="C17" s="4">
        <v>265145</v>
      </c>
      <c r="D17" s="3">
        <f t="shared" si="0"/>
        <v>9.8558516872837443E-3</v>
      </c>
      <c r="E17" s="6">
        <f t="shared" si="1"/>
        <v>214459.39037461937</v>
      </c>
    </row>
    <row r="18" spans="1:5" x14ac:dyDescent="0.2">
      <c r="A18">
        <v>2019</v>
      </c>
      <c r="B18" s="3" t="s">
        <v>17</v>
      </c>
      <c r="C18" s="4">
        <v>390908</v>
      </c>
      <c r="D18" s="3">
        <f t="shared" si="0"/>
        <v>1.4530657833912441E-2</v>
      </c>
      <c r="E18" s="6">
        <f t="shared" si="1"/>
        <v>316181.30220280116</v>
      </c>
    </row>
    <row r="19" spans="1:5" x14ac:dyDescent="0.2">
      <c r="A19">
        <v>2019</v>
      </c>
      <c r="B19" s="3" t="s">
        <v>43</v>
      </c>
      <c r="C19" s="4">
        <v>265550</v>
      </c>
      <c r="D19" s="3">
        <f t="shared" si="0"/>
        <v>9.8709061666567288E-3</v>
      </c>
      <c r="E19" s="6">
        <f t="shared" si="1"/>
        <v>214786.96982398376</v>
      </c>
    </row>
    <row r="20" spans="1:5" x14ac:dyDescent="0.2">
      <c r="A20">
        <v>2019</v>
      </c>
      <c r="B20" s="3" t="s">
        <v>18</v>
      </c>
      <c r="C20" s="4">
        <v>216305</v>
      </c>
      <c r="D20" s="3">
        <f t="shared" si="0"/>
        <v>8.0403929895638635E-3</v>
      </c>
      <c r="E20" s="6">
        <f t="shared" si="1"/>
        <v>174955.73529571385</v>
      </c>
    </row>
    <row r="21" spans="1:5" x14ac:dyDescent="0.2">
      <c r="A21">
        <v>2019</v>
      </c>
      <c r="B21" s="3" t="s">
        <v>45</v>
      </c>
      <c r="C21" s="4">
        <v>278474</v>
      </c>
      <c r="D21" s="3">
        <f t="shared" si="0"/>
        <v>1.0351311330647961E-2</v>
      </c>
      <c r="E21" s="6">
        <f t="shared" si="1"/>
        <v>225240.39403036737</v>
      </c>
    </row>
    <row r="22" spans="1:5" x14ac:dyDescent="0.2">
      <c r="A22">
        <v>2019</v>
      </c>
      <c r="B22" s="3" t="s">
        <v>19</v>
      </c>
      <c r="C22" s="4">
        <v>509520</v>
      </c>
      <c r="D22" s="3">
        <f t="shared" si="0"/>
        <v>1.8939650197834446E-2</v>
      </c>
      <c r="E22" s="6">
        <f t="shared" si="1"/>
        <v>412119.21244479838</v>
      </c>
    </row>
    <row r="23" spans="1:5" x14ac:dyDescent="0.2">
      <c r="A23">
        <v>2019</v>
      </c>
      <c r="B23" s="3" t="s">
        <v>20</v>
      </c>
      <c r="C23" s="4">
        <v>685466</v>
      </c>
      <c r="D23" s="3">
        <f t="shared" si="0"/>
        <v>2.547983643921492E-2</v>
      </c>
      <c r="E23" s="6">
        <f t="shared" si="1"/>
        <v>554431.04898274096</v>
      </c>
    </row>
    <row r="24" spans="1:5" x14ac:dyDescent="0.2">
      <c r="A24">
        <v>2019</v>
      </c>
      <c r="B24" s="3" t="s">
        <v>38</v>
      </c>
      <c r="C24" s="4">
        <v>304759</v>
      </c>
      <c r="D24" s="3">
        <f t="shared" si="0"/>
        <v>1.1328365627731644E-2</v>
      </c>
      <c r="E24" s="6">
        <f t="shared" si="1"/>
        <v>246500.70471318948</v>
      </c>
    </row>
    <row r="25" spans="1:5" x14ac:dyDescent="0.2">
      <c r="A25">
        <v>2019</v>
      </c>
      <c r="B25" s="3" t="s">
        <v>22</v>
      </c>
      <c r="C25" s="4">
        <v>794600</v>
      </c>
      <c r="D25" s="3">
        <f t="shared" si="0"/>
        <v>2.9536516814255082E-2</v>
      </c>
      <c r="E25" s="6">
        <f t="shared" si="1"/>
        <v>642702.7912714649</v>
      </c>
    </row>
    <row r="26" spans="1:5" x14ac:dyDescent="0.2">
      <c r="A26">
        <v>2019</v>
      </c>
      <c r="B26" s="3" t="s">
        <v>24</v>
      </c>
      <c r="C26" s="4">
        <v>1844146</v>
      </c>
      <c r="D26" s="3">
        <f t="shared" si="0"/>
        <v>6.8549772636472758E-2</v>
      </c>
      <c r="E26" s="6">
        <f t="shared" si="1"/>
        <v>1491615.6326605927</v>
      </c>
    </row>
    <row r="27" spans="1:5" x14ac:dyDescent="0.2">
      <c r="A27">
        <v>2019</v>
      </c>
      <c r="B27" s="3" t="s">
        <v>25</v>
      </c>
      <c r="C27" s="4">
        <v>1229659</v>
      </c>
      <c r="D27" s="3">
        <f t="shared" si="0"/>
        <v>4.5708335929146852E-2</v>
      </c>
      <c r="E27" s="6">
        <f t="shared" si="1"/>
        <v>994595.1064838639</v>
      </c>
    </row>
    <row r="28" spans="1:5" x14ac:dyDescent="0.2">
      <c r="A28">
        <v>2019</v>
      </c>
      <c r="B28" s="3" t="s">
        <v>27</v>
      </c>
      <c r="C28" s="4">
        <v>191817</v>
      </c>
      <c r="D28" s="3">
        <f t="shared" si="0"/>
        <v>7.1301359750314212E-3</v>
      </c>
      <c r="E28" s="6">
        <f t="shared" si="1"/>
        <v>155148.90676229371</v>
      </c>
    </row>
    <row r="29" spans="1:5" x14ac:dyDescent="0.2">
      <c r="A29">
        <v>2019</v>
      </c>
      <c r="B29" s="3" t="s">
        <v>29</v>
      </c>
      <c r="C29" s="4">
        <v>356356</v>
      </c>
      <c r="D29" s="3">
        <f t="shared" si="0"/>
        <v>1.3246306299849842E-2</v>
      </c>
      <c r="E29" s="6">
        <f t="shared" si="1"/>
        <v>288234.32656221261</v>
      </c>
    </row>
    <row r="30" spans="1:5" x14ac:dyDescent="0.2">
      <c r="A30">
        <v>2019</v>
      </c>
      <c r="B30" s="3" t="s">
        <v>31</v>
      </c>
      <c r="C30" s="4">
        <v>490565</v>
      </c>
      <c r="D30" s="3">
        <f t="shared" si="0"/>
        <v>1.8235063391624774E-2</v>
      </c>
      <c r="E30" s="6">
        <f t="shared" si="1"/>
        <v>396787.68537639844</v>
      </c>
    </row>
    <row r="31" spans="1:5" x14ac:dyDescent="0.2">
      <c r="A31">
        <v>2019</v>
      </c>
      <c r="B31" s="3" t="s">
        <v>32</v>
      </c>
      <c r="C31" s="4">
        <v>634883</v>
      </c>
      <c r="D31" s="3">
        <f t="shared" si="0"/>
        <v>2.3599587722860194E-2</v>
      </c>
      <c r="E31" s="6">
        <f t="shared" si="1"/>
        <v>513517.58901434869</v>
      </c>
    </row>
    <row r="32" spans="1:5" x14ac:dyDescent="0.2">
      <c r="A32">
        <v>2019</v>
      </c>
      <c r="B32" s="3" t="s">
        <v>34</v>
      </c>
      <c r="C32" s="4">
        <v>467629</v>
      </c>
      <c r="D32" s="3">
        <f t="shared" si="0"/>
        <v>1.7382496628911767E-2</v>
      </c>
      <c r="E32" s="6">
        <f t="shared" si="1"/>
        <v>378236.17364646849</v>
      </c>
    </row>
    <row r="33" spans="1:3" x14ac:dyDescent="0.2">
      <c r="A33">
        <v>2019</v>
      </c>
      <c r="B33" s="3" t="s">
        <v>35</v>
      </c>
      <c r="C33" s="4">
        <v>21759600</v>
      </c>
    </row>
    <row r="35" spans="1:3" x14ac:dyDescent="0.2">
      <c r="C35" s="4">
        <f>SUM(C2:C32)</f>
        <v>26902292</v>
      </c>
    </row>
    <row r="37" spans="1:3" x14ac:dyDescent="0.2">
      <c r="C3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6BA1-A0AB-F14A-9035-CE66361FC077}">
  <sheetPr>
    <tabColor rgb="FFFFFF00"/>
  </sheetPr>
  <dimension ref="A1:E33"/>
  <sheetViews>
    <sheetView workbookViewId="0">
      <selection activeCell="A2" sqref="A2:E30"/>
    </sheetView>
  </sheetViews>
  <sheetFormatPr baseColWidth="10" defaultRowHeight="16" x14ac:dyDescent="0.2"/>
  <cols>
    <col min="2" max="2" width="41.33203125" bestFit="1" customWidth="1"/>
    <col min="3" max="3" width="20.1640625" style="8" bestFit="1" customWidth="1"/>
    <col min="4" max="4" width="10.83203125" style="3"/>
    <col min="5" max="5" width="17.1640625" style="3" bestFit="1" customWidth="1"/>
  </cols>
  <sheetData>
    <row r="1" spans="1:5" x14ac:dyDescent="0.2">
      <c r="A1" t="s">
        <v>61</v>
      </c>
      <c r="B1" s="5" t="s">
        <v>56</v>
      </c>
      <c r="C1" s="7" t="s">
        <v>57</v>
      </c>
      <c r="E1" s="3" t="s">
        <v>58</v>
      </c>
    </row>
    <row r="2" spans="1:5" x14ac:dyDescent="0.2">
      <c r="A2">
        <v>2020</v>
      </c>
      <c r="B2" s="5" t="s">
        <v>0</v>
      </c>
      <c r="C2" s="7">
        <v>426516</v>
      </c>
      <c r="D2" s="3">
        <f>C2/$C$33</f>
        <v>1.5524330517887161E-2</v>
      </c>
      <c r="E2" s="13">
        <f>D2*$C$31</f>
        <v>87713.988810453215</v>
      </c>
    </row>
    <row r="3" spans="1:5" x14ac:dyDescent="0.2">
      <c r="A3">
        <v>2020</v>
      </c>
      <c r="B3" s="5" t="s">
        <v>1</v>
      </c>
      <c r="C3" s="7">
        <v>169130</v>
      </c>
      <c r="D3" s="3">
        <f t="shared" ref="D3:D30" si="0">C3/$C$33</f>
        <v>6.1559941959744898E-3</v>
      </c>
      <c r="E3" s="13">
        <f t="shared" ref="E3:E30" si="1">D3*$C$31</f>
        <v>34781.97049468707</v>
      </c>
    </row>
    <row r="4" spans="1:5" x14ac:dyDescent="0.2">
      <c r="A4">
        <v>2020</v>
      </c>
      <c r="B4" s="5" t="s">
        <v>2</v>
      </c>
      <c r="C4" s="7">
        <v>229550</v>
      </c>
      <c r="D4" s="3">
        <f t="shared" si="0"/>
        <v>8.3551615188668139E-3</v>
      </c>
      <c r="E4" s="13">
        <f t="shared" si="1"/>
        <v>47207.481387426349</v>
      </c>
    </row>
    <row r="5" spans="1:5" x14ac:dyDescent="0.2">
      <c r="A5">
        <v>2020</v>
      </c>
      <c r="B5" s="5" t="s">
        <v>4</v>
      </c>
      <c r="C5" s="7">
        <v>11737</v>
      </c>
      <c r="D5" s="3">
        <f t="shared" si="0"/>
        <v>4.2720335764295271E-4</v>
      </c>
      <c r="E5" s="13">
        <f t="shared" si="1"/>
        <v>2413.740836611732</v>
      </c>
    </row>
    <row r="6" spans="1:5" x14ac:dyDescent="0.2">
      <c r="A6">
        <v>2020</v>
      </c>
      <c r="B6" s="5" t="s">
        <v>6</v>
      </c>
      <c r="C6" s="7">
        <v>390357</v>
      </c>
      <c r="D6" s="3">
        <f t="shared" si="0"/>
        <v>1.4208215138402496E-2</v>
      </c>
      <c r="E6" s="13">
        <f t="shared" si="1"/>
        <v>80277.80793705766</v>
      </c>
    </row>
    <row r="7" spans="1:5" x14ac:dyDescent="0.2">
      <c r="A7">
        <v>2020</v>
      </c>
      <c r="B7" s="5" t="s">
        <v>51</v>
      </c>
      <c r="C7" s="7">
        <v>2362</v>
      </c>
      <c r="D7" s="3">
        <f t="shared" si="0"/>
        <v>8.5972082367952136E-5</v>
      </c>
      <c r="E7" s="13">
        <f t="shared" si="1"/>
        <v>485.75069064300163</v>
      </c>
    </row>
    <row r="8" spans="1:5" x14ac:dyDescent="0.2">
      <c r="A8">
        <v>2020</v>
      </c>
      <c r="B8" s="5" t="s">
        <v>8</v>
      </c>
      <c r="C8" s="7">
        <v>9118264</v>
      </c>
      <c r="D8" s="3">
        <f t="shared" si="0"/>
        <v>0.3318865976548403</v>
      </c>
      <c r="E8" s="13">
        <f t="shared" si="1"/>
        <v>1875191.8016364179</v>
      </c>
    </row>
    <row r="9" spans="1:5" x14ac:dyDescent="0.2">
      <c r="A9">
        <v>2020</v>
      </c>
      <c r="B9" s="5" t="s">
        <v>10</v>
      </c>
      <c r="C9" s="7">
        <v>34185</v>
      </c>
      <c r="D9" s="3">
        <f t="shared" si="0"/>
        <v>1.2442657221627621E-3</v>
      </c>
      <c r="E9" s="13">
        <f t="shared" si="1"/>
        <v>7030.2232682603781</v>
      </c>
    </row>
    <row r="10" spans="1:5" x14ac:dyDescent="0.2">
      <c r="A10">
        <v>2020</v>
      </c>
      <c r="B10" s="5" t="s">
        <v>11</v>
      </c>
      <c r="C10" s="7">
        <v>6165787</v>
      </c>
      <c r="D10" s="3">
        <f t="shared" si="0"/>
        <v>0.22442233184896213</v>
      </c>
      <c r="E10" s="13">
        <f t="shared" si="1"/>
        <v>1268008.1683351572</v>
      </c>
    </row>
    <row r="11" spans="1:5" x14ac:dyDescent="0.2">
      <c r="A11">
        <v>2020</v>
      </c>
      <c r="B11" s="5" t="s">
        <v>13</v>
      </c>
      <c r="C11" s="7">
        <v>195904</v>
      </c>
      <c r="D11" s="3">
        <f t="shared" si="0"/>
        <v>7.130514320157196E-3</v>
      </c>
      <c r="E11" s="13">
        <f t="shared" si="1"/>
        <v>40288.104699291536</v>
      </c>
    </row>
    <row r="12" spans="1:5" x14ac:dyDescent="0.2">
      <c r="A12">
        <v>2020</v>
      </c>
      <c r="B12" s="5" t="s">
        <v>14</v>
      </c>
      <c r="C12" s="7">
        <v>426636</v>
      </c>
      <c r="D12" s="3">
        <f t="shared" si="0"/>
        <v>1.5528698278210681E-2</v>
      </c>
      <c r="E12" s="13">
        <f t="shared" si="1"/>
        <v>87738.667084321612</v>
      </c>
    </row>
    <row r="13" spans="1:5" x14ac:dyDescent="0.2">
      <c r="A13">
        <v>2020</v>
      </c>
      <c r="B13" s="5" t="s">
        <v>15</v>
      </c>
      <c r="C13" s="7">
        <v>503610</v>
      </c>
      <c r="D13" s="3">
        <f t="shared" si="0"/>
        <v>1.833039813773259E-2</v>
      </c>
      <c r="E13" s="13">
        <f t="shared" si="1"/>
        <v>103568.54585720663</v>
      </c>
    </row>
    <row r="14" spans="1:5" x14ac:dyDescent="0.2">
      <c r="A14">
        <v>2020</v>
      </c>
      <c r="B14" s="5" t="s">
        <v>16</v>
      </c>
      <c r="C14" s="7">
        <v>297103</v>
      </c>
      <c r="D14" s="3">
        <f t="shared" si="0"/>
        <v>1.0813955794989706E-2</v>
      </c>
      <c r="E14" s="13">
        <f t="shared" si="1"/>
        <v>61099.910009359752</v>
      </c>
    </row>
    <row r="15" spans="1:5" x14ac:dyDescent="0.2">
      <c r="A15">
        <v>2020</v>
      </c>
      <c r="B15" s="5" t="s">
        <v>17</v>
      </c>
      <c r="C15" s="7">
        <v>438097</v>
      </c>
      <c r="D15" s="3">
        <f t="shared" si="0"/>
        <v>1.5945855787109539E-2</v>
      </c>
      <c r="E15" s="13">
        <f t="shared" si="1"/>
        <v>90095.647891036031</v>
      </c>
    </row>
    <row r="16" spans="1:5" x14ac:dyDescent="0.2">
      <c r="A16">
        <v>2020</v>
      </c>
      <c r="B16" s="5" t="s">
        <v>43</v>
      </c>
      <c r="C16" s="7">
        <v>312547</v>
      </c>
      <c r="D16" s="3">
        <f t="shared" si="0"/>
        <v>1.1376086548626731E-2</v>
      </c>
      <c r="E16" s="13">
        <f t="shared" si="1"/>
        <v>64276.0038562228</v>
      </c>
    </row>
    <row r="17" spans="1:5" x14ac:dyDescent="0.2">
      <c r="A17">
        <v>2020</v>
      </c>
      <c r="B17" s="5" t="s">
        <v>18</v>
      </c>
      <c r="C17" s="7">
        <v>240588</v>
      </c>
      <c r="D17" s="3">
        <f t="shared" si="0"/>
        <v>8.7569226726252631E-3</v>
      </c>
      <c r="E17" s="13">
        <f t="shared" si="1"/>
        <v>49477.471278754652</v>
      </c>
    </row>
    <row r="18" spans="1:5" x14ac:dyDescent="0.2">
      <c r="A18">
        <v>2020</v>
      </c>
      <c r="B18" s="5" t="s">
        <v>45</v>
      </c>
      <c r="C18" s="7">
        <v>319695</v>
      </c>
      <c r="D18" s="3">
        <f t="shared" si="0"/>
        <v>1.1636259471897739E-2</v>
      </c>
      <c r="E18" s="13">
        <f t="shared" si="1"/>
        <v>65746.006369650466</v>
      </c>
    </row>
    <row r="19" spans="1:5" x14ac:dyDescent="0.2">
      <c r="A19">
        <v>2020</v>
      </c>
      <c r="B19" s="5" t="s">
        <v>19</v>
      </c>
      <c r="C19" s="7">
        <v>548606</v>
      </c>
      <c r="D19" s="3">
        <f t="shared" si="0"/>
        <v>1.9968162667041808E-2</v>
      </c>
      <c r="E19" s="13">
        <f t="shared" si="1"/>
        <v>112822.07594872759</v>
      </c>
    </row>
    <row r="20" spans="1:5" x14ac:dyDescent="0.2">
      <c r="A20">
        <v>2020</v>
      </c>
      <c r="B20" s="5" t="s">
        <v>20</v>
      </c>
      <c r="C20" s="7">
        <v>766804</v>
      </c>
      <c r="D20" s="3">
        <f t="shared" si="0"/>
        <v>2.7910134059303631E-2</v>
      </c>
      <c r="E20" s="13">
        <f t="shared" si="1"/>
        <v>157694.99262820333</v>
      </c>
    </row>
    <row r="21" spans="1:5" x14ac:dyDescent="0.2">
      <c r="A21">
        <v>2020</v>
      </c>
      <c r="B21" s="5" t="s">
        <v>38</v>
      </c>
      <c r="C21" s="7">
        <v>306769</v>
      </c>
      <c r="D21" s="3">
        <f t="shared" si="0"/>
        <v>1.1165778889049242E-2</v>
      </c>
      <c r="E21" s="13">
        <f t="shared" si="1"/>
        <v>63087.744969459345</v>
      </c>
    </row>
    <row r="22" spans="1:5" x14ac:dyDescent="0.2">
      <c r="A22">
        <v>2020</v>
      </c>
      <c r="B22" s="5" t="s">
        <v>22</v>
      </c>
      <c r="C22" s="7">
        <v>889193</v>
      </c>
      <c r="D22" s="3">
        <f t="shared" si="0"/>
        <v>3.2364849211264382E-2</v>
      </c>
      <c r="E22" s="13">
        <f t="shared" si="1"/>
        <v>182864.56979886646</v>
      </c>
    </row>
    <row r="23" spans="1:5" x14ac:dyDescent="0.2">
      <c r="A23">
        <v>2020</v>
      </c>
      <c r="B23" s="5" t="s">
        <v>24</v>
      </c>
      <c r="C23" s="7">
        <v>2019304</v>
      </c>
      <c r="D23" s="3">
        <f t="shared" si="0"/>
        <v>7.3498632436043709E-2</v>
      </c>
      <c r="E23" s="13">
        <f t="shared" si="1"/>
        <v>415274.47612962569</v>
      </c>
    </row>
    <row r="24" spans="1:5" x14ac:dyDescent="0.2">
      <c r="A24">
        <v>2020</v>
      </c>
      <c r="B24" s="5" t="s">
        <v>25</v>
      </c>
      <c r="C24" s="7">
        <v>1407822</v>
      </c>
      <c r="D24" s="3">
        <f t="shared" si="0"/>
        <v>5.1241908951488196E-2</v>
      </c>
      <c r="E24" s="13">
        <f t="shared" si="1"/>
        <v>289521.80728298554</v>
      </c>
    </row>
    <row r="25" spans="1:5" x14ac:dyDescent="0.2">
      <c r="A25">
        <v>2020</v>
      </c>
      <c r="B25" s="5" t="s">
        <v>27</v>
      </c>
      <c r="C25" s="7">
        <v>200834</v>
      </c>
      <c r="D25" s="3">
        <f t="shared" si="0"/>
        <v>7.309956473448476E-3</v>
      </c>
      <c r="E25" s="13">
        <f t="shared" si="1"/>
        <v>41301.970450718291</v>
      </c>
    </row>
    <row r="26" spans="1:5" x14ac:dyDescent="0.2">
      <c r="A26">
        <v>2020</v>
      </c>
      <c r="B26" s="5" t="s">
        <v>29</v>
      </c>
      <c r="C26" s="7">
        <v>349849</v>
      </c>
      <c r="D26" s="3">
        <f t="shared" si="0"/>
        <v>1.2733804845192926E-2</v>
      </c>
      <c r="E26" s="13">
        <f t="shared" si="1"/>
        <v>71947.245288214865</v>
      </c>
    </row>
    <row r="27" spans="1:5" x14ac:dyDescent="0.2">
      <c r="A27">
        <v>2020</v>
      </c>
      <c r="B27" s="5" t="s">
        <v>31</v>
      </c>
      <c r="C27" s="7">
        <v>561933</v>
      </c>
      <c r="D27" s="3">
        <f t="shared" si="0"/>
        <v>2.0453238848971402E-2</v>
      </c>
      <c r="E27" s="13">
        <f t="shared" si="1"/>
        <v>115562.80391409562</v>
      </c>
    </row>
    <row r="28" spans="1:5" x14ac:dyDescent="0.2">
      <c r="A28">
        <v>2020</v>
      </c>
      <c r="B28" s="5" t="s">
        <v>52</v>
      </c>
      <c r="C28" s="7">
        <v>4533</v>
      </c>
      <c r="D28" s="3">
        <f t="shared" si="0"/>
        <v>1.6499214622096826E-4</v>
      </c>
      <c r="E28" s="13">
        <f t="shared" si="1"/>
        <v>932.22179537880027</v>
      </c>
    </row>
    <row r="29" spans="1:5" x14ac:dyDescent="0.2">
      <c r="A29">
        <v>2020</v>
      </c>
      <c r="B29" s="5" t="s">
        <v>32</v>
      </c>
      <c r="C29" s="7">
        <v>652202</v>
      </c>
      <c r="D29" s="3">
        <f t="shared" si="0"/>
        <v>2.3738850154336633E-2</v>
      </c>
      <c r="E29" s="13">
        <f t="shared" si="1"/>
        <v>134126.82977931711</v>
      </c>
    </row>
    <row r="30" spans="1:5" x14ac:dyDescent="0.2">
      <c r="A30">
        <v>2020</v>
      </c>
      <c r="B30" s="5" t="s">
        <v>34</v>
      </c>
      <c r="C30" s="7">
        <v>484118</v>
      </c>
      <c r="D30" s="3">
        <f t="shared" si="0"/>
        <v>1.7620928269182157E-2</v>
      </c>
      <c r="E30" s="13">
        <f t="shared" si="1"/>
        <v>99559.971571849572</v>
      </c>
    </row>
    <row r="31" spans="1:5" x14ac:dyDescent="0.2">
      <c r="A31">
        <v>2020</v>
      </c>
      <c r="B31" s="5" t="s">
        <v>35</v>
      </c>
      <c r="C31" s="7">
        <v>5650098</v>
      </c>
    </row>
    <row r="33" spans="3:3" x14ac:dyDescent="0.2">
      <c r="C33" s="8">
        <f>SUM(C2:C30)</f>
        <v>27474035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E73A-EABD-0741-A7AF-BB06CD1ACE87}">
  <sheetPr>
    <tabColor rgb="FFFFFF00"/>
  </sheetPr>
  <dimension ref="A1:D30"/>
  <sheetViews>
    <sheetView workbookViewId="0">
      <selection activeCell="A2" sqref="A2:D30"/>
    </sheetView>
  </sheetViews>
  <sheetFormatPr baseColWidth="10" defaultRowHeight="16" x14ac:dyDescent="0.2"/>
  <cols>
    <col min="2" max="2" width="33.83203125" style="3" bestFit="1" customWidth="1"/>
    <col min="3" max="3" width="18.83203125" style="3" bestFit="1" customWidth="1"/>
    <col min="4" max="4" width="17.1640625" style="3" bestFit="1" customWidth="1"/>
  </cols>
  <sheetData>
    <row r="1" spans="1:4" x14ac:dyDescent="0.2">
      <c r="A1" t="s">
        <v>61</v>
      </c>
      <c r="B1" s="3" t="s">
        <v>56</v>
      </c>
      <c r="C1" s="3" t="s">
        <v>57</v>
      </c>
      <c r="D1" s="3" t="s">
        <v>58</v>
      </c>
    </row>
    <row r="2" spans="1:4" x14ac:dyDescent="0.2">
      <c r="A2">
        <v>2021</v>
      </c>
      <c r="B2" s="3" t="s">
        <v>0</v>
      </c>
      <c r="C2" s="4">
        <v>459545</v>
      </c>
      <c r="D2" s="14">
        <v>0</v>
      </c>
    </row>
    <row r="3" spans="1:4" x14ac:dyDescent="0.2">
      <c r="A3">
        <v>2021</v>
      </c>
      <c r="B3" s="3" t="s">
        <v>1</v>
      </c>
      <c r="C3" s="4">
        <v>211530</v>
      </c>
      <c r="D3" s="14">
        <v>0</v>
      </c>
    </row>
    <row r="4" spans="1:4" x14ac:dyDescent="0.2">
      <c r="A4">
        <v>2021</v>
      </c>
      <c r="B4" s="3" t="s">
        <v>2</v>
      </c>
      <c r="C4" s="4">
        <v>250162</v>
      </c>
      <c r="D4" s="14">
        <v>0</v>
      </c>
    </row>
    <row r="5" spans="1:4" x14ac:dyDescent="0.2">
      <c r="A5">
        <v>2021</v>
      </c>
      <c r="B5" s="3" t="s">
        <v>53</v>
      </c>
      <c r="C5" s="4">
        <v>521987</v>
      </c>
      <c r="D5" s="14">
        <v>0</v>
      </c>
    </row>
    <row r="6" spans="1:4" x14ac:dyDescent="0.2">
      <c r="A6">
        <v>2021</v>
      </c>
      <c r="B6" s="3" t="s">
        <v>4</v>
      </c>
      <c r="C6" s="4">
        <v>8087</v>
      </c>
      <c r="D6" s="14">
        <v>0</v>
      </c>
    </row>
    <row r="7" spans="1:4" x14ac:dyDescent="0.2">
      <c r="A7">
        <v>2021</v>
      </c>
      <c r="B7" s="3" t="s">
        <v>6</v>
      </c>
      <c r="C7" s="4">
        <v>428201</v>
      </c>
      <c r="D7" s="14">
        <v>0</v>
      </c>
    </row>
    <row r="8" spans="1:4" x14ac:dyDescent="0.2">
      <c r="A8">
        <v>2021</v>
      </c>
      <c r="B8" s="3" t="s">
        <v>8</v>
      </c>
      <c r="C8" s="4">
        <v>9625479</v>
      </c>
      <c r="D8" s="14">
        <v>0</v>
      </c>
    </row>
    <row r="9" spans="1:4" x14ac:dyDescent="0.2">
      <c r="A9">
        <v>2021</v>
      </c>
      <c r="B9" s="3" t="s">
        <v>10</v>
      </c>
      <c r="C9" s="4">
        <v>34501</v>
      </c>
      <c r="D9" s="14">
        <v>0</v>
      </c>
    </row>
    <row r="10" spans="1:4" x14ac:dyDescent="0.2">
      <c r="A10">
        <v>2021</v>
      </c>
      <c r="B10" s="3" t="s">
        <v>11</v>
      </c>
      <c r="C10" s="4">
        <v>6459505</v>
      </c>
      <c r="D10" s="14">
        <v>0</v>
      </c>
    </row>
    <row r="11" spans="1:4" x14ac:dyDescent="0.2">
      <c r="A11">
        <v>2021</v>
      </c>
      <c r="B11" s="3" t="s">
        <v>13</v>
      </c>
      <c r="C11" s="4">
        <v>187393</v>
      </c>
      <c r="D11" s="14">
        <v>0</v>
      </c>
    </row>
    <row r="12" spans="1:4" x14ac:dyDescent="0.2">
      <c r="A12">
        <v>2021</v>
      </c>
      <c r="B12" s="3" t="s">
        <v>14</v>
      </c>
      <c r="C12" s="4">
        <v>457535</v>
      </c>
      <c r="D12" s="14">
        <v>0</v>
      </c>
    </row>
    <row r="13" spans="1:4" x14ac:dyDescent="0.2">
      <c r="A13">
        <v>2021</v>
      </c>
      <c r="B13" s="3" t="s">
        <v>16</v>
      </c>
      <c r="C13" s="4">
        <v>339757</v>
      </c>
      <c r="D13" s="14">
        <v>0</v>
      </c>
    </row>
    <row r="14" spans="1:4" x14ac:dyDescent="0.2">
      <c r="A14">
        <v>2021</v>
      </c>
      <c r="B14" s="3" t="s">
        <v>17</v>
      </c>
      <c r="C14" s="4">
        <v>475851</v>
      </c>
      <c r="D14" s="14">
        <v>0</v>
      </c>
    </row>
    <row r="15" spans="1:4" x14ac:dyDescent="0.2">
      <c r="A15">
        <v>2021</v>
      </c>
      <c r="B15" s="3" t="s">
        <v>43</v>
      </c>
      <c r="C15" s="4">
        <v>341119</v>
      </c>
      <c r="D15" s="14">
        <v>0</v>
      </c>
    </row>
    <row r="16" spans="1:4" x14ac:dyDescent="0.2">
      <c r="A16">
        <v>2021</v>
      </c>
      <c r="B16" s="3" t="s">
        <v>18</v>
      </c>
      <c r="C16" s="4">
        <v>213950</v>
      </c>
      <c r="D16" s="14">
        <v>0</v>
      </c>
    </row>
    <row r="17" spans="1:4" x14ac:dyDescent="0.2">
      <c r="A17">
        <v>2021</v>
      </c>
      <c r="B17" s="3" t="s">
        <v>45</v>
      </c>
      <c r="C17" s="4">
        <v>333830</v>
      </c>
      <c r="D17" s="14">
        <v>0</v>
      </c>
    </row>
    <row r="18" spans="1:4" x14ac:dyDescent="0.2">
      <c r="A18">
        <v>2021</v>
      </c>
      <c r="B18" s="3" t="s">
        <v>19</v>
      </c>
      <c r="C18" s="4">
        <v>582981</v>
      </c>
      <c r="D18" s="14">
        <v>0</v>
      </c>
    </row>
    <row r="19" spans="1:4" x14ac:dyDescent="0.2">
      <c r="A19">
        <v>2021</v>
      </c>
      <c r="B19" s="3" t="s">
        <v>20</v>
      </c>
      <c r="C19" s="4">
        <v>854373</v>
      </c>
      <c r="D19" s="14">
        <v>0</v>
      </c>
    </row>
    <row r="20" spans="1:4" x14ac:dyDescent="0.2">
      <c r="A20">
        <v>2021</v>
      </c>
      <c r="B20" s="3" t="s">
        <v>38</v>
      </c>
      <c r="C20" s="4">
        <v>311810</v>
      </c>
      <c r="D20" s="14">
        <v>0</v>
      </c>
    </row>
    <row r="21" spans="1:4" x14ac:dyDescent="0.2">
      <c r="A21">
        <v>2021</v>
      </c>
      <c r="B21" s="3" t="s">
        <v>22</v>
      </c>
      <c r="C21" s="4">
        <v>999383</v>
      </c>
      <c r="D21" s="14">
        <v>0</v>
      </c>
    </row>
    <row r="22" spans="1:4" x14ac:dyDescent="0.2">
      <c r="A22">
        <v>2021</v>
      </c>
      <c r="B22" s="3" t="s">
        <v>24</v>
      </c>
      <c r="C22" s="4">
        <v>2125114</v>
      </c>
      <c r="D22" s="14">
        <v>0</v>
      </c>
    </row>
    <row r="23" spans="1:4" x14ac:dyDescent="0.2">
      <c r="A23">
        <v>2021</v>
      </c>
      <c r="B23" s="3" t="s">
        <v>25</v>
      </c>
      <c r="C23" s="4">
        <v>1486074</v>
      </c>
      <c r="D23" s="14">
        <v>0</v>
      </c>
    </row>
    <row r="24" spans="1:4" x14ac:dyDescent="0.2">
      <c r="A24">
        <v>2021</v>
      </c>
      <c r="B24" s="3" t="s">
        <v>27</v>
      </c>
      <c r="C24" s="4">
        <v>204558</v>
      </c>
      <c r="D24" s="14">
        <v>0</v>
      </c>
    </row>
    <row r="25" spans="1:4" x14ac:dyDescent="0.2">
      <c r="A25">
        <v>2021</v>
      </c>
      <c r="B25" s="3" t="s">
        <v>29</v>
      </c>
      <c r="C25" s="4">
        <v>365942</v>
      </c>
      <c r="D25" s="14">
        <v>0</v>
      </c>
    </row>
    <row r="26" spans="1:4" x14ac:dyDescent="0.2">
      <c r="A26">
        <v>2021</v>
      </c>
      <c r="B26" s="3" t="s">
        <v>31</v>
      </c>
      <c r="C26" s="4">
        <v>763883</v>
      </c>
      <c r="D26" s="14">
        <v>0</v>
      </c>
    </row>
    <row r="27" spans="1:4" x14ac:dyDescent="0.2">
      <c r="A27">
        <v>2021</v>
      </c>
      <c r="B27" s="3" t="s">
        <v>52</v>
      </c>
      <c r="C27" s="4">
        <v>103673</v>
      </c>
      <c r="D27" s="14">
        <v>0</v>
      </c>
    </row>
    <row r="28" spans="1:4" x14ac:dyDescent="0.2">
      <c r="A28">
        <v>2021</v>
      </c>
      <c r="B28" s="3" t="s">
        <v>32</v>
      </c>
      <c r="C28" s="4">
        <v>659500</v>
      </c>
      <c r="D28" s="14">
        <v>0</v>
      </c>
    </row>
    <row r="29" spans="1:4" x14ac:dyDescent="0.2">
      <c r="A29">
        <v>2021</v>
      </c>
      <c r="B29" s="3" t="s">
        <v>34</v>
      </c>
      <c r="C29" s="4">
        <v>506866</v>
      </c>
      <c r="D29" s="14">
        <v>0</v>
      </c>
    </row>
    <row r="30" spans="1:4" x14ac:dyDescent="0.2">
      <c r="A30">
        <v>2021</v>
      </c>
      <c r="B30" s="3" t="s">
        <v>35</v>
      </c>
      <c r="C30" s="4">
        <v>0</v>
      </c>
      <c r="D30" s="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7993-0A4A-7145-BA16-4D5D941380CB}">
  <sheetPr>
    <tabColor rgb="FFFFFF00"/>
  </sheetPr>
  <dimension ref="A1:H32"/>
  <sheetViews>
    <sheetView workbookViewId="0">
      <selection activeCell="E2" activeCellId="1" sqref="A2:C29 E2:E29"/>
    </sheetView>
  </sheetViews>
  <sheetFormatPr baseColWidth="10" defaultRowHeight="16" x14ac:dyDescent="0.2"/>
  <cols>
    <col min="2" max="2" width="40.6640625" style="3" bestFit="1" customWidth="1"/>
    <col min="3" max="3" width="18.83203125" style="3" bestFit="1" customWidth="1"/>
    <col min="5" max="5" width="17.1640625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E1" t="s">
        <v>58</v>
      </c>
    </row>
    <row r="2" spans="1:5" x14ac:dyDescent="0.2">
      <c r="A2">
        <v>2022</v>
      </c>
      <c r="B2" s="3" t="s">
        <v>0</v>
      </c>
      <c r="C2" s="4">
        <v>535781</v>
      </c>
      <c r="D2" s="12">
        <f>C2/$C$32</f>
        <v>1.6925892950703184E-2</v>
      </c>
      <c r="E2" s="7">
        <f>D2*$C$32</f>
        <v>535781</v>
      </c>
    </row>
    <row r="3" spans="1:5" x14ac:dyDescent="0.2">
      <c r="A3">
        <v>2022</v>
      </c>
      <c r="B3" s="3" t="s">
        <v>1</v>
      </c>
      <c r="C3" s="4">
        <v>280886</v>
      </c>
      <c r="D3" s="12">
        <f t="shared" ref="D3:D29" si="0">C3/$C$32</f>
        <v>8.8734881739949995E-3</v>
      </c>
      <c r="E3" s="7">
        <f t="shared" ref="E3:E29" si="1">D3*$C$32</f>
        <v>280886</v>
      </c>
    </row>
    <row r="4" spans="1:5" x14ac:dyDescent="0.2">
      <c r="A4">
        <v>2022</v>
      </c>
      <c r="B4" s="3" t="s">
        <v>2</v>
      </c>
      <c r="C4" s="4">
        <v>282942</v>
      </c>
      <c r="D4" s="12">
        <f t="shared" si="0"/>
        <v>8.9384394057606745E-3</v>
      </c>
      <c r="E4" s="7">
        <f t="shared" si="1"/>
        <v>282942</v>
      </c>
    </row>
    <row r="5" spans="1:5" x14ac:dyDescent="0.2">
      <c r="A5">
        <v>2022</v>
      </c>
      <c r="B5" s="3" t="s">
        <v>53</v>
      </c>
      <c r="C5" s="4">
        <v>539308</v>
      </c>
      <c r="D5" s="12">
        <f t="shared" si="0"/>
        <v>1.7037314640604709E-2</v>
      </c>
      <c r="E5" s="7">
        <f t="shared" si="1"/>
        <v>539308</v>
      </c>
    </row>
    <row r="6" spans="1:5" x14ac:dyDescent="0.2">
      <c r="A6">
        <v>2022</v>
      </c>
      <c r="B6" s="3" t="s">
        <v>6</v>
      </c>
      <c r="C6" s="4">
        <v>423842</v>
      </c>
      <c r="D6" s="12">
        <f t="shared" si="0"/>
        <v>1.3389620609935662E-2</v>
      </c>
      <c r="E6" s="7">
        <f t="shared" si="1"/>
        <v>423842</v>
      </c>
    </row>
    <row r="7" spans="1:5" x14ac:dyDescent="0.2">
      <c r="A7">
        <v>2022</v>
      </c>
      <c r="B7" s="3" t="s">
        <v>54</v>
      </c>
      <c r="C7" s="4">
        <v>8200</v>
      </c>
      <c r="D7" s="12">
        <f t="shared" si="0"/>
        <v>2.5904674147789137E-4</v>
      </c>
      <c r="E7" s="7">
        <f t="shared" si="1"/>
        <v>8200</v>
      </c>
    </row>
    <row r="8" spans="1:5" x14ac:dyDescent="0.2">
      <c r="A8">
        <v>2022</v>
      </c>
      <c r="B8" s="3" t="s">
        <v>8</v>
      </c>
      <c r="C8" s="4">
        <v>9869851</v>
      </c>
      <c r="D8" s="12">
        <f t="shared" si="0"/>
        <v>0.31179911468564725</v>
      </c>
      <c r="E8" s="7">
        <f t="shared" si="1"/>
        <v>9869851</v>
      </c>
    </row>
    <row r="9" spans="1:5" x14ac:dyDescent="0.2">
      <c r="A9">
        <v>2022</v>
      </c>
      <c r="B9" s="3" t="s">
        <v>10</v>
      </c>
      <c r="C9" s="4">
        <v>31402</v>
      </c>
      <c r="D9" s="12">
        <f t="shared" si="0"/>
        <v>9.920226555961884E-4</v>
      </c>
      <c r="E9" s="7">
        <f t="shared" si="1"/>
        <v>31402.000000000004</v>
      </c>
    </row>
    <row r="10" spans="1:5" x14ac:dyDescent="0.2">
      <c r="A10">
        <v>2022</v>
      </c>
      <c r="B10" s="3" t="s">
        <v>11</v>
      </c>
      <c r="C10" s="4">
        <v>7212747</v>
      </c>
      <c r="D10" s="12">
        <f t="shared" si="0"/>
        <v>0.22785836676273616</v>
      </c>
      <c r="E10" s="7">
        <f t="shared" si="1"/>
        <v>7212747</v>
      </c>
    </row>
    <row r="11" spans="1:5" x14ac:dyDescent="0.2">
      <c r="A11">
        <v>2022</v>
      </c>
      <c r="B11" s="3" t="s">
        <v>13</v>
      </c>
      <c r="C11" s="4">
        <v>244534</v>
      </c>
      <c r="D11" s="12">
        <f t="shared" si="0"/>
        <v>7.7250897415310589E-3</v>
      </c>
      <c r="E11" s="7">
        <f t="shared" si="1"/>
        <v>244534</v>
      </c>
    </row>
    <row r="12" spans="1:5" x14ac:dyDescent="0.2">
      <c r="A12">
        <v>2022</v>
      </c>
      <c r="B12" s="3" t="s">
        <v>14</v>
      </c>
      <c r="C12" s="4">
        <v>514756</v>
      </c>
      <c r="D12" s="12">
        <f t="shared" si="0"/>
        <v>1.6261690787340664E-2</v>
      </c>
      <c r="E12" s="7">
        <f t="shared" si="1"/>
        <v>514756</v>
      </c>
    </row>
    <row r="13" spans="1:5" x14ac:dyDescent="0.2">
      <c r="A13">
        <v>2022</v>
      </c>
      <c r="B13" s="3" t="s">
        <v>16</v>
      </c>
      <c r="C13" s="4">
        <v>384466</v>
      </c>
      <c r="D13" s="12">
        <f t="shared" si="0"/>
        <v>1.2145690793785241E-2</v>
      </c>
      <c r="E13" s="7">
        <f t="shared" si="1"/>
        <v>384466</v>
      </c>
    </row>
    <row r="14" spans="1:5" x14ac:dyDescent="0.2">
      <c r="A14">
        <v>2022</v>
      </c>
      <c r="B14" s="3" t="s">
        <v>17</v>
      </c>
      <c r="C14" s="4">
        <v>520855</v>
      </c>
      <c r="D14" s="12">
        <f t="shared" si="0"/>
        <v>1.6454364699081354E-2</v>
      </c>
      <c r="E14" s="7">
        <f t="shared" si="1"/>
        <v>520855</v>
      </c>
    </row>
    <row r="15" spans="1:5" x14ac:dyDescent="0.2">
      <c r="A15">
        <v>2022</v>
      </c>
      <c r="B15" s="3" t="s">
        <v>43</v>
      </c>
      <c r="C15" s="4">
        <v>401687</v>
      </c>
      <c r="D15" s="12">
        <f t="shared" si="0"/>
        <v>1.2689720541954847E-2</v>
      </c>
      <c r="E15" s="7">
        <f t="shared" si="1"/>
        <v>401687</v>
      </c>
    </row>
    <row r="16" spans="1:5" x14ac:dyDescent="0.2">
      <c r="A16">
        <v>2022</v>
      </c>
      <c r="B16" s="3" t="s">
        <v>18</v>
      </c>
      <c r="C16" s="4">
        <v>246126</v>
      </c>
      <c r="D16" s="12">
        <f t="shared" si="0"/>
        <v>7.7753827186570106E-3</v>
      </c>
      <c r="E16" s="7">
        <f t="shared" si="1"/>
        <v>246126</v>
      </c>
    </row>
    <row r="17" spans="1:8" x14ac:dyDescent="0.2">
      <c r="A17">
        <v>2022</v>
      </c>
      <c r="B17" s="3" t="s">
        <v>45</v>
      </c>
      <c r="C17" s="4">
        <v>338355</v>
      </c>
      <c r="D17" s="12">
        <f t="shared" si="0"/>
        <v>1.0688995147896577E-2</v>
      </c>
      <c r="E17" s="7">
        <f t="shared" si="1"/>
        <v>338355</v>
      </c>
    </row>
    <row r="18" spans="1:8" x14ac:dyDescent="0.2">
      <c r="A18">
        <v>2022</v>
      </c>
      <c r="B18" s="3" t="s">
        <v>55</v>
      </c>
      <c r="C18" s="4">
        <v>691579</v>
      </c>
      <c r="D18" s="12">
        <f t="shared" si="0"/>
        <v>2.1847717856651051E-2</v>
      </c>
      <c r="E18" s="7">
        <f t="shared" si="1"/>
        <v>691579</v>
      </c>
    </row>
    <row r="19" spans="1:8" x14ac:dyDescent="0.2">
      <c r="A19">
        <v>2022</v>
      </c>
      <c r="B19" s="3" t="s">
        <v>20</v>
      </c>
      <c r="C19" s="4">
        <v>1088098</v>
      </c>
      <c r="D19" s="12">
        <f t="shared" si="0"/>
        <v>3.4374175769342763E-2</v>
      </c>
      <c r="E19" s="7">
        <f t="shared" si="1"/>
        <v>1088098</v>
      </c>
    </row>
    <row r="20" spans="1:8" x14ac:dyDescent="0.2">
      <c r="A20">
        <v>2022</v>
      </c>
      <c r="B20" s="3" t="s">
        <v>38</v>
      </c>
      <c r="C20" s="4">
        <v>311926</v>
      </c>
      <c r="D20" s="12">
        <f t="shared" si="0"/>
        <v>9.8540748636869197E-3</v>
      </c>
      <c r="E20" s="7">
        <f t="shared" si="1"/>
        <v>311926</v>
      </c>
    </row>
    <row r="21" spans="1:8" x14ac:dyDescent="0.2">
      <c r="A21">
        <v>2022</v>
      </c>
      <c r="B21" s="3" t="s">
        <v>22</v>
      </c>
      <c r="C21" s="4">
        <v>988238</v>
      </c>
      <c r="D21" s="12">
        <f t="shared" si="0"/>
        <v>3.1219491915198586E-2</v>
      </c>
      <c r="E21" s="7">
        <f t="shared" si="1"/>
        <v>988238</v>
      </c>
    </row>
    <row r="22" spans="1:8" x14ac:dyDescent="0.2">
      <c r="A22">
        <v>2022</v>
      </c>
      <c r="B22" s="3" t="s">
        <v>24</v>
      </c>
      <c r="C22" s="4">
        <v>2250735</v>
      </c>
      <c r="D22" s="12">
        <f t="shared" si="0"/>
        <v>7.1103118009785582E-2</v>
      </c>
      <c r="E22" s="7">
        <f t="shared" si="1"/>
        <v>2250735</v>
      </c>
    </row>
    <row r="23" spans="1:8" x14ac:dyDescent="0.2">
      <c r="A23">
        <v>2022</v>
      </c>
      <c r="B23" s="3" t="s">
        <v>25</v>
      </c>
      <c r="C23" s="4">
        <v>1594238</v>
      </c>
      <c r="D23" s="12">
        <f t="shared" si="0"/>
        <v>5.0363677931735434E-2</v>
      </c>
      <c r="E23" s="7">
        <f t="shared" si="1"/>
        <v>1594238</v>
      </c>
    </row>
    <row r="24" spans="1:8" x14ac:dyDescent="0.2">
      <c r="A24">
        <v>2022</v>
      </c>
      <c r="B24" s="3" t="s">
        <v>27</v>
      </c>
      <c r="C24" s="4">
        <v>222361</v>
      </c>
      <c r="D24" s="12">
        <f t="shared" si="0"/>
        <v>7.0246210343616342E-3</v>
      </c>
      <c r="E24" s="7">
        <f t="shared" si="1"/>
        <v>222361</v>
      </c>
    </row>
    <row r="25" spans="1:8" x14ac:dyDescent="0.2">
      <c r="A25">
        <v>2022</v>
      </c>
      <c r="B25" s="3" t="s">
        <v>29</v>
      </c>
      <c r="C25" s="4">
        <v>390101</v>
      </c>
      <c r="D25" s="12">
        <f t="shared" si="0"/>
        <v>1.2323706450886207E-2</v>
      </c>
      <c r="E25" s="7">
        <f t="shared" si="1"/>
        <v>390101</v>
      </c>
    </row>
    <row r="26" spans="1:8" x14ac:dyDescent="0.2">
      <c r="A26">
        <v>2022</v>
      </c>
      <c r="B26" s="3" t="s">
        <v>31</v>
      </c>
      <c r="C26" s="4">
        <v>867339</v>
      </c>
      <c r="D26" s="12">
        <f t="shared" si="0"/>
        <v>2.7400163622767416E-2</v>
      </c>
      <c r="E26" s="7">
        <f t="shared" si="1"/>
        <v>867339</v>
      </c>
    </row>
    <row r="27" spans="1:8" x14ac:dyDescent="0.2">
      <c r="A27">
        <v>2022</v>
      </c>
      <c r="B27" s="3" t="s">
        <v>52</v>
      </c>
      <c r="C27" s="4">
        <v>171870</v>
      </c>
      <c r="D27" s="12">
        <f t="shared" si="0"/>
        <v>5.4295565192445348E-3</v>
      </c>
      <c r="E27" s="7">
        <f t="shared" si="1"/>
        <v>171870</v>
      </c>
    </row>
    <row r="28" spans="1:8" x14ac:dyDescent="0.2">
      <c r="A28">
        <v>2022</v>
      </c>
      <c r="B28" s="3" t="s">
        <v>32</v>
      </c>
      <c r="C28" s="4">
        <v>692294</v>
      </c>
      <c r="D28" s="12">
        <f t="shared" si="0"/>
        <v>2.1870305468865283E-2</v>
      </c>
      <c r="E28" s="7">
        <f t="shared" si="1"/>
        <v>692294</v>
      </c>
    </row>
    <row r="29" spans="1:8" x14ac:dyDescent="0.2">
      <c r="A29">
        <v>2022</v>
      </c>
      <c r="B29" s="3" t="s">
        <v>34</v>
      </c>
      <c r="C29" s="4">
        <v>550002</v>
      </c>
      <c r="D29" s="12">
        <f t="shared" si="0"/>
        <v>1.7375149500771122E-2</v>
      </c>
      <c r="E29" s="7">
        <f t="shared" si="1"/>
        <v>550002</v>
      </c>
    </row>
    <row r="30" spans="1:8" x14ac:dyDescent="0.2">
      <c r="A30">
        <v>2022</v>
      </c>
      <c r="B30" s="3" t="s">
        <v>35</v>
      </c>
      <c r="C30" s="4">
        <v>26653400</v>
      </c>
      <c r="H30" s="9"/>
    </row>
    <row r="31" spans="1:8" x14ac:dyDescent="0.2">
      <c r="H31" s="9"/>
    </row>
    <row r="32" spans="1:8" x14ac:dyDescent="0.2">
      <c r="C32" s="4">
        <f>SUM(C2:C29)</f>
        <v>31654519</v>
      </c>
      <c r="H3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834E-651A-A047-8276-68C01652FC46}">
  <sheetPr>
    <tabColor rgb="FFFFFF00"/>
  </sheetPr>
  <dimension ref="A1:E34"/>
  <sheetViews>
    <sheetView workbookViewId="0">
      <selection activeCell="G26" sqref="G26"/>
    </sheetView>
  </sheetViews>
  <sheetFormatPr baseColWidth="10" defaultRowHeight="16" x14ac:dyDescent="0.2"/>
  <cols>
    <col min="2" max="2" width="40.6640625" style="3" bestFit="1" customWidth="1"/>
    <col min="3" max="3" width="18.83203125" style="3" bestFit="1" customWidth="1"/>
    <col min="4" max="4" width="10.83203125" style="3"/>
    <col min="5" max="5" width="17.1640625" style="3" bestFit="1" customWidth="1"/>
  </cols>
  <sheetData>
    <row r="1" spans="1:5" x14ac:dyDescent="0.2">
      <c r="A1" t="s">
        <v>61</v>
      </c>
      <c r="B1" s="3" t="s">
        <v>56</v>
      </c>
      <c r="C1" s="3" t="s">
        <v>57</v>
      </c>
      <c r="E1" s="3" t="s">
        <v>58</v>
      </c>
    </row>
    <row r="2" spans="1:5" x14ac:dyDescent="0.2">
      <c r="A2">
        <v>2023</v>
      </c>
      <c r="B2" s="3" t="s">
        <v>0</v>
      </c>
      <c r="C2" s="7">
        <v>527365</v>
      </c>
      <c r="D2" s="12">
        <f>C2/$C$33</f>
        <v>1.7364288290549836E-2</v>
      </c>
      <c r="E2" s="13">
        <f>D2*$C$31</f>
        <v>2758011.7571228109</v>
      </c>
    </row>
    <row r="3" spans="1:5" x14ac:dyDescent="0.2">
      <c r="A3">
        <v>2023</v>
      </c>
      <c r="B3" s="3" t="s">
        <v>1</v>
      </c>
      <c r="C3" s="7">
        <v>317098</v>
      </c>
      <c r="D3" s="12">
        <f t="shared" ref="D3:D30" si="0">C3/$C$33</f>
        <v>1.0440930073775794E-2</v>
      </c>
      <c r="E3" s="13">
        <f t="shared" ref="E3:E30" si="1">D3*$C$31</f>
        <v>1658358.0862592871</v>
      </c>
    </row>
    <row r="4" spans="1:5" x14ac:dyDescent="0.2">
      <c r="A4">
        <v>2023</v>
      </c>
      <c r="B4" s="3" t="s">
        <v>60</v>
      </c>
      <c r="C4" s="7">
        <v>16099</v>
      </c>
      <c r="D4" s="12">
        <f t="shared" si="0"/>
        <v>5.3008386447633382E-4</v>
      </c>
      <c r="E4" s="13">
        <f t="shared" si="1"/>
        <v>84194.497696889492</v>
      </c>
    </row>
    <row r="5" spans="1:5" x14ac:dyDescent="0.2">
      <c r="A5">
        <v>2023</v>
      </c>
      <c r="B5" s="3" t="s">
        <v>2</v>
      </c>
      <c r="C5" s="7">
        <v>267334</v>
      </c>
      <c r="D5" s="12">
        <f t="shared" si="0"/>
        <v>8.8023752920005117E-3</v>
      </c>
      <c r="E5" s="13">
        <f t="shared" si="1"/>
        <v>1398102.481352895</v>
      </c>
    </row>
    <row r="6" spans="1:5" x14ac:dyDescent="0.2">
      <c r="A6">
        <v>2023</v>
      </c>
      <c r="B6" s="3" t="s">
        <v>53</v>
      </c>
      <c r="C6" s="7">
        <v>508351</v>
      </c>
      <c r="D6" s="12">
        <f t="shared" si="0"/>
        <v>1.6738223653047318E-2</v>
      </c>
      <c r="E6" s="13">
        <f t="shared" si="1"/>
        <v>2658572.4019325092</v>
      </c>
    </row>
    <row r="7" spans="1:5" x14ac:dyDescent="0.2">
      <c r="A7">
        <v>2023</v>
      </c>
      <c r="B7" s="3" t="s">
        <v>6</v>
      </c>
      <c r="C7" s="7">
        <v>415811</v>
      </c>
      <c r="D7" s="12">
        <f t="shared" si="0"/>
        <v>1.3691204532689537E-2</v>
      </c>
      <c r="E7" s="13">
        <f t="shared" si="1"/>
        <v>2174607.0117300027</v>
      </c>
    </row>
    <row r="8" spans="1:5" x14ac:dyDescent="0.2">
      <c r="A8">
        <v>2023</v>
      </c>
      <c r="B8" s="3" t="s">
        <v>54</v>
      </c>
      <c r="C8" s="7">
        <v>7629</v>
      </c>
      <c r="D8" s="12">
        <f t="shared" si="0"/>
        <v>2.5119633530591658E-4</v>
      </c>
      <c r="E8" s="13">
        <f t="shared" si="1"/>
        <v>39898.119319806814</v>
      </c>
    </row>
    <row r="9" spans="1:5" x14ac:dyDescent="0.2">
      <c r="A9">
        <v>2023</v>
      </c>
      <c r="B9" s="3" t="s">
        <v>8</v>
      </c>
      <c r="C9" s="7">
        <v>9015305</v>
      </c>
      <c r="D9" s="12">
        <f t="shared" si="0"/>
        <v>0.2968425190280648</v>
      </c>
      <c r="E9" s="13">
        <f t="shared" si="1"/>
        <v>47148212.687698387</v>
      </c>
    </row>
    <row r="10" spans="1:5" x14ac:dyDescent="0.2">
      <c r="A10">
        <v>2023</v>
      </c>
      <c r="B10" s="3" t="s">
        <v>10</v>
      </c>
      <c r="C10" s="7">
        <v>16354</v>
      </c>
      <c r="D10" s="12">
        <f t="shared" si="0"/>
        <v>5.3848012420932754E-4</v>
      </c>
      <c r="E10" s="13">
        <f t="shared" si="1"/>
        <v>85528.095865266834</v>
      </c>
    </row>
    <row r="11" spans="1:5" x14ac:dyDescent="0.2">
      <c r="A11">
        <v>2023</v>
      </c>
      <c r="B11" s="3" t="s">
        <v>11</v>
      </c>
      <c r="C11" s="7">
        <v>7021763</v>
      </c>
      <c r="D11" s="12">
        <f t="shared" si="0"/>
        <v>0.23120214090794058</v>
      </c>
      <c r="E11" s="13">
        <f t="shared" si="1"/>
        <v>36722393.23756779</v>
      </c>
    </row>
    <row r="12" spans="1:5" x14ac:dyDescent="0.2">
      <c r="A12">
        <v>2023</v>
      </c>
      <c r="B12" s="3" t="s">
        <v>13</v>
      </c>
      <c r="C12" s="7">
        <v>302228</v>
      </c>
      <c r="D12" s="12">
        <f t="shared" si="0"/>
        <v>9.9513128885616135E-3</v>
      </c>
      <c r="E12" s="13">
        <f t="shared" si="1"/>
        <v>1580591.0087543025</v>
      </c>
    </row>
    <row r="13" spans="1:5" x14ac:dyDescent="0.2">
      <c r="A13">
        <v>2023</v>
      </c>
      <c r="B13" s="3" t="s">
        <v>14</v>
      </c>
      <c r="C13" s="7">
        <v>504026</v>
      </c>
      <c r="D13" s="12">
        <f t="shared" si="0"/>
        <v>1.6595816502673996E-2</v>
      </c>
      <c r="E13" s="13">
        <f t="shared" si="1"/>
        <v>2635953.531037482</v>
      </c>
    </row>
    <row r="14" spans="1:5" x14ac:dyDescent="0.2">
      <c r="A14">
        <v>2023</v>
      </c>
      <c r="B14" s="3" t="s">
        <v>16</v>
      </c>
      <c r="C14" s="7">
        <v>371519</v>
      </c>
      <c r="D14" s="12">
        <f t="shared" si="0"/>
        <v>1.223282360683167E-2</v>
      </c>
      <c r="E14" s="13">
        <f t="shared" si="1"/>
        <v>1942968.8545779667</v>
      </c>
    </row>
    <row r="15" spans="1:5" x14ac:dyDescent="0.2">
      <c r="A15">
        <v>2023</v>
      </c>
      <c r="B15" s="3" t="s">
        <v>17</v>
      </c>
      <c r="C15" s="7">
        <v>505275</v>
      </c>
      <c r="D15" s="12">
        <f t="shared" si="0"/>
        <v>1.6636941712111285E-2</v>
      </c>
      <c r="E15" s="13">
        <f t="shared" si="1"/>
        <v>2642485.5471641617</v>
      </c>
    </row>
    <row r="16" spans="1:5" x14ac:dyDescent="0.2">
      <c r="A16">
        <v>2023</v>
      </c>
      <c r="B16" s="3" t="s">
        <v>43</v>
      </c>
      <c r="C16" s="7">
        <v>356836</v>
      </c>
      <c r="D16" s="12">
        <f t="shared" si="0"/>
        <v>1.174936367875502E-2</v>
      </c>
      <c r="E16" s="13">
        <f t="shared" si="1"/>
        <v>1866179.7490631256</v>
      </c>
    </row>
    <row r="17" spans="1:5" x14ac:dyDescent="0.2">
      <c r="A17">
        <v>2023</v>
      </c>
      <c r="B17" s="3" t="s">
        <v>18</v>
      </c>
      <c r="C17" s="7">
        <v>221770</v>
      </c>
      <c r="D17" s="12">
        <f t="shared" si="0"/>
        <v>7.3021118470039479E-3</v>
      </c>
      <c r="E17" s="13">
        <f t="shared" si="1"/>
        <v>1159812.0227491884</v>
      </c>
    </row>
    <row r="18" spans="1:5" x14ac:dyDescent="0.2">
      <c r="A18">
        <v>2023</v>
      </c>
      <c r="B18" s="3" t="s">
        <v>45</v>
      </c>
      <c r="C18" s="7">
        <v>244150</v>
      </c>
      <c r="D18" s="12">
        <f t="shared" si="0"/>
        <v>8.0390071129819805E-3</v>
      </c>
      <c r="E18" s="13">
        <f t="shared" si="1"/>
        <v>1276854.8737620702</v>
      </c>
    </row>
    <row r="19" spans="1:5" x14ac:dyDescent="0.2">
      <c r="A19">
        <v>2023</v>
      </c>
      <c r="B19" s="3" t="s">
        <v>55</v>
      </c>
      <c r="C19" s="7">
        <v>682889</v>
      </c>
      <c r="D19" s="12">
        <f t="shared" si="0"/>
        <v>2.2485150638448297E-2</v>
      </c>
      <c r="E19" s="13">
        <f t="shared" si="1"/>
        <v>3571370.6651177816</v>
      </c>
    </row>
    <row r="20" spans="1:5" x14ac:dyDescent="0.2">
      <c r="A20">
        <v>2023</v>
      </c>
      <c r="B20" s="3" t="s">
        <v>20</v>
      </c>
      <c r="C20" s="7">
        <v>1169807</v>
      </c>
      <c r="D20" s="12">
        <f t="shared" si="0"/>
        <v>3.8517660429310312E-2</v>
      </c>
      <c r="E20" s="13">
        <f t="shared" si="1"/>
        <v>6117852.833548991</v>
      </c>
    </row>
    <row r="21" spans="1:5" x14ac:dyDescent="0.2">
      <c r="A21">
        <v>2023</v>
      </c>
      <c r="B21" s="3" t="s">
        <v>38</v>
      </c>
      <c r="C21" s="7">
        <v>284298</v>
      </c>
      <c r="D21" s="12">
        <f t="shared" si="0"/>
        <v>9.3609405865515104E-3</v>
      </c>
      <c r="E21" s="13">
        <f t="shared" si="1"/>
        <v>1486820.7532287899</v>
      </c>
    </row>
    <row r="22" spans="1:5" x14ac:dyDescent="0.2">
      <c r="A22">
        <v>2023</v>
      </c>
      <c r="B22" s="3" t="s">
        <v>22</v>
      </c>
      <c r="C22" s="7">
        <v>908396</v>
      </c>
      <c r="D22" s="12">
        <f t="shared" si="0"/>
        <v>2.9910308848676549E-2</v>
      </c>
      <c r="E22" s="13">
        <f t="shared" si="1"/>
        <v>4750726.4382796213</v>
      </c>
    </row>
    <row r="23" spans="1:5" x14ac:dyDescent="0.2">
      <c r="A23">
        <v>2023</v>
      </c>
      <c r="B23" s="3" t="s">
        <v>24</v>
      </c>
      <c r="C23" s="7">
        <v>2416537</v>
      </c>
      <c r="D23" s="12">
        <f t="shared" si="0"/>
        <v>7.9568126691722862E-2</v>
      </c>
      <c r="E23" s="13">
        <f t="shared" si="1"/>
        <v>12637997.32163167</v>
      </c>
    </row>
    <row r="24" spans="1:5" x14ac:dyDescent="0.2">
      <c r="A24">
        <v>2023</v>
      </c>
      <c r="B24" s="3" t="s">
        <v>25</v>
      </c>
      <c r="C24" s="7">
        <v>1676074</v>
      </c>
      <c r="D24" s="12">
        <f t="shared" si="0"/>
        <v>5.5187265238108379E-2</v>
      </c>
      <c r="E24" s="13">
        <f t="shared" si="1"/>
        <v>8765526.3390779775</v>
      </c>
    </row>
    <row r="25" spans="1:5" x14ac:dyDescent="0.2">
      <c r="A25">
        <v>2023</v>
      </c>
      <c r="B25" s="3" t="s">
        <v>27</v>
      </c>
      <c r="C25" s="7">
        <v>193836</v>
      </c>
      <c r="D25" s="12">
        <f t="shared" si="0"/>
        <v>6.3823427513904369E-3</v>
      </c>
      <c r="E25" s="13">
        <f t="shared" si="1"/>
        <v>1013722.880649374</v>
      </c>
    </row>
    <row r="26" spans="1:5" x14ac:dyDescent="0.2">
      <c r="A26">
        <v>2023</v>
      </c>
      <c r="B26" s="3" t="s">
        <v>29</v>
      </c>
      <c r="C26" s="7">
        <v>363960</v>
      </c>
      <c r="D26" s="12">
        <f t="shared" si="0"/>
        <v>1.1983932127138733E-2</v>
      </c>
      <c r="E26" s="13">
        <f t="shared" si="1"/>
        <v>1903436.8210298712</v>
      </c>
    </row>
    <row r="27" spans="1:5" x14ac:dyDescent="0.2">
      <c r="A27">
        <v>2023</v>
      </c>
      <c r="B27" s="3" t="s">
        <v>31</v>
      </c>
      <c r="C27" s="7">
        <v>789593</v>
      </c>
      <c r="D27" s="12">
        <f t="shared" si="0"/>
        <v>2.5998540828837933E-2</v>
      </c>
      <c r="E27" s="13">
        <f t="shared" si="1"/>
        <v>4129410.8963277265</v>
      </c>
    </row>
    <row r="28" spans="1:5" x14ac:dyDescent="0.2">
      <c r="A28">
        <v>2023</v>
      </c>
      <c r="B28" s="3" t="s">
        <v>52</v>
      </c>
      <c r="C28" s="7">
        <v>185445</v>
      </c>
      <c r="D28" s="12">
        <f t="shared" si="0"/>
        <v>6.1060564164118099E-3</v>
      </c>
      <c r="E28" s="13">
        <f t="shared" si="1"/>
        <v>969839.6562146513</v>
      </c>
    </row>
    <row r="29" spans="1:5" x14ac:dyDescent="0.2">
      <c r="A29">
        <v>2023</v>
      </c>
      <c r="B29" s="3" t="s">
        <v>32</v>
      </c>
      <c r="C29" s="7">
        <v>616185</v>
      </c>
      <c r="D29" s="12">
        <f t="shared" si="0"/>
        <v>2.0288820798332181E-2</v>
      </c>
      <c r="E29" s="13">
        <f t="shared" si="1"/>
        <v>3222522.3034572243</v>
      </c>
    </row>
    <row r="30" spans="1:5" x14ac:dyDescent="0.2">
      <c r="A30">
        <v>2023</v>
      </c>
      <c r="B30" s="3" t="s">
        <v>34</v>
      </c>
      <c r="C30" s="7">
        <v>464733</v>
      </c>
      <c r="D30" s="12">
        <f t="shared" si="0"/>
        <v>1.5302035194091563E-2</v>
      </c>
      <c r="E30" s="13">
        <f t="shared" si="1"/>
        <v>2430459.1277823807</v>
      </c>
    </row>
    <row r="31" spans="1:5" x14ac:dyDescent="0.2">
      <c r="A31">
        <v>2023</v>
      </c>
      <c r="B31" s="3" t="s">
        <v>35</v>
      </c>
      <c r="C31" s="7">
        <v>158832410</v>
      </c>
    </row>
    <row r="32" spans="1:5" x14ac:dyDescent="0.2">
      <c r="C32" s="4"/>
    </row>
    <row r="33" spans="3:3" x14ac:dyDescent="0.2">
      <c r="C33" s="4">
        <f>SUM(C2:C30)</f>
        <v>30370666</v>
      </c>
    </row>
    <row r="34" spans="3:3" x14ac:dyDescent="0.2">
      <c r="C3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2A17-B45E-F142-95C4-45826FB1C2D2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873D-A4E0-2544-A1F4-276F16A4C4A8}">
  <sheetPr>
    <tabColor rgb="FFFFFF00"/>
  </sheetPr>
  <dimension ref="A1:B44"/>
  <sheetViews>
    <sheetView workbookViewId="0">
      <selection activeCell="B44" sqref="B2:B44"/>
    </sheetView>
  </sheetViews>
  <sheetFormatPr baseColWidth="10" defaultRowHeight="16" x14ac:dyDescent="0.2"/>
  <cols>
    <col min="1" max="1" width="44.6640625" bestFit="1" customWidth="1"/>
  </cols>
  <sheetData>
    <row r="1" spans="1:2" x14ac:dyDescent="0.2">
      <c r="A1" t="s">
        <v>56</v>
      </c>
    </row>
    <row r="2" spans="1:2" x14ac:dyDescent="0.2">
      <c r="A2" t="s">
        <v>0</v>
      </c>
      <c r="B2">
        <v>1000053</v>
      </c>
    </row>
    <row r="3" spans="1:2" x14ac:dyDescent="0.2">
      <c r="A3" t="s">
        <v>1</v>
      </c>
      <c r="B3">
        <v>1000017</v>
      </c>
    </row>
    <row r="4" spans="1:2" x14ac:dyDescent="0.2">
      <c r="A4" t="s">
        <v>60</v>
      </c>
    </row>
    <row r="5" spans="1:2" x14ac:dyDescent="0.2">
      <c r="A5" t="s">
        <v>2</v>
      </c>
      <c r="B5">
        <v>1000007</v>
      </c>
    </row>
    <row r="6" spans="1:2" x14ac:dyDescent="0.2">
      <c r="A6" t="s">
        <v>53</v>
      </c>
      <c r="B6">
        <v>1000024</v>
      </c>
    </row>
    <row r="7" spans="1:2" x14ac:dyDescent="0.2">
      <c r="A7" t="s">
        <v>3</v>
      </c>
      <c r="B7">
        <v>1000049</v>
      </c>
    </row>
    <row r="8" spans="1:2" x14ac:dyDescent="0.2">
      <c r="A8" t="s">
        <v>4</v>
      </c>
    </row>
    <row r="9" spans="1:2" x14ac:dyDescent="0.2">
      <c r="A9" t="s">
        <v>5</v>
      </c>
      <c r="B9">
        <v>1000047</v>
      </c>
    </row>
    <row r="10" spans="1:2" x14ac:dyDescent="0.2">
      <c r="A10" t="s">
        <v>6</v>
      </c>
      <c r="B10">
        <v>1000016</v>
      </c>
    </row>
    <row r="11" spans="1:2" x14ac:dyDescent="0.2">
      <c r="A11" t="s">
        <v>54</v>
      </c>
    </row>
    <row r="12" spans="1:2" x14ac:dyDescent="0.2">
      <c r="A12" t="s">
        <v>8</v>
      </c>
    </row>
    <row r="13" spans="1:2" x14ac:dyDescent="0.2">
      <c r="A13" t="s">
        <v>36</v>
      </c>
      <c r="B13">
        <v>1000056</v>
      </c>
    </row>
    <row r="14" spans="1:2" x14ac:dyDescent="0.2">
      <c r="A14" t="s">
        <v>7</v>
      </c>
    </row>
    <row r="15" spans="1:2" x14ac:dyDescent="0.2">
      <c r="A15" t="s">
        <v>12</v>
      </c>
    </row>
    <row r="16" spans="1:2" x14ac:dyDescent="0.2">
      <c r="A16" t="s">
        <v>9</v>
      </c>
    </row>
    <row r="17" spans="1:2" x14ac:dyDescent="0.2">
      <c r="A17" t="s">
        <v>10</v>
      </c>
    </row>
    <row r="18" spans="1:2" x14ac:dyDescent="0.2">
      <c r="A18" t="s">
        <v>11</v>
      </c>
    </row>
    <row r="19" spans="1:2" x14ac:dyDescent="0.2">
      <c r="A19" t="s">
        <v>37</v>
      </c>
      <c r="B19">
        <v>1000061</v>
      </c>
    </row>
    <row r="20" spans="1:2" x14ac:dyDescent="0.2">
      <c r="A20" t="s">
        <v>13</v>
      </c>
      <c r="B20">
        <v>1000055</v>
      </c>
    </row>
    <row r="21" spans="1:2" x14ac:dyDescent="0.2">
      <c r="A21" t="s">
        <v>14</v>
      </c>
      <c r="B21">
        <v>1000006</v>
      </c>
    </row>
    <row r="22" spans="1:2" x14ac:dyDescent="0.2">
      <c r="A22" t="s">
        <v>15</v>
      </c>
      <c r="B22">
        <v>1000024</v>
      </c>
    </row>
    <row r="23" spans="1:2" x14ac:dyDescent="0.2">
      <c r="A23" t="s">
        <v>16</v>
      </c>
      <c r="B23">
        <v>1000057</v>
      </c>
    </row>
    <row r="24" spans="1:2" x14ac:dyDescent="0.2">
      <c r="A24" t="s">
        <v>17</v>
      </c>
      <c r="B24">
        <v>1000054</v>
      </c>
    </row>
    <row r="25" spans="1:2" x14ac:dyDescent="0.2">
      <c r="A25" t="s">
        <v>43</v>
      </c>
      <c r="B25">
        <v>1000059</v>
      </c>
    </row>
    <row r="26" spans="1:2" x14ac:dyDescent="0.2">
      <c r="A26" t="s">
        <v>18</v>
      </c>
      <c r="B26">
        <v>1000052</v>
      </c>
    </row>
    <row r="27" spans="1:2" x14ac:dyDescent="0.2">
      <c r="A27" t="s">
        <v>45</v>
      </c>
      <c r="B27">
        <v>1000062</v>
      </c>
    </row>
    <row r="28" spans="1:2" x14ac:dyDescent="0.2">
      <c r="A28" t="s">
        <v>19</v>
      </c>
      <c r="B28">
        <v>1000014</v>
      </c>
    </row>
    <row r="29" spans="1:2" x14ac:dyDescent="0.2">
      <c r="A29" t="s">
        <v>20</v>
      </c>
      <c r="B29">
        <v>1000050</v>
      </c>
    </row>
    <row r="30" spans="1:2" x14ac:dyDescent="0.2">
      <c r="A30" t="s">
        <v>38</v>
      </c>
    </row>
    <row r="31" spans="1:2" x14ac:dyDescent="0.2">
      <c r="A31" t="s">
        <v>22</v>
      </c>
      <c r="B31">
        <v>1000019</v>
      </c>
    </row>
    <row r="32" spans="1:2" x14ac:dyDescent="0.2">
      <c r="A32" t="s">
        <v>23</v>
      </c>
      <c r="B32">
        <v>1000023</v>
      </c>
    </row>
    <row r="33" spans="1:2" x14ac:dyDescent="0.2">
      <c r="A33" t="s">
        <v>24</v>
      </c>
      <c r="B33">
        <v>1000015</v>
      </c>
    </row>
    <row r="34" spans="1:2" x14ac:dyDescent="0.2">
      <c r="A34" t="s">
        <v>25</v>
      </c>
      <c r="B34">
        <v>1000026</v>
      </c>
    </row>
    <row r="35" spans="1:2" x14ac:dyDescent="0.2">
      <c r="A35" t="s">
        <v>26</v>
      </c>
    </row>
    <row r="36" spans="1:2" x14ac:dyDescent="0.2">
      <c r="A36" t="s">
        <v>27</v>
      </c>
      <c r="B36">
        <v>1000005</v>
      </c>
    </row>
    <row r="37" spans="1:2" x14ac:dyDescent="0.2">
      <c r="A37" t="s">
        <v>28</v>
      </c>
      <c r="B37">
        <v>1000048</v>
      </c>
    </row>
    <row r="38" spans="1:2" x14ac:dyDescent="0.2">
      <c r="A38" t="s">
        <v>29</v>
      </c>
      <c r="B38">
        <v>1000018</v>
      </c>
    </row>
    <row r="39" spans="1:2" x14ac:dyDescent="0.2">
      <c r="A39" t="s">
        <v>30</v>
      </c>
      <c r="B39">
        <v>1000051</v>
      </c>
    </row>
    <row r="40" spans="1:2" x14ac:dyDescent="0.2">
      <c r="A40" t="s">
        <v>31</v>
      </c>
      <c r="B40">
        <v>1000011</v>
      </c>
    </row>
    <row r="41" spans="1:2" x14ac:dyDescent="0.2">
      <c r="A41" t="s">
        <v>52</v>
      </c>
      <c r="B41">
        <v>1000063</v>
      </c>
    </row>
    <row r="42" spans="1:2" x14ac:dyDescent="0.2">
      <c r="A42" t="s">
        <v>32</v>
      </c>
      <c r="B42">
        <v>1000004</v>
      </c>
    </row>
    <row r="43" spans="1:2" x14ac:dyDescent="0.2">
      <c r="A43" t="s">
        <v>33</v>
      </c>
      <c r="B43">
        <v>1000058</v>
      </c>
    </row>
    <row r="44" spans="1:2" x14ac:dyDescent="0.2">
      <c r="A44" t="s">
        <v>34</v>
      </c>
      <c r="B44">
        <v>1000010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Delaware St Emp GASB 68 --&gt;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2025-02-27T04:24:23Z</dcterms:created>
  <dcterms:modified xsi:type="dcterms:W3CDTF">2025-02-27T05:47:14Z</dcterms:modified>
</cp:coreProperties>
</file>