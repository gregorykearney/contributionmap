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regkearney/Documents/Spending Project/'Quant Analysis/Additional States/Delaware/"/>
    </mc:Choice>
  </mc:AlternateContent>
  <xr:revisionPtr revIDLastSave="0" documentId="13_ncr:1_{F2DF8B7E-721E-DE43-92F8-E273A6F26BE3}" xr6:coauthVersionLast="47" xr6:coauthVersionMax="47" xr10:uidLastSave="{00000000-0000-0000-0000-000000000000}"/>
  <bookViews>
    <workbookView xWindow="3160" yWindow="-21100" windowWidth="30200" windowHeight="21100" xr2:uid="{843934B9-748F-C54C-B6E4-310811DBE0F0}"/>
  </bookViews>
  <sheets>
    <sheet name="Summary" sheetId="15" r:id="rId1"/>
    <sheet name="Delaware St Emp GASB 68 --&gt;" sheetId="10" r:id="rId2"/>
    <sheet name="2015" sheetId="1" r:id="rId3"/>
    <sheet name="2016" sheetId="2" r:id="rId4"/>
    <sheet name="2017" sheetId="3" r:id="rId5"/>
    <sheet name="2018" sheetId="4" r:id="rId6"/>
    <sheet name="2019" sheetId="5" r:id="rId7"/>
    <sheet name="2020" sheetId="6" r:id="rId8"/>
    <sheet name="2021" sheetId="7" r:id="rId9"/>
    <sheet name="2022" sheetId="8" r:id="rId10"/>
    <sheet name="2023" sheetId="9" r:id="rId11"/>
    <sheet name="NCES Data --&gt;" sheetId="13" r:id="rId12"/>
    <sheet name="LEAID Match" sheetId="14" r:id="rId13"/>
  </sheets>
  <definedNames>
    <definedName name="_xlnm._FilterDatabase" localSheetId="0" hidden="1">Summary!$B$1:$I$1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5" l="1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" i="15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2" i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2" i="2"/>
  <c r="C39" i="1"/>
  <c r="C32" i="9"/>
  <c r="C31" i="8"/>
  <c r="C32" i="6"/>
  <c r="C34" i="5"/>
  <c r="C43" i="4"/>
  <c r="C42" i="3"/>
  <c r="C43" i="2"/>
</calcChain>
</file>

<file path=xl/sharedStrings.xml><?xml version="1.0" encoding="utf-8"?>
<sst xmlns="http://schemas.openxmlformats.org/spreadsheetml/2006/main" count="1581" uniqueCount="64">
  <si>
    <t>Academia Antonia Alonso Charter</t>
  </si>
  <si>
    <t>Academy of Dover Charter</t>
  </si>
  <si>
    <t>Campus Community Charter</t>
  </si>
  <si>
    <t>De Academy Public Safety Charter</t>
  </si>
  <si>
    <t>DE Aglands</t>
  </si>
  <si>
    <t>DE College Prep Charter</t>
  </si>
  <si>
    <t>DE Military Academy Charter</t>
  </si>
  <si>
    <t>Delaware Economic Development Office</t>
  </si>
  <si>
    <t>Delaware Department of Transportation</t>
  </si>
  <si>
    <t>Delaware State Education Association</t>
  </si>
  <si>
    <t>Delaware State Housing Authority</t>
  </si>
  <si>
    <t>Delaware State University</t>
  </si>
  <si>
    <t>Delaware Solid Waste Authority</t>
  </si>
  <si>
    <t>Early College High School Charter</t>
  </si>
  <si>
    <t>East Side Charter</t>
  </si>
  <si>
    <t>Family Foundations Charter</t>
  </si>
  <si>
    <t>First State Military Academy</t>
  </si>
  <si>
    <t>First State Montessori Academy Charter</t>
  </si>
  <si>
    <t>Gateway Lab Charter</t>
  </si>
  <si>
    <t>Kumba Charter</t>
  </si>
  <si>
    <t>Las America Aspira Charter</t>
  </si>
  <si>
    <t>Lottery, State of DE</t>
  </si>
  <si>
    <t>MOT Charter</t>
  </si>
  <si>
    <t>Moyer Academy Charter</t>
  </si>
  <si>
    <t>Newark Charter</t>
  </si>
  <si>
    <t>Odyssey Charter</t>
  </si>
  <si>
    <t>Pencader Charter</t>
  </si>
  <si>
    <t>Positive Outcomes Charter</t>
  </si>
  <si>
    <t>Prestige Charter</t>
  </si>
  <si>
    <t>Providence Creek Charter</t>
  </si>
  <si>
    <t>Reach Charter</t>
  </si>
  <si>
    <t>Sussex Academy Charter</t>
  </si>
  <si>
    <t>The Charter School of Wilmington</t>
  </si>
  <si>
    <t>The Delaware Met Charter</t>
  </si>
  <si>
    <t>Thomas Edison Charter</t>
  </si>
  <si>
    <t>State of Delaware</t>
  </si>
  <si>
    <t>Delaware Design-Lab</t>
  </si>
  <si>
    <t>Delaware STEM Academy</t>
  </si>
  <si>
    <t>Lottery</t>
  </si>
  <si>
    <t>Campus Communit y Charter</t>
  </si>
  <si>
    <t>DE Academy Public Safety Charter</t>
  </si>
  <si>
    <t>Freire Charter School</t>
  </si>
  <si>
    <t>Great Oaks Charter School</t>
  </si>
  <si>
    <t>Delaware Design Lab (Design Thinking)</t>
  </si>
  <si>
    <t>Delaware Design Lab (Design Thinking Academy)</t>
  </si>
  <si>
    <t>Sussex Montessori Charter</t>
  </si>
  <si>
    <t>Charter School of New Castle</t>
  </si>
  <si>
    <t>Delaware Agricultural Lands Preservation Foundation</t>
  </si>
  <si>
    <t>Kuumba Academy Charter</t>
  </si>
  <si>
    <t>district_name</t>
  </si>
  <si>
    <t>district_contributions</t>
  </si>
  <si>
    <t>state_contributions</t>
  </si>
  <si>
    <t>Bryan Allen Stevenson School of Excellence</t>
  </si>
  <si>
    <t>Year</t>
  </si>
  <si>
    <t>total_contributions</t>
  </si>
  <si>
    <t>LEAID_match</t>
  </si>
  <si>
    <t>State</t>
  </si>
  <si>
    <t>state_abv</t>
  </si>
  <si>
    <t>plan</t>
  </si>
  <si>
    <t>Delaware</t>
  </si>
  <si>
    <t>DE</t>
  </si>
  <si>
    <t>Delaware Public Employees' Retirement System - State Employees' Plan</t>
  </si>
  <si>
    <t>Positive Out comes Charter</t>
  </si>
  <si>
    <t>LEAID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</si>
</sst>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Trebuchet MS"/>
      <family val="2"/>
    </font>
    <font>
      <sz val="12"/>
      <color theme="1"/>
      <name val="Aptos Narrow"/>
      <scheme val="minor"/>
    </font>
    <font>
      <sz val="10"/>
      <color theme="1"/>
      <name val="Trebuchet MS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0">
    <xf numFmtId="0" fontId="0" fillId="0" borderId="0" xfId="0"/>
    <xf numFmtId="3" fontId="0" fillId="0" borderId="0" xfId="0" applyNumberFormat="1"/>
    <xf numFmtId="0" fontId="2" fillId="0" borderId="0" xfId="0" applyFont="1"/>
    <xf numFmtId="0" fontId="3" fillId="0" borderId="0" xfId="0" applyFont="1"/>
    <xf numFmtId="3" fontId="3" fillId="0" borderId="0" xfId="0" applyNumberFormat="1" applyFont="1"/>
    <xf numFmtId="2" fontId="3" fillId="0" borderId="0" xfId="0" applyNumberFormat="1" applyFont="1"/>
    <xf numFmtId="43" fontId="3" fillId="0" borderId="0" xfId="1" applyFont="1"/>
    <xf numFmtId="164" fontId="3" fillId="0" borderId="0" xfId="1" applyNumberFormat="1" applyFont="1"/>
    <xf numFmtId="164" fontId="0" fillId="0" borderId="0" xfId="1" applyNumberFormat="1" applyFont="1"/>
    <xf numFmtId="3" fontId="4" fillId="0" borderId="0" xfId="0" applyNumberFormat="1" applyFont="1"/>
    <xf numFmtId="43" fontId="0" fillId="0" borderId="0" xfId="1" applyFont="1"/>
    <xf numFmtId="43" fontId="3" fillId="0" borderId="0" xfId="0" applyNumberFormat="1" applyFont="1"/>
    <xf numFmtId="1" fontId="3" fillId="0" borderId="0" xfId="0" applyNumberFormat="1" applyFont="1"/>
    <xf numFmtId="0" fontId="4" fillId="0" borderId="0" xfId="0" applyFont="1"/>
    <xf numFmtId="3" fontId="2" fillId="0" borderId="0" xfId="0" applyNumberFormat="1" applyFont="1"/>
    <xf numFmtId="0" fontId="5" fillId="0" borderId="0" xfId="0" applyFont="1"/>
    <xf numFmtId="0" fontId="6" fillId="0" borderId="0" xfId="0" applyFont="1"/>
    <xf numFmtId="1" fontId="0" fillId="0" borderId="0" xfId="0" applyNumberFormat="1"/>
    <xf numFmtId="1" fontId="3" fillId="0" borderId="0" xfId="1" applyNumberFormat="1" applyFont="1"/>
    <xf numFmtId="1" fontId="2" fillId="0" borderId="0" xfId="0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A5AC2-F3B2-BB4A-B2D6-6DAB811FD9C8}">
  <sheetPr>
    <tabColor rgb="FF002060"/>
  </sheetPr>
  <dimension ref="A1:J298"/>
  <sheetViews>
    <sheetView tabSelected="1" workbookViewId="0">
      <selection activeCell="F17" sqref="F17"/>
    </sheetView>
  </sheetViews>
  <sheetFormatPr baseColWidth="10" defaultRowHeight="16" x14ac:dyDescent="0.2"/>
  <cols>
    <col min="5" max="5" width="59.6640625" bestFit="1" customWidth="1"/>
    <col min="6" max="6" width="34.33203125" bestFit="1" customWidth="1"/>
    <col min="7" max="7" width="18.83203125" style="17" bestFit="1" customWidth="1"/>
    <col min="8" max="8" width="17.1640625" style="17" bestFit="1" customWidth="1"/>
    <col min="9" max="9" width="16.83203125" style="17" bestFit="1" customWidth="1"/>
  </cols>
  <sheetData>
    <row r="1" spans="1:10" x14ac:dyDescent="0.2">
      <c r="A1" t="s">
        <v>63</v>
      </c>
      <c r="B1" t="s">
        <v>53</v>
      </c>
      <c r="C1" t="s">
        <v>56</v>
      </c>
      <c r="D1" t="s">
        <v>57</v>
      </c>
      <c r="E1" t="s">
        <v>58</v>
      </c>
      <c r="F1" t="s">
        <v>49</v>
      </c>
      <c r="G1" s="17" t="s">
        <v>50</v>
      </c>
      <c r="H1" s="17" t="s">
        <v>51</v>
      </c>
      <c r="I1" s="17" t="s">
        <v>54</v>
      </c>
      <c r="J1" t="s">
        <v>55</v>
      </c>
    </row>
    <row r="2" spans="1:10" x14ac:dyDescent="0.2">
      <c r="A2">
        <v>1000053</v>
      </c>
      <c r="B2">
        <v>2015</v>
      </c>
      <c r="C2" t="s">
        <v>59</v>
      </c>
      <c r="D2" t="s">
        <v>60</v>
      </c>
      <c r="E2" t="s">
        <v>61</v>
      </c>
      <c r="F2" t="s">
        <v>0</v>
      </c>
      <c r="G2" s="17">
        <v>71109</v>
      </c>
      <c r="H2" s="17">
        <v>13024</v>
      </c>
      <c r="I2" s="17">
        <v>84133</v>
      </c>
      <c r="J2">
        <f>VLOOKUP(F2,'LEAID Match'!$A$2:$B$44,2,FALSE)</f>
        <v>1000053</v>
      </c>
    </row>
    <row r="3" spans="1:10" x14ac:dyDescent="0.2">
      <c r="A3">
        <v>1000053</v>
      </c>
      <c r="B3">
        <v>2016</v>
      </c>
      <c r="C3" t="s">
        <v>59</v>
      </c>
      <c r="D3" t="s">
        <v>60</v>
      </c>
      <c r="E3" t="s">
        <v>61</v>
      </c>
      <c r="F3" s="3" t="s">
        <v>0</v>
      </c>
      <c r="G3" s="12">
        <v>105534</v>
      </c>
      <c r="H3" s="18">
        <v>22399</v>
      </c>
      <c r="I3" s="17">
        <v>127933</v>
      </c>
      <c r="J3">
        <f>VLOOKUP(F3,'LEAID Match'!$A$2:$B$44,2,FALSE)</f>
        <v>1000053</v>
      </c>
    </row>
    <row r="4" spans="1:10" x14ac:dyDescent="0.2">
      <c r="A4">
        <v>1000053</v>
      </c>
      <c r="B4">
        <v>2017</v>
      </c>
      <c r="C4" t="s">
        <v>59</v>
      </c>
      <c r="D4" t="s">
        <v>60</v>
      </c>
      <c r="E4" t="s">
        <v>61</v>
      </c>
      <c r="F4" t="s">
        <v>0</v>
      </c>
      <c r="G4" s="17">
        <v>119341</v>
      </c>
      <c r="H4" s="17">
        <v>19377</v>
      </c>
      <c r="I4" s="17">
        <v>138718</v>
      </c>
      <c r="J4">
        <f>VLOOKUP(F4,'LEAID Match'!$A$2:$B$44,2,FALSE)</f>
        <v>1000053</v>
      </c>
    </row>
    <row r="5" spans="1:10" x14ac:dyDescent="0.2">
      <c r="A5">
        <v>1000053</v>
      </c>
      <c r="B5">
        <v>2018</v>
      </c>
      <c r="C5" t="s">
        <v>59</v>
      </c>
      <c r="D5" t="s">
        <v>60</v>
      </c>
      <c r="E5" t="s">
        <v>61</v>
      </c>
      <c r="F5" s="3" t="s">
        <v>0</v>
      </c>
      <c r="G5" s="12">
        <v>193483</v>
      </c>
      <c r="H5" s="18">
        <v>9914</v>
      </c>
      <c r="I5" s="17">
        <v>203397</v>
      </c>
      <c r="J5">
        <f>VLOOKUP(F5,'LEAID Match'!$A$2:$B$44,2,FALSE)</f>
        <v>1000053</v>
      </c>
    </row>
    <row r="6" spans="1:10" x14ac:dyDescent="0.2">
      <c r="A6">
        <v>1000053</v>
      </c>
      <c r="B6">
        <v>2019</v>
      </c>
      <c r="C6" t="s">
        <v>59</v>
      </c>
      <c r="D6" t="s">
        <v>60</v>
      </c>
      <c r="E6" t="s">
        <v>61</v>
      </c>
      <c r="F6" s="3" t="s">
        <v>0</v>
      </c>
      <c r="G6" s="12">
        <v>350968</v>
      </c>
      <c r="H6" s="18">
        <v>31101</v>
      </c>
      <c r="I6" s="17">
        <v>382069</v>
      </c>
      <c r="J6">
        <f>VLOOKUP(F6,'LEAID Match'!$A$2:$B$44,2,FALSE)</f>
        <v>1000053</v>
      </c>
    </row>
    <row r="7" spans="1:10" x14ac:dyDescent="0.2">
      <c r="A7">
        <v>1000053</v>
      </c>
      <c r="B7">
        <v>2020</v>
      </c>
      <c r="C7" t="s">
        <v>59</v>
      </c>
      <c r="D7" t="s">
        <v>60</v>
      </c>
      <c r="E7" t="s">
        <v>61</v>
      </c>
      <c r="F7" s="5" t="s">
        <v>0</v>
      </c>
      <c r="G7" s="18">
        <v>426516</v>
      </c>
      <c r="H7" s="12">
        <v>9346</v>
      </c>
      <c r="I7" s="17">
        <v>435862</v>
      </c>
      <c r="J7">
        <f>VLOOKUP(F7,'LEAID Match'!$A$2:$B$44,2,FALSE)</f>
        <v>1000053</v>
      </c>
    </row>
    <row r="8" spans="1:10" x14ac:dyDescent="0.2">
      <c r="A8">
        <v>1000053</v>
      </c>
      <c r="B8">
        <v>2021</v>
      </c>
      <c r="C8" t="s">
        <v>59</v>
      </c>
      <c r="D8" t="s">
        <v>60</v>
      </c>
      <c r="E8" t="s">
        <v>61</v>
      </c>
      <c r="F8" s="3" t="s">
        <v>0</v>
      </c>
      <c r="G8" s="12">
        <v>459545</v>
      </c>
      <c r="H8" s="12">
        <v>0</v>
      </c>
      <c r="I8" s="17">
        <v>459545</v>
      </c>
      <c r="J8">
        <f>VLOOKUP(F8,'LEAID Match'!$A$2:$B$44,2,FALSE)</f>
        <v>1000053</v>
      </c>
    </row>
    <row r="9" spans="1:10" x14ac:dyDescent="0.2">
      <c r="A9">
        <v>1000053</v>
      </c>
      <c r="B9">
        <v>2022</v>
      </c>
      <c r="C9" t="s">
        <v>59</v>
      </c>
      <c r="D9" t="s">
        <v>60</v>
      </c>
      <c r="E9" t="s">
        <v>61</v>
      </c>
      <c r="F9" t="s">
        <v>0</v>
      </c>
      <c r="G9" s="17">
        <v>535781</v>
      </c>
      <c r="H9" s="17">
        <v>49736</v>
      </c>
      <c r="I9" s="17">
        <v>585517</v>
      </c>
      <c r="J9">
        <f>VLOOKUP(F9,'LEAID Match'!$A$2:$B$44,2,FALSE)</f>
        <v>1000053</v>
      </c>
    </row>
    <row r="10" spans="1:10" x14ac:dyDescent="0.2">
      <c r="A10">
        <v>1000053</v>
      </c>
      <c r="B10">
        <v>2023</v>
      </c>
      <c r="C10" t="s">
        <v>59</v>
      </c>
      <c r="D10" t="s">
        <v>60</v>
      </c>
      <c r="E10" t="s">
        <v>61</v>
      </c>
      <c r="F10" s="3" t="s">
        <v>0</v>
      </c>
      <c r="G10" s="18">
        <v>527365</v>
      </c>
      <c r="H10" s="12">
        <v>310676</v>
      </c>
      <c r="I10" s="17">
        <v>838041</v>
      </c>
      <c r="J10">
        <f>VLOOKUP(F10,'LEAID Match'!$A$2:$B$44,2,FALSE)</f>
        <v>1000053</v>
      </c>
    </row>
    <row r="11" spans="1:10" x14ac:dyDescent="0.2">
      <c r="A11">
        <v>1000017</v>
      </c>
      <c r="B11">
        <v>2015</v>
      </c>
      <c r="C11" t="s">
        <v>59</v>
      </c>
      <c r="D11" t="s">
        <v>60</v>
      </c>
      <c r="E11" t="s">
        <v>61</v>
      </c>
      <c r="F11" t="s">
        <v>1</v>
      </c>
      <c r="G11" s="17">
        <v>124896</v>
      </c>
      <c r="H11" s="17">
        <v>22874</v>
      </c>
      <c r="I11" s="17">
        <v>147770</v>
      </c>
      <c r="J11">
        <f>VLOOKUP(F11,'LEAID Match'!$A$2:$B$44,2,FALSE)</f>
        <v>1000017</v>
      </c>
    </row>
    <row r="12" spans="1:10" x14ac:dyDescent="0.2">
      <c r="A12">
        <v>1000017</v>
      </c>
      <c r="B12">
        <v>2016</v>
      </c>
      <c r="C12" t="s">
        <v>59</v>
      </c>
      <c r="D12" t="s">
        <v>60</v>
      </c>
      <c r="E12" t="s">
        <v>61</v>
      </c>
      <c r="F12" s="3" t="s">
        <v>1</v>
      </c>
      <c r="G12" s="12">
        <v>121924</v>
      </c>
      <c r="H12" s="18">
        <v>25878</v>
      </c>
      <c r="I12" s="17">
        <v>147802</v>
      </c>
      <c r="J12">
        <f>VLOOKUP(F12,'LEAID Match'!$A$2:$B$44,2,FALSE)</f>
        <v>1000017</v>
      </c>
    </row>
    <row r="13" spans="1:10" x14ac:dyDescent="0.2">
      <c r="A13">
        <v>1000017</v>
      </c>
      <c r="B13">
        <v>2017</v>
      </c>
      <c r="C13" t="s">
        <v>59</v>
      </c>
      <c r="D13" t="s">
        <v>60</v>
      </c>
      <c r="E13" t="s">
        <v>61</v>
      </c>
      <c r="F13" t="s">
        <v>1</v>
      </c>
      <c r="G13" s="17">
        <v>110385</v>
      </c>
      <c r="H13" s="17">
        <v>17923</v>
      </c>
      <c r="I13" s="17">
        <v>128308</v>
      </c>
      <c r="J13">
        <f>VLOOKUP(F13,'LEAID Match'!$A$2:$B$44,2,FALSE)</f>
        <v>1000017</v>
      </c>
    </row>
    <row r="14" spans="1:10" x14ac:dyDescent="0.2">
      <c r="A14">
        <v>1000017</v>
      </c>
      <c r="B14">
        <v>2018</v>
      </c>
      <c r="C14" t="s">
        <v>59</v>
      </c>
      <c r="D14" t="s">
        <v>60</v>
      </c>
      <c r="E14" t="s">
        <v>61</v>
      </c>
      <c r="F14" s="3" t="s">
        <v>1</v>
      </c>
      <c r="G14" s="12">
        <v>112249</v>
      </c>
      <c r="H14" s="18">
        <v>5751</v>
      </c>
      <c r="I14" s="17">
        <v>118000</v>
      </c>
      <c r="J14">
        <f>VLOOKUP(F14,'LEAID Match'!$A$2:$B$44,2,FALSE)</f>
        <v>1000017</v>
      </c>
    </row>
    <row r="15" spans="1:10" x14ac:dyDescent="0.2">
      <c r="A15">
        <v>1000017</v>
      </c>
      <c r="B15">
        <v>2019</v>
      </c>
      <c r="C15" t="s">
        <v>59</v>
      </c>
      <c r="D15" t="s">
        <v>60</v>
      </c>
      <c r="E15" t="s">
        <v>61</v>
      </c>
      <c r="F15" s="3" t="s">
        <v>1</v>
      </c>
      <c r="G15" s="12">
        <v>138460</v>
      </c>
      <c r="H15" s="18">
        <v>12269</v>
      </c>
      <c r="I15" s="17">
        <v>150729</v>
      </c>
      <c r="J15">
        <f>VLOOKUP(F15,'LEAID Match'!$A$2:$B$44,2,FALSE)</f>
        <v>1000017</v>
      </c>
    </row>
    <row r="16" spans="1:10" x14ac:dyDescent="0.2">
      <c r="A16">
        <v>1000017</v>
      </c>
      <c r="B16">
        <v>2020</v>
      </c>
      <c r="C16" t="s">
        <v>59</v>
      </c>
      <c r="D16" t="s">
        <v>60</v>
      </c>
      <c r="E16" t="s">
        <v>61</v>
      </c>
      <c r="F16" s="5" t="s">
        <v>1</v>
      </c>
      <c r="G16" s="18">
        <v>169130</v>
      </c>
      <c r="H16" s="12">
        <v>3706</v>
      </c>
      <c r="I16" s="17">
        <v>172836</v>
      </c>
      <c r="J16">
        <f>VLOOKUP(F16,'LEAID Match'!$A$2:$B$44,2,FALSE)</f>
        <v>1000017</v>
      </c>
    </row>
    <row r="17" spans="1:10" x14ac:dyDescent="0.2">
      <c r="A17">
        <v>1000017</v>
      </c>
      <c r="B17">
        <v>2021</v>
      </c>
      <c r="C17" t="s">
        <v>59</v>
      </c>
      <c r="D17" t="s">
        <v>60</v>
      </c>
      <c r="E17" t="s">
        <v>61</v>
      </c>
      <c r="F17" s="3" t="s">
        <v>1</v>
      </c>
      <c r="G17" s="12">
        <v>211530</v>
      </c>
      <c r="H17" s="12">
        <v>0</v>
      </c>
      <c r="I17" s="17">
        <v>211530</v>
      </c>
      <c r="J17">
        <f>VLOOKUP(F17,'LEAID Match'!$A$2:$B$44,2,FALSE)</f>
        <v>1000017</v>
      </c>
    </row>
    <row r="18" spans="1:10" x14ac:dyDescent="0.2">
      <c r="A18">
        <v>1000017</v>
      </c>
      <c r="B18">
        <v>2022</v>
      </c>
      <c r="C18" t="s">
        <v>59</v>
      </c>
      <c r="D18" t="s">
        <v>60</v>
      </c>
      <c r="E18" t="s">
        <v>61</v>
      </c>
      <c r="F18" t="s">
        <v>1</v>
      </c>
      <c r="G18" s="17">
        <v>280886</v>
      </c>
      <c r="H18" s="17">
        <v>26074</v>
      </c>
      <c r="I18" s="17">
        <v>306960</v>
      </c>
      <c r="J18">
        <f>VLOOKUP(F18,'LEAID Match'!$A$2:$B$44,2,FALSE)</f>
        <v>1000017</v>
      </c>
    </row>
    <row r="19" spans="1:10" x14ac:dyDescent="0.2">
      <c r="A19">
        <v>1000017</v>
      </c>
      <c r="B19">
        <v>2023</v>
      </c>
      <c r="C19" t="s">
        <v>59</v>
      </c>
      <c r="D19" t="s">
        <v>60</v>
      </c>
      <c r="E19" t="s">
        <v>61</v>
      </c>
      <c r="F19" s="3" t="s">
        <v>1</v>
      </c>
      <c r="G19" s="18">
        <v>317098</v>
      </c>
      <c r="H19" s="12">
        <v>186786</v>
      </c>
      <c r="I19" s="17">
        <v>503884</v>
      </c>
      <c r="J19">
        <f>VLOOKUP(F19,'LEAID Match'!$A$2:$B$44,2,FALSE)</f>
        <v>1000017</v>
      </c>
    </row>
    <row r="20" spans="1:10" x14ac:dyDescent="0.2">
      <c r="A20">
        <v>0</v>
      </c>
      <c r="B20">
        <v>2023</v>
      </c>
      <c r="C20" t="s">
        <v>59</v>
      </c>
      <c r="D20" t="s">
        <v>60</v>
      </c>
      <c r="E20" t="s">
        <v>61</v>
      </c>
      <c r="F20" s="3" t="s">
        <v>52</v>
      </c>
      <c r="G20" s="18">
        <v>16099</v>
      </c>
      <c r="H20" s="12">
        <v>9530</v>
      </c>
      <c r="I20" s="17">
        <v>25629</v>
      </c>
      <c r="J20">
        <f>VLOOKUP(F20,'LEAID Match'!$A$2:$B$44,2,FALSE)</f>
        <v>0</v>
      </c>
    </row>
    <row r="21" spans="1:10" x14ac:dyDescent="0.2">
      <c r="A21">
        <v>1000007</v>
      </c>
      <c r="B21">
        <v>2016</v>
      </c>
      <c r="C21" t="s">
        <v>59</v>
      </c>
      <c r="D21" t="s">
        <v>60</v>
      </c>
      <c r="E21" t="s">
        <v>61</v>
      </c>
      <c r="F21" t="s">
        <v>2</v>
      </c>
      <c r="G21" s="12">
        <v>190678</v>
      </c>
      <c r="H21" s="18">
        <v>40470</v>
      </c>
      <c r="I21" s="17">
        <v>231148</v>
      </c>
      <c r="J21">
        <f>VLOOKUP(F21,'LEAID Match'!$A$2:$B$44,2,FALSE)</f>
        <v>1000007</v>
      </c>
    </row>
    <row r="22" spans="1:10" x14ac:dyDescent="0.2">
      <c r="A22">
        <v>1000007</v>
      </c>
      <c r="B22">
        <v>2015</v>
      </c>
      <c r="C22" t="s">
        <v>59</v>
      </c>
      <c r="D22" t="s">
        <v>60</v>
      </c>
      <c r="E22" t="s">
        <v>61</v>
      </c>
      <c r="F22" t="s">
        <v>2</v>
      </c>
      <c r="G22" s="17">
        <v>186452</v>
      </c>
      <c r="H22" s="17">
        <v>34148</v>
      </c>
      <c r="I22" s="17">
        <v>220600</v>
      </c>
      <c r="J22">
        <f>VLOOKUP(F22,'LEAID Match'!$A$2:$B$44,2,FALSE)</f>
        <v>1000007</v>
      </c>
    </row>
    <row r="23" spans="1:10" x14ac:dyDescent="0.2">
      <c r="A23">
        <v>1000007</v>
      </c>
      <c r="B23">
        <v>2017</v>
      </c>
      <c r="C23" t="s">
        <v>59</v>
      </c>
      <c r="D23" t="s">
        <v>60</v>
      </c>
      <c r="E23" t="s">
        <v>61</v>
      </c>
      <c r="F23" t="s">
        <v>2</v>
      </c>
      <c r="G23" s="17">
        <v>180877</v>
      </c>
      <c r="H23" s="17">
        <v>29369</v>
      </c>
      <c r="I23" s="17">
        <v>210246</v>
      </c>
      <c r="J23">
        <f>VLOOKUP(F23,'LEAID Match'!$A$2:$B$44,2,FALSE)</f>
        <v>1000007</v>
      </c>
    </row>
    <row r="24" spans="1:10" x14ac:dyDescent="0.2">
      <c r="A24">
        <v>1000007</v>
      </c>
      <c r="B24">
        <v>2018</v>
      </c>
      <c r="C24" t="s">
        <v>59</v>
      </c>
      <c r="D24" t="s">
        <v>60</v>
      </c>
      <c r="E24" t="s">
        <v>61</v>
      </c>
      <c r="F24" s="3" t="s">
        <v>2</v>
      </c>
      <c r="G24" s="12">
        <v>213620</v>
      </c>
      <c r="H24" s="18">
        <v>10945</v>
      </c>
      <c r="I24" s="17">
        <v>224565</v>
      </c>
      <c r="J24">
        <f>VLOOKUP(F24,'LEAID Match'!$A$2:$B$44,2,FALSE)</f>
        <v>1000007</v>
      </c>
    </row>
    <row r="25" spans="1:10" x14ac:dyDescent="0.2">
      <c r="A25">
        <v>1000007</v>
      </c>
      <c r="B25">
        <v>2019</v>
      </c>
      <c r="C25" t="s">
        <v>59</v>
      </c>
      <c r="D25" t="s">
        <v>60</v>
      </c>
      <c r="E25" t="s">
        <v>61</v>
      </c>
      <c r="F25" s="3" t="s">
        <v>2</v>
      </c>
      <c r="G25" s="12">
        <v>229165</v>
      </c>
      <c r="H25" s="18">
        <v>20307</v>
      </c>
      <c r="I25" s="17">
        <v>249472</v>
      </c>
      <c r="J25">
        <f>VLOOKUP(F25,'LEAID Match'!$A$2:$B$44,2,FALSE)</f>
        <v>1000007</v>
      </c>
    </row>
    <row r="26" spans="1:10" x14ac:dyDescent="0.2">
      <c r="A26">
        <v>1000007</v>
      </c>
      <c r="B26">
        <v>2020</v>
      </c>
      <c r="C26" t="s">
        <v>59</v>
      </c>
      <c r="D26" t="s">
        <v>60</v>
      </c>
      <c r="E26" t="s">
        <v>61</v>
      </c>
      <c r="F26" s="5" t="s">
        <v>2</v>
      </c>
      <c r="G26" s="18">
        <v>229550</v>
      </c>
      <c r="H26" s="12">
        <v>5030</v>
      </c>
      <c r="I26" s="17">
        <v>234580</v>
      </c>
      <c r="J26">
        <f>VLOOKUP(F26,'LEAID Match'!$A$2:$B$44,2,FALSE)</f>
        <v>1000007</v>
      </c>
    </row>
    <row r="27" spans="1:10" x14ac:dyDescent="0.2">
      <c r="A27">
        <v>1000007</v>
      </c>
      <c r="B27">
        <v>2021</v>
      </c>
      <c r="C27" t="s">
        <v>59</v>
      </c>
      <c r="D27" t="s">
        <v>60</v>
      </c>
      <c r="E27" t="s">
        <v>61</v>
      </c>
      <c r="F27" s="3" t="s">
        <v>2</v>
      </c>
      <c r="G27" s="12">
        <v>250162</v>
      </c>
      <c r="H27" s="12">
        <v>0</v>
      </c>
      <c r="I27" s="17">
        <v>250162</v>
      </c>
      <c r="J27">
        <f>VLOOKUP(F27,'LEAID Match'!$A$2:$B$44,2,FALSE)</f>
        <v>1000007</v>
      </c>
    </row>
    <row r="28" spans="1:10" x14ac:dyDescent="0.2">
      <c r="A28">
        <v>1000007</v>
      </c>
      <c r="B28">
        <v>2022</v>
      </c>
      <c r="C28" t="s">
        <v>59</v>
      </c>
      <c r="D28" t="s">
        <v>60</v>
      </c>
      <c r="E28" t="s">
        <v>61</v>
      </c>
      <c r="F28" t="s">
        <v>2</v>
      </c>
      <c r="G28" s="17">
        <v>282942</v>
      </c>
      <c r="H28" s="17">
        <v>26265</v>
      </c>
      <c r="I28" s="17">
        <v>309207</v>
      </c>
      <c r="J28">
        <f>VLOOKUP(F28,'LEAID Match'!$A$2:$B$44,2,FALSE)</f>
        <v>1000007</v>
      </c>
    </row>
    <row r="29" spans="1:10" x14ac:dyDescent="0.2">
      <c r="A29">
        <v>1000007</v>
      </c>
      <c r="B29">
        <v>2023</v>
      </c>
      <c r="C29" t="s">
        <v>59</v>
      </c>
      <c r="D29" t="s">
        <v>60</v>
      </c>
      <c r="E29" t="s">
        <v>61</v>
      </c>
      <c r="F29" s="3" t="s">
        <v>2</v>
      </c>
      <c r="G29" s="18">
        <v>267334</v>
      </c>
      <c r="H29" s="12">
        <v>157403</v>
      </c>
      <c r="I29" s="17">
        <v>424737</v>
      </c>
      <c r="J29">
        <f>VLOOKUP(F29,'LEAID Match'!$A$2:$B$44,2,FALSE)</f>
        <v>1000007</v>
      </c>
    </row>
    <row r="30" spans="1:10" x14ac:dyDescent="0.2">
      <c r="A30">
        <v>1000024</v>
      </c>
      <c r="B30">
        <v>2021</v>
      </c>
      <c r="C30" t="s">
        <v>59</v>
      </c>
      <c r="D30" t="s">
        <v>60</v>
      </c>
      <c r="E30" t="s">
        <v>61</v>
      </c>
      <c r="F30" s="3" t="s">
        <v>46</v>
      </c>
      <c r="G30" s="12">
        <v>521987</v>
      </c>
      <c r="H30" s="12">
        <v>0</v>
      </c>
      <c r="I30" s="17">
        <v>521987</v>
      </c>
      <c r="J30">
        <f>VLOOKUP(F30,'LEAID Match'!$A$2:$B$44,2,FALSE)</f>
        <v>1000024</v>
      </c>
    </row>
    <row r="31" spans="1:10" x14ac:dyDescent="0.2">
      <c r="A31">
        <v>1000024</v>
      </c>
      <c r="B31">
        <v>2022</v>
      </c>
      <c r="C31" t="s">
        <v>59</v>
      </c>
      <c r="D31" t="s">
        <v>60</v>
      </c>
      <c r="E31" t="s">
        <v>61</v>
      </c>
      <c r="F31" t="s">
        <v>46</v>
      </c>
      <c r="G31" s="17">
        <v>539308</v>
      </c>
      <c r="H31" s="17">
        <v>50063</v>
      </c>
      <c r="I31" s="17">
        <v>589371</v>
      </c>
      <c r="J31">
        <f>VLOOKUP(F31,'LEAID Match'!$A$2:$B$44,2,FALSE)</f>
        <v>1000024</v>
      </c>
    </row>
    <row r="32" spans="1:10" x14ac:dyDescent="0.2">
      <c r="A32">
        <v>1000024</v>
      </c>
      <c r="B32">
        <v>2023</v>
      </c>
      <c r="C32" t="s">
        <v>59</v>
      </c>
      <c r="D32" t="s">
        <v>60</v>
      </c>
      <c r="E32" t="s">
        <v>61</v>
      </c>
      <c r="F32" s="3" t="s">
        <v>46</v>
      </c>
      <c r="G32" s="18">
        <v>508351</v>
      </c>
      <c r="H32" s="12">
        <v>299400</v>
      </c>
      <c r="I32" s="17">
        <v>807751</v>
      </c>
      <c r="J32">
        <f>VLOOKUP(F32,'LEAID Match'!$A$2:$B$44,2,FALSE)</f>
        <v>1000024</v>
      </c>
    </row>
    <row r="33" spans="1:10" x14ac:dyDescent="0.2">
      <c r="A33">
        <v>1000049</v>
      </c>
      <c r="B33">
        <v>2015</v>
      </c>
      <c r="C33" t="s">
        <v>59</v>
      </c>
      <c r="D33" t="s">
        <v>60</v>
      </c>
      <c r="E33" t="s">
        <v>61</v>
      </c>
      <c r="F33" t="s">
        <v>3</v>
      </c>
      <c r="G33" s="17">
        <v>189970</v>
      </c>
      <c r="H33" s="17">
        <v>34793</v>
      </c>
      <c r="I33" s="17">
        <v>224763</v>
      </c>
      <c r="J33">
        <f>VLOOKUP(F33,'LEAID Match'!$A$2:$B$44,2,FALSE)</f>
        <v>1000049</v>
      </c>
    </row>
    <row r="34" spans="1:10" x14ac:dyDescent="0.2">
      <c r="A34">
        <v>1000049</v>
      </c>
      <c r="B34">
        <v>2016</v>
      </c>
      <c r="C34" t="s">
        <v>59</v>
      </c>
      <c r="D34" t="s">
        <v>60</v>
      </c>
      <c r="E34" t="s">
        <v>61</v>
      </c>
      <c r="F34" s="3" t="s">
        <v>40</v>
      </c>
      <c r="G34" s="12">
        <v>162547</v>
      </c>
      <c r="H34" s="18">
        <v>34499</v>
      </c>
      <c r="I34" s="17">
        <v>197046</v>
      </c>
      <c r="J34">
        <f>VLOOKUP(F34,'LEAID Match'!$A$2:$B$44,2,FALSE)</f>
        <v>1000049</v>
      </c>
    </row>
    <row r="35" spans="1:10" x14ac:dyDescent="0.2">
      <c r="A35">
        <v>1000049</v>
      </c>
      <c r="B35">
        <v>2017</v>
      </c>
      <c r="C35" t="s">
        <v>59</v>
      </c>
      <c r="D35" t="s">
        <v>60</v>
      </c>
      <c r="E35" t="s">
        <v>61</v>
      </c>
      <c r="F35" t="s">
        <v>40</v>
      </c>
      <c r="G35" s="17">
        <v>151412</v>
      </c>
      <c r="H35" s="17">
        <v>24584</v>
      </c>
      <c r="I35" s="17">
        <v>175996</v>
      </c>
      <c r="J35">
        <f>VLOOKUP(F35,'LEAID Match'!$A$2:$B$44,2,FALSE)</f>
        <v>1000049</v>
      </c>
    </row>
    <row r="36" spans="1:10" x14ac:dyDescent="0.2">
      <c r="A36">
        <v>1000049</v>
      </c>
      <c r="B36">
        <v>2018</v>
      </c>
      <c r="C36" t="s">
        <v>59</v>
      </c>
      <c r="D36" t="s">
        <v>60</v>
      </c>
      <c r="E36" t="s">
        <v>61</v>
      </c>
      <c r="F36" s="3" t="s">
        <v>40</v>
      </c>
      <c r="G36" s="12">
        <v>156945</v>
      </c>
      <c r="H36" s="18">
        <v>8041</v>
      </c>
      <c r="I36" s="17">
        <v>164986</v>
      </c>
      <c r="J36">
        <f>VLOOKUP(F36,'LEAID Match'!$A$2:$B$44,2,FALSE)</f>
        <v>1000049</v>
      </c>
    </row>
    <row r="37" spans="1:10" x14ac:dyDescent="0.2">
      <c r="A37">
        <v>1000049</v>
      </c>
      <c r="B37">
        <v>2019</v>
      </c>
      <c r="C37" t="s">
        <v>59</v>
      </c>
      <c r="D37" t="s">
        <v>60</v>
      </c>
      <c r="E37" t="s">
        <v>61</v>
      </c>
      <c r="F37" s="3" t="s">
        <v>40</v>
      </c>
      <c r="G37" s="12">
        <v>49340</v>
      </c>
      <c r="H37" s="18">
        <v>4372</v>
      </c>
      <c r="I37" s="17">
        <v>53712</v>
      </c>
      <c r="J37">
        <f>VLOOKUP(F37,'LEAID Match'!$A$2:$B$44,2,FALSE)</f>
        <v>1000049</v>
      </c>
    </row>
    <row r="38" spans="1:10" x14ac:dyDescent="0.2">
      <c r="A38">
        <v>0</v>
      </c>
      <c r="B38">
        <v>2015</v>
      </c>
      <c r="C38" t="s">
        <v>59</v>
      </c>
      <c r="D38" t="s">
        <v>60</v>
      </c>
      <c r="E38" t="s">
        <v>61</v>
      </c>
      <c r="F38" t="s">
        <v>4</v>
      </c>
      <c r="G38" s="17">
        <v>8259</v>
      </c>
      <c r="H38" s="17">
        <v>1513</v>
      </c>
      <c r="I38" s="17">
        <v>9772</v>
      </c>
      <c r="J38">
        <f>VLOOKUP(F38,'LEAID Match'!$A$2:$B$44,2,FALSE)</f>
        <v>0</v>
      </c>
    </row>
    <row r="39" spans="1:10" x14ac:dyDescent="0.2">
      <c r="A39">
        <v>0</v>
      </c>
      <c r="B39">
        <v>2016</v>
      </c>
      <c r="C39" t="s">
        <v>59</v>
      </c>
      <c r="D39" t="s">
        <v>60</v>
      </c>
      <c r="E39" t="s">
        <v>61</v>
      </c>
      <c r="F39" s="3" t="s">
        <v>4</v>
      </c>
      <c r="G39" s="12">
        <v>9141</v>
      </c>
      <c r="H39" s="18">
        <v>1940</v>
      </c>
      <c r="I39" s="17">
        <v>11081</v>
      </c>
      <c r="J39">
        <f>VLOOKUP(F39,'LEAID Match'!$A$2:$B$44,2,FALSE)</f>
        <v>0</v>
      </c>
    </row>
    <row r="40" spans="1:10" x14ac:dyDescent="0.2">
      <c r="A40">
        <v>0</v>
      </c>
      <c r="B40">
        <v>2017</v>
      </c>
      <c r="C40" t="s">
        <v>59</v>
      </c>
      <c r="D40" t="s">
        <v>60</v>
      </c>
      <c r="E40" t="s">
        <v>61</v>
      </c>
      <c r="F40" t="s">
        <v>4</v>
      </c>
      <c r="G40" s="17">
        <v>10008</v>
      </c>
      <c r="H40" s="17">
        <v>1625</v>
      </c>
      <c r="I40" s="17">
        <v>11633</v>
      </c>
      <c r="J40">
        <f>VLOOKUP(F40,'LEAID Match'!$A$2:$B$44,2,FALSE)</f>
        <v>0</v>
      </c>
    </row>
    <row r="41" spans="1:10" x14ac:dyDescent="0.2">
      <c r="A41">
        <v>0</v>
      </c>
      <c r="B41">
        <v>2018</v>
      </c>
      <c r="C41" t="s">
        <v>59</v>
      </c>
      <c r="D41" t="s">
        <v>60</v>
      </c>
      <c r="E41" t="s">
        <v>61</v>
      </c>
      <c r="F41" s="3" t="s">
        <v>4</v>
      </c>
      <c r="G41" s="12">
        <v>11060</v>
      </c>
      <c r="H41" s="18">
        <v>567</v>
      </c>
      <c r="I41" s="17">
        <v>11627</v>
      </c>
      <c r="J41">
        <f>VLOOKUP(F41,'LEAID Match'!$A$2:$B$44,2,FALSE)</f>
        <v>0</v>
      </c>
    </row>
    <row r="42" spans="1:10" x14ac:dyDescent="0.2">
      <c r="A42">
        <v>0</v>
      </c>
      <c r="B42">
        <v>2019</v>
      </c>
      <c r="C42" t="s">
        <v>59</v>
      </c>
      <c r="D42" t="s">
        <v>60</v>
      </c>
      <c r="E42" t="s">
        <v>61</v>
      </c>
      <c r="F42" s="3" t="s">
        <v>4</v>
      </c>
      <c r="G42" s="12">
        <v>10742</v>
      </c>
      <c r="H42" s="18">
        <v>952</v>
      </c>
      <c r="I42" s="17">
        <v>11694</v>
      </c>
      <c r="J42">
        <f>VLOOKUP(F42,'LEAID Match'!$A$2:$B$44,2,FALSE)</f>
        <v>0</v>
      </c>
    </row>
    <row r="43" spans="1:10" x14ac:dyDescent="0.2">
      <c r="A43">
        <v>0</v>
      </c>
      <c r="B43">
        <v>2020</v>
      </c>
      <c r="C43" t="s">
        <v>59</v>
      </c>
      <c r="D43" t="s">
        <v>60</v>
      </c>
      <c r="E43" t="s">
        <v>61</v>
      </c>
      <c r="F43" s="5" t="s">
        <v>4</v>
      </c>
      <c r="G43" s="18">
        <v>11737</v>
      </c>
      <c r="H43" s="19">
        <v>257</v>
      </c>
      <c r="I43" s="17">
        <v>11994</v>
      </c>
      <c r="J43">
        <f>VLOOKUP(F43,'LEAID Match'!$A$2:$B$44,2,FALSE)</f>
        <v>0</v>
      </c>
    </row>
    <row r="44" spans="1:10" x14ac:dyDescent="0.2">
      <c r="A44">
        <v>0</v>
      </c>
      <c r="B44">
        <v>2021</v>
      </c>
      <c r="C44" t="s">
        <v>59</v>
      </c>
      <c r="D44" t="s">
        <v>60</v>
      </c>
      <c r="E44" t="s">
        <v>61</v>
      </c>
      <c r="F44" s="3" t="s">
        <v>4</v>
      </c>
      <c r="G44" s="12">
        <v>8087</v>
      </c>
      <c r="H44" s="12">
        <v>0</v>
      </c>
      <c r="I44" s="17">
        <v>8087</v>
      </c>
      <c r="J44">
        <f>VLOOKUP(F44,'LEAID Match'!$A$2:$B$44,2,FALSE)</f>
        <v>0</v>
      </c>
    </row>
    <row r="45" spans="1:10" x14ac:dyDescent="0.2">
      <c r="A45">
        <v>1000047</v>
      </c>
      <c r="B45">
        <v>2015</v>
      </c>
      <c r="C45" t="s">
        <v>59</v>
      </c>
      <c r="D45" t="s">
        <v>60</v>
      </c>
      <c r="E45" t="s">
        <v>61</v>
      </c>
      <c r="F45" t="s">
        <v>5</v>
      </c>
      <c r="G45" s="17">
        <v>84663</v>
      </c>
      <c r="H45" s="17">
        <v>15506</v>
      </c>
      <c r="I45" s="17">
        <v>100169</v>
      </c>
      <c r="J45">
        <f>VLOOKUP(F45,'LEAID Match'!$A$2:$B$44,2,FALSE)</f>
        <v>1000047</v>
      </c>
    </row>
    <row r="46" spans="1:10" x14ac:dyDescent="0.2">
      <c r="A46">
        <v>1000047</v>
      </c>
      <c r="B46">
        <v>2016</v>
      </c>
      <c r="C46" t="s">
        <v>59</v>
      </c>
      <c r="D46" t="s">
        <v>60</v>
      </c>
      <c r="E46" t="s">
        <v>61</v>
      </c>
      <c r="F46" s="3" t="s">
        <v>5</v>
      </c>
      <c r="G46" s="12">
        <v>94532</v>
      </c>
      <c r="H46" s="18">
        <v>20064</v>
      </c>
      <c r="I46" s="17">
        <v>114596</v>
      </c>
      <c r="J46">
        <f>VLOOKUP(F46,'LEAID Match'!$A$2:$B$44,2,FALSE)</f>
        <v>1000047</v>
      </c>
    </row>
    <row r="47" spans="1:10" x14ac:dyDescent="0.2">
      <c r="A47">
        <v>1000047</v>
      </c>
      <c r="B47">
        <v>2017</v>
      </c>
      <c r="C47" t="s">
        <v>59</v>
      </c>
      <c r="D47" t="s">
        <v>60</v>
      </c>
      <c r="E47" t="s">
        <v>61</v>
      </c>
      <c r="F47" t="s">
        <v>5</v>
      </c>
      <c r="H47" s="17">
        <v>44284</v>
      </c>
      <c r="I47" s="17">
        <v>44284</v>
      </c>
      <c r="J47">
        <f>VLOOKUP(F47,'LEAID Match'!$A$2:$B$44,2,FALSE)</f>
        <v>1000047</v>
      </c>
    </row>
    <row r="48" spans="1:10" x14ac:dyDescent="0.2">
      <c r="A48">
        <v>1000047</v>
      </c>
      <c r="B48">
        <v>2018</v>
      </c>
      <c r="C48" t="s">
        <v>59</v>
      </c>
      <c r="D48" t="s">
        <v>60</v>
      </c>
      <c r="E48" t="s">
        <v>61</v>
      </c>
      <c r="F48" s="3" t="s">
        <v>5</v>
      </c>
      <c r="G48" s="12"/>
      <c r="H48" s="18"/>
      <c r="I48" s="17">
        <v>0</v>
      </c>
      <c r="J48">
        <f>VLOOKUP(F48,'LEAID Match'!$A$2:$B$44,2,FALSE)</f>
        <v>1000047</v>
      </c>
    </row>
    <row r="49" spans="1:10" x14ac:dyDescent="0.2">
      <c r="A49">
        <v>1000016</v>
      </c>
      <c r="B49">
        <v>2015</v>
      </c>
      <c r="C49" t="s">
        <v>59</v>
      </c>
      <c r="D49" t="s">
        <v>60</v>
      </c>
      <c r="E49" t="s">
        <v>61</v>
      </c>
      <c r="F49" t="s">
        <v>6</v>
      </c>
      <c r="G49" s="17">
        <v>252762</v>
      </c>
      <c r="H49" s="17">
        <v>46293</v>
      </c>
      <c r="I49" s="17">
        <v>299055</v>
      </c>
      <c r="J49">
        <f>VLOOKUP(F49,'LEAID Match'!$A$2:$B$44,2,FALSE)</f>
        <v>1000016</v>
      </c>
    </row>
    <row r="50" spans="1:10" x14ac:dyDescent="0.2">
      <c r="A50">
        <v>1000016</v>
      </c>
      <c r="B50">
        <v>2016</v>
      </c>
      <c r="C50" t="s">
        <v>59</v>
      </c>
      <c r="D50" t="s">
        <v>60</v>
      </c>
      <c r="E50" t="s">
        <v>61</v>
      </c>
      <c r="F50" s="3" t="s">
        <v>6</v>
      </c>
      <c r="G50" s="12">
        <v>266831</v>
      </c>
      <c r="H50" s="18">
        <v>56633</v>
      </c>
      <c r="I50" s="17">
        <v>323464</v>
      </c>
      <c r="J50">
        <f>VLOOKUP(F50,'LEAID Match'!$A$2:$B$44,2,FALSE)</f>
        <v>1000016</v>
      </c>
    </row>
    <row r="51" spans="1:10" x14ac:dyDescent="0.2">
      <c r="A51">
        <v>1000016</v>
      </c>
      <c r="B51">
        <v>2017</v>
      </c>
      <c r="C51" t="s">
        <v>59</v>
      </c>
      <c r="D51" t="s">
        <v>60</v>
      </c>
      <c r="E51" t="s">
        <v>61</v>
      </c>
      <c r="F51" t="s">
        <v>6</v>
      </c>
      <c r="G51" s="17">
        <v>272738</v>
      </c>
      <c r="I51" s="17">
        <v>272738</v>
      </c>
      <c r="J51">
        <f>VLOOKUP(F51,'LEAID Match'!$A$2:$B$44,2,FALSE)</f>
        <v>1000016</v>
      </c>
    </row>
    <row r="52" spans="1:10" x14ac:dyDescent="0.2">
      <c r="A52">
        <v>1000016</v>
      </c>
      <c r="B52">
        <v>2018</v>
      </c>
      <c r="C52" t="s">
        <v>59</v>
      </c>
      <c r="D52" t="s">
        <v>60</v>
      </c>
      <c r="E52" t="s">
        <v>61</v>
      </c>
      <c r="F52" s="3" t="s">
        <v>6</v>
      </c>
      <c r="G52" s="12">
        <v>318088</v>
      </c>
      <c r="H52" s="18">
        <v>16298</v>
      </c>
      <c r="I52" s="17">
        <v>334386</v>
      </c>
      <c r="J52">
        <f>VLOOKUP(F52,'LEAID Match'!$A$2:$B$44,2,FALSE)</f>
        <v>1000016</v>
      </c>
    </row>
    <row r="53" spans="1:10" x14ac:dyDescent="0.2">
      <c r="A53">
        <v>1000016</v>
      </c>
      <c r="B53">
        <v>2019</v>
      </c>
      <c r="C53" t="s">
        <v>59</v>
      </c>
      <c r="D53" t="s">
        <v>60</v>
      </c>
      <c r="E53" t="s">
        <v>61</v>
      </c>
      <c r="F53" s="3" t="s">
        <v>6</v>
      </c>
      <c r="G53" s="12">
        <v>376713</v>
      </c>
      <c r="H53" s="18">
        <v>33383</v>
      </c>
      <c r="I53" s="17">
        <v>410096</v>
      </c>
      <c r="J53">
        <f>VLOOKUP(F53,'LEAID Match'!$A$2:$B$44,2,FALSE)</f>
        <v>1000016</v>
      </c>
    </row>
    <row r="54" spans="1:10" x14ac:dyDescent="0.2">
      <c r="A54">
        <v>1000016</v>
      </c>
      <c r="B54">
        <v>2020</v>
      </c>
      <c r="C54" t="s">
        <v>59</v>
      </c>
      <c r="D54" t="s">
        <v>60</v>
      </c>
      <c r="E54" t="s">
        <v>61</v>
      </c>
      <c r="F54" s="5" t="s">
        <v>6</v>
      </c>
      <c r="G54" s="18">
        <v>390357</v>
      </c>
      <c r="H54" s="12">
        <v>8554</v>
      </c>
      <c r="I54" s="17">
        <v>398911</v>
      </c>
      <c r="J54">
        <f>VLOOKUP(F54,'LEAID Match'!$A$2:$B$44,2,FALSE)</f>
        <v>1000016</v>
      </c>
    </row>
    <row r="55" spans="1:10" x14ac:dyDescent="0.2">
      <c r="A55">
        <v>1000016</v>
      </c>
      <c r="B55">
        <v>2021</v>
      </c>
      <c r="C55" t="s">
        <v>59</v>
      </c>
      <c r="D55" t="s">
        <v>60</v>
      </c>
      <c r="E55" t="s">
        <v>61</v>
      </c>
      <c r="F55" s="3" t="s">
        <v>6</v>
      </c>
      <c r="G55" s="12">
        <v>428201</v>
      </c>
      <c r="H55" s="12">
        <v>0</v>
      </c>
      <c r="I55" s="17">
        <v>428201</v>
      </c>
      <c r="J55">
        <f>VLOOKUP(F55,'LEAID Match'!$A$2:$B$44,2,FALSE)</f>
        <v>1000016</v>
      </c>
    </row>
    <row r="56" spans="1:10" x14ac:dyDescent="0.2">
      <c r="A56">
        <v>1000016</v>
      </c>
      <c r="B56">
        <v>2022</v>
      </c>
      <c r="C56" t="s">
        <v>59</v>
      </c>
      <c r="D56" t="s">
        <v>60</v>
      </c>
      <c r="E56" t="s">
        <v>61</v>
      </c>
      <c r="F56" t="s">
        <v>6</v>
      </c>
      <c r="G56" s="17">
        <v>423842</v>
      </c>
      <c r="H56" s="17">
        <v>39345</v>
      </c>
      <c r="I56" s="17">
        <v>463187</v>
      </c>
      <c r="J56">
        <f>VLOOKUP(F56,'LEAID Match'!$A$2:$B$44,2,FALSE)</f>
        <v>1000016</v>
      </c>
    </row>
    <row r="57" spans="1:10" x14ac:dyDescent="0.2">
      <c r="A57">
        <v>1000016</v>
      </c>
      <c r="B57">
        <v>2023</v>
      </c>
      <c r="C57" t="s">
        <v>59</v>
      </c>
      <c r="D57" t="s">
        <v>60</v>
      </c>
      <c r="E57" t="s">
        <v>61</v>
      </c>
      <c r="F57" s="3" t="s">
        <v>6</v>
      </c>
      <c r="G57" s="18">
        <v>415811</v>
      </c>
      <c r="H57" s="12">
        <v>244919</v>
      </c>
      <c r="I57" s="17">
        <v>660730</v>
      </c>
      <c r="J57">
        <f>VLOOKUP(F57,'LEAID Match'!$A$2:$B$44,2,FALSE)</f>
        <v>1000016</v>
      </c>
    </row>
    <row r="58" spans="1:10" x14ac:dyDescent="0.2">
      <c r="A58">
        <v>0</v>
      </c>
      <c r="B58">
        <v>2022</v>
      </c>
      <c r="C58" t="s">
        <v>59</v>
      </c>
      <c r="D58" t="s">
        <v>60</v>
      </c>
      <c r="E58" t="s">
        <v>61</v>
      </c>
      <c r="F58" t="s">
        <v>47</v>
      </c>
      <c r="G58" s="17">
        <v>8200</v>
      </c>
      <c r="H58" s="17">
        <v>761</v>
      </c>
      <c r="I58" s="17">
        <v>8961</v>
      </c>
      <c r="J58">
        <f>VLOOKUP(F58,'LEAID Match'!$A$2:$B$44,2,FALSE)</f>
        <v>0</v>
      </c>
    </row>
    <row r="59" spans="1:10" x14ac:dyDescent="0.2">
      <c r="A59">
        <v>0</v>
      </c>
      <c r="B59">
        <v>2023</v>
      </c>
      <c r="C59" t="s">
        <v>59</v>
      </c>
      <c r="D59" t="s">
        <v>60</v>
      </c>
      <c r="E59" t="s">
        <v>61</v>
      </c>
      <c r="F59" s="3" t="s">
        <v>47</v>
      </c>
      <c r="G59" s="18">
        <v>7629</v>
      </c>
      <c r="H59" s="12">
        <v>4448</v>
      </c>
      <c r="I59" s="17">
        <v>12077</v>
      </c>
      <c r="J59">
        <f>VLOOKUP(F59,'LEAID Match'!$A$2:$B$44,2,FALSE)</f>
        <v>0</v>
      </c>
    </row>
    <row r="60" spans="1:10" x14ac:dyDescent="0.2">
      <c r="A60">
        <v>0</v>
      </c>
      <c r="B60">
        <v>2015</v>
      </c>
      <c r="C60" t="s">
        <v>59</v>
      </c>
      <c r="D60" t="s">
        <v>60</v>
      </c>
      <c r="E60" t="s">
        <v>61</v>
      </c>
      <c r="F60" t="s">
        <v>8</v>
      </c>
      <c r="G60" s="17">
        <v>6508133</v>
      </c>
      <c r="H60" s="17">
        <v>1191951</v>
      </c>
      <c r="I60" s="17">
        <v>7700084</v>
      </c>
      <c r="J60">
        <f>VLOOKUP(F60,'LEAID Match'!$A$2:$B$44,2,FALSE)</f>
        <v>0</v>
      </c>
    </row>
    <row r="61" spans="1:10" x14ac:dyDescent="0.2">
      <c r="A61">
        <v>0</v>
      </c>
      <c r="B61">
        <v>2016</v>
      </c>
      <c r="C61" t="s">
        <v>59</v>
      </c>
      <c r="D61" t="s">
        <v>60</v>
      </c>
      <c r="E61" t="s">
        <v>61</v>
      </c>
      <c r="F61" s="3" t="s">
        <v>8</v>
      </c>
      <c r="G61" s="12">
        <v>6508250</v>
      </c>
      <c r="H61" s="18">
        <v>1381330</v>
      </c>
      <c r="I61" s="17">
        <v>7889580</v>
      </c>
      <c r="J61">
        <f>VLOOKUP(F61,'LEAID Match'!$A$2:$B$44,2,FALSE)</f>
        <v>0</v>
      </c>
    </row>
    <row r="62" spans="1:10" x14ac:dyDescent="0.2">
      <c r="A62">
        <v>0</v>
      </c>
      <c r="B62">
        <v>2017</v>
      </c>
      <c r="C62" t="s">
        <v>59</v>
      </c>
      <c r="D62" t="s">
        <v>60</v>
      </c>
      <c r="E62" t="s">
        <v>61</v>
      </c>
      <c r="F62" t="s">
        <v>8</v>
      </c>
      <c r="G62" s="17">
        <v>6575637</v>
      </c>
      <c r="H62" s="17">
        <v>1067667</v>
      </c>
      <c r="I62" s="17">
        <v>7643304</v>
      </c>
      <c r="J62">
        <f>VLOOKUP(F62,'LEAID Match'!$A$2:$B$44,2,FALSE)</f>
        <v>0</v>
      </c>
    </row>
    <row r="63" spans="1:10" x14ac:dyDescent="0.2">
      <c r="A63">
        <v>0</v>
      </c>
      <c r="B63">
        <v>2018</v>
      </c>
      <c r="C63" t="s">
        <v>59</v>
      </c>
      <c r="D63" t="s">
        <v>60</v>
      </c>
      <c r="E63" t="s">
        <v>61</v>
      </c>
      <c r="F63" s="3" t="s">
        <v>8</v>
      </c>
      <c r="G63" s="12">
        <v>7301989</v>
      </c>
      <c r="H63" s="18">
        <v>374133</v>
      </c>
      <c r="I63" s="17">
        <v>7676122</v>
      </c>
      <c r="J63">
        <f>VLOOKUP(F63,'LEAID Match'!$A$2:$B$44,2,FALSE)</f>
        <v>0</v>
      </c>
    </row>
    <row r="64" spans="1:10" x14ac:dyDescent="0.2">
      <c r="A64">
        <v>0</v>
      </c>
      <c r="B64">
        <v>2019</v>
      </c>
      <c r="C64" t="s">
        <v>59</v>
      </c>
      <c r="D64" t="s">
        <v>60</v>
      </c>
      <c r="E64" t="s">
        <v>61</v>
      </c>
      <c r="F64" s="3" t="s">
        <v>8</v>
      </c>
      <c r="G64" s="12">
        <v>8745416</v>
      </c>
      <c r="H64" s="18">
        <v>774974</v>
      </c>
      <c r="I64" s="17">
        <v>9520390</v>
      </c>
      <c r="J64">
        <f>VLOOKUP(F64,'LEAID Match'!$A$2:$B$44,2,FALSE)</f>
        <v>0</v>
      </c>
    </row>
    <row r="65" spans="1:10" x14ac:dyDescent="0.2">
      <c r="A65">
        <v>0</v>
      </c>
      <c r="B65">
        <v>2020</v>
      </c>
      <c r="C65" t="s">
        <v>59</v>
      </c>
      <c r="D65" t="s">
        <v>60</v>
      </c>
      <c r="E65" t="s">
        <v>61</v>
      </c>
      <c r="F65" s="5" t="s">
        <v>8</v>
      </c>
      <c r="G65" s="18">
        <v>9118264</v>
      </c>
      <c r="H65" s="12">
        <v>199812</v>
      </c>
      <c r="I65" s="17">
        <v>9318076</v>
      </c>
      <c r="J65">
        <f>VLOOKUP(F65,'LEAID Match'!$A$2:$B$44,2,FALSE)</f>
        <v>0</v>
      </c>
    </row>
    <row r="66" spans="1:10" x14ac:dyDescent="0.2">
      <c r="A66">
        <v>0</v>
      </c>
      <c r="B66">
        <v>2021</v>
      </c>
      <c r="C66" t="s">
        <v>59</v>
      </c>
      <c r="D66" t="s">
        <v>60</v>
      </c>
      <c r="E66" t="s">
        <v>61</v>
      </c>
      <c r="F66" s="3" t="s">
        <v>8</v>
      </c>
      <c r="G66" s="12">
        <v>9625479</v>
      </c>
      <c r="H66" s="12">
        <v>0</v>
      </c>
      <c r="I66" s="17">
        <v>9625479</v>
      </c>
      <c r="J66">
        <f>VLOOKUP(F66,'LEAID Match'!$A$2:$B$44,2,FALSE)</f>
        <v>0</v>
      </c>
    </row>
    <row r="67" spans="1:10" x14ac:dyDescent="0.2">
      <c r="A67">
        <v>0</v>
      </c>
      <c r="B67">
        <v>2022</v>
      </c>
      <c r="C67" t="s">
        <v>59</v>
      </c>
      <c r="D67" t="s">
        <v>60</v>
      </c>
      <c r="E67" t="s">
        <v>61</v>
      </c>
      <c r="F67" t="s">
        <v>8</v>
      </c>
      <c r="G67" s="17">
        <v>9869851</v>
      </c>
      <c r="H67" s="17">
        <v>916206</v>
      </c>
      <c r="I67" s="17">
        <v>10786057</v>
      </c>
      <c r="J67">
        <f>VLOOKUP(F67,'LEAID Match'!$A$2:$B$44,2,FALSE)</f>
        <v>0</v>
      </c>
    </row>
    <row r="68" spans="1:10" x14ac:dyDescent="0.2">
      <c r="A68">
        <v>0</v>
      </c>
      <c r="B68">
        <v>2023</v>
      </c>
      <c r="C68" t="s">
        <v>59</v>
      </c>
      <c r="D68" t="s">
        <v>60</v>
      </c>
      <c r="E68" t="s">
        <v>61</v>
      </c>
      <c r="F68" s="3" t="s">
        <v>8</v>
      </c>
      <c r="G68" s="18">
        <v>9015305</v>
      </c>
      <c r="H68" s="12">
        <v>5309767</v>
      </c>
      <c r="I68" s="17">
        <v>14325072</v>
      </c>
      <c r="J68">
        <f>VLOOKUP(F68,'LEAID Match'!$A$2:$B$44,2,FALSE)</f>
        <v>0</v>
      </c>
    </row>
    <row r="69" spans="1:10" x14ac:dyDescent="0.2">
      <c r="A69">
        <v>1000056</v>
      </c>
      <c r="B69">
        <v>2020</v>
      </c>
      <c r="C69" t="s">
        <v>59</v>
      </c>
      <c r="D69" t="s">
        <v>60</v>
      </c>
      <c r="E69" t="s">
        <v>61</v>
      </c>
      <c r="F69" s="3" t="s">
        <v>36</v>
      </c>
      <c r="G69" s="18">
        <v>2362</v>
      </c>
      <c r="H69" s="19">
        <v>52</v>
      </c>
      <c r="I69" s="17">
        <v>2414</v>
      </c>
      <c r="J69">
        <f>VLOOKUP(F69,'LEAID Match'!$A$2:$B$44,2,FALSE)</f>
        <v>1000056</v>
      </c>
    </row>
    <row r="70" spans="1:10" x14ac:dyDescent="0.2">
      <c r="A70">
        <v>1000056</v>
      </c>
      <c r="B70">
        <v>2019</v>
      </c>
      <c r="C70" t="s">
        <v>59</v>
      </c>
      <c r="D70" t="s">
        <v>60</v>
      </c>
      <c r="E70" t="s">
        <v>61</v>
      </c>
      <c r="F70" s="3" t="s">
        <v>36</v>
      </c>
      <c r="G70" s="12">
        <v>243957</v>
      </c>
      <c r="H70" s="18">
        <v>21618</v>
      </c>
      <c r="I70" s="17">
        <v>265575</v>
      </c>
      <c r="J70">
        <f>VLOOKUP(F70,'LEAID Match'!$A$2:$B$44,2,FALSE)</f>
        <v>1000056</v>
      </c>
    </row>
    <row r="71" spans="1:10" x14ac:dyDescent="0.2">
      <c r="A71">
        <v>1000056</v>
      </c>
      <c r="B71">
        <v>2016</v>
      </c>
      <c r="C71" t="s">
        <v>59</v>
      </c>
      <c r="D71" t="s">
        <v>60</v>
      </c>
      <c r="E71" t="s">
        <v>61</v>
      </c>
      <c r="F71" s="3" t="s">
        <v>36</v>
      </c>
      <c r="G71" s="12">
        <v>62252</v>
      </c>
      <c r="H71" s="18">
        <v>13213</v>
      </c>
      <c r="I71" s="17">
        <v>75465</v>
      </c>
      <c r="J71">
        <f>VLOOKUP(F71,'LEAID Match'!$A$2:$B$44,2,FALSE)</f>
        <v>1000056</v>
      </c>
    </row>
    <row r="72" spans="1:10" x14ac:dyDescent="0.2">
      <c r="A72">
        <v>1000056</v>
      </c>
      <c r="B72">
        <v>2017</v>
      </c>
      <c r="C72" t="s">
        <v>59</v>
      </c>
      <c r="D72" t="s">
        <v>60</v>
      </c>
      <c r="E72" t="s">
        <v>61</v>
      </c>
      <c r="F72" t="s">
        <v>36</v>
      </c>
      <c r="G72" s="17">
        <v>108016</v>
      </c>
      <c r="H72" s="17">
        <v>17538</v>
      </c>
      <c r="I72" s="17">
        <v>125554</v>
      </c>
      <c r="J72">
        <f>VLOOKUP(F72,'LEAID Match'!$A$2:$B$44,2,FALSE)</f>
        <v>1000056</v>
      </c>
    </row>
    <row r="73" spans="1:10" x14ac:dyDescent="0.2">
      <c r="A73">
        <v>1000056</v>
      </c>
      <c r="B73">
        <v>2018</v>
      </c>
      <c r="C73" t="s">
        <v>59</v>
      </c>
      <c r="D73" t="s">
        <v>60</v>
      </c>
      <c r="E73" t="s">
        <v>61</v>
      </c>
      <c r="F73" s="3" t="s">
        <v>36</v>
      </c>
      <c r="G73" s="12">
        <v>148306</v>
      </c>
      <c r="H73" s="18">
        <v>7599</v>
      </c>
      <c r="I73" s="17">
        <v>155905</v>
      </c>
      <c r="J73">
        <f>VLOOKUP(F73,'LEAID Match'!$A$2:$B$44,2,FALSE)</f>
        <v>1000056</v>
      </c>
    </row>
    <row r="74" spans="1:10" x14ac:dyDescent="0.2">
      <c r="A74">
        <v>0</v>
      </c>
      <c r="B74">
        <v>2015</v>
      </c>
      <c r="C74" t="s">
        <v>59</v>
      </c>
      <c r="D74" t="s">
        <v>60</v>
      </c>
      <c r="E74" t="s">
        <v>61</v>
      </c>
      <c r="F74" t="s">
        <v>7</v>
      </c>
      <c r="G74" s="17">
        <v>239141</v>
      </c>
      <c r="H74" s="17">
        <v>43798</v>
      </c>
      <c r="I74" s="17">
        <v>282939</v>
      </c>
      <c r="J74">
        <f>VLOOKUP(F74,'LEAID Match'!$A$2:$B$44,2,FALSE)</f>
        <v>0</v>
      </c>
    </row>
    <row r="75" spans="1:10" x14ac:dyDescent="0.2">
      <c r="A75">
        <v>0</v>
      </c>
      <c r="B75">
        <v>2016</v>
      </c>
      <c r="C75" t="s">
        <v>59</v>
      </c>
      <c r="D75" t="s">
        <v>60</v>
      </c>
      <c r="E75" t="s">
        <v>61</v>
      </c>
      <c r="F75" s="3" t="s">
        <v>7</v>
      </c>
      <c r="G75" s="12">
        <v>244967</v>
      </c>
      <c r="H75" s="18">
        <v>51992</v>
      </c>
      <c r="I75" s="17">
        <v>296959</v>
      </c>
      <c r="J75">
        <f>VLOOKUP(F75,'LEAID Match'!$A$2:$B$44,2,FALSE)</f>
        <v>0</v>
      </c>
    </row>
    <row r="76" spans="1:10" x14ac:dyDescent="0.2">
      <c r="A76">
        <v>0</v>
      </c>
      <c r="B76">
        <v>2017</v>
      </c>
      <c r="C76" t="s">
        <v>59</v>
      </c>
      <c r="D76" t="s">
        <v>60</v>
      </c>
      <c r="E76" t="s">
        <v>61</v>
      </c>
      <c r="F76" t="s">
        <v>7</v>
      </c>
      <c r="G76" s="17">
        <v>238684</v>
      </c>
      <c r="H76" s="17">
        <v>38754</v>
      </c>
      <c r="I76" s="17">
        <v>277438</v>
      </c>
      <c r="J76">
        <f>VLOOKUP(F76,'LEAID Match'!$A$2:$B$44,2,FALSE)</f>
        <v>0</v>
      </c>
    </row>
    <row r="77" spans="1:10" x14ac:dyDescent="0.2">
      <c r="A77">
        <v>0</v>
      </c>
      <c r="B77">
        <v>2018</v>
      </c>
      <c r="C77" t="s">
        <v>59</v>
      </c>
      <c r="D77" t="s">
        <v>60</v>
      </c>
      <c r="E77" t="s">
        <v>61</v>
      </c>
      <c r="F77" s="3" t="s">
        <v>7</v>
      </c>
      <c r="G77" s="12">
        <v>184544</v>
      </c>
      <c r="H77" s="18">
        <v>9456</v>
      </c>
      <c r="I77" s="17">
        <v>194000</v>
      </c>
      <c r="J77">
        <f>VLOOKUP(F77,'LEAID Match'!$A$2:$B$44,2,FALSE)</f>
        <v>0</v>
      </c>
    </row>
    <row r="78" spans="1:10" x14ac:dyDescent="0.2">
      <c r="A78">
        <v>0</v>
      </c>
      <c r="B78">
        <v>2015</v>
      </c>
      <c r="C78" t="s">
        <v>59</v>
      </c>
      <c r="D78" t="s">
        <v>60</v>
      </c>
      <c r="E78" t="s">
        <v>61</v>
      </c>
      <c r="F78" t="s">
        <v>12</v>
      </c>
      <c r="G78" s="17">
        <v>532731</v>
      </c>
      <c r="H78" s="17">
        <v>97569</v>
      </c>
      <c r="I78" s="17">
        <v>630300</v>
      </c>
      <c r="J78">
        <f>VLOOKUP(F78,'LEAID Match'!$A$2:$B$44,2,FALSE)</f>
        <v>0</v>
      </c>
    </row>
    <row r="79" spans="1:10" x14ac:dyDescent="0.2">
      <c r="A79">
        <v>0</v>
      </c>
      <c r="B79">
        <v>2016</v>
      </c>
      <c r="C79" t="s">
        <v>59</v>
      </c>
      <c r="D79" t="s">
        <v>60</v>
      </c>
      <c r="E79" t="s">
        <v>61</v>
      </c>
      <c r="F79" s="3" t="s">
        <v>12</v>
      </c>
      <c r="G79" s="12">
        <v>519277</v>
      </c>
      <c r="H79" s="18">
        <v>110213</v>
      </c>
      <c r="I79" s="17">
        <v>629490</v>
      </c>
      <c r="J79">
        <f>VLOOKUP(F79,'LEAID Match'!$A$2:$B$44,2,FALSE)</f>
        <v>0</v>
      </c>
    </row>
    <row r="80" spans="1:10" x14ac:dyDescent="0.2">
      <c r="A80">
        <v>0</v>
      </c>
      <c r="B80">
        <v>2017</v>
      </c>
      <c r="C80" t="s">
        <v>59</v>
      </c>
      <c r="D80" t="s">
        <v>60</v>
      </c>
      <c r="E80" t="s">
        <v>61</v>
      </c>
      <c r="F80" t="s">
        <v>12</v>
      </c>
      <c r="G80" s="17">
        <v>526179</v>
      </c>
      <c r="H80" s="17">
        <v>85434</v>
      </c>
      <c r="I80" s="17">
        <v>611613</v>
      </c>
      <c r="J80">
        <f>VLOOKUP(F80,'LEAID Match'!$A$2:$B$44,2,FALSE)</f>
        <v>0</v>
      </c>
    </row>
    <row r="81" spans="1:10" x14ac:dyDescent="0.2">
      <c r="A81">
        <v>0</v>
      </c>
      <c r="B81">
        <v>2018</v>
      </c>
      <c r="C81" t="s">
        <v>59</v>
      </c>
      <c r="D81" t="s">
        <v>60</v>
      </c>
      <c r="E81" t="s">
        <v>61</v>
      </c>
      <c r="F81" s="3" t="s">
        <v>12</v>
      </c>
      <c r="G81" s="12">
        <v>626327</v>
      </c>
      <c r="H81" s="18">
        <v>32091</v>
      </c>
      <c r="I81" s="17">
        <v>658418</v>
      </c>
      <c r="J81">
        <f>VLOOKUP(F81,'LEAID Match'!$A$2:$B$44,2,FALSE)</f>
        <v>0</v>
      </c>
    </row>
    <row r="82" spans="1:10" x14ac:dyDescent="0.2">
      <c r="A82">
        <v>0</v>
      </c>
      <c r="B82">
        <v>2019</v>
      </c>
      <c r="C82" t="s">
        <v>59</v>
      </c>
      <c r="D82" t="s">
        <v>60</v>
      </c>
      <c r="E82" t="s">
        <v>61</v>
      </c>
      <c r="F82" s="3" t="s">
        <v>12</v>
      </c>
      <c r="G82" s="12">
        <v>731139</v>
      </c>
      <c r="H82" s="18">
        <v>64790</v>
      </c>
      <c r="I82" s="17">
        <v>795929</v>
      </c>
      <c r="J82">
        <f>VLOOKUP(F82,'LEAID Match'!$A$2:$B$44,2,FALSE)</f>
        <v>0</v>
      </c>
    </row>
    <row r="83" spans="1:10" x14ac:dyDescent="0.2">
      <c r="A83">
        <v>0</v>
      </c>
      <c r="B83">
        <v>2015</v>
      </c>
      <c r="C83" t="s">
        <v>59</v>
      </c>
      <c r="D83" t="s">
        <v>60</v>
      </c>
      <c r="E83" t="s">
        <v>61</v>
      </c>
      <c r="F83" t="s">
        <v>9</v>
      </c>
      <c r="G83" s="17">
        <v>9311</v>
      </c>
      <c r="H83" s="17">
        <v>1705</v>
      </c>
      <c r="I83" s="17">
        <v>11016</v>
      </c>
      <c r="J83">
        <f>VLOOKUP(F83,'LEAID Match'!$A$2:$B$44,2,FALSE)</f>
        <v>0</v>
      </c>
    </row>
    <row r="84" spans="1:10" x14ac:dyDescent="0.2">
      <c r="A84">
        <v>0</v>
      </c>
      <c r="B84">
        <v>2016</v>
      </c>
      <c r="C84" t="s">
        <v>59</v>
      </c>
      <c r="D84" t="s">
        <v>60</v>
      </c>
      <c r="E84" t="s">
        <v>61</v>
      </c>
      <c r="F84" s="3" t="s">
        <v>9</v>
      </c>
      <c r="G84" s="12">
        <v>10205</v>
      </c>
      <c r="H84" s="18">
        <v>2166</v>
      </c>
      <c r="I84" s="17">
        <v>12371</v>
      </c>
      <c r="J84">
        <f>VLOOKUP(F84,'LEAID Match'!$A$2:$B$44,2,FALSE)</f>
        <v>0</v>
      </c>
    </row>
    <row r="85" spans="1:10" x14ac:dyDescent="0.2">
      <c r="A85">
        <v>0</v>
      </c>
      <c r="B85">
        <v>2017</v>
      </c>
      <c r="C85" t="s">
        <v>59</v>
      </c>
      <c r="D85" t="s">
        <v>60</v>
      </c>
      <c r="E85" t="s">
        <v>61</v>
      </c>
      <c r="F85" t="s">
        <v>9</v>
      </c>
      <c r="G85" s="17">
        <v>7697</v>
      </c>
      <c r="H85" s="17">
        <v>1250</v>
      </c>
      <c r="I85" s="17">
        <v>8947</v>
      </c>
      <c r="J85">
        <f>VLOOKUP(F85,'LEAID Match'!$A$2:$B$44,2,FALSE)</f>
        <v>0</v>
      </c>
    </row>
    <row r="86" spans="1:10" x14ac:dyDescent="0.2">
      <c r="A86">
        <v>0</v>
      </c>
      <c r="B86">
        <v>2018</v>
      </c>
      <c r="C86" t="s">
        <v>59</v>
      </c>
      <c r="D86" t="s">
        <v>60</v>
      </c>
      <c r="E86" t="s">
        <v>61</v>
      </c>
      <c r="F86" s="3" t="s">
        <v>9</v>
      </c>
      <c r="G86" s="12">
        <v>6404</v>
      </c>
      <c r="H86" s="18">
        <v>328</v>
      </c>
      <c r="I86" s="17">
        <v>6732</v>
      </c>
      <c r="J86">
        <f>VLOOKUP(F86,'LEAID Match'!$A$2:$B$44,2,FALSE)</f>
        <v>0</v>
      </c>
    </row>
    <row r="87" spans="1:10" x14ac:dyDescent="0.2">
      <c r="A87">
        <v>0</v>
      </c>
      <c r="B87">
        <v>2019</v>
      </c>
      <c r="C87" t="s">
        <v>59</v>
      </c>
      <c r="D87" t="s">
        <v>60</v>
      </c>
      <c r="E87" t="s">
        <v>61</v>
      </c>
      <c r="F87" s="3" t="s">
        <v>9</v>
      </c>
      <c r="G87" s="12">
        <v>7311</v>
      </c>
      <c r="H87" s="18">
        <v>648</v>
      </c>
      <c r="I87" s="17">
        <v>7959</v>
      </c>
      <c r="J87">
        <f>VLOOKUP(F87,'LEAID Match'!$A$2:$B$44,2,FALSE)</f>
        <v>0</v>
      </c>
    </row>
    <row r="88" spans="1:10" x14ac:dyDescent="0.2">
      <c r="A88">
        <v>0</v>
      </c>
      <c r="B88">
        <v>2015</v>
      </c>
      <c r="C88" t="s">
        <v>59</v>
      </c>
      <c r="D88" t="s">
        <v>60</v>
      </c>
      <c r="E88" t="s">
        <v>61</v>
      </c>
      <c r="F88" t="s">
        <v>10</v>
      </c>
      <c r="G88" s="17">
        <v>82415</v>
      </c>
      <c r="H88" s="17">
        <v>15094</v>
      </c>
      <c r="I88" s="17">
        <v>97509</v>
      </c>
      <c r="J88">
        <f>VLOOKUP(F88,'LEAID Match'!$A$2:$B$44,2,FALSE)</f>
        <v>0</v>
      </c>
    </row>
    <row r="89" spans="1:10" x14ac:dyDescent="0.2">
      <c r="A89">
        <v>0</v>
      </c>
      <c r="B89">
        <v>2016</v>
      </c>
      <c r="C89" t="s">
        <v>59</v>
      </c>
      <c r="D89" t="s">
        <v>60</v>
      </c>
      <c r="E89" t="s">
        <v>61</v>
      </c>
      <c r="F89" s="3" t="s">
        <v>10</v>
      </c>
      <c r="G89" s="12">
        <v>69271</v>
      </c>
      <c r="H89" s="18">
        <v>14702</v>
      </c>
      <c r="I89" s="17">
        <v>83973</v>
      </c>
      <c r="J89">
        <f>VLOOKUP(F89,'LEAID Match'!$A$2:$B$44,2,FALSE)</f>
        <v>0</v>
      </c>
    </row>
    <row r="90" spans="1:10" x14ac:dyDescent="0.2">
      <c r="A90">
        <v>0</v>
      </c>
      <c r="B90">
        <v>2017</v>
      </c>
      <c r="C90" t="s">
        <v>59</v>
      </c>
      <c r="D90" t="s">
        <v>60</v>
      </c>
      <c r="E90" t="s">
        <v>61</v>
      </c>
      <c r="F90" t="s">
        <v>10</v>
      </c>
      <c r="G90" s="17">
        <v>52807</v>
      </c>
      <c r="H90" s="17">
        <v>8574</v>
      </c>
      <c r="I90" s="17">
        <v>61381</v>
      </c>
      <c r="J90">
        <f>VLOOKUP(F90,'LEAID Match'!$A$2:$B$44,2,FALSE)</f>
        <v>0</v>
      </c>
    </row>
    <row r="91" spans="1:10" x14ac:dyDescent="0.2">
      <c r="A91">
        <v>0</v>
      </c>
      <c r="B91">
        <v>2018</v>
      </c>
      <c r="C91" t="s">
        <v>59</v>
      </c>
      <c r="D91" t="s">
        <v>60</v>
      </c>
      <c r="E91" t="s">
        <v>61</v>
      </c>
      <c r="F91" s="3" t="s">
        <v>10</v>
      </c>
      <c r="G91" s="12">
        <v>46856</v>
      </c>
      <c r="H91" s="18">
        <v>2401</v>
      </c>
      <c r="I91" s="17">
        <v>49257</v>
      </c>
      <c r="J91">
        <f>VLOOKUP(F91,'LEAID Match'!$A$2:$B$44,2,FALSE)</f>
        <v>0</v>
      </c>
    </row>
    <row r="92" spans="1:10" x14ac:dyDescent="0.2">
      <c r="A92">
        <v>0</v>
      </c>
      <c r="B92">
        <v>2019</v>
      </c>
      <c r="C92" t="s">
        <v>59</v>
      </c>
      <c r="D92" t="s">
        <v>60</v>
      </c>
      <c r="E92" t="s">
        <v>61</v>
      </c>
      <c r="F92" s="3" t="s">
        <v>10</v>
      </c>
      <c r="G92" s="12">
        <v>42151</v>
      </c>
      <c r="H92" s="18">
        <v>3735</v>
      </c>
      <c r="I92" s="17">
        <v>45886</v>
      </c>
      <c r="J92">
        <f>VLOOKUP(F92,'LEAID Match'!$A$2:$B$44,2,FALSE)</f>
        <v>0</v>
      </c>
    </row>
    <row r="93" spans="1:10" x14ac:dyDescent="0.2">
      <c r="A93">
        <v>0</v>
      </c>
      <c r="B93">
        <v>2020</v>
      </c>
      <c r="C93" t="s">
        <v>59</v>
      </c>
      <c r="D93" t="s">
        <v>60</v>
      </c>
      <c r="E93" t="s">
        <v>61</v>
      </c>
      <c r="F93" s="5" t="s">
        <v>10</v>
      </c>
      <c r="G93" s="18">
        <v>34185</v>
      </c>
      <c r="H93" s="12">
        <v>749</v>
      </c>
      <c r="I93" s="17">
        <v>34934</v>
      </c>
      <c r="J93">
        <f>VLOOKUP(F93,'LEAID Match'!$A$2:$B$44,2,FALSE)</f>
        <v>0</v>
      </c>
    </row>
    <row r="94" spans="1:10" x14ac:dyDescent="0.2">
      <c r="A94">
        <v>0</v>
      </c>
      <c r="B94">
        <v>2021</v>
      </c>
      <c r="C94" t="s">
        <v>59</v>
      </c>
      <c r="D94" t="s">
        <v>60</v>
      </c>
      <c r="E94" t="s">
        <v>61</v>
      </c>
      <c r="F94" s="3" t="s">
        <v>10</v>
      </c>
      <c r="G94" s="12">
        <v>34501</v>
      </c>
      <c r="H94" s="12">
        <v>0</v>
      </c>
      <c r="I94" s="17">
        <v>34501</v>
      </c>
      <c r="J94">
        <f>VLOOKUP(F94,'LEAID Match'!$A$2:$B$44,2,FALSE)</f>
        <v>0</v>
      </c>
    </row>
    <row r="95" spans="1:10" x14ac:dyDescent="0.2">
      <c r="A95">
        <v>0</v>
      </c>
      <c r="B95">
        <v>2022</v>
      </c>
      <c r="C95" t="s">
        <v>59</v>
      </c>
      <c r="D95" t="s">
        <v>60</v>
      </c>
      <c r="E95" t="s">
        <v>61</v>
      </c>
      <c r="F95" t="s">
        <v>10</v>
      </c>
      <c r="G95" s="17">
        <v>31402</v>
      </c>
      <c r="H95" s="17">
        <v>2915</v>
      </c>
      <c r="I95" s="17">
        <v>34317</v>
      </c>
      <c r="J95">
        <f>VLOOKUP(F95,'LEAID Match'!$A$2:$B$44,2,FALSE)</f>
        <v>0</v>
      </c>
    </row>
    <row r="96" spans="1:10" x14ac:dyDescent="0.2">
      <c r="A96">
        <v>0</v>
      </c>
      <c r="B96">
        <v>2023</v>
      </c>
      <c r="C96" t="s">
        <v>59</v>
      </c>
      <c r="D96" t="s">
        <v>60</v>
      </c>
      <c r="E96" t="s">
        <v>61</v>
      </c>
      <c r="F96" s="3" t="s">
        <v>10</v>
      </c>
      <c r="G96" s="18">
        <v>16354</v>
      </c>
      <c r="H96" s="12">
        <v>9688</v>
      </c>
      <c r="I96" s="17">
        <v>26042</v>
      </c>
      <c r="J96">
        <f>VLOOKUP(F96,'LEAID Match'!$A$2:$B$44,2,FALSE)</f>
        <v>0</v>
      </c>
    </row>
    <row r="97" spans="1:10" x14ac:dyDescent="0.2">
      <c r="A97">
        <v>0</v>
      </c>
      <c r="B97">
        <v>2015</v>
      </c>
      <c r="C97" t="s">
        <v>59</v>
      </c>
      <c r="D97" t="s">
        <v>60</v>
      </c>
      <c r="E97" t="s">
        <v>61</v>
      </c>
      <c r="F97" t="s">
        <v>11</v>
      </c>
      <c r="G97" s="17">
        <v>4543491</v>
      </c>
      <c r="H97" s="17">
        <v>832131</v>
      </c>
      <c r="I97" s="17">
        <v>5375622</v>
      </c>
      <c r="J97">
        <f>VLOOKUP(F97,'LEAID Match'!$A$2:$B$44,2,FALSE)</f>
        <v>0</v>
      </c>
    </row>
    <row r="98" spans="1:10" x14ac:dyDescent="0.2">
      <c r="A98">
        <v>0</v>
      </c>
      <c r="B98">
        <v>2016</v>
      </c>
      <c r="C98" t="s">
        <v>59</v>
      </c>
      <c r="D98" t="s">
        <v>60</v>
      </c>
      <c r="E98" t="s">
        <v>61</v>
      </c>
      <c r="F98" s="3" t="s">
        <v>11</v>
      </c>
      <c r="G98" s="12">
        <v>4639186</v>
      </c>
      <c r="H98" s="18">
        <v>984634</v>
      </c>
      <c r="I98" s="17">
        <v>5623820</v>
      </c>
      <c r="J98">
        <f>VLOOKUP(F98,'LEAID Match'!$A$2:$B$44,2,FALSE)</f>
        <v>0</v>
      </c>
    </row>
    <row r="99" spans="1:10" x14ac:dyDescent="0.2">
      <c r="A99">
        <v>0</v>
      </c>
      <c r="B99">
        <v>2017</v>
      </c>
      <c r="C99" t="s">
        <v>59</v>
      </c>
      <c r="D99" t="s">
        <v>60</v>
      </c>
      <c r="E99" t="s">
        <v>61</v>
      </c>
      <c r="F99" t="s">
        <v>11</v>
      </c>
      <c r="G99" s="17">
        <v>4596417</v>
      </c>
      <c r="H99" s="17">
        <v>746307</v>
      </c>
      <c r="I99" s="17">
        <v>5342724</v>
      </c>
      <c r="J99">
        <f>VLOOKUP(F99,'LEAID Match'!$A$2:$B$44,2,FALSE)</f>
        <v>0</v>
      </c>
    </row>
    <row r="100" spans="1:10" x14ac:dyDescent="0.2">
      <c r="A100">
        <v>0</v>
      </c>
      <c r="B100">
        <v>2018</v>
      </c>
      <c r="C100" t="s">
        <v>59</v>
      </c>
      <c r="D100" t="s">
        <v>60</v>
      </c>
      <c r="E100" t="s">
        <v>61</v>
      </c>
      <c r="F100" s="3" t="s">
        <v>11</v>
      </c>
      <c r="G100" s="12">
        <v>5066411</v>
      </c>
      <c r="H100" s="18">
        <v>259588</v>
      </c>
      <c r="I100" s="17">
        <v>5325999</v>
      </c>
      <c r="J100">
        <f>VLOOKUP(F100,'LEAID Match'!$A$2:$B$44,2,FALSE)</f>
        <v>0</v>
      </c>
    </row>
    <row r="101" spans="1:10" x14ac:dyDescent="0.2">
      <c r="A101">
        <v>0</v>
      </c>
      <c r="B101">
        <v>2019</v>
      </c>
      <c r="C101" t="s">
        <v>59</v>
      </c>
      <c r="D101" t="s">
        <v>60</v>
      </c>
      <c r="E101" t="s">
        <v>61</v>
      </c>
      <c r="F101" s="3" t="s">
        <v>11</v>
      </c>
      <c r="G101" s="12">
        <v>5918085</v>
      </c>
      <c r="H101" s="18">
        <v>524430</v>
      </c>
      <c r="I101" s="17">
        <v>6442515</v>
      </c>
      <c r="J101">
        <f>VLOOKUP(F101,'LEAID Match'!$A$2:$B$44,2,FALSE)</f>
        <v>0</v>
      </c>
    </row>
    <row r="102" spans="1:10" x14ac:dyDescent="0.2">
      <c r="A102">
        <v>0</v>
      </c>
      <c r="B102">
        <v>2020</v>
      </c>
      <c r="C102" t="s">
        <v>59</v>
      </c>
      <c r="D102" t="s">
        <v>60</v>
      </c>
      <c r="E102" t="s">
        <v>61</v>
      </c>
      <c r="F102" s="5" t="s">
        <v>11</v>
      </c>
      <c r="G102" s="18">
        <v>6165787</v>
      </c>
      <c r="H102" s="12">
        <v>135113</v>
      </c>
      <c r="I102" s="17">
        <v>6300900</v>
      </c>
      <c r="J102">
        <f>VLOOKUP(F102,'LEAID Match'!$A$2:$B$44,2,FALSE)</f>
        <v>0</v>
      </c>
    </row>
    <row r="103" spans="1:10" x14ac:dyDescent="0.2">
      <c r="A103">
        <v>0</v>
      </c>
      <c r="B103">
        <v>2021</v>
      </c>
      <c r="C103" t="s">
        <v>59</v>
      </c>
      <c r="D103" t="s">
        <v>60</v>
      </c>
      <c r="E103" t="s">
        <v>61</v>
      </c>
      <c r="F103" s="3" t="s">
        <v>11</v>
      </c>
      <c r="G103" s="12">
        <v>6459505</v>
      </c>
      <c r="H103" s="12">
        <v>0</v>
      </c>
      <c r="I103" s="17">
        <v>6459505</v>
      </c>
      <c r="J103">
        <f>VLOOKUP(F103,'LEAID Match'!$A$2:$B$44,2,FALSE)</f>
        <v>0</v>
      </c>
    </row>
    <row r="104" spans="1:10" x14ac:dyDescent="0.2">
      <c r="A104">
        <v>0</v>
      </c>
      <c r="B104">
        <v>2022</v>
      </c>
      <c r="C104" t="s">
        <v>59</v>
      </c>
      <c r="D104" t="s">
        <v>60</v>
      </c>
      <c r="E104" t="s">
        <v>61</v>
      </c>
      <c r="F104" t="s">
        <v>11</v>
      </c>
      <c r="G104" s="17">
        <v>7212747</v>
      </c>
      <c r="H104" s="17">
        <v>669550</v>
      </c>
      <c r="I104" s="17">
        <v>7882297</v>
      </c>
      <c r="J104">
        <f>VLOOKUP(F104,'LEAID Match'!$A$2:$B$44,2,FALSE)</f>
        <v>0</v>
      </c>
    </row>
    <row r="105" spans="1:10" x14ac:dyDescent="0.2">
      <c r="A105">
        <v>0</v>
      </c>
      <c r="B105">
        <v>2023</v>
      </c>
      <c r="C105" t="s">
        <v>59</v>
      </c>
      <c r="D105" t="s">
        <v>60</v>
      </c>
      <c r="E105" t="s">
        <v>61</v>
      </c>
      <c r="F105" s="3" t="s">
        <v>11</v>
      </c>
      <c r="G105" s="18">
        <v>7021763</v>
      </c>
      <c r="H105" s="12">
        <v>4135678</v>
      </c>
      <c r="I105" s="17">
        <v>11157441</v>
      </c>
      <c r="J105">
        <f>VLOOKUP(F105,'LEAID Match'!$A$2:$B$44,2,FALSE)</f>
        <v>0</v>
      </c>
    </row>
    <row r="106" spans="1:10" x14ac:dyDescent="0.2">
      <c r="A106">
        <v>1000061</v>
      </c>
      <c r="B106">
        <v>2016</v>
      </c>
      <c r="C106" t="s">
        <v>59</v>
      </c>
      <c r="D106" t="s">
        <v>60</v>
      </c>
      <c r="E106" t="s">
        <v>61</v>
      </c>
      <c r="F106" s="3" t="s">
        <v>37</v>
      </c>
      <c r="G106" s="12">
        <v>14732</v>
      </c>
      <c r="H106" s="18">
        <v>3127</v>
      </c>
      <c r="I106" s="17">
        <v>17859</v>
      </c>
      <c r="J106">
        <f>VLOOKUP(F106,'LEAID Match'!$A$2:$B$44,2,FALSE)</f>
        <v>1000061</v>
      </c>
    </row>
    <row r="107" spans="1:10" x14ac:dyDescent="0.2">
      <c r="A107">
        <v>1000061</v>
      </c>
      <c r="B107">
        <v>2017</v>
      </c>
      <c r="C107" t="s">
        <v>59</v>
      </c>
      <c r="D107" t="s">
        <v>60</v>
      </c>
      <c r="E107" t="s">
        <v>61</v>
      </c>
      <c r="F107" t="s">
        <v>37</v>
      </c>
      <c r="G107" s="17">
        <v>210</v>
      </c>
      <c r="H107" s="17">
        <v>34</v>
      </c>
      <c r="I107" s="17">
        <v>244</v>
      </c>
      <c r="J107">
        <f>VLOOKUP(F107,'LEAID Match'!$A$2:$B$44,2,FALSE)</f>
        <v>1000061</v>
      </c>
    </row>
    <row r="108" spans="1:10" x14ac:dyDescent="0.2">
      <c r="A108">
        <v>1000061</v>
      </c>
      <c r="B108">
        <v>2018</v>
      </c>
      <c r="C108" t="s">
        <v>59</v>
      </c>
      <c r="D108" t="s">
        <v>60</v>
      </c>
      <c r="E108" t="s">
        <v>61</v>
      </c>
      <c r="F108" s="3" t="s">
        <v>37</v>
      </c>
      <c r="G108" s="12"/>
      <c r="H108" s="18"/>
      <c r="I108" s="17">
        <v>0</v>
      </c>
      <c r="J108">
        <f>VLOOKUP(F108,'LEAID Match'!$A$2:$B$44,2,FALSE)</f>
        <v>1000061</v>
      </c>
    </row>
    <row r="109" spans="1:10" x14ac:dyDescent="0.2">
      <c r="A109">
        <v>1000055</v>
      </c>
      <c r="B109">
        <v>2015</v>
      </c>
      <c r="C109" t="s">
        <v>59</v>
      </c>
      <c r="D109" t="s">
        <v>60</v>
      </c>
      <c r="E109" t="s">
        <v>61</v>
      </c>
      <c r="F109" t="s">
        <v>13</v>
      </c>
      <c r="G109" s="17">
        <v>34099</v>
      </c>
      <c r="H109" s="17">
        <v>6245</v>
      </c>
      <c r="I109" s="17">
        <v>40344</v>
      </c>
      <c r="J109">
        <f>VLOOKUP(F109,'LEAID Match'!$A$2:$B$44,2,FALSE)</f>
        <v>1000055</v>
      </c>
    </row>
    <row r="110" spans="1:10" x14ac:dyDescent="0.2">
      <c r="A110">
        <v>1000055</v>
      </c>
      <c r="B110">
        <v>2016</v>
      </c>
      <c r="C110" t="s">
        <v>59</v>
      </c>
      <c r="D110" t="s">
        <v>60</v>
      </c>
      <c r="E110" t="s">
        <v>61</v>
      </c>
      <c r="F110" s="3" t="s">
        <v>13</v>
      </c>
      <c r="G110" s="12">
        <v>85941</v>
      </c>
      <c r="H110" s="18">
        <v>18240</v>
      </c>
      <c r="I110" s="17">
        <v>104181</v>
      </c>
      <c r="J110">
        <f>VLOOKUP(F110,'LEAID Match'!$A$2:$B$44,2,FALSE)</f>
        <v>1000055</v>
      </c>
    </row>
    <row r="111" spans="1:10" x14ac:dyDescent="0.2">
      <c r="A111">
        <v>1000055</v>
      </c>
      <c r="B111">
        <v>2017</v>
      </c>
      <c r="C111" t="s">
        <v>59</v>
      </c>
      <c r="D111" t="s">
        <v>60</v>
      </c>
      <c r="E111" t="s">
        <v>61</v>
      </c>
      <c r="F111" t="s">
        <v>13</v>
      </c>
      <c r="G111" s="17">
        <v>121375</v>
      </c>
      <c r="H111" s="17">
        <v>19707</v>
      </c>
      <c r="I111" s="17">
        <v>141082</v>
      </c>
      <c r="J111">
        <f>VLOOKUP(F111,'LEAID Match'!$A$2:$B$44,2,FALSE)</f>
        <v>1000055</v>
      </c>
    </row>
    <row r="112" spans="1:10" x14ac:dyDescent="0.2">
      <c r="A112">
        <v>1000055</v>
      </c>
      <c r="B112">
        <v>2018</v>
      </c>
      <c r="C112" t="s">
        <v>59</v>
      </c>
      <c r="D112" t="s">
        <v>60</v>
      </c>
      <c r="E112" t="s">
        <v>61</v>
      </c>
      <c r="F112" s="3" t="s">
        <v>13</v>
      </c>
      <c r="G112" s="12">
        <v>152884</v>
      </c>
      <c r="H112" s="18">
        <v>7833</v>
      </c>
      <c r="I112" s="17">
        <v>160717</v>
      </c>
      <c r="J112">
        <f>VLOOKUP(F112,'LEAID Match'!$A$2:$B$44,2,FALSE)</f>
        <v>1000055</v>
      </c>
    </row>
    <row r="113" spans="1:10" x14ac:dyDescent="0.2">
      <c r="A113">
        <v>1000055</v>
      </c>
      <c r="B113">
        <v>2019</v>
      </c>
      <c r="C113" t="s">
        <v>59</v>
      </c>
      <c r="D113" t="s">
        <v>60</v>
      </c>
      <c r="E113" t="s">
        <v>61</v>
      </c>
      <c r="F113" s="3" t="s">
        <v>13</v>
      </c>
      <c r="G113" s="12">
        <v>173310</v>
      </c>
      <c r="H113" s="18">
        <v>15358</v>
      </c>
      <c r="I113" s="17">
        <v>188668</v>
      </c>
      <c r="J113">
        <f>VLOOKUP(F113,'LEAID Match'!$A$2:$B$44,2,FALSE)</f>
        <v>1000055</v>
      </c>
    </row>
    <row r="114" spans="1:10" x14ac:dyDescent="0.2">
      <c r="A114">
        <v>1000055</v>
      </c>
      <c r="B114">
        <v>2020</v>
      </c>
      <c r="C114" t="s">
        <v>59</v>
      </c>
      <c r="D114" t="s">
        <v>60</v>
      </c>
      <c r="E114" t="s">
        <v>61</v>
      </c>
      <c r="F114" s="5" t="s">
        <v>13</v>
      </c>
      <c r="G114" s="18">
        <v>195904</v>
      </c>
      <c r="H114" s="12">
        <v>4293</v>
      </c>
      <c r="I114" s="17">
        <v>200197</v>
      </c>
      <c r="J114">
        <f>VLOOKUP(F114,'LEAID Match'!$A$2:$B$44,2,FALSE)</f>
        <v>1000055</v>
      </c>
    </row>
    <row r="115" spans="1:10" x14ac:dyDescent="0.2">
      <c r="A115">
        <v>1000055</v>
      </c>
      <c r="B115">
        <v>2021</v>
      </c>
      <c r="C115" t="s">
        <v>59</v>
      </c>
      <c r="D115" t="s">
        <v>60</v>
      </c>
      <c r="E115" t="s">
        <v>61</v>
      </c>
      <c r="F115" s="3" t="s">
        <v>13</v>
      </c>
      <c r="G115" s="12">
        <v>187393</v>
      </c>
      <c r="H115" s="12">
        <v>0</v>
      </c>
      <c r="I115" s="17">
        <v>187393</v>
      </c>
      <c r="J115">
        <f>VLOOKUP(F115,'LEAID Match'!$A$2:$B$44,2,FALSE)</f>
        <v>1000055</v>
      </c>
    </row>
    <row r="116" spans="1:10" x14ac:dyDescent="0.2">
      <c r="A116">
        <v>1000055</v>
      </c>
      <c r="B116">
        <v>2022</v>
      </c>
      <c r="C116" t="s">
        <v>59</v>
      </c>
      <c r="D116" t="s">
        <v>60</v>
      </c>
      <c r="E116" t="s">
        <v>61</v>
      </c>
      <c r="F116" t="s">
        <v>13</v>
      </c>
      <c r="G116" s="17">
        <v>244534</v>
      </c>
      <c r="H116" s="17">
        <v>22700</v>
      </c>
      <c r="I116" s="17">
        <v>267234</v>
      </c>
      <c r="J116">
        <f>VLOOKUP(F116,'LEAID Match'!$A$2:$B$44,2,FALSE)</f>
        <v>1000055</v>
      </c>
    </row>
    <row r="117" spans="1:10" x14ac:dyDescent="0.2">
      <c r="A117">
        <v>1000055</v>
      </c>
      <c r="B117">
        <v>2023</v>
      </c>
      <c r="C117" t="s">
        <v>59</v>
      </c>
      <c r="D117" t="s">
        <v>60</v>
      </c>
      <c r="E117" t="s">
        <v>61</v>
      </c>
      <c r="F117" s="3" t="s">
        <v>13</v>
      </c>
      <c r="G117" s="18">
        <v>302228</v>
      </c>
      <c r="H117" s="12">
        <v>178052</v>
      </c>
      <c r="I117" s="17">
        <v>480280</v>
      </c>
      <c r="J117">
        <f>VLOOKUP(F117,'LEAID Match'!$A$2:$B$44,2,FALSE)</f>
        <v>1000055</v>
      </c>
    </row>
    <row r="118" spans="1:10" x14ac:dyDescent="0.2">
      <c r="A118">
        <v>1000006</v>
      </c>
      <c r="B118">
        <v>2015</v>
      </c>
      <c r="C118" t="s">
        <v>59</v>
      </c>
      <c r="D118" t="s">
        <v>60</v>
      </c>
      <c r="E118" t="s">
        <v>61</v>
      </c>
      <c r="F118" t="s">
        <v>14</v>
      </c>
      <c r="G118" s="17">
        <v>302200</v>
      </c>
      <c r="H118" s="17">
        <v>55347</v>
      </c>
      <c r="I118" s="17">
        <v>357547</v>
      </c>
      <c r="J118">
        <f>VLOOKUP(F118,'LEAID Match'!$A$2:$B$44,2,FALSE)</f>
        <v>1000006</v>
      </c>
    </row>
    <row r="119" spans="1:10" x14ac:dyDescent="0.2">
      <c r="A119">
        <v>1000006</v>
      </c>
      <c r="B119">
        <v>2016</v>
      </c>
      <c r="C119" t="s">
        <v>59</v>
      </c>
      <c r="D119" t="s">
        <v>60</v>
      </c>
      <c r="E119" t="s">
        <v>61</v>
      </c>
      <c r="F119" s="3" t="s">
        <v>14</v>
      </c>
      <c r="G119" s="12">
        <v>296467</v>
      </c>
      <c r="H119" s="18">
        <v>62923</v>
      </c>
      <c r="I119" s="17">
        <v>359390</v>
      </c>
      <c r="J119">
        <f>VLOOKUP(F119,'LEAID Match'!$A$2:$B$44,2,FALSE)</f>
        <v>1000006</v>
      </c>
    </row>
    <row r="120" spans="1:10" x14ac:dyDescent="0.2">
      <c r="A120">
        <v>1000006</v>
      </c>
      <c r="B120">
        <v>2017</v>
      </c>
      <c r="C120" t="s">
        <v>59</v>
      </c>
      <c r="D120" t="s">
        <v>60</v>
      </c>
      <c r="E120" t="s">
        <v>61</v>
      </c>
      <c r="F120" t="s">
        <v>14</v>
      </c>
      <c r="G120" s="17">
        <v>300991</v>
      </c>
      <c r="H120" s="17">
        <v>48871</v>
      </c>
      <c r="I120" s="17">
        <v>349862</v>
      </c>
      <c r="J120">
        <f>VLOOKUP(F120,'LEAID Match'!$A$2:$B$44,2,FALSE)</f>
        <v>1000006</v>
      </c>
    </row>
    <row r="121" spans="1:10" x14ac:dyDescent="0.2">
      <c r="A121">
        <v>1000006</v>
      </c>
      <c r="B121">
        <v>2018</v>
      </c>
      <c r="C121" t="s">
        <v>59</v>
      </c>
      <c r="D121" t="s">
        <v>60</v>
      </c>
      <c r="E121" t="s">
        <v>61</v>
      </c>
      <c r="F121" s="3" t="s">
        <v>14</v>
      </c>
      <c r="G121" s="12">
        <v>347940</v>
      </c>
      <c r="H121" s="18">
        <v>17827</v>
      </c>
      <c r="I121" s="17">
        <v>365767</v>
      </c>
      <c r="J121">
        <f>VLOOKUP(F121,'LEAID Match'!$A$2:$B$44,2,FALSE)</f>
        <v>1000006</v>
      </c>
    </row>
    <row r="122" spans="1:10" x14ac:dyDescent="0.2">
      <c r="A122">
        <v>1000006</v>
      </c>
      <c r="B122">
        <v>2019</v>
      </c>
      <c r="C122" t="s">
        <v>59</v>
      </c>
      <c r="D122" t="s">
        <v>60</v>
      </c>
      <c r="E122" t="s">
        <v>61</v>
      </c>
      <c r="F122" s="3" t="s">
        <v>14</v>
      </c>
      <c r="G122" s="12">
        <v>439574</v>
      </c>
      <c r="H122" s="18">
        <v>38952</v>
      </c>
      <c r="I122" s="17">
        <v>478526</v>
      </c>
      <c r="J122">
        <f>VLOOKUP(F122,'LEAID Match'!$A$2:$B$44,2,FALSE)</f>
        <v>1000006</v>
      </c>
    </row>
    <row r="123" spans="1:10" x14ac:dyDescent="0.2">
      <c r="A123">
        <v>1000006</v>
      </c>
      <c r="B123">
        <v>2020</v>
      </c>
      <c r="C123" t="s">
        <v>59</v>
      </c>
      <c r="D123" t="s">
        <v>60</v>
      </c>
      <c r="E123" t="s">
        <v>61</v>
      </c>
      <c r="F123" s="5" t="s">
        <v>14</v>
      </c>
      <c r="G123" s="18">
        <v>426636</v>
      </c>
      <c r="H123" s="12">
        <v>9349</v>
      </c>
      <c r="I123" s="17">
        <v>435985</v>
      </c>
      <c r="J123">
        <f>VLOOKUP(F123,'LEAID Match'!$A$2:$B$44,2,FALSE)</f>
        <v>1000006</v>
      </c>
    </row>
    <row r="124" spans="1:10" x14ac:dyDescent="0.2">
      <c r="A124">
        <v>1000006</v>
      </c>
      <c r="B124">
        <v>2021</v>
      </c>
      <c r="C124" t="s">
        <v>59</v>
      </c>
      <c r="D124" t="s">
        <v>60</v>
      </c>
      <c r="E124" t="s">
        <v>61</v>
      </c>
      <c r="F124" s="3" t="s">
        <v>14</v>
      </c>
      <c r="G124" s="12">
        <v>457535</v>
      </c>
      <c r="H124" s="12">
        <v>0</v>
      </c>
      <c r="I124" s="17">
        <v>457535</v>
      </c>
      <c r="J124">
        <f>VLOOKUP(F124,'LEAID Match'!$A$2:$B$44,2,FALSE)</f>
        <v>1000006</v>
      </c>
    </row>
    <row r="125" spans="1:10" x14ac:dyDescent="0.2">
      <c r="A125">
        <v>1000006</v>
      </c>
      <c r="B125">
        <v>2022</v>
      </c>
      <c r="C125" t="s">
        <v>59</v>
      </c>
      <c r="D125" t="s">
        <v>60</v>
      </c>
      <c r="E125" t="s">
        <v>61</v>
      </c>
      <c r="F125" t="s">
        <v>14</v>
      </c>
      <c r="G125" s="17">
        <v>514756</v>
      </c>
      <c r="H125" s="17">
        <v>47785</v>
      </c>
      <c r="I125" s="17">
        <v>562541</v>
      </c>
      <c r="J125">
        <f>VLOOKUP(F125,'LEAID Match'!$A$2:$B$44,2,FALSE)</f>
        <v>1000006</v>
      </c>
    </row>
    <row r="126" spans="1:10" x14ac:dyDescent="0.2">
      <c r="A126">
        <v>1000006</v>
      </c>
      <c r="B126">
        <v>2023</v>
      </c>
      <c r="C126" t="s">
        <v>59</v>
      </c>
      <c r="D126" t="s">
        <v>60</v>
      </c>
      <c r="E126" t="s">
        <v>61</v>
      </c>
      <c r="F126" s="3" t="s">
        <v>14</v>
      </c>
      <c r="G126" s="18">
        <v>504026</v>
      </c>
      <c r="H126" s="12">
        <v>296858</v>
      </c>
      <c r="I126" s="17">
        <v>800884</v>
      </c>
      <c r="J126">
        <f>VLOOKUP(F126,'LEAID Match'!$A$2:$B$44,2,FALSE)</f>
        <v>1000006</v>
      </c>
    </row>
    <row r="127" spans="1:10" x14ac:dyDescent="0.2">
      <c r="A127">
        <v>1000024</v>
      </c>
      <c r="B127">
        <v>2015</v>
      </c>
      <c r="C127" t="s">
        <v>59</v>
      </c>
      <c r="D127" t="s">
        <v>60</v>
      </c>
      <c r="E127" t="s">
        <v>61</v>
      </c>
      <c r="F127" t="s">
        <v>15</v>
      </c>
      <c r="G127" s="17">
        <v>341059</v>
      </c>
      <c r="H127" s="17">
        <v>62464</v>
      </c>
      <c r="I127" s="17">
        <v>403523</v>
      </c>
      <c r="J127">
        <f>VLOOKUP(F127,'LEAID Match'!$A$2:$B$44,2,FALSE)</f>
        <v>1000024</v>
      </c>
    </row>
    <row r="128" spans="1:10" x14ac:dyDescent="0.2">
      <c r="A128">
        <v>1000024</v>
      </c>
      <c r="B128">
        <v>2016</v>
      </c>
      <c r="C128" t="s">
        <v>59</v>
      </c>
      <c r="D128" t="s">
        <v>60</v>
      </c>
      <c r="E128" t="s">
        <v>61</v>
      </c>
      <c r="F128" s="3" t="s">
        <v>15</v>
      </c>
      <c r="G128" s="12">
        <v>365524</v>
      </c>
      <c r="H128" s="18">
        <v>77580</v>
      </c>
      <c r="I128" s="17">
        <v>443104</v>
      </c>
      <c r="J128">
        <f>VLOOKUP(F128,'LEAID Match'!$A$2:$B$44,2,FALSE)</f>
        <v>1000024</v>
      </c>
    </row>
    <row r="129" spans="1:10" x14ac:dyDescent="0.2">
      <c r="A129">
        <v>1000024</v>
      </c>
      <c r="B129">
        <v>2017</v>
      </c>
      <c r="C129" t="s">
        <v>59</v>
      </c>
      <c r="D129" t="s">
        <v>60</v>
      </c>
      <c r="E129" t="s">
        <v>61</v>
      </c>
      <c r="F129" t="s">
        <v>15</v>
      </c>
      <c r="G129" s="17">
        <v>383158</v>
      </c>
      <c r="H129" s="17">
        <v>62212</v>
      </c>
      <c r="I129" s="17">
        <v>445370</v>
      </c>
      <c r="J129">
        <f>VLOOKUP(F129,'LEAID Match'!$A$2:$B$44,2,FALSE)</f>
        <v>1000024</v>
      </c>
    </row>
    <row r="130" spans="1:10" x14ac:dyDescent="0.2">
      <c r="A130">
        <v>1000024</v>
      </c>
      <c r="B130">
        <v>2018</v>
      </c>
      <c r="C130" t="s">
        <v>59</v>
      </c>
      <c r="D130" t="s">
        <v>60</v>
      </c>
      <c r="E130" t="s">
        <v>61</v>
      </c>
      <c r="F130" s="3" t="s">
        <v>15</v>
      </c>
      <c r="G130" s="12">
        <v>421309</v>
      </c>
      <c r="H130" s="18">
        <v>21587</v>
      </c>
      <c r="I130" s="17">
        <v>442896</v>
      </c>
      <c r="J130">
        <f>VLOOKUP(F130,'LEAID Match'!$A$2:$B$44,2,FALSE)</f>
        <v>1000024</v>
      </c>
    </row>
    <row r="131" spans="1:10" x14ac:dyDescent="0.2">
      <c r="A131">
        <v>1000024</v>
      </c>
      <c r="B131">
        <v>2019</v>
      </c>
      <c r="C131" t="s">
        <v>59</v>
      </c>
      <c r="D131" t="s">
        <v>60</v>
      </c>
      <c r="E131" t="s">
        <v>61</v>
      </c>
      <c r="F131" s="3" t="s">
        <v>15</v>
      </c>
      <c r="G131" s="12">
        <v>520179</v>
      </c>
      <c r="H131" s="18">
        <v>46096</v>
      </c>
      <c r="I131" s="17">
        <v>566275</v>
      </c>
      <c r="J131">
        <f>VLOOKUP(F131,'LEAID Match'!$A$2:$B$44,2,FALSE)</f>
        <v>1000024</v>
      </c>
    </row>
    <row r="132" spans="1:10" x14ac:dyDescent="0.2">
      <c r="A132">
        <v>1000024</v>
      </c>
      <c r="B132">
        <v>2020</v>
      </c>
      <c r="C132" t="s">
        <v>59</v>
      </c>
      <c r="D132" t="s">
        <v>60</v>
      </c>
      <c r="E132" t="s">
        <v>61</v>
      </c>
      <c r="F132" s="5" t="s">
        <v>15</v>
      </c>
      <c r="G132" s="18">
        <v>503610</v>
      </c>
      <c r="H132" s="12">
        <v>11036</v>
      </c>
      <c r="I132" s="17">
        <v>514646</v>
      </c>
      <c r="J132">
        <f>VLOOKUP(F132,'LEAID Match'!$A$2:$B$44,2,FALSE)</f>
        <v>1000024</v>
      </c>
    </row>
    <row r="133" spans="1:10" x14ac:dyDescent="0.2">
      <c r="A133">
        <v>1000057</v>
      </c>
      <c r="B133">
        <v>2015</v>
      </c>
      <c r="C133" t="s">
        <v>59</v>
      </c>
      <c r="D133" t="s">
        <v>60</v>
      </c>
      <c r="E133" t="s">
        <v>61</v>
      </c>
      <c r="F133" t="s">
        <v>16</v>
      </c>
      <c r="G133" s="17">
        <v>3302</v>
      </c>
      <c r="H133" s="17">
        <v>605</v>
      </c>
      <c r="I133" s="17">
        <v>3907</v>
      </c>
      <c r="J133">
        <f>VLOOKUP(F133,'LEAID Match'!$A$2:$B$44,2,FALSE)</f>
        <v>1000057</v>
      </c>
    </row>
    <row r="134" spans="1:10" x14ac:dyDescent="0.2">
      <c r="A134">
        <v>1000057</v>
      </c>
      <c r="B134">
        <v>2016</v>
      </c>
      <c r="C134" t="s">
        <v>59</v>
      </c>
      <c r="D134" t="s">
        <v>60</v>
      </c>
      <c r="E134" t="s">
        <v>61</v>
      </c>
      <c r="F134" s="3" t="s">
        <v>16</v>
      </c>
      <c r="G134" s="12">
        <v>74127</v>
      </c>
      <c r="H134" s="18">
        <v>15733</v>
      </c>
      <c r="I134" s="17">
        <v>89860</v>
      </c>
      <c r="J134">
        <f>VLOOKUP(F134,'LEAID Match'!$A$2:$B$44,2,FALSE)</f>
        <v>1000057</v>
      </c>
    </row>
    <row r="135" spans="1:10" x14ac:dyDescent="0.2">
      <c r="A135">
        <v>1000057</v>
      </c>
      <c r="B135">
        <v>2017</v>
      </c>
      <c r="C135" t="s">
        <v>59</v>
      </c>
      <c r="D135" t="s">
        <v>60</v>
      </c>
      <c r="E135" t="s">
        <v>61</v>
      </c>
      <c r="F135" t="s">
        <v>16</v>
      </c>
      <c r="G135" s="17">
        <v>124376</v>
      </c>
      <c r="H135" s="17">
        <v>20195</v>
      </c>
      <c r="I135" s="17">
        <v>144571</v>
      </c>
      <c r="J135">
        <f>VLOOKUP(F135,'LEAID Match'!$A$2:$B$44,2,FALSE)</f>
        <v>1000057</v>
      </c>
    </row>
    <row r="136" spans="1:10" x14ac:dyDescent="0.2">
      <c r="A136">
        <v>1000057</v>
      </c>
      <c r="B136">
        <v>2018</v>
      </c>
      <c r="C136" t="s">
        <v>59</v>
      </c>
      <c r="D136" t="s">
        <v>60</v>
      </c>
      <c r="E136" t="s">
        <v>61</v>
      </c>
      <c r="F136" s="3" t="s">
        <v>16</v>
      </c>
      <c r="G136" s="12">
        <v>191786</v>
      </c>
      <c r="H136" s="18">
        <v>9827</v>
      </c>
      <c r="I136" s="17">
        <v>201613</v>
      </c>
      <c r="J136">
        <f>VLOOKUP(F136,'LEAID Match'!$A$2:$B$44,2,FALSE)</f>
        <v>1000057</v>
      </c>
    </row>
    <row r="137" spans="1:10" x14ac:dyDescent="0.2">
      <c r="A137">
        <v>1000057</v>
      </c>
      <c r="B137">
        <v>2019</v>
      </c>
      <c r="C137" t="s">
        <v>59</v>
      </c>
      <c r="D137" t="s">
        <v>60</v>
      </c>
      <c r="E137" t="s">
        <v>61</v>
      </c>
      <c r="F137" s="3" t="s">
        <v>16</v>
      </c>
      <c r="G137" s="12">
        <v>265145</v>
      </c>
      <c r="H137" s="18">
        <v>23496</v>
      </c>
      <c r="I137" s="17">
        <v>288641</v>
      </c>
      <c r="J137">
        <f>VLOOKUP(F137,'LEAID Match'!$A$2:$B$44,2,FALSE)</f>
        <v>1000057</v>
      </c>
    </row>
    <row r="138" spans="1:10" x14ac:dyDescent="0.2">
      <c r="A138">
        <v>1000057</v>
      </c>
      <c r="B138">
        <v>2020</v>
      </c>
      <c r="C138" t="s">
        <v>59</v>
      </c>
      <c r="D138" t="s">
        <v>60</v>
      </c>
      <c r="E138" t="s">
        <v>61</v>
      </c>
      <c r="F138" s="5" t="s">
        <v>16</v>
      </c>
      <c r="G138" s="18">
        <v>297103</v>
      </c>
      <c r="H138" s="12">
        <v>6511</v>
      </c>
      <c r="I138" s="17">
        <v>303614</v>
      </c>
      <c r="J138">
        <f>VLOOKUP(F138,'LEAID Match'!$A$2:$B$44,2,FALSE)</f>
        <v>1000057</v>
      </c>
    </row>
    <row r="139" spans="1:10" x14ac:dyDescent="0.2">
      <c r="A139">
        <v>1000057</v>
      </c>
      <c r="B139">
        <v>2021</v>
      </c>
      <c r="C139" t="s">
        <v>59</v>
      </c>
      <c r="D139" t="s">
        <v>60</v>
      </c>
      <c r="E139" t="s">
        <v>61</v>
      </c>
      <c r="F139" s="3" t="s">
        <v>16</v>
      </c>
      <c r="G139" s="12">
        <v>339757</v>
      </c>
      <c r="H139" s="12">
        <v>0</v>
      </c>
      <c r="I139" s="17">
        <v>339757</v>
      </c>
      <c r="J139">
        <f>VLOOKUP(F139,'LEAID Match'!$A$2:$B$44,2,FALSE)</f>
        <v>1000057</v>
      </c>
    </row>
    <row r="140" spans="1:10" x14ac:dyDescent="0.2">
      <c r="A140">
        <v>1000057</v>
      </c>
      <c r="B140">
        <v>2022</v>
      </c>
      <c r="C140" t="s">
        <v>59</v>
      </c>
      <c r="D140" t="s">
        <v>60</v>
      </c>
      <c r="E140" t="s">
        <v>61</v>
      </c>
      <c r="F140" t="s">
        <v>16</v>
      </c>
      <c r="G140" s="17">
        <v>384466</v>
      </c>
      <c r="H140" s="17">
        <v>35690</v>
      </c>
      <c r="I140" s="17">
        <v>420156</v>
      </c>
      <c r="J140">
        <f>VLOOKUP(F140,'LEAID Match'!$A$2:$B$44,2,FALSE)</f>
        <v>1000057</v>
      </c>
    </row>
    <row r="141" spans="1:10" x14ac:dyDescent="0.2">
      <c r="A141">
        <v>1000057</v>
      </c>
      <c r="B141">
        <v>2023</v>
      </c>
      <c r="C141" t="s">
        <v>59</v>
      </c>
      <c r="D141" t="s">
        <v>60</v>
      </c>
      <c r="E141" t="s">
        <v>61</v>
      </c>
      <c r="F141" s="3" t="s">
        <v>16</v>
      </c>
      <c r="G141" s="18">
        <v>371519</v>
      </c>
      <c r="H141" s="12">
        <v>218871</v>
      </c>
      <c r="I141" s="17">
        <v>590390</v>
      </c>
      <c r="J141">
        <f>VLOOKUP(F141,'LEAID Match'!$A$2:$B$44,2,FALSE)</f>
        <v>1000057</v>
      </c>
    </row>
    <row r="142" spans="1:10" x14ac:dyDescent="0.2">
      <c r="A142">
        <v>1000054</v>
      </c>
      <c r="B142">
        <v>2015</v>
      </c>
      <c r="C142" t="s">
        <v>59</v>
      </c>
      <c r="D142" t="s">
        <v>60</v>
      </c>
      <c r="E142" t="s">
        <v>61</v>
      </c>
      <c r="F142" t="s">
        <v>17</v>
      </c>
      <c r="G142" s="17">
        <v>102938</v>
      </c>
      <c r="H142" s="17">
        <v>18853</v>
      </c>
      <c r="I142" s="17">
        <v>121791</v>
      </c>
      <c r="J142">
        <f>VLOOKUP(F142,'LEAID Match'!$A$2:$B$44,2,FALSE)</f>
        <v>1000054</v>
      </c>
    </row>
    <row r="143" spans="1:10" x14ac:dyDescent="0.2">
      <c r="A143">
        <v>1000054</v>
      </c>
      <c r="B143">
        <v>2016</v>
      </c>
      <c r="C143" t="s">
        <v>59</v>
      </c>
      <c r="D143" t="s">
        <v>60</v>
      </c>
      <c r="E143" t="s">
        <v>61</v>
      </c>
      <c r="F143" s="3" t="s">
        <v>17</v>
      </c>
      <c r="G143" s="12">
        <v>143239</v>
      </c>
      <c r="H143" s="18">
        <v>30401</v>
      </c>
      <c r="I143" s="17">
        <v>173640</v>
      </c>
      <c r="J143">
        <f>VLOOKUP(F143,'LEAID Match'!$A$2:$B$44,2,FALSE)</f>
        <v>1000054</v>
      </c>
    </row>
    <row r="144" spans="1:10" x14ac:dyDescent="0.2">
      <c r="A144">
        <v>1000054</v>
      </c>
      <c r="B144">
        <v>2017</v>
      </c>
      <c r="C144" t="s">
        <v>59</v>
      </c>
      <c r="D144" t="s">
        <v>60</v>
      </c>
      <c r="E144" t="s">
        <v>61</v>
      </c>
      <c r="F144" t="s">
        <v>17</v>
      </c>
      <c r="G144" s="17">
        <v>230697</v>
      </c>
      <c r="H144" s="17">
        <v>37458</v>
      </c>
      <c r="I144" s="17">
        <v>268155</v>
      </c>
      <c r="J144">
        <f>VLOOKUP(F144,'LEAID Match'!$A$2:$B$44,2,FALSE)</f>
        <v>1000054</v>
      </c>
    </row>
    <row r="145" spans="1:10" x14ac:dyDescent="0.2">
      <c r="A145">
        <v>1000054</v>
      </c>
      <c r="B145">
        <v>2018</v>
      </c>
      <c r="C145" t="s">
        <v>59</v>
      </c>
      <c r="D145" t="s">
        <v>60</v>
      </c>
      <c r="E145" t="s">
        <v>61</v>
      </c>
      <c r="F145" s="3" t="s">
        <v>17</v>
      </c>
      <c r="G145" s="12">
        <v>294859</v>
      </c>
      <c r="H145" s="18">
        <v>15108</v>
      </c>
      <c r="I145" s="17">
        <v>309967</v>
      </c>
      <c r="J145">
        <f>VLOOKUP(F145,'LEAID Match'!$A$2:$B$44,2,FALSE)</f>
        <v>1000054</v>
      </c>
    </row>
    <row r="146" spans="1:10" x14ac:dyDescent="0.2">
      <c r="A146">
        <v>1000054</v>
      </c>
      <c r="B146">
        <v>2019</v>
      </c>
      <c r="C146" t="s">
        <v>59</v>
      </c>
      <c r="D146" t="s">
        <v>60</v>
      </c>
      <c r="E146" t="s">
        <v>61</v>
      </c>
      <c r="F146" s="3" t="s">
        <v>17</v>
      </c>
      <c r="G146" s="12">
        <v>390908</v>
      </c>
      <c r="H146" s="18">
        <v>34640</v>
      </c>
      <c r="I146" s="17">
        <v>425548</v>
      </c>
      <c r="J146">
        <f>VLOOKUP(F146,'LEAID Match'!$A$2:$B$44,2,FALSE)</f>
        <v>1000054</v>
      </c>
    </row>
    <row r="147" spans="1:10" x14ac:dyDescent="0.2">
      <c r="A147">
        <v>1000054</v>
      </c>
      <c r="B147">
        <v>2020</v>
      </c>
      <c r="C147" t="s">
        <v>59</v>
      </c>
      <c r="D147" t="s">
        <v>60</v>
      </c>
      <c r="E147" t="s">
        <v>61</v>
      </c>
      <c r="F147" s="5" t="s">
        <v>17</v>
      </c>
      <c r="G147" s="18">
        <v>438097</v>
      </c>
      <c r="H147" s="12">
        <v>9600</v>
      </c>
      <c r="I147" s="17">
        <v>447697</v>
      </c>
      <c r="J147">
        <f>VLOOKUP(F147,'LEAID Match'!$A$2:$B$44,2,FALSE)</f>
        <v>1000054</v>
      </c>
    </row>
    <row r="148" spans="1:10" x14ac:dyDescent="0.2">
      <c r="A148">
        <v>1000054</v>
      </c>
      <c r="B148">
        <v>2021</v>
      </c>
      <c r="C148" t="s">
        <v>59</v>
      </c>
      <c r="D148" t="s">
        <v>60</v>
      </c>
      <c r="E148" t="s">
        <v>61</v>
      </c>
      <c r="F148" s="3" t="s">
        <v>17</v>
      </c>
      <c r="G148" s="12">
        <v>475851</v>
      </c>
      <c r="H148" s="12">
        <v>0</v>
      </c>
      <c r="I148" s="17">
        <v>475851</v>
      </c>
      <c r="J148">
        <f>VLOOKUP(F148,'LEAID Match'!$A$2:$B$44,2,FALSE)</f>
        <v>1000054</v>
      </c>
    </row>
    <row r="149" spans="1:10" x14ac:dyDescent="0.2">
      <c r="A149">
        <v>1000054</v>
      </c>
      <c r="B149">
        <v>2022</v>
      </c>
      <c r="C149" t="s">
        <v>59</v>
      </c>
      <c r="D149" t="s">
        <v>60</v>
      </c>
      <c r="E149" t="s">
        <v>61</v>
      </c>
      <c r="F149" t="s">
        <v>17</v>
      </c>
      <c r="G149" s="17">
        <v>520855</v>
      </c>
      <c r="H149" s="17">
        <v>48351</v>
      </c>
      <c r="I149" s="17">
        <v>569206</v>
      </c>
      <c r="J149">
        <f>VLOOKUP(F149,'LEAID Match'!$A$2:$B$44,2,FALSE)</f>
        <v>1000054</v>
      </c>
    </row>
    <row r="150" spans="1:10" x14ac:dyDescent="0.2">
      <c r="A150">
        <v>1000054</v>
      </c>
      <c r="B150">
        <v>2023</v>
      </c>
      <c r="C150" t="s">
        <v>59</v>
      </c>
      <c r="D150" t="s">
        <v>60</v>
      </c>
      <c r="E150" t="s">
        <v>61</v>
      </c>
      <c r="F150" s="3" t="s">
        <v>17</v>
      </c>
      <c r="G150" s="18">
        <v>505275</v>
      </c>
      <c r="H150" s="12">
        <v>297652</v>
      </c>
      <c r="I150" s="17">
        <v>802927</v>
      </c>
      <c r="J150">
        <f>VLOOKUP(F150,'LEAID Match'!$A$2:$B$44,2,FALSE)</f>
        <v>1000054</v>
      </c>
    </row>
    <row r="151" spans="1:10" x14ac:dyDescent="0.2">
      <c r="A151">
        <v>1000059</v>
      </c>
      <c r="B151">
        <v>2016</v>
      </c>
      <c r="C151" t="s">
        <v>59</v>
      </c>
      <c r="D151" t="s">
        <v>60</v>
      </c>
      <c r="E151" t="s">
        <v>61</v>
      </c>
      <c r="F151" s="3" t="s">
        <v>41</v>
      </c>
      <c r="G151" s="12">
        <v>70434</v>
      </c>
      <c r="H151" s="18">
        <v>14949</v>
      </c>
      <c r="I151" s="17">
        <v>85383</v>
      </c>
      <c r="J151">
        <f>VLOOKUP(F151,'LEAID Match'!$A$2:$B$44,2,FALSE)</f>
        <v>1000059</v>
      </c>
    </row>
    <row r="152" spans="1:10" x14ac:dyDescent="0.2">
      <c r="A152">
        <v>1000059</v>
      </c>
      <c r="B152">
        <v>2017</v>
      </c>
      <c r="C152" t="s">
        <v>59</v>
      </c>
      <c r="D152" t="s">
        <v>60</v>
      </c>
      <c r="E152" t="s">
        <v>61</v>
      </c>
      <c r="F152" t="s">
        <v>41</v>
      </c>
      <c r="G152" s="17">
        <v>110881</v>
      </c>
      <c r="H152" s="17">
        <v>18003</v>
      </c>
      <c r="I152" s="17">
        <v>128884</v>
      </c>
      <c r="J152">
        <f>VLOOKUP(F152,'LEAID Match'!$A$2:$B$44,2,FALSE)</f>
        <v>1000059</v>
      </c>
    </row>
    <row r="153" spans="1:10" x14ac:dyDescent="0.2">
      <c r="A153">
        <v>1000059</v>
      </c>
      <c r="B153">
        <v>2018</v>
      </c>
      <c r="C153" t="s">
        <v>59</v>
      </c>
      <c r="D153" t="s">
        <v>60</v>
      </c>
      <c r="E153" t="s">
        <v>61</v>
      </c>
      <c r="F153" s="3" t="s">
        <v>41</v>
      </c>
      <c r="G153" s="12">
        <v>187646</v>
      </c>
      <c r="H153" s="18">
        <v>9614</v>
      </c>
      <c r="I153" s="17">
        <v>197260</v>
      </c>
      <c r="J153">
        <f>VLOOKUP(F153,'LEAID Match'!$A$2:$B$44,2,FALSE)</f>
        <v>1000059</v>
      </c>
    </row>
    <row r="154" spans="1:10" x14ac:dyDescent="0.2">
      <c r="A154">
        <v>1000059</v>
      </c>
      <c r="B154">
        <v>2019</v>
      </c>
      <c r="C154" t="s">
        <v>59</v>
      </c>
      <c r="D154" t="s">
        <v>60</v>
      </c>
      <c r="E154" t="s">
        <v>61</v>
      </c>
      <c r="F154" s="3" t="s">
        <v>41</v>
      </c>
      <c r="G154" s="12">
        <v>265550</v>
      </c>
      <c r="H154" s="18">
        <v>23532</v>
      </c>
      <c r="I154" s="17">
        <v>289082</v>
      </c>
      <c r="J154">
        <f>VLOOKUP(F154,'LEAID Match'!$A$2:$B$44,2,FALSE)</f>
        <v>1000059</v>
      </c>
    </row>
    <row r="155" spans="1:10" x14ac:dyDescent="0.2">
      <c r="A155">
        <v>1000059</v>
      </c>
      <c r="B155">
        <v>2020</v>
      </c>
      <c r="C155" t="s">
        <v>59</v>
      </c>
      <c r="D155" t="s">
        <v>60</v>
      </c>
      <c r="E155" t="s">
        <v>61</v>
      </c>
      <c r="F155" s="5" t="s">
        <v>41</v>
      </c>
      <c r="G155" s="18">
        <v>312547</v>
      </c>
      <c r="H155" s="12">
        <v>6849</v>
      </c>
      <c r="I155" s="17">
        <v>319396</v>
      </c>
      <c r="J155">
        <f>VLOOKUP(F155,'LEAID Match'!$A$2:$B$44,2,FALSE)</f>
        <v>1000059</v>
      </c>
    </row>
    <row r="156" spans="1:10" x14ac:dyDescent="0.2">
      <c r="A156">
        <v>1000059</v>
      </c>
      <c r="B156">
        <v>2021</v>
      </c>
      <c r="C156" t="s">
        <v>59</v>
      </c>
      <c r="D156" t="s">
        <v>60</v>
      </c>
      <c r="E156" t="s">
        <v>61</v>
      </c>
      <c r="F156" s="3" t="s">
        <v>41</v>
      </c>
      <c r="G156" s="12">
        <v>341119</v>
      </c>
      <c r="H156" s="12">
        <v>0</v>
      </c>
      <c r="I156" s="17">
        <v>341119</v>
      </c>
      <c r="J156">
        <f>VLOOKUP(F156,'LEAID Match'!$A$2:$B$44,2,FALSE)</f>
        <v>1000059</v>
      </c>
    </row>
    <row r="157" spans="1:10" x14ac:dyDescent="0.2">
      <c r="A157">
        <v>1000059</v>
      </c>
      <c r="B157">
        <v>2022</v>
      </c>
      <c r="C157" t="s">
        <v>59</v>
      </c>
      <c r="D157" t="s">
        <v>60</v>
      </c>
      <c r="E157" t="s">
        <v>61</v>
      </c>
      <c r="F157" t="s">
        <v>41</v>
      </c>
      <c r="G157" s="17">
        <v>401687</v>
      </c>
      <c r="H157" s="17">
        <v>37288</v>
      </c>
      <c r="I157" s="17">
        <v>438975</v>
      </c>
      <c r="J157">
        <f>VLOOKUP(F157,'LEAID Match'!$A$2:$B$44,2,FALSE)</f>
        <v>1000059</v>
      </c>
    </row>
    <row r="158" spans="1:10" x14ac:dyDescent="0.2">
      <c r="A158">
        <v>1000059</v>
      </c>
      <c r="B158">
        <v>2023</v>
      </c>
      <c r="C158" t="s">
        <v>59</v>
      </c>
      <c r="D158" t="s">
        <v>60</v>
      </c>
      <c r="E158" t="s">
        <v>61</v>
      </c>
      <c r="F158" s="3" t="s">
        <v>41</v>
      </c>
      <c r="G158" s="18">
        <v>356836</v>
      </c>
      <c r="H158" s="12">
        <v>210135</v>
      </c>
      <c r="I158" s="17">
        <v>566971</v>
      </c>
      <c r="J158">
        <f>VLOOKUP(F158,'LEAID Match'!$A$2:$B$44,2,FALSE)</f>
        <v>1000059</v>
      </c>
    </row>
    <row r="159" spans="1:10" x14ac:dyDescent="0.2">
      <c r="A159">
        <v>1000052</v>
      </c>
      <c r="B159">
        <v>2015</v>
      </c>
      <c r="C159" t="s">
        <v>59</v>
      </c>
      <c r="D159" t="s">
        <v>60</v>
      </c>
      <c r="E159" t="s">
        <v>61</v>
      </c>
      <c r="F159" t="s">
        <v>18</v>
      </c>
      <c r="G159" s="17">
        <v>168569</v>
      </c>
      <c r="H159" s="17">
        <v>30873</v>
      </c>
      <c r="I159" s="17">
        <v>199442</v>
      </c>
      <c r="J159">
        <f>VLOOKUP(F159,'LEAID Match'!$A$2:$B$44,2,FALSE)</f>
        <v>1000052</v>
      </c>
    </row>
    <row r="160" spans="1:10" x14ac:dyDescent="0.2">
      <c r="A160">
        <v>1000052</v>
      </c>
      <c r="B160">
        <v>2016</v>
      </c>
      <c r="C160" t="s">
        <v>59</v>
      </c>
      <c r="D160" t="s">
        <v>60</v>
      </c>
      <c r="E160" t="s">
        <v>61</v>
      </c>
      <c r="F160" s="3" t="s">
        <v>18</v>
      </c>
      <c r="G160" s="12">
        <v>167387</v>
      </c>
      <c r="H160" s="18">
        <v>35527</v>
      </c>
      <c r="I160" s="17">
        <v>202914</v>
      </c>
      <c r="J160">
        <f>VLOOKUP(F160,'LEAID Match'!$A$2:$B$44,2,FALSE)</f>
        <v>1000052</v>
      </c>
    </row>
    <row r="161" spans="1:10" x14ac:dyDescent="0.2">
      <c r="A161">
        <v>1000052</v>
      </c>
      <c r="B161">
        <v>2017</v>
      </c>
      <c r="C161" t="s">
        <v>59</v>
      </c>
      <c r="D161" t="s">
        <v>60</v>
      </c>
      <c r="E161" t="s">
        <v>61</v>
      </c>
      <c r="F161" t="s">
        <v>18</v>
      </c>
      <c r="G161" s="17">
        <v>176930</v>
      </c>
      <c r="H161" s="17">
        <v>28728</v>
      </c>
      <c r="I161" s="17">
        <v>205658</v>
      </c>
      <c r="J161">
        <f>VLOOKUP(F161,'LEAID Match'!$A$2:$B$44,2,FALSE)</f>
        <v>1000052</v>
      </c>
    </row>
    <row r="162" spans="1:10" x14ac:dyDescent="0.2">
      <c r="A162">
        <v>1000052</v>
      </c>
      <c r="B162">
        <v>2018</v>
      </c>
      <c r="C162" t="s">
        <v>59</v>
      </c>
      <c r="D162" t="s">
        <v>60</v>
      </c>
      <c r="E162" t="s">
        <v>61</v>
      </c>
      <c r="F162" s="3" t="s">
        <v>18</v>
      </c>
      <c r="G162" s="12">
        <v>187642</v>
      </c>
      <c r="H162" s="18">
        <v>9614</v>
      </c>
      <c r="I162" s="17">
        <v>197256</v>
      </c>
      <c r="J162">
        <f>VLOOKUP(F162,'LEAID Match'!$A$2:$B$44,2,FALSE)</f>
        <v>1000052</v>
      </c>
    </row>
    <row r="163" spans="1:10" x14ac:dyDescent="0.2">
      <c r="A163">
        <v>1000052</v>
      </c>
      <c r="B163">
        <v>2019</v>
      </c>
      <c r="C163" t="s">
        <v>59</v>
      </c>
      <c r="D163" t="s">
        <v>60</v>
      </c>
      <c r="E163" t="s">
        <v>61</v>
      </c>
      <c r="F163" s="3" t="s">
        <v>18</v>
      </c>
      <c r="G163" s="12">
        <v>216305</v>
      </c>
      <c r="H163" s="18">
        <v>19168</v>
      </c>
      <c r="I163" s="17">
        <v>235473</v>
      </c>
      <c r="J163">
        <f>VLOOKUP(F163,'LEAID Match'!$A$2:$B$44,2,FALSE)</f>
        <v>1000052</v>
      </c>
    </row>
    <row r="164" spans="1:10" x14ac:dyDescent="0.2">
      <c r="A164">
        <v>1000052</v>
      </c>
      <c r="B164">
        <v>2020</v>
      </c>
      <c r="C164" t="s">
        <v>59</v>
      </c>
      <c r="D164" t="s">
        <v>60</v>
      </c>
      <c r="E164" t="s">
        <v>61</v>
      </c>
      <c r="F164" s="5" t="s">
        <v>18</v>
      </c>
      <c r="G164" s="18">
        <v>240588</v>
      </c>
      <c r="H164" s="12">
        <v>5272</v>
      </c>
      <c r="I164" s="17">
        <v>245860</v>
      </c>
      <c r="J164">
        <f>VLOOKUP(F164,'LEAID Match'!$A$2:$B$44,2,FALSE)</f>
        <v>1000052</v>
      </c>
    </row>
    <row r="165" spans="1:10" x14ac:dyDescent="0.2">
      <c r="A165">
        <v>1000052</v>
      </c>
      <c r="B165">
        <v>2021</v>
      </c>
      <c r="C165" t="s">
        <v>59</v>
      </c>
      <c r="D165" t="s">
        <v>60</v>
      </c>
      <c r="E165" t="s">
        <v>61</v>
      </c>
      <c r="F165" s="3" t="s">
        <v>18</v>
      </c>
      <c r="G165" s="12">
        <v>213950</v>
      </c>
      <c r="H165" s="12">
        <v>0</v>
      </c>
      <c r="I165" s="17">
        <v>213950</v>
      </c>
      <c r="J165">
        <f>VLOOKUP(F165,'LEAID Match'!$A$2:$B$44,2,FALSE)</f>
        <v>1000052</v>
      </c>
    </row>
    <row r="166" spans="1:10" x14ac:dyDescent="0.2">
      <c r="A166">
        <v>1000052</v>
      </c>
      <c r="B166">
        <v>2022</v>
      </c>
      <c r="C166" t="s">
        <v>59</v>
      </c>
      <c r="D166" t="s">
        <v>60</v>
      </c>
      <c r="E166" t="s">
        <v>61</v>
      </c>
      <c r="F166" t="s">
        <v>18</v>
      </c>
      <c r="G166" s="17">
        <v>246126</v>
      </c>
      <c r="H166" s="17">
        <v>22848</v>
      </c>
      <c r="I166" s="17">
        <v>268974</v>
      </c>
      <c r="J166">
        <f>VLOOKUP(F166,'LEAID Match'!$A$2:$B$44,2,FALSE)</f>
        <v>1000052</v>
      </c>
    </row>
    <row r="167" spans="1:10" x14ac:dyDescent="0.2">
      <c r="A167">
        <v>1000052</v>
      </c>
      <c r="B167">
        <v>2023</v>
      </c>
      <c r="C167" t="s">
        <v>59</v>
      </c>
      <c r="D167" t="s">
        <v>60</v>
      </c>
      <c r="E167" t="s">
        <v>61</v>
      </c>
      <c r="F167" s="3" t="s">
        <v>18</v>
      </c>
      <c r="G167" s="18">
        <v>221770</v>
      </c>
      <c r="H167" s="12">
        <v>130561</v>
      </c>
      <c r="I167" s="17">
        <v>352331</v>
      </c>
      <c r="J167">
        <f>VLOOKUP(F167,'LEAID Match'!$A$2:$B$44,2,FALSE)</f>
        <v>1000052</v>
      </c>
    </row>
    <row r="168" spans="1:10" x14ac:dyDescent="0.2">
      <c r="A168">
        <v>1000062</v>
      </c>
      <c r="B168">
        <v>2016</v>
      </c>
      <c r="C168" t="s">
        <v>59</v>
      </c>
      <c r="D168" t="s">
        <v>60</v>
      </c>
      <c r="E168" t="s">
        <v>61</v>
      </c>
      <c r="F168" s="3" t="s">
        <v>42</v>
      </c>
      <c r="G168" s="12">
        <v>74068</v>
      </c>
      <c r="H168" s="18">
        <v>15720</v>
      </c>
      <c r="I168" s="17">
        <v>89788</v>
      </c>
      <c r="J168">
        <f>VLOOKUP(F168,'LEAID Match'!$A$2:$B$44,2,FALSE)</f>
        <v>1000062</v>
      </c>
    </row>
    <row r="169" spans="1:10" x14ac:dyDescent="0.2">
      <c r="A169">
        <v>1000062</v>
      </c>
      <c r="B169">
        <v>2017</v>
      </c>
      <c r="C169" t="s">
        <v>59</v>
      </c>
      <c r="D169" t="s">
        <v>60</v>
      </c>
      <c r="E169" t="s">
        <v>61</v>
      </c>
      <c r="F169" t="s">
        <v>42</v>
      </c>
      <c r="G169" s="17">
        <v>114031</v>
      </c>
      <c r="H169" s="17">
        <v>18515</v>
      </c>
      <c r="I169" s="17">
        <v>132546</v>
      </c>
      <c r="J169">
        <f>VLOOKUP(F169,'LEAID Match'!$A$2:$B$44,2,FALSE)</f>
        <v>1000062</v>
      </c>
    </row>
    <row r="170" spans="1:10" x14ac:dyDescent="0.2">
      <c r="A170">
        <v>1000062</v>
      </c>
      <c r="B170">
        <v>2018</v>
      </c>
      <c r="C170" t="s">
        <v>59</v>
      </c>
      <c r="D170" t="s">
        <v>60</v>
      </c>
      <c r="E170" t="s">
        <v>61</v>
      </c>
      <c r="F170" s="3" t="s">
        <v>42</v>
      </c>
      <c r="G170" s="12">
        <v>178761</v>
      </c>
      <c r="H170" s="18">
        <v>9159</v>
      </c>
      <c r="I170" s="17">
        <v>187920</v>
      </c>
      <c r="J170">
        <f>VLOOKUP(F170,'LEAID Match'!$A$2:$B$44,2,FALSE)</f>
        <v>1000062</v>
      </c>
    </row>
    <row r="171" spans="1:10" x14ac:dyDescent="0.2">
      <c r="A171">
        <v>1000062</v>
      </c>
      <c r="B171">
        <v>2019</v>
      </c>
      <c r="C171" t="s">
        <v>59</v>
      </c>
      <c r="D171" t="s">
        <v>60</v>
      </c>
      <c r="E171" t="s">
        <v>61</v>
      </c>
      <c r="F171" s="3" t="s">
        <v>42</v>
      </c>
      <c r="G171" s="12">
        <v>278474</v>
      </c>
      <c r="H171" s="18">
        <v>24677</v>
      </c>
      <c r="I171" s="17">
        <v>303151</v>
      </c>
      <c r="J171">
        <f>VLOOKUP(F171,'LEAID Match'!$A$2:$B$44,2,FALSE)</f>
        <v>1000062</v>
      </c>
    </row>
    <row r="172" spans="1:10" x14ac:dyDescent="0.2">
      <c r="A172">
        <v>1000062</v>
      </c>
      <c r="B172">
        <v>2020</v>
      </c>
      <c r="C172" t="s">
        <v>59</v>
      </c>
      <c r="D172" t="s">
        <v>60</v>
      </c>
      <c r="E172" t="s">
        <v>61</v>
      </c>
      <c r="F172" s="5" t="s">
        <v>42</v>
      </c>
      <c r="G172" s="18">
        <v>319695</v>
      </c>
      <c r="H172" s="12">
        <v>7006</v>
      </c>
      <c r="I172" s="17">
        <v>326701</v>
      </c>
      <c r="J172">
        <f>VLOOKUP(F172,'LEAID Match'!$A$2:$B$44,2,FALSE)</f>
        <v>1000062</v>
      </c>
    </row>
    <row r="173" spans="1:10" x14ac:dyDescent="0.2">
      <c r="A173">
        <v>1000062</v>
      </c>
      <c r="B173">
        <v>2021</v>
      </c>
      <c r="C173" t="s">
        <v>59</v>
      </c>
      <c r="D173" t="s">
        <v>60</v>
      </c>
      <c r="E173" t="s">
        <v>61</v>
      </c>
      <c r="F173" s="3" t="s">
        <v>42</v>
      </c>
      <c r="G173" s="12">
        <v>333830</v>
      </c>
      <c r="H173" s="12">
        <v>0</v>
      </c>
      <c r="I173" s="17">
        <v>333830</v>
      </c>
      <c r="J173">
        <f>VLOOKUP(F173,'LEAID Match'!$A$2:$B$44,2,FALSE)</f>
        <v>1000062</v>
      </c>
    </row>
    <row r="174" spans="1:10" x14ac:dyDescent="0.2">
      <c r="A174">
        <v>1000062</v>
      </c>
      <c r="B174">
        <v>2022</v>
      </c>
      <c r="C174" t="s">
        <v>59</v>
      </c>
      <c r="D174" t="s">
        <v>60</v>
      </c>
      <c r="E174" t="s">
        <v>61</v>
      </c>
      <c r="F174" t="s">
        <v>42</v>
      </c>
      <c r="G174" s="17">
        <v>338355</v>
      </c>
      <c r="H174" s="17">
        <v>31409</v>
      </c>
      <c r="I174" s="17">
        <v>369764</v>
      </c>
      <c r="J174">
        <f>VLOOKUP(F174,'LEAID Match'!$A$2:$B$44,2,FALSE)</f>
        <v>1000062</v>
      </c>
    </row>
    <row r="175" spans="1:10" x14ac:dyDescent="0.2">
      <c r="A175">
        <v>1000062</v>
      </c>
      <c r="B175">
        <v>2023</v>
      </c>
      <c r="C175" t="s">
        <v>59</v>
      </c>
      <c r="D175" t="s">
        <v>60</v>
      </c>
      <c r="E175" t="s">
        <v>61</v>
      </c>
      <c r="F175" s="3" t="s">
        <v>42</v>
      </c>
      <c r="G175" s="18">
        <v>244150</v>
      </c>
      <c r="H175" s="12">
        <v>143743</v>
      </c>
      <c r="I175" s="17">
        <v>387893</v>
      </c>
      <c r="J175">
        <f>VLOOKUP(F175,'LEAID Match'!$A$2:$B$44,2,FALSE)</f>
        <v>1000062</v>
      </c>
    </row>
    <row r="176" spans="1:10" x14ac:dyDescent="0.2">
      <c r="A176">
        <v>1000014</v>
      </c>
      <c r="B176">
        <v>2015</v>
      </c>
      <c r="C176" t="s">
        <v>59</v>
      </c>
      <c r="D176" t="s">
        <v>60</v>
      </c>
      <c r="E176" t="s">
        <v>61</v>
      </c>
      <c r="F176" t="s">
        <v>19</v>
      </c>
      <c r="G176" s="17">
        <v>191823</v>
      </c>
      <c r="H176" s="17">
        <v>35132</v>
      </c>
      <c r="I176" s="17">
        <v>226955</v>
      </c>
      <c r="J176">
        <f>VLOOKUP(F176,'LEAID Match'!$A$2:$B$44,2,FALSE)</f>
        <v>1000014</v>
      </c>
    </row>
    <row r="177" spans="1:10" x14ac:dyDescent="0.2">
      <c r="A177">
        <v>1000014</v>
      </c>
      <c r="B177">
        <v>2016</v>
      </c>
      <c r="C177" t="s">
        <v>59</v>
      </c>
      <c r="D177" t="s">
        <v>60</v>
      </c>
      <c r="E177" t="s">
        <v>61</v>
      </c>
      <c r="F177" s="3" t="s">
        <v>19</v>
      </c>
      <c r="G177" s="12">
        <v>284851</v>
      </c>
      <c r="H177" s="18">
        <v>60458</v>
      </c>
      <c r="I177" s="17">
        <v>345309</v>
      </c>
      <c r="J177">
        <f>VLOOKUP(F177,'LEAID Match'!$A$2:$B$44,2,FALSE)</f>
        <v>1000014</v>
      </c>
    </row>
    <row r="178" spans="1:10" x14ac:dyDescent="0.2">
      <c r="A178">
        <v>1000014</v>
      </c>
      <c r="B178">
        <v>2017</v>
      </c>
      <c r="C178" t="s">
        <v>59</v>
      </c>
      <c r="D178" t="s">
        <v>60</v>
      </c>
      <c r="E178" t="s">
        <v>61</v>
      </c>
      <c r="F178" t="s">
        <v>19</v>
      </c>
      <c r="G178" s="17">
        <v>328389</v>
      </c>
      <c r="H178" s="17">
        <v>53320</v>
      </c>
      <c r="I178" s="17">
        <v>381709</v>
      </c>
      <c r="J178">
        <f>VLOOKUP(F178,'LEAID Match'!$A$2:$B$44,2,FALSE)</f>
        <v>1000014</v>
      </c>
    </row>
    <row r="179" spans="1:10" x14ac:dyDescent="0.2">
      <c r="A179">
        <v>1000014</v>
      </c>
      <c r="B179">
        <v>2018</v>
      </c>
      <c r="C179" t="s">
        <v>59</v>
      </c>
      <c r="D179" t="s">
        <v>60</v>
      </c>
      <c r="E179" t="s">
        <v>61</v>
      </c>
      <c r="F179" s="3" t="s">
        <v>19</v>
      </c>
      <c r="G179" s="12">
        <v>394678</v>
      </c>
      <c r="H179" s="18">
        <v>20222</v>
      </c>
      <c r="I179" s="17">
        <v>414900</v>
      </c>
      <c r="J179">
        <f>VLOOKUP(F179,'LEAID Match'!$A$2:$B$44,2,FALSE)</f>
        <v>1000014</v>
      </c>
    </row>
    <row r="180" spans="1:10" x14ac:dyDescent="0.2">
      <c r="A180">
        <v>1000014</v>
      </c>
      <c r="B180">
        <v>2019</v>
      </c>
      <c r="C180" t="s">
        <v>59</v>
      </c>
      <c r="D180" t="s">
        <v>60</v>
      </c>
      <c r="E180" t="s">
        <v>61</v>
      </c>
      <c r="F180" s="3" t="s">
        <v>19</v>
      </c>
      <c r="G180" s="12">
        <v>509520</v>
      </c>
      <c r="H180" s="18">
        <v>45151</v>
      </c>
      <c r="I180" s="17">
        <v>554671</v>
      </c>
      <c r="J180">
        <f>VLOOKUP(F180,'LEAID Match'!$A$2:$B$44,2,FALSE)</f>
        <v>1000014</v>
      </c>
    </row>
    <row r="181" spans="1:10" x14ac:dyDescent="0.2">
      <c r="A181">
        <v>1000014</v>
      </c>
      <c r="B181">
        <v>2020</v>
      </c>
      <c r="C181" t="s">
        <v>59</v>
      </c>
      <c r="D181" t="s">
        <v>60</v>
      </c>
      <c r="E181" t="s">
        <v>61</v>
      </c>
      <c r="F181" s="5" t="s">
        <v>19</v>
      </c>
      <c r="G181" s="18">
        <v>548606</v>
      </c>
      <c r="H181" s="19">
        <v>12022</v>
      </c>
      <c r="I181" s="17">
        <v>560628</v>
      </c>
      <c r="J181">
        <f>VLOOKUP(F181,'LEAID Match'!$A$2:$B$44,2,FALSE)</f>
        <v>1000014</v>
      </c>
    </row>
    <row r="182" spans="1:10" x14ac:dyDescent="0.2">
      <c r="A182">
        <v>1000014</v>
      </c>
      <c r="B182">
        <v>2021</v>
      </c>
      <c r="C182" t="s">
        <v>59</v>
      </c>
      <c r="D182" t="s">
        <v>60</v>
      </c>
      <c r="E182" t="s">
        <v>61</v>
      </c>
      <c r="F182" s="3" t="s">
        <v>19</v>
      </c>
      <c r="G182" s="12">
        <v>582981</v>
      </c>
      <c r="H182" s="12">
        <v>0</v>
      </c>
      <c r="I182" s="17">
        <v>582981</v>
      </c>
      <c r="J182">
        <f>VLOOKUP(F182,'LEAID Match'!$A$2:$B$44,2,FALSE)</f>
        <v>1000014</v>
      </c>
    </row>
    <row r="183" spans="1:10" x14ac:dyDescent="0.2">
      <c r="A183">
        <v>1000014</v>
      </c>
      <c r="B183">
        <v>2022</v>
      </c>
      <c r="C183" t="s">
        <v>59</v>
      </c>
      <c r="D183" t="s">
        <v>60</v>
      </c>
      <c r="E183" t="s">
        <v>61</v>
      </c>
      <c r="F183" s="3" t="s">
        <v>19</v>
      </c>
      <c r="G183" s="17">
        <v>691579</v>
      </c>
      <c r="H183" s="17">
        <v>64199</v>
      </c>
      <c r="I183" s="17">
        <v>755778</v>
      </c>
      <c r="J183">
        <f>VLOOKUP(F183,'LEAID Match'!$A$2:$B$44,2,FALSE)</f>
        <v>1000014</v>
      </c>
    </row>
    <row r="184" spans="1:10" x14ac:dyDescent="0.2">
      <c r="A184">
        <v>1000014</v>
      </c>
      <c r="B184">
        <v>2023</v>
      </c>
      <c r="C184" t="s">
        <v>59</v>
      </c>
      <c r="D184" t="s">
        <v>60</v>
      </c>
      <c r="E184" t="s">
        <v>61</v>
      </c>
      <c r="F184" s="3" t="s">
        <v>19</v>
      </c>
      <c r="G184" s="18">
        <v>682889</v>
      </c>
      <c r="H184" s="12">
        <v>402164</v>
      </c>
      <c r="I184" s="17">
        <v>1085053</v>
      </c>
      <c r="J184">
        <f>VLOOKUP(F184,'LEAID Match'!$A$2:$B$44,2,FALSE)</f>
        <v>1000014</v>
      </c>
    </row>
    <row r="185" spans="1:10" x14ac:dyDescent="0.2">
      <c r="A185">
        <v>1000050</v>
      </c>
      <c r="B185">
        <v>2015</v>
      </c>
      <c r="C185" t="s">
        <v>59</v>
      </c>
      <c r="D185" t="s">
        <v>60</v>
      </c>
      <c r="E185" t="s">
        <v>61</v>
      </c>
      <c r="F185" t="s">
        <v>20</v>
      </c>
      <c r="G185" s="17">
        <v>251229</v>
      </c>
      <c r="H185" s="17">
        <v>46012</v>
      </c>
      <c r="I185" s="17">
        <v>297241</v>
      </c>
      <c r="J185">
        <f>VLOOKUP(F185,'LEAID Match'!$A$2:$B$44,2,FALSE)</f>
        <v>1000050</v>
      </c>
    </row>
    <row r="186" spans="1:10" x14ac:dyDescent="0.2">
      <c r="A186">
        <v>1000050</v>
      </c>
      <c r="B186">
        <v>2016</v>
      </c>
      <c r="C186" t="s">
        <v>59</v>
      </c>
      <c r="D186" t="s">
        <v>60</v>
      </c>
      <c r="E186" t="s">
        <v>61</v>
      </c>
      <c r="F186" s="3" t="s">
        <v>20</v>
      </c>
      <c r="G186" s="12">
        <v>320840</v>
      </c>
      <c r="H186" s="18">
        <v>68096</v>
      </c>
      <c r="I186" s="17">
        <v>388936</v>
      </c>
      <c r="J186">
        <f>VLOOKUP(F186,'LEAID Match'!$A$2:$B$44,2,FALSE)</f>
        <v>1000050</v>
      </c>
    </row>
    <row r="187" spans="1:10" x14ac:dyDescent="0.2">
      <c r="A187">
        <v>1000050</v>
      </c>
      <c r="B187">
        <v>2017</v>
      </c>
      <c r="C187" t="s">
        <v>59</v>
      </c>
      <c r="D187" t="s">
        <v>60</v>
      </c>
      <c r="E187" t="s">
        <v>61</v>
      </c>
      <c r="F187" t="s">
        <v>20</v>
      </c>
      <c r="G187" s="17">
        <v>356501</v>
      </c>
      <c r="H187" s="17">
        <v>57884</v>
      </c>
      <c r="I187" s="17">
        <v>414385</v>
      </c>
      <c r="J187">
        <f>VLOOKUP(F187,'LEAID Match'!$A$2:$B$44,2,FALSE)</f>
        <v>1000050</v>
      </c>
    </row>
    <row r="188" spans="1:10" x14ac:dyDescent="0.2">
      <c r="A188">
        <v>1000050</v>
      </c>
      <c r="B188">
        <v>2018</v>
      </c>
      <c r="C188" t="s">
        <v>59</v>
      </c>
      <c r="D188" t="s">
        <v>60</v>
      </c>
      <c r="E188" t="s">
        <v>61</v>
      </c>
      <c r="F188" s="3" t="s">
        <v>20</v>
      </c>
      <c r="G188" s="12">
        <v>495387</v>
      </c>
      <c r="H188" s="18">
        <v>25382</v>
      </c>
      <c r="I188" s="17">
        <v>520769</v>
      </c>
      <c r="J188">
        <f>VLOOKUP(F188,'LEAID Match'!$A$2:$B$44,2,FALSE)</f>
        <v>1000050</v>
      </c>
    </row>
    <row r="189" spans="1:10" x14ac:dyDescent="0.2">
      <c r="A189">
        <v>1000050</v>
      </c>
      <c r="B189">
        <v>2019</v>
      </c>
      <c r="C189" t="s">
        <v>59</v>
      </c>
      <c r="D189" t="s">
        <v>60</v>
      </c>
      <c r="E189" t="s">
        <v>61</v>
      </c>
      <c r="F189" s="3" t="s">
        <v>20</v>
      </c>
      <c r="G189" s="12">
        <v>685466</v>
      </c>
      <c r="H189" s="18">
        <v>60742</v>
      </c>
      <c r="I189" s="17">
        <v>746208</v>
      </c>
      <c r="J189">
        <f>VLOOKUP(F189,'LEAID Match'!$A$2:$B$44,2,FALSE)</f>
        <v>1000050</v>
      </c>
    </row>
    <row r="190" spans="1:10" x14ac:dyDescent="0.2">
      <c r="A190">
        <v>1000050</v>
      </c>
      <c r="B190">
        <v>2020</v>
      </c>
      <c r="C190" t="s">
        <v>59</v>
      </c>
      <c r="D190" t="s">
        <v>60</v>
      </c>
      <c r="E190" t="s">
        <v>61</v>
      </c>
      <c r="F190" s="5" t="s">
        <v>20</v>
      </c>
      <c r="G190" s="18">
        <v>766804</v>
      </c>
      <c r="H190" s="12">
        <v>16803</v>
      </c>
      <c r="I190" s="17">
        <v>783607</v>
      </c>
      <c r="J190">
        <f>VLOOKUP(F190,'LEAID Match'!$A$2:$B$44,2,FALSE)</f>
        <v>1000050</v>
      </c>
    </row>
    <row r="191" spans="1:10" x14ac:dyDescent="0.2">
      <c r="A191">
        <v>1000050</v>
      </c>
      <c r="B191">
        <v>2021</v>
      </c>
      <c r="C191" t="s">
        <v>59</v>
      </c>
      <c r="D191" t="s">
        <v>60</v>
      </c>
      <c r="E191" t="s">
        <v>61</v>
      </c>
      <c r="F191" s="3" t="s">
        <v>20</v>
      </c>
      <c r="G191" s="12">
        <v>854373</v>
      </c>
      <c r="H191" s="12">
        <v>0</v>
      </c>
      <c r="I191" s="17">
        <v>854373</v>
      </c>
      <c r="J191">
        <f>VLOOKUP(F191,'LEAID Match'!$A$2:$B$44,2,FALSE)</f>
        <v>1000050</v>
      </c>
    </row>
    <row r="192" spans="1:10" x14ac:dyDescent="0.2">
      <c r="A192">
        <v>1000050</v>
      </c>
      <c r="B192">
        <v>2022</v>
      </c>
      <c r="C192" t="s">
        <v>59</v>
      </c>
      <c r="D192" t="s">
        <v>60</v>
      </c>
      <c r="E192" t="s">
        <v>61</v>
      </c>
      <c r="F192" t="s">
        <v>20</v>
      </c>
      <c r="G192" s="17">
        <v>1088098</v>
      </c>
      <c r="H192" s="17">
        <v>101006</v>
      </c>
      <c r="I192" s="17">
        <v>1189104</v>
      </c>
      <c r="J192">
        <f>VLOOKUP(F192,'LEAID Match'!$A$2:$B$44,2,FALSE)</f>
        <v>1000050</v>
      </c>
    </row>
    <row r="193" spans="1:10" x14ac:dyDescent="0.2">
      <c r="A193">
        <v>1000050</v>
      </c>
      <c r="B193">
        <v>2023</v>
      </c>
      <c r="C193" t="s">
        <v>59</v>
      </c>
      <c r="D193" t="s">
        <v>60</v>
      </c>
      <c r="E193" t="s">
        <v>61</v>
      </c>
      <c r="F193" s="3" t="s">
        <v>20</v>
      </c>
      <c r="G193" s="18">
        <v>1169807</v>
      </c>
      <c r="H193" s="12">
        <v>689015</v>
      </c>
      <c r="I193" s="17">
        <v>1858822</v>
      </c>
      <c r="J193">
        <f>VLOOKUP(F193,'LEAID Match'!$A$2:$B$44,2,FALSE)</f>
        <v>1000050</v>
      </c>
    </row>
    <row r="194" spans="1:10" x14ac:dyDescent="0.2">
      <c r="A194">
        <v>0</v>
      </c>
      <c r="B194">
        <v>2016</v>
      </c>
      <c r="C194" t="s">
        <v>59</v>
      </c>
      <c r="D194" t="s">
        <v>60</v>
      </c>
      <c r="E194" t="s">
        <v>61</v>
      </c>
      <c r="F194" s="3" t="s">
        <v>38</v>
      </c>
      <c r="G194" s="12">
        <v>242448</v>
      </c>
      <c r="H194" s="19">
        <v>51458</v>
      </c>
      <c r="I194" s="17">
        <v>293906</v>
      </c>
      <c r="J194">
        <f>VLOOKUP(F194,'LEAID Match'!$A$2:$B$44,2,FALSE)</f>
        <v>0</v>
      </c>
    </row>
    <row r="195" spans="1:10" x14ac:dyDescent="0.2">
      <c r="A195">
        <v>0</v>
      </c>
      <c r="B195">
        <v>2017</v>
      </c>
      <c r="C195" t="s">
        <v>59</v>
      </c>
      <c r="D195" t="s">
        <v>60</v>
      </c>
      <c r="E195" t="s">
        <v>61</v>
      </c>
      <c r="F195" t="s">
        <v>38</v>
      </c>
      <c r="G195" s="17">
        <v>236800</v>
      </c>
      <c r="H195" s="17">
        <v>38449</v>
      </c>
      <c r="I195" s="17">
        <v>275249</v>
      </c>
      <c r="J195">
        <f>VLOOKUP(F195,'LEAID Match'!$A$2:$B$44,2,FALSE)</f>
        <v>0</v>
      </c>
    </row>
    <row r="196" spans="1:10" x14ac:dyDescent="0.2">
      <c r="A196">
        <v>0</v>
      </c>
      <c r="B196">
        <v>2018</v>
      </c>
      <c r="C196" t="s">
        <v>59</v>
      </c>
      <c r="D196" t="s">
        <v>60</v>
      </c>
      <c r="E196" t="s">
        <v>61</v>
      </c>
      <c r="F196" s="3" t="s">
        <v>38</v>
      </c>
      <c r="G196" s="12">
        <v>253999</v>
      </c>
      <c r="H196" s="18">
        <v>13014</v>
      </c>
      <c r="I196" s="17">
        <v>267013</v>
      </c>
      <c r="J196">
        <f>VLOOKUP(F196,'LEAID Match'!$A$2:$B$44,2,FALSE)</f>
        <v>0</v>
      </c>
    </row>
    <row r="197" spans="1:10" x14ac:dyDescent="0.2">
      <c r="A197">
        <v>0</v>
      </c>
      <c r="B197">
        <v>2019</v>
      </c>
      <c r="C197" t="s">
        <v>59</v>
      </c>
      <c r="D197" t="s">
        <v>60</v>
      </c>
      <c r="E197" t="s">
        <v>61</v>
      </c>
      <c r="F197" s="3" t="s">
        <v>38</v>
      </c>
      <c r="G197" s="12">
        <v>304759</v>
      </c>
      <c r="H197" s="18">
        <v>27007</v>
      </c>
      <c r="I197" s="17">
        <v>331766</v>
      </c>
      <c r="J197">
        <f>VLOOKUP(F197,'LEAID Match'!$A$2:$B$44,2,FALSE)</f>
        <v>0</v>
      </c>
    </row>
    <row r="198" spans="1:10" x14ac:dyDescent="0.2">
      <c r="A198">
        <v>0</v>
      </c>
      <c r="B198">
        <v>2020</v>
      </c>
      <c r="C198" t="s">
        <v>59</v>
      </c>
      <c r="D198" t="s">
        <v>60</v>
      </c>
      <c r="E198" t="s">
        <v>61</v>
      </c>
      <c r="F198" s="5" t="s">
        <v>38</v>
      </c>
      <c r="G198" s="18">
        <v>306769</v>
      </c>
      <c r="H198" s="12">
        <v>6722</v>
      </c>
      <c r="I198" s="17">
        <v>313491</v>
      </c>
      <c r="J198">
        <f>VLOOKUP(F198,'LEAID Match'!$A$2:$B$44,2,FALSE)</f>
        <v>0</v>
      </c>
    </row>
    <row r="199" spans="1:10" x14ac:dyDescent="0.2">
      <c r="A199">
        <v>0</v>
      </c>
      <c r="B199">
        <v>2021</v>
      </c>
      <c r="C199" t="s">
        <v>59</v>
      </c>
      <c r="D199" t="s">
        <v>60</v>
      </c>
      <c r="E199" t="s">
        <v>61</v>
      </c>
      <c r="F199" s="3" t="s">
        <v>38</v>
      </c>
      <c r="G199" s="12">
        <v>311810</v>
      </c>
      <c r="H199" s="12">
        <v>0</v>
      </c>
      <c r="I199" s="17">
        <v>311810</v>
      </c>
      <c r="J199">
        <f>VLOOKUP(F199,'LEAID Match'!$A$2:$B$44,2,FALSE)</f>
        <v>0</v>
      </c>
    </row>
    <row r="200" spans="1:10" x14ac:dyDescent="0.2">
      <c r="A200">
        <v>0</v>
      </c>
      <c r="B200">
        <v>2022</v>
      </c>
      <c r="C200" t="s">
        <v>59</v>
      </c>
      <c r="D200" t="s">
        <v>60</v>
      </c>
      <c r="E200" t="s">
        <v>61</v>
      </c>
      <c r="F200" t="s">
        <v>38</v>
      </c>
      <c r="G200" s="17">
        <v>311926</v>
      </c>
      <c r="H200" s="17">
        <v>28956</v>
      </c>
      <c r="I200" s="17">
        <v>340882</v>
      </c>
      <c r="J200">
        <f>VLOOKUP(F200,'LEAID Match'!$A$2:$B$44,2,FALSE)</f>
        <v>0</v>
      </c>
    </row>
    <row r="201" spans="1:10" x14ac:dyDescent="0.2">
      <c r="A201">
        <v>0</v>
      </c>
      <c r="B201">
        <v>2023</v>
      </c>
      <c r="C201" t="s">
        <v>59</v>
      </c>
      <c r="D201" t="s">
        <v>60</v>
      </c>
      <c r="E201" t="s">
        <v>61</v>
      </c>
      <c r="F201" s="3" t="s">
        <v>38</v>
      </c>
      <c r="G201" s="18">
        <v>284298</v>
      </c>
      <c r="H201" s="12">
        <v>167409</v>
      </c>
      <c r="I201" s="17">
        <v>451707</v>
      </c>
      <c r="J201">
        <f>VLOOKUP(F201,'LEAID Match'!$A$2:$B$44,2,FALSE)</f>
        <v>0</v>
      </c>
    </row>
    <row r="202" spans="1:10" x14ac:dyDescent="0.2">
      <c r="A202">
        <v>0</v>
      </c>
      <c r="B202">
        <v>2015</v>
      </c>
      <c r="C202" t="s">
        <v>59</v>
      </c>
      <c r="D202" t="s">
        <v>60</v>
      </c>
      <c r="E202" t="s">
        <v>61</v>
      </c>
      <c r="F202" s="3" t="s">
        <v>38</v>
      </c>
      <c r="G202" s="17">
        <v>244307</v>
      </c>
      <c r="H202" s="17">
        <v>44744</v>
      </c>
      <c r="I202" s="17">
        <v>289051</v>
      </c>
      <c r="J202">
        <f>VLOOKUP(F202,'LEAID Match'!$A$2:$B$44,2,FALSE)</f>
        <v>0</v>
      </c>
    </row>
    <row r="203" spans="1:10" x14ac:dyDescent="0.2">
      <c r="A203">
        <v>1000019</v>
      </c>
      <c r="B203">
        <v>2015</v>
      </c>
      <c r="C203" t="s">
        <v>59</v>
      </c>
      <c r="D203" t="s">
        <v>60</v>
      </c>
      <c r="E203" t="s">
        <v>61</v>
      </c>
      <c r="F203" t="s">
        <v>22</v>
      </c>
      <c r="G203" s="17">
        <v>353433</v>
      </c>
      <c r="H203" s="17">
        <v>64731</v>
      </c>
      <c r="I203" s="17">
        <v>418164</v>
      </c>
      <c r="J203">
        <f>VLOOKUP(F203,'LEAID Match'!$A$2:$B$44,2,FALSE)</f>
        <v>1000019</v>
      </c>
    </row>
    <row r="204" spans="1:10" x14ac:dyDescent="0.2">
      <c r="A204">
        <v>1000019</v>
      </c>
      <c r="B204">
        <v>2016</v>
      </c>
      <c r="C204" t="s">
        <v>59</v>
      </c>
      <c r="D204" t="s">
        <v>60</v>
      </c>
      <c r="E204" t="s">
        <v>61</v>
      </c>
      <c r="F204" s="3" t="s">
        <v>22</v>
      </c>
      <c r="G204" s="12">
        <v>434928</v>
      </c>
      <c r="H204" s="18">
        <v>92310</v>
      </c>
      <c r="I204" s="17">
        <v>527238</v>
      </c>
      <c r="J204">
        <f>VLOOKUP(F204,'LEAID Match'!$A$2:$B$44,2,FALSE)</f>
        <v>1000019</v>
      </c>
    </row>
    <row r="205" spans="1:10" x14ac:dyDescent="0.2">
      <c r="A205">
        <v>1000019</v>
      </c>
      <c r="B205">
        <v>2017</v>
      </c>
      <c r="C205" t="s">
        <v>59</v>
      </c>
      <c r="D205" t="s">
        <v>60</v>
      </c>
      <c r="E205" t="s">
        <v>61</v>
      </c>
      <c r="F205" t="s">
        <v>22</v>
      </c>
      <c r="G205" s="17">
        <v>518808</v>
      </c>
      <c r="H205" s="17">
        <v>84237</v>
      </c>
      <c r="I205" s="17">
        <v>603045</v>
      </c>
      <c r="J205">
        <f>VLOOKUP(F205,'LEAID Match'!$A$2:$B$44,2,FALSE)</f>
        <v>1000019</v>
      </c>
    </row>
    <row r="206" spans="1:10" x14ac:dyDescent="0.2">
      <c r="A206">
        <v>1000019</v>
      </c>
      <c r="B206">
        <v>2018</v>
      </c>
      <c r="C206" t="s">
        <v>59</v>
      </c>
      <c r="D206" t="s">
        <v>60</v>
      </c>
      <c r="E206" t="s">
        <v>61</v>
      </c>
      <c r="F206" s="3" t="s">
        <v>22</v>
      </c>
      <c r="G206" s="12">
        <v>639803</v>
      </c>
      <c r="H206" s="18">
        <v>32782</v>
      </c>
      <c r="I206" s="17">
        <v>672585</v>
      </c>
      <c r="J206">
        <f>VLOOKUP(F206,'LEAID Match'!$A$2:$B$44,2,FALSE)</f>
        <v>1000019</v>
      </c>
    </row>
    <row r="207" spans="1:10" x14ac:dyDescent="0.2">
      <c r="A207">
        <v>1000019</v>
      </c>
      <c r="B207">
        <v>2019</v>
      </c>
      <c r="C207" t="s">
        <v>59</v>
      </c>
      <c r="D207" t="s">
        <v>60</v>
      </c>
      <c r="E207" t="s">
        <v>61</v>
      </c>
      <c r="F207" s="3" t="s">
        <v>22</v>
      </c>
      <c r="G207" s="12">
        <v>794600</v>
      </c>
      <c r="H207" s="18">
        <v>70413</v>
      </c>
      <c r="I207" s="17">
        <v>865013</v>
      </c>
      <c r="J207">
        <f>VLOOKUP(F207,'LEAID Match'!$A$2:$B$44,2,FALSE)</f>
        <v>1000019</v>
      </c>
    </row>
    <row r="208" spans="1:10" x14ac:dyDescent="0.2">
      <c r="A208">
        <v>1000019</v>
      </c>
      <c r="B208">
        <v>2020</v>
      </c>
      <c r="C208" t="s">
        <v>59</v>
      </c>
      <c r="D208" t="s">
        <v>60</v>
      </c>
      <c r="E208" t="s">
        <v>61</v>
      </c>
      <c r="F208" s="5" t="s">
        <v>22</v>
      </c>
      <c r="G208" s="18">
        <v>889193</v>
      </c>
      <c r="H208" s="12">
        <v>19485</v>
      </c>
      <c r="I208" s="17">
        <v>908678</v>
      </c>
      <c r="J208">
        <f>VLOOKUP(F208,'LEAID Match'!$A$2:$B$44,2,FALSE)</f>
        <v>1000019</v>
      </c>
    </row>
    <row r="209" spans="1:10" x14ac:dyDescent="0.2">
      <c r="A209">
        <v>1000019</v>
      </c>
      <c r="B209">
        <v>2021</v>
      </c>
      <c r="C209" t="s">
        <v>59</v>
      </c>
      <c r="D209" t="s">
        <v>60</v>
      </c>
      <c r="E209" t="s">
        <v>61</v>
      </c>
      <c r="F209" s="3" t="s">
        <v>22</v>
      </c>
      <c r="G209" s="12">
        <v>999383</v>
      </c>
      <c r="H209" s="12">
        <v>0</v>
      </c>
      <c r="I209" s="17">
        <v>999383</v>
      </c>
      <c r="J209">
        <f>VLOOKUP(F209,'LEAID Match'!$A$2:$B$44,2,FALSE)</f>
        <v>1000019</v>
      </c>
    </row>
    <row r="210" spans="1:10" x14ac:dyDescent="0.2">
      <c r="A210">
        <v>1000019</v>
      </c>
      <c r="B210">
        <v>2022</v>
      </c>
      <c r="C210" t="s">
        <v>59</v>
      </c>
      <c r="D210" t="s">
        <v>60</v>
      </c>
      <c r="E210" t="s">
        <v>61</v>
      </c>
      <c r="F210" t="s">
        <v>22</v>
      </c>
      <c r="G210" s="17">
        <v>988238</v>
      </c>
      <c r="H210" s="17">
        <v>91737</v>
      </c>
      <c r="I210" s="17">
        <v>1079975</v>
      </c>
      <c r="J210">
        <f>VLOOKUP(F210,'LEAID Match'!$A$2:$B$44,2,FALSE)</f>
        <v>1000019</v>
      </c>
    </row>
    <row r="211" spans="1:10" x14ac:dyDescent="0.2">
      <c r="A211">
        <v>1000019</v>
      </c>
      <c r="B211">
        <v>2023</v>
      </c>
      <c r="C211" t="s">
        <v>59</v>
      </c>
      <c r="D211" t="s">
        <v>60</v>
      </c>
      <c r="E211" t="s">
        <v>61</v>
      </c>
      <c r="F211" s="3" t="s">
        <v>22</v>
      </c>
      <c r="G211" s="18">
        <v>908396</v>
      </c>
      <c r="H211" s="12">
        <v>534948</v>
      </c>
      <c r="I211" s="17">
        <v>1443344</v>
      </c>
      <c r="J211">
        <f>VLOOKUP(F211,'LEAID Match'!$A$2:$B$44,2,FALSE)</f>
        <v>1000019</v>
      </c>
    </row>
    <row r="212" spans="1:10" x14ac:dyDescent="0.2">
      <c r="A212">
        <v>1000023</v>
      </c>
      <c r="B212">
        <v>2015</v>
      </c>
      <c r="C212" t="s">
        <v>59</v>
      </c>
      <c r="D212" t="s">
        <v>60</v>
      </c>
      <c r="E212" t="s">
        <v>61</v>
      </c>
      <c r="F212" t="s">
        <v>23</v>
      </c>
      <c r="G212" s="17">
        <v>175854</v>
      </c>
      <c r="H212" s="17">
        <v>32207</v>
      </c>
      <c r="I212" s="17">
        <v>208061</v>
      </c>
      <c r="J212">
        <f>VLOOKUP(F212,'LEAID Match'!$A$2:$B$44,2,FALSE)</f>
        <v>1000023</v>
      </c>
    </row>
    <row r="213" spans="1:10" x14ac:dyDescent="0.2">
      <c r="A213">
        <v>1000023</v>
      </c>
      <c r="B213">
        <v>2016</v>
      </c>
      <c r="C213" t="s">
        <v>59</v>
      </c>
      <c r="D213" t="s">
        <v>60</v>
      </c>
      <c r="E213" t="s">
        <v>61</v>
      </c>
      <c r="F213" s="3" t="s">
        <v>23</v>
      </c>
      <c r="G213" s="12"/>
      <c r="H213" s="18"/>
      <c r="I213" s="17">
        <v>0</v>
      </c>
      <c r="J213">
        <f>VLOOKUP(F213,'LEAID Match'!$A$2:$B$44,2,FALSE)</f>
        <v>1000023</v>
      </c>
    </row>
    <row r="214" spans="1:10" x14ac:dyDescent="0.2">
      <c r="A214">
        <v>1000023</v>
      </c>
      <c r="B214">
        <v>2017</v>
      </c>
      <c r="C214" t="s">
        <v>59</v>
      </c>
      <c r="D214" t="s">
        <v>60</v>
      </c>
      <c r="E214" t="s">
        <v>61</v>
      </c>
      <c r="F214" t="s">
        <v>23</v>
      </c>
      <c r="I214" s="17">
        <v>0</v>
      </c>
      <c r="J214">
        <f>VLOOKUP(F214,'LEAID Match'!$A$2:$B$44,2,FALSE)</f>
        <v>1000023</v>
      </c>
    </row>
    <row r="215" spans="1:10" x14ac:dyDescent="0.2">
      <c r="A215">
        <v>1000023</v>
      </c>
      <c r="B215">
        <v>2018</v>
      </c>
      <c r="C215" t="s">
        <v>59</v>
      </c>
      <c r="D215" t="s">
        <v>60</v>
      </c>
      <c r="E215" t="s">
        <v>61</v>
      </c>
      <c r="F215" s="3" t="s">
        <v>23</v>
      </c>
      <c r="G215" s="12"/>
      <c r="H215" s="18"/>
      <c r="I215" s="17">
        <v>0</v>
      </c>
      <c r="J215">
        <f>VLOOKUP(F215,'LEAID Match'!$A$2:$B$44,2,FALSE)</f>
        <v>1000023</v>
      </c>
    </row>
    <row r="216" spans="1:10" x14ac:dyDescent="0.2">
      <c r="A216">
        <v>1000015</v>
      </c>
      <c r="B216">
        <v>2015</v>
      </c>
      <c r="C216" t="s">
        <v>59</v>
      </c>
      <c r="D216" t="s">
        <v>60</v>
      </c>
      <c r="E216" t="s">
        <v>61</v>
      </c>
      <c r="F216" t="s">
        <v>24</v>
      </c>
      <c r="G216" s="17">
        <v>1021918</v>
      </c>
      <c r="H216" s="17">
        <v>187162</v>
      </c>
      <c r="I216" s="17">
        <v>1209080</v>
      </c>
      <c r="J216">
        <f>VLOOKUP(F216,'LEAID Match'!$A$2:$B$44,2,FALSE)</f>
        <v>1000015</v>
      </c>
    </row>
    <row r="217" spans="1:10" x14ac:dyDescent="0.2">
      <c r="A217">
        <v>1000015</v>
      </c>
      <c r="B217">
        <v>2016</v>
      </c>
      <c r="C217" t="s">
        <v>59</v>
      </c>
      <c r="D217" t="s">
        <v>60</v>
      </c>
      <c r="E217" t="s">
        <v>61</v>
      </c>
      <c r="F217" s="3" t="s">
        <v>24</v>
      </c>
      <c r="G217" s="12">
        <v>1175501</v>
      </c>
      <c r="H217" s="18">
        <v>249492</v>
      </c>
      <c r="I217" s="17">
        <v>1424993</v>
      </c>
      <c r="J217">
        <f>VLOOKUP(F217,'LEAID Match'!$A$2:$B$44,2,FALSE)</f>
        <v>1000015</v>
      </c>
    </row>
    <row r="218" spans="1:10" x14ac:dyDescent="0.2">
      <c r="A218">
        <v>1000015</v>
      </c>
      <c r="B218">
        <v>2017</v>
      </c>
      <c r="C218" t="s">
        <v>59</v>
      </c>
      <c r="D218" t="s">
        <v>60</v>
      </c>
      <c r="E218" t="s">
        <v>61</v>
      </c>
      <c r="F218" t="s">
        <v>24</v>
      </c>
      <c r="G218" s="17">
        <v>1279678</v>
      </c>
      <c r="H218" s="17">
        <v>207778</v>
      </c>
      <c r="I218" s="17">
        <v>1487456</v>
      </c>
      <c r="J218">
        <f>VLOOKUP(F218,'LEAID Match'!$A$2:$B$44,2,FALSE)</f>
        <v>1000015</v>
      </c>
    </row>
    <row r="219" spans="1:10" x14ac:dyDescent="0.2">
      <c r="A219">
        <v>1000015</v>
      </c>
      <c r="B219">
        <v>2018</v>
      </c>
      <c r="C219" t="s">
        <v>59</v>
      </c>
      <c r="D219" t="s">
        <v>60</v>
      </c>
      <c r="E219" t="s">
        <v>61</v>
      </c>
      <c r="F219" s="3" t="s">
        <v>24</v>
      </c>
      <c r="G219" s="12">
        <v>1499664</v>
      </c>
      <c r="H219" s="18">
        <v>76838</v>
      </c>
      <c r="I219" s="17">
        <v>1576502</v>
      </c>
      <c r="J219">
        <f>VLOOKUP(F219,'LEAID Match'!$A$2:$B$44,2,FALSE)</f>
        <v>1000015</v>
      </c>
    </row>
    <row r="220" spans="1:10" x14ac:dyDescent="0.2">
      <c r="A220">
        <v>1000015</v>
      </c>
      <c r="B220">
        <v>2019</v>
      </c>
      <c r="C220" t="s">
        <v>59</v>
      </c>
      <c r="D220" t="s">
        <v>60</v>
      </c>
      <c r="E220" t="s">
        <v>61</v>
      </c>
      <c r="F220" s="3" t="s">
        <v>24</v>
      </c>
      <c r="G220" s="12">
        <v>1844146</v>
      </c>
      <c r="H220" s="18">
        <v>163419</v>
      </c>
      <c r="I220" s="17">
        <v>2007565</v>
      </c>
      <c r="J220">
        <f>VLOOKUP(F220,'LEAID Match'!$A$2:$B$44,2,FALSE)</f>
        <v>1000015</v>
      </c>
    </row>
    <row r="221" spans="1:10" x14ac:dyDescent="0.2">
      <c r="A221">
        <v>1000015</v>
      </c>
      <c r="B221">
        <v>2020</v>
      </c>
      <c r="C221" t="s">
        <v>59</v>
      </c>
      <c r="D221" t="s">
        <v>60</v>
      </c>
      <c r="E221" t="s">
        <v>61</v>
      </c>
      <c r="F221" s="5" t="s">
        <v>24</v>
      </c>
      <c r="G221" s="18">
        <v>2019304</v>
      </c>
      <c r="H221" s="12">
        <v>44250</v>
      </c>
      <c r="I221" s="17">
        <v>2063554</v>
      </c>
      <c r="J221">
        <f>VLOOKUP(F221,'LEAID Match'!$A$2:$B$44,2,FALSE)</f>
        <v>1000015</v>
      </c>
    </row>
    <row r="222" spans="1:10" x14ac:dyDescent="0.2">
      <c r="A222">
        <v>1000015</v>
      </c>
      <c r="B222">
        <v>2021</v>
      </c>
      <c r="C222" t="s">
        <v>59</v>
      </c>
      <c r="D222" t="s">
        <v>60</v>
      </c>
      <c r="E222" t="s">
        <v>61</v>
      </c>
      <c r="F222" s="3" t="s">
        <v>24</v>
      </c>
      <c r="G222" s="12">
        <v>2125114</v>
      </c>
      <c r="H222" s="12">
        <v>0</v>
      </c>
      <c r="I222" s="17">
        <v>2125114</v>
      </c>
      <c r="J222">
        <f>VLOOKUP(F222,'LEAID Match'!$A$2:$B$44,2,FALSE)</f>
        <v>1000015</v>
      </c>
    </row>
    <row r="223" spans="1:10" x14ac:dyDescent="0.2">
      <c r="A223">
        <v>1000015</v>
      </c>
      <c r="B223">
        <v>2022</v>
      </c>
      <c r="C223" t="s">
        <v>59</v>
      </c>
      <c r="D223" t="s">
        <v>60</v>
      </c>
      <c r="E223" t="s">
        <v>61</v>
      </c>
      <c r="F223" t="s">
        <v>24</v>
      </c>
      <c r="G223" s="17">
        <v>2250735</v>
      </c>
      <c r="H223" s="17">
        <v>208933</v>
      </c>
      <c r="I223" s="17">
        <v>2459668</v>
      </c>
      <c r="J223">
        <f>VLOOKUP(F223,'LEAID Match'!$A$2:$B$44,2,FALSE)</f>
        <v>1000015</v>
      </c>
    </row>
    <row r="224" spans="1:10" x14ac:dyDescent="0.2">
      <c r="A224">
        <v>1000015</v>
      </c>
      <c r="B224">
        <v>2023</v>
      </c>
      <c r="C224" t="s">
        <v>59</v>
      </c>
      <c r="D224" t="s">
        <v>60</v>
      </c>
      <c r="E224" t="s">
        <v>61</v>
      </c>
      <c r="F224" s="3" t="s">
        <v>24</v>
      </c>
      <c r="G224" s="18">
        <v>2416537</v>
      </c>
      <c r="H224" s="12">
        <v>1423297</v>
      </c>
      <c r="I224" s="17">
        <v>3839834</v>
      </c>
      <c r="J224">
        <f>VLOOKUP(F224,'LEAID Match'!$A$2:$B$44,2,FALSE)</f>
        <v>1000015</v>
      </c>
    </row>
    <row r="225" spans="1:10" x14ac:dyDescent="0.2">
      <c r="A225">
        <v>1000026</v>
      </c>
      <c r="B225">
        <v>2015</v>
      </c>
      <c r="C225" t="s">
        <v>59</v>
      </c>
      <c r="D225" t="s">
        <v>60</v>
      </c>
      <c r="E225" t="s">
        <v>61</v>
      </c>
      <c r="F225" t="s">
        <v>25</v>
      </c>
      <c r="G225" s="17">
        <v>465410</v>
      </c>
      <c r="H225" s="17">
        <v>85239</v>
      </c>
      <c r="I225" s="17">
        <v>550649</v>
      </c>
      <c r="J225">
        <f>VLOOKUP(F225,'LEAID Match'!$A$2:$B$44,2,FALSE)</f>
        <v>1000026</v>
      </c>
    </row>
    <row r="226" spans="1:10" x14ac:dyDescent="0.2">
      <c r="A226">
        <v>1000026</v>
      </c>
      <c r="B226">
        <v>2016</v>
      </c>
      <c r="C226" t="s">
        <v>59</v>
      </c>
      <c r="D226" t="s">
        <v>60</v>
      </c>
      <c r="E226" t="s">
        <v>61</v>
      </c>
      <c r="F226" s="3" t="s">
        <v>25</v>
      </c>
      <c r="G226" s="12">
        <v>504157</v>
      </c>
      <c r="H226" s="18">
        <v>107004</v>
      </c>
      <c r="I226" s="17">
        <v>611161</v>
      </c>
      <c r="J226">
        <f>VLOOKUP(F226,'LEAID Match'!$A$2:$B$44,2,FALSE)</f>
        <v>1000026</v>
      </c>
    </row>
    <row r="227" spans="1:10" x14ac:dyDescent="0.2">
      <c r="A227">
        <v>1000026</v>
      </c>
      <c r="B227">
        <v>2017</v>
      </c>
      <c r="C227" t="s">
        <v>59</v>
      </c>
      <c r="D227" t="s">
        <v>60</v>
      </c>
      <c r="E227" t="s">
        <v>61</v>
      </c>
      <c r="F227" t="s">
        <v>25</v>
      </c>
      <c r="G227" s="17">
        <v>617960</v>
      </c>
      <c r="H227" s="17">
        <v>100336</v>
      </c>
      <c r="I227" s="17">
        <v>718296</v>
      </c>
      <c r="J227">
        <f>VLOOKUP(F227,'LEAID Match'!$A$2:$B$44,2,FALSE)</f>
        <v>1000026</v>
      </c>
    </row>
    <row r="228" spans="1:10" x14ac:dyDescent="0.2">
      <c r="A228">
        <v>1000026</v>
      </c>
      <c r="B228">
        <v>2018</v>
      </c>
      <c r="C228" t="s">
        <v>59</v>
      </c>
      <c r="D228" t="s">
        <v>60</v>
      </c>
      <c r="E228" t="s">
        <v>61</v>
      </c>
      <c r="F228" s="3" t="s">
        <v>25</v>
      </c>
      <c r="G228" s="12">
        <v>863761</v>
      </c>
      <c r="H228" s="19">
        <v>44257</v>
      </c>
      <c r="I228" s="17">
        <v>908018</v>
      </c>
      <c r="J228">
        <f>VLOOKUP(F228,'LEAID Match'!$A$2:$B$44,2,FALSE)</f>
        <v>1000026</v>
      </c>
    </row>
    <row r="229" spans="1:10" x14ac:dyDescent="0.2">
      <c r="A229">
        <v>1000026</v>
      </c>
      <c r="B229">
        <v>2019</v>
      </c>
      <c r="C229" t="s">
        <v>59</v>
      </c>
      <c r="D229" t="s">
        <v>60</v>
      </c>
      <c r="E229" t="s">
        <v>61</v>
      </c>
      <c r="F229" s="3" t="s">
        <v>25</v>
      </c>
      <c r="G229" s="12">
        <v>1229659</v>
      </c>
      <c r="H229" s="18">
        <v>108967</v>
      </c>
      <c r="I229" s="17">
        <v>1338626</v>
      </c>
      <c r="J229">
        <f>VLOOKUP(F229,'LEAID Match'!$A$2:$B$44,2,FALSE)</f>
        <v>1000026</v>
      </c>
    </row>
    <row r="230" spans="1:10" x14ac:dyDescent="0.2">
      <c r="A230">
        <v>1000026</v>
      </c>
      <c r="B230">
        <v>2020</v>
      </c>
      <c r="C230" t="s">
        <v>59</v>
      </c>
      <c r="D230" t="s">
        <v>60</v>
      </c>
      <c r="E230" t="s">
        <v>61</v>
      </c>
      <c r="F230" s="5" t="s">
        <v>25</v>
      </c>
      <c r="G230" s="18">
        <v>1407822</v>
      </c>
      <c r="H230" s="12">
        <v>30850</v>
      </c>
      <c r="I230" s="17">
        <v>1438672</v>
      </c>
      <c r="J230">
        <f>VLOOKUP(F230,'LEAID Match'!$A$2:$B$44,2,FALSE)</f>
        <v>1000026</v>
      </c>
    </row>
    <row r="231" spans="1:10" x14ac:dyDescent="0.2">
      <c r="A231">
        <v>1000026</v>
      </c>
      <c r="B231">
        <v>2021</v>
      </c>
      <c r="C231" t="s">
        <v>59</v>
      </c>
      <c r="D231" t="s">
        <v>60</v>
      </c>
      <c r="E231" t="s">
        <v>61</v>
      </c>
      <c r="F231" s="3" t="s">
        <v>25</v>
      </c>
      <c r="G231" s="12">
        <v>1486074</v>
      </c>
      <c r="H231" s="12">
        <v>0</v>
      </c>
      <c r="I231" s="17">
        <v>1486074</v>
      </c>
      <c r="J231">
        <f>VLOOKUP(F231,'LEAID Match'!$A$2:$B$44,2,FALSE)</f>
        <v>1000026</v>
      </c>
    </row>
    <row r="232" spans="1:10" x14ac:dyDescent="0.2">
      <c r="A232">
        <v>1000026</v>
      </c>
      <c r="B232">
        <v>2022</v>
      </c>
      <c r="C232" t="s">
        <v>59</v>
      </c>
      <c r="D232" t="s">
        <v>60</v>
      </c>
      <c r="E232" t="s">
        <v>61</v>
      </c>
      <c r="F232" t="s">
        <v>25</v>
      </c>
      <c r="G232" s="17">
        <v>1594238</v>
      </c>
      <c r="H232" s="17">
        <v>147991</v>
      </c>
      <c r="I232" s="17">
        <v>1742229</v>
      </c>
      <c r="J232">
        <f>VLOOKUP(F232,'LEAID Match'!$A$2:$B$44,2,FALSE)</f>
        <v>1000026</v>
      </c>
    </row>
    <row r="233" spans="1:10" x14ac:dyDescent="0.2">
      <c r="A233">
        <v>1000026</v>
      </c>
      <c r="B233">
        <v>2023</v>
      </c>
      <c r="C233" t="s">
        <v>59</v>
      </c>
      <c r="D233" t="s">
        <v>60</v>
      </c>
      <c r="E233" t="s">
        <v>61</v>
      </c>
      <c r="F233" s="3" t="s">
        <v>25</v>
      </c>
      <c r="G233" s="18">
        <v>1676074</v>
      </c>
      <c r="H233" s="12">
        <v>987144</v>
      </c>
      <c r="I233" s="17">
        <v>2663218</v>
      </c>
      <c r="J233">
        <f>VLOOKUP(F233,'LEAID Match'!$A$2:$B$44,2,FALSE)</f>
        <v>1000026</v>
      </c>
    </row>
    <row r="234" spans="1:10" x14ac:dyDescent="0.2">
      <c r="A234">
        <v>0</v>
      </c>
      <c r="B234">
        <v>2015</v>
      </c>
      <c r="C234" t="s">
        <v>59</v>
      </c>
      <c r="D234" t="s">
        <v>60</v>
      </c>
      <c r="E234" t="s">
        <v>61</v>
      </c>
      <c r="F234" t="s">
        <v>26</v>
      </c>
      <c r="I234" s="17">
        <v>0</v>
      </c>
      <c r="J234">
        <f>VLOOKUP(F234,'LEAID Match'!$A$2:$B$44,2,FALSE)</f>
        <v>0</v>
      </c>
    </row>
    <row r="235" spans="1:10" x14ac:dyDescent="0.2">
      <c r="A235">
        <v>0</v>
      </c>
      <c r="B235">
        <v>2016</v>
      </c>
      <c r="C235" t="s">
        <v>59</v>
      </c>
      <c r="D235" t="s">
        <v>60</v>
      </c>
      <c r="E235" t="s">
        <v>61</v>
      </c>
      <c r="F235" s="3" t="s">
        <v>26</v>
      </c>
      <c r="G235" s="12"/>
      <c r="H235" s="18"/>
      <c r="I235" s="17">
        <v>0</v>
      </c>
      <c r="J235">
        <f>VLOOKUP(F235,'LEAID Match'!$A$2:$B$44,2,FALSE)</f>
        <v>0</v>
      </c>
    </row>
    <row r="236" spans="1:10" x14ac:dyDescent="0.2">
      <c r="A236">
        <v>0</v>
      </c>
      <c r="B236">
        <v>2017</v>
      </c>
      <c r="C236" t="s">
        <v>59</v>
      </c>
      <c r="D236" t="s">
        <v>60</v>
      </c>
      <c r="E236" t="s">
        <v>61</v>
      </c>
      <c r="F236" t="s">
        <v>26</v>
      </c>
      <c r="I236" s="17">
        <v>0</v>
      </c>
      <c r="J236">
        <f>VLOOKUP(F236,'LEAID Match'!$A$2:$B$44,2,FALSE)</f>
        <v>0</v>
      </c>
    </row>
    <row r="237" spans="1:10" x14ac:dyDescent="0.2">
      <c r="A237">
        <v>0</v>
      </c>
      <c r="B237">
        <v>2018</v>
      </c>
      <c r="C237" t="s">
        <v>59</v>
      </c>
      <c r="D237" t="s">
        <v>60</v>
      </c>
      <c r="E237" t="s">
        <v>61</v>
      </c>
      <c r="F237" s="3" t="s">
        <v>26</v>
      </c>
      <c r="G237" s="12"/>
      <c r="H237" s="18"/>
      <c r="I237" s="17">
        <v>0</v>
      </c>
      <c r="J237">
        <f>VLOOKUP(F237,'LEAID Match'!$A$2:$B$44,2,FALSE)</f>
        <v>0</v>
      </c>
    </row>
    <row r="238" spans="1:10" x14ac:dyDescent="0.2">
      <c r="A238">
        <v>1000005</v>
      </c>
      <c r="B238">
        <v>2016</v>
      </c>
      <c r="C238" t="s">
        <v>59</v>
      </c>
      <c r="D238" t="s">
        <v>60</v>
      </c>
      <c r="E238" t="s">
        <v>61</v>
      </c>
      <c r="F238" t="s">
        <v>27</v>
      </c>
      <c r="G238" s="12">
        <v>130635</v>
      </c>
      <c r="H238" s="18">
        <v>27726</v>
      </c>
      <c r="I238" s="17">
        <v>158361</v>
      </c>
      <c r="J238">
        <f>VLOOKUP(F238,'LEAID Match'!$A$2:$B$44,2,FALSE)</f>
        <v>1000005</v>
      </c>
    </row>
    <row r="239" spans="1:10" x14ac:dyDescent="0.2">
      <c r="A239">
        <v>1000005</v>
      </c>
      <c r="B239">
        <v>2015</v>
      </c>
      <c r="C239" t="s">
        <v>59</v>
      </c>
      <c r="D239" t="s">
        <v>60</v>
      </c>
      <c r="E239" t="s">
        <v>61</v>
      </c>
      <c r="F239" t="s">
        <v>27</v>
      </c>
      <c r="G239" s="17">
        <v>130283</v>
      </c>
      <c r="H239" s="17">
        <v>23861</v>
      </c>
      <c r="I239" s="17">
        <v>154144</v>
      </c>
      <c r="J239">
        <f>VLOOKUP(F239,'LEAID Match'!$A$2:$B$44,2,FALSE)</f>
        <v>1000005</v>
      </c>
    </row>
    <row r="240" spans="1:10" x14ac:dyDescent="0.2">
      <c r="A240">
        <v>1000005</v>
      </c>
      <c r="B240">
        <v>2017</v>
      </c>
      <c r="C240" t="s">
        <v>59</v>
      </c>
      <c r="D240" t="s">
        <v>60</v>
      </c>
      <c r="E240" t="s">
        <v>61</v>
      </c>
      <c r="F240" t="s">
        <v>27</v>
      </c>
      <c r="G240" s="17">
        <v>138372</v>
      </c>
      <c r="H240" s="17">
        <v>22467</v>
      </c>
      <c r="I240" s="17">
        <v>160839</v>
      </c>
      <c r="J240">
        <f>VLOOKUP(F240,'LEAID Match'!$A$2:$B$44,2,FALSE)</f>
        <v>1000005</v>
      </c>
    </row>
    <row r="241" spans="1:10" x14ac:dyDescent="0.2">
      <c r="A241">
        <v>1000005</v>
      </c>
      <c r="B241">
        <v>2018</v>
      </c>
      <c r="C241" t="s">
        <v>59</v>
      </c>
      <c r="D241" t="s">
        <v>60</v>
      </c>
      <c r="E241" t="s">
        <v>61</v>
      </c>
      <c r="F241" s="3" t="s">
        <v>27</v>
      </c>
      <c r="G241" s="12">
        <v>159160</v>
      </c>
      <c r="H241" s="18">
        <v>8155</v>
      </c>
      <c r="I241" s="17">
        <v>167315</v>
      </c>
      <c r="J241">
        <f>VLOOKUP(F241,'LEAID Match'!$A$2:$B$44,2,FALSE)</f>
        <v>1000005</v>
      </c>
    </row>
    <row r="242" spans="1:10" x14ac:dyDescent="0.2">
      <c r="A242">
        <v>1000005</v>
      </c>
      <c r="B242">
        <v>2019</v>
      </c>
      <c r="C242" t="s">
        <v>59</v>
      </c>
      <c r="D242" t="s">
        <v>60</v>
      </c>
      <c r="E242" t="s">
        <v>61</v>
      </c>
      <c r="F242" s="3" t="s">
        <v>27</v>
      </c>
      <c r="G242" s="12">
        <v>191817</v>
      </c>
      <c r="H242" s="18">
        <v>16998</v>
      </c>
      <c r="I242" s="17">
        <v>208815</v>
      </c>
      <c r="J242">
        <f>VLOOKUP(F242,'LEAID Match'!$A$2:$B$44,2,FALSE)</f>
        <v>1000005</v>
      </c>
    </row>
    <row r="243" spans="1:10" x14ac:dyDescent="0.2">
      <c r="A243">
        <v>1000005</v>
      </c>
      <c r="B243">
        <v>2020</v>
      </c>
      <c r="C243" t="s">
        <v>59</v>
      </c>
      <c r="D243" t="s">
        <v>60</v>
      </c>
      <c r="E243" t="s">
        <v>61</v>
      </c>
      <c r="F243" s="5" t="s">
        <v>27</v>
      </c>
      <c r="G243" s="18">
        <v>200834</v>
      </c>
      <c r="H243" s="12">
        <v>4401</v>
      </c>
      <c r="I243" s="17">
        <v>205235</v>
      </c>
      <c r="J243">
        <f>VLOOKUP(F243,'LEAID Match'!$A$2:$B$44,2,FALSE)</f>
        <v>1000005</v>
      </c>
    </row>
    <row r="244" spans="1:10" x14ac:dyDescent="0.2">
      <c r="A244">
        <v>1000005</v>
      </c>
      <c r="B244">
        <v>2021</v>
      </c>
      <c r="C244" t="s">
        <v>59</v>
      </c>
      <c r="D244" t="s">
        <v>60</v>
      </c>
      <c r="E244" t="s">
        <v>61</v>
      </c>
      <c r="F244" s="3" t="s">
        <v>27</v>
      </c>
      <c r="G244" s="12">
        <v>204558</v>
      </c>
      <c r="H244" s="12">
        <v>0</v>
      </c>
      <c r="I244" s="17">
        <v>204558</v>
      </c>
      <c r="J244">
        <f>VLOOKUP(F244,'LEAID Match'!$A$2:$B$44,2,FALSE)</f>
        <v>1000005</v>
      </c>
    </row>
    <row r="245" spans="1:10" x14ac:dyDescent="0.2">
      <c r="A245">
        <v>1000005</v>
      </c>
      <c r="B245">
        <v>2022</v>
      </c>
      <c r="C245" t="s">
        <v>59</v>
      </c>
      <c r="D245" t="s">
        <v>60</v>
      </c>
      <c r="E245" t="s">
        <v>61</v>
      </c>
      <c r="F245" t="s">
        <v>27</v>
      </c>
      <c r="G245" s="17">
        <v>222361</v>
      </c>
      <c r="H245" s="17">
        <v>20641</v>
      </c>
      <c r="I245" s="17">
        <v>243002</v>
      </c>
      <c r="J245">
        <f>VLOOKUP(F245,'LEAID Match'!$A$2:$B$44,2,FALSE)</f>
        <v>1000005</v>
      </c>
    </row>
    <row r="246" spans="1:10" x14ac:dyDescent="0.2">
      <c r="A246">
        <v>1000005</v>
      </c>
      <c r="B246">
        <v>2023</v>
      </c>
      <c r="C246" t="s">
        <v>59</v>
      </c>
      <c r="D246" t="s">
        <v>60</v>
      </c>
      <c r="E246" t="s">
        <v>61</v>
      </c>
      <c r="F246" s="3" t="s">
        <v>27</v>
      </c>
      <c r="G246" s="18">
        <v>193836</v>
      </c>
      <c r="H246" s="12">
        <v>114200</v>
      </c>
      <c r="I246" s="17">
        <v>308036</v>
      </c>
      <c r="J246">
        <f>VLOOKUP(F246,'LEAID Match'!$A$2:$B$44,2,FALSE)</f>
        <v>1000005</v>
      </c>
    </row>
    <row r="247" spans="1:10" x14ac:dyDescent="0.2">
      <c r="A247">
        <v>1000048</v>
      </c>
      <c r="B247">
        <v>2015</v>
      </c>
      <c r="C247" t="s">
        <v>59</v>
      </c>
      <c r="D247" t="s">
        <v>60</v>
      </c>
      <c r="E247" t="s">
        <v>61</v>
      </c>
      <c r="F247" t="s">
        <v>28</v>
      </c>
      <c r="G247" s="17">
        <v>138146</v>
      </c>
      <c r="H247" s="17">
        <v>25301</v>
      </c>
      <c r="I247" s="17">
        <v>163447</v>
      </c>
      <c r="J247">
        <f>VLOOKUP(F247,'LEAID Match'!$A$2:$B$44,2,FALSE)</f>
        <v>1000048</v>
      </c>
    </row>
    <row r="248" spans="1:10" x14ac:dyDescent="0.2">
      <c r="A248">
        <v>1000048</v>
      </c>
      <c r="B248">
        <v>2016</v>
      </c>
      <c r="C248" t="s">
        <v>59</v>
      </c>
      <c r="D248" t="s">
        <v>60</v>
      </c>
      <c r="E248" t="s">
        <v>61</v>
      </c>
      <c r="F248" s="3" t="s">
        <v>28</v>
      </c>
      <c r="G248" s="12">
        <v>150889</v>
      </c>
      <c r="H248" s="18">
        <v>32025</v>
      </c>
      <c r="I248" s="17">
        <v>182914</v>
      </c>
      <c r="J248">
        <f>VLOOKUP(F248,'LEAID Match'!$A$2:$B$44,2,FALSE)</f>
        <v>1000048</v>
      </c>
    </row>
    <row r="249" spans="1:10" x14ac:dyDescent="0.2">
      <c r="A249">
        <v>1000048</v>
      </c>
      <c r="B249">
        <v>2017</v>
      </c>
      <c r="C249" t="s">
        <v>59</v>
      </c>
      <c r="D249" t="s">
        <v>60</v>
      </c>
      <c r="E249" t="s">
        <v>61</v>
      </c>
      <c r="F249" t="s">
        <v>28</v>
      </c>
      <c r="G249" s="17">
        <v>84167</v>
      </c>
      <c r="H249" s="17">
        <v>13666</v>
      </c>
      <c r="I249" s="17">
        <v>97833</v>
      </c>
      <c r="J249">
        <f>VLOOKUP(F249,'LEAID Match'!$A$2:$B$44,2,FALSE)</f>
        <v>1000048</v>
      </c>
    </row>
    <row r="250" spans="1:10" x14ac:dyDescent="0.2">
      <c r="A250">
        <v>1000048</v>
      </c>
      <c r="B250">
        <v>2018</v>
      </c>
      <c r="C250" t="s">
        <v>59</v>
      </c>
      <c r="D250" t="s">
        <v>60</v>
      </c>
      <c r="E250" t="s">
        <v>61</v>
      </c>
      <c r="F250" s="3" t="s">
        <v>28</v>
      </c>
      <c r="G250" s="12"/>
      <c r="H250" s="18"/>
      <c r="I250" s="17">
        <v>0</v>
      </c>
      <c r="J250">
        <f>VLOOKUP(F250,'LEAID Match'!$A$2:$B$44,2,FALSE)</f>
        <v>1000048</v>
      </c>
    </row>
    <row r="251" spans="1:10" x14ac:dyDescent="0.2">
      <c r="A251">
        <v>1000018</v>
      </c>
      <c r="B251">
        <v>2015</v>
      </c>
      <c r="C251" t="s">
        <v>59</v>
      </c>
      <c r="D251" t="s">
        <v>60</v>
      </c>
      <c r="E251" t="s">
        <v>61</v>
      </c>
      <c r="F251" t="s">
        <v>29</v>
      </c>
      <c r="G251" s="17">
        <v>241709</v>
      </c>
      <c r="H251" s="17">
        <v>44269</v>
      </c>
      <c r="I251" s="17">
        <v>285978</v>
      </c>
      <c r="J251">
        <f>VLOOKUP(F251,'LEAID Match'!$A$2:$B$44,2,FALSE)</f>
        <v>1000018</v>
      </c>
    </row>
    <row r="252" spans="1:10" x14ac:dyDescent="0.2">
      <c r="A252">
        <v>1000018</v>
      </c>
      <c r="B252">
        <v>2016</v>
      </c>
      <c r="C252" t="s">
        <v>59</v>
      </c>
      <c r="D252" t="s">
        <v>60</v>
      </c>
      <c r="E252" t="s">
        <v>61</v>
      </c>
      <c r="F252" s="3" t="s">
        <v>29</v>
      </c>
      <c r="G252" s="12">
        <v>266745</v>
      </c>
      <c r="H252" s="18">
        <v>56615</v>
      </c>
      <c r="I252" s="17">
        <v>323360</v>
      </c>
      <c r="J252">
        <f>VLOOKUP(F252,'LEAID Match'!$A$2:$B$44,2,FALSE)</f>
        <v>1000018</v>
      </c>
    </row>
    <row r="253" spans="1:10" x14ac:dyDescent="0.2">
      <c r="A253">
        <v>1000018</v>
      </c>
      <c r="B253">
        <v>2017</v>
      </c>
      <c r="C253" t="s">
        <v>59</v>
      </c>
      <c r="D253" t="s">
        <v>60</v>
      </c>
      <c r="E253" t="s">
        <v>61</v>
      </c>
      <c r="F253" t="s">
        <v>29</v>
      </c>
      <c r="G253" s="17">
        <v>277599</v>
      </c>
      <c r="H253" s="17">
        <v>45073</v>
      </c>
      <c r="I253" s="17">
        <v>322672</v>
      </c>
      <c r="J253">
        <f>VLOOKUP(F253,'LEAID Match'!$A$2:$B$44,2,FALSE)</f>
        <v>1000018</v>
      </c>
    </row>
    <row r="254" spans="1:10" x14ac:dyDescent="0.2">
      <c r="A254">
        <v>1000018</v>
      </c>
      <c r="B254">
        <v>2018</v>
      </c>
      <c r="C254" t="s">
        <v>59</v>
      </c>
      <c r="D254" t="s">
        <v>60</v>
      </c>
      <c r="E254" t="s">
        <v>61</v>
      </c>
      <c r="F254" s="3" t="s">
        <v>29</v>
      </c>
      <c r="G254" s="12">
        <v>293402</v>
      </c>
      <c r="H254" s="18">
        <v>15033</v>
      </c>
      <c r="I254" s="17">
        <v>308435</v>
      </c>
      <c r="J254">
        <f>VLOOKUP(F254,'LEAID Match'!$A$2:$B$44,2,FALSE)</f>
        <v>1000018</v>
      </c>
    </row>
    <row r="255" spans="1:10" x14ac:dyDescent="0.2">
      <c r="A255">
        <v>1000018</v>
      </c>
      <c r="B255">
        <v>2019</v>
      </c>
      <c r="C255" t="s">
        <v>59</v>
      </c>
      <c r="D255" t="s">
        <v>60</v>
      </c>
      <c r="E255" t="s">
        <v>61</v>
      </c>
      <c r="F255" s="3" t="s">
        <v>29</v>
      </c>
      <c r="G255" s="12">
        <v>356356</v>
      </c>
      <c r="H255" s="18">
        <v>31578</v>
      </c>
      <c r="I255" s="17">
        <v>387934</v>
      </c>
      <c r="J255">
        <f>VLOOKUP(F255,'LEAID Match'!$A$2:$B$44,2,FALSE)</f>
        <v>1000018</v>
      </c>
    </row>
    <row r="256" spans="1:10" x14ac:dyDescent="0.2">
      <c r="A256">
        <v>1000018</v>
      </c>
      <c r="B256">
        <v>2020</v>
      </c>
      <c r="C256" t="s">
        <v>59</v>
      </c>
      <c r="D256" t="s">
        <v>60</v>
      </c>
      <c r="E256" t="s">
        <v>61</v>
      </c>
      <c r="F256" s="5" t="s">
        <v>29</v>
      </c>
      <c r="G256" s="18">
        <v>349849</v>
      </c>
      <c r="H256" s="12">
        <v>7666</v>
      </c>
      <c r="I256" s="17">
        <v>357515</v>
      </c>
      <c r="J256">
        <f>VLOOKUP(F256,'LEAID Match'!$A$2:$B$44,2,FALSE)</f>
        <v>1000018</v>
      </c>
    </row>
    <row r="257" spans="1:10" x14ac:dyDescent="0.2">
      <c r="A257">
        <v>1000018</v>
      </c>
      <c r="B257">
        <v>2021</v>
      </c>
      <c r="C257" t="s">
        <v>59</v>
      </c>
      <c r="D257" t="s">
        <v>60</v>
      </c>
      <c r="E257" t="s">
        <v>61</v>
      </c>
      <c r="F257" s="3" t="s">
        <v>29</v>
      </c>
      <c r="G257" s="12">
        <v>365942</v>
      </c>
      <c r="H257" s="12">
        <v>0</v>
      </c>
      <c r="I257" s="17">
        <v>365942</v>
      </c>
      <c r="J257">
        <f>VLOOKUP(F257,'LEAID Match'!$A$2:$B$44,2,FALSE)</f>
        <v>1000018</v>
      </c>
    </row>
    <row r="258" spans="1:10" x14ac:dyDescent="0.2">
      <c r="A258">
        <v>1000018</v>
      </c>
      <c r="B258">
        <v>2022</v>
      </c>
      <c r="C258" t="s">
        <v>59</v>
      </c>
      <c r="D258" t="s">
        <v>60</v>
      </c>
      <c r="E258" t="s">
        <v>61</v>
      </c>
      <c r="F258" t="s">
        <v>29</v>
      </c>
      <c r="G258" s="17">
        <v>390101</v>
      </c>
      <c r="H258" s="17">
        <v>36212</v>
      </c>
      <c r="I258" s="17">
        <v>426313</v>
      </c>
      <c r="J258">
        <f>VLOOKUP(F258,'LEAID Match'!$A$2:$B$44,2,FALSE)</f>
        <v>1000018</v>
      </c>
    </row>
    <row r="259" spans="1:10" x14ac:dyDescent="0.2">
      <c r="A259">
        <v>1000018</v>
      </c>
      <c r="B259">
        <v>2023</v>
      </c>
      <c r="C259" t="s">
        <v>59</v>
      </c>
      <c r="D259" t="s">
        <v>60</v>
      </c>
      <c r="E259" t="s">
        <v>61</v>
      </c>
      <c r="F259" s="3" t="s">
        <v>29</v>
      </c>
      <c r="G259" s="18">
        <v>363960</v>
      </c>
      <c r="H259" s="12">
        <v>214424</v>
      </c>
      <c r="I259" s="17">
        <v>578384</v>
      </c>
      <c r="J259">
        <f>VLOOKUP(F259,'LEAID Match'!$A$2:$B$44,2,FALSE)</f>
        <v>1000018</v>
      </c>
    </row>
    <row r="260" spans="1:10" x14ac:dyDescent="0.2">
      <c r="A260">
        <v>1000051</v>
      </c>
      <c r="B260">
        <v>2015</v>
      </c>
      <c r="C260" t="s">
        <v>59</v>
      </c>
      <c r="D260" t="s">
        <v>60</v>
      </c>
      <c r="E260" t="s">
        <v>61</v>
      </c>
      <c r="F260" t="s">
        <v>30</v>
      </c>
      <c r="G260" s="17">
        <v>204772</v>
      </c>
      <c r="H260" s="17">
        <v>37504</v>
      </c>
      <c r="I260" s="17">
        <v>242276</v>
      </c>
      <c r="J260">
        <f>VLOOKUP(F260,'LEAID Match'!$A$2:$B$44,2,FALSE)</f>
        <v>1000051</v>
      </c>
    </row>
    <row r="261" spans="1:10" x14ac:dyDescent="0.2">
      <c r="A261">
        <v>1000051</v>
      </c>
      <c r="B261">
        <v>2016</v>
      </c>
      <c r="C261" t="s">
        <v>59</v>
      </c>
      <c r="D261" t="s">
        <v>60</v>
      </c>
      <c r="E261" t="s">
        <v>61</v>
      </c>
      <c r="F261" s="3" t="s">
        <v>30</v>
      </c>
      <c r="G261" s="12"/>
      <c r="H261" s="18"/>
      <c r="I261" s="17">
        <v>0</v>
      </c>
      <c r="J261">
        <f>VLOOKUP(F261,'LEAID Match'!$A$2:$B$44,2,FALSE)</f>
        <v>1000051</v>
      </c>
    </row>
    <row r="262" spans="1:10" x14ac:dyDescent="0.2">
      <c r="A262">
        <v>1000051</v>
      </c>
      <c r="B262">
        <v>2017</v>
      </c>
      <c r="C262" t="s">
        <v>59</v>
      </c>
      <c r="D262" t="s">
        <v>60</v>
      </c>
      <c r="E262" t="s">
        <v>61</v>
      </c>
      <c r="F262" t="s">
        <v>30</v>
      </c>
      <c r="I262" s="17">
        <v>0</v>
      </c>
      <c r="J262">
        <f>VLOOKUP(F262,'LEAID Match'!$A$2:$B$44,2,FALSE)</f>
        <v>1000051</v>
      </c>
    </row>
    <row r="263" spans="1:10" x14ac:dyDescent="0.2">
      <c r="A263">
        <v>1000051</v>
      </c>
      <c r="B263">
        <v>2018</v>
      </c>
      <c r="C263" t="s">
        <v>59</v>
      </c>
      <c r="D263" t="s">
        <v>60</v>
      </c>
      <c r="E263" t="s">
        <v>61</v>
      </c>
      <c r="F263" s="3" t="s">
        <v>30</v>
      </c>
      <c r="G263" s="12"/>
      <c r="H263" s="18"/>
      <c r="I263" s="17">
        <v>0</v>
      </c>
      <c r="J263">
        <f>VLOOKUP(F263,'LEAID Match'!$A$2:$B$44,2,FALSE)</f>
        <v>1000051</v>
      </c>
    </row>
    <row r="264" spans="1:10" x14ac:dyDescent="0.2">
      <c r="A264">
        <v>1000011</v>
      </c>
      <c r="B264">
        <v>2015</v>
      </c>
      <c r="C264" t="s">
        <v>59</v>
      </c>
      <c r="D264" t="s">
        <v>60</v>
      </c>
      <c r="E264" t="s">
        <v>61</v>
      </c>
      <c r="F264" t="s">
        <v>31</v>
      </c>
      <c r="G264" s="17">
        <v>220473</v>
      </c>
      <c r="H264" s="17">
        <v>40379</v>
      </c>
      <c r="I264" s="17">
        <v>260852</v>
      </c>
      <c r="J264">
        <f>VLOOKUP(F264,'LEAID Match'!$A$2:$B$44,2,FALSE)</f>
        <v>1000011</v>
      </c>
    </row>
    <row r="265" spans="1:10" x14ac:dyDescent="0.2">
      <c r="A265">
        <v>1000011</v>
      </c>
      <c r="B265">
        <v>2016</v>
      </c>
      <c r="C265" t="s">
        <v>59</v>
      </c>
      <c r="D265" t="s">
        <v>60</v>
      </c>
      <c r="E265" t="s">
        <v>61</v>
      </c>
      <c r="F265" s="3" t="s">
        <v>31</v>
      </c>
      <c r="G265" s="12">
        <v>275448</v>
      </c>
      <c r="H265" s="18">
        <v>58462</v>
      </c>
      <c r="I265" s="17">
        <v>333910</v>
      </c>
      <c r="J265">
        <f>VLOOKUP(F265,'LEAID Match'!$A$2:$B$44,2,FALSE)</f>
        <v>1000011</v>
      </c>
    </row>
    <row r="266" spans="1:10" x14ac:dyDescent="0.2">
      <c r="A266">
        <v>1000011</v>
      </c>
      <c r="B266">
        <v>2017</v>
      </c>
      <c r="C266" t="s">
        <v>59</v>
      </c>
      <c r="D266" t="s">
        <v>60</v>
      </c>
      <c r="E266" t="s">
        <v>61</v>
      </c>
      <c r="F266" t="s">
        <v>31</v>
      </c>
      <c r="G266" s="17">
        <v>309118</v>
      </c>
      <c r="H266" s="17">
        <v>50191</v>
      </c>
      <c r="I266" s="17">
        <v>359309</v>
      </c>
      <c r="J266">
        <f>VLOOKUP(F266,'LEAID Match'!$A$2:$B$44,2,FALSE)</f>
        <v>1000011</v>
      </c>
    </row>
    <row r="267" spans="1:10" x14ac:dyDescent="0.2">
      <c r="A267">
        <v>1000011</v>
      </c>
      <c r="B267">
        <v>2018</v>
      </c>
      <c r="C267" t="s">
        <v>59</v>
      </c>
      <c r="D267" t="s">
        <v>60</v>
      </c>
      <c r="E267" t="s">
        <v>61</v>
      </c>
      <c r="F267" s="3" t="s">
        <v>31</v>
      </c>
      <c r="G267" s="12">
        <v>379987</v>
      </c>
      <c r="H267" s="18">
        <v>19469</v>
      </c>
      <c r="I267" s="17">
        <v>399456</v>
      </c>
      <c r="J267">
        <f>VLOOKUP(F267,'LEAID Match'!$A$2:$B$44,2,FALSE)</f>
        <v>1000011</v>
      </c>
    </row>
    <row r="268" spans="1:10" x14ac:dyDescent="0.2">
      <c r="A268">
        <v>1000011</v>
      </c>
      <c r="B268">
        <v>2019</v>
      </c>
      <c r="C268" t="s">
        <v>59</v>
      </c>
      <c r="D268" t="s">
        <v>60</v>
      </c>
      <c r="E268" t="s">
        <v>61</v>
      </c>
      <c r="F268" s="3" t="s">
        <v>31</v>
      </c>
      <c r="G268" s="12">
        <v>490565</v>
      </c>
      <c r="H268" s="18">
        <v>43471</v>
      </c>
      <c r="I268" s="17">
        <v>534036</v>
      </c>
      <c r="J268">
        <f>VLOOKUP(F268,'LEAID Match'!$A$2:$B$44,2,FALSE)</f>
        <v>1000011</v>
      </c>
    </row>
    <row r="269" spans="1:10" x14ac:dyDescent="0.2">
      <c r="A269">
        <v>1000011</v>
      </c>
      <c r="B269">
        <v>2020</v>
      </c>
      <c r="C269" t="s">
        <v>59</v>
      </c>
      <c r="D269" t="s">
        <v>60</v>
      </c>
      <c r="E269" t="s">
        <v>61</v>
      </c>
      <c r="F269" s="5" t="s">
        <v>31</v>
      </c>
      <c r="G269" s="18">
        <v>561933</v>
      </c>
      <c r="H269" s="12">
        <v>12314</v>
      </c>
      <c r="I269" s="17">
        <v>574247</v>
      </c>
      <c r="J269">
        <f>VLOOKUP(F269,'LEAID Match'!$A$2:$B$44,2,FALSE)</f>
        <v>1000011</v>
      </c>
    </row>
    <row r="270" spans="1:10" x14ac:dyDescent="0.2">
      <c r="A270">
        <v>1000011</v>
      </c>
      <c r="B270">
        <v>2021</v>
      </c>
      <c r="C270" t="s">
        <v>59</v>
      </c>
      <c r="D270" t="s">
        <v>60</v>
      </c>
      <c r="E270" t="s">
        <v>61</v>
      </c>
      <c r="F270" s="3" t="s">
        <v>31</v>
      </c>
      <c r="G270" s="12">
        <v>763883</v>
      </c>
      <c r="H270" s="12">
        <v>0</v>
      </c>
      <c r="I270" s="17">
        <v>763883</v>
      </c>
      <c r="J270">
        <f>VLOOKUP(F270,'LEAID Match'!$A$2:$B$44,2,FALSE)</f>
        <v>1000011</v>
      </c>
    </row>
    <row r="271" spans="1:10" x14ac:dyDescent="0.2">
      <c r="A271">
        <v>1000011</v>
      </c>
      <c r="B271">
        <v>2022</v>
      </c>
      <c r="C271" t="s">
        <v>59</v>
      </c>
      <c r="D271" t="s">
        <v>60</v>
      </c>
      <c r="E271" t="s">
        <v>61</v>
      </c>
      <c r="F271" t="s">
        <v>31</v>
      </c>
      <c r="G271" s="17">
        <v>867339</v>
      </c>
      <c r="H271" s="17">
        <v>80514</v>
      </c>
      <c r="I271" s="17">
        <v>947853</v>
      </c>
      <c r="J271">
        <f>VLOOKUP(F271,'LEAID Match'!$A$2:$B$44,2,FALSE)</f>
        <v>1000011</v>
      </c>
    </row>
    <row r="272" spans="1:10" x14ac:dyDescent="0.2">
      <c r="A272">
        <v>1000011</v>
      </c>
      <c r="B272">
        <v>2023</v>
      </c>
      <c r="C272" t="s">
        <v>59</v>
      </c>
      <c r="D272" t="s">
        <v>60</v>
      </c>
      <c r="E272" t="s">
        <v>61</v>
      </c>
      <c r="F272" s="3" t="s">
        <v>31</v>
      </c>
      <c r="G272" s="18">
        <v>789593</v>
      </c>
      <c r="H272" s="12">
        <v>465061</v>
      </c>
      <c r="I272" s="17">
        <v>1254654</v>
      </c>
      <c r="J272">
        <f>VLOOKUP(F272,'LEAID Match'!$A$2:$B$44,2,FALSE)</f>
        <v>1000011</v>
      </c>
    </row>
    <row r="273" spans="1:10" x14ac:dyDescent="0.2">
      <c r="A273">
        <v>1000063</v>
      </c>
      <c r="B273">
        <v>2020</v>
      </c>
      <c r="C273" t="s">
        <v>59</v>
      </c>
      <c r="D273" t="s">
        <v>60</v>
      </c>
      <c r="E273" t="s">
        <v>61</v>
      </c>
      <c r="F273" s="5" t="s">
        <v>45</v>
      </c>
      <c r="G273" s="18">
        <v>4533</v>
      </c>
      <c r="H273" s="12">
        <v>99</v>
      </c>
      <c r="I273" s="17">
        <v>4632</v>
      </c>
      <c r="J273">
        <f>VLOOKUP(F273,'LEAID Match'!$A$2:$B$44,2,FALSE)</f>
        <v>1000063</v>
      </c>
    </row>
    <row r="274" spans="1:10" x14ac:dyDescent="0.2">
      <c r="A274">
        <v>1000063</v>
      </c>
      <c r="B274">
        <v>2021</v>
      </c>
      <c r="C274" t="s">
        <v>59</v>
      </c>
      <c r="D274" t="s">
        <v>60</v>
      </c>
      <c r="E274" t="s">
        <v>61</v>
      </c>
      <c r="F274" s="3" t="s">
        <v>45</v>
      </c>
      <c r="G274" s="12">
        <v>103673</v>
      </c>
      <c r="H274" s="12">
        <v>0</v>
      </c>
      <c r="I274" s="17">
        <v>103673</v>
      </c>
      <c r="J274">
        <f>VLOOKUP(F274,'LEAID Match'!$A$2:$B$44,2,FALSE)</f>
        <v>1000063</v>
      </c>
    </row>
    <row r="275" spans="1:10" x14ac:dyDescent="0.2">
      <c r="A275">
        <v>1000063</v>
      </c>
      <c r="B275">
        <v>2022</v>
      </c>
      <c r="C275" t="s">
        <v>59</v>
      </c>
      <c r="D275" t="s">
        <v>60</v>
      </c>
      <c r="E275" t="s">
        <v>61</v>
      </c>
      <c r="F275" t="s">
        <v>45</v>
      </c>
      <c r="G275" s="17">
        <v>171870</v>
      </c>
      <c r="H275" s="17">
        <v>15954</v>
      </c>
      <c r="I275" s="17">
        <v>187824</v>
      </c>
      <c r="J275">
        <f>VLOOKUP(F275,'LEAID Match'!$A$2:$B$44,2,FALSE)</f>
        <v>1000063</v>
      </c>
    </row>
    <row r="276" spans="1:10" x14ac:dyDescent="0.2">
      <c r="A276">
        <v>1000063</v>
      </c>
      <c r="B276">
        <v>2023</v>
      </c>
      <c r="C276" t="s">
        <v>59</v>
      </c>
      <c r="D276" t="s">
        <v>60</v>
      </c>
      <c r="E276" t="s">
        <v>61</v>
      </c>
      <c r="F276" s="3" t="s">
        <v>45</v>
      </c>
      <c r="G276" s="18">
        <v>185445</v>
      </c>
      <c r="H276" s="12">
        <v>109277</v>
      </c>
      <c r="I276" s="17">
        <v>294722</v>
      </c>
      <c r="J276">
        <f>VLOOKUP(F276,'LEAID Match'!$A$2:$B$44,2,FALSE)</f>
        <v>1000063</v>
      </c>
    </row>
    <row r="277" spans="1:10" x14ac:dyDescent="0.2">
      <c r="A277">
        <v>1000004</v>
      </c>
      <c r="B277">
        <v>2015</v>
      </c>
      <c r="C277" t="s">
        <v>59</v>
      </c>
      <c r="D277" t="s">
        <v>60</v>
      </c>
      <c r="E277" t="s">
        <v>61</v>
      </c>
      <c r="F277" t="s">
        <v>32</v>
      </c>
      <c r="G277" s="17">
        <v>486345</v>
      </c>
      <c r="H277" s="17">
        <v>89073</v>
      </c>
      <c r="I277" s="17">
        <v>575418</v>
      </c>
      <c r="J277">
        <f>VLOOKUP(F277,'LEAID Match'!$A$2:$B$44,2,FALSE)</f>
        <v>1000004</v>
      </c>
    </row>
    <row r="278" spans="1:10" x14ac:dyDescent="0.2">
      <c r="A278">
        <v>1000004</v>
      </c>
      <c r="B278">
        <v>2016</v>
      </c>
      <c r="C278" t="s">
        <v>59</v>
      </c>
      <c r="D278" t="s">
        <v>60</v>
      </c>
      <c r="E278" t="s">
        <v>61</v>
      </c>
      <c r="F278" s="3" t="s">
        <v>32</v>
      </c>
      <c r="G278" s="12">
        <v>503089</v>
      </c>
      <c r="H278" s="18">
        <v>106777</v>
      </c>
      <c r="I278" s="17">
        <v>609866</v>
      </c>
      <c r="J278">
        <f>VLOOKUP(F278,'LEAID Match'!$A$2:$B$44,2,FALSE)</f>
        <v>1000004</v>
      </c>
    </row>
    <row r="279" spans="1:10" x14ac:dyDescent="0.2">
      <c r="A279">
        <v>1000004</v>
      </c>
      <c r="B279">
        <v>2017</v>
      </c>
      <c r="C279" t="s">
        <v>59</v>
      </c>
      <c r="D279" t="s">
        <v>60</v>
      </c>
      <c r="E279" t="s">
        <v>61</v>
      </c>
      <c r="F279" t="s">
        <v>32</v>
      </c>
      <c r="G279" s="17">
        <v>513436</v>
      </c>
      <c r="H279" s="17">
        <v>83365</v>
      </c>
      <c r="I279" s="17">
        <v>596801</v>
      </c>
      <c r="J279">
        <f>VLOOKUP(F279,'LEAID Match'!$A$2:$B$44,2,FALSE)</f>
        <v>1000004</v>
      </c>
    </row>
    <row r="280" spans="1:10" x14ac:dyDescent="0.2">
      <c r="A280">
        <v>1000004</v>
      </c>
      <c r="B280">
        <v>2018</v>
      </c>
      <c r="C280" t="s">
        <v>59</v>
      </c>
      <c r="D280" t="s">
        <v>60</v>
      </c>
      <c r="E280" t="s">
        <v>61</v>
      </c>
      <c r="F280" s="3" t="s">
        <v>32</v>
      </c>
      <c r="G280" s="12">
        <v>558360</v>
      </c>
      <c r="H280" s="18">
        <v>28609</v>
      </c>
      <c r="I280" s="17">
        <v>586969</v>
      </c>
      <c r="J280">
        <f>VLOOKUP(F280,'LEAID Match'!$A$2:$B$44,2,FALSE)</f>
        <v>1000004</v>
      </c>
    </row>
    <row r="281" spans="1:10" x14ac:dyDescent="0.2">
      <c r="A281">
        <v>1000004</v>
      </c>
      <c r="B281">
        <v>2019</v>
      </c>
      <c r="C281" t="s">
        <v>59</v>
      </c>
      <c r="D281" t="s">
        <v>60</v>
      </c>
      <c r="E281" t="s">
        <v>61</v>
      </c>
      <c r="F281" s="3" t="s">
        <v>32</v>
      </c>
      <c r="G281" s="12">
        <v>634883</v>
      </c>
      <c r="H281" s="18">
        <v>56260</v>
      </c>
      <c r="I281" s="17">
        <v>691143</v>
      </c>
      <c r="J281">
        <f>VLOOKUP(F281,'LEAID Match'!$A$2:$B$44,2,FALSE)</f>
        <v>1000004</v>
      </c>
    </row>
    <row r="282" spans="1:10" x14ac:dyDescent="0.2">
      <c r="A282">
        <v>1000004</v>
      </c>
      <c r="B282">
        <v>2020</v>
      </c>
      <c r="C282" t="s">
        <v>59</v>
      </c>
      <c r="D282" t="s">
        <v>60</v>
      </c>
      <c r="E282" t="s">
        <v>61</v>
      </c>
      <c r="F282" s="5" t="s">
        <v>32</v>
      </c>
      <c r="G282" s="18">
        <v>652202</v>
      </c>
      <c r="H282" s="12">
        <v>14292</v>
      </c>
      <c r="I282" s="17">
        <v>666494</v>
      </c>
      <c r="J282">
        <f>VLOOKUP(F282,'LEAID Match'!$A$2:$B$44,2,FALSE)</f>
        <v>1000004</v>
      </c>
    </row>
    <row r="283" spans="1:10" x14ac:dyDescent="0.2">
      <c r="A283">
        <v>1000004</v>
      </c>
      <c r="B283">
        <v>2021</v>
      </c>
      <c r="C283" t="s">
        <v>59</v>
      </c>
      <c r="D283" t="s">
        <v>60</v>
      </c>
      <c r="E283" t="s">
        <v>61</v>
      </c>
      <c r="F283" s="3" t="s">
        <v>32</v>
      </c>
      <c r="G283" s="12">
        <v>659500</v>
      </c>
      <c r="H283" s="12">
        <v>0</v>
      </c>
      <c r="I283" s="17">
        <v>659500</v>
      </c>
      <c r="J283">
        <f>VLOOKUP(F283,'LEAID Match'!$A$2:$B$44,2,FALSE)</f>
        <v>1000004</v>
      </c>
    </row>
    <row r="284" spans="1:10" x14ac:dyDescent="0.2">
      <c r="A284">
        <v>1000004</v>
      </c>
      <c r="B284">
        <v>2022</v>
      </c>
      <c r="C284" t="s">
        <v>59</v>
      </c>
      <c r="D284" t="s">
        <v>60</v>
      </c>
      <c r="E284" t="s">
        <v>61</v>
      </c>
      <c r="F284" t="s">
        <v>32</v>
      </c>
      <c r="G284" s="17">
        <v>692294</v>
      </c>
      <c r="H284" s="17">
        <v>64265</v>
      </c>
      <c r="I284" s="17">
        <v>756559</v>
      </c>
      <c r="J284">
        <f>VLOOKUP(F284,'LEAID Match'!$A$2:$B$44,2,FALSE)</f>
        <v>1000004</v>
      </c>
    </row>
    <row r="285" spans="1:10" x14ac:dyDescent="0.2">
      <c r="A285">
        <v>1000004</v>
      </c>
      <c r="B285">
        <v>2023</v>
      </c>
      <c r="C285" t="s">
        <v>59</v>
      </c>
      <c r="D285" t="s">
        <v>60</v>
      </c>
      <c r="E285" t="s">
        <v>61</v>
      </c>
      <c r="F285" s="3" t="s">
        <v>32</v>
      </c>
      <c r="G285" s="18">
        <v>616185</v>
      </c>
      <c r="H285" s="12">
        <v>362932</v>
      </c>
      <c r="I285" s="17">
        <v>979117</v>
      </c>
      <c r="J285">
        <f>VLOOKUP(F285,'LEAID Match'!$A$2:$B$44,2,FALSE)</f>
        <v>1000004</v>
      </c>
    </row>
    <row r="286" spans="1:10" x14ac:dyDescent="0.2">
      <c r="A286">
        <v>1000058</v>
      </c>
      <c r="B286">
        <v>2015</v>
      </c>
      <c r="C286" t="s">
        <v>59</v>
      </c>
      <c r="D286" t="s">
        <v>60</v>
      </c>
      <c r="E286" t="s">
        <v>61</v>
      </c>
      <c r="F286" t="s">
        <v>33</v>
      </c>
      <c r="G286" s="17">
        <v>3989</v>
      </c>
      <c r="H286" s="17">
        <v>731</v>
      </c>
      <c r="I286" s="17">
        <v>4720</v>
      </c>
      <c r="J286">
        <f>VLOOKUP(F286,'LEAID Match'!$A$2:$B$44,2,FALSE)</f>
        <v>1000058</v>
      </c>
    </row>
    <row r="287" spans="1:10" x14ac:dyDescent="0.2">
      <c r="A287">
        <v>1000058</v>
      </c>
      <c r="B287">
        <v>2016</v>
      </c>
      <c r="C287" t="s">
        <v>59</v>
      </c>
      <c r="D287" t="s">
        <v>60</v>
      </c>
      <c r="E287" t="s">
        <v>61</v>
      </c>
      <c r="F287" s="3" t="s">
        <v>33</v>
      </c>
      <c r="G287" s="12">
        <v>39611</v>
      </c>
      <c r="H287" s="18">
        <v>8407</v>
      </c>
      <c r="I287" s="17">
        <v>48018</v>
      </c>
      <c r="J287">
        <f>VLOOKUP(F287,'LEAID Match'!$A$2:$B$44,2,FALSE)</f>
        <v>1000058</v>
      </c>
    </row>
    <row r="288" spans="1:10" x14ac:dyDescent="0.2">
      <c r="A288">
        <v>1000058</v>
      </c>
      <c r="B288">
        <v>2017</v>
      </c>
      <c r="C288" t="s">
        <v>59</v>
      </c>
      <c r="D288" t="s">
        <v>60</v>
      </c>
      <c r="E288" t="s">
        <v>61</v>
      </c>
      <c r="F288" t="s">
        <v>33</v>
      </c>
      <c r="I288" s="17">
        <v>0</v>
      </c>
      <c r="J288">
        <f>VLOOKUP(F288,'LEAID Match'!$A$2:$B$44,2,FALSE)</f>
        <v>1000058</v>
      </c>
    </row>
    <row r="289" spans="1:10" x14ac:dyDescent="0.2">
      <c r="A289">
        <v>1000058</v>
      </c>
      <c r="B289">
        <v>2018</v>
      </c>
      <c r="C289" t="s">
        <v>59</v>
      </c>
      <c r="D289" t="s">
        <v>60</v>
      </c>
      <c r="E289" t="s">
        <v>61</v>
      </c>
      <c r="F289" s="3" t="s">
        <v>33</v>
      </c>
      <c r="G289" s="12"/>
      <c r="H289" s="18"/>
      <c r="I289" s="17">
        <v>0</v>
      </c>
      <c r="J289">
        <f>VLOOKUP(F289,'LEAID Match'!$A$2:$B$44,2,FALSE)</f>
        <v>1000058</v>
      </c>
    </row>
    <row r="290" spans="1:10" x14ac:dyDescent="0.2">
      <c r="A290">
        <v>1000010</v>
      </c>
      <c r="B290">
        <v>2015</v>
      </c>
      <c r="C290" t="s">
        <v>59</v>
      </c>
      <c r="D290" t="s">
        <v>60</v>
      </c>
      <c r="E290" t="s">
        <v>61</v>
      </c>
      <c r="F290" t="s">
        <v>34</v>
      </c>
      <c r="G290" s="17">
        <v>354261</v>
      </c>
      <c r="H290" s="17">
        <v>64882</v>
      </c>
      <c r="I290" s="17">
        <v>419143</v>
      </c>
      <c r="J290">
        <f>VLOOKUP(F290,'LEAID Match'!$A$2:$B$44,2,FALSE)</f>
        <v>1000010</v>
      </c>
    </row>
    <row r="291" spans="1:10" x14ac:dyDescent="0.2">
      <c r="A291">
        <v>1000010</v>
      </c>
      <c r="B291">
        <v>2016</v>
      </c>
      <c r="C291" t="s">
        <v>59</v>
      </c>
      <c r="D291" t="s">
        <v>60</v>
      </c>
      <c r="E291" t="s">
        <v>61</v>
      </c>
      <c r="F291" s="3" t="s">
        <v>34</v>
      </c>
      <c r="G291" s="12">
        <v>348903</v>
      </c>
      <c r="H291" s="18">
        <v>74052</v>
      </c>
      <c r="I291" s="17">
        <v>422955</v>
      </c>
      <c r="J291">
        <f>VLOOKUP(F291,'LEAID Match'!$A$2:$B$44,2,FALSE)</f>
        <v>1000010</v>
      </c>
    </row>
    <row r="292" spans="1:10" x14ac:dyDescent="0.2">
      <c r="A292">
        <v>1000010</v>
      </c>
      <c r="B292">
        <v>2017</v>
      </c>
      <c r="C292" t="s">
        <v>59</v>
      </c>
      <c r="D292" t="s">
        <v>60</v>
      </c>
      <c r="E292" t="s">
        <v>61</v>
      </c>
      <c r="F292" t="s">
        <v>34</v>
      </c>
      <c r="G292" s="17">
        <v>360069</v>
      </c>
      <c r="H292" s="17">
        <v>58463</v>
      </c>
      <c r="I292" s="17">
        <v>418532</v>
      </c>
      <c r="J292">
        <f>VLOOKUP(F292,'LEAID Match'!$A$2:$B$44,2,FALSE)</f>
        <v>1000010</v>
      </c>
    </row>
    <row r="293" spans="1:10" x14ac:dyDescent="0.2">
      <c r="A293">
        <v>1000010</v>
      </c>
      <c r="B293">
        <v>2018</v>
      </c>
      <c r="C293" t="s">
        <v>59</v>
      </c>
      <c r="D293" t="s">
        <v>60</v>
      </c>
      <c r="E293" t="s">
        <v>61</v>
      </c>
      <c r="F293" s="3" t="s">
        <v>34</v>
      </c>
      <c r="G293" s="12">
        <v>405547</v>
      </c>
      <c r="H293" s="18">
        <v>20779</v>
      </c>
      <c r="I293" s="17">
        <v>426326</v>
      </c>
      <c r="J293">
        <f>VLOOKUP(F293,'LEAID Match'!$A$2:$B$44,2,FALSE)</f>
        <v>1000010</v>
      </c>
    </row>
    <row r="294" spans="1:10" x14ac:dyDescent="0.2">
      <c r="A294">
        <v>1000010</v>
      </c>
      <c r="B294">
        <v>2019</v>
      </c>
      <c r="C294" t="s">
        <v>59</v>
      </c>
      <c r="D294" t="s">
        <v>60</v>
      </c>
      <c r="E294" t="s">
        <v>61</v>
      </c>
      <c r="F294" s="3" t="s">
        <v>34</v>
      </c>
      <c r="G294" s="12">
        <v>467629</v>
      </c>
      <c r="H294" s="18">
        <v>41439</v>
      </c>
      <c r="I294" s="17">
        <v>509068</v>
      </c>
      <c r="J294">
        <f>VLOOKUP(F294,'LEAID Match'!$A$2:$B$44,2,FALSE)</f>
        <v>1000010</v>
      </c>
    </row>
    <row r="295" spans="1:10" x14ac:dyDescent="0.2">
      <c r="A295">
        <v>1000010</v>
      </c>
      <c r="B295">
        <v>2020</v>
      </c>
      <c r="C295" t="s">
        <v>59</v>
      </c>
      <c r="D295" t="s">
        <v>60</v>
      </c>
      <c r="E295" t="s">
        <v>61</v>
      </c>
      <c r="F295" s="5" t="s">
        <v>34</v>
      </c>
      <c r="G295" s="18">
        <v>484118</v>
      </c>
      <c r="H295" s="12">
        <v>10609</v>
      </c>
      <c r="I295" s="17">
        <v>494727</v>
      </c>
      <c r="J295">
        <f>VLOOKUP(F295,'LEAID Match'!$A$2:$B$44,2,FALSE)</f>
        <v>1000010</v>
      </c>
    </row>
    <row r="296" spans="1:10" x14ac:dyDescent="0.2">
      <c r="A296">
        <v>1000010</v>
      </c>
      <c r="B296">
        <v>2021</v>
      </c>
      <c r="C296" t="s">
        <v>59</v>
      </c>
      <c r="D296" t="s">
        <v>60</v>
      </c>
      <c r="E296" t="s">
        <v>61</v>
      </c>
      <c r="F296" s="3" t="s">
        <v>34</v>
      </c>
      <c r="G296" s="12">
        <v>506866</v>
      </c>
      <c r="H296" s="12">
        <v>0</v>
      </c>
      <c r="I296" s="17">
        <v>506866</v>
      </c>
      <c r="J296">
        <f>VLOOKUP(F296,'LEAID Match'!$A$2:$B$44,2,FALSE)</f>
        <v>1000010</v>
      </c>
    </row>
    <row r="297" spans="1:10" x14ac:dyDescent="0.2">
      <c r="A297">
        <v>1000010</v>
      </c>
      <c r="B297">
        <v>2022</v>
      </c>
      <c r="C297" t="s">
        <v>59</v>
      </c>
      <c r="D297" t="s">
        <v>60</v>
      </c>
      <c r="E297" t="s">
        <v>61</v>
      </c>
      <c r="F297" t="s">
        <v>34</v>
      </c>
      <c r="G297" s="17">
        <v>550002</v>
      </c>
      <c r="H297" s="17">
        <v>51056</v>
      </c>
      <c r="I297" s="17">
        <v>601058</v>
      </c>
      <c r="J297">
        <f>VLOOKUP(F297,'LEAID Match'!$A$2:$B$44,2,FALSE)</f>
        <v>1000010</v>
      </c>
    </row>
    <row r="298" spans="1:10" x14ac:dyDescent="0.2">
      <c r="A298">
        <v>1000010</v>
      </c>
      <c r="B298">
        <v>2023</v>
      </c>
      <c r="C298" t="s">
        <v>59</v>
      </c>
      <c r="D298" t="s">
        <v>60</v>
      </c>
      <c r="E298" t="s">
        <v>61</v>
      </c>
      <c r="F298" s="3" t="s">
        <v>34</v>
      </c>
      <c r="G298" s="18">
        <v>464733</v>
      </c>
      <c r="H298" s="12">
        <v>273669</v>
      </c>
      <c r="I298" s="17">
        <v>738402</v>
      </c>
      <c r="J298">
        <f>VLOOKUP(F298,'LEAID Match'!$A$2:$B$44,2,FALSE)</f>
        <v>1000010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4DB69-C5A5-3B41-AAC8-1B45CF11CA56}">
  <sheetPr>
    <tabColor rgb="FFFF0000"/>
  </sheetPr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F153D-B920-B24F-931E-2EC74045CF88}">
  <sheetPr>
    <tabColor rgb="FFFFFF00"/>
  </sheetPr>
  <dimension ref="A1:E39"/>
  <sheetViews>
    <sheetView workbookViewId="0">
      <selection sqref="A1:E36"/>
    </sheetView>
  </sheetViews>
  <sheetFormatPr baseColWidth="10" defaultRowHeight="16" x14ac:dyDescent="0.2"/>
  <cols>
    <col min="2" max="2" width="33.5" style="3" bestFit="1" customWidth="1"/>
    <col min="3" max="3" width="18.83203125" style="3" bestFit="1" customWidth="1"/>
    <col min="4" max="4" width="17.1640625" bestFit="1" customWidth="1"/>
  </cols>
  <sheetData>
    <row r="1" spans="1:5" x14ac:dyDescent="0.2">
      <c r="A1" t="s">
        <v>53</v>
      </c>
      <c r="B1" s="3" t="s">
        <v>49</v>
      </c>
      <c r="C1" s="3" t="s">
        <v>50</v>
      </c>
      <c r="D1" t="s">
        <v>51</v>
      </c>
      <c r="E1" t="s">
        <v>54</v>
      </c>
    </row>
    <row r="2" spans="1:5" x14ac:dyDescent="0.2">
      <c r="A2">
        <v>2015</v>
      </c>
      <c r="B2" s="3" t="s">
        <v>0</v>
      </c>
      <c r="C2" s="4">
        <v>71109</v>
      </c>
      <c r="D2" s="10">
        <v>13024</v>
      </c>
      <c r="E2" s="1">
        <f>SUM(C2:D2)</f>
        <v>84133</v>
      </c>
    </row>
    <row r="3" spans="1:5" x14ac:dyDescent="0.2">
      <c r="A3">
        <v>2015</v>
      </c>
      <c r="B3" s="3" t="s">
        <v>1</v>
      </c>
      <c r="C3" s="4">
        <v>124896</v>
      </c>
      <c r="D3" s="10">
        <v>22874</v>
      </c>
      <c r="E3" s="1">
        <f t="shared" ref="E3:E37" si="0">SUM(C3:D3)</f>
        <v>147770</v>
      </c>
    </row>
    <row r="4" spans="1:5" x14ac:dyDescent="0.2">
      <c r="A4">
        <v>2015</v>
      </c>
      <c r="B4" s="3" t="s">
        <v>2</v>
      </c>
      <c r="C4" s="4">
        <v>186452</v>
      </c>
      <c r="D4" s="10">
        <v>34148</v>
      </c>
      <c r="E4" s="1">
        <f t="shared" si="0"/>
        <v>220600</v>
      </c>
    </row>
    <row r="5" spans="1:5" x14ac:dyDescent="0.2">
      <c r="A5">
        <v>2015</v>
      </c>
      <c r="B5" s="3" t="s">
        <v>3</v>
      </c>
      <c r="C5" s="4">
        <v>189970</v>
      </c>
      <c r="D5" s="10">
        <v>34793</v>
      </c>
      <c r="E5" s="1">
        <f t="shared" si="0"/>
        <v>224763</v>
      </c>
    </row>
    <row r="6" spans="1:5" x14ac:dyDescent="0.2">
      <c r="A6">
        <v>2015</v>
      </c>
      <c r="B6" s="3" t="s">
        <v>4</v>
      </c>
      <c r="C6" s="4">
        <v>8259</v>
      </c>
      <c r="D6" s="10">
        <v>1513</v>
      </c>
      <c r="E6" s="1">
        <f t="shared" si="0"/>
        <v>9772</v>
      </c>
    </row>
    <row r="7" spans="1:5" x14ac:dyDescent="0.2">
      <c r="A7">
        <v>2015</v>
      </c>
      <c r="B7" s="3" t="s">
        <v>5</v>
      </c>
      <c r="C7" s="4">
        <v>84663</v>
      </c>
      <c r="D7" s="10">
        <v>15506</v>
      </c>
      <c r="E7" s="1">
        <f t="shared" si="0"/>
        <v>100169</v>
      </c>
    </row>
    <row r="8" spans="1:5" x14ac:dyDescent="0.2">
      <c r="A8">
        <v>2015</v>
      </c>
      <c r="B8" s="3" t="s">
        <v>6</v>
      </c>
      <c r="C8" s="4">
        <v>252762</v>
      </c>
      <c r="D8" s="10">
        <v>46293</v>
      </c>
      <c r="E8" s="1">
        <f t="shared" si="0"/>
        <v>299055</v>
      </c>
    </row>
    <row r="9" spans="1:5" x14ac:dyDescent="0.2">
      <c r="A9">
        <v>2015</v>
      </c>
      <c r="B9" s="3" t="s">
        <v>7</v>
      </c>
      <c r="C9" s="4">
        <v>239141</v>
      </c>
      <c r="D9" s="10">
        <v>43798</v>
      </c>
      <c r="E9" s="1">
        <f t="shared" si="0"/>
        <v>282939</v>
      </c>
    </row>
    <row r="10" spans="1:5" x14ac:dyDescent="0.2">
      <c r="A10">
        <v>2015</v>
      </c>
      <c r="B10" s="3" t="s">
        <v>8</v>
      </c>
      <c r="C10" s="4">
        <v>6508133</v>
      </c>
      <c r="D10" s="10">
        <v>1191951</v>
      </c>
      <c r="E10" s="1">
        <f t="shared" si="0"/>
        <v>7700084</v>
      </c>
    </row>
    <row r="11" spans="1:5" x14ac:dyDescent="0.2">
      <c r="A11">
        <v>2015</v>
      </c>
      <c r="B11" s="3" t="s">
        <v>9</v>
      </c>
      <c r="C11" s="4">
        <v>9311</v>
      </c>
      <c r="D11" s="10">
        <v>1705</v>
      </c>
      <c r="E11" s="1">
        <f t="shared" si="0"/>
        <v>11016</v>
      </c>
    </row>
    <row r="12" spans="1:5" x14ac:dyDescent="0.2">
      <c r="A12">
        <v>2015</v>
      </c>
      <c r="B12" s="3" t="s">
        <v>10</v>
      </c>
      <c r="C12" s="4">
        <v>82415</v>
      </c>
      <c r="D12" s="10">
        <v>15094</v>
      </c>
      <c r="E12" s="1">
        <f t="shared" si="0"/>
        <v>97509</v>
      </c>
    </row>
    <row r="13" spans="1:5" x14ac:dyDescent="0.2">
      <c r="A13">
        <v>2015</v>
      </c>
      <c r="B13" s="3" t="s">
        <v>11</v>
      </c>
      <c r="C13" s="4">
        <v>4543491</v>
      </c>
      <c r="D13" s="10">
        <v>832131</v>
      </c>
      <c r="E13" s="1">
        <f t="shared" si="0"/>
        <v>5375622</v>
      </c>
    </row>
    <row r="14" spans="1:5" x14ac:dyDescent="0.2">
      <c r="A14">
        <v>2015</v>
      </c>
      <c r="B14" s="3" t="s">
        <v>12</v>
      </c>
      <c r="C14" s="4">
        <v>532731</v>
      </c>
      <c r="D14" s="10">
        <v>97569</v>
      </c>
      <c r="E14" s="1">
        <f t="shared" si="0"/>
        <v>630300</v>
      </c>
    </row>
    <row r="15" spans="1:5" x14ac:dyDescent="0.2">
      <c r="A15">
        <v>2015</v>
      </c>
      <c r="B15" s="3" t="s">
        <v>13</v>
      </c>
      <c r="C15" s="4">
        <v>34099</v>
      </c>
      <c r="D15" s="10">
        <v>6245</v>
      </c>
      <c r="E15" s="1">
        <f t="shared" si="0"/>
        <v>40344</v>
      </c>
    </row>
    <row r="16" spans="1:5" x14ac:dyDescent="0.2">
      <c r="A16">
        <v>2015</v>
      </c>
      <c r="B16" s="3" t="s">
        <v>14</v>
      </c>
      <c r="C16" s="4">
        <v>302200</v>
      </c>
      <c r="D16" s="10">
        <v>55347</v>
      </c>
      <c r="E16" s="1">
        <f t="shared" si="0"/>
        <v>357547</v>
      </c>
    </row>
    <row r="17" spans="1:5" x14ac:dyDescent="0.2">
      <c r="A17">
        <v>2015</v>
      </c>
      <c r="B17" s="3" t="s">
        <v>15</v>
      </c>
      <c r="C17" s="4">
        <v>341059</v>
      </c>
      <c r="D17" s="10">
        <v>62464</v>
      </c>
      <c r="E17" s="1">
        <f t="shared" si="0"/>
        <v>403523</v>
      </c>
    </row>
    <row r="18" spans="1:5" x14ac:dyDescent="0.2">
      <c r="A18">
        <v>2015</v>
      </c>
      <c r="B18" s="3" t="s">
        <v>16</v>
      </c>
      <c r="C18" s="4">
        <v>3302</v>
      </c>
      <c r="D18" s="10">
        <v>605</v>
      </c>
      <c r="E18" s="1">
        <f t="shared" si="0"/>
        <v>3907</v>
      </c>
    </row>
    <row r="19" spans="1:5" x14ac:dyDescent="0.2">
      <c r="A19">
        <v>2015</v>
      </c>
      <c r="B19" s="3" t="s">
        <v>17</v>
      </c>
      <c r="C19" s="4">
        <v>102938</v>
      </c>
      <c r="D19" s="10">
        <v>18853</v>
      </c>
      <c r="E19" s="1">
        <f t="shared" si="0"/>
        <v>121791</v>
      </c>
    </row>
    <row r="20" spans="1:5" x14ac:dyDescent="0.2">
      <c r="A20">
        <v>2015</v>
      </c>
      <c r="B20" s="3" t="s">
        <v>18</v>
      </c>
      <c r="C20" s="4">
        <v>168569</v>
      </c>
      <c r="D20" s="10">
        <v>30873</v>
      </c>
      <c r="E20" s="1">
        <f t="shared" si="0"/>
        <v>199442</v>
      </c>
    </row>
    <row r="21" spans="1:5" x14ac:dyDescent="0.2">
      <c r="A21">
        <v>2015</v>
      </c>
      <c r="B21" s="3" t="s">
        <v>19</v>
      </c>
      <c r="C21" s="4">
        <v>191823</v>
      </c>
      <c r="D21" s="10">
        <v>35132</v>
      </c>
      <c r="E21" s="1">
        <f t="shared" si="0"/>
        <v>226955</v>
      </c>
    </row>
    <row r="22" spans="1:5" x14ac:dyDescent="0.2">
      <c r="A22">
        <v>2015</v>
      </c>
      <c r="B22" s="3" t="s">
        <v>20</v>
      </c>
      <c r="C22" s="4">
        <v>251229</v>
      </c>
      <c r="D22" s="10">
        <v>46012</v>
      </c>
      <c r="E22" s="1">
        <f t="shared" si="0"/>
        <v>297241</v>
      </c>
    </row>
    <row r="23" spans="1:5" x14ac:dyDescent="0.2">
      <c r="A23">
        <v>2015</v>
      </c>
      <c r="B23" s="3" t="s">
        <v>21</v>
      </c>
      <c r="C23" s="4">
        <v>244307</v>
      </c>
      <c r="D23" s="10">
        <v>44744</v>
      </c>
      <c r="E23" s="1">
        <f t="shared" si="0"/>
        <v>289051</v>
      </c>
    </row>
    <row r="24" spans="1:5" x14ac:dyDescent="0.2">
      <c r="A24">
        <v>2015</v>
      </c>
      <c r="B24" s="3" t="s">
        <v>22</v>
      </c>
      <c r="C24" s="4">
        <v>353433</v>
      </c>
      <c r="D24" s="10">
        <v>64731</v>
      </c>
      <c r="E24" s="1">
        <f t="shared" si="0"/>
        <v>418164</v>
      </c>
    </row>
    <row r="25" spans="1:5" x14ac:dyDescent="0.2">
      <c r="A25">
        <v>2015</v>
      </c>
      <c r="B25" s="3" t="s">
        <v>23</v>
      </c>
      <c r="C25" s="4">
        <v>175854</v>
      </c>
      <c r="D25" s="10">
        <v>32207</v>
      </c>
      <c r="E25" s="1">
        <f t="shared" si="0"/>
        <v>208061</v>
      </c>
    </row>
    <row r="26" spans="1:5" x14ac:dyDescent="0.2">
      <c r="A26">
        <v>2015</v>
      </c>
      <c r="B26" s="3" t="s">
        <v>24</v>
      </c>
      <c r="C26" s="4">
        <v>1021918</v>
      </c>
      <c r="D26" s="10">
        <v>187162</v>
      </c>
      <c r="E26" s="1">
        <f t="shared" si="0"/>
        <v>1209080</v>
      </c>
    </row>
    <row r="27" spans="1:5" x14ac:dyDescent="0.2">
      <c r="A27">
        <v>2015</v>
      </c>
      <c r="B27" s="3" t="s">
        <v>25</v>
      </c>
      <c r="C27" s="4">
        <v>465410</v>
      </c>
      <c r="D27" s="10">
        <v>85239</v>
      </c>
      <c r="E27" s="1">
        <f t="shared" si="0"/>
        <v>550649</v>
      </c>
    </row>
    <row r="28" spans="1:5" x14ac:dyDescent="0.2">
      <c r="A28">
        <v>2015</v>
      </c>
      <c r="B28" s="3" t="s">
        <v>26</v>
      </c>
      <c r="D28" s="10"/>
      <c r="E28" s="1">
        <f t="shared" si="0"/>
        <v>0</v>
      </c>
    </row>
    <row r="29" spans="1:5" x14ac:dyDescent="0.2">
      <c r="A29">
        <v>2015</v>
      </c>
      <c r="B29" s="3" t="s">
        <v>27</v>
      </c>
      <c r="C29" s="4">
        <v>130283</v>
      </c>
      <c r="D29" s="10">
        <v>23861</v>
      </c>
      <c r="E29" s="1">
        <f t="shared" si="0"/>
        <v>154144</v>
      </c>
    </row>
    <row r="30" spans="1:5" x14ac:dyDescent="0.2">
      <c r="A30">
        <v>2015</v>
      </c>
      <c r="B30" s="3" t="s">
        <v>28</v>
      </c>
      <c r="C30" s="4">
        <v>138146</v>
      </c>
      <c r="D30" s="10">
        <v>25301</v>
      </c>
      <c r="E30" s="1">
        <f t="shared" si="0"/>
        <v>163447</v>
      </c>
    </row>
    <row r="31" spans="1:5" x14ac:dyDescent="0.2">
      <c r="A31">
        <v>2015</v>
      </c>
      <c r="B31" s="3" t="s">
        <v>29</v>
      </c>
      <c r="C31" s="4">
        <v>241709</v>
      </c>
      <c r="D31" s="10">
        <v>44269</v>
      </c>
      <c r="E31" s="1">
        <f t="shared" si="0"/>
        <v>285978</v>
      </c>
    </row>
    <row r="32" spans="1:5" x14ac:dyDescent="0.2">
      <c r="A32">
        <v>2015</v>
      </c>
      <c r="B32" s="3" t="s">
        <v>30</v>
      </c>
      <c r="C32" s="4">
        <v>204772</v>
      </c>
      <c r="D32" s="10">
        <v>37504</v>
      </c>
      <c r="E32" s="1">
        <f t="shared" si="0"/>
        <v>242276</v>
      </c>
    </row>
    <row r="33" spans="1:5" x14ac:dyDescent="0.2">
      <c r="A33">
        <v>2015</v>
      </c>
      <c r="B33" s="3" t="s">
        <v>31</v>
      </c>
      <c r="C33" s="4">
        <v>220473</v>
      </c>
      <c r="D33" s="10">
        <v>40379</v>
      </c>
      <c r="E33" s="1">
        <f t="shared" si="0"/>
        <v>260852</v>
      </c>
    </row>
    <row r="34" spans="1:5" x14ac:dyDescent="0.2">
      <c r="A34">
        <v>2015</v>
      </c>
      <c r="B34" s="3" t="s">
        <v>32</v>
      </c>
      <c r="C34" s="4">
        <v>486345</v>
      </c>
      <c r="D34" s="10">
        <v>89073</v>
      </c>
      <c r="E34" s="1">
        <f t="shared" si="0"/>
        <v>575418</v>
      </c>
    </row>
    <row r="35" spans="1:5" x14ac:dyDescent="0.2">
      <c r="A35">
        <v>2015</v>
      </c>
      <c r="B35" s="3" t="s">
        <v>33</v>
      </c>
      <c r="C35" s="4">
        <v>3989</v>
      </c>
      <c r="D35" s="10">
        <v>731</v>
      </c>
      <c r="E35" s="1">
        <f t="shared" si="0"/>
        <v>4720</v>
      </c>
    </row>
    <row r="36" spans="1:5" x14ac:dyDescent="0.2">
      <c r="A36">
        <v>2015</v>
      </c>
      <c r="B36" s="3" t="s">
        <v>34</v>
      </c>
      <c r="C36" s="4">
        <v>354261</v>
      </c>
      <c r="D36" s="10">
        <v>64882</v>
      </c>
      <c r="E36" s="1">
        <f t="shared" si="0"/>
        <v>419143</v>
      </c>
    </row>
    <row r="37" spans="1:5" x14ac:dyDescent="0.2">
      <c r="A37">
        <v>2015</v>
      </c>
      <c r="B37" s="3" t="s">
        <v>35</v>
      </c>
      <c r="C37" s="4">
        <v>32654000</v>
      </c>
      <c r="E37" s="1">
        <f t="shared" si="0"/>
        <v>32654000</v>
      </c>
    </row>
    <row r="39" spans="1:5" x14ac:dyDescent="0.2">
      <c r="C39" s="4">
        <f>SUM(C2:C36)</f>
        <v>18269452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A3D60-7D6B-3D40-8935-A15158896990}">
  <sheetPr>
    <tabColor rgb="FFFFFF00"/>
  </sheetPr>
  <dimension ref="A1:E43"/>
  <sheetViews>
    <sheetView workbookViewId="0">
      <selection activeCell="A2" sqref="A2:E40"/>
    </sheetView>
  </sheetViews>
  <sheetFormatPr baseColWidth="10" defaultRowHeight="16" x14ac:dyDescent="0.2"/>
  <cols>
    <col min="2" max="2" width="34.33203125" bestFit="1" customWidth="1"/>
    <col min="3" max="3" width="18.83203125" style="3" bestFit="1" customWidth="1"/>
    <col min="4" max="4" width="17.1640625" style="3" bestFit="1" customWidth="1"/>
  </cols>
  <sheetData>
    <row r="1" spans="1:5" x14ac:dyDescent="0.2">
      <c r="A1" t="s">
        <v>53</v>
      </c>
      <c r="B1" s="3" t="s">
        <v>49</v>
      </c>
      <c r="C1" s="3" t="s">
        <v>50</v>
      </c>
      <c r="D1" s="3" t="s">
        <v>51</v>
      </c>
      <c r="E1" s="3" t="s">
        <v>54</v>
      </c>
    </row>
    <row r="2" spans="1:5" x14ac:dyDescent="0.2">
      <c r="A2">
        <v>2016</v>
      </c>
      <c r="B2" s="3" t="s">
        <v>0</v>
      </c>
      <c r="C2" s="4">
        <v>105534</v>
      </c>
      <c r="D2" s="6">
        <v>22399</v>
      </c>
      <c r="E2" s="1">
        <f>SUM(C2:D2)</f>
        <v>127933</v>
      </c>
    </row>
    <row r="3" spans="1:5" x14ac:dyDescent="0.2">
      <c r="A3">
        <v>2016</v>
      </c>
      <c r="B3" s="3" t="s">
        <v>1</v>
      </c>
      <c r="C3" s="4">
        <v>121924</v>
      </c>
      <c r="D3" s="6">
        <v>25878</v>
      </c>
      <c r="E3" s="1">
        <f t="shared" ref="E3:E41" si="0">SUM(C3:D3)</f>
        <v>147802</v>
      </c>
    </row>
    <row r="4" spans="1:5" x14ac:dyDescent="0.2">
      <c r="A4">
        <v>2016</v>
      </c>
      <c r="B4" s="3" t="s">
        <v>39</v>
      </c>
      <c r="C4" s="4">
        <v>190678</v>
      </c>
      <c r="D4" s="6">
        <v>40470</v>
      </c>
      <c r="E4" s="1">
        <f t="shared" si="0"/>
        <v>231148</v>
      </c>
    </row>
    <row r="5" spans="1:5" x14ac:dyDescent="0.2">
      <c r="A5">
        <v>2016</v>
      </c>
      <c r="B5" s="3" t="s">
        <v>40</v>
      </c>
      <c r="C5" s="4">
        <v>162547</v>
      </c>
      <c r="D5" s="6">
        <v>34499</v>
      </c>
      <c r="E5" s="1">
        <f t="shared" si="0"/>
        <v>197046</v>
      </c>
    </row>
    <row r="6" spans="1:5" x14ac:dyDescent="0.2">
      <c r="A6">
        <v>2016</v>
      </c>
      <c r="B6" s="3" t="s">
        <v>4</v>
      </c>
      <c r="C6" s="4">
        <v>9141</v>
      </c>
      <c r="D6" s="6">
        <v>1940</v>
      </c>
      <c r="E6" s="1">
        <f t="shared" si="0"/>
        <v>11081</v>
      </c>
    </row>
    <row r="7" spans="1:5" x14ac:dyDescent="0.2">
      <c r="A7">
        <v>2016</v>
      </c>
      <c r="B7" s="3" t="s">
        <v>5</v>
      </c>
      <c r="C7" s="4">
        <v>94532</v>
      </c>
      <c r="D7" s="6">
        <v>20064</v>
      </c>
      <c r="E7" s="1">
        <f t="shared" si="0"/>
        <v>114596</v>
      </c>
    </row>
    <row r="8" spans="1:5" x14ac:dyDescent="0.2">
      <c r="A8">
        <v>2016</v>
      </c>
      <c r="B8" s="3" t="s">
        <v>6</v>
      </c>
      <c r="C8" s="4">
        <v>266831</v>
      </c>
      <c r="D8" s="6">
        <v>56633</v>
      </c>
      <c r="E8" s="1">
        <f t="shared" si="0"/>
        <v>323464</v>
      </c>
    </row>
    <row r="9" spans="1:5" x14ac:dyDescent="0.2">
      <c r="A9">
        <v>2016</v>
      </c>
      <c r="B9" s="3" t="s">
        <v>36</v>
      </c>
      <c r="C9" s="4">
        <v>62252</v>
      </c>
      <c r="D9" s="6">
        <v>13213</v>
      </c>
      <c r="E9" s="1">
        <f t="shared" si="0"/>
        <v>75465</v>
      </c>
    </row>
    <row r="10" spans="1:5" x14ac:dyDescent="0.2">
      <c r="A10">
        <v>2016</v>
      </c>
      <c r="B10" s="3" t="s">
        <v>8</v>
      </c>
      <c r="C10" s="4">
        <v>6508250</v>
      </c>
      <c r="D10" s="6">
        <v>1381330</v>
      </c>
      <c r="E10" s="1">
        <f t="shared" si="0"/>
        <v>7889580</v>
      </c>
    </row>
    <row r="11" spans="1:5" x14ac:dyDescent="0.2">
      <c r="A11">
        <v>2016</v>
      </c>
      <c r="B11" s="3" t="s">
        <v>7</v>
      </c>
      <c r="C11" s="4">
        <v>244967</v>
      </c>
      <c r="D11" s="6">
        <v>51992</v>
      </c>
      <c r="E11" s="1">
        <f t="shared" si="0"/>
        <v>296959</v>
      </c>
    </row>
    <row r="12" spans="1:5" x14ac:dyDescent="0.2">
      <c r="A12">
        <v>2016</v>
      </c>
      <c r="B12" s="3" t="s">
        <v>12</v>
      </c>
      <c r="C12" s="4">
        <v>519277</v>
      </c>
      <c r="D12" s="6">
        <v>110213</v>
      </c>
      <c r="E12" s="1">
        <f t="shared" si="0"/>
        <v>629490</v>
      </c>
    </row>
    <row r="13" spans="1:5" x14ac:dyDescent="0.2">
      <c r="A13">
        <v>2016</v>
      </c>
      <c r="B13" s="3" t="s">
        <v>9</v>
      </c>
      <c r="C13" s="4">
        <v>10205</v>
      </c>
      <c r="D13" s="6">
        <v>2166</v>
      </c>
      <c r="E13" s="1">
        <f t="shared" si="0"/>
        <v>12371</v>
      </c>
    </row>
    <row r="14" spans="1:5" x14ac:dyDescent="0.2">
      <c r="A14">
        <v>2016</v>
      </c>
      <c r="B14" s="3" t="s">
        <v>10</v>
      </c>
      <c r="C14" s="4">
        <v>69271</v>
      </c>
      <c r="D14" s="6">
        <v>14702</v>
      </c>
      <c r="E14" s="1">
        <f t="shared" si="0"/>
        <v>83973</v>
      </c>
    </row>
    <row r="15" spans="1:5" x14ac:dyDescent="0.2">
      <c r="A15">
        <v>2016</v>
      </c>
      <c r="B15" s="3" t="s">
        <v>11</v>
      </c>
      <c r="C15" s="4">
        <v>4639186</v>
      </c>
      <c r="D15" s="6">
        <v>984634</v>
      </c>
      <c r="E15" s="1">
        <f t="shared" si="0"/>
        <v>5623820</v>
      </c>
    </row>
    <row r="16" spans="1:5" x14ac:dyDescent="0.2">
      <c r="A16">
        <v>2016</v>
      </c>
      <c r="B16" s="3" t="s">
        <v>37</v>
      </c>
      <c r="C16" s="4">
        <v>14732</v>
      </c>
      <c r="D16" s="6">
        <v>3127</v>
      </c>
      <c r="E16" s="1">
        <f t="shared" si="0"/>
        <v>17859</v>
      </c>
    </row>
    <row r="17" spans="1:5" x14ac:dyDescent="0.2">
      <c r="A17">
        <v>2016</v>
      </c>
      <c r="B17" s="3" t="s">
        <v>13</v>
      </c>
      <c r="C17" s="4">
        <v>85941</v>
      </c>
      <c r="D17" s="6">
        <v>18240</v>
      </c>
      <c r="E17" s="1">
        <f t="shared" si="0"/>
        <v>104181</v>
      </c>
    </row>
    <row r="18" spans="1:5" x14ac:dyDescent="0.2">
      <c r="A18">
        <v>2016</v>
      </c>
      <c r="B18" s="3" t="s">
        <v>14</v>
      </c>
      <c r="C18" s="4">
        <v>296467</v>
      </c>
      <c r="D18" s="6">
        <v>62923</v>
      </c>
      <c r="E18" s="1">
        <f t="shared" si="0"/>
        <v>359390</v>
      </c>
    </row>
    <row r="19" spans="1:5" x14ac:dyDescent="0.2">
      <c r="A19">
        <v>2016</v>
      </c>
      <c r="B19" s="3" t="s">
        <v>15</v>
      </c>
      <c r="C19" s="4">
        <v>365524</v>
      </c>
      <c r="D19" s="6">
        <v>77580</v>
      </c>
      <c r="E19" s="1">
        <f t="shared" si="0"/>
        <v>443104</v>
      </c>
    </row>
    <row r="20" spans="1:5" x14ac:dyDescent="0.2">
      <c r="A20">
        <v>2016</v>
      </c>
      <c r="B20" s="3" t="s">
        <v>16</v>
      </c>
      <c r="C20" s="4">
        <v>74127</v>
      </c>
      <c r="D20" s="6">
        <v>15733</v>
      </c>
      <c r="E20" s="1">
        <f t="shared" si="0"/>
        <v>89860</v>
      </c>
    </row>
    <row r="21" spans="1:5" x14ac:dyDescent="0.2">
      <c r="A21">
        <v>2016</v>
      </c>
      <c r="B21" s="3" t="s">
        <v>17</v>
      </c>
      <c r="C21" s="4">
        <v>143239</v>
      </c>
      <c r="D21" s="6">
        <v>30401</v>
      </c>
      <c r="E21" s="1">
        <f t="shared" si="0"/>
        <v>173640</v>
      </c>
    </row>
    <row r="22" spans="1:5" x14ac:dyDescent="0.2">
      <c r="A22">
        <v>2016</v>
      </c>
      <c r="B22" s="3" t="s">
        <v>41</v>
      </c>
      <c r="C22" s="4">
        <v>70434</v>
      </c>
      <c r="D22" s="6">
        <v>14949</v>
      </c>
      <c r="E22" s="1">
        <f t="shared" si="0"/>
        <v>85383</v>
      </c>
    </row>
    <row r="23" spans="1:5" x14ac:dyDescent="0.2">
      <c r="A23">
        <v>2016</v>
      </c>
      <c r="B23" s="3" t="s">
        <v>18</v>
      </c>
      <c r="C23" s="4">
        <v>167387</v>
      </c>
      <c r="D23" s="6">
        <v>35527</v>
      </c>
      <c r="E23" s="1">
        <f t="shared" si="0"/>
        <v>202914</v>
      </c>
    </row>
    <row r="24" spans="1:5" x14ac:dyDescent="0.2">
      <c r="A24">
        <v>2016</v>
      </c>
      <c r="B24" s="3" t="s">
        <v>42</v>
      </c>
      <c r="C24" s="4">
        <v>74068</v>
      </c>
      <c r="D24" s="6">
        <v>15720</v>
      </c>
      <c r="E24" s="1">
        <f t="shared" si="0"/>
        <v>89788</v>
      </c>
    </row>
    <row r="25" spans="1:5" x14ac:dyDescent="0.2">
      <c r="A25">
        <v>2016</v>
      </c>
      <c r="B25" s="3" t="s">
        <v>19</v>
      </c>
      <c r="C25" s="4">
        <v>284851</v>
      </c>
      <c r="D25" s="6">
        <v>60458</v>
      </c>
      <c r="E25" s="1">
        <f t="shared" si="0"/>
        <v>345309</v>
      </c>
    </row>
    <row r="26" spans="1:5" x14ac:dyDescent="0.2">
      <c r="A26">
        <v>2016</v>
      </c>
      <c r="B26" s="3" t="s">
        <v>20</v>
      </c>
      <c r="C26" s="4">
        <v>320840</v>
      </c>
      <c r="D26" s="6">
        <v>68096</v>
      </c>
      <c r="E26" s="1">
        <f t="shared" si="0"/>
        <v>388936</v>
      </c>
    </row>
    <row r="27" spans="1:5" x14ac:dyDescent="0.2">
      <c r="A27">
        <v>2016</v>
      </c>
      <c r="B27" s="3" t="s">
        <v>38</v>
      </c>
      <c r="C27" s="4">
        <v>242448</v>
      </c>
      <c r="D27" s="14">
        <v>51458</v>
      </c>
      <c r="E27" s="1">
        <f t="shared" si="0"/>
        <v>293906</v>
      </c>
    </row>
    <row r="28" spans="1:5" x14ac:dyDescent="0.2">
      <c r="A28">
        <v>2016</v>
      </c>
      <c r="B28" s="3" t="s">
        <v>22</v>
      </c>
      <c r="C28" s="4">
        <v>434928</v>
      </c>
      <c r="D28" s="6">
        <v>92310</v>
      </c>
      <c r="E28" s="1">
        <f t="shared" si="0"/>
        <v>527238</v>
      </c>
    </row>
    <row r="29" spans="1:5" x14ac:dyDescent="0.2">
      <c r="A29">
        <v>2016</v>
      </c>
      <c r="B29" s="3" t="s">
        <v>23</v>
      </c>
      <c r="D29" s="6"/>
      <c r="E29" s="1">
        <f t="shared" si="0"/>
        <v>0</v>
      </c>
    </row>
    <row r="30" spans="1:5" x14ac:dyDescent="0.2">
      <c r="A30">
        <v>2016</v>
      </c>
      <c r="B30" s="3" t="s">
        <v>24</v>
      </c>
      <c r="C30" s="4">
        <v>1175501</v>
      </c>
      <c r="D30" s="6">
        <v>249492</v>
      </c>
      <c r="E30" s="1">
        <f t="shared" si="0"/>
        <v>1424993</v>
      </c>
    </row>
    <row r="31" spans="1:5" x14ac:dyDescent="0.2">
      <c r="A31">
        <v>2016</v>
      </c>
      <c r="B31" s="3" t="s">
        <v>25</v>
      </c>
      <c r="C31" s="4">
        <v>504157</v>
      </c>
      <c r="D31" s="6">
        <v>107004</v>
      </c>
      <c r="E31" s="1">
        <f t="shared" si="0"/>
        <v>611161</v>
      </c>
    </row>
    <row r="32" spans="1:5" x14ac:dyDescent="0.2">
      <c r="A32">
        <v>2016</v>
      </c>
      <c r="B32" s="3" t="s">
        <v>26</v>
      </c>
      <c r="D32" s="6"/>
      <c r="E32" s="1">
        <f t="shared" si="0"/>
        <v>0</v>
      </c>
    </row>
    <row r="33" spans="1:5" x14ac:dyDescent="0.2">
      <c r="A33">
        <v>2016</v>
      </c>
      <c r="B33" s="3" t="s">
        <v>62</v>
      </c>
      <c r="C33" s="4">
        <v>130635</v>
      </c>
      <c r="D33" s="6">
        <v>27726</v>
      </c>
      <c r="E33" s="1">
        <f t="shared" si="0"/>
        <v>158361</v>
      </c>
    </row>
    <row r="34" spans="1:5" x14ac:dyDescent="0.2">
      <c r="A34">
        <v>2016</v>
      </c>
      <c r="B34" s="3" t="s">
        <v>28</v>
      </c>
      <c r="C34" s="4">
        <v>150889</v>
      </c>
      <c r="D34" s="6">
        <v>32025</v>
      </c>
      <c r="E34" s="1">
        <f t="shared" si="0"/>
        <v>182914</v>
      </c>
    </row>
    <row r="35" spans="1:5" x14ac:dyDescent="0.2">
      <c r="A35">
        <v>2016</v>
      </c>
      <c r="B35" s="3" t="s">
        <v>29</v>
      </c>
      <c r="C35" s="4">
        <v>266745</v>
      </c>
      <c r="D35" s="6">
        <v>56615</v>
      </c>
      <c r="E35" s="1">
        <f t="shared" si="0"/>
        <v>323360</v>
      </c>
    </row>
    <row r="36" spans="1:5" x14ac:dyDescent="0.2">
      <c r="A36">
        <v>2016</v>
      </c>
      <c r="B36" s="3" t="s">
        <v>30</v>
      </c>
      <c r="D36" s="6"/>
      <c r="E36" s="1">
        <f t="shared" si="0"/>
        <v>0</v>
      </c>
    </row>
    <row r="37" spans="1:5" x14ac:dyDescent="0.2">
      <c r="A37">
        <v>2016</v>
      </c>
      <c r="B37" s="3" t="s">
        <v>31</v>
      </c>
      <c r="C37" s="4">
        <v>275448</v>
      </c>
      <c r="D37" s="6">
        <v>58462</v>
      </c>
      <c r="E37" s="1">
        <f t="shared" si="0"/>
        <v>333910</v>
      </c>
    </row>
    <row r="38" spans="1:5" x14ac:dyDescent="0.2">
      <c r="A38">
        <v>2016</v>
      </c>
      <c r="B38" s="3" t="s">
        <v>32</v>
      </c>
      <c r="C38" s="4">
        <v>503089</v>
      </c>
      <c r="D38" s="6">
        <v>106777</v>
      </c>
      <c r="E38" s="1">
        <f t="shared" si="0"/>
        <v>609866</v>
      </c>
    </row>
    <row r="39" spans="1:5" x14ac:dyDescent="0.2">
      <c r="A39">
        <v>2016</v>
      </c>
      <c r="B39" s="3" t="s">
        <v>33</v>
      </c>
      <c r="C39" s="4">
        <v>39611</v>
      </c>
      <c r="D39" s="6">
        <v>8407</v>
      </c>
      <c r="E39" s="1">
        <f t="shared" si="0"/>
        <v>48018</v>
      </c>
    </row>
    <row r="40" spans="1:5" x14ac:dyDescent="0.2">
      <c r="A40">
        <v>2016</v>
      </c>
      <c r="B40" s="3" t="s">
        <v>34</v>
      </c>
      <c r="C40" s="4">
        <v>348903</v>
      </c>
      <c r="D40" s="6">
        <v>74052</v>
      </c>
      <c r="E40" s="1">
        <f t="shared" si="0"/>
        <v>422955</v>
      </c>
    </row>
    <row r="41" spans="1:5" x14ac:dyDescent="0.2">
      <c r="A41">
        <v>2016</v>
      </c>
      <c r="B41" s="3" t="s">
        <v>35</v>
      </c>
      <c r="C41" s="4">
        <v>38778205</v>
      </c>
      <c r="E41" s="1">
        <f t="shared" si="0"/>
        <v>38778205</v>
      </c>
    </row>
    <row r="43" spans="1:5" x14ac:dyDescent="0.2">
      <c r="C43" s="4">
        <f>SUM(C2:C40)</f>
        <v>18974559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9DA6-3E8A-894A-97F5-42C0D329113D}">
  <sheetPr>
    <tabColor rgb="FFFFFF00"/>
  </sheetPr>
  <dimension ref="A1:D43"/>
  <sheetViews>
    <sheetView workbookViewId="0">
      <selection activeCell="A2" sqref="A2:D40"/>
    </sheetView>
  </sheetViews>
  <sheetFormatPr baseColWidth="10" defaultRowHeight="16" x14ac:dyDescent="0.2"/>
  <cols>
    <col min="2" max="2" width="34.1640625" style="3" bestFit="1" customWidth="1"/>
    <col min="3" max="3" width="18.83203125" style="3" bestFit="1" customWidth="1"/>
    <col min="4" max="4" width="17.1640625" bestFit="1" customWidth="1"/>
  </cols>
  <sheetData>
    <row r="1" spans="1:4" x14ac:dyDescent="0.2">
      <c r="A1" t="s">
        <v>53</v>
      </c>
      <c r="B1" s="3" t="s">
        <v>49</v>
      </c>
      <c r="C1" s="3" t="s">
        <v>50</v>
      </c>
      <c r="D1" s="3" t="s">
        <v>51</v>
      </c>
    </row>
    <row r="2" spans="1:4" x14ac:dyDescent="0.2">
      <c r="A2">
        <v>2017</v>
      </c>
      <c r="B2" s="3" t="s">
        <v>0</v>
      </c>
      <c r="C2" s="4">
        <v>119341</v>
      </c>
      <c r="D2" s="6">
        <v>19377</v>
      </c>
    </row>
    <row r="3" spans="1:4" x14ac:dyDescent="0.2">
      <c r="A3">
        <v>2017</v>
      </c>
      <c r="B3" s="3" t="s">
        <v>1</v>
      </c>
      <c r="C3" s="4">
        <v>110385</v>
      </c>
      <c r="D3" s="6">
        <v>17923</v>
      </c>
    </row>
    <row r="4" spans="1:4" x14ac:dyDescent="0.2">
      <c r="A4">
        <v>2017</v>
      </c>
      <c r="B4" s="3" t="s">
        <v>2</v>
      </c>
      <c r="C4" s="4">
        <v>180877</v>
      </c>
      <c r="D4" s="6">
        <v>29369</v>
      </c>
    </row>
    <row r="5" spans="1:4" x14ac:dyDescent="0.2">
      <c r="A5">
        <v>2017</v>
      </c>
      <c r="B5" s="3" t="s">
        <v>40</v>
      </c>
      <c r="C5" s="4">
        <v>151412</v>
      </c>
      <c r="D5" s="6">
        <v>24584</v>
      </c>
    </row>
    <row r="6" spans="1:4" x14ac:dyDescent="0.2">
      <c r="A6">
        <v>2017</v>
      </c>
      <c r="B6" s="3" t="s">
        <v>4</v>
      </c>
      <c r="C6" s="4">
        <v>10008</v>
      </c>
      <c r="D6" s="6">
        <v>1625</v>
      </c>
    </row>
    <row r="7" spans="1:4" x14ac:dyDescent="0.2">
      <c r="A7">
        <v>2017</v>
      </c>
      <c r="B7" s="3" t="s">
        <v>5</v>
      </c>
      <c r="D7" s="6">
        <v>44284</v>
      </c>
    </row>
    <row r="8" spans="1:4" x14ac:dyDescent="0.2">
      <c r="A8">
        <v>2017</v>
      </c>
      <c r="B8" s="3" t="s">
        <v>6</v>
      </c>
      <c r="C8" s="4">
        <v>272738</v>
      </c>
      <c r="D8" s="6"/>
    </row>
    <row r="9" spans="1:4" x14ac:dyDescent="0.2">
      <c r="A9">
        <v>2017</v>
      </c>
      <c r="B9" s="3" t="s">
        <v>36</v>
      </c>
      <c r="C9" s="4">
        <v>108016</v>
      </c>
      <c r="D9" s="6">
        <v>17538</v>
      </c>
    </row>
    <row r="10" spans="1:4" x14ac:dyDescent="0.2">
      <c r="A10">
        <v>2017</v>
      </c>
      <c r="B10" s="3" t="s">
        <v>8</v>
      </c>
      <c r="C10" s="4">
        <v>6575637</v>
      </c>
      <c r="D10" s="6">
        <v>1067667</v>
      </c>
    </row>
    <row r="11" spans="1:4" x14ac:dyDescent="0.2">
      <c r="A11">
        <v>2017</v>
      </c>
      <c r="B11" s="3" t="s">
        <v>7</v>
      </c>
      <c r="C11" s="4">
        <v>238684</v>
      </c>
      <c r="D11" s="6">
        <v>38754</v>
      </c>
    </row>
    <row r="12" spans="1:4" x14ac:dyDescent="0.2">
      <c r="A12">
        <v>2017</v>
      </c>
      <c r="B12" s="3" t="s">
        <v>12</v>
      </c>
      <c r="C12" s="4">
        <v>526179</v>
      </c>
      <c r="D12" s="6">
        <v>85434</v>
      </c>
    </row>
    <row r="13" spans="1:4" x14ac:dyDescent="0.2">
      <c r="A13">
        <v>2017</v>
      </c>
      <c r="B13" s="3" t="s">
        <v>9</v>
      </c>
      <c r="C13" s="4">
        <v>7697</v>
      </c>
      <c r="D13" s="6">
        <v>1250</v>
      </c>
    </row>
    <row r="14" spans="1:4" x14ac:dyDescent="0.2">
      <c r="A14">
        <v>2017</v>
      </c>
      <c r="B14" s="3" t="s">
        <v>10</v>
      </c>
      <c r="C14" s="4">
        <v>52807</v>
      </c>
      <c r="D14" s="6">
        <v>8574</v>
      </c>
    </row>
    <row r="15" spans="1:4" x14ac:dyDescent="0.2">
      <c r="A15">
        <v>2017</v>
      </c>
      <c r="B15" s="3" t="s">
        <v>11</v>
      </c>
      <c r="C15" s="4">
        <v>4596417</v>
      </c>
      <c r="D15" s="6">
        <v>746307</v>
      </c>
    </row>
    <row r="16" spans="1:4" x14ac:dyDescent="0.2">
      <c r="A16">
        <v>2017</v>
      </c>
      <c r="B16" s="3" t="s">
        <v>37</v>
      </c>
      <c r="C16" s="3">
        <v>210</v>
      </c>
      <c r="D16" s="6">
        <v>34</v>
      </c>
    </row>
    <row r="17" spans="1:4" x14ac:dyDescent="0.2">
      <c r="A17">
        <v>2017</v>
      </c>
      <c r="B17" s="3" t="s">
        <v>13</v>
      </c>
      <c r="C17" s="4">
        <v>121375</v>
      </c>
      <c r="D17" s="6">
        <v>19707</v>
      </c>
    </row>
    <row r="18" spans="1:4" x14ac:dyDescent="0.2">
      <c r="A18">
        <v>2017</v>
      </c>
      <c r="B18" s="3" t="s">
        <v>14</v>
      </c>
      <c r="C18" s="4">
        <v>300991</v>
      </c>
      <c r="D18" s="6">
        <v>48871</v>
      </c>
    </row>
    <row r="19" spans="1:4" x14ac:dyDescent="0.2">
      <c r="A19">
        <v>2017</v>
      </c>
      <c r="B19" s="3" t="s">
        <v>15</v>
      </c>
      <c r="C19" s="4">
        <v>383158</v>
      </c>
      <c r="D19" s="6">
        <v>62212</v>
      </c>
    </row>
    <row r="20" spans="1:4" x14ac:dyDescent="0.2">
      <c r="A20">
        <v>2017</v>
      </c>
      <c r="B20" s="3" t="s">
        <v>16</v>
      </c>
      <c r="C20" s="4">
        <v>124376</v>
      </c>
      <c r="D20" s="6">
        <v>20195</v>
      </c>
    </row>
    <row r="21" spans="1:4" x14ac:dyDescent="0.2">
      <c r="A21">
        <v>2017</v>
      </c>
      <c r="B21" s="3" t="s">
        <v>17</v>
      </c>
      <c r="C21" s="4">
        <v>230697</v>
      </c>
      <c r="D21" s="6">
        <v>37458</v>
      </c>
    </row>
    <row r="22" spans="1:4" x14ac:dyDescent="0.2">
      <c r="A22">
        <v>2017</v>
      </c>
      <c r="B22" s="3" t="s">
        <v>41</v>
      </c>
      <c r="C22" s="4">
        <v>110881</v>
      </c>
      <c r="D22" s="6">
        <v>18003</v>
      </c>
    </row>
    <row r="23" spans="1:4" x14ac:dyDescent="0.2">
      <c r="A23">
        <v>2017</v>
      </c>
      <c r="B23" s="3" t="s">
        <v>18</v>
      </c>
      <c r="C23" s="4">
        <v>176930</v>
      </c>
      <c r="D23" s="6">
        <v>28728</v>
      </c>
    </row>
    <row r="24" spans="1:4" x14ac:dyDescent="0.2">
      <c r="A24">
        <v>2017</v>
      </c>
      <c r="B24" s="3" t="s">
        <v>42</v>
      </c>
      <c r="C24" s="4">
        <v>114031</v>
      </c>
      <c r="D24" s="6">
        <v>18515</v>
      </c>
    </row>
    <row r="25" spans="1:4" x14ac:dyDescent="0.2">
      <c r="A25">
        <v>2017</v>
      </c>
      <c r="B25" s="3" t="s">
        <v>19</v>
      </c>
      <c r="C25" s="4">
        <v>328389</v>
      </c>
      <c r="D25" s="6">
        <v>53320</v>
      </c>
    </row>
    <row r="26" spans="1:4" x14ac:dyDescent="0.2">
      <c r="A26">
        <v>2017</v>
      </c>
      <c r="B26" s="3" t="s">
        <v>20</v>
      </c>
      <c r="C26" s="4">
        <v>356501</v>
      </c>
      <c r="D26" s="6">
        <v>57884</v>
      </c>
    </row>
    <row r="27" spans="1:4" x14ac:dyDescent="0.2">
      <c r="A27">
        <v>2017</v>
      </c>
      <c r="B27" s="3" t="s">
        <v>38</v>
      </c>
      <c r="C27" s="4">
        <v>236800</v>
      </c>
      <c r="D27" s="6">
        <v>38449</v>
      </c>
    </row>
    <row r="28" spans="1:4" x14ac:dyDescent="0.2">
      <c r="A28">
        <v>2017</v>
      </c>
      <c r="B28" s="3" t="s">
        <v>22</v>
      </c>
      <c r="C28" s="4">
        <v>518808</v>
      </c>
      <c r="D28" s="6">
        <v>84237</v>
      </c>
    </row>
    <row r="29" spans="1:4" x14ac:dyDescent="0.2">
      <c r="A29">
        <v>2017</v>
      </c>
      <c r="B29" s="3" t="s">
        <v>23</v>
      </c>
      <c r="D29" s="6"/>
    </row>
    <row r="30" spans="1:4" x14ac:dyDescent="0.2">
      <c r="A30">
        <v>2017</v>
      </c>
      <c r="B30" s="3" t="s">
        <v>24</v>
      </c>
      <c r="C30" s="4">
        <v>1279678</v>
      </c>
      <c r="D30" s="6">
        <v>207778</v>
      </c>
    </row>
    <row r="31" spans="1:4" x14ac:dyDescent="0.2">
      <c r="A31">
        <v>2017</v>
      </c>
      <c r="B31" s="3" t="s">
        <v>25</v>
      </c>
      <c r="C31" s="4">
        <v>617960</v>
      </c>
      <c r="D31" s="6">
        <v>100336</v>
      </c>
    </row>
    <row r="32" spans="1:4" x14ac:dyDescent="0.2">
      <c r="A32">
        <v>2017</v>
      </c>
      <c r="B32" s="3" t="s">
        <v>26</v>
      </c>
      <c r="D32" s="6"/>
    </row>
    <row r="33" spans="1:4" x14ac:dyDescent="0.2">
      <c r="A33">
        <v>2017</v>
      </c>
      <c r="B33" s="3" t="s">
        <v>27</v>
      </c>
      <c r="C33" s="4">
        <v>138372</v>
      </c>
      <c r="D33" s="6">
        <v>22467</v>
      </c>
    </row>
    <row r="34" spans="1:4" x14ac:dyDescent="0.2">
      <c r="A34">
        <v>2017</v>
      </c>
      <c r="B34" s="3" t="s">
        <v>28</v>
      </c>
      <c r="C34" s="4">
        <v>84167</v>
      </c>
      <c r="D34" s="6">
        <v>13666</v>
      </c>
    </row>
    <row r="35" spans="1:4" x14ac:dyDescent="0.2">
      <c r="A35">
        <v>2017</v>
      </c>
      <c r="B35" s="3" t="s">
        <v>29</v>
      </c>
      <c r="C35" s="4">
        <v>277599</v>
      </c>
      <c r="D35" s="6">
        <v>45073</v>
      </c>
    </row>
    <row r="36" spans="1:4" x14ac:dyDescent="0.2">
      <c r="A36">
        <v>2017</v>
      </c>
      <c r="B36" s="3" t="s">
        <v>30</v>
      </c>
      <c r="D36" s="6"/>
    </row>
    <row r="37" spans="1:4" x14ac:dyDescent="0.2">
      <c r="A37">
        <v>2017</v>
      </c>
      <c r="B37" s="3" t="s">
        <v>31</v>
      </c>
      <c r="C37" s="4">
        <v>309118</v>
      </c>
      <c r="D37" s="6">
        <v>50191</v>
      </c>
    </row>
    <row r="38" spans="1:4" x14ac:dyDescent="0.2">
      <c r="A38">
        <v>2017</v>
      </c>
      <c r="B38" s="3" t="s">
        <v>32</v>
      </c>
      <c r="C38" s="4">
        <v>513436</v>
      </c>
      <c r="D38" s="6">
        <v>83365</v>
      </c>
    </row>
    <row r="39" spans="1:4" x14ac:dyDescent="0.2">
      <c r="A39">
        <v>2017</v>
      </c>
      <c r="B39" s="3" t="s">
        <v>33</v>
      </c>
      <c r="D39" s="6"/>
    </row>
    <row r="40" spans="1:4" x14ac:dyDescent="0.2">
      <c r="A40">
        <v>2017</v>
      </c>
      <c r="B40" s="3" t="s">
        <v>34</v>
      </c>
      <c r="C40" s="4">
        <v>360069</v>
      </c>
      <c r="D40" s="6">
        <v>58463</v>
      </c>
    </row>
    <row r="41" spans="1:4" x14ac:dyDescent="0.2">
      <c r="C41" s="4"/>
      <c r="D41" s="3"/>
    </row>
    <row r="42" spans="1:4" x14ac:dyDescent="0.2">
      <c r="C42" s="4">
        <f>SUM(C2:C40)</f>
        <v>19533744</v>
      </c>
      <c r="D42" s="3"/>
    </row>
    <row r="43" spans="1:4" x14ac:dyDescent="0.2">
      <c r="D43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C9D34-9054-974E-973D-17FD0F9B36F8}">
  <sheetPr>
    <tabColor rgb="FFFFFF00"/>
  </sheetPr>
  <dimension ref="A1:D43"/>
  <sheetViews>
    <sheetView workbookViewId="0">
      <selection activeCell="A2" sqref="A2:D40"/>
    </sheetView>
  </sheetViews>
  <sheetFormatPr baseColWidth="10" defaultRowHeight="16" x14ac:dyDescent="0.2"/>
  <cols>
    <col min="2" max="2" width="35.1640625" style="3" bestFit="1" customWidth="1"/>
    <col min="3" max="3" width="18.83203125" style="3" bestFit="1" customWidth="1"/>
    <col min="4" max="4" width="17.1640625" bestFit="1" customWidth="1"/>
  </cols>
  <sheetData>
    <row r="1" spans="1:4" x14ac:dyDescent="0.2">
      <c r="A1" t="s">
        <v>53</v>
      </c>
      <c r="B1" s="3" t="s">
        <v>49</v>
      </c>
      <c r="C1" s="3" t="s">
        <v>50</v>
      </c>
      <c r="D1" t="s">
        <v>51</v>
      </c>
    </row>
    <row r="2" spans="1:4" x14ac:dyDescent="0.2">
      <c r="A2">
        <v>2018</v>
      </c>
      <c r="B2" s="3" t="s">
        <v>0</v>
      </c>
      <c r="C2" s="4">
        <v>193483</v>
      </c>
      <c r="D2" s="6">
        <v>9914</v>
      </c>
    </row>
    <row r="3" spans="1:4" x14ac:dyDescent="0.2">
      <c r="A3">
        <v>2018</v>
      </c>
      <c r="B3" s="3" t="s">
        <v>1</v>
      </c>
      <c r="C3" s="4">
        <v>112249</v>
      </c>
      <c r="D3" s="6">
        <v>5751</v>
      </c>
    </row>
    <row r="4" spans="1:4" x14ac:dyDescent="0.2">
      <c r="A4">
        <v>2018</v>
      </c>
      <c r="B4" s="3" t="s">
        <v>2</v>
      </c>
      <c r="C4" s="4">
        <v>213620</v>
      </c>
      <c r="D4" s="6">
        <v>10945</v>
      </c>
    </row>
    <row r="5" spans="1:4" x14ac:dyDescent="0.2">
      <c r="A5">
        <v>2018</v>
      </c>
      <c r="B5" s="3" t="s">
        <v>40</v>
      </c>
      <c r="C5" s="4">
        <v>156945</v>
      </c>
      <c r="D5" s="6">
        <v>8041</v>
      </c>
    </row>
    <row r="6" spans="1:4" x14ac:dyDescent="0.2">
      <c r="A6">
        <v>2018</v>
      </c>
      <c r="B6" s="3" t="s">
        <v>4</v>
      </c>
      <c r="C6" s="4">
        <v>11060</v>
      </c>
      <c r="D6" s="6">
        <v>567</v>
      </c>
    </row>
    <row r="7" spans="1:4" x14ac:dyDescent="0.2">
      <c r="A7">
        <v>2018</v>
      </c>
      <c r="B7" s="3" t="s">
        <v>5</v>
      </c>
      <c r="D7" s="6"/>
    </row>
    <row r="8" spans="1:4" x14ac:dyDescent="0.2">
      <c r="A8">
        <v>2018</v>
      </c>
      <c r="B8" s="3" t="s">
        <v>6</v>
      </c>
      <c r="C8" s="4">
        <v>318088</v>
      </c>
      <c r="D8" s="6">
        <v>16298</v>
      </c>
    </row>
    <row r="9" spans="1:4" x14ac:dyDescent="0.2">
      <c r="A9">
        <v>2018</v>
      </c>
      <c r="B9" s="3" t="s">
        <v>36</v>
      </c>
      <c r="C9" s="4">
        <v>148306</v>
      </c>
      <c r="D9" s="6">
        <v>7599</v>
      </c>
    </row>
    <row r="10" spans="1:4" x14ac:dyDescent="0.2">
      <c r="A10">
        <v>2018</v>
      </c>
      <c r="B10" s="3" t="s">
        <v>8</v>
      </c>
      <c r="C10" s="4">
        <v>7301989</v>
      </c>
      <c r="D10" s="6">
        <v>374133</v>
      </c>
    </row>
    <row r="11" spans="1:4" x14ac:dyDescent="0.2">
      <c r="A11">
        <v>2018</v>
      </c>
      <c r="B11" s="3" t="s">
        <v>7</v>
      </c>
      <c r="C11" s="4">
        <v>184544</v>
      </c>
      <c r="D11" s="6">
        <v>9456</v>
      </c>
    </row>
    <row r="12" spans="1:4" x14ac:dyDescent="0.2">
      <c r="A12">
        <v>2018</v>
      </c>
      <c r="B12" s="3" t="s">
        <v>12</v>
      </c>
      <c r="C12" s="4">
        <v>626327</v>
      </c>
      <c r="D12" s="6">
        <v>32091</v>
      </c>
    </row>
    <row r="13" spans="1:4" x14ac:dyDescent="0.2">
      <c r="A13">
        <v>2018</v>
      </c>
      <c r="B13" s="3" t="s">
        <v>9</v>
      </c>
      <c r="C13" s="4">
        <v>6404</v>
      </c>
      <c r="D13" s="6">
        <v>328</v>
      </c>
    </row>
    <row r="14" spans="1:4" x14ac:dyDescent="0.2">
      <c r="A14">
        <v>2018</v>
      </c>
      <c r="B14" s="3" t="s">
        <v>10</v>
      </c>
      <c r="C14" s="4">
        <v>46856</v>
      </c>
      <c r="D14" s="6">
        <v>2401</v>
      </c>
    </row>
    <row r="15" spans="1:4" x14ac:dyDescent="0.2">
      <c r="A15">
        <v>2018</v>
      </c>
      <c r="B15" s="3" t="s">
        <v>11</v>
      </c>
      <c r="C15" s="4">
        <v>5066411</v>
      </c>
      <c r="D15" s="6">
        <v>259588</v>
      </c>
    </row>
    <row r="16" spans="1:4" x14ac:dyDescent="0.2">
      <c r="A16">
        <v>2018</v>
      </c>
      <c r="B16" s="3" t="s">
        <v>37</v>
      </c>
      <c r="D16" s="6"/>
    </row>
    <row r="17" spans="1:4" x14ac:dyDescent="0.2">
      <c r="A17">
        <v>2018</v>
      </c>
      <c r="B17" s="3" t="s">
        <v>13</v>
      </c>
      <c r="C17" s="4">
        <v>152884</v>
      </c>
      <c r="D17" s="6">
        <v>7833</v>
      </c>
    </row>
    <row r="18" spans="1:4" x14ac:dyDescent="0.2">
      <c r="A18">
        <v>2018</v>
      </c>
      <c r="B18" s="3" t="s">
        <v>14</v>
      </c>
      <c r="C18" s="4">
        <v>347940</v>
      </c>
      <c r="D18" s="6">
        <v>17827</v>
      </c>
    </row>
    <row r="19" spans="1:4" x14ac:dyDescent="0.2">
      <c r="A19">
        <v>2018</v>
      </c>
      <c r="B19" s="3" t="s">
        <v>15</v>
      </c>
      <c r="C19" s="4">
        <v>421309</v>
      </c>
      <c r="D19" s="6">
        <v>21587</v>
      </c>
    </row>
    <row r="20" spans="1:4" x14ac:dyDescent="0.2">
      <c r="A20">
        <v>2018</v>
      </c>
      <c r="B20" s="3" t="s">
        <v>16</v>
      </c>
      <c r="C20" s="4">
        <v>191786</v>
      </c>
      <c r="D20" s="6">
        <v>9827</v>
      </c>
    </row>
    <row r="21" spans="1:4" x14ac:dyDescent="0.2">
      <c r="A21">
        <v>2018</v>
      </c>
      <c r="B21" s="3" t="s">
        <v>17</v>
      </c>
      <c r="C21" s="4">
        <v>294859</v>
      </c>
      <c r="D21" s="6">
        <v>15108</v>
      </c>
    </row>
    <row r="22" spans="1:4" x14ac:dyDescent="0.2">
      <c r="A22">
        <v>2018</v>
      </c>
      <c r="B22" s="3" t="s">
        <v>41</v>
      </c>
      <c r="C22" s="4">
        <v>187646</v>
      </c>
      <c r="D22" s="6">
        <v>9614</v>
      </c>
    </row>
    <row r="23" spans="1:4" x14ac:dyDescent="0.2">
      <c r="A23">
        <v>2018</v>
      </c>
      <c r="B23" s="3" t="s">
        <v>18</v>
      </c>
      <c r="C23" s="4">
        <v>187642</v>
      </c>
      <c r="D23" s="6">
        <v>9614</v>
      </c>
    </row>
    <row r="24" spans="1:4" x14ac:dyDescent="0.2">
      <c r="A24">
        <v>2018</v>
      </c>
      <c r="B24" s="3" t="s">
        <v>42</v>
      </c>
      <c r="C24" s="4">
        <v>178761</v>
      </c>
      <c r="D24" s="6">
        <v>9159</v>
      </c>
    </row>
    <row r="25" spans="1:4" x14ac:dyDescent="0.2">
      <c r="A25">
        <v>2018</v>
      </c>
      <c r="B25" s="3" t="s">
        <v>19</v>
      </c>
      <c r="C25" s="4">
        <v>394678</v>
      </c>
      <c r="D25" s="6">
        <v>20222</v>
      </c>
    </row>
    <row r="26" spans="1:4" x14ac:dyDescent="0.2">
      <c r="A26">
        <v>2018</v>
      </c>
      <c r="B26" s="3" t="s">
        <v>20</v>
      </c>
      <c r="C26" s="4">
        <v>495387</v>
      </c>
      <c r="D26" s="6">
        <v>25382</v>
      </c>
    </row>
    <row r="27" spans="1:4" x14ac:dyDescent="0.2">
      <c r="A27">
        <v>2018</v>
      </c>
      <c r="B27" s="3" t="s">
        <v>38</v>
      </c>
      <c r="C27" s="4">
        <v>253999</v>
      </c>
      <c r="D27" s="6">
        <v>13014</v>
      </c>
    </row>
    <row r="28" spans="1:4" x14ac:dyDescent="0.2">
      <c r="A28">
        <v>2018</v>
      </c>
      <c r="B28" s="3" t="s">
        <v>22</v>
      </c>
      <c r="C28" s="4">
        <v>639803</v>
      </c>
      <c r="D28" s="6">
        <v>32782</v>
      </c>
    </row>
    <row r="29" spans="1:4" x14ac:dyDescent="0.2">
      <c r="A29">
        <v>2018</v>
      </c>
      <c r="B29" s="3" t="s">
        <v>23</v>
      </c>
      <c r="D29" s="6"/>
    </row>
    <row r="30" spans="1:4" x14ac:dyDescent="0.2">
      <c r="A30">
        <v>2018</v>
      </c>
      <c r="B30" s="3" t="s">
        <v>24</v>
      </c>
      <c r="C30" s="4">
        <v>1499664</v>
      </c>
      <c r="D30" s="6">
        <v>76838</v>
      </c>
    </row>
    <row r="31" spans="1:4" x14ac:dyDescent="0.2">
      <c r="A31">
        <v>2018</v>
      </c>
      <c r="B31" s="3" t="s">
        <v>25</v>
      </c>
      <c r="C31" s="4">
        <v>863761</v>
      </c>
      <c r="D31" s="14">
        <v>44257</v>
      </c>
    </row>
    <row r="32" spans="1:4" x14ac:dyDescent="0.2">
      <c r="A32">
        <v>2018</v>
      </c>
      <c r="B32" s="3" t="s">
        <v>26</v>
      </c>
      <c r="D32" s="6"/>
    </row>
    <row r="33" spans="1:4" x14ac:dyDescent="0.2">
      <c r="A33">
        <v>2018</v>
      </c>
      <c r="B33" s="3" t="s">
        <v>27</v>
      </c>
      <c r="C33" s="4">
        <v>159160</v>
      </c>
      <c r="D33" s="6">
        <v>8155</v>
      </c>
    </row>
    <row r="34" spans="1:4" x14ac:dyDescent="0.2">
      <c r="A34">
        <v>2018</v>
      </c>
      <c r="B34" s="3" t="s">
        <v>28</v>
      </c>
      <c r="D34" s="6">
        <v>0</v>
      </c>
    </row>
    <row r="35" spans="1:4" x14ac:dyDescent="0.2">
      <c r="A35">
        <v>2018</v>
      </c>
      <c r="B35" s="3" t="s">
        <v>29</v>
      </c>
      <c r="C35" s="4">
        <v>293402</v>
      </c>
      <c r="D35" s="6">
        <v>15033</v>
      </c>
    </row>
    <row r="36" spans="1:4" x14ac:dyDescent="0.2">
      <c r="A36">
        <v>2018</v>
      </c>
      <c r="B36" s="3" t="s">
        <v>30</v>
      </c>
      <c r="D36" s="6"/>
    </row>
    <row r="37" spans="1:4" x14ac:dyDescent="0.2">
      <c r="A37">
        <v>2018</v>
      </c>
      <c r="B37" s="3" t="s">
        <v>31</v>
      </c>
      <c r="C37" s="4">
        <v>379987</v>
      </c>
      <c r="D37" s="6">
        <v>19469</v>
      </c>
    </row>
    <row r="38" spans="1:4" x14ac:dyDescent="0.2">
      <c r="A38">
        <v>2018</v>
      </c>
      <c r="B38" s="3" t="s">
        <v>33</v>
      </c>
      <c r="D38" s="6"/>
    </row>
    <row r="39" spans="1:4" x14ac:dyDescent="0.2">
      <c r="A39">
        <v>2018</v>
      </c>
      <c r="B39" s="3" t="s">
        <v>32</v>
      </c>
      <c r="C39" s="4">
        <v>558360</v>
      </c>
      <c r="D39" s="6">
        <v>28609</v>
      </c>
    </row>
    <row r="40" spans="1:4" x14ac:dyDescent="0.2">
      <c r="A40">
        <v>2018</v>
      </c>
      <c r="B40" s="3" t="s">
        <v>34</v>
      </c>
      <c r="C40" s="4">
        <v>405547</v>
      </c>
      <c r="D40" s="6">
        <v>20779</v>
      </c>
    </row>
    <row r="41" spans="1:4" x14ac:dyDescent="0.2">
      <c r="A41">
        <v>2018</v>
      </c>
      <c r="B41" s="3" t="s">
        <v>35</v>
      </c>
      <c r="C41" s="4">
        <v>10600104</v>
      </c>
    </row>
    <row r="42" spans="1:4" x14ac:dyDescent="0.2">
      <c r="C42" s="4"/>
    </row>
    <row r="43" spans="1:4" x14ac:dyDescent="0.2">
      <c r="C43" s="4">
        <f>SUM(C2:C40)</f>
        <v>22292857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0083F-1CF2-F14F-AF31-4174D8824E5F}">
  <sheetPr>
    <tabColor rgb="FFFFFF00"/>
  </sheetPr>
  <dimension ref="A1:J36"/>
  <sheetViews>
    <sheetView workbookViewId="0">
      <selection activeCell="A2" sqref="A2:D32"/>
    </sheetView>
  </sheetViews>
  <sheetFormatPr baseColWidth="10" defaultRowHeight="16" x14ac:dyDescent="0.2"/>
  <cols>
    <col min="2" max="2" width="34.1640625" style="3" bestFit="1" customWidth="1"/>
    <col min="3" max="3" width="18.83203125" style="3" bestFit="1" customWidth="1"/>
    <col min="4" max="4" width="17.1640625" bestFit="1" customWidth="1"/>
  </cols>
  <sheetData>
    <row r="1" spans="1:10" x14ac:dyDescent="0.2">
      <c r="A1" t="s">
        <v>53</v>
      </c>
      <c r="B1" s="3" t="s">
        <v>49</v>
      </c>
      <c r="C1" s="3" t="s">
        <v>50</v>
      </c>
      <c r="D1" t="s">
        <v>51</v>
      </c>
    </row>
    <row r="2" spans="1:10" x14ac:dyDescent="0.2">
      <c r="A2">
        <v>2019</v>
      </c>
      <c r="B2" s="3" t="s">
        <v>0</v>
      </c>
      <c r="C2" s="4">
        <v>350968</v>
      </c>
      <c r="D2" s="6">
        <v>31101</v>
      </c>
      <c r="G2" s="2"/>
    </row>
    <row r="3" spans="1:10" x14ac:dyDescent="0.2">
      <c r="A3">
        <v>2019</v>
      </c>
      <c r="B3" s="3" t="s">
        <v>1</v>
      </c>
      <c r="C3" s="4">
        <v>138460</v>
      </c>
      <c r="D3" s="6">
        <v>12269</v>
      </c>
      <c r="G3" s="16"/>
      <c r="H3" s="14"/>
      <c r="I3" s="14"/>
      <c r="J3" s="1"/>
    </row>
    <row r="4" spans="1:10" x14ac:dyDescent="0.2">
      <c r="A4">
        <v>2019</v>
      </c>
      <c r="B4" s="3" t="s">
        <v>2</v>
      </c>
      <c r="C4" s="4">
        <v>229165</v>
      </c>
      <c r="D4" s="6">
        <v>20307</v>
      </c>
      <c r="G4" s="16"/>
      <c r="H4" s="14"/>
      <c r="I4" s="14"/>
      <c r="J4" s="1"/>
    </row>
    <row r="5" spans="1:10" x14ac:dyDescent="0.2">
      <c r="A5">
        <v>2019</v>
      </c>
      <c r="B5" s="3" t="s">
        <v>40</v>
      </c>
      <c r="C5" s="4">
        <v>49340</v>
      </c>
      <c r="D5" s="6">
        <v>4372</v>
      </c>
      <c r="G5" s="16"/>
      <c r="H5" s="14"/>
      <c r="I5" s="14"/>
      <c r="J5" s="1"/>
    </row>
    <row r="6" spans="1:10" x14ac:dyDescent="0.2">
      <c r="A6">
        <v>2019</v>
      </c>
      <c r="B6" s="3" t="s">
        <v>4</v>
      </c>
      <c r="C6" s="4">
        <v>10742</v>
      </c>
      <c r="D6" s="6">
        <v>952</v>
      </c>
      <c r="G6" s="16"/>
      <c r="H6" s="14"/>
      <c r="I6" s="14"/>
      <c r="J6" s="1"/>
    </row>
    <row r="7" spans="1:10" x14ac:dyDescent="0.2">
      <c r="A7">
        <v>2019</v>
      </c>
      <c r="B7" s="3" t="s">
        <v>6</v>
      </c>
      <c r="C7" s="4">
        <v>376713</v>
      </c>
      <c r="D7" s="6">
        <v>33383</v>
      </c>
      <c r="G7" s="16"/>
      <c r="H7" s="2"/>
      <c r="I7" s="2"/>
      <c r="J7" s="1"/>
    </row>
    <row r="8" spans="1:10" x14ac:dyDescent="0.2">
      <c r="A8">
        <v>2019</v>
      </c>
      <c r="B8" s="3" t="s">
        <v>43</v>
      </c>
      <c r="C8" s="4">
        <v>243957</v>
      </c>
      <c r="D8" s="6">
        <v>21618</v>
      </c>
      <c r="G8" s="16"/>
      <c r="H8" s="14"/>
      <c r="I8" s="14"/>
      <c r="J8" s="1"/>
    </row>
    <row r="9" spans="1:10" x14ac:dyDescent="0.2">
      <c r="A9">
        <v>2019</v>
      </c>
      <c r="B9" s="3" t="s">
        <v>8</v>
      </c>
      <c r="C9" s="4">
        <v>8745416</v>
      </c>
      <c r="D9" s="6">
        <v>774974</v>
      </c>
      <c r="G9" s="16"/>
      <c r="H9" s="14"/>
      <c r="I9" s="14"/>
      <c r="J9" s="1"/>
    </row>
    <row r="10" spans="1:10" x14ac:dyDescent="0.2">
      <c r="A10">
        <v>2019</v>
      </c>
      <c r="B10" s="3" t="s">
        <v>12</v>
      </c>
      <c r="C10" s="4">
        <v>731139</v>
      </c>
      <c r="D10" s="6">
        <v>64790</v>
      </c>
      <c r="G10" s="16"/>
      <c r="H10" s="14"/>
      <c r="I10" s="14"/>
      <c r="J10" s="1"/>
    </row>
    <row r="11" spans="1:10" x14ac:dyDescent="0.2">
      <c r="A11">
        <v>2019</v>
      </c>
      <c r="B11" s="3" t="s">
        <v>9</v>
      </c>
      <c r="C11" s="4">
        <v>7311</v>
      </c>
      <c r="D11" s="6">
        <v>648</v>
      </c>
      <c r="G11" s="16"/>
      <c r="H11" s="2"/>
      <c r="I11" s="2"/>
      <c r="J11" s="1"/>
    </row>
    <row r="12" spans="1:10" x14ac:dyDescent="0.2">
      <c r="A12">
        <v>2019</v>
      </c>
      <c r="B12" s="3" t="s">
        <v>10</v>
      </c>
      <c r="C12" s="4">
        <v>42151</v>
      </c>
      <c r="D12" s="6">
        <v>3735</v>
      </c>
      <c r="G12" s="16"/>
      <c r="H12" s="14"/>
      <c r="I12" s="14"/>
      <c r="J12" s="1"/>
    </row>
    <row r="13" spans="1:10" x14ac:dyDescent="0.2">
      <c r="A13">
        <v>2019</v>
      </c>
      <c r="B13" s="3" t="s">
        <v>11</v>
      </c>
      <c r="C13" s="4">
        <v>5918085</v>
      </c>
      <c r="D13" s="6">
        <v>524430</v>
      </c>
      <c r="G13" s="16"/>
      <c r="H13" s="14"/>
      <c r="I13" s="14"/>
      <c r="J13" s="1"/>
    </row>
    <row r="14" spans="1:10" x14ac:dyDescent="0.2">
      <c r="A14">
        <v>2019</v>
      </c>
      <c r="B14" s="3" t="s">
        <v>13</v>
      </c>
      <c r="C14" s="4">
        <v>173310</v>
      </c>
      <c r="D14" s="6">
        <v>15358</v>
      </c>
      <c r="G14" s="16"/>
      <c r="H14" s="14"/>
      <c r="I14" s="14"/>
      <c r="J14" s="1"/>
    </row>
    <row r="15" spans="1:10" x14ac:dyDescent="0.2">
      <c r="A15">
        <v>2019</v>
      </c>
      <c r="B15" s="3" t="s">
        <v>14</v>
      </c>
      <c r="C15" s="4">
        <v>439574</v>
      </c>
      <c r="D15" s="6">
        <v>38952</v>
      </c>
      <c r="G15" s="16"/>
      <c r="H15" s="14"/>
      <c r="I15" s="14"/>
      <c r="J15" s="1"/>
    </row>
    <row r="16" spans="1:10" x14ac:dyDescent="0.2">
      <c r="A16">
        <v>2019</v>
      </c>
      <c r="B16" s="3" t="s">
        <v>15</v>
      </c>
      <c r="C16" s="4">
        <v>520179</v>
      </c>
      <c r="D16" s="6">
        <v>46096</v>
      </c>
      <c r="G16" s="16"/>
      <c r="H16" s="14"/>
      <c r="I16" s="14"/>
      <c r="J16" s="1"/>
    </row>
    <row r="17" spans="1:10" x14ac:dyDescent="0.2">
      <c r="A17">
        <v>2019</v>
      </c>
      <c r="B17" s="3" t="s">
        <v>16</v>
      </c>
      <c r="C17" s="4">
        <v>265145</v>
      </c>
      <c r="D17" s="6">
        <v>23496</v>
      </c>
      <c r="G17" s="16"/>
      <c r="H17" s="14"/>
      <c r="I17" s="14"/>
      <c r="J17" s="1"/>
    </row>
    <row r="18" spans="1:10" x14ac:dyDescent="0.2">
      <c r="A18">
        <v>2019</v>
      </c>
      <c r="B18" s="3" t="s">
        <v>17</v>
      </c>
      <c r="C18" s="4">
        <v>390908</v>
      </c>
      <c r="D18" s="6">
        <v>34640</v>
      </c>
      <c r="G18" s="16"/>
      <c r="H18" s="14"/>
      <c r="I18" s="14"/>
      <c r="J18" s="1"/>
    </row>
    <row r="19" spans="1:10" x14ac:dyDescent="0.2">
      <c r="A19">
        <v>2019</v>
      </c>
      <c r="B19" s="3" t="s">
        <v>41</v>
      </c>
      <c r="C19" s="4">
        <v>265550</v>
      </c>
      <c r="D19" s="6">
        <v>23532</v>
      </c>
      <c r="G19" s="16"/>
      <c r="H19" s="14"/>
      <c r="I19" s="14"/>
      <c r="J19" s="1"/>
    </row>
    <row r="20" spans="1:10" x14ac:dyDescent="0.2">
      <c r="A20">
        <v>2019</v>
      </c>
      <c r="B20" s="3" t="s">
        <v>18</v>
      </c>
      <c r="C20" s="4">
        <v>216305</v>
      </c>
      <c r="D20" s="6">
        <v>19168</v>
      </c>
      <c r="G20" s="16"/>
      <c r="H20" s="14"/>
      <c r="I20" s="14"/>
      <c r="J20" s="1"/>
    </row>
    <row r="21" spans="1:10" x14ac:dyDescent="0.2">
      <c r="A21">
        <v>2019</v>
      </c>
      <c r="B21" s="3" t="s">
        <v>42</v>
      </c>
      <c r="C21" s="4">
        <v>278474</v>
      </c>
      <c r="D21" s="6">
        <v>24677</v>
      </c>
      <c r="G21" s="16"/>
      <c r="H21" s="14"/>
      <c r="I21" s="14"/>
      <c r="J21" s="1"/>
    </row>
    <row r="22" spans="1:10" x14ac:dyDescent="0.2">
      <c r="A22">
        <v>2019</v>
      </c>
      <c r="B22" s="3" t="s">
        <v>19</v>
      </c>
      <c r="C22" s="4">
        <v>509520</v>
      </c>
      <c r="D22" s="6">
        <v>45151</v>
      </c>
      <c r="G22" s="16"/>
      <c r="H22" s="14"/>
      <c r="I22" s="14"/>
      <c r="J22" s="1"/>
    </row>
    <row r="23" spans="1:10" x14ac:dyDescent="0.2">
      <c r="A23">
        <v>2019</v>
      </c>
      <c r="B23" s="3" t="s">
        <v>20</v>
      </c>
      <c r="C23" s="4">
        <v>685466</v>
      </c>
      <c r="D23" s="6">
        <v>60742</v>
      </c>
      <c r="G23" s="16"/>
      <c r="H23" s="14"/>
      <c r="I23" s="14"/>
      <c r="J23" s="1"/>
    </row>
    <row r="24" spans="1:10" x14ac:dyDescent="0.2">
      <c r="A24">
        <v>2019</v>
      </c>
      <c r="B24" s="3" t="s">
        <v>38</v>
      </c>
      <c r="C24" s="4">
        <v>304759</v>
      </c>
      <c r="D24" s="6">
        <v>27007</v>
      </c>
      <c r="G24" s="16"/>
      <c r="H24" s="14"/>
      <c r="I24" s="14"/>
      <c r="J24" s="1"/>
    </row>
    <row r="25" spans="1:10" x14ac:dyDescent="0.2">
      <c r="A25">
        <v>2019</v>
      </c>
      <c r="B25" s="3" t="s">
        <v>22</v>
      </c>
      <c r="C25" s="4">
        <v>794600</v>
      </c>
      <c r="D25" s="6">
        <v>70413</v>
      </c>
      <c r="G25" s="16"/>
      <c r="H25" s="14"/>
      <c r="I25" s="14"/>
      <c r="J25" s="1"/>
    </row>
    <row r="26" spans="1:10" x14ac:dyDescent="0.2">
      <c r="A26">
        <v>2019</v>
      </c>
      <c r="B26" s="3" t="s">
        <v>24</v>
      </c>
      <c r="C26" s="4">
        <v>1844146</v>
      </c>
      <c r="D26" s="6">
        <v>163419</v>
      </c>
      <c r="G26" s="16"/>
      <c r="H26" s="14"/>
      <c r="I26" s="14"/>
      <c r="J26" s="1"/>
    </row>
    <row r="27" spans="1:10" x14ac:dyDescent="0.2">
      <c r="A27">
        <v>2019</v>
      </c>
      <c r="B27" s="3" t="s">
        <v>25</v>
      </c>
      <c r="C27" s="4">
        <v>1229659</v>
      </c>
      <c r="D27" s="6">
        <v>108967</v>
      </c>
      <c r="G27" s="16"/>
      <c r="H27" s="14"/>
      <c r="I27" s="14"/>
      <c r="J27" s="1"/>
    </row>
    <row r="28" spans="1:10" x14ac:dyDescent="0.2">
      <c r="A28">
        <v>2019</v>
      </c>
      <c r="B28" s="3" t="s">
        <v>27</v>
      </c>
      <c r="C28" s="4">
        <v>191817</v>
      </c>
      <c r="D28" s="6">
        <v>16998</v>
      </c>
      <c r="G28" s="16"/>
      <c r="H28" s="14"/>
      <c r="I28" s="14"/>
      <c r="J28" s="1"/>
    </row>
    <row r="29" spans="1:10" x14ac:dyDescent="0.2">
      <c r="A29">
        <v>2019</v>
      </c>
      <c r="B29" s="3" t="s">
        <v>29</v>
      </c>
      <c r="C29" s="4">
        <v>356356</v>
      </c>
      <c r="D29" s="6">
        <v>31578</v>
      </c>
      <c r="G29" s="16"/>
      <c r="H29" s="14"/>
      <c r="I29" s="14"/>
      <c r="J29" s="1"/>
    </row>
    <row r="30" spans="1:10" x14ac:dyDescent="0.2">
      <c r="A30">
        <v>2019</v>
      </c>
      <c r="B30" s="3" t="s">
        <v>31</v>
      </c>
      <c r="C30" s="4">
        <v>490565</v>
      </c>
      <c r="D30" s="6">
        <v>43471</v>
      </c>
      <c r="G30" s="16"/>
      <c r="H30" s="14"/>
      <c r="I30" s="14"/>
      <c r="J30" s="1"/>
    </row>
    <row r="31" spans="1:10" x14ac:dyDescent="0.2">
      <c r="A31">
        <v>2019</v>
      </c>
      <c r="B31" s="3" t="s">
        <v>32</v>
      </c>
      <c r="C31" s="4">
        <v>634883</v>
      </c>
      <c r="D31" s="6">
        <v>56260</v>
      </c>
      <c r="G31" s="16"/>
      <c r="H31" s="14"/>
      <c r="I31" s="14"/>
      <c r="J31" s="1"/>
    </row>
    <row r="32" spans="1:10" x14ac:dyDescent="0.2">
      <c r="A32">
        <v>2019</v>
      </c>
      <c r="B32" s="3" t="s">
        <v>34</v>
      </c>
      <c r="C32" s="4">
        <v>467629</v>
      </c>
      <c r="D32" s="6">
        <v>41439</v>
      </c>
      <c r="G32" s="16"/>
      <c r="H32" s="14"/>
      <c r="I32" s="14"/>
      <c r="J32" s="1"/>
    </row>
    <row r="33" spans="3:10" x14ac:dyDescent="0.2">
      <c r="G33" s="16"/>
      <c r="H33" s="14"/>
      <c r="I33" s="14"/>
      <c r="J33" s="1"/>
    </row>
    <row r="34" spans="3:10" x14ac:dyDescent="0.2">
      <c r="C34" s="4">
        <f>SUM(C2:C32)</f>
        <v>26902292</v>
      </c>
    </row>
    <row r="36" spans="3:10" x14ac:dyDescent="0.2">
      <c r="C3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D6BA1-A0AB-F14A-9035-CE66361FC077}">
  <sheetPr>
    <tabColor rgb="FFFFFF00"/>
  </sheetPr>
  <dimension ref="A1:I32"/>
  <sheetViews>
    <sheetView workbookViewId="0">
      <selection activeCell="A2" sqref="A2:D30"/>
    </sheetView>
  </sheetViews>
  <sheetFormatPr baseColWidth="10" defaultRowHeight="16" x14ac:dyDescent="0.2"/>
  <cols>
    <col min="2" max="2" width="41.33203125" bestFit="1" customWidth="1"/>
    <col min="3" max="3" width="20.1640625" style="8" bestFit="1" customWidth="1"/>
    <col min="4" max="4" width="17.1640625" style="3" bestFit="1" customWidth="1"/>
    <col min="7" max="7" width="11.1640625" customWidth="1"/>
  </cols>
  <sheetData>
    <row r="1" spans="1:9" x14ac:dyDescent="0.2">
      <c r="A1" t="s">
        <v>53</v>
      </c>
      <c r="B1" s="5" t="s">
        <v>49</v>
      </c>
      <c r="C1" s="7" t="s">
        <v>50</v>
      </c>
      <c r="D1" s="3" t="s">
        <v>51</v>
      </c>
    </row>
    <row r="2" spans="1:9" x14ac:dyDescent="0.2">
      <c r="A2">
        <v>2020</v>
      </c>
      <c r="B2" s="5" t="s">
        <v>0</v>
      </c>
      <c r="C2" s="7">
        <v>426516</v>
      </c>
      <c r="D2" s="11">
        <v>9346</v>
      </c>
    </row>
    <row r="3" spans="1:9" x14ac:dyDescent="0.2">
      <c r="A3">
        <v>2020</v>
      </c>
      <c r="B3" s="5" t="s">
        <v>1</v>
      </c>
      <c r="C3" s="7">
        <v>169130</v>
      </c>
      <c r="D3" s="11">
        <v>3706</v>
      </c>
      <c r="G3" s="5"/>
      <c r="H3" s="2"/>
      <c r="I3" s="14"/>
    </row>
    <row r="4" spans="1:9" x14ac:dyDescent="0.2">
      <c r="A4">
        <v>2020</v>
      </c>
      <c r="B4" s="5" t="s">
        <v>2</v>
      </c>
      <c r="C4" s="7">
        <v>229550</v>
      </c>
      <c r="D4" s="11">
        <v>5030</v>
      </c>
      <c r="G4" s="2"/>
      <c r="H4" s="15"/>
      <c r="I4" s="14"/>
    </row>
    <row r="5" spans="1:9" x14ac:dyDescent="0.2">
      <c r="A5">
        <v>2020</v>
      </c>
      <c r="B5" s="5" t="s">
        <v>4</v>
      </c>
      <c r="C5" s="7">
        <v>11737</v>
      </c>
      <c r="D5" s="2">
        <v>257</v>
      </c>
      <c r="G5" s="2"/>
      <c r="H5" s="15"/>
      <c r="I5" s="14"/>
    </row>
    <row r="6" spans="1:9" x14ac:dyDescent="0.2">
      <c r="A6">
        <v>2020</v>
      </c>
      <c r="B6" s="5" t="s">
        <v>6</v>
      </c>
      <c r="C6" s="7">
        <v>390357</v>
      </c>
      <c r="D6" s="11">
        <v>8554</v>
      </c>
      <c r="G6" s="2"/>
      <c r="H6" s="15"/>
      <c r="I6" s="2"/>
    </row>
    <row r="7" spans="1:9" x14ac:dyDescent="0.2">
      <c r="A7">
        <v>2020</v>
      </c>
      <c r="B7" s="5" t="s">
        <v>44</v>
      </c>
      <c r="C7" s="7">
        <v>2362</v>
      </c>
      <c r="D7" s="2">
        <v>52</v>
      </c>
      <c r="G7" s="2"/>
      <c r="H7" s="15"/>
      <c r="I7" s="14"/>
    </row>
    <row r="8" spans="1:9" x14ac:dyDescent="0.2">
      <c r="A8">
        <v>2020</v>
      </c>
      <c r="B8" s="5" t="s">
        <v>8</v>
      </c>
      <c r="C8" s="7">
        <v>9118264</v>
      </c>
      <c r="D8" s="11">
        <v>199812</v>
      </c>
      <c r="G8" s="2"/>
      <c r="H8" s="15"/>
      <c r="I8" s="14"/>
    </row>
    <row r="9" spans="1:9" x14ac:dyDescent="0.2">
      <c r="A9">
        <v>2020</v>
      </c>
      <c r="B9" s="5" t="s">
        <v>10</v>
      </c>
      <c r="C9" s="7">
        <v>34185</v>
      </c>
      <c r="D9" s="11">
        <v>749</v>
      </c>
      <c r="G9" s="2"/>
      <c r="H9" s="15"/>
      <c r="I9" s="2"/>
    </row>
    <row r="10" spans="1:9" x14ac:dyDescent="0.2">
      <c r="A10">
        <v>2020</v>
      </c>
      <c r="B10" s="5" t="s">
        <v>11</v>
      </c>
      <c r="C10" s="7">
        <v>6165787</v>
      </c>
      <c r="D10" s="11">
        <v>135113</v>
      </c>
      <c r="G10" s="2"/>
      <c r="H10" s="15"/>
      <c r="I10" s="14"/>
    </row>
    <row r="11" spans="1:9" x14ac:dyDescent="0.2">
      <c r="A11">
        <v>2020</v>
      </c>
      <c r="B11" s="5" t="s">
        <v>13</v>
      </c>
      <c r="C11" s="7">
        <v>195904</v>
      </c>
      <c r="D11" s="11">
        <v>4293</v>
      </c>
      <c r="G11" s="2"/>
      <c r="H11" s="15"/>
      <c r="I11" s="2"/>
    </row>
    <row r="12" spans="1:9" x14ac:dyDescent="0.2">
      <c r="A12">
        <v>2020</v>
      </c>
      <c r="B12" s="5" t="s">
        <v>14</v>
      </c>
      <c r="C12" s="7">
        <v>426636</v>
      </c>
      <c r="D12" s="11">
        <v>9349</v>
      </c>
      <c r="G12" s="2"/>
      <c r="H12" s="15"/>
      <c r="I12" s="14"/>
    </row>
    <row r="13" spans="1:9" x14ac:dyDescent="0.2">
      <c r="A13">
        <v>2020</v>
      </c>
      <c r="B13" s="5" t="s">
        <v>15</v>
      </c>
      <c r="C13" s="7">
        <v>503610</v>
      </c>
      <c r="D13" s="11">
        <v>11036</v>
      </c>
      <c r="G13" s="2"/>
      <c r="H13" s="15"/>
      <c r="I13" s="14"/>
    </row>
    <row r="14" spans="1:9" x14ac:dyDescent="0.2">
      <c r="A14">
        <v>2020</v>
      </c>
      <c r="B14" s="5" t="s">
        <v>16</v>
      </c>
      <c r="C14" s="7">
        <v>297103</v>
      </c>
      <c r="D14" s="11">
        <v>6511</v>
      </c>
      <c r="G14" s="2"/>
      <c r="H14" s="15"/>
      <c r="I14" s="14"/>
    </row>
    <row r="15" spans="1:9" x14ac:dyDescent="0.2">
      <c r="A15">
        <v>2020</v>
      </c>
      <c r="B15" s="5" t="s">
        <v>17</v>
      </c>
      <c r="C15" s="7">
        <v>438097</v>
      </c>
      <c r="D15" s="11">
        <v>9600</v>
      </c>
      <c r="G15" s="2"/>
      <c r="H15" s="15"/>
      <c r="I15" s="14"/>
    </row>
    <row r="16" spans="1:9" x14ac:dyDescent="0.2">
      <c r="A16">
        <v>2020</v>
      </c>
      <c r="B16" s="5" t="s">
        <v>41</v>
      </c>
      <c r="C16" s="7">
        <v>312547</v>
      </c>
      <c r="D16" s="11">
        <v>6849</v>
      </c>
      <c r="G16" s="2"/>
      <c r="H16" s="15"/>
      <c r="I16" s="14"/>
    </row>
    <row r="17" spans="1:9" x14ac:dyDescent="0.2">
      <c r="A17">
        <v>2020</v>
      </c>
      <c r="B17" s="5" t="s">
        <v>18</v>
      </c>
      <c r="C17" s="7">
        <v>240588</v>
      </c>
      <c r="D17" s="11">
        <v>5272</v>
      </c>
      <c r="G17" s="2"/>
      <c r="H17" s="15"/>
      <c r="I17" s="14"/>
    </row>
    <row r="18" spans="1:9" x14ac:dyDescent="0.2">
      <c r="A18">
        <v>2020</v>
      </c>
      <c r="B18" s="5" t="s">
        <v>42</v>
      </c>
      <c r="C18" s="7">
        <v>319695</v>
      </c>
      <c r="D18" s="11">
        <v>7006</v>
      </c>
      <c r="G18" s="2"/>
      <c r="H18" s="15"/>
      <c r="I18" s="14"/>
    </row>
    <row r="19" spans="1:9" x14ac:dyDescent="0.2">
      <c r="A19">
        <v>2020</v>
      </c>
      <c r="B19" s="5" t="s">
        <v>19</v>
      </c>
      <c r="C19" s="7">
        <v>548606</v>
      </c>
      <c r="D19" s="14">
        <v>12022</v>
      </c>
      <c r="G19" s="2"/>
      <c r="H19" s="15"/>
      <c r="I19" s="14"/>
    </row>
    <row r="20" spans="1:9" x14ac:dyDescent="0.2">
      <c r="A20">
        <v>2020</v>
      </c>
      <c r="B20" s="5" t="s">
        <v>20</v>
      </c>
      <c r="C20" s="7">
        <v>766804</v>
      </c>
      <c r="D20" s="11">
        <v>16803</v>
      </c>
      <c r="G20" s="2"/>
      <c r="H20" s="15"/>
      <c r="I20" s="14"/>
    </row>
    <row r="21" spans="1:9" x14ac:dyDescent="0.2">
      <c r="A21">
        <v>2020</v>
      </c>
      <c r="B21" s="5" t="s">
        <v>38</v>
      </c>
      <c r="C21" s="7">
        <v>306769</v>
      </c>
      <c r="D21" s="11">
        <v>6722</v>
      </c>
      <c r="G21" s="2"/>
      <c r="H21" s="15"/>
      <c r="I21" s="14"/>
    </row>
    <row r="22" spans="1:9" x14ac:dyDescent="0.2">
      <c r="A22">
        <v>2020</v>
      </c>
      <c r="B22" s="5" t="s">
        <v>22</v>
      </c>
      <c r="C22" s="7">
        <v>889193</v>
      </c>
      <c r="D22" s="11">
        <v>19485</v>
      </c>
      <c r="G22" s="2"/>
      <c r="H22" s="15"/>
      <c r="I22" s="14"/>
    </row>
    <row r="23" spans="1:9" x14ac:dyDescent="0.2">
      <c r="A23">
        <v>2020</v>
      </c>
      <c r="B23" s="5" t="s">
        <v>24</v>
      </c>
      <c r="C23" s="7">
        <v>2019304</v>
      </c>
      <c r="D23" s="11">
        <v>44250</v>
      </c>
      <c r="G23" s="2"/>
      <c r="H23" s="15"/>
      <c r="I23" s="14"/>
    </row>
    <row r="24" spans="1:9" x14ac:dyDescent="0.2">
      <c r="A24">
        <v>2020</v>
      </c>
      <c r="B24" s="5" t="s">
        <v>25</v>
      </c>
      <c r="C24" s="7">
        <v>1407822</v>
      </c>
      <c r="D24" s="11">
        <v>30850</v>
      </c>
      <c r="G24" s="2"/>
      <c r="H24" s="15"/>
      <c r="I24" s="14"/>
    </row>
    <row r="25" spans="1:9" x14ac:dyDescent="0.2">
      <c r="A25">
        <v>2020</v>
      </c>
      <c r="B25" s="5" t="s">
        <v>27</v>
      </c>
      <c r="C25" s="7">
        <v>200834</v>
      </c>
      <c r="D25" s="11">
        <v>4401</v>
      </c>
      <c r="G25" s="2"/>
      <c r="H25" s="15"/>
      <c r="I25" s="14"/>
    </row>
    <row r="26" spans="1:9" x14ac:dyDescent="0.2">
      <c r="A26">
        <v>2020</v>
      </c>
      <c r="B26" s="5" t="s">
        <v>29</v>
      </c>
      <c r="C26" s="7">
        <v>349849</v>
      </c>
      <c r="D26" s="11">
        <v>7666</v>
      </c>
      <c r="G26" s="2"/>
      <c r="H26" s="15"/>
      <c r="I26" s="14"/>
    </row>
    <row r="27" spans="1:9" x14ac:dyDescent="0.2">
      <c r="A27">
        <v>2020</v>
      </c>
      <c r="B27" s="5" t="s">
        <v>31</v>
      </c>
      <c r="C27" s="7">
        <v>561933</v>
      </c>
      <c r="D27" s="11">
        <v>12314</v>
      </c>
      <c r="G27" s="2"/>
      <c r="H27" s="15"/>
      <c r="I27" s="14"/>
    </row>
    <row r="28" spans="1:9" x14ac:dyDescent="0.2">
      <c r="A28">
        <v>2020</v>
      </c>
      <c r="B28" s="5" t="s">
        <v>45</v>
      </c>
      <c r="C28" s="7">
        <v>4533</v>
      </c>
      <c r="D28" s="11">
        <v>99</v>
      </c>
      <c r="G28" s="2"/>
      <c r="H28" s="15"/>
      <c r="I28" s="14"/>
    </row>
    <row r="29" spans="1:9" x14ac:dyDescent="0.2">
      <c r="A29">
        <v>2020</v>
      </c>
      <c r="B29" s="5" t="s">
        <v>32</v>
      </c>
      <c r="C29" s="7">
        <v>652202</v>
      </c>
      <c r="D29" s="11">
        <v>14292</v>
      </c>
      <c r="G29" s="2"/>
      <c r="H29" s="15"/>
      <c r="I29" s="14"/>
    </row>
    <row r="30" spans="1:9" x14ac:dyDescent="0.2">
      <c r="A30">
        <v>2020</v>
      </c>
      <c r="B30" s="5" t="s">
        <v>34</v>
      </c>
      <c r="C30" s="7">
        <v>484118</v>
      </c>
      <c r="D30" s="11">
        <v>10609</v>
      </c>
      <c r="G30" s="2"/>
      <c r="H30" s="15"/>
      <c r="I30" s="2"/>
    </row>
    <row r="31" spans="1:9" x14ac:dyDescent="0.2">
      <c r="G31" s="2"/>
      <c r="H31" s="15"/>
      <c r="I31" s="14"/>
    </row>
    <row r="32" spans="1:9" x14ac:dyDescent="0.2">
      <c r="C32" s="8">
        <f>SUM(C2:C30)</f>
        <v>27474035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0E73A-EABD-0741-A7AF-BB06CD1ACE87}">
  <sheetPr>
    <tabColor rgb="FFFFFF00"/>
  </sheetPr>
  <dimension ref="A1:D30"/>
  <sheetViews>
    <sheetView workbookViewId="0">
      <selection activeCell="A2" sqref="A2:D29"/>
    </sheetView>
  </sheetViews>
  <sheetFormatPr baseColWidth="10" defaultRowHeight="16" x14ac:dyDescent="0.2"/>
  <cols>
    <col min="2" max="2" width="33.83203125" style="3" bestFit="1" customWidth="1"/>
    <col min="3" max="3" width="18.83203125" style="3" bestFit="1" customWidth="1"/>
    <col min="4" max="4" width="17.1640625" style="3" bestFit="1" customWidth="1"/>
  </cols>
  <sheetData>
    <row r="1" spans="1:4" x14ac:dyDescent="0.2">
      <c r="A1" t="s">
        <v>53</v>
      </c>
      <c r="B1" s="3" t="s">
        <v>49</v>
      </c>
      <c r="C1" s="3" t="s">
        <v>50</v>
      </c>
      <c r="D1" s="3" t="s">
        <v>51</v>
      </c>
    </row>
    <row r="2" spans="1:4" x14ac:dyDescent="0.2">
      <c r="A2">
        <v>2021</v>
      </c>
      <c r="B2" s="3" t="s">
        <v>0</v>
      </c>
      <c r="C2" s="4">
        <v>459545</v>
      </c>
      <c r="D2" s="12">
        <v>0</v>
      </c>
    </row>
    <row r="3" spans="1:4" x14ac:dyDescent="0.2">
      <c r="A3">
        <v>2021</v>
      </c>
      <c r="B3" s="3" t="s">
        <v>1</v>
      </c>
      <c r="C3" s="4">
        <v>211530</v>
      </c>
      <c r="D3" s="12">
        <v>0</v>
      </c>
    </row>
    <row r="4" spans="1:4" x14ac:dyDescent="0.2">
      <c r="A4">
        <v>2021</v>
      </c>
      <c r="B4" s="3" t="s">
        <v>2</v>
      </c>
      <c r="C4" s="4">
        <v>250162</v>
      </c>
      <c r="D4" s="12">
        <v>0</v>
      </c>
    </row>
    <row r="5" spans="1:4" x14ac:dyDescent="0.2">
      <c r="A5">
        <v>2021</v>
      </c>
      <c r="B5" s="3" t="s">
        <v>46</v>
      </c>
      <c r="C5" s="4">
        <v>521987</v>
      </c>
      <c r="D5" s="12">
        <v>0</v>
      </c>
    </row>
    <row r="6" spans="1:4" x14ac:dyDescent="0.2">
      <c r="A6">
        <v>2021</v>
      </c>
      <c r="B6" s="3" t="s">
        <v>4</v>
      </c>
      <c r="C6" s="4">
        <v>8087</v>
      </c>
      <c r="D6" s="12">
        <v>0</v>
      </c>
    </row>
    <row r="7" spans="1:4" x14ac:dyDescent="0.2">
      <c r="A7">
        <v>2021</v>
      </c>
      <c r="B7" s="3" t="s">
        <v>6</v>
      </c>
      <c r="C7" s="4">
        <v>428201</v>
      </c>
      <c r="D7" s="12">
        <v>0</v>
      </c>
    </row>
    <row r="8" spans="1:4" x14ac:dyDescent="0.2">
      <c r="A8">
        <v>2021</v>
      </c>
      <c r="B8" s="3" t="s">
        <v>8</v>
      </c>
      <c r="C8" s="4">
        <v>9625479</v>
      </c>
      <c r="D8" s="12">
        <v>0</v>
      </c>
    </row>
    <row r="9" spans="1:4" x14ac:dyDescent="0.2">
      <c r="A9">
        <v>2021</v>
      </c>
      <c r="B9" s="3" t="s">
        <v>10</v>
      </c>
      <c r="C9" s="4">
        <v>34501</v>
      </c>
      <c r="D9" s="12">
        <v>0</v>
      </c>
    </row>
    <row r="10" spans="1:4" x14ac:dyDescent="0.2">
      <c r="A10">
        <v>2021</v>
      </c>
      <c r="B10" s="3" t="s">
        <v>11</v>
      </c>
      <c r="C10" s="4">
        <v>6459505</v>
      </c>
      <c r="D10" s="12">
        <v>0</v>
      </c>
    </row>
    <row r="11" spans="1:4" x14ac:dyDescent="0.2">
      <c r="A11">
        <v>2021</v>
      </c>
      <c r="B11" s="3" t="s">
        <v>13</v>
      </c>
      <c r="C11" s="4">
        <v>187393</v>
      </c>
      <c r="D11" s="12">
        <v>0</v>
      </c>
    </row>
    <row r="12" spans="1:4" x14ac:dyDescent="0.2">
      <c r="A12">
        <v>2021</v>
      </c>
      <c r="B12" s="3" t="s">
        <v>14</v>
      </c>
      <c r="C12" s="4">
        <v>457535</v>
      </c>
      <c r="D12" s="12">
        <v>0</v>
      </c>
    </row>
    <row r="13" spans="1:4" x14ac:dyDescent="0.2">
      <c r="A13">
        <v>2021</v>
      </c>
      <c r="B13" s="3" t="s">
        <v>16</v>
      </c>
      <c r="C13" s="4">
        <v>339757</v>
      </c>
      <c r="D13" s="12">
        <v>0</v>
      </c>
    </row>
    <row r="14" spans="1:4" x14ac:dyDescent="0.2">
      <c r="A14">
        <v>2021</v>
      </c>
      <c r="B14" s="3" t="s">
        <v>17</v>
      </c>
      <c r="C14" s="4">
        <v>475851</v>
      </c>
      <c r="D14" s="12">
        <v>0</v>
      </c>
    </row>
    <row r="15" spans="1:4" x14ac:dyDescent="0.2">
      <c r="A15">
        <v>2021</v>
      </c>
      <c r="B15" s="3" t="s">
        <v>41</v>
      </c>
      <c r="C15" s="4">
        <v>341119</v>
      </c>
      <c r="D15" s="12">
        <v>0</v>
      </c>
    </row>
    <row r="16" spans="1:4" x14ac:dyDescent="0.2">
      <c r="A16">
        <v>2021</v>
      </c>
      <c r="B16" s="3" t="s">
        <v>18</v>
      </c>
      <c r="C16" s="4">
        <v>213950</v>
      </c>
      <c r="D16" s="12">
        <v>0</v>
      </c>
    </row>
    <row r="17" spans="1:4" x14ac:dyDescent="0.2">
      <c r="A17">
        <v>2021</v>
      </c>
      <c r="B17" s="3" t="s">
        <v>42</v>
      </c>
      <c r="C17" s="4">
        <v>333830</v>
      </c>
      <c r="D17" s="12">
        <v>0</v>
      </c>
    </row>
    <row r="18" spans="1:4" x14ac:dyDescent="0.2">
      <c r="A18">
        <v>2021</v>
      </c>
      <c r="B18" s="3" t="s">
        <v>19</v>
      </c>
      <c r="C18" s="4">
        <v>582981</v>
      </c>
      <c r="D18" s="12">
        <v>0</v>
      </c>
    </row>
    <row r="19" spans="1:4" x14ac:dyDescent="0.2">
      <c r="A19">
        <v>2021</v>
      </c>
      <c r="B19" s="3" t="s">
        <v>20</v>
      </c>
      <c r="C19" s="4">
        <v>854373</v>
      </c>
      <c r="D19" s="12">
        <v>0</v>
      </c>
    </row>
    <row r="20" spans="1:4" x14ac:dyDescent="0.2">
      <c r="A20">
        <v>2021</v>
      </c>
      <c r="B20" s="3" t="s">
        <v>38</v>
      </c>
      <c r="C20" s="4">
        <v>311810</v>
      </c>
      <c r="D20" s="12">
        <v>0</v>
      </c>
    </row>
    <row r="21" spans="1:4" x14ac:dyDescent="0.2">
      <c r="A21">
        <v>2021</v>
      </c>
      <c r="B21" s="3" t="s">
        <v>22</v>
      </c>
      <c r="C21" s="4">
        <v>999383</v>
      </c>
      <c r="D21" s="12">
        <v>0</v>
      </c>
    </row>
    <row r="22" spans="1:4" x14ac:dyDescent="0.2">
      <c r="A22">
        <v>2021</v>
      </c>
      <c r="B22" s="3" t="s">
        <v>24</v>
      </c>
      <c r="C22" s="4">
        <v>2125114</v>
      </c>
      <c r="D22" s="12">
        <v>0</v>
      </c>
    </row>
    <row r="23" spans="1:4" x14ac:dyDescent="0.2">
      <c r="A23">
        <v>2021</v>
      </c>
      <c r="B23" s="3" t="s">
        <v>25</v>
      </c>
      <c r="C23" s="4">
        <v>1486074</v>
      </c>
      <c r="D23" s="12">
        <v>0</v>
      </c>
    </row>
    <row r="24" spans="1:4" x14ac:dyDescent="0.2">
      <c r="A24">
        <v>2021</v>
      </c>
      <c r="B24" s="3" t="s">
        <v>27</v>
      </c>
      <c r="C24" s="4">
        <v>204558</v>
      </c>
      <c r="D24" s="12">
        <v>0</v>
      </c>
    </row>
    <row r="25" spans="1:4" x14ac:dyDescent="0.2">
      <c r="A25">
        <v>2021</v>
      </c>
      <c r="B25" s="3" t="s">
        <v>29</v>
      </c>
      <c r="C25" s="4">
        <v>365942</v>
      </c>
      <c r="D25" s="12">
        <v>0</v>
      </c>
    </row>
    <row r="26" spans="1:4" x14ac:dyDescent="0.2">
      <c r="A26">
        <v>2021</v>
      </c>
      <c r="B26" s="3" t="s">
        <v>31</v>
      </c>
      <c r="C26" s="4">
        <v>763883</v>
      </c>
      <c r="D26" s="12">
        <v>0</v>
      </c>
    </row>
    <row r="27" spans="1:4" x14ac:dyDescent="0.2">
      <c r="A27">
        <v>2021</v>
      </c>
      <c r="B27" s="3" t="s">
        <v>45</v>
      </c>
      <c r="C27" s="4">
        <v>103673</v>
      </c>
      <c r="D27" s="12">
        <v>0</v>
      </c>
    </row>
    <row r="28" spans="1:4" x14ac:dyDescent="0.2">
      <c r="A28">
        <v>2021</v>
      </c>
      <c r="B28" s="3" t="s">
        <v>32</v>
      </c>
      <c r="C28" s="4">
        <v>659500</v>
      </c>
      <c r="D28" s="12">
        <v>0</v>
      </c>
    </row>
    <row r="29" spans="1:4" x14ac:dyDescent="0.2">
      <c r="A29">
        <v>2021</v>
      </c>
      <c r="B29" s="3" t="s">
        <v>34</v>
      </c>
      <c r="C29" s="4">
        <v>506866</v>
      </c>
      <c r="D29" s="12">
        <v>0</v>
      </c>
    </row>
    <row r="30" spans="1:4" x14ac:dyDescent="0.2">
      <c r="A30">
        <v>2021</v>
      </c>
      <c r="B30" s="3" t="s">
        <v>35</v>
      </c>
      <c r="C30" s="4">
        <v>0</v>
      </c>
      <c r="D30" s="12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47993-0A4A-7145-BA16-4D5D941380CB}">
  <sheetPr>
    <tabColor rgb="FFFFFF00"/>
  </sheetPr>
  <dimension ref="A1:J31"/>
  <sheetViews>
    <sheetView workbookViewId="0">
      <selection activeCell="A2" sqref="A2:D29"/>
    </sheetView>
  </sheetViews>
  <sheetFormatPr baseColWidth="10" defaultRowHeight="16" x14ac:dyDescent="0.2"/>
  <cols>
    <col min="2" max="2" width="40.6640625" style="3" bestFit="1" customWidth="1"/>
    <col min="3" max="3" width="18.83203125" style="3" bestFit="1" customWidth="1"/>
    <col min="4" max="4" width="17.1640625" bestFit="1" customWidth="1"/>
  </cols>
  <sheetData>
    <row r="1" spans="1:10" x14ac:dyDescent="0.2">
      <c r="A1" t="s">
        <v>53</v>
      </c>
      <c r="B1" s="3" t="s">
        <v>49</v>
      </c>
      <c r="C1" s="3" t="s">
        <v>50</v>
      </c>
      <c r="D1" t="s">
        <v>51</v>
      </c>
    </row>
    <row r="2" spans="1:10" x14ac:dyDescent="0.2">
      <c r="A2">
        <v>2022</v>
      </c>
      <c r="B2" s="3" t="s">
        <v>0</v>
      </c>
      <c r="C2" s="4">
        <v>535781</v>
      </c>
      <c r="D2" s="7">
        <v>49736</v>
      </c>
      <c r="G2" s="13"/>
    </row>
    <row r="3" spans="1:10" x14ac:dyDescent="0.2">
      <c r="A3">
        <v>2022</v>
      </c>
      <c r="B3" s="3" t="s">
        <v>1</v>
      </c>
      <c r="C3" s="4">
        <v>280886</v>
      </c>
      <c r="D3" s="7">
        <v>26074</v>
      </c>
      <c r="G3" s="2"/>
      <c r="H3" s="9"/>
      <c r="I3" s="9"/>
      <c r="J3" s="1"/>
    </row>
    <row r="4" spans="1:10" x14ac:dyDescent="0.2">
      <c r="A4">
        <v>2022</v>
      </c>
      <c r="B4" s="3" t="s">
        <v>2</v>
      </c>
      <c r="C4" s="4">
        <v>282942</v>
      </c>
      <c r="D4" s="7">
        <v>26265</v>
      </c>
      <c r="G4" s="2"/>
      <c r="H4" s="14"/>
      <c r="I4" s="14"/>
      <c r="J4" s="1"/>
    </row>
    <row r="5" spans="1:10" x14ac:dyDescent="0.2">
      <c r="A5">
        <v>2022</v>
      </c>
      <c r="B5" s="3" t="s">
        <v>46</v>
      </c>
      <c r="C5" s="4">
        <v>539308</v>
      </c>
      <c r="D5" s="7">
        <v>50063</v>
      </c>
      <c r="G5" s="2"/>
      <c r="H5" s="14"/>
      <c r="I5" s="14"/>
      <c r="J5" s="1"/>
    </row>
    <row r="6" spans="1:10" x14ac:dyDescent="0.2">
      <c r="A6">
        <v>2022</v>
      </c>
      <c r="B6" s="3" t="s">
        <v>6</v>
      </c>
      <c r="C6" s="4">
        <v>423842</v>
      </c>
      <c r="D6" s="7">
        <v>39345</v>
      </c>
      <c r="G6" s="2"/>
      <c r="H6" s="14"/>
      <c r="I6" s="14"/>
      <c r="J6" s="1"/>
    </row>
    <row r="7" spans="1:10" x14ac:dyDescent="0.2">
      <c r="A7">
        <v>2022</v>
      </c>
      <c r="B7" s="3" t="s">
        <v>47</v>
      </c>
      <c r="C7" s="4">
        <v>8200</v>
      </c>
      <c r="D7" s="7">
        <v>761</v>
      </c>
      <c r="G7" s="2"/>
      <c r="H7" s="14"/>
      <c r="I7" s="14"/>
      <c r="J7" s="1"/>
    </row>
    <row r="8" spans="1:10" x14ac:dyDescent="0.2">
      <c r="A8">
        <v>2022</v>
      </c>
      <c r="B8" s="3" t="s">
        <v>8</v>
      </c>
      <c r="C8" s="4">
        <v>9869851</v>
      </c>
      <c r="D8" s="7">
        <v>916206</v>
      </c>
      <c r="G8" s="2"/>
      <c r="H8" s="2"/>
      <c r="I8" s="2"/>
      <c r="J8" s="1"/>
    </row>
    <row r="9" spans="1:10" x14ac:dyDescent="0.2">
      <c r="A9">
        <v>2022</v>
      </c>
      <c r="B9" s="3" t="s">
        <v>10</v>
      </c>
      <c r="C9" s="4">
        <v>31402</v>
      </c>
      <c r="D9" s="7">
        <v>2915</v>
      </c>
      <c r="G9" s="2"/>
      <c r="H9" s="14"/>
      <c r="I9" s="14"/>
      <c r="J9" s="1"/>
    </row>
    <row r="10" spans="1:10" x14ac:dyDescent="0.2">
      <c r="A10">
        <v>2022</v>
      </c>
      <c r="B10" s="3" t="s">
        <v>11</v>
      </c>
      <c r="C10" s="4">
        <v>7212747</v>
      </c>
      <c r="D10" s="7">
        <v>669550</v>
      </c>
      <c r="G10" s="2"/>
      <c r="H10" s="14"/>
      <c r="I10" s="14"/>
      <c r="J10" s="1"/>
    </row>
    <row r="11" spans="1:10" x14ac:dyDescent="0.2">
      <c r="A11">
        <v>2022</v>
      </c>
      <c r="B11" s="3" t="s">
        <v>13</v>
      </c>
      <c r="C11" s="4">
        <v>244534</v>
      </c>
      <c r="D11" s="7">
        <v>22700</v>
      </c>
      <c r="G11" s="2"/>
      <c r="H11" s="14"/>
      <c r="I11" s="14"/>
      <c r="J11" s="1"/>
    </row>
    <row r="12" spans="1:10" x14ac:dyDescent="0.2">
      <c r="A12">
        <v>2022</v>
      </c>
      <c r="B12" s="3" t="s">
        <v>14</v>
      </c>
      <c r="C12" s="4">
        <v>514756</v>
      </c>
      <c r="D12" s="7">
        <v>47785</v>
      </c>
      <c r="G12" s="2"/>
      <c r="H12" s="14"/>
      <c r="I12" s="14"/>
      <c r="J12" s="1"/>
    </row>
    <row r="13" spans="1:10" x14ac:dyDescent="0.2">
      <c r="A13">
        <v>2022</v>
      </c>
      <c r="B13" s="3" t="s">
        <v>16</v>
      </c>
      <c r="C13" s="4">
        <v>384466</v>
      </c>
      <c r="D13" s="7">
        <v>35690</v>
      </c>
      <c r="G13" s="2"/>
      <c r="H13" s="14"/>
      <c r="I13" s="14"/>
      <c r="J13" s="1"/>
    </row>
    <row r="14" spans="1:10" x14ac:dyDescent="0.2">
      <c r="A14">
        <v>2022</v>
      </c>
      <c r="B14" s="3" t="s">
        <v>17</v>
      </c>
      <c r="C14" s="4">
        <v>520855</v>
      </c>
      <c r="D14" s="7">
        <v>48351</v>
      </c>
      <c r="G14" s="2"/>
      <c r="H14" s="14"/>
      <c r="I14" s="14"/>
      <c r="J14" s="1"/>
    </row>
    <row r="15" spans="1:10" x14ac:dyDescent="0.2">
      <c r="A15">
        <v>2022</v>
      </c>
      <c r="B15" s="3" t="s">
        <v>41</v>
      </c>
      <c r="C15" s="4">
        <v>401687</v>
      </c>
      <c r="D15" s="7">
        <v>37288</v>
      </c>
      <c r="G15" s="2"/>
      <c r="H15" s="14"/>
      <c r="I15" s="14"/>
      <c r="J15" s="1"/>
    </row>
    <row r="16" spans="1:10" x14ac:dyDescent="0.2">
      <c r="A16">
        <v>2022</v>
      </c>
      <c r="B16" s="3" t="s">
        <v>18</v>
      </c>
      <c r="C16" s="4">
        <v>246126</v>
      </c>
      <c r="D16" s="7">
        <v>22848</v>
      </c>
      <c r="G16" s="2"/>
      <c r="H16" s="14"/>
      <c r="I16" s="14"/>
      <c r="J16" s="1"/>
    </row>
    <row r="17" spans="1:10" x14ac:dyDescent="0.2">
      <c r="A17">
        <v>2022</v>
      </c>
      <c r="B17" s="3" t="s">
        <v>42</v>
      </c>
      <c r="C17" s="4">
        <v>338355</v>
      </c>
      <c r="D17" s="7">
        <v>31409</v>
      </c>
      <c r="G17" s="2"/>
      <c r="H17" s="14"/>
      <c r="I17" s="14"/>
      <c r="J17" s="1"/>
    </row>
    <row r="18" spans="1:10" x14ac:dyDescent="0.2">
      <c r="A18">
        <v>2022</v>
      </c>
      <c r="B18" s="3" t="s">
        <v>48</v>
      </c>
      <c r="C18" s="4">
        <v>691579</v>
      </c>
      <c r="D18" s="7">
        <v>64199</v>
      </c>
      <c r="G18" s="2"/>
      <c r="H18" s="14"/>
      <c r="I18" s="14"/>
      <c r="J18" s="1"/>
    </row>
    <row r="19" spans="1:10" x14ac:dyDescent="0.2">
      <c r="A19">
        <v>2022</v>
      </c>
      <c r="B19" s="3" t="s">
        <v>20</v>
      </c>
      <c r="C19" s="4">
        <v>1088098</v>
      </c>
      <c r="D19" s="7">
        <v>101006</v>
      </c>
      <c r="G19" s="2"/>
      <c r="H19" s="14"/>
      <c r="I19" s="14"/>
      <c r="J19" s="1"/>
    </row>
    <row r="20" spans="1:10" x14ac:dyDescent="0.2">
      <c r="A20">
        <v>2022</v>
      </c>
      <c r="B20" s="3" t="s">
        <v>38</v>
      </c>
      <c r="C20" s="4">
        <v>311926</v>
      </c>
      <c r="D20" s="7">
        <v>28956</v>
      </c>
      <c r="G20" s="2"/>
      <c r="H20" s="14"/>
      <c r="I20" s="14"/>
      <c r="J20" s="1"/>
    </row>
    <row r="21" spans="1:10" x14ac:dyDescent="0.2">
      <c r="A21">
        <v>2022</v>
      </c>
      <c r="B21" s="3" t="s">
        <v>22</v>
      </c>
      <c r="C21" s="4">
        <v>988238</v>
      </c>
      <c r="D21" s="7">
        <v>91737</v>
      </c>
      <c r="G21" s="2"/>
      <c r="H21" s="14"/>
      <c r="I21" s="14"/>
      <c r="J21" s="1"/>
    </row>
    <row r="22" spans="1:10" x14ac:dyDescent="0.2">
      <c r="A22">
        <v>2022</v>
      </c>
      <c r="B22" s="3" t="s">
        <v>24</v>
      </c>
      <c r="C22" s="4">
        <v>2250735</v>
      </c>
      <c r="D22" s="7">
        <v>208933</v>
      </c>
      <c r="G22" s="2"/>
      <c r="H22" s="14"/>
      <c r="I22" s="14"/>
      <c r="J22" s="1"/>
    </row>
    <row r="23" spans="1:10" x14ac:dyDescent="0.2">
      <c r="A23">
        <v>2022</v>
      </c>
      <c r="B23" s="3" t="s">
        <v>25</v>
      </c>
      <c r="C23" s="4">
        <v>1594238</v>
      </c>
      <c r="D23" s="7">
        <v>147991</v>
      </c>
      <c r="G23" s="2"/>
      <c r="H23" s="14"/>
      <c r="I23" s="14"/>
      <c r="J23" s="1"/>
    </row>
    <row r="24" spans="1:10" x14ac:dyDescent="0.2">
      <c r="A24">
        <v>2022</v>
      </c>
      <c r="B24" s="3" t="s">
        <v>27</v>
      </c>
      <c r="C24" s="4">
        <v>222361</v>
      </c>
      <c r="D24" s="7">
        <v>20641</v>
      </c>
      <c r="G24" s="2"/>
      <c r="H24" s="14"/>
      <c r="I24" s="14"/>
      <c r="J24" s="1"/>
    </row>
    <row r="25" spans="1:10" x14ac:dyDescent="0.2">
      <c r="A25">
        <v>2022</v>
      </c>
      <c r="B25" s="3" t="s">
        <v>29</v>
      </c>
      <c r="C25" s="4">
        <v>390101</v>
      </c>
      <c r="D25" s="7">
        <v>36212</v>
      </c>
      <c r="G25" s="2"/>
      <c r="H25" s="14"/>
      <c r="I25" s="14"/>
      <c r="J25" s="1"/>
    </row>
    <row r="26" spans="1:10" x14ac:dyDescent="0.2">
      <c r="A26">
        <v>2022</v>
      </c>
      <c r="B26" s="3" t="s">
        <v>31</v>
      </c>
      <c r="C26" s="4">
        <v>867339</v>
      </c>
      <c r="D26" s="7">
        <v>80514</v>
      </c>
      <c r="G26" s="2"/>
      <c r="H26" s="14"/>
      <c r="I26" s="14"/>
      <c r="J26" s="1"/>
    </row>
    <row r="27" spans="1:10" x14ac:dyDescent="0.2">
      <c r="A27">
        <v>2022</v>
      </c>
      <c r="B27" s="3" t="s">
        <v>45</v>
      </c>
      <c r="C27" s="4">
        <v>171870</v>
      </c>
      <c r="D27" s="7">
        <v>15954</v>
      </c>
      <c r="G27" s="2"/>
      <c r="H27" s="14"/>
      <c r="I27" s="14"/>
      <c r="J27" s="1"/>
    </row>
    <row r="28" spans="1:10" x14ac:dyDescent="0.2">
      <c r="A28">
        <v>2022</v>
      </c>
      <c r="B28" s="3" t="s">
        <v>32</v>
      </c>
      <c r="C28" s="4">
        <v>692294</v>
      </c>
      <c r="D28" s="7">
        <v>64265</v>
      </c>
      <c r="G28" s="2"/>
      <c r="H28" s="14"/>
      <c r="I28" s="14"/>
      <c r="J28" s="1"/>
    </row>
    <row r="29" spans="1:10" x14ac:dyDescent="0.2">
      <c r="A29">
        <v>2022</v>
      </c>
      <c r="B29" s="3" t="s">
        <v>34</v>
      </c>
      <c r="C29" s="4">
        <v>550002</v>
      </c>
      <c r="D29" s="7">
        <v>51056</v>
      </c>
      <c r="G29" s="2"/>
      <c r="H29" s="14"/>
      <c r="I29" s="14"/>
      <c r="J29" s="1"/>
    </row>
    <row r="30" spans="1:10" x14ac:dyDescent="0.2">
      <c r="G30" s="2"/>
      <c r="H30" s="14"/>
      <c r="I30" s="14"/>
      <c r="J30" s="1"/>
    </row>
    <row r="31" spans="1:10" x14ac:dyDescent="0.2">
      <c r="C31" s="4">
        <f>SUM(C2:C29)</f>
        <v>31654519</v>
      </c>
      <c r="G31" s="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D834E-651A-A047-8276-68C01652FC46}">
  <sheetPr>
    <tabColor rgb="FFFFFF00"/>
  </sheetPr>
  <dimension ref="A1:J33"/>
  <sheetViews>
    <sheetView workbookViewId="0">
      <selection activeCell="A2" sqref="A2:D30"/>
    </sheetView>
  </sheetViews>
  <sheetFormatPr baseColWidth="10" defaultRowHeight="16" x14ac:dyDescent="0.2"/>
  <cols>
    <col min="2" max="2" width="40.6640625" style="3" bestFit="1" customWidth="1"/>
    <col min="3" max="3" width="18.83203125" style="3" bestFit="1" customWidth="1"/>
    <col min="4" max="4" width="17.1640625" style="3" bestFit="1" customWidth="1"/>
    <col min="7" max="7" width="45" bestFit="1" customWidth="1"/>
  </cols>
  <sheetData>
    <row r="1" spans="1:10" x14ac:dyDescent="0.2">
      <c r="A1" t="s">
        <v>53</v>
      </c>
      <c r="B1" s="3" t="s">
        <v>49</v>
      </c>
      <c r="C1" s="3" t="s">
        <v>50</v>
      </c>
      <c r="D1" s="3" t="s">
        <v>51</v>
      </c>
    </row>
    <row r="2" spans="1:10" x14ac:dyDescent="0.2">
      <c r="A2">
        <v>2023</v>
      </c>
      <c r="B2" s="3" t="s">
        <v>0</v>
      </c>
      <c r="C2" s="7">
        <v>527365</v>
      </c>
      <c r="D2" s="11">
        <v>310676</v>
      </c>
      <c r="G2" s="13"/>
    </row>
    <row r="3" spans="1:10" x14ac:dyDescent="0.2">
      <c r="A3">
        <v>2023</v>
      </c>
      <c r="B3" s="3" t="s">
        <v>1</v>
      </c>
      <c r="C3" s="7">
        <v>317098</v>
      </c>
      <c r="D3" s="11">
        <v>186786</v>
      </c>
      <c r="G3" s="2"/>
      <c r="H3" s="9"/>
      <c r="I3" s="9"/>
      <c r="J3" s="1"/>
    </row>
    <row r="4" spans="1:10" x14ac:dyDescent="0.2">
      <c r="A4">
        <v>2023</v>
      </c>
      <c r="B4" s="3" t="s">
        <v>52</v>
      </c>
      <c r="C4" s="7">
        <v>16099</v>
      </c>
      <c r="D4" s="11">
        <v>9530</v>
      </c>
      <c r="G4" s="2"/>
      <c r="H4" s="14"/>
      <c r="I4" s="14"/>
      <c r="J4" s="1"/>
    </row>
    <row r="5" spans="1:10" x14ac:dyDescent="0.2">
      <c r="A5">
        <v>2023</v>
      </c>
      <c r="B5" s="3" t="s">
        <v>2</v>
      </c>
      <c r="C5" s="7">
        <v>267334</v>
      </c>
      <c r="D5" s="11">
        <v>157403</v>
      </c>
      <c r="G5" s="2"/>
      <c r="H5" s="14"/>
      <c r="I5" s="2"/>
      <c r="J5" s="1"/>
    </row>
    <row r="6" spans="1:10" x14ac:dyDescent="0.2">
      <c r="A6">
        <v>2023</v>
      </c>
      <c r="B6" s="3" t="s">
        <v>46</v>
      </c>
      <c r="C6" s="7">
        <v>508351</v>
      </c>
      <c r="D6" s="11">
        <v>299400</v>
      </c>
      <c r="G6" s="2"/>
      <c r="H6" s="14"/>
      <c r="I6" s="14"/>
      <c r="J6" s="1"/>
    </row>
    <row r="7" spans="1:10" x14ac:dyDescent="0.2">
      <c r="A7">
        <v>2023</v>
      </c>
      <c r="B7" s="3" t="s">
        <v>6</v>
      </c>
      <c r="C7" s="7">
        <v>415811</v>
      </c>
      <c r="D7" s="11">
        <v>244919</v>
      </c>
      <c r="G7" s="2"/>
      <c r="H7" s="14"/>
      <c r="I7" s="14"/>
      <c r="J7" s="1"/>
    </row>
    <row r="8" spans="1:10" x14ac:dyDescent="0.2">
      <c r="A8">
        <v>2023</v>
      </c>
      <c r="B8" s="3" t="s">
        <v>47</v>
      </c>
      <c r="C8" s="7">
        <v>7629</v>
      </c>
      <c r="D8" s="11">
        <v>4448</v>
      </c>
      <c r="G8" s="2"/>
      <c r="H8" s="14"/>
      <c r="I8" s="14"/>
      <c r="J8" s="1"/>
    </row>
    <row r="9" spans="1:10" x14ac:dyDescent="0.2">
      <c r="A9">
        <v>2023</v>
      </c>
      <c r="B9" s="3" t="s">
        <v>8</v>
      </c>
      <c r="C9" s="7">
        <v>9015305</v>
      </c>
      <c r="D9" s="11">
        <v>5309767</v>
      </c>
      <c r="G9" s="2"/>
      <c r="H9" s="14"/>
      <c r="I9" s="2"/>
      <c r="J9" s="1"/>
    </row>
    <row r="10" spans="1:10" x14ac:dyDescent="0.2">
      <c r="A10">
        <v>2023</v>
      </c>
      <c r="B10" s="3" t="s">
        <v>10</v>
      </c>
      <c r="C10" s="7">
        <v>16354</v>
      </c>
      <c r="D10" s="11">
        <v>9688</v>
      </c>
      <c r="G10" s="2"/>
      <c r="H10" s="14"/>
      <c r="I10" s="14"/>
      <c r="J10" s="1"/>
    </row>
    <row r="11" spans="1:10" x14ac:dyDescent="0.2">
      <c r="A11">
        <v>2023</v>
      </c>
      <c r="B11" s="3" t="s">
        <v>11</v>
      </c>
      <c r="C11" s="7">
        <v>7021763</v>
      </c>
      <c r="D11" s="11">
        <v>4135678</v>
      </c>
      <c r="G11" s="2"/>
      <c r="H11" s="14"/>
      <c r="I11" s="2"/>
      <c r="J11" s="1"/>
    </row>
    <row r="12" spans="1:10" x14ac:dyDescent="0.2">
      <c r="A12">
        <v>2023</v>
      </c>
      <c r="B12" s="3" t="s">
        <v>13</v>
      </c>
      <c r="C12" s="7">
        <v>302228</v>
      </c>
      <c r="D12" s="11">
        <v>178052</v>
      </c>
      <c r="G12" s="2"/>
      <c r="H12" s="14"/>
      <c r="I12" s="14"/>
      <c r="J12" s="1"/>
    </row>
    <row r="13" spans="1:10" x14ac:dyDescent="0.2">
      <c r="A13">
        <v>2023</v>
      </c>
      <c r="B13" s="3" t="s">
        <v>14</v>
      </c>
      <c r="C13" s="7">
        <v>504026</v>
      </c>
      <c r="D13" s="11">
        <v>296858</v>
      </c>
      <c r="G13" s="2"/>
      <c r="H13" s="14"/>
      <c r="I13" s="14"/>
      <c r="J13" s="1"/>
    </row>
    <row r="14" spans="1:10" x14ac:dyDescent="0.2">
      <c r="A14">
        <v>2023</v>
      </c>
      <c r="B14" s="3" t="s">
        <v>16</v>
      </c>
      <c r="C14" s="7">
        <v>371519</v>
      </c>
      <c r="D14" s="11">
        <v>218871</v>
      </c>
      <c r="G14" s="2"/>
      <c r="H14" s="14"/>
      <c r="I14" s="14"/>
      <c r="J14" s="1"/>
    </row>
    <row r="15" spans="1:10" x14ac:dyDescent="0.2">
      <c r="A15">
        <v>2023</v>
      </c>
      <c r="B15" s="3" t="s">
        <v>17</v>
      </c>
      <c r="C15" s="7">
        <v>505275</v>
      </c>
      <c r="D15" s="11">
        <v>297652</v>
      </c>
      <c r="G15" s="2"/>
      <c r="H15" s="14"/>
      <c r="I15" s="14"/>
      <c r="J15" s="1"/>
    </row>
    <row r="16" spans="1:10" x14ac:dyDescent="0.2">
      <c r="A16">
        <v>2023</v>
      </c>
      <c r="B16" s="3" t="s">
        <v>41</v>
      </c>
      <c r="C16" s="7">
        <v>356836</v>
      </c>
      <c r="D16" s="11">
        <v>210135</v>
      </c>
      <c r="G16" s="2"/>
      <c r="H16" s="14"/>
      <c r="I16" s="14"/>
      <c r="J16" s="1"/>
    </row>
    <row r="17" spans="1:10" x14ac:dyDescent="0.2">
      <c r="A17">
        <v>2023</v>
      </c>
      <c r="B17" s="3" t="s">
        <v>18</v>
      </c>
      <c r="C17" s="7">
        <v>221770</v>
      </c>
      <c r="D17" s="11">
        <v>130561</v>
      </c>
      <c r="G17" s="2"/>
      <c r="H17" s="14"/>
      <c r="I17" s="14"/>
      <c r="J17" s="1"/>
    </row>
    <row r="18" spans="1:10" x14ac:dyDescent="0.2">
      <c r="A18">
        <v>2023</v>
      </c>
      <c r="B18" s="3" t="s">
        <v>42</v>
      </c>
      <c r="C18" s="7">
        <v>244150</v>
      </c>
      <c r="D18" s="11">
        <v>143743</v>
      </c>
      <c r="G18" s="2"/>
      <c r="H18" s="14"/>
      <c r="I18" s="14"/>
      <c r="J18" s="1"/>
    </row>
    <row r="19" spans="1:10" x14ac:dyDescent="0.2">
      <c r="A19">
        <v>2023</v>
      </c>
      <c r="B19" s="3" t="s">
        <v>48</v>
      </c>
      <c r="C19" s="7">
        <v>682889</v>
      </c>
      <c r="D19" s="11">
        <v>402164</v>
      </c>
      <c r="G19" s="2"/>
      <c r="H19" s="14"/>
      <c r="I19" s="14"/>
      <c r="J19" s="1"/>
    </row>
    <row r="20" spans="1:10" x14ac:dyDescent="0.2">
      <c r="A20">
        <v>2023</v>
      </c>
      <c r="B20" s="3" t="s">
        <v>20</v>
      </c>
      <c r="C20" s="7">
        <v>1169807</v>
      </c>
      <c r="D20" s="11">
        <v>689015</v>
      </c>
      <c r="G20" s="2"/>
      <c r="H20" s="14"/>
      <c r="I20" s="14"/>
      <c r="J20" s="1"/>
    </row>
    <row r="21" spans="1:10" x14ac:dyDescent="0.2">
      <c r="A21">
        <v>2023</v>
      </c>
      <c r="B21" s="3" t="s">
        <v>38</v>
      </c>
      <c r="C21" s="7">
        <v>284298</v>
      </c>
      <c r="D21" s="11">
        <v>167409</v>
      </c>
      <c r="G21" s="2"/>
      <c r="H21" s="14"/>
      <c r="I21" s="14"/>
      <c r="J21" s="1"/>
    </row>
    <row r="22" spans="1:10" x14ac:dyDescent="0.2">
      <c r="A22">
        <v>2023</v>
      </c>
      <c r="B22" s="3" t="s">
        <v>22</v>
      </c>
      <c r="C22" s="7">
        <v>908396</v>
      </c>
      <c r="D22" s="11">
        <v>534948</v>
      </c>
      <c r="G22" s="2"/>
      <c r="H22" s="14"/>
      <c r="I22" s="14"/>
      <c r="J22" s="1"/>
    </row>
    <row r="23" spans="1:10" x14ac:dyDescent="0.2">
      <c r="A23">
        <v>2023</v>
      </c>
      <c r="B23" s="3" t="s">
        <v>24</v>
      </c>
      <c r="C23" s="7">
        <v>2416537</v>
      </c>
      <c r="D23" s="11">
        <v>1423297</v>
      </c>
      <c r="G23" s="2"/>
      <c r="H23" s="14"/>
      <c r="I23" s="14"/>
      <c r="J23" s="1"/>
    </row>
    <row r="24" spans="1:10" x14ac:dyDescent="0.2">
      <c r="A24">
        <v>2023</v>
      </c>
      <c r="B24" s="3" t="s">
        <v>25</v>
      </c>
      <c r="C24" s="7">
        <v>1676074</v>
      </c>
      <c r="D24" s="11">
        <v>987144</v>
      </c>
      <c r="G24" s="2"/>
      <c r="H24" s="14"/>
      <c r="I24" s="14"/>
      <c r="J24" s="1"/>
    </row>
    <row r="25" spans="1:10" x14ac:dyDescent="0.2">
      <c r="A25">
        <v>2023</v>
      </c>
      <c r="B25" s="3" t="s">
        <v>27</v>
      </c>
      <c r="C25" s="7">
        <v>193836</v>
      </c>
      <c r="D25" s="11">
        <v>114200</v>
      </c>
      <c r="G25" s="2"/>
      <c r="H25" s="14"/>
      <c r="I25" s="14"/>
      <c r="J25" s="1"/>
    </row>
    <row r="26" spans="1:10" x14ac:dyDescent="0.2">
      <c r="A26">
        <v>2023</v>
      </c>
      <c r="B26" s="3" t="s">
        <v>29</v>
      </c>
      <c r="C26" s="7">
        <v>363960</v>
      </c>
      <c r="D26" s="11">
        <v>214424</v>
      </c>
      <c r="G26" s="2"/>
      <c r="H26" s="14"/>
      <c r="I26" s="14"/>
      <c r="J26" s="1"/>
    </row>
    <row r="27" spans="1:10" x14ac:dyDescent="0.2">
      <c r="A27">
        <v>2023</v>
      </c>
      <c r="B27" s="3" t="s">
        <v>31</v>
      </c>
      <c r="C27" s="7">
        <v>789593</v>
      </c>
      <c r="D27" s="11">
        <v>465061</v>
      </c>
      <c r="G27" s="2"/>
      <c r="H27" s="14"/>
      <c r="I27" s="14"/>
      <c r="J27" s="1"/>
    </row>
    <row r="28" spans="1:10" x14ac:dyDescent="0.2">
      <c r="A28">
        <v>2023</v>
      </c>
      <c r="B28" s="3" t="s">
        <v>45</v>
      </c>
      <c r="C28" s="7">
        <v>185445</v>
      </c>
      <c r="D28" s="11">
        <v>109277</v>
      </c>
      <c r="G28" s="2"/>
      <c r="H28" s="14"/>
      <c r="I28" s="14"/>
      <c r="J28" s="1"/>
    </row>
    <row r="29" spans="1:10" x14ac:dyDescent="0.2">
      <c r="A29">
        <v>2023</v>
      </c>
      <c r="B29" s="3" t="s">
        <v>32</v>
      </c>
      <c r="C29" s="7">
        <v>616185</v>
      </c>
      <c r="D29" s="11">
        <v>362932</v>
      </c>
      <c r="G29" s="2"/>
      <c r="H29" s="14"/>
      <c r="I29" s="14"/>
      <c r="J29" s="1"/>
    </row>
    <row r="30" spans="1:10" x14ac:dyDescent="0.2">
      <c r="A30">
        <v>2023</v>
      </c>
      <c r="B30" s="3" t="s">
        <v>34</v>
      </c>
      <c r="C30" s="7">
        <v>464733</v>
      </c>
      <c r="D30" s="11">
        <v>273669</v>
      </c>
      <c r="G30" s="2"/>
      <c r="H30" s="14"/>
      <c r="I30" s="14"/>
      <c r="J30" s="1"/>
    </row>
    <row r="31" spans="1:10" x14ac:dyDescent="0.2">
      <c r="C31" s="4"/>
      <c r="G31" s="2"/>
      <c r="H31" s="14"/>
      <c r="I31" s="14"/>
      <c r="J31" s="1"/>
    </row>
    <row r="32" spans="1:10" x14ac:dyDescent="0.2">
      <c r="C32" s="4">
        <f>SUM(C2:C30)</f>
        <v>30370666</v>
      </c>
    </row>
    <row r="33" spans="3:3" x14ac:dyDescent="0.2">
      <c r="C33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E2A17-B45E-F142-95C4-45826FB1C2D2}">
  <sheetPr>
    <tabColor rgb="FFFF0000"/>
  </sheetPr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6873D-A4E0-2544-A1F4-276F16A4C4A8}">
  <sheetPr>
    <tabColor rgb="FFFFFF00"/>
  </sheetPr>
  <dimension ref="A1:B44"/>
  <sheetViews>
    <sheetView workbookViewId="0">
      <selection activeCell="B44" sqref="B2:B44"/>
    </sheetView>
  </sheetViews>
  <sheetFormatPr baseColWidth="10" defaultRowHeight="16" x14ac:dyDescent="0.2"/>
  <cols>
    <col min="1" max="1" width="44.6640625" bestFit="1" customWidth="1"/>
  </cols>
  <sheetData>
    <row r="1" spans="1:2" x14ac:dyDescent="0.2">
      <c r="A1" t="s">
        <v>49</v>
      </c>
    </row>
    <row r="2" spans="1:2" x14ac:dyDescent="0.2">
      <c r="A2" t="s">
        <v>0</v>
      </c>
      <c r="B2">
        <v>1000053</v>
      </c>
    </row>
    <row r="3" spans="1:2" x14ac:dyDescent="0.2">
      <c r="A3" t="s">
        <v>1</v>
      </c>
      <c r="B3">
        <v>1000017</v>
      </c>
    </row>
    <row r="4" spans="1:2" x14ac:dyDescent="0.2">
      <c r="A4" t="s">
        <v>52</v>
      </c>
    </row>
    <row r="5" spans="1:2" x14ac:dyDescent="0.2">
      <c r="A5" t="s">
        <v>2</v>
      </c>
      <c r="B5">
        <v>1000007</v>
      </c>
    </row>
    <row r="6" spans="1:2" x14ac:dyDescent="0.2">
      <c r="A6" t="s">
        <v>46</v>
      </c>
      <c r="B6">
        <v>1000024</v>
      </c>
    </row>
    <row r="7" spans="1:2" x14ac:dyDescent="0.2">
      <c r="A7" t="s">
        <v>3</v>
      </c>
      <c r="B7">
        <v>1000049</v>
      </c>
    </row>
    <row r="8" spans="1:2" x14ac:dyDescent="0.2">
      <c r="A8" t="s">
        <v>4</v>
      </c>
    </row>
    <row r="9" spans="1:2" x14ac:dyDescent="0.2">
      <c r="A9" t="s">
        <v>5</v>
      </c>
      <c r="B9">
        <v>1000047</v>
      </c>
    </row>
    <row r="10" spans="1:2" x14ac:dyDescent="0.2">
      <c r="A10" t="s">
        <v>6</v>
      </c>
      <c r="B10">
        <v>1000016</v>
      </c>
    </row>
    <row r="11" spans="1:2" x14ac:dyDescent="0.2">
      <c r="A11" t="s">
        <v>47</v>
      </c>
    </row>
    <row r="12" spans="1:2" x14ac:dyDescent="0.2">
      <c r="A12" t="s">
        <v>8</v>
      </c>
    </row>
    <row r="13" spans="1:2" x14ac:dyDescent="0.2">
      <c r="A13" t="s">
        <v>36</v>
      </c>
      <c r="B13">
        <v>1000056</v>
      </c>
    </row>
    <row r="14" spans="1:2" x14ac:dyDescent="0.2">
      <c r="A14" t="s">
        <v>7</v>
      </c>
    </row>
    <row r="15" spans="1:2" x14ac:dyDescent="0.2">
      <c r="A15" t="s">
        <v>12</v>
      </c>
    </row>
    <row r="16" spans="1:2" x14ac:dyDescent="0.2">
      <c r="A16" t="s">
        <v>9</v>
      </c>
    </row>
    <row r="17" spans="1:2" x14ac:dyDescent="0.2">
      <c r="A17" t="s">
        <v>10</v>
      </c>
    </row>
    <row r="18" spans="1:2" x14ac:dyDescent="0.2">
      <c r="A18" t="s">
        <v>11</v>
      </c>
    </row>
    <row r="19" spans="1:2" x14ac:dyDescent="0.2">
      <c r="A19" t="s">
        <v>37</v>
      </c>
      <c r="B19">
        <v>1000061</v>
      </c>
    </row>
    <row r="20" spans="1:2" x14ac:dyDescent="0.2">
      <c r="A20" t="s">
        <v>13</v>
      </c>
      <c r="B20">
        <v>1000055</v>
      </c>
    </row>
    <row r="21" spans="1:2" x14ac:dyDescent="0.2">
      <c r="A21" t="s">
        <v>14</v>
      </c>
      <c r="B21">
        <v>1000006</v>
      </c>
    </row>
    <row r="22" spans="1:2" x14ac:dyDescent="0.2">
      <c r="A22" t="s">
        <v>15</v>
      </c>
      <c r="B22">
        <v>1000024</v>
      </c>
    </row>
    <row r="23" spans="1:2" x14ac:dyDescent="0.2">
      <c r="A23" t="s">
        <v>16</v>
      </c>
      <c r="B23">
        <v>1000057</v>
      </c>
    </row>
    <row r="24" spans="1:2" x14ac:dyDescent="0.2">
      <c r="A24" t="s">
        <v>17</v>
      </c>
      <c r="B24">
        <v>1000054</v>
      </c>
    </row>
    <row r="25" spans="1:2" x14ac:dyDescent="0.2">
      <c r="A25" t="s">
        <v>41</v>
      </c>
      <c r="B25">
        <v>1000059</v>
      </c>
    </row>
    <row r="26" spans="1:2" x14ac:dyDescent="0.2">
      <c r="A26" t="s">
        <v>18</v>
      </c>
      <c r="B26">
        <v>1000052</v>
      </c>
    </row>
    <row r="27" spans="1:2" x14ac:dyDescent="0.2">
      <c r="A27" t="s">
        <v>42</v>
      </c>
      <c r="B27">
        <v>1000062</v>
      </c>
    </row>
    <row r="28" spans="1:2" x14ac:dyDescent="0.2">
      <c r="A28" t="s">
        <v>19</v>
      </c>
      <c r="B28">
        <v>1000014</v>
      </c>
    </row>
    <row r="29" spans="1:2" x14ac:dyDescent="0.2">
      <c r="A29" t="s">
        <v>20</v>
      </c>
      <c r="B29">
        <v>1000050</v>
      </c>
    </row>
    <row r="30" spans="1:2" x14ac:dyDescent="0.2">
      <c r="A30" t="s">
        <v>38</v>
      </c>
    </row>
    <row r="31" spans="1:2" x14ac:dyDescent="0.2">
      <c r="A31" t="s">
        <v>22</v>
      </c>
      <c r="B31">
        <v>1000019</v>
      </c>
    </row>
    <row r="32" spans="1:2" x14ac:dyDescent="0.2">
      <c r="A32" t="s">
        <v>23</v>
      </c>
      <c r="B32">
        <v>1000023</v>
      </c>
    </row>
    <row r="33" spans="1:2" x14ac:dyDescent="0.2">
      <c r="A33" t="s">
        <v>24</v>
      </c>
      <c r="B33">
        <v>1000015</v>
      </c>
    </row>
    <row r="34" spans="1:2" x14ac:dyDescent="0.2">
      <c r="A34" t="s">
        <v>25</v>
      </c>
      <c r="B34">
        <v>1000026</v>
      </c>
    </row>
    <row r="35" spans="1:2" x14ac:dyDescent="0.2">
      <c r="A35" t="s">
        <v>26</v>
      </c>
    </row>
    <row r="36" spans="1:2" x14ac:dyDescent="0.2">
      <c r="A36" t="s">
        <v>27</v>
      </c>
      <c r="B36">
        <v>1000005</v>
      </c>
    </row>
    <row r="37" spans="1:2" x14ac:dyDescent="0.2">
      <c r="A37" t="s">
        <v>28</v>
      </c>
      <c r="B37">
        <v>1000048</v>
      </c>
    </row>
    <row r="38" spans="1:2" x14ac:dyDescent="0.2">
      <c r="A38" t="s">
        <v>29</v>
      </c>
      <c r="B38">
        <v>1000018</v>
      </c>
    </row>
    <row r="39" spans="1:2" x14ac:dyDescent="0.2">
      <c r="A39" t="s">
        <v>30</v>
      </c>
      <c r="B39">
        <v>1000051</v>
      </c>
    </row>
    <row r="40" spans="1:2" x14ac:dyDescent="0.2">
      <c r="A40" t="s">
        <v>31</v>
      </c>
      <c r="B40">
        <v>1000011</v>
      </c>
    </row>
    <row r="41" spans="1:2" x14ac:dyDescent="0.2">
      <c r="A41" t="s">
        <v>45</v>
      </c>
      <c r="B41">
        <v>1000063</v>
      </c>
    </row>
    <row r="42" spans="1:2" x14ac:dyDescent="0.2">
      <c r="A42" t="s">
        <v>32</v>
      </c>
      <c r="B42">
        <v>1000004</v>
      </c>
    </row>
    <row r="43" spans="1:2" x14ac:dyDescent="0.2">
      <c r="A43" t="s">
        <v>33</v>
      </c>
      <c r="B43">
        <v>1000058</v>
      </c>
    </row>
    <row r="44" spans="1:2" x14ac:dyDescent="0.2">
      <c r="A44" t="s">
        <v>34</v>
      </c>
      <c r="B44">
        <v>1000010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Delaware St Emp GASB 68 --&gt;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NCES Data --&gt;</vt:lpstr>
      <vt:lpstr>LEAID Match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Gregory Kearney</dc:creator>
  <cp:lastModifiedBy>Gregory Kearney</cp:lastModifiedBy>
  <dcterms:created xsi:type="dcterms:W3CDTF">2025-02-27T04:24:23Z</dcterms:created>
  <dcterms:modified xsi:type="dcterms:W3CDTF">2025-04-01T20:19:15Z</dcterms:modified>
</cp:coreProperties>
</file>